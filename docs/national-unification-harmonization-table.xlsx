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92c45f782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s &amp; Summary" sheetId="1" r:id="R281533a9e5494fc2"/>
    <x:sheet xmlns:r="http://schemas.openxmlformats.org/officeDocument/2006/relationships" name="Unification Scores" sheetId="2" r:id="R69b898ceb9f442d1"/>
    <x:sheet xmlns:r="http://schemas.openxmlformats.org/officeDocument/2006/relationships" name="Methodology" sheetId="3" r:id="R027e006f0741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%"/>
    <x:numFmt numFmtId="203" formatCode="0"/>
    <x:numFmt numFmtId="204" formatCode="&quot;$&quot;#,##0"/>
  </x:numFmts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9C2F00"/>
      <x:name val="Carlito"/>
    </x:font>
    <x:font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1F7A8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top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2F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58a8cf70c41b2" /><Relationship Type="http://schemas.openxmlformats.org/officeDocument/2006/relationships/theme" Target="/xl/theme/theme1.xml" Id="Rd4956717551545d7" /><Relationship Type="http://schemas.openxmlformats.org/officeDocument/2006/relationships/sharedStrings" Target="/xl/sharedStrings.xml" Id="Rb19b3d11d7c74ea6" /><Relationship Type="http://schemas.openxmlformats.org/officeDocument/2006/relationships/worksheet" Target="/xl/worksheets/sheet1.xml" Id="R281533a9e5494fc2" /><Relationship Type="http://schemas.openxmlformats.org/officeDocument/2006/relationships/worksheet" Target="/xl/worksheets/sheet2.xml" Id="R69b898ceb9f442d1" /><Relationship Type="http://schemas.openxmlformats.org/officeDocument/2006/relationships/worksheet" Target="/xl/worksheets/sheet3.xml" Id="R027e006f07414ff7" /></Relationships>
</file>

<file path=xl/tables/table1.xml><?xml version="1.0" encoding="utf-8"?>
<x:table xmlns:x="http://schemas.openxmlformats.org/spreadsheetml/2006/main" id="1" name="UnificationScoresTable" displayName="UnificationScoresTable" ref="A1:AH1512" headerRowCount="1" totalsRowCount="0" totalsRowShown="0">
  <x:autoFilter ref="A1:AH1512"/>
  <x:tableColumns count="34">
    <x:tableColumn id="1" name="Scenario"/>
    <x:tableColumn id="2" name="Content"/>
    <x:tableColumn id="3" name="Unifier"/>
    <x:tableColumn id="4" name="Annexed neighbor"/>
    <x:tableColumn id="5" name="Claim availability"/>
    <x:tableColumn id="6" name="Unlock project"/>
    <x:tableColumn id="7" name="Historical?"/>
    <x:tableColumn id="8" name="Historical basis"/>
    <x:tableColumn id="9" name="Integration threshold"/>
    <x:tableColumn id="10" name="Source Government"/>
    <x:tableColumn id="11" name="Target Government"/>
    <x:tableColumn id="12" name="Government gap"/>
    <x:tableColumn id="13" name="Source Inequality"/>
    <x:tableColumn id="14" name="Target Inequality"/>
    <x:tableColumn id="15" name="Inequality gap"/>
    <x:tableColumn id="16" name="Source Knowledge"/>
    <x:tableColumn id="17" name="Target Knowledge"/>
    <x:tableColumn id="18" name="Knowledge gap"/>
    <x:tableColumn id="19" name="Source GDP/c"/>
    <x:tableColumn id="20" name="Target GDP/c"/>
    <x:tableColumn id="21" name="GDP/c ratio"/>
    <x:tableColumn id="22" name="Core f"/>
    <x:tableColumn id="23" name="Source Cohesion"/>
    <x:tableColumn id="24" name="Target Unrest"/>
    <x:tableColumn id="25" name="Modifier"/>
    <x:tableColumn id="26" name="Harmonization score"/>
    <x:tableColumn id="27" name="Integration result"/>
    <x:tableColumn id="28" name="Federation result"/>
    <x:tableColumn id="29" name="Source ID"/>
    <x:tableColumn id="30" name="Target ID"/>
    <x:tableColumn id="31" name="Capital region"/>
    <x:tableColumn id="32" name="Capital basis"/>
    <x:tableColumn id="33" name="Claim template"/>
    <x:tableColumn id="34" name="Project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c3edae7a4447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30" hidden="0" customWidth="1"/>
    <x:col min="4" max="4" width="38" hidden="0" customWidth="1"/>
    <x:col min="5" max="5" width="15" hidden="0" customWidth="1"/>
    <x:col min="6" max="6" width="15" hidden="0" customWidth="1"/>
    <x:col min="7" max="7" width="22" hidden="0" customWidth="1"/>
    <x:col min="8" max="8" width="15" hidden="0" customWidth="1"/>
    <x:col min="9" max="9" width="15" hidden="0" customWidth="1"/>
    <x:col min="10" max="10" width="20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34" customHeight="1">
      <x:c r="A1" s="4" t="str">
        <x:v>National Unification Harmonization Calibration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4" customHeight="1">
      <x:c r="A2" s="9" t="str">
        <x:v>Directional capital claims only: the country in Unifier annexes the country in Annexed neighbor. Reverse rows exist only for real reverse claims.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6" t="str">
        <x:v>Threshold set</x:v>
      </x:c>
      <x:c r="K3" s="26" t="str">
        <x:v>Ordinary</x:v>
      </x:c>
      <x:c r="L3" s="26" t="str">
        <x:v>Historical</x:v>
      </x:c>
      <x:c r="M3" s="26" t="str">
        <x:v>Federation</x:v>
      </x:c>
      <x:c r="N3" s="26" t="str">
        <x:v>Integration pass</x:v>
      </x:c>
      <x:c r="O3" s="26" t="str">
        <x:v>Integration %</x:v>
      </x:c>
      <x:c r="P3" s="26" t="str">
        <x:v>Federation pass</x:v>
      </x:c>
      <x:c r="Q3" s="26" t="str">
        <x:v>Federation %</x:v>
      </x:c>
    </x:row>
    <x:row r="4">
      <x:c r="A4" s="10" t="str">
        <x:v>Ordinary integration threshold</x:v>
      </x:c>
      <x:c r="B4" s="16" t="n">
        <x:v>6</x:v>
      </x:c>
      <x:c r="C4" s="27" t="str">
        <x:v>Lower = stricter</x:v>
      </x:c>
      <x:c r="D4" s="13" t="str">
        <x:v>Coverage summary</x:v>
      </x:c>
      <x:c r="E4" s="13"/>
      <x:c r="F4" s="27"/>
      <x:c r="G4" s="13" t="str">
        <x:v>Additional rate</x:v>
      </x:c>
      <x:c r="H4" s="13"/>
      <x:c r="I4" s="27"/>
      <x:c r="J4" s="27" t="str">
        <x:v>Current controls</x:v>
      </x:c>
      <x:c r="K4" s="27" t="n">
        <x:f>B4</x:f>
        <x:v>6</x:v>
      </x:c>
      <x:c r="L4" s="27" t="n">
        <x:f>B5</x:f>
        <x:v>3</x:v>
      </x:c>
      <x:c r="M4" s="27" t="n">
        <x:f>B6</x:f>
        <x:v>12</x:v>
      </x:c>
      <x:c r="N4" s="23" t="n">
        <x:f>COUNTIFS('Unification Scores'!$G$2:$G$1512,"No",'Unification Scores'!$Z$2:$Z$1512,"&lt;="&amp;K4)+COUNTIFS('Unification Scores'!$G$2:$G$1512,"Yes",'Unification Scores'!$Z$2:$Z$1512,"&lt;="&amp;L4)</x:f>
        <x:v>468</x:v>
      </x:c>
      <x:c r="O4" s="24" t="n">
        <x:f>N4/$E$5</x:f>
        <x:v>0.30972865651886167</x:v>
      </x:c>
      <x:c r="P4" s="23" t="n">
        <x:f>COUNTIF('Unification Scores'!$Z$2:$Z$1512,"&lt;="&amp;M4)</x:f>
        <x:v>1095</x:v>
      </x:c>
      <x:c r="Q4" s="24" t="n">
        <x:f>P4/$E$5</x:f>
        <x:v>0.7246856386499008</x:v>
      </x:c>
    </x:row>
    <x:row r="5">
      <x:c r="A5" s="10" t="str">
        <x:v>Historical integration threshold</x:v>
      </x:c>
      <x:c r="B5" s="16" t="n">
        <x:v>3</x:v>
      </x:c>
      <x:c r="C5" s="27" t="str">
        <x:v>Lower = stricter</x:v>
      </x:c>
      <x:c r="D5" s="22" t="str">
        <x:v>Directional rows</x:v>
      </x:c>
      <x:c r="E5" s="23" t="n">
        <x:f>ROWS('Unification Scores'!$A$2:$A$1512)</x:f>
        <x:v>1511</x:v>
      </x:c>
      <x:c r="F5" s="27"/>
      <x:c r="G5" s="22" t="str">
        <x:v>Federation pass rate</x:v>
      </x:c>
      <x:c r="H5" s="24" t="n">
        <x:f>E10/E5</x:f>
        <x:v>0.7246856386499008</x:v>
      </x:c>
      <x:c r="I5" s="27"/>
      <x:c r="J5" s="27" t="str">
        <x:v>Moderately stricter</x:v>
      </x:c>
      <x:c r="K5" s="16" t="n">
        <x:v>5</x:v>
      </x:c>
      <x:c r="L5" s="16" t="n">
        <x:v>2.5</x:v>
      </x:c>
      <x:c r="M5" s="16" t="n">
        <x:v>10</x:v>
      </x:c>
      <x:c r="N5" s="23" t="n">
        <x:f>COUNTIFS('Unification Scores'!$G$2:$G$1512,"No",'Unification Scores'!$Z$2:$Z$1512,"&lt;="&amp;K5)+COUNTIFS('Unification Scores'!$G$2:$G$1512,"Yes",'Unification Scores'!$Z$2:$Z$1512,"&lt;="&amp;L5)</x:f>
        <x:v>336</x:v>
      </x:c>
      <x:c r="O5" s="24" t="n">
        <x:f>N5/$E$5</x:f>
        <x:v>0.22236929185969556</x:v>
      </x:c>
      <x:c r="P5" s="23" t="n">
        <x:f>COUNTIF('Unification Scores'!$Z$2:$Z$1512,"&lt;="&amp;M5)</x:f>
        <x:v>964</x:v>
      </x:c>
      <x:c r="Q5" s="24" t="n">
        <x:f>P5/$E$5</x:f>
        <x:v>0.6379880873593646</x:v>
      </x:c>
    </x:row>
    <x:row r="6">
      <x:c r="A6" s="10" t="str">
        <x:v>Federation threshold</x:v>
      </x:c>
      <x:c r="B6" s="16" t="n">
        <x:v>12</x:v>
      </x:c>
      <x:c r="C6" s="27" t="str">
        <x:v>Lower = stricter</x:v>
      </x:c>
      <x:c r="D6" s="22" t="str">
        <x:v>Starting claims</x:v>
      </x:c>
      <x:c r="E6" s="23" t="n">
        <x:f>COUNTIF('Unification Scores'!$E$2:$E$1512,"Starting claim")</x:f>
        <x:v>246</x:v>
      </x:c>
      <x:c r="F6" s="27"/>
      <x:c r="G6" s="22" t="str">
        <x:v>Project share</x:v>
      </x:c>
      <x:c r="H6" s="24" t="n">
        <x:f>E7/E5</x:f>
        <x:v>0.8371939113170086</x:v>
      </x:c>
      <x:c r="I6" s="27"/>
      <x:c r="J6" s="27" t="str">
        <x:v>Strict</x:v>
      </x:c>
      <x:c r="K6" s="16" t="n">
        <x:v>4</x:v>
      </x:c>
      <x:c r="L6" s="16" t="n">
        <x:v>2</x:v>
      </x:c>
      <x:c r="M6" s="16" t="n">
        <x:v>8</x:v>
      </x:c>
      <x:c r="N6" s="23" t="n">
        <x:f>COUNTIFS('Unification Scores'!$G$2:$G$1512,"No",'Unification Scores'!$Z$2:$Z$1512,"&lt;="&amp;K6)+COUNTIFS('Unification Scores'!$G$2:$G$1512,"Yes",'Unification Scores'!$Z$2:$Z$1512,"&lt;="&amp;L6)</x:f>
        <x:v>205</x:v>
      </x:c>
      <x:c r="O6" s="24" t="n">
        <x:f>N6/$E$5</x:f>
        <x:v>0.1356717405691595</x:v>
      </x:c>
      <x:c r="P6" s="23" t="n">
        <x:f>COUNTIF('Unification Scores'!$Z$2:$Z$1512,"&lt;="&amp;M6)</x:f>
        <x:v>761</x:v>
      </x:c>
      <x:c r="Q6" s="24" t="n">
        <x:f>P6/$E$5</x:f>
        <x:v>0.5036399735274653</x:v>
      </x:c>
    </x:row>
    <x:row r="7">
      <x:c r="A7" s="10"/>
      <x:c r="B7" s="27"/>
      <x:c r="C7" s="27"/>
      <x:c r="D7" s="22" t="str">
        <x:v>Project-gated claims</x:v>
      </x:c>
      <x:c r="E7" s="23" t="n">
        <x:f>COUNTIF('Unification Scores'!$E$2:$E$1512,"Project unlock")</x:f>
        <x:v>1265</x:v>
      </x:c>
      <x:c r="F7" s="27"/>
      <x:c r="G7" s="22" t="str">
        <x:v>Historical share</x:v>
      </x:c>
      <x:c r="H7" s="24" t="n">
        <x:f>E8/E5</x:f>
        <x:v>0.13898080741230973</x:v>
      </x:c>
      <x:c r="I7" s="27"/>
      <x:c r="J7" s="27"/>
      <x:c r="K7" s="27"/>
      <x:c r="L7" s="27"/>
      <x:c r="M7" s="27"/>
      <x:c r="N7" s="27"/>
      <x:c r="O7" s="27"/>
      <x:c r="P7" s="27"/>
      <x:c r="Q7" s="27"/>
    </x:row>
    <x:row r="8">
      <x:c r="A8" s="13" t="str">
        <x:v>Core component weights</x:v>
      </x:c>
      <x:c r="B8" s="13"/>
      <x:c r="C8" s="13" t="str">
        <x:v>Higher = stricter</x:v>
      </x:c>
      <x:c r="D8" s="22" t="str">
        <x:v>Historical claims</x:v>
      </x:c>
      <x:c r="E8" s="23" t="n">
        <x:f>COUNTIF('Unification Scores'!$G$2:$G$1512,"Yes")</x:f>
        <x:v>210</x:v>
      </x:c>
      <x:c r="F8" s="27"/>
      <x:c r="G8" s="22" t="str">
        <x:v>Scenarios represented</x:v>
      </x:c>
      <x:c r="H8" s="25" t="n">
        <x:v>4</x:v>
      </x:c>
      <x:c r="I8" s="27"/>
      <x:c r="J8" s="27"/>
      <x:c r="K8" s="27"/>
      <x:c r="L8" s="27"/>
      <x:c r="M8" s="27"/>
      <x:c r="N8" s="27"/>
      <x:c r="O8" s="27"/>
      <x:c r="P8" s="27"/>
      <x:c r="Q8" s="27"/>
    </x:row>
    <x:row r="9">
      <x:c r="A9" s="10" t="str">
        <x:v>Government gap</x:v>
      </x:c>
      <x:c r="B9" s="16" t="n">
        <x:v>1</x:v>
      </x:c>
      <x:c r="C9" s="27" t="str">
        <x:v>Multiplier</x:v>
      </x:c>
      <x:c r="D9" s="22" t="str">
        <x:v>Peaceful at current controls</x:v>
      </x:c>
      <x:c r="E9" s="23" t="n">
        <x:f>COUNTIF('Unification Scores'!$AA$2:$AA$1512,"Peaceful")</x:f>
        <x:v>468</x:v>
      </x:c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</x:row>
    <x:row r="10">
      <x:c r="A10" s="10" t="str">
        <x:v>Inequality gap</x:v>
      </x:c>
      <x:c r="B10" s="16" t="n">
        <x:v>1</x:v>
      </x:c>
      <x:c r="C10" s="27" t="str">
        <x:v>Multiplier</x:v>
      </x:c>
      <x:c r="D10" s="22" t="str">
        <x:v>Federation-eligible at current controls</x:v>
      </x:c>
      <x:c r="E10" s="23" t="n">
        <x:f>COUNTIF('Unification Scores'!$AB$2:$AB$1512,"Eligible")</x:f>
        <x:v>1095</x:v>
      </x:c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</x:row>
    <x:row r="11">
      <x:c r="A11" s="10" t="str">
        <x:v>Knowledge gap</x:v>
      </x:c>
      <x:c r="B11" s="16" t="n">
        <x:v>1</x:v>
      </x:c>
      <x:c r="C11" s="27" t="str">
        <x:v>Multiplier</x:v>
      </x:c>
      <x:c r="D11" s="22" t="str">
        <x:v>Integration pass rate</x:v>
      </x:c>
      <x:c r="E11" s="24" t="n">
        <x:f>E9/E5</x:f>
        <x:v>0.30972865651886167</x:v>
      </x:c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</x:row>
    <x:row r="12">
      <x:c r="A12" s="10" t="str">
        <x:v>GDP/c ratio</x:v>
      </x:c>
      <x:c r="B12" s="16" t="n">
        <x:v>1</x:v>
      </x:c>
      <x:c r="C12" s="27" t="str">
        <x:v>Multiplier</x:v>
      </x:c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</x:row>
    <x:row r="13">
      <x:c r="A13" s="10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</x:row>
    <x:row r="14">
      <x:c r="A14" s="13" t="str">
        <x:v>Modifier term weights</x:v>
      </x:c>
      <x:c r="B14" s="13"/>
      <x:c r="C14" s="13" t="str">
        <x:v>Higher = stricter</x:v>
      </x:c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</x:row>
    <x:row r="15">
      <x:c r="A15" s="10" t="str">
        <x:v>Target stability term</x:v>
      </x:c>
      <x:c r="B15" s="16" t="n">
        <x:v>1</x:v>
      </x:c>
      <x:c r="C15" s="27" t="str">
        <x:v>(10 - target Unrest) / 10</x:v>
      </x:c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</x:row>
    <x:row r="16">
      <x:c r="A16" s="10" t="str">
        <x:v>Source cohesion-gap term</x:v>
      </x:c>
      <x:c r="B16" s="16" t="n">
        <x:v>1</x:v>
      </x:c>
      <x:c r="C16" s="27" t="str">
        <x:v>(10 - source Cohesion) / 10</x:v>
      </x:c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</x:row>
    <x:row r="18" ht="38" customHeight="1">
      <x:c r="A18" s="20" t="str">
        <x:v>Balance direction: lower thresholds make peaceful integration and federation harder. Lowering component or modifier weights lowers scores and makes the system more permissive; raise weights to make it stricter.</x:v>
      </x:c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</x:row>
    <x:row r="21">
      <x:c r="A21" s="26" t="str">
        <x:v>Scenario</x:v>
      </x:c>
      <x:c r="B21" s="26" t="str">
        <x:v>Rows</x:v>
      </x:c>
      <x:c r="C21" s="26" t="str">
        <x:v>Starting</x:v>
      </x:c>
      <x:c r="D21" s="26" t="str">
        <x:v>Project</x:v>
      </x:c>
      <x:c r="E21" s="26" t="str">
        <x:v>Historical</x:v>
      </x:c>
      <x:c r="F21" s="26" t="str">
        <x:v>Peaceful</x:v>
      </x:c>
      <x:c r="G21" s="26" t="str">
        <x:v>Peaceful %</x:v>
      </x:c>
      <x:c r="H21" s="26" t="str">
        <x:v>Federation eligible</x:v>
      </x:c>
      <x:c r="I21" s="27"/>
      <x:c r="J21" s="27"/>
      <x:c r="K21" s="27"/>
      <x:c r="L21" s="27"/>
      <x:c r="M21" s="27"/>
      <x:c r="N21" s="27"/>
      <x:c r="O21" s="27"/>
      <x:c r="P21" s="27"/>
      <x:c r="Q21" s="27"/>
    </x:row>
    <x:row r="22">
      <x:c r="A22" s="27" t="str">
        <x:v>2003</x:v>
      </x:c>
      <x:c r="B22" s="23" t="n">
        <x:f>COUNTIF('Unification Scores'!$A$2:$A$1512,A22)</x:f>
        <x:v>452</x:v>
      </x:c>
      <x:c r="C22" s="23" t="n">
        <x:f>COUNTIFS('Unification Scores'!$A$2:$A$1512,A22,'Unification Scores'!$E$2:$E$1512,"Starting claim")</x:f>
        <x:v>70</x:v>
      </x:c>
      <x:c r="D22" s="23" t="n">
        <x:f>COUNTIFS('Unification Scores'!$A$2:$A$1512,A22,'Unification Scores'!$E$2:$E$1512,"Project unlock")</x:f>
        <x:v>382</x:v>
      </x:c>
      <x:c r="E22" s="23" t="n">
        <x:f>COUNTIFS('Unification Scores'!$A$2:$A$1512,A22,'Unification Scores'!$G$2:$G$1512,"Yes")</x:f>
        <x:v>61</x:v>
      </x:c>
      <x:c r="F22" s="23" t="n">
        <x:f>COUNTIFS('Unification Scores'!$A$2:$A$1512,A22,'Unification Scores'!$AA$2:$AA$1512,"Peaceful")</x:f>
        <x:v>143</x:v>
      </x:c>
      <x:c r="G22" s="24" t="n">
        <x:f>F22/B22</x:f>
        <x:v>0.3163716814159292</x:v>
      </x:c>
      <x:c r="H22" s="23" t="n">
        <x:f>COUNTIFS('Unification Scores'!$A$2:$A$1512,A22,'Unification Scores'!$AB$2:$AB$1512,"Eligible")</x:f>
        <x:v>314</x:v>
      </x:c>
      <x:c r="I22" s="27"/>
      <x:c r="J22" s="27"/>
      <x:c r="K22" s="27"/>
      <x:c r="L22" s="27"/>
      <x:c r="M22" s="27"/>
      <x:c r="N22" s="27"/>
      <x:c r="O22" s="27"/>
      <x:c r="P22" s="27"/>
      <x:c r="Q22" s="27"/>
    </x:row>
    <x:row r="23">
      <x:c r="A23" s="27" t="str">
        <x:v>2022</x:v>
      </x:c>
      <x:c r="B23" s="23" t="n">
        <x:f>COUNTIF('Unification Scores'!$A$2:$A$1512,A23)</x:f>
        <x:v>467</x:v>
      </x:c>
      <x:c r="C23" s="23" t="n">
        <x:f>COUNTIFS('Unification Scores'!$A$2:$A$1512,A23,'Unification Scores'!$E$2:$E$1512,"Starting claim")</x:f>
        <x:v>77</x:v>
      </x:c>
      <x:c r="D23" s="23" t="n">
        <x:f>COUNTIFS('Unification Scores'!$A$2:$A$1512,A23,'Unification Scores'!$E$2:$E$1512,"Project unlock")</x:f>
        <x:v>390</x:v>
      </x:c>
      <x:c r="E23" s="23" t="n">
        <x:f>COUNTIFS('Unification Scores'!$A$2:$A$1512,A23,'Unification Scores'!$G$2:$G$1512,"Yes")</x:f>
        <x:v>66</x:v>
      </x:c>
      <x:c r="F23" s="23" t="n">
        <x:f>COUNTIFS('Unification Scores'!$A$2:$A$1512,A23,'Unification Scores'!$AA$2:$AA$1512,"Peaceful")</x:f>
        <x:v>181</x:v>
      </x:c>
      <x:c r="G23" s="24" t="n">
        <x:f>F23/B23</x:f>
        <x:v>0.3875802997858672</x:v>
      </x:c>
      <x:c r="H23" s="23" t="n">
        <x:f>COUNTIFS('Unification Scores'!$A$2:$A$1512,A23,'Unification Scores'!$AB$2:$AB$1512,"Eligible")</x:f>
        <x:v>383</x:v>
      </x:c>
      <x:c r="I23" s="27"/>
      <x:c r="J23" s="27"/>
      <x:c r="K23" s="27"/>
      <x:c r="L23" s="27"/>
      <x:c r="M23" s="27"/>
      <x:c r="N23" s="27"/>
      <x:c r="O23" s="27"/>
      <x:c r="P23" s="27"/>
      <x:c r="Q23" s="27"/>
    </x:row>
    <x:row r="24">
      <x:c r="A24" s="27" t="str">
        <x:v>2026</x:v>
      </x:c>
      <x:c r="B24" s="23" t="n">
        <x:f>COUNTIF('Unification Scores'!$A$2:$A$1512,A24)</x:f>
        <x:v>467</x:v>
      </x:c>
      <x:c r="C24" s="23" t="n">
        <x:f>COUNTIFS('Unification Scores'!$A$2:$A$1512,A24,'Unification Scores'!$E$2:$E$1512,"Starting claim")</x:f>
        <x:v>77</x:v>
      </x:c>
      <x:c r="D24" s="23" t="n">
        <x:f>COUNTIFS('Unification Scores'!$A$2:$A$1512,A24,'Unification Scores'!$E$2:$E$1512,"Project unlock")</x:f>
        <x:v>390</x:v>
      </x:c>
      <x:c r="E24" s="23" t="n">
        <x:f>COUNTIFS('Unification Scores'!$A$2:$A$1512,A24,'Unification Scores'!$G$2:$G$1512,"Yes")</x:f>
        <x:v>66</x:v>
      </x:c>
      <x:c r="F24" s="23" t="n">
        <x:f>COUNTIFS('Unification Scores'!$A$2:$A$1512,A24,'Unification Scores'!$AA$2:$AA$1512,"Peaceful")</x:f>
        <x:v>123</x:v>
      </x:c>
      <x:c r="G24" s="24" t="n">
        <x:f>F24/B24</x:f>
        <x:v>0.2633832976445396</x:v>
      </x:c>
      <x:c r="H24" s="23" t="n">
        <x:f>COUNTIFS('Unification Scores'!$A$2:$A$1512,A24,'Unification Scores'!$AB$2:$AB$1512,"Eligible")</x:f>
        <x:v>328</x:v>
      </x:c>
      <x:c r="I24" s="27"/>
      <x:c r="J24" s="27"/>
      <x:c r="K24" s="27"/>
      <x:c r="L24" s="27"/>
      <x:c r="M24" s="27"/>
      <x:c r="N24" s="27"/>
      <x:c r="O24" s="27"/>
      <x:c r="P24" s="27"/>
      <x:c r="Q24" s="27"/>
    </x:row>
    <x:row r="25">
      <x:c r="A25" s="27" t="str">
        <x:v>2070</x:v>
      </x:c>
      <x:c r="B25" s="23" t="n">
        <x:f>COUNTIF('Unification Scores'!$A$2:$A$1512,A25)</x:f>
        <x:v>125</x:v>
      </x:c>
      <x:c r="C25" s="23" t="n">
        <x:f>COUNTIFS('Unification Scores'!$A$2:$A$1512,A25,'Unification Scores'!$E$2:$E$1512,"Starting claim")</x:f>
        <x:v>22</x:v>
      </x:c>
      <x:c r="D25" s="23" t="n">
        <x:f>COUNTIFS('Unification Scores'!$A$2:$A$1512,A25,'Unification Scores'!$E$2:$E$1512,"Project unlock")</x:f>
        <x:v>103</x:v>
      </x:c>
      <x:c r="E25" s="23" t="n">
        <x:f>COUNTIFS('Unification Scores'!$A$2:$A$1512,A25,'Unification Scores'!$G$2:$G$1512,"Yes")</x:f>
        <x:v>17</x:v>
      </x:c>
      <x:c r="F25" s="23" t="n">
        <x:f>COUNTIFS('Unification Scores'!$A$2:$A$1512,A25,'Unification Scores'!$AA$2:$AA$1512,"Peaceful")</x:f>
        <x:v>21</x:v>
      </x:c>
      <x:c r="G25" s="24" t="n">
        <x:f>F25/B25</x:f>
        <x:v>0.168</x:v>
      </x:c>
      <x:c r="H25" s="23" t="n">
        <x:f>COUNTIFS('Unification Scores'!$A$2:$A$1512,A25,'Unification Scores'!$AB$2:$AB$1512,"Eligible")</x:f>
        <x:v>70</x:v>
      </x:c>
      <x:c r="I25" s="27"/>
      <x:c r="J25" s="27"/>
      <x:c r="K25" s="27"/>
      <x:c r="L25" s="27"/>
      <x:c r="M25" s="27"/>
      <x:c r="N25" s="27"/>
      <x:c r="O25" s="27"/>
      <x:c r="P25" s="27"/>
      <x:c r="Q25" s="27"/>
    </x:row>
  </x:sheetData>
  <x:mergeCells>
    <x:mergeCell ref="A1:Q1"/>
    <x:mergeCell ref="A2:Q2"/>
    <x:mergeCell ref="A18:Q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3" hidden="0" customWidth="1"/>
    <x:col min="4" max="4" width="23" hidden="0" customWidth="1"/>
    <x:col min="5" max="5" width="16" hidden="0" customWidth="1"/>
    <x:col min="6" max="6" width="28" hidden="0" customWidth="1"/>
    <x:col min="7" max="7" width="11" hidden="0" customWidth="1"/>
    <x:col min="8" max="8" width="31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5" hidden="0" customWidth="1"/>
    <x:col min="20" max="20" width="15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7" hidden="0" customWidth="1"/>
    <x:col min="28" max="28" width="17" hidden="0" customWidth="1"/>
    <x:col min="29" max="29" width="15" hidden="0" customWidth="1"/>
    <x:col min="30" max="30" width="15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</x:cols>
  <x:sheetData>
    <x:row r="1" ht="42" customHeight="1">
      <x:c r="A1" s="29" t="str">
        <x:v>Scenario</x:v>
      </x:c>
      <x:c r="B1" s="29" t="str">
        <x:v>Content</x:v>
      </x:c>
      <x:c r="C1" s="29" t="str">
        <x:v>Unifier</x:v>
      </x:c>
      <x:c r="D1" s="29" t="str">
        <x:v>Annexed neighbor</x:v>
      </x:c>
      <x:c r="E1" s="29" t="str">
        <x:v>Claim availability</x:v>
      </x:c>
      <x:c r="F1" s="29" t="str">
        <x:v>Unlock project</x:v>
      </x:c>
      <x:c r="G1" s="29" t="str">
        <x:v>Historical?</x:v>
      </x:c>
      <x:c r="H1" s="29" t="str">
        <x:v>Historical basis</x:v>
      </x:c>
      <x:c r="I1" s="29" t="str">
        <x:v>Integration threshold</x:v>
      </x:c>
      <x:c r="J1" s="29" t="str">
        <x:v>Source Government</x:v>
      </x:c>
      <x:c r="K1" s="29" t="str">
        <x:v>Target Government</x:v>
      </x:c>
      <x:c r="L1" s="29" t="str">
        <x:v>Government gap</x:v>
      </x:c>
      <x:c r="M1" s="29" t="str">
        <x:v>Source Inequality</x:v>
      </x:c>
      <x:c r="N1" s="29" t="str">
        <x:v>Target Inequality</x:v>
      </x:c>
      <x:c r="O1" s="29" t="str">
        <x:v>Inequality gap</x:v>
      </x:c>
      <x:c r="P1" s="29" t="str">
        <x:v>Source Knowledge</x:v>
      </x:c>
      <x:c r="Q1" s="29" t="str">
        <x:v>Target Knowledge</x:v>
      </x:c>
      <x:c r="R1" s="29" t="str">
        <x:v>Knowledge gap</x:v>
      </x:c>
      <x:c r="S1" s="29" t="str">
        <x:v>Source GDP/c</x:v>
      </x:c>
      <x:c r="T1" s="29" t="str">
        <x:v>Target GDP/c</x:v>
      </x:c>
      <x:c r="U1" s="29" t="str">
        <x:v>GDP/c ratio</x:v>
      </x:c>
      <x:c r="V1" s="29" t="str">
        <x:v>Core f</x:v>
      </x:c>
      <x:c r="W1" s="29" t="str">
        <x:v>Source Cohesion</x:v>
      </x:c>
      <x:c r="X1" s="29" t="str">
        <x:v>Target Unrest</x:v>
      </x:c>
      <x:c r="Y1" s="29" t="str">
        <x:v>Modifier</x:v>
      </x:c>
      <x:c r="Z1" s="29" t="str">
        <x:v>Harmonization score</x:v>
      </x:c>
      <x:c r="AA1" s="29" t="str">
        <x:v>Integration result</x:v>
      </x:c>
      <x:c r="AB1" s="29" t="str">
        <x:v>Federation result</x:v>
      </x:c>
      <x:c r="AC1" s="29" t="str">
        <x:v>Source ID</x:v>
      </x:c>
      <x:c r="AD1" s="29" t="str">
        <x:v>Target ID</x:v>
      </x:c>
      <x:c r="AE1" s="29" t="str">
        <x:v>Capital region</x:v>
      </x:c>
      <x:c r="AF1" s="29" t="str">
        <x:v>Capital basis</x:v>
      </x:c>
      <x:c r="AG1" s="29" t="str">
        <x:v>Claim template</x:v>
      </x:c>
      <x:c r="AH1" s="29" t="str">
        <x:v>Project ID</x:v>
      </x:c>
    </x:row>
    <x:row r="2">
      <x:c r="A2" s="30" t="str">
        <x:v>2003</x:v>
      </x:c>
      <x:c r="B2" s="30" t="str">
        <x:v>Dark Skies</x:v>
      </x:c>
      <x:c r="C2" s="30" t="str">
        <x:v>Albania</x:v>
      </x:c>
      <x:c r="D2" s="30" t="str">
        <x:v>Kosovo</x:v>
      </x:c>
      <x:c r="E2" s="30" t="str">
        <x:v>Starting claim</x:v>
      </x:c>
      <x:c r="F2" s="30" t="str"/>
      <x:c r="G2" s="30" t="str">
        <x:v>No</x:v>
      </x:c>
      <x:c r="H2" s="30" t="str">
        <x:v>Ordinary claim</x:v>
      </x:c>
      <x:c r="I2" s="31" t="n">
        <x:f>IF(G2="Yes",'Controls &amp; Summary'!$B$5,'Controls &amp; Summary'!$B$4)</x:f>
        <x:v>6</x:v>
      </x:c>
      <x:c r="J2" s="31" t="n">
        <x:v>5.53</x:v>
      </x:c>
      <x:c r="K2" s="31" t="n">
        <x:v>5.33</x:v>
      </x:c>
      <x:c r="L2" s="31" t="n">
        <x:f>ABS(J2-K2)</x:f>
        <x:v>0.20000000000000018</x:v>
      </x:c>
      <x:c r="M2" s="31" t="n">
        <x:v>3.67</x:v>
      </x:c>
      <x:c r="N2" s="31" t="n">
        <x:v>3.16</x:v>
      </x:c>
      <x:c r="O2" s="31" t="n">
        <x:f>ABS(M2-N2)</x:f>
        <x:v>0.5099999999999998</x:v>
      </x:c>
      <x:c r="P2" s="31" t="n">
        <x:v>6.3</x:v>
      </x:c>
      <x:c r="Q2" s="31" t="n">
        <x:v>6.81</x:v>
      </x:c>
      <x:c r="R2" s="31" t="n">
        <x:f>ABS(P2-Q2)</x:f>
        <x:v>0.5099999999999998</x:v>
      </x:c>
      <x:c r="S2" s="32" t="n">
        <x:v>3140.5135650437064</x:v>
      </x:c>
      <x:c r="T2" s="32" t="n">
        <x:v>2667.1344428542175</x:v>
      </x:c>
      <x:c r="U2" s="31" t="n">
        <x:f>MAX(S2/T2,T2/S2)</x:f>
        <x:v>1.1774860369179234</x:v>
      </x:c>
      <x:c r="V2" s="31" t="n">
        <x:f>L2*'Controls &amp; Summary'!$B$9+O2*'Controls &amp; Summary'!$B$10+R2*'Controls &amp; Summary'!$B$11+U2*'Controls &amp; Summary'!$B$12</x:f>
        <x:v>2.397486036917923</x:v>
      </x:c>
      <x:c r="W2" s="31" t="n">
        <x:v>4.22</x:v>
      </x:c>
      <x:c r="X2" s="31" t="n">
        <x:v>4.64</x:v>
      </x:c>
      <x:c r="Y2" s="31" t="n">
        <x:f>((10-MIN(10,MAX(0,X2)))/10)*'Controls &amp; Summary'!$B$15+((10-MIN(10,MAX(0,W2)))/10)*'Controls &amp; Summary'!$B$16</x:f>
        <x:v>1.114</x:v>
      </x:c>
      <x:c r="Z2" s="31" t="n">
        <x:f>V2*Y2</x:f>
        <x:v>2.670799445126567</x:v>
      </x:c>
      <x:c r="AA2" s="30" t="str">
        <x:f>IF(Z2&lt;=I2,"Peaceful","Hostile")</x:f>
        <x:v>Peaceful</x:v>
      </x:c>
      <x:c r="AB2" s="30" t="str">
        <x:f>IF(Z2&lt;='Controls &amp; Summary'!$B$6,"Eligible","Blocked")</x:f>
        <x:v>Eligible</x:v>
      </x:c>
      <x:c r="AC2" s="30" t="str">
        <x:v>2003_SBK</x:v>
      </x:c>
      <x:c r="AD2" s="30" t="str">
        <x:v>2003_KOS</x:v>
      </x:c>
      <x:c r="AE2" s="30" t="str">
        <x:v>2003_Kosovo</x:v>
      </x:c>
      <x:c r="AF2" s="30" t="str">
        <x:v>Explicit capitalClaim</x:v>
      </x:c>
      <x:c r="AG2" s="30" t="str">
        <x:v>Claim2003_SBK2003_Kosovo</x:v>
      </x:c>
      <x:c r="AH2" s="30" t="str"/>
    </x:row>
    <x:row r="3">
      <x:c r="A3" s="30" t="str">
        <x:v>2003</x:v>
      </x:c>
      <x:c r="B3" s="30" t="str">
        <x:v>Dark Skies</x:v>
      </x:c>
      <x:c r="C3" s="30" t="str">
        <x:v>Algeria</x:v>
      </x:c>
      <x:c r="D3" s="30" t="str">
        <x:v>Libya</x:v>
      </x:c>
      <x:c r="E3" s="30" t="str">
        <x:v>Project unlock</x:v>
      </x:c>
      <x:c r="F3" s="30" t="str">
        <x:v>Regional African Unions</x:v>
      </x:c>
      <x:c r="G3" s="30" t="str">
        <x:v>No</x:v>
      </x:c>
      <x:c r="H3" s="30" t="str">
        <x:v>Ordinary claim</x:v>
      </x:c>
      <x:c r="I3" s="31" t="n">
        <x:f>IF(G3="Yes",'Controls &amp; Summary'!$B$5,'Controls &amp; Summary'!$B$4)</x:f>
        <x:v>6</x:v>
      </x:c>
      <x:c r="J3" s="31" t="n">
        <x:v>3.15</x:v>
      </x:c>
      <x:c r="K3" s="31" t="n">
        <x:v>1.84</x:v>
      </x:c>
      <x:c r="L3" s="31" t="n">
        <x:f>ABS(J3-K3)</x:f>
        <x:v>1.3099999999999998</x:v>
      </x:c>
      <x:c r="M3" s="31" t="n">
        <x:v>3.55</x:v>
      </x:c>
      <x:c r="N3" s="31" t="n">
        <x:v>3.29</x:v>
      </x:c>
      <x:c r="O3" s="31" t="n">
        <x:f>ABS(M3-N3)</x:f>
        <x:v>0.2599999999999998</x:v>
      </x:c>
      <x:c r="P3" s="31" t="n">
        <x:v>5.99</x:v>
      </x:c>
      <x:c r="Q3" s="31" t="n">
        <x:v>6.67</x:v>
      </x:c>
      <x:c r="R3" s="31" t="n">
        <x:f>ABS(P3-Q3)</x:f>
        <x:v>0.6799999999999997</x:v>
      </x:c>
      <x:c r="S3" s="32" t="n">
        <x:v>5060.481949487656</x:v>
      </x:c>
      <x:c r="T3" s="32" t="n">
        <x:v>10275.080370174883</x:v>
      </x:c>
      <x:c r="U3" s="31" t="n">
        <x:f>MAX(S3/T3,T3/S3)</x:f>
        <x:v>2.030454899896476</x:v>
      </x:c>
      <x:c r="V3" s="31" t="n">
        <x:f>L3*'Controls &amp; Summary'!$B$9+O3*'Controls &amp; Summary'!$B$10+R3*'Controls &amp; Summary'!$B$11+U3*'Controls &amp; Summary'!$B$12</x:f>
        <x:v>4.280454899896475</x:v>
      </x:c>
      <x:c r="W3" s="31" t="n">
        <x:v>0.85</x:v>
      </x:c>
      <x:c r="X3" s="31" t="n">
        <x:v>4.5</x:v>
      </x:c>
      <x:c r="Y3" s="31" t="n">
        <x:f>((10-MIN(10,MAX(0,X3)))/10)*'Controls &amp; Summary'!$B$15+((10-MIN(10,MAX(0,W3)))/10)*'Controls &amp; Summary'!$B$16</x:f>
        <x:v>1.465</x:v>
      </x:c>
      <x:c r="Z3" s="31" t="n">
        <x:f>V3*Y3</x:f>
        <x:v>6.270866428348337</x:v>
      </x:c>
      <x:c r="AA3" s="30" t="str">
        <x:f>IF(Z3&lt;=I3,"Peaceful","Hostile")</x:f>
        <x:v>Hostile</x:v>
      </x:c>
      <x:c r="AB3" s="30" t="str">
        <x:f>IF(Z3&lt;='Controls &amp; Summary'!$B$6,"Eligible","Blocked")</x:f>
        <x:v>Eligible</x:v>
      </x:c>
      <x:c r="AC3" s="30" t="str">
        <x:v>2003_DZA</x:v>
      </x:c>
      <x:c r="AD3" s="30" t="str">
        <x:v>2003_LBY</x:v>
      </x:c>
      <x:c r="AE3" s="30" t="str">
        <x:v>2003_Libya</x:v>
      </x:c>
      <x:c r="AF3" s="30" t="str">
        <x:v>Explicit capitalClaim</x:v>
      </x:c>
      <x:c r="AG3" s="30" t="str">
        <x:v>Claim2003_DZA2003_Libya</x:v>
      </x:c>
      <x:c r="AH3" s="30" t="str">
        <x:v>Project_RegionalAfricanUnions</x:v>
      </x:c>
    </x:row>
    <x:row r="4">
      <x:c r="A4" s="30" t="str">
        <x:v>2003</x:v>
      </x:c>
      <x:c r="B4" s="30" t="str">
        <x:v>Dark Skies</x:v>
      </x:c>
      <x:c r="C4" s="30" t="str">
        <x:v>Algeria</x:v>
      </x:c>
      <x:c r="D4" s="30" t="str">
        <x:v>Mauritania</x:v>
      </x:c>
      <x:c r="E4" s="30" t="str">
        <x:v>Project unlock</x:v>
      </x:c>
      <x:c r="F4" s="30" t="str">
        <x:v>Regional African Unions</x:v>
      </x:c>
      <x:c r="G4" s="30" t="str">
        <x:v>No</x:v>
      </x:c>
      <x:c r="H4" s="30" t="str">
        <x:v>Ordinary claim</x:v>
      </x:c>
      <x:c r="I4" s="31" t="n">
        <x:f>IF(G4="Yes",'Controls &amp; Summary'!$B$5,'Controls &amp; Summary'!$B$4)</x:f>
        <x:v>6</x:v>
      </x:c>
      <x:c r="J4" s="31" t="n">
        <x:v>3.15</x:v>
      </x:c>
      <x:c r="K4" s="31" t="n">
        <x:v>3.27</x:v>
      </x:c>
      <x:c r="L4" s="31" t="n">
        <x:f>ABS(J4-K4)</x:f>
        <x:v>0.1200000000000001</x:v>
      </x:c>
      <x:c r="M4" s="31" t="n">
        <x:v>3.55</x:v>
      </x:c>
      <x:c r="N4" s="31" t="n">
        <x:v>3.99</x:v>
      </x:c>
      <x:c r="O4" s="31" t="n">
        <x:f>ABS(M4-N4)</x:f>
        <x:v>0.4400000000000004</x:v>
      </x:c>
      <x:c r="P4" s="31" t="n">
        <x:v>5.99</x:v>
      </x:c>
      <x:c r="Q4" s="31" t="n">
        <x:v>3.85</x:v>
      </x:c>
      <x:c r="R4" s="31" t="n">
        <x:f>ABS(P4-Q4)</x:f>
        <x:v>2.14</x:v>
      </x:c>
      <x:c r="S4" s="32" t="n">
        <x:v>5060.481949487656</x:v>
      </x:c>
      <x:c r="T4" s="32" t="n">
        <x:v>2001.4614802897597</x:v>
      </x:c>
      <x:c r="U4" s="31" t="n">
        <x:f>MAX(S4/T4,T4/S4)</x:f>
        <x:v>2.5283933762017887</x:v>
      </x:c>
      <x:c r="V4" s="31" t="n">
        <x:f>L4*'Controls &amp; Summary'!$B$9+O4*'Controls &amp; Summary'!$B$10+R4*'Controls &amp; Summary'!$B$11+U4*'Controls &amp; Summary'!$B$12</x:f>
        <x:v>5.228393376201789</x:v>
      </x:c>
      <x:c r="W4" s="31" t="n">
        <x:v>0.85</x:v>
      </x:c>
      <x:c r="X4" s="31" t="n">
        <x:v>2.86</x:v>
      </x:c>
      <x:c r="Y4" s="31" t="n">
        <x:f>((10-MIN(10,MAX(0,X4)))/10)*'Controls &amp; Summary'!$B$15+((10-MIN(10,MAX(0,W4)))/10)*'Controls &amp; Summary'!$B$16</x:f>
        <x:v>1.629</x:v>
      </x:c>
      <x:c r="Z4" s="31" t="n">
        <x:f>V4*Y4</x:f>
        <x:v>8.517052809832714</x:v>
      </x:c>
      <x:c r="AA4" s="30" t="str">
        <x:f>IF(Z4&lt;=I4,"Peaceful","Hostile")</x:f>
        <x:v>Hostile</x:v>
      </x:c>
      <x:c r="AB4" s="30" t="str">
        <x:f>IF(Z4&lt;='Controls &amp; Summary'!$B$6,"Eligible","Blocked")</x:f>
        <x:v>Eligible</x:v>
      </x:c>
      <x:c r="AC4" s="30" t="str">
        <x:v>2003_DZA</x:v>
      </x:c>
      <x:c r="AD4" s="30" t="str">
        <x:v>2003_MRT</x:v>
      </x:c>
      <x:c r="AE4" s="30" t="str">
        <x:v>2003_Mauritania</x:v>
      </x:c>
      <x:c r="AF4" s="30" t="str">
        <x:v>Explicit capitalClaim</x:v>
      </x:c>
      <x:c r="AG4" s="30" t="str">
        <x:v>Claim2003_DZA2003_Mauritania</x:v>
      </x:c>
      <x:c r="AH4" s="30" t="str">
        <x:v>Project_RegionalAfricanUnions</x:v>
      </x:c>
    </x:row>
    <x:row r="5">
      <x:c r="A5" s="30" t="str">
        <x:v>2003</x:v>
      </x:c>
      <x:c r="B5" s="30" t="str">
        <x:v>Dark Skies</x:v>
      </x:c>
      <x:c r="C5" s="30" t="str">
        <x:v>Algeria</x:v>
      </x:c>
      <x:c r="D5" s="30" t="str">
        <x:v>Morocco</x:v>
      </x:c>
      <x:c r="E5" s="30" t="str">
        <x:v>Project unlock</x:v>
      </x:c>
      <x:c r="F5" s="30" t="str">
        <x:v>Regional African Unions</x:v>
      </x:c>
      <x:c r="G5" s="30" t="str">
        <x:v>No</x:v>
      </x:c>
      <x:c r="H5" s="30" t="str">
        <x:v>Ordinary claim</x:v>
      </x:c>
      <x:c r="I5" s="31" t="n">
        <x:f>IF(G5="Yes",'Controls &amp; Summary'!$B$5,'Controls &amp; Summary'!$B$4)</x:f>
        <x:v>6</x:v>
      </x:c>
      <x:c r="J5" s="31" t="n">
        <x:v>3.15</x:v>
      </x:c>
      <x:c r="K5" s="31" t="n">
        <x:v>3.86</x:v>
      </x:c>
      <x:c r="L5" s="31" t="n">
        <x:f>ABS(J5-K5)</x:f>
        <x:v>0.71</x:v>
      </x:c>
      <x:c r="M5" s="31" t="n">
        <x:v>3.55</x:v>
      </x:c>
      <x:c r="N5" s="31" t="n">
        <x:v>4.08</x:v>
      </x:c>
      <x:c r="O5" s="31" t="n">
        <x:f>ABS(M5-N5)</x:f>
        <x:v>0.5300000000000002</x:v>
      </x:c>
      <x:c r="P5" s="31" t="n">
        <x:v>5.99</x:v>
      </x:c>
      <x:c r="Q5" s="31" t="n">
        <x:v>4.7</x:v>
      </x:c>
      <x:c r="R5" s="31" t="n">
        <x:f>ABS(P5-Q5)</x:f>
        <x:v>1.29</x:v>
      </x:c>
      <x:c r="S5" s="32" t="n">
        <x:v>5060.481949487656</x:v>
      </x:c>
      <x:c r="T5" s="32" t="n">
        <x:v>2531.308899658674</x:v>
      </x:c>
      <x:c r="U5" s="31" t="n">
        <x:f>MAX(S5/T5,T5/S5)</x:f>
        <x:v>1.9991562271084418</x:v>
      </x:c>
      <x:c r="V5" s="31" t="n">
        <x:f>L5*'Controls &amp; Summary'!$B$9+O5*'Controls &amp; Summary'!$B$10+R5*'Controls &amp; Summary'!$B$11+U5*'Controls &amp; Summary'!$B$12</x:f>
        <x:v>4.529156227108442</x:v>
      </x:c>
      <x:c r="W5" s="31" t="n">
        <x:v>0.85</x:v>
      </x:c>
      <x:c r="X5" s="31" t="n">
        <x:v>2.55</x:v>
      </x:c>
      <x:c r="Y5" s="31" t="n">
        <x:f>((10-MIN(10,MAX(0,X5)))/10)*'Controls &amp; Summary'!$B$15+((10-MIN(10,MAX(0,W5)))/10)*'Controls &amp; Summary'!$B$16</x:f>
        <x:v>1.6600000000000001</x:v>
      </x:c>
      <x:c r="Z5" s="31" t="n">
        <x:f>V5*Y5</x:f>
        <x:v>7.518399337000014</x:v>
      </x:c>
      <x:c r="AA5" s="30" t="str">
        <x:f>IF(Z5&lt;=I5,"Peaceful","Hostile")</x:f>
        <x:v>Hostile</x:v>
      </x:c>
      <x:c r="AB5" s="30" t="str">
        <x:f>IF(Z5&lt;='Controls &amp; Summary'!$B$6,"Eligible","Blocked")</x:f>
        <x:v>Eligible</x:v>
      </x:c>
      <x:c r="AC5" s="30" t="str">
        <x:v>2003_DZA</x:v>
      </x:c>
      <x:c r="AD5" s="30" t="str">
        <x:v>2003_MAR</x:v>
      </x:c>
      <x:c r="AE5" s="30" t="str">
        <x:v>2003_Rabat</x:v>
      </x:c>
      <x:c r="AF5" s="30" t="str">
        <x:v>Explicit capitalClaim</x:v>
      </x:c>
      <x:c r="AG5" s="30" t="str">
        <x:v>Claim2003_DZA2003_Rabat</x:v>
      </x:c>
      <x:c r="AH5" s="30" t="str">
        <x:v>Project_RegionalAfricanUnions</x:v>
      </x:c>
    </x:row>
    <x:row r="6">
      <x:c r="A6" s="30" t="str">
        <x:v>2003</x:v>
      </x:c>
      <x:c r="B6" s="30" t="str">
        <x:v>Dark Skies</x:v>
      </x:c>
      <x:c r="C6" s="30" t="str">
        <x:v>Algeria</x:v>
      </x:c>
      <x:c r="D6" s="30" t="str">
        <x:v>Tunisia</x:v>
      </x:c>
      <x:c r="E6" s="30" t="str">
        <x:v>Project unlock</x:v>
      </x:c>
      <x:c r="F6" s="30" t="str">
        <x:v>Regional African Unions</x:v>
      </x:c>
      <x:c r="G6" s="30" t="str">
        <x:v>No</x:v>
      </x:c>
      <x:c r="H6" s="30" t="str">
        <x:v>Ordinary claim</x:v>
      </x:c>
      <x:c r="I6" s="31" t="n">
        <x:f>IF(G6="Yes",'Controls &amp; Summary'!$B$5,'Controls &amp; Summary'!$B$4)</x:f>
        <x:v>6</x:v>
      </x:c>
      <x:c r="J6" s="31" t="n">
        <x:v>3.15</x:v>
      </x:c>
      <x:c r="K6" s="31" t="n">
        <x:v>3.05</x:v>
      </x:c>
      <x:c r="L6" s="31" t="n">
        <x:f>ABS(J6-K6)</x:f>
        <x:v>0.10000000000000009</x:v>
      </x:c>
      <x:c r="M6" s="31" t="n">
        <x:v>3.55</x:v>
      </x:c>
      <x:c r="N6" s="31" t="n">
        <x:v>4.04</x:v>
      </x:c>
      <x:c r="O6" s="31" t="n">
        <x:f>ABS(M6-N6)</x:f>
        <x:v>0.4900000000000002</x:v>
      </x:c>
      <x:c r="P6" s="31" t="n">
        <x:v>5.99</x:v>
      </x:c>
      <x:c r="Q6" s="31" t="n">
        <x:v>5.95</x:v>
      </x:c>
      <x:c r="R6" s="31" t="n">
        <x:f>ABS(P6-Q6)</x:f>
        <x:v>0.040000000000000036</x:v>
      </x:c>
      <x:c r="S6" s="32" t="n">
        <x:v>5060.481949487656</x:v>
      </x:c>
      <x:c r="T6" s="32" t="n">
        <x:v>3806.7083946276034</x:v>
      </x:c>
      <x:c r="U6" s="31" t="n">
        <x:f>MAX(S6/T6,T6/S6)</x:f>
        <x:v>1.3293589697150165</x:v>
      </x:c>
      <x:c r="V6" s="31" t="n">
        <x:f>L6*'Controls &amp; Summary'!$B$9+O6*'Controls &amp; Summary'!$B$10+R6*'Controls &amp; Summary'!$B$11+U6*'Controls &amp; Summary'!$B$12</x:f>
        <x:v>1.9593589697150169</x:v>
      </x:c>
      <x:c r="W6" s="31" t="n">
        <x:v>0.85</x:v>
      </x:c>
      <x:c r="X6" s="31" t="n">
        <x:v>3.11</x:v>
      </x:c>
      <x:c r="Y6" s="31" t="n">
        <x:f>((10-MIN(10,MAX(0,X6)))/10)*'Controls &amp; Summary'!$B$15+((10-MIN(10,MAX(0,W6)))/10)*'Controls &amp; Summary'!$B$16</x:f>
        <x:v>1.604</x:v>
      </x:c>
      <x:c r="Z6" s="31" t="n">
        <x:f>V6*Y6</x:f>
        <x:v>3.1428117874228874</x:v>
      </x:c>
      <x:c r="AA6" s="30" t="str">
        <x:f>IF(Z6&lt;=I6,"Peaceful","Hostile")</x:f>
        <x:v>Peaceful</x:v>
      </x:c>
      <x:c r="AB6" s="30" t="str">
        <x:f>IF(Z6&lt;='Controls &amp; Summary'!$B$6,"Eligible","Blocked")</x:f>
        <x:v>Eligible</x:v>
      </x:c>
      <x:c r="AC6" s="30" t="str">
        <x:v>2003_DZA</x:v>
      </x:c>
      <x:c r="AD6" s="30" t="str">
        <x:v>2003_TUN</x:v>
      </x:c>
      <x:c r="AE6" s="30" t="str">
        <x:v>2003_Tunisia</x:v>
      </x:c>
      <x:c r="AF6" s="30" t="str">
        <x:v>Explicit capitalClaim</x:v>
      </x:c>
      <x:c r="AG6" s="30" t="str">
        <x:v>Claim2003_DZA2003_Tunisia</x:v>
      </x:c>
      <x:c r="AH6" s="30" t="str">
        <x:v>Project_RegionalAfricanUnions</x:v>
      </x:c>
    </x:row>
    <x:row r="7">
      <x:c r="A7" s="30" t="str">
        <x:v>2003</x:v>
      </x:c>
      <x:c r="B7" s="30" t="str">
        <x:v>Dark Skies</x:v>
      </x:c>
      <x:c r="C7" s="30" t="str">
        <x:v>Angola</x:v>
      </x:c>
      <x:c r="D7" s="30" t="str">
        <x:v>Cameroon</x:v>
      </x:c>
      <x:c r="E7" s="30" t="str">
        <x:v>Project unlock</x:v>
      </x:c>
      <x:c r="F7" s="30" t="str">
        <x:v>Regional African Unions</x:v>
      </x:c>
      <x:c r="G7" s="30" t="str">
        <x:v>No</x:v>
      </x:c>
      <x:c r="H7" s="30" t="str">
        <x:v>Ordinary claim</x:v>
      </x:c>
      <x:c r="I7" s="31" t="n">
        <x:f>IF(G7="Yes",'Controls &amp; Summary'!$B$5,'Controls &amp; Summary'!$B$4)</x:f>
        <x:v>6</x:v>
      </x:c>
      <x:c r="J7" s="31" t="n">
        <x:v>2.39</x:v>
      </x:c>
      <x:c r="K7" s="31" t="n">
        <x:v>3.3</x:v>
      </x:c>
      <x:c r="L7" s="31" t="n">
        <x:f>ABS(J7-K7)</x:f>
        <x:v>0.9099999999999997</x:v>
      </x:c>
      <x:c r="M7" s="31" t="n">
        <x:v>4.96</x:v>
      </x:c>
      <x:c r="N7" s="31" t="n">
        <x:v>4.4</x:v>
      </x:c>
      <x:c r="O7" s="31" t="n">
        <x:f>ABS(M7-N7)</x:f>
        <x:v>0.5599999999999996</x:v>
      </x:c>
      <x:c r="P7" s="31" t="n">
        <x:v>3.33</x:v>
      </x:c>
      <x:c r="Q7" s="31" t="n">
        <x:v>3.66</x:v>
      </x:c>
      <x:c r="R7" s="31" t="n">
        <x:f>ABS(P7-Q7)</x:f>
        <x:v>0.33000000000000007</x:v>
      </x:c>
      <x:c r="S7" s="32" t="n">
        <x:v>2603.332593166899</x:v>
      </x:c>
      <x:c r="T7" s="32" t="n">
        <x:v>1461.8851709803137</x:v>
      </x:c>
      <x:c r="U7" s="31" t="n">
        <x:f>MAX(S7/T7,T7/S7)</x:f>
        <x:v>1.7808051171496264</x:v>
      </x:c>
      <x:c r="V7" s="31" t="n">
        <x:f>L7*'Controls &amp; Summary'!$B$9+O7*'Controls &amp; Summary'!$B$10+R7*'Controls &amp; Summary'!$B$11+U7*'Controls &amp; Summary'!$B$12</x:f>
        <x:v>3.580805117149626</x:v>
      </x:c>
      <x:c r="W7" s="31" t="n">
        <x:v>0.98</x:v>
      </x:c>
      <x:c r="X7" s="31" t="n">
        <x:v>4.35</x:v>
      </x:c>
      <x:c r="Y7" s="31" t="n">
        <x:f>((10-MIN(10,MAX(0,X7)))/10)*'Controls &amp; Summary'!$B$15+((10-MIN(10,MAX(0,W7)))/10)*'Controls &amp; Summary'!$B$16</x:f>
        <x:v>1.467</x:v>
      </x:c>
      <x:c r="Z7" s="31" t="n">
        <x:f>V7*Y7</x:f>
        <x:v>5.253041106858501</x:v>
      </x:c>
      <x:c r="AA7" s="30" t="str">
        <x:f>IF(Z7&lt;=I7,"Peaceful","Hostile")</x:f>
        <x:v>Peaceful</x:v>
      </x:c>
      <x:c r="AB7" s="30" t="str">
        <x:f>IF(Z7&lt;='Controls &amp; Summary'!$B$6,"Eligible","Blocked")</x:f>
        <x:v>Eligible</x:v>
      </x:c>
      <x:c r="AC7" s="30" t="str">
        <x:v>2003_AGO</x:v>
      </x:c>
      <x:c r="AD7" s="30" t="str">
        <x:v>2003_CMR</x:v>
      </x:c>
      <x:c r="AE7" s="30" t="str">
        <x:v>2003_Cameroon</x:v>
      </x:c>
      <x:c r="AF7" s="30" t="str">
        <x:v>Explicit capitalClaim</x:v>
      </x:c>
      <x:c r="AG7" s="30" t="str">
        <x:v>Claim2003_AGO2003_Cameroon</x:v>
      </x:c>
      <x:c r="AH7" s="30" t="str">
        <x:v>Project_RegionalAfricanUnions</x:v>
      </x:c>
    </x:row>
    <x:row r="8">
      <x:c r="A8" s="30" t="str">
        <x:v>2003</x:v>
      </x:c>
      <x:c r="B8" s="30" t="str">
        <x:v>Dark Skies</x:v>
      </x:c>
      <x:c r="C8" s="30" t="str">
        <x:v>Angola</x:v>
      </x:c>
      <x:c r="D8" s="30" t="str">
        <x:v>Congo</x:v>
      </x:c>
      <x:c r="E8" s="30" t="str">
        <x:v>Project unlock</x:v>
      </x:c>
      <x:c r="F8" s="30" t="str">
        <x:v>Regional African Unions</x:v>
      </x:c>
      <x:c r="G8" s="30" t="str">
        <x:v>No</x:v>
      </x:c>
      <x:c r="H8" s="30" t="str">
        <x:v>Ordinary claim</x:v>
      </x:c>
      <x:c r="I8" s="31" t="n">
        <x:f>IF(G8="Yes",'Controls &amp; Summary'!$B$5,'Controls &amp; Summary'!$B$4)</x:f>
        <x:v>6</x:v>
      </x:c>
      <x:c r="J8" s="31" t="n">
        <x:v>2.39</x:v>
      </x:c>
      <x:c r="K8" s="31" t="n">
        <x:v>3.12</x:v>
      </x:c>
      <x:c r="L8" s="31" t="n">
        <x:f>ABS(J8-K8)</x:f>
        <x:v>0.73</x:v>
      </x:c>
      <x:c r="M8" s="31" t="n">
        <x:v>4.96</x:v>
      </x:c>
      <x:c r="N8" s="31" t="n">
        <x:v>4.35</x:v>
      </x:c>
      <x:c r="O8" s="31" t="n">
        <x:f>ABS(M8-N8)</x:f>
        <x:v>0.6100000000000003</x:v>
      </x:c>
      <x:c r="P8" s="31" t="n">
        <x:v>3.33</x:v>
      </x:c>
      <x:c r="Q8" s="31" t="n">
        <x:v>4.63</x:v>
      </x:c>
      <x:c r="R8" s="31" t="n">
        <x:f>ABS(P8-Q8)</x:f>
        <x:v>1.2999999999999998</x:v>
      </x:c>
      <x:c r="S8" s="32" t="n">
        <x:v>2603.332593166899</x:v>
      </x:c>
      <x:c r="T8" s="32" t="n">
        <x:v>308.88222613717977</x:v>
      </x:c>
      <x:c r="U8" s="31" t="n">
        <x:f>MAX(S8/T8,T8/S8)</x:f>
        <x:v>8.428236955307087</x:v>
      </x:c>
      <x:c r="V8" s="31" t="n">
        <x:f>L8*'Controls &amp; Summary'!$B$9+O8*'Controls &amp; Summary'!$B$10+R8*'Controls &amp; Summary'!$B$11+U8*'Controls &amp; Summary'!$B$12</x:f>
        <x:v>11.068236955307087</x:v>
      </x:c>
      <x:c r="W8" s="31" t="n">
        <x:v>0.98</x:v>
      </x:c>
      <x:c r="X8" s="31" t="n">
        <x:v>7.34</x:v>
      </x:c>
      <x:c r="Y8" s="31" t="n">
        <x:f>((10-MIN(10,MAX(0,X8)))/10)*'Controls &amp; Summary'!$B$15+((10-MIN(10,MAX(0,W8)))/10)*'Controls &amp; Summary'!$B$16</x:f>
        <x:v>1.168</x:v>
      </x:c>
      <x:c r="Z8" s="31" t="n">
        <x:f>V8*Y8</x:f>
        <x:v>12.927700763798677</x:v>
      </x:c>
      <x:c r="AA8" s="30" t="str">
        <x:f>IF(Z8&lt;=I8,"Peaceful","Hostile")</x:f>
        <x:v>Hostile</x:v>
      </x:c>
      <x:c r="AB8" s="30" t="str">
        <x:f>IF(Z8&lt;='Controls &amp; Summary'!$B$6,"Eligible","Blocked")</x:f>
        <x:v>Blocked</x:v>
      </x:c>
      <x:c r="AC8" s="30" t="str">
        <x:v>2003_AGO</x:v>
      </x:c>
      <x:c r="AD8" s="30" t="str">
        <x:v>2003_COD</x:v>
      </x:c>
      <x:c r="AE8" s="30" t="str">
        <x:v>2003_Kinshasa</x:v>
      </x:c>
      <x:c r="AF8" s="30" t="str">
        <x:v>Explicit capitalClaim</x:v>
      </x:c>
      <x:c r="AG8" s="30" t="str">
        <x:v>Claim2003_AGO2003_Kinshasa</x:v>
      </x:c>
      <x:c r="AH8" s="30" t="str">
        <x:v>Project_RegionalAfricanUnions</x:v>
      </x:c>
    </x:row>
    <x:row r="9">
      <x:c r="A9" s="30" t="str">
        <x:v>2003</x:v>
      </x:c>
      <x:c r="B9" s="30" t="str">
        <x:v>Dark Skies</x:v>
      </x:c>
      <x:c r="C9" s="30" t="str">
        <x:v>Angola</x:v>
      </x:c>
      <x:c r="D9" s="30" t="str">
        <x:v>Equatorial Guinea</x:v>
      </x:c>
      <x:c r="E9" s="30" t="str">
        <x:v>Project unlock</x:v>
      </x:c>
      <x:c r="F9" s="30" t="str">
        <x:v>Regional African Unions</x:v>
      </x:c>
      <x:c r="G9" s="30" t="str">
        <x:v>No</x:v>
      </x:c>
      <x:c r="H9" s="30" t="str">
        <x:v>Ordinary claim</x:v>
      </x:c>
      <x:c r="I9" s="31" t="n">
        <x:f>IF(G9="Yes",'Controls &amp; Summary'!$B$5,'Controls &amp; Summary'!$B$4)</x:f>
        <x:v>6</x:v>
      </x:c>
      <x:c r="J9" s="31" t="n">
        <x:v>2.39</x:v>
      </x:c>
      <x:c r="K9" s="31" t="n">
        <x:v>2.09</x:v>
      </x:c>
      <x:c r="L9" s="31" t="n">
        <x:f>ABS(J9-K9)</x:f>
        <x:v>0.30000000000000027</x:v>
      </x:c>
      <x:c r="M9" s="31" t="n">
        <x:v>4.96</x:v>
      </x:c>
      <x:c r="N9" s="31" t="n">
        <x:v>4.42</x:v>
      </x:c>
      <x:c r="O9" s="31" t="n">
        <x:f>ABS(M9-N9)</x:f>
        <x:v>0.54</x:v>
      </x:c>
      <x:c r="P9" s="31" t="n">
        <x:v>3.33</x:v>
      </x:c>
      <x:c r="Q9" s="31" t="n">
        <x:v>4.5</x:v>
      </x:c>
      <x:c r="R9" s="31" t="n">
        <x:f>ABS(P9-Q9)</x:f>
        <x:v>1.17</x:v>
      </x:c>
      <x:c r="S9" s="32" t="n">
        <x:v>2603.332593166899</x:v>
      </x:c>
      <x:c r="T9" s="32" t="n">
        <x:v>9353.419963390268</x:v>
      </x:c>
      <x:c r="U9" s="31" t="n">
        <x:f>MAX(S9/T9,T9/S9)</x:f>
        <x:v>3.592864003600873</x:v>
      </x:c>
      <x:c r="V9" s="31" t="n">
        <x:f>L9*'Controls &amp; Summary'!$B$9+O9*'Controls &amp; Summary'!$B$10+R9*'Controls &amp; Summary'!$B$11+U9*'Controls &amp; Summary'!$B$12</x:f>
        <x:v>5.602864003600873</x:v>
      </x:c>
      <x:c r="W9" s="31" t="n">
        <x:v>0.98</x:v>
      </x:c>
      <x:c r="X9" s="31" t="n">
        <x:v>6.32</x:v>
      </x:c>
      <x:c r="Y9" s="31" t="n">
        <x:f>((10-MIN(10,MAX(0,X9)))/10)*'Controls &amp; Summary'!$B$15+((10-MIN(10,MAX(0,W9)))/10)*'Controls &amp; Summary'!$B$16</x:f>
        <x:v>1.27</x:v>
      </x:c>
      <x:c r="Z9" s="31" t="n">
        <x:f>V9*Y9</x:f>
        <x:v>7.115637284573109</x:v>
      </x:c>
      <x:c r="AA9" s="30" t="str">
        <x:f>IF(Z9&lt;=I9,"Peaceful","Hostile")</x:f>
        <x:v>Hostile</x:v>
      </x:c>
      <x:c r="AB9" s="30" t="str">
        <x:f>IF(Z9&lt;='Controls &amp; Summary'!$B$6,"Eligible","Blocked")</x:f>
        <x:v>Eligible</x:v>
      </x:c>
      <x:c r="AC9" s="30" t="str">
        <x:v>2003_AGO</x:v>
      </x:c>
      <x:c r="AD9" s="30" t="str">
        <x:v>2003_EQG</x:v>
      </x:c>
      <x:c r="AE9" s="30" t="str">
        <x:v>2003_EquatorialGuinea</x:v>
      </x:c>
      <x:c r="AF9" s="30" t="str">
        <x:v>Explicit capitalClaim</x:v>
      </x:c>
      <x:c r="AG9" s="30" t="str">
        <x:v>Claim2003_AGO2003_EquatorialGuinea</x:v>
      </x:c>
      <x:c r="AH9" s="30" t="str">
        <x:v>Project_RegionalAfricanUnions</x:v>
      </x:c>
    </x:row>
    <x:row r="10">
      <x:c r="A10" s="30" t="str">
        <x:v>2003</x:v>
      </x:c>
      <x:c r="B10" s="30" t="str">
        <x:v>Dark Skies</x:v>
      </x:c>
      <x:c r="C10" s="30" t="str">
        <x:v>Angola</x:v>
      </x:c>
      <x:c r="D10" s="30" t="str">
        <x:v>Eswatini</x:v>
      </x:c>
      <x:c r="E10" s="30" t="str">
        <x:v>Project unlock</x:v>
      </x:c>
      <x:c r="F10" s="30" t="str">
        <x:v>Regional African Unions</x:v>
      </x:c>
      <x:c r="G10" s="30" t="str">
        <x:v>No</x:v>
      </x:c>
      <x:c r="H10" s="30" t="str">
        <x:v>Ordinary claim</x:v>
      </x:c>
      <x:c r="I10" s="31" t="n">
        <x:f>IF(G10="Yes",'Controls &amp; Summary'!$B$5,'Controls &amp; Summary'!$B$4)</x:f>
        <x:v>6</x:v>
      </x:c>
      <x:c r="J10" s="31" t="n">
        <x:v>2.39</x:v>
      </x:c>
      <x:c r="K10" s="31" t="n">
        <x:v>2.92</x:v>
      </x:c>
      <x:c r="L10" s="31" t="n">
        <x:f>ABS(J10-K10)</x:f>
        <x:v>0.5299999999999998</x:v>
      </x:c>
      <x:c r="M10" s="31" t="n">
        <x:v>4.96</x:v>
      </x:c>
      <x:c r="N10" s="31" t="n">
        <x:v>5.85</x:v>
      </x:c>
      <x:c r="O10" s="31" t="n">
        <x:f>ABS(M10-N10)</x:f>
        <x:v>0.8899999999999997</x:v>
      </x:c>
      <x:c r="P10" s="31" t="n">
        <x:v>3.33</x:v>
      </x:c>
      <x:c r="Q10" s="31" t="n">
        <x:v>3.7</x:v>
      </x:c>
      <x:c r="R10" s="31" t="n">
        <x:f>ABS(P10-Q10)</x:f>
        <x:v>0.3700000000000001</x:v>
      </x:c>
      <x:c r="S10" s="32" t="n">
        <x:v>2603.332593166899</x:v>
      </x:c>
      <x:c r="T10" s="32" t="n">
        <x:v>2691.2536176994467</x:v>
      </x:c>
      <x:c r="U10" s="31" t="n">
        <x:f>MAX(S10/T10,T10/S10)</x:f>
        <x:v>1.0337724902163168</x:v>
      </x:c>
      <x:c r="V10" s="31" t="n">
        <x:f>L10*'Controls &amp; Summary'!$B$9+O10*'Controls &amp; Summary'!$B$10+R10*'Controls &amp; Summary'!$B$11+U10*'Controls &amp; Summary'!$B$12</x:f>
        <x:v>2.8237724902163164</x:v>
      </x:c>
      <x:c r="W10" s="31" t="n">
        <x:v>0.98</x:v>
      </x:c>
      <x:c r="X10" s="31" t="n">
        <x:v>1.99</x:v>
      </x:c>
      <x:c r="Y10" s="31" t="n">
        <x:f>((10-MIN(10,MAX(0,X10)))/10)*'Controls &amp; Summary'!$B$15+((10-MIN(10,MAX(0,W10)))/10)*'Controls &amp; Summary'!$B$16</x:f>
        <x:v>1.7029999999999998</x:v>
      </x:c>
      <x:c r="Z10" s="31" t="n">
        <x:f>V10*Y10</x:f>
        <x:v>4.808884550838386</x:v>
      </x:c>
      <x:c r="AA10" s="30" t="str">
        <x:f>IF(Z10&lt;=I10,"Peaceful","Hostile")</x:f>
        <x:v>Peaceful</x:v>
      </x:c>
      <x:c r="AB10" s="30" t="str">
        <x:f>IF(Z10&lt;='Controls &amp; Summary'!$B$6,"Eligible","Blocked")</x:f>
        <x:v>Eligible</x:v>
      </x:c>
      <x:c r="AC10" s="30" t="str">
        <x:v>2003_AGO</x:v>
      </x:c>
      <x:c r="AD10" s="30" t="str">
        <x:v>2003_ESW</x:v>
      </x:c>
      <x:c r="AE10" s="30" t="str">
        <x:v>2003_Eswatini</x:v>
      </x:c>
      <x:c r="AF10" s="30" t="str">
        <x:v>Explicit capitalClaim</x:v>
      </x:c>
      <x:c r="AG10" s="30" t="str">
        <x:v>Claim2003_AGO2003_Eswatini</x:v>
      </x:c>
      <x:c r="AH10" s="30" t="str">
        <x:v>Project_RegionalAfricanUnions</x:v>
      </x:c>
    </x:row>
    <x:row r="11">
      <x:c r="A11" s="30" t="str">
        <x:v>2003</x:v>
      </x:c>
      <x:c r="B11" s="30" t="str">
        <x:v>Dark Skies</x:v>
      </x:c>
      <x:c r="C11" s="30" t="str">
        <x:v>Angola</x:v>
      </x:c>
      <x:c r="D11" s="30" t="str">
        <x:v>Gabon</x:v>
      </x:c>
      <x:c r="E11" s="30" t="str">
        <x:v>Project unlock</x:v>
      </x:c>
      <x:c r="F11" s="30" t="str">
        <x:v>Regional African Unions</x:v>
      </x:c>
      <x:c r="G11" s="30" t="str">
        <x:v>No</x:v>
      </x:c>
      <x:c r="H11" s="30" t="str">
        <x:v>Ordinary claim</x:v>
      </x:c>
      <x:c r="I11" s="31" t="n">
        <x:f>IF(G11="Yes",'Controls &amp; Summary'!$B$5,'Controls &amp; Summary'!$B$4)</x:f>
        <x:v>6</x:v>
      </x:c>
      <x:c r="J11" s="31" t="n">
        <x:v>2.39</x:v>
      </x:c>
      <x:c r="K11" s="31" t="n">
        <x:v>2.7</x:v>
      </x:c>
      <x:c r="L11" s="31" t="n">
        <x:f>ABS(J11-K11)</x:f>
        <x:v>0.31000000000000005</x:v>
      </x:c>
      <x:c r="M11" s="31" t="n">
        <x:v>4.96</x:v>
      </x:c>
      <x:c r="N11" s="31" t="n">
        <x:v>4.01</x:v>
      </x:c>
      <x:c r="O11" s="31" t="n">
        <x:f>ABS(M11-N11)</x:f>
        <x:v>0.9500000000000002</x:v>
      </x:c>
      <x:c r="P11" s="31" t="n">
        <x:v>3.33</x:v>
      </x:c>
      <x:c r="Q11" s="31" t="n">
        <x:v>5.85</x:v>
      </x:c>
      <x:c r="R11" s="31" t="n">
        <x:f>ABS(P11-Q11)</x:f>
        <x:v>2.5199999999999996</x:v>
      </x:c>
      <x:c r="S11" s="32" t="n">
        <x:v>2603.332593166899</x:v>
      </x:c>
      <x:c r="T11" s="32" t="n">
        <x:v>7105.875514884075</x:v>
      </x:c>
      <x:c r="U11" s="31" t="n">
        <x:f>MAX(S11/T11,T11/S11)</x:f>
        <x:v>2.7295304232487356</x:v>
      </x:c>
      <x:c r="V11" s="31" t="n">
        <x:f>L11*'Controls &amp; Summary'!$B$9+O11*'Controls &amp; Summary'!$B$10+R11*'Controls &amp; Summary'!$B$11+U11*'Controls &amp; Summary'!$B$12</x:f>
        <x:v>6.509530423248735</x:v>
      </x:c>
      <x:c r="W11" s="31" t="n">
        <x:v>0.98</x:v>
      </x:c>
      <x:c r="X11" s="31" t="n">
        <x:v>3.66</x:v>
      </x:c>
      <x:c r="Y11" s="31" t="n">
        <x:f>((10-MIN(10,MAX(0,X11)))/10)*'Controls &amp; Summary'!$B$15+((10-MIN(10,MAX(0,W11)))/10)*'Controls &amp; Summary'!$B$16</x:f>
        <x:v>1.536</x:v>
      </x:c>
      <x:c r="Z11" s="31" t="n">
        <x:f>V11*Y11</x:f>
        <x:v>9.998638730110057</x:v>
      </x:c>
      <x:c r="AA11" s="30" t="str">
        <x:f>IF(Z11&lt;=I11,"Peaceful","Hostile")</x:f>
        <x:v>Hostile</x:v>
      </x:c>
      <x:c r="AB11" s="30" t="str">
        <x:f>IF(Z11&lt;='Controls &amp; Summary'!$B$6,"Eligible","Blocked")</x:f>
        <x:v>Eligible</x:v>
      </x:c>
      <x:c r="AC11" s="30" t="str">
        <x:v>2003_AGO</x:v>
      </x:c>
      <x:c r="AD11" s="30" t="str">
        <x:v>2003_LWG</x:v>
      </x:c>
      <x:c r="AE11" s="30" t="str">
        <x:v>2003_Libreville</x:v>
      </x:c>
      <x:c r="AF11" s="30" t="str">
        <x:v>Explicit capitalClaim</x:v>
      </x:c>
      <x:c r="AG11" s="30" t="str">
        <x:v>Claim2003_AGO2003_Libreville</x:v>
      </x:c>
      <x:c r="AH11" s="30" t="str">
        <x:v>Project_RegionalAfricanUnions</x:v>
      </x:c>
    </x:row>
    <x:row r="12">
      <x:c r="A12" s="30" t="str">
        <x:v>2003</x:v>
      </x:c>
      <x:c r="B12" s="30" t="str">
        <x:v>Dark Skies</x:v>
      </x:c>
      <x:c r="C12" s="30" t="str">
        <x:v>Angola</x:v>
      </x:c>
      <x:c r="D12" s="30" t="str">
        <x:v>Lesotho</x:v>
      </x:c>
      <x:c r="E12" s="30" t="str">
        <x:v>Project unlock</x:v>
      </x:c>
      <x:c r="F12" s="30" t="str">
        <x:v>Regional African Unions</x:v>
      </x:c>
      <x:c r="G12" s="30" t="str">
        <x:v>No</x:v>
      </x:c>
      <x:c r="H12" s="30" t="str">
        <x:v>Ordinary claim</x:v>
      </x:c>
      <x:c r="I12" s="31" t="n">
        <x:f>IF(G12="Yes",'Controls &amp; Summary'!$B$5,'Controls &amp; Summary'!$B$4)</x:f>
        <x:v>6</x:v>
      </x:c>
      <x:c r="J12" s="31" t="n">
        <x:v>2.39</x:v>
      </x:c>
      <x:c r="K12" s="31" t="n">
        <x:v>6.46</x:v>
      </x:c>
      <x:c r="L12" s="31" t="n">
        <x:f>ABS(J12-K12)</x:f>
        <x:v>4.07</x:v>
      </x:c>
      <x:c r="M12" s="31" t="n">
        <x:v>4.96</x:v>
      </x:c>
      <x:c r="N12" s="31" t="n">
        <x:v>5.15</x:v>
      </x:c>
      <x:c r="O12" s="31" t="n">
        <x:f>ABS(M12-N12)</x:f>
        <x:v>0.1900000000000004</x:v>
      </x:c>
      <x:c r="P12" s="31" t="n">
        <x:v>3.33</x:v>
      </x:c>
      <x:c r="Q12" s="31" t="n">
        <x:v>3.56</x:v>
      </x:c>
      <x:c r="R12" s="31" t="n">
        <x:f>ABS(P12-Q12)</x:f>
        <x:v>0.22999999999999998</x:v>
      </x:c>
      <x:c r="S12" s="32" t="n">
        <x:v>2603.332593166899</x:v>
      </x:c>
      <x:c r="T12" s="32" t="n">
        <x:v>892.9279280867722</x:v>
      </x:c>
      <x:c r="U12" s="31" t="n">
        <x:f>MAX(S12/T12,T12/S12)</x:f>
        <x:v>2.9155013649812895</x:v>
      </x:c>
      <x:c r="V12" s="31" t="n">
        <x:f>L12*'Controls &amp; Summary'!$B$9+O12*'Controls &amp; Summary'!$B$10+R12*'Controls &amp; Summary'!$B$11+U12*'Controls &amp; Summary'!$B$12</x:f>
        <x:v>7.40550136498129</x:v>
      </x:c>
      <x:c r="W12" s="31" t="n">
        <x:v>0.98</x:v>
      </x:c>
      <x:c r="X12" s="31" t="n">
        <x:v>3.87</x:v>
      </x:c>
      <x:c r="Y12" s="31" t="n">
        <x:f>((10-MIN(10,MAX(0,X12)))/10)*'Controls &amp; Summary'!$B$15+((10-MIN(10,MAX(0,W12)))/10)*'Controls &amp; Summary'!$B$16</x:f>
        <x:v>1.515</x:v>
      </x:c>
      <x:c r="Z12" s="31" t="n">
        <x:f>V12*Y12</x:f>
        <x:v>11.219334567946653</x:v>
      </x:c>
      <x:c r="AA12" s="30" t="str">
        <x:f>IF(Z12&lt;=I12,"Peaceful","Hostile")</x:f>
        <x:v>Hostile</x:v>
      </x:c>
      <x:c r="AB12" s="30" t="str">
        <x:f>IF(Z12&lt;='Controls &amp; Summary'!$B$6,"Eligible","Blocked")</x:f>
        <x:v>Eligible</x:v>
      </x:c>
      <x:c r="AC12" s="30" t="str">
        <x:v>2003_AGO</x:v>
      </x:c>
      <x:c r="AD12" s="30" t="str">
        <x:v>2003_LES</x:v>
      </x:c>
      <x:c r="AE12" s="30" t="str">
        <x:v>2003_Lesotho</x:v>
      </x:c>
      <x:c r="AF12" s="30" t="str">
        <x:v>Explicit capitalClaim</x:v>
      </x:c>
      <x:c r="AG12" s="30" t="str">
        <x:v>Claim2003_AGO2003_Lesotho</x:v>
      </x:c>
      <x:c r="AH12" s="30" t="str">
        <x:v>Project_RegionalAfricanUnions</x:v>
      </x:c>
    </x:row>
    <x:row r="13">
      <x:c r="A13" s="30" t="str">
        <x:v>2003</x:v>
      </x:c>
      <x:c r="B13" s="30" t="str">
        <x:v>Dark Skies</x:v>
      </x:c>
      <x:c r="C13" s="30" t="str">
        <x:v>Angola</x:v>
      </x:c>
      <x:c r="D13" s="30" t="str">
        <x:v>Malawi</x:v>
      </x:c>
      <x:c r="E13" s="30" t="str">
        <x:v>Project unlock</x:v>
      </x:c>
      <x:c r="F13" s="30" t="str">
        <x:v>Regional African Unions</x:v>
      </x:c>
      <x:c r="G13" s="30" t="str">
        <x:v>No</x:v>
      </x:c>
      <x:c r="H13" s="30" t="str">
        <x:v>Ordinary claim</x:v>
      </x:c>
      <x:c r="I13" s="31" t="n">
        <x:f>IF(G13="Yes",'Controls &amp; Summary'!$B$5,'Controls &amp; Summary'!$B$4)</x:f>
        <x:v>6</x:v>
      </x:c>
      <x:c r="J13" s="31" t="n">
        <x:v>2.39</x:v>
      </x:c>
      <x:c r="K13" s="31" t="n">
        <x:v>5.1</x:v>
      </x:c>
      <x:c r="L13" s="31" t="n">
        <x:f>ABS(J13-K13)</x:f>
        <x:v>2.7099999999999995</x:v>
      </x:c>
      <x:c r="M13" s="31" t="n">
        <x:v>4.96</x:v>
      </x:c>
      <x:c r="N13" s="31" t="n">
        <x:v>4.62</x:v>
      </x:c>
      <x:c r="O13" s="31" t="n">
        <x:f>ABS(M13-N13)</x:f>
        <x:v>0.33999999999999986</x:v>
      </x:c>
      <x:c r="P13" s="31" t="n">
        <x:v>3.33</x:v>
      </x:c>
      <x:c r="Q13" s="31" t="n">
        <x:v>3.1</x:v>
      </x:c>
      <x:c r="R13" s="31" t="n">
        <x:f>ABS(P13-Q13)</x:f>
        <x:v>0.22999999999999998</x:v>
      </x:c>
      <x:c r="S13" s="32" t="n">
        <x:v>2603.332593166899</x:v>
      </x:c>
      <x:c r="T13" s="32" t="n">
        <x:v>454.52600008833014</x:v>
      </x:c>
      <x:c r="U13" s="31" t="n">
        <x:f>MAX(S13/T13,T13/S13)</x:f>
        <x:v>5.727576844143089</x:v>
      </x:c>
      <x:c r="V13" s="31" t="n">
        <x:f>L13*'Controls &amp; Summary'!$B$9+O13*'Controls &amp; Summary'!$B$10+R13*'Controls &amp; Summary'!$B$11+U13*'Controls &amp; Summary'!$B$12</x:f>
        <x:v>9.007576844143088</x:v>
      </x:c>
      <x:c r="W13" s="31" t="n">
        <x:v>0.98</x:v>
      </x:c>
      <x:c r="X13" s="31" t="n">
        <x:v>2.42</x:v>
      </x:c>
      <x:c r="Y13" s="31" t="n">
        <x:f>((10-MIN(10,MAX(0,X13)))/10)*'Controls &amp; Summary'!$B$15+((10-MIN(10,MAX(0,W13)))/10)*'Controls &amp; Summary'!$B$16</x:f>
        <x:v>1.66</x:v>
      </x:c>
      <x:c r="Z13" s="31" t="n">
        <x:f>V13*Y13</x:f>
        <x:v>14.952577561277526</x:v>
      </x:c>
      <x:c r="AA13" s="30" t="str">
        <x:f>IF(Z13&lt;=I13,"Peaceful","Hostile")</x:f>
        <x:v>Hostile</x:v>
      </x:c>
      <x:c r="AB13" s="30" t="str">
        <x:f>IF(Z13&lt;='Controls &amp; Summary'!$B$6,"Eligible","Blocked")</x:f>
        <x:v>Blocked</x:v>
      </x:c>
      <x:c r="AC13" s="30" t="str">
        <x:v>2003_AGO</x:v>
      </x:c>
      <x:c r="AD13" s="30" t="str">
        <x:v>2003_MAL</x:v>
      </x:c>
      <x:c r="AE13" s="30" t="str">
        <x:v>2003_Malawi</x:v>
      </x:c>
      <x:c r="AF13" s="30" t="str">
        <x:v>Explicit capitalClaim</x:v>
      </x:c>
      <x:c r="AG13" s="30" t="str">
        <x:v>Claim2003_AGO2003_Malawi</x:v>
      </x:c>
      <x:c r="AH13" s="30" t="str">
        <x:v>Project_RegionalAfricanUnions</x:v>
      </x:c>
    </x:row>
    <x:row r="14">
      <x:c r="A14" s="30" t="str">
        <x:v>2003</x:v>
      </x:c>
      <x:c r="B14" s="30" t="str">
        <x:v>Dark Skies</x:v>
      </x:c>
      <x:c r="C14" s="30" t="str">
        <x:v>Angola</x:v>
      </x:c>
      <x:c r="D14" s="30" t="str">
        <x:v>Mozambique</x:v>
      </x:c>
      <x:c r="E14" s="30" t="str">
        <x:v>Project unlock</x:v>
      </x:c>
      <x:c r="F14" s="30" t="str">
        <x:v>Regional African Unions</x:v>
      </x:c>
      <x:c r="G14" s="30" t="str">
        <x:v>No</x:v>
      </x:c>
      <x:c r="H14" s="30" t="str">
        <x:v>Ordinary claim</x:v>
      </x:c>
      <x:c r="I14" s="31" t="n">
        <x:f>IF(G14="Yes",'Controls &amp; Summary'!$B$5,'Controls &amp; Summary'!$B$4)</x:f>
        <x:v>6</x:v>
      </x:c>
      <x:c r="J14" s="31" t="n">
        <x:v>2.39</x:v>
      </x:c>
      <x:c r="K14" s="31" t="n">
        <x:v>5.15</x:v>
      </x:c>
      <x:c r="L14" s="31" t="n">
        <x:f>ABS(J14-K14)</x:f>
        <x:v>2.7600000000000002</x:v>
      </x:c>
      <x:c r="M14" s="31" t="n">
        <x:v>4.96</x:v>
      </x:c>
      <x:c r="N14" s="31" t="n">
        <x:v>4.62</x:v>
      </x:c>
      <x:c r="O14" s="31" t="n">
        <x:f>ABS(M14-N14)</x:f>
        <x:v>0.33999999999999986</x:v>
      </x:c>
      <x:c r="P14" s="31" t="n">
        <x:v>3.33</x:v>
      </x:c>
      <x:c r="Q14" s="31" t="n">
        <x:v>2.39</x:v>
      </x:c>
      <x:c r="R14" s="31" t="n">
        <x:f>ABS(P14-Q14)</x:f>
        <x:v>0.94</x:v>
      </x:c>
      <x:c r="S14" s="32" t="n">
        <x:v>2603.332593166899</x:v>
      </x:c>
      <x:c r="T14" s="32" t="n">
        <x:v>339.4883324588532</x:v>
      </x:c>
      <x:c r="U14" s="31" t="n">
        <x:f>MAX(S14/T14,T14/S14)</x:f>
        <x:v>7.6684007792298114</x:v>
      </x:c>
      <x:c r="V14" s="31" t="n">
        <x:f>L14*'Controls &amp; Summary'!$B$9+O14*'Controls &amp; Summary'!$B$10+R14*'Controls &amp; Summary'!$B$11+U14*'Controls &amp; Summary'!$B$12</x:f>
        <x:v>11.708400779229812</x:v>
      </x:c>
      <x:c r="W14" s="31" t="n">
        <x:v>0.98</x:v>
      </x:c>
      <x:c r="X14" s="31" t="n">
        <x:v>3.33</x:v>
      </x:c>
      <x:c r="Y14" s="31" t="n">
        <x:f>((10-MIN(10,MAX(0,X14)))/10)*'Controls &amp; Summary'!$B$15+((10-MIN(10,MAX(0,W14)))/10)*'Controls &amp; Summary'!$B$16</x:f>
        <x:v>1.569</x:v>
      </x:c>
      <x:c r="Z14" s="31" t="n">
        <x:f>V14*Y14</x:f>
        <x:v>18.370480822611576</x:v>
      </x:c>
      <x:c r="AA14" s="30" t="str">
        <x:f>IF(Z14&lt;=I14,"Peaceful","Hostile")</x:f>
        <x:v>Hostile</x:v>
      </x:c>
      <x:c r="AB14" s="30" t="str">
        <x:f>IF(Z14&lt;='Controls &amp; Summary'!$B$6,"Eligible","Blocked")</x:f>
        <x:v>Blocked</x:v>
      </x:c>
      <x:c r="AC14" s="30" t="str">
        <x:v>2003_AGO</x:v>
      </x:c>
      <x:c r="AD14" s="30" t="str">
        <x:v>2003_MOZ</x:v>
      </x:c>
      <x:c r="AE14" s="30" t="str">
        <x:v>2003_Mozambique</x:v>
      </x:c>
      <x:c r="AF14" s="30" t="str">
        <x:v>Explicit capitalClaim</x:v>
      </x:c>
      <x:c r="AG14" s="30" t="str">
        <x:v>Claim2003_AGO2003_Mozambique</x:v>
      </x:c>
      <x:c r="AH14" s="30" t="str">
        <x:v>Project_RegionalAfricanUnions</x:v>
      </x:c>
    </x:row>
    <x:row r="15">
      <x:c r="A15" s="30" t="str">
        <x:v>2003</x:v>
      </x:c>
      <x:c r="B15" s="30" t="str">
        <x:v>Dark Skies</x:v>
      </x:c>
      <x:c r="C15" s="30" t="str">
        <x:v>Angola</x:v>
      </x:c>
      <x:c r="D15" s="30" t="str">
        <x:v>Republic of the Congo</x:v>
      </x:c>
      <x:c r="E15" s="30" t="str">
        <x:v>Project unlock</x:v>
      </x:c>
      <x:c r="F15" s="30" t="str">
        <x:v>Regional African Unions</x:v>
      </x:c>
      <x:c r="G15" s="30" t="str">
        <x:v>No</x:v>
      </x:c>
      <x:c r="H15" s="30" t="str">
        <x:v>Ordinary claim</x:v>
      </x:c>
      <x:c r="I15" s="31" t="n">
        <x:f>IF(G15="Yes",'Controls &amp; Summary'!$B$5,'Controls &amp; Summary'!$B$4)</x:f>
        <x:v>6</x:v>
      </x:c>
      <x:c r="J15" s="31" t="n">
        <x:v>2.39</x:v>
      </x:c>
      <x:c r="K15" s="31" t="n">
        <x:v>3.22</x:v>
      </x:c>
      <x:c r="L15" s="31" t="n">
        <x:f>ABS(J15-K15)</x:f>
        <x:v>0.8300000000000001</x:v>
      </x:c>
      <x:c r="M15" s="31" t="n">
        <x:v>4.96</x:v>
      </x:c>
      <x:c r="N15" s="31" t="n">
        <x:v>4.69</x:v>
      </x:c>
      <x:c r="O15" s="31" t="n">
        <x:f>ABS(M15-N15)</x:f>
        <x:v>0.2699999999999996</x:v>
      </x:c>
      <x:c r="P15" s="31" t="n">
        <x:v>3.33</x:v>
      </x:c>
      <x:c r="Q15" s="31" t="n">
        <x:v>2.92</x:v>
      </x:c>
      <x:c r="R15" s="31" t="n">
        <x:f>ABS(P15-Q15)</x:f>
        <x:v>0.41000000000000014</x:v>
      </x:c>
      <x:c r="S15" s="32" t="n">
        <x:v>2603.332593166899</x:v>
      </x:c>
      <x:c r="T15" s="32" t="n">
        <x:v>2104.4636652714225</x:v>
      </x:c>
      <x:c r="U15" s="31" t="n">
        <x:f>MAX(S15/T15,T15/S15)</x:f>
        <x:v>1.2370527636698994</x:v>
      </x:c>
      <x:c r="V15" s="31" t="n">
        <x:f>L15*'Controls &amp; Summary'!$B$9+O15*'Controls &amp; Summary'!$B$10+R15*'Controls &amp; Summary'!$B$11+U15*'Controls &amp; Summary'!$B$12</x:f>
        <x:v>2.747052763669899</x:v>
      </x:c>
      <x:c r="W15" s="31" t="n">
        <x:v>0.98</x:v>
      </x:c>
      <x:c r="X15" s="31" t="n">
        <x:v>4.31</x:v>
      </x:c>
      <x:c r="Y15" s="31" t="n">
        <x:f>((10-MIN(10,MAX(0,X15)))/10)*'Controls &amp; Summary'!$B$15+((10-MIN(10,MAX(0,W15)))/10)*'Controls &amp; Summary'!$B$16</x:f>
        <x:v>1.471</x:v>
      </x:c>
      <x:c r="Z15" s="31" t="n">
        <x:f>V15*Y15</x:f>
        <x:v>4.040914615358422</x:v>
      </x:c>
      <x:c r="AA15" s="30" t="str">
        <x:f>IF(Z15&lt;=I15,"Peaceful","Hostile")</x:f>
        <x:v>Peaceful</x:v>
      </x:c>
      <x:c r="AB15" s="30" t="str">
        <x:f>IF(Z15&lt;='Controls &amp; Summary'!$B$6,"Eligible","Blocked")</x:f>
        <x:v>Eligible</x:v>
      </x:c>
      <x:c r="AC15" s="30" t="str">
        <x:v>2003_AGO</x:v>
      </x:c>
      <x:c r="AD15" s="30" t="str">
        <x:v>2003_COR</x:v>
      </x:c>
      <x:c r="AE15" s="30" t="str">
        <x:v>2003_Brazzaville</x:v>
      </x:c>
      <x:c r="AF15" s="30" t="str">
        <x:v>Explicit capitalClaim</x:v>
      </x:c>
      <x:c r="AG15" s="30" t="str">
        <x:v>Claim2003_AGO2003_Brazzaville</x:v>
      </x:c>
      <x:c r="AH15" s="30" t="str">
        <x:v>Project_RegionalAfricanUnions</x:v>
      </x:c>
    </x:row>
    <x:row r="16">
      <x:c r="A16" s="30" t="str">
        <x:v>2003</x:v>
      </x:c>
      <x:c r="B16" s="30" t="str">
        <x:v>Dark Skies</x:v>
      </x:c>
      <x:c r="C16" s="30" t="str">
        <x:v>Angola</x:v>
      </x:c>
      <x:c r="D16" s="30" t="str">
        <x:v>Rwanda-Burundi</x:v>
      </x:c>
      <x:c r="E16" s="30" t="str">
        <x:v>Project unlock</x:v>
      </x:c>
      <x:c r="F16" s="30" t="str">
        <x:v>Regional African Unions</x:v>
      </x:c>
      <x:c r="G16" s="30" t="str">
        <x:v>No</x:v>
      </x:c>
      <x:c r="H16" s="30" t="str">
        <x:v>Ordinary claim</x:v>
      </x:c>
      <x:c r="I16" s="31" t="n">
        <x:f>IF(G16="Yes",'Controls &amp; Summary'!$B$5,'Controls &amp; Summary'!$B$4)</x:f>
        <x:v>6</x:v>
      </x:c>
      <x:c r="J16" s="31" t="n">
        <x:v>2.39</x:v>
      </x:c>
      <x:c r="K16" s="31" t="n">
        <x:v>3.96</x:v>
      </x:c>
      <x:c r="L16" s="31" t="n">
        <x:f>ABS(J16-K16)</x:f>
        <x:v>1.5699999999999998</x:v>
      </x:c>
      <x:c r="M16" s="31" t="n">
        <x:v>4.96</x:v>
      </x:c>
      <x:c r="N16" s="31" t="n">
        <x:v>4.49</x:v>
      </x:c>
      <x:c r="O16" s="31" t="n">
        <x:f>ABS(M16-N16)</x:f>
        <x:v>0.46999999999999975</x:v>
      </x:c>
      <x:c r="P16" s="31" t="n">
        <x:v>3.33</x:v>
      </x:c>
      <x:c r="Q16" s="31" t="n">
        <x:v>2.6</x:v>
      </x:c>
      <x:c r="R16" s="31" t="n">
        <x:f>ABS(P16-Q16)</x:f>
        <x:v>0.73</x:v>
      </x:c>
      <x:c r="S16" s="32" t="n">
        <x:v>2603.332593166899</x:v>
      </x:c>
      <x:c r="T16" s="32" t="n">
        <x:v>416.31512929374605</x:v>
      </x:c>
      <x:c r="U16" s="31" t="n">
        <x:f>MAX(S16/T16,T16/S16)</x:f>
        <x:v>6.253274046473638</x:v>
      </x:c>
      <x:c r="V16" s="31" t="n">
        <x:f>L16*'Controls &amp; Summary'!$B$9+O16*'Controls &amp; Summary'!$B$10+R16*'Controls &amp; Summary'!$B$11+U16*'Controls &amp; Summary'!$B$12</x:f>
        <x:v>9.023274046473638</x:v>
      </x:c>
      <x:c r="W16" s="31" t="n">
        <x:v>0.98</x:v>
      </x:c>
      <x:c r="X16" s="31" t="n">
        <x:v>4.92</x:v>
      </x:c>
      <x:c r="Y16" s="31" t="n">
        <x:f>((10-MIN(10,MAX(0,X16)))/10)*'Controls &amp; Summary'!$B$15+((10-MIN(10,MAX(0,W16)))/10)*'Controls &amp; Summary'!$B$16</x:f>
        <x:v>1.41</x:v>
      </x:c>
      <x:c r="Z16" s="31" t="n">
        <x:f>V16*Y16</x:f>
        <x:v>12.722816405527828</x:v>
      </x:c>
      <x:c r="AA16" s="30" t="str">
        <x:f>IF(Z16&lt;=I16,"Peaceful","Hostile")</x:f>
        <x:v>Hostile</x:v>
      </x:c>
      <x:c r="AB16" s="30" t="str">
        <x:f>IF(Z16&lt;='Controls &amp; Summary'!$B$6,"Eligible","Blocked")</x:f>
        <x:v>Blocked</x:v>
      </x:c>
      <x:c r="AC16" s="30" t="str">
        <x:v>2003_AGO</x:v>
      </x:c>
      <x:c r="AD16" s="30" t="str">
        <x:v>2003_RWB</x:v>
      </x:c>
      <x:c r="AE16" s="30" t="str">
        <x:v>2003_Kigali</x:v>
      </x:c>
      <x:c r="AF16" s="30" t="str">
        <x:v>Explicit capitalClaim</x:v>
      </x:c>
      <x:c r="AG16" s="30" t="str">
        <x:v>Claim2003_AGO2003_Kigali</x:v>
      </x:c>
      <x:c r="AH16" s="30" t="str">
        <x:v>Project_RegionalAfricanUnions</x:v>
      </x:c>
    </x:row>
    <x:row r="17">
      <x:c r="A17" s="30" t="str">
        <x:v>2003</x:v>
      </x:c>
      <x:c r="B17" s="30" t="str">
        <x:v>Dark Skies</x:v>
      </x:c>
      <x:c r="C17" s="30" t="str">
        <x:v>Angola</x:v>
      </x:c>
      <x:c r="D17" s="30" t="str">
        <x:v>Sao Tome and Principe</x:v>
      </x:c>
      <x:c r="E17" s="30" t="str">
        <x:v>Project unlock</x:v>
      </x:c>
      <x:c r="F17" s="30" t="str">
        <x:v>Regional African Unions</x:v>
      </x:c>
      <x:c r="G17" s="30" t="str">
        <x:v>No</x:v>
      </x:c>
      <x:c r="H17" s="30" t="str">
        <x:v>Ordinary claim</x:v>
      </x:c>
      <x:c r="I17" s="31" t="n">
        <x:f>IF(G17="Yes",'Controls &amp; Summary'!$B$5,'Controls &amp; Summary'!$B$4)</x:f>
        <x:v>6</x:v>
      </x:c>
      <x:c r="J17" s="31" t="n">
        <x:v>2.39</x:v>
      </x:c>
      <x:c r="K17" s="31" t="n">
        <x:v>6.46</x:v>
      </x:c>
      <x:c r="L17" s="31" t="n">
        <x:f>ABS(J17-K17)</x:f>
        <x:v>4.07</x:v>
      </x:c>
      <x:c r="M17" s="31" t="n">
        <x:v>4.96</x:v>
      </x:c>
      <x:c r="N17" s="31" t="n">
        <x:v>3.38</x:v>
      </x:c>
      <x:c r="O17" s="31" t="n">
        <x:f>ABS(M17-N17)</x:f>
        <x:v>1.58</x:v>
      </x:c>
      <x:c r="P17" s="31" t="n">
        <x:v>3.33</x:v>
      </x:c>
      <x:c r="Q17" s="31" t="n">
        <x:v>4.43</x:v>
      </x:c>
      <x:c r="R17" s="31" t="n">
        <x:f>ABS(P17-Q17)</x:f>
        <x:v>1.0999999999999996</x:v>
      </x:c>
      <x:c r="S17" s="32" t="n">
        <x:v>2603.332593166899</x:v>
      </x:c>
      <x:c r="T17" s="32" t="n">
        <x:v>1136.7872950446642</x:v>
      </x:c>
      <x:c r="U17" s="31" t="n">
        <x:f>MAX(S17/T17,T17/S17)</x:f>
        <x:v>2.290078895599035</x:v>
      </x:c>
      <x:c r="V17" s="31" t="n">
        <x:f>L17*'Controls &amp; Summary'!$B$9+O17*'Controls &amp; Summary'!$B$10+R17*'Controls &amp; Summary'!$B$11+U17*'Controls &amp; Summary'!$B$12</x:f>
        <x:v>9.040078895599034</x:v>
      </x:c>
      <x:c r="W17" s="31" t="n">
        <x:v>0.98</x:v>
      </x:c>
      <x:c r="X17" s="31" t="n">
        <x:v>2.24</x:v>
      </x:c>
      <x:c r="Y17" s="31" t="n">
        <x:f>((10-MIN(10,MAX(0,X17)))/10)*'Controls &amp; Summary'!$B$15+((10-MIN(10,MAX(0,W17)))/10)*'Controls &amp; Summary'!$B$16</x:f>
        <x:v>1.678</x:v>
      </x:c>
      <x:c r="Z17" s="31" t="n">
        <x:f>V17*Y17</x:f>
        <x:v>15.16925238681518</x:v>
      </x:c>
      <x:c r="AA17" s="30" t="str">
        <x:f>IF(Z17&lt;=I17,"Peaceful","Hostile")</x:f>
        <x:v>Hostile</x:v>
      </x:c>
      <x:c r="AB17" s="30" t="str">
        <x:f>IF(Z17&lt;='Controls &amp; Summary'!$B$6,"Eligible","Blocked")</x:f>
        <x:v>Blocked</x:v>
      </x:c>
      <x:c r="AC17" s="30" t="str">
        <x:v>2003_AGO</x:v>
      </x:c>
      <x:c r="AD17" s="30" t="str">
        <x:v>2003_STP</x:v>
      </x:c>
      <x:c r="AE17" s="30" t="str">
        <x:v>2003_SaoTomePrincipe</x:v>
      </x:c>
      <x:c r="AF17" s="30" t="str">
        <x:v>Explicit capitalClaim</x:v>
      </x:c>
      <x:c r="AG17" s="30" t="str">
        <x:v>Claim2003_AGO2003_SaoTomePrincipe</x:v>
      </x:c>
      <x:c r="AH17" s="30" t="str">
        <x:v>Project_RegionalAfricanUnions</x:v>
      </x:c>
    </x:row>
    <x:row r="18">
      <x:c r="A18" s="30" t="str">
        <x:v>2003</x:v>
      </x:c>
      <x:c r="B18" s="30" t="str">
        <x:v>Dark Skies</x:v>
      </x:c>
      <x:c r="C18" s="30" t="str">
        <x:v>Angola</x:v>
      </x:c>
      <x:c r="D18" s="30" t="str">
        <x:v>South Africa</x:v>
      </x:c>
      <x:c r="E18" s="30" t="str">
        <x:v>Project unlock</x:v>
      </x:c>
      <x:c r="F18" s="30" t="str">
        <x:v>Regional African Unions</x:v>
      </x:c>
      <x:c r="G18" s="30" t="str">
        <x:v>No</x:v>
      </x:c>
      <x:c r="H18" s="30" t="str">
        <x:v>Ordinary claim</x:v>
      </x:c>
      <x:c r="I18" s="31" t="n">
        <x:f>IF(G18="Yes",'Controls &amp; Summary'!$B$5,'Controls &amp; Summary'!$B$4)</x:f>
        <x:v>6</x:v>
      </x:c>
      <x:c r="J18" s="31" t="n">
        <x:v>2.39</x:v>
      </x:c>
      <x:c r="K18" s="31" t="n">
        <x:v>7.75</x:v>
      </x:c>
      <x:c r="L18" s="31" t="n">
        <x:f>ABS(J18-K18)</x:f>
        <x:v>5.359999999999999</x:v>
      </x:c>
      <x:c r="M18" s="31" t="n">
        <x:v>4.96</x:v>
      </x:c>
      <x:c r="N18" s="31" t="n">
        <x:v>6.22</x:v>
      </x:c>
      <x:c r="O18" s="31" t="n">
        <x:f>ABS(M18-N18)</x:f>
        <x:v>1.2599999999999998</x:v>
      </x:c>
      <x:c r="P18" s="31" t="n">
        <x:v>3.33</x:v>
      </x:c>
      <x:c r="Q18" s="31" t="n">
        <x:v>5.25</x:v>
      </x:c>
      <x:c r="R18" s="31" t="n">
        <x:f>ABS(P18-Q18)</x:f>
        <x:v>1.92</x:v>
      </x:c>
      <x:c r="S18" s="32" t="n">
        <x:v>2603.332593166899</x:v>
      </x:c>
      <x:c r="T18" s="32" t="n">
        <x:v>4761.990490026999</x:v>
      </x:c>
      <x:c r="U18" s="31" t="n">
        <x:f>MAX(S18/T18,T18/S18)</x:f>
        <x:v>1.8291902089368222</x:v>
      </x:c>
      <x:c r="V18" s="31" t="n">
        <x:f>L18*'Controls &amp; Summary'!$B$9+O18*'Controls &amp; Summary'!$B$10+R18*'Controls &amp; Summary'!$B$11+U18*'Controls &amp; Summary'!$B$12</x:f>
        <x:v>10.369190208936821</x:v>
      </x:c>
      <x:c r="W18" s="31" t="n">
        <x:v>0.98</x:v>
      </x:c>
      <x:c r="X18" s="31" t="n">
        <x:v>3.33</x:v>
      </x:c>
      <x:c r="Y18" s="31" t="n">
        <x:f>((10-MIN(10,MAX(0,X18)))/10)*'Controls &amp; Summary'!$B$15+((10-MIN(10,MAX(0,W18)))/10)*'Controls &amp; Summary'!$B$16</x:f>
        <x:v>1.569</x:v>
      </x:c>
      <x:c r="Z18" s="31" t="n">
        <x:f>V18*Y18</x:f>
        <x:v>16.269259437821873</x:v>
      </x:c>
      <x:c r="AA18" s="30" t="str">
        <x:f>IF(Z18&lt;=I18,"Peaceful","Hostile")</x:f>
        <x:v>Hostile</x:v>
      </x:c>
      <x:c r="AB18" s="30" t="str">
        <x:f>IF(Z18&lt;='Controls &amp; Summary'!$B$6,"Eligible","Blocked")</x:f>
        <x:v>Blocked</x:v>
      </x:c>
      <x:c r="AC18" s="30" t="str">
        <x:v>2003_AGO</x:v>
      </x:c>
      <x:c r="AD18" s="30" t="str">
        <x:v>2003_ZAF</x:v>
      </x:c>
      <x:c r="AE18" s="30" t="str">
        <x:v>2003_Johannesburg</x:v>
      </x:c>
      <x:c r="AF18" s="30" t="str">
        <x:v>Explicit capitalClaim</x:v>
      </x:c>
      <x:c r="AG18" s="30" t="str">
        <x:v>Claim2003_AGO2003_Johannesburg</x:v>
      </x:c>
      <x:c r="AH18" s="30" t="str">
        <x:v>Project_RegionalAfricanUnions</x:v>
      </x:c>
    </x:row>
    <x:row r="19">
      <x:c r="A19" s="30" t="str">
        <x:v>2003</x:v>
      </x:c>
      <x:c r="B19" s="30" t="str">
        <x:v>Dark Skies</x:v>
      </x:c>
      <x:c r="C19" s="30" t="str">
        <x:v>Angola</x:v>
      </x:c>
      <x:c r="D19" s="30" t="str">
        <x:v>Tanzania</x:v>
      </x:c>
      <x:c r="E19" s="30" t="str">
        <x:v>Project unlock</x:v>
      </x:c>
      <x:c r="F19" s="30" t="str">
        <x:v>Regional African Unions</x:v>
      </x:c>
      <x:c r="G19" s="30" t="str">
        <x:v>No</x:v>
      </x:c>
      <x:c r="H19" s="30" t="str">
        <x:v>Ordinary claim</x:v>
      </x:c>
      <x:c r="I19" s="31" t="n">
        <x:f>IF(G19="Yes",'Controls &amp; Summary'!$B$5,'Controls &amp; Summary'!$B$4)</x:f>
        <x:v>6</x:v>
      </x:c>
      <x:c r="J19" s="31" t="n">
        <x:v>2.39</x:v>
      </x:c>
      <x:c r="K19" s="31" t="n">
        <x:v>5.04</x:v>
      </x:c>
      <x:c r="L19" s="31" t="n">
        <x:f>ABS(J19-K19)</x:f>
        <x:v>2.65</x:v>
      </x:c>
      <x:c r="M19" s="31" t="n">
        <x:v>4.96</x:v>
      </x:c>
      <x:c r="N19" s="31" t="n">
        <x:v>4.41</x:v>
      </x:c>
      <x:c r="O19" s="31" t="n">
        <x:f>ABS(M19-N19)</x:f>
        <x:v>0.5499999999999998</x:v>
      </x:c>
      <x:c r="P19" s="31" t="n">
        <x:v>3.33</x:v>
      </x:c>
      <x:c r="Q19" s="31" t="n">
        <x:v>3.43</x:v>
      </x:c>
      <x:c r="R19" s="31" t="n">
        <x:f>ABS(P19-Q19)</x:f>
        <x:v>0.10000000000000009</x:v>
      </x:c>
      <x:c r="S19" s="32" t="n">
        <x:v>2603.332593166899</x:v>
      </x:c>
      <x:c r="T19" s="32" t="n">
        <x:v>674.8168041110225</x:v>
      </x:c>
      <x:c r="U19" s="31" t="n">
        <x:f>MAX(S19/T19,T19/S19)</x:f>
        <x:v>3.8578360486983256</x:v>
      </x:c>
      <x:c r="V19" s="31" t="n">
        <x:f>L19*'Controls &amp; Summary'!$B$9+O19*'Controls &amp; Summary'!$B$10+R19*'Controls &amp; Summary'!$B$11+U19*'Controls &amp; Summary'!$B$12</x:f>
        <x:v>7.157836048698325</x:v>
      </x:c>
      <x:c r="W19" s="31" t="n">
        <x:v>0.98</x:v>
      </x:c>
      <x:c r="X19" s="31" t="n">
        <x:v>1.17</x:v>
      </x:c>
      <x:c r="Y19" s="31" t="n">
        <x:f>((10-MIN(10,MAX(0,X19)))/10)*'Controls &amp; Summary'!$B$15+((10-MIN(10,MAX(0,W19)))/10)*'Controls &amp; Summary'!$B$16</x:f>
        <x:v>1.785</x:v>
      </x:c>
      <x:c r="Z19" s="31" t="n">
        <x:f>V19*Y19</x:f>
        <x:v>12.77673734692651</x:v>
      </x:c>
      <x:c r="AA19" s="30" t="str">
        <x:f>IF(Z19&lt;=I19,"Peaceful","Hostile")</x:f>
        <x:v>Hostile</x:v>
      </x:c>
      <x:c r="AB19" s="30" t="str">
        <x:f>IF(Z19&lt;='Controls &amp; Summary'!$B$6,"Eligible","Blocked")</x:f>
        <x:v>Blocked</x:v>
      </x:c>
      <x:c r="AC19" s="30" t="str">
        <x:v>2003_AGO</x:v>
      </x:c>
      <x:c r="AD19" s="30" t="str">
        <x:v>2003_TZA</x:v>
      </x:c>
      <x:c r="AE19" s="30" t="str">
        <x:v>2003_WestTanzania</x:v>
      </x:c>
      <x:c r="AF19" s="30" t="str">
        <x:v>Explicit capitalClaim</x:v>
      </x:c>
      <x:c r="AG19" s="30" t="str">
        <x:v>Claim2003_AGO2003_WestTanzania</x:v>
      </x:c>
      <x:c r="AH19" s="30" t="str">
        <x:v>Project_RegionalAfricanUnions</x:v>
      </x:c>
    </x:row>
    <x:row r="20">
      <x:c r="A20" s="30" t="str">
        <x:v>2003</x:v>
      </x:c>
      <x:c r="B20" s="30" t="str">
        <x:v>Dark Skies</x:v>
      </x:c>
      <x:c r="C20" s="30" t="str">
        <x:v>Angola</x:v>
      </x:c>
      <x:c r="D20" s="30" t="str">
        <x:v>Uganda</x:v>
      </x:c>
      <x:c r="E20" s="30" t="str">
        <x:v>Project unlock</x:v>
      </x:c>
      <x:c r="F20" s="30" t="str">
        <x:v>Regional African Unions</x:v>
      </x:c>
      <x:c r="G20" s="30" t="str">
        <x:v>No</x:v>
      </x:c>
      <x:c r="H20" s="30" t="str">
        <x:v>Ordinary claim</x:v>
      </x:c>
      <x:c r="I20" s="31" t="n">
        <x:f>IF(G20="Yes",'Controls &amp; Summary'!$B$5,'Controls &amp; Summary'!$B$4)</x:f>
        <x:v>6</x:v>
      </x:c>
      <x:c r="J20" s="31" t="n">
        <x:v>2.39</x:v>
      </x:c>
      <x:c r="K20" s="31" t="n">
        <x:v>4.86</x:v>
      </x:c>
      <x:c r="L20" s="31" t="n">
        <x:f>ABS(J20-K20)</x:f>
        <x:v>2.47</x:v>
      </x:c>
      <x:c r="M20" s="31" t="n">
        <x:v>4.96</x:v>
      </x:c>
      <x:c r="N20" s="31" t="n">
        <x:v>4.42</x:v>
      </x:c>
      <x:c r="O20" s="31" t="n">
        <x:f>ABS(M20-N20)</x:f>
        <x:v>0.54</x:v>
      </x:c>
      <x:c r="P20" s="31" t="n">
        <x:v>3.33</x:v>
      </x:c>
      <x:c r="Q20" s="31" t="n">
        <x:v>3.45</x:v>
      </x:c>
      <x:c r="R20" s="31" t="n">
        <x:f>ABS(P20-Q20)</x:f>
        <x:v>0.1200000000000001</x:v>
      </x:c>
      <x:c r="S20" s="32" t="n">
        <x:v>2603.332593166899</x:v>
      </x:c>
      <x:c r="T20" s="32" t="n">
        <x:v>644.51011713515</x:v>
      </x:c>
      <x:c r="U20" s="31" t="n">
        <x:f>MAX(S20/T20,T20/S20)</x:f>
        <x:v>4.039242401249996</x:v>
      </x:c>
      <x:c r="V20" s="31" t="n">
        <x:f>L20*'Controls &amp; Summary'!$B$9+O20*'Controls &amp; Summary'!$B$10+R20*'Controls &amp; Summary'!$B$11+U20*'Controls &amp; Summary'!$B$12</x:f>
        <x:v>7.169242401249996</x:v>
      </x:c>
      <x:c r="W20" s="31" t="n">
        <x:v>0.98</x:v>
      </x:c>
      <x:c r="X20" s="31" t="n">
        <x:v>4.57</x:v>
      </x:c>
      <x:c r="Y20" s="31" t="n">
        <x:f>((10-MIN(10,MAX(0,X20)))/10)*'Controls &amp; Summary'!$B$15+((10-MIN(10,MAX(0,W20)))/10)*'Controls &amp; Summary'!$B$16</x:f>
        <x:v>1.4449999999999998</x:v>
      </x:c>
      <x:c r="Z20" s="31" t="n">
        <x:f>V20*Y20</x:f>
        <x:v>10.359555269806242</x:v>
      </x:c>
      <x:c r="AA20" s="30" t="str">
        <x:f>IF(Z20&lt;=I20,"Peaceful","Hostile")</x:f>
        <x:v>Hostile</x:v>
      </x:c>
      <x:c r="AB20" s="30" t="str">
        <x:f>IF(Z20&lt;='Controls &amp; Summary'!$B$6,"Eligible","Blocked")</x:f>
        <x:v>Eligible</x:v>
      </x:c>
      <x:c r="AC20" s="30" t="str">
        <x:v>2003_AGO</x:v>
      </x:c>
      <x:c r="AD20" s="30" t="str">
        <x:v>2003_UGA</x:v>
      </x:c>
      <x:c r="AE20" s="30" t="str">
        <x:v>2003_Uganda</x:v>
      </x:c>
      <x:c r="AF20" s="30" t="str">
        <x:v>Explicit capitalClaim</x:v>
      </x:c>
      <x:c r="AG20" s="30" t="str">
        <x:v>Claim2003_AGO2003_Uganda</x:v>
      </x:c>
      <x:c r="AH20" s="30" t="str">
        <x:v>Project_RegionalAfricanUnions</x:v>
      </x:c>
    </x:row>
    <x:row r="21">
      <x:c r="A21" s="30" t="str">
        <x:v>2003</x:v>
      </x:c>
      <x:c r="B21" s="30" t="str">
        <x:v>Dark Skies</x:v>
      </x:c>
      <x:c r="C21" s="30" t="str">
        <x:v>Angola</x:v>
      </x:c>
      <x:c r="D21" s="30" t="str">
        <x:v>Zambia</x:v>
      </x:c>
      <x:c r="E21" s="30" t="str">
        <x:v>Project unlock</x:v>
      </x:c>
      <x:c r="F21" s="30" t="str">
        <x:v>Regional African Unions</x:v>
      </x:c>
      <x:c r="G21" s="30" t="str">
        <x:v>No</x:v>
      </x:c>
      <x:c r="H21" s="30" t="str">
        <x:v>Ordinary claim</x:v>
      </x:c>
      <x:c r="I21" s="31" t="n">
        <x:f>IF(G21="Yes",'Controls &amp; Summary'!$B$5,'Controls &amp; Summary'!$B$4)</x:f>
        <x:v>6</x:v>
      </x:c>
      <x:c r="J21" s="31" t="n">
        <x:v>2.39</x:v>
      </x:c>
      <x:c r="K21" s="31" t="n">
        <x:v>5.12</x:v>
      </x:c>
      <x:c r="L21" s="31" t="n">
        <x:f>ABS(J21-K21)</x:f>
        <x:v>2.73</x:v>
      </x:c>
      <x:c r="M21" s="31" t="n">
        <x:v>4.96</x:v>
      </x:c>
      <x:c r="N21" s="31" t="n">
        <x:v>5.39</x:v>
      </x:c>
      <x:c r="O21" s="31" t="n">
        <x:f>ABS(M21-N21)</x:f>
        <x:v>0.4299999999999997</x:v>
      </x:c>
      <x:c r="P21" s="31" t="n">
        <x:v>3.33</x:v>
      </x:c>
      <x:c r="Q21" s="31" t="n">
        <x:v>3.58</x:v>
      </x:c>
      <x:c r="R21" s="31" t="n">
        <x:f>ABS(P21-Q21)</x:f>
        <x:v>0.25</x:v>
      </x:c>
      <x:c r="S21" s="32" t="n">
        <x:v>2603.332593166899</x:v>
      </x:c>
      <x:c r="T21" s="32" t="n">
        <x:v>1007.8827049795627</x:v>
      </x:c>
      <x:c r="U21" s="31" t="n">
        <x:f>MAX(S21/T21,T21/S21)</x:f>
        <x:v>2.582971788586935</x:v>
      </x:c>
      <x:c r="V21" s="31" t="n">
        <x:f>L21*'Controls &amp; Summary'!$B$9+O21*'Controls &amp; Summary'!$B$10+R21*'Controls &amp; Summary'!$B$11+U21*'Controls &amp; Summary'!$B$12</x:f>
        <x:v>5.992971788586935</x:v>
      </x:c>
      <x:c r="W21" s="31" t="n">
        <x:v>0.98</x:v>
      </x:c>
      <x:c r="X21" s="31" t="n">
        <x:v>4.32</x:v>
      </x:c>
      <x:c r="Y21" s="31" t="n">
        <x:f>((10-MIN(10,MAX(0,X21)))/10)*'Controls &amp; Summary'!$B$15+((10-MIN(10,MAX(0,W21)))/10)*'Controls &amp; Summary'!$B$16</x:f>
        <x:v>1.4699999999999998</x:v>
      </x:c>
      <x:c r="Z21" s="31" t="n">
        <x:f>V21*Y21</x:f>
        <x:v>8.809668529222794</x:v>
      </x:c>
      <x:c r="AA21" s="30" t="str">
        <x:f>IF(Z21&lt;=I21,"Peaceful","Hostile")</x:f>
        <x:v>Hostile</x:v>
      </x:c>
      <x:c r="AB21" s="30" t="str">
        <x:f>IF(Z21&lt;='Controls &amp; Summary'!$B$6,"Eligible","Blocked")</x:f>
        <x:v>Eligible</x:v>
      </x:c>
      <x:c r="AC21" s="30" t="str">
        <x:v>2003_AGO</x:v>
      </x:c>
      <x:c r="AD21" s="30" t="str">
        <x:v>2003_ZMB</x:v>
      </x:c>
      <x:c r="AE21" s="30" t="str">
        <x:v>2003_Zambia</x:v>
      </x:c>
      <x:c r="AF21" s="30" t="str">
        <x:v>Explicit capitalClaim</x:v>
      </x:c>
      <x:c r="AG21" s="30" t="str">
        <x:v>Claim2003_AGO2003_Zambia</x:v>
      </x:c>
      <x:c r="AH21" s="30" t="str">
        <x:v>Project_RegionalAfricanUnions</x:v>
      </x:c>
    </x:row>
    <x:row r="22">
      <x:c r="A22" s="30" t="str">
        <x:v>2003</x:v>
      </x:c>
      <x:c r="B22" s="30" t="str">
        <x:v>Dark Skies</x:v>
      </x:c>
      <x:c r="C22" s="30" t="str">
        <x:v>Angola</x:v>
      </x:c>
      <x:c r="D22" s="30" t="str">
        <x:v>Zimbabwe</x:v>
      </x:c>
      <x:c r="E22" s="30" t="str">
        <x:v>Project unlock</x:v>
      </x:c>
      <x:c r="F22" s="30" t="str">
        <x:v>Regional African Unions</x:v>
      </x:c>
      <x:c r="G22" s="30" t="str">
        <x:v>No</x:v>
      </x:c>
      <x:c r="H22" s="30" t="str">
        <x:v>Ordinary claim</x:v>
      </x:c>
      <x:c r="I22" s="31" t="n">
        <x:f>IF(G22="Yes",'Controls &amp; Summary'!$B$5,'Controls &amp; Summary'!$B$4)</x:f>
        <x:v>6</x:v>
      </x:c>
      <x:c r="J22" s="31" t="n">
        <x:v>2.39</x:v>
      </x:c>
      <x:c r="K22" s="31" t="n">
        <x:v>2.67</x:v>
      </x:c>
      <x:c r="L22" s="31" t="n">
        <x:f>ABS(J22-K22)</x:f>
        <x:v>0.2799999999999998</x:v>
      </x:c>
      <x:c r="M22" s="31" t="n">
        <x:v>4.96</x:v>
      </x:c>
      <x:c r="N22" s="31" t="n">
        <x:v>4.79</x:v>
      </x:c>
      <x:c r="O22" s="31" t="n">
        <x:f>ABS(M22-N22)</x:f>
        <x:v>0.16999999999999993</x:v>
      </x:c>
      <x:c r="P22" s="31" t="n">
        <x:v>3.33</x:v>
      </x:c>
      <x:c r="Q22" s="31" t="n">
        <x:v>3.49</x:v>
      </x:c>
      <x:c r="R22" s="31" t="n">
        <x:f>ABS(P22-Q22)</x:f>
        <x:v>0.16000000000000014</x:v>
      </x:c>
      <x:c r="S22" s="32" t="n">
        <x:v>2603.332593166899</x:v>
      </x:c>
      <x:c r="T22" s="32" t="n">
        <x:v>1265.6047874144592</x:v>
      </x:c>
      <x:c r="U22" s="31" t="n">
        <x:f>MAX(S22/T22,T22/S22)</x:f>
        <x:v>2.0569869986706695</x:v>
      </x:c>
      <x:c r="V22" s="31" t="n">
        <x:f>L22*'Controls &amp; Summary'!$B$9+O22*'Controls &amp; Summary'!$B$10+R22*'Controls &amp; Summary'!$B$11+U22*'Controls &amp; Summary'!$B$12</x:f>
        <x:v>2.6669869986706694</x:v>
      </x:c>
      <x:c r="W22" s="31" t="n">
        <x:v>0.98</x:v>
      </x:c>
      <x:c r="X22" s="31" t="n">
        <x:v>5.87</x:v>
      </x:c>
      <x:c r="Y22" s="31" t="n">
        <x:f>((10-MIN(10,MAX(0,X22)))/10)*'Controls &amp; Summary'!$B$15+((10-MIN(10,MAX(0,W22)))/10)*'Controls &amp; Summary'!$B$16</x:f>
        <x:v>1.315</x:v>
      </x:c>
      <x:c r="Z22" s="31" t="n">
        <x:f>V22*Y22</x:f>
        <x:v>3.50708790325193</x:v>
      </x:c>
      <x:c r="AA22" s="30" t="str">
        <x:f>IF(Z22&lt;=I22,"Peaceful","Hostile")</x:f>
        <x:v>Peaceful</x:v>
      </x:c>
      <x:c r="AB22" s="30" t="str">
        <x:f>IF(Z22&lt;='Controls &amp; Summary'!$B$6,"Eligible","Blocked")</x:f>
        <x:v>Eligible</x:v>
      </x:c>
      <x:c r="AC22" s="30" t="str">
        <x:v>2003_AGO</x:v>
      </x:c>
      <x:c r="AD22" s="30" t="str">
        <x:v>2003_ZWE</x:v>
      </x:c>
      <x:c r="AE22" s="30" t="str">
        <x:v>2003_Zimbabwe</x:v>
      </x:c>
      <x:c r="AF22" s="30" t="str">
        <x:v>Explicit capitalClaim</x:v>
      </x:c>
      <x:c r="AG22" s="30" t="str">
        <x:v>Claim2003_AGO2003_Zimbabwe</x:v>
      </x:c>
      <x:c r="AH22" s="30" t="str">
        <x:v>Project_RegionalAfricanUnions</x:v>
      </x:c>
    </x:row>
    <x:row r="23">
      <x:c r="A23" s="30" t="str">
        <x:v>2003</x:v>
      </x:c>
      <x:c r="B23" s="30" t="str">
        <x:v>Dark Skies</x:v>
      </x:c>
      <x:c r="C23" s="30" t="str">
        <x:v>Argentina</x:v>
      </x:c>
      <x:c r="D23" s="30" t="str">
        <x:v>Bolivia</x:v>
      </x:c>
      <x:c r="E23" s="30" t="str">
        <x:v>Project unlock</x:v>
      </x:c>
      <x:c r="F23" s="30" t="str">
        <x:v>South American Confederations</x:v>
      </x:c>
      <x:c r="G23" s="30" t="str">
        <x:v>Yes</x:v>
      </x:c>
      <x:c r="H23" s="30" t="str">
        <x:v>Template hostileClaim</x:v>
      </x:c>
      <x:c r="I23" s="31" t="n">
        <x:f>IF(G23="Yes",'Controls &amp; Summary'!$B$5,'Controls &amp; Summary'!$B$4)</x:f>
        <x:v>3</x:v>
      </x:c>
      <x:c r="J23" s="31" t="n">
        <x:v>6.81</x:v>
      </x:c>
      <x:c r="K23" s="31" t="n">
        <x:v>6.41</x:v>
      </x:c>
      <x:c r="L23" s="31" t="n">
        <x:f>ABS(J23-K23)</x:f>
        <x:v>0.39999999999999947</x:v>
      </x:c>
      <x:c r="M23" s="31" t="n">
        <x:v>4.62</x:v>
      </x:c>
      <x:c r="N23" s="31" t="n">
        <x:v>5.33</x:v>
      </x:c>
      <x:c r="O23" s="31" t="n">
        <x:f>ABS(M23-N23)</x:f>
        <x:v>0.71</x:v>
      </x:c>
      <x:c r="P23" s="31" t="n">
        <x:v>7.39</x:v>
      </x:c>
      <x:c r="Q23" s="31" t="n">
        <x:v>5.64</x:v>
      </x:c>
      <x:c r="R23" s="31" t="n">
        <x:f>ABS(P23-Q23)</x:f>
        <x:v>1.75</x:v>
      </x:c>
      <x:c r="S23" s="32" t="n">
        <x:v>7443.195167342359</x:v>
      </x:c>
      <x:c r="T23" s="32" t="n">
        <x:v>2486.1893981680973</x:v>
      </x:c>
      <x:c r="U23" s="31" t="n">
        <x:f>MAX(S23/T23,T23/S23)</x:f>
        <x:v>2.993816630714756</x:v>
      </x:c>
      <x:c r="V23" s="31" t="n">
        <x:f>L23*'Controls &amp; Summary'!$B$9+O23*'Controls &amp; Summary'!$B$10+R23*'Controls &amp; Summary'!$B$11+U23*'Controls &amp; Summary'!$B$12</x:f>
        <x:v>5.853816630714755</x:v>
      </x:c>
      <x:c r="W23" s="31" t="n">
        <x:v>4.34</x:v>
      </x:c>
      <x:c r="X23" s="31" t="n">
        <x:v>4.74</x:v>
      </x:c>
      <x:c r="Y23" s="31" t="n">
        <x:f>((10-MIN(10,MAX(0,X23)))/10)*'Controls &amp; Summary'!$B$15+((10-MIN(10,MAX(0,W23)))/10)*'Controls &amp; Summary'!$B$16</x:f>
        <x:v>1.092</x:v>
      </x:c>
      <x:c r="Z23" s="31" t="n">
        <x:f>V23*Y23</x:f>
        <x:v>6.392367760740513</x:v>
      </x:c>
      <x:c r="AA23" s="30" t="str">
        <x:f>IF(Z23&lt;=I23,"Peaceful","Hostile")</x:f>
        <x:v>Hostile</x:v>
      </x:c>
      <x:c r="AB23" s="30" t="str">
        <x:f>IF(Z23&lt;='Controls &amp; Summary'!$B$6,"Eligible","Blocked")</x:f>
        <x:v>Eligible</x:v>
      </x:c>
      <x:c r="AC23" s="30" t="str">
        <x:v>2003_ARG</x:v>
      </x:c>
      <x:c r="AD23" s="30" t="str">
        <x:v>2003_BOL</x:v>
      </x:c>
      <x:c r="AE23" s="30" t="str">
        <x:v>2003_Bolivia</x:v>
      </x:c>
      <x:c r="AF23" s="30" t="str">
        <x:v>Explicit capitalClaim</x:v>
      </x:c>
      <x:c r="AG23" s="30" t="str">
        <x:v>Claim2003_ARG2003_Bolivia</x:v>
      </x:c>
      <x:c r="AH23" s="30" t="str">
        <x:v>Project_GranColombia</x:v>
      </x:c>
    </x:row>
    <x:row r="24">
      <x:c r="A24" s="30" t="str">
        <x:v>2003</x:v>
      </x:c>
      <x:c r="B24" s="30" t="str">
        <x:v>Dark Skies</x:v>
      </x:c>
      <x:c r="C24" s="30" t="str">
        <x:v>Argentina</x:v>
      </x:c>
      <x:c r="D24" s="30" t="str">
        <x:v>Paraguay</x:v>
      </x:c>
      <x:c r="E24" s="30" t="str">
        <x:v>Project unlock</x:v>
      </x:c>
      <x:c r="F24" s="30" t="str">
        <x:v>South American Confederations</x:v>
      </x:c>
      <x:c r="G24" s="30" t="str">
        <x:v>No</x:v>
      </x:c>
      <x:c r="H24" s="30" t="str">
        <x:v>Ordinary claim</x:v>
      </x:c>
      <x:c r="I24" s="31" t="n">
        <x:f>IF(G24="Yes",'Controls &amp; Summary'!$B$5,'Controls &amp; Summary'!$B$4)</x:f>
        <x:v>6</x:v>
      </x:c>
      <x:c r="J24" s="31" t="n">
        <x:v>6.81</x:v>
      </x:c>
      <x:c r="K24" s="31" t="n">
        <x:v>6.02</x:v>
      </x:c>
      <x:c r="L24" s="31" t="n">
        <x:f>ABS(J24-K24)</x:f>
        <x:v>0.79</x:v>
      </x:c>
      <x:c r="M24" s="31" t="n">
        <x:v>4.62</x:v>
      </x:c>
      <x:c r="N24" s="31" t="n">
        <x:v>5.24</x:v>
      </x:c>
      <x:c r="O24" s="31" t="n">
        <x:f>ABS(M24-N24)</x:f>
        <x:v>0.6200000000000001</x:v>
      </x:c>
      <x:c r="P24" s="31" t="n">
        <x:v>7.39</x:v>
      </x:c>
      <x:c r="Q24" s="31" t="n">
        <x:v>5.95</x:v>
      </x:c>
      <x:c r="R24" s="31" t="n">
        <x:f>ABS(P24-Q24)</x:f>
        <x:v>1.4399999999999995</x:v>
      </x:c>
      <x:c r="S24" s="32" t="n">
        <x:v>7443.195167342359</x:v>
      </x:c>
      <x:c r="T24" s="32" t="n">
        <x:v>4068.858542560166</x:v>
      </x:c>
      <x:c r="U24" s="31" t="n">
        <x:f>MAX(S24/T24,T24/S24)</x:f>
        <x:v>1.829307922476712</x:v>
      </x:c>
      <x:c r="V24" s="31" t="n">
        <x:f>L24*'Controls &amp; Summary'!$B$9+O24*'Controls &amp; Summary'!$B$10+R24*'Controls &amp; Summary'!$B$11+U24*'Controls &amp; Summary'!$B$12</x:f>
        <x:v>4.679307922476712</x:v>
      </x:c>
      <x:c r="W24" s="31" t="n">
        <x:v>4.34</x:v>
      </x:c>
      <x:c r="X24" s="31" t="n">
        <x:v>3.04</x:v>
      </x:c>
      <x:c r="Y24" s="31" t="n">
        <x:f>((10-MIN(10,MAX(0,X24)))/10)*'Controls &amp; Summary'!$B$15+((10-MIN(10,MAX(0,W24)))/10)*'Controls &amp; Summary'!$B$16</x:f>
        <x:v>1.262</x:v>
      </x:c>
      <x:c r="Z24" s="31" t="n">
        <x:f>V24*Y24</x:f>
        <x:v>5.90528659816561</x:v>
      </x:c>
      <x:c r="AA24" s="30" t="str">
        <x:f>IF(Z24&lt;=I24,"Peaceful","Hostile")</x:f>
        <x:v>Peaceful</x:v>
      </x:c>
      <x:c r="AB24" s="30" t="str">
        <x:f>IF(Z24&lt;='Controls &amp; Summary'!$B$6,"Eligible","Blocked")</x:f>
        <x:v>Eligible</x:v>
      </x:c>
      <x:c r="AC24" s="30" t="str">
        <x:v>2003_ARG</x:v>
      </x:c>
      <x:c r="AD24" s="30" t="str">
        <x:v>2003_PRY</x:v>
      </x:c>
      <x:c r="AE24" s="30" t="str">
        <x:v>2003_Paraguay</x:v>
      </x:c>
      <x:c r="AF24" s="30" t="str">
        <x:v>Explicit capitalClaim</x:v>
      </x:c>
      <x:c r="AG24" s="30" t="str">
        <x:v>Claim2003_ARG2003_Paraguay</x:v>
      </x:c>
      <x:c r="AH24" s="30" t="str">
        <x:v>Project_GranColombia</x:v>
      </x:c>
    </x:row>
    <x:row r="25">
      <x:c r="A25" s="30" t="str">
        <x:v>2003</x:v>
      </x:c>
      <x:c r="B25" s="30" t="str">
        <x:v>Dark Skies</x:v>
      </x:c>
      <x:c r="C25" s="30" t="str">
        <x:v>Argentina</x:v>
      </x:c>
      <x:c r="D25" s="30" t="str">
        <x:v>Uruguay</x:v>
      </x:c>
      <x:c r="E25" s="30" t="str">
        <x:v>Project unlock</x:v>
      </x:c>
      <x:c r="F25" s="30" t="str">
        <x:v>South American Confederations</x:v>
      </x:c>
      <x:c r="G25" s="30" t="str">
        <x:v>No</x:v>
      </x:c>
      <x:c r="H25" s="30" t="str">
        <x:v>Ordinary claim</x:v>
      </x:c>
      <x:c r="I25" s="31" t="n">
        <x:f>IF(G25="Yes",'Controls &amp; Summary'!$B$5,'Controls &amp; Summary'!$B$4)</x:f>
        <x:v>6</x:v>
      </x:c>
      <x:c r="J25" s="31" t="n">
        <x:v>6.81</x:v>
      </x:c>
      <x:c r="K25" s="31" t="n">
        <x:v>7.69</x:v>
      </x:c>
      <x:c r="L25" s="31" t="n">
        <x:f>ABS(J25-K25)</x:f>
        <x:v>0.8800000000000008</x:v>
      </x:c>
      <x:c r="M25" s="31" t="n">
        <x:v>4.62</x:v>
      </x:c>
      <x:c r="N25" s="31" t="n">
        <x:v>4.23</x:v>
      </x:c>
      <x:c r="O25" s="31" t="n">
        <x:f>ABS(M25-N25)</x:f>
        <x:v>0.3899999999999997</x:v>
      </x:c>
      <x:c r="P25" s="31" t="n">
        <x:v>7.39</x:v>
      </x:c>
      <x:c r="Q25" s="31" t="n">
        <x:v>7.12</x:v>
      </x:c>
      <x:c r="R25" s="31" t="n">
        <x:f>ABS(P25-Q25)</x:f>
        <x:v>0.2699999999999996</x:v>
      </x:c>
      <x:c r="S25" s="32" t="n">
        <x:v>7443.195167342359</x:v>
      </x:c>
      <x:c r="T25" s="32" t="n">
        <x:v>5963.11268882654</x:v>
      </x:c>
      <x:c r="U25" s="31" t="n">
        <x:f>MAX(S25/T25,T25/S25)</x:f>
        <x:v>1.2482063572753108</x:v>
      </x:c>
      <x:c r="V25" s="31" t="n">
        <x:f>L25*'Controls &amp; Summary'!$B$9+O25*'Controls &amp; Summary'!$B$10+R25*'Controls &amp; Summary'!$B$11+U25*'Controls &amp; Summary'!$B$12</x:f>
        <x:v>2.788206357275311</x:v>
      </x:c>
      <x:c r="W25" s="31" t="n">
        <x:v>4.34</x:v>
      </x:c>
      <x:c r="X25" s="31" t="n">
        <x:v>0.53</x:v>
      </x:c>
      <x:c r="Y25" s="31" t="n">
        <x:f>((10-MIN(10,MAX(0,X25)))/10)*'Controls &amp; Summary'!$B$15+((10-MIN(10,MAX(0,W25)))/10)*'Controls &amp; Summary'!$B$16</x:f>
        <x:v>1.5130000000000001</x:v>
      </x:c>
      <x:c r="Z25" s="31" t="n">
        <x:f>V25*Y25</x:f>
        <x:v>4.218556218557546</x:v>
      </x:c>
      <x:c r="AA25" s="30" t="str">
        <x:f>IF(Z25&lt;=I25,"Peaceful","Hostile")</x:f>
        <x:v>Peaceful</x:v>
      </x:c>
      <x:c r="AB25" s="30" t="str">
        <x:f>IF(Z25&lt;='Controls &amp; Summary'!$B$6,"Eligible","Blocked")</x:f>
        <x:v>Eligible</x:v>
      </x:c>
      <x:c r="AC25" s="30" t="str">
        <x:v>2003_ARG</x:v>
      </x:c>
      <x:c r="AD25" s="30" t="str">
        <x:v>2003_URY</x:v>
      </x:c>
      <x:c r="AE25" s="30" t="str">
        <x:v>2003_Uruguay</x:v>
      </x:c>
      <x:c r="AF25" s="30" t="str">
        <x:v>Explicit capitalClaim</x:v>
      </x:c>
      <x:c r="AG25" s="30" t="str">
        <x:v>Claim2003_ARG2003_Uruguay</x:v>
      </x:c>
      <x:c r="AH25" s="30" t="str">
        <x:v>Project_GranColombia</x:v>
      </x:c>
    </x:row>
    <x:row r="26">
      <x:c r="A26" s="30" t="str">
        <x:v>2003</x:v>
      </x:c>
      <x:c r="B26" s="30" t="str">
        <x:v>Dark Skies</x:v>
      </x:c>
      <x:c r="C26" s="30" t="str">
        <x:v>Australia</x:v>
      </x:c>
      <x:c r="D26" s="30" t="str">
        <x:v>Melanesian States</x:v>
      </x:c>
      <x:c r="E26" s="30" t="str">
        <x:v>Project unlock</x:v>
      </x:c>
      <x:c r="F26" s="30" t="str">
        <x:v>Southern Cross</x:v>
      </x:c>
      <x:c r="G26" s="30" t="str">
        <x:v>No</x:v>
      </x:c>
      <x:c r="H26" s="30" t="str">
        <x:v>Ordinary claim</x:v>
      </x:c>
      <x:c r="I26" s="31" t="n">
        <x:f>IF(G26="Yes",'Controls &amp; Summary'!$B$5,'Controls &amp; Summary'!$B$4)</x:f>
        <x:v>6</x:v>
      </x:c>
      <x:c r="J26" s="31" t="n">
        <x:v>9.11</x:v>
      </x:c>
      <x:c r="K26" s="31" t="n">
        <x:v>6.13</x:v>
      </x:c>
      <x:c r="L26" s="31" t="n">
        <x:f>ABS(J26-K26)</x:f>
        <x:v>2.9799999999999995</x:v>
      </x:c>
      <x:c r="M26" s="31" t="n">
        <x:v>3.16</x:v>
      </x:c>
      <x:c r="N26" s="31" t="n">
        <x:v>4.07</x:v>
      </x:c>
      <x:c r="O26" s="31" t="n">
        <x:f>ABS(M26-N26)</x:f>
        <x:v>0.9100000000000001</x:v>
      </x:c>
      <x:c r="P26" s="31" t="n">
        <x:v>8.51</x:v>
      </x:c>
      <x:c r="Q26" s="31" t="n">
        <x:v>5.35</x:v>
      </x:c>
      <x:c r="R26" s="31" t="n">
        <x:f>ABS(P26-Q26)</x:f>
        <x:v>3.16</x:v>
      </x:c>
      <x:c r="S26" s="32" t="n">
        <x:v>27348.101819555675</x:v>
      </x:c>
      <x:c r="T26" s="32" t="n">
        <x:v>2840.0898292835964</x:v>
      </x:c>
      <x:c r="U26" s="31" t="n">
        <x:f>MAX(S26/T26,T26/S26)</x:f>
        <x:v>9.629308741426023</x:v>
      </x:c>
      <x:c r="V26" s="31" t="n">
        <x:f>L26*'Controls &amp; Summary'!$B$9+O26*'Controls &amp; Summary'!$B$10+R26*'Controls &amp; Summary'!$B$11+U26*'Controls &amp; Summary'!$B$12</x:f>
        <x:v>16.679308741426023</x:v>
      </x:c>
      <x:c r="W26" s="31" t="n">
        <x:v>5.84</x:v>
      </x:c>
      <x:c r="X26" s="31" t="n">
        <x:v>2.14</x:v>
      </x:c>
      <x:c r="Y26" s="31" t="n">
        <x:f>((10-MIN(10,MAX(0,X26)))/10)*'Controls &amp; Summary'!$B$15+((10-MIN(10,MAX(0,W26)))/10)*'Controls &amp; Summary'!$B$16</x:f>
        <x:v>1.202</x:v>
      </x:c>
      <x:c r="Z26" s="31" t="n">
        <x:f>V26*Y26</x:f>
        <x:v>20.048529107194078</x:v>
      </x:c>
      <x:c r="AA26" s="30" t="str">
        <x:f>IF(Z26&lt;=I26,"Peaceful","Hostile")</x:f>
        <x:v>Hostile</x:v>
      </x:c>
      <x:c r="AB26" s="30" t="str">
        <x:f>IF(Z26&lt;='Controls &amp; Summary'!$B$6,"Eligible","Blocked")</x:f>
        <x:v>Blocked</x:v>
      </x:c>
      <x:c r="AC26" s="30" t="str">
        <x:v>2003_AUS</x:v>
      </x:c>
      <x:c r="AD26" s="30" t="str">
        <x:v>2003_PCS</x:v>
      </x:c>
      <x:c r="AE26" s="30" t="str">
        <x:v>2003_Melanesia</x:v>
      </x:c>
      <x:c r="AF26" s="30" t="str">
        <x:v>Explicit capitalClaim</x:v>
      </x:c>
      <x:c r="AG26" s="30" t="str">
        <x:v>Claim2003_AUS2003_Melanesia</x:v>
      </x:c>
      <x:c r="AH26" s="30" t="str">
        <x:v>Project_SouthernCross</x:v>
      </x:c>
    </x:row>
    <x:row r="27">
      <x:c r="A27" s="30" t="str">
        <x:v>2003</x:v>
      </x:c>
      <x:c r="B27" s="30" t="str">
        <x:v>Dark Skies</x:v>
      </x:c>
      <x:c r="C27" s="30" t="str">
        <x:v>Australia</x:v>
      </x:c>
      <x:c r="D27" s="30" t="str">
        <x:v>New Zealand</x:v>
      </x:c>
      <x:c r="E27" s="30" t="str">
        <x:v>Starting claim</x:v>
      </x:c>
      <x:c r="F27" s="30" t="str"/>
      <x:c r="G27" s="30" t="str">
        <x:v>No</x:v>
      </x:c>
      <x:c r="H27" s="30" t="str">
        <x:v>Ordinary claim</x:v>
      </x:c>
      <x:c r="I27" s="31" t="n">
        <x:f>IF(G27="Yes",'Controls &amp; Summary'!$B$5,'Controls &amp; Summary'!$B$4)</x:f>
        <x:v>6</x:v>
      </x:c>
      <x:c r="J27" s="31" t="n">
        <x:v>9.11</x:v>
      </x:c>
      <x:c r="K27" s="31" t="n">
        <x:v>9.02</x:v>
      </x:c>
      <x:c r="L27" s="31" t="n">
        <x:f>ABS(J27-K27)</x:f>
        <x:v>0.08999999999999986</x:v>
      </x:c>
      <x:c r="M27" s="31" t="n">
        <x:v>3.16</x:v>
      </x:c>
      <x:c r="N27" s="31" t="n">
        <x:v>3.25</x:v>
      </x:c>
      <x:c r="O27" s="31" t="n">
        <x:f>ABS(M27-N27)</x:f>
        <x:v>0.08999999999999986</x:v>
      </x:c>
      <x:c r="P27" s="31" t="n">
        <x:v>8.51</x:v>
      </x:c>
      <x:c r="Q27" s="31" t="n">
        <x:v>8.55</x:v>
      </x:c>
      <x:c r="R27" s="31" t="n">
        <x:f>ABS(P27-Q27)</x:f>
        <x:v>0.040000000000000924</x:v>
      </x:c>
      <x:c r="S27" s="32" t="n">
        <x:v>27348.101819555675</x:v>
      </x:c>
      <x:c r="T27" s="32" t="n">
        <x:v>20486.3423678201</x:v>
      </x:c>
      <x:c r="U27" s="31" t="n">
        <x:f>MAX(S27/T27,T27/S27)</x:f>
        <x:v>1.3349431210577645</x:v>
      </x:c>
      <x:c r="V27" s="31" t="n">
        <x:f>L27*'Controls &amp; Summary'!$B$9+O27*'Controls &amp; Summary'!$B$10+R27*'Controls &amp; Summary'!$B$11+U27*'Controls &amp; Summary'!$B$12</x:f>
        <x:v>1.554943121057765</x:v>
      </x:c>
      <x:c r="W27" s="31" t="n">
        <x:v>5.84</x:v>
      </x:c>
      <x:c r="X27" s="31" t="n">
        <x:v>2.2</x:v>
      </x:c>
      <x:c r="Y27" s="31" t="n">
        <x:f>((10-MIN(10,MAX(0,X27)))/10)*'Controls &amp; Summary'!$B$15+((10-MIN(10,MAX(0,W27)))/10)*'Controls &amp; Summary'!$B$16</x:f>
        <x:v>1.1960000000000002</x:v>
      </x:c>
      <x:c r="Z27" s="31" t="n">
        <x:f>V27*Y27</x:f>
        <x:v>1.8597119727850873</x:v>
      </x:c>
      <x:c r="AA27" s="30" t="str">
        <x:f>IF(Z27&lt;=I27,"Peaceful","Hostile")</x:f>
        <x:v>Peaceful</x:v>
      </x:c>
      <x:c r="AB27" s="30" t="str">
        <x:f>IF(Z27&lt;='Controls &amp; Summary'!$B$6,"Eligible","Blocked")</x:f>
        <x:v>Eligible</x:v>
      </x:c>
      <x:c r="AC27" s="30" t="str">
        <x:v>2003_AUS</x:v>
      </x:c>
      <x:c r="AD27" s="30" t="str">
        <x:v>2003_NZL</x:v>
      </x:c>
      <x:c r="AE27" s="30" t="str">
        <x:v>2003_NewZealand</x:v>
      </x:c>
      <x:c r="AF27" s="30" t="str">
        <x:v>Explicit capitalClaim</x:v>
      </x:c>
      <x:c r="AG27" s="30" t="str">
        <x:v>Claim2003_AUS2003_NewZealand</x:v>
      </x:c>
      <x:c r="AH27" s="30" t="str"/>
    </x:row>
    <x:row r="28">
      <x:c r="A28" s="30" t="str">
        <x:v>2003</x:v>
      </x:c>
      <x:c r="B28" s="30" t="str">
        <x:v>Dark Skies</x:v>
      </x:c>
      <x:c r="C28" s="30" t="str">
        <x:v>Australia</x:v>
      </x:c>
      <x:c r="D28" s="30" t="str">
        <x:v>Papua New Guinea</x:v>
      </x:c>
      <x:c r="E28" s="30" t="str">
        <x:v>Project unlock</x:v>
      </x:c>
      <x:c r="F28" s="30" t="str">
        <x:v>Southern Cross</x:v>
      </x:c>
      <x:c r="G28" s="30" t="str">
        <x:v>No</x:v>
      </x:c>
      <x:c r="H28" s="30" t="str">
        <x:v>Ordinary claim</x:v>
      </x:c>
      <x:c r="I28" s="31" t="n">
        <x:f>IF(G28="Yes",'Controls &amp; Summary'!$B$5,'Controls &amp; Summary'!$B$4)</x:f>
        <x:v>6</x:v>
      </x:c>
      <x:c r="J28" s="31" t="n">
        <x:v>9.11</x:v>
      </x:c>
      <x:c r="K28" s="31" t="n">
        <x:v>6.52</x:v>
      </x:c>
      <x:c r="L28" s="31" t="n">
        <x:f>ABS(J28-K28)</x:f>
        <x:v>2.59</x:v>
      </x:c>
      <x:c r="M28" s="31" t="n">
        <x:v>3.16</x:v>
      </x:c>
      <x:c r="N28" s="31" t="n">
        <x:v>4.68</x:v>
      </x:c>
      <x:c r="O28" s="31" t="n">
        <x:f>ABS(M28-N28)</x:f>
        <x:v>1.5199999999999996</x:v>
      </x:c>
      <x:c r="P28" s="31" t="n">
        <x:v>8.51</x:v>
      </x:c>
      <x:c r="Q28" s="31" t="n">
        <x:v>4.39</x:v>
      </x:c>
      <x:c r="R28" s="31" t="n">
        <x:f>ABS(P28-Q28)</x:f>
        <x:v>4.12</x:v>
      </x:c>
      <x:c r="S28" s="32" t="n">
        <x:v>27348.101819555675</x:v>
      </x:c>
      <x:c r="T28" s="32" t="n">
        <x:v>1166.5354586228568</x:v>
      </x:c>
      <x:c r="U28" s="31" t="n">
        <x:f>MAX(S28/T28,T28/S28)</x:f>
        <x:v>23.4438667229552</x:v>
      </x:c>
      <x:c r="V28" s="31" t="n">
        <x:f>L28*'Controls &amp; Summary'!$B$9+O28*'Controls &amp; Summary'!$B$10+R28*'Controls &amp; Summary'!$B$11+U28*'Controls &amp; Summary'!$B$12</x:f>
        <x:v>31.6738667229552</x:v>
      </x:c>
      <x:c r="W28" s="31" t="n">
        <x:v>5.84</x:v>
      </x:c>
      <x:c r="X28" s="31" t="n">
        <x:v>2.59</x:v>
      </x:c>
      <x:c r="Y28" s="31" t="n">
        <x:f>((10-MIN(10,MAX(0,X28)))/10)*'Controls &amp; Summary'!$B$15+((10-MIN(10,MAX(0,W28)))/10)*'Controls &amp; Summary'!$B$16</x:f>
        <x:v>1.157</x:v>
      </x:c>
      <x:c r="Z28" s="31" t="n">
        <x:f>V28*Y28</x:f>
        <x:v>36.646663798459166</x:v>
      </x:c>
      <x:c r="AA28" s="30" t="str">
        <x:f>IF(Z28&lt;=I28,"Peaceful","Hostile")</x:f>
        <x:v>Hostile</x:v>
      </x:c>
      <x:c r="AB28" s="30" t="str">
        <x:f>IF(Z28&lt;='Controls &amp; Summary'!$B$6,"Eligible","Blocked")</x:f>
        <x:v>Blocked</x:v>
      </x:c>
      <x:c r="AC28" s="30" t="str">
        <x:v>2003_AUS</x:v>
      </x:c>
      <x:c r="AD28" s="30" t="str">
        <x:v>2003_PNG</x:v>
      </x:c>
      <x:c r="AE28" s="30" t="str">
        <x:v>2003_PortMorseby</x:v>
      </x:c>
      <x:c r="AF28" s="30" t="str">
        <x:v>Explicit capitalClaim</x:v>
      </x:c>
      <x:c r="AG28" s="30" t="str">
        <x:v>Claim2003_AUS2003_PortMorseby</x:v>
      </x:c>
      <x:c r="AH28" s="30" t="str">
        <x:v>Project_SouthernCross</x:v>
      </x:c>
    </x:row>
    <x:row r="29">
      <x:c r="A29" s="30" t="str">
        <x:v>2003</x:v>
      </x:c>
      <x:c r="B29" s="30" t="str">
        <x:v>Dark Skies</x:v>
      </x:c>
      <x:c r="C29" s="30" t="str">
        <x:v>Australia</x:v>
      </x:c>
      <x:c r="D29" s="30" t="str">
        <x:v>Polynesian States</x:v>
      </x:c>
      <x:c r="E29" s="30" t="str">
        <x:v>Project unlock</x:v>
      </x:c>
      <x:c r="F29" s="30" t="str">
        <x:v>Southern Cross</x:v>
      </x:c>
      <x:c r="G29" s="30" t="str">
        <x:v>No</x:v>
      </x:c>
      <x:c r="H29" s="30" t="str">
        <x:v>Ordinary claim</x:v>
      </x:c>
      <x:c r="I29" s="31" t="n">
        <x:f>IF(G29="Yes",'Controls &amp; Summary'!$B$5,'Controls &amp; Summary'!$B$4)</x:f>
        <x:v>6</x:v>
      </x:c>
      <x:c r="J29" s="31" t="n">
        <x:v>9.11</x:v>
      </x:c>
      <x:c r="K29" s="31" t="n">
        <x:v>7.11</x:v>
      </x:c>
      <x:c r="L29" s="31" t="n">
        <x:f>ABS(J29-K29)</x:f>
        <x:v>1.9999999999999991</x:v>
      </x:c>
      <x:c r="M29" s="31" t="n">
        <x:v>3.16</x:v>
      </x:c>
      <x:c r="N29" s="31" t="n">
        <x:v>4</x:v>
      </x:c>
      <x:c r="O29" s="31" t="n">
        <x:f>ABS(M29-N29)</x:f>
        <x:v>0.8399999999999999</x:v>
      </x:c>
      <x:c r="P29" s="31" t="n">
        <x:v>8.51</x:v>
      </x:c>
      <x:c r="Q29" s="31" t="n">
        <x:v>6.16</x:v>
      </x:c>
      <x:c r="R29" s="31" t="n">
        <x:f>ABS(P29-Q29)</x:f>
        <x:v>2.3499999999999996</x:v>
      </x:c>
      <x:c r="S29" s="32" t="n">
        <x:v>27348.101819555675</x:v>
      </x:c>
      <x:c r="T29" s="32" t="n">
        <x:v>1959.1319862944033</x:v>
      </x:c>
      <x:c r="U29" s="31" t="n">
        <x:f>MAX(S29/T29,T29/S29)</x:f>
        <x:v>13.959295244463439</x:v>
      </x:c>
      <x:c r="V29" s="31" t="n">
        <x:f>L29*'Controls &amp; Summary'!$B$9+O29*'Controls &amp; Summary'!$B$10+R29*'Controls &amp; Summary'!$B$11+U29*'Controls &amp; Summary'!$B$12</x:f>
        <x:v>19.14929524446344</x:v>
      </x:c>
      <x:c r="W29" s="31" t="n">
        <x:v>5.84</x:v>
      </x:c>
      <x:c r="X29" s="31" t="n">
        <x:v>0.7</x:v>
      </x:c>
      <x:c r="Y29" s="31" t="n">
        <x:f>((10-MIN(10,MAX(0,X29)))/10)*'Controls &amp; Summary'!$B$15+((10-MIN(10,MAX(0,W29)))/10)*'Controls &amp; Summary'!$B$16</x:f>
        <x:v>1.346</x:v>
      </x:c>
      <x:c r="Z29" s="31" t="n">
        <x:f>V29*Y29</x:f>
        <x:v>25.77495139904779</x:v>
      </x:c>
      <x:c r="AA29" s="30" t="str">
        <x:f>IF(Z29&lt;=I29,"Peaceful","Hostile")</x:f>
        <x:v>Hostile</x:v>
      </x:c>
      <x:c r="AB29" s="30" t="str">
        <x:f>IF(Z29&lt;='Controls &amp; Summary'!$B$6,"Eligible","Blocked")</x:f>
        <x:v>Blocked</x:v>
      </x:c>
      <x:c r="AC29" s="30" t="str">
        <x:v>2003_AUS</x:v>
      </x:c>
      <x:c r="AD29" s="30" t="str">
        <x:v>2003_PLS</x:v>
      </x:c>
      <x:c r="AE29" s="30" t="str">
        <x:v>2003_Polynesia</x:v>
      </x:c>
      <x:c r="AF29" s="30" t="str">
        <x:v>Explicit capitalClaim</x:v>
      </x:c>
      <x:c r="AG29" s="30" t="str">
        <x:v>Claim2003_AUS2003_Polynesia</x:v>
      </x:c>
      <x:c r="AH29" s="30" t="str">
        <x:v>Project_SouthernCross</x:v>
      </x:c>
    </x:row>
    <x:row r="30">
      <x:c r="A30" s="30" t="str">
        <x:v>2003</x:v>
      </x:c>
      <x:c r="B30" s="30" t="str">
        <x:v>Dark Skies</x:v>
      </x:c>
      <x:c r="C30" s="30" t="str">
        <x:v>Australia</x:v>
      </x:c>
      <x:c r="D30" s="30" t="str">
        <x:v>Timor-Leste</x:v>
      </x:c>
      <x:c r="E30" s="30" t="str">
        <x:v>Project unlock</x:v>
      </x:c>
      <x:c r="F30" s="30" t="str">
        <x:v>Southern Cross</x:v>
      </x:c>
      <x:c r="G30" s="30" t="str">
        <x:v>No</x:v>
      </x:c>
      <x:c r="H30" s="30" t="str">
        <x:v>Ordinary claim</x:v>
      </x:c>
      <x:c r="I30" s="31" t="n">
        <x:f>IF(G30="Yes",'Controls &amp; Summary'!$B$5,'Controls &amp; Summary'!$B$4)</x:f>
        <x:v>6</x:v>
      </x:c>
      <x:c r="J30" s="31" t="n">
        <x:v>9.11</x:v>
      </x:c>
      <x:c r="K30" s="31" t="n">
        <x:v>6.46</x:v>
      </x:c>
      <x:c r="L30" s="31" t="n">
        <x:f>ABS(J30-K30)</x:f>
        <x:v>2.6499999999999995</x:v>
      </x:c>
      <x:c r="M30" s="31" t="n">
        <x:v>3.16</x:v>
      </x:c>
      <x:c r="N30" s="31" t="n">
        <x:v>3.42</x:v>
      </x:c>
      <x:c r="O30" s="31" t="n">
        <x:f>ABS(M30-N30)</x:f>
        <x:v>0.2599999999999998</x:v>
      </x:c>
      <x:c r="P30" s="31" t="n">
        <x:v>8.51</x:v>
      </x:c>
      <x:c r="Q30" s="31" t="n">
        <x:v>4.42</x:v>
      </x:c>
      <x:c r="R30" s="31" t="n">
        <x:f>ABS(P30-Q30)</x:f>
        <x:v>4.09</x:v>
      </x:c>
      <x:c r="S30" s="32" t="n">
        <x:v>27348.101819555675</x:v>
      </x:c>
      <x:c r="T30" s="32" t="n">
        <x:v>1200.999032586669</x:v>
      </x:c>
      <x:c r="U30" s="31" t="n">
        <x:f>MAX(S30/T30,T30/S30)</x:f>
        <x:v>22.771127267816617</x:v>
      </x:c>
      <x:c r="V30" s="31" t="n">
        <x:f>L30*'Controls &amp; Summary'!$B$9+O30*'Controls &amp; Summary'!$B$10+R30*'Controls &amp; Summary'!$B$11+U30*'Controls &amp; Summary'!$B$12</x:f>
        <x:v>29.771127267816617</x:v>
      </x:c>
      <x:c r="W30" s="31" t="n">
        <x:v>5.84</x:v>
      </x:c>
      <x:c r="X30" s="31" t="n">
        <x:v>2.52</x:v>
      </x:c>
      <x:c r="Y30" s="31" t="n">
        <x:f>((10-MIN(10,MAX(0,X30)))/10)*'Controls &amp; Summary'!$B$15+((10-MIN(10,MAX(0,W30)))/10)*'Controls &amp; Summary'!$B$16</x:f>
        <x:v>1.1640000000000001</x:v>
      </x:c>
      <x:c r="Z30" s="31" t="n">
        <x:f>V30*Y30</x:f>
        <x:v>34.65359213973855</x:v>
      </x:c>
      <x:c r="AA30" s="30" t="str">
        <x:f>IF(Z30&lt;=I30,"Peaceful","Hostile")</x:f>
        <x:v>Hostile</x:v>
      </x:c>
      <x:c r="AB30" s="30" t="str">
        <x:f>IF(Z30&lt;='Controls &amp; Summary'!$B$6,"Eligible","Blocked")</x:f>
        <x:v>Blocked</x:v>
      </x:c>
      <x:c r="AC30" s="30" t="str">
        <x:v>2003_AUS</x:v>
      </x:c>
      <x:c r="AD30" s="30" t="str">
        <x:v>2003_TLS</x:v>
      </x:c>
      <x:c r="AE30" s="30" t="str">
        <x:v>2003_TimorLeste</x:v>
      </x:c>
      <x:c r="AF30" s="30" t="str">
        <x:v>Explicit capitalClaim</x:v>
      </x:c>
      <x:c r="AG30" s="30" t="str">
        <x:v>Claim2003_AUS2003_TimorLeste</x:v>
      </x:c>
      <x:c r="AH30" s="30" t="str">
        <x:v>Project_SouthernCross</x:v>
      </x:c>
    </x:row>
    <x:row r="31">
      <x:c r="A31" s="30" t="str">
        <x:v>2003</x:v>
      </x:c>
      <x:c r="B31" s="30" t="str">
        <x:v>Dark Skies</x:v>
      </x:c>
      <x:c r="C31" s="30" t="str">
        <x:v>Bolivia</x:v>
      </x:c>
      <x:c r="D31" s="30" t="str">
        <x:v>Argentina</x:v>
      </x:c>
      <x:c r="E31" s="30" t="str">
        <x:v>Project unlock</x:v>
      </x:c>
      <x:c r="F31" s="30" t="str">
        <x:v>South American Union</x:v>
      </x:c>
      <x:c r="G31" s="30" t="str">
        <x:v>No</x:v>
      </x:c>
      <x:c r="H31" s="30" t="str">
        <x:v>Ordinary claim</x:v>
      </x:c>
      <x:c r="I31" s="31" t="n">
        <x:f>IF(G31="Yes",'Controls &amp; Summary'!$B$5,'Controls &amp; Summary'!$B$4)</x:f>
        <x:v>6</x:v>
      </x:c>
      <x:c r="J31" s="31" t="n">
        <x:v>6.41</x:v>
      </x:c>
      <x:c r="K31" s="31" t="n">
        <x:v>6.81</x:v>
      </x:c>
      <x:c r="L31" s="31" t="n">
        <x:f>ABS(J31-K31)</x:f>
        <x:v>0.39999999999999947</x:v>
      </x:c>
      <x:c r="M31" s="31" t="n">
        <x:v>5.33</x:v>
      </x:c>
      <x:c r="N31" s="31" t="n">
        <x:v>4.62</x:v>
      </x:c>
      <x:c r="O31" s="31" t="n">
        <x:f>ABS(M31-N31)</x:f>
        <x:v>0.71</x:v>
      </x:c>
      <x:c r="P31" s="31" t="n">
        <x:v>5.64</x:v>
      </x:c>
      <x:c r="Q31" s="31" t="n">
        <x:v>7.39</x:v>
      </x:c>
      <x:c r="R31" s="31" t="n">
        <x:f>ABS(P31-Q31)</x:f>
        <x:v>1.75</x:v>
      </x:c>
      <x:c r="S31" s="32" t="n">
        <x:v>2486.1893981680973</x:v>
      </x:c>
      <x:c r="T31" s="32" t="n">
        <x:v>7443.195167342359</x:v>
      </x:c>
      <x:c r="U31" s="31" t="n">
        <x:f>MAX(S31/T31,T31/S31)</x:f>
        <x:v>2.993816630714756</x:v>
      </x:c>
      <x:c r="V31" s="31" t="n">
        <x:f>L31*'Controls &amp; Summary'!$B$9+O31*'Controls &amp; Summary'!$B$10+R31*'Controls &amp; Summary'!$B$11+U31*'Controls &amp; Summary'!$B$12</x:f>
        <x:v>5.853816630714755</x:v>
      </x:c>
      <x:c r="W31" s="31" t="n">
        <x:v>0.41</x:v>
      </x:c>
      <x:c r="X31" s="31" t="n">
        <x:v>2.12</x:v>
      </x:c>
      <x:c r="Y31" s="31" t="n">
        <x:f>((10-MIN(10,MAX(0,X31)))/10)*'Controls &amp; Summary'!$B$15+((10-MIN(10,MAX(0,W31)))/10)*'Controls &amp; Summary'!$B$16</x:f>
        <x:v>1.7469999999999999</x:v>
      </x:c>
      <x:c r="Z31" s="31" t="n">
        <x:f>V31*Y31</x:f>
        <x:v>10.226617653858677</x:v>
      </x:c>
      <x:c r="AA31" s="30" t="str">
        <x:f>IF(Z31&lt;=I31,"Peaceful","Hostile")</x:f>
        <x:v>Hostile</x:v>
      </x:c>
      <x:c r="AB31" s="30" t="str">
        <x:f>IF(Z31&lt;='Controls &amp; Summary'!$B$6,"Eligible","Blocked")</x:f>
        <x:v>Eligible</x:v>
      </x:c>
      <x:c r="AC31" s="30" t="str">
        <x:v>2003_BOL</x:v>
      </x:c>
      <x:c r="AD31" s="30" t="str">
        <x:v>2003_ARG</x:v>
      </x:c>
      <x:c r="AE31" s="30" t="str">
        <x:v>2003_Pampas</x:v>
      </x:c>
      <x:c r="AF31" s="30" t="str">
        <x:v>Explicit capitalClaim</x:v>
      </x:c>
      <x:c r="AG31" s="30" t="str">
        <x:v>Claim2003_BOL2003_Pampas</x:v>
      </x:c>
      <x:c r="AH31" s="30" t="str">
        <x:v>Project_SouthAmericanUnion</x:v>
      </x:c>
    </x:row>
    <x:row r="32">
      <x:c r="A32" s="30" t="str">
        <x:v>2003</x:v>
      </x:c>
      <x:c r="B32" s="30" t="str">
        <x:v>Dark Skies</x:v>
      </x:c>
      <x:c r="C32" s="30" t="str">
        <x:v>Bolivia</x:v>
      </x:c>
      <x:c r="D32" s="30" t="str">
        <x:v>Brazil</x:v>
      </x:c>
      <x:c r="E32" s="30" t="str">
        <x:v>Project unlock</x:v>
      </x:c>
      <x:c r="F32" s="30" t="str">
        <x:v>South American Union</x:v>
      </x:c>
      <x:c r="G32" s="30" t="str">
        <x:v>No</x:v>
      </x:c>
      <x:c r="H32" s="30" t="str">
        <x:v>Ordinary claim</x:v>
      </x:c>
      <x:c r="I32" s="31" t="n">
        <x:f>IF(G32="Yes",'Controls &amp; Summary'!$B$5,'Controls &amp; Summary'!$B$4)</x:f>
        <x:v>6</x:v>
      </x:c>
      <x:c r="J32" s="31" t="n">
        <x:v>6.41</x:v>
      </x:c>
      <x:c r="K32" s="31" t="n">
        <x:v>6.97</x:v>
      </x:c>
      <x:c r="L32" s="31" t="n">
        <x:f>ABS(J32-K32)</x:f>
        <x:v>0.5599999999999996</x:v>
      </x:c>
      <x:c r="M32" s="31" t="n">
        <x:v>5.33</x:v>
      </x:c>
      <x:c r="N32" s="31" t="n">
        <x:v>5.2</x:v>
      </x:c>
      <x:c r="O32" s="31" t="n">
        <x:f>ABS(M32-N32)</x:f>
        <x:v>0.1299999999999999</x:v>
      </x:c>
      <x:c r="P32" s="31" t="n">
        <x:v>5.64</x:v>
      </x:c>
      <x:c r="Q32" s="31" t="n">
        <x:v>6.3</x:v>
      </x:c>
      <x:c r="R32" s="31" t="n">
        <x:f>ABS(P32-Q32)</x:f>
        <x:v>0.6600000000000001</x:v>
      </x:c>
      <x:c r="S32" s="32" t="n">
        <x:v>2486.1893981680973</x:v>
      </x:c>
      <x:c r="T32" s="32" t="n">
        <x:v>5274.595935068799</x:v>
      </x:c>
      <x:c r="U32" s="31" t="n">
        <x:f>MAX(S32/T32,T32/S32)</x:f>
        <x:v>2.121558373209735</x:v>
      </x:c>
      <x:c r="V32" s="31" t="n">
        <x:f>L32*'Controls &amp; Summary'!$B$9+O32*'Controls &amp; Summary'!$B$10+R32*'Controls &amp; Summary'!$B$11+U32*'Controls &amp; Summary'!$B$12</x:f>
        <x:v>3.4715583732097346</x:v>
      </x:c>
      <x:c r="W32" s="31" t="n">
        <x:v>0.41</x:v>
      </x:c>
      <x:c r="X32" s="31" t="n">
        <x:v>3.27</x:v>
      </x:c>
      <x:c r="Y32" s="31" t="n">
        <x:f>((10-MIN(10,MAX(0,X32)))/10)*'Controls &amp; Summary'!$B$15+((10-MIN(10,MAX(0,W32)))/10)*'Controls &amp; Summary'!$B$16</x:f>
        <x:v>1.6320000000000001</x:v>
      </x:c>
      <x:c r="Z32" s="31" t="n">
        <x:f>V32*Y32</x:f>
        <x:v>5.665583265078287</x:v>
      </x:c>
      <x:c r="AA32" s="30" t="str">
        <x:f>IF(Z32&lt;=I32,"Peaceful","Hostile")</x:f>
        <x:v>Peaceful</x:v>
      </x:c>
      <x:c r="AB32" s="30" t="str">
        <x:f>IF(Z32&lt;='Controls &amp; Summary'!$B$6,"Eligible","Blocked")</x:f>
        <x:v>Eligible</x:v>
      </x:c>
      <x:c r="AC32" s="30" t="str">
        <x:v>2003_BOL</x:v>
      </x:c>
      <x:c r="AD32" s="30" t="str">
        <x:v>2003_BRA</x:v>
      </x:c>
      <x:c r="AE32" s="30" t="str">
        <x:v>2003_Brasilia</x:v>
      </x:c>
      <x:c r="AF32" s="30" t="str">
        <x:v>Explicit capitalClaim</x:v>
      </x:c>
      <x:c r="AG32" s="30" t="str">
        <x:v>Claim2003_BOL2003_Brasilia</x:v>
      </x:c>
      <x:c r="AH32" s="30" t="str">
        <x:v>Project_SouthAmericanUnion</x:v>
      </x:c>
    </x:row>
    <x:row r="33">
      <x:c r="A33" s="30" t="str">
        <x:v>2003</x:v>
      </x:c>
      <x:c r="B33" s="30" t="str">
        <x:v>Dark Skies</x:v>
      </x:c>
      <x:c r="C33" s="30" t="str">
        <x:v>Bolivia</x:v>
      </x:c>
      <x:c r="D33" s="30" t="str">
        <x:v>Chile</x:v>
      </x:c>
      <x:c r="E33" s="30" t="str">
        <x:v>Project unlock</x:v>
      </x:c>
      <x:c r="F33" s="30" t="str">
        <x:v>South American Union</x:v>
      </x:c>
      <x:c r="G33" s="30" t="str">
        <x:v>No</x:v>
      </x:c>
      <x:c r="H33" s="30" t="str">
        <x:v>Ordinary claim</x:v>
      </x:c>
      <x:c r="I33" s="31" t="n">
        <x:f>IF(G33="Yes",'Controls &amp; Summary'!$B$5,'Controls &amp; Summary'!$B$4)</x:f>
        <x:v>6</x:v>
      </x:c>
      <x:c r="J33" s="31" t="n">
        <x:v>6.41</x:v>
      </x:c>
      <x:c r="K33" s="31" t="n">
        <x:v>7.71</x:v>
      </x:c>
      <x:c r="L33" s="31" t="n">
        <x:f>ABS(J33-K33)</x:f>
        <x:v>1.2999999999999998</x:v>
      </x:c>
      <x:c r="M33" s="31" t="n">
        <x:v>5.33</x:v>
      </x:c>
      <x:c r="N33" s="31" t="n">
        <x:v>4.99</x:v>
      </x:c>
      <x:c r="O33" s="31" t="n">
        <x:f>ABS(M33-N33)</x:f>
        <x:v>0.33999999999999986</x:v>
      </x:c>
      <x:c r="P33" s="31" t="n">
        <x:v>5.64</x:v>
      </x:c>
      <x:c r="Q33" s="31" t="n">
        <x:v>7.22</x:v>
      </x:c>
      <x:c r="R33" s="31" t="n">
        <x:f>ABS(P33-Q33)</x:f>
        <x:v>1.58</x:v>
      </x:c>
      <x:c r="S33" s="32" t="n">
        <x:v>2486.1893981680973</x:v>
      </x:c>
      <x:c r="T33" s="32" t="n">
        <x:v>7414.516584968054</x:v>
      </x:c>
      <x:c r="U33" s="31" t="n">
        <x:f>MAX(S33/T33,T33/S33)</x:f>
        <x:v>2.982281474786798</x:v>
      </x:c>
      <x:c r="V33" s="31" t="n">
        <x:f>L33*'Controls &amp; Summary'!$B$9+O33*'Controls &amp; Summary'!$B$10+R33*'Controls &amp; Summary'!$B$11+U33*'Controls &amp; Summary'!$B$12</x:f>
        <x:v>6.202281474786798</x:v>
      </x:c>
      <x:c r="W33" s="31" t="n">
        <x:v>0.41</x:v>
      </x:c>
      <x:c r="X33" s="31" t="n">
        <x:v>2.19</x:v>
      </x:c>
      <x:c r="Y33" s="31" t="n">
        <x:f>((10-MIN(10,MAX(0,X33)))/10)*'Controls &amp; Summary'!$B$15+((10-MIN(10,MAX(0,W33)))/10)*'Controls &amp; Summary'!$B$16</x:f>
        <x:v>1.74</x:v>
      </x:c>
      <x:c r="Z33" s="31" t="n">
        <x:f>V33*Y33</x:f>
        <x:v>10.791969766129029</x:v>
      </x:c>
      <x:c r="AA33" s="30" t="str">
        <x:f>IF(Z33&lt;=I33,"Peaceful","Hostile")</x:f>
        <x:v>Hostile</x:v>
      </x:c>
      <x:c r="AB33" s="30" t="str">
        <x:f>IF(Z33&lt;='Controls &amp; Summary'!$B$6,"Eligible","Blocked")</x:f>
        <x:v>Eligible</x:v>
      </x:c>
      <x:c r="AC33" s="30" t="str">
        <x:v>2003_BOL</x:v>
      </x:c>
      <x:c r="AD33" s="30" t="str">
        <x:v>2003_CHL</x:v>
      </x:c>
      <x:c r="AE33" s="30" t="str">
        <x:v>2003_Santiago</x:v>
      </x:c>
      <x:c r="AF33" s="30" t="str">
        <x:v>Explicit capitalClaim</x:v>
      </x:c>
      <x:c r="AG33" s="30" t="str">
        <x:v>Claim2003_BOL2003_Santiago</x:v>
      </x:c>
      <x:c r="AH33" s="30" t="str">
        <x:v>Project_SouthAmericanUnion</x:v>
      </x:c>
    </x:row>
    <x:row r="34">
      <x:c r="A34" s="30" t="str">
        <x:v>2003</x:v>
      </x:c>
      <x:c r="B34" s="30" t="str">
        <x:v>Dark Skies</x:v>
      </x:c>
      <x:c r="C34" s="30" t="str">
        <x:v>Bolivia</x:v>
      </x:c>
      <x:c r="D34" s="30" t="str">
        <x:v>Colombia</x:v>
      </x:c>
      <x:c r="E34" s="30" t="str">
        <x:v>Project unlock</x:v>
      </x:c>
      <x:c r="F34" s="30" t="str">
        <x:v>South American Union</x:v>
      </x:c>
      <x:c r="G34" s="30" t="str">
        <x:v>No</x:v>
      </x:c>
      <x:c r="H34" s="30" t="str">
        <x:v>Ordinary claim</x:v>
      </x:c>
      <x:c r="I34" s="31" t="n">
        <x:f>IF(G34="Yes",'Controls &amp; Summary'!$B$5,'Controls &amp; Summary'!$B$4)</x:f>
        <x:v>6</x:v>
      </x:c>
      <x:c r="J34" s="31" t="n">
        <x:v>6.41</x:v>
      </x:c>
      <x:c r="K34" s="31" t="n">
        <x:v>6.24</x:v>
      </x:c>
      <x:c r="L34" s="31" t="n">
        <x:f>ABS(J34-K34)</x:f>
        <x:v>0.16999999999999993</x:v>
      </x:c>
      <x:c r="M34" s="31" t="n">
        <x:v>5.33</x:v>
      </x:c>
      <x:c r="N34" s="31" t="n">
        <x:v>5.09</x:v>
      </x:c>
      <x:c r="O34" s="31" t="n">
        <x:f>ABS(M34-N34)</x:f>
        <x:v>0.2400000000000002</x:v>
      </x:c>
      <x:c r="P34" s="31" t="n">
        <x:v>5.64</x:v>
      </x:c>
      <x:c r="Q34" s="31" t="n">
        <x:v>6.14</x:v>
      </x:c>
      <x:c r="R34" s="31" t="n">
        <x:f>ABS(P34-Q34)</x:f>
        <x:v>0.5</x:v>
      </x:c>
      <x:c r="S34" s="32" t="n">
        <x:v>2486.1893981680973</x:v>
      </x:c>
      <x:c r="T34" s="32" t="n">
        <x:v>4285.201843012662</x:v>
      </x:c>
      <x:c r="U34" s="31" t="n">
        <x:f>MAX(S34/T34,T34/S34)</x:f>
        <x:v>1.7236023314113291</x:v>
      </x:c>
      <x:c r="V34" s="31" t="n">
        <x:f>L34*'Controls &amp; Summary'!$B$9+O34*'Controls &amp; Summary'!$B$10+R34*'Controls &amp; Summary'!$B$11+U34*'Controls &amp; Summary'!$B$12</x:f>
        <x:v>2.6336023314113293</x:v>
      </x:c>
      <x:c r="W34" s="31" t="n">
        <x:v>0.41</x:v>
      </x:c>
      <x:c r="X34" s="31" t="n">
        <x:v>9.52</x:v>
      </x:c>
      <x:c r="Y34" s="31" t="n">
        <x:f>((10-MIN(10,MAX(0,X34)))/10)*'Controls &amp; Summary'!$B$15+((10-MIN(10,MAX(0,W34)))/10)*'Controls &amp; Summary'!$B$16</x:f>
        <x:v>1.0070000000000001</x:v>
      </x:c>
      <x:c r="Z34" s="31" t="n">
        <x:f>V34*Y34</x:f>
        <x:v>2.652037547731209</x:v>
      </x:c>
      <x:c r="AA34" s="30" t="str">
        <x:f>IF(Z34&lt;=I34,"Peaceful","Hostile")</x:f>
        <x:v>Peaceful</x:v>
      </x:c>
      <x:c r="AB34" s="30" t="str">
        <x:f>IF(Z34&lt;='Controls &amp; Summary'!$B$6,"Eligible","Blocked")</x:f>
        <x:v>Eligible</x:v>
      </x:c>
      <x:c r="AC34" s="30" t="str">
        <x:v>2003_BOL</x:v>
      </x:c>
      <x:c r="AD34" s="30" t="str">
        <x:v>2003_COL</x:v>
      </x:c>
      <x:c r="AE34" s="30" t="str">
        <x:v>2003_Colombia</x:v>
      </x:c>
      <x:c r="AF34" s="30" t="str">
        <x:v>Explicit capitalClaim</x:v>
      </x:c>
      <x:c r="AG34" s="30" t="str">
        <x:v>Claim2003_BOL2003_Colombia</x:v>
      </x:c>
      <x:c r="AH34" s="30" t="str">
        <x:v>Project_SouthAmericanUnion</x:v>
      </x:c>
    </x:row>
    <x:row r="35">
      <x:c r="A35" s="30" t="str">
        <x:v>2003</x:v>
      </x:c>
      <x:c r="B35" s="30" t="str">
        <x:v>Dark Skies</x:v>
      </x:c>
      <x:c r="C35" s="30" t="str">
        <x:v>Bolivia</x:v>
      </x:c>
      <x:c r="D35" s="30" t="str">
        <x:v>Ecuador</x:v>
      </x:c>
      <x:c r="E35" s="30" t="str">
        <x:v>Project unlock</x:v>
      </x:c>
      <x:c r="F35" s="30" t="str">
        <x:v>South American Union</x:v>
      </x:c>
      <x:c r="G35" s="30" t="str">
        <x:v>No</x:v>
      </x:c>
      <x:c r="H35" s="30" t="str">
        <x:v>Ordinary claim</x:v>
      </x:c>
      <x:c r="I35" s="31" t="n">
        <x:f>IF(G35="Yes",'Controls &amp; Summary'!$B$5,'Controls &amp; Summary'!$B$4)</x:f>
        <x:v>6</x:v>
      </x:c>
      <x:c r="J35" s="31" t="n">
        <x:v>6.41</x:v>
      </x:c>
      <x:c r="K35" s="31" t="n">
        <x:v>5.63</x:v>
      </x:c>
      <x:c r="L35" s="31" t="n">
        <x:f>ABS(J35-K35)</x:f>
        <x:v>0.7800000000000002</x:v>
      </x:c>
      <x:c r="M35" s="31" t="n">
        <x:v>5.33</x:v>
      </x:c>
      <x:c r="N35" s="31" t="n">
        <x:v>4.98</x:v>
      </x:c>
      <x:c r="O35" s="31" t="n">
        <x:f>ABS(M35-N35)</x:f>
        <x:v>0.34999999999999964</x:v>
      </x:c>
      <x:c r="P35" s="31" t="n">
        <x:v>5.64</x:v>
      </x:c>
      <x:c r="Q35" s="31" t="n">
        <x:v>6.28</x:v>
      </x:c>
      <x:c r="R35" s="31" t="n">
        <x:f>ABS(P35-Q35)</x:f>
        <x:v>0.6400000000000006</x:v>
      </x:c>
      <x:c r="S35" s="32" t="n">
        <x:v>2486.1893981680973</x:v>
      </x:c>
      <x:c r="T35" s="32" t="n">
        <x:v>3671.7238750743513</x:v>
      </x:c>
      <x:c r="U35" s="31" t="n">
        <x:f>MAX(S35/T35,T35/S35)</x:f>
        <x:v>1.476848013984692</x:v>
      </x:c>
      <x:c r="V35" s="31" t="n">
        <x:f>L35*'Controls &amp; Summary'!$B$9+O35*'Controls &amp; Summary'!$B$10+R35*'Controls &amp; Summary'!$B$11+U35*'Controls &amp; Summary'!$B$12</x:f>
        <x:v>3.2468480139846925</x:v>
      </x:c>
      <x:c r="W35" s="31" t="n">
        <x:v>0.41</x:v>
      </x:c>
      <x:c r="X35" s="31" t="n">
        <x:v>1.44</x:v>
      </x:c>
      <x:c r="Y35" s="31" t="n">
        <x:f>((10-MIN(10,MAX(0,X35)))/10)*'Controls &amp; Summary'!$B$15+((10-MIN(10,MAX(0,W35)))/10)*'Controls &amp; Summary'!$B$16</x:f>
        <x:v>1.815</x:v>
      </x:c>
      <x:c r="Z35" s="31" t="n">
        <x:f>V35*Y35</x:f>
        <x:v>5.893029145382217</x:v>
      </x:c>
      <x:c r="AA35" s="30" t="str">
        <x:f>IF(Z35&lt;=I35,"Peaceful","Hostile")</x:f>
        <x:v>Peaceful</x:v>
      </x:c>
      <x:c r="AB35" s="30" t="str">
        <x:f>IF(Z35&lt;='Controls &amp; Summary'!$B$6,"Eligible","Blocked")</x:f>
        <x:v>Eligible</x:v>
      </x:c>
      <x:c r="AC35" s="30" t="str">
        <x:v>2003_BOL</x:v>
      </x:c>
      <x:c r="AD35" s="30" t="str">
        <x:v>2003_ECU</x:v>
      </x:c>
      <x:c r="AE35" s="30" t="str">
        <x:v>2003_Ecuador</x:v>
      </x:c>
      <x:c r="AF35" s="30" t="str">
        <x:v>Explicit capitalClaim</x:v>
      </x:c>
      <x:c r="AG35" s="30" t="str">
        <x:v>Claim2003_BOL2003_Ecuador</x:v>
      </x:c>
      <x:c r="AH35" s="30" t="str">
        <x:v>Project_SouthAmericanUnion</x:v>
      </x:c>
    </x:row>
    <x:row r="36">
      <x:c r="A36" s="30" t="str">
        <x:v>2003</x:v>
      </x:c>
      <x:c r="B36" s="30" t="str">
        <x:v>Dark Skies</x:v>
      </x:c>
      <x:c r="C36" s="30" t="str">
        <x:v>Bolivia</x:v>
      </x:c>
      <x:c r="D36" s="30" t="str">
        <x:v>Guyana</x:v>
      </x:c>
      <x:c r="E36" s="30" t="str">
        <x:v>Project unlock</x:v>
      </x:c>
      <x:c r="F36" s="30" t="str">
        <x:v>South American Union</x:v>
      </x:c>
      <x:c r="G36" s="30" t="str">
        <x:v>No</x:v>
      </x:c>
      <x:c r="H36" s="30" t="str">
        <x:v>Ordinary claim</x:v>
      </x:c>
      <x:c r="I36" s="31" t="n">
        <x:f>IF(G36="Yes",'Controls &amp; Summary'!$B$5,'Controls &amp; Summary'!$B$4)</x:f>
        <x:v>6</x:v>
      </x:c>
      <x:c r="J36" s="31" t="n">
        <x:v>6.41</x:v>
      </x:c>
      <x:c r="K36" s="31" t="n">
        <x:v>6.17</x:v>
      </x:c>
      <x:c r="L36" s="31" t="n">
        <x:f>ABS(J36-K36)</x:f>
        <x:v>0.2400000000000002</x:v>
      </x:c>
      <x:c r="M36" s="31" t="n">
        <x:v>5.33</x:v>
      </x:c>
      <x:c r="N36" s="31" t="n">
        <x:v>4.63</x:v>
      </x:c>
      <x:c r="O36" s="31" t="n">
        <x:f>ABS(M36-N36)</x:f>
        <x:v>0.7000000000000002</x:v>
      </x:c>
      <x:c r="P36" s="31" t="n">
        <x:v>5.64</x:v>
      </x:c>
      <x:c r="Q36" s="31" t="n">
        <x:v>5</x:v>
      </x:c>
      <x:c r="R36" s="31" t="n">
        <x:f>ABS(P36-Q36)</x:f>
        <x:v>0.6399999999999997</x:v>
      </x:c>
      <x:c r="S36" s="32" t="n">
        <x:v>2486.1893981680973</x:v>
      </x:c>
      <x:c r="T36" s="32" t="n">
        <x:v>3560.418691627976</x:v>
      </x:c>
      <x:c r="U36" s="31" t="n">
        <x:f>MAX(S36/T36,T36/S36)</x:f>
        <x:v>1.4320786237168435</x:v>
      </x:c>
      <x:c r="V36" s="31" t="n">
        <x:f>L36*'Controls &amp; Summary'!$B$9+O36*'Controls &amp; Summary'!$B$10+R36*'Controls &amp; Summary'!$B$11+U36*'Controls &amp; Summary'!$B$12</x:f>
        <x:v>3.0120786237168433</x:v>
      </x:c>
      <x:c r="W36" s="31" t="n">
        <x:v>0.41</x:v>
      </x:c>
      <x:c r="X36" s="31" t="n">
        <x:v>3.01</x:v>
      </x:c>
      <x:c r="Y36" s="31" t="n">
        <x:f>((10-MIN(10,MAX(0,X36)))/10)*'Controls &amp; Summary'!$B$15+((10-MIN(10,MAX(0,W36)))/10)*'Controls &amp; Summary'!$B$16</x:f>
        <x:v>1.658</x:v>
      </x:c>
      <x:c r="Z36" s="31" t="n">
        <x:f>V36*Y36</x:f>
        <x:v>4.994026358122526</x:v>
      </x:c>
      <x:c r="AA36" s="30" t="str">
        <x:f>IF(Z36&lt;=I36,"Peaceful","Hostile")</x:f>
        <x:v>Peaceful</x:v>
      </x:c>
      <x:c r="AB36" s="30" t="str">
        <x:f>IF(Z36&lt;='Controls &amp; Summary'!$B$6,"Eligible","Blocked")</x:f>
        <x:v>Eligible</x:v>
      </x:c>
      <x:c r="AC36" s="30" t="str">
        <x:v>2003_BOL</x:v>
      </x:c>
      <x:c r="AD36" s="30" t="str">
        <x:v>2003_GUY</x:v>
      </x:c>
      <x:c r="AE36" s="30" t="str">
        <x:v>2003_Guyana</x:v>
      </x:c>
      <x:c r="AF36" s="30" t="str">
        <x:v>Explicit capitalClaim</x:v>
      </x:c>
      <x:c r="AG36" s="30" t="str">
        <x:v>Claim2003_BOL2003_Guyana</x:v>
      </x:c>
      <x:c r="AH36" s="30" t="str">
        <x:v>Project_SouthAmericanUnion</x:v>
      </x:c>
    </x:row>
    <x:row r="37">
      <x:c r="A37" s="30" t="str">
        <x:v>2003</x:v>
      </x:c>
      <x:c r="B37" s="30" t="str">
        <x:v>Dark Skies</x:v>
      </x:c>
      <x:c r="C37" s="30" t="str">
        <x:v>Bolivia</x:v>
      </x:c>
      <x:c r="D37" s="30" t="str">
        <x:v>Paraguay</x:v>
      </x:c>
      <x:c r="E37" s="30" t="str">
        <x:v>Project unlock</x:v>
      </x:c>
      <x:c r="F37" s="30" t="str">
        <x:v>South American Union</x:v>
      </x:c>
      <x:c r="G37" s="30" t="str">
        <x:v>No</x:v>
      </x:c>
      <x:c r="H37" s="30" t="str">
        <x:v>Ordinary claim</x:v>
      </x:c>
      <x:c r="I37" s="31" t="n">
        <x:f>IF(G37="Yes",'Controls &amp; Summary'!$B$5,'Controls &amp; Summary'!$B$4)</x:f>
        <x:v>6</x:v>
      </x:c>
      <x:c r="J37" s="31" t="n">
        <x:v>6.41</x:v>
      </x:c>
      <x:c r="K37" s="31" t="n">
        <x:v>6.02</x:v>
      </x:c>
      <x:c r="L37" s="31" t="n">
        <x:f>ABS(J37-K37)</x:f>
        <x:v>0.39000000000000057</x:v>
      </x:c>
      <x:c r="M37" s="31" t="n">
        <x:v>5.33</x:v>
      </x:c>
      <x:c r="N37" s="31" t="n">
        <x:v>5.24</x:v>
      </x:c>
      <x:c r="O37" s="31" t="n">
        <x:f>ABS(M37-N37)</x:f>
        <x:v>0.08999999999999986</x:v>
      </x:c>
      <x:c r="P37" s="31" t="n">
        <x:v>5.64</x:v>
      </x:c>
      <x:c r="Q37" s="31" t="n">
        <x:v>5.95</x:v>
      </x:c>
      <x:c r="R37" s="31" t="n">
        <x:f>ABS(P37-Q37)</x:f>
        <x:v>0.3100000000000005</x:v>
      </x:c>
      <x:c r="S37" s="32" t="n">
        <x:v>2486.1893981680973</x:v>
      </x:c>
      <x:c r="T37" s="32" t="n">
        <x:v>4068.858542560166</x:v>
      </x:c>
      <x:c r="U37" s="31" t="n">
        <x:f>MAX(S37/T37,T37/S37)</x:f>
        <x:v>1.6365843026915927</x:v>
      </x:c>
      <x:c r="V37" s="31" t="n">
        <x:f>L37*'Controls &amp; Summary'!$B$9+O37*'Controls &amp; Summary'!$B$10+R37*'Controls &amp; Summary'!$B$11+U37*'Controls &amp; Summary'!$B$12</x:f>
        <x:v>2.4265843026915936</x:v>
      </x:c>
      <x:c r="W37" s="31" t="n">
        <x:v>0.41</x:v>
      </x:c>
      <x:c r="X37" s="31" t="n">
        <x:v>3.04</x:v>
      </x:c>
      <x:c r="Y37" s="31" t="n">
        <x:f>((10-MIN(10,MAX(0,X37)))/10)*'Controls &amp; Summary'!$B$15+((10-MIN(10,MAX(0,W37)))/10)*'Controls &amp; Summary'!$B$16</x:f>
        <x:v>1.6549999999999998</x:v>
      </x:c>
      <x:c r="Z37" s="31" t="n">
        <x:f>V37*Y37</x:f>
        <x:v>4.015997020954587</x:v>
      </x:c>
      <x:c r="AA37" s="30" t="str">
        <x:f>IF(Z37&lt;=I37,"Peaceful","Hostile")</x:f>
        <x:v>Peaceful</x:v>
      </x:c>
      <x:c r="AB37" s="30" t="str">
        <x:f>IF(Z37&lt;='Controls &amp; Summary'!$B$6,"Eligible","Blocked")</x:f>
        <x:v>Eligible</x:v>
      </x:c>
      <x:c r="AC37" s="30" t="str">
        <x:v>2003_BOL</x:v>
      </x:c>
      <x:c r="AD37" s="30" t="str">
        <x:v>2003_PRY</x:v>
      </x:c>
      <x:c r="AE37" s="30" t="str">
        <x:v>2003_Paraguay</x:v>
      </x:c>
      <x:c r="AF37" s="30" t="str">
        <x:v>Explicit capitalClaim</x:v>
      </x:c>
      <x:c r="AG37" s="30" t="str">
        <x:v>Claim2003_BOL2003_Paraguay</x:v>
      </x:c>
      <x:c r="AH37" s="30" t="str">
        <x:v>Project_SouthAmericanUnion</x:v>
      </x:c>
    </x:row>
    <x:row r="38">
      <x:c r="A38" s="30" t="str">
        <x:v>2003</x:v>
      </x:c>
      <x:c r="B38" s="30" t="str">
        <x:v>Dark Skies</x:v>
      </x:c>
      <x:c r="C38" s="30" t="str">
        <x:v>Bolivia</x:v>
      </x:c>
      <x:c r="D38" s="30" t="str">
        <x:v>Peru</x:v>
      </x:c>
      <x:c r="E38" s="30" t="str">
        <x:v>Project unlock</x:v>
      </x:c>
      <x:c r="F38" s="30" t="str">
        <x:v>South American Union</x:v>
      </x:c>
      <x:c r="G38" s="30" t="str">
        <x:v>No</x:v>
      </x:c>
      <x:c r="H38" s="30" t="str">
        <x:v>Ordinary claim</x:v>
      </x:c>
      <x:c r="I38" s="31" t="n">
        <x:f>IF(G38="Yes",'Controls &amp; Summary'!$B$5,'Controls &amp; Summary'!$B$4)</x:f>
        <x:v>6</x:v>
      </x:c>
      <x:c r="J38" s="31" t="n">
        <x:v>6.41</x:v>
      </x:c>
      <x:c r="K38" s="31" t="n">
        <x:v>6.12</x:v>
      </x:c>
      <x:c r="L38" s="31" t="n">
        <x:f>ABS(J38-K38)</x:f>
        <x:v>0.29000000000000004</x:v>
      </x:c>
      <x:c r="M38" s="31" t="n">
        <x:v>5.33</x:v>
      </x:c>
      <x:c r="N38" s="31" t="n">
        <x:v>5.23</x:v>
      </x:c>
      <x:c r="O38" s="31" t="n">
        <x:f>ABS(M38-N38)</x:f>
        <x:v>0.09999999999999964</x:v>
      </x:c>
      <x:c r="P38" s="31" t="n">
        <x:v>5.64</x:v>
      </x:c>
      <x:c r="Q38" s="31" t="n">
        <x:v>6.12</x:v>
      </x:c>
      <x:c r="R38" s="31" t="n">
        <x:f>ABS(P38-Q38)</x:f>
        <x:v>0.4800000000000004</x:v>
      </x:c>
      <x:c r="S38" s="32" t="n">
        <x:v>2486.1893981680973</x:v>
      </x:c>
      <x:c r="T38" s="32" t="n">
        <x:v>3157.4781783064773</x:v>
      </x:c>
      <x:c r="U38" s="31" t="n">
        <x:f>MAX(S38/T38,T38/S38)</x:f>
        <x:v>1.2700070962546162</x:v>
      </x:c>
      <x:c r="V38" s="31" t="n">
        <x:f>L38*'Controls &amp; Summary'!$B$9+O38*'Controls &amp; Summary'!$B$10+R38*'Controls &amp; Summary'!$B$11+U38*'Controls &amp; Summary'!$B$12</x:f>
        <x:v>2.1400070962546165</x:v>
      </x:c>
      <x:c r="W38" s="31" t="n">
        <x:v>0.41</x:v>
      </x:c>
      <x:c r="X38" s="31" t="n">
        <x:v>1.55</x:v>
      </x:c>
      <x:c r="Y38" s="31" t="n">
        <x:f>((10-MIN(10,MAX(0,X38)))/10)*'Controls &amp; Summary'!$B$15+((10-MIN(10,MAX(0,W38)))/10)*'Controls &amp; Summary'!$B$16</x:f>
        <x:v>1.8039999999999998</x:v>
      </x:c>
      <x:c r="Z38" s="31" t="n">
        <x:f>V38*Y38</x:f>
        <x:v>3.8605728016433276</x:v>
      </x:c>
      <x:c r="AA38" s="30" t="str">
        <x:f>IF(Z38&lt;=I38,"Peaceful","Hostile")</x:f>
        <x:v>Peaceful</x:v>
      </x:c>
      <x:c r="AB38" s="30" t="str">
        <x:f>IF(Z38&lt;='Controls &amp; Summary'!$B$6,"Eligible","Blocked")</x:f>
        <x:v>Eligible</x:v>
      </x:c>
      <x:c r="AC38" s="30" t="str">
        <x:v>2003_BOL</x:v>
      </x:c>
      <x:c r="AD38" s="30" t="str">
        <x:v>2003_PER</x:v>
      </x:c>
      <x:c r="AE38" s="30" t="str">
        <x:v>2003_Peru</x:v>
      </x:c>
      <x:c r="AF38" s="30" t="str">
        <x:v>Explicit capitalClaim</x:v>
      </x:c>
      <x:c r="AG38" s="30" t="str">
        <x:v>Claim2003_BOL2003_Peru</x:v>
      </x:c>
      <x:c r="AH38" s="30" t="str">
        <x:v>Project_SouthAmericanUnion</x:v>
      </x:c>
    </x:row>
    <x:row r="39">
      <x:c r="A39" s="30" t="str">
        <x:v>2003</x:v>
      </x:c>
      <x:c r="B39" s="30" t="str">
        <x:v>Dark Skies</x:v>
      </x:c>
      <x:c r="C39" s="30" t="str">
        <x:v>Bolivia</x:v>
      </x:c>
      <x:c r="D39" s="30" t="str">
        <x:v>Suriname</x:v>
      </x:c>
      <x:c r="E39" s="30" t="str">
        <x:v>Project unlock</x:v>
      </x:c>
      <x:c r="F39" s="30" t="str">
        <x:v>South American Union</x:v>
      </x:c>
      <x:c r="G39" s="30" t="str">
        <x:v>No</x:v>
      </x:c>
      <x:c r="H39" s="30" t="str">
        <x:v>Ordinary claim</x:v>
      </x:c>
      <x:c r="I39" s="31" t="n">
        <x:f>IF(G39="Yes",'Controls &amp; Summary'!$B$5,'Controls &amp; Summary'!$B$4)</x:f>
        <x:v>6</x:v>
      </x:c>
      <x:c r="J39" s="31" t="n">
        <x:v>6.41</x:v>
      </x:c>
      <x:c r="K39" s="31" t="n">
        <x:v>6.57</x:v>
      </x:c>
      <x:c r="L39" s="31" t="n">
        <x:f>ABS(J39-K39)</x:f>
        <x:v>0.16000000000000014</x:v>
      </x:c>
      <x:c r="M39" s="31" t="n">
        <x:v>5.33</x:v>
      </x:c>
      <x:c r="N39" s="31" t="n">
        <x:v>4.67</x:v>
      </x:c>
      <x:c r="O39" s="31" t="n">
        <x:f>ABS(M39-N39)</x:f>
        <x:v>0.6600000000000001</x:v>
      </x:c>
      <x:c r="P39" s="31" t="n">
        <x:v>5.64</x:v>
      </x:c>
      <x:c r="Q39" s="31" t="n">
        <x:v>6.01</x:v>
      </x:c>
      <x:c r="R39" s="31" t="n">
        <x:f>ABS(P39-Q39)</x:f>
        <x:v>0.3700000000000001</x:v>
      </x:c>
      <x:c r="S39" s="32" t="n">
        <x:v>2486.1893981680973</x:v>
      </x:c>
      <x:c r="T39" s="32" t="n">
        <x:v>6277.368650945668</x:v>
      </x:c>
      <x:c r="U39" s="31" t="n">
        <x:f>MAX(S39/T39,T39/S39)</x:f>
        <x:v>2.524895591450527</x:v>
      </x:c>
      <x:c r="V39" s="31" t="n">
        <x:f>L39*'Controls &amp; Summary'!$B$9+O39*'Controls &amp; Summary'!$B$10+R39*'Controls &amp; Summary'!$B$11+U39*'Controls &amp; Summary'!$B$12</x:f>
        <x:v>3.7148955914505275</x:v>
      </x:c>
      <x:c r="W39" s="31" t="n">
        <x:v>0.41</x:v>
      </x:c>
      <x:c r="X39" s="31" t="n">
        <x:v>1.68</x:v>
      </x:c>
      <x:c r="Y39" s="31" t="n">
        <x:f>((10-MIN(10,MAX(0,X39)))/10)*'Controls &amp; Summary'!$B$15+((10-MIN(10,MAX(0,W39)))/10)*'Controls &amp; Summary'!$B$16</x:f>
        <x:v>1.791</x:v>
      </x:c>
      <x:c r="Z39" s="31" t="n">
        <x:f>V39*Y39</x:f>
        <x:v>6.6533780042878945</x:v>
      </x:c>
      <x:c r="AA39" s="30" t="str">
        <x:f>IF(Z39&lt;=I39,"Peaceful","Hostile")</x:f>
        <x:v>Hostile</x:v>
      </x:c>
      <x:c r="AB39" s="30" t="str">
        <x:f>IF(Z39&lt;='Controls &amp; Summary'!$B$6,"Eligible","Blocked")</x:f>
        <x:v>Eligible</x:v>
      </x:c>
      <x:c r="AC39" s="30" t="str">
        <x:v>2003_BOL</x:v>
      </x:c>
      <x:c r="AD39" s="30" t="str">
        <x:v>2003_SUR</x:v>
      </x:c>
      <x:c r="AE39" s="30" t="str">
        <x:v>2003_Suriname</x:v>
      </x:c>
      <x:c r="AF39" s="30" t="str">
        <x:v>Explicit capitalClaim</x:v>
      </x:c>
      <x:c r="AG39" s="30" t="str">
        <x:v>Claim2003_BOL2003_Suriname</x:v>
      </x:c>
      <x:c r="AH39" s="30" t="str">
        <x:v>Project_SouthAmericanUnion</x:v>
      </x:c>
    </x:row>
    <x:row r="40">
      <x:c r="A40" s="30" t="str">
        <x:v>2003</x:v>
      </x:c>
      <x:c r="B40" s="30" t="str">
        <x:v>Dark Skies</x:v>
      </x:c>
      <x:c r="C40" s="30" t="str">
        <x:v>Bolivia</x:v>
      </x:c>
      <x:c r="D40" s="30" t="str">
        <x:v>Uruguay</x:v>
      </x:c>
      <x:c r="E40" s="30" t="str">
        <x:v>Project unlock</x:v>
      </x:c>
      <x:c r="F40" s="30" t="str">
        <x:v>South American Union</x:v>
      </x:c>
      <x:c r="G40" s="30" t="str">
        <x:v>No</x:v>
      </x:c>
      <x:c r="H40" s="30" t="str">
        <x:v>Ordinary claim</x:v>
      </x:c>
      <x:c r="I40" s="31" t="n">
        <x:f>IF(G40="Yes",'Controls &amp; Summary'!$B$5,'Controls &amp; Summary'!$B$4)</x:f>
        <x:v>6</x:v>
      </x:c>
      <x:c r="J40" s="31" t="n">
        <x:v>6.41</x:v>
      </x:c>
      <x:c r="K40" s="31" t="n">
        <x:v>7.69</x:v>
      </x:c>
      <x:c r="L40" s="31" t="n">
        <x:f>ABS(J40-K40)</x:f>
        <x:v>1.2800000000000002</x:v>
      </x:c>
      <x:c r="M40" s="31" t="n">
        <x:v>5.33</x:v>
      </x:c>
      <x:c r="N40" s="31" t="n">
        <x:v>4.23</x:v>
      </x:c>
      <x:c r="O40" s="31" t="n">
        <x:f>ABS(M40-N40)</x:f>
        <x:v>1.0999999999999996</x:v>
      </x:c>
      <x:c r="P40" s="31" t="n">
        <x:v>5.64</x:v>
      </x:c>
      <x:c r="Q40" s="31" t="n">
        <x:v>7.12</x:v>
      </x:c>
      <x:c r="R40" s="31" t="n">
        <x:f>ABS(P40-Q40)</x:f>
        <x:v>1.4800000000000004</x:v>
      </x:c>
      <x:c r="S40" s="32" t="n">
        <x:v>2486.1893981680973</x:v>
      </x:c>
      <x:c r="T40" s="32" t="n">
        <x:v>5963.11268882654</x:v>
      </x:c>
      <x:c r="U40" s="31" t="n">
        <x:f>MAX(S40/T40,T40/S40)</x:f>
        <x:v>2.3984949389697943</x:v>
      </x:c>
      <x:c r="V40" s="31" t="n">
        <x:f>L40*'Controls &amp; Summary'!$B$9+O40*'Controls &amp; Summary'!$B$10+R40*'Controls &amp; Summary'!$B$11+U40*'Controls &amp; Summary'!$B$12</x:f>
        <x:v>6.258494938969795</x:v>
      </x:c>
      <x:c r="W40" s="31" t="n">
        <x:v>0.41</x:v>
      </x:c>
      <x:c r="X40" s="31" t="n">
        <x:v>0.53</x:v>
      </x:c>
      <x:c r="Y40" s="31" t="n">
        <x:f>((10-MIN(10,MAX(0,X40)))/10)*'Controls &amp; Summary'!$B$15+((10-MIN(10,MAX(0,W40)))/10)*'Controls &amp; Summary'!$B$16</x:f>
        <x:v>1.9060000000000001</x:v>
      </x:c>
      <x:c r="Z40" s="31" t="n">
        <x:f>V40*Y40</x:f>
        <x:v>11.928691353676431</x:v>
      </x:c>
      <x:c r="AA40" s="30" t="str">
        <x:f>IF(Z40&lt;=I40,"Peaceful","Hostile")</x:f>
        <x:v>Hostile</x:v>
      </x:c>
      <x:c r="AB40" s="30" t="str">
        <x:f>IF(Z40&lt;='Controls &amp; Summary'!$B$6,"Eligible","Blocked")</x:f>
        <x:v>Eligible</x:v>
      </x:c>
      <x:c r="AC40" s="30" t="str">
        <x:v>2003_BOL</x:v>
      </x:c>
      <x:c r="AD40" s="30" t="str">
        <x:v>2003_URY</x:v>
      </x:c>
      <x:c r="AE40" s="30" t="str">
        <x:v>2003_Uruguay</x:v>
      </x:c>
      <x:c r="AF40" s="30" t="str">
        <x:v>Explicit capitalClaim</x:v>
      </x:c>
      <x:c r="AG40" s="30" t="str">
        <x:v>Claim2003_BOL2003_Uruguay</x:v>
      </x:c>
      <x:c r="AH40" s="30" t="str">
        <x:v>Project_SouthAmericanUnion</x:v>
      </x:c>
    </x:row>
    <x:row r="41">
      <x:c r="A41" s="30" t="str">
        <x:v>2003</x:v>
      </x:c>
      <x:c r="B41" s="30" t="str">
        <x:v>Dark Skies</x:v>
      </x:c>
      <x:c r="C41" s="30" t="str">
        <x:v>Bolivia</x:v>
      </x:c>
      <x:c r="D41" s="30" t="str">
        <x:v>Venezuela</x:v>
      </x:c>
      <x:c r="E41" s="30" t="str">
        <x:v>Project unlock</x:v>
      </x:c>
      <x:c r="F41" s="30" t="str">
        <x:v>South American Union</x:v>
      </x:c>
      <x:c r="G41" s="30" t="str">
        <x:v>No</x:v>
      </x:c>
      <x:c r="H41" s="30" t="str">
        <x:v>Ordinary claim</x:v>
      </x:c>
      <x:c r="I41" s="31" t="n">
        <x:f>IF(G41="Yes",'Controls &amp; Summary'!$B$5,'Controls &amp; Summary'!$B$4)</x:f>
        <x:v>6</x:v>
      </x:c>
      <x:c r="J41" s="31" t="n">
        <x:v>6.41</x:v>
      </x:c>
      <x:c r="K41" s="31" t="n">
        <x:v>5.99</x:v>
      </x:c>
      <x:c r="L41" s="31" t="n">
        <x:f>ABS(J41-K41)</x:f>
        <x:v>0.41999999999999993</x:v>
      </x:c>
      <x:c r="M41" s="31" t="n">
        <x:v>5.33</x:v>
      </x:c>
      <x:c r="N41" s="31" t="n">
        <x:v>4.23</x:v>
      </x:c>
      <x:c r="O41" s="31" t="n">
        <x:f>ABS(M41-N41)</x:f>
        <x:v>1.0999999999999996</x:v>
      </x:c>
      <x:c r="P41" s="31" t="n">
        <x:v>5.64</x:v>
      </x:c>
      <x:c r="Q41" s="31" t="n">
        <x:v>6.32</x:v>
      </x:c>
      <x:c r="R41" s="31" t="n">
        <x:f>ABS(P41-Q41)</x:f>
        <x:v>0.6800000000000006</x:v>
      </x:c>
      <x:c r="S41" s="32" t="n">
        <x:v>2486.1893981680973</x:v>
      </x:c>
      <x:c r="T41" s="32" t="n">
        <x:v>5903.264019519322</x:v>
      </x:c>
      <x:c r="U41" s="31" t="n">
        <x:f>MAX(S41/T41,T41/S41)</x:f>
        <x:v>2.3744224892395698</x:v>
      </x:c>
      <x:c r="V41" s="31" t="n">
        <x:f>L41*'Controls &amp; Summary'!$B$9+O41*'Controls &amp; Summary'!$B$10+R41*'Controls &amp; Summary'!$B$11+U41*'Controls &amp; Summary'!$B$12</x:f>
        <x:v>4.57442248923957</x:v>
      </x:c>
      <x:c r="W41" s="31" t="n">
        <x:v>0.41</x:v>
      </x:c>
      <x:c r="X41" s="31" t="n">
        <x:v>5.16</x:v>
      </x:c>
      <x:c r="Y41" s="31" t="n">
        <x:f>((10-MIN(10,MAX(0,X41)))/10)*'Controls &amp; Summary'!$B$15+((10-MIN(10,MAX(0,W41)))/10)*'Controls &amp; Summary'!$B$16</x:f>
        <x:v>1.443</x:v>
      </x:c>
      <x:c r="Z41" s="31" t="n">
        <x:f>V41*Y41</x:f>
        <x:v>6.6008916519727</x:v>
      </x:c>
      <x:c r="AA41" s="30" t="str">
        <x:f>IF(Z41&lt;=I41,"Peaceful","Hostile")</x:f>
        <x:v>Hostile</x:v>
      </x:c>
      <x:c r="AB41" s="30" t="str">
        <x:f>IF(Z41&lt;='Controls &amp; Summary'!$B$6,"Eligible","Blocked")</x:f>
        <x:v>Eligible</x:v>
      </x:c>
      <x:c r="AC41" s="30" t="str">
        <x:v>2003_BOL</x:v>
      </x:c>
      <x:c r="AD41" s="30" t="str">
        <x:v>2003_VEN</x:v>
      </x:c>
      <x:c r="AE41" s="30" t="str">
        <x:v>2003_Venezuela</x:v>
      </x:c>
      <x:c r="AF41" s="30" t="str">
        <x:v>Explicit capitalClaim</x:v>
      </x:c>
      <x:c r="AG41" s="30" t="str">
        <x:v>Claim2003_BOL2003_Venezuela</x:v>
      </x:c>
      <x:c r="AH41" s="30" t="str">
        <x:v>Project_SouthAmericanUnion</x:v>
      </x:c>
    </x:row>
    <x:row r="42">
      <x:c r="A42" s="30" t="str">
        <x:v>2003</x:v>
      </x:c>
      <x:c r="B42" s="30" t="str">
        <x:v>Dark Skies</x:v>
      </x:c>
      <x:c r="C42" s="30" t="str">
        <x:v>Brazil</x:v>
      </x:c>
      <x:c r="D42" s="30" t="str">
        <x:v>Argentina</x:v>
      </x:c>
      <x:c r="E42" s="30" t="str">
        <x:v>Project unlock</x:v>
      </x:c>
      <x:c r="F42" s="30" t="str">
        <x:v>Steward of the South</x:v>
      </x:c>
      <x:c r="G42" s="30" t="str">
        <x:v>Yes</x:v>
      </x:c>
      <x:c r="H42" s="30" t="str">
        <x:v>Template hostileClaim</x:v>
      </x:c>
      <x:c r="I42" s="31" t="n">
        <x:f>IF(G42="Yes",'Controls &amp; Summary'!$B$5,'Controls &amp; Summary'!$B$4)</x:f>
        <x:v>3</x:v>
      </x:c>
      <x:c r="J42" s="31" t="n">
        <x:v>6.97</x:v>
      </x:c>
      <x:c r="K42" s="31" t="n">
        <x:v>6.81</x:v>
      </x:c>
      <x:c r="L42" s="31" t="n">
        <x:f>ABS(J42-K42)</x:f>
        <x:v>0.16000000000000014</x:v>
      </x:c>
      <x:c r="M42" s="31" t="n">
        <x:v>5.2</x:v>
      </x:c>
      <x:c r="N42" s="31" t="n">
        <x:v>4.62</x:v>
      </x:c>
      <x:c r="O42" s="31" t="n">
        <x:f>ABS(M42-N42)</x:f>
        <x:v>0.5800000000000001</x:v>
      </x:c>
      <x:c r="P42" s="31" t="n">
        <x:v>6.3</x:v>
      </x:c>
      <x:c r="Q42" s="31" t="n">
        <x:v>7.39</x:v>
      </x:c>
      <x:c r="R42" s="31" t="n">
        <x:f>ABS(P42-Q42)</x:f>
        <x:v>1.0899999999999999</x:v>
      </x:c>
      <x:c r="S42" s="32" t="n">
        <x:v>5274.595935068799</x:v>
      </x:c>
      <x:c r="T42" s="32" t="n">
        <x:v>7443.195167342359</x:v>
      </x:c>
      <x:c r="U42" s="31" t="n">
        <x:f>MAX(S42/T42,T42/S42)</x:f>
        <x:v>1.4111403525444217</x:v>
      </x:c>
      <x:c r="V42" s="31" t="n">
        <x:f>L42*'Controls &amp; Summary'!$B$9+O42*'Controls &amp; Summary'!$B$10+R42*'Controls &amp; Summary'!$B$11+U42*'Controls &amp; Summary'!$B$12</x:f>
        <x:v>3.241140352544422</x:v>
      </x:c>
      <x:c r="W42" s="31" t="n">
        <x:v>3.94</x:v>
      </x:c>
      <x:c r="X42" s="31" t="n">
        <x:v>2.12</x:v>
      </x:c>
      <x:c r="Y42" s="31" t="n">
        <x:f>((10-MIN(10,MAX(0,X42)))/10)*'Controls &amp; Summary'!$B$15+((10-MIN(10,MAX(0,W42)))/10)*'Controls &amp; Summary'!$B$16</x:f>
        <x:v>1.3940000000000001</x:v>
      </x:c>
      <x:c r="Z42" s="31" t="n">
        <x:f>V42*Y42</x:f>
        <x:v>4.518149651446924</x:v>
      </x:c>
      <x:c r="AA42" s="30" t="str">
        <x:f>IF(Z42&lt;=I42,"Peaceful","Hostile")</x:f>
        <x:v>Hostile</x:v>
      </x:c>
      <x:c r="AB42" s="30" t="str">
        <x:f>IF(Z42&lt;='Controls &amp; Summary'!$B$6,"Eligible","Blocked")</x:f>
        <x:v>Eligible</x:v>
      </x:c>
      <x:c r="AC42" s="30" t="str">
        <x:v>2003_BRA</x:v>
      </x:c>
      <x:c r="AD42" s="30" t="str">
        <x:v>2003_ARG</x:v>
      </x:c>
      <x:c r="AE42" s="30" t="str">
        <x:v>2003_Pampas</x:v>
      </x:c>
      <x:c r="AF42" s="30" t="str">
        <x:v>Explicit capitalClaim</x:v>
      </x:c>
      <x:c r="AG42" s="30" t="str">
        <x:v>Claim2003_BRA2003_Pampas</x:v>
      </x:c>
      <x:c r="AH42" s="30" t="str">
        <x:v>Project_StewardoftheSouth</x:v>
      </x:c>
    </x:row>
    <x:row r="43">
      <x:c r="A43" s="30" t="str">
        <x:v>2003</x:v>
      </x:c>
      <x:c r="B43" s="30" t="str">
        <x:v>Dark Skies</x:v>
      </x:c>
      <x:c r="C43" s="30" t="str">
        <x:v>Brazil</x:v>
      </x:c>
      <x:c r="D43" s="30" t="str">
        <x:v>Bolivia</x:v>
      </x:c>
      <x:c r="E43" s="30" t="str">
        <x:v>Project unlock</x:v>
      </x:c>
      <x:c r="F43" s="30" t="str">
        <x:v>Steward of the South</x:v>
      </x:c>
      <x:c r="G43" s="30" t="str">
        <x:v>Yes</x:v>
      </x:c>
      <x:c r="H43" s="30" t="str">
        <x:v>Template hostileClaim</x:v>
      </x:c>
      <x:c r="I43" s="31" t="n">
        <x:f>IF(G43="Yes",'Controls &amp; Summary'!$B$5,'Controls &amp; Summary'!$B$4)</x:f>
        <x:v>3</x:v>
      </x:c>
      <x:c r="J43" s="31" t="n">
        <x:v>6.97</x:v>
      </x:c>
      <x:c r="K43" s="31" t="n">
        <x:v>6.41</x:v>
      </x:c>
      <x:c r="L43" s="31" t="n">
        <x:f>ABS(J43-K43)</x:f>
        <x:v>0.5599999999999996</x:v>
      </x:c>
      <x:c r="M43" s="31" t="n">
        <x:v>5.2</x:v>
      </x:c>
      <x:c r="N43" s="31" t="n">
        <x:v>5.33</x:v>
      </x:c>
      <x:c r="O43" s="31" t="n">
        <x:f>ABS(M43-N43)</x:f>
        <x:v>0.1299999999999999</x:v>
      </x:c>
      <x:c r="P43" s="31" t="n">
        <x:v>6.3</x:v>
      </x:c>
      <x:c r="Q43" s="31" t="n">
        <x:v>5.64</x:v>
      </x:c>
      <x:c r="R43" s="31" t="n">
        <x:f>ABS(P43-Q43)</x:f>
        <x:v>0.6600000000000001</x:v>
      </x:c>
      <x:c r="S43" s="32" t="n">
        <x:v>5274.595935068799</x:v>
      </x:c>
      <x:c r="T43" s="32" t="n">
        <x:v>2486.1893981680973</x:v>
      </x:c>
      <x:c r="U43" s="31" t="n">
        <x:f>MAX(S43/T43,T43/S43)</x:f>
        <x:v>2.121558373209735</x:v>
      </x:c>
      <x:c r="V43" s="31" t="n">
        <x:f>L43*'Controls &amp; Summary'!$B$9+O43*'Controls &amp; Summary'!$B$10+R43*'Controls &amp; Summary'!$B$11+U43*'Controls &amp; Summary'!$B$12</x:f>
        <x:v>3.4715583732097346</x:v>
      </x:c>
      <x:c r="W43" s="31" t="n">
        <x:v>3.94</x:v>
      </x:c>
      <x:c r="X43" s="31" t="n">
        <x:v>4.74</x:v>
      </x:c>
      <x:c r="Y43" s="31" t="n">
        <x:f>((10-MIN(10,MAX(0,X43)))/10)*'Controls &amp; Summary'!$B$15+((10-MIN(10,MAX(0,W43)))/10)*'Controls &amp; Summary'!$B$16</x:f>
        <x:v>1.1320000000000001</x:v>
      </x:c>
      <x:c r="Z43" s="31" t="n">
        <x:f>V43*Y43</x:f>
        <x:v>3.92980407847342</x:v>
      </x:c>
      <x:c r="AA43" s="30" t="str">
        <x:f>IF(Z43&lt;=I43,"Peaceful","Hostile")</x:f>
        <x:v>Hostile</x:v>
      </x:c>
      <x:c r="AB43" s="30" t="str">
        <x:f>IF(Z43&lt;='Controls &amp; Summary'!$B$6,"Eligible","Blocked")</x:f>
        <x:v>Eligible</x:v>
      </x:c>
      <x:c r="AC43" s="30" t="str">
        <x:v>2003_BRA</x:v>
      </x:c>
      <x:c r="AD43" s="30" t="str">
        <x:v>2003_BOL</x:v>
      </x:c>
      <x:c r="AE43" s="30" t="str">
        <x:v>2003_Bolivia</x:v>
      </x:c>
      <x:c r="AF43" s="30" t="str">
        <x:v>Explicit capitalClaim</x:v>
      </x:c>
      <x:c r="AG43" s="30" t="str">
        <x:v>Claim2003_BRA2003_Bolivia</x:v>
      </x:c>
      <x:c r="AH43" s="30" t="str">
        <x:v>Project_StewardoftheSouth</x:v>
      </x:c>
    </x:row>
    <x:row r="44">
      <x:c r="A44" s="30" t="str">
        <x:v>2003</x:v>
      </x:c>
      <x:c r="B44" s="30" t="str">
        <x:v>Dark Skies</x:v>
      </x:c>
      <x:c r="C44" s="30" t="str">
        <x:v>Brazil</x:v>
      </x:c>
      <x:c r="D44" s="30" t="str">
        <x:v>Chile</x:v>
      </x:c>
      <x:c r="E44" s="30" t="str">
        <x:v>Project unlock</x:v>
      </x:c>
      <x:c r="F44" s="30" t="str">
        <x:v>Steward of the South</x:v>
      </x:c>
      <x:c r="G44" s="30" t="str">
        <x:v>Yes</x:v>
      </x:c>
      <x:c r="H44" s="30" t="str">
        <x:v>Template hostileClaim</x:v>
      </x:c>
      <x:c r="I44" s="31" t="n">
        <x:f>IF(G44="Yes",'Controls &amp; Summary'!$B$5,'Controls &amp; Summary'!$B$4)</x:f>
        <x:v>3</x:v>
      </x:c>
      <x:c r="J44" s="31" t="n">
        <x:v>6.97</x:v>
      </x:c>
      <x:c r="K44" s="31" t="n">
        <x:v>7.71</x:v>
      </x:c>
      <x:c r="L44" s="31" t="n">
        <x:f>ABS(J44-K44)</x:f>
        <x:v>0.7400000000000002</x:v>
      </x:c>
      <x:c r="M44" s="31" t="n">
        <x:v>5.2</x:v>
      </x:c>
      <x:c r="N44" s="31" t="n">
        <x:v>4.99</x:v>
      </x:c>
      <x:c r="O44" s="31" t="n">
        <x:f>ABS(M44-N44)</x:f>
        <x:v>0.20999999999999996</x:v>
      </x:c>
      <x:c r="P44" s="31" t="n">
        <x:v>6.3</x:v>
      </x:c>
      <x:c r="Q44" s="31" t="n">
        <x:v>7.22</x:v>
      </x:c>
      <x:c r="R44" s="31" t="n">
        <x:f>ABS(P44-Q44)</x:f>
        <x:v>0.9199999999999999</x:v>
      </x:c>
      <x:c r="S44" s="32" t="n">
        <x:v>5274.595935068799</x:v>
      </x:c>
      <x:c r="T44" s="32" t="n">
        <x:v>7414.516584968054</x:v>
      </x:c>
      <x:c r="U44" s="31" t="n">
        <x:f>MAX(S44/T44,T44/S44)</x:f>
        <x:v>1.4057032379810803</x:v>
      </x:c>
      <x:c r="V44" s="31" t="n">
        <x:f>L44*'Controls &amp; Summary'!$B$9+O44*'Controls &amp; Summary'!$B$10+R44*'Controls &amp; Summary'!$B$11+U44*'Controls &amp; Summary'!$B$12</x:f>
        <x:v>3.27570323798108</x:v>
      </x:c>
      <x:c r="W44" s="31" t="n">
        <x:v>3.94</x:v>
      </x:c>
      <x:c r="X44" s="31" t="n">
        <x:v>2.19</x:v>
      </x:c>
      <x:c r="Y44" s="31" t="n">
        <x:f>((10-MIN(10,MAX(0,X44)))/10)*'Controls &amp; Summary'!$B$15+((10-MIN(10,MAX(0,W44)))/10)*'Controls &amp; Summary'!$B$16</x:f>
        <x:v>1.387</x:v>
      </x:c>
      <x:c r="Z44" s="31" t="n">
        <x:f>V44*Y44</x:f>
        <x:v>4.543400391079758</x:v>
      </x:c>
      <x:c r="AA44" s="30" t="str">
        <x:f>IF(Z44&lt;=I44,"Peaceful","Hostile")</x:f>
        <x:v>Hostile</x:v>
      </x:c>
      <x:c r="AB44" s="30" t="str">
        <x:f>IF(Z44&lt;='Controls &amp; Summary'!$B$6,"Eligible","Blocked")</x:f>
        <x:v>Eligible</x:v>
      </x:c>
      <x:c r="AC44" s="30" t="str">
        <x:v>2003_BRA</x:v>
      </x:c>
      <x:c r="AD44" s="30" t="str">
        <x:v>2003_CHL</x:v>
      </x:c>
      <x:c r="AE44" s="30" t="str">
        <x:v>2003_Santiago</x:v>
      </x:c>
      <x:c r="AF44" s="30" t="str">
        <x:v>Explicit capitalClaim</x:v>
      </x:c>
      <x:c r="AG44" s="30" t="str">
        <x:v>Claim2003_BRA2003_Santiago</x:v>
      </x:c>
      <x:c r="AH44" s="30" t="str">
        <x:v>Project_StewardoftheSouth</x:v>
      </x:c>
    </x:row>
    <x:row r="45">
      <x:c r="A45" s="30" t="str">
        <x:v>2003</x:v>
      </x:c>
      <x:c r="B45" s="30" t="str">
        <x:v>Dark Skies</x:v>
      </x:c>
      <x:c r="C45" s="30" t="str">
        <x:v>Brazil</x:v>
      </x:c>
      <x:c r="D45" s="30" t="str">
        <x:v>Colombia</x:v>
      </x:c>
      <x:c r="E45" s="30" t="str">
        <x:v>Project unlock</x:v>
      </x:c>
      <x:c r="F45" s="30" t="str">
        <x:v>Steward of the South</x:v>
      </x:c>
      <x:c r="G45" s="30" t="str">
        <x:v>Yes</x:v>
      </x:c>
      <x:c r="H45" s="30" t="str">
        <x:v>Template hostileClaim</x:v>
      </x:c>
      <x:c r="I45" s="31" t="n">
        <x:f>IF(G45="Yes",'Controls &amp; Summary'!$B$5,'Controls &amp; Summary'!$B$4)</x:f>
        <x:v>3</x:v>
      </x:c>
      <x:c r="J45" s="31" t="n">
        <x:v>6.97</x:v>
      </x:c>
      <x:c r="K45" s="31" t="n">
        <x:v>6.24</x:v>
      </x:c>
      <x:c r="L45" s="31" t="n">
        <x:f>ABS(J45-K45)</x:f>
        <x:v>0.7299999999999995</x:v>
      </x:c>
      <x:c r="M45" s="31" t="n">
        <x:v>5.2</x:v>
      </x:c>
      <x:c r="N45" s="31" t="n">
        <x:v>5.09</x:v>
      </x:c>
      <x:c r="O45" s="31" t="n">
        <x:f>ABS(M45-N45)</x:f>
        <x:v>0.11000000000000032</x:v>
      </x:c>
      <x:c r="P45" s="31" t="n">
        <x:v>6.3</x:v>
      </x:c>
      <x:c r="Q45" s="31" t="n">
        <x:v>6.14</x:v>
      </x:c>
      <x:c r="R45" s="31" t="n">
        <x:f>ABS(P45-Q45)</x:f>
        <x:v>0.16000000000000014</x:v>
      </x:c>
      <x:c r="S45" s="32" t="n">
        <x:v>5274.595935068799</x:v>
      </x:c>
      <x:c r="T45" s="32" t="n">
        <x:v>4285.201843012662</x:v>
      </x:c>
      <x:c r="U45" s="31" t="n">
        <x:f>MAX(S45/T45,T45/S45)</x:f>
        <x:v>1.2308862285377333</x:v>
      </x:c>
      <x:c r="V45" s="31" t="n">
        <x:f>L45*'Controls &amp; Summary'!$B$9+O45*'Controls &amp; Summary'!$B$10+R45*'Controls &amp; Summary'!$B$11+U45*'Controls &amp; Summary'!$B$12</x:f>
        <x:v>2.2308862285377336</x:v>
      </x:c>
      <x:c r="W45" s="31" t="n">
        <x:v>3.94</x:v>
      </x:c>
      <x:c r="X45" s="31" t="n">
        <x:v>9.52</x:v>
      </x:c>
      <x:c r="Y45" s="31" t="n">
        <x:f>((10-MIN(10,MAX(0,X45)))/10)*'Controls &amp; Summary'!$B$15+((10-MIN(10,MAX(0,W45)))/10)*'Controls &amp; Summary'!$B$16</x:f>
        <x:v>0.6540000000000001</x:v>
      </x:c>
      <x:c r="Z45" s="31" t="n">
        <x:f>V45*Y45</x:f>
        <x:v>1.4589995934636781</x:v>
      </x:c>
      <x:c r="AA45" s="30" t="str">
        <x:f>IF(Z45&lt;=I45,"Peaceful","Hostile")</x:f>
        <x:v>Peaceful</x:v>
      </x:c>
      <x:c r="AB45" s="30" t="str">
        <x:f>IF(Z45&lt;='Controls &amp; Summary'!$B$6,"Eligible","Blocked")</x:f>
        <x:v>Eligible</x:v>
      </x:c>
      <x:c r="AC45" s="30" t="str">
        <x:v>2003_BRA</x:v>
      </x:c>
      <x:c r="AD45" s="30" t="str">
        <x:v>2003_COL</x:v>
      </x:c>
      <x:c r="AE45" s="30" t="str">
        <x:v>2003_Colombia</x:v>
      </x:c>
      <x:c r="AF45" s="30" t="str">
        <x:v>Explicit capitalClaim</x:v>
      </x:c>
      <x:c r="AG45" s="30" t="str">
        <x:v>Claim2003_BRA2003_Colombia</x:v>
      </x:c>
      <x:c r="AH45" s="30" t="str">
        <x:v>Project_StewardoftheSouth</x:v>
      </x:c>
    </x:row>
    <x:row r="46">
      <x:c r="A46" s="30" t="str">
        <x:v>2003</x:v>
      </x:c>
      <x:c r="B46" s="30" t="str">
        <x:v>Dark Skies</x:v>
      </x:c>
      <x:c r="C46" s="30" t="str">
        <x:v>Brazil</x:v>
      </x:c>
      <x:c r="D46" s="30" t="str">
        <x:v>Ecuador</x:v>
      </x:c>
      <x:c r="E46" s="30" t="str">
        <x:v>Project unlock</x:v>
      </x:c>
      <x:c r="F46" s="30" t="str">
        <x:v>Steward of the South</x:v>
      </x:c>
      <x:c r="G46" s="30" t="str">
        <x:v>Yes</x:v>
      </x:c>
      <x:c r="H46" s="30" t="str">
        <x:v>Template hostileClaim</x:v>
      </x:c>
      <x:c r="I46" s="31" t="n">
        <x:f>IF(G46="Yes",'Controls &amp; Summary'!$B$5,'Controls &amp; Summary'!$B$4)</x:f>
        <x:v>3</x:v>
      </x:c>
      <x:c r="J46" s="31" t="n">
        <x:v>6.97</x:v>
      </x:c>
      <x:c r="K46" s="31" t="n">
        <x:v>5.63</x:v>
      </x:c>
      <x:c r="L46" s="31" t="n">
        <x:f>ABS(J46-K46)</x:f>
        <x:v>1.3399999999999999</x:v>
      </x:c>
      <x:c r="M46" s="31" t="n">
        <x:v>5.2</x:v>
      </x:c>
      <x:c r="N46" s="31" t="n">
        <x:v>4.98</x:v>
      </x:c>
      <x:c r="O46" s="31" t="n">
        <x:f>ABS(M46-N46)</x:f>
        <x:v>0.21999999999999975</x:v>
      </x:c>
      <x:c r="P46" s="31" t="n">
        <x:v>6.3</x:v>
      </x:c>
      <x:c r="Q46" s="31" t="n">
        <x:v>6.28</x:v>
      </x:c>
      <x:c r="R46" s="31" t="n">
        <x:f>ABS(P46-Q46)</x:f>
        <x:v>0.019999999999999574</x:v>
      </x:c>
      <x:c r="S46" s="32" t="n">
        <x:v>5274.595935068799</x:v>
      </x:c>
      <x:c r="T46" s="32" t="n">
        <x:v>3671.7238750743513</x:v>
      </x:c>
      <x:c r="U46" s="31" t="n">
        <x:f>MAX(S46/T46,T46/S46)</x:f>
        <x:v>1.436544825953719</x:v>
      </x:c>
      <x:c r="V46" s="31" t="n">
        <x:f>L46*'Controls &amp; Summary'!$B$9+O46*'Controls &amp; Summary'!$B$10+R46*'Controls &amp; Summary'!$B$11+U46*'Controls &amp; Summary'!$B$12</x:f>
        <x:v>3.0165448259537184</x:v>
      </x:c>
      <x:c r="W46" s="31" t="n">
        <x:v>3.94</x:v>
      </x:c>
      <x:c r="X46" s="31" t="n">
        <x:v>1.44</x:v>
      </x:c>
      <x:c r="Y46" s="31" t="n">
        <x:f>((10-MIN(10,MAX(0,X46)))/10)*'Controls &amp; Summary'!$B$15+((10-MIN(10,MAX(0,W46)))/10)*'Controls &amp; Summary'!$B$16</x:f>
        <x:v>1.4620000000000002</x:v>
      </x:c>
      <x:c r="Z46" s="31" t="n">
        <x:f>V46*Y46</x:f>
        <x:v>4.410188535544337</x:v>
      </x:c>
      <x:c r="AA46" s="30" t="str">
        <x:f>IF(Z46&lt;=I46,"Peaceful","Hostile")</x:f>
        <x:v>Hostile</x:v>
      </x:c>
      <x:c r="AB46" s="30" t="str">
        <x:f>IF(Z46&lt;='Controls &amp; Summary'!$B$6,"Eligible","Blocked")</x:f>
        <x:v>Eligible</x:v>
      </x:c>
      <x:c r="AC46" s="30" t="str">
        <x:v>2003_BRA</x:v>
      </x:c>
      <x:c r="AD46" s="30" t="str">
        <x:v>2003_ECU</x:v>
      </x:c>
      <x:c r="AE46" s="30" t="str">
        <x:v>2003_Ecuador</x:v>
      </x:c>
      <x:c r="AF46" s="30" t="str">
        <x:v>Explicit capitalClaim</x:v>
      </x:c>
      <x:c r="AG46" s="30" t="str">
        <x:v>Claim2003_BRA2003_Ecuador</x:v>
      </x:c>
      <x:c r="AH46" s="30" t="str">
        <x:v>Project_StewardoftheSouth</x:v>
      </x:c>
    </x:row>
    <x:row r="47">
      <x:c r="A47" s="30" t="str">
        <x:v>2003</x:v>
      </x:c>
      <x:c r="B47" s="30" t="str">
        <x:v>Dark Skies</x:v>
      </x:c>
      <x:c r="C47" s="30" t="str">
        <x:v>Brazil</x:v>
      </x:c>
      <x:c r="D47" s="30" t="str">
        <x:v>Guyana</x:v>
      </x:c>
      <x:c r="E47" s="30" t="str">
        <x:v>Project unlock</x:v>
      </x:c>
      <x:c r="F47" s="30" t="str">
        <x:v>South American Confederations</x:v>
      </x:c>
      <x:c r="G47" s="30" t="str">
        <x:v>No</x:v>
      </x:c>
      <x:c r="H47" s="30" t="str">
        <x:v>Ordinary claim</x:v>
      </x:c>
      <x:c r="I47" s="31" t="n">
        <x:f>IF(G47="Yes",'Controls &amp; Summary'!$B$5,'Controls &amp; Summary'!$B$4)</x:f>
        <x:v>6</x:v>
      </x:c>
      <x:c r="J47" s="31" t="n">
        <x:v>6.97</x:v>
      </x:c>
      <x:c r="K47" s="31" t="n">
        <x:v>6.17</x:v>
      </x:c>
      <x:c r="L47" s="31" t="n">
        <x:f>ABS(J47-K47)</x:f>
        <x:v>0.7999999999999998</x:v>
      </x:c>
      <x:c r="M47" s="31" t="n">
        <x:v>5.2</x:v>
      </x:c>
      <x:c r="N47" s="31" t="n">
        <x:v>4.63</x:v>
      </x:c>
      <x:c r="O47" s="31" t="n">
        <x:f>ABS(M47-N47)</x:f>
        <x:v>0.5700000000000003</x:v>
      </x:c>
      <x:c r="P47" s="31" t="n">
        <x:v>6.3</x:v>
      </x:c>
      <x:c r="Q47" s="31" t="n">
        <x:v>5</x:v>
      </x:c>
      <x:c r="R47" s="31" t="n">
        <x:f>ABS(P47-Q47)</x:f>
        <x:v>1.2999999999999998</x:v>
      </x:c>
      <x:c r="S47" s="32" t="n">
        <x:v>5274.595935068799</x:v>
      </x:c>
      <x:c r="T47" s="32" t="n">
        <x:v>3560.418691627976</x:v>
      </x:c>
      <x:c r="U47" s="31" t="n">
        <x:f>MAX(S47/T47,T47/S47)</x:f>
        <x:v>1.4814538378510276</x:v>
      </x:c>
      <x:c r="V47" s="31" t="n">
        <x:f>L47*'Controls &amp; Summary'!$B$9+O47*'Controls &amp; Summary'!$B$10+R47*'Controls &amp; Summary'!$B$11+U47*'Controls &amp; Summary'!$B$12</x:f>
        <x:v>4.151453837851028</x:v>
      </x:c>
      <x:c r="W47" s="31" t="n">
        <x:v>3.94</x:v>
      </x:c>
      <x:c r="X47" s="31" t="n">
        <x:v>3.01</x:v>
      </x:c>
      <x:c r="Y47" s="31" t="n">
        <x:f>((10-MIN(10,MAX(0,X47)))/10)*'Controls &amp; Summary'!$B$15+((10-MIN(10,MAX(0,W47)))/10)*'Controls &amp; Summary'!$B$16</x:f>
        <x:v>1.3050000000000002</x:v>
      </x:c>
      <x:c r="Z47" s="31" t="n">
        <x:f>V47*Y47</x:f>
        <x:v>5.417647258395592</x:v>
      </x:c>
      <x:c r="AA47" s="30" t="str">
        <x:f>IF(Z47&lt;=I47,"Peaceful","Hostile")</x:f>
        <x:v>Peaceful</x:v>
      </x:c>
      <x:c r="AB47" s="30" t="str">
        <x:f>IF(Z47&lt;='Controls &amp; Summary'!$B$6,"Eligible","Blocked")</x:f>
        <x:v>Eligible</x:v>
      </x:c>
      <x:c r="AC47" s="30" t="str">
        <x:v>2003_BRA</x:v>
      </x:c>
      <x:c r="AD47" s="30" t="str">
        <x:v>2003_GUY</x:v>
      </x:c>
      <x:c r="AE47" s="30" t="str">
        <x:v>2003_Guyana</x:v>
      </x:c>
      <x:c r="AF47" s="30" t="str">
        <x:v>Explicit capitalClaim</x:v>
      </x:c>
      <x:c r="AG47" s="30" t="str">
        <x:v>Claim2003_BRA2003_Guyana</x:v>
      </x:c>
      <x:c r="AH47" s="30" t="str">
        <x:v>Project_GranColombia</x:v>
      </x:c>
    </x:row>
    <x:row r="48">
      <x:c r="A48" s="30" t="str">
        <x:v>2003</x:v>
      </x:c>
      <x:c r="B48" s="30" t="str">
        <x:v>Dark Skies</x:v>
      </x:c>
      <x:c r="C48" s="30" t="str">
        <x:v>Brazil</x:v>
      </x:c>
      <x:c r="D48" s="30" t="str">
        <x:v>Paraguay</x:v>
      </x:c>
      <x:c r="E48" s="30" t="str">
        <x:v>Project unlock</x:v>
      </x:c>
      <x:c r="F48" s="30" t="str">
        <x:v>Steward of the South</x:v>
      </x:c>
      <x:c r="G48" s="30" t="str">
        <x:v>Yes</x:v>
      </x:c>
      <x:c r="H48" s="30" t="str">
        <x:v>Template hostileClaim</x:v>
      </x:c>
      <x:c r="I48" s="31" t="n">
        <x:f>IF(G48="Yes",'Controls &amp; Summary'!$B$5,'Controls &amp; Summary'!$B$4)</x:f>
        <x:v>3</x:v>
      </x:c>
      <x:c r="J48" s="31" t="n">
        <x:v>6.97</x:v>
      </x:c>
      <x:c r="K48" s="31" t="n">
        <x:v>6.02</x:v>
      </x:c>
      <x:c r="L48" s="31" t="n">
        <x:f>ABS(J48-K48)</x:f>
        <x:v>0.9500000000000002</x:v>
      </x:c>
      <x:c r="M48" s="31" t="n">
        <x:v>5.2</x:v>
      </x:c>
      <x:c r="N48" s="31" t="n">
        <x:v>5.24</x:v>
      </x:c>
      <x:c r="O48" s="31" t="n">
        <x:f>ABS(M48-N48)</x:f>
        <x:v>0.040000000000000036</x:v>
      </x:c>
      <x:c r="P48" s="31" t="n">
        <x:v>6.3</x:v>
      </x:c>
      <x:c r="Q48" s="31" t="n">
        <x:v>5.95</x:v>
      </x:c>
      <x:c r="R48" s="31" t="n">
        <x:f>ABS(P48-Q48)</x:f>
        <x:v>0.34999999999999964</x:v>
      </x:c>
      <x:c r="S48" s="32" t="n">
        <x:v>5274.595935068799</x:v>
      </x:c>
      <x:c r="T48" s="32" t="n">
        <x:v>4068.858542560166</x:v>
      </x:c>
      <x:c r="U48" s="31" t="n">
        <x:f>MAX(S48/T48,T48/S48)</x:f>
        <x:v>1.2963330820908734</x:v>
      </x:c>
      <x:c r="V48" s="31" t="n">
        <x:f>L48*'Controls &amp; Summary'!$B$9+O48*'Controls &amp; Summary'!$B$10+R48*'Controls &amp; Summary'!$B$11+U48*'Controls &amp; Summary'!$B$12</x:f>
        <x:v>2.6363330820908732</x:v>
      </x:c>
      <x:c r="W48" s="31" t="n">
        <x:v>3.94</x:v>
      </x:c>
      <x:c r="X48" s="31" t="n">
        <x:v>3.04</x:v>
      </x:c>
      <x:c r="Y48" s="31" t="n">
        <x:f>((10-MIN(10,MAX(0,X48)))/10)*'Controls &amp; Summary'!$B$15+((10-MIN(10,MAX(0,W48)))/10)*'Controls &amp; Summary'!$B$16</x:f>
        <x:v>1.302</x:v>
      </x:c>
      <x:c r="Z48" s="31" t="n">
        <x:f>V48*Y48</x:f>
        <x:v>3.432505672882317</x:v>
      </x:c>
      <x:c r="AA48" s="30" t="str">
        <x:f>IF(Z48&lt;=I48,"Peaceful","Hostile")</x:f>
        <x:v>Hostile</x:v>
      </x:c>
      <x:c r="AB48" s="30" t="str">
        <x:f>IF(Z48&lt;='Controls &amp; Summary'!$B$6,"Eligible","Blocked")</x:f>
        <x:v>Eligible</x:v>
      </x:c>
      <x:c r="AC48" s="30" t="str">
        <x:v>2003_BRA</x:v>
      </x:c>
      <x:c r="AD48" s="30" t="str">
        <x:v>2003_PRY</x:v>
      </x:c>
      <x:c r="AE48" s="30" t="str">
        <x:v>2003_Paraguay</x:v>
      </x:c>
      <x:c r="AF48" s="30" t="str">
        <x:v>Explicit capitalClaim</x:v>
      </x:c>
      <x:c r="AG48" s="30" t="str">
        <x:v>Claim2003_BRA2003_Paraguay</x:v>
      </x:c>
      <x:c r="AH48" s="30" t="str">
        <x:v>Project_StewardoftheSouth</x:v>
      </x:c>
    </x:row>
    <x:row r="49">
      <x:c r="A49" s="30" t="str">
        <x:v>2003</x:v>
      </x:c>
      <x:c r="B49" s="30" t="str">
        <x:v>Dark Skies</x:v>
      </x:c>
      <x:c r="C49" s="30" t="str">
        <x:v>Brazil</x:v>
      </x:c>
      <x:c r="D49" s="30" t="str">
        <x:v>Peru</x:v>
      </x:c>
      <x:c r="E49" s="30" t="str">
        <x:v>Project unlock</x:v>
      </x:c>
      <x:c r="F49" s="30" t="str">
        <x:v>Steward of the South</x:v>
      </x:c>
      <x:c r="G49" s="30" t="str">
        <x:v>Yes</x:v>
      </x:c>
      <x:c r="H49" s="30" t="str">
        <x:v>Template hostileClaim</x:v>
      </x:c>
      <x:c r="I49" s="31" t="n">
        <x:f>IF(G49="Yes",'Controls &amp; Summary'!$B$5,'Controls &amp; Summary'!$B$4)</x:f>
        <x:v>3</x:v>
      </x:c>
      <x:c r="J49" s="31" t="n">
        <x:v>6.97</x:v>
      </x:c>
      <x:c r="K49" s="31" t="n">
        <x:v>6.12</x:v>
      </x:c>
      <x:c r="L49" s="31" t="n">
        <x:f>ABS(J49-K49)</x:f>
        <x:v>0.8499999999999996</x:v>
      </x:c>
      <x:c r="M49" s="31" t="n">
        <x:v>5.2</x:v>
      </x:c>
      <x:c r="N49" s="31" t="n">
        <x:v>5.23</x:v>
      </x:c>
      <x:c r="O49" s="31" t="n">
        <x:f>ABS(M49-N49)</x:f>
        <x:v>0.03000000000000025</x:v>
      </x:c>
      <x:c r="P49" s="31" t="n">
        <x:v>6.3</x:v>
      </x:c>
      <x:c r="Q49" s="31" t="n">
        <x:v>6.12</x:v>
      </x:c>
      <x:c r="R49" s="31" t="n">
        <x:f>ABS(P49-Q49)</x:f>
        <x:v>0.17999999999999972</x:v>
      </x:c>
      <x:c r="S49" s="32" t="n">
        <x:v>5274.595935068799</x:v>
      </x:c>
      <x:c r="T49" s="32" t="n">
        <x:v>3157.4781783064773</x:v>
      </x:c>
      <x:c r="U49" s="31" t="n">
        <x:f>MAX(S49/T49,T49/S49)</x:f>
        <x:v>1.670509069962233</x:v>
      </x:c>
      <x:c r="V49" s="31" t="n">
        <x:f>L49*'Controls &amp; Summary'!$B$9+O49*'Controls &amp; Summary'!$B$10+R49*'Controls &amp; Summary'!$B$11+U49*'Controls &amp; Summary'!$B$12</x:f>
        <x:v>2.7305090699622325</x:v>
      </x:c>
      <x:c r="W49" s="31" t="n">
        <x:v>3.94</x:v>
      </x:c>
      <x:c r="X49" s="31" t="n">
        <x:v>1.55</x:v>
      </x:c>
      <x:c r="Y49" s="31" t="n">
        <x:f>((10-MIN(10,MAX(0,X49)))/10)*'Controls &amp; Summary'!$B$15+((10-MIN(10,MAX(0,W49)))/10)*'Controls &amp; Summary'!$B$16</x:f>
        <x:v>1.451</x:v>
      </x:c>
      <x:c r="Z49" s="31" t="n">
        <x:f>V49*Y49</x:f>
        <x:v>3.9619686605151996</x:v>
      </x:c>
      <x:c r="AA49" s="30" t="str">
        <x:f>IF(Z49&lt;=I49,"Peaceful","Hostile")</x:f>
        <x:v>Hostile</x:v>
      </x:c>
      <x:c r="AB49" s="30" t="str">
        <x:f>IF(Z49&lt;='Controls &amp; Summary'!$B$6,"Eligible","Blocked")</x:f>
        <x:v>Eligible</x:v>
      </x:c>
      <x:c r="AC49" s="30" t="str">
        <x:v>2003_BRA</x:v>
      </x:c>
      <x:c r="AD49" s="30" t="str">
        <x:v>2003_PER</x:v>
      </x:c>
      <x:c r="AE49" s="30" t="str">
        <x:v>2003_Peru</x:v>
      </x:c>
      <x:c r="AF49" s="30" t="str">
        <x:v>Explicit capitalClaim</x:v>
      </x:c>
      <x:c r="AG49" s="30" t="str">
        <x:v>Claim2003_BRA2003_Peru</x:v>
      </x:c>
      <x:c r="AH49" s="30" t="str">
        <x:v>Project_StewardoftheSouth</x:v>
      </x:c>
    </x:row>
    <x:row r="50">
      <x:c r="A50" s="30" t="str">
        <x:v>2003</x:v>
      </x:c>
      <x:c r="B50" s="30" t="str">
        <x:v>Dark Skies</x:v>
      </x:c>
      <x:c r="C50" s="30" t="str">
        <x:v>Brazil</x:v>
      </x:c>
      <x:c r="D50" s="30" t="str">
        <x:v>Suriname</x:v>
      </x:c>
      <x:c r="E50" s="30" t="str">
        <x:v>Project unlock</x:v>
      </x:c>
      <x:c r="F50" s="30" t="str">
        <x:v>South American Confederations</x:v>
      </x:c>
      <x:c r="G50" s="30" t="str">
        <x:v>No</x:v>
      </x:c>
      <x:c r="H50" s="30" t="str">
        <x:v>Ordinary claim</x:v>
      </x:c>
      <x:c r="I50" s="31" t="n">
        <x:f>IF(G50="Yes",'Controls &amp; Summary'!$B$5,'Controls &amp; Summary'!$B$4)</x:f>
        <x:v>6</x:v>
      </x:c>
      <x:c r="J50" s="31" t="n">
        <x:v>6.97</x:v>
      </x:c>
      <x:c r="K50" s="31" t="n">
        <x:v>6.57</x:v>
      </x:c>
      <x:c r="L50" s="31" t="n">
        <x:f>ABS(J50-K50)</x:f>
        <x:v>0.39999999999999947</x:v>
      </x:c>
      <x:c r="M50" s="31" t="n">
        <x:v>5.2</x:v>
      </x:c>
      <x:c r="N50" s="31" t="n">
        <x:v>4.67</x:v>
      </x:c>
      <x:c r="O50" s="31" t="n">
        <x:f>ABS(M50-N50)</x:f>
        <x:v>0.5300000000000002</x:v>
      </x:c>
      <x:c r="P50" s="31" t="n">
        <x:v>6.3</x:v>
      </x:c>
      <x:c r="Q50" s="31" t="n">
        <x:v>6.01</x:v>
      </x:c>
      <x:c r="R50" s="31" t="n">
        <x:f>ABS(P50-Q50)</x:f>
        <x:v>0.29000000000000004</x:v>
      </x:c>
      <x:c r="S50" s="32" t="n">
        <x:v>5274.595935068799</x:v>
      </x:c>
      <x:c r="T50" s="32" t="n">
        <x:v>6277.368650945668</x:v>
      </x:c>
      <x:c r="U50" s="31" t="n">
        <x:f>MAX(S50/T50,T50/S50)</x:f>
        <x:v>1.190113655760778</x:v>
      </x:c>
      <x:c r="V50" s="31" t="n">
        <x:f>L50*'Controls &amp; Summary'!$B$9+O50*'Controls &amp; Summary'!$B$10+R50*'Controls &amp; Summary'!$B$11+U50*'Controls &amp; Summary'!$B$12</x:f>
        <x:v>2.410113655760778</x:v>
      </x:c>
      <x:c r="W50" s="31" t="n">
        <x:v>3.94</x:v>
      </x:c>
      <x:c r="X50" s="31" t="n">
        <x:v>1.68</x:v>
      </x:c>
      <x:c r="Y50" s="31" t="n">
        <x:f>((10-MIN(10,MAX(0,X50)))/10)*'Controls &amp; Summary'!$B$15+((10-MIN(10,MAX(0,W50)))/10)*'Controls &amp; Summary'!$B$16</x:f>
        <x:v>1.4380000000000002</x:v>
      </x:c>
      <x:c r="Z50" s="31" t="n">
        <x:f>V50*Y50</x:f>
        <x:v>3.4657434369839994</x:v>
      </x:c>
      <x:c r="AA50" s="30" t="str">
        <x:f>IF(Z50&lt;=I50,"Peaceful","Hostile")</x:f>
        <x:v>Peaceful</x:v>
      </x:c>
      <x:c r="AB50" s="30" t="str">
        <x:f>IF(Z50&lt;='Controls &amp; Summary'!$B$6,"Eligible","Blocked")</x:f>
        <x:v>Eligible</x:v>
      </x:c>
      <x:c r="AC50" s="30" t="str">
        <x:v>2003_BRA</x:v>
      </x:c>
      <x:c r="AD50" s="30" t="str">
        <x:v>2003_SUR</x:v>
      </x:c>
      <x:c r="AE50" s="30" t="str">
        <x:v>2003_Suriname</x:v>
      </x:c>
      <x:c r="AF50" s="30" t="str">
        <x:v>Explicit capitalClaim</x:v>
      </x:c>
      <x:c r="AG50" s="30" t="str">
        <x:v>Claim2003_BRA2003_Suriname</x:v>
      </x:c>
      <x:c r="AH50" s="30" t="str">
        <x:v>Project_GranColombia</x:v>
      </x:c>
    </x:row>
    <x:row r="51">
      <x:c r="A51" s="30" t="str">
        <x:v>2003</x:v>
      </x:c>
      <x:c r="B51" s="30" t="str">
        <x:v>Dark Skies</x:v>
      </x:c>
      <x:c r="C51" s="30" t="str">
        <x:v>Brazil</x:v>
      </x:c>
      <x:c r="D51" s="30" t="str">
        <x:v>Uruguay</x:v>
      </x:c>
      <x:c r="E51" s="30" t="str">
        <x:v>Project unlock</x:v>
      </x:c>
      <x:c r="F51" s="30" t="str">
        <x:v>Steward of the South</x:v>
      </x:c>
      <x:c r="G51" s="30" t="str">
        <x:v>No</x:v>
      </x:c>
      <x:c r="H51" s="30" t="str">
        <x:v>Ordinary claim</x:v>
      </x:c>
      <x:c r="I51" s="31" t="n">
        <x:f>IF(G51="Yes",'Controls &amp; Summary'!$B$5,'Controls &amp; Summary'!$B$4)</x:f>
        <x:v>6</x:v>
      </x:c>
      <x:c r="J51" s="31" t="n">
        <x:v>6.97</x:v>
      </x:c>
      <x:c r="K51" s="31" t="n">
        <x:v>7.69</x:v>
      </x:c>
      <x:c r="L51" s="31" t="n">
        <x:f>ABS(J51-K51)</x:f>
        <x:v>0.7200000000000006</x:v>
      </x:c>
      <x:c r="M51" s="31" t="n">
        <x:v>5.2</x:v>
      </x:c>
      <x:c r="N51" s="31" t="n">
        <x:v>4.23</x:v>
      </x:c>
      <x:c r="O51" s="31" t="n">
        <x:f>ABS(M51-N51)</x:f>
        <x:v>0.9699999999999998</x:v>
      </x:c>
      <x:c r="P51" s="31" t="n">
        <x:v>6.3</x:v>
      </x:c>
      <x:c r="Q51" s="31" t="n">
        <x:v>7.12</x:v>
      </x:c>
      <x:c r="R51" s="31" t="n">
        <x:f>ABS(P51-Q51)</x:f>
        <x:v>0.8200000000000003</x:v>
      </x:c>
      <x:c r="S51" s="32" t="n">
        <x:v>5274.595935068799</x:v>
      </x:c>
      <x:c r="T51" s="32" t="n">
        <x:v>5963.11268882654</x:v>
      </x:c>
      <x:c r="U51" s="31" t="n">
        <x:f>MAX(S51/T51,T51/S51)</x:f>
        <x:v>1.1305345020231887</x:v>
      </x:c>
      <x:c r="V51" s="31" t="n">
        <x:f>L51*'Controls &amp; Summary'!$B$9+O51*'Controls &amp; Summary'!$B$10+R51*'Controls &amp; Summary'!$B$11+U51*'Controls &amp; Summary'!$B$12</x:f>
        <x:v>3.6405345020231894</x:v>
      </x:c>
      <x:c r="W51" s="31" t="n">
        <x:v>3.94</x:v>
      </x:c>
      <x:c r="X51" s="31" t="n">
        <x:v>0.53</x:v>
      </x:c>
      <x:c r="Y51" s="31" t="n">
        <x:f>((10-MIN(10,MAX(0,X51)))/10)*'Controls &amp; Summary'!$B$15+((10-MIN(10,MAX(0,W51)))/10)*'Controls &amp; Summary'!$B$16</x:f>
        <x:v>1.5530000000000002</x:v>
      </x:c>
      <x:c r="Z51" s="31" t="n">
        <x:f>V51*Y51</x:f>
        <x:v>5.653750081642014</x:v>
      </x:c>
      <x:c r="AA51" s="30" t="str">
        <x:f>IF(Z51&lt;=I51,"Peaceful","Hostile")</x:f>
        <x:v>Peaceful</x:v>
      </x:c>
      <x:c r="AB51" s="30" t="str">
        <x:f>IF(Z51&lt;='Controls &amp; Summary'!$B$6,"Eligible","Blocked")</x:f>
        <x:v>Eligible</x:v>
      </x:c>
      <x:c r="AC51" s="30" t="str">
        <x:v>2003_BRA</x:v>
      </x:c>
      <x:c r="AD51" s="30" t="str">
        <x:v>2003_URY</x:v>
      </x:c>
      <x:c r="AE51" s="30" t="str">
        <x:v>2003_Uruguay</x:v>
      </x:c>
      <x:c r="AF51" s="30" t="str">
        <x:v>Explicit capitalClaim</x:v>
      </x:c>
      <x:c r="AG51" s="30" t="str">
        <x:v>Claim2003_BRA2003_Uruguay</x:v>
      </x:c>
      <x:c r="AH51" s="30" t="str">
        <x:v>Project_StewardoftheSouth</x:v>
      </x:c>
    </x:row>
    <x:row r="52">
      <x:c r="A52" s="30" t="str">
        <x:v>2003</x:v>
      </x:c>
      <x:c r="B52" s="30" t="str">
        <x:v>Dark Skies</x:v>
      </x:c>
      <x:c r="C52" s="30" t="str">
        <x:v>Brazil</x:v>
      </x:c>
      <x:c r="D52" s="30" t="str">
        <x:v>Venezuela</x:v>
      </x:c>
      <x:c r="E52" s="30" t="str">
        <x:v>Project unlock</x:v>
      </x:c>
      <x:c r="F52" s="30" t="str">
        <x:v>South American Confederations</x:v>
      </x:c>
      <x:c r="G52" s="30" t="str">
        <x:v>No</x:v>
      </x:c>
      <x:c r="H52" s="30" t="str">
        <x:v>Ordinary claim</x:v>
      </x:c>
      <x:c r="I52" s="31" t="n">
        <x:f>IF(G52="Yes",'Controls &amp; Summary'!$B$5,'Controls &amp; Summary'!$B$4)</x:f>
        <x:v>6</x:v>
      </x:c>
      <x:c r="J52" s="31" t="n">
        <x:v>6.97</x:v>
      </x:c>
      <x:c r="K52" s="31" t="n">
        <x:v>5.99</x:v>
      </x:c>
      <x:c r="L52" s="31" t="n">
        <x:f>ABS(J52-K52)</x:f>
        <x:v>0.9799999999999995</x:v>
      </x:c>
      <x:c r="M52" s="31" t="n">
        <x:v>5.2</x:v>
      </x:c>
      <x:c r="N52" s="31" t="n">
        <x:v>4.23</x:v>
      </x:c>
      <x:c r="O52" s="31" t="n">
        <x:f>ABS(M52-N52)</x:f>
        <x:v>0.9699999999999998</x:v>
      </x:c>
      <x:c r="P52" s="31" t="n">
        <x:v>6.3</x:v>
      </x:c>
      <x:c r="Q52" s="31" t="n">
        <x:v>6.32</x:v>
      </x:c>
      <x:c r="R52" s="31" t="n">
        <x:f>ABS(P52-Q52)</x:f>
        <x:v>0.020000000000000462</x:v>
      </x:c>
      <x:c r="S52" s="32" t="n">
        <x:v>5274.595935068799</x:v>
      </x:c>
      <x:c r="T52" s="32" t="n">
        <x:v>5903.264019519322</x:v>
      </x:c>
      <x:c r="U52" s="31" t="n">
        <x:f>MAX(S52/T52,T52/S52)</x:f>
        <x:v>1.119187913574715</x:v>
      </x:c>
      <x:c r="V52" s="31" t="n">
        <x:f>L52*'Controls &amp; Summary'!$B$9+O52*'Controls &amp; Summary'!$B$10+R52*'Controls &amp; Summary'!$B$11+U52*'Controls &amp; Summary'!$B$12</x:f>
        <x:v>3.0891879135747145</x:v>
      </x:c>
      <x:c r="W52" s="31" t="n">
        <x:v>3.94</x:v>
      </x:c>
      <x:c r="X52" s="31" t="n">
        <x:v>5.16</x:v>
      </x:c>
      <x:c r="Y52" s="31" t="n">
        <x:f>((10-MIN(10,MAX(0,X52)))/10)*'Controls &amp; Summary'!$B$15+((10-MIN(10,MAX(0,W52)))/10)*'Controls &amp; Summary'!$B$16</x:f>
        <x:v>1.09</x:v>
      </x:c>
      <x:c r="Z52" s="31" t="n">
        <x:f>V52*Y52</x:f>
        <x:v>3.367214825796439</x:v>
      </x:c>
      <x:c r="AA52" s="30" t="str">
        <x:f>IF(Z52&lt;=I52,"Peaceful","Hostile")</x:f>
        <x:v>Peaceful</x:v>
      </x:c>
      <x:c r="AB52" s="30" t="str">
        <x:f>IF(Z52&lt;='Controls &amp; Summary'!$B$6,"Eligible","Blocked")</x:f>
        <x:v>Eligible</x:v>
      </x:c>
      <x:c r="AC52" s="30" t="str">
        <x:v>2003_BRA</x:v>
      </x:c>
      <x:c r="AD52" s="30" t="str">
        <x:v>2003_VEN</x:v>
      </x:c>
      <x:c r="AE52" s="30" t="str">
        <x:v>2003_Venezuela</x:v>
      </x:c>
      <x:c r="AF52" s="30" t="str">
        <x:v>Explicit capitalClaim</x:v>
      </x:c>
      <x:c r="AG52" s="30" t="str">
        <x:v>Claim2003_BRA2003_Venezuela</x:v>
      </x:c>
      <x:c r="AH52" s="30" t="str">
        <x:v>Project_GranColombia</x:v>
      </x:c>
    </x:row>
    <x:row r="53">
      <x:c r="A53" s="30" t="str">
        <x:v>2003</x:v>
      </x:c>
      <x:c r="B53" s="30" t="str">
        <x:v>Dark Skies</x:v>
      </x:c>
      <x:c r="C53" s="30" t="str">
        <x:v>Cameroon</x:v>
      </x:c>
      <x:c r="D53" s="30" t="str">
        <x:v>Central African Republic</x:v>
      </x:c>
      <x:c r="E53" s="30" t="str">
        <x:v>Project unlock</x:v>
      </x:c>
      <x:c r="F53" s="30" t="str">
        <x:v>Regional African Unions</x:v>
      </x:c>
      <x:c r="G53" s="30" t="str">
        <x:v>No</x:v>
      </x:c>
      <x:c r="H53" s="30" t="str">
        <x:v>Ordinary claim</x:v>
      </x:c>
      <x:c r="I53" s="31" t="n">
        <x:f>IF(G53="Yes",'Controls &amp; Summary'!$B$5,'Controls &amp; Summary'!$B$4)</x:f>
        <x:v>6</x:v>
      </x:c>
      <x:c r="J53" s="31" t="n">
        <x:v>3.3</x:v>
      </x:c>
      <x:c r="K53" s="31" t="n">
        <x:v>1.06</x:v>
      </x:c>
      <x:c r="L53" s="31" t="n">
        <x:f>ABS(J53-K53)</x:f>
        <x:v>2.2399999999999998</x:v>
      </x:c>
      <x:c r="M53" s="31" t="n">
        <x:v>4.4</x:v>
      </x:c>
      <x:c r="N53" s="31" t="n">
        <x:v>5.17</x:v>
      </x:c>
      <x:c r="O53" s="31" t="n">
        <x:f>ABS(M53-N53)</x:f>
        <x:v>0.7699999999999996</x:v>
      </x:c>
      <x:c r="P53" s="31" t="n">
        <x:v>3.66</x:v>
      </x:c>
      <x:c r="Q53" s="31" t="n">
        <x:v>2.26</x:v>
      </x:c>
      <x:c r="R53" s="31" t="n">
        <x:f>ABS(P53-Q53)</x:f>
        <x:v>1.4000000000000004</x:v>
      </x:c>
      <x:c r="S53" s="32" t="n">
        <x:v>1461.8851709803137</x:v>
      </x:c>
      <x:c r="T53" s="32" t="n">
        <x:v>472.18773893601053</x:v>
      </x:c>
      <x:c r="U53" s="31" t="n">
        <x:f>MAX(S53/T53,T53/S53)</x:f>
        <x:v>3.095982911954484</x:v>
      </x:c>
      <x:c r="V53" s="31" t="n">
        <x:f>L53*'Controls &amp; Summary'!$B$9+O53*'Controls &amp; Summary'!$B$10+R53*'Controls &amp; Summary'!$B$11+U53*'Controls &amp; Summary'!$B$12</x:f>
        <x:v>7.505982911954485</x:v>
      </x:c>
      <x:c r="W53" s="31" t="n">
        <x:v>0.54</x:v>
      </x:c>
      <x:c r="X53" s="31" t="n">
        <x:v>10.24</x:v>
      </x:c>
      <x:c r="Y53" s="31" t="n">
        <x:f>((10-MIN(10,MAX(0,X53)))/10)*'Controls &amp; Summary'!$B$15+((10-MIN(10,MAX(0,W53)))/10)*'Controls &amp; Summary'!$B$16</x:f>
        <x:v>0.9460000000000001</x:v>
      </x:c>
      <x:c r="Z53" s="31" t="n">
        <x:f>V53*Y53</x:f>
        <x:v>7.100659834708943</x:v>
      </x:c>
      <x:c r="AA53" s="30" t="str">
        <x:f>IF(Z53&lt;=I53,"Peaceful","Hostile")</x:f>
        <x:v>Hostile</x:v>
      </x:c>
      <x:c r="AB53" s="30" t="str">
        <x:f>IF(Z53&lt;='Controls &amp; Summary'!$B$6,"Eligible","Blocked")</x:f>
        <x:v>Eligible</x:v>
      </x:c>
      <x:c r="AC53" s="30" t="str">
        <x:v>2003_CMR</x:v>
      </x:c>
      <x:c r="AD53" s="30" t="str">
        <x:v>2003_CAF</x:v>
      </x:c>
      <x:c r="AE53" s="30" t="str">
        <x:v>2003_CentralAfricanRepublic</x:v>
      </x:c>
      <x:c r="AF53" s="30" t="str">
        <x:v>Explicit capitalClaim</x:v>
      </x:c>
      <x:c r="AG53" s="30" t="str">
        <x:v>Claim2003_CMR2003_CentralAfricanRepublic</x:v>
      </x:c>
      <x:c r="AH53" s="30" t="str">
        <x:v>Project_RegionalAfricanUnions</x:v>
      </x:c>
    </x:row>
    <x:row r="54">
      <x:c r="A54" s="30" t="str">
        <x:v>2003</x:v>
      </x:c>
      <x:c r="B54" s="30" t="str">
        <x:v>Dark Skies</x:v>
      </x:c>
      <x:c r="C54" s="30" t="str">
        <x:v>Cameroon</x:v>
      </x:c>
      <x:c r="D54" s="30" t="str">
        <x:v>Chad</x:v>
      </x:c>
      <x:c r="E54" s="30" t="str">
        <x:v>Project unlock</x:v>
      </x:c>
      <x:c r="F54" s="30" t="str">
        <x:v>Regional African Unions</x:v>
      </x:c>
      <x:c r="G54" s="30" t="str">
        <x:v>No</x:v>
      </x:c>
      <x:c r="H54" s="30" t="str">
        <x:v>Ordinary claim</x:v>
      </x:c>
      <x:c r="I54" s="31" t="n">
        <x:f>IF(G54="Yes",'Controls &amp; Summary'!$B$5,'Controls &amp; Summary'!$B$4)</x:f>
        <x:v>6</x:v>
      </x:c>
      <x:c r="J54" s="31" t="n">
        <x:v>3.3</x:v>
      </x:c>
      <x:c r="K54" s="31" t="n">
        <x:v>1.66</x:v>
      </x:c>
      <x:c r="L54" s="31" t="n">
        <x:f>ABS(J54-K54)</x:f>
        <x:v>1.64</x:v>
      </x:c>
      <x:c r="M54" s="31" t="n">
        <x:v>4.4</x:v>
      </x:c>
      <x:c r="N54" s="31" t="n">
        <x:v>4.09</x:v>
      </x:c>
      <x:c r="O54" s="31" t="n">
        <x:f>ABS(M54-N54)</x:f>
        <x:v>0.3100000000000005</x:v>
      </x:c>
      <x:c r="P54" s="31" t="n">
        <x:v>3.66</x:v>
      </x:c>
      <x:c r="Q54" s="31" t="n">
        <x:v>2.06</x:v>
      </x:c>
      <x:c r="R54" s="31" t="n">
        <x:f>ABS(P54-Q54)</x:f>
        <x:v>1.6</x:v>
      </x:c>
      <x:c r="S54" s="32" t="n">
        <x:v>1461.8851709803137</x:v>
      </x:c>
      <x:c r="T54" s="32" t="n">
        <x:v>761.3320990156551</x:v>
      </x:c>
      <x:c r="U54" s="31" t="n">
        <x:f>MAX(S54/T54,T54/S54)</x:f>
        <x:v>1.920167523306085</x:v>
      </x:c>
      <x:c r="V54" s="31" t="n">
        <x:f>L54*'Controls &amp; Summary'!$B$9+O54*'Controls &amp; Summary'!$B$10+R54*'Controls &amp; Summary'!$B$11+U54*'Controls &amp; Summary'!$B$12</x:f>
        <x:v>5.470167523306086</x:v>
      </x:c>
      <x:c r="W54" s="31" t="n">
        <x:v>0.54</x:v>
      </x:c>
      <x:c r="X54" s="31" t="n">
        <x:v>9.1</x:v>
      </x:c>
      <x:c r="Y54" s="31" t="n">
        <x:f>((10-MIN(10,MAX(0,X54)))/10)*'Controls &amp; Summary'!$B$15+((10-MIN(10,MAX(0,W54)))/10)*'Controls &amp; Summary'!$B$16</x:f>
        <x:v>1.036</x:v>
      </x:c>
      <x:c r="Z54" s="31" t="n">
        <x:f>V54*Y54</x:f>
        <x:v>5.667093554145104</x:v>
      </x:c>
      <x:c r="AA54" s="30" t="str">
        <x:f>IF(Z54&lt;=I54,"Peaceful","Hostile")</x:f>
        <x:v>Peaceful</x:v>
      </x:c>
      <x:c r="AB54" s="30" t="str">
        <x:f>IF(Z54&lt;='Controls &amp; Summary'!$B$6,"Eligible","Blocked")</x:f>
        <x:v>Eligible</x:v>
      </x:c>
      <x:c r="AC54" s="30" t="str">
        <x:v>2003_CMR</x:v>
      </x:c>
      <x:c r="AD54" s="30" t="str">
        <x:v>2003_TCD</x:v>
      </x:c>
      <x:c r="AE54" s="30" t="str">
        <x:v>2003_Chad</x:v>
      </x:c>
      <x:c r="AF54" s="30" t="str">
        <x:v>Explicit capitalClaim</x:v>
      </x:c>
      <x:c r="AG54" s="30" t="str">
        <x:v>Claim2003_CMR2003_Chad</x:v>
      </x:c>
      <x:c r="AH54" s="30" t="str">
        <x:v>Project_RegionalAfricanUnions</x:v>
      </x:c>
    </x:row>
    <x:row r="55">
      <x:c r="A55" s="30" t="str">
        <x:v>2003</x:v>
      </x:c>
      <x:c r="B55" s="30" t="str">
        <x:v>Dark Skies</x:v>
      </x:c>
      <x:c r="C55" s="30" t="str">
        <x:v>Cameroon</x:v>
      </x:c>
      <x:c r="D55" s="30" t="str">
        <x:v>Congo</x:v>
      </x:c>
      <x:c r="E55" s="30" t="str">
        <x:v>Project unlock</x:v>
      </x:c>
      <x:c r="F55" s="30" t="str">
        <x:v>Regional African Unions</x:v>
      </x:c>
      <x:c r="G55" s="30" t="str">
        <x:v>No</x:v>
      </x:c>
      <x:c r="H55" s="30" t="str">
        <x:v>Ordinary claim</x:v>
      </x:c>
      <x:c r="I55" s="31" t="n">
        <x:f>IF(G55="Yes",'Controls &amp; Summary'!$B$5,'Controls &amp; Summary'!$B$4)</x:f>
        <x:v>6</x:v>
      </x:c>
      <x:c r="J55" s="31" t="n">
        <x:v>3.3</x:v>
      </x:c>
      <x:c r="K55" s="31" t="n">
        <x:v>3.12</x:v>
      </x:c>
      <x:c r="L55" s="31" t="n">
        <x:f>ABS(J55-K55)</x:f>
        <x:v>0.17999999999999972</x:v>
      </x:c>
      <x:c r="M55" s="31" t="n">
        <x:v>4.4</x:v>
      </x:c>
      <x:c r="N55" s="31" t="n">
        <x:v>4.35</x:v>
      </x:c>
      <x:c r="O55" s="31" t="n">
        <x:f>ABS(M55-N55)</x:f>
        <x:v>0.05000000000000071</x:v>
      </x:c>
      <x:c r="P55" s="31" t="n">
        <x:v>3.66</x:v>
      </x:c>
      <x:c r="Q55" s="31" t="n">
        <x:v>4.63</x:v>
      </x:c>
      <x:c r="R55" s="31" t="n">
        <x:f>ABS(P55-Q55)</x:f>
        <x:v>0.9699999999999998</x:v>
      </x:c>
      <x:c r="S55" s="32" t="n">
        <x:v>1461.8851709803137</x:v>
      </x:c>
      <x:c r="T55" s="32" t="n">
        <x:v>308.88222613717977</x:v>
      </x:c>
      <x:c r="U55" s="31" t="n">
        <x:f>MAX(S55/T55,T55/S55)</x:f>
        <x:v>4.732823863847271</x:v>
      </x:c>
      <x:c r="V55" s="31" t="n">
        <x:f>L55*'Controls &amp; Summary'!$B$9+O55*'Controls &amp; Summary'!$B$10+R55*'Controls &amp; Summary'!$B$11+U55*'Controls &amp; Summary'!$B$12</x:f>
        <x:v>5.932823863847271</x:v>
      </x:c>
      <x:c r="W55" s="31" t="n">
        <x:v>0.54</x:v>
      </x:c>
      <x:c r="X55" s="31" t="n">
        <x:v>7.34</x:v>
      </x:c>
      <x:c r="Y55" s="31" t="n">
        <x:f>((10-MIN(10,MAX(0,X55)))/10)*'Controls &amp; Summary'!$B$15+((10-MIN(10,MAX(0,W55)))/10)*'Controls &amp; Summary'!$B$16</x:f>
        <x:v>1.2120000000000002</x:v>
      </x:c>
      <x:c r="Z55" s="31" t="n">
        <x:f>V55*Y55</x:f>
        <x:v>7.1905825229828935</x:v>
      </x:c>
      <x:c r="AA55" s="30" t="str">
        <x:f>IF(Z55&lt;=I55,"Peaceful","Hostile")</x:f>
        <x:v>Hostile</x:v>
      </x:c>
      <x:c r="AB55" s="30" t="str">
        <x:f>IF(Z55&lt;='Controls &amp; Summary'!$B$6,"Eligible","Blocked")</x:f>
        <x:v>Eligible</x:v>
      </x:c>
      <x:c r="AC55" s="30" t="str">
        <x:v>2003_CMR</x:v>
      </x:c>
      <x:c r="AD55" s="30" t="str">
        <x:v>2003_COD</x:v>
      </x:c>
      <x:c r="AE55" s="30" t="str">
        <x:v>2003_Kinshasa</x:v>
      </x:c>
      <x:c r="AF55" s="30" t="str">
        <x:v>Explicit capitalClaim</x:v>
      </x:c>
      <x:c r="AG55" s="30" t="str">
        <x:v>Claim2003_CMR2003_Kinshasa</x:v>
      </x:c>
      <x:c r="AH55" s="30" t="str">
        <x:v>Project_RegionalAfricanUnions</x:v>
      </x:c>
    </x:row>
    <x:row r="56">
      <x:c r="A56" s="30" t="str">
        <x:v>2003</x:v>
      </x:c>
      <x:c r="B56" s="30" t="str">
        <x:v>Dark Skies</x:v>
      </x:c>
      <x:c r="C56" s="30" t="str">
        <x:v>Cameroon</x:v>
      </x:c>
      <x:c r="D56" s="30" t="str">
        <x:v>Equatorial Guinea</x:v>
      </x:c>
      <x:c r="E56" s="30" t="str">
        <x:v>Project unlock</x:v>
      </x:c>
      <x:c r="F56" s="30" t="str">
        <x:v>Regional African Unions</x:v>
      </x:c>
      <x:c r="G56" s="30" t="str">
        <x:v>No</x:v>
      </x:c>
      <x:c r="H56" s="30" t="str">
        <x:v>Ordinary claim</x:v>
      </x:c>
      <x:c r="I56" s="31" t="n">
        <x:f>IF(G56="Yes",'Controls &amp; Summary'!$B$5,'Controls &amp; Summary'!$B$4)</x:f>
        <x:v>6</x:v>
      </x:c>
      <x:c r="J56" s="31" t="n">
        <x:v>3.3</x:v>
      </x:c>
      <x:c r="K56" s="31" t="n">
        <x:v>2.09</x:v>
      </x:c>
      <x:c r="L56" s="31" t="n">
        <x:f>ABS(J56-K56)</x:f>
        <x:v>1.21</x:v>
      </x:c>
      <x:c r="M56" s="31" t="n">
        <x:v>4.4</x:v>
      </x:c>
      <x:c r="N56" s="31" t="n">
        <x:v>4.42</x:v>
      </x:c>
      <x:c r="O56" s="31" t="n">
        <x:f>ABS(M56-N56)</x:f>
        <x:v>0.019999999999999574</x:v>
      </x:c>
      <x:c r="P56" s="31" t="n">
        <x:v>3.66</x:v>
      </x:c>
      <x:c r="Q56" s="31" t="n">
        <x:v>4.5</x:v>
      </x:c>
      <x:c r="R56" s="31" t="n">
        <x:f>ABS(P56-Q56)</x:f>
        <x:v>0.8399999999999999</x:v>
      </x:c>
      <x:c r="S56" s="32" t="n">
        <x:v>1461.8851709803137</x:v>
      </x:c>
      <x:c r="T56" s="32" t="n">
        <x:v>9353.419963390268</x:v>
      </x:c>
      <x:c r="U56" s="31" t="n">
        <x:f>MAX(S56/T56,T56/S56)</x:f>
        <x:v>6.398190602835129</x:v>
      </x:c>
      <x:c r="V56" s="31" t="n">
        <x:f>L56*'Controls &amp; Summary'!$B$9+O56*'Controls &amp; Summary'!$B$10+R56*'Controls &amp; Summary'!$B$11+U56*'Controls &amp; Summary'!$B$12</x:f>
        <x:v>8.46819060283513</x:v>
      </x:c>
      <x:c r="W56" s="31" t="n">
        <x:v>0.54</x:v>
      </x:c>
      <x:c r="X56" s="31" t="n">
        <x:v>6.32</x:v>
      </x:c>
      <x:c r="Y56" s="31" t="n">
        <x:f>((10-MIN(10,MAX(0,X56)))/10)*'Controls &amp; Summary'!$B$15+((10-MIN(10,MAX(0,W56)))/10)*'Controls &amp; Summary'!$B$16</x:f>
        <x:v>1.314</x:v>
      </x:c>
      <x:c r="Z56" s="31" t="n">
        <x:f>V56*Y56</x:f>
        <x:v>11.12720245212536</x:v>
      </x:c>
      <x:c r="AA56" s="30" t="str">
        <x:f>IF(Z56&lt;=I56,"Peaceful","Hostile")</x:f>
        <x:v>Hostile</x:v>
      </x:c>
      <x:c r="AB56" s="30" t="str">
        <x:f>IF(Z56&lt;='Controls &amp; Summary'!$B$6,"Eligible","Blocked")</x:f>
        <x:v>Eligible</x:v>
      </x:c>
      <x:c r="AC56" s="30" t="str">
        <x:v>2003_CMR</x:v>
      </x:c>
      <x:c r="AD56" s="30" t="str">
        <x:v>2003_EQG</x:v>
      </x:c>
      <x:c r="AE56" s="30" t="str">
        <x:v>2003_EquatorialGuinea</x:v>
      </x:c>
      <x:c r="AF56" s="30" t="str">
        <x:v>Explicit capitalClaim</x:v>
      </x:c>
      <x:c r="AG56" s="30" t="str">
        <x:v>Claim2003_CMR2003_EquatorialGuinea</x:v>
      </x:c>
      <x:c r="AH56" s="30" t="str">
        <x:v>Project_RegionalAfricanUnions</x:v>
      </x:c>
    </x:row>
    <x:row r="57">
      <x:c r="A57" s="30" t="str">
        <x:v>2003</x:v>
      </x:c>
      <x:c r="B57" s="30" t="str">
        <x:v>Dark Skies</x:v>
      </x:c>
      <x:c r="C57" s="30" t="str">
        <x:v>Cameroon</x:v>
      </x:c>
      <x:c r="D57" s="30" t="str">
        <x:v>Gabon</x:v>
      </x:c>
      <x:c r="E57" s="30" t="str">
        <x:v>Project unlock</x:v>
      </x:c>
      <x:c r="F57" s="30" t="str">
        <x:v>Regional African Unions</x:v>
      </x:c>
      <x:c r="G57" s="30" t="str">
        <x:v>No</x:v>
      </x:c>
      <x:c r="H57" s="30" t="str">
        <x:v>Ordinary claim</x:v>
      </x:c>
      <x:c r="I57" s="31" t="n">
        <x:f>IF(G57="Yes",'Controls &amp; Summary'!$B$5,'Controls &amp; Summary'!$B$4)</x:f>
        <x:v>6</x:v>
      </x:c>
      <x:c r="J57" s="31" t="n">
        <x:v>3.3</x:v>
      </x:c>
      <x:c r="K57" s="31" t="n">
        <x:v>2.7</x:v>
      </x:c>
      <x:c r="L57" s="31" t="n">
        <x:f>ABS(J57-K57)</x:f>
        <x:v>0.5999999999999996</x:v>
      </x:c>
      <x:c r="M57" s="31" t="n">
        <x:v>4.4</x:v>
      </x:c>
      <x:c r="N57" s="31" t="n">
        <x:v>4.01</x:v>
      </x:c>
      <x:c r="O57" s="31" t="n">
        <x:f>ABS(M57-N57)</x:f>
        <x:v>0.39000000000000057</x:v>
      </x:c>
      <x:c r="P57" s="31" t="n">
        <x:v>3.66</x:v>
      </x:c>
      <x:c r="Q57" s="31" t="n">
        <x:v>5.85</x:v>
      </x:c>
      <x:c r="R57" s="31" t="n">
        <x:f>ABS(P57-Q57)</x:f>
        <x:v>2.1899999999999995</x:v>
      </x:c>
      <x:c r="S57" s="32" t="n">
        <x:v>1461.8851709803137</x:v>
      </x:c>
      <x:c r="T57" s="32" t="n">
        <x:v>7105.875514884075</x:v>
      </x:c>
      <x:c r="U57" s="31" t="n">
        <x:f>MAX(S57/T57,T57/S57)</x:f>
        <x:v>4.860761745136934</x:v>
      </x:c>
      <x:c r="V57" s="31" t="n">
        <x:f>L57*'Controls &amp; Summary'!$B$9+O57*'Controls &amp; Summary'!$B$10+R57*'Controls &amp; Summary'!$B$11+U57*'Controls &amp; Summary'!$B$12</x:f>
        <x:v>8.040761745136933</x:v>
      </x:c>
      <x:c r="W57" s="31" t="n">
        <x:v>0.54</x:v>
      </x:c>
      <x:c r="X57" s="31" t="n">
        <x:v>3.66</x:v>
      </x:c>
      <x:c r="Y57" s="31" t="n">
        <x:f>((10-MIN(10,MAX(0,X57)))/10)*'Controls &amp; Summary'!$B$15+((10-MIN(10,MAX(0,W57)))/10)*'Controls &amp; Summary'!$B$16</x:f>
        <x:v>1.58</x:v>
      </x:c>
      <x:c r="Z57" s="31" t="n">
        <x:f>V57*Y57</x:f>
        <x:v>12.704403557316356</x:v>
      </x:c>
      <x:c r="AA57" s="30" t="str">
        <x:f>IF(Z57&lt;=I57,"Peaceful","Hostile")</x:f>
        <x:v>Hostile</x:v>
      </x:c>
      <x:c r="AB57" s="30" t="str">
        <x:f>IF(Z57&lt;='Controls &amp; Summary'!$B$6,"Eligible","Blocked")</x:f>
        <x:v>Blocked</x:v>
      </x:c>
      <x:c r="AC57" s="30" t="str">
        <x:v>2003_CMR</x:v>
      </x:c>
      <x:c r="AD57" s="30" t="str">
        <x:v>2003_LWG</x:v>
      </x:c>
      <x:c r="AE57" s="30" t="str">
        <x:v>2003_Libreville</x:v>
      </x:c>
      <x:c r="AF57" s="30" t="str">
        <x:v>Explicit capitalClaim</x:v>
      </x:c>
      <x:c r="AG57" s="30" t="str">
        <x:v>Claim2003_CMR2003_Libreville</x:v>
      </x:c>
      <x:c r="AH57" s="30" t="str">
        <x:v>Project_RegionalAfricanUnions</x:v>
      </x:c>
    </x:row>
    <x:row r="58">
      <x:c r="A58" s="30" t="str">
        <x:v>2003</x:v>
      </x:c>
      <x:c r="B58" s="30" t="str">
        <x:v>Dark Skies</x:v>
      </x:c>
      <x:c r="C58" s="30" t="str">
        <x:v>Cameroon</x:v>
      </x:c>
      <x:c r="D58" s="30" t="str">
        <x:v>Republic of the Congo</x:v>
      </x:c>
      <x:c r="E58" s="30" t="str">
        <x:v>Project unlock</x:v>
      </x:c>
      <x:c r="F58" s="30" t="str">
        <x:v>Regional African Unions</x:v>
      </x:c>
      <x:c r="G58" s="30" t="str">
        <x:v>No</x:v>
      </x:c>
      <x:c r="H58" s="30" t="str">
        <x:v>Ordinary claim</x:v>
      </x:c>
      <x:c r="I58" s="31" t="n">
        <x:f>IF(G58="Yes",'Controls &amp; Summary'!$B$5,'Controls &amp; Summary'!$B$4)</x:f>
        <x:v>6</x:v>
      </x:c>
      <x:c r="J58" s="31" t="n">
        <x:v>3.3</x:v>
      </x:c>
      <x:c r="K58" s="31" t="n">
        <x:v>3.22</x:v>
      </x:c>
      <x:c r="L58" s="31" t="n">
        <x:f>ABS(J58-K58)</x:f>
        <x:v>0.07999999999999963</x:v>
      </x:c>
      <x:c r="M58" s="31" t="n">
        <x:v>4.4</x:v>
      </x:c>
      <x:c r="N58" s="31" t="n">
        <x:v>4.69</x:v>
      </x:c>
      <x:c r="O58" s="31" t="n">
        <x:f>ABS(M58-N58)</x:f>
        <x:v>0.29000000000000004</x:v>
      </x:c>
      <x:c r="P58" s="31" t="n">
        <x:v>3.66</x:v>
      </x:c>
      <x:c r="Q58" s="31" t="n">
        <x:v>2.92</x:v>
      </x:c>
      <x:c r="R58" s="31" t="n">
        <x:f>ABS(P58-Q58)</x:f>
        <x:v>0.7400000000000002</x:v>
      </x:c>
      <x:c r="S58" s="32" t="n">
        <x:v>1461.8851709803137</x:v>
      </x:c>
      <x:c r="T58" s="32" t="n">
        <x:v>2104.4636652714225</x:v>
      </x:c>
      <x:c r="U58" s="31" t="n">
        <x:f>MAX(S58/T58,T58/S58)</x:f>
        <x:v>1.4395546976238958</x:v>
      </x:c>
      <x:c r="V58" s="31" t="n">
        <x:f>L58*'Controls &amp; Summary'!$B$9+O58*'Controls &amp; Summary'!$B$10+R58*'Controls &amp; Summary'!$B$11+U58*'Controls &amp; Summary'!$B$12</x:f>
        <x:v>2.5495546976238956</x:v>
      </x:c>
      <x:c r="W58" s="31" t="n">
        <x:v>0.54</x:v>
      </x:c>
      <x:c r="X58" s="31" t="n">
        <x:v>4.31</x:v>
      </x:c>
      <x:c r="Y58" s="31" t="n">
        <x:f>((10-MIN(10,MAX(0,X58)))/10)*'Controls &amp; Summary'!$B$15+((10-MIN(10,MAX(0,W58)))/10)*'Controls &amp; Summary'!$B$16</x:f>
        <x:v>1.5150000000000001</x:v>
      </x:c>
      <x:c r="Z58" s="31" t="n">
        <x:f>V58*Y58</x:f>
        <x:v>3.8625753669002023</x:v>
      </x:c>
      <x:c r="AA58" s="30" t="str">
        <x:f>IF(Z58&lt;=I58,"Peaceful","Hostile")</x:f>
        <x:v>Peaceful</x:v>
      </x:c>
      <x:c r="AB58" s="30" t="str">
        <x:f>IF(Z58&lt;='Controls &amp; Summary'!$B$6,"Eligible","Blocked")</x:f>
        <x:v>Eligible</x:v>
      </x:c>
      <x:c r="AC58" s="30" t="str">
        <x:v>2003_CMR</x:v>
      </x:c>
      <x:c r="AD58" s="30" t="str">
        <x:v>2003_COR</x:v>
      </x:c>
      <x:c r="AE58" s="30" t="str">
        <x:v>2003_Brazzaville</x:v>
      </x:c>
      <x:c r="AF58" s="30" t="str">
        <x:v>Explicit capitalClaim</x:v>
      </x:c>
      <x:c r="AG58" s="30" t="str">
        <x:v>Claim2003_CMR2003_Brazzaville</x:v>
      </x:c>
      <x:c r="AH58" s="30" t="str">
        <x:v>Project_RegionalAfricanUnions</x:v>
      </x:c>
    </x:row>
    <x:row r="59">
      <x:c r="A59" s="30" t="str">
        <x:v>2003</x:v>
      </x:c>
      <x:c r="B59" s="30" t="str">
        <x:v>Dark Skies</x:v>
      </x:c>
      <x:c r="C59" s="30" t="str">
        <x:v>Cameroon</x:v>
      </x:c>
      <x:c r="D59" s="30" t="str">
        <x:v>Sao Tome and Principe</x:v>
      </x:c>
      <x:c r="E59" s="30" t="str">
        <x:v>Project unlock</x:v>
      </x:c>
      <x:c r="F59" s="30" t="str">
        <x:v>Regional African Unions</x:v>
      </x:c>
      <x:c r="G59" s="30" t="str">
        <x:v>No</x:v>
      </x:c>
      <x:c r="H59" s="30" t="str">
        <x:v>Ordinary claim</x:v>
      </x:c>
      <x:c r="I59" s="31" t="n">
        <x:f>IF(G59="Yes",'Controls &amp; Summary'!$B$5,'Controls &amp; Summary'!$B$4)</x:f>
        <x:v>6</x:v>
      </x:c>
      <x:c r="J59" s="31" t="n">
        <x:v>3.3</x:v>
      </x:c>
      <x:c r="K59" s="31" t="n">
        <x:v>6.46</x:v>
      </x:c>
      <x:c r="L59" s="31" t="n">
        <x:f>ABS(J59-K59)</x:f>
        <x:v>3.16</x:v>
      </x:c>
      <x:c r="M59" s="31" t="n">
        <x:v>4.4</x:v>
      </x:c>
      <x:c r="N59" s="31" t="n">
        <x:v>3.38</x:v>
      </x:c>
      <x:c r="O59" s="31" t="n">
        <x:f>ABS(M59-N59)</x:f>
        <x:v>1.0200000000000005</x:v>
      </x:c>
      <x:c r="P59" s="31" t="n">
        <x:v>3.66</x:v>
      </x:c>
      <x:c r="Q59" s="31" t="n">
        <x:v>4.43</x:v>
      </x:c>
      <x:c r="R59" s="31" t="n">
        <x:f>ABS(P59-Q59)</x:f>
        <x:v>0.7699999999999996</x:v>
      </x:c>
      <x:c r="S59" s="32" t="n">
        <x:v>1461.8851709803137</x:v>
      </x:c>
      <x:c r="T59" s="32" t="n">
        <x:v>1136.7872950446642</x:v>
      </x:c>
      <x:c r="U59" s="31" t="n">
        <x:f>MAX(S59/T59,T59/S59)</x:f>
        <x:v>1.2859795120448425</x:v>
      </x:c>
      <x:c r="V59" s="31" t="n">
        <x:f>L59*'Controls &amp; Summary'!$B$9+O59*'Controls &amp; Summary'!$B$10+R59*'Controls &amp; Summary'!$B$11+U59*'Controls &amp; Summary'!$B$12</x:f>
        <x:v>6.2359795120448425</x:v>
      </x:c>
      <x:c r="W59" s="31" t="n">
        <x:v>0.54</x:v>
      </x:c>
      <x:c r="X59" s="31" t="n">
        <x:v>2.24</x:v>
      </x:c>
      <x:c r="Y59" s="31" t="n">
        <x:f>((10-MIN(10,MAX(0,X59)))/10)*'Controls &amp; Summary'!$B$15+((10-MIN(10,MAX(0,W59)))/10)*'Controls &amp; Summary'!$B$16</x:f>
        <x:v>1.722</x:v>
      </x:c>
      <x:c r="Z59" s="31" t="n">
        <x:f>V59*Y59</x:f>
        <x:v>10.738356719741219</x:v>
      </x:c>
      <x:c r="AA59" s="30" t="str">
        <x:f>IF(Z59&lt;=I59,"Peaceful","Hostile")</x:f>
        <x:v>Hostile</x:v>
      </x:c>
      <x:c r="AB59" s="30" t="str">
        <x:f>IF(Z59&lt;='Controls &amp; Summary'!$B$6,"Eligible","Blocked")</x:f>
        <x:v>Eligible</x:v>
      </x:c>
      <x:c r="AC59" s="30" t="str">
        <x:v>2003_CMR</x:v>
      </x:c>
      <x:c r="AD59" s="30" t="str">
        <x:v>2003_STP</x:v>
      </x:c>
      <x:c r="AE59" s="30" t="str">
        <x:v>2003_SaoTomePrincipe</x:v>
      </x:c>
      <x:c r="AF59" s="30" t="str">
        <x:v>Explicit capitalClaim</x:v>
      </x:c>
      <x:c r="AG59" s="30" t="str">
        <x:v>Claim2003_CMR2003_SaoTomePrincipe</x:v>
      </x:c>
      <x:c r="AH59" s="30" t="str">
        <x:v>Project_RegionalAfricanUnions</x:v>
      </x:c>
    </x:row>
    <x:row r="60">
      <x:c r="A60" s="30" t="str">
        <x:v>2003</x:v>
      </x:c>
      <x:c r="B60" s="30" t="str">
        <x:v>Dark Skies</x:v>
      </x:c>
      <x:c r="C60" s="30" t="str">
        <x:v>China</x:v>
      </x:c>
      <x:c r="D60" s="30" t="str">
        <x:v>Bhutan</x:v>
      </x:c>
      <x:c r="E60" s="30" t="str">
        <x:v>Project unlock</x:v>
      </x:c>
      <x:c r="F60" s="30" t="str">
        <x:v>Pan-Asian Cooperative</x:v>
      </x:c>
      <x:c r="G60" s="30" t="str">
        <x:v>No</x:v>
      </x:c>
      <x:c r="H60" s="30" t="str">
        <x:v>Ordinary claim</x:v>
      </x:c>
      <x:c r="I60" s="31" t="n">
        <x:f>IF(G60="Yes",'Controls &amp; Summary'!$B$5,'Controls &amp; Summary'!$B$4)</x:f>
        <x:v>6</x:v>
      </x:c>
      <x:c r="J60" s="31" t="n">
        <x:v>3.1</x:v>
      </x:c>
      <x:c r="K60" s="31" t="n">
        <x:v>2.59</x:v>
      </x:c>
      <x:c r="L60" s="31" t="n">
        <x:f>ABS(J60-K60)</x:f>
        <x:v>0.5100000000000002</x:v>
      </x:c>
      <x:c r="M60" s="31" t="n">
        <x:v>4.16</x:v>
      </x:c>
      <x:c r="N60" s="31" t="n">
        <x:v>4.01</x:v>
      </x:c>
      <x:c r="O60" s="31" t="n">
        <x:f>ABS(M60-N60)</x:f>
        <x:v>0.15000000000000036</x:v>
      </x:c>
      <x:c r="P60" s="31" t="n">
        <x:v>5.47</x:v>
      </x:c>
      <x:c r="Q60" s="31" t="n">
        <x:v>5.07</x:v>
      </x:c>
      <x:c r="R60" s="31" t="n">
        <x:f>ABS(P60-Q60)</x:f>
        <x:v>0.39999999999999947</x:v>
      </x:c>
      <x:c r="S60" s="32" t="n">
        <x:v>2037.114576960092</x:v>
      </x:c>
      <x:c r="T60" s="32" t="n">
        <x:v>2310.1535058487007</x:v>
      </x:c>
      <x:c r="U60" s="31" t="n">
        <x:f>MAX(S60/T60,T60/S60)</x:f>
        <x:v>1.1340321904210484</x:v>
      </x:c>
      <x:c r="V60" s="31" t="n">
        <x:f>L60*'Controls &amp; Summary'!$B$9+O60*'Controls &amp; Summary'!$B$10+R60*'Controls &amp; Summary'!$B$11+U60*'Controls &amp; Summary'!$B$12</x:f>
        <x:v>2.1940321904210487</x:v>
      </x:c>
      <x:c r="W60" s="31" t="n">
        <x:v>0.5</x:v>
      </x:c>
      <x:c r="X60" s="31" t="n">
        <x:v>3.1</x:v>
      </x:c>
      <x:c r="Y60" s="31" t="n">
        <x:f>((10-MIN(10,MAX(0,X60)))/10)*'Controls &amp; Summary'!$B$15+((10-MIN(10,MAX(0,W60)))/10)*'Controls &amp; Summary'!$B$16</x:f>
        <x:v>1.6400000000000001</x:v>
      </x:c>
      <x:c r="Z60" s="31" t="n">
        <x:f>V60*Y60</x:f>
        <x:v>3.59821279229052</x:v>
      </x:c>
      <x:c r="AA60" s="30" t="str">
        <x:f>IF(Z60&lt;=I60,"Peaceful","Hostile")</x:f>
        <x:v>Peaceful</x:v>
      </x:c>
      <x:c r="AB60" s="30" t="str">
        <x:f>IF(Z60&lt;='Controls &amp; Summary'!$B$6,"Eligible","Blocked")</x:f>
        <x:v>Eligible</x:v>
      </x:c>
      <x:c r="AC60" s="30" t="str">
        <x:v>2003_CHN</x:v>
      </x:c>
      <x:c r="AD60" s="30" t="str">
        <x:v>2003_BHU</x:v>
      </x:c>
      <x:c r="AE60" s="30" t="str">
        <x:v>2003_Bhutan</x:v>
      </x:c>
      <x:c r="AF60" s="30" t="str">
        <x:v>Explicit capitalClaim</x:v>
      </x:c>
      <x:c r="AG60" s="30" t="str">
        <x:v>Claim2003_CHN2003_Bhutan</x:v>
      </x:c>
      <x:c r="AH60" s="30" t="str">
        <x:v>Project_Pan-AsianCooperative</x:v>
      </x:c>
    </x:row>
    <x:row r="61">
      <x:c r="A61" s="30" t="str">
        <x:v>2003</x:v>
      </x:c>
      <x:c r="B61" s="30" t="str">
        <x:v>Dark Skies</x:v>
      </x:c>
      <x:c r="C61" s="30" t="str">
        <x:v>China</x:v>
      </x:c>
      <x:c r="D61" s="30" t="str">
        <x:v>Cambodia</x:v>
      </x:c>
      <x:c r="E61" s="30" t="str">
        <x:v>Project unlock</x:v>
      </x:c>
      <x:c r="F61" s="30" t="str">
        <x:v>Pan-Asian Cooperative</x:v>
      </x:c>
      <x:c r="G61" s="30" t="str">
        <x:v>No</x:v>
      </x:c>
      <x:c r="H61" s="30" t="str">
        <x:v>Ordinary claim</x:v>
      </x:c>
      <x:c r="I61" s="31" t="n">
        <x:f>IF(G61="Yes",'Controls &amp; Summary'!$B$5,'Controls &amp; Summary'!$B$4)</x:f>
        <x:v>6</x:v>
      </x:c>
      <x:c r="J61" s="31" t="n">
        <x:v>3.1</x:v>
      </x:c>
      <x:c r="K61" s="31" t="n">
        <x:v>4.79</x:v>
      </x:c>
      <x:c r="L61" s="31" t="n">
        <x:f>ABS(J61-K61)</x:f>
        <x:v>1.69</x:v>
      </x:c>
      <x:c r="M61" s="31" t="n">
        <x:v>4.16</x:v>
      </x:c>
      <x:c r="N61" s="31" t="n">
        <x:v>3.66</x:v>
      </x:c>
      <x:c r="O61" s="31" t="n">
        <x:f>ABS(M61-N61)</x:f>
        <x:v>0.5</x:v>
      </x:c>
      <x:c r="P61" s="31" t="n">
        <x:v>5.47</x:v>
      </x:c>
      <x:c r="Q61" s="31" t="n">
        <x:v>3.91</x:v>
      </x:c>
      <x:c r="R61" s="31" t="n">
        <x:f>ABS(P61-Q61)</x:f>
        <x:v>1.5599999999999996</x:v>
      </x:c>
      <x:c r="S61" s="32" t="n">
        <x:v>2037.114576960092</x:v>
      </x:c>
      <x:c r="T61" s="32" t="n">
        <x:v>932.6905575126688</x:v>
      </x:c>
      <x:c r="U61" s="31" t="n">
        <x:f>MAX(S61/T61,T61/S61)</x:f>
        <x:v>2.184126943873796</x:v>
      </x:c>
      <x:c r="V61" s="31" t="n">
        <x:f>L61*'Controls &amp; Summary'!$B$9+O61*'Controls &amp; Summary'!$B$10+R61*'Controls &amp; Summary'!$B$11+U61*'Controls &amp; Summary'!$B$12</x:f>
        <x:v>5.934126943873796</x:v>
      </x:c>
      <x:c r="W61" s="31" t="n">
        <x:v>0.5</x:v>
      </x:c>
      <x:c r="X61" s="31" t="n">
        <x:v>1.96</x:v>
      </x:c>
      <x:c r="Y61" s="31" t="n">
        <x:f>((10-MIN(10,MAX(0,X61)))/10)*'Controls &amp; Summary'!$B$15+((10-MIN(10,MAX(0,W61)))/10)*'Controls &amp; Summary'!$B$16</x:f>
        <x:v>1.754</x:v>
      </x:c>
      <x:c r="Z61" s="31" t="n">
        <x:f>V61*Y61</x:f>
        <x:v>10.408458659554638</x:v>
      </x:c>
      <x:c r="AA61" s="30" t="str">
        <x:f>IF(Z61&lt;=I61,"Peaceful","Hostile")</x:f>
        <x:v>Hostile</x:v>
      </x:c>
      <x:c r="AB61" s="30" t="str">
        <x:f>IF(Z61&lt;='Controls &amp; Summary'!$B$6,"Eligible","Blocked")</x:f>
        <x:v>Eligible</x:v>
      </x:c>
      <x:c r="AC61" s="30" t="str">
        <x:v>2003_CHN</x:v>
      </x:c>
      <x:c r="AD61" s="30" t="str">
        <x:v>2003_KHM</x:v>
      </x:c>
      <x:c r="AE61" s="30" t="str">
        <x:v>2003_Cambodia</x:v>
      </x:c>
      <x:c r="AF61" s="30" t="str">
        <x:v>Explicit capitalClaim</x:v>
      </x:c>
      <x:c r="AG61" s="30" t="str">
        <x:v>Claim2003_CHN2003_Cambodia</x:v>
      </x:c>
      <x:c r="AH61" s="30" t="str">
        <x:v>Project_Pan-AsianCooperative</x:v>
      </x:c>
    </x:row>
    <x:row r="62">
      <x:c r="A62" s="30" t="str">
        <x:v>2003</x:v>
      </x:c>
      <x:c r="B62" s="30" t="str">
        <x:v>Dark Skies</x:v>
      </x:c>
      <x:c r="C62" s="30" t="str">
        <x:v>China</x:v>
      </x:c>
      <x:c r="D62" s="30" t="str">
        <x:v>Japan</x:v>
      </x:c>
      <x:c r="E62" s="30" t="str">
        <x:v>Project unlock</x:v>
      </x:c>
      <x:c r="F62" s="30" t="str">
        <x:v>Greater PanAsia</x:v>
      </x:c>
      <x:c r="G62" s="30" t="str">
        <x:v>Yes</x:v>
      </x:c>
      <x:c r="H62" s="30" t="str">
        <x:v>Template hostileClaim</x:v>
      </x:c>
      <x:c r="I62" s="31" t="n">
        <x:f>IF(G62="Yes",'Controls &amp; Summary'!$B$5,'Controls &amp; Summary'!$B$4)</x:f>
        <x:v>3</x:v>
      </x:c>
      <x:c r="J62" s="31" t="n">
        <x:v>3.1</x:v>
      </x:c>
      <x:c r="K62" s="31" t="n">
        <x:v>8.1</x:v>
      </x:c>
      <x:c r="L62" s="31" t="n">
        <x:f>ABS(J62-K62)</x:f>
        <x:v>5</x:v>
      </x:c>
      <x:c r="M62" s="31" t="n">
        <x:v>4.16</x:v>
      </x:c>
      <x:c r="N62" s="31" t="n">
        <x:v>3</x:v>
      </x:c>
      <x:c r="O62" s="31" t="n">
        <x:f>ABS(M62-N62)</x:f>
        <x:v>1.1600000000000001</x:v>
      </x:c>
      <x:c r="P62" s="31" t="n">
        <x:v>5.47</x:v>
      </x:c>
      <x:c r="Q62" s="31" t="n">
        <x:v>8.4</x:v>
      </x:c>
      <x:c r="R62" s="31" t="n">
        <x:f>ABS(P62-Q62)</x:f>
        <x:v>2.9300000000000006</x:v>
      </x:c>
      <x:c r="S62" s="32" t="n">
        <x:v>2037.114576960092</x:v>
      </x:c>
      <x:c r="T62" s="32" t="n">
        <x:v>28665.59138674062</x:v>
      </x:c>
      <x:c r="U62" s="31" t="n">
        <x:f>MAX(S62/T62,T62/S62)</x:f>
        <x:v>14.071663769407207</x:v>
      </x:c>
      <x:c r="V62" s="31" t="n">
        <x:f>L62*'Controls &amp; Summary'!$B$9+O62*'Controls &amp; Summary'!$B$10+R62*'Controls &amp; Summary'!$B$11+U62*'Controls &amp; Summary'!$B$12</x:f>
        <x:v>23.161663769407205</x:v>
      </x:c>
      <x:c r="W62" s="31" t="n">
        <x:v>0.5</x:v>
      </x:c>
      <x:c r="X62" s="31" t="n">
        <x:v>1.01</x:v>
      </x:c>
      <x:c r="Y62" s="31" t="n">
        <x:f>((10-MIN(10,MAX(0,X62)))/10)*'Controls &amp; Summary'!$B$15+((10-MIN(10,MAX(0,W62)))/10)*'Controls &amp; Summary'!$B$16</x:f>
        <x:v>1.849</x:v>
      </x:c>
      <x:c r="Z62" s="31" t="n">
        <x:f>V62*Y62</x:f>
        <x:v>42.825916309633925</x:v>
      </x:c>
      <x:c r="AA62" s="30" t="str">
        <x:f>IF(Z62&lt;=I62,"Peaceful","Hostile")</x:f>
        <x:v>Hostile</x:v>
      </x:c>
      <x:c r="AB62" s="30" t="str">
        <x:f>IF(Z62&lt;='Controls &amp; Summary'!$B$6,"Eligible","Blocked")</x:f>
        <x:v>Blocked</x:v>
      </x:c>
      <x:c r="AC62" s="30" t="str">
        <x:v>2003_CHN</x:v>
      </x:c>
      <x:c r="AD62" s="30" t="str">
        <x:v>2003_JPN</x:v>
      </x:c>
      <x:c r="AE62" s="30" t="str">
        <x:v>2003_NorthHonshu</x:v>
      </x:c>
      <x:c r="AF62" s="30" t="str">
        <x:v>Explicit capitalClaim</x:v>
      </x:c>
      <x:c r="AG62" s="30" t="str">
        <x:v>Claim2003_CHN2003_NorthHonshu</x:v>
      </x:c>
      <x:c r="AH62" s="30" t="str">
        <x:v>Project_GreaterPanAsia</x:v>
      </x:c>
    </x:row>
    <x:row r="63">
      <x:c r="A63" s="30" t="str">
        <x:v>2003</x:v>
      </x:c>
      <x:c r="B63" s="30" t="str">
        <x:v>Dark Skies</x:v>
      </x:c>
      <x:c r="C63" s="30" t="str">
        <x:v>China</x:v>
      </x:c>
      <x:c r="D63" s="30" t="str">
        <x:v>Laos</x:v>
      </x:c>
      <x:c r="E63" s="30" t="str">
        <x:v>Project unlock</x:v>
      </x:c>
      <x:c r="F63" s="30" t="str">
        <x:v>Pan-Asian Cooperative</x:v>
      </x:c>
      <x:c r="G63" s="30" t="str">
        <x:v>No</x:v>
      </x:c>
      <x:c r="H63" s="30" t="str">
        <x:v>Ordinary claim</x:v>
      </x:c>
      <x:c r="I63" s="31" t="n">
        <x:f>IF(G63="Yes",'Controls &amp; Summary'!$B$5,'Controls &amp; Summary'!$B$4)</x:f>
        <x:v>6</x:v>
      </x:c>
      <x:c r="J63" s="31" t="n">
        <x:v>3.1</x:v>
      </x:c>
      <x:c r="K63" s="31" t="n">
        <x:v>2.1</x:v>
      </x:c>
      <x:c r="L63" s="31" t="n">
        <x:f>ABS(J63-K63)</x:f>
        <x:v>1</x:v>
      </x:c>
      <x:c r="M63" s="31" t="n">
        <x:v>4.16</x:v>
      </x:c>
      <x:c r="N63" s="31" t="n">
        <x:v>3.54</x:v>
      </x:c>
      <x:c r="O63" s="31" t="n">
        <x:f>ABS(M63-N63)</x:f>
        <x:v>0.6200000000000001</x:v>
      </x:c>
      <x:c r="P63" s="31" t="n">
        <x:v>5.47</x:v>
      </x:c>
      <x:c r="Q63" s="31" t="n">
        <x:v>4</x:v>
      </x:c>
      <x:c r="R63" s="31" t="n">
        <x:f>ABS(P63-Q63)</x:f>
        <x:v>1.4699999999999998</x:v>
      </x:c>
      <x:c r="S63" s="32" t="n">
        <x:v>2037.114576960092</x:v>
      </x:c>
      <x:c r="T63" s="32" t="n">
        <x:v>1415.6124481721042</x:v>
      </x:c>
      <x:c r="U63" s="31" t="n">
        <x:f>MAX(S63/T63,T63/S63)</x:f>
        <x:v>1.4390340941056972</x:v>
      </x:c>
      <x:c r="V63" s="31" t="n">
        <x:f>L63*'Controls &amp; Summary'!$B$9+O63*'Controls &amp; Summary'!$B$10+R63*'Controls &amp; Summary'!$B$11+U63*'Controls &amp; Summary'!$B$12</x:f>
        <x:v>4.529034094105697</x:v>
      </x:c>
      <x:c r="W63" s="31" t="n">
        <x:v>0.5</x:v>
      </x:c>
      <x:c r="X63" s="31" t="n">
        <x:v>3.68</x:v>
      </x:c>
      <x:c r="Y63" s="31" t="n">
        <x:f>((10-MIN(10,MAX(0,X63)))/10)*'Controls &amp; Summary'!$B$15+((10-MIN(10,MAX(0,W63)))/10)*'Controls &amp; Summary'!$B$16</x:f>
        <x:v>1.5819999999999999</x:v>
      </x:c>
      <x:c r="Z63" s="31" t="n">
        <x:f>V63*Y63</x:f>
        <x:v>7.164931936875211</x:v>
      </x:c>
      <x:c r="AA63" s="30" t="str">
        <x:f>IF(Z63&lt;=I63,"Peaceful","Hostile")</x:f>
        <x:v>Hostile</x:v>
      </x:c>
      <x:c r="AB63" s="30" t="str">
        <x:f>IF(Z63&lt;='Controls &amp; Summary'!$B$6,"Eligible","Blocked")</x:f>
        <x:v>Eligible</x:v>
      </x:c>
      <x:c r="AC63" s="30" t="str">
        <x:v>2003_CHN</x:v>
      </x:c>
      <x:c r="AD63" s="30" t="str">
        <x:v>2003_LAO</x:v>
      </x:c>
      <x:c r="AE63" s="30" t="str">
        <x:v>2003_Laos</x:v>
      </x:c>
      <x:c r="AF63" s="30" t="str">
        <x:v>Explicit capitalClaim</x:v>
      </x:c>
      <x:c r="AG63" s="30" t="str">
        <x:v>Claim2003_CHN2003_Laos</x:v>
      </x:c>
      <x:c r="AH63" s="30" t="str">
        <x:v>Project_Pan-AsianCooperative</x:v>
      </x:c>
    </x:row>
    <x:row r="64">
      <x:c r="A64" s="30" t="str">
        <x:v>2003</x:v>
      </x:c>
      <x:c r="B64" s="30" t="str">
        <x:v>Dark Skies</x:v>
      </x:c>
      <x:c r="C64" s="30" t="str">
        <x:v>China</x:v>
      </x:c>
      <x:c r="D64" s="30" t="str">
        <x:v>Malaysia</x:v>
      </x:c>
      <x:c r="E64" s="30" t="str">
        <x:v>Project unlock</x:v>
      </x:c>
      <x:c r="F64" s="30" t="str">
        <x:v>Greater PanAsia</x:v>
      </x:c>
      <x:c r="G64" s="30" t="str">
        <x:v>No</x:v>
      </x:c>
      <x:c r="H64" s="30" t="str">
        <x:v>Ordinary claim</x:v>
      </x:c>
      <x:c r="I64" s="31" t="n">
        <x:f>IF(G64="Yes",'Controls &amp; Summary'!$B$5,'Controls &amp; Summary'!$B$4)</x:f>
        <x:v>6</x:v>
      </x:c>
      <x:c r="J64" s="31" t="n">
        <x:v>3.1</x:v>
      </x:c>
      <x:c r="K64" s="31" t="n">
        <x:v>5.71</x:v>
      </x:c>
      <x:c r="L64" s="31" t="n">
        <x:f>ABS(J64-K64)</x:f>
        <x:v>2.61</x:v>
      </x:c>
      <x:c r="M64" s="31" t="n">
        <x:v>4.16</x:v>
      </x:c>
      <x:c r="N64" s="31" t="n">
        <x:v>4.16</x:v>
      </x:c>
      <x:c r="O64" s="31" t="n">
        <x:f>ABS(M64-N64)</x:f>
        <x:v>0</x:v>
      </x:c>
      <x:c r="P64" s="31" t="n">
        <x:v>5.47</x:v>
      </x:c>
      <x:c r="Q64" s="31" t="n">
        <x:v>6.65</x:v>
      </x:c>
      <x:c r="R64" s="31" t="n">
        <x:f>ABS(P64-Q64)</x:f>
        <x:v>1.1800000000000006</x:v>
      </x:c>
      <x:c r="S64" s="32" t="n">
        <x:v>2037.114576960092</x:v>
      </x:c>
      <x:c r="T64" s="32" t="n">
        <x:v>7805.958670484231</x:v>
      </x:c>
      <x:c r="U64" s="31" t="n">
        <x:f>MAX(S64/T64,T64/S64)</x:f>
        <x:v>3.8318702142580334</x:v>
      </x:c>
      <x:c r="V64" s="31" t="n">
        <x:f>L64*'Controls &amp; Summary'!$B$9+O64*'Controls &amp; Summary'!$B$10+R64*'Controls &amp; Summary'!$B$11+U64*'Controls &amp; Summary'!$B$12</x:f>
        <x:v>7.621870214258034</x:v>
      </x:c>
      <x:c r="W64" s="31" t="n">
        <x:v>0.5</x:v>
      </x:c>
      <x:c r="X64" s="31" t="n">
        <x:v>3.26</x:v>
      </x:c>
      <x:c r="Y64" s="31" t="n">
        <x:f>((10-MIN(10,MAX(0,X64)))/10)*'Controls &amp; Summary'!$B$15+((10-MIN(10,MAX(0,W64)))/10)*'Controls &amp; Summary'!$B$16</x:f>
        <x:v>1.624</x:v>
      </x:c>
      <x:c r="Z64" s="31" t="n">
        <x:f>V64*Y64</x:f>
        <x:v>12.377917227955049</x:v>
      </x:c>
      <x:c r="AA64" s="30" t="str">
        <x:f>IF(Z64&lt;=I64,"Peaceful","Hostile")</x:f>
        <x:v>Hostile</x:v>
      </x:c>
      <x:c r="AB64" s="30" t="str">
        <x:f>IF(Z64&lt;='Controls &amp; Summary'!$B$6,"Eligible","Blocked")</x:f>
        <x:v>Blocked</x:v>
      </x:c>
      <x:c r="AC64" s="30" t="str">
        <x:v>2003_CHN</x:v>
      </x:c>
      <x:c r="AD64" s="30" t="str">
        <x:v>2003_MYS</x:v>
      </x:c>
      <x:c r="AE64" s="30" t="str">
        <x:v>2003_MalayPeninsula</x:v>
      </x:c>
      <x:c r="AF64" s="30" t="str">
        <x:v>Explicit capitalClaim</x:v>
      </x:c>
      <x:c r="AG64" s="30" t="str">
        <x:v>Claim2003_CHN2003_MalayPeninsula</x:v>
      </x:c>
      <x:c r="AH64" s="30" t="str">
        <x:v>Project_GreaterPanAsia</x:v>
      </x:c>
    </x:row>
    <x:row r="65">
      <x:c r="A65" s="30" t="str">
        <x:v>2003</x:v>
      </x:c>
      <x:c r="B65" s="30" t="str">
        <x:v>Dark Skies</x:v>
      </x:c>
      <x:c r="C65" s="30" t="str">
        <x:v>China</x:v>
      </x:c>
      <x:c r="D65" s="30" t="str">
        <x:v>Mongolia</x:v>
      </x:c>
      <x:c r="E65" s="30" t="str">
        <x:v>Project unlock</x:v>
      </x:c>
      <x:c r="F65" s="30" t="str">
        <x:v>Pan-Asian Cooperative</x:v>
      </x:c>
      <x:c r="G65" s="30" t="str">
        <x:v>No</x:v>
      </x:c>
      <x:c r="H65" s="30" t="str">
        <x:v>Ordinary claim</x:v>
      </x:c>
      <x:c r="I65" s="31" t="n">
        <x:f>IF(G65="Yes",'Controls &amp; Summary'!$B$5,'Controls &amp; Summary'!$B$4)</x:f>
        <x:v>6</x:v>
      </x:c>
      <x:c r="J65" s="31" t="n">
        <x:v>3.1</x:v>
      </x:c>
      <x:c r="K65" s="31" t="n">
        <x:v>6.48</x:v>
      </x:c>
      <x:c r="L65" s="31" t="n">
        <x:f>ABS(J65-K65)</x:f>
        <x:v>3.3800000000000003</x:v>
      </x:c>
      <x:c r="M65" s="31" t="n">
        <x:v>4.16</x:v>
      </x:c>
      <x:c r="N65" s="31" t="n">
        <x:v>3.43</x:v>
      </x:c>
      <x:c r="O65" s="31" t="n">
        <x:f>ABS(M65-N65)</x:f>
        <x:v>0.73</x:v>
      </x:c>
      <x:c r="P65" s="31" t="n">
        <x:v>5.47</x:v>
      </x:c>
      <x:c r="Q65" s="31" t="n">
        <x:v>5.62</x:v>
      </x:c>
      <x:c r="R65" s="31" t="n">
        <x:f>ABS(P65-Q65)</x:f>
        <x:v>0.15000000000000036</x:v>
      </x:c>
      <x:c r="S65" s="32" t="n">
        <x:v>2037.114576960092</x:v>
      </x:c>
      <x:c r="T65" s="32" t="n">
        <x:v>2305.2735211485424</x:v>
      </x:c>
      <x:c r="U65" s="31" t="n">
        <x:f>MAX(S65/T65,T65/S65)</x:f>
        <x:v>1.131636652754512</x:v>
      </x:c>
      <x:c r="V65" s="31" t="n">
        <x:f>L65*'Controls &amp; Summary'!$B$9+O65*'Controls &amp; Summary'!$B$10+R65*'Controls &amp; Summary'!$B$11+U65*'Controls &amp; Summary'!$B$12</x:f>
        <x:v>5.391636652754513</x:v>
      </x:c>
      <x:c r="W65" s="31" t="n">
        <x:v>0.5</x:v>
      </x:c>
      <x:c r="X65" s="31" t="n">
        <x:v>1.17</x:v>
      </x:c>
      <x:c r="Y65" s="31" t="n">
        <x:f>((10-MIN(10,MAX(0,X65)))/10)*'Controls &amp; Summary'!$B$15+((10-MIN(10,MAX(0,W65)))/10)*'Controls &amp; Summary'!$B$16</x:f>
        <x:v>1.833</x:v>
      </x:c>
      <x:c r="Z65" s="31" t="n">
        <x:f>V65*Y65</x:f>
        <x:v>9.882869984499022</x:v>
      </x:c>
      <x:c r="AA65" s="30" t="str">
        <x:f>IF(Z65&lt;=I65,"Peaceful","Hostile")</x:f>
        <x:v>Hostile</x:v>
      </x:c>
      <x:c r="AB65" s="30" t="str">
        <x:f>IF(Z65&lt;='Controls &amp; Summary'!$B$6,"Eligible","Blocked")</x:f>
        <x:v>Eligible</x:v>
      </x:c>
      <x:c r="AC65" s="30" t="str">
        <x:v>2003_CHN</x:v>
      </x:c>
      <x:c r="AD65" s="30" t="str">
        <x:v>2003_MNG</x:v>
      </x:c>
      <x:c r="AE65" s="30" t="str">
        <x:v>2003_Mongolia</x:v>
      </x:c>
      <x:c r="AF65" s="30" t="str">
        <x:v>Explicit capitalClaim</x:v>
      </x:c>
      <x:c r="AG65" s="30" t="str">
        <x:v>Claim2003_CHN2003_Mongolia</x:v>
      </x:c>
      <x:c r="AH65" s="30" t="str">
        <x:v>Project_Pan-AsianCooperative</x:v>
      </x:c>
    </x:row>
    <x:row r="66">
      <x:c r="A66" s="30" t="str">
        <x:v>2003</x:v>
      </x:c>
      <x:c r="B66" s="30" t="str">
        <x:v>Dark Skies</x:v>
      </x:c>
      <x:c r="C66" s="30" t="str">
        <x:v>China</x:v>
      </x:c>
      <x:c r="D66" s="30" t="str">
        <x:v>Myanmar</x:v>
      </x:c>
      <x:c r="E66" s="30" t="str">
        <x:v>Project unlock</x:v>
      </x:c>
      <x:c r="F66" s="30" t="str">
        <x:v>Pan-Asian Cooperative</x:v>
      </x:c>
      <x:c r="G66" s="30" t="str">
        <x:v>No</x:v>
      </x:c>
      <x:c r="H66" s="30" t="str">
        <x:v>Ordinary claim</x:v>
      </x:c>
      <x:c r="I66" s="31" t="n">
        <x:f>IF(G66="Yes",'Controls &amp; Summary'!$B$5,'Controls &amp; Summary'!$B$4)</x:f>
        <x:v>6</x:v>
      </x:c>
      <x:c r="J66" s="31" t="n">
        <x:v>3.1</x:v>
      </x:c>
      <x:c r="K66" s="31" t="n">
        <x:v>1.77</x:v>
      </x:c>
      <x:c r="L66" s="31" t="n">
        <x:f>ABS(J66-K66)</x:f>
        <x:v>1.33</x:v>
      </x:c>
      <x:c r="M66" s="31" t="n">
        <x:v>4.16</x:v>
      </x:c>
      <x:c r="N66" s="31" t="n">
        <x:v>3.37</x:v>
      </x:c>
      <x:c r="O66" s="31" t="n">
        <x:f>ABS(M66-N66)</x:f>
        <x:v>0.79</x:v>
      </x:c>
      <x:c r="P66" s="31" t="n">
        <x:v>5.47</x:v>
      </x:c>
      <x:c r="Q66" s="31" t="n">
        <x:v>3.42</x:v>
      </x:c>
      <x:c r="R66" s="31" t="n">
        <x:f>ABS(P66-Q66)</x:f>
        <x:v>2.05</x:v>
      </x:c>
      <x:c r="S66" s="32" t="n">
        <x:v>2037.114576960092</x:v>
      </x:c>
      <x:c r="T66" s="32" t="n">
        <x:v>695.8442971027697</x:v>
      </x:c>
      <x:c r="U66" s="31" t="n">
        <x:f>MAX(S66/T66,T66/S66)</x:f>
        <x:v>2.9275436838986257</x:v>
      </x:c>
      <x:c r="V66" s="31" t="n">
        <x:f>L66*'Controls &amp; Summary'!$B$9+O66*'Controls &amp; Summary'!$B$10+R66*'Controls &amp; Summary'!$B$11+U66*'Controls &amp; Summary'!$B$12</x:f>
        <x:v>7.097543683898626</x:v>
      </x:c>
      <x:c r="W66" s="31" t="n">
        <x:v>0.5</x:v>
      </x:c>
      <x:c r="X66" s="31" t="n">
        <x:v>7.36</x:v>
      </x:c>
      <x:c r="Y66" s="31" t="n">
        <x:f>((10-MIN(10,MAX(0,X66)))/10)*'Controls &amp; Summary'!$B$15+((10-MIN(10,MAX(0,W66)))/10)*'Controls &amp; Summary'!$B$16</x:f>
        <x:v>1.214</x:v>
      </x:c>
      <x:c r="Z66" s="31" t="n">
        <x:f>V66*Y66</x:f>
        <x:v>8.61641803225293</x:v>
      </x:c>
      <x:c r="AA66" s="30" t="str">
        <x:f>IF(Z66&lt;=I66,"Peaceful","Hostile")</x:f>
        <x:v>Hostile</x:v>
      </x:c>
      <x:c r="AB66" s="30" t="str">
        <x:f>IF(Z66&lt;='Controls &amp; Summary'!$B$6,"Eligible","Blocked")</x:f>
        <x:v>Eligible</x:v>
      </x:c>
      <x:c r="AC66" s="30" t="str">
        <x:v>2003_CHN</x:v>
      </x:c>
      <x:c r="AD66" s="30" t="str">
        <x:v>2003_MMR</x:v>
      </x:c>
      <x:c r="AE66" s="30" t="str">
        <x:v>2003_Myanmar</x:v>
      </x:c>
      <x:c r="AF66" s="30" t="str">
        <x:v>Explicit capitalClaim</x:v>
      </x:c>
      <x:c r="AG66" s="30" t="str">
        <x:v>Claim2003_CHN2003_Myanmar</x:v>
      </x:c>
      <x:c r="AH66" s="30" t="str">
        <x:v>Project_Pan-AsianCooperative</x:v>
      </x:c>
    </x:row>
    <x:row r="67">
      <x:c r="A67" s="30" t="str">
        <x:v>2003</x:v>
      </x:c>
      <x:c r="B67" s="30" t="str">
        <x:v>Dark Skies</x:v>
      </x:c>
      <x:c r="C67" s="30" t="str">
        <x:v>China</x:v>
      </x:c>
      <x:c r="D67" s="30" t="str">
        <x:v>Nepal</x:v>
      </x:c>
      <x:c r="E67" s="30" t="str">
        <x:v>Project unlock</x:v>
      </x:c>
      <x:c r="F67" s="30" t="str">
        <x:v>Pan-Asian Cooperative</x:v>
      </x:c>
      <x:c r="G67" s="30" t="str">
        <x:v>No</x:v>
      </x:c>
      <x:c r="H67" s="30" t="str">
        <x:v>Ordinary claim</x:v>
      </x:c>
      <x:c r="I67" s="31" t="n">
        <x:f>IF(G67="Yes",'Controls &amp; Summary'!$B$5,'Controls &amp; Summary'!$B$4)</x:f>
        <x:v>6</x:v>
      </x:c>
      <x:c r="J67" s="31" t="n">
        <x:v>3.1</x:v>
      </x:c>
      <x:c r="K67" s="31" t="n">
        <x:v>2.93</x:v>
      </x:c>
      <x:c r="L67" s="31" t="n">
        <x:f>ABS(J67-K67)</x:f>
        <x:v>0.16999999999999993</x:v>
      </x:c>
      <x:c r="M67" s="31" t="n">
        <x:v>4.16</x:v>
      </x:c>
      <x:c r="N67" s="31" t="n">
        <x:v>3.78</x:v>
      </x:c>
      <x:c r="O67" s="31" t="n">
        <x:f>ABS(M67-N67)</x:f>
        <x:v>0.38000000000000034</x:v>
      </x:c>
      <x:c r="P67" s="31" t="n">
        <x:v>5.47</x:v>
      </x:c>
      <x:c r="Q67" s="31" t="n">
        <x:v>3.89</x:v>
      </x:c>
      <x:c r="R67" s="31" t="n">
        <x:f>ABS(P67-Q67)</x:f>
        <x:v>1.5799999999999996</x:v>
      </x:c>
      <x:c r="S67" s="32" t="n">
        <x:v>2037.114576960092</x:v>
      </x:c>
      <x:c r="T67" s="32" t="n">
        <x:v>972.573704263943</x:v>
      </x:c>
      <x:c r="U67" s="31" t="n">
        <x:f>MAX(S67/T67,T67/S67)</x:f>
        <x:v>2.094560615847421</x:v>
      </x:c>
      <x:c r="V67" s="31" t="n">
        <x:f>L67*'Controls &amp; Summary'!$B$9+O67*'Controls &amp; Summary'!$B$10+R67*'Controls &amp; Summary'!$B$11+U67*'Controls &amp; Summary'!$B$12</x:f>
        <x:v>4.224560615847421</x:v>
      </x:c>
      <x:c r="W67" s="31" t="n">
        <x:v>0.5</x:v>
      </x:c>
      <x:c r="X67" s="31" t="n">
        <x:v>8.12</x:v>
      </x:c>
      <x:c r="Y67" s="31" t="n">
        <x:f>((10-MIN(10,MAX(0,X67)))/10)*'Controls &amp; Summary'!$B$15+((10-MIN(10,MAX(0,W67)))/10)*'Controls &amp; Summary'!$B$16</x:f>
        <x:v>1.1380000000000001</x:v>
      </x:c>
      <x:c r="Z67" s="31" t="n">
        <x:f>V67*Y67</x:f>
        <x:v>4.8075499808343665</x:v>
      </x:c>
      <x:c r="AA67" s="30" t="str">
        <x:f>IF(Z67&lt;=I67,"Peaceful","Hostile")</x:f>
        <x:v>Peaceful</x:v>
      </x:c>
      <x:c r="AB67" s="30" t="str">
        <x:f>IF(Z67&lt;='Controls &amp; Summary'!$B$6,"Eligible","Blocked")</x:f>
        <x:v>Eligible</x:v>
      </x:c>
      <x:c r="AC67" s="30" t="str">
        <x:v>2003_CHN</x:v>
      </x:c>
      <x:c r="AD67" s="30" t="str">
        <x:v>2003_HYS</x:v>
      </x:c>
      <x:c r="AE67" s="30" t="str">
        <x:v>2003_Himalayas</x:v>
      </x:c>
      <x:c r="AF67" s="30" t="str">
        <x:v>Explicit capitalClaim</x:v>
      </x:c>
      <x:c r="AG67" s="30" t="str">
        <x:v>Claim2003_CHN2003_Himalayas</x:v>
      </x:c>
      <x:c r="AH67" s="30" t="str">
        <x:v>Project_Pan-AsianCooperative</x:v>
      </x:c>
    </x:row>
    <x:row r="68">
      <x:c r="A68" s="30" t="str">
        <x:v>2003</x:v>
      </x:c>
      <x:c r="B68" s="30" t="str">
        <x:v>Dark Skies</x:v>
      </x:c>
      <x:c r="C68" s="30" t="str">
        <x:v>China</x:v>
      </x:c>
      <x:c r="D68" s="30" t="str">
        <x:v>North Korea</x:v>
      </x:c>
      <x:c r="E68" s="30" t="str">
        <x:v>Project unlock</x:v>
      </x:c>
      <x:c r="F68" s="30" t="str">
        <x:v>Pan-Asian Cooperative</x:v>
      </x:c>
      <x:c r="G68" s="30" t="str">
        <x:v>No</x:v>
      </x:c>
      <x:c r="H68" s="30" t="str">
        <x:v>Ordinary claim</x:v>
      </x:c>
      <x:c r="I68" s="31" t="n">
        <x:f>IF(G68="Yes",'Controls &amp; Summary'!$B$5,'Controls &amp; Summary'!$B$4)</x:f>
        <x:v>6</x:v>
      </x:c>
      <x:c r="J68" s="31" t="n">
        <x:v>3.1</x:v>
      </x:c>
      <x:c r="K68" s="31" t="n">
        <x:v>1.03</x:v>
      </x:c>
      <x:c r="L68" s="31" t="n">
        <x:f>ABS(J68-K68)</x:f>
        <x:v>2.0700000000000003</x:v>
      </x:c>
      <x:c r="M68" s="31" t="n">
        <x:v>4.16</x:v>
      </x:c>
      <x:c r="N68" s="31" t="n">
        <x:v>8.6</x:v>
      </x:c>
      <x:c r="O68" s="31" t="n">
        <x:f>ABS(M68-N68)</x:f>
        <x:v>4.4399999999999995</x:v>
      </x:c>
      <x:c r="P68" s="31" t="n">
        <x:v>5.47</x:v>
      </x:c>
      <x:c r="Q68" s="31" t="n">
        <x:v>4.85</x:v>
      </x:c>
      <x:c r="R68" s="31" t="n">
        <x:f>ABS(P68-Q68)</x:f>
        <x:v>0.6200000000000001</x:v>
      </x:c>
      <x:c r="S68" s="32" t="n">
        <x:v>2037.114576960092</x:v>
      </x:c>
      <x:c r="T68" s="32" t="n">
        <x:v>2405.4113076256995</x:v>
      </x:c>
      <x:c r="U68" s="31" t="n">
        <x:f>MAX(S68/T68,T68/S68)</x:f>
        <x:v>1.1807933313280798</x:v>
      </x:c>
      <x:c r="V68" s="31" t="n">
        <x:f>L68*'Controls &amp; Summary'!$B$9+O68*'Controls &amp; Summary'!$B$10+R68*'Controls &amp; Summary'!$B$11+U68*'Controls &amp; Summary'!$B$12</x:f>
        <x:v>8.31079333132808</x:v>
      </x:c>
      <x:c r="W68" s="31" t="n">
        <x:v>0.5</x:v>
      </x:c>
      <x:c r="X68" s="31" t="n">
        <x:v>2.96</x:v>
      </x:c>
      <x:c r="Y68" s="31" t="n">
        <x:f>((10-MIN(10,MAX(0,X68)))/10)*'Controls &amp; Summary'!$B$15+((10-MIN(10,MAX(0,W68)))/10)*'Controls &amp; Summary'!$B$16</x:f>
        <x:v>1.654</x:v>
      </x:c>
      <x:c r="Z68" s="31" t="n">
        <x:f>V68*Y68</x:f>
        <x:v>13.746052170016643</x:v>
      </x:c>
      <x:c r="AA68" s="30" t="str">
        <x:f>IF(Z68&lt;=I68,"Peaceful","Hostile")</x:f>
        <x:v>Hostile</x:v>
      </x:c>
      <x:c r="AB68" s="30" t="str">
        <x:f>IF(Z68&lt;='Controls &amp; Summary'!$B$6,"Eligible","Blocked")</x:f>
        <x:v>Blocked</x:v>
      </x:c>
      <x:c r="AC68" s="30" t="str">
        <x:v>2003_CHN</x:v>
      </x:c>
      <x:c r="AD68" s="30" t="str">
        <x:v>2003_PRK</x:v>
      </x:c>
      <x:c r="AE68" s="30" t="str">
        <x:v>2003_NorthKorea</x:v>
      </x:c>
      <x:c r="AF68" s="30" t="str">
        <x:v>Explicit capitalClaim</x:v>
      </x:c>
      <x:c r="AG68" s="30" t="str">
        <x:v>Claim2003_CHN2003_NorthKorea</x:v>
      </x:c>
      <x:c r="AH68" s="30" t="str">
        <x:v>Project_Pan-AsianCooperative</x:v>
      </x:c>
    </x:row>
    <x:row r="69">
      <x:c r="A69" s="30" t="str">
        <x:v>2003</x:v>
      </x:c>
      <x:c r="B69" s="30" t="str">
        <x:v>Dark Skies</x:v>
      </x:c>
      <x:c r="C69" s="30" t="str">
        <x:v>China</x:v>
      </x:c>
      <x:c r="D69" s="30" t="str">
        <x:v>Singapore</x:v>
      </x:c>
      <x:c r="E69" s="30" t="str">
        <x:v>Project unlock</x:v>
      </x:c>
      <x:c r="F69" s="30" t="str">
        <x:v>Greater PanAsia</x:v>
      </x:c>
      <x:c r="G69" s="30" t="str">
        <x:v>No</x:v>
      </x:c>
      <x:c r="H69" s="30" t="str">
        <x:v>Ordinary claim</x:v>
      </x:c>
      <x:c r="I69" s="31" t="n">
        <x:f>IF(G69="Yes",'Controls &amp; Summary'!$B$5,'Controls &amp; Summary'!$B$4)</x:f>
        <x:v>6</x:v>
      </x:c>
      <x:c r="J69" s="31" t="n">
        <x:v>3.1</x:v>
      </x:c>
      <x:c r="K69" s="31" t="n">
        <x:v>5.85</x:v>
      </x:c>
      <x:c r="L69" s="31" t="n">
        <x:f>ABS(J69-K69)</x:f>
        <x:v>2.7499999999999996</x:v>
      </x:c>
      <x:c r="M69" s="31" t="n">
        <x:v>4.16</x:v>
      </x:c>
      <x:c r="N69" s="31" t="n">
        <x:v>3.86</x:v>
      </x:c>
      <x:c r="O69" s="31" t="n">
        <x:f>ABS(M69-N69)</x:f>
        <x:v>0.30000000000000027</x:v>
      </x:c>
      <x:c r="P69" s="31" t="n">
        <x:v>5.47</x:v>
      </x:c>
      <x:c r="Q69" s="31" t="n">
        <x:v>8.41</x:v>
      </x:c>
      <x:c r="R69" s="31" t="n">
        <x:f>ABS(P69-Q69)</x:f>
        <x:v>2.9400000000000004</x:v>
      </x:c>
      <x:c r="S69" s="32" t="n">
        <x:v>2037.114576960092</x:v>
      </x:c>
      <x:c r="T69" s="32" t="n">
        <x:v>26456.959439810835</x:v>
      </x:c>
      <x:c r="U69" s="31" t="n">
        <x:f>MAX(S69/T69,T69/S69)</x:f>
        <x:v>12.987467538174284</x:v>
      </x:c>
      <x:c r="V69" s="31" t="n">
        <x:f>L69*'Controls &amp; Summary'!$B$9+O69*'Controls &amp; Summary'!$B$10+R69*'Controls &amp; Summary'!$B$11+U69*'Controls &amp; Summary'!$B$12</x:f>
        <x:v>18.977467538174285</x:v>
      </x:c>
      <x:c r="W69" s="31" t="n">
        <x:v>0.5</x:v>
      </x:c>
      <x:c r="X69" s="31" t="n">
        <x:v>0.35</x:v>
      </x:c>
      <x:c r="Y69" s="31" t="n">
        <x:f>((10-MIN(10,MAX(0,X69)))/10)*'Controls &amp; Summary'!$B$15+((10-MIN(10,MAX(0,W69)))/10)*'Controls &amp; Summary'!$B$16</x:f>
        <x:v>1.915</x:v>
      </x:c>
      <x:c r="Z69" s="31" t="n">
        <x:f>V69*Y69</x:f>
        <x:v>36.34185033560376</x:v>
      </x:c>
      <x:c r="AA69" s="30" t="str">
        <x:f>IF(Z69&lt;=I69,"Peaceful","Hostile")</x:f>
        <x:v>Hostile</x:v>
      </x:c>
      <x:c r="AB69" s="30" t="str">
        <x:f>IF(Z69&lt;='Controls &amp; Summary'!$B$6,"Eligible","Blocked")</x:f>
        <x:v>Blocked</x:v>
      </x:c>
      <x:c r="AC69" s="30" t="str">
        <x:v>2003_CHN</x:v>
      </x:c>
      <x:c r="AD69" s="30" t="str">
        <x:v>2003_SGP</x:v>
      </x:c>
      <x:c r="AE69" s="30" t="str">
        <x:v>2003_Singapore</x:v>
      </x:c>
      <x:c r="AF69" s="30" t="str">
        <x:v>Explicit capitalClaim</x:v>
      </x:c>
      <x:c r="AG69" s="30" t="str">
        <x:v>Claim2003_CHN2003_Singapore</x:v>
      </x:c>
      <x:c r="AH69" s="30" t="str">
        <x:v>Project_GreaterPanAsia</x:v>
      </x:c>
    </x:row>
    <x:row r="70">
      <x:c r="A70" s="30" t="str">
        <x:v>2003</x:v>
      </x:c>
      <x:c r="B70" s="30" t="str">
        <x:v>Dark Skies</x:v>
      </x:c>
      <x:c r="C70" s="30" t="str">
        <x:v>China</x:v>
      </x:c>
      <x:c r="D70" s="30" t="str">
        <x:v>South Korea</x:v>
      </x:c>
      <x:c r="E70" s="30" t="str">
        <x:v>Project unlock</x:v>
      </x:c>
      <x:c r="F70" s="30" t="str">
        <x:v>Pan-Asian Cooperative</x:v>
      </x:c>
      <x:c r="G70" s="30" t="str">
        <x:v>No</x:v>
      </x:c>
      <x:c r="H70" s="30" t="str">
        <x:v>Ordinary claim</x:v>
      </x:c>
      <x:c r="I70" s="31" t="n">
        <x:f>IF(G70="Yes",'Controls &amp; Summary'!$B$5,'Controls &amp; Summary'!$B$4)</x:f>
        <x:v>6</x:v>
      </x:c>
      <x:c r="J70" s="31" t="n">
        <x:v>3.1</x:v>
      </x:c>
      <x:c r="K70" s="31" t="n">
        <x:v>7.88</x:v>
      </x:c>
      <x:c r="L70" s="31" t="n">
        <x:f>ABS(J70-K70)</x:f>
        <x:v>4.779999999999999</x:v>
      </x:c>
      <x:c r="M70" s="31" t="n">
        <x:v>4.16</x:v>
      </x:c>
      <x:c r="N70" s="31" t="n">
        <x:v>3.3</x:v>
      </x:c>
      <x:c r="O70" s="31" t="n">
        <x:f>ABS(M70-N70)</x:f>
        <x:v>0.8600000000000003</x:v>
      </x:c>
      <x:c r="P70" s="31" t="n">
        <x:v>5.47</x:v>
      </x:c>
      <x:c r="Q70" s="31" t="n">
        <x:v>7.92</x:v>
      </x:c>
      <x:c r="R70" s="31" t="n">
        <x:f>ABS(P70-Q70)</x:f>
        <x:v>2.45</x:v>
      </x:c>
      <x:c r="S70" s="32" t="n">
        <x:v>2037.114576960092</x:v>
      </x:c>
      <x:c r="T70" s="32" t="n">
        <x:v>15332.211618599593</x:v>
      </x:c>
      <x:c r="U70" s="31" t="n">
        <x:f>MAX(S70/T70,T70/S70)</x:f>
        <x:v>7.52643557314251</x:v>
      </x:c>
      <x:c r="V70" s="31" t="n">
        <x:f>L70*'Controls &amp; Summary'!$B$9+O70*'Controls &amp; Summary'!$B$10+R70*'Controls &amp; Summary'!$B$11+U70*'Controls &amp; Summary'!$B$12</x:f>
        <x:v>15.61643557314251</x:v>
      </x:c>
      <x:c r="W70" s="31" t="n">
        <x:v>0.5</x:v>
      </x:c>
      <x:c r="X70" s="31" t="n">
        <x:v>1.45</x:v>
      </x:c>
      <x:c r="Y70" s="31" t="n">
        <x:f>((10-MIN(10,MAX(0,X70)))/10)*'Controls &amp; Summary'!$B$15+((10-MIN(10,MAX(0,W70)))/10)*'Controls &amp; Summary'!$B$16</x:f>
        <x:v>1.8050000000000002</x:v>
      </x:c>
      <x:c r="Z70" s="31" t="n">
        <x:f>V70*Y70</x:f>
        <x:v>28.187666209522234</x:v>
      </x:c>
      <x:c r="AA70" s="30" t="str">
        <x:f>IF(Z70&lt;=I70,"Peaceful","Hostile")</x:f>
        <x:v>Hostile</x:v>
      </x:c>
      <x:c r="AB70" s="30" t="str">
        <x:f>IF(Z70&lt;='Controls &amp; Summary'!$B$6,"Eligible","Blocked")</x:f>
        <x:v>Blocked</x:v>
      </x:c>
      <x:c r="AC70" s="30" t="str">
        <x:v>2003_CHN</x:v>
      </x:c>
      <x:c r="AD70" s="30" t="str">
        <x:v>2003_KOR</x:v>
      </x:c>
      <x:c r="AE70" s="30" t="str">
        <x:v>2003_SouthKorea</x:v>
      </x:c>
      <x:c r="AF70" s="30" t="str">
        <x:v>Explicit capitalClaim</x:v>
      </x:c>
      <x:c r="AG70" s="30" t="str">
        <x:v>Claim2003_CHN2003_SouthKorea</x:v>
      </x:c>
      <x:c r="AH70" s="30" t="str">
        <x:v>Project_Pan-AsianCooperative</x:v>
      </x:c>
    </x:row>
    <x:row r="71">
      <x:c r="A71" s="30" t="str">
        <x:v>2003</x:v>
      </x:c>
      <x:c r="B71" s="30" t="str">
        <x:v>Dark Skies</x:v>
      </x:c>
      <x:c r="C71" s="30" t="str">
        <x:v>China</x:v>
      </x:c>
      <x:c r="D71" s="30" t="str">
        <x:v>Taiwan</x:v>
      </x:c>
      <x:c r="E71" s="30" t="str">
        <x:v>Starting claim</x:v>
      </x:c>
      <x:c r="F71" s="30" t="str"/>
      <x:c r="G71" s="30" t="str">
        <x:v>Yes</x:v>
      </x:c>
      <x:c r="H71" s="30" t="str">
        <x:v>Approved bilateral grievance</x:v>
      </x:c>
      <x:c r="I71" s="31" t="n">
        <x:f>IF(G71="Yes",'Controls &amp; Summary'!$B$5,'Controls &amp; Summary'!$B$4)</x:f>
        <x:v>3</x:v>
      </x:c>
      <x:c r="J71" s="31" t="n">
        <x:v>3.1</x:v>
      </x:c>
      <x:c r="K71" s="31" t="n">
        <x:v>7.92</x:v>
      </x:c>
      <x:c r="L71" s="31" t="n">
        <x:f>ABS(J71-K71)</x:f>
        <x:v>4.82</x:v>
      </x:c>
      <x:c r="M71" s="31" t="n">
        <x:v>4.16</x:v>
      </x:c>
      <x:c r="N71" s="31" t="n">
        <x:v>3.04</x:v>
      </x:c>
      <x:c r="O71" s="31" t="n">
        <x:f>ABS(M71-N71)</x:f>
        <x:v>1.12</x:v>
      </x:c>
      <x:c r="P71" s="31" t="n">
        <x:v>5.47</x:v>
      </x:c>
      <x:c r="Q71" s="31" t="n">
        <x:v>8.09</x:v>
      </x:c>
      <x:c r="R71" s="31" t="n">
        <x:f>ABS(P71-Q71)</x:f>
        <x:v>2.62</x:v>
      </x:c>
      <x:c r="S71" s="32" t="n">
        <x:v>2037.114576960092</x:v>
      </x:c>
      <x:c r="T71" s="32" t="n">
        <x:v>14003.689884343648</x:v>
      </x:c>
      <x:c r="U71" s="31" t="n">
        <x:f>MAX(S71/T71,T71/S71)</x:f>
        <x:v>6.874277000776666</x:v>
      </x:c>
      <x:c r="V71" s="31" t="n">
        <x:f>L71*'Controls &amp; Summary'!$B$9+O71*'Controls &amp; Summary'!$B$10+R71*'Controls &amp; Summary'!$B$11+U71*'Controls &amp; Summary'!$B$12</x:f>
        <x:v>15.434277000776667</x:v>
      </x:c>
      <x:c r="W71" s="31" t="n">
        <x:v>0.5</x:v>
      </x:c>
      <x:c r="X71" s="31" t="n">
        <x:v>1.03</x:v>
      </x:c>
      <x:c r="Y71" s="31" t="n">
        <x:f>((10-MIN(10,MAX(0,X71)))/10)*'Controls &amp; Summary'!$B$15+((10-MIN(10,MAX(0,W71)))/10)*'Controls &amp; Summary'!$B$16</x:f>
        <x:v>1.847</x:v>
      </x:c>
      <x:c r="Z71" s="31" t="n">
        <x:f>V71*Y71</x:f>
        <x:v>28.507109620434505</x:v>
      </x:c>
      <x:c r="AA71" s="30" t="str">
        <x:f>IF(Z71&lt;=I71,"Peaceful","Hostile")</x:f>
        <x:v>Hostile</x:v>
      </x:c>
      <x:c r="AB71" s="30" t="str">
        <x:f>IF(Z71&lt;='Controls &amp; Summary'!$B$6,"Eligible","Blocked")</x:f>
        <x:v>Blocked</x:v>
      </x:c>
      <x:c r="AC71" s="30" t="str">
        <x:v>2003_CHN</x:v>
      </x:c>
      <x:c r="AD71" s="30" t="str">
        <x:v>2003_TWN</x:v>
      </x:c>
      <x:c r="AE71" s="30" t="str">
        <x:v>2003_Taiwan</x:v>
      </x:c>
      <x:c r="AF71" s="30" t="str">
        <x:v>Largest owned population fallback</x:v>
      </x:c>
      <x:c r="AG71" s="30" t="str">
        <x:v>Claim2003_CHN2003_Taiwan</x:v>
      </x:c>
      <x:c r="AH71" s="30" t="str"/>
    </x:row>
    <x:row r="72">
      <x:c r="A72" s="30" t="str">
        <x:v>2003</x:v>
      </x:c>
      <x:c r="B72" s="30" t="str">
        <x:v>Dark Skies</x:v>
      </x:c>
      <x:c r="C72" s="30" t="str">
        <x:v>China</x:v>
      </x:c>
      <x:c r="D72" s="30" t="str">
        <x:v>Thailand</x:v>
      </x:c>
      <x:c r="E72" s="30" t="str">
        <x:v>Project unlock</x:v>
      </x:c>
      <x:c r="F72" s="30" t="str">
        <x:v>Pan-Asian Cooperative</x:v>
      </x:c>
      <x:c r="G72" s="30" t="str">
        <x:v>No</x:v>
      </x:c>
      <x:c r="H72" s="30" t="str">
        <x:v>Ordinary claim</x:v>
      </x:c>
      <x:c r="I72" s="31" t="n">
        <x:f>IF(G72="Yes",'Controls &amp; Summary'!$B$5,'Controls &amp; Summary'!$B$4)</x:f>
        <x:v>6</x:v>
      </x:c>
      <x:c r="J72" s="31" t="n">
        <x:v>3.1</x:v>
      </x:c>
      <x:c r="K72" s="31" t="n">
        <x:v>7.34</x:v>
      </x:c>
      <x:c r="L72" s="31" t="n">
        <x:f>ABS(J72-K72)</x:f>
        <x:v>4.24</x:v>
      </x:c>
      <x:c r="M72" s="31" t="n">
        <x:v>4.16</x:v>
      </x:c>
      <x:c r="N72" s="31" t="n">
        <x:v>4.27</x:v>
      </x:c>
      <x:c r="O72" s="31" t="n">
        <x:f>ABS(M72-N72)</x:f>
        <x:v>0.10999999999999943</x:v>
      </x:c>
      <x:c r="P72" s="31" t="n">
        <x:v>5.47</x:v>
      </x:c>
      <x:c r="Q72" s="31" t="n">
        <x:v>6.13</x:v>
      </x:c>
      <x:c r="R72" s="31" t="n">
        <x:f>ABS(P72-Q72)</x:f>
        <x:v>0.6600000000000001</x:v>
      </x:c>
      <x:c r="S72" s="32" t="n">
        <x:v>2037.114576960092</x:v>
      </x:c>
      <x:c r="T72" s="32" t="n">
        <x:v>5232.862585170051</x:v>
      </x:c>
      <x:c r="U72" s="31" t="n">
        <x:f>MAX(S72/T72,T72/S72)</x:f>
        <x:v>2.5687620344746884</x:v>
      </x:c>
      <x:c r="V72" s="31" t="n">
        <x:f>L72*'Controls &amp; Summary'!$B$9+O72*'Controls &amp; Summary'!$B$10+R72*'Controls &amp; Summary'!$B$11+U72*'Controls &amp; Summary'!$B$12</x:f>
        <x:v>7.578762034474688</x:v>
      </x:c>
      <x:c r="W72" s="31" t="n">
        <x:v>0.5</x:v>
      </x:c>
      <x:c r="X72" s="31" t="n">
        <x:v>5.03</x:v>
      </x:c>
      <x:c r="Y72" s="31" t="n">
        <x:f>((10-MIN(10,MAX(0,X72)))/10)*'Controls &amp; Summary'!$B$15+((10-MIN(10,MAX(0,W72)))/10)*'Controls &amp; Summary'!$B$16</x:f>
        <x:v>1.447</x:v>
      </x:c>
      <x:c r="Z72" s="31" t="n">
        <x:f>V72*Y72</x:f>
        <x:v>10.966468663884875</x:v>
      </x:c>
      <x:c r="AA72" s="30" t="str">
        <x:f>IF(Z72&lt;=I72,"Peaceful","Hostile")</x:f>
        <x:v>Hostile</x:v>
      </x:c>
      <x:c r="AB72" s="30" t="str">
        <x:f>IF(Z72&lt;='Controls &amp; Summary'!$B$6,"Eligible","Blocked")</x:f>
        <x:v>Eligible</x:v>
      </x:c>
      <x:c r="AC72" s="30" t="str">
        <x:v>2003_CHN</x:v>
      </x:c>
      <x:c r="AD72" s="30" t="str">
        <x:v>2003_THA</x:v>
      </x:c>
      <x:c r="AE72" s="30" t="str">
        <x:v>2003_Bangkok</x:v>
      </x:c>
      <x:c r="AF72" s="30" t="str">
        <x:v>Explicit capitalClaim</x:v>
      </x:c>
      <x:c r="AG72" s="30" t="str">
        <x:v>Claim2003_CHN2003_Bangkok</x:v>
      </x:c>
      <x:c r="AH72" s="30" t="str">
        <x:v>Project_Pan-AsianCooperative</x:v>
      </x:c>
    </x:row>
    <x:row r="73">
      <x:c r="A73" s="30" t="str">
        <x:v>2003</x:v>
      </x:c>
      <x:c r="B73" s="30" t="str">
        <x:v>Dark Skies</x:v>
      </x:c>
      <x:c r="C73" s="30" t="str">
        <x:v>China</x:v>
      </x:c>
      <x:c r="D73" s="30" t="str">
        <x:v>Vietnam</x:v>
      </x:c>
      <x:c r="E73" s="30" t="str">
        <x:v>Project unlock</x:v>
      </x:c>
      <x:c r="F73" s="30" t="str">
        <x:v>Pan-Asian Cooperative</x:v>
      </x:c>
      <x:c r="G73" s="30" t="str">
        <x:v>No</x:v>
      </x:c>
      <x:c r="H73" s="30" t="str">
        <x:v>Ordinary claim</x:v>
      </x:c>
      <x:c r="I73" s="31" t="n">
        <x:f>IF(G73="Yes",'Controls &amp; Summary'!$B$5,'Controls &amp; Summary'!$B$4)</x:f>
        <x:v>6</x:v>
      </x:c>
      <x:c r="J73" s="31" t="n">
        <x:v>3.1</x:v>
      </x:c>
      <x:c r="K73" s="31" t="n">
        <x:v>2.62</x:v>
      </x:c>
      <x:c r="L73" s="31" t="n">
        <x:f>ABS(J73-K73)</x:f>
        <x:v>0.48</x:v>
      </x:c>
      <x:c r="M73" s="31" t="n">
        <x:v>4.16</x:v>
      </x:c>
      <x:c r="N73" s="31" t="n">
        <x:v>3.7</x:v>
      </x:c>
      <x:c r="O73" s="31" t="n">
        <x:f>ABS(M73-N73)</x:f>
        <x:v>0.45999999999999996</x:v>
      </x:c>
      <x:c r="P73" s="31" t="n">
        <x:v>5.47</x:v>
      </x:c>
      <x:c r="Q73" s="31" t="n">
        <x:v>5.47</x:v>
      </x:c>
      <x:c r="R73" s="31" t="n">
        <x:f>ABS(P73-Q73)</x:f>
        <x:v>0</x:v>
      </x:c>
      <x:c r="S73" s="32" t="n">
        <x:v>2037.114576960092</x:v>
      </x:c>
      <x:c r="T73" s="32" t="n">
        <x:v>2037.8370385307373</x:v>
      </x:c>
      <x:c r="U73" s="31" t="n">
        <x:f>MAX(S73/T73,T73/S73)</x:f>
        <x:v>1.000354649453112</x:v>
      </x:c>
      <x:c r="V73" s="31" t="n">
        <x:f>L73*'Controls &amp; Summary'!$B$9+O73*'Controls &amp; Summary'!$B$10+R73*'Controls &amp; Summary'!$B$11+U73*'Controls &amp; Summary'!$B$12</x:f>
        <x:v>1.9403546494531119</x:v>
      </x:c>
      <x:c r="W73" s="31" t="n">
        <x:v>0.5</x:v>
      </x:c>
      <x:c r="X73" s="31" t="n">
        <x:v>2.27</x:v>
      </x:c>
      <x:c r="Y73" s="31" t="n">
        <x:f>((10-MIN(10,MAX(0,X73)))/10)*'Controls &amp; Summary'!$B$15+((10-MIN(10,MAX(0,W73)))/10)*'Controls &amp; Summary'!$B$16</x:f>
        <x:v>1.7229999999999999</x:v>
      </x:c>
      <x:c r="Z73" s="31" t="n">
        <x:f>V73*Y73</x:f>
        <x:v>3.3432310610077116</x:v>
      </x:c>
      <x:c r="AA73" s="30" t="str">
        <x:f>IF(Z73&lt;=I73,"Peaceful","Hostile")</x:f>
        <x:v>Peaceful</x:v>
      </x:c>
      <x:c r="AB73" s="30" t="str">
        <x:f>IF(Z73&lt;='Controls &amp; Summary'!$B$6,"Eligible","Blocked")</x:f>
        <x:v>Eligible</x:v>
      </x:c>
      <x:c r="AC73" s="30" t="str">
        <x:v>2003_CHN</x:v>
      </x:c>
      <x:c r="AD73" s="30" t="str">
        <x:v>2003_VNM</x:v>
      </x:c>
      <x:c r="AE73" s="30" t="str">
        <x:v>2003_Hanoi</x:v>
      </x:c>
      <x:c r="AF73" s="30" t="str">
        <x:v>Explicit capitalClaim</x:v>
      </x:c>
      <x:c r="AG73" s="30" t="str">
        <x:v>Claim2003_CHN2003_Hanoi</x:v>
      </x:c>
      <x:c r="AH73" s="30" t="str">
        <x:v>Project_Pan-AsianCooperative</x:v>
      </x:c>
    </x:row>
    <x:row r="74">
      <x:c r="A74" s="30" t="str">
        <x:v>2003</x:v>
      </x:c>
      <x:c r="B74" s="30" t="str">
        <x:v>Dark Skies</x:v>
      </x:c>
      <x:c r="C74" s="30" t="str">
        <x:v>Colombia</x:v>
      </x:c>
      <x:c r="D74" s="30" t="str">
        <x:v>Argentina</x:v>
      </x:c>
      <x:c r="E74" s="30" t="str">
        <x:v>Project unlock</x:v>
      </x:c>
      <x:c r="F74" s="30" t="str">
        <x:v>Unidad Colombia</x:v>
      </x:c>
      <x:c r="G74" s="30" t="str">
        <x:v>No</x:v>
      </x:c>
      <x:c r="H74" s="30" t="str">
        <x:v>Ordinary claim</x:v>
      </x:c>
      <x:c r="I74" s="31" t="n">
        <x:f>IF(G74="Yes",'Controls &amp; Summary'!$B$5,'Controls &amp; Summary'!$B$4)</x:f>
        <x:v>6</x:v>
      </x:c>
      <x:c r="J74" s="31" t="n">
        <x:v>6.24</x:v>
      </x:c>
      <x:c r="K74" s="31" t="n">
        <x:v>6.81</x:v>
      </x:c>
      <x:c r="L74" s="31" t="n">
        <x:f>ABS(J74-K74)</x:f>
        <x:v>0.5699999999999994</x:v>
      </x:c>
      <x:c r="M74" s="31" t="n">
        <x:v>5.09</x:v>
      </x:c>
      <x:c r="N74" s="31" t="n">
        <x:v>4.62</x:v>
      </x:c>
      <x:c r="O74" s="31" t="n">
        <x:f>ABS(M74-N74)</x:f>
        <x:v>0.46999999999999975</x:v>
      </x:c>
      <x:c r="P74" s="31" t="n">
        <x:v>6.14</x:v>
      </x:c>
      <x:c r="Q74" s="31" t="n">
        <x:v>7.39</x:v>
      </x:c>
      <x:c r="R74" s="31" t="n">
        <x:f>ABS(P74-Q74)</x:f>
        <x:v>1.25</x:v>
      </x:c>
      <x:c r="S74" s="32" t="n">
        <x:v>4285.201843012662</x:v>
      </x:c>
      <x:c r="T74" s="32" t="n">
        <x:v>7443.195167342359</x:v>
      </x:c>
      <x:c r="U74" s="31" t="n">
        <x:f>MAX(S74/T74,T74/S74)</x:f>
        <x:v>1.7369532264808107</x:v>
      </x:c>
      <x:c r="V74" s="31" t="n">
        <x:f>L74*'Controls &amp; Summary'!$B$9+O74*'Controls &amp; Summary'!$B$10+R74*'Controls &amp; Summary'!$B$11+U74*'Controls &amp; Summary'!$B$12</x:f>
        <x:v>4.02695322648081</x:v>
      </x:c>
      <x:c r="W74" s="31" t="n">
        <x:v>0</x:v>
      </x:c>
      <x:c r="X74" s="31" t="n">
        <x:v>2.12</x:v>
      </x:c>
      <x:c r="Y74" s="31" t="n">
        <x:f>((10-MIN(10,MAX(0,X74)))/10)*'Controls &amp; Summary'!$B$15+((10-MIN(10,MAX(0,W74)))/10)*'Controls &amp; Summary'!$B$16</x:f>
        <x:v>1.788</x:v>
      </x:c>
      <x:c r="Z74" s="31" t="n">
        <x:f>V74*Y74</x:f>
        <x:v>7.200192368947688</x:v>
      </x:c>
      <x:c r="AA74" s="30" t="str">
        <x:f>IF(Z74&lt;=I74,"Peaceful","Hostile")</x:f>
        <x:v>Hostile</x:v>
      </x:c>
      <x:c r="AB74" s="30" t="str">
        <x:f>IF(Z74&lt;='Controls &amp; Summary'!$B$6,"Eligible","Blocked")</x:f>
        <x:v>Eligible</x:v>
      </x:c>
      <x:c r="AC74" s="30" t="str">
        <x:v>2003_COL</x:v>
      </x:c>
      <x:c r="AD74" s="30" t="str">
        <x:v>2003_ARG</x:v>
      </x:c>
      <x:c r="AE74" s="30" t="str">
        <x:v>2003_Pampas</x:v>
      </x:c>
      <x:c r="AF74" s="30" t="str">
        <x:v>Explicit capitalClaim</x:v>
      </x:c>
      <x:c r="AG74" s="30" t="str">
        <x:v>Claim2003_COL2003_Pampas</x:v>
      </x:c>
      <x:c r="AH74" s="30" t="str">
        <x:v>Project_UnidadColombia</x:v>
      </x:c>
    </x:row>
    <x:row r="75">
      <x:c r="A75" s="30" t="str">
        <x:v>2003</x:v>
      </x:c>
      <x:c r="B75" s="30" t="str">
        <x:v>Dark Skies</x:v>
      </x:c>
      <x:c r="C75" s="30" t="str">
        <x:v>Colombia</x:v>
      </x:c>
      <x:c r="D75" s="30" t="str">
        <x:v>Bolivia</x:v>
      </x:c>
      <x:c r="E75" s="30" t="str">
        <x:v>Project unlock</x:v>
      </x:c>
      <x:c r="F75" s="30" t="str">
        <x:v>Unidad Colombia</x:v>
      </x:c>
      <x:c r="G75" s="30" t="str">
        <x:v>No</x:v>
      </x:c>
      <x:c r="H75" s="30" t="str">
        <x:v>Ordinary claim</x:v>
      </x:c>
      <x:c r="I75" s="31" t="n">
        <x:f>IF(G75="Yes",'Controls &amp; Summary'!$B$5,'Controls &amp; Summary'!$B$4)</x:f>
        <x:v>6</x:v>
      </x:c>
      <x:c r="J75" s="31" t="n">
        <x:v>6.24</x:v>
      </x:c>
      <x:c r="K75" s="31" t="n">
        <x:v>6.41</x:v>
      </x:c>
      <x:c r="L75" s="31" t="n">
        <x:f>ABS(J75-K75)</x:f>
        <x:v>0.16999999999999993</x:v>
      </x:c>
      <x:c r="M75" s="31" t="n">
        <x:v>5.09</x:v>
      </x:c>
      <x:c r="N75" s="31" t="n">
        <x:v>5.33</x:v>
      </x:c>
      <x:c r="O75" s="31" t="n">
        <x:f>ABS(M75-N75)</x:f>
        <x:v>0.2400000000000002</x:v>
      </x:c>
      <x:c r="P75" s="31" t="n">
        <x:v>6.14</x:v>
      </x:c>
      <x:c r="Q75" s="31" t="n">
        <x:v>5.64</x:v>
      </x:c>
      <x:c r="R75" s="31" t="n">
        <x:f>ABS(P75-Q75)</x:f>
        <x:v>0.5</x:v>
      </x:c>
      <x:c r="S75" s="32" t="n">
        <x:v>4285.201843012662</x:v>
      </x:c>
      <x:c r="T75" s="32" t="n">
        <x:v>2486.1893981680973</x:v>
      </x:c>
      <x:c r="U75" s="31" t="n">
        <x:f>MAX(S75/T75,T75/S75)</x:f>
        <x:v>1.7236023314113291</x:v>
      </x:c>
      <x:c r="V75" s="31" t="n">
        <x:f>L75*'Controls &amp; Summary'!$B$9+O75*'Controls &amp; Summary'!$B$10+R75*'Controls &amp; Summary'!$B$11+U75*'Controls &amp; Summary'!$B$12</x:f>
        <x:v>2.6336023314113293</x:v>
      </x:c>
      <x:c r="W75" s="31" t="n">
        <x:v>0</x:v>
      </x:c>
      <x:c r="X75" s="31" t="n">
        <x:v>4.74</x:v>
      </x:c>
      <x:c r="Y75" s="31" t="n">
        <x:f>((10-MIN(10,MAX(0,X75)))/10)*'Controls &amp; Summary'!$B$15+((10-MIN(10,MAX(0,W75)))/10)*'Controls &amp; Summary'!$B$16</x:f>
        <x:v>1.526</x:v>
      </x:c>
      <x:c r="Z75" s="31" t="n">
        <x:f>V75*Y75</x:f>
        <x:v>4.018877157733688</x:v>
      </x:c>
      <x:c r="AA75" s="30" t="str">
        <x:f>IF(Z75&lt;=I75,"Peaceful","Hostile")</x:f>
        <x:v>Peaceful</x:v>
      </x:c>
      <x:c r="AB75" s="30" t="str">
        <x:f>IF(Z75&lt;='Controls &amp; Summary'!$B$6,"Eligible","Blocked")</x:f>
        <x:v>Eligible</x:v>
      </x:c>
      <x:c r="AC75" s="30" t="str">
        <x:v>2003_COL</x:v>
      </x:c>
      <x:c r="AD75" s="30" t="str">
        <x:v>2003_BOL</x:v>
      </x:c>
      <x:c r="AE75" s="30" t="str">
        <x:v>2003_Bolivia</x:v>
      </x:c>
      <x:c r="AF75" s="30" t="str">
        <x:v>Explicit capitalClaim</x:v>
      </x:c>
      <x:c r="AG75" s="30" t="str">
        <x:v>Claim2003_COL2003_Bolivia</x:v>
      </x:c>
      <x:c r="AH75" s="30" t="str">
        <x:v>Project_UnidadColombia</x:v>
      </x:c>
    </x:row>
    <x:row r="76">
      <x:c r="A76" s="30" t="str">
        <x:v>2003</x:v>
      </x:c>
      <x:c r="B76" s="30" t="str">
        <x:v>Dark Skies</x:v>
      </x:c>
      <x:c r="C76" s="30" t="str">
        <x:v>Colombia</x:v>
      </x:c>
      <x:c r="D76" s="30" t="str">
        <x:v>Chile</x:v>
      </x:c>
      <x:c r="E76" s="30" t="str">
        <x:v>Project unlock</x:v>
      </x:c>
      <x:c r="F76" s="30" t="str">
        <x:v>Unidad Colombia</x:v>
      </x:c>
      <x:c r="G76" s="30" t="str">
        <x:v>No</x:v>
      </x:c>
      <x:c r="H76" s="30" t="str">
        <x:v>Ordinary claim</x:v>
      </x:c>
      <x:c r="I76" s="31" t="n">
        <x:f>IF(G76="Yes",'Controls &amp; Summary'!$B$5,'Controls &amp; Summary'!$B$4)</x:f>
        <x:v>6</x:v>
      </x:c>
      <x:c r="J76" s="31" t="n">
        <x:v>6.24</x:v>
      </x:c>
      <x:c r="K76" s="31" t="n">
        <x:v>7.71</x:v>
      </x:c>
      <x:c r="L76" s="31" t="n">
        <x:f>ABS(J76-K76)</x:f>
        <x:v>1.4699999999999998</x:v>
      </x:c>
      <x:c r="M76" s="31" t="n">
        <x:v>5.09</x:v>
      </x:c>
      <x:c r="N76" s="31" t="n">
        <x:v>4.99</x:v>
      </x:c>
      <x:c r="O76" s="31" t="n">
        <x:f>ABS(M76-N76)</x:f>
        <x:v>0.09999999999999964</x:v>
      </x:c>
      <x:c r="P76" s="31" t="n">
        <x:v>6.14</x:v>
      </x:c>
      <x:c r="Q76" s="31" t="n">
        <x:v>7.22</x:v>
      </x:c>
      <x:c r="R76" s="31" t="n">
        <x:f>ABS(P76-Q76)</x:f>
        <x:v>1.08</x:v>
      </x:c>
      <x:c r="S76" s="32" t="n">
        <x:v>4285.201843012662</x:v>
      </x:c>
      <x:c r="T76" s="32" t="n">
        <x:v>7414.516584968054</x:v>
      </x:c>
      <x:c r="U76" s="31" t="n">
        <x:f>MAX(S76/T76,T76/S76)</x:f>
        <x:v>1.7302607570418116</x:v>
      </x:c>
      <x:c r="V76" s="31" t="n">
        <x:f>L76*'Controls &amp; Summary'!$B$9+O76*'Controls &amp; Summary'!$B$10+R76*'Controls &amp; Summary'!$B$11+U76*'Controls &amp; Summary'!$B$12</x:f>
        <x:v>4.380260757041811</x:v>
      </x:c>
      <x:c r="W76" s="31" t="n">
        <x:v>0</x:v>
      </x:c>
      <x:c r="X76" s="31" t="n">
        <x:v>2.19</x:v>
      </x:c>
      <x:c r="Y76" s="31" t="n">
        <x:f>((10-MIN(10,MAX(0,X76)))/10)*'Controls &amp; Summary'!$B$15+((10-MIN(10,MAX(0,W76)))/10)*'Controls &amp; Summary'!$B$16</x:f>
        <x:v>1.7810000000000001</x:v>
      </x:c>
      <x:c r="Z76" s="31" t="n">
        <x:f>V76*Y76</x:f>
        <x:v>7.801244408291467</x:v>
      </x:c>
      <x:c r="AA76" s="30" t="str">
        <x:f>IF(Z76&lt;=I76,"Peaceful","Hostile")</x:f>
        <x:v>Hostile</x:v>
      </x:c>
      <x:c r="AB76" s="30" t="str">
        <x:f>IF(Z76&lt;='Controls &amp; Summary'!$B$6,"Eligible","Blocked")</x:f>
        <x:v>Eligible</x:v>
      </x:c>
      <x:c r="AC76" s="30" t="str">
        <x:v>2003_COL</x:v>
      </x:c>
      <x:c r="AD76" s="30" t="str">
        <x:v>2003_CHL</x:v>
      </x:c>
      <x:c r="AE76" s="30" t="str">
        <x:v>2003_Santiago</x:v>
      </x:c>
      <x:c r="AF76" s="30" t="str">
        <x:v>Explicit capitalClaim</x:v>
      </x:c>
      <x:c r="AG76" s="30" t="str">
        <x:v>Claim2003_COL2003_Santiago</x:v>
      </x:c>
      <x:c r="AH76" s="30" t="str">
        <x:v>Project_UnidadColombia</x:v>
      </x:c>
    </x:row>
    <x:row r="77">
      <x:c r="A77" s="30" t="str">
        <x:v>2003</x:v>
      </x:c>
      <x:c r="B77" s="30" t="str">
        <x:v>Dark Skies</x:v>
      </x:c>
      <x:c r="C77" s="30" t="str">
        <x:v>Colombia</x:v>
      </x:c>
      <x:c r="D77" s="30" t="str">
        <x:v>Costa Rica</x:v>
      </x:c>
      <x:c r="E77" s="30" t="str">
        <x:v>Project unlock</x:v>
      </x:c>
      <x:c r="F77" s="30" t="str">
        <x:v>Unidad Colombia</x:v>
      </x:c>
      <x:c r="G77" s="30" t="str">
        <x:v>No</x:v>
      </x:c>
      <x:c r="H77" s="30" t="str">
        <x:v>Ordinary claim</x:v>
      </x:c>
      <x:c r="I77" s="31" t="n">
        <x:f>IF(G77="Yes",'Controls &amp; Summary'!$B$5,'Controls &amp; Summary'!$B$4)</x:f>
        <x:v>6</x:v>
      </x:c>
      <x:c r="J77" s="31" t="n">
        <x:v>6.24</x:v>
      </x:c>
      <x:c r="K77" s="31" t="n">
        <x:v>8</x:v>
      </x:c>
      <x:c r="L77" s="31" t="n">
        <x:f>ABS(J77-K77)</x:f>
        <x:v>1.7599999999999998</x:v>
      </x:c>
      <x:c r="M77" s="31" t="n">
        <x:v>5.09</x:v>
      </x:c>
      <x:c r="N77" s="31" t="n">
        <x:v>4.56</x:v>
      </x:c>
      <x:c r="O77" s="31" t="n">
        <x:f>ABS(M77-N77)</x:f>
        <x:v>0.5300000000000002</x:v>
      </x:c>
      <x:c r="P77" s="31" t="n">
        <x:v>6.14</x:v>
      </x:c>
      <x:c r="Q77" s="31" t="n">
        <x:v>6.64</x:v>
      </x:c>
      <x:c r="R77" s="31" t="n">
        <x:f>ABS(P77-Q77)</x:f>
        <x:v>0.5</x:v>
      </x:c>
      <x:c r="S77" s="32" t="n">
        <x:v>4285.201843012662</x:v>
      </x:c>
      <x:c r="T77" s="32" t="n">
        <x:v>6076.593415360647</x:v>
      </x:c>
      <x:c r="U77" s="31" t="n">
        <x:f>MAX(S77/T77,T77/S77)</x:f>
        <x:v>1.4180413520704938</x:v>
      </x:c>
      <x:c r="V77" s="31" t="n">
        <x:f>L77*'Controls &amp; Summary'!$B$9+O77*'Controls &amp; Summary'!$B$10+R77*'Controls &amp; Summary'!$B$11+U77*'Controls &amp; Summary'!$B$12</x:f>
        <x:v>4.208041352070493</x:v>
      </x:c>
      <x:c r="W77" s="31" t="n">
        <x:v>0</x:v>
      </x:c>
      <x:c r="X77" s="31" t="n">
        <x:v>1</x:v>
      </x:c>
      <x:c r="Y77" s="31" t="n">
        <x:f>((10-MIN(10,MAX(0,X77)))/10)*'Controls &amp; Summary'!$B$15+((10-MIN(10,MAX(0,W77)))/10)*'Controls &amp; Summary'!$B$16</x:f>
        <x:v>1.9</x:v>
      </x:c>
      <x:c r="Z77" s="31" t="n">
        <x:f>V77*Y77</x:f>
        <x:v>7.995278568933937</x:v>
      </x:c>
      <x:c r="AA77" s="30" t="str">
        <x:f>IF(Z77&lt;=I77,"Peaceful","Hostile")</x:f>
        <x:v>Hostile</x:v>
      </x:c>
      <x:c r="AB77" s="30" t="str">
        <x:f>IF(Z77&lt;='Controls &amp; Summary'!$B$6,"Eligible","Blocked")</x:f>
        <x:v>Eligible</x:v>
      </x:c>
      <x:c r="AC77" s="30" t="str">
        <x:v>2003_COL</x:v>
      </x:c>
      <x:c r="AD77" s="30" t="str">
        <x:v>2003_COS</x:v>
      </x:c>
      <x:c r="AE77" s="30" t="str">
        <x:v>2003_CostaRica</x:v>
      </x:c>
      <x:c r="AF77" s="30" t="str">
        <x:v>Explicit capitalClaim</x:v>
      </x:c>
      <x:c r="AG77" s="30" t="str">
        <x:v>Claim2003_COL2003_CostaRica</x:v>
      </x:c>
      <x:c r="AH77" s="30" t="str">
        <x:v>Project_UnidadColombia</x:v>
      </x:c>
    </x:row>
    <x:row r="78">
      <x:c r="A78" s="30" t="str">
        <x:v>2003</x:v>
      </x:c>
      <x:c r="B78" s="30" t="str">
        <x:v>Dark Skies</x:v>
      </x:c>
      <x:c r="C78" s="30" t="str">
        <x:v>Colombia</x:v>
      </x:c>
      <x:c r="D78" s="30" t="str">
        <x:v>Cuba</x:v>
      </x:c>
      <x:c r="E78" s="30" t="str">
        <x:v>Project unlock</x:v>
      </x:c>
      <x:c r="F78" s="30" t="str">
        <x:v>Unidad Colombia</x:v>
      </x:c>
      <x:c r="G78" s="30" t="str">
        <x:v>No</x:v>
      </x:c>
      <x:c r="H78" s="30" t="str">
        <x:v>Ordinary claim</x:v>
      </x:c>
      <x:c r="I78" s="31" t="n">
        <x:f>IF(G78="Yes",'Controls &amp; Summary'!$B$5,'Controls &amp; Summary'!$B$4)</x:f>
        <x:v>6</x:v>
      </x:c>
      <x:c r="J78" s="31" t="n">
        <x:v>6.24</x:v>
      </x:c>
      <x:c r="K78" s="31" t="n">
        <x:v>3.51</x:v>
      </x:c>
      <x:c r="L78" s="31" t="n">
        <x:f>ABS(J78-K78)</x:f>
        <x:v>2.7300000000000004</x:v>
      </x:c>
      <x:c r="M78" s="31" t="n">
        <x:v>5.09</x:v>
      </x:c>
      <x:c r="N78" s="31" t="n">
        <x:v>3.8</x:v>
      </x:c>
      <x:c r="O78" s="31" t="n">
        <x:f>ABS(M78-N78)</x:f>
        <x:v>1.29</x:v>
      </x:c>
      <x:c r="P78" s="31" t="n">
        <x:v>6.14</x:v>
      </x:c>
      <x:c r="Q78" s="31" t="n">
        <x:v>6.47</x:v>
      </x:c>
      <x:c r="R78" s="31" t="n">
        <x:f>ABS(P78-Q78)</x:f>
        <x:v>0.33000000000000007</x:v>
      </x:c>
      <x:c r="S78" s="32" t="n">
        <x:v>4285.201843012662</x:v>
      </x:c>
      <x:c r="T78" s="32" t="n">
        <x:v>3202.781098656367</x:v>
      </x:c>
      <x:c r="U78" s="31" t="n">
        <x:f>MAX(S78/T78,T78/S78)</x:f>
        <x:v>1.3379627614295566</x:v>
      </x:c>
      <x:c r="V78" s="31" t="n">
        <x:f>L78*'Controls &amp; Summary'!$B$9+O78*'Controls &amp; Summary'!$B$10+R78*'Controls &amp; Summary'!$B$11+U78*'Controls &amp; Summary'!$B$12</x:f>
        <x:v>5.687962761429557</x:v>
      </x:c>
      <x:c r="W78" s="31" t="n">
        <x:v>0</x:v>
      </x:c>
      <x:c r="X78" s="31" t="n">
        <x:v>3.15</x:v>
      </x:c>
      <x:c r="Y78" s="31" t="n">
        <x:f>((10-MIN(10,MAX(0,X78)))/10)*'Controls &amp; Summary'!$B$15+((10-MIN(10,MAX(0,W78)))/10)*'Controls &amp; Summary'!$B$16</x:f>
        <x:v>1.685</x:v>
      </x:c>
      <x:c r="Z78" s="31" t="n">
        <x:f>V78*Y78</x:f>
        <x:v>9.584217253008804</x:v>
      </x:c>
      <x:c r="AA78" s="30" t="str">
        <x:f>IF(Z78&lt;=I78,"Peaceful","Hostile")</x:f>
        <x:v>Hostile</x:v>
      </x:c>
      <x:c r="AB78" s="30" t="str">
        <x:f>IF(Z78&lt;='Controls &amp; Summary'!$B$6,"Eligible","Blocked")</x:f>
        <x:v>Eligible</x:v>
      </x:c>
      <x:c r="AC78" s="30" t="str">
        <x:v>2003_COL</x:v>
      </x:c>
      <x:c r="AD78" s="30" t="str">
        <x:v>2003_CUB</x:v>
      </x:c>
      <x:c r="AE78" s="30" t="str">
        <x:v>2003_Cuba</x:v>
      </x:c>
      <x:c r="AF78" s="30" t="str">
        <x:v>Explicit capitalClaim</x:v>
      </x:c>
      <x:c r="AG78" s="30" t="str">
        <x:v>Claim2003_COL2003_Cuba</x:v>
      </x:c>
      <x:c r="AH78" s="30" t="str">
        <x:v>Project_UnidadColombia</x:v>
      </x:c>
    </x:row>
    <x:row r="79">
      <x:c r="A79" s="30" t="str">
        <x:v>2003</x:v>
      </x:c>
      <x:c r="B79" s="30" t="str">
        <x:v>Dark Skies</x:v>
      </x:c>
      <x:c r="C79" s="30" t="str">
        <x:v>Colombia</x:v>
      </x:c>
      <x:c r="D79" s="30" t="str">
        <x:v>Dominican Republic</x:v>
      </x:c>
      <x:c r="E79" s="30" t="str">
        <x:v>Project unlock</x:v>
      </x:c>
      <x:c r="F79" s="30" t="str">
        <x:v>Unidad Colombia</x:v>
      </x:c>
      <x:c r="G79" s="30" t="str">
        <x:v>No</x:v>
      </x:c>
      <x:c r="H79" s="30" t="str">
        <x:v>Ordinary claim</x:v>
      </x:c>
      <x:c r="I79" s="31" t="n">
        <x:f>IF(G79="Yes",'Controls &amp; Summary'!$B$5,'Controls &amp; Summary'!$B$4)</x:f>
        <x:v>6</x:v>
      </x:c>
      <x:c r="J79" s="31" t="n">
        <x:v>6.24</x:v>
      </x:c>
      <x:c r="K79" s="31" t="n">
        <x:v>6.19</x:v>
      </x:c>
      <x:c r="L79" s="31" t="n">
        <x:f>ABS(J79-K79)</x:f>
        <x:v>0.04999999999999982</x:v>
      </x:c>
      <x:c r="M79" s="31" t="n">
        <x:v>5.09</x:v>
      </x:c>
      <x:c r="N79" s="31" t="n">
        <x:v>4.83</x:v>
      </x:c>
      <x:c r="O79" s="31" t="n">
        <x:f>ABS(M79-N79)</x:f>
        <x:v>0.2599999999999998</x:v>
      </x:c>
      <x:c r="P79" s="31" t="n">
        <x:v>6.14</x:v>
      </x:c>
      <x:c r="Q79" s="31" t="n">
        <x:v>5.91</x:v>
      </x:c>
      <x:c r="R79" s="31" t="n">
        <x:f>ABS(P79-Q79)</x:f>
        <x:v>0.22999999999999954</x:v>
      </x:c>
      <x:c r="S79" s="32" t="n">
        <x:v>4285.201843012662</x:v>
      </x:c>
      <x:c r="T79" s="32" t="n">
        <x:v>4322.042340395206</x:v>
      </x:c>
      <x:c r="U79" s="31" t="n">
        <x:f>MAX(S79/T79,T79/S79)</x:f>
        <x:v>1.008597144016125</x:v>
      </x:c>
      <x:c r="V79" s="31" t="n">
        <x:f>L79*'Controls &amp; Summary'!$B$9+O79*'Controls &amp; Summary'!$B$10+R79*'Controls &amp; Summary'!$B$11+U79*'Controls &amp; Summary'!$B$12</x:f>
        <x:v>1.5485971440161241</x:v>
      </x:c>
      <x:c r="W79" s="31" t="n">
        <x:v>0</x:v>
      </x:c>
      <x:c r="X79" s="31" t="n">
        <x:v>1.87</x:v>
      </x:c>
      <x:c r="Y79" s="31" t="n">
        <x:f>((10-MIN(10,MAX(0,X79)))/10)*'Controls &amp; Summary'!$B$15+((10-MIN(10,MAX(0,W79)))/10)*'Controls &amp; Summary'!$B$16</x:f>
        <x:v>1.813</x:v>
      </x:c>
      <x:c r="Z79" s="31" t="n">
        <x:f>V79*Y79</x:f>
        <x:v>2.807606622101233</x:v>
      </x:c>
      <x:c r="AA79" s="30" t="str">
        <x:f>IF(Z79&lt;=I79,"Peaceful","Hostile")</x:f>
        <x:v>Peaceful</x:v>
      </x:c>
      <x:c r="AB79" s="30" t="str">
        <x:f>IF(Z79&lt;='Controls &amp; Summary'!$B$6,"Eligible","Blocked")</x:f>
        <x:v>Eligible</x:v>
      </x:c>
      <x:c r="AC79" s="30" t="str">
        <x:v>2003_COL</x:v>
      </x:c>
      <x:c r="AD79" s="30" t="str">
        <x:v>2003_DOM</x:v>
      </x:c>
      <x:c r="AE79" s="30" t="str">
        <x:v>2003_EastHispanola</x:v>
      </x:c>
      <x:c r="AF79" s="30" t="str">
        <x:v>Explicit capitalClaim</x:v>
      </x:c>
      <x:c r="AG79" s="30" t="str">
        <x:v>Claim2003_COL2003_EastHispanola</x:v>
      </x:c>
      <x:c r="AH79" s="30" t="str">
        <x:v>Project_UnidadColombia</x:v>
      </x:c>
    </x:row>
    <x:row r="80">
      <x:c r="A80" s="30" t="str">
        <x:v>2003</x:v>
      </x:c>
      <x:c r="B80" s="30" t="str">
        <x:v>Dark Skies</x:v>
      </x:c>
      <x:c r="C80" s="30" t="str">
        <x:v>Colombia</x:v>
      </x:c>
      <x:c r="D80" s="30" t="str">
        <x:v>Ecuador</x:v>
      </x:c>
      <x:c r="E80" s="30" t="str">
        <x:v>Project unlock</x:v>
      </x:c>
      <x:c r="F80" s="30" t="str">
        <x:v>South American Confederations</x:v>
      </x:c>
      <x:c r="G80" s="30" t="str">
        <x:v>No</x:v>
      </x:c>
      <x:c r="H80" s="30" t="str">
        <x:v>Ordinary claim</x:v>
      </x:c>
      <x:c r="I80" s="31" t="n">
        <x:f>IF(G80="Yes",'Controls &amp; Summary'!$B$5,'Controls &amp; Summary'!$B$4)</x:f>
        <x:v>6</x:v>
      </x:c>
      <x:c r="J80" s="31" t="n">
        <x:v>6.24</x:v>
      </x:c>
      <x:c r="K80" s="31" t="n">
        <x:v>5.63</x:v>
      </x:c>
      <x:c r="L80" s="31" t="n">
        <x:f>ABS(J80-K80)</x:f>
        <x:v>0.6100000000000003</x:v>
      </x:c>
      <x:c r="M80" s="31" t="n">
        <x:v>5.09</x:v>
      </x:c>
      <x:c r="N80" s="31" t="n">
        <x:v>4.98</x:v>
      </x:c>
      <x:c r="O80" s="31" t="n">
        <x:f>ABS(M80-N80)</x:f>
        <x:v>0.10999999999999943</x:v>
      </x:c>
      <x:c r="P80" s="31" t="n">
        <x:v>6.14</x:v>
      </x:c>
      <x:c r="Q80" s="31" t="n">
        <x:v>6.28</x:v>
      </x:c>
      <x:c r="R80" s="31" t="n">
        <x:f>ABS(P80-Q80)</x:f>
        <x:v>0.14000000000000057</x:v>
      </x:c>
      <x:c r="S80" s="32" t="n">
        <x:v>4285.201843012662</x:v>
      </x:c>
      <x:c r="T80" s="32" t="n">
        <x:v>3671.7238750743513</x:v>
      </x:c>
      <x:c r="U80" s="31" t="n">
        <x:f>MAX(S80/T80,T80/S80)</x:f>
        <x:v>1.167081727496703</x:v>
      </x:c>
      <x:c r="V80" s="31" t="n">
        <x:f>L80*'Controls &amp; Summary'!$B$9+O80*'Controls &amp; Summary'!$B$10+R80*'Controls &amp; Summary'!$B$11+U80*'Controls &amp; Summary'!$B$12</x:f>
        <x:v>2.0270817274967032</x:v>
      </x:c>
      <x:c r="W80" s="31" t="n">
        <x:v>0</x:v>
      </x:c>
      <x:c r="X80" s="31" t="n">
        <x:v>1.44</x:v>
      </x:c>
      <x:c r="Y80" s="31" t="n">
        <x:f>((10-MIN(10,MAX(0,X80)))/10)*'Controls &amp; Summary'!$B$15+((10-MIN(10,MAX(0,W80)))/10)*'Controls &amp; Summary'!$B$16</x:f>
        <x:v>1.856</x:v>
      </x:c>
      <x:c r="Z80" s="31" t="n">
        <x:f>V80*Y80</x:f>
        <x:v>3.762263686233881</x:v>
      </x:c>
      <x:c r="AA80" s="30" t="str">
        <x:f>IF(Z80&lt;=I80,"Peaceful","Hostile")</x:f>
        <x:v>Peaceful</x:v>
      </x:c>
      <x:c r="AB80" s="30" t="str">
        <x:f>IF(Z80&lt;='Controls &amp; Summary'!$B$6,"Eligible","Blocked")</x:f>
        <x:v>Eligible</x:v>
      </x:c>
      <x:c r="AC80" s="30" t="str">
        <x:v>2003_COL</x:v>
      </x:c>
      <x:c r="AD80" s="30" t="str">
        <x:v>2003_ECU</x:v>
      </x:c>
      <x:c r="AE80" s="30" t="str">
        <x:v>2003_Ecuador</x:v>
      </x:c>
      <x:c r="AF80" s="30" t="str">
        <x:v>Explicit capitalClaim</x:v>
      </x:c>
      <x:c r="AG80" s="30" t="str">
        <x:v>Claim2003_COL2003_Ecuador</x:v>
      </x:c>
      <x:c r="AH80" s="30" t="str">
        <x:v>Project_GranColombia</x:v>
      </x:c>
    </x:row>
    <x:row r="81">
      <x:c r="A81" s="30" t="str">
        <x:v>2003</x:v>
      </x:c>
      <x:c r="B81" s="30" t="str">
        <x:v>Dark Skies</x:v>
      </x:c>
      <x:c r="C81" s="30" t="str">
        <x:v>Colombia</x:v>
      </x:c>
      <x:c r="D81" s="30" t="str">
        <x:v>El Salvador</x:v>
      </x:c>
      <x:c r="E81" s="30" t="str">
        <x:v>Project unlock</x:v>
      </x:c>
      <x:c r="F81" s="30" t="str">
        <x:v>Unidad Colombia</x:v>
      </x:c>
      <x:c r="G81" s="30" t="str">
        <x:v>No</x:v>
      </x:c>
      <x:c r="H81" s="30" t="str">
        <x:v>Ordinary claim</x:v>
      </x:c>
      <x:c r="I81" s="31" t="n">
        <x:f>IF(G81="Yes",'Controls &amp; Summary'!$B$5,'Controls &amp; Summary'!$B$4)</x:f>
        <x:v>6</x:v>
      </x:c>
      <x:c r="J81" s="31" t="n">
        <x:v>6.24</x:v>
      </x:c>
      <x:c r="K81" s="31" t="n">
        <x:v>6.14</x:v>
      </x:c>
      <x:c r="L81" s="31" t="n">
        <x:f>ABS(J81-K81)</x:f>
        <x:v>0.10000000000000053</x:v>
      </x:c>
      <x:c r="M81" s="31" t="n">
        <x:v>5.09</x:v>
      </x:c>
      <x:c r="N81" s="31" t="n">
        <x:v>4.62</x:v>
      </x:c>
      <x:c r="O81" s="31" t="n">
        <x:f>ABS(M81-N81)</x:f>
        <x:v>0.46999999999999975</x:v>
      </x:c>
      <x:c r="P81" s="31" t="n">
        <x:v>6.14</x:v>
      </x:c>
      <x:c r="Q81" s="31" t="n">
        <x:v>5.45</x:v>
      </x:c>
      <x:c r="R81" s="31" t="n">
        <x:f>ABS(P81-Q81)</x:f>
        <x:v>0.6899999999999995</x:v>
      </x:c>
      <x:c r="S81" s="32" t="n">
        <x:v>4285.201843012662</x:v>
      </x:c>
      <x:c r="T81" s="32" t="n">
        <x:v>3120.9041697903126</x:v>
      </x:c>
      <x:c r="U81" s="31" t="n">
        <x:f>MAX(S81/T81,T81/S81)</x:f>
        <x:v>1.3730642178931678</x:v>
      </x:c>
      <x:c r="V81" s="31" t="n">
        <x:f>L81*'Controls &amp; Summary'!$B$9+O81*'Controls &amp; Summary'!$B$10+R81*'Controls &amp; Summary'!$B$11+U81*'Controls &amp; Summary'!$B$12</x:f>
        <x:v>2.6330642178931676</x:v>
      </x:c>
      <x:c r="W81" s="31" t="n">
        <x:v>0</x:v>
      </x:c>
      <x:c r="X81" s="31" t="n">
        <x:v>3.22</x:v>
      </x:c>
      <x:c r="Y81" s="31" t="n">
        <x:f>((10-MIN(10,MAX(0,X81)))/10)*'Controls &amp; Summary'!$B$15+((10-MIN(10,MAX(0,W81)))/10)*'Controls &amp; Summary'!$B$16</x:f>
        <x:v>1.678</x:v>
      </x:c>
      <x:c r="Z81" s="31" t="n">
        <x:f>V81*Y81</x:f>
        <x:v>4.418281757624735</x:v>
      </x:c>
      <x:c r="AA81" s="30" t="str">
        <x:f>IF(Z81&lt;=I81,"Peaceful","Hostile")</x:f>
        <x:v>Peaceful</x:v>
      </x:c>
      <x:c r="AB81" s="30" t="str">
        <x:f>IF(Z81&lt;='Controls &amp; Summary'!$B$6,"Eligible","Blocked")</x:f>
        <x:v>Eligible</x:v>
      </x:c>
      <x:c r="AC81" s="30" t="str">
        <x:v>2003_COL</x:v>
      </x:c>
      <x:c r="AD81" s="30" t="str">
        <x:v>2003_ELS</x:v>
      </x:c>
      <x:c r="AE81" s="30" t="str">
        <x:v>2003_ElSalvador</x:v>
      </x:c>
      <x:c r="AF81" s="30" t="str">
        <x:v>Explicit capitalClaim</x:v>
      </x:c>
      <x:c r="AG81" s="30" t="str">
        <x:v>Claim2003_COL2003_ElSalvador</x:v>
      </x:c>
      <x:c r="AH81" s="30" t="str">
        <x:v>Project_UnidadColombia</x:v>
      </x:c>
    </x:row>
    <x:row r="82">
      <x:c r="A82" s="30" t="str">
        <x:v>2003</x:v>
      </x:c>
      <x:c r="B82" s="30" t="str">
        <x:v>Dark Skies</x:v>
      </x:c>
      <x:c r="C82" s="30" t="str">
        <x:v>Colombia</x:v>
      </x:c>
      <x:c r="D82" s="30" t="str">
        <x:v>Guatemala</x:v>
      </x:c>
      <x:c r="E82" s="30" t="str">
        <x:v>Project unlock</x:v>
      </x:c>
      <x:c r="F82" s="30" t="str">
        <x:v>Unidad Colombia</x:v>
      </x:c>
      <x:c r="G82" s="30" t="str">
        <x:v>No</x:v>
      </x:c>
      <x:c r="H82" s="30" t="str">
        <x:v>Ordinary claim</x:v>
      </x:c>
      <x:c r="I82" s="31" t="n">
        <x:f>IF(G82="Yes",'Controls &amp; Summary'!$B$5,'Controls &amp; Summary'!$B$4)</x:f>
        <x:v>6</x:v>
      </x:c>
      <x:c r="J82" s="31" t="n">
        <x:v>6.24</x:v>
      </x:c>
      <x:c r="K82" s="31" t="n">
        <x:v>5.98</x:v>
      </x:c>
      <x:c r="L82" s="31" t="n">
        <x:f>ABS(J82-K82)</x:f>
        <x:v>0.2599999999999998</x:v>
      </x:c>
      <x:c r="M82" s="31" t="n">
        <x:v>5.09</x:v>
      </x:c>
      <x:c r="N82" s="31" t="n">
        <x:v>4.93</x:v>
      </x:c>
      <x:c r="O82" s="31" t="n">
        <x:f>ABS(M82-N82)</x:f>
        <x:v>0.16000000000000014</x:v>
      </x:c>
      <x:c r="P82" s="31" t="n">
        <x:v>6.14</x:v>
      </x:c>
      <x:c r="Q82" s="31" t="n">
        <x:v>4.89</x:v>
      </x:c>
      <x:c r="R82" s="31" t="n">
        <x:f>ABS(P82-Q82)</x:f>
        <x:v>1.25</x:v>
      </x:c>
      <x:c r="S82" s="32" t="n">
        <x:v>4285.201843012662</x:v>
      </x:c>
      <x:c r="T82" s="32" t="n">
        <x:v>3491.8220823797715</x:v>
      </x:c>
      <x:c r="U82" s="31" t="n">
        <x:f>MAX(S82/T82,T82/S82)</x:f>
        <x:v>1.227210820573132</x:v>
      </x:c>
      <x:c r="V82" s="31" t="n">
        <x:f>L82*'Controls &amp; Summary'!$B$9+O82*'Controls &amp; Summary'!$B$10+R82*'Controls &amp; Summary'!$B$11+U82*'Controls &amp; Summary'!$B$12</x:f>
        <x:v>2.897210820573132</x:v>
      </x:c>
      <x:c r="W82" s="31" t="n">
        <x:v>0</x:v>
      </x:c>
      <x:c r="X82" s="31" t="n">
        <x:v>3.78</x:v>
      </x:c>
      <x:c r="Y82" s="31" t="n">
        <x:f>((10-MIN(10,MAX(0,X82)))/10)*'Controls &amp; Summary'!$B$15+((10-MIN(10,MAX(0,W82)))/10)*'Controls &amp; Summary'!$B$16</x:f>
        <x:v>1.622</x:v>
      </x:c>
      <x:c r="Z82" s="31" t="n">
        <x:f>V82*Y82</x:f>
        <x:v>4.6992759509696205</x:v>
      </x:c>
      <x:c r="AA82" s="30" t="str">
        <x:f>IF(Z82&lt;=I82,"Peaceful","Hostile")</x:f>
        <x:v>Peaceful</x:v>
      </x:c>
      <x:c r="AB82" s="30" t="str">
        <x:f>IF(Z82&lt;='Controls &amp; Summary'!$B$6,"Eligible","Blocked")</x:f>
        <x:v>Eligible</x:v>
      </x:c>
      <x:c r="AC82" s="30" t="str">
        <x:v>2003_COL</x:v>
      </x:c>
      <x:c r="AD82" s="30" t="str">
        <x:v>2003_GTM</x:v>
      </x:c>
      <x:c r="AE82" s="30" t="str">
        <x:v>2003_Guatemala</x:v>
      </x:c>
      <x:c r="AF82" s="30" t="str">
        <x:v>Explicit capitalClaim</x:v>
      </x:c>
      <x:c r="AG82" s="30" t="str">
        <x:v>Claim2003_COL2003_Guatemala</x:v>
      </x:c>
      <x:c r="AH82" s="30" t="str">
        <x:v>Project_UnidadColombia</x:v>
      </x:c>
    </x:row>
    <x:row r="83">
      <x:c r="A83" s="30" t="str">
        <x:v>2003</x:v>
      </x:c>
      <x:c r="B83" s="30" t="str">
        <x:v>Dark Skies</x:v>
      </x:c>
      <x:c r="C83" s="30" t="str">
        <x:v>Colombia</x:v>
      </x:c>
      <x:c r="D83" s="30" t="str">
        <x:v>Guyana</x:v>
      </x:c>
      <x:c r="E83" s="30" t="str">
        <x:v>Project unlock</x:v>
      </x:c>
      <x:c r="F83" s="30" t="str">
        <x:v>South American Confederations</x:v>
      </x:c>
      <x:c r="G83" s="30" t="str">
        <x:v>No</x:v>
      </x:c>
      <x:c r="H83" s="30" t="str">
        <x:v>Ordinary claim</x:v>
      </x:c>
      <x:c r="I83" s="31" t="n">
        <x:f>IF(G83="Yes",'Controls &amp; Summary'!$B$5,'Controls &amp; Summary'!$B$4)</x:f>
        <x:v>6</x:v>
      </x:c>
      <x:c r="J83" s="31" t="n">
        <x:v>6.24</x:v>
      </x:c>
      <x:c r="K83" s="31" t="n">
        <x:v>6.17</x:v>
      </x:c>
      <x:c r="L83" s="31" t="n">
        <x:f>ABS(J83-K83)</x:f>
        <x:v>0.07000000000000028</x:v>
      </x:c>
      <x:c r="M83" s="31" t="n">
        <x:v>5.09</x:v>
      </x:c>
      <x:c r="N83" s="31" t="n">
        <x:v>4.63</x:v>
      </x:c>
      <x:c r="O83" s="31" t="n">
        <x:f>ABS(M83-N83)</x:f>
        <x:v>0.45999999999999996</x:v>
      </x:c>
      <x:c r="P83" s="31" t="n">
        <x:v>6.14</x:v>
      </x:c>
      <x:c r="Q83" s="31" t="n">
        <x:v>5</x:v>
      </x:c>
      <x:c r="R83" s="31" t="n">
        <x:f>ABS(P83-Q83)</x:f>
        <x:v>1.1399999999999997</x:v>
      </x:c>
      <x:c r="S83" s="32" t="n">
        <x:v>4285.201843012662</x:v>
      </x:c>
      <x:c r="T83" s="32" t="n">
        <x:v>3560.418691627976</x:v>
      </x:c>
      <x:c r="U83" s="31" t="n">
        <x:f>MAX(S83/T83,T83/S83)</x:f>
        <x:v>1.2035668313642303</x:v>
      </x:c>
      <x:c r="V83" s="31" t="n">
        <x:f>L83*'Controls &amp; Summary'!$B$9+O83*'Controls &amp; Summary'!$B$10+R83*'Controls &amp; Summary'!$B$11+U83*'Controls &amp; Summary'!$B$12</x:f>
        <x:v>2.87356683136423</x:v>
      </x:c>
      <x:c r="W83" s="31" t="n">
        <x:v>0</x:v>
      </x:c>
      <x:c r="X83" s="31" t="n">
        <x:v>3.01</x:v>
      </x:c>
      <x:c r="Y83" s="31" t="n">
        <x:f>((10-MIN(10,MAX(0,X83)))/10)*'Controls &amp; Summary'!$B$15+((10-MIN(10,MAX(0,W83)))/10)*'Controls &amp; Summary'!$B$16</x:f>
        <x:v>1.699</x:v>
      </x:c>
      <x:c r="Z83" s="31" t="n">
        <x:f>V83*Y83</x:f>
        <x:v>4.882190046487827</x:v>
      </x:c>
      <x:c r="AA83" s="30" t="str">
        <x:f>IF(Z83&lt;=I83,"Peaceful","Hostile")</x:f>
        <x:v>Peaceful</x:v>
      </x:c>
      <x:c r="AB83" s="30" t="str">
        <x:f>IF(Z83&lt;='Controls &amp; Summary'!$B$6,"Eligible","Blocked")</x:f>
        <x:v>Eligible</x:v>
      </x:c>
      <x:c r="AC83" s="30" t="str">
        <x:v>2003_COL</x:v>
      </x:c>
      <x:c r="AD83" s="30" t="str">
        <x:v>2003_GUY</x:v>
      </x:c>
      <x:c r="AE83" s="30" t="str">
        <x:v>2003_Guyana</x:v>
      </x:c>
      <x:c r="AF83" s="30" t="str">
        <x:v>Explicit capitalClaim</x:v>
      </x:c>
      <x:c r="AG83" s="30" t="str">
        <x:v>Claim2003_COL2003_Guyana</x:v>
      </x:c>
      <x:c r="AH83" s="30" t="str">
        <x:v>Project_GranColombia</x:v>
      </x:c>
    </x:row>
    <x:row r="84">
      <x:c r="A84" s="30" t="str">
        <x:v>2003</x:v>
      </x:c>
      <x:c r="B84" s="30" t="str">
        <x:v>Dark Skies</x:v>
      </x:c>
      <x:c r="C84" s="30" t="str">
        <x:v>Colombia</x:v>
      </x:c>
      <x:c r="D84" s="30" t="str">
        <x:v>Honduras</x:v>
      </x:c>
      <x:c r="E84" s="30" t="str">
        <x:v>Project unlock</x:v>
      </x:c>
      <x:c r="F84" s="30" t="str">
        <x:v>Unidad Colombia</x:v>
      </x:c>
      <x:c r="G84" s="30" t="str">
        <x:v>No</x:v>
      </x:c>
      <x:c r="H84" s="30" t="str">
        <x:v>Ordinary claim</x:v>
      </x:c>
      <x:c r="I84" s="31" t="n">
        <x:f>IF(G84="Yes",'Controls &amp; Summary'!$B$5,'Controls &amp; Summary'!$B$4)</x:f>
        <x:v>6</x:v>
      </x:c>
      <x:c r="J84" s="31" t="n">
        <x:v>6.24</x:v>
      </x:c>
      <x:c r="K84" s="31" t="n">
        <x:v>6.39</x:v>
      </x:c>
      <x:c r="L84" s="31" t="n">
        <x:f>ABS(J84-K84)</x:f>
        <x:v>0.14999999999999947</x:v>
      </x:c>
      <x:c r="M84" s="31" t="n">
        <x:v>5.09</x:v>
      </x:c>
      <x:c r="N84" s="31" t="n">
        <x:v>5.3</x:v>
      </x:c>
      <x:c r="O84" s="31" t="n">
        <x:f>ABS(M84-N84)</x:f>
        <x:v>0.20999999999999996</x:v>
      </x:c>
      <x:c r="P84" s="31" t="n">
        <x:v>6.14</x:v>
      </x:c>
      <x:c r="Q84" s="31" t="n">
        <x:v>4.79</x:v>
      </x:c>
      <x:c r="R84" s="31" t="n">
        <x:f>ABS(P84-Q84)</x:f>
        <x:v>1.3499999999999996</x:v>
      </x:c>
      <x:c r="S84" s="32" t="n">
        <x:v>4285.201843012662</x:v>
      </x:c>
      <x:c r="T84" s="32" t="n">
        <x:v>1956.488023465515</x:v>
      </x:c>
      <x:c r="U84" s="31" t="n">
        <x:f>MAX(S84/T84,T84/S84)</x:f>
        <x:v>2.190252018728083</x:v>
      </x:c>
      <x:c r="V84" s="31" t="n">
        <x:f>L84*'Controls &amp; Summary'!$B$9+O84*'Controls &amp; Summary'!$B$10+R84*'Controls &amp; Summary'!$B$11+U84*'Controls &amp; Summary'!$B$12</x:f>
        <x:v>3.9002520187280822</x:v>
      </x:c>
      <x:c r="W84" s="31" t="n">
        <x:v>0</x:v>
      </x:c>
      <x:c r="X84" s="31" t="n">
        <x:v>1.22</x:v>
      </x:c>
      <x:c r="Y84" s="31" t="n">
        <x:f>((10-MIN(10,MAX(0,X84)))/10)*'Controls &amp; Summary'!$B$15+((10-MIN(10,MAX(0,W84)))/10)*'Controls &amp; Summary'!$B$16</x:f>
        <x:v>1.878</x:v>
      </x:c>
      <x:c r="Z84" s="31" t="n">
        <x:f>V84*Y84</x:f>
        <x:v>7.324673291171338</x:v>
      </x:c>
      <x:c r="AA84" s="30" t="str">
        <x:f>IF(Z84&lt;=I84,"Peaceful","Hostile")</x:f>
        <x:v>Hostile</x:v>
      </x:c>
      <x:c r="AB84" s="30" t="str">
        <x:f>IF(Z84&lt;='Controls &amp; Summary'!$B$6,"Eligible","Blocked")</x:f>
        <x:v>Eligible</x:v>
      </x:c>
      <x:c r="AC84" s="30" t="str">
        <x:v>2003_COL</x:v>
      </x:c>
      <x:c r="AD84" s="30" t="str">
        <x:v>2003_HON</x:v>
      </x:c>
      <x:c r="AE84" s="30" t="str">
        <x:v>2003_Honduras</x:v>
      </x:c>
      <x:c r="AF84" s="30" t="str">
        <x:v>Explicit capitalClaim</x:v>
      </x:c>
      <x:c r="AG84" s="30" t="str">
        <x:v>Claim2003_COL2003_Honduras</x:v>
      </x:c>
      <x:c r="AH84" s="30" t="str">
        <x:v>Project_UnidadColombia</x:v>
      </x:c>
    </x:row>
    <x:row r="85">
      <x:c r="A85" s="30" t="str">
        <x:v>2003</x:v>
      </x:c>
      <x:c r="B85" s="30" t="str">
        <x:v>Dark Skies</x:v>
      </x:c>
      <x:c r="C85" s="30" t="str">
        <x:v>Colombia</x:v>
      </x:c>
      <x:c r="D85" s="30" t="str">
        <x:v>Mexico</x:v>
      </x:c>
      <x:c r="E85" s="30" t="str">
        <x:v>Project unlock</x:v>
      </x:c>
      <x:c r="F85" s="30" t="str">
        <x:v>Unidad Colombia</x:v>
      </x:c>
      <x:c r="G85" s="30" t="str">
        <x:v>No</x:v>
      </x:c>
      <x:c r="H85" s="30" t="str">
        <x:v>Ordinary claim</x:v>
      </x:c>
      <x:c r="I85" s="31" t="n">
        <x:f>IF(G85="Yes",'Controls &amp; Summary'!$B$5,'Controls &amp; Summary'!$B$4)</x:f>
        <x:v>6</x:v>
      </x:c>
      <x:c r="J85" s="31" t="n">
        <x:v>6.24</x:v>
      </x:c>
      <x:c r="K85" s="31" t="n">
        <x:v>6.84</x:v>
      </x:c>
      <x:c r="L85" s="31" t="n">
        <x:f>ABS(J85-K85)</x:f>
        <x:v>0.5999999999999996</x:v>
      </x:c>
      <x:c r="M85" s="31" t="n">
        <x:v>5.09</x:v>
      </x:c>
      <x:c r="N85" s="31" t="n">
        <x:v>4.75</x:v>
      </x:c>
      <x:c r="O85" s="31" t="n">
        <x:f>ABS(M85-N85)</x:f>
        <x:v>0.33999999999999986</x:v>
      </x:c>
      <x:c r="P85" s="31" t="n">
        <x:v>6.14</x:v>
      </x:c>
      <x:c r="Q85" s="31" t="n">
        <x:v>6.55</x:v>
      </x:c>
      <x:c r="R85" s="31" t="n">
        <x:f>ABS(P85-Q85)</x:f>
        <x:v>0.41000000000000014</x:v>
      </x:c>
      <x:c r="S85" s="32" t="n">
        <x:v>4285.201843012662</x:v>
      </x:c>
      <x:c r="T85" s="32" t="n">
        <x:v>8347.065609297239</x:v>
      </x:c>
      <x:c r="U85" s="31" t="n">
        <x:f>MAX(S85/T85,T85/S85)</x:f>
        <x:v>1.9478815502956404</x:v>
      </x:c>
      <x:c r="V85" s="31" t="n">
        <x:f>L85*'Controls &amp; Summary'!$B$9+O85*'Controls &amp; Summary'!$B$10+R85*'Controls &amp; Summary'!$B$11+U85*'Controls &amp; Summary'!$B$12</x:f>
        <x:v>3.29788155029564</x:v>
      </x:c>
      <x:c r="W85" s="31" t="n">
        <x:v>0</x:v>
      </x:c>
      <x:c r="X85" s="31" t="n">
        <x:v>4.02</x:v>
      </x:c>
      <x:c r="Y85" s="31" t="n">
        <x:f>((10-MIN(10,MAX(0,X85)))/10)*'Controls &amp; Summary'!$B$15+((10-MIN(10,MAX(0,W85)))/10)*'Controls &amp; Summary'!$B$16</x:f>
        <x:v>1.598</x:v>
      </x:c>
      <x:c r="Z85" s="31" t="n">
        <x:f>V85*Y85</x:f>
        <x:v>5.270014717372433</x:v>
      </x:c>
      <x:c r="AA85" s="30" t="str">
        <x:f>IF(Z85&lt;=I85,"Peaceful","Hostile")</x:f>
        <x:v>Peaceful</x:v>
      </x:c>
      <x:c r="AB85" s="30" t="str">
        <x:f>IF(Z85&lt;='Controls &amp; Summary'!$B$6,"Eligible","Blocked")</x:f>
        <x:v>Eligible</x:v>
      </x:c>
      <x:c r="AC85" s="30" t="str">
        <x:v>2003_COL</x:v>
      </x:c>
      <x:c r="AD85" s="30" t="str">
        <x:v>2003_MEX</x:v>
      </x:c>
      <x:c r="AE85" s="30" t="str">
        <x:v>2003_MexicoCity</x:v>
      </x:c>
      <x:c r="AF85" s="30" t="str">
        <x:v>Explicit capitalClaim</x:v>
      </x:c>
      <x:c r="AG85" s="30" t="str">
        <x:v>Claim2003_COL2003_MexicoCity</x:v>
      </x:c>
      <x:c r="AH85" s="30" t="str">
        <x:v>Project_UnidadColombia</x:v>
      </x:c>
    </x:row>
    <x:row r="86">
      <x:c r="A86" s="30" t="str">
        <x:v>2003</x:v>
      </x:c>
      <x:c r="B86" s="30" t="str">
        <x:v>Dark Skies</x:v>
      </x:c>
      <x:c r="C86" s="30" t="str">
        <x:v>Colombia</x:v>
      </x:c>
      <x:c r="D86" s="30" t="str">
        <x:v>Nicaragua</x:v>
      </x:c>
      <x:c r="E86" s="30" t="str">
        <x:v>Project unlock</x:v>
      </x:c>
      <x:c r="F86" s="30" t="str">
        <x:v>Unidad Colombia</x:v>
      </x:c>
      <x:c r="G86" s="30" t="str">
        <x:v>No</x:v>
      </x:c>
      <x:c r="H86" s="30" t="str">
        <x:v>Ordinary claim</x:v>
      </x:c>
      <x:c r="I86" s="31" t="n">
        <x:f>IF(G86="Yes",'Controls &amp; Summary'!$B$5,'Controls &amp; Summary'!$B$4)</x:f>
        <x:v>6</x:v>
      </x:c>
      <x:c r="J86" s="31" t="n">
        <x:v>6.24</x:v>
      </x:c>
      <x:c r="K86" s="31" t="n">
        <x:v>6.12</x:v>
      </x:c>
      <x:c r="L86" s="31" t="n">
        <x:f>ABS(J86-K86)</x:f>
        <x:v>0.1200000000000001</x:v>
      </x:c>
      <x:c r="M86" s="31" t="n">
        <x:v>5.09</x:v>
      </x:c>
      <x:c r="N86" s="31" t="n">
        <x:v>4.76</x:v>
      </x:c>
      <x:c r="O86" s="31" t="n">
        <x:f>ABS(M86-N86)</x:f>
        <x:v>0.33000000000000007</x:v>
      </x:c>
      <x:c r="P86" s="31" t="n">
        <x:v>6.14</x:v>
      </x:c>
      <x:c r="Q86" s="31" t="n">
        <x:v>5.31</x:v>
      </x:c>
      <x:c r="R86" s="31" t="n">
        <x:f>ABS(P86-Q86)</x:f>
        <x:v>0.8300000000000001</x:v>
      </x:c>
      <x:c r="S86" s="32" t="n">
        <x:v>4285.201843012662</x:v>
      </x:c>
      <x:c r="T86" s="32" t="n">
        <x:v>1903.0952750959852</x:v>
      </x:c>
      <x:c r="U86" s="31" t="n">
        <x:f>MAX(S86/T86,T86/S86)</x:f>
        <x:v>2.251701162358533</x:v>
      </x:c>
      <x:c r="V86" s="31" t="n">
        <x:f>L86*'Controls &amp; Summary'!$B$9+O86*'Controls &amp; Summary'!$B$10+R86*'Controls &amp; Summary'!$B$11+U86*'Controls &amp; Summary'!$B$12</x:f>
        <x:v>3.5317011623585333</x:v>
      </x:c>
      <x:c r="W86" s="31" t="n">
        <x:v>0</x:v>
      </x:c>
      <x:c r="X86" s="31" t="n">
        <x:v>2.98</x:v>
      </x:c>
      <x:c r="Y86" s="31" t="n">
        <x:f>((10-MIN(10,MAX(0,X86)))/10)*'Controls &amp; Summary'!$B$15+((10-MIN(10,MAX(0,W86)))/10)*'Controls &amp; Summary'!$B$16</x:f>
        <x:v>1.702</x:v>
      </x:c>
      <x:c r="Z86" s="31" t="n">
        <x:f>V86*Y86</x:f>
        <x:v>6.0109553783342236</x:v>
      </x:c>
      <x:c r="AA86" s="30" t="str">
        <x:f>IF(Z86&lt;=I86,"Peaceful","Hostile")</x:f>
        <x:v>Hostile</x:v>
      </x:c>
      <x:c r="AB86" s="30" t="str">
        <x:f>IF(Z86&lt;='Controls &amp; Summary'!$B$6,"Eligible","Blocked")</x:f>
        <x:v>Eligible</x:v>
      </x:c>
      <x:c r="AC86" s="30" t="str">
        <x:v>2003_COL</x:v>
      </x:c>
      <x:c r="AD86" s="30" t="str">
        <x:v>2003_NIC</x:v>
      </x:c>
      <x:c r="AE86" s="30" t="str">
        <x:v>2003_Nicaragua</x:v>
      </x:c>
      <x:c r="AF86" s="30" t="str">
        <x:v>Explicit capitalClaim</x:v>
      </x:c>
      <x:c r="AG86" s="30" t="str">
        <x:v>Claim2003_COL2003_Nicaragua</x:v>
      </x:c>
      <x:c r="AH86" s="30" t="str">
        <x:v>Project_UnidadColombia</x:v>
      </x:c>
    </x:row>
    <x:row r="87">
      <x:c r="A87" s="30" t="str">
        <x:v>2003</x:v>
      </x:c>
      <x:c r="B87" s="30" t="str">
        <x:v>Dark Skies</x:v>
      </x:c>
      <x:c r="C87" s="30" t="str">
        <x:v>Colombia</x:v>
      </x:c>
      <x:c r="D87" s="30" t="str">
        <x:v>Panama</x:v>
      </x:c>
      <x:c r="E87" s="30" t="str">
        <x:v>Project unlock</x:v>
      </x:c>
      <x:c r="F87" s="30" t="str">
        <x:v>South American Confederations</x:v>
      </x:c>
      <x:c r="G87" s="30" t="str">
        <x:v>No</x:v>
      </x:c>
      <x:c r="H87" s="30" t="str">
        <x:v>Ordinary claim</x:v>
      </x:c>
      <x:c r="I87" s="31" t="n">
        <x:f>IF(G87="Yes",'Controls &amp; Summary'!$B$5,'Controls &amp; Summary'!$B$4)</x:f>
        <x:v>6</x:v>
      </x:c>
      <x:c r="J87" s="31" t="n">
        <x:v>6.24</x:v>
      </x:c>
      <x:c r="K87" s="31" t="n">
        <x:v>7.33</x:v>
      </x:c>
      <x:c r="L87" s="31" t="n">
        <x:f>ABS(J87-K87)</x:f>
        <x:v>1.0899999999999999</x:v>
      </x:c>
      <x:c r="M87" s="31" t="n">
        <x:v>5.09</x:v>
      </x:c>
      <x:c r="N87" s="31" t="n">
        <x:v>5.1</x:v>
      </x:c>
      <x:c r="O87" s="31" t="n">
        <x:f>ABS(M87-N87)</x:f>
        <x:v>0.009999999999999787</x:v>
      </x:c>
      <x:c r="P87" s="31" t="n">
        <x:v>6.14</x:v>
      </x:c>
      <x:c r="Q87" s="31" t="n">
        <x:v>6.63</x:v>
      </x:c>
      <x:c r="R87" s="31" t="n">
        <x:f>ABS(P87-Q87)</x:f>
        <x:v>0.4900000000000002</x:v>
      </x:c>
      <x:c r="S87" s="32" t="n">
        <x:v>4285.201843012662</x:v>
      </x:c>
      <x:c r="T87" s="32" t="n">
        <x:v>7326.3337383735125</x:v>
      </x:c>
      <x:c r="U87" s="31" t="n">
        <x:f>MAX(S87/T87,T87/S87)</x:f>
        <x:v>1.7096822989375964</x:v>
      </x:c>
      <x:c r="V87" s="31" t="n">
        <x:f>L87*'Controls &amp; Summary'!$B$9+O87*'Controls &amp; Summary'!$B$10+R87*'Controls &amp; Summary'!$B$11+U87*'Controls &amp; Summary'!$B$12</x:f>
        <x:v>3.2996822989375962</x:v>
      </x:c>
      <x:c r="W87" s="31" t="n">
        <x:v>0</x:v>
      </x:c>
      <x:c r="X87" s="31" t="n">
        <x:v>1.67</x:v>
      </x:c>
      <x:c r="Y87" s="31" t="n">
        <x:f>((10-MIN(10,MAX(0,X87)))/10)*'Controls &amp; Summary'!$B$15+((10-MIN(10,MAX(0,W87)))/10)*'Controls &amp; Summary'!$B$16</x:f>
        <x:v>1.833</x:v>
      </x:c>
      <x:c r="Z87" s="31" t="n">
        <x:f>V87*Y87</x:f>
        <x:v>6.048317653952614</x:v>
      </x:c>
      <x:c r="AA87" s="30" t="str">
        <x:f>IF(Z87&lt;=I87,"Peaceful","Hostile")</x:f>
        <x:v>Hostile</x:v>
      </x:c>
      <x:c r="AB87" s="30" t="str">
        <x:f>IF(Z87&lt;='Controls &amp; Summary'!$B$6,"Eligible","Blocked")</x:f>
        <x:v>Eligible</x:v>
      </x:c>
      <x:c r="AC87" s="30" t="str">
        <x:v>2003_COL</x:v>
      </x:c>
      <x:c r="AD87" s="30" t="str">
        <x:v>2003_PAN</x:v>
      </x:c>
      <x:c r="AE87" s="30" t="str">
        <x:v>2003_Panama</x:v>
      </x:c>
      <x:c r="AF87" s="30" t="str">
        <x:v>Explicit capitalClaim</x:v>
      </x:c>
      <x:c r="AG87" s="30" t="str">
        <x:v>Claim2003_COL2003_Panama</x:v>
      </x:c>
      <x:c r="AH87" s="30" t="str">
        <x:v>Project_GranColombia</x:v>
      </x:c>
    </x:row>
    <x:row r="88">
      <x:c r="A88" s="30" t="str">
        <x:v>2003</x:v>
      </x:c>
      <x:c r="B88" s="30" t="str">
        <x:v>Dark Skies</x:v>
      </x:c>
      <x:c r="C88" s="30" t="str">
        <x:v>Colombia</x:v>
      </x:c>
      <x:c r="D88" s="30" t="str">
        <x:v>Paraguay</x:v>
      </x:c>
      <x:c r="E88" s="30" t="str">
        <x:v>Project unlock</x:v>
      </x:c>
      <x:c r="F88" s="30" t="str">
        <x:v>Unidad Colombia</x:v>
      </x:c>
      <x:c r="G88" s="30" t="str">
        <x:v>No</x:v>
      </x:c>
      <x:c r="H88" s="30" t="str">
        <x:v>Ordinary claim</x:v>
      </x:c>
      <x:c r="I88" s="31" t="n">
        <x:f>IF(G88="Yes",'Controls &amp; Summary'!$B$5,'Controls &amp; Summary'!$B$4)</x:f>
        <x:v>6</x:v>
      </x:c>
      <x:c r="J88" s="31" t="n">
        <x:v>6.24</x:v>
      </x:c>
      <x:c r="K88" s="31" t="n">
        <x:v>6.02</x:v>
      </x:c>
      <x:c r="L88" s="31" t="n">
        <x:f>ABS(J88-K88)</x:f>
        <x:v>0.22000000000000064</x:v>
      </x:c>
      <x:c r="M88" s="31" t="n">
        <x:v>5.09</x:v>
      </x:c>
      <x:c r="N88" s="31" t="n">
        <x:v>5.24</x:v>
      </x:c>
      <x:c r="O88" s="31" t="n">
        <x:f>ABS(M88-N88)</x:f>
        <x:v>0.15000000000000036</x:v>
      </x:c>
      <x:c r="P88" s="31" t="n">
        <x:v>6.14</x:v>
      </x:c>
      <x:c r="Q88" s="31" t="n">
        <x:v>5.95</x:v>
      </x:c>
      <x:c r="R88" s="31" t="n">
        <x:f>ABS(P88-Q88)</x:f>
        <x:v>0.1899999999999995</x:v>
      </x:c>
      <x:c r="S88" s="32" t="n">
        <x:v>4285.201843012662</x:v>
      </x:c>
      <x:c r="T88" s="32" t="n">
        <x:v>4068.858542560166</x:v>
      </x:c>
      <x:c r="U88" s="31" t="n">
        <x:f>MAX(S88/T88,T88/S88)</x:f>
        <x:v>1.053170514086334</x:v>
      </x:c>
      <x:c r="V88" s="31" t="n">
        <x:f>L88*'Controls &amp; Summary'!$B$9+O88*'Controls &amp; Summary'!$B$10+R88*'Controls &amp; Summary'!$B$11+U88*'Controls &amp; Summary'!$B$12</x:f>
        <x:v>1.6131705140863346</x:v>
      </x:c>
      <x:c r="W88" s="31" t="n">
        <x:v>0</x:v>
      </x:c>
      <x:c r="X88" s="31" t="n">
        <x:v>3.04</x:v>
      </x:c>
      <x:c r="Y88" s="31" t="n">
        <x:f>((10-MIN(10,MAX(0,X88)))/10)*'Controls &amp; Summary'!$B$15+((10-MIN(10,MAX(0,W88)))/10)*'Controls &amp; Summary'!$B$16</x:f>
        <x:v>1.696</x:v>
      </x:c>
      <x:c r="Z88" s="31" t="n">
        <x:f>V88*Y88</x:f>
        <x:v>2.7359371918904234</x:v>
      </x:c>
      <x:c r="AA88" s="30" t="str">
        <x:f>IF(Z88&lt;=I88,"Peaceful","Hostile")</x:f>
        <x:v>Peaceful</x:v>
      </x:c>
      <x:c r="AB88" s="30" t="str">
        <x:f>IF(Z88&lt;='Controls &amp; Summary'!$B$6,"Eligible","Blocked")</x:f>
        <x:v>Eligible</x:v>
      </x:c>
      <x:c r="AC88" s="30" t="str">
        <x:v>2003_COL</x:v>
      </x:c>
      <x:c r="AD88" s="30" t="str">
        <x:v>2003_PRY</x:v>
      </x:c>
      <x:c r="AE88" s="30" t="str">
        <x:v>2003_Paraguay</x:v>
      </x:c>
      <x:c r="AF88" s="30" t="str">
        <x:v>Explicit capitalClaim</x:v>
      </x:c>
      <x:c r="AG88" s="30" t="str">
        <x:v>Claim2003_COL2003_Paraguay</x:v>
      </x:c>
      <x:c r="AH88" s="30" t="str">
        <x:v>Project_UnidadColombia</x:v>
      </x:c>
    </x:row>
    <x:row r="89">
      <x:c r="A89" s="30" t="str">
        <x:v>2003</x:v>
      </x:c>
      <x:c r="B89" s="30" t="str">
        <x:v>Dark Skies</x:v>
      </x:c>
      <x:c r="C89" s="30" t="str">
        <x:v>Colombia</x:v>
      </x:c>
      <x:c r="D89" s="30" t="str">
        <x:v>Peru</x:v>
      </x:c>
      <x:c r="E89" s="30" t="str">
        <x:v>Project unlock</x:v>
      </x:c>
      <x:c r="F89" s="30" t="str">
        <x:v>Unidad Colombia</x:v>
      </x:c>
      <x:c r="G89" s="30" t="str">
        <x:v>No</x:v>
      </x:c>
      <x:c r="H89" s="30" t="str">
        <x:v>Ordinary claim</x:v>
      </x:c>
      <x:c r="I89" s="31" t="n">
        <x:f>IF(G89="Yes",'Controls &amp; Summary'!$B$5,'Controls &amp; Summary'!$B$4)</x:f>
        <x:v>6</x:v>
      </x:c>
      <x:c r="J89" s="31" t="n">
        <x:v>6.24</x:v>
      </x:c>
      <x:c r="K89" s="31" t="n">
        <x:v>6.12</x:v>
      </x:c>
      <x:c r="L89" s="31" t="n">
        <x:f>ABS(J89-K89)</x:f>
        <x:v>0.1200000000000001</x:v>
      </x:c>
      <x:c r="M89" s="31" t="n">
        <x:v>5.09</x:v>
      </x:c>
      <x:c r="N89" s="31" t="n">
        <x:v>5.23</x:v>
      </x:c>
      <x:c r="O89" s="31" t="n">
        <x:f>ABS(M89-N89)</x:f>
        <x:v>0.14000000000000057</x:v>
      </x:c>
      <x:c r="P89" s="31" t="n">
        <x:v>6.14</x:v>
      </x:c>
      <x:c r="Q89" s="31" t="n">
        <x:v>6.12</x:v>
      </x:c>
      <x:c r="R89" s="31" t="n">
        <x:f>ABS(P89-Q89)</x:f>
        <x:v>0.019999999999999574</x:v>
      </x:c>
      <x:c r="S89" s="32" t="n">
        <x:v>4285.201843012662</x:v>
      </x:c>
      <x:c r="T89" s="32" t="n">
        <x:v>3157.4781783064773</x:v>
      </x:c>
      <x:c r="U89" s="31" t="n">
        <x:f>MAX(S89/T89,T89/S89)</x:f>
        <x:v>1.357159606819846</x:v>
      </x:c>
      <x:c r="V89" s="31" t="n">
        <x:f>L89*'Controls &amp; Summary'!$B$9+O89*'Controls &amp; Summary'!$B$10+R89*'Controls &amp; Summary'!$B$11+U89*'Controls &amp; Summary'!$B$12</x:f>
        <x:v>1.6371596068198462</x:v>
      </x:c>
      <x:c r="W89" s="31" t="n">
        <x:v>0</x:v>
      </x:c>
      <x:c r="X89" s="31" t="n">
        <x:v>1.55</x:v>
      </x:c>
      <x:c r="Y89" s="31" t="n">
        <x:f>((10-MIN(10,MAX(0,X89)))/10)*'Controls &amp; Summary'!$B$15+((10-MIN(10,MAX(0,W89)))/10)*'Controls &amp; Summary'!$B$16</x:f>
        <x:v>1.845</x:v>
      </x:c>
      <x:c r="Z89" s="31" t="n">
        <x:f>V89*Y89</x:f>
        <x:v>3.0205594745826163</x:v>
      </x:c>
      <x:c r="AA89" s="30" t="str">
        <x:f>IF(Z89&lt;=I89,"Peaceful","Hostile")</x:f>
        <x:v>Peaceful</x:v>
      </x:c>
      <x:c r="AB89" s="30" t="str">
        <x:f>IF(Z89&lt;='Controls &amp; Summary'!$B$6,"Eligible","Blocked")</x:f>
        <x:v>Eligible</x:v>
      </x:c>
      <x:c r="AC89" s="30" t="str">
        <x:v>2003_COL</x:v>
      </x:c>
      <x:c r="AD89" s="30" t="str">
        <x:v>2003_PER</x:v>
      </x:c>
      <x:c r="AE89" s="30" t="str">
        <x:v>2003_Peru</x:v>
      </x:c>
      <x:c r="AF89" s="30" t="str">
        <x:v>Explicit capitalClaim</x:v>
      </x:c>
      <x:c r="AG89" s="30" t="str">
        <x:v>Claim2003_COL2003_Peru</x:v>
      </x:c>
      <x:c r="AH89" s="30" t="str">
        <x:v>Project_UnidadColombia</x:v>
      </x:c>
    </x:row>
    <x:row r="90">
      <x:c r="A90" s="30" t="str">
        <x:v>2003</x:v>
      </x:c>
      <x:c r="B90" s="30" t="str">
        <x:v>Dark Skies</x:v>
      </x:c>
      <x:c r="C90" s="30" t="str">
        <x:v>Colombia</x:v>
      </x:c>
      <x:c r="D90" s="30" t="str">
        <x:v>Suriname</x:v>
      </x:c>
      <x:c r="E90" s="30" t="str">
        <x:v>Project unlock</x:v>
      </x:c>
      <x:c r="F90" s="30" t="str">
        <x:v>South American Confederations</x:v>
      </x:c>
      <x:c r="G90" s="30" t="str">
        <x:v>No</x:v>
      </x:c>
      <x:c r="H90" s="30" t="str">
        <x:v>Ordinary claim</x:v>
      </x:c>
      <x:c r="I90" s="31" t="n">
        <x:f>IF(G90="Yes",'Controls &amp; Summary'!$B$5,'Controls &amp; Summary'!$B$4)</x:f>
        <x:v>6</x:v>
      </x:c>
      <x:c r="J90" s="31" t="n">
        <x:v>6.24</x:v>
      </x:c>
      <x:c r="K90" s="31" t="n">
        <x:v>6.57</x:v>
      </x:c>
      <x:c r="L90" s="31" t="n">
        <x:f>ABS(J90-K90)</x:f>
        <x:v>0.33000000000000007</x:v>
      </x:c>
      <x:c r="M90" s="31" t="n">
        <x:v>5.09</x:v>
      </x:c>
      <x:c r="N90" s="31" t="n">
        <x:v>4.67</x:v>
      </x:c>
      <x:c r="O90" s="31" t="n">
        <x:f>ABS(M90-N90)</x:f>
        <x:v>0.41999999999999993</x:v>
      </x:c>
      <x:c r="P90" s="31" t="n">
        <x:v>6.14</x:v>
      </x:c>
      <x:c r="Q90" s="31" t="n">
        <x:v>6.01</x:v>
      </x:c>
      <x:c r="R90" s="31" t="n">
        <x:f>ABS(P90-Q90)</x:f>
        <x:v>0.1299999999999999</x:v>
      </x:c>
      <x:c r="S90" s="32" t="n">
        <x:v>4285.201843012662</x:v>
      </x:c>
      <x:c r="T90" s="32" t="n">
        <x:v>6277.368650945668</x:v>
      </x:c>
      <x:c r="U90" s="31" t="n">
        <x:f>MAX(S90/T90,T90/S90)</x:f>
        <x:v>1.4648945092706385</x:v>
      </x:c>
      <x:c r="V90" s="31" t="n">
        <x:f>L90*'Controls &amp; Summary'!$B$9+O90*'Controls &amp; Summary'!$B$10+R90*'Controls &amp; Summary'!$B$11+U90*'Controls &amp; Summary'!$B$12</x:f>
        <x:v>2.344894509270638</x:v>
      </x:c>
      <x:c r="W90" s="31" t="n">
        <x:v>0</x:v>
      </x:c>
      <x:c r="X90" s="31" t="n">
        <x:v>1.68</x:v>
      </x:c>
      <x:c r="Y90" s="31" t="n">
        <x:f>((10-MIN(10,MAX(0,X90)))/10)*'Controls &amp; Summary'!$B$15+((10-MIN(10,MAX(0,W90)))/10)*'Controls &amp; Summary'!$B$16</x:f>
        <x:v>1.832</x:v>
      </x:c>
      <x:c r="Z90" s="31" t="n">
        <x:f>V90*Y90</x:f>
        <x:v>4.2958467409838095</x:v>
      </x:c>
      <x:c r="AA90" s="30" t="str">
        <x:f>IF(Z90&lt;=I90,"Peaceful","Hostile")</x:f>
        <x:v>Peaceful</x:v>
      </x:c>
      <x:c r="AB90" s="30" t="str">
        <x:f>IF(Z90&lt;='Controls &amp; Summary'!$B$6,"Eligible","Blocked")</x:f>
        <x:v>Eligible</x:v>
      </x:c>
      <x:c r="AC90" s="30" t="str">
        <x:v>2003_COL</x:v>
      </x:c>
      <x:c r="AD90" s="30" t="str">
        <x:v>2003_SUR</x:v>
      </x:c>
      <x:c r="AE90" s="30" t="str">
        <x:v>2003_Suriname</x:v>
      </x:c>
      <x:c r="AF90" s="30" t="str">
        <x:v>Explicit capitalClaim</x:v>
      </x:c>
      <x:c r="AG90" s="30" t="str">
        <x:v>Claim2003_COL2003_Suriname</x:v>
      </x:c>
      <x:c r="AH90" s="30" t="str">
        <x:v>Project_GranColombia</x:v>
      </x:c>
    </x:row>
    <x:row r="91">
      <x:c r="A91" s="30" t="str">
        <x:v>2003</x:v>
      </x:c>
      <x:c r="B91" s="30" t="str">
        <x:v>Dark Skies</x:v>
      </x:c>
      <x:c r="C91" s="30" t="str">
        <x:v>Colombia</x:v>
      </x:c>
      <x:c r="D91" s="30" t="str">
        <x:v>Uruguay</x:v>
      </x:c>
      <x:c r="E91" s="30" t="str">
        <x:v>Project unlock</x:v>
      </x:c>
      <x:c r="F91" s="30" t="str">
        <x:v>Unidad Colombia</x:v>
      </x:c>
      <x:c r="G91" s="30" t="str">
        <x:v>No</x:v>
      </x:c>
      <x:c r="H91" s="30" t="str">
        <x:v>Ordinary claim</x:v>
      </x:c>
      <x:c r="I91" s="31" t="n">
        <x:f>IF(G91="Yes",'Controls &amp; Summary'!$B$5,'Controls &amp; Summary'!$B$4)</x:f>
        <x:v>6</x:v>
      </x:c>
      <x:c r="J91" s="31" t="n">
        <x:v>6.24</x:v>
      </x:c>
      <x:c r="K91" s="31" t="n">
        <x:v>7.69</x:v>
      </x:c>
      <x:c r="L91" s="31" t="n">
        <x:f>ABS(J91-K91)</x:f>
        <x:v>1.4500000000000002</x:v>
      </x:c>
      <x:c r="M91" s="31" t="n">
        <x:v>5.09</x:v>
      </x:c>
      <x:c r="N91" s="31" t="n">
        <x:v>4.23</x:v>
      </x:c>
      <x:c r="O91" s="31" t="n">
        <x:f>ABS(M91-N91)</x:f>
        <x:v>0.8599999999999994</x:v>
      </x:c>
      <x:c r="P91" s="31" t="n">
        <x:v>6.14</x:v>
      </x:c>
      <x:c r="Q91" s="31" t="n">
        <x:v>7.12</x:v>
      </x:c>
      <x:c r="R91" s="31" t="n">
        <x:f>ABS(P91-Q91)</x:f>
        <x:v>0.9800000000000004</x:v>
      </x:c>
      <x:c r="S91" s="32" t="n">
        <x:v>4285.201843012662</x:v>
      </x:c>
      <x:c r="T91" s="32" t="n">
        <x:v>5963.11268882654</x:v>
      </x:c>
      <x:c r="U91" s="31" t="n">
        <x:f>MAX(S91/T91,T91/S91)</x:f>
        <x:v>1.391559349427107</x:v>
      </x:c>
      <x:c r="V91" s="31" t="n">
        <x:f>L91*'Controls &amp; Summary'!$B$9+O91*'Controls &amp; Summary'!$B$10+R91*'Controls &amp; Summary'!$B$11+U91*'Controls &amp; Summary'!$B$12</x:f>
        <x:v>4.681559349427107</x:v>
      </x:c>
      <x:c r="W91" s="31" t="n">
        <x:v>0</x:v>
      </x:c>
      <x:c r="X91" s="31" t="n">
        <x:v>0.53</x:v>
      </x:c>
      <x:c r="Y91" s="31" t="n">
        <x:f>((10-MIN(10,MAX(0,X91)))/10)*'Controls &amp; Summary'!$B$15+((10-MIN(10,MAX(0,W91)))/10)*'Controls &amp; Summary'!$B$16</x:f>
        <x:v>1.947</x:v>
      </x:c>
      <x:c r="Z91" s="31" t="n">
        <x:f>V91*Y91</x:f>
        <x:v>9.114996053334577</x:v>
      </x:c>
      <x:c r="AA91" s="30" t="str">
        <x:f>IF(Z91&lt;=I91,"Peaceful","Hostile")</x:f>
        <x:v>Hostile</x:v>
      </x:c>
      <x:c r="AB91" s="30" t="str">
        <x:f>IF(Z91&lt;='Controls &amp; Summary'!$B$6,"Eligible","Blocked")</x:f>
        <x:v>Eligible</x:v>
      </x:c>
      <x:c r="AC91" s="30" t="str">
        <x:v>2003_COL</x:v>
      </x:c>
      <x:c r="AD91" s="30" t="str">
        <x:v>2003_URY</x:v>
      </x:c>
      <x:c r="AE91" s="30" t="str">
        <x:v>2003_Uruguay</x:v>
      </x:c>
      <x:c r="AF91" s="30" t="str">
        <x:v>Explicit capitalClaim</x:v>
      </x:c>
      <x:c r="AG91" s="30" t="str">
        <x:v>Claim2003_COL2003_Uruguay</x:v>
      </x:c>
      <x:c r="AH91" s="30" t="str">
        <x:v>Project_UnidadColombia</x:v>
      </x:c>
    </x:row>
    <x:row r="92">
      <x:c r="A92" s="30" t="str">
        <x:v>2003</x:v>
      </x:c>
      <x:c r="B92" s="30" t="str">
        <x:v>Dark Skies</x:v>
      </x:c>
      <x:c r="C92" s="30" t="str">
        <x:v>Colombia</x:v>
      </x:c>
      <x:c r="D92" s="30" t="str">
        <x:v>Venezuela</x:v>
      </x:c>
      <x:c r="E92" s="30" t="str">
        <x:v>Project unlock</x:v>
      </x:c>
      <x:c r="F92" s="30" t="str">
        <x:v>South American Confederations</x:v>
      </x:c>
      <x:c r="G92" s="30" t="str">
        <x:v>No</x:v>
      </x:c>
      <x:c r="H92" s="30" t="str">
        <x:v>Ordinary claim</x:v>
      </x:c>
      <x:c r="I92" s="31" t="n">
        <x:f>IF(G92="Yes",'Controls &amp; Summary'!$B$5,'Controls &amp; Summary'!$B$4)</x:f>
        <x:v>6</x:v>
      </x:c>
      <x:c r="J92" s="31" t="n">
        <x:v>6.24</x:v>
      </x:c>
      <x:c r="K92" s="31" t="n">
        <x:v>5.99</x:v>
      </x:c>
      <x:c r="L92" s="31" t="n">
        <x:f>ABS(J92-K92)</x:f>
        <x:v>0.25</x:v>
      </x:c>
      <x:c r="M92" s="31" t="n">
        <x:v>5.09</x:v>
      </x:c>
      <x:c r="N92" s="31" t="n">
        <x:v>4.23</x:v>
      </x:c>
      <x:c r="O92" s="31" t="n">
        <x:f>ABS(M92-N92)</x:f>
        <x:v>0.8599999999999994</x:v>
      </x:c>
      <x:c r="P92" s="31" t="n">
        <x:v>6.14</x:v>
      </x:c>
      <x:c r="Q92" s="31" t="n">
        <x:v>6.32</x:v>
      </x:c>
      <x:c r="R92" s="31" t="n">
        <x:f>ABS(P92-Q92)</x:f>
        <x:v>0.1800000000000006</x:v>
      </x:c>
      <x:c r="S92" s="32" t="n">
        <x:v>4285.201843012662</x:v>
      </x:c>
      <x:c r="T92" s="32" t="n">
        <x:v>5903.264019519322</x:v>
      </x:c>
      <x:c r="U92" s="31" t="n">
        <x:f>MAX(S92/T92,T92/S92)</x:f>
        <x:v>1.3775929899649955</x:v>
      </x:c>
      <x:c r="V92" s="31" t="n">
        <x:f>L92*'Controls &amp; Summary'!$B$9+O92*'Controls &amp; Summary'!$B$10+R92*'Controls &amp; Summary'!$B$11+U92*'Controls &amp; Summary'!$B$12</x:f>
        <x:v>2.6675929899649953</x:v>
      </x:c>
      <x:c r="W92" s="31" t="n">
        <x:v>0</x:v>
      </x:c>
      <x:c r="X92" s="31" t="n">
        <x:v>5.16</x:v>
      </x:c>
      <x:c r="Y92" s="31" t="n">
        <x:f>((10-MIN(10,MAX(0,X92)))/10)*'Controls &amp; Summary'!$B$15+((10-MIN(10,MAX(0,W92)))/10)*'Controls &amp; Summary'!$B$16</x:f>
        <x:v>1.484</x:v>
      </x:c>
      <x:c r="Z92" s="31" t="n">
        <x:f>V92*Y92</x:f>
        <x:v>3.958707997108053</x:v>
      </x:c>
      <x:c r="AA92" s="30" t="str">
        <x:f>IF(Z92&lt;=I92,"Peaceful","Hostile")</x:f>
        <x:v>Peaceful</x:v>
      </x:c>
      <x:c r="AB92" s="30" t="str">
        <x:f>IF(Z92&lt;='Controls &amp; Summary'!$B$6,"Eligible","Blocked")</x:f>
        <x:v>Eligible</x:v>
      </x:c>
      <x:c r="AC92" s="30" t="str">
        <x:v>2003_COL</x:v>
      </x:c>
      <x:c r="AD92" s="30" t="str">
        <x:v>2003_VEN</x:v>
      </x:c>
      <x:c r="AE92" s="30" t="str">
        <x:v>2003_Venezuela</x:v>
      </x:c>
      <x:c r="AF92" s="30" t="str">
        <x:v>Explicit capitalClaim</x:v>
      </x:c>
      <x:c r="AG92" s="30" t="str">
        <x:v>Claim2003_COL2003_Venezuela</x:v>
      </x:c>
      <x:c r="AH92" s="30" t="str">
        <x:v>Project_GranColombia</x:v>
      </x:c>
    </x:row>
    <x:row r="93">
      <x:c r="A93" s="30" t="str">
        <x:v>2003</x:v>
      </x:c>
      <x:c r="B93" s="30" t="str">
        <x:v>Dark Skies</x:v>
      </x:c>
      <x:c r="C93" s="30" t="str">
        <x:v>Czechia</x:v>
      </x:c>
      <x:c r="D93" s="30" t="str">
        <x:v>Slovakia</x:v>
      </x:c>
      <x:c r="E93" s="30" t="str">
        <x:v>Starting claim</x:v>
      </x:c>
      <x:c r="F93" s="30" t="str"/>
      <x:c r="G93" s="30" t="str">
        <x:v>No</x:v>
      </x:c>
      <x:c r="H93" s="30" t="str">
        <x:v>Ordinary claim</x:v>
      </x:c>
      <x:c r="I93" s="31" t="n">
        <x:f>IF(G93="Yes",'Controls &amp; Summary'!$B$5,'Controls &amp; Summary'!$B$4)</x:f>
        <x:v>6</x:v>
      </x:c>
      <x:c r="J93" s="31" t="n">
        <x:v>8.12</x:v>
      </x:c>
      <x:c r="K93" s="31" t="n">
        <x:v>7.57</x:v>
      </x:c>
      <x:c r="L93" s="31" t="n">
        <x:f>ABS(J93-K93)</x:f>
        <x:v>0.5499999999999989</x:v>
      </x:c>
      <x:c r="M93" s="31" t="n">
        <x:v>2.56</x:v>
      </x:c>
      <x:c r="N93" s="31" t="n">
        <x:v>2.62</x:v>
      </x:c>
      <x:c r="O93" s="31" t="n">
        <x:f>ABS(M93-N93)</x:f>
        <x:v>0.06000000000000005</x:v>
      </x:c>
      <x:c r="P93" s="31" t="n">
        <x:v>7.81</x:v>
      </x:c>
      <x:c r="Q93" s="31" t="n">
        <x:v>7.3</x:v>
      </x:c>
      <x:c r="R93" s="31" t="n">
        <x:f>ABS(P93-Q93)</x:f>
        <x:v>0.5099999999999998</x:v>
      </x:c>
      <x:c r="S93" s="32" t="n">
        <x:v>12463.396827877925</x:v>
      </x:c>
      <x:c r="T93" s="32" t="n">
        <x:v>8050.541042402472</x:v>
      </x:c>
      <x:c r="U93" s="31" t="n">
        <x:f>MAX(S93/T93,T93/S93)</x:f>
        <x:v>1.548144002028285</x:v>
      </x:c>
      <x:c r="V93" s="31" t="n">
        <x:f>L93*'Controls &amp; Summary'!$B$9+O93*'Controls &amp; Summary'!$B$10+R93*'Controls &amp; Summary'!$B$11+U93*'Controls &amp; Summary'!$B$12</x:f>
        <x:v>2.668144002028284</x:v>
      </x:c>
      <x:c r="W93" s="31" t="n">
        <x:v>5.11</x:v>
      </x:c>
      <x:c r="X93" s="31" t="n">
        <x:v>0.69</x:v>
      </x:c>
      <x:c r="Y93" s="31" t="n">
        <x:f>((10-MIN(10,MAX(0,X93)))/10)*'Controls &amp; Summary'!$B$15+((10-MIN(10,MAX(0,W93)))/10)*'Controls &amp; Summary'!$B$16</x:f>
        <x:v>1.42</x:v>
      </x:c>
      <x:c r="Z93" s="31" t="n">
        <x:f>V93*Y93</x:f>
        <x:v>3.788764482880163</x:v>
      </x:c>
      <x:c r="AA93" s="30" t="str">
        <x:f>IF(Z93&lt;=I93,"Peaceful","Hostile")</x:f>
        <x:v>Peaceful</x:v>
      </x:c>
      <x:c r="AB93" s="30" t="str">
        <x:f>IF(Z93&lt;='Controls &amp; Summary'!$B$6,"Eligible","Blocked")</x:f>
        <x:v>Eligible</x:v>
      </x:c>
      <x:c r="AC93" s="30" t="str">
        <x:v>2003_CZE</x:v>
      </x:c>
      <x:c r="AD93" s="30" t="str">
        <x:v>2003_SLO</x:v>
      </x:c>
      <x:c r="AE93" s="30" t="str">
        <x:v>2003_Slovakia</x:v>
      </x:c>
      <x:c r="AF93" s="30" t="str">
        <x:v>Explicit capitalClaim</x:v>
      </x:c>
      <x:c r="AG93" s="30" t="str">
        <x:v>Claim2003_CZE2003_Slovakia</x:v>
      </x:c>
      <x:c r="AH93" s="30" t="str"/>
    </x:row>
    <x:row r="94">
      <x:c r="A94" s="30" t="str">
        <x:v>2003</x:v>
      </x:c>
      <x:c r="B94" s="30" t="str">
        <x:v>Dark Skies</x:v>
      </x:c>
      <x:c r="C94" s="30" t="str">
        <x:v>Egypt</x:v>
      </x:c>
      <x:c r="D94" s="30" t="str">
        <x:v>Algeria</x:v>
      </x:c>
      <x:c r="E94" s="30" t="str">
        <x:v>Project unlock</x:v>
      </x:c>
      <x:c r="F94" s="30" t="str">
        <x:v>United Arab League</x:v>
      </x:c>
      <x:c r="G94" s="30" t="str">
        <x:v>No</x:v>
      </x:c>
      <x:c r="H94" s="30" t="str">
        <x:v>Ordinary claim</x:v>
      </x:c>
      <x:c r="I94" s="31" t="n">
        <x:f>IF(G94="Yes",'Controls &amp; Summary'!$B$5,'Controls &amp; Summary'!$B$4)</x:f>
        <x:v>6</x:v>
      </x:c>
      <x:c r="J94" s="31" t="n">
        <x:v>3.89</x:v>
      </x:c>
      <x:c r="K94" s="31" t="n">
        <x:v>3.15</x:v>
      </x:c>
      <x:c r="L94" s="31" t="n">
        <x:f>ABS(J94-K94)</x:f>
        <x:v>0.7400000000000002</x:v>
      </x:c>
      <x:c r="M94" s="31" t="n">
        <x:v>4.18</x:v>
      </x:c>
      <x:c r="N94" s="31" t="n">
        <x:v>3.55</x:v>
      </x:c>
      <x:c r="O94" s="31" t="n">
        <x:f>ABS(M94-N94)</x:f>
        <x:v>0.6299999999999999</x:v>
      </x:c>
      <x:c r="P94" s="31" t="n">
        <x:v>5.62</x:v>
      </x:c>
      <x:c r="Q94" s="31" t="n">
        <x:v>5.99</x:v>
      </x:c>
      <x:c r="R94" s="31" t="n">
        <x:f>ABS(P94-Q94)</x:f>
        <x:v>0.3700000000000001</x:v>
      </x:c>
      <x:c r="S94" s="32" t="n">
        <x:v>3623.4100115899664</x:v>
      </x:c>
      <x:c r="T94" s="32" t="n">
        <x:v>5060.481949487656</x:v>
      </x:c>
      <x:c r="U94" s="31" t="n">
        <x:f>MAX(S94/T94,T94/S94)</x:f>
        <x:v>1.3966075970704448</x:v>
      </x:c>
      <x:c r="V94" s="31" t="n">
        <x:f>L94*'Controls &amp; Summary'!$B$9+O94*'Controls &amp; Summary'!$B$10+R94*'Controls &amp; Summary'!$B$11+U94*'Controls &amp; Summary'!$B$12</x:f>
        <x:v>3.1366075970704452</x:v>
      </x:c>
      <x:c r="W94" s="31" t="n">
        <x:v>0.67</x:v>
      </x:c>
      <x:c r="X94" s="31" t="n">
        <x:v>3.86</x:v>
      </x:c>
      <x:c r="Y94" s="31" t="n">
        <x:f>((10-MIN(10,MAX(0,X94)))/10)*'Controls &amp; Summary'!$B$15+((10-MIN(10,MAX(0,W94)))/10)*'Controls &amp; Summary'!$B$16</x:f>
        <x:v>1.5470000000000002</x:v>
      </x:c>
      <x:c r="Z94" s="31" t="n">
        <x:f>V94*Y94</x:f>
        <x:v>4.85233195266798</x:v>
      </x:c>
      <x:c r="AA94" s="30" t="str">
        <x:f>IF(Z94&lt;=I94,"Peaceful","Hostile")</x:f>
        <x:v>Peaceful</x:v>
      </x:c>
      <x:c r="AB94" s="30" t="str">
        <x:f>IF(Z94&lt;='Controls &amp; Summary'!$B$6,"Eligible","Blocked")</x:f>
        <x:v>Eligible</x:v>
      </x:c>
      <x:c r="AC94" s="30" t="str">
        <x:v>2003_EGY</x:v>
      </x:c>
      <x:c r="AD94" s="30" t="str">
        <x:v>2003_DZA</x:v>
      </x:c>
      <x:c r="AE94" s="30" t="str">
        <x:v>2003_Algeria</x:v>
      </x:c>
      <x:c r="AF94" s="30" t="str">
        <x:v>Explicit capitalClaim</x:v>
      </x:c>
      <x:c r="AG94" s="30" t="str">
        <x:v>Claim2003_EGY2003_Algeria</x:v>
      </x:c>
      <x:c r="AH94" s="30" t="str">
        <x:v>Project_UnitedArabLeague</x:v>
      </x:c>
    </x:row>
    <x:row r="95">
      <x:c r="A95" s="30" t="str">
        <x:v>2003</x:v>
      </x:c>
      <x:c r="B95" s="30" t="str">
        <x:v>Dark Skies</x:v>
      </x:c>
      <x:c r="C95" s="30" t="str">
        <x:v>Egypt</x:v>
      </x:c>
      <x:c r="D95" s="30" t="str">
        <x:v>Gulf States</x:v>
      </x:c>
      <x:c r="E95" s="30" t="str">
        <x:v>Project unlock</x:v>
      </x:c>
      <x:c r="F95" s="30" t="str">
        <x:v>United Arab League</x:v>
      </x:c>
      <x:c r="G95" s="30" t="str">
        <x:v>No</x:v>
      </x:c>
      <x:c r="H95" s="30" t="str">
        <x:v>Ordinary claim</x:v>
      </x:c>
      <x:c r="I95" s="31" t="n">
        <x:f>IF(G95="Yes",'Controls &amp; Summary'!$B$5,'Controls &amp; Summary'!$B$4)</x:f>
        <x:v>6</x:v>
      </x:c>
      <x:c r="J95" s="31" t="n">
        <x:v>3.89</x:v>
      </x:c>
      <x:c r="K95" s="31" t="n">
        <x:v>3.16</x:v>
      </x:c>
      <x:c r="L95" s="31" t="n">
        <x:f>ABS(J95-K95)</x:f>
        <x:v>0.73</x:v>
      </x:c>
      <x:c r="M95" s="31" t="n">
        <x:v>4.18</x:v>
      </x:c>
      <x:c r="N95" s="31" t="n">
        <x:v>4.23</x:v>
      </x:c>
      <x:c r="O95" s="31" t="n">
        <x:f>ABS(M95-N95)</x:f>
        <x:v>0.05000000000000071</x:v>
      </x:c>
      <x:c r="P95" s="31" t="n">
        <x:v>5.62</x:v>
      </x:c>
      <x:c r="Q95" s="31" t="n">
        <x:v>7.36</x:v>
      </x:c>
      <x:c r="R95" s="31" t="n">
        <x:f>ABS(P95-Q95)</x:f>
        <x:v>1.7400000000000002</x:v>
      </x:c>
      <x:c r="S95" s="32" t="n">
        <x:v>3623.4100115899664</x:v>
      </x:c>
      <x:c r="T95" s="32" t="n">
        <x:v>28676.79143074556</x:v>
      </x:c>
      <x:c r="U95" s="31" t="n">
        <x:f>MAX(S95/T95,T95/S95)</x:f>
        <x:v>7.9143103703469855</x:v>
      </x:c>
      <x:c r="V95" s="31" t="n">
        <x:f>L95*'Controls &amp; Summary'!$B$9+O95*'Controls &amp; Summary'!$B$10+R95*'Controls &amp; Summary'!$B$11+U95*'Controls &amp; Summary'!$B$12</x:f>
        <x:v>10.434310370346987</x:v>
      </x:c>
      <x:c r="W95" s="31" t="n">
        <x:v>0.67</x:v>
      </x:c>
      <x:c r="X95" s="31" t="n">
        <x:v>3.58</x:v>
      </x:c>
      <x:c r="Y95" s="31" t="n">
        <x:f>((10-MIN(10,MAX(0,X95)))/10)*'Controls &amp; Summary'!$B$15+((10-MIN(10,MAX(0,W95)))/10)*'Controls &amp; Summary'!$B$16</x:f>
        <x:v>1.5750000000000002</x:v>
      </x:c>
      <x:c r="Z95" s="31" t="n">
        <x:f>V95*Y95</x:f>
        <x:v>16.434038833296505</x:v>
      </x:c>
      <x:c r="AA95" s="30" t="str">
        <x:f>IF(Z95&lt;=I95,"Peaceful","Hostile")</x:f>
        <x:v>Hostile</x:v>
      </x:c>
      <x:c r="AB95" s="30" t="str">
        <x:f>IF(Z95&lt;='Controls &amp; Summary'!$B$6,"Eligible","Blocked")</x:f>
        <x:v>Blocked</x:v>
      </x:c>
      <x:c r="AC95" s="30" t="str">
        <x:v>2003_EGY</x:v>
      </x:c>
      <x:c r="AD95" s="30" t="str">
        <x:v>2003_GUS</x:v>
      </x:c>
      <x:c r="AE95" s="30" t="str">
        <x:v>2003_GulfStates</x:v>
      </x:c>
      <x:c r="AF95" s="30" t="str">
        <x:v>Explicit capitalClaim</x:v>
      </x:c>
      <x:c r="AG95" s="30" t="str">
        <x:v>Claim2003_EGY2003_GulfStates</x:v>
      </x:c>
      <x:c r="AH95" s="30" t="str">
        <x:v>Project_UnitedArabLeague</x:v>
      </x:c>
    </x:row>
    <x:row r="96">
      <x:c r="A96" s="30" t="str">
        <x:v>2003</x:v>
      </x:c>
      <x:c r="B96" s="30" t="str">
        <x:v>Dark Skies</x:v>
      </x:c>
      <x:c r="C96" s="30" t="str">
        <x:v>Egypt</x:v>
      </x:c>
      <x:c r="D96" s="30" t="str">
        <x:v>Iraq</x:v>
      </x:c>
      <x:c r="E96" s="30" t="str">
        <x:v>Project unlock</x:v>
      </x:c>
      <x:c r="F96" s="30" t="str">
        <x:v>United Arab League</x:v>
      </x:c>
      <x:c r="G96" s="30" t="str">
        <x:v>No</x:v>
      </x:c>
      <x:c r="H96" s="30" t="str">
        <x:v>Ordinary claim</x:v>
      </x:c>
      <x:c r="I96" s="31" t="n">
        <x:f>IF(G96="Yes",'Controls &amp; Summary'!$B$5,'Controls &amp; Summary'!$B$4)</x:f>
        <x:v>6</x:v>
      </x:c>
      <x:c r="J96" s="31" t="n">
        <x:v>3.89</x:v>
      </x:c>
      <x:c r="K96" s="31" t="n">
        <x:v>3</x:v>
      </x:c>
      <x:c r="L96" s="31" t="n">
        <x:f>ABS(J96-K96)</x:f>
        <x:v>0.8900000000000001</x:v>
      </x:c>
      <x:c r="M96" s="31" t="n">
        <x:v>4.18</x:v>
      </x:c>
      <x:c r="N96" s="31" t="n">
        <x:v>3.61</x:v>
      </x:c>
      <x:c r="O96" s="31" t="n">
        <x:f>ABS(M96-N96)</x:f>
        <x:v>0.5699999999999998</x:v>
      </x:c>
      <x:c r="P96" s="31" t="n">
        <x:v>5.62</x:v>
      </x:c>
      <x:c r="Q96" s="31" t="n">
        <x:v>4.95</x:v>
      </x:c>
      <x:c r="R96" s="31" t="n">
        <x:f>ABS(P96-Q96)</x:f>
        <x:v>0.6699999999999999</x:v>
      </x:c>
      <x:c r="S96" s="32" t="n">
        <x:v>3623.4100115899664</x:v>
      </x:c>
      <x:c r="T96" s="32" t="n">
        <x:v>2191.5648772757954</x:v>
      </x:c>
      <x:c r="U96" s="31" t="n">
        <x:f>MAX(S96/T96,T96/S96)</x:f>
        <x:v>1.6533437130522064</x:v>
      </x:c>
      <x:c r="V96" s="31" t="n">
        <x:f>L96*'Controls &amp; Summary'!$B$9+O96*'Controls &amp; Summary'!$B$10+R96*'Controls &amp; Summary'!$B$11+U96*'Controls &amp; Summary'!$B$12</x:f>
        <x:v>3.783343713052206</x:v>
      </x:c>
      <x:c r="W96" s="31" t="n">
        <x:v>0.67</x:v>
      </x:c>
      <x:c r="X96" s="31" t="n">
        <x:v>7.61</x:v>
      </x:c>
      <x:c r="Y96" s="31" t="n">
        <x:f>((10-MIN(10,MAX(0,X96)))/10)*'Controls &amp; Summary'!$B$15+((10-MIN(10,MAX(0,W96)))/10)*'Controls &amp; Summary'!$B$16</x:f>
        <x:v>1.172</x:v>
      </x:c>
      <x:c r="Z96" s="31" t="n">
        <x:f>V96*Y96</x:f>
        <x:v>4.434078831697185</x:v>
      </x:c>
      <x:c r="AA96" s="30" t="str">
        <x:f>IF(Z96&lt;=I96,"Peaceful","Hostile")</x:f>
        <x:v>Peaceful</x:v>
      </x:c>
      <x:c r="AB96" s="30" t="str">
        <x:f>IF(Z96&lt;='Controls &amp; Summary'!$B$6,"Eligible","Blocked")</x:f>
        <x:v>Eligible</x:v>
      </x:c>
      <x:c r="AC96" s="30" t="str">
        <x:v>2003_EGY</x:v>
      </x:c>
      <x:c r="AD96" s="30" t="str">
        <x:v>2003_IRQ</x:v>
      </x:c>
      <x:c r="AE96" s="30" t="str">
        <x:v>2003_Baghdad</x:v>
      </x:c>
      <x:c r="AF96" s="30" t="str">
        <x:v>Explicit capitalClaim</x:v>
      </x:c>
      <x:c r="AG96" s="30" t="str">
        <x:v>Claim2003_EGY2003_Baghdad</x:v>
      </x:c>
      <x:c r="AH96" s="30" t="str">
        <x:v>Project_UnitedArabLeague</x:v>
      </x:c>
    </x:row>
    <x:row r="97">
      <x:c r="A97" s="30" t="str">
        <x:v>2003</x:v>
      </x:c>
      <x:c r="B97" s="30" t="str">
        <x:v>Dark Skies</x:v>
      </x:c>
      <x:c r="C97" s="30" t="str">
        <x:v>Egypt</x:v>
      </x:c>
      <x:c r="D97" s="30" t="str">
        <x:v>Israel</x:v>
      </x:c>
      <x:c r="E97" s="30" t="str">
        <x:v>Project unlock</x:v>
      </x:c>
      <x:c r="F97" s="30" t="str">
        <x:v>United Arab League</x:v>
      </x:c>
      <x:c r="G97" s="30" t="str">
        <x:v>Yes</x:v>
      </x:c>
      <x:c r="H97" s="30" t="str">
        <x:v>Template hostileClaim</x:v>
      </x:c>
      <x:c r="I97" s="31" t="n">
        <x:f>IF(G97="Yes",'Controls &amp; Summary'!$B$5,'Controls &amp; Summary'!$B$4)</x:f>
        <x:v>3</x:v>
      </x:c>
      <x:c r="J97" s="31" t="n">
        <x:v>3.89</x:v>
      </x:c>
      <x:c r="K97" s="31" t="n">
        <x:v>7.26</x:v>
      </x:c>
      <x:c r="L97" s="31" t="n">
        <x:f>ABS(J97-K97)</x:f>
        <x:v>3.3699999999999997</x:v>
      </x:c>
      <x:c r="M97" s="31" t="n">
        <x:v>4.18</x:v>
      </x:c>
      <x:c r="N97" s="31" t="n">
        <x:v>3.64</x:v>
      </x:c>
      <x:c r="O97" s="31" t="n">
        <x:f>ABS(M97-N97)</x:f>
        <x:v>0.5399999999999996</x:v>
      </x:c>
      <x:c r="P97" s="31" t="n">
        <x:v>5.62</x:v>
      </x:c>
      <x:c r="Q97" s="31" t="n">
        <x:v>7.86</x:v>
      </x:c>
      <x:c r="R97" s="31" t="n">
        <x:f>ABS(P97-Q97)</x:f>
        <x:v>2.24</x:v>
      </x:c>
      <x:c r="S97" s="32" t="n">
        <x:v>3623.4100115899664</x:v>
      </x:c>
      <x:c r="T97" s="32" t="n">
        <x:v>20187.83958344226</x:v>
      </x:c>
      <x:c r="U97" s="31" t="n">
        <x:f>MAX(S97/T97,T97/S97)</x:f>
        <x:v>5.571502954087097</x:v>
      </x:c>
      <x:c r="V97" s="31" t="n">
        <x:f>L97*'Controls &amp; Summary'!$B$9+O97*'Controls &amp; Summary'!$B$10+R97*'Controls &amp; Summary'!$B$11+U97*'Controls &amp; Summary'!$B$12</x:f>
        <x:v>11.721502954087097</x:v>
      </x:c>
      <x:c r="W97" s="31" t="n">
        <x:v>0.67</x:v>
      </x:c>
      <x:c r="X97" s="31" t="n">
        <x:v>5.77</x:v>
      </x:c>
      <x:c r="Y97" s="31" t="n">
        <x:f>((10-MIN(10,MAX(0,X97)))/10)*'Controls &amp; Summary'!$B$15+((10-MIN(10,MAX(0,W97)))/10)*'Controls &amp; Summary'!$B$16</x:f>
        <x:v>1.356</x:v>
      </x:c>
      <x:c r="Z97" s="31" t="n">
        <x:f>V97*Y97</x:f>
        <x:v>15.894358005742104</x:v>
      </x:c>
      <x:c r="AA97" s="30" t="str">
        <x:f>IF(Z97&lt;=I97,"Peaceful","Hostile")</x:f>
        <x:v>Hostile</x:v>
      </x:c>
      <x:c r="AB97" s="30" t="str">
        <x:f>IF(Z97&lt;='Controls &amp; Summary'!$B$6,"Eligible","Blocked")</x:f>
        <x:v>Blocked</x:v>
      </x:c>
      <x:c r="AC97" s="30" t="str">
        <x:v>2003_EGY</x:v>
      </x:c>
      <x:c r="AD97" s="30" t="str">
        <x:v>2003_ISR</x:v>
      </x:c>
      <x:c r="AE97" s="30" t="str">
        <x:v>2003_Israel</x:v>
      </x:c>
      <x:c r="AF97" s="30" t="str">
        <x:v>Explicit capitalClaim</x:v>
      </x:c>
      <x:c r="AG97" s="30" t="str">
        <x:v>Claim2003_EGY2003_Israel</x:v>
      </x:c>
      <x:c r="AH97" s="30" t="str">
        <x:v>Project_UnitedArabLeague</x:v>
      </x:c>
    </x:row>
    <x:row r="98">
      <x:c r="A98" s="30" t="str">
        <x:v>2003</x:v>
      </x:c>
      <x:c r="B98" s="30" t="str">
        <x:v>Dark Skies</x:v>
      </x:c>
      <x:c r="C98" s="30" t="str">
        <x:v>Egypt</x:v>
      </x:c>
      <x:c r="D98" s="30" t="str">
        <x:v>Jordan</x:v>
      </x:c>
      <x:c r="E98" s="30" t="str">
        <x:v>Project unlock</x:v>
      </x:c>
      <x:c r="F98" s="30" t="str">
        <x:v>United Arab League</x:v>
      </x:c>
      <x:c r="G98" s="30" t="str">
        <x:v>No</x:v>
      </x:c>
      <x:c r="H98" s="30" t="str">
        <x:v>Ordinary claim</x:v>
      </x:c>
      <x:c r="I98" s="31" t="n">
        <x:f>IF(G98="Yes",'Controls &amp; Summary'!$B$5,'Controls &amp; Summary'!$B$4)</x:f>
        <x:v>6</x:v>
      </x:c>
      <x:c r="J98" s="31" t="n">
        <x:v>3.89</x:v>
      </x:c>
      <x:c r="K98" s="31" t="n">
        <x:v>3.53</x:v>
      </x:c>
      <x:c r="L98" s="31" t="n">
        <x:f>ABS(J98-K98)</x:f>
        <x:v>0.3600000000000003</x:v>
      </x:c>
      <x:c r="M98" s="31" t="n">
        <x:v>4.18</x:v>
      </x:c>
      <x:c r="N98" s="31" t="n">
        <x:v>3.86</x:v>
      </x:c>
      <x:c r="O98" s="31" t="n">
        <x:f>ABS(M98-N98)</x:f>
        <x:v>0.31999999999999984</x:v>
      </x:c>
      <x:c r="P98" s="31" t="n">
        <x:v>5.62</x:v>
      </x:c>
      <x:c r="Q98" s="31" t="n">
        <x:v>6.17</x:v>
      </x:c>
      <x:c r="R98" s="31" t="n">
        <x:f>ABS(P98-Q98)</x:f>
        <x:v>0.5499999999999998</x:v>
      </x:c>
      <x:c r="S98" s="32" t="n">
        <x:v>3623.4100115899664</x:v>
      </x:c>
      <x:c r="T98" s="32" t="n">
        <x:v>3890.0951595902907</x:v>
      </x:c>
      <x:c r="U98" s="31" t="n">
        <x:f>MAX(S98/T98,T98/S98)</x:f>
        <x:v>1.0736005992000066</x:v>
      </x:c>
      <x:c r="V98" s="31" t="n">
        <x:f>L98*'Controls &amp; Summary'!$B$9+O98*'Controls &amp; Summary'!$B$10+R98*'Controls &amp; Summary'!$B$11+U98*'Controls &amp; Summary'!$B$12</x:f>
        <x:v>2.3036005992000064</x:v>
      </x:c>
      <x:c r="W98" s="31" t="n">
        <x:v>0.67</x:v>
      </x:c>
      <x:c r="X98" s="31" t="n">
        <x:v>2.34</x:v>
      </x:c>
      <x:c r="Y98" s="31" t="n">
        <x:f>((10-MIN(10,MAX(0,X98)))/10)*'Controls &amp; Summary'!$B$15+((10-MIN(10,MAX(0,W98)))/10)*'Controls &amp; Summary'!$B$16</x:f>
        <x:v>1.699</x:v>
      </x:c>
      <x:c r="Z98" s="31" t="n">
        <x:f>V98*Y98</x:f>
        <x:v>3.913817418040811</x:v>
      </x:c>
      <x:c r="AA98" s="30" t="str">
        <x:f>IF(Z98&lt;=I98,"Peaceful","Hostile")</x:f>
        <x:v>Peaceful</x:v>
      </x:c>
      <x:c r="AB98" s="30" t="str">
        <x:f>IF(Z98&lt;='Controls &amp; Summary'!$B$6,"Eligible","Blocked")</x:f>
        <x:v>Eligible</x:v>
      </x:c>
      <x:c r="AC98" s="30" t="str">
        <x:v>2003_EGY</x:v>
      </x:c>
      <x:c r="AD98" s="30" t="str">
        <x:v>2003_JOR</x:v>
      </x:c>
      <x:c r="AE98" s="30" t="str">
        <x:v>2003_Jordan</x:v>
      </x:c>
      <x:c r="AF98" s="30" t="str">
        <x:v>Explicit capitalClaim</x:v>
      </x:c>
      <x:c r="AG98" s="30" t="str">
        <x:v>Claim2003_EGY2003_Jordan</x:v>
      </x:c>
      <x:c r="AH98" s="30" t="str">
        <x:v>Project_UnitedArabLeague</x:v>
      </x:c>
    </x:row>
    <x:row r="99">
      <x:c r="A99" s="30" t="str">
        <x:v>2003</x:v>
      </x:c>
      <x:c r="B99" s="30" t="str">
        <x:v>Dark Skies</x:v>
      </x:c>
      <x:c r="C99" s="30" t="str">
        <x:v>Egypt</x:v>
      </x:c>
      <x:c r="D99" s="30" t="str">
        <x:v>Kuwait</x:v>
      </x:c>
      <x:c r="E99" s="30" t="str">
        <x:v>Project unlock</x:v>
      </x:c>
      <x:c r="F99" s="30" t="str">
        <x:v>United Arab League</x:v>
      </x:c>
      <x:c r="G99" s="30" t="str">
        <x:v>No</x:v>
      </x:c>
      <x:c r="H99" s="30" t="str">
        <x:v>Ordinary claim</x:v>
      </x:c>
      <x:c r="I99" s="31" t="n">
        <x:f>IF(G99="Yes",'Controls &amp; Summary'!$B$5,'Controls &amp; Summary'!$B$4)</x:f>
        <x:v>6</x:v>
      </x:c>
      <x:c r="J99" s="31" t="n">
        <x:v>3.89</x:v>
      </x:c>
      <x:c r="K99" s="31" t="n">
        <x:v>2.94</x:v>
      </x:c>
      <x:c r="L99" s="31" t="n">
        <x:f>ABS(J99-K99)</x:f>
        <x:v>0.9500000000000002</x:v>
      </x:c>
      <x:c r="M99" s="31" t="n">
        <x:v>4.18</x:v>
      </x:c>
      <x:c r="N99" s="31" t="n">
        <x:v>3.63</x:v>
      </x:c>
      <x:c r="O99" s="31" t="n">
        <x:f>ABS(M99-N99)</x:f>
        <x:v>0.5499999999999998</x:v>
      </x:c>
      <x:c r="P99" s="31" t="n">
        <x:v>5.62</x:v>
      </x:c>
      <x:c r="Q99" s="31" t="n">
        <x:v>7.29</x:v>
      </x:c>
      <x:c r="R99" s="31" t="n">
        <x:f>ABS(P99-Q99)</x:f>
        <x:v>1.67</x:v>
      </x:c>
      <x:c r="S99" s="32" t="n">
        <x:v>3623.4100115899664</x:v>
      </x:c>
      <x:c r="T99" s="32" t="n">
        <x:v>27266.02598677366</x:v>
      </x:c>
      <x:c r="U99" s="31" t="n">
        <x:f>MAX(S99/T99,T99/S99)</x:f>
        <x:v>7.524962921546166</x:v>
      </x:c>
      <x:c r="V99" s="31" t="n">
        <x:f>L99*'Controls &amp; Summary'!$B$9+O99*'Controls &amp; Summary'!$B$10+R99*'Controls &amp; Summary'!$B$11+U99*'Controls &amp; Summary'!$B$12</x:f>
        <x:v>10.694962921546166</x:v>
      </x:c>
      <x:c r="W99" s="31" t="n">
        <x:v>0.67</x:v>
      </x:c>
      <x:c r="X99" s="31" t="n">
        <x:v>2.75</x:v>
      </x:c>
      <x:c r="Y99" s="31" t="n">
        <x:f>((10-MIN(10,MAX(0,X99)))/10)*'Controls &amp; Summary'!$B$15+((10-MIN(10,MAX(0,W99)))/10)*'Controls &amp; Summary'!$B$16</x:f>
        <x:v>1.658</x:v>
      </x:c>
      <x:c r="Z99" s="31" t="n">
        <x:f>V99*Y99</x:f>
        <x:v>17.73224852392354</x:v>
      </x:c>
      <x:c r="AA99" s="30" t="str">
        <x:f>IF(Z99&lt;=I99,"Peaceful","Hostile")</x:f>
        <x:v>Hostile</x:v>
      </x:c>
      <x:c r="AB99" s="30" t="str">
        <x:f>IF(Z99&lt;='Controls &amp; Summary'!$B$6,"Eligible","Blocked")</x:f>
        <x:v>Blocked</x:v>
      </x:c>
      <x:c r="AC99" s="30" t="str">
        <x:v>2003_EGY</x:v>
      </x:c>
      <x:c r="AD99" s="30" t="str">
        <x:v>2003_KUW</x:v>
      </x:c>
      <x:c r="AE99" s="30" t="str">
        <x:v>2003_Kuwait</x:v>
      </x:c>
      <x:c r="AF99" s="30" t="str">
        <x:v>Explicit capitalClaim</x:v>
      </x:c>
      <x:c r="AG99" s="30" t="str">
        <x:v>Claim2003_EGY2003_Kuwait</x:v>
      </x:c>
      <x:c r="AH99" s="30" t="str">
        <x:v>Project_UnitedArabLeague</x:v>
      </x:c>
    </x:row>
    <x:row r="100">
      <x:c r="A100" s="30" t="str">
        <x:v>2003</x:v>
      </x:c>
      <x:c r="B100" s="30" t="str">
        <x:v>Dark Skies</x:v>
      </x:c>
      <x:c r="C100" s="30" t="str">
        <x:v>Egypt</x:v>
      </x:c>
      <x:c r="D100" s="30" t="str">
        <x:v>Lebanon</x:v>
      </x:c>
      <x:c r="E100" s="30" t="str">
        <x:v>Project unlock</x:v>
      </x:c>
      <x:c r="F100" s="30" t="str">
        <x:v>United Arab League</x:v>
      </x:c>
      <x:c r="G100" s="30" t="str">
        <x:v>No</x:v>
      </x:c>
      <x:c r="H100" s="30" t="str">
        <x:v>Ordinary claim</x:v>
      </x:c>
      <x:c r="I100" s="31" t="n">
        <x:f>IF(G100="Yes",'Controls &amp; Summary'!$B$5,'Controls &amp; Summary'!$B$4)</x:f>
        <x:v>6</x:v>
      </x:c>
      <x:c r="J100" s="31" t="n">
        <x:v>3.89</x:v>
      </x:c>
      <x:c r="K100" s="31" t="n">
        <x:v>5.44</x:v>
      </x:c>
      <x:c r="L100" s="31" t="n">
        <x:f>ABS(J100-K100)</x:f>
        <x:v>1.5500000000000003</x:v>
      </x:c>
      <x:c r="M100" s="31" t="n">
        <x:v>4.18</x:v>
      </x:c>
      <x:c r="N100" s="31" t="n">
        <x:v>3.71</x:v>
      </x:c>
      <x:c r="O100" s="31" t="n">
        <x:f>ABS(M100-N100)</x:f>
        <x:v>0.46999999999999975</x:v>
      </x:c>
      <x:c r="P100" s="31" t="n">
        <x:v>5.62</x:v>
      </x:c>
      <x:c r="Q100" s="31" t="n">
        <x:v>6.35</x:v>
      </x:c>
      <x:c r="R100" s="31" t="n">
        <x:f>ABS(P100-Q100)</x:f>
        <x:v>0.7299999999999995</x:v>
      </x:c>
      <x:c r="S100" s="32" t="n">
        <x:v>3623.4100115899664</x:v>
      </x:c>
      <x:c r="T100" s="32" t="n">
        <x:v>7132.280615126523</x:v>
      </x:c>
      <x:c r="U100" s="31" t="n">
        <x:f>MAX(S100/T100,T100/S100)</x:f>
        <x:v>1.9683890568036628</x:v>
      </x:c>
      <x:c r="V100" s="31" t="n">
        <x:f>L100*'Controls &amp; Summary'!$B$9+O100*'Controls &amp; Summary'!$B$10+R100*'Controls &amp; Summary'!$B$11+U100*'Controls &amp; Summary'!$B$12</x:f>
        <x:v>4.718389056803662</x:v>
      </x:c>
      <x:c r="W100" s="31" t="n">
        <x:v>0.67</x:v>
      </x:c>
      <x:c r="X100" s="31" t="n">
        <x:v>4.7</x:v>
      </x:c>
      <x:c r="Y100" s="31" t="n">
        <x:f>((10-MIN(10,MAX(0,X100)))/10)*'Controls &amp; Summary'!$B$15+((10-MIN(10,MAX(0,W100)))/10)*'Controls &amp; Summary'!$B$16</x:f>
        <x:v>1.463</x:v>
      </x:c>
      <x:c r="Z100" s="31" t="n">
        <x:f>V100*Y100</x:f>
        <x:v>6.9030031901037585</x:v>
      </x:c>
      <x:c r="AA100" s="30" t="str">
        <x:f>IF(Z100&lt;=I100,"Peaceful","Hostile")</x:f>
        <x:v>Hostile</x:v>
      </x:c>
      <x:c r="AB100" s="30" t="str">
        <x:f>IF(Z100&lt;='Controls &amp; Summary'!$B$6,"Eligible","Blocked")</x:f>
        <x:v>Eligible</x:v>
      </x:c>
      <x:c r="AC100" s="30" t="str">
        <x:v>2003_EGY</x:v>
      </x:c>
      <x:c r="AD100" s="30" t="str">
        <x:v>2003_LEB</x:v>
      </x:c>
      <x:c r="AE100" s="30" t="str">
        <x:v>2003_Lebanon</x:v>
      </x:c>
      <x:c r="AF100" s="30" t="str">
        <x:v>Explicit capitalClaim</x:v>
      </x:c>
      <x:c r="AG100" s="30" t="str">
        <x:v>Claim2003_EGY2003_Lebanon</x:v>
      </x:c>
      <x:c r="AH100" s="30" t="str">
        <x:v>Project_UnitedArabLeague</x:v>
      </x:c>
    </x:row>
    <x:row r="101">
      <x:c r="A101" s="30" t="str">
        <x:v>2003</x:v>
      </x:c>
      <x:c r="B101" s="30" t="str">
        <x:v>Dark Skies</x:v>
      </x:c>
      <x:c r="C101" s="30" t="str">
        <x:v>Egypt</x:v>
      </x:c>
      <x:c r="D101" s="30" t="str">
        <x:v>Libya</x:v>
      </x:c>
      <x:c r="E101" s="30" t="str">
        <x:v>Project unlock</x:v>
      </x:c>
      <x:c r="F101" s="30" t="str">
        <x:v>United Arab League</x:v>
      </x:c>
      <x:c r="G101" s="30" t="str">
        <x:v>No</x:v>
      </x:c>
      <x:c r="H101" s="30" t="str">
        <x:v>Ordinary claim</x:v>
      </x:c>
      <x:c r="I101" s="31" t="n">
        <x:f>IF(G101="Yes",'Controls &amp; Summary'!$B$5,'Controls &amp; Summary'!$B$4)</x:f>
        <x:v>6</x:v>
      </x:c>
      <x:c r="J101" s="31" t="n">
        <x:v>3.89</x:v>
      </x:c>
      <x:c r="K101" s="31" t="n">
        <x:v>1.84</x:v>
      </x:c>
      <x:c r="L101" s="31" t="n">
        <x:f>ABS(J101-K101)</x:f>
        <x:v>2.05</x:v>
      </x:c>
      <x:c r="M101" s="31" t="n">
        <x:v>4.18</x:v>
      </x:c>
      <x:c r="N101" s="31" t="n">
        <x:v>3.29</x:v>
      </x:c>
      <x:c r="O101" s="31" t="n">
        <x:f>ABS(M101-N101)</x:f>
        <x:v>0.8899999999999997</x:v>
      </x:c>
      <x:c r="P101" s="31" t="n">
        <x:v>5.62</x:v>
      </x:c>
      <x:c r="Q101" s="31" t="n">
        <x:v>6.67</x:v>
      </x:c>
      <x:c r="R101" s="31" t="n">
        <x:f>ABS(P101-Q101)</x:f>
        <x:v>1.0499999999999998</x:v>
      </x:c>
      <x:c r="S101" s="32" t="n">
        <x:v>3623.4100115899664</x:v>
      </x:c>
      <x:c r="T101" s="32" t="n">
        <x:v>10275.080370174883</x:v>
      </x:c>
      <x:c r="U101" s="31" t="n">
        <x:f>MAX(S101/T101,T101/S101)</x:f>
        <x:v>2.835748738704328</x:v>
      </x:c>
      <x:c r="V101" s="31" t="n">
        <x:f>L101*'Controls &amp; Summary'!$B$9+O101*'Controls &amp; Summary'!$B$10+R101*'Controls &amp; Summary'!$B$11+U101*'Controls &amp; Summary'!$B$12</x:f>
        <x:v>6.825748738704327</x:v>
      </x:c>
      <x:c r="W101" s="31" t="n">
        <x:v>0.67</x:v>
      </x:c>
      <x:c r="X101" s="31" t="n">
        <x:v>4.5</x:v>
      </x:c>
      <x:c r="Y101" s="31" t="n">
        <x:f>((10-MIN(10,MAX(0,X101)))/10)*'Controls &amp; Summary'!$B$15+((10-MIN(10,MAX(0,W101)))/10)*'Controls &amp; Summary'!$B$16</x:f>
        <x:v>1.483</x:v>
      </x:c>
      <x:c r="Z101" s="31" t="n">
        <x:f>V101*Y101</x:f>
        <x:v>10.122585379498517</x:v>
      </x:c>
      <x:c r="AA101" s="30" t="str">
        <x:f>IF(Z101&lt;=I101,"Peaceful","Hostile")</x:f>
        <x:v>Hostile</x:v>
      </x:c>
      <x:c r="AB101" s="30" t="str">
        <x:f>IF(Z101&lt;='Controls &amp; Summary'!$B$6,"Eligible","Blocked")</x:f>
        <x:v>Eligible</x:v>
      </x:c>
      <x:c r="AC101" s="30" t="str">
        <x:v>2003_EGY</x:v>
      </x:c>
      <x:c r="AD101" s="30" t="str">
        <x:v>2003_LBY</x:v>
      </x:c>
      <x:c r="AE101" s="30" t="str">
        <x:v>2003_Libya</x:v>
      </x:c>
      <x:c r="AF101" s="30" t="str">
        <x:v>Explicit capitalClaim</x:v>
      </x:c>
      <x:c r="AG101" s="30" t="str">
        <x:v>Claim2003_EGY2003_Libya</x:v>
      </x:c>
      <x:c r="AH101" s="30" t="str">
        <x:v>Project_UnitedArabLeague</x:v>
      </x:c>
    </x:row>
    <x:row r="102">
      <x:c r="A102" s="30" t="str">
        <x:v>2003</x:v>
      </x:c>
      <x:c r="B102" s="30" t="str">
        <x:v>Dark Skies</x:v>
      </x:c>
      <x:c r="C102" s="30" t="str">
        <x:v>Egypt</x:v>
      </x:c>
      <x:c r="D102" s="30" t="str">
        <x:v>Mauritania</x:v>
      </x:c>
      <x:c r="E102" s="30" t="str">
        <x:v>Project unlock</x:v>
      </x:c>
      <x:c r="F102" s="30" t="str">
        <x:v>United Arab League</x:v>
      </x:c>
      <x:c r="G102" s="30" t="str">
        <x:v>No</x:v>
      </x:c>
      <x:c r="H102" s="30" t="str">
        <x:v>Ordinary claim</x:v>
      </x:c>
      <x:c r="I102" s="31" t="n">
        <x:f>IF(G102="Yes",'Controls &amp; Summary'!$B$5,'Controls &amp; Summary'!$B$4)</x:f>
        <x:v>6</x:v>
      </x:c>
      <x:c r="J102" s="31" t="n">
        <x:v>3.89</x:v>
      </x:c>
      <x:c r="K102" s="31" t="n">
        <x:v>3.27</x:v>
      </x:c>
      <x:c r="L102" s="31" t="n">
        <x:f>ABS(J102-K102)</x:f>
        <x:v>0.6200000000000001</x:v>
      </x:c>
      <x:c r="M102" s="31" t="n">
        <x:v>4.18</x:v>
      </x:c>
      <x:c r="N102" s="31" t="n">
        <x:v>3.99</x:v>
      </x:c>
      <x:c r="O102" s="31" t="n">
        <x:f>ABS(M102-N102)</x:f>
        <x:v>0.1899999999999995</x:v>
      </x:c>
      <x:c r="P102" s="31" t="n">
        <x:v>5.62</x:v>
      </x:c>
      <x:c r="Q102" s="31" t="n">
        <x:v>3.85</x:v>
      </x:c>
      <x:c r="R102" s="31" t="n">
        <x:f>ABS(P102-Q102)</x:f>
        <x:v>1.77</x:v>
      </x:c>
      <x:c r="S102" s="32" t="n">
        <x:v>3623.4100115899664</x:v>
      </x:c>
      <x:c r="T102" s="32" t="n">
        <x:v>2001.4614802897597</x:v>
      </x:c>
      <x:c r="U102" s="31" t="n">
        <x:f>MAX(S102/T102,T102/S102)</x:f>
        <x:v>1.8103820869264946</x:v>
      </x:c>
      <x:c r="V102" s="31" t="n">
        <x:f>L102*'Controls &amp; Summary'!$B$9+O102*'Controls &amp; Summary'!$B$10+R102*'Controls &amp; Summary'!$B$11+U102*'Controls &amp; Summary'!$B$12</x:f>
        <x:v>4.390382086926494</x:v>
      </x:c>
      <x:c r="W102" s="31" t="n">
        <x:v>0.67</x:v>
      </x:c>
      <x:c r="X102" s="31" t="n">
        <x:v>2.86</x:v>
      </x:c>
      <x:c r="Y102" s="31" t="n">
        <x:f>((10-MIN(10,MAX(0,X102)))/10)*'Controls &amp; Summary'!$B$15+((10-MIN(10,MAX(0,W102)))/10)*'Controls &amp; Summary'!$B$16</x:f>
        <x:v>1.6470000000000002</x:v>
      </x:c>
      <x:c r="Z102" s="31" t="n">
        <x:f>V102*Y102</x:f>
        <x:v>7.230959297167937</x:v>
      </x:c>
      <x:c r="AA102" s="30" t="str">
        <x:f>IF(Z102&lt;=I102,"Peaceful","Hostile")</x:f>
        <x:v>Hostile</x:v>
      </x:c>
      <x:c r="AB102" s="30" t="str">
        <x:f>IF(Z102&lt;='Controls &amp; Summary'!$B$6,"Eligible","Blocked")</x:f>
        <x:v>Eligible</x:v>
      </x:c>
      <x:c r="AC102" s="30" t="str">
        <x:v>2003_EGY</x:v>
      </x:c>
      <x:c r="AD102" s="30" t="str">
        <x:v>2003_MRT</x:v>
      </x:c>
      <x:c r="AE102" s="30" t="str">
        <x:v>2003_Mauritania</x:v>
      </x:c>
      <x:c r="AF102" s="30" t="str">
        <x:v>Explicit capitalClaim</x:v>
      </x:c>
      <x:c r="AG102" s="30" t="str">
        <x:v>Claim2003_EGY2003_Mauritania</x:v>
      </x:c>
      <x:c r="AH102" s="30" t="str">
        <x:v>Project_UnitedArabLeague</x:v>
      </x:c>
    </x:row>
    <x:row r="103">
      <x:c r="A103" s="30" t="str">
        <x:v>2003</x:v>
      </x:c>
      <x:c r="B103" s="30" t="str">
        <x:v>Dark Skies</x:v>
      </x:c>
      <x:c r="C103" s="30" t="str">
        <x:v>Egypt</x:v>
      </x:c>
      <x:c r="D103" s="30" t="str">
        <x:v>Morocco</x:v>
      </x:c>
      <x:c r="E103" s="30" t="str">
        <x:v>Project unlock</x:v>
      </x:c>
      <x:c r="F103" s="30" t="str">
        <x:v>United Arab League</x:v>
      </x:c>
      <x:c r="G103" s="30" t="str">
        <x:v>No</x:v>
      </x:c>
      <x:c r="H103" s="30" t="str">
        <x:v>Ordinary claim</x:v>
      </x:c>
      <x:c r="I103" s="31" t="n">
        <x:f>IF(G103="Yes",'Controls &amp; Summary'!$B$5,'Controls &amp; Summary'!$B$4)</x:f>
        <x:v>6</x:v>
      </x:c>
      <x:c r="J103" s="31" t="n">
        <x:v>3.89</x:v>
      </x:c>
      <x:c r="K103" s="31" t="n">
        <x:v>3.86</x:v>
      </x:c>
      <x:c r="L103" s="31" t="n">
        <x:f>ABS(J103-K103)</x:f>
        <x:v>0.03000000000000025</x:v>
      </x:c>
      <x:c r="M103" s="31" t="n">
        <x:v>4.18</x:v>
      </x:c>
      <x:c r="N103" s="31" t="n">
        <x:v>4.08</x:v>
      </x:c>
      <x:c r="O103" s="31" t="n">
        <x:f>ABS(M103-N103)</x:f>
        <x:v>0.09999999999999964</x:v>
      </x:c>
      <x:c r="P103" s="31" t="n">
        <x:v>5.62</x:v>
      </x:c>
      <x:c r="Q103" s="31" t="n">
        <x:v>4.7</x:v>
      </x:c>
      <x:c r="R103" s="31" t="n">
        <x:f>ABS(P103-Q103)</x:f>
        <x:v>0.9199999999999999</x:v>
      </x:c>
      <x:c r="S103" s="32" t="n">
        <x:v>3623.4100115899664</x:v>
      </x:c>
      <x:c r="T103" s="32" t="n">
        <x:v>2531.308899658674</x:v>
      </x:c>
      <x:c r="U103" s="31" t="n">
        <x:f>MAX(S103/T103,T103/S103)</x:f>
        <x:v>1.4314373137464784</x:v>
      </x:c>
      <x:c r="V103" s="31" t="n">
        <x:f>L103*'Controls &amp; Summary'!$B$9+O103*'Controls &amp; Summary'!$B$10+R103*'Controls &amp; Summary'!$B$11+U103*'Controls &amp; Summary'!$B$12</x:f>
        <x:v>2.4814373137464782</x:v>
      </x:c>
      <x:c r="W103" s="31" t="n">
        <x:v>0.67</x:v>
      </x:c>
      <x:c r="X103" s="31" t="n">
        <x:v>2.55</x:v>
      </x:c>
      <x:c r="Y103" s="31" t="n">
        <x:f>((10-MIN(10,MAX(0,X103)))/10)*'Controls &amp; Summary'!$B$15+((10-MIN(10,MAX(0,W103)))/10)*'Controls &amp; Summary'!$B$16</x:f>
        <x:v>1.678</x:v>
      </x:c>
      <x:c r="Z103" s="31" t="n">
        <x:f>V103*Y103</x:f>
        <x:v>4.16385181246659</x:v>
      </x:c>
      <x:c r="AA103" s="30" t="str">
        <x:f>IF(Z103&lt;=I103,"Peaceful","Hostile")</x:f>
        <x:v>Peaceful</x:v>
      </x:c>
      <x:c r="AB103" s="30" t="str">
        <x:f>IF(Z103&lt;='Controls &amp; Summary'!$B$6,"Eligible","Blocked")</x:f>
        <x:v>Eligible</x:v>
      </x:c>
      <x:c r="AC103" s="30" t="str">
        <x:v>2003_EGY</x:v>
      </x:c>
      <x:c r="AD103" s="30" t="str">
        <x:v>2003_MAR</x:v>
      </x:c>
      <x:c r="AE103" s="30" t="str">
        <x:v>2003_Rabat</x:v>
      </x:c>
      <x:c r="AF103" s="30" t="str">
        <x:v>Explicit capitalClaim</x:v>
      </x:c>
      <x:c r="AG103" s="30" t="str">
        <x:v>Claim2003_EGY2003_Rabat</x:v>
      </x:c>
      <x:c r="AH103" s="30" t="str">
        <x:v>Project_UnitedArabLeague</x:v>
      </x:c>
    </x:row>
    <x:row r="104">
      <x:c r="A104" s="30" t="str">
        <x:v>2003</x:v>
      </x:c>
      <x:c r="B104" s="30" t="str">
        <x:v>Dark Skies</x:v>
      </x:c>
      <x:c r="C104" s="30" t="str">
        <x:v>Egypt</x:v>
      </x:c>
      <x:c r="D104" s="30" t="str">
        <x:v>Oman</x:v>
      </x:c>
      <x:c r="E104" s="30" t="str">
        <x:v>Project unlock</x:v>
      </x:c>
      <x:c r="F104" s="30" t="str">
        <x:v>United Arab League</x:v>
      </x:c>
      <x:c r="G104" s="30" t="str">
        <x:v>No</x:v>
      </x:c>
      <x:c r="H104" s="30" t="str">
        <x:v>Ordinary claim</x:v>
      </x:c>
      <x:c r="I104" s="31" t="n">
        <x:f>IF(G104="Yes",'Controls &amp; Summary'!$B$5,'Controls &amp; Summary'!$B$4)</x:f>
        <x:v>6</x:v>
      </x:c>
      <x:c r="J104" s="31" t="n">
        <x:v>3.89</x:v>
      </x:c>
      <x:c r="K104" s="31" t="n">
        <x:v>2.74</x:v>
      </x:c>
      <x:c r="L104" s="31" t="n">
        <x:f>ABS(J104-K104)</x:f>
        <x:v>1.15</x:v>
      </x:c>
      <x:c r="M104" s="31" t="n">
        <x:v>4.18</x:v>
      </x:c>
      <x:c r="N104" s="31" t="n">
        <x:v>3.76</x:v>
      </x:c>
      <x:c r="O104" s="31" t="n">
        <x:f>ABS(M104-N104)</x:f>
        <x:v>0.41999999999999993</x:v>
      </x:c>
      <x:c r="P104" s="31" t="n">
        <x:v>5.62</x:v>
      </x:c>
      <x:c r="Q104" s="31" t="n">
        <x:v>6.67</x:v>
      </x:c>
      <x:c r="R104" s="31" t="n">
        <x:f>ABS(P104-Q104)</x:f>
        <x:v>1.0499999999999998</x:v>
      </x:c>
      <x:c r="S104" s="32" t="n">
        <x:v>3623.4100115899664</x:v>
      </x:c>
      <x:c r="T104" s="32" t="n">
        <x:v>16140.160480853678</x:v>
      </x:c>
      <x:c r="U104" s="31" t="n">
        <x:f>MAX(S104/T104,T104/S104)</x:f>
        <x:v>4.454411846638165</x:v>
      </x:c>
      <x:c r="V104" s="31" t="n">
        <x:f>L104*'Controls &amp; Summary'!$B$9+O104*'Controls &amp; Summary'!$B$10+R104*'Controls &amp; Summary'!$B$11+U104*'Controls &amp; Summary'!$B$12</x:f>
        <x:v>7.074411846638165</x:v>
      </x:c>
      <x:c r="W104" s="31" t="n">
        <x:v>0.67</x:v>
      </x:c>
      <x:c r="X104" s="31" t="n">
        <x:v>1.49</x:v>
      </x:c>
      <x:c r="Y104" s="31" t="n">
        <x:f>((10-MIN(10,MAX(0,X104)))/10)*'Controls &amp; Summary'!$B$15+((10-MIN(10,MAX(0,W104)))/10)*'Controls &amp; Summary'!$B$16</x:f>
        <x:v>1.784</x:v>
      </x:c>
      <x:c r="Z104" s="31" t="n">
        <x:f>V104*Y104</x:f>
        <x:v>12.620750734402487</x:v>
      </x:c>
      <x:c r="AA104" s="30" t="str">
        <x:f>IF(Z104&lt;=I104,"Peaceful","Hostile")</x:f>
        <x:v>Hostile</x:v>
      </x:c>
      <x:c r="AB104" s="30" t="str">
        <x:f>IF(Z104&lt;='Controls &amp; Summary'!$B$6,"Eligible","Blocked")</x:f>
        <x:v>Blocked</x:v>
      </x:c>
      <x:c r="AC104" s="30" t="str">
        <x:v>2003_EGY</x:v>
      </x:c>
      <x:c r="AD104" s="30" t="str">
        <x:v>2003_OMN</x:v>
      </x:c>
      <x:c r="AE104" s="30" t="str">
        <x:v>2003_Oman</x:v>
      </x:c>
      <x:c r="AF104" s="30" t="str">
        <x:v>Explicit capitalClaim</x:v>
      </x:c>
      <x:c r="AG104" s="30" t="str">
        <x:v>Claim2003_EGY2003_Oman</x:v>
      </x:c>
      <x:c r="AH104" s="30" t="str">
        <x:v>Project_UnitedArabLeague</x:v>
      </x:c>
    </x:row>
    <x:row r="105">
      <x:c r="A105" s="30" t="str">
        <x:v>2003</x:v>
      </x:c>
      <x:c r="B105" s="30" t="str">
        <x:v>Dark Skies</x:v>
      </x:c>
      <x:c r="C105" s="30" t="str">
        <x:v>Egypt</x:v>
      </x:c>
      <x:c r="D105" s="30" t="str">
        <x:v>Palestine</x:v>
      </x:c>
      <x:c r="E105" s="30" t="str">
        <x:v>Project unlock</x:v>
      </x:c>
      <x:c r="F105" s="30" t="str">
        <x:v>United Arab League</x:v>
      </x:c>
      <x:c r="G105" s="30" t="str">
        <x:v>No</x:v>
      </x:c>
      <x:c r="H105" s="30" t="str">
        <x:v>Ordinary claim</x:v>
      </x:c>
      <x:c r="I105" s="31" t="n">
        <x:f>IF(G105="Yes",'Controls &amp; Summary'!$B$5,'Controls &amp; Summary'!$B$4)</x:f>
        <x:v>6</x:v>
      </x:c>
      <x:c r="J105" s="31" t="n">
        <x:v>3.89</x:v>
      </x:c>
      <x:c r="K105" s="31" t="n">
        <x:v>5.87</x:v>
      </x:c>
      <x:c r="L105" s="31" t="n">
        <x:f>ABS(J105-K105)</x:f>
        <x:v>1.98</x:v>
      </x:c>
      <x:c r="M105" s="31" t="n">
        <x:v>4.18</x:v>
      </x:c>
      <x:c r="N105" s="31" t="n">
        <x:v>3.94</x:v>
      </x:c>
      <x:c r="O105" s="31" t="n">
        <x:f>ABS(M105-N105)</x:f>
        <x:v>0.23999999999999977</x:v>
      </x:c>
      <x:c r="P105" s="31" t="n">
        <x:v>5.62</x:v>
      </x:c>
      <x:c r="Q105" s="31" t="n">
        <x:v>5.74</x:v>
      </x:c>
      <x:c r="R105" s="31" t="n">
        <x:f>ABS(P105-Q105)</x:f>
        <x:v>0.1200000000000001</x:v>
      </x:c>
      <x:c r="S105" s="32" t="n">
        <x:v>3623.4100115899664</x:v>
      </x:c>
      <x:c r="T105" s="32" t="n">
        <x:v>1505.3264582542442</x:v>
      </x:c>
      <x:c r="U105" s="31" t="n">
        <x:f>MAX(S105/T105,T105/S105)</x:f>
        <x:v>2.4070592739013597</x:v>
      </x:c>
      <x:c r="V105" s="31" t="n">
        <x:f>L105*'Controls &amp; Summary'!$B$9+O105*'Controls &amp; Summary'!$B$10+R105*'Controls &amp; Summary'!$B$11+U105*'Controls &amp; Summary'!$B$12</x:f>
        <x:v>4.7470592739013595</x:v>
      </x:c>
      <x:c r="W105" s="31" t="n">
        <x:v>0.67</x:v>
      </x:c>
      <x:c r="X105" s="31" t="n">
        <x:v>4.19</x:v>
      </x:c>
      <x:c r="Y105" s="31" t="n">
        <x:f>((10-MIN(10,MAX(0,X105)))/10)*'Controls &amp; Summary'!$B$15+((10-MIN(10,MAX(0,W105)))/10)*'Controls &amp; Summary'!$B$16</x:f>
        <x:v>1.514</x:v>
      </x:c>
      <x:c r="Z105" s="31" t="n">
        <x:f>V105*Y105</x:f>
        <x:v>7.187047740686658</x:v>
      </x:c>
      <x:c r="AA105" s="30" t="str">
        <x:f>IF(Z105&lt;=I105,"Peaceful","Hostile")</x:f>
        <x:v>Hostile</x:v>
      </x:c>
      <x:c r="AB105" s="30" t="str">
        <x:f>IF(Z105&lt;='Controls &amp; Summary'!$B$6,"Eligible","Blocked")</x:f>
        <x:v>Eligible</x:v>
      </x:c>
      <x:c r="AC105" s="30" t="str">
        <x:v>2003_EGY</x:v>
      </x:c>
      <x:c r="AD105" s="30" t="str">
        <x:v>2003_PAL</x:v>
      </x:c>
      <x:c r="AE105" s="30" t="str">
        <x:v>2003_Palestine</x:v>
      </x:c>
      <x:c r="AF105" s="30" t="str">
        <x:v>Explicit capitalClaim</x:v>
      </x:c>
      <x:c r="AG105" s="30" t="str">
        <x:v>Claim2003_EGY2003_Palestine</x:v>
      </x:c>
      <x:c r="AH105" s="30" t="str">
        <x:v>Project_UnitedArabLeague</x:v>
      </x:c>
    </x:row>
    <x:row r="106">
      <x:c r="A106" s="30" t="str">
        <x:v>2003</x:v>
      </x:c>
      <x:c r="B106" s="30" t="str">
        <x:v>Dark Skies</x:v>
      </x:c>
      <x:c r="C106" s="30" t="str">
        <x:v>Egypt</x:v>
      </x:c>
      <x:c r="D106" s="30" t="str">
        <x:v>Saudi Arabia</x:v>
      </x:c>
      <x:c r="E106" s="30" t="str">
        <x:v>Project unlock</x:v>
      </x:c>
      <x:c r="F106" s="30" t="str">
        <x:v>United Arab League</x:v>
      </x:c>
      <x:c r="G106" s="30" t="str">
        <x:v>No</x:v>
      </x:c>
      <x:c r="H106" s="30" t="str">
        <x:v>Ordinary claim</x:v>
      </x:c>
      <x:c r="I106" s="31" t="n">
        <x:f>IF(G106="Yes",'Controls &amp; Summary'!$B$5,'Controls &amp; Summary'!$B$4)</x:f>
        <x:v>6</x:v>
      </x:c>
      <x:c r="J106" s="31" t="n">
        <x:v>3.89</x:v>
      </x:c>
      <x:c r="K106" s="31" t="n">
        <x:v>1.9</x:v>
      </x:c>
      <x:c r="L106" s="31" t="n">
        <x:f>ABS(J106-K106)</x:f>
        <x:v>1.9900000000000002</x:v>
      </x:c>
      <x:c r="M106" s="31" t="n">
        <x:v>4.18</x:v>
      </x:c>
      <x:c r="N106" s="31" t="n">
        <x:v>4.71</x:v>
      </x:c>
      <x:c r="O106" s="31" t="n">
        <x:f>ABS(M106-N106)</x:f>
        <x:v>0.5300000000000002</x:v>
      </x:c>
      <x:c r="P106" s="31" t="n">
        <x:v>5.62</x:v>
      </x:c>
      <x:c r="Q106" s="31" t="n">
        <x:v>6.93</x:v>
      </x:c>
      <x:c r="R106" s="31" t="n">
        <x:f>ABS(P106-Q106)</x:f>
        <x:v>1.3099999999999996</x:v>
      </x:c>
      <x:c r="S106" s="32" t="n">
        <x:v>3623.4100115899664</x:v>
      </x:c>
      <x:c r="T106" s="32" t="n">
        <x:v>21190.6342784791</x:v>
      </x:c>
      <x:c r="U106" s="31" t="n">
        <x:f>MAX(S106/T106,T106/S106)</x:f>
        <x:v>5.848257362732342</x:v>
      </x:c>
      <x:c r="V106" s="31" t="n">
        <x:f>L106*'Controls &amp; Summary'!$B$9+O106*'Controls &amp; Summary'!$B$10+R106*'Controls &amp; Summary'!$B$11+U106*'Controls &amp; Summary'!$B$12</x:f>
        <x:v>9.678257362732342</x:v>
      </x:c>
      <x:c r="W106" s="31" t="n">
        <x:v>0.67</x:v>
      </x:c>
      <x:c r="X106" s="31" t="n">
        <x:v>4.56</x:v>
      </x:c>
      <x:c r="Y106" s="31" t="n">
        <x:f>((10-MIN(10,MAX(0,X106)))/10)*'Controls &amp; Summary'!$B$15+((10-MIN(10,MAX(0,W106)))/10)*'Controls &amp; Summary'!$B$16</x:f>
        <x:v>1.477</x:v>
      </x:c>
      <x:c r="Z106" s="31" t="n">
        <x:f>V106*Y106</x:f>
        <x:v>14.294786124755671</x:v>
      </x:c>
      <x:c r="AA106" s="30" t="str">
        <x:f>IF(Z106&lt;=I106,"Peaceful","Hostile")</x:f>
        <x:v>Hostile</x:v>
      </x:c>
      <x:c r="AB106" s="30" t="str">
        <x:f>IF(Z106&lt;='Controls &amp; Summary'!$B$6,"Eligible","Blocked")</x:f>
        <x:v>Blocked</x:v>
      </x:c>
      <x:c r="AC106" s="30" t="str">
        <x:v>2003_EGY</x:v>
      </x:c>
      <x:c r="AD106" s="30" t="str">
        <x:v>2003_SAU</x:v>
      </x:c>
      <x:c r="AE106" s="30" t="str">
        <x:v>2003_Najd</x:v>
      </x:c>
      <x:c r="AF106" s="30" t="str">
        <x:v>Explicit capitalClaim</x:v>
      </x:c>
      <x:c r="AG106" s="30" t="str">
        <x:v>Claim2003_EGY2003_Najd</x:v>
      </x:c>
      <x:c r="AH106" s="30" t="str">
        <x:v>Project_UnitedArabLeague</x:v>
      </x:c>
    </x:row>
    <x:row r="107">
      <x:c r="A107" s="30" t="str">
        <x:v>2003</x:v>
      </x:c>
      <x:c r="B107" s="30" t="str">
        <x:v>Dark Skies</x:v>
      </x:c>
      <x:c r="C107" s="30" t="str">
        <x:v>Egypt</x:v>
      </x:c>
      <x:c r="D107" s="30" t="str">
        <x:v>Somalia</x:v>
      </x:c>
      <x:c r="E107" s="30" t="str">
        <x:v>Project unlock</x:v>
      </x:c>
      <x:c r="F107" s="30" t="str">
        <x:v>United Arab League</x:v>
      </x:c>
      <x:c r="G107" s="30" t="str">
        <x:v>No</x:v>
      </x:c>
      <x:c r="H107" s="30" t="str">
        <x:v>Ordinary claim</x:v>
      </x:c>
      <x:c r="I107" s="31" t="n">
        <x:f>IF(G107="Yes",'Controls &amp; Summary'!$B$5,'Controls &amp; Summary'!$B$4)</x:f>
        <x:v>6</x:v>
      </x:c>
      <x:c r="J107" s="31" t="n">
        <x:v>3.89</x:v>
      </x:c>
      <x:c r="K107" s="31" t="n">
        <x:v>2.68</x:v>
      </x:c>
      <x:c r="L107" s="31" t="n">
        <x:f>ABS(J107-K107)</x:f>
        <x:v>1.21</x:v>
      </x:c>
      <x:c r="M107" s="31" t="n">
        <x:v>4.18</x:v>
      </x:c>
      <x:c r="N107" s="31" t="n">
        <x:v>3.56</x:v>
      </x:c>
      <x:c r="O107" s="31" t="n">
        <x:f>ABS(M107-N107)</x:f>
        <x:v>0.6199999999999997</x:v>
      </x:c>
      <x:c r="P107" s="31" t="n">
        <x:v>5.62</x:v>
      </x:c>
      <x:c r="Q107" s="31" t="n">
        <x:v>2.78</x:v>
      </x:c>
      <x:c r="R107" s="31" t="n">
        <x:f>ABS(P107-Q107)</x:f>
        <x:v>2.8400000000000003</x:v>
      </x:c>
      <x:c r="S107" s="32" t="n">
        <x:v>3623.4100115899664</x:v>
      </x:c>
      <x:c r="T107" s="32" t="n">
        <x:v>547.374154839128</x:v>
      </x:c>
      <x:c r="U107" s="31" t="n">
        <x:f>MAX(S107/T107,T107/S107)</x:f>
        <x:v>6.6196220255501075</x:v>
      </x:c>
      <x:c r="V107" s="31" t="n">
        <x:f>L107*'Controls &amp; Summary'!$B$9+O107*'Controls &amp; Summary'!$B$10+R107*'Controls &amp; Summary'!$B$11+U107*'Controls &amp; Summary'!$B$12</x:f>
        <x:v>11.289622025550107</x:v>
      </x:c>
      <x:c r="W107" s="31" t="n">
        <x:v>0.67</x:v>
      </x:c>
      <x:c r="X107" s="31" t="n">
        <x:v>9.8</x:v>
      </x:c>
      <x:c r="Y107" s="31" t="n">
        <x:f>((10-MIN(10,MAX(0,X107)))/10)*'Controls &amp; Summary'!$B$15+((10-MIN(10,MAX(0,W107)))/10)*'Controls &amp; Summary'!$B$16</x:f>
        <x:v>0.953</x:v>
      </x:c>
      <x:c r="Z107" s="31" t="n">
        <x:f>V107*Y107</x:f>
        <x:v>10.759009790349252</x:v>
      </x:c>
      <x:c r="AA107" s="30" t="str">
        <x:f>IF(Z107&lt;=I107,"Peaceful","Hostile")</x:f>
        <x:v>Hostile</x:v>
      </x:c>
      <x:c r="AB107" s="30" t="str">
        <x:f>IF(Z107&lt;='Controls &amp; Summary'!$B$6,"Eligible","Blocked")</x:f>
        <x:v>Eligible</x:v>
      </x:c>
      <x:c r="AC107" s="30" t="str">
        <x:v>2003_EGY</x:v>
      </x:c>
      <x:c r="AD107" s="30" t="str">
        <x:v>2003_SOM</x:v>
      </x:c>
      <x:c r="AE107" s="30" t="str">
        <x:v>2003_Somalia</x:v>
      </x:c>
      <x:c r="AF107" s="30" t="str">
        <x:v>Explicit capitalClaim</x:v>
      </x:c>
      <x:c r="AG107" s="30" t="str">
        <x:v>Claim2003_EGY2003_Somalia</x:v>
      </x:c>
      <x:c r="AH107" s="30" t="str">
        <x:v>Project_UnitedArabLeague</x:v>
      </x:c>
    </x:row>
    <x:row r="108">
      <x:c r="A108" s="30" t="str">
        <x:v>2003</x:v>
      </x:c>
      <x:c r="B108" s="30" t="str">
        <x:v>Dark Skies</x:v>
      </x:c>
      <x:c r="C108" s="30" t="str">
        <x:v>Egypt</x:v>
      </x:c>
      <x:c r="D108" s="30" t="str">
        <x:v>Sudan</x:v>
      </x:c>
      <x:c r="E108" s="30" t="str">
        <x:v>Project unlock</x:v>
      </x:c>
      <x:c r="F108" s="30" t="str">
        <x:v>United Arab League</x:v>
      </x:c>
      <x:c r="G108" s="30" t="str">
        <x:v>No</x:v>
      </x:c>
      <x:c r="H108" s="30" t="str">
        <x:v>Ordinary claim</x:v>
      </x:c>
      <x:c r="I108" s="31" t="n">
        <x:f>IF(G108="Yes",'Controls &amp; Summary'!$B$5,'Controls &amp; Summary'!$B$4)</x:f>
        <x:v>6</x:v>
      </x:c>
      <x:c r="J108" s="31" t="n">
        <x:v>3.89</x:v>
      </x:c>
      <x:c r="K108" s="31" t="n">
        <x:v>2.7</x:v>
      </x:c>
      <x:c r="L108" s="31" t="n">
        <x:f>ABS(J108-K108)</x:f>
        <x:v>1.19</x:v>
      </x:c>
      <x:c r="M108" s="31" t="n">
        <x:v>4.18</x:v>
      </x:c>
      <x:c r="N108" s="31" t="n">
        <x:v>4.89</x:v>
      </x:c>
      <x:c r="O108" s="31" t="n">
        <x:f>ABS(M108-N108)</x:f>
        <x:v>0.71</x:v>
      </x:c>
      <x:c r="P108" s="31" t="n">
        <x:v>5.62</x:v>
      </x:c>
      <x:c r="Q108" s="31" t="n">
        <x:v>3.56</x:v>
      </x:c>
      <x:c r="R108" s="31" t="n">
        <x:f>ABS(P108-Q108)</x:f>
        <x:v>2.06</x:v>
      </x:c>
      <x:c r="S108" s="32" t="n">
        <x:v>3623.4100115899664</x:v>
      </x:c>
      <x:c r="T108" s="32" t="n">
        <x:v>1825.6199503401738</x:v>
      </x:c>
      <x:c r="U108" s="31" t="n">
        <x:f>MAX(S108/T108,T108/S108)</x:f>
        <x:v>1.9847559240984436</x:v>
      </x:c>
      <x:c r="V108" s="31" t="n">
        <x:f>L108*'Controls &amp; Summary'!$B$9+O108*'Controls &amp; Summary'!$B$10+R108*'Controls &amp; Summary'!$B$11+U108*'Controls &amp; Summary'!$B$12</x:f>
        <x:v>5.944755924098444</x:v>
      </x:c>
      <x:c r="W108" s="31" t="n">
        <x:v>0.67</x:v>
      </x:c>
      <x:c r="X108" s="31" t="n">
        <x:v>5.79</x:v>
      </x:c>
      <x:c r="Y108" s="31" t="n">
        <x:f>((10-MIN(10,MAX(0,X108)))/10)*'Controls &amp; Summary'!$B$15+((10-MIN(10,MAX(0,W108)))/10)*'Controls &amp; Summary'!$B$16</x:f>
        <x:v>1.354</x:v>
      </x:c>
      <x:c r="Z108" s="31" t="n">
        <x:f>V108*Y108</x:f>
        <x:v>8.049199521229294</x:v>
      </x:c>
      <x:c r="AA108" s="30" t="str">
        <x:f>IF(Z108&lt;=I108,"Peaceful","Hostile")</x:f>
        <x:v>Hostile</x:v>
      </x:c>
      <x:c r="AB108" s="30" t="str">
        <x:f>IF(Z108&lt;='Controls &amp; Summary'!$B$6,"Eligible","Blocked")</x:f>
        <x:v>Eligible</x:v>
      </x:c>
      <x:c r="AC108" s="30" t="str">
        <x:v>2003_EGY</x:v>
      </x:c>
      <x:c r="AD108" s="30" t="str">
        <x:v>2003_SDN</x:v>
      </x:c>
      <x:c r="AE108" s="30" t="str">
        <x:v>2003_Sudan</x:v>
      </x:c>
      <x:c r="AF108" s="30" t="str">
        <x:v>Explicit capitalClaim</x:v>
      </x:c>
      <x:c r="AG108" s="30" t="str">
        <x:v>Claim2003_EGY2003_Sudan</x:v>
      </x:c>
      <x:c r="AH108" s="30" t="str">
        <x:v>Project_UnitedArabLeague</x:v>
      </x:c>
    </x:row>
    <x:row r="109">
      <x:c r="A109" s="30" t="str">
        <x:v>2003</x:v>
      </x:c>
      <x:c r="B109" s="30" t="str">
        <x:v>Dark Skies</x:v>
      </x:c>
      <x:c r="C109" s="30" t="str">
        <x:v>Egypt</x:v>
      </x:c>
      <x:c r="D109" s="30" t="str">
        <x:v>Syria</x:v>
      </x:c>
      <x:c r="E109" s="30" t="str">
        <x:v>Project unlock</x:v>
      </x:c>
      <x:c r="F109" s="30" t="str">
        <x:v>United Arab League</x:v>
      </x:c>
      <x:c r="G109" s="30" t="str">
        <x:v>No</x:v>
      </x:c>
      <x:c r="H109" s="30" t="str">
        <x:v>Ordinary claim</x:v>
      </x:c>
      <x:c r="I109" s="31" t="n">
        <x:f>IF(G109="Yes",'Controls &amp; Summary'!$B$5,'Controls &amp; Summary'!$B$4)</x:f>
        <x:v>6</x:v>
      </x:c>
      <x:c r="J109" s="31" t="n">
        <x:v>3.89</x:v>
      </x:c>
      <x:c r="K109" s="31" t="n">
        <x:v>2.36</x:v>
      </x:c>
      <x:c r="L109" s="31" t="n">
        <x:f>ABS(J109-K109)</x:f>
        <x:v>1.5300000000000002</x:v>
      </x:c>
      <x:c r="M109" s="31" t="n">
        <x:v>4.18</x:v>
      </x:c>
      <x:c r="N109" s="31" t="n">
        <x:v>3.65</x:v>
      </x:c>
      <x:c r="O109" s="31" t="n">
        <x:f>ABS(M109-N109)</x:f>
        <x:v>0.5299999999999998</x:v>
      </x:c>
      <x:c r="P109" s="31" t="n">
        <x:v>5.62</x:v>
      </x:c>
      <x:c r="Q109" s="31" t="n">
        <x:v>5.38</x:v>
      </x:c>
      <x:c r="R109" s="31" t="n">
        <x:f>ABS(P109-Q109)</x:f>
        <x:v>0.2400000000000002</x:v>
      </x:c>
      <x:c r="S109" s="32" t="n">
        <x:v>3623.4100115899664</x:v>
      </x:c>
      <x:c r="T109" s="32" t="n">
        <x:v>2654.8594897753383</x:v>
      </x:c>
      <x:c r="U109" s="31" t="n">
        <x:f>MAX(S109/T109,T109/S109)</x:f>
        <x:v>1.3648217638427975</x:v>
      </x:c>
      <x:c r="V109" s="31" t="n">
        <x:f>L109*'Controls &amp; Summary'!$B$9+O109*'Controls &amp; Summary'!$B$10+R109*'Controls &amp; Summary'!$B$11+U109*'Controls &amp; Summary'!$B$12</x:f>
        <x:v>3.664821763842798</x:v>
      </x:c>
      <x:c r="W109" s="31" t="n">
        <x:v>0.67</x:v>
      </x:c>
      <x:c r="X109" s="31" t="n">
        <x:v>6.8</x:v>
      </x:c>
      <x:c r="Y109" s="31" t="n">
        <x:f>((10-MIN(10,MAX(0,X109)))/10)*'Controls &amp; Summary'!$B$15+((10-MIN(10,MAX(0,W109)))/10)*'Controls &amp; Summary'!$B$16</x:f>
        <x:v>1.2530000000000001</x:v>
      </x:c>
      <x:c r="Z109" s="31" t="n">
        <x:f>V109*Y109</x:f>
        <x:v>4.5920216700950265</x:v>
      </x:c>
      <x:c r="AA109" s="30" t="str">
        <x:f>IF(Z109&lt;=I109,"Peaceful","Hostile")</x:f>
        <x:v>Peaceful</x:v>
      </x:c>
      <x:c r="AB109" s="30" t="str">
        <x:f>IF(Z109&lt;='Controls &amp; Summary'!$B$6,"Eligible","Blocked")</x:f>
        <x:v>Eligible</x:v>
      </x:c>
      <x:c r="AC109" s="30" t="str">
        <x:v>2003_EGY</x:v>
      </x:c>
      <x:c r="AD109" s="30" t="str">
        <x:v>2003_SYR</x:v>
      </x:c>
      <x:c r="AE109" s="30" t="str">
        <x:v>2003_Syria</x:v>
      </x:c>
      <x:c r="AF109" s="30" t="str">
        <x:v>Explicit capitalClaim</x:v>
      </x:c>
      <x:c r="AG109" s="30" t="str">
        <x:v>Claim2003_EGY2003_Syria</x:v>
      </x:c>
      <x:c r="AH109" s="30" t="str">
        <x:v>Project_UnitedArabLeague</x:v>
      </x:c>
    </x:row>
    <x:row r="110">
      <x:c r="A110" s="30" t="str">
        <x:v>2003</x:v>
      </x:c>
      <x:c r="B110" s="30" t="str">
        <x:v>Dark Skies</x:v>
      </x:c>
      <x:c r="C110" s="30" t="str">
        <x:v>Egypt</x:v>
      </x:c>
      <x:c r="D110" s="30" t="str">
        <x:v>Tunisia</x:v>
      </x:c>
      <x:c r="E110" s="30" t="str">
        <x:v>Project unlock</x:v>
      </x:c>
      <x:c r="F110" s="30" t="str">
        <x:v>United Arab League</x:v>
      </x:c>
      <x:c r="G110" s="30" t="str">
        <x:v>No</x:v>
      </x:c>
      <x:c r="H110" s="30" t="str">
        <x:v>Ordinary claim</x:v>
      </x:c>
      <x:c r="I110" s="31" t="n">
        <x:f>IF(G110="Yes",'Controls &amp; Summary'!$B$5,'Controls &amp; Summary'!$B$4)</x:f>
        <x:v>6</x:v>
      </x:c>
      <x:c r="J110" s="31" t="n">
        <x:v>3.89</x:v>
      </x:c>
      <x:c r="K110" s="31" t="n">
        <x:v>3.05</x:v>
      </x:c>
      <x:c r="L110" s="31" t="n">
        <x:f>ABS(J110-K110)</x:f>
        <x:v>0.8400000000000003</x:v>
      </x:c>
      <x:c r="M110" s="31" t="n">
        <x:v>4.18</x:v>
      </x:c>
      <x:c r="N110" s="31" t="n">
        <x:v>4.04</x:v>
      </x:c>
      <x:c r="O110" s="31" t="n">
        <x:f>ABS(M110-N110)</x:f>
        <x:v>0.13999999999999968</x:v>
      </x:c>
      <x:c r="P110" s="31" t="n">
        <x:v>5.62</x:v>
      </x:c>
      <x:c r="Q110" s="31" t="n">
        <x:v>5.95</x:v>
      </x:c>
      <x:c r="R110" s="31" t="n">
        <x:f>ABS(P110-Q110)</x:f>
        <x:v>0.33000000000000007</x:v>
      </x:c>
      <x:c r="S110" s="32" t="n">
        <x:v>3623.4100115899664</x:v>
      </x:c>
      <x:c r="T110" s="32" t="n">
        <x:v>3806.7083946276034</x:v>
      </x:c>
      <x:c r="U110" s="31" t="n">
        <x:f>MAX(S110/T110,T110/S110)</x:f>
        <x:v>1.050587259639768</x:v>
      </x:c>
      <x:c r="V110" s="31" t="n">
        <x:f>L110*'Controls &amp; Summary'!$B$9+O110*'Controls &amp; Summary'!$B$10+R110*'Controls &amp; Summary'!$B$11+U110*'Controls &amp; Summary'!$B$12</x:f>
        <x:v>2.360587259639768</x:v>
      </x:c>
      <x:c r="W110" s="31" t="n">
        <x:v>0.67</x:v>
      </x:c>
      <x:c r="X110" s="31" t="n">
        <x:v>3.11</x:v>
      </x:c>
      <x:c r="Y110" s="31" t="n">
        <x:f>((10-MIN(10,MAX(0,X110)))/10)*'Controls &amp; Summary'!$B$15+((10-MIN(10,MAX(0,W110)))/10)*'Controls &amp; Summary'!$B$16</x:f>
        <x:v>1.622</x:v>
      </x:c>
      <x:c r="Z110" s="31" t="n">
        <x:f>V110*Y110</x:f>
        <x:v>3.8288725351357042</x:v>
      </x:c>
      <x:c r="AA110" s="30" t="str">
        <x:f>IF(Z110&lt;=I110,"Peaceful","Hostile")</x:f>
        <x:v>Peaceful</x:v>
      </x:c>
      <x:c r="AB110" s="30" t="str">
        <x:f>IF(Z110&lt;='Controls &amp; Summary'!$B$6,"Eligible","Blocked")</x:f>
        <x:v>Eligible</x:v>
      </x:c>
      <x:c r="AC110" s="30" t="str">
        <x:v>2003_EGY</x:v>
      </x:c>
      <x:c r="AD110" s="30" t="str">
        <x:v>2003_TUN</x:v>
      </x:c>
      <x:c r="AE110" s="30" t="str">
        <x:v>2003_Tunisia</x:v>
      </x:c>
      <x:c r="AF110" s="30" t="str">
        <x:v>Explicit capitalClaim</x:v>
      </x:c>
      <x:c r="AG110" s="30" t="str">
        <x:v>Claim2003_EGY2003_Tunisia</x:v>
      </x:c>
      <x:c r="AH110" s="30" t="str">
        <x:v>Project_UnitedArabLeague</x:v>
      </x:c>
    </x:row>
    <x:row r="111">
      <x:c r="A111" s="30" t="str">
        <x:v>2003</x:v>
      </x:c>
      <x:c r="B111" s="30" t="str">
        <x:v>Dark Skies</x:v>
      </x:c>
      <x:c r="C111" s="30" t="str">
        <x:v>Egypt</x:v>
      </x:c>
      <x:c r="D111" s="30" t="str">
        <x:v>United Arab Emirates</x:v>
      </x:c>
      <x:c r="E111" s="30" t="str">
        <x:v>Project unlock</x:v>
      </x:c>
      <x:c r="F111" s="30" t="str">
        <x:v>United Arab League</x:v>
      </x:c>
      <x:c r="G111" s="30" t="str">
        <x:v>No</x:v>
      </x:c>
      <x:c r="H111" s="30" t="str">
        <x:v>Ordinary claim</x:v>
      </x:c>
      <x:c r="I111" s="31" t="n">
        <x:f>IF(G111="Yes",'Controls &amp; Summary'!$B$5,'Controls &amp; Summary'!$B$4)</x:f>
        <x:v>6</x:v>
      </x:c>
      <x:c r="J111" s="31" t="n">
        <x:v>3.89</x:v>
      </x:c>
      <x:c r="K111" s="31" t="n">
        <x:v>2.4</x:v>
      </x:c>
      <x:c r="L111" s="31" t="n">
        <x:f>ABS(J111-K111)</x:f>
        <x:v>1.4900000000000002</x:v>
      </x:c>
      <x:c r="M111" s="31" t="n">
        <x:v>4.18</x:v>
      </x:c>
      <x:c r="N111" s="31" t="n">
        <x:v>3.21</x:v>
      </x:c>
      <x:c r="O111" s="31" t="n">
        <x:f>ABS(M111-N111)</x:f>
        <x:v>0.9699999999999998</x:v>
      </x:c>
      <x:c r="P111" s="31" t="n">
        <x:v>5.62</x:v>
      </x:c>
      <x:c r="Q111" s="31" t="n">
        <x:v>7.45</x:v>
      </x:c>
      <x:c r="R111" s="31" t="n">
        <x:f>ABS(P111-Q111)</x:f>
        <x:v>1.83</x:v>
      </x:c>
      <x:c r="S111" s="32" t="n">
        <x:v>3623.4100115899664</x:v>
      </x:c>
      <x:c r="T111" s="32" t="n">
        <x:v>37418.77571719877</x:v>
      </x:c>
      <x:c r="U111" s="31" t="n">
        <x:f>MAX(S111/T111,T111/S111)</x:f>
        <x:v>10.326950468622032</x:v>
      </x:c>
      <x:c r="V111" s="31" t="n">
        <x:f>L111*'Controls &amp; Summary'!$B$9+O111*'Controls &amp; Summary'!$B$10+R111*'Controls &amp; Summary'!$B$11+U111*'Controls &amp; Summary'!$B$12</x:f>
        <x:v>14.616950468622033</x:v>
      </x:c>
      <x:c r="W111" s="31" t="n">
        <x:v>0.67</x:v>
      </x:c>
      <x:c r="X111" s="31" t="n">
        <x:v>1.14</x:v>
      </x:c>
      <x:c r="Y111" s="31" t="n">
        <x:f>((10-MIN(10,MAX(0,X111)))/10)*'Controls &amp; Summary'!$B$15+((10-MIN(10,MAX(0,W111)))/10)*'Controls &amp; Summary'!$B$16</x:f>
        <x:v>1.819</x:v>
      </x:c>
      <x:c r="Z111" s="31" t="n">
        <x:f>V111*Y111</x:f>
        <x:v>26.588232902423478</x:v>
      </x:c>
      <x:c r="AA111" s="30" t="str">
        <x:f>IF(Z111&lt;=I111,"Peaceful","Hostile")</x:f>
        <x:v>Hostile</x:v>
      </x:c>
      <x:c r="AB111" s="30" t="str">
        <x:f>IF(Z111&lt;='Controls &amp; Summary'!$B$6,"Eligible","Blocked")</x:f>
        <x:v>Blocked</x:v>
      </x:c>
      <x:c r="AC111" s="30" t="str">
        <x:v>2003_EGY</x:v>
      </x:c>
      <x:c r="AD111" s="30" t="str">
        <x:v>2003_UAE</x:v>
      </x:c>
      <x:c r="AE111" s="30" t="str">
        <x:v>2003_Dubai</x:v>
      </x:c>
      <x:c r="AF111" s="30" t="str">
        <x:v>Explicit capitalClaim</x:v>
      </x:c>
      <x:c r="AG111" s="30" t="str">
        <x:v>Claim2003_EGY2003_Dubai</x:v>
      </x:c>
      <x:c r="AH111" s="30" t="str">
        <x:v>Project_UnitedArabLeague</x:v>
      </x:c>
    </x:row>
    <x:row r="112">
      <x:c r="A112" s="30" t="str">
        <x:v>2003</x:v>
      </x:c>
      <x:c r="B112" s="30" t="str">
        <x:v>Dark Skies</x:v>
      </x:c>
      <x:c r="C112" s="30" t="str">
        <x:v>Egypt</x:v>
      </x:c>
      <x:c r="D112" s="30" t="str">
        <x:v>Yemen</x:v>
      </x:c>
      <x:c r="E112" s="30" t="str">
        <x:v>Project unlock</x:v>
      </x:c>
      <x:c r="F112" s="30" t="str">
        <x:v>United Arab League</x:v>
      </x:c>
      <x:c r="G112" s="30" t="str">
        <x:v>No</x:v>
      </x:c>
      <x:c r="H112" s="30" t="str">
        <x:v>Ordinary claim</x:v>
      </x:c>
      <x:c r="I112" s="31" t="n">
        <x:f>IF(G112="Yes",'Controls &amp; Summary'!$B$5,'Controls &amp; Summary'!$B$4)</x:f>
        <x:v>6</x:v>
      </x:c>
      <x:c r="J112" s="31" t="n">
        <x:v>3.89</x:v>
      </x:c>
      <x:c r="K112" s="31" t="n">
        <x:v>2.96</x:v>
      </x:c>
      <x:c r="L112" s="31" t="n">
        <x:f>ABS(J112-K112)</x:f>
        <x:v>0.9300000000000002</x:v>
      </x:c>
      <x:c r="M112" s="31" t="n">
        <x:v>4.18</x:v>
      </x:c>
      <x:c r="N112" s="31" t="n">
        <x:v>3.66</x:v>
      </x:c>
      <x:c r="O112" s="31" t="n">
        <x:f>ABS(M112-N112)</x:f>
        <x:v>0.5199999999999996</x:v>
      </x:c>
      <x:c r="P112" s="31" t="n">
        <x:v>5.62</x:v>
      </x:c>
      <x:c r="Q112" s="31" t="n">
        <x:v>3.68</x:v>
      </x:c>
      <x:c r="R112" s="31" t="n">
        <x:f>ABS(P112-Q112)</x:f>
        <x:v>1.94</x:v>
      </x:c>
      <x:c r="S112" s="32" t="n">
        <x:v>3623.4100115899664</x:v>
      </x:c>
      <x:c r="T112" s="32" t="n">
        <x:v>1663.2139890892122</x:v>
      </x:c>
      <x:c r="U112" s="31" t="n">
        <x:f>MAX(S112/T112,T112/S112)</x:f>
        <x:v>2.178559124297753</x:v>
      </x:c>
      <x:c r="V112" s="31" t="n">
        <x:f>L112*'Controls &amp; Summary'!$B$9+O112*'Controls &amp; Summary'!$B$10+R112*'Controls &amp; Summary'!$B$11+U112*'Controls &amp; Summary'!$B$12</x:f>
        <x:v>5.568559124297753</x:v>
      </x:c>
      <x:c r="W112" s="31" t="n">
        <x:v>0.67</x:v>
      </x:c>
      <x:c r="X112" s="31" t="n">
        <x:v>4.46</x:v>
      </x:c>
      <x:c r="Y112" s="31" t="n">
        <x:f>((10-MIN(10,MAX(0,X112)))/10)*'Controls &amp; Summary'!$B$15+((10-MIN(10,MAX(0,W112)))/10)*'Controls &amp; Summary'!$B$16</x:f>
        <x:v>1.487</x:v>
      </x:c>
      <x:c r="Z112" s="31" t="n">
        <x:f>V112*Y112</x:f>
        <x:v>8.280447417830759</x:v>
      </x:c>
      <x:c r="AA112" s="30" t="str">
        <x:f>IF(Z112&lt;=I112,"Peaceful","Hostile")</x:f>
        <x:v>Hostile</x:v>
      </x:c>
      <x:c r="AB112" s="30" t="str">
        <x:f>IF(Z112&lt;='Controls &amp; Summary'!$B$6,"Eligible","Blocked")</x:f>
        <x:v>Eligible</x:v>
      </x:c>
      <x:c r="AC112" s="30" t="str">
        <x:v>2003_EGY</x:v>
      </x:c>
      <x:c r="AD112" s="30" t="str">
        <x:v>2003_YEM</x:v>
      </x:c>
      <x:c r="AE112" s="30" t="str">
        <x:v>2003_Yemen</x:v>
      </x:c>
      <x:c r="AF112" s="30" t="str">
        <x:v>Explicit capitalClaim</x:v>
      </x:c>
      <x:c r="AG112" s="30" t="str">
        <x:v>Claim2003_EGY2003_Yemen</x:v>
      </x:c>
      <x:c r="AH112" s="30" t="str">
        <x:v>Project_UnitedArabLeague</x:v>
      </x:c>
    </x:row>
    <x:row r="113">
      <x:c r="A113" s="30" t="str">
        <x:v>2003</x:v>
      </x:c>
      <x:c r="B113" s="30" t="str">
        <x:v>Dark Skies</x:v>
      </x:c>
      <x:c r="C113" s="30" t="str">
        <x:v>Ethiopia</x:v>
      </x:c>
      <x:c r="D113" s="30" t="str">
        <x:v>Algeria</x:v>
      </x:c>
      <x:c r="E113" s="30" t="str">
        <x:v>Project unlock</x:v>
      </x:c>
      <x:c r="F113" s="30" t="str">
        <x:v>Great African Union</x:v>
      </x:c>
      <x:c r="G113" s="30" t="str">
        <x:v>No</x:v>
      </x:c>
      <x:c r="H113" s="30" t="str">
        <x:v>Ordinary claim</x:v>
      </x:c>
      <x:c r="I113" s="31" t="n">
        <x:f>IF(G113="Yes",'Controls &amp; Summary'!$B$5,'Controls &amp; Summary'!$B$4)</x:f>
        <x:v>6</x:v>
      </x:c>
      <x:c r="J113" s="31" t="n">
        <x:v>4.74</x:v>
      </x:c>
      <x:c r="K113" s="31" t="n">
        <x:v>3.15</x:v>
      </x:c>
      <x:c r="L113" s="31" t="n">
        <x:f>ABS(J113-K113)</x:f>
        <x:v>1.5900000000000003</x:v>
      </x:c>
      <x:c r="M113" s="31" t="n">
        <x:v>3.28</x:v>
      </x:c>
      <x:c r="N113" s="31" t="n">
        <x:v>3.55</x:v>
      </x:c>
      <x:c r="O113" s="31" t="n">
        <x:f>ABS(M113-N113)</x:f>
        <x:v>0.27</x:v>
      </x:c>
      <x:c r="P113" s="31" t="n">
        <x:v>2.03</x:v>
      </x:c>
      <x:c r="Q113" s="31" t="n">
        <x:v>5.99</x:v>
      </x:c>
      <x:c r="R113" s="31" t="n">
        <x:f>ABS(P113-Q113)</x:f>
        <x:v>3.9600000000000004</x:v>
      </x:c>
      <x:c r="S113" s="32" t="n">
        <x:v>327.76029228418867</x:v>
      </x:c>
      <x:c r="T113" s="32" t="n">
        <x:v>5060.481949487656</x:v>
      </x:c>
      <x:c r="U113" s="31" t="n">
        <x:f>MAX(S113/T113,T113/S113)</x:f>
        <x:v>15.439582123327805</x:v>
      </x:c>
      <x:c r="V113" s="31" t="n">
        <x:f>L113*'Controls &amp; Summary'!$B$9+O113*'Controls &amp; Summary'!$B$10+R113*'Controls &amp; Summary'!$B$11+U113*'Controls &amp; Summary'!$B$12</x:f>
        <x:v>21.259582123327803</x:v>
      </x:c>
      <x:c r="W113" s="31" t="n">
        <x:v>1.25</x:v>
      </x:c>
      <x:c r="X113" s="31" t="n">
        <x:v>3.86</x:v>
      </x:c>
      <x:c r="Y113" s="31" t="n">
        <x:f>((10-MIN(10,MAX(0,X113)))/10)*'Controls &amp; Summary'!$B$15+((10-MIN(10,MAX(0,W113)))/10)*'Controls &amp; Summary'!$B$16</x:f>
        <x:v>1.489</x:v>
      </x:c>
      <x:c r="Z113" s="31" t="n">
        <x:f>V113*Y113</x:f>
        <x:v>31.6555177816351</x:v>
      </x:c>
      <x:c r="AA113" s="30" t="str">
        <x:f>IF(Z113&lt;=I113,"Peaceful","Hostile")</x:f>
        <x:v>Hostile</x:v>
      </x:c>
      <x:c r="AB113" s="30" t="str">
        <x:f>IF(Z113&lt;='Controls &amp; Summary'!$B$6,"Eligible","Blocked")</x:f>
        <x:v>Blocked</x:v>
      </x:c>
      <x:c r="AC113" s="30" t="str">
        <x:v>2003_ETH</x:v>
      </x:c>
      <x:c r="AD113" s="30" t="str">
        <x:v>2003_DZA</x:v>
      </x:c>
      <x:c r="AE113" s="30" t="str">
        <x:v>2003_Algeria</x:v>
      </x:c>
      <x:c r="AF113" s="30" t="str">
        <x:v>Explicit capitalClaim</x:v>
      </x:c>
      <x:c r="AG113" s="30" t="str">
        <x:v>Claim2003_ETH2003_Algeria</x:v>
      </x:c>
      <x:c r="AH113" s="30" t="str">
        <x:v>Project_GreatAfricanUnion</x:v>
      </x:c>
    </x:row>
    <x:row r="114">
      <x:c r="A114" s="30" t="str">
        <x:v>2003</x:v>
      </x:c>
      <x:c r="B114" s="30" t="str">
        <x:v>Dark Skies</x:v>
      </x:c>
      <x:c r="C114" s="30" t="str">
        <x:v>Ethiopia</x:v>
      </x:c>
      <x:c r="D114" s="30" t="str">
        <x:v>Angola</x:v>
      </x:c>
      <x:c r="E114" s="30" t="str">
        <x:v>Project unlock</x:v>
      </x:c>
      <x:c r="F114" s="30" t="str">
        <x:v>African Union</x:v>
      </x:c>
      <x:c r="G114" s="30" t="str">
        <x:v>No</x:v>
      </x:c>
      <x:c r="H114" s="30" t="str">
        <x:v>Ordinary claim</x:v>
      </x:c>
      <x:c r="I114" s="31" t="n">
        <x:f>IF(G114="Yes",'Controls &amp; Summary'!$B$5,'Controls &amp; Summary'!$B$4)</x:f>
        <x:v>6</x:v>
      </x:c>
      <x:c r="J114" s="31" t="n">
        <x:v>4.74</x:v>
      </x:c>
      <x:c r="K114" s="31" t="n">
        <x:v>2.39</x:v>
      </x:c>
      <x:c r="L114" s="31" t="n">
        <x:f>ABS(J114-K114)</x:f>
        <x:v>2.35</x:v>
      </x:c>
      <x:c r="M114" s="31" t="n">
        <x:v>3.28</x:v>
      </x:c>
      <x:c r="N114" s="31" t="n">
        <x:v>4.96</x:v>
      </x:c>
      <x:c r="O114" s="31" t="n">
        <x:f>ABS(M114-N114)</x:f>
        <x:v>1.6800000000000002</x:v>
      </x:c>
      <x:c r="P114" s="31" t="n">
        <x:v>2.03</x:v>
      </x:c>
      <x:c r="Q114" s="31" t="n">
        <x:v>3.33</x:v>
      </x:c>
      <x:c r="R114" s="31" t="n">
        <x:f>ABS(P114-Q114)</x:f>
        <x:v>1.3000000000000003</x:v>
      </x:c>
      <x:c r="S114" s="32" t="n">
        <x:v>327.76029228418867</x:v>
      </x:c>
      <x:c r="T114" s="32" t="n">
        <x:v>2603.332593166899</x:v>
      </x:c>
      <x:c r="U114" s="31" t="n">
        <x:f>MAX(S114/T114,T114/S114)</x:f>
        <x:v>7.942794336141387</x:v>
      </x:c>
      <x:c r="V114" s="31" t="n">
        <x:f>L114*'Controls &amp; Summary'!$B$9+O114*'Controls &amp; Summary'!$B$10+R114*'Controls &amp; Summary'!$B$11+U114*'Controls &amp; Summary'!$B$12</x:f>
        <x:v>13.272794336141388</x:v>
      </x:c>
      <x:c r="W114" s="31" t="n">
        <x:v>1.25</x:v>
      </x:c>
      <x:c r="X114" s="31" t="n">
        <x:v>4.02</x:v>
      </x:c>
      <x:c r="Y114" s="31" t="n">
        <x:f>((10-MIN(10,MAX(0,X114)))/10)*'Controls &amp; Summary'!$B$15+((10-MIN(10,MAX(0,W114)))/10)*'Controls &amp; Summary'!$B$16</x:f>
        <x:v>1.473</x:v>
      </x:c>
      <x:c r="Z114" s="31" t="n">
        <x:f>V114*Y114</x:f>
        <x:v>19.550826057136266</x:v>
      </x:c>
      <x:c r="AA114" s="30" t="str">
        <x:f>IF(Z114&lt;=I114,"Peaceful","Hostile")</x:f>
        <x:v>Hostile</x:v>
      </x:c>
      <x:c r="AB114" s="30" t="str">
        <x:f>IF(Z114&lt;='Controls &amp; Summary'!$B$6,"Eligible","Blocked")</x:f>
        <x:v>Blocked</x:v>
      </x:c>
      <x:c r="AC114" s="30" t="str">
        <x:v>2003_ETH</x:v>
      </x:c>
      <x:c r="AD114" s="30" t="str">
        <x:v>2003_AGO</x:v>
      </x:c>
      <x:c r="AE114" s="30" t="str">
        <x:v>2003_Angola</x:v>
      </x:c>
      <x:c r="AF114" s="30" t="str">
        <x:v>Explicit capitalClaim</x:v>
      </x:c>
      <x:c r="AG114" s="30" t="str">
        <x:v>Claim2003_ETH2003_Angola</x:v>
      </x:c>
      <x:c r="AH114" s="30" t="str">
        <x:v>Project_AfricanUnion</x:v>
      </x:c>
    </x:row>
    <x:row r="115">
      <x:c r="A115" s="30" t="str">
        <x:v>2003</x:v>
      </x:c>
      <x:c r="B115" s="30" t="str">
        <x:v>Dark Skies</x:v>
      </x:c>
      <x:c r="C115" s="30" t="str">
        <x:v>Ethiopia</x:v>
      </x:c>
      <x:c r="D115" s="30" t="str">
        <x:v>Benin</x:v>
      </x:c>
      <x:c r="E115" s="30" t="str">
        <x:v>Project unlock</x:v>
      </x:c>
      <x:c r="F115" s="30" t="str">
        <x:v>African Union</x:v>
      </x:c>
      <x:c r="G115" s="30" t="str">
        <x:v>No</x:v>
      </x:c>
      <x:c r="H115" s="30" t="str">
        <x:v>Ordinary claim</x:v>
      </x:c>
      <x:c r="I115" s="31" t="n">
        <x:f>IF(G115="Yes",'Controls &amp; Summary'!$B$5,'Controls &amp; Summary'!$B$4)</x:f>
        <x:v>6</x:v>
      </x:c>
      <x:c r="J115" s="31" t="n">
        <x:v>4.74</x:v>
      </x:c>
      <x:c r="K115" s="31" t="n">
        <x:v>5.88</x:v>
      </x:c>
      <x:c r="L115" s="31" t="n">
        <x:f>ABS(J115-K115)</x:f>
        <x:v>1.1399999999999997</x:v>
      </x:c>
      <x:c r="M115" s="31" t="n">
        <x:v>3.28</x:v>
      </x:c>
      <x:c r="N115" s="31" t="n">
        <x:v>4.34</x:v>
      </x:c>
      <x:c r="O115" s="31" t="n">
        <x:f>ABS(M115-N115)</x:f>
        <x:v>1.06</x:v>
      </x:c>
      <x:c r="P115" s="31" t="n">
        <x:v>2.03</x:v>
      </x:c>
      <x:c r="Q115" s="31" t="n">
        <x:v>3.41</x:v>
      </x:c>
      <x:c r="R115" s="31" t="n">
        <x:f>ABS(P115-Q115)</x:f>
        <x:v>1.3800000000000003</x:v>
      </x:c>
      <x:c r="S115" s="32" t="n">
        <x:v>327.76029228418867</x:v>
      </x:c>
      <x:c r="T115" s="32" t="n">
        <x:v>1127.5297984221042</x:v>
      </x:c>
      <x:c r="U115" s="31" t="n">
        <x:f>MAX(S115/T115,T115/S115)</x:f>
        <x:v>3.4401049332860167</x:v>
      </x:c>
      <x:c r="V115" s="31" t="n">
        <x:f>L115*'Controls &amp; Summary'!$B$9+O115*'Controls &amp; Summary'!$B$10+R115*'Controls &amp; Summary'!$B$11+U115*'Controls &amp; Summary'!$B$12</x:f>
        <x:v>7.020104933286017</x:v>
      </x:c>
      <x:c r="W115" s="31" t="n">
        <x:v>1.25</x:v>
      </x:c>
      <x:c r="X115" s="31" t="n">
        <x:v>1.86</x:v>
      </x:c>
      <x:c r="Y115" s="31" t="n">
        <x:f>((10-MIN(10,MAX(0,X115)))/10)*'Controls &amp; Summary'!$B$15+((10-MIN(10,MAX(0,W115)))/10)*'Controls &amp; Summary'!$B$16</x:f>
        <x:v>1.689</x:v>
      </x:c>
      <x:c r="Z115" s="31" t="n">
        <x:f>V115*Y115</x:f>
        <x:v>11.856957232320083</x:v>
      </x:c>
      <x:c r="AA115" s="30" t="str">
        <x:f>IF(Z115&lt;=I115,"Peaceful","Hostile")</x:f>
        <x:v>Hostile</x:v>
      </x:c>
      <x:c r="AB115" s="30" t="str">
        <x:f>IF(Z115&lt;='Controls &amp; Summary'!$B$6,"Eligible","Blocked")</x:f>
        <x:v>Eligible</x:v>
      </x:c>
      <x:c r="AC115" s="30" t="str">
        <x:v>2003_ETH</x:v>
      </x:c>
      <x:c r="AD115" s="30" t="str">
        <x:v>2003_BEN</x:v>
      </x:c>
      <x:c r="AE115" s="30" t="str">
        <x:v>2003_TogoBenin</x:v>
      </x:c>
      <x:c r="AF115" s="30" t="str">
        <x:v>Explicit capitalClaim</x:v>
      </x:c>
      <x:c r="AG115" s="30" t="str">
        <x:v>Claim2003_ETH2003_TogoBenin</x:v>
      </x:c>
      <x:c r="AH115" s="30" t="str">
        <x:v>Project_AfricanUnion</x:v>
      </x:c>
    </x:row>
    <x:row r="116">
      <x:c r="A116" s="30" t="str">
        <x:v>2003</x:v>
      </x:c>
      <x:c r="B116" s="30" t="str">
        <x:v>Dark Skies</x:v>
      </x:c>
      <x:c r="C116" s="30" t="str">
        <x:v>Ethiopia</x:v>
      </x:c>
      <x:c r="D116" s="30" t="str">
        <x:v>Botswana</x:v>
      </x:c>
      <x:c r="E116" s="30" t="str">
        <x:v>Project unlock</x:v>
      </x:c>
      <x:c r="F116" s="30" t="str">
        <x:v>African Union</x:v>
      </x:c>
      <x:c r="G116" s="30" t="str">
        <x:v>No</x:v>
      </x:c>
      <x:c r="H116" s="30" t="str">
        <x:v>Ordinary claim</x:v>
      </x:c>
      <x:c r="I116" s="31" t="n">
        <x:f>IF(G116="Yes",'Controls &amp; Summary'!$B$5,'Controls &amp; Summary'!$B$4)</x:f>
        <x:v>6</x:v>
      </x:c>
      <x:c r="J116" s="31" t="n">
        <x:v>4.74</x:v>
      </x:c>
      <x:c r="K116" s="31" t="n">
        <x:v>7.54</x:v>
      </x:c>
      <x:c r="L116" s="31" t="n">
        <x:f>ABS(J116-K116)</x:f>
        <x:v>2.8</x:v>
      </x:c>
      <x:c r="M116" s="31" t="n">
        <x:v>3.28</x:v>
      </x:c>
      <x:c r="N116" s="31" t="n">
        <x:v>5.78</x:v>
      </x:c>
      <x:c r="O116" s="31" t="n">
        <x:f>ABS(M116-N116)</x:f>
        <x:v>2.5000000000000004</x:v>
      </x:c>
      <x:c r="P116" s="31" t="n">
        <x:v>2.03</x:v>
      </x:c>
      <x:c r="Q116" s="31" t="n">
        <x:v>5.17</x:v>
      </x:c>
      <x:c r="R116" s="31" t="n">
        <x:f>ABS(P116-Q116)</x:f>
        <x:v>3.14</x:v>
      </x:c>
      <x:c r="S116" s="32" t="n">
        <x:v>327.76029228418867</x:v>
      </x:c>
      <x:c r="T116" s="32" t="n">
        <x:v>5821.488611482788</x:v>
      </x:c>
      <x:c r="U116" s="31" t="n">
        <x:f>MAX(S116/T116,T116/S116)</x:f>
        <x:v>17.761421223151686</x:v>
      </x:c>
      <x:c r="V116" s="31" t="n">
        <x:f>L116*'Controls &amp; Summary'!$B$9+O116*'Controls &amp; Summary'!$B$10+R116*'Controls &amp; Summary'!$B$11+U116*'Controls &amp; Summary'!$B$12</x:f>
        <x:v>26.201421223151687</x:v>
      </x:c>
      <x:c r="W116" s="31" t="n">
        <x:v>1.25</x:v>
      </x:c>
      <x:c r="X116" s="31" t="n">
        <x:v>0.58</x:v>
      </x:c>
      <x:c r="Y116" s="31" t="n">
        <x:f>((10-MIN(10,MAX(0,X116)))/10)*'Controls &amp; Summary'!$B$15+((10-MIN(10,MAX(0,W116)))/10)*'Controls &amp; Summary'!$B$16</x:f>
        <x:v>1.817</x:v>
      </x:c>
      <x:c r="Z116" s="31" t="n">
        <x:f>V116*Y116</x:f>
        <x:v>47.607982362466615</x:v>
      </x:c>
      <x:c r="AA116" s="30" t="str">
        <x:f>IF(Z116&lt;=I116,"Peaceful","Hostile")</x:f>
        <x:v>Hostile</x:v>
      </x:c>
      <x:c r="AB116" s="30" t="str">
        <x:f>IF(Z116&lt;='Controls &amp; Summary'!$B$6,"Eligible","Blocked")</x:f>
        <x:v>Blocked</x:v>
      </x:c>
      <x:c r="AC116" s="30" t="str">
        <x:v>2003_ETH</x:v>
      </x:c>
      <x:c r="AD116" s="30" t="str">
        <x:v>2003_BWA</x:v>
      </x:c>
      <x:c r="AE116" s="30" t="str">
        <x:v>2003_Botswana</x:v>
      </x:c>
      <x:c r="AF116" s="30" t="str">
        <x:v>Explicit capitalClaim</x:v>
      </x:c>
      <x:c r="AG116" s="30" t="str">
        <x:v>Claim2003_ETH2003_Botswana</x:v>
      </x:c>
      <x:c r="AH116" s="30" t="str">
        <x:v>Project_AfricanUnion</x:v>
      </x:c>
    </x:row>
    <x:row r="117">
      <x:c r="A117" s="30" t="str">
        <x:v>2003</x:v>
      </x:c>
      <x:c r="B117" s="30" t="str">
        <x:v>Dark Skies</x:v>
      </x:c>
      <x:c r="C117" s="30" t="str">
        <x:v>Ethiopia</x:v>
      </x:c>
      <x:c r="D117" s="30" t="str">
        <x:v>Burkina Faso</x:v>
      </x:c>
      <x:c r="E117" s="30" t="str">
        <x:v>Project unlock</x:v>
      </x:c>
      <x:c r="F117" s="30" t="str">
        <x:v>African Union</x:v>
      </x:c>
      <x:c r="G117" s="30" t="str">
        <x:v>No</x:v>
      </x:c>
      <x:c r="H117" s="30" t="str">
        <x:v>Ordinary claim</x:v>
      </x:c>
      <x:c r="I117" s="31" t="n">
        <x:f>IF(G117="Yes",'Controls &amp; Summary'!$B$5,'Controls &amp; Summary'!$B$4)</x:f>
        <x:v>6</x:v>
      </x:c>
      <x:c r="J117" s="31" t="n">
        <x:v>4.74</x:v>
      </x:c>
      <x:c r="K117" s="31" t="n">
        <x:v>3.58</x:v>
      </x:c>
      <x:c r="L117" s="31" t="n">
        <x:f>ABS(J117-K117)</x:f>
        <x:v>1.1600000000000001</x:v>
      </x:c>
      <x:c r="M117" s="31" t="n">
        <x:v>3.28</x:v>
      </x:c>
      <x:c r="N117" s="31" t="n">
        <x:v>4.49</x:v>
      </x:c>
      <x:c r="O117" s="31" t="n">
        <x:f>ABS(M117-N117)</x:f>
        <x:v>1.2100000000000004</x:v>
      </x:c>
      <x:c r="P117" s="31" t="n">
        <x:v>2.03</x:v>
      </x:c>
      <x:c r="Q117" s="31" t="n">
        <x:v>2.21</x:v>
      </x:c>
      <x:c r="R117" s="31" t="n">
        <x:f>ABS(P117-Q117)</x:f>
        <x:v>0.18000000000000016</x:v>
      </x:c>
      <x:c r="S117" s="32" t="n">
        <x:v>327.76029228418867</x:v>
      </x:c>
      <x:c r="T117" s="32" t="n">
        <x:v>643.1503540751897</x:v>
      </x:c>
      <x:c r="U117" s="31" t="n">
        <x:f>MAX(S117/T117,T117/S117)</x:f>
        <x:v>1.962258300396981</x:v>
      </x:c>
      <x:c r="V117" s="31" t="n">
        <x:f>L117*'Controls &amp; Summary'!$B$9+O117*'Controls &amp; Summary'!$B$10+R117*'Controls &amp; Summary'!$B$11+U117*'Controls &amp; Summary'!$B$12</x:f>
        <x:v>4.512258300396981</x:v>
      </x:c>
      <x:c r="W117" s="31" t="n">
        <x:v>1.25</x:v>
      </x:c>
      <x:c r="X117" s="31" t="n">
        <x:v>4.63</x:v>
      </x:c>
      <x:c r="Y117" s="31" t="n">
        <x:f>((10-MIN(10,MAX(0,X117)))/10)*'Controls &amp; Summary'!$B$15+((10-MIN(10,MAX(0,W117)))/10)*'Controls &amp; Summary'!$B$16</x:f>
        <x:v>1.412</x:v>
      </x:c>
      <x:c r="Z117" s="31" t="n">
        <x:f>V117*Y117</x:f>
        <x:v>6.371308720160537</x:v>
      </x:c>
      <x:c r="AA117" s="30" t="str">
        <x:f>IF(Z117&lt;=I117,"Peaceful","Hostile")</x:f>
        <x:v>Hostile</x:v>
      </x:c>
      <x:c r="AB117" s="30" t="str">
        <x:f>IF(Z117&lt;='Controls &amp; Summary'!$B$6,"Eligible","Blocked")</x:f>
        <x:v>Eligible</x:v>
      </x:c>
      <x:c r="AC117" s="30" t="str">
        <x:v>2003_ETH</x:v>
      </x:c>
      <x:c r="AD117" s="30" t="str">
        <x:v>2003_BKF</x:v>
      </x:c>
      <x:c r="AE117" s="30" t="str">
        <x:v>2003_BurkinaFaso</x:v>
      </x:c>
      <x:c r="AF117" s="30" t="str">
        <x:v>Explicit capitalClaim</x:v>
      </x:c>
      <x:c r="AG117" s="30" t="str">
        <x:v>Claim2003_ETH2003_BurkinaFaso</x:v>
      </x:c>
      <x:c r="AH117" s="30" t="str">
        <x:v>Project_AfricanUnion</x:v>
      </x:c>
    </x:row>
    <x:row r="118">
      <x:c r="A118" s="30" t="str">
        <x:v>2003</x:v>
      </x:c>
      <x:c r="B118" s="30" t="str">
        <x:v>Dark Skies</x:v>
      </x:c>
      <x:c r="C118" s="30" t="str">
        <x:v>Ethiopia</x:v>
      </x:c>
      <x:c r="D118" s="30" t="str">
        <x:v>Cabo Verde</x:v>
      </x:c>
      <x:c r="E118" s="30" t="str">
        <x:v>Project unlock</x:v>
      </x:c>
      <x:c r="F118" s="30" t="str">
        <x:v>African Union</x:v>
      </x:c>
      <x:c r="G118" s="30" t="str">
        <x:v>No</x:v>
      </x:c>
      <x:c r="H118" s="30" t="str">
        <x:v>Ordinary claim</x:v>
      </x:c>
      <x:c r="I118" s="31" t="n">
        <x:f>IF(G118="Yes",'Controls &amp; Summary'!$B$5,'Controls &amp; Summary'!$B$4)</x:f>
        <x:v>6</x:v>
      </x:c>
      <x:c r="J118" s="31" t="n">
        <x:v>4.74</x:v>
      </x:c>
      <x:c r="K118" s="31" t="n">
        <x:v>7.35</x:v>
      </x:c>
      <x:c r="L118" s="31" t="n">
        <x:f>ABS(J118-K118)</x:f>
        <x:v>2.6099999999999994</x:v>
      </x:c>
      <x:c r="M118" s="31" t="n">
        <x:v>3.28</x:v>
      </x:c>
      <x:c r="N118" s="31" t="n">
        <x:v>5.01</x:v>
      </x:c>
      <x:c r="O118" s="31" t="n">
        <x:f>ABS(M118-N118)</x:f>
        <x:v>1.73</x:v>
      </x:c>
      <x:c r="P118" s="31" t="n">
        <x:v>2.03</x:v>
      </x:c>
      <x:c r="Q118" s="31" t="n">
        <x:v>5.21</x:v>
      </x:c>
      <x:c r="R118" s="31" t="n">
        <x:f>ABS(P118-Q118)</x:f>
        <x:v>3.18</x:v>
      </x:c>
      <x:c r="S118" s="32" t="n">
        <x:v>327.76029228418867</x:v>
      </x:c>
      <x:c r="T118" s="32" t="n">
        <x:v>2333.9600281378926</x:v>
      </x:c>
      <x:c r="U118" s="31" t="n">
        <x:f>MAX(S118/T118,T118/S118)</x:f>
        <x:v>7.120935888457786</x:v>
      </x:c>
      <x:c r="V118" s="31" t="n">
        <x:f>L118*'Controls &amp; Summary'!$B$9+O118*'Controls &amp; Summary'!$B$10+R118*'Controls &amp; Summary'!$B$11+U118*'Controls &amp; Summary'!$B$12</x:f>
        <x:v>14.640935888457786</x:v>
      </x:c>
      <x:c r="W118" s="31" t="n">
        <x:v>1.25</x:v>
      </x:c>
      <x:c r="X118" s="31" t="n">
        <x:v>0.88</x:v>
      </x:c>
      <x:c r="Y118" s="31" t="n">
        <x:f>((10-MIN(10,MAX(0,X118)))/10)*'Controls &amp; Summary'!$B$15+((10-MIN(10,MAX(0,W118)))/10)*'Controls &amp; Summary'!$B$16</x:f>
        <x:v>1.787</x:v>
      </x:c>
      <x:c r="Z118" s="31" t="n">
        <x:f>V118*Y118</x:f>
        <x:v>26.163352432674063</x:v>
      </x:c>
      <x:c r="AA118" s="30" t="str">
        <x:f>IF(Z118&lt;=I118,"Peaceful","Hostile")</x:f>
        <x:v>Hostile</x:v>
      </x:c>
      <x:c r="AB118" s="30" t="str">
        <x:f>IF(Z118&lt;='Controls &amp; Summary'!$B$6,"Eligible","Blocked")</x:f>
        <x:v>Blocked</x:v>
      </x:c>
      <x:c r="AC118" s="30" t="str">
        <x:v>2003_ETH</x:v>
      </x:c>
      <x:c r="AD118" s="30" t="str">
        <x:v>2003_CPV</x:v>
      </x:c>
      <x:c r="AE118" s="30" t="str">
        <x:v>2003_CaboVerde</x:v>
      </x:c>
      <x:c r="AF118" s="30" t="str">
        <x:v>Explicit capitalClaim</x:v>
      </x:c>
      <x:c r="AG118" s="30" t="str">
        <x:v>Claim2003_ETH2003_CaboVerde</x:v>
      </x:c>
      <x:c r="AH118" s="30" t="str">
        <x:v>Project_AfricanUnion</x:v>
      </x:c>
    </x:row>
    <x:row r="119">
      <x:c r="A119" s="30" t="str">
        <x:v>2003</x:v>
      </x:c>
      <x:c r="B119" s="30" t="str">
        <x:v>Dark Skies</x:v>
      </x:c>
      <x:c r="C119" s="30" t="str">
        <x:v>Ethiopia</x:v>
      </x:c>
      <x:c r="D119" s="30" t="str">
        <x:v>Cameroon</x:v>
      </x:c>
      <x:c r="E119" s="30" t="str">
        <x:v>Project unlock</x:v>
      </x:c>
      <x:c r="F119" s="30" t="str">
        <x:v>African Union</x:v>
      </x:c>
      <x:c r="G119" s="30" t="str">
        <x:v>No</x:v>
      </x:c>
      <x:c r="H119" s="30" t="str">
        <x:v>Ordinary claim</x:v>
      </x:c>
      <x:c r="I119" s="31" t="n">
        <x:f>IF(G119="Yes",'Controls &amp; Summary'!$B$5,'Controls &amp; Summary'!$B$4)</x:f>
        <x:v>6</x:v>
      </x:c>
      <x:c r="J119" s="31" t="n">
        <x:v>4.74</x:v>
      </x:c>
      <x:c r="K119" s="31" t="n">
        <x:v>3.3</x:v>
      </x:c>
      <x:c r="L119" s="31" t="n">
        <x:f>ABS(J119-K119)</x:f>
        <x:v>1.4400000000000004</x:v>
      </x:c>
      <x:c r="M119" s="31" t="n">
        <x:v>3.28</x:v>
      </x:c>
      <x:c r="N119" s="31" t="n">
        <x:v>4.4</x:v>
      </x:c>
      <x:c r="O119" s="31" t="n">
        <x:f>ABS(M119-N119)</x:f>
        <x:v>1.1200000000000006</x:v>
      </x:c>
      <x:c r="P119" s="31" t="n">
        <x:v>2.03</x:v>
      </x:c>
      <x:c r="Q119" s="31" t="n">
        <x:v>3.66</x:v>
      </x:c>
      <x:c r="R119" s="31" t="n">
        <x:f>ABS(P119-Q119)</x:f>
        <x:v>1.6300000000000003</x:v>
      </x:c>
      <x:c r="S119" s="32" t="n">
        <x:v>327.76029228418867</x:v>
      </x:c>
      <x:c r="T119" s="32" t="n">
        <x:v>1461.8851709803137</x:v>
      </x:c>
      <x:c r="U119" s="31" t="n">
        <x:f>MAX(S119/T119,T119/S119)</x:f>
        <x:v>4.460226590574211</x:v>
      </x:c>
      <x:c r="V119" s="31" t="n">
        <x:f>L119*'Controls &amp; Summary'!$B$9+O119*'Controls &amp; Summary'!$B$10+R119*'Controls &amp; Summary'!$B$11+U119*'Controls &amp; Summary'!$B$12</x:f>
        <x:v>8.650226590574214</x:v>
      </x:c>
      <x:c r="W119" s="31" t="n">
        <x:v>1.25</x:v>
      </x:c>
      <x:c r="X119" s="31" t="n">
        <x:v>4.35</x:v>
      </x:c>
      <x:c r="Y119" s="31" t="n">
        <x:f>((10-MIN(10,MAX(0,X119)))/10)*'Controls &amp; Summary'!$B$15+((10-MIN(10,MAX(0,W119)))/10)*'Controls &amp; Summary'!$B$16</x:f>
        <x:v>1.44</x:v>
      </x:c>
      <x:c r="Z119" s="31" t="n">
        <x:f>V119*Y119</x:f>
        <x:v>12.456326290426867</x:v>
      </x:c>
      <x:c r="AA119" s="30" t="str">
        <x:f>IF(Z119&lt;=I119,"Peaceful","Hostile")</x:f>
        <x:v>Hostile</x:v>
      </x:c>
      <x:c r="AB119" s="30" t="str">
        <x:f>IF(Z119&lt;='Controls &amp; Summary'!$B$6,"Eligible","Blocked")</x:f>
        <x:v>Blocked</x:v>
      </x:c>
      <x:c r="AC119" s="30" t="str">
        <x:v>2003_ETH</x:v>
      </x:c>
      <x:c r="AD119" s="30" t="str">
        <x:v>2003_CMR</x:v>
      </x:c>
      <x:c r="AE119" s="30" t="str">
        <x:v>2003_Cameroon</x:v>
      </x:c>
      <x:c r="AF119" s="30" t="str">
        <x:v>Explicit capitalClaim</x:v>
      </x:c>
      <x:c r="AG119" s="30" t="str">
        <x:v>Claim2003_ETH2003_Cameroon</x:v>
      </x:c>
      <x:c r="AH119" s="30" t="str">
        <x:v>Project_AfricanUnion</x:v>
      </x:c>
    </x:row>
    <x:row r="120">
      <x:c r="A120" s="30" t="str">
        <x:v>2003</x:v>
      </x:c>
      <x:c r="B120" s="30" t="str">
        <x:v>Dark Skies</x:v>
      </x:c>
      <x:c r="C120" s="30" t="str">
        <x:v>Ethiopia</x:v>
      </x:c>
      <x:c r="D120" s="30" t="str">
        <x:v>Central African Republic</x:v>
      </x:c>
      <x:c r="E120" s="30" t="str">
        <x:v>Project unlock</x:v>
      </x:c>
      <x:c r="F120" s="30" t="str">
        <x:v>African Union</x:v>
      </x:c>
      <x:c r="G120" s="30" t="str">
        <x:v>No</x:v>
      </x:c>
      <x:c r="H120" s="30" t="str">
        <x:v>Ordinary claim</x:v>
      </x:c>
      <x:c r="I120" s="31" t="n">
        <x:f>IF(G120="Yes",'Controls &amp; Summary'!$B$5,'Controls &amp; Summary'!$B$4)</x:f>
        <x:v>6</x:v>
      </x:c>
      <x:c r="J120" s="31" t="n">
        <x:v>4.74</x:v>
      </x:c>
      <x:c r="K120" s="31" t="n">
        <x:v>1.06</x:v>
      </x:c>
      <x:c r="L120" s="31" t="n">
        <x:f>ABS(J120-K120)</x:f>
        <x:v>3.68</x:v>
      </x:c>
      <x:c r="M120" s="31" t="n">
        <x:v>3.28</x:v>
      </x:c>
      <x:c r="N120" s="31" t="n">
        <x:v>5.17</x:v>
      </x:c>
      <x:c r="O120" s="31" t="n">
        <x:f>ABS(M120-N120)</x:f>
        <x:v>1.8900000000000001</x:v>
      </x:c>
      <x:c r="P120" s="31" t="n">
        <x:v>2.03</x:v>
      </x:c>
      <x:c r="Q120" s="31" t="n">
        <x:v>2.26</x:v>
      </x:c>
      <x:c r="R120" s="31" t="n">
        <x:f>ABS(P120-Q120)</x:f>
        <x:v>0.22999999999999998</x:v>
      </x:c>
      <x:c r="S120" s="32" t="n">
        <x:v>327.76029228418867</x:v>
      </x:c>
      <x:c r="T120" s="32" t="n">
        <x:v>472.18773893601053</x:v>
      </x:c>
      <x:c r="U120" s="31" t="n">
        <x:f>MAX(S120/T120,T120/S120)</x:f>
        <x:v>1.4406496151357904</x:v>
      </x:c>
      <x:c r="V120" s="31" t="n">
        <x:f>L120*'Controls &amp; Summary'!$B$9+O120*'Controls &amp; Summary'!$B$10+R120*'Controls &amp; Summary'!$B$11+U120*'Controls &amp; Summary'!$B$12</x:f>
        <x:v>7.240649615135791</x:v>
      </x:c>
      <x:c r="W120" s="31" t="n">
        <x:v>1.25</x:v>
      </x:c>
      <x:c r="X120" s="31" t="n">
        <x:v>10.24</x:v>
      </x:c>
      <x:c r="Y120" s="31" t="n">
        <x:f>((10-MIN(10,MAX(0,X120)))/10)*'Controls &amp; Summary'!$B$15+((10-MIN(10,MAX(0,W120)))/10)*'Controls &amp; Summary'!$B$16</x:f>
        <x:v>0.875</x:v>
      </x:c>
      <x:c r="Z120" s="31" t="n">
        <x:f>V120*Y120</x:f>
        <x:v>6.335568413243816</x:v>
      </x:c>
      <x:c r="AA120" s="30" t="str">
        <x:f>IF(Z120&lt;=I120,"Peaceful","Hostile")</x:f>
        <x:v>Hostile</x:v>
      </x:c>
      <x:c r="AB120" s="30" t="str">
        <x:f>IF(Z120&lt;='Controls &amp; Summary'!$B$6,"Eligible","Blocked")</x:f>
        <x:v>Eligible</x:v>
      </x:c>
      <x:c r="AC120" s="30" t="str">
        <x:v>2003_ETH</x:v>
      </x:c>
      <x:c r="AD120" s="30" t="str">
        <x:v>2003_CAF</x:v>
      </x:c>
      <x:c r="AE120" s="30" t="str">
        <x:v>2003_CentralAfricanRepublic</x:v>
      </x:c>
      <x:c r="AF120" s="30" t="str">
        <x:v>Explicit capitalClaim</x:v>
      </x:c>
      <x:c r="AG120" s="30" t="str">
        <x:v>Claim2003_ETH2003_CentralAfricanRepublic</x:v>
      </x:c>
      <x:c r="AH120" s="30" t="str">
        <x:v>Project_AfricanUnion</x:v>
      </x:c>
    </x:row>
    <x:row r="121">
      <x:c r="A121" s="30" t="str">
        <x:v>2003</x:v>
      </x:c>
      <x:c r="B121" s="30" t="str">
        <x:v>Dark Skies</x:v>
      </x:c>
      <x:c r="C121" s="30" t="str">
        <x:v>Ethiopia</x:v>
      </x:c>
      <x:c r="D121" s="30" t="str">
        <x:v>Chad</x:v>
      </x:c>
      <x:c r="E121" s="30" t="str">
        <x:v>Project unlock</x:v>
      </x:c>
      <x:c r="F121" s="30" t="str">
        <x:v>African Union</x:v>
      </x:c>
      <x:c r="G121" s="30" t="str">
        <x:v>No</x:v>
      </x:c>
      <x:c r="H121" s="30" t="str">
        <x:v>Ordinary claim</x:v>
      </x:c>
      <x:c r="I121" s="31" t="n">
        <x:f>IF(G121="Yes",'Controls &amp; Summary'!$B$5,'Controls &amp; Summary'!$B$4)</x:f>
        <x:v>6</x:v>
      </x:c>
      <x:c r="J121" s="31" t="n">
        <x:v>4.74</x:v>
      </x:c>
      <x:c r="K121" s="31" t="n">
        <x:v>1.66</x:v>
      </x:c>
      <x:c r="L121" s="31" t="n">
        <x:f>ABS(J121-K121)</x:f>
        <x:v>3.08</x:v>
      </x:c>
      <x:c r="M121" s="31" t="n">
        <x:v>3.28</x:v>
      </x:c>
      <x:c r="N121" s="31" t="n">
        <x:v>4.09</x:v>
      </x:c>
      <x:c r="O121" s="31" t="n">
        <x:f>ABS(M121-N121)</x:f>
        <x:v>0.81</x:v>
      </x:c>
      <x:c r="P121" s="31" t="n">
        <x:v>2.03</x:v>
      </x:c>
      <x:c r="Q121" s="31" t="n">
        <x:v>2.06</x:v>
      </x:c>
      <x:c r="R121" s="31" t="n">
        <x:f>ABS(P121-Q121)</x:f>
        <x:v>0.03000000000000025</x:v>
      </x:c>
      <x:c r="S121" s="32" t="n">
        <x:v>327.76029228418867</x:v>
      </x:c>
      <x:c r="T121" s="32" t="n">
        <x:v>761.3320990156551</x:v>
      </x:c>
      <x:c r="U121" s="31" t="n">
        <x:f>MAX(S121/T121,T121/S121)</x:f>
        <x:v>2.322832011498002</x:v>
      </x:c>
      <x:c r="V121" s="31" t="n">
        <x:f>L121*'Controls &amp; Summary'!$B$9+O121*'Controls &amp; Summary'!$B$10+R121*'Controls &amp; Summary'!$B$11+U121*'Controls &amp; Summary'!$B$12</x:f>
        <x:v>6.2428320114980025</x:v>
      </x:c>
      <x:c r="W121" s="31" t="n">
        <x:v>1.25</x:v>
      </x:c>
      <x:c r="X121" s="31" t="n">
        <x:v>9.1</x:v>
      </x:c>
      <x:c r="Y121" s="31" t="n">
        <x:f>((10-MIN(10,MAX(0,X121)))/10)*'Controls &amp; Summary'!$B$15+((10-MIN(10,MAX(0,W121)))/10)*'Controls &amp; Summary'!$B$16</x:f>
        <x:v>0.9650000000000001</x:v>
      </x:c>
      <x:c r="Z121" s="31" t="n">
        <x:f>V121*Y121</x:f>
        <x:v>6.024332891095573</x:v>
      </x:c>
      <x:c r="AA121" s="30" t="str">
        <x:f>IF(Z121&lt;=I121,"Peaceful","Hostile")</x:f>
        <x:v>Hostile</x:v>
      </x:c>
      <x:c r="AB121" s="30" t="str">
        <x:f>IF(Z121&lt;='Controls &amp; Summary'!$B$6,"Eligible","Blocked")</x:f>
        <x:v>Eligible</x:v>
      </x:c>
      <x:c r="AC121" s="30" t="str">
        <x:v>2003_ETH</x:v>
      </x:c>
      <x:c r="AD121" s="30" t="str">
        <x:v>2003_TCD</x:v>
      </x:c>
      <x:c r="AE121" s="30" t="str">
        <x:v>2003_Chad</x:v>
      </x:c>
      <x:c r="AF121" s="30" t="str">
        <x:v>Explicit capitalClaim</x:v>
      </x:c>
      <x:c r="AG121" s="30" t="str">
        <x:v>Claim2003_ETH2003_Chad</x:v>
      </x:c>
      <x:c r="AH121" s="30" t="str">
        <x:v>Project_AfricanUnion</x:v>
      </x:c>
    </x:row>
    <x:row r="122">
      <x:c r="A122" s="30" t="str">
        <x:v>2003</x:v>
      </x:c>
      <x:c r="B122" s="30" t="str">
        <x:v>Dark Skies</x:v>
      </x:c>
      <x:c r="C122" s="30" t="str">
        <x:v>Ethiopia</x:v>
      </x:c>
      <x:c r="D122" s="30" t="str">
        <x:v>Comoros</x:v>
      </x:c>
      <x:c r="E122" s="30" t="str">
        <x:v>Project unlock</x:v>
      </x:c>
      <x:c r="F122" s="30" t="str">
        <x:v>African Union</x:v>
      </x:c>
      <x:c r="G122" s="30" t="str">
        <x:v>No</x:v>
      </x:c>
      <x:c r="H122" s="30" t="str">
        <x:v>Ordinary claim</x:v>
      </x:c>
      <x:c r="I122" s="31" t="n">
        <x:f>IF(G122="Yes",'Controls &amp; Summary'!$B$5,'Controls &amp; Summary'!$B$4)</x:f>
        <x:v>6</x:v>
      </x:c>
      <x:c r="J122" s="31" t="n">
        <x:v>4.74</x:v>
      </x:c>
      <x:c r="K122" s="31" t="n">
        <x:v>3.22</x:v>
      </x:c>
      <x:c r="L122" s="31" t="n">
        <x:f>ABS(J122-K122)</x:f>
        <x:v>1.52</x:v>
      </x:c>
      <x:c r="M122" s="31" t="n">
        <x:v>3.28</x:v>
      </x:c>
      <x:c r="N122" s="31" t="n">
        <x:v>5.46</x:v>
      </x:c>
      <x:c r="O122" s="31" t="n">
        <x:f>ABS(M122-N122)</x:f>
        <x:v>2.18</x:v>
      </x:c>
      <x:c r="P122" s="31" t="n">
        <x:v>2.03</x:v>
      </x:c>
      <x:c r="Q122" s="31" t="n">
        <x:v>3.88</x:v>
      </x:c>
      <x:c r="R122" s="31" t="n">
        <x:f>ABS(P122-Q122)</x:f>
        <x:v>1.85</x:v>
      </x:c>
      <x:c r="S122" s="32" t="n">
        <x:v>327.76029228418867</x:v>
      </x:c>
      <x:c r="T122" s="32" t="n">
        <x:v>1339.3481461851393</x:v>
      </x:c>
      <x:c r="U122" s="31" t="n">
        <x:f>MAX(S122/T122,T122/S122)</x:f>
        <x:v>4.086364876145035</x:v>
      </x:c>
      <x:c r="V122" s="31" t="n">
        <x:f>L122*'Controls &amp; Summary'!$B$9+O122*'Controls &amp; Summary'!$B$10+R122*'Controls &amp; Summary'!$B$11+U122*'Controls &amp; Summary'!$B$12</x:f>
        <x:v>9.636364876145036</x:v>
      </x:c>
      <x:c r="W122" s="31" t="n">
        <x:v>1.25</x:v>
      </x:c>
      <x:c r="X122" s="31" t="n">
        <x:v>5.59</x:v>
      </x:c>
      <x:c r="Y122" s="31" t="n">
        <x:f>((10-MIN(10,MAX(0,X122)))/10)*'Controls &amp; Summary'!$B$15+((10-MIN(10,MAX(0,W122)))/10)*'Controls &amp; Summary'!$B$16</x:f>
        <x:v>1.316</x:v>
      </x:c>
      <x:c r="Z122" s="31" t="n">
        <x:f>V122*Y122</x:f>
        <x:v>12.681456177006869</x:v>
      </x:c>
      <x:c r="AA122" s="30" t="str">
        <x:f>IF(Z122&lt;=I122,"Peaceful","Hostile")</x:f>
        <x:v>Hostile</x:v>
      </x:c>
      <x:c r="AB122" s="30" t="str">
        <x:f>IF(Z122&lt;='Controls &amp; Summary'!$B$6,"Eligible","Blocked")</x:f>
        <x:v>Blocked</x:v>
      </x:c>
      <x:c r="AC122" s="30" t="str">
        <x:v>2003_ETH</x:v>
      </x:c>
      <x:c r="AD122" s="30" t="str">
        <x:v>2003_RTK</x:v>
      </x:c>
      <x:c r="AE122" s="30" t="str">
        <x:v>2003_Ratnakara</x:v>
      </x:c>
      <x:c r="AF122" s="30" t="str">
        <x:v>Explicit capitalClaim</x:v>
      </x:c>
      <x:c r="AG122" s="30" t="str">
        <x:v>Claim2003_ETH2003_Ratnakara</x:v>
      </x:c>
      <x:c r="AH122" s="30" t="str">
        <x:v>Project_AfricanUnion</x:v>
      </x:c>
    </x:row>
    <x:row r="123">
      <x:c r="A123" s="30" t="str">
        <x:v>2003</x:v>
      </x:c>
      <x:c r="B123" s="30" t="str">
        <x:v>Dark Skies</x:v>
      </x:c>
      <x:c r="C123" s="30" t="str">
        <x:v>Ethiopia</x:v>
      </x:c>
      <x:c r="D123" s="30" t="str">
        <x:v>Congo</x:v>
      </x:c>
      <x:c r="E123" s="30" t="str">
        <x:v>Project unlock</x:v>
      </x:c>
      <x:c r="F123" s="30" t="str">
        <x:v>African Union</x:v>
      </x:c>
      <x:c r="G123" s="30" t="str">
        <x:v>No</x:v>
      </x:c>
      <x:c r="H123" s="30" t="str">
        <x:v>Ordinary claim</x:v>
      </x:c>
      <x:c r="I123" s="31" t="n">
        <x:f>IF(G123="Yes",'Controls &amp; Summary'!$B$5,'Controls &amp; Summary'!$B$4)</x:f>
        <x:v>6</x:v>
      </x:c>
      <x:c r="J123" s="31" t="n">
        <x:v>4.74</x:v>
      </x:c>
      <x:c r="K123" s="31" t="n">
        <x:v>3.12</x:v>
      </x:c>
      <x:c r="L123" s="31" t="n">
        <x:f>ABS(J123-K123)</x:f>
        <x:v>1.62</x:v>
      </x:c>
      <x:c r="M123" s="31" t="n">
        <x:v>3.28</x:v>
      </x:c>
      <x:c r="N123" s="31" t="n">
        <x:v>4.35</x:v>
      </x:c>
      <x:c r="O123" s="31" t="n">
        <x:f>ABS(M123-N123)</x:f>
        <x:v>1.0699999999999998</x:v>
      </x:c>
      <x:c r="P123" s="31" t="n">
        <x:v>2.03</x:v>
      </x:c>
      <x:c r="Q123" s="31" t="n">
        <x:v>4.63</x:v>
      </x:c>
      <x:c r="R123" s="31" t="n">
        <x:f>ABS(P123-Q123)</x:f>
        <x:v>2.6</x:v>
      </x:c>
      <x:c r="S123" s="32" t="n">
        <x:v>327.76029228418867</x:v>
      </x:c>
      <x:c r="T123" s="32" t="n">
        <x:v>308.88222613717977</x:v>
      </x:c>
      <x:c r="U123" s="31" t="n">
        <x:f>MAX(S123/T123,T123/S123)</x:f>
        <x:v>1.0611173597882089</x:v>
      </x:c>
      <x:c r="V123" s="31" t="n">
        <x:f>L123*'Controls &amp; Summary'!$B$9+O123*'Controls &amp; Summary'!$B$10+R123*'Controls &amp; Summary'!$B$11+U123*'Controls &amp; Summary'!$B$12</x:f>
        <x:v>6.3511173597882085</x:v>
      </x:c>
      <x:c r="W123" s="31" t="n">
        <x:v>1.25</x:v>
      </x:c>
      <x:c r="X123" s="31" t="n">
        <x:v>7.34</x:v>
      </x:c>
      <x:c r="Y123" s="31" t="n">
        <x:f>((10-MIN(10,MAX(0,X123)))/10)*'Controls &amp; Summary'!$B$15+((10-MIN(10,MAX(0,W123)))/10)*'Controls &amp; Summary'!$B$16</x:f>
        <x:v>1.141</x:v>
      </x:c>
      <x:c r="Z123" s="31" t="n">
        <x:f>V123*Y123</x:f>
        <x:v>7.2466249075183455</x:v>
      </x:c>
      <x:c r="AA123" s="30" t="str">
        <x:f>IF(Z123&lt;=I123,"Peaceful","Hostile")</x:f>
        <x:v>Hostile</x:v>
      </x:c>
      <x:c r="AB123" s="30" t="str">
        <x:f>IF(Z123&lt;='Controls &amp; Summary'!$B$6,"Eligible","Blocked")</x:f>
        <x:v>Eligible</x:v>
      </x:c>
      <x:c r="AC123" s="30" t="str">
        <x:v>2003_ETH</x:v>
      </x:c>
      <x:c r="AD123" s="30" t="str">
        <x:v>2003_COD</x:v>
      </x:c>
      <x:c r="AE123" s="30" t="str">
        <x:v>2003_Kinshasa</x:v>
      </x:c>
      <x:c r="AF123" s="30" t="str">
        <x:v>Explicit capitalClaim</x:v>
      </x:c>
      <x:c r="AG123" s="30" t="str">
        <x:v>Claim2003_ETH2003_Kinshasa</x:v>
      </x:c>
      <x:c r="AH123" s="30" t="str">
        <x:v>Project_AfricanUnion</x:v>
      </x:c>
    </x:row>
    <x:row r="124">
      <x:c r="A124" s="30" t="str">
        <x:v>2003</x:v>
      </x:c>
      <x:c r="B124" s="30" t="str">
        <x:v>Dark Skies</x:v>
      </x:c>
      <x:c r="C124" s="30" t="str">
        <x:v>Ethiopia</x:v>
      </x:c>
      <x:c r="D124" s="30" t="str">
        <x:v>Djibouti</x:v>
      </x:c>
      <x:c r="E124" s="30" t="str">
        <x:v>Project unlock</x:v>
      </x:c>
      <x:c r="F124" s="30" t="str">
        <x:v>African Union</x:v>
      </x:c>
      <x:c r="G124" s="30" t="str">
        <x:v>No</x:v>
      </x:c>
      <x:c r="H124" s="30" t="str">
        <x:v>Ordinary claim</x:v>
      </x:c>
      <x:c r="I124" s="31" t="n">
        <x:f>IF(G124="Yes",'Controls &amp; Summary'!$B$5,'Controls &amp; Summary'!$B$4)</x:f>
        <x:v>6</x:v>
      </x:c>
      <x:c r="J124" s="31" t="n">
        <x:v>4.74</x:v>
      </x:c>
      <x:c r="K124" s="31" t="n">
        <x:v>2.41</x:v>
      </x:c>
      <x:c r="L124" s="31" t="n">
        <x:f>ABS(J124-K124)</x:f>
        <x:v>2.33</x:v>
      </x:c>
      <x:c r="M124" s="31" t="n">
        <x:v>3.28</x:v>
      </x:c>
      <x:c r="N124" s="31" t="n">
        <x:v>4.15</x:v>
      </x:c>
      <x:c r="O124" s="31" t="n">
        <x:f>ABS(M124-N124)</x:f>
        <x:v>0.8700000000000006</x:v>
      </x:c>
      <x:c r="P124" s="31" t="n">
        <x:v>2.03</x:v>
      </x:c>
      <x:c r="Q124" s="31" t="n">
        <x:v>2.5</x:v>
      </x:c>
      <x:c r="R124" s="31" t="n">
        <x:f>ABS(P124-Q124)</x:f>
        <x:v>0.4700000000000002</x:v>
      </x:c>
      <x:c r="S124" s="32" t="n">
        <x:v>327.76029228418867</x:v>
      </x:c>
      <x:c r="T124" s="32" t="n">
        <x:v>1362.2142015121958</x:v>
      </x:c>
      <x:c r="U124" s="31" t="n">
        <x:f>MAX(S124/T124,T124/S124)</x:f>
        <x:v>4.156129444536469</x:v>
      </x:c>
      <x:c r="V124" s="31" t="n">
        <x:f>L124*'Controls &amp; Summary'!$B$9+O124*'Controls &amp; Summary'!$B$10+R124*'Controls &amp; Summary'!$B$11+U124*'Controls &amp; Summary'!$B$12</x:f>
        <x:v>7.82612944453647</x:v>
      </x:c>
      <x:c r="W124" s="31" t="n">
        <x:v>1.25</x:v>
      </x:c>
      <x:c r="X124" s="31" t="n">
        <x:v>4.18</x:v>
      </x:c>
      <x:c r="Y124" s="31" t="n">
        <x:f>((10-MIN(10,MAX(0,X124)))/10)*'Controls &amp; Summary'!$B$15+((10-MIN(10,MAX(0,W124)))/10)*'Controls &amp; Summary'!$B$16</x:f>
        <x:v>1.457</x:v>
      </x:c>
      <x:c r="Z124" s="31" t="n">
        <x:f>V124*Y124</x:f>
        <x:v>11.402670600689637</x:v>
      </x:c>
      <x:c r="AA124" s="30" t="str">
        <x:f>IF(Z124&lt;=I124,"Peaceful","Hostile")</x:f>
        <x:v>Hostile</x:v>
      </x:c>
      <x:c r="AB124" s="30" t="str">
        <x:f>IF(Z124&lt;='Controls &amp; Summary'!$B$6,"Eligible","Blocked")</x:f>
        <x:v>Eligible</x:v>
      </x:c>
      <x:c r="AC124" s="30" t="str">
        <x:v>2003_ETH</x:v>
      </x:c>
      <x:c r="AD124" s="30" t="str">
        <x:v>2003_DJI</x:v>
      </x:c>
      <x:c r="AE124" s="30" t="str">
        <x:v>2003_Djibouti</x:v>
      </x:c>
      <x:c r="AF124" s="30" t="str">
        <x:v>Explicit capitalClaim</x:v>
      </x:c>
      <x:c r="AG124" s="30" t="str">
        <x:v>Claim2003_ETH2003_Djibouti</x:v>
      </x:c>
      <x:c r="AH124" s="30" t="str">
        <x:v>Project_AfricanUnion</x:v>
      </x:c>
    </x:row>
    <x:row r="125">
      <x:c r="A125" s="30" t="str">
        <x:v>2003</x:v>
      </x:c>
      <x:c r="B125" s="30" t="str">
        <x:v>Dark Skies</x:v>
      </x:c>
      <x:c r="C125" s="30" t="str">
        <x:v>Ethiopia</x:v>
      </x:c>
      <x:c r="D125" s="30" t="str">
        <x:v>Egypt</x:v>
      </x:c>
      <x:c r="E125" s="30" t="str">
        <x:v>Project unlock</x:v>
      </x:c>
      <x:c r="F125" s="30" t="str">
        <x:v>Great African Union</x:v>
      </x:c>
      <x:c r="G125" s="30" t="str">
        <x:v>No</x:v>
      </x:c>
      <x:c r="H125" s="30" t="str">
        <x:v>Ordinary claim</x:v>
      </x:c>
      <x:c r="I125" s="31" t="n">
        <x:f>IF(G125="Yes",'Controls &amp; Summary'!$B$5,'Controls &amp; Summary'!$B$4)</x:f>
        <x:v>6</x:v>
      </x:c>
      <x:c r="J125" s="31" t="n">
        <x:v>4.74</x:v>
      </x:c>
      <x:c r="K125" s="31" t="n">
        <x:v>3.89</x:v>
      </x:c>
      <x:c r="L125" s="31" t="n">
        <x:f>ABS(J125-K125)</x:f>
        <x:v>0.8500000000000001</x:v>
      </x:c>
      <x:c r="M125" s="31" t="n">
        <x:v>3.28</x:v>
      </x:c>
      <x:c r="N125" s="31" t="n">
        <x:v>4.18</x:v>
      </x:c>
      <x:c r="O125" s="31" t="n">
        <x:f>ABS(M125-N125)</x:f>
        <x:v>0.8999999999999999</x:v>
      </x:c>
      <x:c r="P125" s="31" t="n">
        <x:v>2.03</x:v>
      </x:c>
      <x:c r="Q125" s="31" t="n">
        <x:v>5.62</x:v>
      </x:c>
      <x:c r="R125" s="31" t="n">
        <x:f>ABS(P125-Q125)</x:f>
        <x:v>3.5900000000000003</x:v>
      </x:c>
      <x:c r="S125" s="32" t="n">
        <x:v>327.76029228418867</x:v>
      </x:c>
      <x:c r="T125" s="32" t="n">
        <x:v>3623.4100115899664</x:v>
      </x:c>
      <x:c r="U125" s="31" t="n">
        <x:f>MAX(S125/T125,T125/S125)</x:f>
        <x:v>11.055060960368694</x:v>
      </x:c>
      <x:c r="V125" s="31" t="n">
        <x:f>L125*'Controls &amp; Summary'!$B$9+O125*'Controls &amp; Summary'!$B$10+R125*'Controls &amp; Summary'!$B$11+U125*'Controls &amp; Summary'!$B$12</x:f>
        <x:v>16.395060960368696</x:v>
      </x:c>
      <x:c r="W125" s="31" t="n">
        <x:v>1.25</x:v>
      </x:c>
      <x:c r="X125" s="31" t="n">
        <x:v>1.32</x:v>
      </x:c>
      <x:c r="Y125" s="31" t="n">
        <x:f>((10-MIN(10,MAX(0,X125)))/10)*'Controls &amp; Summary'!$B$15+((10-MIN(10,MAX(0,W125)))/10)*'Controls &amp; Summary'!$B$16</x:f>
        <x:v>1.7429999999999999</x:v>
      </x:c>
      <x:c r="Z125" s="31" t="n">
        <x:f>V125*Y125</x:f>
        <x:v>28.576591253922636</x:v>
      </x:c>
      <x:c r="AA125" s="30" t="str">
        <x:f>IF(Z125&lt;=I125,"Peaceful","Hostile")</x:f>
        <x:v>Hostile</x:v>
      </x:c>
      <x:c r="AB125" s="30" t="str">
        <x:f>IF(Z125&lt;='Controls &amp; Summary'!$B$6,"Eligible","Blocked")</x:f>
        <x:v>Blocked</x:v>
      </x:c>
      <x:c r="AC125" s="30" t="str">
        <x:v>2003_ETH</x:v>
      </x:c>
      <x:c r="AD125" s="30" t="str">
        <x:v>2003_EGY</x:v>
      </x:c>
      <x:c r="AE125" s="30" t="str">
        <x:v>2003_Cairo</x:v>
      </x:c>
      <x:c r="AF125" s="30" t="str">
        <x:v>Explicit capitalClaim</x:v>
      </x:c>
      <x:c r="AG125" s="30" t="str">
        <x:v>Claim2003_ETH2003_Cairo</x:v>
      </x:c>
      <x:c r="AH125" s="30" t="str">
        <x:v>Project_GreatAfricanUnion</x:v>
      </x:c>
    </x:row>
    <x:row r="126">
      <x:c r="A126" s="30" t="str">
        <x:v>2003</x:v>
      </x:c>
      <x:c r="B126" s="30" t="str">
        <x:v>Dark Skies</x:v>
      </x:c>
      <x:c r="C126" s="30" t="str">
        <x:v>Ethiopia</x:v>
      </x:c>
      <x:c r="D126" s="30" t="str">
        <x:v>Equatorial Guinea</x:v>
      </x:c>
      <x:c r="E126" s="30" t="str">
        <x:v>Project unlock</x:v>
      </x:c>
      <x:c r="F126" s="30" t="str">
        <x:v>African Union</x:v>
      </x:c>
      <x:c r="G126" s="30" t="str">
        <x:v>No</x:v>
      </x:c>
      <x:c r="H126" s="30" t="str">
        <x:v>Ordinary claim</x:v>
      </x:c>
      <x:c r="I126" s="31" t="n">
        <x:f>IF(G126="Yes",'Controls &amp; Summary'!$B$5,'Controls &amp; Summary'!$B$4)</x:f>
        <x:v>6</x:v>
      </x:c>
      <x:c r="J126" s="31" t="n">
        <x:v>4.74</x:v>
      </x:c>
      <x:c r="K126" s="31" t="n">
        <x:v>2.09</x:v>
      </x:c>
      <x:c r="L126" s="31" t="n">
        <x:f>ABS(J126-K126)</x:f>
        <x:v>2.6500000000000004</x:v>
      </x:c>
      <x:c r="M126" s="31" t="n">
        <x:v>3.28</x:v>
      </x:c>
      <x:c r="N126" s="31" t="n">
        <x:v>4.42</x:v>
      </x:c>
      <x:c r="O126" s="31" t="n">
        <x:f>ABS(M126-N126)</x:f>
        <x:v>1.1400000000000001</x:v>
      </x:c>
      <x:c r="P126" s="31" t="n">
        <x:v>2.03</x:v>
      </x:c>
      <x:c r="Q126" s="31" t="n">
        <x:v>4.5</x:v>
      </x:c>
      <x:c r="R126" s="31" t="n">
        <x:f>ABS(P126-Q126)</x:f>
        <x:v>2.47</x:v>
      </x:c>
      <x:c r="S126" s="32" t="n">
        <x:v>327.76029228418867</x:v>
      </x:c>
      <x:c r="T126" s="32" t="n">
        <x:v>9353.419963390268</x:v>
      </x:c>
      <x:c r="U126" s="31" t="n">
        <x:f>MAX(S126/T126,T126/S126)</x:f>
        <x:v>28.53737985832728</x:v>
      </x:c>
      <x:c r="V126" s="31" t="n">
        <x:f>L126*'Controls &amp; Summary'!$B$9+O126*'Controls &amp; Summary'!$B$10+R126*'Controls &amp; Summary'!$B$11+U126*'Controls &amp; Summary'!$B$12</x:f>
        <x:v>34.79737985832728</x:v>
      </x:c>
      <x:c r="W126" s="31" t="n">
        <x:v>1.25</x:v>
      </x:c>
      <x:c r="X126" s="31" t="n">
        <x:v>6.32</x:v>
      </x:c>
      <x:c r="Y126" s="31" t="n">
        <x:f>((10-MIN(10,MAX(0,X126)))/10)*'Controls &amp; Summary'!$B$15+((10-MIN(10,MAX(0,W126)))/10)*'Controls &amp; Summary'!$B$16</x:f>
        <x:v>1.2429999999999999</x:v>
      </x:c>
      <x:c r="Z126" s="31" t="n">
        <x:f>V126*Y126</x:f>
        <x:v>43.25314316390081</x:v>
      </x:c>
      <x:c r="AA126" s="30" t="str">
        <x:f>IF(Z126&lt;=I126,"Peaceful","Hostile")</x:f>
        <x:v>Hostile</x:v>
      </x:c>
      <x:c r="AB126" s="30" t="str">
        <x:f>IF(Z126&lt;='Controls &amp; Summary'!$B$6,"Eligible","Blocked")</x:f>
        <x:v>Blocked</x:v>
      </x:c>
      <x:c r="AC126" s="30" t="str">
        <x:v>2003_ETH</x:v>
      </x:c>
      <x:c r="AD126" s="30" t="str">
        <x:v>2003_EQG</x:v>
      </x:c>
      <x:c r="AE126" s="30" t="str">
        <x:v>2003_EquatorialGuinea</x:v>
      </x:c>
      <x:c r="AF126" s="30" t="str">
        <x:v>Explicit capitalClaim</x:v>
      </x:c>
      <x:c r="AG126" s="30" t="str">
        <x:v>Claim2003_ETH2003_EquatorialGuinea</x:v>
      </x:c>
      <x:c r="AH126" s="30" t="str">
        <x:v>Project_AfricanUnion</x:v>
      </x:c>
    </x:row>
    <x:row r="127">
      <x:c r="A127" s="30" t="str">
        <x:v>2003</x:v>
      </x:c>
      <x:c r="B127" s="30" t="str">
        <x:v>Dark Skies</x:v>
      </x:c>
      <x:c r="C127" s="30" t="str">
        <x:v>Ethiopia</x:v>
      </x:c>
      <x:c r="D127" s="30" t="str">
        <x:v>Eritrea</x:v>
      </x:c>
      <x:c r="E127" s="30" t="str">
        <x:v>Starting claim</x:v>
      </x:c>
      <x:c r="F127" s="30" t="str"/>
      <x:c r="G127" s="30" t="str">
        <x:v>Yes</x:v>
      </x:c>
      <x:c r="H127" s="30" t="str">
        <x:v>Template hostileClaim</x:v>
      </x:c>
      <x:c r="I127" s="31" t="n">
        <x:f>IF(G127="Yes",'Controls &amp; Summary'!$B$5,'Controls &amp; Summary'!$B$4)</x:f>
        <x:v>3</x:v>
      </x:c>
      <x:c r="J127" s="31" t="n">
        <x:v>4.74</x:v>
      </x:c>
      <x:c r="K127" s="31" t="n">
        <x:v>2.31</x:v>
      </x:c>
      <x:c r="L127" s="31" t="n">
        <x:f>ABS(J127-K127)</x:f>
        <x:v>2.43</x:v>
      </x:c>
      <x:c r="M127" s="31" t="n">
        <x:v>3.28</x:v>
      </x:c>
      <x:c r="N127" s="31" t="n">
        <x:v>3.76</x:v>
      </x:c>
      <x:c r="O127" s="31" t="n">
        <x:f>ABS(M127-N127)</x:f>
        <x:v>0.48</x:v>
      </x:c>
      <x:c r="P127" s="31" t="n">
        <x:v>2.03</x:v>
      </x:c>
      <x:c r="Q127" s="31" t="n">
        <x:v>3.76</x:v>
      </x:c>
      <x:c r="R127" s="31" t="n">
        <x:f>ABS(P127-Q127)</x:f>
        <x:v>1.73</x:v>
      </x:c>
      <x:c r="S127" s="32" t="n">
        <x:v>327.76029228418867</x:v>
      </x:c>
      <x:c r="T127" s="32" t="n">
        <x:v>796.7970297962671</x:v>
      </x:c>
      <x:c r="U127" s="31" t="n">
        <x:f>MAX(S127/T127,T127/S127)</x:f>
        <x:v>2.431035877602264</x:v>
      </x:c>
      <x:c r="V127" s="31" t="n">
        <x:f>L127*'Controls &amp; Summary'!$B$9+O127*'Controls &amp; Summary'!$B$10+R127*'Controls &amp; Summary'!$B$11+U127*'Controls &amp; Summary'!$B$12</x:f>
        <x:v>7.071035877602265</x:v>
      </x:c>
      <x:c r="W127" s="31" t="n">
        <x:v>1.25</x:v>
      </x:c>
      <x:c r="X127" s="31" t="n">
        <x:v>5.76</x:v>
      </x:c>
      <x:c r="Y127" s="31" t="n">
        <x:f>((10-MIN(10,MAX(0,X127)))/10)*'Controls &amp; Summary'!$B$15+((10-MIN(10,MAX(0,W127)))/10)*'Controls &amp; Summary'!$B$16</x:f>
        <x:v>1.299</x:v>
      </x:c>
      <x:c r="Z127" s="31" t="n">
        <x:f>V127*Y127</x:f>
        <x:v>9.18527560500534</x:v>
      </x:c>
      <x:c r="AA127" s="30" t="str">
        <x:f>IF(Z127&lt;=I127,"Peaceful","Hostile")</x:f>
        <x:v>Hostile</x:v>
      </x:c>
      <x:c r="AB127" s="30" t="str">
        <x:f>IF(Z127&lt;='Controls &amp; Summary'!$B$6,"Eligible","Blocked")</x:f>
        <x:v>Eligible</x:v>
      </x:c>
      <x:c r="AC127" s="30" t="str">
        <x:v>2003_ETH</x:v>
      </x:c>
      <x:c r="AD127" s="30" t="str">
        <x:v>2003_ERI</x:v>
      </x:c>
      <x:c r="AE127" s="30" t="str">
        <x:v>2003_Eritrea</x:v>
      </x:c>
      <x:c r="AF127" s="30" t="str">
        <x:v>Explicit capitalClaim</x:v>
      </x:c>
      <x:c r="AG127" s="30" t="str">
        <x:v>Claim2003_ETH2003_Eritrea</x:v>
      </x:c>
      <x:c r="AH127" s="30" t="str"/>
    </x:row>
    <x:row r="128">
      <x:c r="A128" s="30" t="str">
        <x:v>2003</x:v>
      </x:c>
      <x:c r="B128" s="30" t="str">
        <x:v>Dark Skies</x:v>
      </x:c>
      <x:c r="C128" s="30" t="str">
        <x:v>Ethiopia</x:v>
      </x:c>
      <x:c r="D128" s="30" t="str">
        <x:v>Eswatini</x:v>
      </x:c>
      <x:c r="E128" s="30" t="str">
        <x:v>Project unlock</x:v>
      </x:c>
      <x:c r="F128" s="30" t="str">
        <x:v>African Union</x:v>
      </x:c>
      <x:c r="G128" s="30" t="str">
        <x:v>No</x:v>
      </x:c>
      <x:c r="H128" s="30" t="str">
        <x:v>Ordinary claim</x:v>
      </x:c>
      <x:c r="I128" s="31" t="n">
        <x:f>IF(G128="Yes",'Controls &amp; Summary'!$B$5,'Controls &amp; Summary'!$B$4)</x:f>
        <x:v>6</x:v>
      </x:c>
      <x:c r="J128" s="31" t="n">
        <x:v>4.74</x:v>
      </x:c>
      <x:c r="K128" s="31" t="n">
        <x:v>2.92</x:v>
      </x:c>
      <x:c r="L128" s="31" t="n">
        <x:f>ABS(J128-K128)</x:f>
        <x:v>1.8200000000000003</x:v>
      </x:c>
      <x:c r="M128" s="31" t="n">
        <x:v>3.28</x:v>
      </x:c>
      <x:c r="N128" s="31" t="n">
        <x:v>5.85</x:v>
      </x:c>
      <x:c r="O128" s="31" t="n">
        <x:f>ABS(M128-N128)</x:f>
        <x:v>2.57</x:v>
      </x:c>
      <x:c r="P128" s="31" t="n">
        <x:v>2.03</x:v>
      </x:c>
      <x:c r="Q128" s="31" t="n">
        <x:v>3.7</x:v>
      </x:c>
      <x:c r="R128" s="31" t="n">
        <x:f>ABS(P128-Q128)</x:f>
        <x:v>1.6700000000000004</x:v>
      </x:c>
      <x:c r="S128" s="32" t="n">
        <x:v>327.76029228418867</x:v>
      </x:c>
      <x:c r="T128" s="32" t="n">
        <x:v>2691.2536176994467</x:v>
      </x:c>
      <x:c r="U128" s="31" t="n">
        <x:f>MAX(S128/T128,T128/S128)</x:f>
        <x:v>8.211042280148938</x:v>
      </x:c>
      <x:c r="V128" s="31" t="n">
        <x:f>L128*'Controls &amp; Summary'!$B$9+O128*'Controls &amp; Summary'!$B$10+R128*'Controls &amp; Summary'!$B$11+U128*'Controls &amp; Summary'!$B$12</x:f>
        <x:v>14.271042280148938</x:v>
      </x:c>
      <x:c r="W128" s="31" t="n">
        <x:v>1.25</x:v>
      </x:c>
      <x:c r="X128" s="31" t="n">
        <x:v>1.99</x:v>
      </x:c>
      <x:c r="Y128" s="31" t="n">
        <x:f>((10-MIN(10,MAX(0,X128)))/10)*'Controls &amp; Summary'!$B$15+((10-MIN(10,MAX(0,W128)))/10)*'Controls &amp; Summary'!$B$16</x:f>
        <x:v>1.676</x:v>
      </x:c>
      <x:c r="Z128" s="31" t="n">
        <x:f>V128*Y128</x:f>
        <x:v>23.91826686152962</x:v>
      </x:c>
      <x:c r="AA128" s="30" t="str">
        <x:f>IF(Z128&lt;=I128,"Peaceful","Hostile")</x:f>
        <x:v>Hostile</x:v>
      </x:c>
      <x:c r="AB128" s="30" t="str">
        <x:f>IF(Z128&lt;='Controls &amp; Summary'!$B$6,"Eligible","Blocked")</x:f>
        <x:v>Blocked</x:v>
      </x:c>
      <x:c r="AC128" s="30" t="str">
        <x:v>2003_ETH</x:v>
      </x:c>
      <x:c r="AD128" s="30" t="str">
        <x:v>2003_ESW</x:v>
      </x:c>
      <x:c r="AE128" s="30" t="str">
        <x:v>2003_Eswatini</x:v>
      </x:c>
      <x:c r="AF128" s="30" t="str">
        <x:v>Explicit capitalClaim</x:v>
      </x:c>
      <x:c r="AG128" s="30" t="str">
        <x:v>Claim2003_ETH2003_Eswatini</x:v>
      </x:c>
      <x:c r="AH128" s="30" t="str">
        <x:v>Project_AfricanUnion</x:v>
      </x:c>
    </x:row>
    <x:row r="129">
      <x:c r="A129" s="30" t="str">
        <x:v>2003</x:v>
      </x:c>
      <x:c r="B129" s="30" t="str">
        <x:v>Dark Skies</x:v>
      </x:c>
      <x:c r="C129" s="30" t="str">
        <x:v>Ethiopia</x:v>
      </x:c>
      <x:c r="D129" s="30" t="str">
        <x:v>Gabon</x:v>
      </x:c>
      <x:c r="E129" s="30" t="str">
        <x:v>Project unlock</x:v>
      </x:c>
      <x:c r="F129" s="30" t="str">
        <x:v>African Union</x:v>
      </x:c>
      <x:c r="G129" s="30" t="str">
        <x:v>No</x:v>
      </x:c>
      <x:c r="H129" s="30" t="str">
        <x:v>Ordinary claim</x:v>
      </x:c>
      <x:c r="I129" s="31" t="n">
        <x:f>IF(G129="Yes",'Controls &amp; Summary'!$B$5,'Controls &amp; Summary'!$B$4)</x:f>
        <x:v>6</x:v>
      </x:c>
      <x:c r="J129" s="31" t="n">
        <x:v>4.74</x:v>
      </x:c>
      <x:c r="K129" s="31" t="n">
        <x:v>2.7</x:v>
      </x:c>
      <x:c r="L129" s="31" t="n">
        <x:f>ABS(J129-K129)</x:f>
        <x:v>2.04</x:v>
      </x:c>
      <x:c r="M129" s="31" t="n">
        <x:v>3.28</x:v>
      </x:c>
      <x:c r="N129" s="31" t="n">
        <x:v>4.01</x:v>
      </x:c>
      <x:c r="O129" s="31" t="n">
        <x:f>ABS(M129-N129)</x:f>
        <x:v>0.73</x:v>
      </x:c>
      <x:c r="P129" s="31" t="n">
        <x:v>2.03</x:v>
      </x:c>
      <x:c r="Q129" s="31" t="n">
        <x:v>5.85</x:v>
      </x:c>
      <x:c r="R129" s="31" t="n">
        <x:f>ABS(P129-Q129)</x:f>
        <x:v>3.82</x:v>
      </x:c>
      <x:c r="S129" s="32" t="n">
        <x:v>327.76029228418867</x:v>
      </x:c>
      <x:c r="T129" s="32" t="n">
        <x:v>7105.875514884075</x:v>
      </x:c>
      <x:c r="U129" s="31" t="n">
        <x:f>MAX(S129/T129,T129/S129)</x:f>
        <x:v>21.68009878610566</x:v>
      </x:c>
      <x:c r="V129" s="31" t="n">
        <x:f>L129*'Controls &amp; Summary'!$B$9+O129*'Controls &amp; Summary'!$B$10+R129*'Controls &amp; Summary'!$B$11+U129*'Controls &amp; Summary'!$B$12</x:f>
        <x:v>28.27009878610566</x:v>
      </x:c>
      <x:c r="W129" s="31" t="n">
        <x:v>1.25</x:v>
      </x:c>
      <x:c r="X129" s="31" t="n">
        <x:v>3.66</x:v>
      </x:c>
      <x:c r="Y129" s="31" t="n">
        <x:f>((10-MIN(10,MAX(0,X129)))/10)*'Controls &amp; Summary'!$B$15+((10-MIN(10,MAX(0,W129)))/10)*'Controls &amp; Summary'!$B$16</x:f>
        <x:v>1.509</x:v>
      </x:c>
      <x:c r="Z129" s="31" t="n">
        <x:f>V129*Y129</x:f>
        <x:v>42.659579068233434</x:v>
      </x:c>
      <x:c r="AA129" s="30" t="str">
        <x:f>IF(Z129&lt;=I129,"Peaceful","Hostile")</x:f>
        <x:v>Hostile</x:v>
      </x:c>
      <x:c r="AB129" s="30" t="str">
        <x:f>IF(Z129&lt;='Controls &amp; Summary'!$B$6,"Eligible","Blocked")</x:f>
        <x:v>Blocked</x:v>
      </x:c>
      <x:c r="AC129" s="30" t="str">
        <x:v>2003_ETH</x:v>
      </x:c>
      <x:c r="AD129" s="30" t="str">
        <x:v>2003_LWG</x:v>
      </x:c>
      <x:c r="AE129" s="30" t="str">
        <x:v>2003_Libreville</x:v>
      </x:c>
      <x:c r="AF129" s="30" t="str">
        <x:v>Explicit capitalClaim</x:v>
      </x:c>
      <x:c r="AG129" s="30" t="str">
        <x:v>Claim2003_ETH2003_Libreville</x:v>
      </x:c>
      <x:c r="AH129" s="30" t="str">
        <x:v>Project_AfricanUnion</x:v>
      </x:c>
    </x:row>
    <x:row r="130">
      <x:c r="A130" s="30" t="str">
        <x:v>2003</x:v>
      </x:c>
      <x:c r="B130" s="30" t="str">
        <x:v>Dark Skies</x:v>
      </x:c>
      <x:c r="C130" s="30" t="str">
        <x:v>Ethiopia</x:v>
      </x:c>
      <x:c r="D130" s="30" t="str">
        <x:v>Gambia</x:v>
      </x:c>
      <x:c r="E130" s="30" t="str">
        <x:v>Project unlock</x:v>
      </x:c>
      <x:c r="F130" s="30" t="str">
        <x:v>African Union</x:v>
      </x:c>
      <x:c r="G130" s="30" t="str">
        <x:v>No</x:v>
      </x:c>
      <x:c r="H130" s="30" t="str">
        <x:v>Ordinary claim</x:v>
      </x:c>
      <x:c r="I130" s="31" t="n">
        <x:f>IF(G130="Yes",'Controls &amp; Summary'!$B$5,'Controls &amp; Summary'!$B$4)</x:f>
        <x:v>6</x:v>
      </x:c>
      <x:c r="J130" s="31" t="n">
        <x:v>4.74</x:v>
      </x:c>
      <x:c r="K130" s="31" t="n">
        <x:v>4.43</x:v>
      </x:c>
      <x:c r="L130" s="31" t="n">
        <x:f>ABS(J130-K130)</x:f>
        <x:v>0.3100000000000005</x:v>
      </x:c>
      <x:c r="M130" s="31" t="n">
        <x:v>3.28</x:v>
      </x:c>
      <x:c r="N130" s="31" t="n">
        <x:v>4.41</x:v>
      </x:c>
      <x:c r="O130" s="31" t="n">
        <x:f>ABS(M130-N130)</x:f>
        <x:v>1.1300000000000003</x:v>
      </x:c>
      <x:c r="P130" s="31" t="n">
        <x:v>2.03</x:v>
      </x:c>
      <x:c r="Q130" s="31" t="n">
        <x:v>3.19</x:v>
      </x:c>
      <x:c r="R130" s="31" t="n">
        <x:f>ABS(P130-Q130)</x:f>
        <x:v>1.1600000000000001</x:v>
      </x:c>
      <x:c r="S130" s="32" t="n">
        <x:v>327.76029228418867</x:v>
      </x:c>
      <x:c r="T130" s="32" t="n">
        <x:v>972.3044077405647</x:v>
      </x:c>
      <x:c r="U130" s="31" t="n">
        <x:f>MAX(S130/T130,T130/S130)</x:f>
        <x:v>2.9665106806089736</x:v>
      </x:c>
      <x:c r="V130" s="31" t="n">
        <x:f>L130*'Controls &amp; Summary'!$B$9+O130*'Controls &amp; Summary'!$B$10+R130*'Controls &amp; Summary'!$B$11+U130*'Controls &amp; Summary'!$B$12</x:f>
        <x:v>5.566510680608975</x:v>
      </x:c>
      <x:c r="W130" s="31" t="n">
        <x:v>1.25</x:v>
      </x:c>
      <x:c r="X130" s="31" t="n">
        <x:v>2.61</x:v>
      </x:c>
      <x:c r="Y130" s="31" t="n">
        <x:f>((10-MIN(10,MAX(0,X130)))/10)*'Controls &amp; Summary'!$B$15+((10-MIN(10,MAX(0,W130)))/10)*'Controls &amp; Summary'!$B$16</x:f>
        <x:v>1.614</x:v>
      </x:c>
      <x:c r="Z130" s="31" t="n">
        <x:f>V130*Y130</x:f>
        <x:v>8.984348238502886</x:v>
      </x:c>
      <x:c r="AA130" s="30" t="str">
        <x:f>IF(Z130&lt;=I130,"Peaceful","Hostile")</x:f>
        <x:v>Hostile</x:v>
      </x:c>
      <x:c r="AB130" s="30" t="str">
        <x:f>IF(Z130&lt;='Controls &amp; Summary'!$B$6,"Eligible","Blocked")</x:f>
        <x:v>Eligible</x:v>
      </x:c>
      <x:c r="AC130" s="30" t="str">
        <x:v>2003_ETH</x:v>
      </x:c>
      <x:c r="AD130" s="30" t="str">
        <x:v>2003_GAM</x:v>
      </x:c>
      <x:c r="AE130" s="30" t="str">
        <x:v>2003_Gambia</x:v>
      </x:c>
      <x:c r="AF130" s="30" t="str">
        <x:v>Explicit capitalClaim</x:v>
      </x:c>
      <x:c r="AG130" s="30" t="str">
        <x:v>Claim2003_ETH2003_Gambia</x:v>
      </x:c>
      <x:c r="AH130" s="30" t="str">
        <x:v>Project_AfricanUnion</x:v>
      </x:c>
    </x:row>
    <x:row r="131">
      <x:c r="A131" s="30" t="str">
        <x:v>2003</x:v>
      </x:c>
      <x:c r="B131" s="30" t="str">
        <x:v>Dark Skies</x:v>
      </x:c>
      <x:c r="C131" s="30" t="str">
        <x:v>Ethiopia</x:v>
      </x:c>
      <x:c r="D131" s="30" t="str">
        <x:v>Ghana</x:v>
      </x:c>
      <x:c r="E131" s="30" t="str">
        <x:v>Project unlock</x:v>
      </x:c>
      <x:c r="F131" s="30" t="str">
        <x:v>African Union</x:v>
      </x:c>
      <x:c r="G131" s="30" t="str">
        <x:v>No</x:v>
      </x:c>
      <x:c r="H131" s="30" t="str">
        <x:v>Ordinary claim</x:v>
      </x:c>
      <x:c r="I131" s="31" t="n">
        <x:f>IF(G131="Yes",'Controls &amp; Summary'!$B$5,'Controls &amp; Summary'!$B$4)</x:f>
        <x:v>6</x:v>
      </x:c>
      <x:c r="J131" s="31" t="n">
        <x:v>4.74</x:v>
      </x:c>
      <x:c r="K131" s="31" t="n">
        <x:v>5.34</x:v>
      </x:c>
      <x:c r="L131" s="31" t="n">
        <x:f>ABS(J131-K131)</x:f>
        <x:v>0.5999999999999996</x:v>
      </x:c>
      <x:c r="M131" s="31" t="n">
        <x:v>3.28</x:v>
      </x:c>
      <x:c r="N131" s="31" t="n">
        <x:v>4.19</x:v>
      </x:c>
      <x:c r="O131" s="31" t="n">
        <x:f>ABS(M131-N131)</x:f>
        <x:v>0.9100000000000006</x:v>
      </x:c>
      <x:c r="P131" s="31" t="n">
        <x:v>2.03</x:v>
      </x:c>
      <x:c r="Q131" s="31" t="n">
        <x:v>3.99</x:v>
      </x:c>
      <x:c r="R131" s="31" t="n">
        <x:f>ABS(P131-Q131)</x:f>
        <x:v>1.9600000000000004</x:v>
      </x:c>
      <x:c r="S131" s="32" t="n">
        <x:v>327.76029228418867</x:v>
      </x:c>
      <x:c r="T131" s="32" t="n">
        <x:v>1377.6943840373428</x:v>
      </x:c>
      <x:c r="U131" s="31" t="n">
        <x:f>MAX(S131/T131,T131/S131)</x:f>
        <x:v>4.203359639558765</x:v>
      </x:c>
      <x:c r="V131" s="31" t="n">
        <x:f>L131*'Controls &amp; Summary'!$B$9+O131*'Controls &amp; Summary'!$B$10+R131*'Controls &amp; Summary'!$B$11+U131*'Controls &amp; Summary'!$B$12</x:f>
        <x:v>7.6733596395587655</x:v>
      </x:c>
      <x:c r="W131" s="31" t="n">
        <x:v>1.25</x:v>
      </x:c>
      <x:c r="X131" s="31" t="n">
        <x:v>4.32</x:v>
      </x:c>
      <x:c r="Y131" s="31" t="n">
        <x:f>((10-MIN(10,MAX(0,X131)))/10)*'Controls &amp; Summary'!$B$15+((10-MIN(10,MAX(0,W131)))/10)*'Controls &amp; Summary'!$B$16</x:f>
        <x:v>1.443</x:v>
      </x:c>
      <x:c r="Z131" s="31" t="n">
        <x:f>V131*Y131</x:f>
        <x:v>11.0726579598833</x:v>
      </x:c>
      <x:c r="AA131" s="30" t="str">
        <x:f>IF(Z131&lt;=I131,"Peaceful","Hostile")</x:f>
        <x:v>Hostile</x:v>
      </x:c>
      <x:c r="AB131" s="30" t="str">
        <x:f>IF(Z131&lt;='Controls &amp; Summary'!$B$6,"Eligible","Blocked")</x:f>
        <x:v>Eligible</x:v>
      </x:c>
      <x:c r="AC131" s="30" t="str">
        <x:v>2003_ETH</x:v>
      </x:c>
      <x:c r="AD131" s="30" t="str">
        <x:v>2003_GHA</x:v>
      </x:c>
      <x:c r="AE131" s="30" t="str">
        <x:v>2003_Accra</x:v>
      </x:c>
      <x:c r="AF131" s="30" t="str">
        <x:v>Explicit capitalClaim</x:v>
      </x:c>
      <x:c r="AG131" s="30" t="str">
        <x:v>Claim2003_ETH2003_Accra</x:v>
      </x:c>
      <x:c r="AH131" s="30" t="str">
        <x:v>Project_AfricanUnion</x:v>
      </x:c>
    </x:row>
    <x:row r="132">
      <x:c r="A132" s="30" t="str">
        <x:v>2003</x:v>
      </x:c>
      <x:c r="B132" s="30" t="str">
        <x:v>Dark Skies</x:v>
      </x:c>
      <x:c r="C132" s="30" t="str">
        <x:v>Ethiopia</x:v>
      </x:c>
      <x:c r="D132" s="30" t="str">
        <x:v>Guinea</x:v>
      </x:c>
      <x:c r="E132" s="30" t="str">
        <x:v>Project unlock</x:v>
      </x:c>
      <x:c r="F132" s="30" t="str">
        <x:v>African Union</x:v>
      </x:c>
      <x:c r="G132" s="30" t="str">
        <x:v>No</x:v>
      </x:c>
      <x:c r="H132" s="30" t="str">
        <x:v>Ordinary claim</x:v>
      </x:c>
      <x:c r="I132" s="31" t="n">
        <x:f>IF(G132="Yes",'Controls &amp; Summary'!$B$5,'Controls &amp; Summary'!$B$4)</x:f>
        <x:v>6</x:v>
      </x:c>
      <x:c r="J132" s="31" t="n">
        <x:v>4.74</x:v>
      </x:c>
      <x:c r="K132" s="31" t="n">
        <x:v>2.02</x:v>
      </x:c>
      <x:c r="L132" s="31" t="n">
        <x:f>ABS(J132-K132)</x:f>
        <x:v>2.72</x:v>
      </x:c>
      <x:c r="M132" s="31" t="n">
        <x:v>3.28</x:v>
      </x:c>
      <x:c r="N132" s="31" t="n">
        <x:v>4.09</x:v>
      </x:c>
      <x:c r="O132" s="31" t="n">
        <x:f>ABS(M132-N132)</x:f>
        <x:v>0.81</x:v>
      </x:c>
      <x:c r="P132" s="31" t="n">
        <x:v>2.03</x:v>
      </x:c>
      <x:c r="Q132" s="31" t="n">
        <x:v>2.77</x:v>
      </x:c>
      <x:c r="R132" s="31" t="n">
        <x:f>ABS(P132-Q132)</x:f>
        <x:v>0.7400000000000002</x:v>
      </x:c>
      <x:c r="S132" s="32" t="n">
        <x:v>327.76029228418867</x:v>
      </x:c>
      <x:c r="T132" s="32" t="n">
        <x:v>897.8817401759777</x:v>
      </x:c>
      <x:c r="U132" s="31" t="n">
        <x:f>MAX(S132/T132,T132/S132)</x:f>
        <x:v>2.73944636160337</x:v>
      </x:c>
      <x:c r="V132" s="31" t="n">
        <x:f>L132*'Controls &amp; Summary'!$B$9+O132*'Controls &amp; Summary'!$B$10+R132*'Controls &amp; Summary'!$B$11+U132*'Controls &amp; Summary'!$B$12</x:f>
        <x:v>7.00944636160337</x:v>
      </x:c>
      <x:c r="W132" s="31" t="n">
        <x:v>1.25</x:v>
      </x:c>
      <x:c r="X132" s="31" t="n">
        <x:v>5.52</x:v>
      </x:c>
      <x:c r="Y132" s="31" t="n">
        <x:f>((10-MIN(10,MAX(0,X132)))/10)*'Controls &amp; Summary'!$B$15+((10-MIN(10,MAX(0,W132)))/10)*'Controls &amp; Summary'!$B$16</x:f>
        <x:v>1.323</x:v>
      </x:c>
      <x:c r="Z132" s="31" t="n">
        <x:f>V132*Y132</x:f>
        <x:v>9.273497536401258</x:v>
      </x:c>
      <x:c r="AA132" s="30" t="str">
        <x:f>IF(Z132&lt;=I132,"Peaceful","Hostile")</x:f>
        <x:v>Hostile</x:v>
      </x:c>
      <x:c r="AB132" s="30" t="str">
        <x:f>IF(Z132&lt;='Controls &amp; Summary'!$B$6,"Eligible","Blocked")</x:f>
        <x:v>Eligible</x:v>
      </x:c>
      <x:c r="AC132" s="30" t="str">
        <x:v>2003_ETH</x:v>
      </x:c>
      <x:c r="AD132" s="30" t="str">
        <x:v>2003_GIN</x:v>
      </x:c>
      <x:c r="AE132" s="30" t="str">
        <x:v>2003_Guinea</x:v>
      </x:c>
      <x:c r="AF132" s="30" t="str">
        <x:v>Explicit capitalClaim</x:v>
      </x:c>
      <x:c r="AG132" s="30" t="str">
        <x:v>Claim2003_ETH2003_Guinea</x:v>
      </x:c>
      <x:c r="AH132" s="30" t="str">
        <x:v>Project_AfricanUnion</x:v>
      </x:c>
    </x:row>
    <x:row r="133">
      <x:c r="A133" s="30" t="str">
        <x:v>2003</x:v>
      </x:c>
      <x:c r="B133" s="30" t="str">
        <x:v>Dark Skies</x:v>
      </x:c>
      <x:c r="C133" s="30" t="str">
        <x:v>Ethiopia</x:v>
      </x:c>
      <x:c r="D133" s="30" t="str">
        <x:v>Guinea-Bissau</x:v>
      </x:c>
      <x:c r="E133" s="30" t="str">
        <x:v>Project unlock</x:v>
      </x:c>
      <x:c r="F133" s="30" t="str">
        <x:v>African Union</x:v>
      </x:c>
      <x:c r="G133" s="30" t="str">
        <x:v>No</x:v>
      </x:c>
      <x:c r="H133" s="30" t="str">
        <x:v>Ordinary claim</x:v>
      </x:c>
      <x:c r="I133" s="31" t="n">
        <x:f>IF(G133="Yes",'Controls &amp; Summary'!$B$5,'Controls &amp; Summary'!$B$4)</x:f>
        <x:v>6</x:v>
      </x:c>
      <x:c r="J133" s="31" t="n">
        <x:v>4.74</x:v>
      </x:c>
      <x:c r="K133" s="31" t="n">
        <x:v>1.57</x:v>
      </x:c>
      <x:c r="L133" s="31" t="n">
        <x:f>ABS(J133-K133)</x:f>
        <x:v>3.17</x:v>
      </x:c>
      <x:c r="M133" s="31" t="n">
        <x:v>3.28</x:v>
      </x:c>
      <x:c r="N133" s="31" t="n">
        <x:v>4.17</x:v>
      </x:c>
      <x:c r="O133" s="31" t="n">
        <x:f>ABS(M133-N133)</x:f>
        <x:v>0.8900000000000001</x:v>
      </x:c>
      <x:c r="P133" s="31" t="n">
        <x:v>2.03</x:v>
      </x:c>
      <x:c r="Q133" s="31" t="n">
        <x:v>3.08</x:v>
      </x:c>
      <x:c r="R133" s="31" t="n">
        <x:f>ABS(P133-Q133)</x:f>
        <x:v>1.0500000000000003</x:v>
      </x:c>
      <x:c r="S133" s="32" t="n">
        <x:v>327.76029228418867</x:v>
      </x:c>
      <x:c r="T133" s="32" t="n">
        <x:v>801.2741419132154</x:v>
      </x:c>
      <x:c r="U133" s="31" t="n">
        <x:f>MAX(S133/T133,T133/S133)</x:f>
        <x:v>2.4446955924070894</x:v>
      </x:c>
      <x:c r="V133" s="31" t="n">
        <x:f>L133*'Controls &amp; Summary'!$B$9+O133*'Controls &amp; Summary'!$B$10+R133*'Controls &amp; Summary'!$B$11+U133*'Controls &amp; Summary'!$B$12</x:f>
        <x:v>7.554695592407091</x:v>
      </x:c>
      <x:c r="W133" s="31" t="n">
        <x:v>1.25</x:v>
      </x:c>
      <x:c r="X133" s="31" t="n">
        <x:v>7.42</x:v>
      </x:c>
      <x:c r="Y133" s="31" t="n">
        <x:f>((10-MIN(10,MAX(0,X133)))/10)*'Controls &amp; Summary'!$B$15+((10-MIN(10,MAX(0,W133)))/10)*'Controls &amp; Summary'!$B$16</x:f>
        <x:v>1.133</x:v>
      </x:c>
      <x:c r="Z133" s="31" t="n">
        <x:f>V133*Y133</x:f>
        <x:v>8.559470106197235</x:v>
      </x:c>
      <x:c r="AA133" s="30" t="str">
        <x:f>IF(Z133&lt;=I133,"Peaceful","Hostile")</x:f>
        <x:v>Hostile</x:v>
      </x:c>
      <x:c r="AB133" s="30" t="str">
        <x:f>IF(Z133&lt;='Controls &amp; Summary'!$B$6,"Eligible","Blocked")</x:f>
        <x:v>Eligible</x:v>
      </x:c>
      <x:c r="AC133" s="30" t="str">
        <x:v>2003_ETH</x:v>
      </x:c>
      <x:c r="AD133" s="30" t="str">
        <x:v>2003_GNB</x:v>
      </x:c>
      <x:c r="AE133" s="30" t="str">
        <x:v>2003_GuineaBissau</x:v>
      </x:c>
      <x:c r="AF133" s="30" t="str">
        <x:v>Explicit capitalClaim</x:v>
      </x:c>
      <x:c r="AG133" s="30" t="str">
        <x:v>Claim2003_ETH2003_GuineaBissau</x:v>
      </x:c>
      <x:c r="AH133" s="30" t="str">
        <x:v>Project_AfricanUnion</x:v>
      </x:c>
    </x:row>
    <x:row r="134">
      <x:c r="A134" s="30" t="str">
        <x:v>2003</x:v>
      </x:c>
      <x:c r="B134" s="30" t="str">
        <x:v>Dark Skies</x:v>
      </x:c>
      <x:c r="C134" s="30" t="str">
        <x:v>Ethiopia</x:v>
      </x:c>
      <x:c r="D134" s="30" t="str">
        <x:v>Ivory Coast</x:v>
      </x:c>
      <x:c r="E134" s="30" t="str">
        <x:v>Project unlock</x:v>
      </x:c>
      <x:c r="F134" s="30" t="str">
        <x:v>African Union</x:v>
      </x:c>
      <x:c r="G134" s="30" t="str">
        <x:v>No</x:v>
      </x:c>
      <x:c r="H134" s="30" t="str">
        <x:v>Ordinary claim</x:v>
      </x:c>
      <x:c r="I134" s="31" t="n">
        <x:f>IF(G134="Yes",'Controls &amp; Summary'!$B$5,'Controls &amp; Summary'!$B$4)</x:f>
        <x:v>6</x:v>
      </x:c>
      <x:c r="J134" s="31" t="n">
        <x:v>4.74</x:v>
      </x:c>
      <x:c r="K134" s="31" t="n">
        <x:v>3.42</x:v>
      </x:c>
      <x:c r="L134" s="31" t="n">
        <x:f>ABS(J134-K134)</x:f>
        <x:v>1.3200000000000003</x:v>
      </x:c>
      <x:c r="M134" s="31" t="n">
        <x:v>3.28</x:v>
      </x:c>
      <x:c r="N134" s="31" t="n">
        <x:v>5.19</x:v>
      </x:c>
      <x:c r="O134" s="31" t="n">
        <x:f>ABS(M134-N134)</x:f>
        <x:v>1.9100000000000006</x:v>
      </x:c>
      <x:c r="P134" s="31" t="n">
        <x:v>2.03</x:v>
      </x:c>
      <x:c r="Q134" s="31" t="n">
        <x:v>3.22</x:v>
      </x:c>
      <x:c r="R134" s="31" t="n">
        <x:f>ABS(P134-Q134)</x:f>
        <x:v>1.1900000000000004</x:v>
      </x:c>
      <x:c r="S134" s="32" t="n">
        <x:v>327.76029228418867</x:v>
      </x:c>
      <x:c r="T134" s="32" t="n">
        <x:v>1635.331860765044</x:v>
      </x:c>
      <x:c r="U134" s="31" t="n">
        <x:f>MAX(S134/T134,T134/S134)</x:f>
        <x:v>4.989414212955086</x:v>
      </x:c>
      <x:c r="V134" s="31" t="n">
        <x:f>L134*'Controls &amp; Summary'!$B$9+O134*'Controls &amp; Summary'!$B$10+R134*'Controls &amp; Summary'!$B$11+U134*'Controls &amp; Summary'!$B$12</x:f>
        <x:v>9.409414212955088</x:v>
      </x:c>
      <x:c r="W134" s="31" t="n">
        <x:v>1.25</x:v>
      </x:c>
      <x:c r="X134" s="31" t="n">
        <x:v>6.2</x:v>
      </x:c>
      <x:c r="Y134" s="31" t="n">
        <x:f>((10-MIN(10,MAX(0,X134)))/10)*'Controls &amp; Summary'!$B$15+((10-MIN(10,MAX(0,W134)))/10)*'Controls &amp; Summary'!$B$16</x:f>
        <x:v>1.255</x:v>
      </x:c>
      <x:c r="Z134" s="31" t="n">
        <x:f>V134*Y134</x:f>
        <x:v>11.808814837258634</x:v>
      </x:c>
      <x:c r="AA134" s="30" t="str">
        <x:f>IF(Z134&lt;=I134,"Peaceful","Hostile")</x:f>
        <x:v>Hostile</x:v>
      </x:c>
      <x:c r="AB134" s="30" t="str">
        <x:f>IF(Z134&lt;='Controls &amp; Summary'!$B$6,"Eligible","Blocked")</x:f>
        <x:v>Eligible</x:v>
      </x:c>
      <x:c r="AC134" s="30" t="str">
        <x:v>2003_ETH</x:v>
      </x:c>
      <x:c r="AD134" s="30" t="str">
        <x:v>2003_IVO</x:v>
      </x:c>
      <x:c r="AE134" s="30" t="str">
        <x:v>2003_IvoryCoast</x:v>
      </x:c>
      <x:c r="AF134" s="30" t="str">
        <x:v>Explicit capitalClaim</x:v>
      </x:c>
      <x:c r="AG134" s="30" t="str">
        <x:v>Claim2003_ETH2003_IvoryCoast</x:v>
      </x:c>
      <x:c r="AH134" s="30" t="str">
        <x:v>Project_AfricanUnion</x:v>
      </x:c>
    </x:row>
    <x:row r="135">
      <x:c r="A135" s="30" t="str">
        <x:v>2003</x:v>
      </x:c>
      <x:c r="B135" s="30" t="str">
        <x:v>Dark Skies</x:v>
      </x:c>
      <x:c r="C135" s="30" t="str">
        <x:v>Ethiopia</x:v>
      </x:c>
      <x:c r="D135" s="30" t="str">
        <x:v>Kenya</x:v>
      </x:c>
      <x:c r="E135" s="30" t="str">
        <x:v>Project unlock</x:v>
      </x:c>
      <x:c r="F135" s="30" t="str">
        <x:v>African Union</x:v>
      </x:c>
      <x:c r="G135" s="30" t="str">
        <x:v>No</x:v>
      </x:c>
      <x:c r="H135" s="30" t="str">
        <x:v>Ordinary claim</x:v>
      </x:c>
      <x:c r="I135" s="31" t="n">
        <x:f>IF(G135="Yes",'Controls &amp; Summary'!$B$5,'Controls &amp; Summary'!$B$4)</x:f>
        <x:v>6</x:v>
      </x:c>
      <x:c r="J135" s="31" t="n">
        <x:v>4.74</x:v>
      </x:c>
      <x:c r="K135" s="31" t="n">
        <x:v>5.05</x:v>
      </x:c>
      <x:c r="L135" s="31" t="n">
        <x:f>ABS(J135-K135)</x:f>
        <x:v>0.3099999999999996</x:v>
      </x:c>
      <x:c r="M135" s="31" t="n">
        <x:v>3.28</x:v>
      </x:c>
      <x:c r="N135" s="31" t="n">
        <x:v>4.59</x:v>
      </x:c>
      <x:c r="O135" s="31" t="n">
        <x:f>ABS(M135-N135)</x:f>
        <x:v>1.31</x:v>
      </x:c>
      <x:c r="P135" s="31" t="n">
        <x:v>2.03</x:v>
      </x:c>
      <x:c r="Q135" s="31" t="n">
        <x:v>4.21</x:v>
      </x:c>
      <x:c r="R135" s="31" t="n">
        <x:f>ABS(P135-Q135)</x:f>
        <x:v>2.18</x:v>
      </x:c>
      <x:c r="S135" s="32" t="n">
        <x:v>327.76029228418867</x:v>
      </x:c>
      <x:c r="T135" s="32" t="n">
        <x:v>1444.3403384673875</x:v>
      </x:c>
      <x:c r="U135" s="31" t="n">
        <x:f>MAX(S135/T135,T135/S135)</x:f>
        <x:v>4.406697127347733</x:v>
      </x:c>
      <x:c r="V135" s="31" t="n">
        <x:f>L135*'Controls &amp; Summary'!$B$9+O135*'Controls &amp; Summary'!$B$10+R135*'Controls &amp; Summary'!$B$11+U135*'Controls &amp; Summary'!$B$12</x:f>
        <x:v>8.206697127347732</x:v>
      </x:c>
      <x:c r="W135" s="31" t="n">
        <x:v>1.25</x:v>
      </x:c>
      <x:c r="X135" s="31" t="n">
        <x:v>4.73</x:v>
      </x:c>
      <x:c r="Y135" s="31" t="n">
        <x:f>((10-MIN(10,MAX(0,X135)))/10)*'Controls &amp; Summary'!$B$15+((10-MIN(10,MAX(0,W135)))/10)*'Controls &amp; Summary'!$B$16</x:f>
        <x:v>1.402</x:v>
      </x:c>
      <x:c r="Z135" s="31" t="n">
        <x:f>V135*Y135</x:f>
        <x:v>11.50578937254152</x:v>
      </x:c>
      <x:c r="AA135" s="30" t="str">
        <x:f>IF(Z135&lt;=I135,"Peaceful","Hostile")</x:f>
        <x:v>Hostile</x:v>
      </x:c>
      <x:c r="AB135" s="30" t="str">
        <x:f>IF(Z135&lt;='Controls &amp; Summary'!$B$6,"Eligible","Blocked")</x:f>
        <x:v>Eligible</x:v>
      </x:c>
      <x:c r="AC135" s="30" t="str">
        <x:v>2003_ETH</x:v>
      </x:c>
      <x:c r="AD135" s="30" t="str">
        <x:v>2003_KEN</x:v>
      </x:c>
      <x:c r="AE135" s="30" t="str">
        <x:v>2003_Kenya</x:v>
      </x:c>
      <x:c r="AF135" s="30" t="str">
        <x:v>Explicit capitalClaim</x:v>
      </x:c>
      <x:c r="AG135" s="30" t="str">
        <x:v>Claim2003_ETH2003_Kenya</x:v>
      </x:c>
      <x:c r="AH135" s="30" t="str">
        <x:v>Project_AfricanUnion</x:v>
      </x:c>
    </x:row>
    <x:row r="136">
      <x:c r="A136" s="30" t="str">
        <x:v>2003</x:v>
      </x:c>
      <x:c r="B136" s="30" t="str">
        <x:v>Dark Skies</x:v>
      </x:c>
      <x:c r="C136" s="30" t="str">
        <x:v>Ethiopia</x:v>
      </x:c>
      <x:c r="D136" s="30" t="str">
        <x:v>Lesotho</x:v>
      </x:c>
      <x:c r="E136" s="30" t="str">
        <x:v>Project unlock</x:v>
      </x:c>
      <x:c r="F136" s="30" t="str">
        <x:v>African Union</x:v>
      </x:c>
      <x:c r="G136" s="30" t="str">
        <x:v>No</x:v>
      </x:c>
      <x:c r="H136" s="30" t="str">
        <x:v>Ordinary claim</x:v>
      </x:c>
      <x:c r="I136" s="31" t="n">
        <x:f>IF(G136="Yes",'Controls &amp; Summary'!$B$5,'Controls &amp; Summary'!$B$4)</x:f>
        <x:v>6</x:v>
      </x:c>
      <x:c r="J136" s="31" t="n">
        <x:v>4.74</x:v>
      </x:c>
      <x:c r="K136" s="31" t="n">
        <x:v>6.46</x:v>
      </x:c>
      <x:c r="L136" s="31" t="n">
        <x:f>ABS(J136-K136)</x:f>
        <x:v>1.7199999999999998</x:v>
      </x:c>
      <x:c r="M136" s="31" t="n">
        <x:v>3.28</x:v>
      </x:c>
      <x:c r="N136" s="31" t="n">
        <x:v>5.15</x:v>
      </x:c>
      <x:c r="O136" s="31" t="n">
        <x:f>ABS(M136-N136)</x:f>
        <x:v>1.8700000000000006</x:v>
      </x:c>
      <x:c r="P136" s="31" t="n">
        <x:v>2.03</x:v>
      </x:c>
      <x:c r="Q136" s="31" t="n">
        <x:v>3.56</x:v>
      </x:c>
      <x:c r="R136" s="31" t="n">
        <x:f>ABS(P136-Q136)</x:f>
        <x:v>1.5300000000000002</x:v>
      </x:c>
      <x:c r="S136" s="32" t="n">
        <x:v>327.76029228418867</x:v>
      </x:c>
      <x:c r="T136" s="32" t="n">
        <x:v>892.9279280867722</x:v>
      </x:c>
      <x:c r="U136" s="31" t="n">
        <x:f>MAX(S136/T136,T136/S136)</x:f>
        <x:v>2.724332230313451</x:v>
      </x:c>
      <x:c r="V136" s="31" t="n">
        <x:f>L136*'Controls &amp; Summary'!$B$9+O136*'Controls &amp; Summary'!$B$10+R136*'Controls &amp; Summary'!$B$11+U136*'Controls &amp; Summary'!$B$12</x:f>
        <x:v>7.8443322303134515</x:v>
      </x:c>
      <x:c r="W136" s="31" t="n">
        <x:v>1.25</x:v>
      </x:c>
      <x:c r="X136" s="31" t="n">
        <x:v>3.87</x:v>
      </x:c>
      <x:c r="Y136" s="31" t="n">
        <x:f>((10-MIN(10,MAX(0,X136)))/10)*'Controls &amp; Summary'!$B$15+((10-MIN(10,MAX(0,W136)))/10)*'Controls &amp; Summary'!$B$16</x:f>
        <x:v>1.488</x:v>
      </x:c>
      <x:c r="Z136" s="31" t="n">
        <x:f>V136*Y136</x:f>
        <x:v>11.672366358706416</x:v>
      </x:c>
      <x:c r="AA136" s="30" t="str">
        <x:f>IF(Z136&lt;=I136,"Peaceful","Hostile")</x:f>
        <x:v>Hostile</x:v>
      </x:c>
      <x:c r="AB136" s="30" t="str">
        <x:f>IF(Z136&lt;='Controls &amp; Summary'!$B$6,"Eligible","Blocked")</x:f>
        <x:v>Eligible</x:v>
      </x:c>
      <x:c r="AC136" s="30" t="str">
        <x:v>2003_ETH</x:v>
      </x:c>
      <x:c r="AD136" s="30" t="str">
        <x:v>2003_LES</x:v>
      </x:c>
      <x:c r="AE136" s="30" t="str">
        <x:v>2003_Lesotho</x:v>
      </x:c>
      <x:c r="AF136" s="30" t="str">
        <x:v>Explicit capitalClaim</x:v>
      </x:c>
      <x:c r="AG136" s="30" t="str">
        <x:v>Claim2003_ETH2003_Lesotho</x:v>
      </x:c>
      <x:c r="AH136" s="30" t="str">
        <x:v>Project_AfricanUnion</x:v>
      </x:c>
    </x:row>
    <x:row r="137">
      <x:c r="A137" s="30" t="str">
        <x:v>2003</x:v>
      </x:c>
      <x:c r="B137" s="30" t="str">
        <x:v>Dark Skies</x:v>
      </x:c>
      <x:c r="C137" s="30" t="str">
        <x:v>Ethiopia</x:v>
      </x:c>
      <x:c r="D137" s="30" t="str">
        <x:v>Liberia</x:v>
      </x:c>
      <x:c r="E137" s="30" t="str">
        <x:v>Project unlock</x:v>
      </x:c>
      <x:c r="F137" s="30" t="str">
        <x:v>African Union</x:v>
      </x:c>
      <x:c r="G137" s="30" t="str">
        <x:v>No</x:v>
      </x:c>
      <x:c r="H137" s="30" t="str">
        <x:v>Ordinary claim</x:v>
      </x:c>
      <x:c r="I137" s="31" t="n">
        <x:f>IF(G137="Yes",'Controls &amp; Summary'!$B$5,'Controls &amp; Summary'!$B$4)</x:f>
        <x:v>6</x:v>
      </x:c>
      <x:c r="J137" s="31" t="n">
        <x:v>4.74</x:v>
      </x:c>
      <x:c r="K137" s="31" t="n">
        <x:v>2.54</x:v>
      </x:c>
      <x:c r="L137" s="31" t="n">
        <x:f>ABS(J137-K137)</x:f>
        <x:v>2.2</x:v>
      </x:c>
      <x:c r="M137" s="31" t="n">
        <x:v>3.28</x:v>
      </x:c>
      <x:c r="N137" s="31" t="n">
        <x:v>3.72</x:v>
      </x:c>
      <x:c r="O137" s="31" t="n">
        <x:f>ABS(M137-N137)</x:f>
        <x:v>0.4400000000000004</x:v>
      </x:c>
      <x:c r="P137" s="31" t="n">
        <x:v>2.03</x:v>
      </x:c>
      <x:c r="Q137" s="31" t="n">
        <x:v>3.26</x:v>
      </x:c>
      <x:c r="R137" s="31" t="n">
        <x:f>ABS(P137-Q137)</x:f>
        <x:v>1.23</x:v>
      </x:c>
      <x:c r="S137" s="32" t="n">
        <x:v>327.76029228418867</x:v>
      </x:c>
      <x:c r="T137" s="32" t="n">
        <x:v>552.4520386391292</x:v>
      </x:c>
      <x:c r="U137" s="31" t="n">
        <x:f>MAX(S137/T137,T137/S137)</x:f>
        <x:v>1.6855368134713486</x:v>
      </x:c>
      <x:c r="V137" s="31" t="n">
        <x:f>L137*'Controls &amp; Summary'!$B$9+O137*'Controls &amp; Summary'!$B$10+R137*'Controls &amp; Summary'!$B$11+U137*'Controls &amp; Summary'!$B$12</x:f>
        <x:v>5.555536813471349</x:v>
      </x:c>
      <x:c r="W137" s="31" t="n">
        <x:v>1.25</x:v>
      </x:c>
      <x:c r="X137" s="31" t="n">
        <x:v>9.51</x:v>
      </x:c>
      <x:c r="Y137" s="31" t="n">
        <x:f>((10-MIN(10,MAX(0,X137)))/10)*'Controls &amp; Summary'!$B$15+((10-MIN(10,MAX(0,W137)))/10)*'Controls &amp; Summary'!$B$16</x:f>
        <x:v>0.924</x:v>
      </x:c>
      <x:c r="Z137" s="31" t="n">
        <x:f>V137*Y137</x:f>
        <x:v>5.133316015647527</x:v>
      </x:c>
      <x:c r="AA137" s="30" t="str">
        <x:f>IF(Z137&lt;=I137,"Peaceful","Hostile")</x:f>
        <x:v>Peaceful</x:v>
      </x:c>
      <x:c r="AB137" s="30" t="str">
        <x:f>IF(Z137&lt;='Controls &amp; Summary'!$B$6,"Eligible","Blocked")</x:f>
        <x:v>Eligible</x:v>
      </x:c>
      <x:c r="AC137" s="30" t="str">
        <x:v>2003_ETH</x:v>
      </x:c>
      <x:c r="AD137" s="30" t="str">
        <x:v>2003_LBR</x:v>
      </x:c>
      <x:c r="AE137" s="30" t="str">
        <x:v>2003_Liberia</x:v>
      </x:c>
      <x:c r="AF137" s="30" t="str">
        <x:v>Explicit capitalClaim</x:v>
      </x:c>
      <x:c r="AG137" s="30" t="str">
        <x:v>Claim2003_ETH2003_Liberia</x:v>
      </x:c>
      <x:c r="AH137" s="30" t="str">
        <x:v>Project_AfricanUnion</x:v>
      </x:c>
    </x:row>
    <x:row r="138">
      <x:c r="A138" s="30" t="str">
        <x:v>2003</x:v>
      </x:c>
      <x:c r="B138" s="30" t="str">
        <x:v>Dark Skies</x:v>
      </x:c>
      <x:c r="C138" s="30" t="str">
        <x:v>Ethiopia</x:v>
      </x:c>
      <x:c r="D138" s="30" t="str">
        <x:v>Libya</x:v>
      </x:c>
      <x:c r="E138" s="30" t="str">
        <x:v>Project unlock</x:v>
      </x:c>
      <x:c r="F138" s="30" t="str">
        <x:v>African Union</x:v>
      </x:c>
      <x:c r="G138" s="30" t="str">
        <x:v>No</x:v>
      </x:c>
      <x:c r="H138" s="30" t="str">
        <x:v>Ordinary claim</x:v>
      </x:c>
      <x:c r="I138" s="31" t="n">
        <x:f>IF(G138="Yes",'Controls &amp; Summary'!$B$5,'Controls &amp; Summary'!$B$4)</x:f>
        <x:v>6</x:v>
      </x:c>
      <x:c r="J138" s="31" t="n">
        <x:v>4.74</x:v>
      </x:c>
      <x:c r="K138" s="31" t="n">
        <x:v>1.84</x:v>
      </x:c>
      <x:c r="L138" s="31" t="n">
        <x:f>ABS(J138-K138)</x:f>
        <x:v>2.9000000000000004</x:v>
      </x:c>
      <x:c r="M138" s="31" t="n">
        <x:v>3.28</x:v>
      </x:c>
      <x:c r="N138" s="31" t="n">
        <x:v>3.29</x:v>
      </x:c>
      <x:c r="O138" s="31" t="n">
        <x:f>ABS(M138-N138)</x:f>
        <x:v>0.010000000000000231</x:v>
      </x:c>
      <x:c r="P138" s="31" t="n">
        <x:v>2.03</x:v>
      </x:c>
      <x:c r="Q138" s="31" t="n">
        <x:v>6.67</x:v>
      </x:c>
      <x:c r="R138" s="31" t="n">
        <x:f>ABS(P138-Q138)</x:f>
        <x:v>4.640000000000001</x:v>
      </x:c>
      <x:c r="S138" s="32" t="n">
        <x:v>327.76029228418867</x:v>
      </x:c>
      <x:c r="T138" s="32" t="n">
        <x:v>10275.080370174883</x:v>
      </x:c>
      <x:c r="U138" s="31" t="n">
        <x:f>MAX(S138/T138,T138/S138)</x:f>
        <x:v>31.34937517466498</x:v>
      </x:c>
      <x:c r="V138" s="31" t="n">
        <x:f>L138*'Controls &amp; Summary'!$B$9+O138*'Controls &amp; Summary'!$B$10+R138*'Controls &amp; Summary'!$B$11+U138*'Controls &amp; Summary'!$B$12</x:f>
        <x:v>38.89937517466498</x:v>
      </x:c>
      <x:c r="W138" s="31" t="n">
        <x:v>1.25</x:v>
      </x:c>
      <x:c r="X138" s="31" t="n">
        <x:v>4.5</x:v>
      </x:c>
      <x:c r="Y138" s="31" t="n">
        <x:f>((10-MIN(10,MAX(0,X138)))/10)*'Controls &amp; Summary'!$B$15+((10-MIN(10,MAX(0,W138)))/10)*'Controls &amp; Summary'!$B$16</x:f>
        <x:v>1.425</x:v>
      </x:c>
      <x:c r="Z138" s="31" t="n">
        <x:f>V138*Y138</x:f>
        <x:v>55.4316096238976</x:v>
      </x:c>
      <x:c r="AA138" s="30" t="str">
        <x:f>IF(Z138&lt;=I138,"Peaceful","Hostile")</x:f>
        <x:v>Hostile</x:v>
      </x:c>
      <x:c r="AB138" s="30" t="str">
        <x:f>IF(Z138&lt;='Controls &amp; Summary'!$B$6,"Eligible","Blocked")</x:f>
        <x:v>Blocked</x:v>
      </x:c>
      <x:c r="AC138" s="30" t="str">
        <x:v>2003_ETH</x:v>
      </x:c>
      <x:c r="AD138" s="30" t="str">
        <x:v>2003_LBY</x:v>
      </x:c>
      <x:c r="AE138" s="30" t="str">
        <x:v>2003_Libya</x:v>
      </x:c>
      <x:c r="AF138" s="30" t="str">
        <x:v>Explicit capitalClaim</x:v>
      </x:c>
      <x:c r="AG138" s="30" t="str">
        <x:v>Claim2003_ETH2003_Libya</x:v>
      </x:c>
      <x:c r="AH138" s="30" t="str">
        <x:v>Project_AfricanUnion</x:v>
      </x:c>
    </x:row>
    <x:row r="139">
      <x:c r="A139" s="30" t="str">
        <x:v>2003</x:v>
      </x:c>
      <x:c r="B139" s="30" t="str">
        <x:v>Dark Skies</x:v>
      </x:c>
      <x:c r="C139" s="30" t="str">
        <x:v>Ethiopia</x:v>
      </x:c>
      <x:c r="D139" s="30" t="str">
        <x:v>Madagascar</x:v>
      </x:c>
      <x:c r="E139" s="30" t="str">
        <x:v>Project unlock</x:v>
      </x:c>
      <x:c r="F139" s="30" t="str">
        <x:v>African Union</x:v>
      </x:c>
      <x:c r="G139" s="30" t="str">
        <x:v>No</x:v>
      </x:c>
      <x:c r="H139" s="30" t="str">
        <x:v>Ordinary claim</x:v>
      </x:c>
      <x:c r="I139" s="31" t="n">
        <x:f>IF(G139="Yes",'Controls &amp; Summary'!$B$5,'Controls &amp; Summary'!$B$4)</x:f>
        <x:v>6</x:v>
      </x:c>
      <x:c r="J139" s="31" t="n">
        <x:v>4.74</x:v>
      </x:c>
      <x:c r="K139" s="31" t="n">
        <x:v>5.81</x:v>
      </x:c>
      <x:c r="L139" s="31" t="n">
        <x:f>ABS(J139-K139)</x:f>
        <x:v>1.0699999999999994</x:v>
      </x:c>
      <x:c r="M139" s="31" t="n">
        <x:v>3.28</x:v>
      </x:c>
      <x:c r="N139" s="31" t="n">
        <x:v>4.37</x:v>
      </x:c>
      <x:c r="O139" s="31" t="n">
        <x:f>ABS(M139-N139)</x:f>
        <x:v>1.0900000000000003</x:v>
      </x:c>
      <x:c r="P139" s="31" t="n">
        <x:v>2.03</x:v>
      </x:c>
      <x:c r="Q139" s="31" t="n">
        <x:v>3.58</x:v>
      </x:c>
      <x:c r="R139" s="31" t="n">
        <x:f>ABS(P139-Q139)</x:f>
        <x:v>1.5500000000000003</x:v>
      </x:c>
      <x:c r="S139" s="32" t="n">
        <x:v>327.76029228418867</x:v>
      </x:c>
      <x:c r="T139" s="32" t="n">
        <x:v>661.1359972252985</x:v>
      </x:c>
      <x:c r="U139" s="31" t="n">
        <x:f>MAX(S139/T139,T139/S139)</x:f>
        <x:v>2.0171326813806116</x:v>
      </x:c>
      <x:c r="V139" s="31" t="n">
        <x:f>L139*'Controls &amp; Summary'!$B$9+O139*'Controls &amp; Summary'!$B$10+R139*'Controls &amp; Summary'!$B$11+U139*'Controls &amp; Summary'!$B$12</x:f>
        <x:v>5.727132681380612</x:v>
      </x:c>
      <x:c r="W139" s="31" t="n">
        <x:v>1.25</x:v>
      </x:c>
      <x:c r="X139" s="31" t="n">
        <x:v>4.4</x:v>
      </x:c>
      <x:c r="Y139" s="31" t="n">
        <x:f>((10-MIN(10,MAX(0,X139)))/10)*'Controls &amp; Summary'!$B$15+((10-MIN(10,MAX(0,W139)))/10)*'Controls &amp; Summary'!$B$16</x:f>
        <x:v>1.435</x:v>
      </x:c>
      <x:c r="Z139" s="31" t="n">
        <x:f>V139*Y139</x:f>
        <x:v>8.218435397781178</x:v>
      </x:c>
      <x:c r="AA139" s="30" t="str">
        <x:f>IF(Z139&lt;=I139,"Peaceful","Hostile")</x:f>
        <x:v>Hostile</x:v>
      </x:c>
      <x:c r="AB139" s="30" t="str">
        <x:f>IF(Z139&lt;='Controls &amp; Summary'!$B$6,"Eligible","Blocked")</x:f>
        <x:v>Eligible</x:v>
      </x:c>
      <x:c r="AC139" s="30" t="str">
        <x:v>2003_ETH</x:v>
      </x:c>
      <x:c r="AD139" s="30" t="str">
        <x:v>2003_MDG</x:v>
      </x:c>
      <x:c r="AE139" s="30" t="str">
        <x:v>2003_Madagascar</x:v>
      </x:c>
      <x:c r="AF139" s="30" t="str">
        <x:v>Explicit capitalClaim</x:v>
      </x:c>
      <x:c r="AG139" s="30" t="str">
        <x:v>Claim2003_ETH2003_Madagascar</x:v>
      </x:c>
      <x:c r="AH139" s="30" t="str">
        <x:v>Project_AfricanUnion</x:v>
      </x:c>
    </x:row>
    <x:row r="140">
      <x:c r="A140" s="30" t="str">
        <x:v>2003</x:v>
      </x:c>
      <x:c r="B140" s="30" t="str">
        <x:v>Dark Skies</x:v>
      </x:c>
      <x:c r="C140" s="30" t="str">
        <x:v>Ethiopia</x:v>
      </x:c>
      <x:c r="D140" s="30" t="str">
        <x:v>Malawi</x:v>
      </x:c>
      <x:c r="E140" s="30" t="str">
        <x:v>Project unlock</x:v>
      </x:c>
      <x:c r="F140" s="30" t="str">
        <x:v>African Union</x:v>
      </x:c>
      <x:c r="G140" s="30" t="str">
        <x:v>No</x:v>
      </x:c>
      <x:c r="H140" s="30" t="str">
        <x:v>Ordinary claim</x:v>
      </x:c>
      <x:c r="I140" s="31" t="n">
        <x:f>IF(G140="Yes",'Controls &amp; Summary'!$B$5,'Controls &amp; Summary'!$B$4)</x:f>
        <x:v>6</x:v>
      </x:c>
      <x:c r="J140" s="31" t="n">
        <x:v>4.74</x:v>
      </x:c>
      <x:c r="K140" s="31" t="n">
        <x:v>5.1</x:v>
      </x:c>
      <x:c r="L140" s="31" t="n">
        <x:f>ABS(J140-K140)</x:f>
        <x:v>0.35999999999999943</x:v>
      </x:c>
      <x:c r="M140" s="31" t="n">
        <x:v>3.28</x:v>
      </x:c>
      <x:c r="N140" s="31" t="n">
        <x:v>4.62</x:v>
      </x:c>
      <x:c r="O140" s="31" t="n">
        <x:f>ABS(M140-N140)</x:f>
        <x:v>1.3400000000000003</x:v>
      </x:c>
      <x:c r="P140" s="31" t="n">
        <x:v>2.03</x:v>
      </x:c>
      <x:c r="Q140" s="31" t="n">
        <x:v>3.1</x:v>
      </x:c>
      <x:c r="R140" s="31" t="n">
        <x:f>ABS(P140-Q140)</x:f>
        <x:v>1.0700000000000003</x:v>
      </x:c>
      <x:c r="S140" s="32" t="n">
        <x:v>327.76029228418867</x:v>
      </x:c>
      <x:c r="T140" s="32" t="n">
        <x:v>454.52600008833014</x:v>
      </x:c>
      <x:c r="U140" s="31" t="n">
        <x:f>MAX(S140/T140,T140/S140)</x:f>
        <x:v>1.3867634694877184</x:v>
      </x:c>
      <x:c r="V140" s="31" t="n">
        <x:f>L140*'Controls &amp; Summary'!$B$9+O140*'Controls &amp; Summary'!$B$10+R140*'Controls &amp; Summary'!$B$11+U140*'Controls &amp; Summary'!$B$12</x:f>
        <x:v>4.156763469487719</x:v>
      </x:c>
      <x:c r="W140" s="31" t="n">
        <x:v>1.25</x:v>
      </x:c>
      <x:c r="X140" s="31" t="n">
        <x:v>2.42</x:v>
      </x:c>
      <x:c r="Y140" s="31" t="n">
        <x:f>((10-MIN(10,MAX(0,X140)))/10)*'Controls &amp; Summary'!$B$15+((10-MIN(10,MAX(0,W140)))/10)*'Controls &amp; Summary'!$B$16</x:f>
        <x:v>1.633</x:v>
      </x:c>
      <x:c r="Z140" s="31" t="n">
        <x:f>V140*Y140</x:f>
        <x:v>6.787994745673445</x:v>
      </x:c>
      <x:c r="AA140" s="30" t="str">
        <x:f>IF(Z140&lt;=I140,"Peaceful","Hostile")</x:f>
        <x:v>Hostile</x:v>
      </x:c>
      <x:c r="AB140" s="30" t="str">
        <x:f>IF(Z140&lt;='Controls &amp; Summary'!$B$6,"Eligible","Blocked")</x:f>
        <x:v>Eligible</x:v>
      </x:c>
      <x:c r="AC140" s="30" t="str">
        <x:v>2003_ETH</x:v>
      </x:c>
      <x:c r="AD140" s="30" t="str">
        <x:v>2003_MAL</x:v>
      </x:c>
      <x:c r="AE140" s="30" t="str">
        <x:v>2003_Malawi</x:v>
      </x:c>
      <x:c r="AF140" s="30" t="str">
        <x:v>Explicit capitalClaim</x:v>
      </x:c>
      <x:c r="AG140" s="30" t="str">
        <x:v>Claim2003_ETH2003_Malawi</x:v>
      </x:c>
      <x:c r="AH140" s="30" t="str">
        <x:v>Project_AfricanUnion</x:v>
      </x:c>
    </x:row>
    <x:row r="141">
      <x:c r="A141" s="30" t="str">
        <x:v>2003</x:v>
      </x:c>
      <x:c r="B141" s="30" t="str">
        <x:v>Dark Skies</x:v>
      </x:c>
      <x:c r="C141" s="30" t="str">
        <x:v>Ethiopia</x:v>
      </x:c>
      <x:c r="D141" s="30" t="str">
        <x:v>Mali</x:v>
      </x:c>
      <x:c r="E141" s="30" t="str">
        <x:v>Project unlock</x:v>
      </x:c>
      <x:c r="F141" s="30" t="str">
        <x:v>African Union</x:v>
      </x:c>
      <x:c r="G141" s="30" t="str">
        <x:v>No</x:v>
      </x:c>
      <x:c r="H141" s="30" t="str">
        <x:v>Ordinary claim</x:v>
      </x:c>
      <x:c r="I141" s="31" t="n">
        <x:f>IF(G141="Yes",'Controls &amp; Summary'!$B$5,'Controls &amp; Summary'!$B$4)</x:f>
        <x:v>6</x:v>
      </x:c>
      <x:c r="J141" s="31" t="n">
        <x:v>4.74</x:v>
      </x:c>
      <x:c r="K141" s="31" t="n">
        <x:v>5.99</x:v>
      </x:c>
      <x:c r="L141" s="31" t="n">
        <x:f>ABS(J141-K141)</x:f>
        <x:v>1.25</x:v>
      </x:c>
      <x:c r="M141" s="31" t="n">
        <x:v>3.28</x:v>
      </x:c>
      <x:c r="N141" s="31" t="n">
        <x:v>3.99</x:v>
      </x:c>
      <x:c r="O141" s="31" t="n">
        <x:f>ABS(M141-N141)</x:f>
        <x:v>0.7100000000000004</x:v>
      </x:c>
      <x:c r="P141" s="31" t="n">
        <x:v>2.03</x:v>
      </x:c>
      <x:c r="Q141" s="31" t="n">
        <x:v>2.42</x:v>
      </x:c>
      <x:c r="R141" s="31" t="n">
        <x:f>ABS(P141-Q141)</x:f>
        <x:v>0.3900000000000001</x:v>
      </x:c>
      <x:c r="S141" s="32" t="n">
        <x:v>327.76029228418867</x:v>
      </x:c>
      <x:c r="T141" s="32" t="n">
        <x:v>855.6897493920948</x:v>
      </x:c>
      <x:c r="U141" s="31" t="n">
        <x:f>MAX(S141/T141,T141/S141)</x:f>
        <x:v>2.6107181667087307</x:v>
      </x:c>
      <x:c r="V141" s="31" t="n">
        <x:f>L141*'Controls &amp; Summary'!$B$9+O141*'Controls &amp; Summary'!$B$10+R141*'Controls &amp; Summary'!$B$11+U141*'Controls &amp; Summary'!$B$12</x:f>
        <x:v>4.960718166708731</x:v>
      </x:c>
      <x:c r="W141" s="31" t="n">
        <x:v>1.25</x:v>
      </x:c>
      <x:c r="X141" s="31" t="n">
        <x:v>4.23</x:v>
      </x:c>
      <x:c r="Y141" s="31" t="n">
        <x:f>((10-MIN(10,MAX(0,X141)))/10)*'Controls &amp; Summary'!$B$15+((10-MIN(10,MAX(0,W141)))/10)*'Controls &amp; Summary'!$B$16</x:f>
        <x:v>1.452</x:v>
      </x:c>
      <x:c r="Z141" s="31" t="n">
        <x:f>V141*Y141</x:f>
        <x:v>7.202962778061077</x:v>
      </x:c>
      <x:c r="AA141" s="30" t="str">
        <x:f>IF(Z141&lt;=I141,"Peaceful","Hostile")</x:f>
        <x:v>Hostile</x:v>
      </x:c>
      <x:c r="AB141" s="30" t="str">
        <x:f>IF(Z141&lt;='Controls &amp; Summary'!$B$6,"Eligible","Blocked")</x:f>
        <x:v>Eligible</x:v>
      </x:c>
      <x:c r="AC141" s="30" t="str">
        <x:v>2003_ETH</x:v>
      </x:c>
      <x:c r="AD141" s="30" t="str">
        <x:v>2003_MLI</x:v>
      </x:c>
      <x:c r="AE141" s="30" t="str">
        <x:v>2003_Mali</x:v>
      </x:c>
      <x:c r="AF141" s="30" t="str">
        <x:v>Explicit capitalClaim</x:v>
      </x:c>
      <x:c r="AG141" s="30" t="str">
        <x:v>Claim2003_ETH2003_Mali</x:v>
      </x:c>
      <x:c r="AH141" s="30" t="str">
        <x:v>Project_AfricanUnion</x:v>
      </x:c>
    </x:row>
    <x:row r="142">
      <x:c r="A142" s="30" t="str">
        <x:v>2003</x:v>
      </x:c>
      <x:c r="B142" s="30" t="str">
        <x:v>Dark Skies</x:v>
      </x:c>
      <x:c r="C142" s="30" t="str">
        <x:v>Ethiopia</x:v>
      </x:c>
      <x:c r="D142" s="30" t="str">
        <x:v>Mauritania</x:v>
      </x:c>
      <x:c r="E142" s="30" t="str">
        <x:v>Project unlock</x:v>
      </x:c>
      <x:c r="F142" s="30" t="str">
        <x:v>African Union</x:v>
      </x:c>
      <x:c r="G142" s="30" t="str">
        <x:v>No</x:v>
      </x:c>
      <x:c r="H142" s="30" t="str">
        <x:v>Ordinary claim</x:v>
      </x:c>
      <x:c r="I142" s="31" t="n">
        <x:f>IF(G142="Yes",'Controls &amp; Summary'!$B$5,'Controls &amp; Summary'!$B$4)</x:f>
        <x:v>6</x:v>
      </x:c>
      <x:c r="J142" s="31" t="n">
        <x:v>4.74</x:v>
      </x:c>
      <x:c r="K142" s="31" t="n">
        <x:v>3.27</x:v>
      </x:c>
      <x:c r="L142" s="31" t="n">
        <x:f>ABS(J142-K142)</x:f>
        <x:v>1.4700000000000002</x:v>
      </x:c>
      <x:c r="M142" s="31" t="n">
        <x:v>3.28</x:v>
      </x:c>
      <x:c r="N142" s="31" t="n">
        <x:v>3.99</x:v>
      </x:c>
      <x:c r="O142" s="31" t="n">
        <x:f>ABS(M142-N142)</x:f>
        <x:v>0.7100000000000004</x:v>
      </x:c>
      <x:c r="P142" s="31" t="n">
        <x:v>2.03</x:v>
      </x:c>
      <x:c r="Q142" s="31" t="n">
        <x:v>3.85</x:v>
      </x:c>
      <x:c r="R142" s="31" t="n">
        <x:f>ABS(P142-Q142)</x:f>
        <x:v>1.8200000000000003</x:v>
      </x:c>
      <x:c r="S142" s="32" t="n">
        <x:v>327.76029228418867</x:v>
      </x:c>
      <x:c r="T142" s="32" t="n">
        <x:v>2001.4614802897597</x:v>
      </x:c>
      <x:c r="U142" s="31" t="n">
        <x:f>MAX(S142/T142,T142/S142)</x:f>
        <x:v>6.10647942232846</x:v>
      </x:c>
      <x:c r="V142" s="31" t="n">
        <x:f>L142*'Controls &amp; Summary'!$B$9+O142*'Controls &amp; Summary'!$B$10+R142*'Controls &amp; Summary'!$B$11+U142*'Controls &amp; Summary'!$B$12</x:f>
        <x:v>10.106479422328462</x:v>
      </x:c>
      <x:c r="W142" s="31" t="n">
        <x:v>1.25</x:v>
      </x:c>
      <x:c r="X142" s="31" t="n">
        <x:v>2.86</x:v>
      </x:c>
      <x:c r="Y142" s="31" t="n">
        <x:f>((10-MIN(10,MAX(0,X142)))/10)*'Controls &amp; Summary'!$B$15+((10-MIN(10,MAX(0,W142)))/10)*'Controls &amp; Summary'!$B$16</x:f>
        <x:v>1.589</x:v>
      </x:c>
      <x:c r="Z142" s="31" t="n">
        <x:f>V142*Y142</x:f>
        <x:v>16.059195802079927</x:v>
      </x:c>
      <x:c r="AA142" s="30" t="str">
        <x:f>IF(Z142&lt;=I142,"Peaceful","Hostile")</x:f>
        <x:v>Hostile</x:v>
      </x:c>
      <x:c r="AB142" s="30" t="str">
        <x:f>IF(Z142&lt;='Controls &amp; Summary'!$B$6,"Eligible","Blocked")</x:f>
        <x:v>Blocked</x:v>
      </x:c>
      <x:c r="AC142" s="30" t="str">
        <x:v>2003_ETH</x:v>
      </x:c>
      <x:c r="AD142" s="30" t="str">
        <x:v>2003_MRT</x:v>
      </x:c>
      <x:c r="AE142" s="30" t="str">
        <x:v>2003_Mauritania</x:v>
      </x:c>
      <x:c r="AF142" s="30" t="str">
        <x:v>Explicit capitalClaim</x:v>
      </x:c>
      <x:c r="AG142" s="30" t="str">
        <x:v>Claim2003_ETH2003_Mauritania</x:v>
      </x:c>
      <x:c r="AH142" s="30" t="str">
        <x:v>Project_AfricanUnion</x:v>
      </x:c>
    </x:row>
    <x:row r="143">
      <x:c r="A143" s="30" t="str">
        <x:v>2003</x:v>
      </x:c>
      <x:c r="B143" s="30" t="str">
        <x:v>Dark Skies</x:v>
      </x:c>
      <x:c r="C143" s="30" t="str">
        <x:v>Ethiopia</x:v>
      </x:c>
      <x:c r="D143" s="30" t="str">
        <x:v>Mauritius</x:v>
      </x:c>
      <x:c r="E143" s="30" t="str">
        <x:v>Project unlock</x:v>
      </x:c>
      <x:c r="F143" s="30" t="str">
        <x:v>African Union</x:v>
      </x:c>
      <x:c r="G143" s="30" t="str">
        <x:v>No</x:v>
      </x:c>
      <x:c r="H143" s="30" t="str">
        <x:v>Ordinary claim</x:v>
      </x:c>
      <x:c r="I143" s="31" t="n">
        <x:f>IF(G143="Yes",'Controls &amp; Summary'!$B$5,'Controls &amp; Summary'!$B$4)</x:f>
        <x:v>6</x:v>
      </x:c>
      <x:c r="J143" s="31" t="n">
        <x:v>4.74</x:v>
      </x:c>
      <x:c r="K143" s="31" t="n">
        <x:v>8.02</x:v>
      </x:c>
      <x:c r="L143" s="31" t="n">
        <x:f>ABS(J143-K143)</x:f>
        <x:v>3.2799999999999994</x:v>
      </x:c>
      <x:c r="M143" s="31" t="n">
        <x:v>3.28</x:v>
      </x:c>
      <x:c r="N143" s="31" t="n">
        <x:v>3.78</x:v>
      </x:c>
      <x:c r="O143" s="31" t="n">
        <x:f>ABS(M143-N143)</x:f>
        <x:v>0.5</x:v>
      </x:c>
      <x:c r="P143" s="31" t="n">
        <x:v>2.03</x:v>
      </x:c>
      <x:c r="Q143" s="31" t="n">
        <x:v>6.34</x:v>
      </x:c>
      <x:c r="R143" s="31" t="n">
        <x:f>ABS(P143-Q143)</x:f>
        <x:v>4.3100000000000005</x:v>
      </x:c>
      <x:c r="S143" s="32" t="n">
        <x:v>327.76029228418867</x:v>
      </x:c>
      <x:c r="T143" s="32" t="n">
        <x:v>6026.395735766634</x:v>
      </x:c>
      <x:c r="U143" s="31" t="n">
        <x:f>MAX(S143/T143,T143/S143)</x:f>
        <x:v>18.386594952573976</x:v>
      </x:c>
      <x:c r="V143" s="31" t="n">
        <x:f>L143*'Controls &amp; Summary'!$B$9+O143*'Controls &amp; Summary'!$B$10+R143*'Controls &amp; Summary'!$B$11+U143*'Controls &amp; Summary'!$B$12</x:f>
        <x:v>26.476594952573976</x:v>
      </x:c>
      <x:c r="W143" s="31" t="n">
        <x:v>1.25</x:v>
      </x:c>
      <x:c r="X143" s="31" t="n">
        <x:v>1.32</x:v>
      </x:c>
      <x:c r="Y143" s="31" t="n">
        <x:f>((10-MIN(10,MAX(0,X143)))/10)*'Controls &amp; Summary'!$B$15+((10-MIN(10,MAX(0,W143)))/10)*'Controls &amp; Summary'!$B$16</x:f>
        <x:v>1.7429999999999999</x:v>
      </x:c>
      <x:c r="Z143" s="31" t="n">
        <x:f>V143*Y143</x:f>
        <x:v>46.148705002336435</x:v>
      </x:c>
      <x:c r="AA143" s="30" t="str">
        <x:f>IF(Z143&lt;=I143,"Peaceful","Hostile")</x:f>
        <x:v>Hostile</x:v>
      </x:c>
      <x:c r="AB143" s="30" t="str">
        <x:f>IF(Z143&lt;='Controls &amp; Summary'!$B$6,"Eligible","Blocked")</x:f>
        <x:v>Blocked</x:v>
      </x:c>
      <x:c r="AC143" s="30" t="str">
        <x:v>2003_ETH</x:v>
      </x:c>
      <x:c r="AD143" s="30" t="str">
        <x:v>2003_MRS</x:v>
      </x:c>
      <x:c r="AE143" s="30" t="str">
        <x:v>2003_Mauritius</x:v>
      </x:c>
      <x:c r="AF143" s="30" t="str">
        <x:v>Explicit capitalClaim</x:v>
      </x:c>
      <x:c r="AG143" s="30" t="str">
        <x:v>Claim2003_ETH2003_Mauritius</x:v>
      </x:c>
      <x:c r="AH143" s="30" t="str">
        <x:v>Project_AfricanUnion</x:v>
      </x:c>
    </x:row>
    <x:row r="144">
      <x:c r="A144" s="30" t="str">
        <x:v>2003</x:v>
      </x:c>
      <x:c r="B144" s="30" t="str">
        <x:v>Dark Skies</x:v>
      </x:c>
      <x:c r="C144" s="30" t="str">
        <x:v>Ethiopia</x:v>
      </x:c>
      <x:c r="D144" s="30" t="str">
        <x:v>Morocco</x:v>
      </x:c>
      <x:c r="E144" s="30" t="str">
        <x:v>Project unlock</x:v>
      </x:c>
      <x:c r="F144" s="30" t="str">
        <x:v>Great African Union</x:v>
      </x:c>
      <x:c r="G144" s="30" t="str">
        <x:v>No</x:v>
      </x:c>
      <x:c r="H144" s="30" t="str">
        <x:v>Ordinary claim</x:v>
      </x:c>
      <x:c r="I144" s="31" t="n">
        <x:f>IF(G144="Yes",'Controls &amp; Summary'!$B$5,'Controls &amp; Summary'!$B$4)</x:f>
        <x:v>6</x:v>
      </x:c>
      <x:c r="J144" s="31" t="n">
        <x:v>4.74</x:v>
      </x:c>
      <x:c r="K144" s="31" t="n">
        <x:v>3.86</x:v>
      </x:c>
      <x:c r="L144" s="31" t="n">
        <x:f>ABS(J144-K144)</x:f>
        <x:v>0.8800000000000003</x:v>
      </x:c>
      <x:c r="M144" s="31" t="n">
        <x:v>3.28</x:v>
      </x:c>
      <x:c r="N144" s="31" t="n">
        <x:v>4.08</x:v>
      </x:c>
      <x:c r="O144" s="31" t="n">
        <x:f>ABS(M144-N144)</x:f>
        <x:v>0.8000000000000003</x:v>
      </x:c>
      <x:c r="P144" s="31" t="n">
        <x:v>2.03</x:v>
      </x:c>
      <x:c r="Q144" s="31" t="n">
        <x:v>4.7</x:v>
      </x:c>
      <x:c r="R144" s="31" t="n">
        <x:f>ABS(P144-Q144)</x:f>
        <x:v>2.6700000000000004</x:v>
      </x:c>
      <x:c r="S144" s="32" t="n">
        <x:v>327.76029228418867</x:v>
      </x:c>
      <x:c r="T144" s="32" t="n">
        <x:v>2531.308899658674</x:v>
      </x:c>
      <x:c r="U144" s="31" t="n">
        <x:f>MAX(S144/T144,T144/S144)</x:f>
        <x:v>7.723049311488503</x:v>
      </x:c>
      <x:c r="V144" s="31" t="n">
        <x:f>L144*'Controls &amp; Summary'!$B$9+O144*'Controls &amp; Summary'!$B$10+R144*'Controls &amp; Summary'!$B$11+U144*'Controls &amp; Summary'!$B$12</x:f>
        <x:v>12.073049311488504</x:v>
      </x:c>
      <x:c r="W144" s="31" t="n">
        <x:v>1.25</x:v>
      </x:c>
      <x:c r="X144" s="31" t="n">
        <x:v>2.55</x:v>
      </x:c>
      <x:c r="Y144" s="31" t="n">
        <x:f>((10-MIN(10,MAX(0,X144)))/10)*'Controls &amp; Summary'!$B$15+((10-MIN(10,MAX(0,W144)))/10)*'Controls &amp; Summary'!$B$16</x:f>
        <x:v>1.62</x:v>
      </x:c>
      <x:c r="Z144" s="31" t="n">
        <x:f>V144*Y144</x:f>
        <x:v>19.558339884611378</x:v>
      </x:c>
      <x:c r="AA144" s="30" t="str">
        <x:f>IF(Z144&lt;=I144,"Peaceful","Hostile")</x:f>
        <x:v>Hostile</x:v>
      </x:c>
      <x:c r="AB144" s="30" t="str">
        <x:f>IF(Z144&lt;='Controls &amp; Summary'!$B$6,"Eligible","Blocked")</x:f>
        <x:v>Blocked</x:v>
      </x:c>
      <x:c r="AC144" s="30" t="str">
        <x:v>2003_ETH</x:v>
      </x:c>
      <x:c r="AD144" s="30" t="str">
        <x:v>2003_MAR</x:v>
      </x:c>
      <x:c r="AE144" s="30" t="str">
        <x:v>2003_Rabat</x:v>
      </x:c>
      <x:c r="AF144" s="30" t="str">
        <x:v>Explicit capitalClaim</x:v>
      </x:c>
      <x:c r="AG144" s="30" t="str">
        <x:v>Claim2003_ETH2003_Rabat</x:v>
      </x:c>
      <x:c r="AH144" s="30" t="str">
        <x:v>Project_GreatAfricanUnion</x:v>
      </x:c>
    </x:row>
    <x:row r="145">
      <x:c r="A145" s="30" t="str">
        <x:v>2003</x:v>
      </x:c>
      <x:c r="B145" s="30" t="str">
        <x:v>Dark Skies</x:v>
      </x:c>
      <x:c r="C145" s="30" t="str">
        <x:v>Ethiopia</x:v>
      </x:c>
      <x:c r="D145" s="30" t="str">
        <x:v>Mozambique</x:v>
      </x:c>
      <x:c r="E145" s="30" t="str">
        <x:v>Project unlock</x:v>
      </x:c>
      <x:c r="F145" s="30" t="str">
        <x:v>African Union</x:v>
      </x:c>
      <x:c r="G145" s="30" t="str">
        <x:v>No</x:v>
      </x:c>
      <x:c r="H145" s="30" t="str">
        <x:v>Ordinary claim</x:v>
      </x:c>
      <x:c r="I145" s="31" t="n">
        <x:f>IF(G145="Yes",'Controls &amp; Summary'!$B$5,'Controls &amp; Summary'!$B$4)</x:f>
        <x:v>6</x:v>
      </x:c>
      <x:c r="J145" s="31" t="n">
        <x:v>4.74</x:v>
      </x:c>
      <x:c r="K145" s="31" t="n">
        <x:v>5.15</x:v>
      </x:c>
      <x:c r="L145" s="31" t="n">
        <x:f>ABS(J145-K145)</x:f>
        <x:v>0.41000000000000014</x:v>
      </x:c>
      <x:c r="M145" s="31" t="n">
        <x:v>3.28</x:v>
      </x:c>
      <x:c r="N145" s="31" t="n">
        <x:v>4.62</x:v>
      </x:c>
      <x:c r="O145" s="31" t="n">
        <x:f>ABS(M145-N145)</x:f>
        <x:v>1.3400000000000003</x:v>
      </x:c>
      <x:c r="P145" s="31" t="n">
        <x:v>2.03</x:v>
      </x:c>
      <x:c r="Q145" s="31" t="n">
        <x:v>2.39</x:v>
      </x:c>
      <x:c r="R145" s="31" t="n">
        <x:f>ABS(P145-Q145)</x:f>
        <x:v>0.3600000000000003</x:v>
      </x:c>
      <x:c r="S145" s="32" t="n">
        <x:v>327.76029228418867</x:v>
      </x:c>
      <x:c r="T145" s="32" t="n">
        <x:v>339.4883324588532</x:v>
      </x:c>
      <x:c r="U145" s="31" t="n">
        <x:f>MAX(S145/T145,T145/S145)</x:f>
        <x:v>1.035782370380899</x:v>
      </x:c>
      <x:c r="V145" s="31" t="n">
        <x:f>L145*'Controls &amp; Summary'!$B$9+O145*'Controls &amp; Summary'!$B$10+R145*'Controls &amp; Summary'!$B$11+U145*'Controls &amp; Summary'!$B$12</x:f>
        <x:v>3.1457823703809</x:v>
      </x:c>
      <x:c r="W145" s="31" t="n">
        <x:v>1.25</x:v>
      </x:c>
      <x:c r="X145" s="31" t="n">
        <x:v>3.33</x:v>
      </x:c>
      <x:c r="Y145" s="31" t="n">
        <x:f>((10-MIN(10,MAX(0,X145)))/10)*'Controls &amp; Summary'!$B$15+((10-MIN(10,MAX(0,W145)))/10)*'Controls &amp; Summary'!$B$16</x:f>
        <x:v>1.542</x:v>
      </x:c>
      <x:c r="Z145" s="31" t="n">
        <x:f>V145*Y145</x:f>
        <x:v>4.8507964151273475</x:v>
      </x:c>
      <x:c r="AA145" s="30" t="str">
        <x:f>IF(Z145&lt;=I145,"Peaceful","Hostile")</x:f>
        <x:v>Peaceful</x:v>
      </x:c>
      <x:c r="AB145" s="30" t="str">
        <x:f>IF(Z145&lt;='Controls &amp; Summary'!$B$6,"Eligible","Blocked")</x:f>
        <x:v>Eligible</x:v>
      </x:c>
      <x:c r="AC145" s="30" t="str">
        <x:v>2003_ETH</x:v>
      </x:c>
      <x:c r="AD145" s="30" t="str">
        <x:v>2003_MOZ</x:v>
      </x:c>
      <x:c r="AE145" s="30" t="str">
        <x:v>2003_Mozambique</x:v>
      </x:c>
      <x:c r="AF145" s="30" t="str">
        <x:v>Explicit capitalClaim</x:v>
      </x:c>
      <x:c r="AG145" s="30" t="str">
        <x:v>Claim2003_ETH2003_Mozambique</x:v>
      </x:c>
      <x:c r="AH145" s="30" t="str">
        <x:v>Project_AfricanUnion</x:v>
      </x:c>
    </x:row>
    <x:row r="146">
      <x:c r="A146" s="30" t="str">
        <x:v>2003</x:v>
      </x:c>
      <x:c r="B146" s="30" t="str">
        <x:v>Dark Skies</x:v>
      </x:c>
      <x:c r="C146" s="30" t="str">
        <x:v>Ethiopia</x:v>
      </x:c>
      <x:c r="D146" s="30" t="str">
        <x:v>Namibia</x:v>
      </x:c>
      <x:c r="E146" s="30" t="str">
        <x:v>Project unlock</x:v>
      </x:c>
      <x:c r="F146" s="30" t="str">
        <x:v>African Union</x:v>
      </x:c>
      <x:c r="G146" s="30" t="str">
        <x:v>No</x:v>
      </x:c>
      <x:c r="H146" s="30" t="str">
        <x:v>Ordinary claim</x:v>
      </x:c>
      <x:c r="I146" s="31" t="n">
        <x:f>IF(G146="Yes",'Controls &amp; Summary'!$B$5,'Controls &amp; Summary'!$B$4)</x:f>
        <x:v>6</x:v>
      </x:c>
      <x:c r="J146" s="31" t="n">
        <x:v>4.74</x:v>
      </x:c>
      <x:c r="K146" s="31" t="n">
        <x:v>6.44</x:v>
      </x:c>
      <x:c r="L146" s="31" t="n">
        <x:f>ABS(J146-K146)</x:f>
        <x:v>1.7000000000000002</x:v>
      </x:c>
      <x:c r="M146" s="31" t="n">
        <x:v>3.28</x:v>
      </x:c>
      <x:c r="N146" s="31" t="n">
        <x:v>6.53</x:v>
      </x:c>
      <x:c r="O146" s="31" t="n">
        <x:f>ABS(M146-N146)</x:f>
        <x:v>3.2500000000000004</x:v>
      </x:c>
      <x:c r="P146" s="31" t="n">
        <x:v>2.03</x:v>
      </x:c>
      <x:c r="Q146" s="31" t="n">
        <x:v>4.68</x:v>
      </x:c>
      <x:c r="R146" s="31" t="n">
        <x:f>ABS(P146-Q146)</x:f>
        <x:v>2.65</x:v>
      </x:c>
      <x:c r="S146" s="32" t="n">
        <x:v>327.76029228418867</x:v>
      </x:c>
      <x:c r="T146" s="32" t="n">
        <x:v>3472.544742430627</x:v>
      </x:c>
      <x:c r="U146" s="31" t="n">
        <x:f>MAX(S146/T146,T146/S146)</x:f>
        <x:v>10.59476948299678</x:v>
      </x:c>
      <x:c r="V146" s="31" t="n">
        <x:f>L146*'Controls &amp; Summary'!$B$9+O146*'Controls &amp; Summary'!$B$10+R146*'Controls &amp; Summary'!$B$11+U146*'Controls &amp; Summary'!$B$12</x:f>
        <x:v>18.194769482996783</x:v>
      </x:c>
      <x:c r="W146" s="31" t="n">
        <x:v>1.25</x:v>
      </x:c>
      <x:c r="X146" s="31" t="n">
        <x:v>0.41</x:v>
      </x:c>
      <x:c r="Y146" s="31" t="n">
        <x:f>((10-MIN(10,MAX(0,X146)))/10)*'Controls &amp; Summary'!$B$15+((10-MIN(10,MAX(0,W146)))/10)*'Controls &amp; Summary'!$B$16</x:f>
        <x:v>1.834</x:v>
      </x:c>
      <x:c r="Z146" s="31" t="n">
        <x:f>V146*Y146</x:f>
        <x:v>33.3692072318161</x:v>
      </x:c>
      <x:c r="AA146" s="30" t="str">
        <x:f>IF(Z146&lt;=I146,"Peaceful","Hostile")</x:f>
        <x:v>Hostile</x:v>
      </x:c>
      <x:c r="AB146" s="30" t="str">
        <x:f>IF(Z146&lt;='Controls &amp; Summary'!$B$6,"Eligible","Blocked")</x:f>
        <x:v>Blocked</x:v>
      </x:c>
      <x:c r="AC146" s="30" t="str">
        <x:v>2003_ETH</x:v>
      </x:c>
      <x:c r="AD146" s="30" t="str">
        <x:v>2003_SWA</x:v>
      </x:c>
      <x:c r="AE146" s="30" t="str">
        <x:v>2003_Namibia</x:v>
      </x:c>
      <x:c r="AF146" s="30" t="str">
        <x:v>Explicit capitalClaim</x:v>
      </x:c>
      <x:c r="AG146" s="30" t="str">
        <x:v>Claim2003_ETH2003_Namibia</x:v>
      </x:c>
      <x:c r="AH146" s="30" t="str">
        <x:v>Project_AfricanUnion</x:v>
      </x:c>
    </x:row>
    <x:row r="147">
      <x:c r="A147" s="30" t="str">
        <x:v>2003</x:v>
      </x:c>
      <x:c r="B147" s="30" t="str">
        <x:v>Dark Skies</x:v>
      </x:c>
      <x:c r="C147" s="30" t="str">
        <x:v>Ethiopia</x:v>
      </x:c>
      <x:c r="D147" s="30" t="str">
        <x:v>Niger</x:v>
      </x:c>
      <x:c r="E147" s="30" t="str">
        <x:v>Project unlock</x:v>
      </x:c>
      <x:c r="F147" s="30" t="str">
        <x:v>African Union</x:v>
      </x:c>
      <x:c r="G147" s="30" t="str">
        <x:v>No</x:v>
      </x:c>
      <x:c r="H147" s="30" t="str">
        <x:v>Ordinary claim</x:v>
      </x:c>
      <x:c r="I147" s="31" t="n">
        <x:f>IF(G147="Yes",'Controls &amp; Summary'!$B$5,'Controls &amp; Summary'!$B$4)</x:f>
        <x:v>6</x:v>
      </x:c>
      <x:c r="J147" s="31" t="n">
        <x:v>4.74</x:v>
      </x:c>
      <x:c r="K147" s="31" t="n">
        <x:v>3.35</x:v>
      </x:c>
      <x:c r="L147" s="31" t="n">
        <x:f>ABS(J147-K147)</x:f>
        <x:v>1.3900000000000001</x:v>
      </x:c>
      <x:c r="M147" s="31" t="n">
        <x:v>3.28</x:v>
      </x:c>
      <x:c r="N147" s="31" t="n">
        <x:v>3.92</x:v>
      </x:c>
      <x:c r="O147" s="31" t="n">
        <x:f>ABS(M147-N147)</x:f>
        <x:v>0.6400000000000001</x:v>
      </x:c>
      <x:c r="P147" s="31" t="n">
        <x:v>2.03</x:v>
      </x:c>
      <x:c r="Q147" s="31" t="n">
        <x:v>1.67</x:v>
      </x:c>
      <x:c r="R147" s="31" t="n">
        <x:f>ABS(P147-Q147)</x:f>
        <x:v>0.3599999999999999</x:v>
      </x:c>
      <x:c r="S147" s="32" t="n">
        <x:v>327.76029228418867</x:v>
      </x:c>
      <x:c r="T147" s="32" t="n">
        <x:v>440.7562654606742</x:v>
      </x:c>
      <x:c r="U147" s="31" t="n">
        <x:f>MAX(S147/T147,T147/S147)</x:f>
        <x:v>1.3447518684737776</x:v>
      </x:c>
      <x:c r="V147" s="31" t="n">
        <x:f>L147*'Controls &amp; Summary'!$B$9+O147*'Controls &amp; Summary'!$B$10+R147*'Controls &amp; Summary'!$B$11+U147*'Controls &amp; Summary'!$B$12</x:f>
        <x:v>3.7347518684737775</x:v>
      </x:c>
      <x:c r="W147" s="31" t="n">
        <x:v>1.25</x:v>
      </x:c>
      <x:c r="X147" s="31" t="n">
        <x:v>4.51</x:v>
      </x:c>
      <x:c r="Y147" s="31" t="n">
        <x:f>((10-MIN(10,MAX(0,X147)))/10)*'Controls &amp; Summary'!$B$15+((10-MIN(10,MAX(0,W147)))/10)*'Controls &amp; Summary'!$B$16</x:f>
        <x:v>1.424</x:v>
      </x:c>
      <x:c r="Z147" s="31" t="n">
        <x:f>V147*Y147</x:f>
        <x:v>5.318286660706659</x:v>
      </x:c>
      <x:c r="AA147" s="30" t="str">
        <x:f>IF(Z147&lt;=I147,"Peaceful","Hostile")</x:f>
        <x:v>Peaceful</x:v>
      </x:c>
      <x:c r="AB147" s="30" t="str">
        <x:f>IF(Z147&lt;='Controls &amp; Summary'!$B$6,"Eligible","Blocked")</x:f>
        <x:v>Eligible</x:v>
      </x:c>
      <x:c r="AC147" s="30" t="str">
        <x:v>2003_ETH</x:v>
      </x:c>
      <x:c r="AD147" s="30" t="str">
        <x:v>2003_NER</x:v>
      </x:c>
      <x:c r="AE147" s="30" t="str">
        <x:v>2003_Niger</x:v>
      </x:c>
      <x:c r="AF147" s="30" t="str">
        <x:v>Explicit capitalClaim</x:v>
      </x:c>
      <x:c r="AG147" s="30" t="str">
        <x:v>Claim2003_ETH2003_Niger</x:v>
      </x:c>
      <x:c r="AH147" s="30" t="str">
        <x:v>Project_AfricanUnion</x:v>
      </x:c>
    </x:row>
    <x:row r="148">
      <x:c r="A148" s="30" t="str">
        <x:v>2003</x:v>
      </x:c>
      <x:c r="B148" s="30" t="str">
        <x:v>Dark Skies</x:v>
      </x:c>
      <x:c r="C148" s="30" t="str">
        <x:v>Ethiopia</x:v>
      </x:c>
      <x:c r="D148" s="30" t="str">
        <x:v>Nigeria</x:v>
      </x:c>
      <x:c r="E148" s="30" t="str">
        <x:v>Project unlock</x:v>
      </x:c>
      <x:c r="F148" s="30" t="str">
        <x:v>African Union</x:v>
      </x:c>
      <x:c r="G148" s="30" t="str">
        <x:v>No</x:v>
      </x:c>
      <x:c r="H148" s="30" t="str">
        <x:v>Ordinary claim</x:v>
      </x:c>
      <x:c r="I148" s="31" t="n">
        <x:f>IF(G148="Yes",'Controls &amp; Summary'!$B$5,'Controls &amp; Summary'!$B$4)</x:f>
        <x:v>6</x:v>
      </x:c>
      <x:c r="J148" s="31" t="n">
        <x:v>4.74</x:v>
      </x:c>
      <x:c r="K148" s="31" t="n">
        <x:v>3.59</x:v>
      </x:c>
      <x:c r="L148" s="31" t="n">
        <x:f>ABS(J148-K148)</x:f>
        <x:v>1.1500000000000004</x:v>
      </x:c>
      <x:c r="M148" s="31" t="n">
        <x:v>3.28</x:v>
      </x:c>
      <x:c r="N148" s="31" t="n">
        <x:v>4.2</x:v>
      </x:c>
      <x:c r="O148" s="31" t="n">
        <x:f>ABS(M148-N148)</x:f>
        <x:v>0.9200000000000004</x:v>
      </x:c>
      <x:c r="P148" s="31" t="n">
        <x:v>2.03</x:v>
      </x:c>
      <x:c r="Q148" s="31" t="n">
        <x:v>3.65</x:v>
      </x:c>
      <x:c r="R148" s="31" t="n">
        <x:f>ABS(P148-Q148)</x:f>
        <x:v>1.62</x:v>
      </x:c>
      <x:c r="S148" s="32" t="n">
        <x:v>327.76029228418867</x:v>
      </x:c>
      <x:c r="T148" s="32" t="n">
        <x:v>1504.859922626564</x:v>
      </x:c>
      <x:c r="U148" s="31" t="n">
        <x:f>MAX(S148/T148,T148/S148)</x:f>
        <x:v>4.59134299685624</x:v>
      </x:c>
      <x:c r="V148" s="31" t="n">
        <x:f>L148*'Controls &amp; Summary'!$B$9+O148*'Controls &amp; Summary'!$B$10+R148*'Controls &amp; Summary'!$B$11+U148*'Controls &amp; Summary'!$B$12</x:f>
        <x:v>8.28134299685624</x:v>
      </x:c>
      <x:c r="W148" s="31" t="n">
        <x:v>1.25</x:v>
      </x:c>
      <x:c r="X148" s="31" t="n">
        <x:v>7.63</x:v>
      </x:c>
      <x:c r="Y148" s="31" t="n">
        <x:f>((10-MIN(10,MAX(0,X148)))/10)*'Controls &amp; Summary'!$B$15+((10-MIN(10,MAX(0,W148)))/10)*'Controls &amp; Summary'!$B$16</x:f>
        <x:v>1.112</x:v>
      </x:c>
      <x:c r="Z148" s="31" t="n">
        <x:f>V148*Y148</x:f>
        <x:v>9.20885341250414</x:v>
      </x:c>
      <x:c r="AA148" s="30" t="str">
        <x:f>IF(Z148&lt;=I148,"Peaceful","Hostile")</x:f>
        <x:v>Hostile</x:v>
      </x:c>
      <x:c r="AB148" s="30" t="str">
        <x:f>IF(Z148&lt;='Controls &amp; Summary'!$B$6,"Eligible","Blocked")</x:f>
        <x:v>Eligible</x:v>
      </x:c>
      <x:c r="AC148" s="30" t="str">
        <x:v>2003_ETH</x:v>
      </x:c>
      <x:c r="AD148" s="30" t="str">
        <x:v>2003_NGA</x:v>
      </x:c>
      <x:c r="AE148" s="30" t="str">
        <x:v>2003_Lagos</x:v>
      </x:c>
      <x:c r="AF148" s="30" t="str">
        <x:v>Explicit capitalClaim</x:v>
      </x:c>
      <x:c r="AG148" s="30" t="str">
        <x:v>Claim2003_ETH2003_Lagos</x:v>
      </x:c>
      <x:c r="AH148" s="30" t="str">
        <x:v>Project_AfricanUnion</x:v>
      </x:c>
    </x:row>
    <x:row r="149">
      <x:c r="A149" s="30" t="str">
        <x:v>2003</x:v>
      </x:c>
      <x:c r="B149" s="30" t="str">
        <x:v>Dark Skies</x:v>
      </x:c>
      <x:c r="C149" s="30" t="str">
        <x:v>Ethiopia</x:v>
      </x:c>
      <x:c r="D149" s="30" t="str">
        <x:v>Republic of the Congo</x:v>
      </x:c>
      <x:c r="E149" s="30" t="str">
        <x:v>Project unlock</x:v>
      </x:c>
      <x:c r="F149" s="30" t="str">
        <x:v>African Union</x:v>
      </x:c>
      <x:c r="G149" s="30" t="str">
        <x:v>No</x:v>
      </x:c>
      <x:c r="H149" s="30" t="str">
        <x:v>Ordinary claim</x:v>
      </x:c>
      <x:c r="I149" s="31" t="n">
        <x:f>IF(G149="Yes",'Controls &amp; Summary'!$B$5,'Controls &amp; Summary'!$B$4)</x:f>
        <x:v>6</x:v>
      </x:c>
      <x:c r="J149" s="31" t="n">
        <x:v>4.74</x:v>
      </x:c>
      <x:c r="K149" s="31" t="n">
        <x:v>3.22</x:v>
      </x:c>
      <x:c r="L149" s="31" t="n">
        <x:f>ABS(J149-K149)</x:f>
        <x:v>1.52</x:v>
      </x:c>
      <x:c r="M149" s="31" t="n">
        <x:v>3.28</x:v>
      </x:c>
      <x:c r="N149" s="31" t="n">
        <x:v>4.69</x:v>
      </x:c>
      <x:c r="O149" s="31" t="n">
        <x:f>ABS(M149-N149)</x:f>
        <x:v>1.4100000000000006</x:v>
      </x:c>
      <x:c r="P149" s="31" t="n">
        <x:v>2.03</x:v>
      </x:c>
      <x:c r="Q149" s="31" t="n">
        <x:v>2.92</x:v>
      </x:c>
      <x:c r="R149" s="31" t="n">
        <x:f>ABS(P149-Q149)</x:f>
        <x:v>0.8900000000000001</x:v>
      </x:c>
      <x:c r="S149" s="32" t="n">
        <x:v>327.76029228418867</x:v>
      </x:c>
      <x:c r="T149" s="32" t="n">
        <x:v>2104.4636652714225</x:v>
      </x:c>
      <x:c r="U149" s="31" t="n">
        <x:f>MAX(S149/T149,T149/S149)</x:f>
        <x:v>6.4207401409281175</x:v>
      </x:c>
      <x:c r="V149" s="31" t="n">
        <x:f>L149*'Controls &amp; Summary'!$B$9+O149*'Controls &amp; Summary'!$B$10+R149*'Controls &amp; Summary'!$B$11+U149*'Controls &amp; Summary'!$B$12</x:f>
        <x:v>10.240740140928118</x:v>
      </x:c>
      <x:c r="W149" s="31" t="n">
        <x:v>1.25</x:v>
      </x:c>
      <x:c r="X149" s="31" t="n">
        <x:v>4.31</x:v>
      </x:c>
      <x:c r="Y149" s="31" t="n">
        <x:f>((10-MIN(10,MAX(0,X149)))/10)*'Controls &amp; Summary'!$B$15+((10-MIN(10,MAX(0,W149)))/10)*'Controls &amp; Summary'!$B$16</x:f>
        <x:v>1.444</x:v>
      </x:c>
      <x:c r="Z149" s="31" t="n">
        <x:f>V149*Y149</x:f>
        <x:v>14.787628763500202</x:v>
      </x:c>
      <x:c r="AA149" s="30" t="str">
        <x:f>IF(Z149&lt;=I149,"Peaceful","Hostile")</x:f>
        <x:v>Hostile</x:v>
      </x:c>
      <x:c r="AB149" s="30" t="str">
        <x:f>IF(Z149&lt;='Controls &amp; Summary'!$B$6,"Eligible","Blocked")</x:f>
        <x:v>Blocked</x:v>
      </x:c>
      <x:c r="AC149" s="30" t="str">
        <x:v>2003_ETH</x:v>
      </x:c>
      <x:c r="AD149" s="30" t="str">
        <x:v>2003_COR</x:v>
      </x:c>
      <x:c r="AE149" s="30" t="str">
        <x:v>2003_Brazzaville</x:v>
      </x:c>
      <x:c r="AF149" s="30" t="str">
        <x:v>Explicit capitalClaim</x:v>
      </x:c>
      <x:c r="AG149" s="30" t="str">
        <x:v>Claim2003_ETH2003_Brazzaville</x:v>
      </x:c>
      <x:c r="AH149" s="30" t="str">
        <x:v>Project_AfricanUnion</x:v>
      </x:c>
    </x:row>
    <x:row r="150">
      <x:c r="A150" s="30" t="str">
        <x:v>2003</x:v>
      </x:c>
      <x:c r="B150" s="30" t="str">
        <x:v>Dark Skies</x:v>
      </x:c>
      <x:c r="C150" s="30" t="str">
        <x:v>Ethiopia</x:v>
      </x:c>
      <x:c r="D150" s="30" t="str">
        <x:v>Rwanda-Burundi</x:v>
      </x:c>
      <x:c r="E150" s="30" t="str">
        <x:v>Project unlock</x:v>
      </x:c>
      <x:c r="F150" s="30" t="str">
        <x:v>African Union</x:v>
      </x:c>
      <x:c r="G150" s="30" t="str">
        <x:v>No</x:v>
      </x:c>
      <x:c r="H150" s="30" t="str">
        <x:v>Ordinary claim</x:v>
      </x:c>
      <x:c r="I150" s="31" t="n">
        <x:f>IF(G150="Yes",'Controls &amp; Summary'!$B$5,'Controls &amp; Summary'!$B$4)</x:f>
        <x:v>6</x:v>
      </x:c>
      <x:c r="J150" s="31" t="n">
        <x:v>4.74</x:v>
      </x:c>
      <x:c r="K150" s="31" t="n">
        <x:v>3.96</x:v>
      </x:c>
      <x:c r="L150" s="31" t="n">
        <x:f>ABS(J150-K150)</x:f>
        <x:v>0.7800000000000002</x:v>
      </x:c>
      <x:c r="M150" s="31" t="n">
        <x:v>3.28</x:v>
      </x:c>
      <x:c r="N150" s="31" t="n">
        <x:v>4.49</x:v>
      </x:c>
      <x:c r="O150" s="31" t="n">
        <x:f>ABS(M150-N150)</x:f>
        <x:v>1.2100000000000004</x:v>
      </x:c>
      <x:c r="P150" s="31" t="n">
        <x:v>2.03</x:v>
      </x:c>
      <x:c r="Q150" s="31" t="n">
        <x:v>2.6</x:v>
      </x:c>
      <x:c r="R150" s="31" t="n">
        <x:f>ABS(P150-Q150)</x:f>
        <x:v>0.5700000000000003</x:v>
      </x:c>
      <x:c r="S150" s="32" t="n">
        <x:v>327.76029228418867</x:v>
      </x:c>
      <x:c r="T150" s="32" t="n">
        <x:v>416.31512929374605</x:v>
      </x:c>
      <x:c r="U150" s="31" t="n">
        <x:f>MAX(S150/T150,T150/S150)</x:f>
        <x:v>1.2701817123496302</x:v>
      </x:c>
      <x:c r="V150" s="31" t="n">
        <x:f>L150*'Controls &amp; Summary'!$B$9+O150*'Controls &amp; Summary'!$B$10+R150*'Controls &amp; Summary'!$B$11+U150*'Controls &amp; Summary'!$B$12</x:f>
        <x:v>3.8301817123496313</x:v>
      </x:c>
      <x:c r="W150" s="31" t="n">
        <x:v>1.25</x:v>
      </x:c>
      <x:c r="X150" s="31" t="n">
        <x:v>4.92</x:v>
      </x:c>
      <x:c r="Y150" s="31" t="n">
        <x:f>((10-MIN(10,MAX(0,X150)))/10)*'Controls &amp; Summary'!$B$15+((10-MIN(10,MAX(0,W150)))/10)*'Controls &amp; Summary'!$B$16</x:f>
        <x:v>1.383</x:v>
      </x:c>
      <x:c r="Z150" s="31" t="n">
        <x:f>V150*Y150</x:f>
        <x:v>5.29714130817954</x:v>
      </x:c>
      <x:c r="AA150" s="30" t="str">
        <x:f>IF(Z150&lt;=I150,"Peaceful","Hostile")</x:f>
        <x:v>Peaceful</x:v>
      </x:c>
      <x:c r="AB150" s="30" t="str">
        <x:f>IF(Z150&lt;='Controls &amp; Summary'!$B$6,"Eligible","Blocked")</x:f>
        <x:v>Eligible</x:v>
      </x:c>
      <x:c r="AC150" s="30" t="str">
        <x:v>2003_ETH</x:v>
      </x:c>
      <x:c r="AD150" s="30" t="str">
        <x:v>2003_RWB</x:v>
      </x:c>
      <x:c r="AE150" s="30" t="str">
        <x:v>2003_Kigali</x:v>
      </x:c>
      <x:c r="AF150" s="30" t="str">
        <x:v>Explicit capitalClaim</x:v>
      </x:c>
      <x:c r="AG150" s="30" t="str">
        <x:v>Claim2003_ETH2003_Kigali</x:v>
      </x:c>
      <x:c r="AH150" s="30" t="str">
        <x:v>Project_AfricanUnion</x:v>
      </x:c>
    </x:row>
    <x:row r="151">
      <x:c r="A151" s="30" t="str">
        <x:v>2003</x:v>
      </x:c>
      <x:c r="B151" s="30" t="str">
        <x:v>Dark Skies</x:v>
      </x:c>
      <x:c r="C151" s="30" t="str">
        <x:v>Ethiopia</x:v>
      </x:c>
      <x:c r="D151" s="30" t="str">
        <x:v>Sao Tome and Principe</x:v>
      </x:c>
      <x:c r="E151" s="30" t="str">
        <x:v>Project unlock</x:v>
      </x:c>
      <x:c r="F151" s="30" t="str">
        <x:v>African Union</x:v>
      </x:c>
      <x:c r="G151" s="30" t="str">
        <x:v>No</x:v>
      </x:c>
      <x:c r="H151" s="30" t="str">
        <x:v>Ordinary claim</x:v>
      </x:c>
      <x:c r="I151" s="31" t="n">
        <x:f>IF(G151="Yes",'Controls &amp; Summary'!$B$5,'Controls &amp; Summary'!$B$4)</x:f>
        <x:v>6</x:v>
      </x:c>
      <x:c r="J151" s="31" t="n">
        <x:v>4.74</x:v>
      </x:c>
      <x:c r="K151" s="31" t="n">
        <x:v>6.46</x:v>
      </x:c>
      <x:c r="L151" s="31" t="n">
        <x:f>ABS(J151-K151)</x:f>
        <x:v>1.7199999999999998</x:v>
      </x:c>
      <x:c r="M151" s="31" t="n">
        <x:v>3.28</x:v>
      </x:c>
      <x:c r="N151" s="31" t="n">
        <x:v>3.38</x:v>
      </x:c>
      <x:c r="O151" s="31" t="n">
        <x:f>ABS(M151-N151)</x:f>
        <x:v>0.10000000000000009</x:v>
      </x:c>
      <x:c r="P151" s="31" t="n">
        <x:v>2.03</x:v>
      </x:c>
      <x:c r="Q151" s="31" t="n">
        <x:v>4.43</x:v>
      </x:c>
      <x:c r="R151" s="31" t="n">
        <x:f>ABS(P151-Q151)</x:f>
        <x:v>2.4</x:v>
      </x:c>
      <x:c r="S151" s="32" t="n">
        <x:v>327.76029228418867</x:v>
      </x:c>
      <x:c r="T151" s="32" t="n">
        <x:v>1136.7872950446642</x:v>
      </x:c>
      <x:c r="U151" s="31" t="n">
        <x:f>MAX(S151/T151,T151/S151)</x:f>
        <x:v>3.4683496500515645</x:v>
      </x:c>
      <x:c r="V151" s="31" t="n">
        <x:f>L151*'Controls &amp; Summary'!$B$9+O151*'Controls &amp; Summary'!$B$10+R151*'Controls &amp; Summary'!$B$11+U151*'Controls &amp; Summary'!$B$12</x:f>
        <x:v>7.688349650051564</x:v>
      </x:c>
      <x:c r="W151" s="31" t="n">
        <x:v>1.25</x:v>
      </x:c>
      <x:c r="X151" s="31" t="n">
        <x:v>2.24</x:v>
      </x:c>
      <x:c r="Y151" s="31" t="n">
        <x:f>((10-MIN(10,MAX(0,X151)))/10)*'Controls &amp; Summary'!$B$15+((10-MIN(10,MAX(0,W151)))/10)*'Controls &amp; Summary'!$B$16</x:f>
        <x:v>1.651</x:v>
      </x:c>
      <x:c r="Z151" s="31" t="n">
        <x:f>V151*Y151</x:f>
        <x:v>12.693465272235132</x:v>
      </x:c>
      <x:c r="AA151" s="30" t="str">
        <x:f>IF(Z151&lt;=I151,"Peaceful","Hostile")</x:f>
        <x:v>Hostile</x:v>
      </x:c>
      <x:c r="AB151" s="30" t="str">
        <x:f>IF(Z151&lt;='Controls &amp; Summary'!$B$6,"Eligible","Blocked")</x:f>
        <x:v>Blocked</x:v>
      </x:c>
      <x:c r="AC151" s="30" t="str">
        <x:v>2003_ETH</x:v>
      </x:c>
      <x:c r="AD151" s="30" t="str">
        <x:v>2003_STP</x:v>
      </x:c>
      <x:c r="AE151" s="30" t="str">
        <x:v>2003_SaoTomePrincipe</x:v>
      </x:c>
      <x:c r="AF151" s="30" t="str">
        <x:v>Explicit capitalClaim</x:v>
      </x:c>
      <x:c r="AG151" s="30" t="str">
        <x:v>Claim2003_ETH2003_SaoTomePrincipe</x:v>
      </x:c>
      <x:c r="AH151" s="30" t="str">
        <x:v>Project_AfricanUnion</x:v>
      </x:c>
    </x:row>
    <x:row r="152">
      <x:c r="A152" s="30" t="str">
        <x:v>2003</x:v>
      </x:c>
      <x:c r="B152" s="30" t="str">
        <x:v>Dark Skies</x:v>
      </x:c>
      <x:c r="C152" s="30" t="str">
        <x:v>Ethiopia</x:v>
      </x:c>
      <x:c r="D152" s="30" t="str">
        <x:v>Senegal</x:v>
      </x:c>
      <x:c r="E152" s="30" t="str">
        <x:v>Project unlock</x:v>
      </x:c>
      <x:c r="F152" s="30" t="str">
        <x:v>African Union</x:v>
      </x:c>
      <x:c r="G152" s="30" t="str">
        <x:v>No</x:v>
      </x:c>
      <x:c r="H152" s="30" t="str">
        <x:v>Ordinary claim</x:v>
      </x:c>
      <x:c r="I152" s="31" t="n">
        <x:f>IF(G152="Yes",'Controls &amp; Summary'!$B$5,'Controls &amp; Summary'!$B$4)</x:f>
        <x:v>6</x:v>
      </x:c>
      <x:c r="J152" s="31" t="n">
        <x:v>4.74</x:v>
      </x:c>
      <x:c r="K152" s="31" t="n">
        <x:v>5.37</x:v>
      </x:c>
      <x:c r="L152" s="31" t="n">
        <x:f>ABS(J152-K152)</x:f>
        <x:v>0.6299999999999999</x:v>
      </x:c>
      <x:c r="M152" s="31" t="n">
        <x:v>3.28</x:v>
      </x:c>
      <x:c r="N152" s="31" t="n">
        <x:v>4.11</x:v>
      </x:c>
      <x:c r="O152" s="31" t="n">
        <x:f>ABS(M152-N152)</x:f>
        <x:v>0.8300000000000005</x:v>
      </x:c>
      <x:c r="P152" s="31" t="n">
        <x:v>2.03</x:v>
      </x:c>
      <x:c r="Q152" s="31" t="n">
        <x:v>3.12</x:v>
      </x:c>
      <x:c r="R152" s="31" t="n">
        <x:f>ABS(P152-Q152)</x:f>
        <x:v>1.0900000000000003</x:v>
      </x:c>
      <x:c r="S152" s="32" t="n">
        <x:v>327.76029228418867</x:v>
      </x:c>
      <x:c r="T152" s="32" t="n">
        <x:v>1192.644324465898</x:v>
      </x:c>
      <x:c r="U152" s="31" t="n">
        <x:f>MAX(S152/T152,T152/S152)</x:f>
        <x:v>3.6387700174242</x:v>
      </x:c>
      <x:c r="V152" s="31" t="n">
        <x:f>L152*'Controls &amp; Summary'!$B$9+O152*'Controls &amp; Summary'!$B$10+R152*'Controls &amp; Summary'!$B$11+U152*'Controls &amp; Summary'!$B$12</x:f>
        <x:v>6.188770017424201</x:v>
      </x:c>
      <x:c r="W152" s="31" t="n">
        <x:v>1.25</x:v>
      </x:c>
      <x:c r="X152" s="31" t="n">
        <x:v>2.36</x:v>
      </x:c>
      <x:c r="Y152" s="31" t="n">
        <x:f>((10-MIN(10,MAX(0,X152)))/10)*'Controls &amp; Summary'!$B$15+((10-MIN(10,MAX(0,W152)))/10)*'Controls &amp; Summary'!$B$16</x:f>
        <x:v>1.639</x:v>
      </x:c>
      <x:c r="Z152" s="31" t="n">
        <x:f>V152*Y152</x:f>
        <x:v>10.143394058558265</x:v>
      </x:c>
      <x:c r="AA152" s="30" t="str">
        <x:f>IF(Z152&lt;=I152,"Peaceful","Hostile")</x:f>
        <x:v>Hostile</x:v>
      </x:c>
      <x:c r="AB152" s="30" t="str">
        <x:f>IF(Z152&lt;='Controls &amp; Summary'!$B$6,"Eligible","Blocked")</x:f>
        <x:v>Eligible</x:v>
      </x:c>
      <x:c r="AC152" s="30" t="str">
        <x:v>2003_ETH</x:v>
      </x:c>
      <x:c r="AD152" s="30" t="str">
        <x:v>2003_SEG</x:v>
      </x:c>
      <x:c r="AE152" s="30" t="str">
        <x:v>2003_Senegambia</x:v>
      </x:c>
      <x:c r="AF152" s="30" t="str">
        <x:v>Explicit capitalClaim</x:v>
      </x:c>
      <x:c r="AG152" s="30" t="str">
        <x:v>Claim2003_ETH2003_Senegambia</x:v>
      </x:c>
      <x:c r="AH152" s="30" t="str">
        <x:v>Project_AfricanUnion</x:v>
      </x:c>
    </x:row>
    <x:row r="153">
      <x:c r="A153" s="30" t="str">
        <x:v>2003</x:v>
      </x:c>
      <x:c r="B153" s="30" t="str">
        <x:v>Dark Skies</x:v>
      </x:c>
      <x:c r="C153" s="30" t="str">
        <x:v>Ethiopia</x:v>
      </x:c>
      <x:c r="D153" s="30" t="str">
        <x:v>Seychelles</x:v>
      </x:c>
      <x:c r="E153" s="30" t="str">
        <x:v>Project unlock</x:v>
      </x:c>
      <x:c r="F153" s="30" t="str">
        <x:v>African Union</x:v>
      </x:c>
      <x:c r="G153" s="30" t="str">
        <x:v>No</x:v>
      </x:c>
      <x:c r="H153" s="30" t="str">
        <x:v>Ordinary claim</x:v>
      </x:c>
      <x:c r="I153" s="31" t="n">
        <x:f>IF(G153="Yes",'Controls &amp; Summary'!$B$5,'Controls &amp; Summary'!$B$4)</x:f>
        <x:v>6</x:v>
      </x:c>
      <x:c r="J153" s="31" t="n">
        <x:v>4.74</x:v>
      </x:c>
      <x:c r="K153" s="31" t="n">
        <x:v>4.8</x:v>
      </x:c>
      <x:c r="L153" s="31" t="n">
        <x:f>ABS(J153-K153)</x:f>
        <x:v>0.05999999999999961</x:v>
      </x:c>
      <x:c r="M153" s="31" t="n">
        <x:v>3.28</x:v>
      </x:c>
      <x:c r="N153" s="31" t="n">
        <x:v>3.97</x:v>
      </x:c>
      <x:c r="O153" s="31" t="n">
        <x:f>ABS(M153-N153)</x:f>
        <x:v>0.6900000000000004</x:v>
      </x:c>
      <x:c r="P153" s="31" t="n">
        <x:v>2.03</x:v>
      </x:c>
      <x:c r="Q153" s="31" t="n">
        <x:v>6.88</x:v>
      </x:c>
      <x:c r="R153" s="31" t="n">
        <x:f>ABS(P153-Q153)</x:f>
        <x:v>4.85</x:v>
      </x:c>
      <x:c r="S153" s="32" t="n">
        <x:v>327.76029228418867</x:v>
      </x:c>
      <x:c r="T153" s="32" t="n">
        <x:v>8108.359951283406</x:v>
      </x:c>
      <x:c r="U153" s="31" t="n">
        <x:f>MAX(S153/T153,T153/S153)</x:f>
        <x:v>24.738689042457136</x:v>
      </x:c>
      <x:c r="V153" s="31" t="n">
        <x:f>L153*'Controls &amp; Summary'!$B$9+O153*'Controls &amp; Summary'!$B$10+R153*'Controls &amp; Summary'!$B$11+U153*'Controls &amp; Summary'!$B$12</x:f>
        <x:v>30.338689042457133</x:v>
      </x:c>
      <x:c r="W153" s="31" t="n">
        <x:v>1.25</x:v>
      </x:c>
      <x:c r="X153" s="31" t="n">
        <x:v>1.67</x:v>
      </x:c>
      <x:c r="Y153" s="31" t="n">
        <x:f>((10-MIN(10,MAX(0,X153)))/10)*'Controls &amp; Summary'!$B$15+((10-MIN(10,MAX(0,W153)))/10)*'Controls &amp; Summary'!$B$16</x:f>
        <x:v>1.708</x:v>
      </x:c>
      <x:c r="Z153" s="31" t="n">
        <x:f>V153*Y153</x:f>
        <x:v>51.81848088451678</x:v>
      </x:c>
      <x:c r="AA153" s="30" t="str">
        <x:f>IF(Z153&lt;=I153,"Peaceful","Hostile")</x:f>
        <x:v>Hostile</x:v>
      </x:c>
      <x:c r="AB153" s="30" t="str">
        <x:f>IF(Z153&lt;='Controls &amp; Summary'!$B$6,"Eligible","Blocked")</x:f>
        <x:v>Blocked</x:v>
      </x:c>
      <x:c r="AC153" s="30" t="str">
        <x:v>2003_ETH</x:v>
      </x:c>
      <x:c r="AD153" s="30" t="str">
        <x:v>2003_SYC</x:v>
      </x:c>
      <x:c r="AE153" s="30" t="str">
        <x:v>2003_Seychelles</x:v>
      </x:c>
      <x:c r="AF153" s="30" t="str">
        <x:v>Explicit capitalClaim</x:v>
      </x:c>
      <x:c r="AG153" s="30" t="str">
        <x:v>Claim2003_ETH2003_Seychelles</x:v>
      </x:c>
      <x:c r="AH153" s="30" t="str">
        <x:v>Project_AfricanUnion</x:v>
      </x:c>
    </x:row>
    <x:row r="154">
      <x:c r="A154" s="30" t="str">
        <x:v>2003</x:v>
      </x:c>
      <x:c r="B154" s="30" t="str">
        <x:v>Dark Skies</x:v>
      </x:c>
      <x:c r="C154" s="30" t="str">
        <x:v>Ethiopia</x:v>
      </x:c>
      <x:c r="D154" s="30" t="str">
        <x:v>Sierra Leone</x:v>
      </x:c>
      <x:c r="E154" s="30" t="str">
        <x:v>Project unlock</x:v>
      </x:c>
      <x:c r="F154" s="30" t="str">
        <x:v>African Union</x:v>
      </x:c>
      <x:c r="G154" s="30" t="str">
        <x:v>No</x:v>
      </x:c>
      <x:c r="H154" s="30" t="str">
        <x:v>Ordinary claim</x:v>
      </x:c>
      <x:c r="I154" s="31" t="n">
        <x:f>IF(G154="Yes",'Controls &amp; Summary'!$B$5,'Controls &amp; Summary'!$B$4)</x:f>
        <x:v>6</x:v>
      </x:c>
      <x:c r="J154" s="31" t="n">
        <x:v>4.74</x:v>
      </x:c>
      <x:c r="K154" s="31" t="n">
        <x:v>3.68</x:v>
      </x:c>
      <x:c r="L154" s="31" t="n">
        <x:f>ABS(J154-K154)</x:f>
        <x:v>1.06</x:v>
      </x:c>
      <x:c r="M154" s="31" t="n">
        <x:v>3.28</x:v>
      </x:c>
      <x:c r="N154" s="31" t="n">
        <x:v>4.21</x:v>
      </x:c>
      <x:c r="O154" s="31" t="n">
        <x:f>ABS(M154-N154)</x:f>
        <x:v>0.9300000000000002</x:v>
      </x:c>
      <x:c r="P154" s="31" t="n">
        <x:v>2.03</x:v>
      </x:c>
      <x:c r="Q154" s="31" t="n">
        <x:v>2.44</x:v>
      </x:c>
      <x:c r="R154" s="31" t="n">
        <x:f>ABS(P154-Q154)</x:f>
        <x:v>0.41000000000000014</x:v>
      </x:c>
      <x:c r="S154" s="32" t="n">
        <x:v>327.76029228418867</x:v>
      </x:c>
      <x:c r="T154" s="32" t="n">
        <x:v>857.5935310496752</x:v>
      </x:c>
      <x:c r="U154" s="31" t="n">
        <x:f>MAX(S154/T154,T154/S154)</x:f>
        <x:v>2.616526623994123</x:v>
      </x:c>
      <x:c r="V154" s="31" t="n">
        <x:f>L154*'Controls &amp; Summary'!$B$9+O154*'Controls &amp; Summary'!$B$10+R154*'Controls &amp; Summary'!$B$11+U154*'Controls &amp; Summary'!$B$12</x:f>
        <x:v>5.016526623994123</x:v>
      </x:c>
      <x:c r="W154" s="31" t="n">
        <x:v>1.25</x:v>
      </x:c>
      <x:c r="X154" s="31" t="n">
        <x:v>4.91</x:v>
      </x:c>
      <x:c r="Y154" s="31" t="n">
        <x:f>((10-MIN(10,MAX(0,X154)))/10)*'Controls &amp; Summary'!$B$15+((10-MIN(10,MAX(0,W154)))/10)*'Controls &amp; Summary'!$B$16</x:f>
        <x:v>1.384</x:v>
      </x:c>
      <x:c r="Z154" s="31" t="n">
        <x:f>V154*Y154</x:f>
        <x:v>6.942872847607865</x:v>
      </x:c>
      <x:c r="AA154" s="30" t="str">
        <x:f>IF(Z154&lt;=I154,"Peaceful","Hostile")</x:f>
        <x:v>Hostile</x:v>
      </x:c>
      <x:c r="AB154" s="30" t="str">
        <x:f>IF(Z154&lt;='Controls &amp; Summary'!$B$6,"Eligible","Blocked")</x:f>
        <x:v>Eligible</x:v>
      </x:c>
      <x:c r="AC154" s="30" t="str">
        <x:v>2003_ETH</x:v>
      </x:c>
      <x:c r="AD154" s="30" t="str">
        <x:v>2003_SLE</x:v>
      </x:c>
      <x:c r="AE154" s="30" t="str">
        <x:v>2003_SierraLeone</x:v>
      </x:c>
      <x:c r="AF154" s="30" t="str">
        <x:v>Explicit capitalClaim</x:v>
      </x:c>
      <x:c r="AG154" s="30" t="str">
        <x:v>Claim2003_ETH2003_SierraLeone</x:v>
      </x:c>
      <x:c r="AH154" s="30" t="str">
        <x:v>Project_AfricanUnion</x:v>
      </x:c>
    </x:row>
    <x:row r="155">
      <x:c r="A155" s="30" t="str">
        <x:v>2003</x:v>
      </x:c>
      <x:c r="B155" s="30" t="str">
        <x:v>Dark Skies</x:v>
      </x:c>
      <x:c r="C155" s="30" t="str">
        <x:v>Ethiopia</x:v>
      </x:c>
      <x:c r="D155" s="30" t="str">
        <x:v>Somalia</x:v>
      </x:c>
      <x:c r="E155" s="30" t="str">
        <x:v>Project unlock</x:v>
      </x:c>
      <x:c r="F155" s="30" t="str">
        <x:v>African Union</x:v>
      </x:c>
      <x:c r="G155" s="30" t="str">
        <x:v>No</x:v>
      </x:c>
      <x:c r="H155" s="30" t="str">
        <x:v>Ordinary claim</x:v>
      </x:c>
      <x:c r="I155" s="31" t="n">
        <x:f>IF(G155="Yes",'Controls &amp; Summary'!$B$5,'Controls &amp; Summary'!$B$4)</x:f>
        <x:v>6</x:v>
      </x:c>
      <x:c r="J155" s="31" t="n">
        <x:v>4.74</x:v>
      </x:c>
      <x:c r="K155" s="31" t="n">
        <x:v>2.68</x:v>
      </x:c>
      <x:c r="L155" s="31" t="n">
        <x:f>ABS(J155-K155)</x:f>
        <x:v>2.06</x:v>
      </x:c>
      <x:c r="M155" s="31" t="n">
        <x:v>3.28</x:v>
      </x:c>
      <x:c r="N155" s="31" t="n">
        <x:v>3.56</x:v>
      </x:c>
      <x:c r="O155" s="31" t="n">
        <x:f>ABS(M155-N155)</x:f>
        <x:v>0.28000000000000025</x:v>
      </x:c>
      <x:c r="P155" s="31" t="n">
        <x:v>2.03</x:v>
      </x:c>
      <x:c r="Q155" s="31" t="n">
        <x:v>2.78</x:v>
      </x:c>
      <x:c r="R155" s="31" t="n">
        <x:f>ABS(P155-Q155)</x:f>
        <x:v>0.75</x:v>
      </x:c>
      <x:c r="S155" s="32" t="n">
        <x:v>327.76029228418867</x:v>
      </x:c>
      <x:c r="T155" s="32" t="n">
        <x:v>547.374154839128</x:v>
      </x:c>
      <x:c r="U155" s="31" t="n">
        <x:f>MAX(S155/T155,T155/S155)</x:f>
        <x:v>1.670044138124335</x:v>
      </x:c>
      <x:c r="V155" s="31" t="n">
        <x:f>L155*'Controls &amp; Summary'!$B$9+O155*'Controls &amp; Summary'!$B$10+R155*'Controls &amp; Summary'!$B$11+U155*'Controls &amp; Summary'!$B$12</x:f>
        <x:v>4.760044138124336</x:v>
      </x:c>
      <x:c r="W155" s="31" t="n">
        <x:v>1.25</x:v>
      </x:c>
      <x:c r="X155" s="31" t="n">
        <x:v>9.8</x:v>
      </x:c>
      <x:c r="Y155" s="31" t="n">
        <x:f>((10-MIN(10,MAX(0,X155)))/10)*'Controls &amp; Summary'!$B$15+((10-MIN(10,MAX(0,W155)))/10)*'Controls &amp; Summary'!$B$16</x:f>
        <x:v>0.8949999999999999</x:v>
      </x:c>
      <x:c r="Z155" s="31" t="n">
        <x:f>V155*Y155</x:f>
        <x:v>4.26023950362128</x:v>
      </x:c>
      <x:c r="AA155" s="30" t="str">
        <x:f>IF(Z155&lt;=I155,"Peaceful","Hostile")</x:f>
        <x:v>Peaceful</x:v>
      </x:c>
      <x:c r="AB155" s="30" t="str">
        <x:f>IF(Z155&lt;='Controls &amp; Summary'!$B$6,"Eligible","Blocked")</x:f>
        <x:v>Eligible</x:v>
      </x:c>
      <x:c r="AC155" s="30" t="str">
        <x:v>2003_ETH</x:v>
      </x:c>
      <x:c r="AD155" s="30" t="str">
        <x:v>2003_SOM</x:v>
      </x:c>
      <x:c r="AE155" s="30" t="str">
        <x:v>2003_Somalia</x:v>
      </x:c>
      <x:c r="AF155" s="30" t="str">
        <x:v>Explicit capitalClaim</x:v>
      </x:c>
      <x:c r="AG155" s="30" t="str">
        <x:v>Claim2003_ETH2003_Somalia</x:v>
      </x:c>
      <x:c r="AH155" s="30" t="str">
        <x:v>Project_AfricanUnion</x:v>
      </x:c>
    </x:row>
    <x:row r="156">
      <x:c r="A156" s="30" t="str">
        <x:v>2003</x:v>
      </x:c>
      <x:c r="B156" s="30" t="str">
        <x:v>Dark Skies</x:v>
      </x:c>
      <x:c r="C156" s="30" t="str">
        <x:v>Ethiopia</x:v>
      </x:c>
      <x:c r="D156" s="30" t="str">
        <x:v>South Africa</x:v>
      </x:c>
      <x:c r="E156" s="30" t="str">
        <x:v>Project unlock</x:v>
      </x:c>
      <x:c r="F156" s="30" t="str">
        <x:v>African Union</x:v>
      </x:c>
      <x:c r="G156" s="30" t="str">
        <x:v>No</x:v>
      </x:c>
      <x:c r="H156" s="30" t="str">
        <x:v>Ordinary claim</x:v>
      </x:c>
      <x:c r="I156" s="31" t="n">
        <x:f>IF(G156="Yes",'Controls &amp; Summary'!$B$5,'Controls &amp; Summary'!$B$4)</x:f>
        <x:v>6</x:v>
      </x:c>
      <x:c r="J156" s="31" t="n">
        <x:v>4.74</x:v>
      </x:c>
      <x:c r="K156" s="31" t="n">
        <x:v>7.75</x:v>
      </x:c>
      <x:c r="L156" s="31" t="n">
        <x:f>ABS(J156-K156)</x:f>
        <x:v>3.01</x:v>
      </x:c>
      <x:c r="M156" s="31" t="n">
        <x:v>3.28</x:v>
      </x:c>
      <x:c r="N156" s="31" t="n">
        <x:v>6.22</x:v>
      </x:c>
      <x:c r="O156" s="31" t="n">
        <x:f>ABS(M156-N156)</x:f>
        <x:v>2.94</x:v>
      </x:c>
      <x:c r="P156" s="31" t="n">
        <x:v>2.03</x:v>
      </x:c>
      <x:c r="Q156" s="31" t="n">
        <x:v>5.25</x:v>
      </x:c>
      <x:c r="R156" s="31" t="n">
        <x:f>ABS(P156-Q156)</x:f>
        <x:v>3.22</x:v>
      </x:c>
      <x:c r="S156" s="32" t="n">
        <x:v>327.76029228418867</x:v>
      </x:c>
      <x:c r="T156" s="32" t="n">
        <x:v>4761.990490026999</x:v>
      </x:c>
      <x:c r="U156" s="31" t="n">
        <x:f>MAX(S156/T156,T156/S156)</x:f>
        <x:v>14.528881631268671</x:v>
      </x:c>
      <x:c r="V156" s="31" t="n">
        <x:f>L156*'Controls &amp; Summary'!$B$9+O156*'Controls &amp; Summary'!$B$10+R156*'Controls &amp; Summary'!$B$11+U156*'Controls &amp; Summary'!$B$12</x:f>
        <x:v>23.69888163126867</x:v>
      </x:c>
      <x:c r="W156" s="31" t="n">
        <x:v>1.25</x:v>
      </x:c>
      <x:c r="X156" s="31" t="n">
        <x:v>3.33</x:v>
      </x:c>
      <x:c r="Y156" s="31" t="n">
        <x:f>((10-MIN(10,MAX(0,X156)))/10)*'Controls &amp; Summary'!$B$15+((10-MIN(10,MAX(0,W156)))/10)*'Controls &amp; Summary'!$B$16</x:f>
        <x:v>1.542</x:v>
      </x:c>
      <x:c r="Z156" s="31" t="n">
        <x:f>V156*Y156</x:f>
        <x:v>36.543675475416286</x:v>
      </x:c>
      <x:c r="AA156" s="30" t="str">
        <x:f>IF(Z156&lt;=I156,"Peaceful","Hostile")</x:f>
        <x:v>Hostile</x:v>
      </x:c>
      <x:c r="AB156" s="30" t="str">
        <x:f>IF(Z156&lt;='Controls &amp; Summary'!$B$6,"Eligible","Blocked")</x:f>
        <x:v>Blocked</x:v>
      </x:c>
      <x:c r="AC156" s="30" t="str">
        <x:v>2003_ETH</x:v>
      </x:c>
      <x:c r="AD156" s="30" t="str">
        <x:v>2003_ZAF</x:v>
      </x:c>
      <x:c r="AE156" s="30" t="str">
        <x:v>2003_Johannesburg</x:v>
      </x:c>
      <x:c r="AF156" s="30" t="str">
        <x:v>Explicit capitalClaim</x:v>
      </x:c>
      <x:c r="AG156" s="30" t="str">
        <x:v>Claim2003_ETH2003_Johannesburg</x:v>
      </x:c>
      <x:c r="AH156" s="30" t="str">
        <x:v>Project_AfricanUnion</x:v>
      </x:c>
    </x:row>
    <x:row r="157">
      <x:c r="A157" s="30" t="str">
        <x:v>2003</x:v>
      </x:c>
      <x:c r="B157" s="30" t="str">
        <x:v>Dark Skies</x:v>
      </x:c>
      <x:c r="C157" s="30" t="str">
        <x:v>Ethiopia</x:v>
      </x:c>
      <x:c r="D157" s="30" t="str">
        <x:v>Sudan</x:v>
      </x:c>
      <x:c r="E157" s="30" t="str">
        <x:v>Project unlock</x:v>
      </x:c>
      <x:c r="F157" s="30" t="str">
        <x:v>Great African Union</x:v>
      </x:c>
      <x:c r="G157" s="30" t="str">
        <x:v>No</x:v>
      </x:c>
      <x:c r="H157" s="30" t="str">
        <x:v>Ordinary claim</x:v>
      </x:c>
      <x:c r="I157" s="31" t="n">
        <x:f>IF(G157="Yes",'Controls &amp; Summary'!$B$5,'Controls &amp; Summary'!$B$4)</x:f>
        <x:v>6</x:v>
      </x:c>
      <x:c r="J157" s="31" t="n">
        <x:v>4.74</x:v>
      </x:c>
      <x:c r="K157" s="31" t="n">
        <x:v>2.7</x:v>
      </x:c>
      <x:c r="L157" s="31" t="n">
        <x:f>ABS(J157-K157)</x:f>
        <x:v>2.04</x:v>
      </x:c>
      <x:c r="M157" s="31" t="n">
        <x:v>3.28</x:v>
      </x:c>
      <x:c r="N157" s="31" t="n">
        <x:v>4.89</x:v>
      </x:c>
      <x:c r="O157" s="31" t="n">
        <x:f>ABS(M157-N157)</x:f>
        <x:v>1.6099999999999999</x:v>
      </x:c>
      <x:c r="P157" s="31" t="n">
        <x:v>2.03</x:v>
      </x:c>
      <x:c r="Q157" s="31" t="n">
        <x:v>3.56</x:v>
      </x:c>
      <x:c r="R157" s="31" t="n">
        <x:f>ABS(P157-Q157)</x:f>
        <x:v>1.5300000000000002</x:v>
      </x:c>
      <x:c r="S157" s="32" t="n">
        <x:v>327.76029228418867</x:v>
      </x:c>
      <x:c r="T157" s="32" t="n">
        <x:v>1825.6199503401738</x:v>
      </x:c>
      <x:c r="U157" s="31" t="n">
        <x:f>MAX(S157/T157,T157/S157)</x:f>
        <x:v>5.56998511814008</x:v>
      </x:c>
      <x:c r="V157" s="31" t="n">
        <x:f>L157*'Controls &amp; Summary'!$B$9+O157*'Controls &amp; Summary'!$B$10+R157*'Controls &amp; Summary'!$B$11+U157*'Controls &amp; Summary'!$B$12</x:f>
        <x:v>10.74998511814008</x:v>
      </x:c>
      <x:c r="W157" s="31" t="n">
        <x:v>1.25</x:v>
      </x:c>
      <x:c r="X157" s="31" t="n">
        <x:v>5.79</x:v>
      </x:c>
      <x:c r="Y157" s="31" t="n">
        <x:f>((10-MIN(10,MAX(0,X157)))/10)*'Controls &amp; Summary'!$B$15+((10-MIN(10,MAX(0,W157)))/10)*'Controls &amp; Summary'!$B$16</x:f>
        <x:v>1.296</x:v>
      </x:c>
      <x:c r="Z157" s="31" t="n">
        <x:f>V157*Y157</x:f>
        <x:v>13.931980713109544</x:v>
      </x:c>
      <x:c r="AA157" s="30" t="str">
        <x:f>IF(Z157&lt;=I157,"Peaceful","Hostile")</x:f>
        <x:v>Hostile</x:v>
      </x:c>
      <x:c r="AB157" s="30" t="str">
        <x:f>IF(Z157&lt;='Controls &amp; Summary'!$B$6,"Eligible","Blocked")</x:f>
        <x:v>Blocked</x:v>
      </x:c>
      <x:c r="AC157" s="30" t="str">
        <x:v>2003_ETH</x:v>
      </x:c>
      <x:c r="AD157" s="30" t="str">
        <x:v>2003_SDN</x:v>
      </x:c>
      <x:c r="AE157" s="30" t="str">
        <x:v>2003_Sudan</x:v>
      </x:c>
      <x:c r="AF157" s="30" t="str">
        <x:v>Explicit capitalClaim</x:v>
      </x:c>
      <x:c r="AG157" s="30" t="str">
        <x:v>Claim2003_ETH2003_Sudan</x:v>
      </x:c>
      <x:c r="AH157" s="30" t="str">
        <x:v>Project_GreatAfricanUnion</x:v>
      </x:c>
    </x:row>
    <x:row r="158">
      <x:c r="A158" s="30" t="str">
        <x:v>2003</x:v>
      </x:c>
      <x:c r="B158" s="30" t="str">
        <x:v>Dark Skies</x:v>
      </x:c>
      <x:c r="C158" s="30" t="str">
        <x:v>Ethiopia</x:v>
      </x:c>
      <x:c r="D158" s="30" t="str">
        <x:v>Tanzania</x:v>
      </x:c>
      <x:c r="E158" s="30" t="str">
        <x:v>Project unlock</x:v>
      </x:c>
      <x:c r="F158" s="30" t="str">
        <x:v>African Union</x:v>
      </x:c>
      <x:c r="G158" s="30" t="str">
        <x:v>No</x:v>
      </x:c>
      <x:c r="H158" s="30" t="str">
        <x:v>Ordinary claim</x:v>
      </x:c>
      <x:c r="I158" s="31" t="n">
        <x:f>IF(G158="Yes",'Controls &amp; Summary'!$B$5,'Controls &amp; Summary'!$B$4)</x:f>
        <x:v>6</x:v>
      </x:c>
      <x:c r="J158" s="31" t="n">
        <x:v>4.74</x:v>
      </x:c>
      <x:c r="K158" s="31" t="n">
        <x:v>5.04</x:v>
      </x:c>
      <x:c r="L158" s="31" t="n">
        <x:f>ABS(J158-K158)</x:f>
        <x:v>0.2999999999999998</x:v>
      </x:c>
      <x:c r="M158" s="31" t="n">
        <x:v>3.28</x:v>
      </x:c>
      <x:c r="N158" s="31" t="n">
        <x:v>4.41</x:v>
      </x:c>
      <x:c r="O158" s="31" t="n">
        <x:f>ABS(M158-N158)</x:f>
        <x:v>1.1300000000000003</x:v>
      </x:c>
      <x:c r="P158" s="31" t="n">
        <x:v>2.03</x:v>
      </x:c>
      <x:c r="Q158" s="31" t="n">
        <x:v>3.43</x:v>
      </x:c>
      <x:c r="R158" s="31" t="n">
        <x:f>ABS(P158-Q158)</x:f>
        <x:v>1.4000000000000004</x:v>
      </x:c>
      <x:c r="S158" s="32" t="n">
        <x:v>327.76029228418867</x:v>
      </x:c>
      <x:c r="T158" s="32" t="n">
        <x:v>674.8168041110225</x:v>
      </x:c>
      <x:c r="U158" s="31" t="n">
        <x:f>MAX(S158/T158,T158/S158)</x:f>
        <x:v>2.0588729629454754</x:v>
      </x:c>
      <x:c r="V158" s="31" t="n">
        <x:f>L158*'Controls &amp; Summary'!$B$9+O158*'Controls &amp; Summary'!$B$10+R158*'Controls &amp; Summary'!$B$11+U158*'Controls &amp; Summary'!$B$12</x:f>
        <x:v>4.8888729629454755</x:v>
      </x:c>
      <x:c r="W158" s="31" t="n">
        <x:v>1.25</x:v>
      </x:c>
      <x:c r="X158" s="31" t="n">
        <x:v>1.17</x:v>
      </x:c>
      <x:c r="Y158" s="31" t="n">
        <x:f>((10-MIN(10,MAX(0,X158)))/10)*'Controls &amp; Summary'!$B$15+((10-MIN(10,MAX(0,W158)))/10)*'Controls &amp; Summary'!$B$16</x:f>
        <x:v>1.758</x:v>
      </x:c>
      <x:c r="Z158" s="31" t="n">
        <x:f>V158*Y158</x:f>
        <x:v>8.594638668858146</x:v>
      </x:c>
      <x:c r="AA158" s="30" t="str">
        <x:f>IF(Z158&lt;=I158,"Peaceful","Hostile")</x:f>
        <x:v>Hostile</x:v>
      </x:c>
      <x:c r="AB158" s="30" t="str">
        <x:f>IF(Z158&lt;='Controls &amp; Summary'!$B$6,"Eligible","Blocked")</x:f>
        <x:v>Eligible</x:v>
      </x:c>
      <x:c r="AC158" s="30" t="str">
        <x:v>2003_ETH</x:v>
      </x:c>
      <x:c r="AD158" s="30" t="str">
        <x:v>2003_TZA</x:v>
      </x:c>
      <x:c r="AE158" s="30" t="str">
        <x:v>2003_WestTanzania</x:v>
      </x:c>
      <x:c r="AF158" s="30" t="str">
        <x:v>Explicit capitalClaim</x:v>
      </x:c>
      <x:c r="AG158" s="30" t="str">
        <x:v>Claim2003_ETH2003_WestTanzania</x:v>
      </x:c>
      <x:c r="AH158" s="30" t="str">
        <x:v>Project_AfricanUnion</x:v>
      </x:c>
    </x:row>
    <x:row r="159">
      <x:c r="A159" s="30" t="str">
        <x:v>2003</x:v>
      </x:c>
      <x:c r="B159" s="30" t="str">
        <x:v>Dark Skies</x:v>
      </x:c>
      <x:c r="C159" s="30" t="str">
        <x:v>Ethiopia</x:v>
      </x:c>
      <x:c r="D159" s="30" t="str">
        <x:v>Togo</x:v>
      </x:c>
      <x:c r="E159" s="30" t="str">
        <x:v>Project unlock</x:v>
      </x:c>
      <x:c r="F159" s="30" t="str">
        <x:v>African Union</x:v>
      </x:c>
      <x:c r="G159" s="30" t="str">
        <x:v>No</x:v>
      </x:c>
      <x:c r="H159" s="30" t="str">
        <x:v>Ordinary claim</x:v>
      </x:c>
      <x:c r="I159" s="31" t="n">
        <x:f>IF(G159="Yes",'Controls &amp; Summary'!$B$5,'Controls &amp; Summary'!$B$4)</x:f>
        <x:v>6</x:v>
      </x:c>
      <x:c r="J159" s="31" t="n">
        <x:v>4.74</x:v>
      </x:c>
      <x:c r="K159" s="31" t="n">
        <x:v>1.69</x:v>
      </x:c>
      <x:c r="L159" s="31" t="n">
        <x:f>ABS(J159-K159)</x:f>
        <x:v>3.0500000000000003</x:v>
      </x:c>
      <x:c r="M159" s="31" t="n">
        <x:v>3.28</x:v>
      </x:c>
      <x:c r="N159" s="31" t="n">
        <x:v>4.23</x:v>
      </x:c>
      <x:c r="O159" s="31" t="n">
        <x:f>ABS(M159-N159)</x:f>
        <x:v>0.9500000000000006</x:v>
      </x:c>
      <x:c r="P159" s="31" t="n">
        <x:v>2.03</x:v>
      </x:c>
      <x:c r="Q159" s="31" t="n">
        <x:v>3.6</x:v>
      </x:c>
      <x:c r="R159" s="31" t="n">
        <x:f>ABS(P159-Q159)</x:f>
        <x:v>1.5700000000000003</x:v>
      </x:c>
      <x:c r="S159" s="32" t="n">
        <x:v>327.76029228418867</x:v>
      </x:c>
      <x:c r="T159" s="32" t="n">
        <x:v>780.7920257081604</x:v>
      </x:c>
      <x:c r="U159" s="31" t="n">
        <x:f>MAX(S159/T159,T159/S159)</x:f>
        <x:v>2.382204446630054</x:v>
      </x:c>
      <x:c r="V159" s="31" t="n">
        <x:f>L159*'Controls &amp; Summary'!$B$9+O159*'Controls &amp; Summary'!$B$10+R159*'Controls &amp; Summary'!$B$11+U159*'Controls &amp; Summary'!$B$12</x:f>
        <x:v>7.952204446630056</x:v>
      </x:c>
      <x:c r="W159" s="31" t="n">
        <x:v>1.25</x:v>
      </x:c>
      <x:c r="X159" s="31" t="n">
        <x:v>6.94</x:v>
      </x:c>
      <x:c r="Y159" s="31" t="n">
        <x:f>((10-MIN(10,MAX(0,X159)))/10)*'Controls &amp; Summary'!$B$15+((10-MIN(10,MAX(0,W159)))/10)*'Controls &amp; Summary'!$B$16</x:f>
        <x:v>1.181</x:v>
      </x:c>
      <x:c r="Z159" s="31" t="n">
        <x:f>V159*Y159</x:f>
        <x:v>9.391553451470097</x:v>
      </x:c>
      <x:c r="AA159" s="30" t="str">
        <x:f>IF(Z159&lt;=I159,"Peaceful","Hostile")</x:f>
        <x:v>Hostile</x:v>
      </x:c>
      <x:c r="AB159" s="30" t="str">
        <x:f>IF(Z159&lt;='Controls &amp; Summary'!$B$6,"Eligible","Blocked")</x:f>
        <x:v>Eligible</x:v>
      </x:c>
      <x:c r="AC159" s="30" t="str">
        <x:v>2003_ETH</x:v>
      </x:c>
      <x:c r="AD159" s="30" t="str">
        <x:v>2003_TGO</x:v>
      </x:c>
      <x:c r="AE159" s="30" t="str">
        <x:v>2003_Togo</x:v>
      </x:c>
      <x:c r="AF159" s="30" t="str">
        <x:v>Explicit capitalClaim</x:v>
      </x:c>
      <x:c r="AG159" s="30" t="str">
        <x:v>Claim2003_ETH2003_Togo</x:v>
      </x:c>
      <x:c r="AH159" s="30" t="str">
        <x:v>Project_AfricanUnion</x:v>
      </x:c>
    </x:row>
    <x:row r="160">
      <x:c r="A160" s="30" t="str">
        <x:v>2003</x:v>
      </x:c>
      <x:c r="B160" s="30" t="str">
        <x:v>Dark Skies</x:v>
      </x:c>
      <x:c r="C160" s="30" t="str">
        <x:v>Ethiopia</x:v>
      </x:c>
      <x:c r="D160" s="30" t="str">
        <x:v>Tunisia</x:v>
      </x:c>
      <x:c r="E160" s="30" t="str">
        <x:v>Project unlock</x:v>
      </x:c>
      <x:c r="F160" s="30" t="str">
        <x:v>Great African Union</x:v>
      </x:c>
      <x:c r="G160" s="30" t="str">
        <x:v>No</x:v>
      </x:c>
      <x:c r="H160" s="30" t="str">
        <x:v>Ordinary claim</x:v>
      </x:c>
      <x:c r="I160" s="31" t="n">
        <x:f>IF(G160="Yes",'Controls &amp; Summary'!$B$5,'Controls &amp; Summary'!$B$4)</x:f>
        <x:v>6</x:v>
      </x:c>
      <x:c r="J160" s="31" t="n">
        <x:v>4.74</x:v>
      </x:c>
      <x:c r="K160" s="31" t="n">
        <x:v>3.05</x:v>
      </x:c>
      <x:c r="L160" s="31" t="n">
        <x:f>ABS(J160-K160)</x:f>
        <x:v>1.6900000000000004</x:v>
      </x:c>
      <x:c r="M160" s="31" t="n">
        <x:v>3.28</x:v>
      </x:c>
      <x:c r="N160" s="31" t="n">
        <x:v>4.04</x:v>
      </x:c>
      <x:c r="O160" s="31" t="n">
        <x:f>ABS(M160-N160)</x:f>
        <x:v>0.7600000000000002</x:v>
      </x:c>
      <x:c r="P160" s="31" t="n">
        <x:v>2.03</x:v>
      </x:c>
      <x:c r="Q160" s="31" t="n">
        <x:v>5.95</x:v>
      </x:c>
      <x:c r="R160" s="31" t="n">
        <x:f>ABS(P160-Q160)</x:f>
        <x:v>3.9200000000000004</x:v>
      </x:c>
      <x:c r="S160" s="32" t="n">
        <x:v>327.76029228418867</x:v>
      </x:c>
      <x:c r="T160" s="32" t="n">
        <x:v>3806.7083946276034</x:v>
      </x:c>
      <x:c r="U160" s="31" t="n">
        <x:f>MAX(S160/T160,T160/S160)</x:f>
        <x:v>11.614306199504329</x:v>
      </x:c>
      <x:c r="V160" s="31" t="n">
        <x:f>L160*'Controls &amp; Summary'!$B$9+O160*'Controls &amp; Summary'!$B$10+R160*'Controls &amp; Summary'!$B$11+U160*'Controls &amp; Summary'!$B$12</x:f>
        <x:v>17.98430619950433</x:v>
      </x:c>
      <x:c r="W160" s="31" t="n">
        <x:v>1.25</x:v>
      </x:c>
      <x:c r="X160" s="31" t="n">
        <x:v>3.11</x:v>
      </x:c>
      <x:c r="Y160" s="31" t="n">
        <x:f>((10-MIN(10,MAX(0,X160)))/10)*'Controls &amp; Summary'!$B$15+((10-MIN(10,MAX(0,W160)))/10)*'Controls &amp; Summary'!$B$16</x:f>
        <x:v>1.564</x:v>
      </x:c>
      <x:c r="Z160" s="31" t="n">
        <x:f>V160*Y160</x:f>
        <x:v>28.127454896024776</x:v>
      </x:c>
      <x:c r="AA160" s="30" t="str">
        <x:f>IF(Z160&lt;=I160,"Peaceful","Hostile")</x:f>
        <x:v>Hostile</x:v>
      </x:c>
      <x:c r="AB160" s="30" t="str">
        <x:f>IF(Z160&lt;='Controls &amp; Summary'!$B$6,"Eligible","Blocked")</x:f>
        <x:v>Blocked</x:v>
      </x:c>
      <x:c r="AC160" s="30" t="str">
        <x:v>2003_ETH</x:v>
      </x:c>
      <x:c r="AD160" s="30" t="str">
        <x:v>2003_TUN</x:v>
      </x:c>
      <x:c r="AE160" s="30" t="str">
        <x:v>2003_Tunisia</x:v>
      </x:c>
      <x:c r="AF160" s="30" t="str">
        <x:v>Explicit capitalClaim</x:v>
      </x:c>
      <x:c r="AG160" s="30" t="str">
        <x:v>Claim2003_ETH2003_Tunisia</x:v>
      </x:c>
      <x:c r="AH160" s="30" t="str">
        <x:v>Project_GreatAfricanUnion</x:v>
      </x:c>
    </x:row>
    <x:row r="161">
      <x:c r="A161" s="30" t="str">
        <x:v>2003</x:v>
      </x:c>
      <x:c r="B161" s="30" t="str">
        <x:v>Dark Skies</x:v>
      </x:c>
      <x:c r="C161" s="30" t="str">
        <x:v>Ethiopia</x:v>
      </x:c>
      <x:c r="D161" s="30" t="str">
        <x:v>Uganda</x:v>
      </x:c>
      <x:c r="E161" s="30" t="str">
        <x:v>Project unlock</x:v>
      </x:c>
      <x:c r="F161" s="30" t="str">
        <x:v>African Union</x:v>
      </x:c>
      <x:c r="G161" s="30" t="str">
        <x:v>No</x:v>
      </x:c>
      <x:c r="H161" s="30" t="str">
        <x:v>Ordinary claim</x:v>
      </x:c>
      <x:c r="I161" s="31" t="n">
        <x:f>IF(G161="Yes",'Controls &amp; Summary'!$B$5,'Controls &amp; Summary'!$B$4)</x:f>
        <x:v>6</x:v>
      </x:c>
      <x:c r="J161" s="31" t="n">
        <x:v>4.74</x:v>
      </x:c>
      <x:c r="K161" s="31" t="n">
        <x:v>4.86</x:v>
      </x:c>
      <x:c r="L161" s="31" t="n">
        <x:f>ABS(J161-K161)</x:f>
        <x:v>0.1200000000000001</x:v>
      </x:c>
      <x:c r="M161" s="31" t="n">
        <x:v>3.28</x:v>
      </x:c>
      <x:c r="N161" s="31" t="n">
        <x:v>4.42</x:v>
      </x:c>
      <x:c r="O161" s="31" t="n">
        <x:f>ABS(M161-N161)</x:f>
        <x:v>1.1400000000000001</x:v>
      </x:c>
      <x:c r="P161" s="31" t="n">
        <x:v>2.03</x:v>
      </x:c>
      <x:c r="Q161" s="31" t="n">
        <x:v>3.45</x:v>
      </x:c>
      <x:c r="R161" s="31" t="n">
        <x:f>ABS(P161-Q161)</x:f>
        <x:v>1.4200000000000004</x:v>
      </x:c>
      <x:c r="S161" s="32" t="n">
        <x:v>327.76029228418867</x:v>
      </x:c>
      <x:c r="T161" s="32" t="n">
        <x:v>644.51011713515</x:v>
      </x:c>
      <x:c r="U161" s="31" t="n">
        <x:f>MAX(S161/T161,T161/S161)</x:f>
        <x:v>1.9664069513836029</x:v>
      </x:c>
      <x:c r="V161" s="31" t="n">
        <x:f>L161*'Controls &amp; Summary'!$B$9+O161*'Controls &amp; Summary'!$B$10+R161*'Controls &amp; Summary'!$B$11+U161*'Controls &amp; Summary'!$B$12</x:f>
        <x:v>4.646406951383604</x:v>
      </x:c>
      <x:c r="W161" s="31" t="n">
        <x:v>1.25</x:v>
      </x:c>
      <x:c r="X161" s="31" t="n">
        <x:v>4.57</x:v>
      </x:c>
      <x:c r="Y161" s="31" t="n">
        <x:f>((10-MIN(10,MAX(0,X161)))/10)*'Controls &amp; Summary'!$B$15+((10-MIN(10,MAX(0,W161)))/10)*'Controls &amp; Summary'!$B$16</x:f>
        <x:v>1.418</x:v>
      </x:c>
      <x:c r="Z161" s="31" t="n">
        <x:f>V161*Y161</x:f>
        <x:v>6.58860505706195</x:v>
      </x:c>
      <x:c r="AA161" s="30" t="str">
        <x:f>IF(Z161&lt;=I161,"Peaceful","Hostile")</x:f>
        <x:v>Hostile</x:v>
      </x:c>
      <x:c r="AB161" s="30" t="str">
        <x:f>IF(Z161&lt;='Controls &amp; Summary'!$B$6,"Eligible","Blocked")</x:f>
        <x:v>Eligible</x:v>
      </x:c>
      <x:c r="AC161" s="30" t="str">
        <x:v>2003_ETH</x:v>
      </x:c>
      <x:c r="AD161" s="30" t="str">
        <x:v>2003_UGA</x:v>
      </x:c>
      <x:c r="AE161" s="30" t="str">
        <x:v>2003_Uganda</x:v>
      </x:c>
      <x:c r="AF161" s="30" t="str">
        <x:v>Explicit capitalClaim</x:v>
      </x:c>
      <x:c r="AG161" s="30" t="str">
        <x:v>Claim2003_ETH2003_Uganda</x:v>
      </x:c>
      <x:c r="AH161" s="30" t="str">
        <x:v>Project_AfricanUnion</x:v>
      </x:c>
    </x:row>
    <x:row r="162">
      <x:c r="A162" s="30" t="str">
        <x:v>2003</x:v>
      </x:c>
      <x:c r="B162" s="30" t="str">
        <x:v>Dark Skies</x:v>
      </x:c>
      <x:c r="C162" s="30" t="str">
        <x:v>Ethiopia</x:v>
      </x:c>
      <x:c r="D162" s="30" t="str">
        <x:v>Zambia</x:v>
      </x:c>
      <x:c r="E162" s="30" t="str">
        <x:v>Project unlock</x:v>
      </x:c>
      <x:c r="F162" s="30" t="str">
        <x:v>African Union</x:v>
      </x:c>
      <x:c r="G162" s="30" t="str">
        <x:v>No</x:v>
      </x:c>
      <x:c r="H162" s="30" t="str">
        <x:v>Ordinary claim</x:v>
      </x:c>
      <x:c r="I162" s="31" t="n">
        <x:f>IF(G162="Yes",'Controls &amp; Summary'!$B$5,'Controls &amp; Summary'!$B$4)</x:f>
        <x:v>6</x:v>
      </x:c>
      <x:c r="J162" s="31" t="n">
        <x:v>4.74</x:v>
      </x:c>
      <x:c r="K162" s="31" t="n">
        <x:v>5.12</x:v>
      </x:c>
      <x:c r="L162" s="31" t="n">
        <x:f>ABS(J162-K162)</x:f>
        <x:v>0.3799999999999999</x:v>
      </x:c>
      <x:c r="M162" s="31" t="n">
        <x:v>3.28</x:v>
      </x:c>
      <x:c r="N162" s="31" t="n">
        <x:v>5.39</x:v>
      </x:c>
      <x:c r="O162" s="31" t="n">
        <x:f>ABS(M162-N162)</x:f>
        <x:v>2.11</x:v>
      </x:c>
      <x:c r="P162" s="31" t="n">
        <x:v>2.03</x:v>
      </x:c>
      <x:c r="Q162" s="31" t="n">
        <x:v>3.58</x:v>
      </x:c>
      <x:c r="R162" s="31" t="n">
        <x:f>ABS(P162-Q162)</x:f>
        <x:v>1.5500000000000003</x:v>
      </x:c>
      <x:c r="S162" s="32" t="n">
        <x:v>327.76029228418867</x:v>
      </x:c>
      <x:c r="T162" s="32" t="n">
        <x:v>1007.8827049795627</x:v>
      </x:c>
      <x:c r="U162" s="31" t="n">
        <x:f>MAX(S162/T162,T162/S162)</x:f>
        <x:v>3.0750604289358683</x:v>
      </x:c>
      <x:c r="V162" s="31" t="n">
        <x:f>L162*'Controls &amp; Summary'!$B$9+O162*'Controls &amp; Summary'!$B$10+R162*'Controls &amp; Summary'!$B$11+U162*'Controls &amp; Summary'!$B$12</x:f>
        <x:v>7.115060428935868</x:v>
      </x:c>
      <x:c r="W162" s="31" t="n">
        <x:v>1.25</x:v>
      </x:c>
      <x:c r="X162" s="31" t="n">
        <x:v>4.32</x:v>
      </x:c>
      <x:c r="Y162" s="31" t="n">
        <x:f>((10-MIN(10,MAX(0,X162)))/10)*'Controls &amp; Summary'!$B$15+((10-MIN(10,MAX(0,W162)))/10)*'Controls &amp; Summary'!$B$16</x:f>
        <x:v>1.443</x:v>
      </x:c>
      <x:c r="Z162" s="31" t="n">
        <x:f>V162*Y162</x:f>
        <x:v>10.267032198954459</x:v>
      </x:c>
      <x:c r="AA162" s="30" t="str">
        <x:f>IF(Z162&lt;=I162,"Peaceful","Hostile")</x:f>
        <x:v>Hostile</x:v>
      </x:c>
      <x:c r="AB162" s="30" t="str">
        <x:f>IF(Z162&lt;='Controls &amp; Summary'!$B$6,"Eligible","Blocked")</x:f>
        <x:v>Eligible</x:v>
      </x:c>
      <x:c r="AC162" s="30" t="str">
        <x:v>2003_ETH</x:v>
      </x:c>
      <x:c r="AD162" s="30" t="str">
        <x:v>2003_ZMB</x:v>
      </x:c>
      <x:c r="AE162" s="30" t="str">
        <x:v>2003_Zambia</x:v>
      </x:c>
      <x:c r="AF162" s="30" t="str">
        <x:v>Explicit capitalClaim</x:v>
      </x:c>
      <x:c r="AG162" s="30" t="str">
        <x:v>Claim2003_ETH2003_Zambia</x:v>
      </x:c>
      <x:c r="AH162" s="30" t="str">
        <x:v>Project_AfricanUnion</x:v>
      </x:c>
    </x:row>
    <x:row r="163">
      <x:c r="A163" s="30" t="str">
        <x:v>2003</x:v>
      </x:c>
      <x:c r="B163" s="30" t="str">
        <x:v>Dark Skies</x:v>
      </x:c>
      <x:c r="C163" s="30" t="str">
        <x:v>Ethiopia</x:v>
      </x:c>
      <x:c r="D163" s="30" t="str">
        <x:v>Zimbabwe</x:v>
      </x:c>
      <x:c r="E163" s="30" t="str">
        <x:v>Project unlock</x:v>
      </x:c>
      <x:c r="F163" s="30" t="str">
        <x:v>African Union</x:v>
      </x:c>
      <x:c r="G163" s="30" t="str">
        <x:v>No</x:v>
      </x:c>
      <x:c r="H163" s="30" t="str">
        <x:v>Ordinary claim</x:v>
      </x:c>
      <x:c r="I163" s="31" t="n">
        <x:f>IF(G163="Yes",'Controls &amp; Summary'!$B$5,'Controls &amp; Summary'!$B$4)</x:f>
        <x:v>6</x:v>
      </x:c>
      <x:c r="J163" s="31" t="n">
        <x:v>4.74</x:v>
      </x:c>
      <x:c r="K163" s="31" t="n">
        <x:v>2.67</x:v>
      </x:c>
      <x:c r="L163" s="31" t="n">
        <x:f>ABS(J163-K163)</x:f>
        <x:v>2.0700000000000003</x:v>
      </x:c>
      <x:c r="M163" s="31" t="n">
        <x:v>3.28</x:v>
      </x:c>
      <x:c r="N163" s="31" t="n">
        <x:v>4.79</x:v>
      </x:c>
      <x:c r="O163" s="31" t="n">
        <x:f>ABS(M163-N163)</x:f>
        <x:v>1.5100000000000002</x:v>
      </x:c>
      <x:c r="P163" s="31" t="n">
        <x:v>2.03</x:v>
      </x:c>
      <x:c r="Q163" s="31" t="n">
        <x:v>3.49</x:v>
      </x:c>
      <x:c r="R163" s="31" t="n">
        <x:f>ABS(P163-Q163)</x:f>
        <x:v>1.4600000000000004</x:v>
      </x:c>
      <x:c r="S163" s="32" t="n">
        <x:v>327.76029228418867</x:v>
      </x:c>
      <x:c r="T163" s="32" t="n">
        <x:v>1265.6047874144592</x:v>
      </x:c>
      <x:c r="U163" s="31" t="n">
        <x:f>MAX(S163/T163,T163/S163)</x:f>
        <x:v>3.8613731352091323</x:v>
      </x:c>
      <x:c r="V163" s="31" t="n">
        <x:f>L163*'Controls &amp; Summary'!$B$9+O163*'Controls &amp; Summary'!$B$10+R163*'Controls &amp; Summary'!$B$11+U163*'Controls &amp; Summary'!$B$12</x:f>
        <x:v>8.901373135209134</x:v>
      </x:c>
      <x:c r="W163" s="31" t="n">
        <x:v>1.25</x:v>
      </x:c>
      <x:c r="X163" s="31" t="n">
        <x:v>5.87</x:v>
      </x:c>
      <x:c r="Y163" s="31" t="n">
        <x:f>((10-MIN(10,MAX(0,X163)))/10)*'Controls &amp; Summary'!$B$15+((10-MIN(10,MAX(0,W163)))/10)*'Controls &amp; Summary'!$B$16</x:f>
        <x:v>1.288</x:v>
      </x:c>
      <x:c r="Z163" s="31" t="n">
        <x:f>V163*Y163</x:f>
        <x:v>11.464968598149365</x:v>
      </x:c>
      <x:c r="AA163" s="30" t="str">
        <x:f>IF(Z163&lt;=I163,"Peaceful","Hostile")</x:f>
        <x:v>Hostile</x:v>
      </x:c>
      <x:c r="AB163" s="30" t="str">
        <x:f>IF(Z163&lt;='Controls &amp; Summary'!$B$6,"Eligible","Blocked")</x:f>
        <x:v>Eligible</x:v>
      </x:c>
      <x:c r="AC163" s="30" t="str">
        <x:v>2003_ETH</x:v>
      </x:c>
      <x:c r="AD163" s="30" t="str">
        <x:v>2003_ZWE</x:v>
      </x:c>
      <x:c r="AE163" s="30" t="str">
        <x:v>2003_Zimbabwe</x:v>
      </x:c>
      <x:c r="AF163" s="30" t="str">
        <x:v>Explicit capitalClaim</x:v>
      </x:c>
      <x:c r="AG163" s="30" t="str">
        <x:v>Claim2003_ETH2003_Zimbabwe</x:v>
      </x:c>
      <x:c r="AH163" s="30" t="str">
        <x:v>Project_AfricanUnion</x:v>
      </x:c>
    </x:row>
    <x:row r="164">
      <x:c r="A164" s="30" t="str">
        <x:v>2003</x:v>
      </x:c>
      <x:c r="B164" s="30" t="str">
        <x:v>Dark Skies</x:v>
      </x:c>
      <x:c r="C164" s="30" t="str">
        <x:v>France</x:v>
      </x:c>
      <x:c r="D164" s="30" t="str">
        <x:v>Albania</x:v>
      </x:c>
      <x:c r="E164" s="30" t="str">
        <x:v>Starting claim</x:v>
      </x:c>
      <x:c r="F164" s="30" t="str"/>
      <x:c r="G164" s="30" t="str">
        <x:v>No</x:v>
      </x:c>
      <x:c r="H164" s="30" t="str">
        <x:v>Ordinary claim</x:v>
      </x:c>
      <x:c r="I164" s="31" t="n">
        <x:f>IF(G164="Yes",'Controls &amp; Summary'!$B$5,'Controls &amp; Summary'!$B$4)</x:f>
        <x:v>6</x:v>
      </x:c>
      <x:c r="J164" s="31" t="n">
        <x:v>8.07</x:v>
      </x:c>
      <x:c r="K164" s="31" t="n">
        <x:v>5.53</x:v>
      </x:c>
      <x:c r="L164" s="31" t="n">
        <x:f>ABS(J164-K164)</x:f>
        <x:v>2.54</x:v>
      </x:c>
      <x:c r="M164" s="31" t="n">
        <x:v>2.88</x:v>
      </x:c>
      <x:c r="N164" s="31" t="n">
        <x:v>3.67</x:v>
      </x:c>
      <x:c r="O164" s="31" t="n">
        <x:f>ABS(M164-N164)</x:f>
        <x:v>0.79</x:v>
      </x:c>
      <x:c r="P164" s="31" t="n">
        <x:v>8.03</x:v>
      </x:c>
      <x:c r="Q164" s="31" t="n">
        <x:v>6.3</x:v>
      </x:c>
      <x:c r="R164" s="31" t="n">
        <x:f>ABS(P164-Q164)</x:f>
        <x:v>1.7299999999999995</x:v>
      </x:c>
      <x:c r="S164" s="32" t="n">
        <x:v>29306.518540870566</x:v>
      </x:c>
      <x:c r="T164" s="32" t="n">
        <x:v>3140.5135650437064</x:v>
      </x:c>
      <x:c r="U164" s="31" t="n">
        <x:f>MAX(S164/T164,T164/S164)</x:f>
        <x:v>9.33175989655778</x:v>
      </x:c>
      <x:c r="V164" s="31" t="n">
        <x:f>L164*'Controls &amp; Summary'!$B$9+O164*'Controls &amp; Summary'!$B$10+R164*'Controls &amp; Summary'!$B$11+U164*'Controls &amp; Summary'!$B$12</x:f>
        <x:v>14.39175989655778</x:v>
      </x:c>
      <x:c r="W164" s="31" t="n">
        <x:v>4.21</x:v>
      </x:c>
      <x:c r="X164" s="31" t="n">
        <x:v>2.85</x:v>
      </x:c>
      <x:c r="Y164" s="31" t="n">
        <x:f>((10-MIN(10,MAX(0,X164)))/10)*'Controls &amp; Summary'!$B$15+((10-MIN(10,MAX(0,W164)))/10)*'Controls &amp; Summary'!$B$16</x:f>
        <x:v>1.294</x:v>
      </x:c>
      <x:c r="Z164" s="31" t="n">
        <x:f>V164*Y164</x:f>
        <x:v>18.62293730614577</x:v>
      </x:c>
      <x:c r="AA164" s="30" t="str">
        <x:f>IF(Z164&lt;=I164,"Peaceful","Hostile")</x:f>
        <x:v>Hostile</x:v>
      </x:c>
      <x:c r="AB164" s="30" t="str">
        <x:f>IF(Z164&lt;='Controls &amp; Summary'!$B$6,"Eligible","Blocked")</x:f>
        <x:v>Blocked</x:v>
      </x:c>
      <x:c r="AC164" s="30" t="str">
        <x:v>2003_EUA</x:v>
      </x:c>
      <x:c r="AD164" s="30" t="str">
        <x:v>2003_SBK</x:v>
      </x:c>
      <x:c r="AE164" s="30" t="str">
        <x:v>2003_Tirana</x:v>
      </x:c>
      <x:c r="AF164" s="30" t="str">
        <x:v>Explicit capitalClaim</x:v>
      </x:c>
      <x:c r="AG164" s="30" t="str">
        <x:v>Claim2003_EUA2003_Tirana</x:v>
      </x:c>
      <x:c r="AH164" s="30" t="str"/>
    </x:row>
    <x:row r="165">
      <x:c r="A165" s="30" t="str">
        <x:v>2003</x:v>
      </x:c>
      <x:c r="B165" s="30" t="str">
        <x:v>Dark Skies</x:v>
      </x:c>
      <x:c r="C165" s="30" t="str">
        <x:v>France</x:v>
      </x:c>
      <x:c r="D165" s="30" t="str">
        <x:v>Armenia</x:v>
      </x:c>
      <x:c r="E165" s="30" t="str">
        <x:v>Project unlock</x:v>
      </x:c>
      <x:c r="F165" s="30" t="str">
        <x:v>Europe Ascendant</x:v>
      </x:c>
      <x:c r="G165" s="30" t="str">
        <x:v>No</x:v>
      </x:c>
      <x:c r="H165" s="30" t="str">
        <x:v>Ordinary claim</x:v>
      </x:c>
      <x:c r="I165" s="31" t="n">
        <x:f>IF(G165="Yes",'Controls &amp; Summary'!$B$5,'Controls &amp; Summary'!$B$4)</x:f>
        <x:v>6</x:v>
      </x:c>
      <x:c r="J165" s="31" t="n">
        <x:v>8.07</x:v>
      </x:c>
      <x:c r="K165" s="31" t="n">
        <x:v>4.16</x:v>
      </x:c>
      <x:c r="L165" s="31" t="n">
        <x:f>ABS(J165-K165)</x:f>
        <x:v>3.91</x:v>
      </x:c>
      <x:c r="M165" s="31" t="n">
        <x:v>2.88</x:v>
      </x:c>
      <x:c r="N165" s="31" t="n">
        <x:v>3.86</x:v>
      </x:c>
      <x:c r="O165" s="31" t="n">
        <x:f>ABS(M165-N165)</x:f>
        <x:v>0.98</x:v>
      </x:c>
      <x:c r="P165" s="31" t="n">
        <x:v>8.03</x:v>
      </x:c>
      <x:c r="Q165" s="31" t="n">
        <x:v>6.16</x:v>
      </x:c>
      <x:c r="R165" s="31" t="n">
        <x:f>ABS(P165-Q165)</x:f>
        <x:v>1.8699999999999992</x:v>
      </x:c>
      <x:c r="S165" s="32" t="n">
        <x:v>29306.518540870566</x:v>
      </x:c>
      <x:c r="T165" s="32" t="n">
        <x:v>2616.3082970929604</x:v>
      </x:c>
      <x:c r="U165" s="31" t="n">
        <x:f>MAX(S165/T165,T165/S165)</x:f>
        <x:v>11.20147750684952</x:v>
      </x:c>
      <x:c r="V165" s="31" t="n">
        <x:f>L165*'Controls &amp; Summary'!$B$9+O165*'Controls &amp; Summary'!$B$10+R165*'Controls &amp; Summary'!$B$11+U165*'Controls &amp; Summary'!$B$12</x:f>
        <x:v>17.96147750684952</x:v>
      </x:c>
      <x:c r="W165" s="31" t="n">
        <x:v>4.21</x:v>
      </x:c>
      <x:c r="X165" s="31" t="n">
        <x:v>2.61</x:v>
      </x:c>
      <x:c r="Y165" s="31" t="n">
        <x:f>((10-MIN(10,MAX(0,X165)))/10)*'Controls &amp; Summary'!$B$15+((10-MIN(10,MAX(0,W165)))/10)*'Controls &amp; Summary'!$B$16</x:f>
        <x:v>1.318</x:v>
      </x:c>
      <x:c r="Z165" s="31" t="n">
        <x:f>V165*Y165</x:f>
        <x:v>23.673227354027667</x:v>
      </x:c>
      <x:c r="AA165" s="30" t="str">
        <x:f>IF(Z165&lt;=I165,"Peaceful","Hostile")</x:f>
        <x:v>Hostile</x:v>
      </x:c>
      <x:c r="AB165" s="30" t="str">
        <x:f>IF(Z165&lt;='Controls &amp; Summary'!$B$6,"Eligible","Blocked")</x:f>
        <x:v>Blocked</x:v>
      </x:c>
      <x:c r="AC165" s="30" t="str">
        <x:v>2003_EUA</x:v>
      </x:c>
      <x:c r="AD165" s="30" t="str">
        <x:v>2003_ARM</x:v>
      </x:c>
      <x:c r="AE165" s="30" t="str">
        <x:v>2003_Armenia</x:v>
      </x:c>
      <x:c r="AF165" s="30" t="str">
        <x:v>Explicit capitalClaim</x:v>
      </x:c>
      <x:c r="AG165" s="30" t="str">
        <x:v>Claim2003_EUA2003_Armenia</x:v>
      </x:c>
      <x:c r="AH165" s="30" t="str">
        <x:v>Project_EuropeAscendant</x:v>
      </x:c>
    </x:row>
    <x:row r="166">
      <x:c r="A166" s="30" t="str">
        <x:v>2003</x:v>
      </x:c>
      <x:c r="B166" s="30" t="str">
        <x:v>Dark Skies</x:v>
      </x:c>
      <x:c r="C166" s="30" t="str">
        <x:v>France</x:v>
      </x:c>
      <x:c r="D166" s="30" t="str">
        <x:v>Austria</x:v>
      </x:c>
      <x:c r="E166" s="30" t="str">
        <x:v>Starting claim</x:v>
      </x:c>
      <x:c r="F166" s="30" t="str"/>
      <x:c r="G166" s="30" t="str">
        <x:v>No</x:v>
      </x:c>
      <x:c r="H166" s="30" t="str">
        <x:v>Ordinary claim</x:v>
      </x:c>
      <x:c r="I166" s="31" t="n">
        <x:f>IF(G166="Yes",'Controls &amp; Summary'!$B$5,'Controls &amp; Summary'!$B$4)</x:f>
        <x:v>6</x:v>
      </x:c>
      <x:c r="J166" s="31" t="n">
        <x:v>8.07</x:v>
      </x:c>
      <x:c r="K166" s="31" t="n">
        <x:v>8.68</x:v>
      </x:c>
      <x:c r="L166" s="31" t="n">
        <x:f>ABS(J166-K166)</x:f>
        <x:v>0.6099999999999994</x:v>
      </x:c>
      <x:c r="M166" s="31" t="n">
        <x:v>2.88</x:v>
      </x:c>
      <x:c r="N166" s="31" t="n">
        <x:v>2.65</x:v>
      </x:c>
      <x:c r="O166" s="31" t="n">
        <x:f>ABS(M166-N166)</x:f>
        <x:v>0.22999999999999998</x:v>
      </x:c>
      <x:c r="P166" s="31" t="n">
        <x:v>8.03</x:v>
      </x:c>
      <x:c r="Q166" s="31" t="n">
        <x:v>8.32</x:v>
      </x:c>
      <x:c r="R166" s="31" t="n">
        <x:f>ABS(P166-Q166)</x:f>
        <x:v>0.2900000000000009</x:v>
      </x:c>
      <x:c r="S166" s="32" t="n">
        <x:v>29306.518540870566</x:v>
      </x:c>
      <x:c r="T166" s="32" t="n">
        <x:v>32372.22800209203</x:v>
      </x:c>
      <x:c r="U166" s="31" t="n">
        <x:f>MAX(S166/T166,T166/S166)</x:f>
        <x:v>1.1046084493777744</x:v>
      </x:c>
      <x:c r="V166" s="31" t="n">
        <x:f>L166*'Controls &amp; Summary'!$B$9+O166*'Controls &amp; Summary'!$B$10+R166*'Controls &amp; Summary'!$B$11+U166*'Controls &amp; Summary'!$B$12</x:f>
        <x:v>2.2346084493777747</x:v>
      </x:c>
      <x:c r="W166" s="31" t="n">
        <x:v>4.21</x:v>
      </x:c>
      <x:c r="X166" s="31" t="n">
        <x:v>0.67</x:v>
      </x:c>
      <x:c r="Y166" s="31" t="n">
        <x:f>((10-MIN(10,MAX(0,X166)))/10)*'Controls &amp; Summary'!$B$15+((10-MIN(10,MAX(0,W166)))/10)*'Controls &amp; Summary'!$B$16</x:f>
        <x:v>1.512</x:v>
      </x:c>
      <x:c r="Z166" s="31" t="n">
        <x:f>V166*Y166</x:f>
        <x:v>3.3787279754591952</x:v>
      </x:c>
      <x:c r="AA166" s="30" t="str">
        <x:f>IF(Z166&lt;=I166,"Peaceful","Hostile")</x:f>
        <x:v>Peaceful</x:v>
      </x:c>
      <x:c r="AB166" s="30" t="str">
        <x:f>IF(Z166&lt;='Controls &amp; Summary'!$B$6,"Eligible","Blocked")</x:f>
        <x:v>Eligible</x:v>
      </x:c>
      <x:c r="AC166" s="30" t="str">
        <x:v>2003_EUA</x:v>
      </x:c>
      <x:c r="AD166" s="30" t="str">
        <x:v>2003_ALP</x:v>
      </x:c>
      <x:c r="AE166" s="30" t="str">
        <x:v>2003_Vienna</x:v>
      </x:c>
      <x:c r="AF166" s="30" t="str">
        <x:v>Explicit capitalClaim</x:v>
      </x:c>
      <x:c r="AG166" s="30" t="str">
        <x:v>Claim2003_EUA2003_Vienna</x:v>
      </x:c>
      <x:c r="AH166" s="30" t="str"/>
    </x:row>
    <x:row r="167">
      <x:c r="A167" s="30" t="str">
        <x:v>2003</x:v>
      </x:c>
      <x:c r="B167" s="30" t="str">
        <x:v>Dark Skies</x:v>
      </x:c>
      <x:c r="C167" s="30" t="str">
        <x:v>France</x:v>
      </x:c>
      <x:c r="D167" s="30" t="str">
        <x:v>Azerbaijan</x:v>
      </x:c>
      <x:c r="E167" s="30" t="str">
        <x:v>Project unlock</x:v>
      </x:c>
      <x:c r="F167" s="30" t="str">
        <x:v>Great Europa</x:v>
      </x:c>
      <x:c r="G167" s="30" t="str">
        <x:v>No</x:v>
      </x:c>
      <x:c r="H167" s="30" t="str">
        <x:v>Ordinary claim</x:v>
      </x:c>
      <x:c r="I167" s="31" t="n">
        <x:f>IF(G167="Yes",'Controls &amp; Summary'!$B$5,'Controls &amp; Summary'!$B$4)</x:f>
        <x:v>6</x:v>
      </x:c>
      <x:c r="J167" s="31" t="n">
        <x:v>8.07</x:v>
      </x:c>
      <x:c r="K167" s="31" t="n">
        <x:v>3.34</x:v>
      </x:c>
      <x:c r="L167" s="31" t="n">
        <x:f>ABS(J167-K167)</x:f>
        <x:v>4.73</x:v>
      </x:c>
      <x:c r="M167" s="31" t="n">
        <x:v>2.88</x:v>
      </x:c>
      <x:c r="N167" s="31" t="n">
        <x:v>2.89</x:v>
      </x:c>
      <x:c r="O167" s="31" t="n">
        <x:f>ABS(M167-N167)</x:f>
        <x:v>0.010000000000000231</x:v>
      </x:c>
      <x:c r="P167" s="31" t="n">
        <x:v>8.03</x:v>
      </x:c>
      <x:c r="Q167" s="31" t="n">
        <x:v>5.98</x:v>
      </x:c>
      <x:c r="R167" s="31" t="n">
        <x:f>ABS(P167-Q167)</x:f>
        <x:v>2.049999999999999</x:v>
      </x:c>
      <x:c r="S167" s="32" t="n">
        <x:v>29306.518540870566</x:v>
      </x:c>
      <x:c r="T167" s="32" t="n">
        <x:v>2347.665852868807</x:v>
      </x:c>
      <x:c r="U167" s="31" t="n">
        <x:f>MAX(S167/T167,T167/S167)</x:f>
        <x:v>12.483258000732304</x:v>
      </x:c>
      <x:c r="V167" s="31" t="n">
        <x:f>L167*'Controls &amp; Summary'!$B$9+O167*'Controls &amp; Summary'!$B$10+R167*'Controls &amp; Summary'!$B$11+U167*'Controls &amp; Summary'!$B$12</x:f>
        <x:v>19.273258000732305</x:v>
      </x:c>
      <x:c r="W167" s="31" t="n">
        <x:v>4.21</x:v>
      </x:c>
      <x:c r="X167" s="31" t="n">
        <x:v>2.02</x:v>
      </x:c>
      <x:c r="Y167" s="31" t="n">
        <x:f>((10-MIN(10,MAX(0,X167)))/10)*'Controls &amp; Summary'!$B$15+((10-MIN(10,MAX(0,W167)))/10)*'Controls &amp; Summary'!$B$16</x:f>
        <x:v>1.377</x:v>
      </x:c>
      <x:c r="Z167" s="31" t="n">
        <x:f>V167*Y167</x:f>
        <x:v>26.539276267008383</x:v>
      </x:c>
      <x:c r="AA167" s="30" t="str">
        <x:f>IF(Z167&lt;=I167,"Peaceful","Hostile")</x:f>
        <x:v>Hostile</x:v>
      </x:c>
      <x:c r="AB167" s="30" t="str">
        <x:f>IF(Z167&lt;='Controls &amp; Summary'!$B$6,"Eligible","Blocked")</x:f>
        <x:v>Blocked</x:v>
      </x:c>
      <x:c r="AC167" s="30" t="str">
        <x:v>2003_EUA</x:v>
      </x:c>
      <x:c r="AD167" s="30" t="str">
        <x:v>2003_AZE</x:v>
      </x:c>
      <x:c r="AE167" s="30" t="str">
        <x:v>2003_Azerbaijan</x:v>
      </x:c>
      <x:c r="AF167" s="30" t="str">
        <x:v>Explicit capitalClaim</x:v>
      </x:c>
      <x:c r="AG167" s="30" t="str">
        <x:v>Claim2003_EUA2003_Azerbaijan</x:v>
      </x:c>
      <x:c r="AH167" s="30" t="str">
        <x:v>Project_GreatEuropa</x:v>
      </x:c>
    </x:row>
    <x:row r="168">
      <x:c r="A168" s="30" t="str">
        <x:v>2003</x:v>
      </x:c>
      <x:c r="B168" s="30" t="str">
        <x:v>Dark Skies</x:v>
      </x:c>
      <x:c r="C168" s="30" t="str">
        <x:v>France</x:v>
      </x:c>
      <x:c r="D168" s="30" t="str">
        <x:v>Belarus</x:v>
      </x:c>
      <x:c r="E168" s="30" t="str">
        <x:v>Project unlock</x:v>
      </x:c>
      <x:c r="F168" s="30" t="str">
        <x:v>Europe Ascendant</x:v>
      </x:c>
      <x:c r="G168" s="30" t="str">
        <x:v>No</x:v>
      </x:c>
      <x:c r="H168" s="30" t="str">
        <x:v>Ordinary claim</x:v>
      </x:c>
      <x:c r="I168" s="31" t="n">
        <x:f>IF(G168="Yes",'Controls &amp; Summary'!$B$5,'Controls &amp; Summary'!$B$4)</x:f>
        <x:v>6</x:v>
      </x:c>
      <x:c r="J168" s="31" t="n">
        <x:v>8.07</x:v>
      </x:c>
      <x:c r="K168" s="31" t="n">
        <x:v>3.36</x:v>
      </x:c>
      <x:c r="L168" s="31" t="n">
        <x:f>ABS(J168-K168)</x:f>
        <x:v>4.710000000000001</x:v>
      </x:c>
      <x:c r="M168" s="31" t="n">
        <x:v>2.88</x:v>
      </x:c>
      <x:c r="N168" s="31" t="n">
        <x:v>2.48</x:v>
      </x:c>
      <x:c r="O168" s="31" t="n">
        <x:f>ABS(M168-N168)</x:f>
        <x:v>0.3999999999999999</x:v>
      </x:c>
      <x:c r="P168" s="31" t="n">
        <x:v>8.03</x:v>
      </x:c>
      <x:c r="Q168" s="31" t="n">
        <x:v>6.76</x:v>
      </x:c>
      <x:c r="R168" s="31" t="n">
        <x:f>ABS(P168-Q168)</x:f>
        <x:v>1.2699999999999996</x:v>
      </x:c>
      <x:c r="S168" s="32" t="n">
        <x:v>29306.518540870566</x:v>
      </x:c>
      <x:c r="T168" s="32" t="n">
        <x:v>4367.423361877824</x:v>
      </x:c>
      <x:c r="U168" s="31" t="n">
        <x:f>MAX(S168/T168,T168/S168)</x:f>
        <x:v>6.710253646733686</x:v>
      </x:c>
      <x:c r="V168" s="31" t="n">
        <x:f>L168*'Controls &amp; Summary'!$B$9+O168*'Controls &amp; Summary'!$B$10+R168*'Controls &amp; Summary'!$B$11+U168*'Controls &amp; Summary'!$B$12</x:f>
        <x:v>13.090253646733686</x:v>
      </x:c>
      <x:c r="W168" s="31" t="n">
        <x:v>4.21</x:v>
      </x:c>
      <x:c r="X168" s="31" t="n">
        <x:v>0.6</x:v>
      </x:c>
      <x:c r="Y168" s="31" t="n">
        <x:f>((10-MIN(10,MAX(0,X168)))/10)*'Controls &amp; Summary'!$B$15+((10-MIN(10,MAX(0,W168)))/10)*'Controls &amp; Summary'!$B$16</x:f>
        <x:v>1.5190000000000001</x:v>
      </x:c>
      <x:c r="Z168" s="31" t="n">
        <x:f>V168*Y168</x:f>
        <x:v>19.88409528938847</x:v>
      </x:c>
      <x:c r="AA168" s="30" t="str">
        <x:f>IF(Z168&lt;=I168,"Peaceful","Hostile")</x:f>
        <x:v>Hostile</x:v>
      </x:c>
      <x:c r="AB168" s="30" t="str">
        <x:f>IF(Z168&lt;='Controls &amp; Summary'!$B$6,"Eligible","Blocked")</x:f>
        <x:v>Blocked</x:v>
      </x:c>
      <x:c r="AC168" s="30" t="str">
        <x:v>2003_EUA</x:v>
      </x:c>
      <x:c r="AD168" s="30" t="str">
        <x:v>2003_BLR</x:v>
      </x:c>
      <x:c r="AE168" s="30" t="str">
        <x:v>2003_Belarus</x:v>
      </x:c>
      <x:c r="AF168" s="30" t="str">
        <x:v>Explicit capitalClaim</x:v>
      </x:c>
      <x:c r="AG168" s="30" t="str">
        <x:v>Claim2003_EUA2003_Belarus</x:v>
      </x:c>
      <x:c r="AH168" s="30" t="str">
        <x:v>Project_EuropeAscendant</x:v>
      </x:c>
    </x:row>
    <x:row r="169">
      <x:c r="A169" s="30" t="str">
        <x:v>2003</x:v>
      </x:c>
      <x:c r="B169" s="30" t="str">
        <x:v>Dark Skies</x:v>
      </x:c>
      <x:c r="C169" s="30" t="str">
        <x:v>France</x:v>
      </x:c>
      <x:c r="D169" s="30" t="str">
        <x:v>Belgium</x:v>
      </x:c>
      <x:c r="E169" s="30" t="str">
        <x:v>Starting claim</x:v>
      </x:c>
      <x:c r="F169" s="30" t="str"/>
      <x:c r="G169" s="30" t="str">
        <x:v>No</x:v>
      </x:c>
      <x:c r="H169" s="30" t="str">
        <x:v>Ordinary claim</x:v>
      </x:c>
      <x:c r="I169" s="31" t="n">
        <x:f>IF(G169="Yes",'Controls &amp; Summary'!$B$5,'Controls &amp; Summary'!$B$4)</x:f>
        <x:v>6</x:v>
      </x:c>
      <x:c r="J169" s="31" t="n">
        <x:v>8.07</x:v>
      </x:c>
      <x:c r="K169" s="31" t="n">
        <x:v>8.15</x:v>
      </x:c>
      <x:c r="L169" s="31" t="n">
        <x:f>ABS(J169-K169)</x:f>
        <x:v>0.08000000000000007</x:v>
      </x:c>
      <x:c r="M169" s="31" t="n">
        <x:v>2.88</x:v>
      </x:c>
      <x:c r="N169" s="31" t="n">
        <x:v>2.63</x:v>
      </x:c>
      <x:c r="O169" s="31" t="n">
        <x:f>ABS(M169-N169)</x:f>
        <x:v>0.25</x:v>
      </x:c>
      <x:c r="P169" s="31" t="n">
        <x:v>8.03</x:v>
      </x:c>
      <x:c r="Q169" s="31" t="n">
        <x:v>8.48</x:v>
      </x:c>
      <x:c r="R169" s="31" t="n">
        <x:f>ABS(P169-Q169)</x:f>
        <x:v>0.45000000000000107</x:v>
      </x:c>
      <x:c r="S169" s="32" t="n">
        <x:v>29306.518540870566</x:v>
      </x:c>
      <x:c r="T169" s="32" t="n">
        <x:v>32107.544741467984</x:v>
      </x:c>
      <x:c r="U169" s="31" t="n">
        <x:f>MAX(S169/T169,T169/S169)</x:f>
        <x:v>1.095576900295787</x:v>
      </x:c>
      <x:c r="V169" s="31" t="n">
        <x:f>L169*'Controls &amp; Summary'!$B$9+O169*'Controls &amp; Summary'!$B$10+R169*'Controls &amp; Summary'!$B$11+U169*'Controls &amp; Summary'!$B$12</x:f>
        <x:v>1.875576900295788</x:v>
      </x:c>
      <x:c r="W169" s="31" t="n">
        <x:v>4.21</x:v>
      </x:c>
      <x:c r="X169" s="31" t="n">
        <x:v>1.71</x:v>
      </x:c>
      <x:c r="Y169" s="31" t="n">
        <x:f>((10-MIN(10,MAX(0,X169)))/10)*'Controls &amp; Summary'!$B$15+((10-MIN(10,MAX(0,W169)))/10)*'Controls &amp; Summary'!$B$16</x:f>
        <x:v>1.408</x:v>
      </x:c>
      <x:c r="Z169" s="31" t="n">
        <x:f>V169*Y169</x:f>
        <x:v>2.6408122756164696</x:v>
      </x:c>
      <x:c r="AA169" s="30" t="str">
        <x:f>IF(Z169&lt;=I169,"Peaceful","Hostile")</x:f>
        <x:v>Peaceful</x:v>
      </x:c>
      <x:c r="AB169" s="30" t="str">
        <x:f>IF(Z169&lt;='Controls &amp; Summary'!$B$6,"Eligible","Blocked")</x:f>
        <x:v>Eligible</x:v>
      </x:c>
      <x:c r="AC169" s="30" t="str">
        <x:v>2003_EUA</x:v>
      </x:c>
      <x:c r="AD169" s="30" t="str">
        <x:v>2003_BGM</x:v>
      </x:c>
      <x:c r="AE169" s="30" t="str">
        <x:v>2003_Belgium</x:v>
      </x:c>
      <x:c r="AF169" s="30" t="str">
        <x:v>Explicit capitalClaim</x:v>
      </x:c>
      <x:c r="AG169" s="30" t="str">
        <x:v>Claim2003_EUA2003_Belgium</x:v>
      </x:c>
      <x:c r="AH169" s="30" t="str"/>
    </x:row>
    <x:row r="170">
      <x:c r="A170" s="30" t="str">
        <x:v>2003</x:v>
      </x:c>
      <x:c r="B170" s="30" t="str">
        <x:v>Dark Skies</x:v>
      </x:c>
      <x:c r="C170" s="30" t="str">
        <x:v>France</x:v>
      </x:c>
      <x:c r="D170" s="30" t="str">
        <x:v>Bosnia and Herzegovina</x:v>
      </x:c>
      <x:c r="E170" s="30" t="str">
        <x:v>Starting claim</x:v>
      </x:c>
      <x:c r="F170" s="30" t="str"/>
      <x:c r="G170" s="30" t="str">
        <x:v>No</x:v>
      </x:c>
      <x:c r="H170" s="30" t="str">
        <x:v>Ordinary claim</x:v>
      </x:c>
      <x:c r="I170" s="31" t="n">
        <x:f>IF(G170="Yes",'Controls &amp; Summary'!$B$5,'Controls &amp; Summary'!$B$4)</x:f>
        <x:v>6</x:v>
      </x:c>
      <x:c r="J170" s="31" t="n">
        <x:v>8.07</x:v>
      </x:c>
      <x:c r="K170" s="31" t="n">
        <x:v>5.96</x:v>
      </x:c>
      <x:c r="L170" s="31" t="n">
        <x:f>ABS(J170-K170)</x:f>
        <x:v>2.1100000000000003</x:v>
      </x:c>
      <x:c r="M170" s="31" t="n">
        <x:v>2.88</x:v>
      </x:c>
      <x:c r="N170" s="31" t="n">
        <x:v>3.83</x:v>
      </x:c>
      <x:c r="O170" s="31" t="n">
        <x:f>ABS(M170-N170)</x:f>
        <x:v>0.9500000000000002</x:v>
      </x:c>
      <x:c r="P170" s="31" t="n">
        <x:v>8.03</x:v>
      </x:c>
      <x:c r="Q170" s="31" t="n">
        <x:v>6.12</x:v>
      </x:c>
      <x:c r="R170" s="31" t="n">
        <x:f>ABS(P170-Q170)</x:f>
        <x:v>1.9099999999999993</x:v>
      </x:c>
      <x:c r="S170" s="32" t="n">
        <x:v>29306.518540870566</x:v>
      </x:c>
      <x:c r="T170" s="32" t="n">
        <x:v>3334.651533328882</x:v>
      </x:c>
      <x:c r="U170" s="31" t="n">
        <x:f>MAX(S170/T170,T170/S170)</x:f>
        <x:v>8.788480069944445</x:v>
      </x:c>
      <x:c r="V170" s="31" t="n">
        <x:f>L170*'Controls &amp; Summary'!$B$9+O170*'Controls &amp; Summary'!$B$10+R170*'Controls &amp; Summary'!$B$11+U170*'Controls &amp; Summary'!$B$12</x:f>
        <x:v>13.758480069944444</x:v>
      </x:c>
      <x:c r="W170" s="31" t="n">
        <x:v>4.21</x:v>
      </x:c>
      <x:c r="X170" s="31" t="n">
        <x:v>3.25</x:v>
      </x:c>
      <x:c r="Y170" s="31" t="n">
        <x:f>((10-MIN(10,MAX(0,X170)))/10)*'Controls &amp; Summary'!$B$15+((10-MIN(10,MAX(0,W170)))/10)*'Controls &amp; Summary'!$B$16</x:f>
        <x:v>1.254</x:v>
      </x:c>
      <x:c r="Z170" s="31" t="n">
        <x:f>V170*Y170</x:f>
        <x:v>17.253134007710333</x:v>
      </x:c>
      <x:c r="AA170" s="30" t="str">
        <x:f>IF(Z170&lt;=I170,"Peaceful","Hostile")</x:f>
        <x:v>Hostile</x:v>
      </x:c>
      <x:c r="AB170" s="30" t="str">
        <x:f>IF(Z170&lt;='Controls &amp; Summary'!$B$6,"Eligible","Blocked")</x:f>
        <x:v>Blocked</x:v>
      </x:c>
      <x:c r="AC170" s="30" t="str">
        <x:v>2003_EUA</x:v>
      </x:c>
      <x:c r="AD170" s="30" t="str">
        <x:v>2003_BSM</x:v>
      </x:c>
      <x:c r="AE170" s="30" t="str">
        <x:v>2003_Sarajevo</x:v>
      </x:c>
      <x:c r="AF170" s="30" t="str">
        <x:v>Explicit capitalClaim</x:v>
      </x:c>
      <x:c r="AG170" s="30" t="str">
        <x:v>Claim2003_EUA2003_Sarajevo</x:v>
      </x:c>
      <x:c r="AH170" s="30" t="str"/>
    </x:row>
    <x:row r="171">
      <x:c r="A171" s="30" t="str">
        <x:v>2003</x:v>
      </x:c>
      <x:c r="B171" s="30" t="str">
        <x:v>Dark Skies</x:v>
      </x:c>
      <x:c r="C171" s="30" t="str">
        <x:v>France</x:v>
      </x:c>
      <x:c r="D171" s="30" t="str">
        <x:v>Bulgaria</x:v>
      </x:c>
      <x:c r="E171" s="30" t="str">
        <x:v>Starting claim</x:v>
      </x:c>
      <x:c r="F171" s="30" t="str"/>
      <x:c r="G171" s="30" t="str">
        <x:v>No</x:v>
      </x:c>
      <x:c r="H171" s="30" t="str">
        <x:v>Ordinary claim</x:v>
      </x:c>
      <x:c r="I171" s="31" t="n">
        <x:f>IF(G171="Yes",'Controls &amp; Summary'!$B$5,'Controls &amp; Summary'!$B$4)</x:f>
        <x:v>6</x:v>
      </x:c>
      <x:c r="J171" s="31" t="n">
        <x:v>8.07</x:v>
      </x:c>
      <x:c r="K171" s="31" t="n">
        <x:v>7.12</x:v>
      </x:c>
      <x:c r="L171" s="31" t="n">
        <x:f>ABS(J171-K171)</x:f>
        <x:v>0.9500000000000002</x:v>
      </x:c>
      <x:c r="M171" s="31" t="n">
        <x:v>2.88</x:v>
      </x:c>
      <x:c r="N171" s="31" t="n">
        <x:v>3.28</x:v>
      </x:c>
      <x:c r="O171" s="31" t="n">
        <x:f>ABS(M171-N171)</x:f>
        <x:v>0.3999999999999999</x:v>
      </x:c>
      <x:c r="P171" s="31" t="n">
        <x:v>8.03</x:v>
      </x:c>
      <x:c r="Q171" s="31" t="n">
        <x:v>6.93</x:v>
      </x:c>
      <x:c r="R171" s="31" t="n">
        <x:f>ABS(P171-Q171)</x:f>
        <x:v>1.0999999999999996</x:v>
      </x:c>
      <x:c r="S171" s="32" t="n">
        <x:v>29306.518540870566</x:v>
      </x:c>
      <x:c r="T171" s="32" t="n">
        <x:v>5728.655677835439</x:v>
      </x:c>
      <x:c r="U171" s="31" t="n">
        <x:f>MAX(S171/T171,T171/S171)</x:f>
        <x:v>5.115775879890895</x:v>
      </x:c>
      <x:c r="V171" s="31" t="n">
        <x:f>L171*'Controls &amp; Summary'!$B$9+O171*'Controls &amp; Summary'!$B$10+R171*'Controls &amp; Summary'!$B$11+U171*'Controls &amp; Summary'!$B$12</x:f>
        <x:v>7.565775879890895</x:v>
      </x:c>
      <x:c r="W171" s="31" t="n">
        <x:v>4.21</x:v>
      </x:c>
      <x:c r="X171" s="31" t="n">
        <x:v>0.84</x:v>
      </x:c>
      <x:c r="Y171" s="31" t="n">
        <x:f>((10-MIN(10,MAX(0,X171)))/10)*'Controls &amp; Summary'!$B$15+((10-MIN(10,MAX(0,W171)))/10)*'Controls &amp; Summary'!$B$16</x:f>
        <x:v>1.495</x:v>
      </x:c>
      <x:c r="Z171" s="31" t="n">
        <x:f>V171*Y171</x:f>
        <x:v>11.310834940436889</x:v>
      </x:c>
      <x:c r="AA171" s="30" t="str">
        <x:f>IF(Z171&lt;=I171,"Peaceful","Hostile")</x:f>
        <x:v>Hostile</x:v>
      </x:c>
      <x:c r="AB171" s="30" t="str">
        <x:f>IF(Z171&lt;='Controls &amp; Summary'!$B$6,"Eligible","Blocked")</x:f>
        <x:v>Eligible</x:v>
      </x:c>
      <x:c r="AC171" s="30" t="str">
        <x:v>2003_EUA</x:v>
      </x:c>
      <x:c r="AD171" s="30" t="str">
        <x:v>2003_BUL</x:v>
      </x:c>
      <x:c r="AE171" s="30" t="str">
        <x:v>2003_Bulgaria</x:v>
      </x:c>
      <x:c r="AF171" s="30" t="str">
        <x:v>Explicit capitalClaim</x:v>
      </x:c>
      <x:c r="AG171" s="30" t="str">
        <x:v>Claim2003_EUA2003_Bulgaria</x:v>
      </x:c>
      <x:c r="AH171" s="30" t="str"/>
    </x:row>
    <x:row r="172">
      <x:c r="A172" s="30" t="str">
        <x:v>2003</x:v>
      </x:c>
      <x:c r="B172" s="30" t="str">
        <x:v>Dark Skies</x:v>
      </x:c>
      <x:c r="C172" s="30" t="str">
        <x:v>France</x:v>
      </x:c>
      <x:c r="D172" s="30" t="str">
        <x:v>Croatia</x:v>
      </x:c>
      <x:c r="E172" s="30" t="str">
        <x:v>Starting claim</x:v>
      </x:c>
      <x:c r="F172" s="30" t="str"/>
      <x:c r="G172" s="30" t="str">
        <x:v>No</x:v>
      </x:c>
      <x:c r="H172" s="30" t="str">
        <x:v>Ordinary claim</x:v>
      </x:c>
      <x:c r="I172" s="31" t="n">
        <x:f>IF(G172="Yes",'Controls &amp; Summary'!$B$5,'Controls &amp; Summary'!$B$4)</x:f>
        <x:v>6</x:v>
      </x:c>
      <x:c r="J172" s="31" t="n">
        <x:v>8.07</x:v>
      </x:c>
      <x:c r="K172" s="31" t="n">
        <x:v>7.03</x:v>
      </x:c>
      <x:c r="L172" s="31" t="n">
        <x:f>ABS(J172-K172)</x:f>
        <x:v>1.04</x:v>
      </x:c>
      <x:c r="M172" s="31" t="n">
        <x:v>2.88</x:v>
      </x:c>
      <x:c r="N172" s="31" t="n">
        <x:v>2.67</x:v>
      </x:c>
      <x:c r="O172" s="31" t="n">
        <x:f>ABS(M172-N172)</x:f>
        <x:v>0.20999999999999996</x:v>
      </x:c>
      <x:c r="P172" s="31" t="n">
        <x:v>8.03</x:v>
      </x:c>
      <x:c r="Q172" s="31" t="n">
        <x:v>7.32</x:v>
      </x:c>
      <x:c r="R172" s="31" t="n">
        <x:f>ABS(P172-Q172)</x:f>
        <x:v>0.7099999999999991</x:v>
      </x:c>
      <x:c r="S172" s="32" t="n">
        <x:v>29306.518540870566</x:v>
      </x:c>
      <x:c r="T172" s="32" t="n">
        <x:v>9881.140802928285</x:v>
      </x:c>
      <x:c r="U172" s="31" t="n">
        <x:f>MAX(S172/T172,T172/S172)</x:f>
        <x:v>2.965904355111057</x:v>
      </x:c>
      <x:c r="V172" s="31" t="n">
        <x:f>L172*'Controls &amp; Summary'!$B$9+O172*'Controls &amp; Summary'!$B$10+R172*'Controls &amp; Summary'!$B$11+U172*'Controls &amp; Summary'!$B$12</x:f>
        <x:v>4.925904355111056</x:v>
      </x:c>
      <x:c r="W172" s="31" t="n">
        <x:v>4.21</x:v>
      </x:c>
      <x:c r="X172" s="31" t="n">
        <x:v>1.98</x:v>
      </x:c>
      <x:c r="Y172" s="31" t="n">
        <x:f>((10-MIN(10,MAX(0,X172)))/10)*'Controls &amp; Summary'!$B$15+((10-MIN(10,MAX(0,W172)))/10)*'Controls &amp; Summary'!$B$16</x:f>
        <x:v>1.3809999999999998</x:v>
      </x:c>
      <x:c r="Z172" s="31" t="n">
        <x:f>V172*Y172</x:f>
        <x:v>6.802673914408367</x:v>
      </x:c>
      <x:c r="AA172" s="30" t="str">
        <x:f>IF(Z172&lt;=I172,"Peaceful","Hostile")</x:f>
        <x:v>Hostile</x:v>
      </x:c>
      <x:c r="AB172" s="30" t="str">
        <x:f>IF(Z172&lt;='Controls &amp; Summary'!$B$6,"Eligible","Blocked")</x:f>
        <x:v>Eligible</x:v>
      </x:c>
      <x:c r="AC172" s="30" t="str">
        <x:v>2003_EUA</x:v>
      </x:c>
      <x:c r="AD172" s="30" t="str">
        <x:v>2003_CRS</x:v>
      </x:c>
      <x:c r="AE172" s="30" t="str">
        <x:v>2003_Zagreb</x:v>
      </x:c>
      <x:c r="AF172" s="30" t="str">
        <x:v>Explicit capitalClaim</x:v>
      </x:c>
      <x:c r="AG172" s="30" t="str">
        <x:v>Claim2003_EUA2003_Zagreb</x:v>
      </x:c>
      <x:c r="AH172" s="30" t="str"/>
    </x:row>
    <x:row r="173">
      <x:c r="A173" s="30" t="str">
        <x:v>2003</x:v>
      </x:c>
      <x:c r="B173" s="30" t="str">
        <x:v>Dark Skies</x:v>
      </x:c>
      <x:c r="C173" s="30" t="str">
        <x:v>France</x:v>
      </x:c>
      <x:c r="D173" s="30" t="str">
        <x:v>Czechia</x:v>
      </x:c>
      <x:c r="E173" s="30" t="str">
        <x:v>Starting claim</x:v>
      </x:c>
      <x:c r="F173" s="30" t="str"/>
      <x:c r="G173" s="30" t="str">
        <x:v>No</x:v>
      </x:c>
      <x:c r="H173" s="30" t="str">
        <x:v>Ordinary claim</x:v>
      </x:c>
      <x:c r="I173" s="31" t="n">
        <x:f>IF(G173="Yes",'Controls &amp; Summary'!$B$5,'Controls &amp; Summary'!$B$4)</x:f>
        <x:v>6</x:v>
      </x:c>
      <x:c r="J173" s="31" t="n">
        <x:v>8.07</x:v>
      </x:c>
      <x:c r="K173" s="31" t="n">
        <x:v>8.12</x:v>
      </x:c>
      <x:c r="L173" s="31" t="n">
        <x:f>ABS(J173-K173)</x:f>
        <x:v>0.049999999999998934</x:v>
      </x:c>
      <x:c r="M173" s="31" t="n">
        <x:v>2.88</x:v>
      </x:c>
      <x:c r="N173" s="31" t="n">
        <x:v>2.56</x:v>
      </x:c>
      <x:c r="O173" s="31" t="n">
        <x:f>ABS(M173-N173)</x:f>
        <x:v>0.31999999999999984</x:v>
      </x:c>
      <x:c r="P173" s="31" t="n">
        <x:v>8.03</x:v>
      </x:c>
      <x:c r="Q173" s="31" t="n">
        <x:v>7.81</x:v>
      </x:c>
      <x:c r="R173" s="31" t="n">
        <x:f>ABS(P173-Q173)</x:f>
        <x:v>0.21999999999999975</x:v>
      </x:c>
      <x:c r="S173" s="32" t="n">
        <x:v>29306.518540870566</x:v>
      </x:c>
      <x:c r="T173" s="32" t="n">
        <x:v>12463.396827877925</x:v>
      </x:c>
      <x:c r="U173" s="31" t="n">
        <x:f>MAX(S173/T173,T173/S173)</x:f>
        <x:v>2.3514069996807145</x:v>
      </x:c>
      <x:c r="V173" s="31" t="n">
        <x:f>L173*'Controls &amp; Summary'!$B$9+O173*'Controls &amp; Summary'!$B$10+R173*'Controls &amp; Summary'!$B$11+U173*'Controls &amp; Summary'!$B$12</x:f>
        <x:v>2.941406999680713</x:v>
      </x:c>
      <x:c r="W173" s="31" t="n">
        <x:v>4.21</x:v>
      </x:c>
      <x:c r="X173" s="31" t="n">
        <x:v>0.59</x:v>
      </x:c>
      <x:c r="Y173" s="31" t="n">
        <x:f>((10-MIN(10,MAX(0,X173)))/10)*'Controls &amp; Summary'!$B$15+((10-MIN(10,MAX(0,W173)))/10)*'Controls &amp; Summary'!$B$16</x:f>
        <x:v>1.52</x:v>
      </x:c>
      <x:c r="Z173" s="31" t="n">
        <x:f>V173*Y173</x:f>
        <x:v>4.470938639514684</x:v>
      </x:c>
      <x:c r="AA173" s="30" t="str">
        <x:f>IF(Z173&lt;=I173,"Peaceful","Hostile")</x:f>
        <x:v>Peaceful</x:v>
      </x:c>
      <x:c r="AB173" s="30" t="str">
        <x:f>IF(Z173&lt;='Controls &amp; Summary'!$B$6,"Eligible","Blocked")</x:f>
        <x:v>Eligible</x:v>
      </x:c>
      <x:c r="AC173" s="30" t="str">
        <x:v>2003_EUA</x:v>
      </x:c>
      <x:c r="AD173" s="30" t="str">
        <x:v>2003_CZE</x:v>
      </x:c>
      <x:c r="AE173" s="30" t="str">
        <x:v>2003_Czechia</x:v>
      </x:c>
      <x:c r="AF173" s="30" t="str">
        <x:v>Explicit capitalClaim</x:v>
      </x:c>
      <x:c r="AG173" s="30" t="str">
        <x:v>Claim2003_EUA2003_Czechia</x:v>
      </x:c>
      <x:c r="AH173" s="30" t="str"/>
    </x:row>
    <x:row r="174">
      <x:c r="A174" s="30" t="str">
        <x:v>2003</x:v>
      </x:c>
      <x:c r="B174" s="30" t="str">
        <x:v>Dark Skies</x:v>
      </x:c>
      <x:c r="C174" s="30" t="str">
        <x:v>France</x:v>
      </x:c>
      <x:c r="D174" s="30" t="str">
        <x:v>Denmark</x:v>
      </x:c>
      <x:c r="E174" s="30" t="str">
        <x:v>Starting claim</x:v>
      </x:c>
      <x:c r="F174" s="30" t="str"/>
      <x:c r="G174" s="30" t="str">
        <x:v>No</x:v>
      </x:c>
      <x:c r="H174" s="30" t="str">
        <x:v>Ordinary claim</x:v>
      </x:c>
      <x:c r="I174" s="31" t="n">
        <x:f>IF(G174="Yes",'Controls &amp; Summary'!$B$5,'Controls &amp; Summary'!$B$4)</x:f>
        <x:v>6</x:v>
      </x:c>
      <x:c r="J174" s="31" t="n">
        <x:v>8.07</x:v>
      </x:c>
      <x:c r="K174" s="31" t="n">
        <x:v>9.41</x:v>
      </x:c>
      <x:c r="L174" s="31" t="n">
        <x:f>ABS(J174-K174)</x:f>
        <x:v>1.3399999999999999</x:v>
      </x:c>
      <x:c r="M174" s="31" t="n">
        <x:v>2.88</x:v>
      </x:c>
      <x:c r="N174" s="31" t="n">
        <x:v>2.31</x:v>
      </x:c>
      <x:c r="O174" s="31" t="n">
        <x:f>ABS(M174-N174)</x:f>
        <x:v>0.5699999999999998</x:v>
      </x:c>
      <x:c r="P174" s="31" t="n">
        <x:v>8.03</x:v>
      </x:c>
      <x:c r="Q174" s="31" t="n">
        <x:v>8.52</x:v>
      </x:c>
      <x:c r="R174" s="31" t="n">
        <x:f>ABS(P174-Q174)</x:f>
        <x:v>0.4900000000000002</x:v>
      </x:c>
      <x:c r="S174" s="32" t="n">
        <x:v>29306.518540870566</x:v>
      </x:c>
      <x:c r="T174" s="32" t="n">
        <x:v>37932.96337266989</x:v>
      </x:c>
      <x:c r="U174" s="31" t="n">
        <x:f>MAX(S174/T174,T174/S174)</x:f>
        <x:v>1.2943524260573283</x:v>
      </x:c>
      <x:c r="V174" s="31" t="n">
        <x:f>L174*'Controls &amp; Summary'!$B$9+O174*'Controls &amp; Summary'!$B$10+R174*'Controls &amp; Summary'!$B$11+U174*'Controls &amp; Summary'!$B$12</x:f>
        <x:v>3.6943524260573284</x:v>
      </x:c>
      <x:c r="W174" s="31" t="n">
        <x:v>4.21</x:v>
      </x:c>
      <x:c r="X174" s="31" t="n">
        <x:v>1.32</x:v>
      </x:c>
      <x:c r="Y174" s="31" t="n">
        <x:f>((10-MIN(10,MAX(0,X174)))/10)*'Controls &amp; Summary'!$B$15+((10-MIN(10,MAX(0,W174)))/10)*'Controls &amp; Summary'!$B$16</x:f>
        <x:v>1.447</x:v>
      </x:c>
      <x:c r="Z174" s="31" t="n">
        <x:f>V174*Y174</x:f>
        <x:v>5.345727960504955</x:v>
      </x:c>
      <x:c r="AA174" s="30" t="str">
        <x:f>IF(Z174&lt;=I174,"Peaceful","Hostile")</x:f>
        <x:v>Peaceful</x:v>
      </x:c>
      <x:c r="AB174" s="30" t="str">
        <x:f>IF(Z174&lt;='Controls &amp; Summary'!$B$6,"Eligible","Blocked")</x:f>
        <x:v>Eligible</x:v>
      </x:c>
      <x:c r="AC174" s="30" t="str">
        <x:v>2003_EUA</x:v>
      </x:c>
      <x:c r="AD174" s="30" t="str">
        <x:v>2003_DEN</x:v>
      </x:c>
      <x:c r="AE174" s="30" t="str">
        <x:v>2003_Denmark</x:v>
      </x:c>
      <x:c r="AF174" s="30" t="str">
        <x:v>Explicit capitalClaim</x:v>
      </x:c>
      <x:c r="AG174" s="30" t="str">
        <x:v>Claim2003_EUA2003_Denmark</x:v>
      </x:c>
      <x:c r="AH174" s="30" t="str"/>
    </x:row>
    <x:row r="175">
      <x:c r="A175" s="30" t="str">
        <x:v>2003</x:v>
      </x:c>
      <x:c r="B175" s="30" t="str">
        <x:v>Dark Skies</x:v>
      </x:c>
      <x:c r="C175" s="30" t="str">
        <x:v>France</x:v>
      </x:c>
      <x:c r="D175" s="30" t="str">
        <x:v>Estonia</x:v>
      </x:c>
      <x:c r="E175" s="30" t="str">
        <x:v>Starting claim</x:v>
      </x:c>
      <x:c r="F175" s="30" t="str"/>
      <x:c r="G175" s="30" t="str">
        <x:v>No</x:v>
      </x:c>
      <x:c r="H175" s="30" t="str">
        <x:v>Ordinary claim</x:v>
      </x:c>
      <x:c r="I175" s="31" t="n">
        <x:f>IF(G175="Yes",'Controls &amp; Summary'!$B$5,'Controls &amp; Summary'!$B$4)</x:f>
        <x:v>6</x:v>
      </x:c>
      <x:c r="J175" s="31" t="n">
        <x:v>8.07</x:v>
      </x:c>
      <x:c r="K175" s="31" t="n">
        <x:v>7.72</x:v>
      </x:c>
      <x:c r="L175" s="31" t="n">
        <x:f>ABS(J175-K175)</x:f>
        <x:v>0.35000000000000053</x:v>
      </x:c>
      <x:c r="M175" s="31" t="n">
        <x:v>2.88</x:v>
      </x:c>
      <x:c r="N175" s="31" t="n">
        <x:v>3.49</x:v>
      </x:c>
      <x:c r="O175" s="31" t="n">
        <x:f>ABS(M175-N175)</x:f>
        <x:v>0.6100000000000003</x:v>
      </x:c>
      <x:c r="P175" s="31" t="n">
        <x:v>8.03</x:v>
      </x:c>
      <x:c r="Q175" s="31" t="n">
        <x:v>7.61</x:v>
      </x:c>
      <x:c r="R175" s="31" t="n">
        <x:f>ABS(P175-Q175)</x:f>
        <x:v>0.41999999999999904</x:v>
      </x:c>
      <x:c r="S175" s="32" t="n">
        <x:v>29306.518540870566</x:v>
      </x:c>
      <x:c r="T175" s="32" t="n">
        <x:v>10017.262095050515</x:v>
      </x:c>
      <x:c r="U175" s="31" t="n">
        <x:f>MAX(S175/T175,T175/S175)</x:f>
        <x:v>2.9256016527061606</x:v>
      </x:c>
      <x:c r="V175" s="31" t="n">
        <x:f>L175*'Controls &amp; Summary'!$B$9+O175*'Controls &amp; Summary'!$B$10+R175*'Controls &amp; Summary'!$B$11+U175*'Controls &amp; Summary'!$B$12</x:f>
        <x:v>4.3056016527061605</x:v>
      </x:c>
      <x:c r="W175" s="31" t="n">
        <x:v>4.21</x:v>
      </x:c>
      <x:c r="X175" s="31" t="n">
        <x:v>0.54</x:v>
      </x:c>
      <x:c r="Y175" s="31" t="n">
        <x:f>((10-MIN(10,MAX(0,X175)))/10)*'Controls &amp; Summary'!$B$15+((10-MIN(10,MAX(0,W175)))/10)*'Controls &amp; Summary'!$B$16</x:f>
        <x:v>1.525</x:v>
      </x:c>
      <x:c r="Z175" s="31" t="n">
        <x:f>V175*Y175</x:f>
        <x:v>6.566042520376894</x:v>
      </x:c>
      <x:c r="AA175" s="30" t="str">
        <x:f>IF(Z175&lt;=I175,"Peaceful","Hostile")</x:f>
        <x:v>Hostile</x:v>
      </x:c>
      <x:c r="AB175" s="30" t="str">
        <x:f>IF(Z175&lt;='Controls &amp; Summary'!$B$6,"Eligible","Blocked")</x:f>
        <x:v>Eligible</x:v>
      </x:c>
      <x:c r="AC175" s="30" t="str">
        <x:v>2003_EUA</x:v>
      </x:c>
      <x:c r="AD175" s="30" t="str">
        <x:v>2003_EST</x:v>
      </x:c>
      <x:c r="AE175" s="30" t="str">
        <x:v>2003_Estonia</x:v>
      </x:c>
      <x:c r="AF175" s="30" t="str">
        <x:v>Explicit capitalClaim</x:v>
      </x:c>
      <x:c r="AG175" s="30" t="str">
        <x:v>Claim2003_EUA2003_Estonia</x:v>
      </x:c>
      <x:c r="AH175" s="30" t="str"/>
    </x:row>
    <x:row r="176">
      <x:c r="A176" s="30" t="str">
        <x:v>2003</x:v>
      </x:c>
      <x:c r="B176" s="30" t="str">
        <x:v>Dark Skies</x:v>
      </x:c>
      <x:c r="C176" s="30" t="str">
        <x:v>France</x:v>
      </x:c>
      <x:c r="D176" s="30" t="str">
        <x:v>Finland</x:v>
      </x:c>
      <x:c r="E176" s="30" t="str">
        <x:v>Starting claim</x:v>
      </x:c>
      <x:c r="F176" s="30" t="str"/>
      <x:c r="G176" s="30" t="str">
        <x:v>No</x:v>
      </x:c>
      <x:c r="H176" s="30" t="str">
        <x:v>Ordinary claim</x:v>
      </x:c>
      <x:c r="I176" s="31" t="n">
        <x:f>IF(G176="Yes",'Controls &amp; Summary'!$B$5,'Controls &amp; Summary'!$B$4)</x:f>
        <x:v>6</x:v>
      </x:c>
      <x:c r="J176" s="31" t="n">
        <x:v>8.07</x:v>
      </x:c>
      <x:c r="K176" s="31" t="n">
        <x:v>9.22</x:v>
      </x:c>
      <x:c r="L176" s="31" t="n">
        <x:f>ABS(J176-K176)</x:f>
        <x:v>1.1500000000000004</x:v>
      </x:c>
      <x:c r="M176" s="31" t="n">
        <x:v>2.88</x:v>
      </x:c>
      <x:c r="N176" s="31" t="n">
        <x:v>2.49</x:v>
      </x:c>
      <x:c r="O176" s="31" t="n">
        <x:f>ABS(M176-N176)</x:f>
        <x:v>0.3899999999999997</x:v>
      </x:c>
      <x:c r="P176" s="31" t="n">
        <x:v>8.03</x:v>
      </x:c>
      <x:c r="Q176" s="31" t="n">
        <x:v>8.61</x:v>
      </x:c>
      <x:c r="R176" s="31" t="n">
        <x:f>ABS(P176-Q176)</x:f>
        <x:v>0.5800000000000001</x:v>
      </x:c>
      <x:c r="S176" s="32" t="n">
        <x:v>29306.518540870566</x:v>
      </x:c>
      <x:c r="T176" s="32" t="n">
        <x:v>32463.99959332087</x:v>
      </x:c>
      <x:c r="U176" s="31" t="n">
        <x:f>MAX(S176/T176,T176/S176)</x:f>
        <x:v>1.107739888927677</x:v>
      </x:c>
      <x:c r="V176" s="31" t="n">
        <x:f>L176*'Controls &amp; Summary'!$B$9+O176*'Controls &amp; Summary'!$B$10+R176*'Controls &amp; Summary'!$B$11+U176*'Controls &amp; Summary'!$B$12</x:f>
        <x:v>3.227739888927677</x:v>
      </x:c>
      <x:c r="W176" s="31" t="n">
        <x:v>4.21</x:v>
      </x:c>
      <x:c r="X176" s="31" t="n">
        <x:v>1.82</x:v>
      </x:c>
      <x:c r="Y176" s="31" t="n">
        <x:f>((10-MIN(10,MAX(0,X176)))/10)*'Controls &amp; Summary'!$B$15+((10-MIN(10,MAX(0,W176)))/10)*'Controls &amp; Summary'!$B$16</x:f>
        <x:v>1.3969999999999998</x:v>
      </x:c>
      <x:c r="Z176" s="31" t="n">
        <x:f>V176*Y176</x:f>
        <x:v>4.509152624831964</x:v>
      </x:c>
      <x:c r="AA176" s="30" t="str">
        <x:f>IF(Z176&lt;=I176,"Peaceful","Hostile")</x:f>
        <x:v>Peaceful</x:v>
      </x:c>
      <x:c r="AB176" s="30" t="str">
        <x:f>IF(Z176&lt;='Controls &amp; Summary'!$B$6,"Eligible","Blocked")</x:f>
        <x:v>Eligible</x:v>
      </x:c>
      <x:c r="AC176" s="30" t="str">
        <x:v>2003_EUA</x:v>
      </x:c>
      <x:c r="AD176" s="30" t="str">
        <x:v>2003_FIN</x:v>
      </x:c>
      <x:c r="AE176" s="30" t="str">
        <x:v>2003_Finland</x:v>
      </x:c>
      <x:c r="AF176" s="30" t="str">
        <x:v>Explicit capitalClaim</x:v>
      </x:c>
      <x:c r="AG176" s="30" t="str">
        <x:v>Claim2003_EUA2003_Finland</x:v>
      </x:c>
      <x:c r="AH176" s="30" t="str"/>
    </x:row>
    <x:row r="177">
      <x:c r="A177" s="30" t="str">
        <x:v>2003</x:v>
      </x:c>
      <x:c r="B177" s="30" t="str">
        <x:v>Dark Skies</x:v>
      </x:c>
      <x:c r="C177" s="30" t="str">
        <x:v>France</x:v>
      </x:c>
      <x:c r="D177" s="30" t="str">
        <x:v>Georgia</x:v>
      </x:c>
      <x:c r="E177" s="30" t="str">
        <x:v>Starting claim</x:v>
      </x:c>
      <x:c r="F177" s="30" t="str"/>
      <x:c r="G177" s="30" t="str">
        <x:v>No</x:v>
      </x:c>
      <x:c r="H177" s="30" t="str">
        <x:v>Ordinary claim</x:v>
      </x:c>
      <x:c r="I177" s="31" t="n">
        <x:f>IF(G177="Yes",'Controls &amp; Summary'!$B$5,'Controls &amp; Summary'!$B$4)</x:f>
        <x:v>6</x:v>
      </x:c>
      <x:c r="J177" s="31" t="n">
        <x:v>8.07</x:v>
      </x:c>
      <x:c r="K177" s="31" t="n">
        <x:v>3.71</x:v>
      </x:c>
      <x:c r="L177" s="31" t="n">
        <x:f>ABS(J177-K177)</x:f>
        <x:v>4.36</x:v>
      </x:c>
      <x:c r="M177" s="31" t="n">
        <x:v>2.88</x:v>
      </x:c>
      <x:c r="N177" s="31" t="n">
        <x:v>3.95</x:v>
      </x:c>
      <x:c r="O177" s="31" t="n">
        <x:f>ABS(M177-N177)</x:f>
        <x:v>1.0700000000000003</x:v>
      </x:c>
      <x:c r="P177" s="31" t="n">
        <x:v>8.03</x:v>
      </x:c>
      <x:c r="Q177" s="31" t="n">
        <x:v>6.61</x:v>
      </x:c>
      <x:c r="R177" s="31" t="n">
        <x:f>ABS(P177-Q177)</x:f>
        <x:v>1.419999999999999</x:v>
      </x:c>
      <x:c r="S177" s="32" t="n">
        <x:v>29306.518540870566</x:v>
      </x:c>
      <x:c r="T177" s="32" t="n">
        <x:v>2642.218029545099</x:v>
      </x:c>
      <x:c r="U177" s="31" t="n">
        <x:f>MAX(S177/T177,T177/S177)</x:f>
        <x:v>11.091635214492939</x:v>
      </x:c>
      <x:c r="V177" s="31" t="n">
        <x:f>L177*'Controls &amp; Summary'!$B$9+O177*'Controls &amp; Summary'!$B$10+R177*'Controls &amp; Summary'!$B$11+U177*'Controls &amp; Summary'!$B$12</x:f>
        <x:v>17.94163521449294</x:v>
      </x:c>
      <x:c r="W177" s="31" t="n">
        <x:v>4.21</x:v>
      </x:c>
      <x:c r="X177" s="31" t="n">
        <x:v>3.29</x:v>
      </x:c>
      <x:c r="Y177" s="31" t="n">
        <x:f>((10-MIN(10,MAX(0,X177)))/10)*'Controls &amp; Summary'!$B$15+((10-MIN(10,MAX(0,W177)))/10)*'Controls &amp; Summary'!$B$16</x:f>
        <x:v>1.25</x:v>
      </x:c>
      <x:c r="Z177" s="31" t="n">
        <x:f>V177*Y177</x:f>
        <x:v>22.427044018116177</x:v>
      </x:c>
      <x:c r="AA177" s="30" t="str">
        <x:f>IF(Z177&lt;=I177,"Peaceful","Hostile")</x:f>
        <x:v>Hostile</x:v>
      </x:c>
      <x:c r="AB177" s="30" t="str">
        <x:f>IF(Z177&lt;='Controls &amp; Summary'!$B$6,"Eligible","Blocked")</x:f>
        <x:v>Blocked</x:v>
      </x:c>
      <x:c r="AC177" s="30" t="str">
        <x:v>2003_EUA</x:v>
      </x:c>
      <x:c r="AD177" s="30" t="str">
        <x:v>2003_GEO</x:v>
      </x:c>
      <x:c r="AE177" s="30" t="str">
        <x:v>2003_Georgia</x:v>
      </x:c>
      <x:c r="AF177" s="30" t="str">
        <x:v>Explicit capitalClaim</x:v>
      </x:c>
      <x:c r="AG177" s="30" t="str">
        <x:v>Claim2003_EUA2003_Georgia</x:v>
      </x:c>
      <x:c r="AH177" s="30" t="str"/>
    </x:row>
    <x:row r="178">
      <x:c r="A178" s="30" t="str">
        <x:v>2003</x:v>
      </x:c>
      <x:c r="B178" s="30" t="str">
        <x:v>Dark Skies</x:v>
      </x:c>
      <x:c r="C178" s="30" t="str">
        <x:v>France</x:v>
      </x:c>
      <x:c r="D178" s="30" t="str">
        <x:v>Germany</x:v>
      </x:c>
      <x:c r="E178" s="30" t="str">
        <x:v>Starting claim</x:v>
      </x:c>
      <x:c r="F178" s="30" t="str"/>
      <x:c r="G178" s="30" t="str">
        <x:v>No</x:v>
      </x:c>
      <x:c r="H178" s="30" t="str">
        <x:v>Ordinary claim</x:v>
      </x:c>
      <x:c r="I178" s="31" t="n">
        <x:f>IF(G178="Yes",'Controls &amp; Summary'!$B$5,'Controls &amp; Summary'!$B$4)</x:f>
        <x:v>6</x:v>
      </x:c>
      <x:c r="J178" s="31" t="n">
        <x:v>8.07</x:v>
      </x:c>
      <x:c r="K178" s="31" t="n">
        <x:v>8.73</x:v>
      </x:c>
      <x:c r="L178" s="31" t="n">
        <x:f>ABS(J178-K178)</x:f>
        <x:v>0.6600000000000001</x:v>
      </x:c>
      <x:c r="M178" s="31" t="n">
        <x:v>2.88</x:v>
      </x:c>
      <x:c r="N178" s="31" t="n">
        <x:v>2.7</x:v>
      </x:c>
      <x:c r="O178" s="31" t="n">
        <x:f>ABS(M178-N178)</x:f>
        <x:v>0.17999999999999972</x:v>
      </x:c>
      <x:c r="P178" s="31" t="n">
        <x:v>8.03</x:v>
      </x:c>
      <x:c r="Q178" s="31" t="n">
        <x:v>8.6</x:v>
      </x:c>
      <x:c r="R178" s="31" t="n">
        <x:f>ABS(P178-Q178)</x:f>
        <x:v>0.5700000000000003</x:v>
      </x:c>
      <x:c r="S178" s="32" t="n">
        <x:v>29306.518540870566</x:v>
      </x:c>
      <x:c r="T178" s="32" t="n">
        <x:v>30861.417571679718</x:v>
      </x:c>
      <x:c r="U178" s="31" t="n">
        <x:f>MAX(S178/T178,T178/S178)</x:f>
        <x:v>1.053056422537556</x:v>
      </x:c>
      <x:c r="V178" s="31" t="n">
        <x:f>L178*'Controls &amp; Summary'!$B$9+O178*'Controls &amp; Summary'!$B$10+R178*'Controls &amp; Summary'!$B$11+U178*'Controls &amp; Summary'!$B$12</x:f>
        <x:v>2.463056422537556</x:v>
      </x:c>
      <x:c r="W178" s="31" t="n">
        <x:v>4.21</x:v>
      </x:c>
      <x:c r="X178" s="31" t="n">
        <x:v>1.45</x:v>
      </x:c>
      <x:c r="Y178" s="31" t="n">
        <x:f>((10-MIN(10,MAX(0,X178)))/10)*'Controls &amp; Summary'!$B$15+((10-MIN(10,MAX(0,W178)))/10)*'Controls &amp; Summary'!$B$16</x:f>
        <x:v>1.4340000000000002</x:v>
      </x:c>
      <x:c r="Z178" s="31" t="n">
        <x:f>V178*Y178</x:f>
        <x:v>3.532022909918856</x:v>
      </x:c>
      <x:c r="AA178" s="30" t="str">
        <x:f>IF(Z178&lt;=I178,"Peaceful","Hostile")</x:f>
        <x:v>Peaceful</x:v>
      </x:c>
      <x:c r="AB178" s="30" t="str">
        <x:f>IF(Z178&lt;='Controls &amp; Summary'!$B$6,"Eligible","Blocked")</x:f>
        <x:v>Eligible</x:v>
      </x:c>
      <x:c r="AC178" s="30" t="str">
        <x:v>2003_EUA</x:v>
      </x:c>
      <x:c r="AD178" s="30" t="str">
        <x:v>2003_DEU</x:v>
      </x:c>
      <x:c r="AE178" s="30" t="str">
        <x:v>2003_EastGermany</x:v>
      </x:c>
      <x:c r="AF178" s="30" t="str">
        <x:v>Explicit capitalClaim</x:v>
      </x:c>
      <x:c r="AG178" s="30" t="str">
        <x:v>Claim2003_EUA2003_EastGermany</x:v>
      </x:c>
      <x:c r="AH178" s="30" t="str"/>
    </x:row>
    <x:row r="179">
      <x:c r="A179" s="30" t="str">
        <x:v>2003</x:v>
      </x:c>
      <x:c r="B179" s="30" t="str">
        <x:v>Dark Skies</x:v>
      </x:c>
      <x:c r="C179" s="30" t="str">
        <x:v>France</x:v>
      </x:c>
      <x:c r="D179" s="30" t="str">
        <x:v>Greece</x:v>
      </x:c>
      <x:c r="E179" s="30" t="str">
        <x:v>Starting claim</x:v>
      </x:c>
      <x:c r="F179" s="30" t="str"/>
      <x:c r="G179" s="30" t="str">
        <x:v>No</x:v>
      </x:c>
      <x:c r="H179" s="30" t="str">
        <x:v>Ordinary claim</x:v>
      </x:c>
      <x:c r="I179" s="31" t="n">
        <x:f>IF(G179="Yes",'Controls &amp; Summary'!$B$5,'Controls &amp; Summary'!$B$4)</x:f>
        <x:v>6</x:v>
      </x:c>
      <x:c r="J179" s="31" t="n">
        <x:v>8.07</x:v>
      </x:c>
      <x:c r="K179" s="31" t="n">
        <x:v>8.15</x:v>
      </x:c>
      <x:c r="L179" s="31" t="n">
        <x:f>ABS(J179-K179)</x:f>
        <x:v>0.08000000000000007</x:v>
      </x:c>
      <x:c r="M179" s="31" t="n">
        <x:v>2.88</x:v>
      </x:c>
      <x:c r="N179" s="31" t="n">
        <x:v>3.3</x:v>
      </x:c>
      <x:c r="O179" s="31" t="n">
        <x:f>ABS(M179-N179)</x:f>
        <x:v>0.41999999999999993</x:v>
      </x:c>
      <x:c r="P179" s="31" t="n">
        <x:v>8.03</x:v>
      </x:c>
      <x:c r="Q179" s="31" t="n">
        <x:v>7.81</x:v>
      </x:c>
      <x:c r="R179" s="31" t="n">
        <x:f>ABS(P179-Q179)</x:f>
        <x:v>0.21999999999999975</x:v>
      </x:c>
      <x:c r="S179" s="32" t="n">
        <x:v>29306.518540870566</x:v>
      </x:c>
      <x:c r="T179" s="32" t="n">
        <x:v>17740.59270211824</x:v>
      </x:c>
      <x:c r="U179" s="31" t="n">
        <x:f>MAX(S179/T179,T179/S179)</x:f>
        <x:v>1.6519469801801687</x:v>
      </x:c>
      <x:c r="V179" s="31" t="n">
        <x:f>L179*'Controls &amp; Summary'!$B$9+O179*'Controls &amp; Summary'!$B$10+R179*'Controls &amp; Summary'!$B$11+U179*'Controls &amp; Summary'!$B$12</x:f>
        <x:v>2.3719469801801685</x:v>
      </x:c>
      <x:c r="W179" s="31" t="n">
        <x:v>4.21</x:v>
      </x:c>
      <x:c r="X179" s="31" t="n">
        <x:v>4.42</x:v>
      </x:c>
      <x:c r="Y179" s="31" t="n">
        <x:f>((10-MIN(10,MAX(0,X179)))/10)*'Controls &amp; Summary'!$B$15+((10-MIN(10,MAX(0,W179)))/10)*'Controls &amp; Summary'!$B$16</x:f>
        <x:v>1.137</x:v>
      </x:c>
      <x:c r="Z179" s="31" t="n">
        <x:f>V179*Y179</x:f>
        <x:v>2.6969037164648517</x:v>
      </x:c>
      <x:c r="AA179" s="30" t="str">
        <x:f>IF(Z179&lt;=I179,"Peaceful","Hostile")</x:f>
        <x:v>Peaceful</x:v>
      </x:c>
      <x:c r="AB179" s="30" t="str">
        <x:f>IF(Z179&lt;='Controls &amp; Summary'!$B$6,"Eligible","Blocked")</x:f>
        <x:v>Eligible</x:v>
      </x:c>
      <x:c r="AC179" s="30" t="str">
        <x:v>2003_EUA</x:v>
      </x:c>
      <x:c r="AD179" s="30" t="str">
        <x:v>2003_GRE</x:v>
      </x:c>
      <x:c r="AE179" s="30" t="str">
        <x:v>2003_Greece</x:v>
      </x:c>
      <x:c r="AF179" s="30" t="str">
        <x:v>Explicit capitalClaim</x:v>
      </x:c>
      <x:c r="AG179" s="30" t="str">
        <x:v>Claim2003_EUA2003_Greece</x:v>
      </x:c>
      <x:c r="AH179" s="30" t="str"/>
    </x:row>
    <x:row r="180">
      <x:c r="A180" s="30" t="str">
        <x:v>2003</x:v>
      </x:c>
      <x:c r="B180" s="30" t="str">
        <x:v>Dark Skies</x:v>
      </x:c>
      <x:c r="C180" s="30" t="str">
        <x:v>France</x:v>
      </x:c>
      <x:c r="D180" s="30" t="str">
        <x:v>Hungary</x:v>
      </x:c>
      <x:c r="E180" s="30" t="str">
        <x:v>Starting claim</x:v>
      </x:c>
      <x:c r="F180" s="30" t="str"/>
      <x:c r="G180" s="30" t="str">
        <x:v>No</x:v>
      </x:c>
      <x:c r="H180" s="30" t="str">
        <x:v>Ordinary claim</x:v>
      </x:c>
      <x:c r="I180" s="31" t="n">
        <x:f>IF(G180="Yes",'Controls &amp; Summary'!$B$5,'Controls &amp; Summary'!$B$4)</x:f>
        <x:v>6</x:v>
      </x:c>
      <x:c r="J180" s="31" t="n">
        <x:v>8.07</x:v>
      </x:c>
      <x:c r="K180" s="31" t="n">
        <x:v>7.67</x:v>
      </x:c>
      <x:c r="L180" s="31" t="n">
        <x:f>ABS(J180-K180)</x:f>
        <x:v>0.40000000000000036</x:v>
      </x:c>
      <x:c r="M180" s="31" t="n">
        <x:v>2.88</x:v>
      </x:c>
      <x:c r="N180" s="31" t="n">
        <x:v>2.8</x:v>
      </x:c>
      <x:c r="O180" s="31" t="n">
        <x:f>ABS(M180-N180)</x:f>
        <x:v>0.08000000000000007</x:v>
      </x:c>
      <x:c r="P180" s="31" t="n">
        <x:v>8.03</x:v>
      </x:c>
      <x:c r="Q180" s="31" t="n">
        <x:v>7.42</x:v>
      </x:c>
      <x:c r="R180" s="31" t="n">
        <x:f>ABS(P180-Q180)</x:f>
        <x:v>0.6099999999999994</x:v>
      </x:c>
      <x:c r="S180" s="32" t="n">
        <x:v>29306.518540870566</x:v>
      </x:c>
      <x:c r="T180" s="32" t="n">
        <x:v>10016.008762520943</x:v>
      </x:c>
      <x:c r="U180" s="31" t="n">
        <x:f>MAX(S180/T180,T180/S180)</x:f>
        <x:v>2.925967741814791</x:v>
      </x:c>
      <x:c r="V180" s="31" t="n">
        <x:f>L180*'Controls &amp; Summary'!$B$9+O180*'Controls &amp; Summary'!$B$10+R180*'Controls &amp; Summary'!$B$11+U180*'Controls &amp; Summary'!$B$12</x:f>
        <x:v>4.015967741814791</x:v>
      </x:c>
      <x:c r="W180" s="31" t="n">
        <x:v>4.21</x:v>
      </x:c>
      <x:c r="X180" s="31" t="n">
        <x:v>0.8</x:v>
      </x:c>
      <x:c r="Y180" s="31" t="n">
        <x:f>((10-MIN(10,MAX(0,X180)))/10)*'Controls &amp; Summary'!$B$15+((10-MIN(10,MAX(0,W180)))/10)*'Controls &amp; Summary'!$B$16</x:f>
        <x:v>1.4989999999999999</x:v>
      </x:c>
      <x:c r="Z180" s="31" t="n">
        <x:f>V180*Y180</x:f>
        <x:v>6.019935644980371</x:v>
      </x:c>
      <x:c r="AA180" s="30" t="str">
        <x:f>IF(Z180&lt;=I180,"Peaceful","Hostile")</x:f>
        <x:v>Hostile</x:v>
      </x:c>
      <x:c r="AB180" s="30" t="str">
        <x:f>IF(Z180&lt;='Controls &amp; Summary'!$B$6,"Eligible","Blocked")</x:f>
        <x:v>Eligible</x:v>
      </x:c>
      <x:c r="AC180" s="30" t="str">
        <x:v>2003_EUA</x:v>
      </x:c>
      <x:c r="AD180" s="30" t="str">
        <x:v>2003_HUN</x:v>
      </x:c>
      <x:c r="AE180" s="30" t="str">
        <x:v>2003_Hungary</x:v>
      </x:c>
      <x:c r="AF180" s="30" t="str">
        <x:v>Explicit capitalClaim</x:v>
      </x:c>
      <x:c r="AG180" s="30" t="str">
        <x:v>Claim2003_EUA2003_Hungary</x:v>
      </x:c>
      <x:c r="AH180" s="30" t="str"/>
    </x:row>
    <x:row r="181">
      <x:c r="A181" s="30" t="str">
        <x:v>2003</x:v>
      </x:c>
      <x:c r="B181" s="30" t="str">
        <x:v>Dark Skies</x:v>
      </x:c>
      <x:c r="C181" s="30" t="str">
        <x:v>France</x:v>
      </x:c>
      <x:c r="D181" s="30" t="str">
        <x:v>Iceland</x:v>
      </x:c>
      <x:c r="E181" s="30" t="str">
        <x:v>Starting claim</x:v>
      </x:c>
      <x:c r="F181" s="30" t="str"/>
      <x:c r="G181" s="30" t="str">
        <x:v>No</x:v>
      </x:c>
      <x:c r="H181" s="30" t="str">
        <x:v>Ordinary claim</x:v>
      </x:c>
      <x:c r="I181" s="31" t="n">
        <x:f>IF(G181="Yes",'Controls &amp; Summary'!$B$5,'Controls &amp; Summary'!$B$4)</x:f>
        <x:v>6</x:v>
      </x:c>
      <x:c r="J181" s="31" t="n">
        <x:v>8.07</x:v>
      </x:c>
      <x:c r="K181" s="31" t="n">
        <x:v>9.74</x:v>
      </x:c>
      <x:c r="L181" s="31" t="n">
        <x:f>ABS(J181-K181)</x:f>
        <x:v>1.67</x:v>
      </x:c>
      <x:c r="M181" s="31" t="n">
        <x:v>2.88</x:v>
      </x:c>
      <x:c r="N181" s="31" t="n">
        <x:v>2.6</x:v>
      </x:c>
      <x:c r="O181" s="31" t="n">
        <x:f>ABS(M181-N181)</x:f>
        <x:v>0.2799999999999998</x:v>
      </x:c>
      <x:c r="P181" s="31" t="n">
        <x:v>8.03</x:v>
      </x:c>
      <x:c r="Q181" s="31" t="n">
        <x:v>8.72</x:v>
      </x:c>
      <x:c r="R181" s="31" t="n">
        <x:f>ABS(P181-Q181)</x:f>
        <x:v>0.6900000000000013</x:v>
      </x:c>
      <x:c r="S181" s="32" t="n">
        <x:v>29306.518540870566</x:v>
      </x:c>
      <x:c r="T181" s="32" t="n">
        <x:v>34543.95814989382</x:v>
      </x:c>
      <x:c r="U181" s="31" t="n">
        <x:f>MAX(S181/T181,T181/S181)</x:f>
        <x:v>1.1787124458921716</x:v>
      </x:c>
      <x:c r="V181" s="31" t="n">
        <x:f>L181*'Controls &amp; Summary'!$B$9+O181*'Controls &amp; Summary'!$B$10+R181*'Controls &amp; Summary'!$B$11+U181*'Controls &amp; Summary'!$B$12</x:f>
        <x:v>3.8187124458921726</x:v>
      </x:c>
      <x:c r="W181" s="31" t="n">
        <x:v>4.21</x:v>
      </x:c>
      <x:c r="X181" s="31" t="n">
        <x:v>1.05</x:v>
      </x:c>
      <x:c r="Y181" s="31" t="n">
        <x:f>((10-MIN(10,MAX(0,X181)))/10)*'Controls &amp; Summary'!$B$15+((10-MIN(10,MAX(0,W181)))/10)*'Controls &amp; Summary'!$B$16</x:f>
        <x:v>1.4739999999999998</x:v>
      </x:c>
      <x:c r="Z181" s="31" t="n">
        <x:f>V181*Y181</x:f>
        <x:v>5.6287821452450615</x:v>
      </x:c>
      <x:c r="AA181" s="30" t="str">
        <x:f>IF(Z181&lt;=I181,"Peaceful","Hostile")</x:f>
        <x:v>Peaceful</x:v>
      </x:c>
      <x:c r="AB181" s="30" t="str">
        <x:f>IF(Z181&lt;='Controls &amp; Summary'!$B$6,"Eligible","Blocked")</x:f>
        <x:v>Eligible</x:v>
      </x:c>
      <x:c r="AC181" s="30" t="str">
        <x:v>2003_EUA</x:v>
      </x:c>
      <x:c r="AD181" s="30" t="str">
        <x:v>2003_ISL</x:v>
      </x:c>
      <x:c r="AE181" s="30" t="str">
        <x:v>2003_Iceland</x:v>
      </x:c>
      <x:c r="AF181" s="30" t="str">
        <x:v>Explicit capitalClaim</x:v>
      </x:c>
      <x:c r="AG181" s="30" t="str">
        <x:v>Claim2003_EUA2003_Iceland</x:v>
      </x:c>
      <x:c r="AH181" s="30" t="str"/>
    </x:row>
    <x:row r="182">
      <x:c r="A182" s="30" t="str">
        <x:v>2003</x:v>
      </x:c>
      <x:c r="B182" s="30" t="str">
        <x:v>Dark Skies</x:v>
      </x:c>
      <x:c r="C182" s="30" t="str">
        <x:v>France</x:v>
      </x:c>
      <x:c r="D182" s="30" t="str">
        <x:v>Ireland</x:v>
      </x:c>
      <x:c r="E182" s="30" t="str">
        <x:v>Starting claim</x:v>
      </x:c>
      <x:c r="F182" s="30" t="str"/>
      <x:c r="G182" s="30" t="str">
        <x:v>No</x:v>
      </x:c>
      <x:c r="H182" s="30" t="str">
        <x:v>Ordinary claim</x:v>
      </x:c>
      <x:c r="I182" s="31" t="n">
        <x:f>IF(G182="Yes",'Controls &amp; Summary'!$B$5,'Controls &amp; Summary'!$B$4)</x:f>
        <x:v>6</x:v>
      </x:c>
      <x:c r="J182" s="31" t="n">
        <x:v>8.07</x:v>
      </x:c>
      <x:c r="K182" s="31" t="n">
        <x:v>9.01</x:v>
      </x:c>
      <x:c r="L182" s="31" t="n">
        <x:f>ABS(J182-K182)</x:f>
        <x:v>0.9399999999999995</x:v>
      </x:c>
      <x:c r="M182" s="31" t="n">
        <x:v>2.88</x:v>
      </x:c>
      <x:c r="N182" s="31" t="n">
        <x:v>3.16</x:v>
      </x:c>
      <x:c r="O182" s="31" t="n">
        <x:f>ABS(M182-N182)</x:f>
        <x:v>0.28000000000000025</x:v>
      </x:c>
      <x:c r="P182" s="31" t="n">
        <x:v>8.03</x:v>
      </x:c>
      <x:c r="Q182" s="31" t="n">
        <x:v>8.34</x:v>
      </x:c>
      <x:c r="R182" s="31" t="n">
        <x:f>ABS(P182-Q182)</x:f>
        <x:v>0.3100000000000005</x:v>
      </x:c>
      <x:c r="S182" s="32" t="n">
        <x:v>29306.518540870566</x:v>
      </x:c>
      <x:c r="T182" s="32" t="n">
        <x:v>41230.24892716761</x:v>
      </x:c>
      <x:c r="U182" s="31" t="n">
        <x:f>MAX(S182/T182,T182/S182)</x:f>
        <x:v>1.4068627383927685</x:v>
      </x:c>
      <x:c r="V182" s="31" t="n">
        <x:f>L182*'Controls &amp; Summary'!$B$9+O182*'Controls &amp; Summary'!$B$10+R182*'Controls &amp; Summary'!$B$11+U182*'Controls &amp; Summary'!$B$12</x:f>
        <x:v>2.936862738392769</x:v>
      </x:c>
      <x:c r="W182" s="31" t="n">
        <x:v>4.21</x:v>
      </x:c>
      <x:c r="X182" s="31" t="n">
        <x:v>1.32</x:v>
      </x:c>
      <x:c r="Y182" s="31" t="n">
        <x:f>((10-MIN(10,MAX(0,X182)))/10)*'Controls &amp; Summary'!$B$15+((10-MIN(10,MAX(0,W182)))/10)*'Controls &amp; Summary'!$B$16</x:f>
        <x:v>1.447</x:v>
      </x:c>
      <x:c r="Z182" s="31" t="n">
        <x:f>V182*Y182</x:f>
        <x:v>4.249640382454337</x:v>
      </x:c>
      <x:c r="AA182" s="30" t="str">
        <x:f>IF(Z182&lt;=I182,"Peaceful","Hostile")</x:f>
        <x:v>Peaceful</x:v>
      </x:c>
      <x:c r="AB182" s="30" t="str">
        <x:f>IF(Z182&lt;='Controls &amp; Summary'!$B$6,"Eligible","Blocked")</x:f>
        <x:v>Eligible</x:v>
      </x:c>
      <x:c r="AC182" s="30" t="str">
        <x:v>2003_EUA</x:v>
      </x:c>
      <x:c r="AD182" s="30" t="str">
        <x:v>2003_IRL</x:v>
      </x:c>
      <x:c r="AE182" s="30" t="str">
        <x:v>2003_Ireland</x:v>
      </x:c>
      <x:c r="AF182" s="30" t="str">
        <x:v>Explicit capitalClaim</x:v>
      </x:c>
      <x:c r="AG182" s="30" t="str">
        <x:v>Claim2003_EUA2003_Ireland</x:v>
      </x:c>
      <x:c r="AH182" s="30" t="str"/>
    </x:row>
    <x:row r="183">
      <x:c r="A183" s="30" t="str">
        <x:v>2003</x:v>
      </x:c>
      <x:c r="B183" s="30" t="str">
        <x:v>Dark Skies</x:v>
      </x:c>
      <x:c r="C183" s="30" t="str">
        <x:v>France</x:v>
      </x:c>
      <x:c r="D183" s="30" t="str">
        <x:v>Italy</x:v>
      </x:c>
      <x:c r="E183" s="30" t="str">
        <x:v>Starting claim</x:v>
      </x:c>
      <x:c r="F183" s="30" t="str"/>
      <x:c r="G183" s="30" t="str">
        <x:v>No</x:v>
      </x:c>
      <x:c r="H183" s="30" t="str">
        <x:v>Ordinary claim</x:v>
      </x:c>
      <x:c r="I183" s="31" t="n">
        <x:f>IF(G183="Yes",'Controls &amp; Summary'!$B$5,'Controls &amp; Summary'!$B$4)</x:f>
        <x:v>6</x:v>
      </x:c>
      <x:c r="J183" s="31" t="n">
        <x:v>8.07</x:v>
      </x:c>
      <x:c r="K183" s="31" t="n">
        <x:v>7.58</x:v>
      </x:c>
      <x:c r="L183" s="31" t="n">
        <x:f>ABS(J183-K183)</x:f>
        <x:v>0.4900000000000002</x:v>
      </x:c>
      <x:c r="M183" s="31" t="n">
        <x:v>2.88</x:v>
      </x:c>
      <x:c r="N183" s="31" t="n">
        <x:v>3.26</x:v>
      </x:c>
      <x:c r="O183" s="31" t="n">
        <x:f>ABS(M183-N183)</x:f>
        <x:v>0.3799999999999999</x:v>
      </x:c>
      <x:c r="P183" s="31" t="n">
        <x:v>8.03</x:v>
      </x:c>
      <x:c r="Q183" s="31" t="n">
        <x:v>8.07</x:v>
      </x:c>
      <x:c r="R183" s="31" t="n">
        <x:f>ABS(P183-Q183)</x:f>
        <x:v>0.040000000000000924</x:v>
      </x:c>
      <x:c r="S183" s="32" t="n">
        <x:v>29306.518540870566</x:v>
      </x:c>
      <x:c r="T183" s="32" t="n">
        <x:v>27321.012917268232</x:v>
      </x:c>
      <x:c r="U183" s="31" t="n">
        <x:f>MAX(S183/T183,T183/S183)</x:f>
        <x:v>1.0726732068688198</x:v>
      </x:c>
      <x:c r="V183" s="31" t="n">
        <x:f>L183*'Controls &amp; Summary'!$B$9+O183*'Controls &amp; Summary'!$B$10+R183*'Controls &amp; Summary'!$B$11+U183*'Controls &amp; Summary'!$B$12</x:f>
        <x:v>1.9826732068688209</x:v>
      </x:c>
      <x:c r="W183" s="31" t="n">
        <x:v>4.21</x:v>
      </x:c>
      <x:c r="X183" s="31" t="n">
        <x:v>1</x:v>
      </x:c>
      <x:c r="Y183" s="31" t="n">
        <x:f>((10-MIN(10,MAX(0,X183)))/10)*'Controls &amp; Summary'!$B$15+((10-MIN(10,MAX(0,W183)))/10)*'Controls &amp; Summary'!$B$16</x:f>
        <x:v>1.479</x:v>
      </x:c>
      <x:c r="Z183" s="31" t="n">
        <x:f>V183*Y183</x:f>
        <x:v>2.9323736729589864</x:v>
      </x:c>
      <x:c r="AA183" s="30" t="str">
        <x:f>IF(Z183&lt;=I183,"Peaceful","Hostile")</x:f>
        <x:v>Peaceful</x:v>
      </x:c>
      <x:c r="AB183" s="30" t="str">
        <x:f>IF(Z183&lt;='Controls &amp; Summary'!$B$6,"Eligible","Blocked")</x:f>
        <x:v>Eligible</x:v>
      </x:c>
      <x:c r="AC183" s="30" t="str">
        <x:v>2003_EUA</x:v>
      </x:c>
      <x:c r="AD183" s="30" t="str">
        <x:v>2003_ITA</x:v>
      </x:c>
      <x:c r="AE183" s="30" t="str">
        <x:v>2003_Italy</x:v>
      </x:c>
      <x:c r="AF183" s="30" t="str">
        <x:v>Explicit capitalClaim</x:v>
      </x:c>
      <x:c r="AG183" s="30" t="str">
        <x:v>Claim2003_EUA2003_Italy</x:v>
      </x:c>
      <x:c r="AH183" s="30" t="str"/>
    </x:row>
    <x:row r="184">
      <x:c r="A184" s="30" t="str">
        <x:v>2003</x:v>
      </x:c>
      <x:c r="B184" s="30" t="str">
        <x:v>Dark Skies</x:v>
      </x:c>
      <x:c r="C184" s="30" t="str">
        <x:v>France</x:v>
      </x:c>
      <x:c r="D184" s="30" t="str">
        <x:v>Kosovo</x:v>
      </x:c>
      <x:c r="E184" s="30" t="str">
        <x:v>Starting claim</x:v>
      </x:c>
      <x:c r="F184" s="30" t="str"/>
      <x:c r="G184" s="30" t="str">
        <x:v>No</x:v>
      </x:c>
      <x:c r="H184" s="30" t="str">
        <x:v>Ordinary claim</x:v>
      </x:c>
      <x:c r="I184" s="31" t="n">
        <x:f>IF(G184="Yes",'Controls &amp; Summary'!$B$5,'Controls &amp; Summary'!$B$4)</x:f>
        <x:v>6</x:v>
      </x:c>
      <x:c r="J184" s="31" t="n">
        <x:v>8.07</x:v>
      </x:c>
      <x:c r="K184" s="31" t="n">
        <x:v>5.33</x:v>
      </x:c>
      <x:c r="L184" s="31" t="n">
        <x:f>ABS(J184-K184)</x:f>
        <x:v>2.74</x:v>
      </x:c>
      <x:c r="M184" s="31" t="n">
        <x:v>2.88</x:v>
      </x:c>
      <x:c r="N184" s="31" t="n">
        <x:v>3.16</x:v>
      </x:c>
      <x:c r="O184" s="31" t="n">
        <x:f>ABS(M184-N184)</x:f>
        <x:v>0.28000000000000025</x:v>
      </x:c>
      <x:c r="P184" s="31" t="n">
        <x:v>8.03</x:v>
      </x:c>
      <x:c r="Q184" s="31" t="n">
        <x:v>6.81</x:v>
      </x:c>
      <x:c r="R184" s="31" t="n">
        <x:f>ABS(P184-Q184)</x:f>
        <x:v>1.2199999999999998</x:v>
      </x:c>
      <x:c r="S184" s="32" t="n">
        <x:v>29306.518540870566</x:v>
      </x:c>
      <x:c r="T184" s="32" t="n">
        <x:v>2667.1344428542175</x:v>
      </x:c>
      <x:c r="U184" s="31" t="n">
        <x:f>MAX(S184/T184,T184/S184)</x:f>
        <x:v>10.988016978067433</x:v>
      </x:c>
      <x:c r="V184" s="31" t="n">
        <x:f>L184*'Controls &amp; Summary'!$B$9+O184*'Controls &amp; Summary'!$B$10+R184*'Controls &amp; Summary'!$B$11+U184*'Controls &amp; Summary'!$B$12</x:f>
        <x:v>15.228016978067433</x:v>
      </x:c>
      <x:c r="W184" s="31" t="n">
        <x:v>4.21</x:v>
      </x:c>
      <x:c r="X184" s="31" t="n">
        <x:v>4.64</x:v>
      </x:c>
      <x:c r="Y184" s="31" t="n">
        <x:f>((10-MIN(10,MAX(0,X184)))/10)*'Controls &amp; Summary'!$B$15+((10-MIN(10,MAX(0,W184)))/10)*'Controls &amp; Summary'!$B$16</x:f>
        <x:v>1.115</x:v>
      </x:c>
      <x:c r="Z184" s="31" t="n">
        <x:f>V184*Y184</x:f>
        <x:v>16.97923893054519</x:v>
      </x:c>
      <x:c r="AA184" s="30" t="str">
        <x:f>IF(Z184&lt;=I184,"Peaceful","Hostile")</x:f>
        <x:v>Hostile</x:v>
      </x:c>
      <x:c r="AB184" s="30" t="str">
        <x:f>IF(Z184&lt;='Controls &amp; Summary'!$B$6,"Eligible","Blocked")</x:f>
        <x:v>Blocked</x:v>
      </x:c>
      <x:c r="AC184" s="30" t="str">
        <x:v>2003_EUA</x:v>
      </x:c>
      <x:c r="AD184" s="30" t="str">
        <x:v>2003_KOS</x:v>
      </x:c>
      <x:c r="AE184" s="30" t="str">
        <x:v>2003_Kosovo</x:v>
      </x:c>
      <x:c r="AF184" s="30" t="str">
        <x:v>Explicit capitalClaim</x:v>
      </x:c>
      <x:c r="AG184" s="30" t="str">
        <x:v>Claim2003_EUA2003_Kosovo</x:v>
      </x:c>
      <x:c r="AH184" s="30" t="str"/>
    </x:row>
    <x:row r="185">
      <x:c r="A185" s="30" t="str">
        <x:v>2003</x:v>
      </x:c>
      <x:c r="B185" s="30" t="str">
        <x:v>Dark Skies</x:v>
      </x:c>
      <x:c r="C185" s="30" t="str">
        <x:v>France</x:v>
      </x:c>
      <x:c r="D185" s="30" t="str">
        <x:v>Latvia</x:v>
      </x:c>
      <x:c r="E185" s="30" t="str">
        <x:v>Starting claim</x:v>
      </x:c>
      <x:c r="F185" s="30" t="str"/>
      <x:c r="G185" s="30" t="str">
        <x:v>No</x:v>
      </x:c>
      <x:c r="H185" s="30" t="str">
        <x:v>Ordinary claim</x:v>
      </x:c>
      <x:c r="I185" s="31" t="n">
        <x:f>IF(G185="Yes",'Controls &amp; Summary'!$B$5,'Controls &amp; Summary'!$B$4)</x:f>
        <x:v>6</x:v>
      </x:c>
      <x:c r="J185" s="31" t="n">
        <x:v>8.07</x:v>
      </x:c>
      <x:c r="K185" s="31" t="n">
        <x:v>7.47</x:v>
      </x:c>
      <x:c r="L185" s="31" t="n">
        <x:f>ABS(J185-K185)</x:f>
        <x:v>0.6000000000000005</x:v>
      </x:c>
      <x:c r="M185" s="31" t="n">
        <x:v>2.88</x:v>
      </x:c>
      <x:c r="N185" s="31" t="n">
        <x:v>3.41</x:v>
      </x:c>
      <x:c r="O185" s="31" t="n">
        <x:f>ABS(M185-N185)</x:f>
        <x:v>0.5300000000000002</x:v>
      </x:c>
      <x:c r="P185" s="31" t="n">
        <x:v>8.03</x:v>
      </x:c>
      <x:c r="Q185" s="31" t="n">
        <x:v>7.32</x:v>
      </x:c>
      <x:c r="R185" s="31" t="n">
        <x:f>ABS(P185-Q185)</x:f>
        <x:v>0.7099999999999991</x:v>
      </x:c>
      <x:c r="S185" s="32" t="n">
        <x:v>29306.518540870566</x:v>
      </x:c>
      <x:c r="T185" s="32" t="n">
        <x:v>7469.285946516009</x:v>
      </x:c>
      <x:c r="U185" s="31" t="n">
        <x:f>MAX(S185/T185,T185/S185)</x:f>
        <x:v>3.9236037756112907</x:v>
      </x:c>
      <x:c r="V185" s="31" t="n">
        <x:f>L185*'Controls &amp; Summary'!$B$9+O185*'Controls &amp; Summary'!$B$10+R185*'Controls &amp; Summary'!$B$11+U185*'Controls &amp; Summary'!$B$12</x:f>
        <x:v>5.763603775611291</x:v>
      </x:c>
      <x:c r="W185" s="31" t="n">
        <x:v>4.21</x:v>
      </x:c>
      <x:c r="X185" s="31" t="n">
        <x:v>1.89</x:v>
      </x:c>
      <x:c r="Y185" s="31" t="n">
        <x:f>((10-MIN(10,MAX(0,X185)))/10)*'Controls &amp; Summary'!$B$15+((10-MIN(10,MAX(0,W185)))/10)*'Controls &amp; Summary'!$B$16</x:f>
        <x:v>1.39</x:v>
      </x:c>
      <x:c r="Z185" s="31" t="n">
        <x:f>V185*Y185</x:f>
        <x:v>8.011409248099694</x:v>
      </x:c>
      <x:c r="AA185" s="30" t="str">
        <x:f>IF(Z185&lt;=I185,"Peaceful","Hostile")</x:f>
        <x:v>Hostile</x:v>
      </x:c>
      <x:c r="AB185" s="30" t="str">
        <x:f>IF(Z185&lt;='Controls &amp; Summary'!$B$6,"Eligible","Blocked")</x:f>
        <x:v>Eligible</x:v>
      </x:c>
      <x:c r="AC185" s="30" t="str">
        <x:v>2003_EUA</x:v>
      </x:c>
      <x:c r="AD185" s="30" t="str">
        <x:v>2003_LVA</x:v>
      </x:c>
      <x:c r="AE185" s="30" t="str">
        <x:v>2003_Latvia</x:v>
      </x:c>
      <x:c r="AF185" s="30" t="str">
        <x:v>Explicit capitalClaim</x:v>
      </x:c>
      <x:c r="AG185" s="30" t="str">
        <x:v>Claim2003_EUA2003_Latvia</x:v>
      </x:c>
      <x:c r="AH185" s="30" t="str"/>
    </x:row>
    <x:row r="186">
      <x:c r="A186" s="30" t="str">
        <x:v>2003</x:v>
      </x:c>
      <x:c r="B186" s="30" t="str">
        <x:v>Dark Skies</x:v>
      </x:c>
      <x:c r="C186" s="30" t="str">
        <x:v>France</x:v>
      </x:c>
      <x:c r="D186" s="30" t="str">
        <x:v>Lithuania</x:v>
      </x:c>
      <x:c r="E186" s="30" t="str">
        <x:v>Starting claim</x:v>
      </x:c>
      <x:c r="F186" s="30" t="str"/>
      <x:c r="G186" s="30" t="str">
        <x:v>No</x:v>
      </x:c>
      <x:c r="H186" s="30" t="str">
        <x:v>Ordinary claim</x:v>
      </x:c>
      <x:c r="I186" s="31" t="n">
        <x:f>IF(G186="Yes",'Controls &amp; Summary'!$B$5,'Controls &amp; Summary'!$B$4)</x:f>
        <x:v>6</x:v>
      </x:c>
      <x:c r="J186" s="31" t="n">
        <x:v>8.07</x:v>
      </x:c>
      <x:c r="K186" s="31" t="n">
        <x:v>7.38</x:v>
      </x:c>
      <x:c r="L186" s="31" t="n">
        <x:f>ABS(J186-K186)</x:f>
        <x:v>0.6900000000000004</x:v>
      </x:c>
      <x:c r="M186" s="31" t="n">
        <x:v>2.88</x:v>
      </x:c>
      <x:c r="N186" s="31" t="n">
        <x:v>3.28</x:v>
      </x:c>
      <x:c r="O186" s="31" t="n">
        <x:f>ABS(M186-N186)</x:f>
        <x:v>0.3999999999999999</x:v>
      </x:c>
      <x:c r="P186" s="31" t="n">
        <x:v>8.03</x:v>
      </x:c>
      <x:c r="Q186" s="31" t="n">
        <x:v>7.48</x:v>
      </x:c>
      <x:c r="R186" s="31" t="n">
        <x:f>ABS(P186-Q186)</x:f>
        <x:v>0.5499999999999989</x:v>
      </x:c>
      <x:c r="S186" s="32" t="n">
        <x:v>29306.518540870566</x:v>
      </x:c>
      <x:c r="T186" s="32" t="n">
        <x:v>8016.437482688086</x:v>
      </x:c>
      <x:c r="U186" s="31" t="n">
        <x:f>MAX(S186/T186,T186/S186)</x:f>
        <x:v>3.655803292193012</x:v>
      </x:c>
      <x:c r="V186" s="31" t="n">
        <x:f>L186*'Controls &amp; Summary'!$B$9+O186*'Controls &amp; Summary'!$B$10+R186*'Controls &amp; Summary'!$B$11+U186*'Controls &amp; Summary'!$B$12</x:f>
        <x:v>5.295803292193011</x:v>
      </x:c>
      <x:c r="W186" s="31" t="n">
        <x:v>4.21</x:v>
      </x:c>
      <x:c r="X186" s="31" t="n">
        <x:v>0.45</x:v>
      </x:c>
      <x:c r="Y186" s="31" t="n">
        <x:f>((10-MIN(10,MAX(0,X186)))/10)*'Controls &amp; Summary'!$B$15+((10-MIN(10,MAX(0,W186)))/10)*'Controls &amp; Summary'!$B$16</x:f>
        <x:v>1.534</x:v>
      </x:c>
      <x:c r="Z186" s="31" t="n">
        <x:f>V186*Y186</x:f>
        <x:v>8.123762250224079</x:v>
      </x:c>
      <x:c r="AA186" s="30" t="str">
        <x:f>IF(Z186&lt;=I186,"Peaceful","Hostile")</x:f>
        <x:v>Hostile</x:v>
      </x:c>
      <x:c r="AB186" s="30" t="str">
        <x:f>IF(Z186&lt;='Controls &amp; Summary'!$B$6,"Eligible","Blocked")</x:f>
        <x:v>Eligible</x:v>
      </x:c>
      <x:c r="AC186" s="30" t="str">
        <x:v>2003_EUA</x:v>
      </x:c>
      <x:c r="AD186" s="30" t="str">
        <x:v>2003_LTU</x:v>
      </x:c>
      <x:c r="AE186" s="30" t="str">
        <x:v>2003_Lithuania</x:v>
      </x:c>
      <x:c r="AF186" s="30" t="str">
        <x:v>Explicit capitalClaim</x:v>
      </x:c>
      <x:c r="AG186" s="30" t="str">
        <x:v>Claim2003_EUA2003_Lithuania</x:v>
      </x:c>
      <x:c r="AH186" s="30" t="str"/>
    </x:row>
    <x:row r="187">
      <x:c r="A187" s="30" t="str">
        <x:v>2003</x:v>
      </x:c>
      <x:c r="B187" s="30" t="str">
        <x:v>Dark Skies</x:v>
      </x:c>
      <x:c r="C187" s="30" t="str">
        <x:v>France</x:v>
      </x:c>
      <x:c r="D187" s="30" t="str">
        <x:v>Moldova</x:v>
      </x:c>
      <x:c r="E187" s="30" t="str">
        <x:v>Starting claim</x:v>
      </x:c>
      <x:c r="F187" s="30" t="str"/>
      <x:c r="G187" s="30" t="str">
        <x:v>No</x:v>
      </x:c>
      <x:c r="H187" s="30" t="str">
        <x:v>Ordinary claim</x:v>
      </x:c>
      <x:c r="I187" s="31" t="n">
        <x:f>IF(G187="Yes",'Controls &amp; Summary'!$B$5,'Controls &amp; Summary'!$B$4)</x:f>
        <x:v>6</x:v>
      </x:c>
      <x:c r="J187" s="31" t="n">
        <x:v>8.07</x:v>
      </x:c>
      <x:c r="K187" s="31" t="n">
        <x:v>6.75</x:v>
      </x:c>
      <x:c r="L187" s="31" t="n">
        <x:f>ABS(J187-K187)</x:f>
        <x:v>1.3200000000000003</x:v>
      </x:c>
      <x:c r="M187" s="31" t="n">
        <x:v>2.88</x:v>
      </x:c>
      <x:c r="N187" s="31" t="n">
        <x:v>3.77</x:v>
      </x:c>
      <x:c r="O187" s="31" t="n">
        <x:f>ABS(M187-N187)</x:f>
        <x:v>0.8900000000000001</x:v>
      </x:c>
      <x:c r="P187" s="31" t="n">
        <x:v>8.03</x:v>
      </x:c>
      <x:c r="Q187" s="31" t="n">
        <x:v>6.27</x:v>
      </x:c>
      <x:c r="R187" s="31" t="n">
        <x:f>ABS(P187-Q187)</x:f>
        <x:v>1.7599999999999998</x:v>
      </x:c>
      <x:c r="S187" s="32" t="n">
        <x:v>29306.518540870566</x:v>
      </x:c>
      <x:c r="T187" s="32" t="n">
        <x:v>1929.9841034580347</x:v>
      </x:c>
      <x:c r="U187" s="31" t="n">
        <x:f>MAX(S187/T187,T187/S187)</x:f>
        <x:v>15.184849703352908</x:v>
      </x:c>
      <x:c r="V187" s="31" t="n">
        <x:f>L187*'Controls &amp; Summary'!$B$9+O187*'Controls &amp; Summary'!$B$10+R187*'Controls &amp; Summary'!$B$11+U187*'Controls &amp; Summary'!$B$12</x:f>
        <x:v>19.15484970335291</x:v>
      </x:c>
      <x:c r="W187" s="31" t="n">
        <x:v>4.21</x:v>
      </x:c>
      <x:c r="X187" s="31" t="n">
        <x:v>1.12</x:v>
      </x:c>
      <x:c r="Y187" s="31" t="n">
        <x:f>((10-MIN(10,MAX(0,X187)))/10)*'Controls &amp; Summary'!$B$15+((10-MIN(10,MAX(0,W187)))/10)*'Controls &amp; Summary'!$B$16</x:f>
        <x:v>1.4669999999999999</x:v>
      </x:c>
      <x:c r="Z187" s="31" t="n">
        <x:f>V187*Y187</x:f>
        <x:v>28.100164514818715</x:v>
      </x:c>
      <x:c r="AA187" s="30" t="str">
        <x:f>IF(Z187&lt;=I187,"Peaceful","Hostile")</x:f>
        <x:v>Hostile</x:v>
      </x:c>
      <x:c r="AB187" s="30" t="str">
        <x:f>IF(Z187&lt;='Controls &amp; Summary'!$B$6,"Eligible","Blocked")</x:f>
        <x:v>Blocked</x:v>
      </x:c>
      <x:c r="AC187" s="30" t="str">
        <x:v>2003_EUA</x:v>
      </x:c>
      <x:c r="AD187" s="30" t="str">
        <x:v>2003_MOL</x:v>
      </x:c>
      <x:c r="AE187" s="30" t="str">
        <x:v>2003_Moldova</x:v>
      </x:c>
      <x:c r="AF187" s="30" t="str">
        <x:v>Explicit capitalClaim</x:v>
      </x:c>
      <x:c r="AG187" s="30" t="str">
        <x:v>Claim2003_EUA2003_Moldova</x:v>
      </x:c>
      <x:c r="AH187" s="30" t="str"/>
    </x:row>
    <x:row r="188">
      <x:c r="A188" s="30" t="str">
        <x:v>2003</x:v>
      </x:c>
      <x:c r="B188" s="30" t="str">
        <x:v>Dark Skies</x:v>
      </x:c>
      <x:c r="C188" s="30" t="str">
        <x:v>France</x:v>
      </x:c>
      <x:c r="D188" s="30" t="str">
        <x:v>Netherlands</x:v>
      </x:c>
      <x:c r="E188" s="30" t="str">
        <x:v>Starting claim</x:v>
      </x:c>
      <x:c r="F188" s="30" t="str"/>
      <x:c r="G188" s="30" t="str">
        <x:v>No</x:v>
      </x:c>
      <x:c r="H188" s="30" t="str">
        <x:v>Ordinary claim</x:v>
      </x:c>
      <x:c r="I188" s="31" t="n">
        <x:f>IF(G188="Yes",'Controls &amp; Summary'!$B$5,'Controls &amp; Summary'!$B$4)</x:f>
        <x:v>6</x:v>
      </x:c>
      <x:c r="J188" s="31" t="n">
        <x:v>8.07</x:v>
      </x:c>
      <x:c r="K188" s="31" t="n">
        <x:v>9.62</x:v>
      </x:c>
      <x:c r="L188" s="31" t="n">
        <x:f>ABS(J188-K188)</x:f>
        <x:v>1.549999999999999</x:v>
      </x:c>
      <x:c r="M188" s="31" t="n">
        <x:v>2.88</x:v>
      </x:c>
      <x:c r="N188" s="31" t="n">
        <x:v>2.64</x:v>
      </x:c>
      <x:c r="O188" s="31" t="n">
        <x:f>ABS(M188-N188)</x:f>
        <x:v>0.23999999999999977</x:v>
      </x:c>
      <x:c r="P188" s="31" t="n">
        <x:v>8.03</x:v>
      </x:c>
      <x:c r="Q188" s="31" t="n">
        <x:v>8.45</x:v>
      </x:c>
      <x:c r="R188" s="31" t="n">
        <x:f>ABS(P188-Q188)</x:f>
        <x:v>0.41999999999999993</x:v>
      </x:c>
      <x:c r="S188" s="32" t="n">
        <x:v>29306.518540870566</x:v>
      </x:c>
      <x:c r="T188" s="32" t="n">
        <x:v>35255.779272891494</x:v>
      </x:c>
      <x:c r="U188" s="31" t="n">
        <x:f>MAX(S188/T188,T188/S188)</x:f>
        <x:v>1.203001278494549</x:v>
      </x:c>
      <x:c r="V188" s="31" t="n">
        <x:f>L188*'Controls &amp; Summary'!$B$9+O188*'Controls &amp; Summary'!$B$10+R188*'Controls &amp; Summary'!$B$11+U188*'Controls &amp; Summary'!$B$12</x:f>
        <x:v>3.413001278494548</x:v>
      </x:c>
      <x:c r="W188" s="31" t="n">
        <x:v>4.21</x:v>
      </x:c>
      <x:c r="X188" s="31" t="n">
        <x:v>1.89</x:v>
      </x:c>
      <x:c r="Y188" s="31" t="n">
        <x:f>((10-MIN(10,MAX(0,X188)))/10)*'Controls &amp; Summary'!$B$15+((10-MIN(10,MAX(0,W188)))/10)*'Controls &amp; Summary'!$B$16</x:f>
        <x:v>1.39</x:v>
      </x:c>
      <x:c r="Z188" s="31" t="n">
        <x:f>V188*Y188</x:f>
        <x:v>4.744071777107421</x:v>
      </x:c>
      <x:c r="AA188" s="30" t="str">
        <x:f>IF(Z188&lt;=I188,"Peaceful","Hostile")</x:f>
        <x:v>Peaceful</x:v>
      </x:c>
      <x:c r="AB188" s="30" t="str">
        <x:f>IF(Z188&lt;='Controls &amp; Summary'!$B$6,"Eligible","Blocked")</x:f>
        <x:v>Eligible</x:v>
      </x:c>
      <x:c r="AC188" s="30" t="str">
        <x:v>2003_EUA</x:v>
      </x:c>
      <x:c r="AD188" s="30" t="str">
        <x:v>2003_NET</x:v>
      </x:c>
      <x:c r="AE188" s="30" t="str">
        <x:v>2003_Netherlands</x:v>
      </x:c>
      <x:c r="AF188" s="30" t="str">
        <x:v>Explicit capitalClaim</x:v>
      </x:c>
      <x:c r="AG188" s="30" t="str">
        <x:v>Claim2003_EUA2003_Netherlands</x:v>
      </x:c>
      <x:c r="AH188" s="30" t="str"/>
    </x:row>
    <x:row r="189">
      <x:c r="A189" s="30" t="str">
        <x:v>2003</x:v>
      </x:c>
      <x:c r="B189" s="30" t="str">
        <x:v>Dark Skies</x:v>
      </x:c>
      <x:c r="C189" s="30" t="str">
        <x:v>France</x:v>
      </x:c>
      <x:c r="D189" s="30" t="str">
        <x:v>North Macedonia</x:v>
      </x:c>
      <x:c r="E189" s="30" t="str">
        <x:v>Starting claim</x:v>
      </x:c>
      <x:c r="F189" s="30" t="str"/>
      <x:c r="G189" s="30" t="str">
        <x:v>No</x:v>
      </x:c>
      <x:c r="H189" s="30" t="str">
        <x:v>Ordinary claim</x:v>
      </x:c>
      <x:c r="I189" s="31" t="n">
        <x:f>IF(G189="Yes",'Controls &amp; Summary'!$B$5,'Controls &amp; Summary'!$B$4)</x:f>
        <x:v>6</x:v>
      </x:c>
      <x:c r="J189" s="31" t="n">
        <x:v>8.07</x:v>
      </x:c>
      <x:c r="K189" s="31" t="n">
        <x:v>5.99</x:v>
      </x:c>
      <x:c r="L189" s="31" t="n">
        <x:f>ABS(J189-K189)</x:f>
        <x:v>2.08</x:v>
      </x:c>
      <x:c r="M189" s="31" t="n">
        <x:v>2.88</x:v>
      </x:c>
      <x:c r="N189" s="31" t="n">
        <x:v>3.32</x:v>
      </x:c>
      <x:c r="O189" s="31" t="n">
        <x:f>ABS(M189-N189)</x:f>
        <x:v>0.43999999999999995</x:v>
      </x:c>
      <x:c r="P189" s="31" t="n">
        <x:v>8.03</x:v>
      </x:c>
      <x:c r="Q189" s="31" t="n">
        <x:v>6.24</x:v>
      </x:c>
      <x:c r="R189" s="31" t="n">
        <x:f>ABS(P189-Q189)</x:f>
        <x:v>1.7899999999999991</x:v>
      </x:c>
      <x:c r="S189" s="32" t="n">
        <x:v>29306.518540870566</x:v>
      </x:c>
      <x:c r="T189" s="32" t="n">
        <x:v>4508.019288838196</x:v>
      </x:c>
      <x:c r="U189" s="31" t="n">
        <x:f>MAX(S189/T189,T189/S189)</x:f>
        <x:v>6.500974521877749</x:v>
      </x:c>
      <x:c r="V189" s="31" t="n">
        <x:f>L189*'Controls &amp; Summary'!$B$9+O189*'Controls &amp; Summary'!$B$10+R189*'Controls &amp; Summary'!$B$11+U189*'Controls &amp; Summary'!$B$12</x:f>
        <x:v>10.810974521877748</x:v>
      </x:c>
      <x:c r="W189" s="31" t="n">
        <x:v>4.21</x:v>
      </x:c>
      <x:c r="X189" s="31" t="n">
        <x:v>2</x:v>
      </x:c>
      <x:c r="Y189" s="31" t="n">
        <x:f>((10-MIN(10,MAX(0,X189)))/10)*'Controls &amp; Summary'!$B$15+((10-MIN(10,MAX(0,W189)))/10)*'Controls &amp; Summary'!$B$16</x:f>
        <x:v>1.379</x:v>
      </x:c>
      <x:c r="Z189" s="31" t="n">
        <x:f>V189*Y189</x:f>
        <x:v>14.908333865669414</x:v>
      </x:c>
      <x:c r="AA189" s="30" t="str">
        <x:f>IF(Z189&lt;=I189,"Peaceful","Hostile")</x:f>
        <x:v>Hostile</x:v>
      </x:c>
      <x:c r="AB189" s="30" t="str">
        <x:f>IF(Z189&lt;='Controls &amp; Summary'!$B$6,"Eligible","Blocked")</x:f>
        <x:v>Blocked</x:v>
      </x:c>
      <x:c r="AC189" s="30" t="str">
        <x:v>2003_EUA</x:v>
      </x:c>
      <x:c r="AD189" s="30" t="str">
        <x:v>2003_MKD</x:v>
      </x:c>
      <x:c r="AE189" s="30" t="str">
        <x:v>2003_NorthMacedonia</x:v>
      </x:c>
      <x:c r="AF189" s="30" t="str">
        <x:v>Explicit capitalClaim</x:v>
      </x:c>
      <x:c r="AG189" s="30" t="str">
        <x:v>Claim2003_EUA2003_NorthMacedonia</x:v>
      </x:c>
      <x:c r="AH189" s="30" t="str"/>
    </x:row>
    <x:row r="190">
      <x:c r="A190" s="30" t="str">
        <x:v>2003</x:v>
      </x:c>
      <x:c r="B190" s="30" t="str">
        <x:v>Dark Skies</x:v>
      </x:c>
      <x:c r="C190" s="30" t="str">
        <x:v>France</x:v>
      </x:c>
      <x:c r="D190" s="30" t="str">
        <x:v>Norway</x:v>
      </x:c>
      <x:c r="E190" s="30" t="str">
        <x:v>Starting claim</x:v>
      </x:c>
      <x:c r="F190" s="30" t="str"/>
      <x:c r="G190" s="30" t="str">
        <x:v>No</x:v>
      </x:c>
      <x:c r="H190" s="30" t="str">
        <x:v>Ordinary claim</x:v>
      </x:c>
      <x:c r="I190" s="31" t="n">
        <x:f>IF(G190="Yes",'Controls &amp; Summary'!$B$5,'Controls &amp; Summary'!$B$4)</x:f>
        <x:v>6</x:v>
      </x:c>
      <x:c r="J190" s="31" t="n">
        <x:v>8.07</x:v>
      </x:c>
      <x:c r="K190" s="31" t="n">
        <x:v>9.5</x:v>
      </x:c>
      <x:c r="L190" s="31" t="n">
        <x:f>ABS(J190-K190)</x:f>
        <x:v>1.4299999999999997</x:v>
      </x:c>
      <x:c r="M190" s="31" t="n">
        <x:v>2.88</x:v>
      </x:c>
      <x:c r="N190" s="31" t="n">
        <x:v>2.64</x:v>
      </x:c>
      <x:c r="O190" s="31" t="n">
        <x:f>ABS(M190-N190)</x:f>
        <x:v>0.23999999999999977</x:v>
      </x:c>
      <x:c r="P190" s="31" t="n">
        <x:v>8.03</x:v>
      </x:c>
      <x:c r="Q190" s="31" t="n">
        <x:v>8.77</x:v>
      </x:c>
      <x:c r="R190" s="31" t="n">
        <x:f>ABS(P190-Q190)</x:f>
        <x:v>0.7400000000000002</x:v>
      </x:c>
      <x:c r="S190" s="32" t="n">
        <x:v>29306.518540870566</x:v>
      </x:c>
      <x:c r="T190" s="32" t="n">
        <x:v>45429.38162657577</x:v>
      </x:c>
      <x:c r="U190" s="31" t="n">
        <x:f>MAX(S190/T190,T190/S190)</x:f>
        <x:v>1.5501459705362282</x:v>
      </x:c>
      <x:c r="V190" s="31" t="n">
        <x:f>L190*'Controls &amp; Summary'!$B$9+O190*'Controls &amp; Summary'!$B$10+R190*'Controls &amp; Summary'!$B$11+U190*'Controls &amp; Summary'!$B$12</x:f>
        <x:v>3.960145970536228</x:v>
      </x:c>
      <x:c r="W190" s="31" t="n">
        <x:v>4.21</x:v>
      </x:c>
      <x:c r="X190" s="31" t="n">
        <x:v>1.33</x:v>
      </x:c>
      <x:c r="Y190" s="31" t="n">
        <x:f>((10-MIN(10,MAX(0,X190)))/10)*'Controls &amp; Summary'!$B$15+((10-MIN(10,MAX(0,W190)))/10)*'Controls &amp; Summary'!$B$16</x:f>
        <x:v>1.446</x:v>
      </x:c>
      <x:c r="Z190" s="31" t="n">
        <x:f>V190*Y190</x:f>
        <x:v>5.726371073395385</x:v>
      </x:c>
      <x:c r="AA190" s="30" t="str">
        <x:f>IF(Z190&lt;=I190,"Peaceful","Hostile")</x:f>
        <x:v>Peaceful</x:v>
      </x:c>
      <x:c r="AB190" s="30" t="str">
        <x:f>IF(Z190&lt;='Controls &amp; Summary'!$B$6,"Eligible","Blocked")</x:f>
        <x:v>Eligible</x:v>
      </x:c>
      <x:c r="AC190" s="30" t="str">
        <x:v>2003_EUA</x:v>
      </x:c>
      <x:c r="AD190" s="30" t="str">
        <x:v>2003_NOR</x:v>
      </x:c>
      <x:c r="AE190" s="30" t="str">
        <x:v>2003_Norway</x:v>
      </x:c>
      <x:c r="AF190" s="30" t="str">
        <x:v>Explicit capitalClaim</x:v>
      </x:c>
      <x:c r="AG190" s="30" t="str">
        <x:v>Claim2003_EUA2003_Norway</x:v>
      </x:c>
      <x:c r="AH190" s="30" t="str"/>
    </x:row>
    <x:row r="191">
      <x:c r="A191" s="30" t="str">
        <x:v>2003</x:v>
      </x:c>
      <x:c r="B191" s="30" t="str">
        <x:v>Dark Skies</x:v>
      </x:c>
      <x:c r="C191" s="30" t="str">
        <x:v>France</x:v>
      </x:c>
      <x:c r="D191" s="30" t="str">
        <x:v>Poland</x:v>
      </x:c>
      <x:c r="E191" s="30" t="str">
        <x:v>Starting claim</x:v>
      </x:c>
      <x:c r="F191" s="30" t="str"/>
      <x:c r="G191" s="30" t="str">
        <x:v>No</x:v>
      </x:c>
      <x:c r="H191" s="30" t="str">
        <x:v>Ordinary claim</x:v>
      </x:c>
      <x:c r="I191" s="31" t="n">
        <x:f>IF(G191="Yes",'Controls &amp; Summary'!$B$5,'Controls &amp; Summary'!$B$4)</x:f>
        <x:v>6</x:v>
      </x:c>
      <x:c r="J191" s="31" t="n">
        <x:v>8.07</x:v>
      </x:c>
      <x:c r="K191" s="31" t="n">
        <x:v>7.35</x:v>
      </x:c>
      <x:c r="L191" s="31" t="n">
        <x:f>ABS(J191-K191)</x:f>
        <x:v>0.7200000000000006</x:v>
      </x:c>
      <x:c r="M191" s="31" t="n">
        <x:v>2.88</x:v>
      </x:c>
      <x:c r="N191" s="31" t="n">
        <x:v>3.05</x:v>
      </x:c>
      <x:c r="O191" s="31" t="n">
        <x:f>ABS(M191-N191)</x:f>
        <x:v>0.16999999999999993</x:v>
      </x:c>
      <x:c r="P191" s="31" t="n">
        <x:v>8.03</x:v>
      </x:c>
      <x:c r="Q191" s="31" t="n">
        <x:v>7.59</x:v>
      </x:c>
      <x:c r="R191" s="31" t="n">
        <x:f>ABS(P191-Q191)</x:f>
        <x:v>0.4399999999999995</x:v>
      </x:c>
      <x:c r="S191" s="32" t="n">
        <x:v>29306.518540870566</x:v>
      </x:c>
      <x:c r="T191" s="32" t="n">
        <x:v>7801.797037126732</x:v>
      </x:c>
      <x:c r="U191" s="31" t="n">
        <x:f>MAX(S191/T191,T191/S191)</x:f>
        <x:v>3.756380536613351</x:v>
      </x:c>
      <x:c r="V191" s="31" t="n">
        <x:f>L191*'Controls &amp; Summary'!$B$9+O191*'Controls &amp; Summary'!$B$10+R191*'Controls &amp; Summary'!$B$11+U191*'Controls &amp; Summary'!$B$12</x:f>
        <x:v>5.086380536613351</x:v>
      </x:c>
      <x:c r="W191" s="31" t="n">
        <x:v>4.21</x:v>
      </x:c>
      <x:c r="X191" s="31" t="n">
        <x:v>2.03</x:v>
      </x:c>
      <x:c r="Y191" s="31" t="n">
        <x:f>((10-MIN(10,MAX(0,X191)))/10)*'Controls &amp; Summary'!$B$15+((10-MIN(10,MAX(0,W191)))/10)*'Controls &amp; Summary'!$B$16</x:f>
        <x:v>1.376</x:v>
      </x:c>
      <x:c r="Z191" s="31" t="n">
        <x:f>V191*Y191</x:f>
        <x:v>6.998859618379971</x:v>
      </x:c>
      <x:c r="AA191" s="30" t="str">
        <x:f>IF(Z191&lt;=I191,"Peaceful","Hostile")</x:f>
        <x:v>Hostile</x:v>
      </x:c>
      <x:c r="AB191" s="30" t="str">
        <x:f>IF(Z191&lt;='Controls &amp; Summary'!$B$6,"Eligible","Blocked")</x:f>
        <x:v>Eligible</x:v>
      </x:c>
      <x:c r="AC191" s="30" t="str">
        <x:v>2003_EUA</x:v>
      </x:c>
      <x:c r="AD191" s="30" t="str">
        <x:v>2003_POL</x:v>
      </x:c>
      <x:c r="AE191" s="30" t="str">
        <x:v>2003_Poland</x:v>
      </x:c>
      <x:c r="AF191" s="30" t="str">
        <x:v>Explicit capitalClaim</x:v>
      </x:c>
      <x:c r="AG191" s="30" t="str">
        <x:v>Claim2003_EUA2003_Poland</x:v>
      </x:c>
      <x:c r="AH191" s="30" t="str"/>
    </x:row>
    <x:row r="192">
      <x:c r="A192" s="30" t="str">
        <x:v>2003</x:v>
      </x:c>
      <x:c r="B192" s="30" t="str">
        <x:v>Dark Skies</x:v>
      </x:c>
      <x:c r="C192" s="30" t="str">
        <x:v>France</x:v>
      </x:c>
      <x:c r="D192" s="30" t="str">
        <x:v>Portugal</x:v>
      </x:c>
      <x:c r="E192" s="30" t="str">
        <x:v>Starting claim</x:v>
      </x:c>
      <x:c r="F192" s="30" t="str"/>
      <x:c r="G192" s="30" t="str">
        <x:v>No</x:v>
      </x:c>
      <x:c r="H192" s="30" t="str">
        <x:v>Ordinary claim</x:v>
      </x:c>
      <x:c r="I192" s="31" t="n">
        <x:f>IF(G192="Yes",'Controls &amp; Summary'!$B$5,'Controls &amp; Summary'!$B$4)</x:f>
        <x:v>6</x:v>
      </x:c>
      <x:c r="J192" s="31" t="n">
        <x:v>8.07</x:v>
      </x:c>
      <x:c r="K192" s="31" t="n">
        <x:v>8.03</x:v>
      </x:c>
      <x:c r="L192" s="31" t="n">
        <x:f>ABS(J192-K192)</x:f>
        <x:v>0.040000000000000924</x:v>
      </x:c>
      <x:c r="M192" s="31" t="n">
        <x:v>2.88</x:v>
      </x:c>
      <x:c r="N192" s="31" t="n">
        <x:v>3.3</x:v>
      </x:c>
      <x:c r="O192" s="31" t="n">
        <x:f>ABS(M192-N192)</x:f>
        <x:v>0.41999999999999993</x:v>
      </x:c>
      <x:c r="P192" s="31" t="n">
        <x:v>8.03</x:v>
      </x:c>
      <x:c r="Q192" s="31" t="n">
        <x:v>7.43</x:v>
      </x:c>
      <x:c r="R192" s="31" t="n">
        <x:f>ABS(P192-Q192)</x:f>
        <x:v>0.5999999999999996</x:v>
      </x:c>
      <x:c r="S192" s="32" t="n">
        <x:v>29306.518540870566</x:v>
      </x:c>
      <x:c r="T192" s="32" t="n">
        <x:v>15800.733386294278</x:v>
      </x:c>
      <x:c r="U192" s="31" t="n">
        <x:f>MAX(S192/T192,T192/S192)</x:f>
        <x:v>1.8547568536465115</x:v>
      </x:c>
      <x:c r="V192" s="31" t="n">
        <x:f>L192*'Controls &amp; Summary'!$B$9+O192*'Controls &amp; Summary'!$B$10+R192*'Controls &amp; Summary'!$B$11+U192*'Controls &amp; Summary'!$B$12</x:f>
        <x:v>2.9147568536465123</x:v>
      </x:c>
      <x:c r="W192" s="31" t="n">
        <x:v>4.21</x:v>
      </x:c>
      <x:c r="X192" s="31" t="n">
        <x:v>0.47</x:v>
      </x:c>
      <x:c r="Y192" s="31" t="n">
        <x:f>((10-MIN(10,MAX(0,X192)))/10)*'Controls &amp; Summary'!$B$15+((10-MIN(10,MAX(0,W192)))/10)*'Controls &amp; Summary'!$B$16</x:f>
        <x:v>1.532</x:v>
      </x:c>
      <x:c r="Z192" s="31" t="n">
        <x:f>V192*Y192</x:f>
        <x:v>4.465407499786457</x:v>
      </x:c>
      <x:c r="AA192" s="30" t="str">
        <x:f>IF(Z192&lt;=I192,"Peaceful","Hostile")</x:f>
        <x:v>Peaceful</x:v>
      </x:c>
      <x:c r="AB192" s="30" t="str">
        <x:f>IF(Z192&lt;='Controls &amp; Summary'!$B$6,"Eligible","Blocked")</x:f>
        <x:v>Eligible</x:v>
      </x:c>
      <x:c r="AC192" s="30" t="str">
        <x:v>2003_EUA</x:v>
      </x:c>
      <x:c r="AD192" s="30" t="str">
        <x:v>2003_PRT</x:v>
      </x:c>
      <x:c r="AE192" s="30" t="str">
        <x:v>2003_Portugal</x:v>
      </x:c>
      <x:c r="AF192" s="30" t="str">
        <x:v>Explicit capitalClaim</x:v>
      </x:c>
      <x:c r="AG192" s="30" t="str">
        <x:v>Claim2003_EUA2003_Portugal</x:v>
      </x:c>
      <x:c r="AH192" s="30" t="str"/>
    </x:row>
    <x:row r="193">
      <x:c r="A193" s="30" t="str">
        <x:v>2003</x:v>
      </x:c>
      <x:c r="B193" s="30" t="str">
        <x:v>Dark Skies</x:v>
      </x:c>
      <x:c r="C193" s="30" t="str">
        <x:v>France</x:v>
      </x:c>
      <x:c r="D193" s="30" t="str">
        <x:v>Romania</x:v>
      </x:c>
      <x:c r="E193" s="30" t="str">
        <x:v>Starting claim</x:v>
      </x:c>
      <x:c r="F193" s="30" t="str"/>
      <x:c r="G193" s="30" t="str">
        <x:v>No</x:v>
      </x:c>
      <x:c r="H193" s="30" t="str">
        <x:v>Ordinary claim</x:v>
      </x:c>
      <x:c r="I193" s="31" t="n">
        <x:f>IF(G193="Yes",'Controls &amp; Summary'!$B$5,'Controls &amp; Summary'!$B$4)</x:f>
        <x:v>6</x:v>
      </x:c>
      <x:c r="J193" s="31" t="n">
        <x:v>8.07</x:v>
      </x:c>
      <x:c r="K193" s="31" t="n">
        <x:v>6.77</x:v>
      </x:c>
      <x:c r="L193" s="31" t="n">
        <x:f>ABS(J193-K193)</x:f>
        <x:v>1.3000000000000007</x:v>
      </x:c>
      <x:c r="M193" s="31" t="n">
        <x:v>2.88</x:v>
      </x:c>
      <x:c r="N193" s="31" t="n">
        <x:v>3.1</x:v>
      </x:c>
      <x:c r="O193" s="31" t="n">
        <x:f>ABS(M193-N193)</x:f>
        <x:v>0.2200000000000002</x:v>
      </x:c>
      <x:c r="P193" s="31" t="n">
        <x:v>8.03</x:v>
      </x:c>
      <x:c r="Q193" s="31" t="n">
        <x:v>6.78</x:v>
      </x:c>
      <x:c r="R193" s="31" t="n">
        <x:f>ABS(P193-Q193)</x:f>
        <x:v>1.2499999999999991</x:v>
      </x:c>
      <x:c r="S193" s="32" t="n">
        <x:v>29306.518540870566</x:v>
      </x:c>
      <x:c r="T193" s="32" t="n">
        <x:v>6486.968196003881</x:v>
      </x:c>
      <x:c r="U193" s="31" t="n">
        <x:f>MAX(S193/T193,T193/S193)</x:f>
        <x:v>4.517752770689403</x:v>
      </x:c>
      <x:c r="V193" s="31" t="n">
        <x:f>L193*'Controls &amp; Summary'!$B$9+O193*'Controls &amp; Summary'!$B$10+R193*'Controls &amp; Summary'!$B$11+U193*'Controls &amp; Summary'!$B$12</x:f>
        <x:v>7.287752770689403</x:v>
      </x:c>
      <x:c r="W193" s="31" t="n">
        <x:v>4.21</x:v>
      </x:c>
      <x:c r="X193" s="31" t="n">
        <x:v>0.17</x:v>
      </x:c>
      <x:c r="Y193" s="31" t="n">
        <x:f>((10-MIN(10,MAX(0,X193)))/10)*'Controls &amp; Summary'!$B$15+((10-MIN(10,MAX(0,W193)))/10)*'Controls &amp; Summary'!$B$16</x:f>
        <x:v>1.5619999999999998</x:v>
      </x:c>
      <x:c r="Z193" s="31" t="n">
        <x:f>V193*Y193</x:f>
        <x:v>11.383469827816846</x:v>
      </x:c>
      <x:c r="AA193" s="30" t="str">
        <x:f>IF(Z193&lt;=I193,"Peaceful","Hostile")</x:f>
        <x:v>Hostile</x:v>
      </x:c>
      <x:c r="AB193" s="30" t="str">
        <x:f>IF(Z193&lt;='Controls &amp; Summary'!$B$6,"Eligible","Blocked")</x:f>
        <x:v>Eligible</x:v>
      </x:c>
      <x:c r="AC193" s="30" t="str">
        <x:v>2003_EUA</x:v>
      </x:c>
      <x:c r="AD193" s="30" t="str">
        <x:v>2003_ROM</x:v>
      </x:c>
      <x:c r="AE193" s="30" t="str">
        <x:v>2003_Romania</x:v>
      </x:c>
      <x:c r="AF193" s="30" t="str">
        <x:v>Explicit capitalClaim</x:v>
      </x:c>
      <x:c r="AG193" s="30" t="str">
        <x:v>Claim2003_EUA2003_Romania</x:v>
      </x:c>
      <x:c r="AH193" s="30" t="str"/>
    </x:row>
    <x:row r="194">
      <x:c r="A194" s="30" t="str">
        <x:v>2003</x:v>
      </x:c>
      <x:c r="B194" s="30" t="str">
        <x:v>Dark Skies</x:v>
      </x:c>
      <x:c r="C194" s="30" t="str">
        <x:v>France</x:v>
      </x:c>
      <x:c r="D194" s="30" t="str">
        <x:v>Russia</x:v>
      </x:c>
      <x:c r="E194" s="30" t="str">
        <x:v>Project unlock</x:v>
      </x:c>
      <x:c r="F194" s="30" t="str">
        <x:v>Great Europa</x:v>
      </x:c>
      <x:c r="G194" s="30" t="str">
        <x:v>No</x:v>
      </x:c>
      <x:c r="H194" s="30" t="str">
        <x:v>Ordinary claim</x:v>
      </x:c>
      <x:c r="I194" s="31" t="n">
        <x:f>IF(G194="Yes",'Controls &amp; Summary'!$B$5,'Controls &amp; Summary'!$B$4)</x:f>
        <x:v>6</x:v>
      </x:c>
      <x:c r="J194" s="31" t="n">
        <x:v>8.07</x:v>
      </x:c>
      <x:c r="K194" s="31" t="n">
        <x:v>5.16</x:v>
      </x:c>
      <x:c r="L194" s="31" t="n">
        <x:f>ABS(J194-K194)</x:f>
        <x:v>2.91</x:v>
      </x:c>
      <x:c r="M194" s="31" t="n">
        <x:v>2.88</x:v>
      </x:c>
      <x:c r="N194" s="31" t="n">
        <x:v>3.77</x:v>
      </x:c>
      <x:c r="O194" s="31" t="n">
        <x:f>ABS(M194-N194)</x:f>
        <x:v>0.8900000000000001</x:v>
      </x:c>
      <x:c r="P194" s="31" t="n">
        <x:v>8.03</x:v>
      </x:c>
      <x:c r="Q194" s="31" t="n">
        <x:v>7.04</x:v>
      </x:c>
      <x:c r="R194" s="31" t="n">
        <x:f>ABS(P194-Q194)</x:f>
        <x:v>0.9899999999999993</x:v>
      </x:c>
      <x:c r="S194" s="32" t="n">
        <x:v>29306.518540870566</x:v>
      </x:c>
      <x:c r="T194" s="32" t="n">
        <x:v>7812.9539838514465</x:v>
      </x:c>
      <x:c r="U194" s="31" t="n">
        <x:f>MAX(S194/T194,T194/S194)</x:f>
        <x:v>3.7510164019196908</x:v>
      </x:c>
      <x:c r="V194" s="31" t="n">
        <x:f>L194*'Controls &amp; Summary'!$B$9+O194*'Controls &amp; Summary'!$B$10+R194*'Controls &amp; Summary'!$B$11+U194*'Controls &amp; Summary'!$B$12</x:f>
        <x:v>8.54101640191969</x:v>
      </x:c>
      <x:c r="W194" s="31" t="n">
        <x:v>4.21</x:v>
      </x:c>
      <x:c r="X194" s="31" t="n">
        <x:v>3.67</x:v>
      </x:c>
      <x:c r="Y194" s="31" t="n">
        <x:f>((10-MIN(10,MAX(0,X194)))/10)*'Controls &amp; Summary'!$B$15+((10-MIN(10,MAX(0,W194)))/10)*'Controls &amp; Summary'!$B$16</x:f>
        <x:v>1.212</x:v>
      </x:c>
      <x:c r="Z194" s="31" t="n">
        <x:f>V194*Y194</x:f>
        <x:v>10.351711879126663</x:v>
      </x:c>
      <x:c r="AA194" s="30" t="str">
        <x:f>IF(Z194&lt;=I194,"Peaceful","Hostile")</x:f>
        <x:v>Hostile</x:v>
      </x:c>
      <x:c r="AB194" s="30" t="str">
        <x:f>IF(Z194&lt;='Controls &amp; Summary'!$B$6,"Eligible","Blocked")</x:f>
        <x:v>Eligible</x:v>
      </x:c>
      <x:c r="AC194" s="30" t="str">
        <x:v>2003_EUA</x:v>
      </x:c>
      <x:c r="AD194" s="30" t="str">
        <x:v>2003_RUS</x:v>
      </x:c>
      <x:c r="AE194" s="30" t="str">
        <x:v>2003_Moskva</x:v>
      </x:c>
      <x:c r="AF194" s="30" t="str">
        <x:v>Explicit capitalClaim</x:v>
      </x:c>
      <x:c r="AG194" s="30" t="str">
        <x:v>Claim2003_EUA2003_Moskva</x:v>
      </x:c>
      <x:c r="AH194" s="30" t="str">
        <x:v>Project_GreatEuropa</x:v>
      </x:c>
    </x:row>
    <x:row r="195">
      <x:c r="A195" s="30" t="str">
        <x:v>2003</x:v>
      </x:c>
      <x:c r="B195" s="30" t="str">
        <x:v>Dark Skies</x:v>
      </x:c>
      <x:c r="C195" s="30" t="str">
        <x:v>France</x:v>
      </x:c>
      <x:c r="D195" s="30" t="str">
        <x:v>Serbia</x:v>
      </x:c>
      <x:c r="E195" s="30" t="str">
        <x:v>Starting claim</x:v>
      </x:c>
      <x:c r="F195" s="30" t="str"/>
      <x:c r="G195" s="30" t="str">
        <x:v>No</x:v>
      </x:c>
      <x:c r="H195" s="30" t="str">
        <x:v>Ordinary claim</x:v>
      </x:c>
      <x:c r="I195" s="31" t="n">
        <x:f>IF(G195="Yes",'Controls &amp; Summary'!$B$5,'Controls &amp; Summary'!$B$4)</x:f>
        <x:v>6</x:v>
      </x:c>
      <x:c r="J195" s="31" t="n">
        <x:v>8.07</x:v>
      </x:c>
      <x:c r="K195" s="31" t="n">
        <x:v>6.65</x:v>
      </x:c>
      <x:c r="L195" s="31" t="n">
        <x:f>ABS(J195-K195)</x:f>
        <x:v>1.42</x:v>
      </x:c>
      <x:c r="M195" s="31" t="n">
        <x:v>2.88</x:v>
      </x:c>
      <x:c r="N195" s="31" t="n">
        <x:v>3.43</x:v>
      </x:c>
      <x:c r="O195" s="31" t="n">
        <x:f>ABS(M195-N195)</x:f>
        <x:v>0.5500000000000003</x:v>
      </x:c>
      <x:c r="P195" s="31" t="n">
        <x:v>8.03</x:v>
      </x:c>
      <x:c r="Q195" s="31" t="n">
        <x:v>6.46</x:v>
      </x:c>
      <x:c r="R195" s="31" t="n">
        <x:f>ABS(P195-Q195)</x:f>
        <x:v>1.5699999999999994</x:v>
      </x:c>
      <x:c r="S195" s="32" t="n">
        <x:v>29306.518540870566</x:v>
      </x:c>
      <x:c r="T195" s="32" t="n">
        <x:v>4347.589668859871</x:v>
      </x:c>
      <x:c r="U195" s="31" t="n">
        <x:f>MAX(S195/T195,T195/S195)</x:f>
        <x:v>6.740865806812909</x:v>
      </x:c>
      <x:c r="V195" s="31" t="n">
        <x:f>L195*'Controls &amp; Summary'!$B$9+O195*'Controls &amp; Summary'!$B$10+R195*'Controls &amp; Summary'!$B$11+U195*'Controls &amp; Summary'!$B$12</x:f>
        <x:v>10.280865806812908</x:v>
      </x:c>
      <x:c r="W195" s="31" t="n">
        <x:v>4.21</x:v>
      </x:c>
      <x:c r="X195" s="31" t="n">
        <x:v>3.06</x:v>
      </x:c>
      <x:c r="Y195" s="31" t="n">
        <x:f>((10-MIN(10,MAX(0,X195)))/10)*'Controls &amp; Summary'!$B$15+((10-MIN(10,MAX(0,W195)))/10)*'Controls &amp; Summary'!$B$16</x:f>
        <x:v>1.273</x:v>
      </x:c>
      <x:c r="Z195" s="31" t="n">
        <x:f>V195*Y195</x:f>
        <x:v>13.087542172072832</x:v>
      </x:c>
      <x:c r="AA195" s="30" t="str">
        <x:f>IF(Z195&lt;=I195,"Peaceful","Hostile")</x:f>
        <x:v>Hostile</x:v>
      </x:c>
      <x:c r="AB195" s="30" t="str">
        <x:f>IF(Z195&lt;='Controls &amp; Summary'!$B$6,"Eligible","Blocked")</x:f>
        <x:v>Blocked</x:v>
      </x:c>
      <x:c r="AC195" s="30" t="str">
        <x:v>2003_EUA</x:v>
      </x:c>
      <x:c r="AD195" s="30" t="str">
        <x:v>2003_SER</x:v>
      </x:c>
      <x:c r="AE195" s="30" t="str">
        <x:v>2003_Belgrade</x:v>
      </x:c>
      <x:c r="AF195" s="30" t="str">
        <x:v>Explicit capitalClaim</x:v>
      </x:c>
      <x:c r="AG195" s="30" t="str">
        <x:v>Claim2003_EUA2003_Belgrade</x:v>
      </x:c>
      <x:c r="AH195" s="30" t="str"/>
    </x:row>
    <x:row r="196">
      <x:c r="A196" s="30" t="str">
        <x:v>2003</x:v>
      </x:c>
      <x:c r="B196" s="30" t="str">
        <x:v>Dark Skies</x:v>
      </x:c>
      <x:c r="C196" s="30" t="str">
        <x:v>France</x:v>
      </x:c>
      <x:c r="D196" s="30" t="str">
        <x:v>Slovakia</x:v>
      </x:c>
      <x:c r="E196" s="30" t="str">
        <x:v>Starting claim</x:v>
      </x:c>
      <x:c r="F196" s="30" t="str"/>
      <x:c r="G196" s="30" t="str">
        <x:v>No</x:v>
      </x:c>
      <x:c r="H196" s="30" t="str">
        <x:v>Ordinary claim</x:v>
      </x:c>
      <x:c r="I196" s="31" t="n">
        <x:f>IF(G196="Yes",'Controls &amp; Summary'!$B$5,'Controls &amp; Summary'!$B$4)</x:f>
        <x:v>6</x:v>
      </x:c>
      <x:c r="J196" s="31" t="n">
        <x:v>8.07</x:v>
      </x:c>
      <x:c r="K196" s="31" t="n">
        <x:v>7.57</x:v>
      </x:c>
      <x:c r="L196" s="31" t="n">
        <x:f>ABS(J196-K196)</x:f>
        <x:v>0.5</x:v>
      </x:c>
      <x:c r="M196" s="31" t="n">
        <x:v>2.88</x:v>
      </x:c>
      <x:c r="N196" s="31" t="n">
        <x:v>2.62</x:v>
      </x:c>
      <x:c r="O196" s="31" t="n">
        <x:f>ABS(M196-N196)</x:f>
        <x:v>0.2599999999999998</x:v>
      </x:c>
      <x:c r="P196" s="31" t="n">
        <x:v>8.03</x:v>
      </x:c>
      <x:c r="Q196" s="31" t="n">
        <x:v>7.3</x:v>
      </x:c>
      <x:c r="R196" s="31" t="n">
        <x:f>ABS(P196-Q196)</x:f>
        <x:v>0.7299999999999995</x:v>
      </x:c>
      <x:c r="S196" s="32" t="n">
        <x:v>29306.518540870566</x:v>
      </x:c>
      <x:c r="T196" s="32" t="n">
        <x:v>8050.541042402472</x:v>
      </x:c>
      <x:c r="U196" s="31" t="n">
        <x:f>MAX(S196/T196,T196/S196)</x:f>
        <x:v>3.6403166428830236</x:v>
      </x:c>
      <x:c r="V196" s="31" t="n">
        <x:f>L196*'Controls &amp; Summary'!$B$9+O196*'Controls &amp; Summary'!$B$10+R196*'Controls &amp; Summary'!$B$11+U196*'Controls &amp; Summary'!$B$12</x:f>
        <x:v>5.130316642883023</x:v>
      </x:c>
      <x:c r="W196" s="31" t="n">
        <x:v>4.21</x:v>
      </x:c>
      <x:c r="X196" s="31" t="n">
        <x:v>0.69</x:v>
      </x:c>
      <x:c r="Y196" s="31" t="n">
        <x:f>((10-MIN(10,MAX(0,X196)))/10)*'Controls &amp; Summary'!$B$15+((10-MIN(10,MAX(0,W196)))/10)*'Controls &amp; Summary'!$B$16</x:f>
        <x:v>1.51</x:v>
      </x:c>
      <x:c r="Z196" s="31" t="n">
        <x:f>V196*Y196</x:f>
        <x:v>7.7467781307533645</x:v>
      </x:c>
      <x:c r="AA196" s="30" t="str">
        <x:f>IF(Z196&lt;=I196,"Peaceful","Hostile")</x:f>
        <x:v>Hostile</x:v>
      </x:c>
      <x:c r="AB196" s="30" t="str">
        <x:f>IF(Z196&lt;='Controls &amp; Summary'!$B$6,"Eligible","Blocked")</x:f>
        <x:v>Eligible</x:v>
      </x:c>
      <x:c r="AC196" s="30" t="str">
        <x:v>2003_EUA</x:v>
      </x:c>
      <x:c r="AD196" s="30" t="str">
        <x:v>2003_SLO</x:v>
      </x:c>
      <x:c r="AE196" s="30" t="str">
        <x:v>2003_Slovakia</x:v>
      </x:c>
      <x:c r="AF196" s="30" t="str">
        <x:v>Explicit capitalClaim</x:v>
      </x:c>
      <x:c r="AG196" s="30" t="str">
        <x:v>Claim2003_EUA2003_Slovakia</x:v>
      </x:c>
      <x:c r="AH196" s="30" t="str"/>
    </x:row>
    <x:row r="197">
      <x:c r="A197" s="30" t="str">
        <x:v>2003</x:v>
      </x:c>
      <x:c r="B197" s="30" t="str">
        <x:v>Dark Skies</x:v>
      </x:c>
      <x:c r="C197" s="30" t="str">
        <x:v>France</x:v>
      </x:c>
      <x:c r="D197" s="30" t="str">
        <x:v>Slovenia</x:v>
      </x:c>
      <x:c r="E197" s="30" t="str">
        <x:v>Starting claim</x:v>
      </x:c>
      <x:c r="F197" s="30" t="str"/>
      <x:c r="G197" s="30" t="str">
        <x:v>No</x:v>
      </x:c>
      <x:c r="H197" s="30" t="str">
        <x:v>Ordinary claim</x:v>
      </x:c>
      <x:c r="I197" s="31" t="n">
        <x:f>IF(G197="Yes",'Controls &amp; Summary'!$B$5,'Controls &amp; Summary'!$B$4)</x:f>
        <x:v>6</x:v>
      </x:c>
      <x:c r="J197" s="31" t="n">
        <x:v>8.07</x:v>
      </x:c>
      <x:c r="K197" s="31" t="n">
        <x:v>8.09</x:v>
      </x:c>
      <x:c r="L197" s="31" t="n">
        <x:f>ABS(J197-K197)</x:f>
        <x:v>0.019999999999999574</x:v>
      </x:c>
      <x:c r="M197" s="31" t="n">
        <x:v>2.88</x:v>
      </x:c>
      <x:c r="N197" s="31" t="n">
        <x:v>2.37</x:v>
      </x:c>
      <x:c r="O197" s="31" t="n">
        <x:f>ABS(M197-N197)</x:f>
        <x:v>0.5099999999999998</x:v>
      </x:c>
      <x:c r="P197" s="31" t="n">
        <x:v>8.03</x:v>
      </x:c>
      <x:c r="Q197" s="31" t="n">
        <x:v>8.06</x:v>
      </x:c>
      <x:c r="R197" s="31" t="n">
        <x:f>ABS(P197-Q197)</x:f>
        <x:v>0.030000000000001137</x:v>
      </x:c>
      <x:c r="S197" s="32" t="n">
        <x:v>29306.518540870566</x:v>
      </x:c>
      <x:c r="T197" s="32" t="n">
        <x:v>14754.809308955126</x:v>
      </x:c>
      <x:c r="U197" s="31" t="n">
        <x:f>MAX(S197/T197,T197/S197)</x:f>
        <x:v>1.9862349913992845</x:v>
      </x:c>
      <x:c r="V197" s="31" t="n">
        <x:f>L197*'Controls &amp; Summary'!$B$9+O197*'Controls &amp; Summary'!$B$10+R197*'Controls &amp; Summary'!$B$11+U197*'Controls &amp; Summary'!$B$12</x:f>
        <x:v>2.546234991399285</x:v>
      </x:c>
      <x:c r="W197" s="31" t="n">
        <x:v>4.21</x:v>
      </x:c>
      <x:c r="X197" s="31" t="n">
        <x:v>0.75</x:v>
      </x:c>
      <x:c r="Y197" s="31" t="n">
        <x:f>((10-MIN(10,MAX(0,X197)))/10)*'Controls &amp; Summary'!$B$15+((10-MIN(10,MAX(0,W197)))/10)*'Controls &amp; Summary'!$B$16</x:f>
        <x:v>1.504</x:v>
      </x:c>
      <x:c r="Z197" s="31" t="n">
        <x:f>V197*Y197</x:f>
        <x:v>3.829537427064525</x:v>
      </x:c>
      <x:c r="AA197" s="30" t="str">
        <x:f>IF(Z197&lt;=I197,"Peaceful","Hostile")</x:f>
        <x:v>Peaceful</x:v>
      </x:c>
      <x:c r="AB197" s="30" t="str">
        <x:f>IF(Z197&lt;='Controls &amp; Summary'!$B$6,"Eligible","Blocked")</x:f>
        <x:v>Eligible</x:v>
      </x:c>
      <x:c r="AC197" s="30" t="str">
        <x:v>2003_EUA</x:v>
      </x:c>
      <x:c r="AD197" s="30" t="str">
        <x:v>2003_SLV</x:v>
      </x:c>
      <x:c r="AE197" s="30" t="str">
        <x:v>2003_Slovenia</x:v>
      </x:c>
      <x:c r="AF197" s="30" t="str">
        <x:v>Explicit capitalClaim</x:v>
      </x:c>
      <x:c r="AG197" s="30" t="str">
        <x:v>Claim2003_EUA2003_Slovenia</x:v>
      </x:c>
      <x:c r="AH197" s="30" t="str"/>
    </x:row>
    <x:row r="198">
      <x:c r="A198" s="30" t="str">
        <x:v>2003</x:v>
      </x:c>
      <x:c r="B198" s="30" t="str">
        <x:v>Dark Skies</x:v>
      </x:c>
      <x:c r="C198" s="30" t="str">
        <x:v>France</x:v>
      </x:c>
      <x:c r="D198" s="30" t="str">
        <x:v>Spain</x:v>
      </x:c>
      <x:c r="E198" s="30" t="str">
        <x:v>Starting claim</x:v>
      </x:c>
      <x:c r="F198" s="30" t="str"/>
      <x:c r="G198" s="30" t="str">
        <x:v>No</x:v>
      </x:c>
      <x:c r="H198" s="30" t="str">
        <x:v>Ordinary claim</x:v>
      </x:c>
      <x:c r="I198" s="31" t="n">
        <x:f>IF(G198="Yes",'Controls &amp; Summary'!$B$5,'Controls &amp; Summary'!$B$4)</x:f>
        <x:v>6</x:v>
      </x:c>
      <x:c r="J198" s="31" t="n">
        <x:v>8.07</x:v>
      </x:c>
      <x:c r="K198" s="31" t="n">
        <x:v>8.24</x:v>
      </x:c>
      <x:c r="L198" s="31" t="n">
        <x:f>ABS(J198-K198)</x:f>
        <x:v>0.16999999999999993</x:v>
      </x:c>
      <x:c r="M198" s="31" t="n">
        <x:v>2.88</x:v>
      </x:c>
      <x:c r="N198" s="31" t="n">
        <x:v>3.12</x:v>
      </x:c>
      <x:c r="O198" s="31" t="n">
        <x:f>ABS(M198-N198)</x:f>
        <x:v>0.2400000000000002</x:v>
      </x:c>
      <x:c r="P198" s="31" t="n">
        <x:v>8.03</x:v>
      </x:c>
      <x:c r="Q198" s="31" t="n">
        <x:v>7.85</x:v>
      </x:c>
      <x:c r="R198" s="31" t="n">
        <x:f>ABS(P198-Q198)</x:f>
        <x:v>0.17999999999999972</x:v>
      </x:c>
      <x:c r="S198" s="32" t="n">
        <x:v>29306.518540870566</x:v>
      </x:c>
      <x:c r="T198" s="32" t="n">
        <x:v>21355.20329187909</x:v>
      </x:c>
      <x:c r="U198" s="31" t="n">
        <x:f>MAX(S198/T198,T198/S198)</x:f>
        <x:v>1.3723362002372126</x:v>
      </x:c>
      <x:c r="V198" s="31" t="n">
        <x:f>L198*'Controls &amp; Summary'!$B$9+O198*'Controls &amp; Summary'!$B$10+R198*'Controls &amp; Summary'!$B$11+U198*'Controls &amp; Summary'!$B$12</x:f>
        <x:v>1.9623362002372124</x:v>
      </x:c>
      <x:c r="W198" s="31" t="n">
        <x:v>4.21</x:v>
      </x:c>
      <x:c r="X198" s="31" t="n">
        <x:v>4.96</x:v>
      </x:c>
      <x:c r="Y198" s="31" t="n">
        <x:f>((10-MIN(10,MAX(0,X198)))/10)*'Controls &amp; Summary'!$B$15+((10-MIN(10,MAX(0,W198)))/10)*'Controls &amp; Summary'!$B$16</x:f>
        <x:v>1.083</x:v>
      </x:c>
      <x:c r="Z198" s="31" t="n">
        <x:f>V198*Y198</x:f>
        <x:v>2.125210104856901</x:v>
      </x:c>
      <x:c r="AA198" s="30" t="str">
        <x:f>IF(Z198&lt;=I198,"Peaceful","Hostile")</x:f>
        <x:v>Peaceful</x:v>
      </x:c>
      <x:c r="AB198" s="30" t="str">
        <x:f>IF(Z198&lt;='Controls &amp; Summary'!$B$6,"Eligible","Blocked")</x:f>
        <x:v>Eligible</x:v>
      </x:c>
      <x:c r="AC198" s="30" t="str">
        <x:v>2003_EUA</x:v>
      </x:c>
      <x:c r="AD198" s="30" t="str">
        <x:v>2003_ESP</x:v>
      </x:c>
      <x:c r="AE198" s="30" t="str">
        <x:v>2003_Spain</x:v>
      </x:c>
      <x:c r="AF198" s="30" t="str">
        <x:v>Explicit capitalClaim</x:v>
      </x:c>
      <x:c r="AG198" s="30" t="str">
        <x:v>Claim2003_EUA2003_Spain</x:v>
      </x:c>
      <x:c r="AH198" s="30" t="str"/>
    </x:row>
    <x:row r="199">
      <x:c r="A199" s="30" t="str">
        <x:v>2003</x:v>
      </x:c>
      <x:c r="B199" s="30" t="str">
        <x:v>Dark Skies</x:v>
      </x:c>
      <x:c r="C199" s="30" t="str">
        <x:v>France</x:v>
      </x:c>
      <x:c r="D199" s="30" t="str">
        <x:v>Sweden</x:v>
      </x:c>
      <x:c r="E199" s="30" t="str">
        <x:v>Starting claim</x:v>
      </x:c>
      <x:c r="F199" s="30" t="str"/>
      <x:c r="G199" s="30" t="str">
        <x:v>No</x:v>
      </x:c>
      <x:c r="H199" s="30" t="str">
        <x:v>Ordinary claim</x:v>
      </x:c>
      <x:c r="I199" s="31" t="n">
        <x:f>IF(G199="Yes",'Controls &amp; Summary'!$B$5,'Controls &amp; Summary'!$B$4)</x:f>
        <x:v>6</x:v>
      </x:c>
      <x:c r="J199" s="31" t="n">
        <x:v>8.07</x:v>
      </x:c>
      <x:c r="K199" s="31" t="n">
        <x:v>9.86</x:v>
      </x:c>
      <x:c r="L199" s="31" t="n">
        <x:f>ABS(J199-K199)</x:f>
        <x:v>1.7899999999999991</x:v>
      </x:c>
      <x:c r="M199" s="31" t="n">
        <x:v>2.88</x:v>
      </x:c>
      <x:c r="N199" s="31" t="n">
        <x:v>2.41</x:v>
      </x:c>
      <x:c r="O199" s="31" t="n">
        <x:f>ABS(M199-N199)</x:f>
        <x:v>0.46999999999999975</x:v>
      </x:c>
      <x:c r="P199" s="31" t="n">
        <x:v>8.03</x:v>
      </x:c>
      <x:c r="Q199" s="31" t="n">
        <x:v>8.7</x:v>
      </x:c>
      <x:c r="R199" s="31" t="n">
        <x:f>ABS(P199-Q199)</x:f>
        <x:v>0.6699999999999999</x:v>
      </x:c>
      <x:c r="S199" s="32" t="n">
        <x:v>29306.518540870566</x:v>
      </x:c>
      <x:c r="T199" s="32" t="n">
        <x:v>33150.3393842069</x:v>
      </x:c>
      <x:c r="U199" s="31" t="n">
        <x:f>MAX(S199/T199,T199/S199)</x:f>
        <x:v>1.1311592449296146</x:v>
      </x:c>
      <x:c r="V199" s="31" t="n">
        <x:f>L199*'Controls &amp; Summary'!$B$9+O199*'Controls &amp; Summary'!$B$10+R199*'Controls &amp; Summary'!$B$11+U199*'Controls &amp; Summary'!$B$12</x:f>
        <x:v>4.061159244929613</x:v>
      </x:c>
      <x:c r="W199" s="31" t="n">
        <x:v>4.21</x:v>
      </x:c>
      <x:c r="X199" s="31" t="n">
        <x:v>1.76</x:v>
      </x:c>
      <x:c r="Y199" s="31" t="n">
        <x:f>((10-MIN(10,MAX(0,X199)))/10)*'Controls &amp; Summary'!$B$15+((10-MIN(10,MAX(0,W199)))/10)*'Controls &amp; Summary'!$B$16</x:f>
        <x:v>1.403</x:v>
      </x:c>
      <x:c r="Z199" s="31" t="n">
        <x:f>V199*Y199</x:f>
        <x:v>5.6978064206362475</x:v>
      </x:c>
      <x:c r="AA199" s="30" t="str">
        <x:f>IF(Z199&lt;=I199,"Peaceful","Hostile")</x:f>
        <x:v>Peaceful</x:v>
      </x:c>
      <x:c r="AB199" s="30" t="str">
        <x:f>IF(Z199&lt;='Controls &amp; Summary'!$B$6,"Eligible","Blocked")</x:f>
        <x:v>Eligible</x:v>
      </x:c>
      <x:c r="AC199" s="30" t="str">
        <x:v>2003_EUA</x:v>
      </x:c>
      <x:c r="AD199" s="30" t="str">
        <x:v>2003_SCA</x:v>
      </x:c>
      <x:c r="AE199" s="30" t="str">
        <x:v>2003_Sweden</x:v>
      </x:c>
      <x:c r="AF199" s="30" t="str">
        <x:v>Explicit capitalClaim</x:v>
      </x:c>
      <x:c r="AG199" s="30" t="str">
        <x:v>Claim2003_EUA2003_Sweden</x:v>
      </x:c>
      <x:c r="AH199" s="30" t="str"/>
    </x:row>
    <x:row r="200">
      <x:c r="A200" s="30" t="str">
        <x:v>2003</x:v>
      </x:c>
      <x:c r="B200" s="30" t="str">
        <x:v>Dark Skies</x:v>
      </x:c>
      <x:c r="C200" s="30" t="str">
        <x:v>France</x:v>
      </x:c>
      <x:c r="D200" s="30" t="str">
        <x:v>Switzerland</x:v>
      </x:c>
      <x:c r="E200" s="30" t="str">
        <x:v>Project unlock</x:v>
      </x:c>
      <x:c r="F200" s="30" t="str">
        <x:v>Great Europa</x:v>
      </x:c>
      <x:c r="G200" s="30" t="str">
        <x:v>No</x:v>
      </x:c>
      <x:c r="H200" s="30" t="str">
        <x:v>Ordinary claim</x:v>
      </x:c>
      <x:c r="I200" s="31" t="n">
        <x:f>IF(G200="Yes",'Controls &amp; Summary'!$B$5,'Controls &amp; Summary'!$B$4)</x:f>
        <x:v>6</x:v>
      </x:c>
      <x:c r="J200" s="31" t="n">
        <x:v>8.07</x:v>
      </x:c>
      <x:c r="K200" s="31" t="n">
        <x:v>9.02</x:v>
      </x:c>
      <x:c r="L200" s="31" t="n">
        <x:f>ABS(J200-K200)</x:f>
        <x:v>0.9499999999999993</x:v>
      </x:c>
      <x:c r="M200" s="31" t="n">
        <x:v>2.88</x:v>
      </x:c>
      <x:c r="N200" s="31" t="n">
        <x:v>2.76</x:v>
      </x:c>
      <x:c r="O200" s="31" t="n">
        <x:f>ABS(M200-N200)</x:f>
        <x:v>0.1200000000000001</x:v>
      </x:c>
      <x:c r="P200" s="31" t="n">
        <x:v>8.03</x:v>
      </x:c>
      <x:c r="Q200" s="31" t="n">
        <x:v>8.45</x:v>
      </x:c>
      <x:c r="R200" s="31" t="n">
        <x:f>ABS(P200-Q200)</x:f>
        <x:v>0.41999999999999993</x:v>
      </x:c>
      <x:c r="S200" s="32" t="n">
        <x:v>29306.518540870566</x:v>
      </x:c>
      <x:c r="T200" s="32" t="n">
        <x:v>46142.691015561984</x:v>
      </x:c>
      <x:c r="U200" s="31" t="n">
        <x:f>MAX(S200/T200,T200/S200)</x:f>
        <x:v>1.5744855859017122</x:v>
      </x:c>
      <x:c r="V200" s="31" t="n">
        <x:f>L200*'Controls &amp; Summary'!$B$9+O200*'Controls &amp; Summary'!$B$10+R200*'Controls &amp; Summary'!$B$11+U200*'Controls &amp; Summary'!$B$12</x:f>
        <x:v>3.0644855859017115</x:v>
      </x:c>
      <x:c r="W200" s="31" t="n">
        <x:v>4.21</x:v>
      </x:c>
      <x:c r="X200" s="31" t="n">
        <x:v>0.77</x:v>
      </x:c>
      <x:c r="Y200" s="31" t="n">
        <x:f>((10-MIN(10,MAX(0,X200)))/10)*'Controls &amp; Summary'!$B$15+((10-MIN(10,MAX(0,W200)))/10)*'Controls &amp; Summary'!$B$16</x:f>
        <x:v>1.502</x:v>
      </x:c>
      <x:c r="Z200" s="31" t="n">
        <x:f>V200*Y200</x:f>
        <x:v>4.602857350024371</x:v>
      </x:c>
      <x:c r="AA200" s="30" t="str">
        <x:f>IF(Z200&lt;=I200,"Peaceful","Hostile")</x:f>
        <x:v>Peaceful</x:v>
      </x:c>
      <x:c r="AB200" s="30" t="str">
        <x:f>IF(Z200&lt;='Controls &amp; Summary'!$B$6,"Eligible","Blocked")</x:f>
        <x:v>Eligible</x:v>
      </x:c>
      <x:c r="AC200" s="30" t="str">
        <x:v>2003_EUA</x:v>
      </x:c>
      <x:c r="AD200" s="30" t="str">
        <x:v>2003_SWI</x:v>
      </x:c>
      <x:c r="AE200" s="30" t="str">
        <x:v>2003_Zurich</x:v>
      </x:c>
      <x:c r="AF200" s="30" t="str">
        <x:v>Explicit capitalClaim</x:v>
      </x:c>
      <x:c r="AG200" s="30" t="str">
        <x:v>Claim2003_EUA2003_Zurich</x:v>
      </x:c>
      <x:c r="AH200" s="30" t="str">
        <x:v>Project_GreatEuropa</x:v>
      </x:c>
    </x:row>
    <x:row r="201">
      <x:c r="A201" s="30" t="str">
        <x:v>2003</x:v>
      </x:c>
      <x:c r="B201" s="30" t="str">
        <x:v>Dark Skies</x:v>
      </x:c>
      <x:c r="C201" s="30" t="str">
        <x:v>France</x:v>
      </x:c>
      <x:c r="D201" s="30" t="str">
        <x:v>Turkey</x:v>
      </x:c>
      <x:c r="E201" s="30" t="str">
        <x:v>Project unlock</x:v>
      </x:c>
      <x:c r="F201" s="30" t="str">
        <x:v>Europe Ascendant</x:v>
      </x:c>
      <x:c r="G201" s="30" t="str">
        <x:v>No</x:v>
      </x:c>
      <x:c r="H201" s="30" t="str">
        <x:v>Ordinary claim</x:v>
      </x:c>
      <x:c r="I201" s="31" t="n">
        <x:f>IF(G201="Yes",'Controls &amp; Summary'!$B$5,'Controls &amp; Summary'!$B$4)</x:f>
        <x:v>6</x:v>
      </x:c>
      <x:c r="J201" s="31" t="n">
        <x:v>8.07</x:v>
      </x:c>
      <x:c r="K201" s="31" t="n">
        <x:v>5.78</x:v>
      </x:c>
      <x:c r="L201" s="31" t="n">
        <x:f>ABS(J201-K201)</x:f>
        <x:v>2.29</x:v>
      </x:c>
      <x:c r="M201" s="31" t="n">
        <x:v>2.88</x:v>
      </x:c>
      <x:c r="N201" s="31" t="n">
        <x:v>4.14</x:v>
      </x:c>
      <x:c r="O201" s="31" t="n">
        <x:f>ABS(M201-N201)</x:f>
        <x:v>1.2599999999999998</x:v>
      </x:c>
      <x:c r="P201" s="31" t="n">
        <x:v>8.03</x:v>
      </x:c>
      <x:c r="Q201" s="31" t="n">
        <x:v>6.14</x:v>
      </x:c>
      <x:c r="R201" s="31" t="n">
        <x:f>ABS(P201-Q201)</x:f>
        <x:v>1.8899999999999997</x:v>
      </x:c>
      <x:c r="S201" s="32" t="n">
        <x:v>29306.518540870566</x:v>
      </x:c>
      <x:c r="T201" s="32" t="n">
        <x:v>6875.562315010984</x:v>
      </x:c>
      <x:c r="U201" s="31" t="n">
        <x:f>MAX(S201/T201,T201/S201)</x:f>
        <x:v>4.262417704641769</x:v>
      </x:c>
      <x:c r="V201" s="31" t="n">
        <x:f>L201*'Controls &amp; Summary'!$B$9+O201*'Controls &amp; Summary'!$B$10+R201*'Controls &amp; Summary'!$B$11+U201*'Controls &amp; Summary'!$B$12</x:f>
        <x:v>9.702417704641768</x:v>
      </x:c>
      <x:c r="W201" s="31" t="n">
        <x:v>4.21</x:v>
      </x:c>
      <x:c r="X201" s="31" t="n">
        <x:v>3.95</x:v>
      </x:c>
      <x:c r="Y201" s="31" t="n">
        <x:f>((10-MIN(10,MAX(0,X201)))/10)*'Controls &amp; Summary'!$B$15+((10-MIN(10,MAX(0,W201)))/10)*'Controls &amp; Summary'!$B$16</x:f>
        <x:v>1.184</x:v>
      </x:c>
      <x:c r="Z201" s="31" t="n">
        <x:f>V201*Y201</x:f>
        <x:v>11.487662562295853</x:v>
      </x:c>
      <x:c r="AA201" s="30" t="str">
        <x:f>IF(Z201&lt;=I201,"Peaceful","Hostile")</x:f>
        <x:v>Hostile</x:v>
      </x:c>
      <x:c r="AB201" s="30" t="str">
        <x:f>IF(Z201&lt;='Controls &amp; Summary'!$B$6,"Eligible","Blocked")</x:f>
        <x:v>Eligible</x:v>
      </x:c>
      <x:c r="AC201" s="30" t="str">
        <x:v>2003_EUA</x:v>
      </x:c>
      <x:c r="AD201" s="30" t="str">
        <x:v>2003_TUR</x:v>
      </x:c>
      <x:c r="AE201" s="30" t="str">
        <x:v>2003_Anatolia</x:v>
      </x:c>
      <x:c r="AF201" s="30" t="str">
        <x:v>Explicit capitalClaim</x:v>
      </x:c>
      <x:c r="AG201" s="30" t="str">
        <x:v>Claim2003_EUA2003_Anatolia</x:v>
      </x:c>
      <x:c r="AH201" s="30" t="str">
        <x:v>Project_EuropeAscendant</x:v>
      </x:c>
    </x:row>
    <x:row r="202">
      <x:c r="A202" s="30" t="str">
        <x:v>2003</x:v>
      </x:c>
      <x:c r="B202" s="30" t="str">
        <x:v>Dark Skies</x:v>
      </x:c>
      <x:c r="C202" s="30" t="str">
        <x:v>France</x:v>
      </x:c>
      <x:c r="D202" s="30" t="str">
        <x:v>Ukraine</x:v>
      </x:c>
      <x:c r="E202" s="30" t="str">
        <x:v>Starting claim</x:v>
      </x:c>
      <x:c r="F202" s="30" t="str"/>
      <x:c r="G202" s="30" t="str">
        <x:v>No</x:v>
      </x:c>
      <x:c r="H202" s="30" t="str">
        <x:v>Ordinary claim</x:v>
      </x:c>
      <x:c r="I202" s="31" t="n">
        <x:f>IF(G202="Yes",'Controls &amp; Summary'!$B$5,'Controls &amp; Summary'!$B$4)</x:f>
        <x:v>6</x:v>
      </x:c>
      <x:c r="J202" s="31" t="n">
        <x:v>8.07</x:v>
      </x:c>
      <x:c r="K202" s="31" t="n">
        <x:v>6.04</x:v>
      </x:c>
      <x:c r="L202" s="31" t="n">
        <x:f>ABS(J202-K202)</x:f>
        <x:v>2.0300000000000002</x:v>
      </x:c>
      <x:c r="M202" s="31" t="n">
        <x:v>2.88</x:v>
      </x:c>
      <x:c r="N202" s="31" t="n">
        <x:v>2.94</x:v>
      </x:c>
      <x:c r="O202" s="31" t="n">
        <x:f>ABS(M202-N202)</x:f>
        <x:v>0.06000000000000005</x:v>
      </x:c>
      <x:c r="P202" s="31" t="n">
        <x:v>8.03</x:v>
      </x:c>
      <x:c r="Q202" s="31" t="n">
        <x:v>6.74</x:v>
      </x:c>
      <x:c r="R202" s="31" t="n">
        <x:f>ABS(P202-Q202)</x:f>
        <x:v>1.2899999999999991</x:v>
      </x:c>
      <x:c r="S202" s="32" t="n">
        <x:v>29306.518540870566</x:v>
      </x:c>
      <x:c r="T202" s="32" t="n">
        <x:v>3894.360833317625</x:v>
      </x:c>
      <x:c r="U202" s="31" t="n">
        <x:f>MAX(S202/T202,T202/S202)</x:f>
        <x:v>7.525373172958963</x:v>
      </x:c>
      <x:c r="V202" s="31" t="n">
        <x:f>L202*'Controls &amp; Summary'!$B$9+O202*'Controls &amp; Summary'!$B$10+R202*'Controls &amp; Summary'!$B$11+U202*'Controls &amp; Summary'!$B$12</x:f>
        <x:v>10.905373172958962</x:v>
      </x:c>
      <x:c r="W202" s="31" t="n">
        <x:v>4.21</x:v>
      </x:c>
      <x:c r="X202" s="31" t="n">
        <x:v>1.92</x:v>
      </x:c>
      <x:c r="Y202" s="31" t="n">
        <x:f>((10-MIN(10,MAX(0,X202)))/10)*'Controls &amp; Summary'!$B$15+((10-MIN(10,MAX(0,W202)))/10)*'Controls &amp; Summary'!$B$16</x:f>
        <x:v>1.387</x:v>
      </x:c>
      <x:c r="Z202" s="31" t="n">
        <x:f>V202*Y202</x:f>
        <x:v>15.12575259089408</x:v>
      </x:c>
      <x:c r="AA202" s="30" t="str">
        <x:f>IF(Z202&lt;=I202,"Peaceful","Hostile")</x:f>
        <x:v>Hostile</x:v>
      </x:c>
      <x:c r="AB202" s="30" t="str">
        <x:f>IF(Z202&lt;='Controls &amp; Summary'!$B$6,"Eligible","Blocked")</x:f>
        <x:v>Blocked</x:v>
      </x:c>
      <x:c r="AC202" s="30" t="str">
        <x:v>2003_EUA</x:v>
      </x:c>
      <x:c r="AD202" s="30" t="str">
        <x:v>2003_UKR</x:v>
      </x:c>
      <x:c r="AE202" s="30" t="str">
        <x:v>2003_Kiev</x:v>
      </x:c>
      <x:c r="AF202" s="30" t="str">
        <x:v>Explicit capitalClaim</x:v>
      </x:c>
      <x:c r="AG202" s="30" t="str">
        <x:v>Claim2003_EUA2003_Kiev</x:v>
      </x:c>
      <x:c r="AH202" s="30" t="str"/>
    </x:row>
    <x:row r="203">
      <x:c r="A203" s="30" t="str">
        <x:v>2003</x:v>
      </x:c>
      <x:c r="B203" s="30" t="str">
        <x:v>Dark Skies</x:v>
      </x:c>
      <x:c r="C203" s="30" t="str">
        <x:v>France</x:v>
      </x:c>
      <x:c r="D203" s="30" t="str">
        <x:v>United Kingdom</x:v>
      </x:c>
      <x:c r="E203" s="30" t="str">
        <x:v>Starting claim</x:v>
      </x:c>
      <x:c r="F203" s="30" t="str"/>
      <x:c r="G203" s="30" t="str">
        <x:v>No</x:v>
      </x:c>
      <x:c r="H203" s="30" t="str">
        <x:v>Ordinary claim</x:v>
      </x:c>
      <x:c r="I203" s="31" t="n">
        <x:f>IF(G203="Yes",'Controls &amp; Summary'!$B$5,'Controls &amp; Summary'!$B$4)</x:f>
        <x:v>6</x:v>
      </x:c>
      <x:c r="J203" s="31" t="n">
        <x:v>8.07</x:v>
      </x:c>
      <x:c r="K203" s="31" t="n">
        <x:v>8.05</x:v>
      </x:c>
      <x:c r="L203" s="31" t="n">
        <x:f>ABS(J203-K203)</x:f>
        <x:v>0.019999999999999574</x:v>
      </x:c>
      <x:c r="M203" s="31" t="n">
        <x:v>2.88</x:v>
      </x:c>
      <x:c r="N203" s="31" t="n">
        <x:v>3.32</x:v>
      </x:c>
      <x:c r="O203" s="31" t="n">
        <x:f>ABS(M203-N203)</x:f>
        <x:v>0.43999999999999995</x:v>
      </x:c>
      <x:c r="P203" s="31" t="n">
        <x:v>8.03</x:v>
      </x:c>
      <x:c r="Q203" s="31" t="n">
        <x:v>8.29</x:v>
      </x:c>
      <x:c r="R203" s="31" t="n">
        <x:f>ABS(P203-Q203)</x:f>
        <x:v>0.2599999999999998</x:v>
      </x:c>
      <x:c r="S203" s="32" t="n">
        <x:v>29306.518540870566</x:v>
      </x:c>
      <x:c r="T203" s="32" t="n">
        <x:v>31776.79741027792</x:v>
      </x:c>
      <x:c r="U203" s="31" t="n">
        <x:f>MAX(S203/T203,T203/S203)</x:f>
        <x:v>1.084291106293036</x:v>
      </x:c>
      <x:c r="V203" s="31" t="n">
        <x:f>L203*'Controls &amp; Summary'!$B$9+O203*'Controls &amp; Summary'!$B$10+R203*'Controls &amp; Summary'!$B$11+U203*'Controls &amp; Summary'!$B$12</x:f>
        <x:v>1.8042911062930354</x:v>
      </x:c>
      <x:c r="W203" s="31" t="n">
        <x:v>4.21</x:v>
      </x:c>
      <x:c r="X203" s="31" t="n">
        <x:v>1.08</x:v>
      </x:c>
      <x:c r="Y203" s="31" t="n">
        <x:f>((10-MIN(10,MAX(0,X203)))/10)*'Controls &amp; Summary'!$B$15+((10-MIN(10,MAX(0,W203)))/10)*'Controls &amp; Summary'!$B$16</x:f>
        <x:v>1.471</x:v>
      </x:c>
      <x:c r="Z203" s="31" t="n">
        <x:f>V203*Y203</x:f>
        <x:v>2.654112217357055</x:v>
      </x:c>
      <x:c r="AA203" s="30" t="str">
        <x:f>IF(Z203&lt;=I203,"Peaceful","Hostile")</x:f>
        <x:v>Peaceful</x:v>
      </x:c>
      <x:c r="AB203" s="30" t="str">
        <x:f>IF(Z203&lt;='Controls &amp; Summary'!$B$6,"Eligible","Blocked")</x:f>
        <x:v>Eligible</x:v>
      </x:c>
      <x:c r="AC203" s="30" t="str">
        <x:v>2003_EUA</x:v>
      </x:c>
      <x:c r="AD203" s="30" t="str">
        <x:v>2003_GBR</x:v>
      </x:c>
      <x:c r="AE203" s="30" t="str">
        <x:v>2003_England</x:v>
      </x:c>
      <x:c r="AF203" s="30" t="str">
        <x:v>Explicit capitalClaim</x:v>
      </x:c>
      <x:c r="AG203" s="30" t="str">
        <x:v>Claim2003_EUA2003_England</x:v>
      </x:c>
      <x:c r="AH203" s="30" t="str"/>
    </x:row>
    <x:row r="204">
      <x:c r="A204" s="30" t="str">
        <x:v>2003</x:v>
      </x:c>
      <x:c r="B204" s="30" t="str">
        <x:v>Dark Skies</x:v>
      </x:c>
      <x:c r="C204" s="30" t="str">
        <x:v>Germany</x:v>
      </x:c>
      <x:c r="D204" s="30" t="str">
        <x:v>Austria</x:v>
      </x:c>
      <x:c r="E204" s="30" t="str">
        <x:v>Project unlock</x:v>
      </x:c>
      <x:c r="F204" s="30" t="str">
        <x:v>Freistaat Confederation</x:v>
      </x:c>
      <x:c r="G204" s="30" t="str">
        <x:v>No</x:v>
      </x:c>
      <x:c r="H204" s="30" t="str">
        <x:v>Ordinary claim</x:v>
      </x:c>
      <x:c r="I204" s="31" t="n">
        <x:f>IF(G204="Yes",'Controls &amp; Summary'!$B$5,'Controls &amp; Summary'!$B$4)</x:f>
        <x:v>6</x:v>
      </x:c>
      <x:c r="J204" s="31" t="n">
        <x:v>8.73</x:v>
      </x:c>
      <x:c r="K204" s="31" t="n">
        <x:v>8.68</x:v>
      </x:c>
      <x:c r="L204" s="31" t="n">
        <x:f>ABS(J204-K204)</x:f>
        <x:v>0.05000000000000071</x:v>
      </x:c>
      <x:c r="M204" s="31" t="n">
        <x:v>2.7</x:v>
      </x:c>
      <x:c r="N204" s="31" t="n">
        <x:v>2.65</x:v>
      </x:c>
      <x:c r="O204" s="31" t="n">
        <x:f>ABS(M204-N204)</x:f>
        <x:v>0.050000000000000266</x:v>
      </x:c>
      <x:c r="P204" s="31" t="n">
        <x:v>8.6</x:v>
      </x:c>
      <x:c r="Q204" s="31" t="n">
        <x:v>8.32</x:v>
      </x:c>
      <x:c r="R204" s="31" t="n">
        <x:f>ABS(P204-Q204)</x:f>
        <x:v>0.27999999999999936</x:v>
      </x:c>
      <x:c r="S204" s="32" t="n">
        <x:v>30861.417571679718</x:v>
      </x:c>
      <x:c r="T204" s="32" t="n">
        <x:v>32372.22800209203</x:v>
      </x:c>
      <x:c r="U204" s="31" t="n">
        <x:f>MAX(S204/T204,T204/S204)</x:f>
        <x:v>1.0489546673254155</x:v>
      </x:c>
      <x:c r="V204" s="31" t="n">
        <x:f>L204*'Controls &amp; Summary'!$B$9+O204*'Controls &amp; Summary'!$B$10+R204*'Controls &amp; Summary'!$B$11+U204*'Controls &amp; Summary'!$B$12</x:f>
        <x:v>1.4289546673254159</x:v>
      </x:c>
      <x:c r="W204" s="31" t="n">
        <x:v>4.08</x:v>
      </x:c>
      <x:c r="X204" s="31" t="n">
        <x:v>0.67</x:v>
      </x:c>
      <x:c r="Y204" s="31" t="n">
        <x:f>((10-MIN(10,MAX(0,X204)))/10)*'Controls &amp; Summary'!$B$15+((10-MIN(10,MAX(0,W204)))/10)*'Controls &amp; Summary'!$B$16</x:f>
        <x:v>1.525</x:v>
      </x:c>
      <x:c r="Z204" s="31" t="n">
        <x:f>V204*Y204</x:f>
        <x:v>2.179155867671259</x:v>
      </x:c>
      <x:c r="AA204" s="30" t="str">
        <x:f>IF(Z204&lt;=I204,"Peaceful","Hostile")</x:f>
        <x:v>Peaceful</x:v>
      </x:c>
      <x:c r="AB204" s="30" t="str">
        <x:f>IF(Z204&lt;='Controls &amp; Summary'!$B$6,"Eligible","Blocked")</x:f>
        <x:v>Eligible</x:v>
      </x:c>
      <x:c r="AC204" s="30" t="str">
        <x:v>2003_DEU</x:v>
      </x:c>
      <x:c r="AD204" s="30" t="str">
        <x:v>2003_ALP</x:v>
      </x:c>
      <x:c r="AE204" s="30" t="str">
        <x:v>2003_Vienna</x:v>
      </x:c>
      <x:c r="AF204" s="30" t="str">
        <x:v>Explicit capitalClaim</x:v>
      </x:c>
      <x:c r="AG204" s="30" t="str">
        <x:v>Claim2003_DEU2003_Vienna</x:v>
      </x:c>
      <x:c r="AH204" s="30" t="str">
        <x:v>Project_FreistaatConfederation</x:v>
      </x:c>
    </x:row>
    <x:row r="205">
      <x:c r="A205" s="30" t="str">
        <x:v>2003</x:v>
      </x:c>
      <x:c r="B205" s="30" t="str">
        <x:v>Dark Skies</x:v>
      </x:c>
      <x:c r="C205" s="30" t="str">
        <x:v>Germany</x:v>
      </x:c>
      <x:c r="D205" s="30" t="str">
        <x:v>Belgium</x:v>
      </x:c>
      <x:c r="E205" s="30" t="str">
        <x:v>Project unlock</x:v>
      </x:c>
      <x:c r="F205" s="30" t="str">
        <x:v>Freistaat Confederation</x:v>
      </x:c>
      <x:c r="G205" s="30" t="str">
        <x:v>No</x:v>
      </x:c>
      <x:c r="H205" s="30" t="str">
        <x:v>Ordinary claim</x:v>
      </x:c>
      <x:c r="I205" s="31" t="n">
        <x:f>IF(G205="Yes",'Controls &amp; Summary'!$B$5,'Controls &amp; Summary'!$B$4)</x:f>
        <x:v>6</x:v>
      </x:c>
      <x:c r="J205" s="31" t="n">
        <x:v>8.73</x:v>
      </x:c>
      <x:c r="K205" s="31" t="n">
        <x:v>8.15</x:v>
      </x:c>
      <x:c r="L205" s="31" t="n">
        <x:f>ABS(J205-K205)</x:f>
        <x:v>0.5800000000000001</x:v>
      </x:c>
      <x:c r="M205" s="31" t="n">
        <x:v>2.7</x:v>
      </x:c>
      <x:c r="N205" s="31" t="n">
        <x:v>2.63</x:v>
      </x:c>
      <x:c r="O205" s="31" t="n">
        <x:f>ABS(M205-N205)</x:f>
        <x:v>0.07000000000000028</x:v>
      </x:c>
      <x:c r="P205" s="31" t="n">
        <x:v>8.6</x:v>
      </x:c>
      <x:c r="Q205" s="31" t="n">
        <x:v>8.48</x:v>
      </x:c>
      <x:c r="R205" s="31" t="n">
        <x:f>ABS(P205-Q205)</x:f>
        <x:v>0.11999999999999922</x:v>
      </x:c>
      <x:c r="S205" s="32" t="n">
        <x:v>30861.417571679718</x:v>
      </x:c>
      <x:c r="T205" s="32" t="n">
        <x:v>32107.544741467984</x:v>
      </x:c>
      <x:c r="U205" s="31" t="n">
        <x:f>MAX(S205/T205,T205/S205)</x:f>
        <x:v>1.040378157189117</x:v>
      </x:c>
      <x:c r="V205" s="31" t="n">
        <x:f>L205*'Controls &amp; Summary'!$B$9+O205*'Controls &amp; Summary'!$B$10+R205*'Controls &amp; Summary'!$B$11+U205*'Controls &amp; Summary'!$B$12</x:f>
        <x:v>1.8103781571891167</x:v>
      </x:c>
      <x:c r="W205" s="31" t="n">
        <x:v>4.08</x:v>
      </x:c>
      <x:c r="X205" s="31" t="n">
        <x:v>1.71</x:v>
      </x:c>
      <x:c r="Y205" s="31" t="n">
        <x:f>((10-MIN(10,MAX(0,X205)))/10)*'Controls &amp; Summary'!$B$15+((10-MIN(10,MAX(0,W205)))/10)*'Controls &amp; Summary'!$B$16</x:f>
        <x:v>1.4209999999999998</x:v>
      </x:c>
      <x:c r="Z205" s="31" t="n">
        <x:f>V205*Y205</x:f>
        <x:v>2.5725473613657344</x:v>
      </x:c>
      <x:c r="AA205" s="30" t="str">
        <x:f>IF(Z205&lt;=I205,"Peaceful","Hostile")</x:f>
        <x:v>Peaceful</x:v>
      </x:c>
      <x:c r="AB205" s="30" t="str">
        <x:f>IF(Z205&lt;='Controls &amp; Summary'!$B$6,"Eligible","Blocked")</x:f>
        <x:v>Eligible</x:v>
      </x:c>
      <x:c r="AC205" s="30" t="str">
        <x:v>2003_DEU</x:v>
      </x:c>
      <x:c r="AD205" s="30" t="str">
        <x:v>2003_BGM</x:v>
      </x:c>
      <x:c r="AE205" s="30" t="str">
        <x:v>2003_Belgium</x:v>
      </x:c>
      <x:c r="AF205" s="30" t="str">
        <x:v>Explicit capitalClaim</x:v>
      </x:c>
      <x:c r="AG205" s="30" t="str">
        <x:v>Claim2003_DEU2003_Belgium</x:v>
      </x:c>
      <x:c r="AH205" s="30" t="str">
        <x:v>Project_FreistaatConfederation</x:v>
      </x:c>
    </x:row>
    <x:row r="206">
      <x:c r="A206" s="30" t="str">
        <x:v>2003</x:v>
      </x:c>
      <x:c r="B206" s="30" t="str">
        <x:v>Dark Skies</x:v>
      </x:c>
      <x:c r="C206" s="30" t="str">
        <x:v>Germany</x:v>
      </x:c>
      <x:c r="D206" s="30" t="str">
        <x:v>Czechia</x:v>
      </x:c>
      <x:c r="E206" s="30" t="str">
        <x:v>Project unlock</x:v>
      </x:c>
      <x:c r="F206" s="30" t="str">
        <x:v>Freistaat Confederation</x:v>
      </x:c>
      <x:c r="G206" s="30" t="str">
        <x:v>No</x:v>
      </x:c>
      <x:c r="H206" s="30" t="str">
        <x:v>Ordinary claim</x:v>
      </x:c>
      <x:c r="I206" s="31" t="n">
        <x:f>IF(G206="Yes",'Controls &amp; Summary'!$B$5,'Controls &amp; Summary'!$B$4)</x:f>
        <x:v>6</x:v>
      </x:c>
      <x:c r="J206" s="31" t="n">
        <x:v>8.73</x:v>
      </x:c>
      <x:c r="K206" s="31" t="n">
        <x:v>8.12</x:v>
      </x:c>
      <x:c r="L206" s="31" t="n">
        <x:f>ABS(J206-K206)</x:f>
        <x:v>0.6100000000000012</x:v>
      </x:c>
      <x:c r="M206" s="31" t="n">
        <x:v>2.7</x:v>
      </x:c>
      <x:c r="N206" s="31" t="n">
        <x:v>2.56</x:v>
      </x:c>
      <x:c r="O206" s="31" t="n">
        <x:f>ABS(M206-N206)</x:f>
        <x:v>0.14000000000000012</x:v>
      </x:c>
      <x:c r="P206" s="31" t="n">
        <x:v>8.6</x:v>
      </x:c>
      <x:c r="Q206" s="31" t="n">
        <x:v>7.81</x:v>
      </x:c>
      <x:c r="R206" s="31" t="n">
        <x:f>ABS(P206-Q206)</x:f>
        <x:v>0.79</x:v>
      </x:c>
      <x:c r="S206" s="32" t="n">
        <x:v>30861.417571679718</x:v>
      </x:c>
      <x:c r="T206" s="32" t="n">
        <x:v>12463.396827877925</x:v>
      </x:c>
      <x:c r="U206" s="31" t="n">
        <x:f>MAX(S206/T206,T206/S206)</x:f>
        <x:v>2.4761642430135415</x:v>
      </x:c>
      <x:c r="V206" s="31" t="n">
        <x:f>L206*'Controls &amp; Summary'!$B$9+O206*'Controls &amp; Summary'!$B$10+R206*'Controls &amp; Summary'!$B$11+U206*'Controls &amp; Summary'!$B$12</x:f>
        <x:v>4.016164243013543</x:v>
      </x:c>
      <x:c r="W206" s="31" t="n">
        <x:v>4.08</x:v>
      </x:c>
      <x:c r="X206" s="31" t="n">
        <x:v>0.59</x:v>
      </x:c>
      <x:c r="Y206" s="31" t="n">
        <x:f>((10-MIN(10,MAX(0,X206)))/10)*'Controls &amp; Summary'!$B$15+((10-MIN(10,MAX(0,W206)))/10)*'Controls &amp; Summary'!$B$16</x:f>
        <x:v>1.533</x:v>
      </x:c>
      <x:c r="Z206" s="31" t="n">
        <x:f>V206*Y206</x:f>
        <x:v>6.156779784539761</x:v>
      </x:c>
      <x:c r="AA206" s="30" t="str">
        <x:f>IF(Z206&lt;=I206,"Peaceful","Hostile")</x:f>
        <x:v>Hostile</x:v>
      </x:c>
      <x:c r="AB206" s="30" t="str">
        <x:f>IF(Z206&lt;='Controls &amp; Summary'!$B$6,"Eligible","Blocked")</x:f>
        <x:v>Eligible</x:v>
      </x:c>
      <x:c r="AC206" s="30" t="str">
        <x:v>2003_DEU</x:v>
      </x:c>
      <x:c r="AD206" s="30" t="str">
        <x:v>2003_CZE</x:v>
      </x:c>
      <x:c r="AE206" s="30" t="str">
        <x:v>2003_Czechia</x:v>
      </x:c>
      <x:c r="AF206" s="30" t="str">
        <x:v>Explicit capitalClaim</x:v>
      </x:c>
      <x:c r="AG206" s="30" t="str">
        <x:v>Claim2003_DEU2003_Czechia</x:v>
      </x:c>
      <x:c r="AH206" s="30" t="str">
        <x:v>Project_FreistaatConfederation</x:v>
      </x:c>
    </x:row>
    <x:row r="207">
      <x:c r="A207" s="30" t="str">
        <x:v>2003</x:v>
      </x:c>
      <x:c r="B207" s="30" t="str">
        <x:v>Dark Skies</x:v>
      </x:c>
      <x:c r="C207" s="30" t="str">
        <x:v>Germany</x:v>
      </x:c>
      <x:c r="D207" s="30" t="str">
        <x:v>Denmark</x:v>
      </x:c>
      <x:c r="E207" s="30" t="str">
        <x:v>Project unlock</x:v>
      </x:c>
      <x:c r="F207" s="30" t="str">
        <x:v>Freistaat Confederation</x:v>
      </x:c>
      <x:c r="G207" s="30" t="str">
        <x:v>No</x:v>
      </x:c>
      <x:c r="H207" s="30" t="str">
        <x:v>Ordinary claim</x:v>
      </x:c>
      <x:c r="I207" s="31" t="n">
        <x:f>IF(G207="Yes",'Controls &amp; Summary'!$B$5,'Controls &amp; Summary'!$B$4)</x:f>
        <x:v>6</x:v>
      </x:c>
      <x:c r="J207" s="31" t="n">
        <x:v>8.73</x:v>
      </x:c>
      <x:c r="K207" s="31" t="n">
        <x:v>9.41</x:v>
      </x:c>
      <x:c r="L207" s="31" t="n">
        <x:f>ABS(J207-K207)</x:f>
        <x:v>0.6799999999999997</x:v>
      </x:c>
      <x:c r="M207" s="31" t="n">
        <x:v>2.7</x:v>
      </x:c>
      <x:c r="N207" s="31" t="n">
        <x:v>2.31</x:v>
      </x:c>
      <x:c r="O207" s="31" t="n">
        <x:f>ABS(M207-N207)</x:f>
        <x:v>0.3900000000000001</x:v>
      </x:c>
      <x:c r="P207" s="31" t="n">
        <x:v>8.6</x:v>
      </x:c>
      <x:c r="Q207" s="31" t="n">
        <x:v>8.52</x:v>
      </x:c>
      <x:c r="R207" s="31" t="n">
        <x:f>ABS(P207-Q207)</x:f>
        <x:v>0.08000000000000007</x:v>
      </x:c>
      <x:c r="S207" s="32" t="n">
        <x:v>30861.417571679718</x:v>
      </x:c>
      <x:c r="T207" s="32" t="n">
        <x:v>37932.96337266989</x:v>
      </x:c>
      <x:c r="U207" s="31" t="n">
        <x:f>MAX(S207/T207,T207/S207)</x:f>
        <x:v>1.2291387226320882</x:v>
      </x:c>
      <x:c r="V207" s="31" t="n">
        <x:f>L207*'Controls &amp; Summary'!$B$9+O207*'Controls &amp; Summary'!$B$10+R207*'Controls &amp; Summary'!$B$11+U207*'Controls &amp; Summary'!$B$12</x:f>
        <x:v>2.379138722632088</x:v>
      </x:c>
      <x:c r="W207" s="31" t="n">
        <x:v>4.08</x:v>
      </x:c>
      <x:c r="X207" s="31" t="n">
        <x:v>1.32</x:v>
      </x:c>
      <x:c r="Y207" s="31" t="n">
        <x:f>((10-MIN(10,MAX(0,X207)))/10)*'Controls &amp; Summary'!$B$15+((10-MIN(10,MAX(0,W207)))/10)*'Controls &amp; Summary'!$B$16</x:f>
        <x:v>1.46</x:v>
      </x:c>
      <x:c r="Z207" s="31" t="n">
        <x:f>V207*Y207</x:f>
        <x:v>3.473542535042849</x:v>
      </x:c>
      <x:c r="AA207" s="30" t="str">
        <x:f>IF(Z207&lt;=I207,"Peaceful","Hostile")</x:f>
        <x:v>Peaceful</x:v>
      </x:c>
      <x:c r="AB207" s="30" t="str">
        <x:f>IF(Z207&lt;='Controls &amp; Summary'!$B$6,"Eligible","Blocked")</x:f>
        <x:v>Eligible</x:v>
      </x:c>
      <x:c r="AC207" s="30" t="str">
        <x:v>2003_DEU</x:v>
      </x:c>
      <x:c r="AD207" s="30" t="str">
        <x:v>2003_DEN</x:v>
      </x:c>
      <x:c r="AE207" s="30" t="str">
        <x:v>2003_Denmark</x:v>
      </x:c>
      <x:c r="AF207" s="30" t="str">
        <x:v>Explicit capitalClaim</x:v>
      </x:c>
      <x:c r="AG207" s="30" t="str">
        <x:v>Claim2003_DEU2003_Denmark</x:v>
      </x:c>
      <x:c r="AH207" s="30" t="str">
        <x:v>Project_FreistaatConfederation</x:v>
      </x:c>
    </x:row>
    <x:row r="208">
      <x:c r="A208" s="30" t="str">
        <x:v>2003</x:v>
      </x:c>
      <x:c r="B208" s="30" t="str">
        <x:v>Dark Skies</x:v>
      </x:c>
      <x:c r="C208" s="30" t="str">
        <x:v>Germany</x:v>
      </x:c>
      <x:c r="D208" s="30" t="str">
        <x:v>Netherlands</x:v>
      </x:c>
      <x:c r="E208" s="30" t="str">
        <x:v>Project unlock</x:v>
      </x:c>
      <x:c r="F208" s="30" t="str">
        <x:v>Freistaat Confederation</x:v>
      </x:c>
      <x:c r="G208" s="30" t="str">
        <x:v>No</x:v>
      </x:c>
      <x:c r="H208" s="30" t="str">
        <x:v>Ordinary claim</x:v>
      </x:c>
      <x:c r="I208" s="31" t="n">
        <x:f>IF(G208="Yes",'Controls &amp; Summary'!$B$5,'Controls &amp; Summary'!$B$4)</x:f>
        <x:v>6</x:v>
      </x:c>
      <x:c r="J208" s="31" t="n">
        <x:v>8.73</x:v>
      </x:c>
      <x:c r="K208" s="31" t="n">
        <x:v>9.62</x:v>
      </x:c>
      <x:c r="L208" s="31" t="n">
        <x:f>ABS(J208-K208)</x:f>
        <x:v>0.8899999999999988</x:v>
      </x:c>
      <x:c r="M208" s="31" t="n">
        <x:v>2.7</x:v>
      </x:c>
      <x:c r="N208" s="31" t="n">
        <x:v>2.64</x:v>
      </x:c>
      <x:c r="O208" s="31" t="n">
        <x:f>ABS(M208-N208)</x:f>
        <x:v>0.06000000000000005</x:v>
      </x:c>
      <x:c r="P208" s="31" t="n">
        <x:v>8.6</x:v>
      </x:c>
      <x:c r="Q208" s="31" t="n">
        <x:v>8.45</x:v>
      </x:c>
      <x:c r="R208" s="31" t="n">
        <x:f>ABS(P208-Q208)</x:f>
        <x:v>0.15000000000000036</x:v>
      </x:c>
      <x:c r="S208" s="32" t="n">
        <x:v>30861.417571679718</x:v>
      </x:c>
      <x:c r="T208" s="32" t="n">
        <x:v>35255.779272891494</x:v>
      </x:c>
      <x:c r="U208" s="31" t="n">
        <x:f>MAX(S208/T208,T208/S208)</x:f>
        <x:v>1.1423901442960387</x:v>
      </x:c>
      <x:c r="V208" s="31" t="n">
        <x:f>L208*'Controls &amp; Summary'!$B$9+O208*'Controls &amp; Summary'!$B$10+R208*'Controls &amp; Summary'!$B$11+U208*'Controls &amp; Summary'!$B$12</x:f>
        <x:v>2.2423901442960377</x:v>
      </x:c>
      <x:c r="W208" s="31" t="n">
        <x:v>4.08</x:v>
      </x:c>
      <x:c r="X208" s="31" t="n">
        <x:v>1.89</x:v>
      </x:c>
      <x:c r="Y208" s="31" t="n">
        <x:f>((10-MIN(10,MAX(0,X208)))/10)*'Controls &amp; Summary'!$B$15+((10-MIN(10,MAX(0,W208)))/10)*'Controls &amp; Summary'!$B$16</x:f>
        <x:v>1.403</x:v>
      </x:c>
      <x:c r="Z208" s="31" t="n">
        <x:f>V208*Y208</x:f>
        <x:v>3.146073372447341</x:v>
      </x:c>
      <x:c r="AA208" s="30" t="str">
        <x:f>IF(Z208&lt;=I208,"Peaceful","Hostile")</x:f>
        <x:v>Peaceful</x:v>
      </x:c>
      <x:c r="AB208" s="30" t="str">
        <x:f>IF(Z208&lt;='Controls &amp; Summary'!$B$6,"Eligible","Blocked")</x:f>
        <x:v>Eligible</x:v>
      </x:c>
      <x:c r="AC208" s="30" t="str">
        <x:v>2003_DEU</x:v>
      </x:c>
      <x:c r="AD208" s="30" t="str">
        <x:v>2003_NET</x:v>
      </x:c>
      <x:c r="AE208" s="30" t="str">
        <x:v>2003_Netherlands</x:v>
      </x:c>
      <x:c r="AF208" s="30" t="str">
        <x:v>Explicit capitalClaim</x:v>
      </x:c>
      <x:c r="AG208" s="30" t="str">
        <x:v>Claim2003_DEU2003_Netherlands</x:v>
      </x:c>
      <x:c r="AH208" s="30" t="str">
        <x:v>Project_FreistaatConfederation</x:v>
      </x:c>
    </x:row>
    <x:row r="209">
      <x:c r="A209" s="30" t="str">
        <x:v>2003</x:v>
      </x:c>
      <x:c r="B209" s="30" t="str">
        <x:v>Dark Skies</x:v>
      </x:c>
      <x:c r="C209" s="30" t="str">
        <x:v>Guatemala</x:v>
      </x:c>
      <x:c r="D209" s="30" t="str">
        <x:v>Belize</x:v>
      </x:c>
      <x:c r="E209" s="30" t="str">
        <x:v>Starting claim</x:v>
      </x:c>
      <x:c r="F209" s="30" t="str"/>
      <x:c r="G209" s="30" t="str">
        <x:v>Yes</x:v>
      </x:c>
      <x:c r="H209" s="30" t="str">
        <x:v>Approved bilateral grievance</x:v>
      </x:c>
      <x:c r="I209" s="31" t="n">
        <x:f>IF(G209="Yes",'Controls &amp; Summary'!$B$5,'Controls &amp; Summary'!$B$4)</x:f>
        <x:v>3</x:v>
      </x:c>
      <x:c r="J209" s="31" t="n">
        <x:v>5.98</x:v>
      </x:c>
      <x:c r="K209" s="31" t="n">
        <x:v>9.33</x:v>
      </x:c>
      <x:c r="L209" s="31" t="n">
        <x:f>ABS(J209-K209)</x:f>
        <x:v>3.3499999999999996</x:v>
      </x:c>
      <x:c r="M209" s="31" t="n">
        <x:v>4.93</x:v>
      </x:c>
      <x:c r="N209" s="31" t="n">
        <x:v>5.1</x:v>
      </x:c>
      <x:c r="O209" s="31" t="n">
        <x:f>ABS(M209-N209)</x:f>
        <x:v>0.16999999999999993</x:v>
      </x:c>
      <x:c r="P209" s="31" t="n">
        <x:v>4.89</x:v>
      </x:c>
      <x:c r="Q209" s="31" t="n">
        <x:v>6.2</x:v>
      </x:c>
      <x:c r="R209" s="31" t="n">
        <x:f>ABS(P209-Q209)</x:f>
        <x:v>1.3100000000000005</x:v>
      </x:c>
      <x:c r="S209" s="32" t="n">
        <x:v>3491.8220823797715</x:v>
      </x:c>
      <x:c r="T209" s="32" t="n">
        <x:v>4959.73917658655</x:v>
      </x:c>
      <x:c r="U209" s="31" t="n">
        <x:f>MAX(S209/T209,T209/S209)</x:f>
        <x:v>1.4203871387417175</x:v>
      </x:c>
      <x:c r="V209" s="31" t="n">
        <x:f>L209*'Controls &amp; Summary'!$B$9+O209*'Controls &amp; Summary'!$B$10+R209*'Controls &amp; Summary'!$B$11+U209*'Controls &amp; Summary'!$B$12</x:f>
        <x:v>6.250387138741718</x:v>
      </x:c>
      <x:c r="W209" s="31" t="n">
        <x:v>1.89</x:v>
      </x:c>
      <x:c r="X209" s="31" t="n">
        <x:v>0</x:v>
      </x:c>
      <x:c r="Y209" s="31" t="n">
        <x:f>((10-MIN(10,MAX(0,X209)))/10)*'Controls &amp; Summary'!$B$15+((10-MIN(10,MAX(0,W209)))/10)*'Controls &amp; Summary'!$B$16</x:f>
        <x:v>1.811</x:v>
      </x:c>
      <x:c r="Z209" s="31" t="n">
        <x:f>V209*Y209</x:f>
        <x:v>11.31945110826125</x:v>
      </x:c>
      <x:c r="AA209" s="30" t="str">
        <x:f>IF(Z209&lt;=I209,"Peaceful","Hostile")</x:f>
        <x:v>Hostile</x:v>
      </x:c>
      <x:c r="AB209" s="30" t="str">
        <x:f>IF(Z209&lt;='Controls &amp; Summary'!$B$6,"Eligible","Blocked")</x:f>
        <x:v>Eligible</x:v>
      </x:c>
      <x:c r="AC209" s="30" t="str">
        <x:v>2003_GTM</x:v>
      </x:c>
      <x:c r="AD209" s="30" t="str">
        <x:v>2003_BEL</x:v>
      </x:c>
      <x:c r="AE209" s="30" t="str">
        <x:v>2003_Belize</x:v>
      </x:c>
      <x:c r="AF209" s="30" t="str">
        <x:v>Explicit capitalClaim</x:v>
      </x:c>
      <x:c r="AG209" s="30" t="str">
        <x:v>Claim2003_GTM2003_Belize</x:v>
      </x:c>
      <x:c r="AH209" s="30" t="str"/>
    </x:row>
    <x:row r="210">
      <x:c r="A210" s="30" t="str">
        <x:v>2003</x:v>
      </x:c>
      <x:c r="B210" s="30" t="str">
        <x:v>Dark Skies</x:v>
      </x:c>
      <x:c r="C210" s="30" t="str">
        <x:v>Guatemala</x:v>
      </x:c>
      <x:c r="D210" s="30" t="str">
        <x:v>Costa Rica</x:v>
      </x:c>
      <x:c r="E210" s="30" t="str">
        <x:v>Project unlock</x:v>
      </x:c>
      <x:c r="F210" s="30" t="str">
        <x:v>Central American Confederation</x:v>
      </x:c>
      <x:c r="G210" s="30" t="str">
        <x:v>No</x:v>
      </x:c>
      <x:c r="H210" s="30" t="str">
        <x:v>Ordinary claim</x:v>
      </x:c>
      <x:c r="I210" s="31" t="n">
        <x:f>IF(G210="Yes",'Controls &amp; Summary'!$B$5,'Controls &amp; Summary'!$B$4)</x:f>
        <x:v>6</x:v>
      </x:c>
      <x:c r="J210" s="31" t="n">
        <x:v>5.98</x:v>
      </x:c>
      <x:c r="K210" s="31" t="n">
        <x:v>8</x:v>
      </x:c>
      <x:c r="L210" s="31" t="n">
        <x:f>ABS(J210-K210)</x:f>
        <x:v>2.0199999999999996</x:v>
      </x:c>
      <x:c r="M210" s="31" t="n">
        <x:v>4.93</x:v>
      </x:c>
      <x:c r="N210" s="31" t="n">
        <x:v>4.56</x:v>
      </x:c>
      <x:c r="O210" s="31" t="n">
        <x:f>ABS(M210-N210)</x:f>
        <x:v>0.3700000000000001</x:v>
      </x:c>
      <x:c r="P210" s="31" t="n">
        <x:v>4.89</x:v>
      </x:c>
      <x:c r="Q210" s="31" t="n">
        <x:v>6.64</x:v>
      </x:c>
      <x:c r="R210" s="31" t="n">
        <x:f>ABS(P210-Q210)</x:f>
        <x:v>1.75</x:v>
      </x:c>
      <x:c r="S210" s="32" t="n">
        <x:v>3491.8220823797715</x:v>
      </x:c>
      <x:c r="T210" s="32" t="n">
        <x:v>6076.593415360647</x:v>
      </x:c>
      <x:c r="U210" s="31" t="n">
        <x:f>MAX(S210/T210,T210/S210)</x:f>
        <x:v>1.7402356912810641</x:v>
      </x:c>
      <x:c r="V210" s="31" t="n">
        <x:f>L210*'Controls &amp; Summary'!$B$9+O210*'Controls &amp; Summary'!$B$10+R210*'Controls &amp; Summary'!$B$11+U210*'Controls &amp; Summary'!$B$12</x:f>
        <x:v>5.880235691281063</x:v>
      </x:c>
      <x:c r="W210" s="31" t="n">
        <x:v>1.89</x:v>
      </x:c>
      <x:c r="X210" s="31" t="n">
        <x:v>1</x:v>
      </x:c>
      <x:c r="Y210" s="31" t="n">
        <x:f>((10-MIN(10,MAX(0,X210)))/10)*'Controls &amp; Summary'!$B$15+((10-MIN(10,MAX(0,W210)))/10)*'Controls &amp; Summary'!$B$16</x:f>
        <x:v>1.7109999999999999</x:v>
      </x:c>
      <x:c r="Z210" s="31" t="n">
        <x:f>V210*Y210</x:f>
        <x:v>10.061083267781898</x:v>
      </x:c>
      <x:c r="AA210" s="30" t="str">
        <x:f>IF(Z210&lt;=I210,"Peaceful","Hostile")</x:f>
        <x:v>Hostile</x:v>
      </x:c>
      <x:c r="AB210" s="30" t="str">
        <x:f>IF(Z210&lt;='Controls &amp; Summary'!$B$6,"Eligible","Blocked")</x:f>
        <x:v>Eligible</x:v>
      </x:c>
      <x:c r="AC210" s="30" t="str">
        <x:v>2003_GTM</x:v>
      </x:c>
      <x:c r="AD210" s="30" t="str">
        <x:v>2003_COS</x:v>
      </x:c>
      <x:c r="AE210" s="30" t="str">
        <x:v>2003_CostaRica</x:v>
      </x:c>
      <x:c r="AF210" s="30" t="str">
        <x:v>Explicit capitalClaim</x:v>
      </x:c>
      <x:c r="AG210" s="30" t="str">
        <x:v>Claim2003_GTM2003_CostaRica</x:v>
      </x:c>
      <x:c r="AH210" s="30" t="str">
        <x:v>Project_CentralAmericanConfederation</x:v>
      </x:c>
    </x:row>
    <x:row r="211">
      <x:c r="A211" s="30" t="str">
        <x:v>2003</x:v>
      </x:c>
      <x:c r="B211" s="30" t="str">
        <x:v>Dark Skies</x:v>
      </x:c>
      <x:c r="C211" s="30" t="str">
        <x:v>Guatemala</x:v>
      </x:c>
      <x:c r="D211" s="30" t="str">
        <x:v>El Salvador</x:v>
      </x:c>
      <x:c r="E211" s="30" t="str">
        <x:v>Project unlock</x:v>
      </x:c>
      <x:c r="F211" s="30" t="str">
        <x:v>Central American Confederation</x:v>
      </x:c>
      <x:c r="G211" s="30" t="str">
        <x:v>No</x:v>
      </x:c>
      <x:c r="H211" s="30" t="str">
        <x:v>Ordinary claim</x:v>
      </x:c>
      <x:c r="I211" s="31" t="n">
        <x:f>IF(G211="Yes",'Controls &amp; Summary'!$B$5,'Controls &amp; Summary'!$B$4)</x:f>
        <x:v>6</x:v>
      </x:c>
      <x:c r="J211" s="31" t="n">
        <x:v>5.98</x:v>
      </x:c>
      <x:c r="K211" s="31" t="n">
        <x:v>6.14</x:v>
      </x:c>
      <x:c r="L211" s="31" t="n">
        <x:f>ABS(J211-K211)</x:f>
        <x:v>0.15999999999999925</x:v>
      </x:c>
      <x:c r="M211" s="31" t="n">
        <x:v>4.93</x:v>
      </x:c>
      <x:c r="N211" s="31" t="n">
        <x:v>4.62</x:v>
      </x:c>
      <x:c r="O211" s="31" t="n">
        <x:f>ABS(M211-N211)</x:f>
        <x:v>0.3099999999999996</x:v>
      </x:c>
      <x:c r="P211" s="31" t="n">
        <x:v>4.89</x:v>
      </x:c>
      <x:c r="Q211" s="31" t="n">
        <x:v>5.45</x:v>
      </x:c>
      <x:c r="R211" s="31" t="n">
        <x:f>ABS(P211-Q211)</x:f>
        <x:v>0.5600000000000005</x:v>
      </x:c>
      <x:c r="S211" s="32" t="n">
        <x:v>3491.8220823797715</x:v>
      </x:c>
      <x:c r="T211" s="32" t="n">
        <x:v>3120.9041697903126</x:v>
      </x:c>
      <x:c r="U211" s="31" t="n">
        <x:f>MAX(S211/T211,T211/S211)</x:f>
        <x:v>1.1188495039930624</x:v>
      </x:c>
      <x:c r="V211" s="31" t="n">
        <x:f>L211*'Controls &amp; Summary'!$B$9+O211*'Controls &amp; Summary'!$B$10+R211*'Controls &amp; Summary'!$B$11+U211*'Controls &amp; Summary'!$B$12</x:f>
        <x:v>2.1488495039930617</x:v>
      </x:c>
      <x:c r="W211" s="31" t="n">
        <x:v>1.89</x:v>
      </x:c>
      <x:c r="X211" s="31" t="n">
        <x:v>3.22</x:v>
      </x:c>
      <x:c r="Y211" s="31" t="n">
        <x:f>((10-MIN(10,MAX(0,X211)))/10)*'Controls &amp; Summary'!$B$15+((10-MIN(10,MAX(0,W211)))/10)*'Controls &amp; Summary'!$B$16</x:f>
        <x:v>1.4889999999999999</x:v>
      </x:c>
      <x:c r="Z211" s="31" t="n">
        <x:f>V211*Y211</x:f>
        <x:v>3.1996369114456686</x:v>
      </x:c>
      <x:c r="AA211" s="30" t="str">
        <x:f>IF(Z211&lt;=I211,"Peaceful","Hostile")</x:f>
        <x:v>Peaceful</x:v>
      </x:c>
      <x:c r="AB211" s="30" t="str">
        <x:f>IF(Z211&lt;='Controls &amp; Summary'!$B$6,"Eligible","Blocked")</x:f>
        <x:v>Eligible</x:v>
      </x:c>
      <x:c r="AC211" s="30" t="str">
        <x:v>2003_GTM</x:v>
      </x:c>
      <x:c r="AD211" s="30" t="str">
        <x:v>2003_ELS</x:v>
      </x:c>
      <x:c r="AE211" s="30" t="str">
        <x:v>2003_ElSalvador</x:v>
      </x:c>
      <x:c r="AF211" s="30" t="str">
        <x:v>Explicit capitalClaim</x:v>
      </x:c>
      <x:c r="AG211" s="30" t="str">
        <x:v>Claim2003_GTM2003_ElSalvador</x:v>
      </x:c>
      <x:c r="AH211" s="30" t="str">
        <x:v>Project_CentralAmericanConfederation</x:v>
      </x:c>
    </x:row>
    <x:row r="212">
      <x:c r="A212" s="30" t="str">
        <x:v>2003</x:v>
      </x:c>
      <x:c r="B212" s="30" t="str">
        <x:v>Dark Skies</x:v>
      </x:c>
      <x:c r="C212" s="30" t="str">
        <x:v>Guatemala</x:v>
      </x:c>
      <x:c r="D212" s="30" t="str">
        <x:v>Honduras</x:v>
      </x:c>
      <x:c r="E212" s="30" t="str">
        <x:v>Project unlock</x:v>
      </x:c>
      <x:c r="F212" s="30" t="str">
        <x:v>Central American Confederation</x:v>
      </x:c>
      <x:c r="G212" s="30" t="str">
        <x:v>No</x:v>
      </x:c>
      <x:c r="H212" s="30" t="str">
        <x:v>Ordinary claim</x:v>
      </x:c>
      <x:c r="I212" s="31" t="n">
        <x:f>IF(G212="Yes",'Controls &amp; Summary'!$B$5,'Controls &amp; Summary'!$B$4)</x:f>
        <x:v>6</x:v>
      </x:c>
      <x:c r="J212" s="31" t="n">
        <x:v>5.98</x:v>
      </x:c>
      <x:c r="K212" s="31" t="n">
        <x:v>6.39</x:v>
      </x:c>
      <x:c r="L212" s="31" t="n">
        <x:f>ABS(J212-K212)</x:f>
        <x:v>0.40999999999999925</x:v>
      </x:c>
      <x:c r="M212" s="31" t="n">
        <x:v>4.93</x:v>
      </x:c>
      <x:c r="N212" s="31" t="n">
        <x:v>5.3</x:v>
      </x:c>
      <x:c r="O212" s="31" t="n">
        <x:f>ABS(M212-N212)</x:f>
        <x:v>0.3700000000000001</x:v>
      </x:c>
      <x:c r="P212" s="31" t="n">
        <x:v>4.89</x:v>
      </x:c>
      <x:c r="Q212" s="31" t="n">
        <x:v>4.79</x:v>
      </x:c>
      <x:c r="R212" s="31" t="n">
        <x:f>ABS(P212-Q212)</x:f>
        <x:v>0.09999999999999964</x:v>
      </x:c>
      <x:c r="S212" s="32" t="n">
        <x:v>3491.8220823797715</x:v>
      </x:c>
      <x:c r="T212" s="32" t="n">
        <x:v>1956.488023465515</x:v>
      </x:c>
      <x:c r="U212" s="31" t="n">
        <x:f>MAX(S212/T212,T212/S212)</x:f>
        <x:v>1.7847398197688575</x:v>
      </x:c>
      <x:c r="V212" s="31" t="n">
        <x:f>L212*'Controls &amp; Summary'!$B$9+O212*'Controls &amp; Summary'!$B$10+R212*'Controls &amp; Summary'!$B$11+U212*'Controls &amp; Summary'!$B$12</x:f>
        <x:v>2.6647398197688563</x:v>
      </x:c>
      <x:c r="W212" s="31" t="n">
        <x:v>1.89</x:v>
      </x:c>
      <x:c r="X212" s="31" t="n">
        <x:v>1.22</x:v>
      </x:c>
      <x:c r="Y212" s="31" t="n">
        <x:f>((10-MIN(10,MAX(0,X212)))/10)*'Controls &amp; Summary'!$B$15+((10-MIN(10,MAX(0,W212)))/10)*'Controls &amp; Summary'!$B$16</x:f>
        <x:v>1.6889999999999998</x:v>
      </x:c>
      <x:c r="Z212" s="31" t="n">
        <x:f>V212*Y212</x:f>
        <x:v>4.500745555589598</x:v>
      </x:c>
      <x:c r="AA212" s="30" t="str">
        <x:f>IF(Z212&lt;=I212,"Peaceful","Hostile")</x:f>
        <x:v>Peaceful</x:v>
      </x:c>
      <x:c r="AB212" s="30" t="str">
        <x:f>IF(Z212&lt;='Controls &amp; Summary'!$B$6,"Eligible","Blocked")</x:f>
        <x:v>Eligible</x:v>
      </x:c>
      <x:c r="AC212" s="30" t="str">
        <x:v>2003_GTM</x:v>
      </x:c>
      <x:c r="AD212" s="30" t="str">
        <x:v>2003_HON</x:v>
      </x:c>
      <x:c r="AE212" s="30" t="str">
        <x:v>2003_Honduras</x:v>
      </x:c>
      <x:c r="AF212" s="30" t="str">
        <x:v>Explicit capitalClaim</x:v>
      </x:c>
      <x:c r="AG212" s="30" t="str">
        <x:v>Claim2003_GTM2003_Honduras</x:v>
      </x:c>
      <x:c r="AH212" s="30" t="str">
        <x:v>Project_CentralAmericanConfederation</x:v>
      </x:c>
    </x:row>
    <x:row r="213">
      <x:c r="A213" s="30" t="str">
        <x:v>2003</x:v>
      </x:c>
      <x:c r="B213" s="30" t="str">
        <x:v>Dark Skies</x:v>
      </x:c>
      <x:c r="C213" s="30" t="str">
        <x:v>Guatemala</x:v>
      </x:c>
      <x:c r="D213" s="30" t="str">
        <x:v>Nicaragua</x:v>
      </x:c>
      <x:c r="E213" s="30" t="str">
        <x:v>Project unlock</x:v>
      </x:c>
      <x:c r="F213" s="30" t="str">
        <x:v>Central American Confederation</x:v>
      </x:c>
      <x:c r="G213" s="30" t="str">
        <x:v>No</x:v>
      </x:c>
      <x:c r="H213" s="30" t="str">
        <x:v>Ordinary claim</x:v>
      </x:c>
      <x:c r="I213" s="31" t="n">
        <x:f>IF(G213="Yes",'Controls &amp; Summary'!$B$5,'Controls &amp; Summary'!$B$4)</x:f>
        <x:v>6</x:v>
      </x:c>
      <x:c r="J213" s="31" t="n">
        <x:v>5.98</x:v>
      </x:c>
      <x:c r="K213" s="31" t="n">
        <x:v>6.12</x:v>
      </x:c>
      <x:c r="L213" s="31" t="n">
        <x:f>ABS(J213-K213)</x:f>
        <x:v>0.13999999999999968</x:v>
      </x:c>
      <x:c r="M213" s="31" t="n">
        <x:v>4.93</x:v>
      </x:c>
      <x:c r="N213" s="31" t="n">
        <x:v>4.76</x:v>
      </x:c>
      <x:c r="O213" s="31" t="n">
        <x:f>ABS(M213-N213)</x:f>
        <x:v>0.16999999999999993</x:v>
      </x:c>
      <x:c r="P213" s="31" t="n">
        <x:v>4.89</x:v>
      </x:c>
      <x:c r="Q213" s="31" t="n">
        <x:v>5.31</x:v>
      </x:c>
      <x:c r="R213" s="31" t="n">
        <x:f>ABS(P213-Q213)</x:f>
        <x:v>0.41999999999999993</x:v>
      </x:c>
      <x:c r="S213" s="32" t="n">
        <x:v>3491.8220823797715</x:v>
      </x:c>
      <x:c r="T213" s="32" t="n">
        <x:v>1903.0952750959852</x:v>
      </x:c>
      <x:c r="U213" s="31" t="n">
        <x:f>MAX(S213/T213,T213/S213)</x:f>
        <x:v>1.8348120181232948</x:v>
      </x:c>
      <x:c r="V213" s="31" t="n">
        <x:f>L213*'Controls &amp; Summary'!$B$9+O213*'Controls &amp; Summary'!$B$10+R213*'Controls &amp; Summary'!$B$11+U213*'Controls &amp; Summary'!$B$12</x:f>
        <x:v>2.5648120181232943</x:v>
      </x:c>
      <x:c r="W213" s="31" t="n">
        <x:v>1.89</x:v>
      </x:c>
      <x:c r="X213" s="31" t="n">
        <x:v>2.98</x:v>
      </x:c>
      <x:c r="Y213" s="31" t="n">
        <x:f>((10-MIN(10,MAX(0,X213)))/10)*'Controls &amp; Summary'!$B$15+((10-MIN(10,MAX(0,W213)))/10)*'Controls &amp; Summary'!$B$16</x:f>
        <x:v>1.513</x:v>
      </x:c>
      <x:c r="Z213" s="31" t="n">
        <x:f>V213*Y213</x:f>
        <x:v>3.880560583420544</x:v>
      </x:c>
      <x:c r="AA213" s="30" t="str">
        <x:f>IF(Z213&lt;=I213,"Peaceful","Hostile")</x:f>
        <x:v>Peaceful</x:v>
      </x:c>
      <x:c r="AB213" s="30" t="str">
        <x:f>IF(Z213&lt;='Controls &amp; Summary'!$B$6,"Eligible","Blocked")</x:f>
        <x:v>Eligible</x:v>
      </x:c>
      <x:c r="AC213" s="30" t="str">
        <x:v>2003_GTM</x:v>
      </x:c>
      <x:c r="AD213" s="30" t="str">
        <x:v>2003_NIC</x:v>
      </x:c>
      <x:c r="AE213" s="30" t="str">
        <x:v>2003_Nicaragua</x:v>
      </x:c>
      <x:c r="AF213" s="30" t="str">
        <x:v>Explicit capitalClaim</x:v>
      </x:c>
      <x:c r="AG213" s="30" t="str">
        <x:v>Claim2003_GTM2003_Nicaragua</x:v>
      </x:c>
      <x:c r="AH213" s="30" t="str">
        <x:v>Project_CentralAmericanConfederation</x:v>
      </x:c>
    </x:row>
    <x:row r="214">
      <x:c r="A214" s="30" t="str">
        <x:v>2003</x:v>
      </x:c>
      <x:c r="B214" s="30" t="str">
        <x:v>Dark Skies</x:v>
      </x:c>
      <x:c r="C214" s="30" t="str">
        <x:v>Guatemala</x:v>
      </x:c>
      <x:c r="D214" s="30" t="str">
        <x:v>Panama</x:v>
      </x:c>
      <x:c r="E214" s="30" t="str">
        <x:v>Project unlock</x:v>
      </x:c>
      <x:c r="F214" s="30" t="str">
        <x:v>Central American Confederation</x:v>
      </x:c>
      <x:c r="G214" s="30" t="str">
        <x:v>No</x:v>
      </x:c>
      <x:c r="H214" s="30" t="str">
        <x:v>Ordinary claim</x:v>
      </x:c>
      <x:c r="I214" s="31" t="n">
        <x:f>IF(G214="Yes",'Controls &amp; Summary'!$B$5,'Controls &amp; Summary'!$B$4)</x:f>
        <x:v>6</x:v>
      </x:c>
      <x:c r="J214" s="31" t="n">
        <x:v>5.98</x:v>
      </x:c>
      <x:c r="K214" s="31" t="n">
        <x:v>7.33</x:v>
      </x:c>
      <x:c r="L214" s="31" t="n">
        <x:f>ABS(J214-K214)</x:f>
        <x:v>1.3499999999999996</x:v>
      </x:c>
      <x:c r="M214" s="31" t="n">
        <x:v>4.93</x:v>
      </x:c>
      <x:c r="N214" s="31" t="n">
        <x:v>5.1</x:v>
      </x:c>
      <x:c r="O214" s="31" t="n">
        <x:f>ABS(M214-N214)</x:f>
        <x:v>0.16999999999999993</x:v>
      </x:c>
      <x:c r="P214" s="31" t="n">
        <x:v>4.89</x:v>
      </x:c>
      <x:c r="Q214" s="31" t="n">
        <x:v>6.63</x:v>
      </x:c>
      <x:c r="R214" s="31" t="n">
        <x:f>ABS(P214-Q214)</x:f>
        <x:v>1.7400000000000002</x:v>
      </x:c>
      <x:c r="S214" s="32" t="n">
        <x:v>3491.8220823797715</x:v>
      </x:c>
      <x:c r="T214" s="32" t="n">
        <x:v>7326.3337383735125</x:v>
      </x:c>
      <x:c r="U214" s="31" t="n">
        <x:f>MAX(S214/T214,T214/S214)</x:f>
        <x:v>2.0981406169985664</x:v>
      </x:c>
      <x:c r="V214" s="31" t="n">
        <x:f>L214*'Controls &amp; Summary'!$B$9+O214*'Controls &amp; Summary'!$B$10+R214*'Controls &amp; Summary'!$B$11+U214*'Controls &amp; Summary'!$B$12</x:f>
        <x:v>5.358140616998567</x:v>
      </x:c>
      <x:c r="W214" s="31" t="n">
        <x:v>1.89</x:v>
      </x:c>
      <x:c r="X214" s="31" t="n">
        <x:v>1.67</x:v>
      </x:c>
      <x:c r="Y214" s="31" t="n">
        <x:f>((10-MIN(10,MAX(0,X214)))/10)*'Controls &amp; Summary'!$B$15+((10-MIN(10,MAX(0,W214)))/10)*'Controls &amp; Summary'!$B$16</x:f>
        <x:v>1.644</x:v>
      </x:c>
      <x:c r="Z214" s="31" t="n">
        <x:f>V214*Y214</x:f>
        <x:v>8.808783174345644</x:v>
      </x:c>
      <x:c r="AA214" s="30" t="str">
        <x:f>IF(Z214&lt;=I214,"Peaceful","Hostile")</x:f>
        <x:v>Hostile</x:v>
      </x:c>
      <x:c r="AB214" s="30" t="str">
        <x:f>IF(Z214&lt;='Controls &amp; Summary'!$B$6,"Eligible","Blocked")</x:f>
        <x:v>Eligible</x:v>
      </x:c>
      <x:c r="AC214" s="30" t="str">
        <x:v>2003_GTM</x:v>
      </x:c>
      <x:c r="AD214" s="30" t="str">
        <x:v>2003_PAN</x:v>
      </x:c>
      <x:c r="AE214" s="30" t="str">
        <x:v>2003_Panama</x:v>
      </x:c>
      <x:c r="AF214" s="30" t="str">
        <x:v>Explicit capitalClaim</x:v>
      </x:c>
      <x:c r="AG214" s="30" t="str">
        <x:v>Claim2003_GTM2003_Panama</x:v>
      </x:c>
      <x:c r="AH214" s="30" t="str">
        <x:v>Project_CentralAmericanConfederation</x:v>
      </x:c>
    </x:row>
    <x:row r="215">
      <x:c r="A215" s="30" t="str">
        <x:v>2003</x:v>
      </x:c>
      <x:c r="B215" s="30" t="str">
        <x:v>Dark Skies</x:v>
      </x:c>
      <x:c r="C215" s="30" t="str">
        <x:v>Hungary</x:v>
      </x:c>
      <x:c r="D215" s="30" t="str">
        <x:v>Bosnia and Herzegovina</x:v>
      </x:c>
      <x:c r="E215" s="30" t="str">
        <x:v>Project unlock</x:v>
      </x:c>
      <x:c r="F215" s="30" t="str">
        <x:v>Hungarian Irredentism</x:v>
      </x:c>
      <x:c r="G215" s="30" t="str">
        <x:v>No</x:v>
      </x:c>
      <x:c r="H215" s="30" t="str">
        <x:v>Ordinary claim</x:v>
      </x:c>
      <x:c r="I215" s="31" t="n">
        <x:f>IF(G215="Yes",'Controls &amp; Summary'!$B$5,'Controls &amp; Summary'!$B$4)</x:f>
        <x:v>6</x:v>
      </x:c>
      <x:c r="J215" s="31" t="n">
        <x:v>7.67</x:v>
      </x:c>
      <x:c r="K215" s="31" t="n">
        <x:v>5.96</x:v>
      </x:c>
      <x:c r="L215" s="31" t="n">
        <x:f>ABS(J215-K215)</x:f>
        <x:v>1.71</x:v>
      </x:c>
      <x:c r="M215" s="31" t="n">
        <x:v>2.8</x:v>
      </x:c>
      <x:c r="N215" s="31" t="n">
        <x:v>3.83</x:v>
      </x:c>
      <x:c r="O215" s="31" t="n">
        <x:f>ABS(M215-N215)</x:f>
        <x:v>1.0300000000000002</x:v>
      </x:c>
      <x:c r="P215" s="31" t="n">
        <x:v>7.42</x:v>
      </x:c>
      <x:c r="Q215" s="31" t="n">
        <x:v>6.12</x:v>
      </x:c>
      <x:c r="R215" s="31" t="n">
        <x:f>ABS(P215-Q215)</x:f>
        <x:v>1.2999999999999998</x:v>
      </x:c>
      <x:c r="S215" s="32" t="n">
        <x:v>10016.008762520943</x:v>
      </x:c>
      <x:c r="T215" s="32" t="n">
        <x:v>3334.651533328882</x:v>
      </x:c>
      <x:c r="U215" s="31" t="n">
        <x:f>MAX(S215/T215,T215/S215)</x:f>
        <x:v>3.0036148192438756</x:v>
      </x:c>
      <x:c r="V215" s="31" t="n">
        <x:f>L215*'Controls &amp; Summary'!$B$9+O215*'Controls &amp; Summary'!$B$10+R215*'Controls &amp; Summary'!$B$11+U215*'Controls &amp; Summary'!$B$12</x:f>
        <x:v>7.043614819243876</x:v>
      </x:c>
      <x:c r="W215" s="31" t="n">
        <x:v>5.11</x:v>
      </x:c>
      <x:c r="X215" s="31" t="n">
        <x:v>3.25</x:v>
      </x:c>
      <x:c r="Y215" s="31" t="n">
        <x:f>((10-MIN(10,MAX(0,X215)))/10)*'Controls &amp; Summary'!$B$15+((10-MIN(10,MAX(0,W215)))/10)*'Controls &amp; Summary'!$B$16</x:f>
        <x:v>1.1640000000000001</x:v>
      </x:c>
      <x:c r="Z215" s="31" t="n">
        <x:f>V215*Y215</x:f>
        <x:v>8.198767649599873</x:v>
      </x:c>
      <x:c r="AA215" s="30" t="str">
        <x:f>IF(Z215&lt;=I215,"Peaceful","Hostile")</x:f>
        <x:v>Hostile</x:v>
      </x:c>
      <x:c r="AB215" s="30" t="str">
        <x:f>IF(Z215&lt;='Controls &amp; Summary'!$B$6,"Eligible","Blocked")</x:f>
        <x:v>Eligible</x:v>
      </x:c>
      <x:c r="AC215" s="30" t="str">
        <x:v>2003_HUN</x:v>
      </x:c>
      <x:c r="AD215" s="30" t="str">
        <x:v>2003_BSM</x:v>
      </x:c>
      <x:c r="AE215" s="30" t="str">
        <x:v>2003_Sarajevo</x:v>
      </x:c>
      <x:c r="AF215" s="30" t="str">
        <x:v>Explicit capitalClaim</x:v>
      </x:c>
      <x:c r="AG215" s="30" t="str">
        <x:v>Claim2003_HUN2003_Sarajevo</x:v>
      </x:c>
      <x:c r="AH215" s="30" t="str">
        <x:v>Project_HungarianIrredentism</x:v>
      </x:c>
    </x:row>
    <x:row r="216">
      <x:c r="A216" s="30" t="str">
        <x:v>2003</x:v>
      </x:c>
      <x:c r="B216" s="30" t="str">
        <x:v>Dark Skies</x:v>
      </x:c>
      <x:c r="C216" s="30" t="str">
        <x:v>Hungary</x:v>
      </x:c>
      <x:c r="D216" s="30" t="str">
        <x:v>Croatia</x:v>
      </x:c>
      <x:c r="E216" s="30" t="str">
        <x:v>Project unlock</x:v>
      </x:c>
      <x:c r="F216" s="30" t="str">
        <x:v>Hungarian Irredentism</x:v>
      </x:c>
      <x:c r="G216" s="30" t="str">
        <x:v>No</x:v>
      </x:c>
      <x:c r="H216" s="30" t="str">
        <x:v>Ordinary claim</x:v>
      </x:c>
      <x:c r="I216" s="31" t="n">
        <x:f>IF(G216="Yes",'Controls &amp; Summary'!$B$5,'Controls &amp; Summary'!$B$4)</x:f>
        <x:v>6</x:v>
      </x:c>
      <x:c r="J216" s="31" t="n">
        <x:v>7.67</x:v>
      </x:c>
      <x:c r="K216" s="31" t="n">
        <x:v>7.03</x:v>
      </x:c>
      <x:c r="L216" s="31" t="n">
        <x:f>ABS(J216-K216)</x:f>
        <x:v>0.6399999999999997</x:v>
      </x:c>
      <x:c r="M216" s="31" t="n">
        <x:v>2.8</x:v>
      </x:c>
      <x:c r="N216" s="31" t="n">
        <x:v>2.67</x:v>
      </x:c>
      <x:c r="O216" s="31" t="n">
        <x:f>ABS(M216-N216)</x:f>
        <x:v>0.1299999999999999</x:v>
      </x:c>
      <x:c r="P216" s="31" t="n">
        <x:v>7.42</x:v>
      </x:c>
      <x:c r="Q216" s="31" t="n">
        <x:v>7.32</x:v>
      </x:c>
      <x:c r="R216" s="31" t="n">
        <x:f>ABS(P216-Q216)</x:f>
        <x:v>0.09999999999999964</x:v>
      </x:c>
      <x:c r="S216" s="32" t="n">
        <x:v>10016.008762520943</x:v>
      </x:c>
      <x:c r="T216" s="32" t="n">
        <x:v>9881.140802928285</x:v>
      </x:c>
      <x:c r="U216" s="31" t="n">
        <x:f>MAX(S216/T216,T216/S216)</x:f>
        <x:v>1.0136490272006538</x:v>
      </x:c>
      <x:c r="V216" s="31" t="n">
        <x:f>L216*'Controls &amp; Summary'!$B$9+O216*'Controls &amp; Summary'!$B$10+R216*'Controls &amp; Summary'!$B$11+U216*'Controls &amp; Summary'!$B$12</x:f>
        <x:v>1.883649027200653</x:v>
      </x:c>
      <x:c r="W216" s="31" t="n">
        <x:v>5.11</x:v>
      </x:c>
      <x:c r="X216" s="31" t="n">
        <x:v>1.98</x:v>
      </x:c>
      <x:c r="Y216" s="31" t="n">
        <x:f>((10-MIN(10,MAX(0,X216)))/10)*'Controls &amp; Summary'!$B$15+((10-MIN(10,MAX(0,W216)))/10)*'Controls &amp; Summary'!$B$16</x:f>
        <x:v>1.291</x:v>
      </x:c>
      <x:c r="Z216" s="31" t="n">
        <x:f>V216*Y216</x:f>
        <x:v>2.431790894116043</x:v>
      </x:c>
      <x:c r="AA216" s="30" t="str">
        <x:f>IF(Z216&lt;=I216,"Peaceful","Hostile")</x:f>
        <x:v>Peaceful</x:v>
      </x:c>
      <x:c r="AB216" s="30" t="str">
        <x:f>IF(Z216&lt;='Controls &amp; Summary'!$B$6,"Eligible","Blocked")</x:f>
        <x:v>Eligible</x:v>
      </x:c>
      <x:c r="AC216" s="30" t="str">
        <x:v>2003_HUN</x:v>
      </x:c>
      <x:c r="AD216" s="30" t="str">
        <x:v>2003_CRS</x:v>
      </x:c>
      <x:c r="AE216" s="30" t="str">
        <x:v>2003_Zagreb</x:v>
      </x:c>
      <x:c r="AF216" s="30" t="str">
        <x:v>Explicit capitalClaim</x:v>
      </x:c>
      <x:c r="AG216" s="30" t="str">
        <x:v>Claim2003_HUN2003_Zagreb</x:v>
      </x:c>
      <x:c r="AH216" s="30" t="str">
        <x:v>Project_HungarianIrredentism</x:v>
      </x:c>
    </x:row>
    <x:row r="217">
      <x:c r="A217" s="30" t="str">
        <x:v>2003</x:v>
      </x:c>
      <x:c r="B217" s="30" t="str">
        <x:v>Dark Skies</x:v>
      </x:c>
      <x:c r="C217" s="30" t="str">
        <x:v>Hungary</x:v>
      </x:c>
      <x:c r="D217" s="30" t="str">
        <x:v>Slovakia</x:v>
      </x:c>
      <x:c r="E217" s="30" t="str">
        <x:v>Project unlock</x:v>
      </x:c>
      <x:c r="F217" s="30" t="str">
        <x:v>Hungarian Irredentism</x:v>
      </x:c>
      <x:c r="G217" s="30" t="str">
        <x:v>No</x:v>
      </x:c>
      <x:c r="H217" s="30" t="str">
        <x:v>Ordinary claim</x:v>
      </x:c>
      <x:c r="I217" s="31" t="n">
        <x:f>IF(G217="Yes",'Controls &amp; Summary'!$B$5,'Controls &amp; Summary'!$B$4)</x:f>
        <x:v>6</x:v>
      </x:c>
      <x:c r="J217" s="31" t="n">
        <x:v>7.67</x:v>
      </x:c>
      <x:c r="K217" s="31" t="n">
        <x:v>7.57</x:v>
      </x:c>
      <x:c r="L217" s="31" t="n">
        <x:f>ABS(J217-K217)</x:f>
        <x:v>0.09999999999999964</x:v>
      </x:c>
      <x:c r="M217" s="31" t="n">
        <x:v>2.8</x:v>
      </x:c>
      <x:c r="N217" s="31" t="n">
        <x:v>2.62</x:v>
      </x:c>
      <x:c r="O217" s="31" t="n">
        <x:f>ABS(M217-N217)</x:f>
        <x:v>0.17999999999999972</x:v>
      </x:c>
      <x:c r="P217" s="31" t="n">
        <x:v>7.42</x:v>
      </x:c>
      <x:c r="Q217" s="31" t="n">
        <x:v>7.3</x:v>
      </x:c>
      <x:c r="R217" s="31" t="n">
        <x:f>ABS(P217-Q217)</x:f>
        <x:v>0.1200000000000001</x:v>
      </x:c>
      <x:c r="S217" s="32" t="n">
        <x:v>10016.008762520943</x:v>
      </x:c>
      <x:c r="T217" s="32" t="n">
        <x:v>8050.541042402472</x:v>
      </x:c>
      <x:c r="U217" s="31" t="n">
        <x:f>MAX(S217/T217,T217/S217)</x:f>
        <x:v>1.2441410719809123</x:v>
      </x:c>
      <x:c r="V217" s="31" t="n">
        <x:f>L217*'Controls &amp; Summary'!$B$9+O217*'Controls &amp; Summary'!$B$10+R217*'Controls &amp; Summary'!$B$11+U217*'Controls &amp; Summary'!$B$12</x:f>
        <x:v>1.6441410719809118</x:v>
      </x:c>
      <x:c r="W217" s="31" t="n">
        <x:v>5.11</x:v>
      </x:c>
      <x:c r="X217" s="31" t="n">
        <x:v>0.69</x:v>
      </x:c>
      <x:c r="Y217" s="31" t="n">
        <x:f>((10-MIN(10,MAX(0,X217)))/10)*'Controls &amp; Summary'!$B$15+((10-MIN(10,MAX(0,W217)))/10)*'Controls &amp; Summary'!$B$16</x:f>
        <x:v>1.42</x:v>
      </x:c>
      <x:c r="Z217" s="31" t="n">
        <x:f>V217*Y217</x:f>
        <x:v>2.3346803222128947</x:v>
      </x:c>
      <x:c r="AA217" s="30" t="str">
        <x:f>IF(Z217&lt;=I217,"Peaceful","Hostile")</x:f>
        <x:v>Peaceful</x:v>
      </x:c>
      <x:c r="AB217" s="30" t="str">
        <x:f>IF(Z217&lt;='Controls &amp; Summary'!$B$6,"Eligible","Blocked")</x:f>
        <x:v>Eligible</x:v>
      </x:c>
      <x:c r="AC217" s="30" t="str">
        <x:v>2003_HUN</x:v>
      </x:c>
      <x:c r="AD217" s="30" t="str">
        <x:v>2003_SLO</x:v>
      </x:c>
      <x:c r="AE217" s="30" t="str">
        <x:v>2003_Slovakia</x:v>
      </x:c>
      <x:c r="AF217" s="30" t="str">
        <x:v>Explicit capitalClaim</x:v>
      </x:c>
      <x:c r="AG217" s="30" t="str">
        <x:v>Claim2003_HUN2003_Slovakia</x:v>
      </x:c>
      <x:c r="AH217" s="30" t="str">
        <x:v>Project_HungarianIrredentism</x:v>
      </x:c>
    </x:row>
    <x:row r="218">
      <x:c r="A218" s="30" t="str">
        <x:v>2003</x:v>
      </x:c>
      <x:c r="B218" s="30" t="str">
        <x:v>Dark Skies</x:v>
      </x:c>
      <x:c r="C218" s="30" t="str">
        <x:v>India</x:v>
      </x:c>
      <x:c r="D218" s="30" t="str">
        <x:v>Afghanistan</x:v>
      </x:c>
      <x:c r="E218" s="30" t="str">
        <x:v>Project unlock</x:v>
      </x:c>
      <x:c r="F218" s="30" t="str">
        <x:v>Greater India</x:v>
      </x:c>
      <x:c r="G218" s="30" t="str">
        <x:v>Yes</x:v>
      </x:c>
      <x:c r="H218" s="30" t="str">
        <x:v>Template hostileClaim</x:v>
      </x:c>
      <x:c r="I218" s="31" t="n">
        <x:f>IF(G218="Yes",'Controls &amp; Summary'!$B$5,'Controls &amp; Summary'!$B$4)</x:f>
        <x:v>3</x:v>
      </x:c>
      <x:c r="J218" s="31" t="n">
        <x:v>7.76</x:v>
      </x:c>
      <x:c r="K218" s="31" t="n">
        <x:v>2.2</x:v>
      </x:c>
      <x:c r="L218" s="31" t="n">
        <x:f>ABS(J218-K218)</x:f>
        <x:v>5.56</x:v>
      </x:c>
      <x:c r="M218" s="31" t="n">
        <x:v>4.65</x:v>
      </x:c>
      <x:c r="N218" s="31" t="n">
        <x:v>3.16</x:v>
      </x:c>
      <x:c r="O218" s="31" t="n">
        <x:f>ABS(M218-N218)</x:f>
        <x:v>1.4900000000000002</x:v>
      </x:c>
      <x:c r="P218" s="31" t="n">
        <x:v>4.36</x:v>
      </x:c>
      <x:c r="Q218" s="31" t="n">
        <x:v>2.86</x:v>
      </x:c>
      <x:c r="R218" s="31" t="n">
        <x:f>ABS(P218-Q218)</x:f>
        <x:v>1.5000000000000004</x:v>
      </x:c>
      <x:c r="S218" s="32" t="n">
        <x:v>1301.4697957546507</x:v>
      </x:c>
      <x:c r="T218" s="32" t="n">
        <x:v>648.4106411330922</x:v>
      </x:c>
      <x:c r="U218" s="31" t="n">
        <x:f>MAX(S218/T218,T218/S218)</x:f>
        <x:v>2.007169088835962</x:v>
      </x:c>
      <x:c r="V218" s="31" t="n">
        <x:f>L218*'Controls &amp; Summary'!$B$9+O218*'Controls &amp; Summary'!$B$10+R218*'Controls &amp; Summary'!$B$11+U218*'Controls &amp; Summary'!$B$12</x:f>
        <x:v>10.557169088835963</x:v>
      </x:c>
      <x:c r="W218" s="31" t="n">
        <x:v>0.77</x:v>
      </x:c>
      <x:c r="X218" s="31" t="n">
        <x:v>7.36</x:v>
      </x:c>
      <x:c r="Y218" s="31" t="n">
        <x:f>((10-MIN(10,MAX(0,X218)))/10)*'Controls &amp; Summary'!$B$15+((10-MIN(10,MAX(0,W218)))/10)*'Controls &amp; Summary'!$B$16</x:f>
        <x:v>1.187</x:v>
      </x:c>
      <x:c r="Z218" s="31" t="n">
        <x:f>V218*Y218</x:f>
        <x:v>12.531359708448289</x:v>
      </x:c>
      <x:c r="AA218" s="30" t="str">
        <x:f>IF(Z218&lt;=I218,"Peaceful","Hostile")</x:f>
        <x:v>Hostile</x:v>
      </x:c>
      <x:c r="AB218" s="30" t="str">
        <x:f>IF(Z218&lt;='Controls &amp; Summary'!$B$6,"Eligible","Blocked")</x:f>
        <x:v>Blocked</x:v>
      </x:c>
      <x:c r="AC218" s="30" t="str">
        <x:v>2003_IND</x:v>
      </x:c>
      <x:c r="AD218" s="30" t="str">
        <x:v>2003_AFG</x:v>
      </x:c>
      <x:c r="AE218" s="30" t="str">
        <x:v>2003_Afghanistan</x:v>
      </x:c>
      <x:c r="AF218" s="30" t="str">
        <x:v>Explicit capitalClaim</x:v>
      </x:c>
      <x:c r="AG218" s="30" t="str">
        <x:v>Claim2003_IND2003_Afghanistan</x:v>
      </x:c>
      <x:c r="AH218" s="30" t="str">
        <x:v>Project_GreaterIndia</x:v>
      </x:c>
    </x:row>
    <x:row r="219">
      <x:c r="A219" s="30" t="str">
        <x:v>2003</x:v>
      </x:c>
      <x:c r="B219" s="30" t="str">
        <x:v>Dark Skies</x:v>
      </x:c>
      <x:c r="C219" s="30" t="str">
        <x:v>India</x:v>
      </x:c>
      <x:c r="D219" s="30" t="str">
        <x:v>Bangladesh</x:v>
      </x:c>
      <x:c r="E219" s="30" t="str">
        <x:v>Project unlock</x:v>
      </x:c>
      <x:c r="F219" s="30" t="str">
        <x:v>Greater India</x:v>
      </x:c>
      <x:c r="G219" s="30" t="str">
        <x:v>No</x:v>
      </x:c>
      <x:c r="H219" s="30" t="str">
        <x:v>Ordinary claim</x:v>
      </x:c>
      <x:c r="I219" s="31" t="n">
        <x:f>IF(G219="Yes",'Controls &amp; Summary'!$B$5,'Controls &amp; Summary'!$B$4)</x:f>
        <x:v>6</x:v>
      </x:c>
      <x:c r="J219" s="31" t="n">
        <x:v>7.76</x:v>
      </x:c>
      <x:c r="K219" s="31" t="n">
        <x:v>6.29</x:v>
      </x:c>
      <x:c r="L219" s="31" t="n">
        <x:f>ABS(J219-K219)</x:f>
        <x:v>1.4699999999999998</x:v>
      </x:c>
      <x:c r="M219" s="31" t="n">
        <x:v>4.65</x:v>
      </x:c>
      <x:c r="N219" s="31" t="n">
        <x:v>3.37</x:v>
      </x:c>
      <x:c r="O219" s="31" t="n">
        <x:f>ABS(M219-N219)</x:f>
        <x:v>1.2800000000000002</x:v>
      </x:c>
      <x:c r="P219" s="31" t="n">
        <x:v>4.36</x:v>
      </x:c>
      <x:c r="Q219" s="31" t="n">
        <x:v>4.08</x:v>
      </x:c>
      <x:c r="R219" s="31" t="n">
        <x:f>ABS(P219-Q219)</x:f>
        <x:v>0.28000000000000025</x:v>
      </x:c>
      <x:c r="S219" s="32" t="n">
        <x:v>1301.4697957546507</x:v>
      </x:c>
      <x:c r="T219" s="32" t="n">
        <x:v>1083.3019085836</x:v>
      </x:c>
      <x:c r="U219" s="31" t="n">
        <x:f>MAX(S219/T219,T219/S219)</x:f>
        <x:v>1.2013915838626203</x:v>
      </x:c>
      <x:c r="V219" s="31" t="n">
        <x:f>L219*'Controls &amp; Summary'!$B$9+O219*'Controls &amp; Summary'!$B$10+R219*'Controls &amp; Summary'!$B$11+U219*'Controls &amp; Summary'!$B$12</x:f>
        <x:v>4.231391583862621</x:v>
      </x:c>
      <x:c r="W219" s="31" t="n">
        <x:v>0.77</x:v>
      </x:c>
      <x:c r="X219" s="31" t="n">
        <x:v>7.02</x:v>
      </x:c>
      <x:c r="Y219" s="31" t="n">
        <x:f>((10-MIN(10,MAX(0,X219)))/10)*'Controls &amp; Summary'!$B$15+((10-MIN(10,MAX(0,W219)))/10)*'Controls &amp; Summary'!$B$16</x:f>
        <x:v>1.221</x:v>
      </x:c>
      <x:c r="Z219" s="31" t="n">
        <x:f>V219*Y219</x:f>
        <x:v>5.16652912389626</x:v>
      </x:c>
      <x:c r="AA219" s="30" t="str">
        <x:f>IF(Z219&lt;=I219,"Peaceful","Hostile")</x:f>
        <x:v>Peaceful</x:v>
      </x:c>
      <x:c r="AB219" s="30" t="str">
        <x:f>IF(Z219&lt;='Controls &amp; Summary'!$B$6,"Eligible","Blocked")</x:f>
        <x:v>Eligible</x:v>
      </x:c>
      <x:c r="AC219" s="30" t="str">
        <x:v>2003_IND</x:v>
      </x:c>
      <x:c r="AD219" s="30" t="str">
        <x:v>2003_BGD</x:v>
      </x:c>
      <x:c r="AE219" s="30" t="str">
        <x:v>2003_Bangladesh</x:v>
      </x:c>
      <x:c r="AF219" s="30" t="str">
        <x:v>Explicit capitalClaim</x:v>
      </x:c>
      <x:c r="AG219" s="30" t="str">
        <x:v>Claim2003_IND2003_Bangladesh</x:v>
      </x:c>
      <x:c r="AH219" s="30" t="str">
        <x:v>Project_GreaterIndia</x:v>
      </x:c>
    </x:row>
    <x:row r="220">
      <x:c r="A220" s="30" t="str">
        <x:v>2003</x:v>
      </x:c>
      <x:c r="B220" s="30" t="str">
        <x:v>Dark Skies</x:v>
      </x:c>
      <x:c r="C220" s="30" t="str">
        <x:v>India</x:v>
      </x:c>
      <x:c r="D220" s="30" t="str">
        <x:v>Bhutan</x:v>
      </x:c>
      <x:c r="E220" s="30" t="str">
        <x:v>Project unlock</x:v>
      </x:c>
      <x:c r="F220" s="30" t="str">
        <x:v>Greater India</x:v>
      </x:c>
      <x:c r="G220" s="30" t="str">
        <x:v>No</x:v>
      </x:c>
      <x:c r="H220" s="30" t="str">
        <x:v>Ordinary claim</x:v>
      </x:c>
      <x:c r="I220" s="31" t="n">
        <x:f>IF(G220="Yes",'Controls &amp; Summary'!$B$5,'Controls &amp; Summary'!$B$4)</x:f>
        <x:v>6</x:v>
      </x:c>
      <x:c r="J220" s="31" t="n">
        <x:v>7.76</x:v>
      </x:c>
      <x:c r="K220" s="31" t="n">
        <x:v>2.59</x:v>
      </x:c>
      <x:c r="L220" s="31" t="n">
        <x:f>ABS(J220-K220)</x:f>
        <x:v>5.17</x:v>
      </x:c>
      <x:c r="M220" s="31" t="n">
        <x:v>4.65</x:v>
      </x:c>
      <x:c r="N220" s="31" t="n">
        <x:v>4.01</x:v>
      </x:c>
      <x:c r="O220" s="31" t="n">
        <x:f>ABS(M220-N220)</x:f>
        <x:v>0.6400000000000006</x:v>
      </x:c>
      <x:c r="P220" s="31" t="n">
        <x:v>4.36</x:v>
      </x:c>
      <x:c r="Q220" s="31" t="n">
        <x:v>5.07</x:v>
      </x:c>
      <x:c r="R220" s="31" t="n">
        <x:f>ABS(P220-Q220)</x:f>
        <x:v>0.71</x:v>
      </x:c>
      <x:c r="S220" s="32" t="n">
        <x:v>1301.4697957546507</x:v>
      </x:c>
      <x:c r="T220" s="32" t="n">
        <x:v>2310.1535058487007</x:v>
      </x:c>
      <x:c r="U220" s="31" t="n">
        <x:f>MAX(S220/T220,T220/S220)</x:f>
        <x:v>1.7750342830731387</x:v>
      </x:c>
      <x:c r="V220" s="31" t="n">
        <x:f>L220*'Controls &amp; Summary'!$B$9+O220*'Controls &amp; Summary'!$B$10+R220*'Controls &amp; Summary'!$B$11+U220*'Controls &amp; Summary'!$B$12</x:f>
        <x:v>8.29503428307314</x:v>
      </x:c>
      <x:c r="W220" s="31" t="n">
        <x:v>0.77</x:v>
      </x:c>
      <x:c r="X220" s="31" t="n">
        <x:v>3.1</x:v>
      </x:c>
      <x:c r="Y220" s="31" t="n">
        <x:f>((10-MIN(10,MAX(0,X220)))/10)*'Controls &amp; Summary'!$B$15+((10-MIN(10,MAX(0,W220)))/10)*'Controls &amp; Summary'!$B$16</x:f>
        <x:v>1.613</x:v>
      </x:c>
      <x:c r="Z220" s="31" t="n">
        <x:f>V220*Y220</x:f>
        <x:v>13.379890298596974</x:v>
      </x:c>
      <x:c r="AA220" s="30" t="str">
        <x:f>IF(Z220&lt;=I220,"Peaceful","Hostile")</x:f>
        <x:v>Hostile</x:v>
      </x:c>
      <x:c r="AB220" s="30" t="str">
        <x:f>IF(Z220&lt;='Controls &amp; Summary'!$B$6,"Eligible","Blocked")</x:f>
        <x:v>Blocked</x:v>
      </x:c>
      <x:c r="AC220" s="30" t="str">
        <x:v>2003_IND</x:v>
      </x:c>
      <x:c r="AD220" s="30" t="str">
        <x:v>2003_BHU</x:v>
      </x:c>
      <x:c r="AE220" s="30" t="str">
        <x:v>2003_Bhutan</x:v>
      </x:c>
      <x:c r="AF220" s="30" t="str">
        <x:v>Explicit capitalClaim</x:v>
      </x:c>
      <x:c r="AG220" s="30" t="str">
        <x:v>Claim2003_IND2003_Bhutan</x:v>
      </x:c>
      <x:c r="AH220" s="30" t="str">
        <x:v>Project_GreaterIndia</x:v>
      </x:c>
    </x:row>
    <x:row r="221">
      <x:c r="A221" s="30" t="str">
        <x:v>2003</x:v>
      </x:c>
      <x:c r="B221" s="30" t="str">
        <x:v>Dark Skies</x:v>
      </x:c>
      <x:c r="C221" s="30" t="str">
        <x:v>India</x:v>
      </x:c>
      <x:c r="D221" s="30" t="str">
        <x:v>Brunei</x:v>
      </x:c>
      <x:c r="E221" s="30" t="str">
        <x:v>Project unlock</x:v>
      </x:c>
      <x:c r="F221" s="30" t="str">
        <x:v>United Indosphere</x:v>
      </x:c>
      <x:c r="G221" s="30" t="str">
        <x:v>No</x:v>
      </x:c>
      <x:c r="H221" s="30" t="str">
        <x:v>Ordinary claim</x:v>
      </x:c>
      <x:c r="I221" s="31" t="n">
        <x:f>IF(G221="Yes",'Controls &amp; Summary'!$B$5,'Controls &amp; Summary'!$B$4)</x:f>
        <x:v>6</x:v>
      </x:c>
      <x:c r="J221" s="31" t="n">
        <x:v>7.76</x:v>
      </x:c>
      <x:c r="K221" s="31" t="n">
        <x:v>2.33</x:v>
      </x:c>
      <x:c r="L221" s="31" t="n">
        <x:f>ABS(J221-K221)</x:f>
        <x:v>5.43</x:v>
      </x:c>
      <x:c r="M221" s="31" t="n">
        <x:v>4.65</x:v>
      </x:c>
      <x:c r="N221" s="31" t="n">
        <x:v>4.65</x:v>
      </x:c>
      <x:c r="O221" s="31" t="n">
        <x:f>ABS(M221-N221)</x:f>
        <x:v>0</x:v>
      </x:c>
      <x:c r="P221" s="31" t="n">
        <x:v>4.36</x:v>
      </x:c>
      <x:c r="Q221" s="31" t="n">
        <x:v>7.39</x:v>
      </x:c>
      <x:c r="R221" s="31" t="n">
        <x:f>ABS(P221-Q221)</x:f>
        <x:v>3.0299999999999994</x:v>
      </x:c>
      <x:c r="S221" s="32" t="n">
        <x:v>1301.4697957546507</x:v>
      </x:c>
      <x:c r="T221" s="32" t="n">
        <x:v>33813.622411917946</x:v>
      </x:c>
      <x:c r="U221" s="31" t="n">
        <x:f>MAX(S221/T221,T221/S221)</x:f>
        <x:v>25.981104227095248</x:v>
      </x:c>
      <x:c r="V221" s="31" t="n">
        <x:f>L221*'Controls &amp; Summary'!$B$9+O221*'Controls &amp; Summary'!$B$10+R221*'Controls &amp; Summary'!$B$11+U221*'Controls &amp; Summary'!$B$12</x:f>
        <x:v>34.441104227095245</x:v>
      </x:c>
      <x:c r="W221" s="31" t="n">
        <x:v>0.77</x:v>
      </x:c>
      <x:c r="X221" s="31" t="n">
        <x:v>1</x:v>
      </x:c>
      <x:c r="Y221" s="31" t="n">
        <x:f>((10-MIN(10,MAX(0,X221)))/10)*'Controls &amp; Summary'!$B$15+((10-MIN(10,MAX(0,W221)))/10)*'Controls &amp; Summary'!$B$16</x:f>
        <x:v>1.823</x:v>
      </x:c>
      <x:c r="Z221" s="31" t="n">
        <x:f>V221*Y221</x:f>
        <x:v>62.78613300599463</x:v>
      </x:c>
      <x:c r="AA221" s="30" t="str">
        <x:f>IF(Z221&lt;=I221,"Peaceful","Hostile")</x:f>
        <x:v>Hostile</x:v>
      </x:c>
      <x:c r="AB221" s="30" t="str">
        <x:f>IF(Z221&lt;='Controls &amp; Summary'!$B$6,"Eligible","Blocked")</x:f>
        <x:v>Blocked</x:v>
      </x:c>
      <x:c r="AC221" s="30" t="str">
        <x:v>2003_IND</x:v>
      </x:c>
      <x:c r="AD221" s="30" t="str">
        <x:v>2003_BRU</x:v>
      </x:c>
      <x:c r="AE221" s="30" t="str">
        <x:v>2003_Brunei</x:v>
      </x:c>
      <x:c r="AF221" s="30" t="str">
        <x:v>Explicit capitalClaim</x:v>
      </x:c>
      <x:c r="AG221" s="30" t="str">
        <x:v>Claim2003_IND2003_Brunei</x:v>
      </x:c>
      <x:c r="AH221" s="30" t="str">
        <x:v>Project_UnitedIndosphere</x:v>
      </x:c>
    </x:row>
    <x:row r="222">
      <x:c r="A222" s="30" t="str">
        <x:v>2003</x:v>
      </x:c>
      <x:c r="B222" s="30" t="str">
        <x:v>Dark Skies</x:v>
      </x:c>
      <x:c r="C222" s="30" t="str">
        <x:v>India</x:v>
      </x:c>
      <x:c r="D222" s="30" t="str">
        <x:v>Cambodia</x:v>
      </x:c>
      <x:c r="E222" s="30" t="str">
        <x:v>Project unlock</x:v>
      </x:c>
      <x:c r="F222" s="30" t="str">
        <x:v>United Indosphere</x:v>
      </x:c>
      <x:c r="G222" s="30" t="str">
        <x:v>No</x:v>
      </x:c>
      <x:c r="H222" s="30" t="str">
        <x:v>Ordinary claim</x:v>
      </x:c>
      <x:c r="I222" s="31" t="n">
        <x:f>IF(G222="Yes",'Controls &amp; Summary'!$B$5,'Controls &amp; Summary'!$B$4)</x:f>
        <x:v>6</x:v>
      </x:c>
      <x:c r="J222" s="31" t="n">
        <x:v>7.76</x:v>
      </x:c>
      <x:c r="K222" s="31" t="n">
        <x:v>4.79</x:v>
      </x:c>
      <x:c r="L222" s="31" t="n">
        <x:f>ABS(J222-K222)</x:f>
        <x:v>2.9699999999999998</x:v>
      </x:c>
      <x:c r="M222" s="31" t="n">
        <x:v>4.65</x:v>
      </x:c>
      <x:c r="N222" s="31" t="n">
        <x:v>3.66</x:v>
      </x:c>
      <x:c r="O222" s="31" t="n">
        <x:f>ABS(M222-N222)</x:f>
        <x:v>0.9900000000000002</x:v>
      </x:c>
      <x:c r="P222" s="31" t="n">
        <x:v>4.36</x:v>
      </x:c>
      <x:c r="Q222" s="31" t="n">
        <x:v>3.91</x:v>
      </x:c>
      <x:c r="R222" s="31" t="n">
        <x:f>ABS(P222-Q222)</x:f>
        <x:v>0.4500000000000002</x:v>
      </x:c>
      <x:c r="S222" s="32" t="n">
        <x:v>1301.4697957546507</x:v>
      </x:c>
      <x:c r="T222" s="32" t="n">
        <x:v>932.6905575126688</x:v>
      </x:c>
      <x:c r="U222" s="31" t="n">
        <x:f>MAX(S222/T222,T222/S222)</x:f>
        <x:v>1.3953929149078717</x:v>
      </x:c>
      <x:c r="V222" s="31" t="n">
        <x:f>L222*'Controls &amp; Summary'!$B$9+O222*'Controls &amp; Summary'!$B$10+R222*'Controls &amp; Summary'!$B$11+U222*'Controls &amp; Summary'!$B$12</x:f>
        <x:v>5.805392914907872</x:v>
      </x:c>
      <x:c r="W222" s="31" t="n">
        <x:v>0.77</x:v>
      </x:c>
      <x:c r="X222" s="31" t="n">
        <x:v>1.96</x:v>
      </x:c>
      <x:c r="Y222" s="31" t="n">
        <x:f>((10-MIN(10,MAX(0,X222)))/10)*'Controls &amp; Summary'!$B$15+((10-MIN(10,MAX(0,W222)))/10)*'Controls &amp; Summary'!$B$16</x:f>
        <x:v>1.7269999999999999</x:v>
      </x:c>
      <x:c r="Z222" s="31" t="n">
        <x:f>V222*Y222</x:f>
        <x:v>10.025913564045894</x:v>
      </x:c>
      <x:c r="AA222" s="30" t="str">
        <x:f>IF(Z222&lt;=I222,"Peaceful","Hostile")</x:f>
        <x:v>Hostile</x:v>
      </x:c>
      <x:c r="AB222" s="30" t="str">
        <x:f>IF(Z222&lt;='Controls &amp; Summary'!$B$6,"Eligible","Blocked")</x:f>
        <x:v>Eligible</x:v>
      </x:c>
      <x:c r="AC222" s="30" t="str">
        <x:v>2003_IND</x:v>
      </x:c>
      <x:c r="AD222" s="30" t="str">
        <x:v>2003_KHM</x:v>
      </x:c>
      <x:c r="AE222" s="30" t="str">
        <x:v>2003_Cambodia</x:v>
      </x:c>
      <x:c r="AF222" s="30" t="str">
        <x:v>Explicit capitalClaim</x:v>
      </x:c>
      <x:c r="AG222" s="30" t="str">
        <x:v>Claim2003_IND2003_Cambodia</x:v>
      </x:c>
      <x:c r="AH222" s="30" t="str">
        <x:v>Project_UnitedIndosphere</x:v>
      </x:c>
    </x:row>
    <x:row r="223">
      <x:c r="A223" s="30" t="str">
        <x:v>2003</x:v>
      </x:c>
      <x:c r="B223" s="30" t="str">
        <x:v>Dark Skies</x:v>
      </x:c>
      <x:c r="C223" s="30" t="str">
        <x:v>India</x:v>
      </x:c>
      <x:c r="D223" s="30" t="str">
        <x:v>Guyana</x:v>
      </x:c>
      <x:c r="E223" s="30" t="str">
        <x:v>Project unlock</x:v>
      </x:c>
      <x:c r="F223" s="30" t="str">
        <x:v>United Indosphere</x:v>
      </x:c>
      <x:c r="G223" s="30" t="str">
        <x:v>No</x:v>
      </x:c>
      <x:c r="H223" s="30" t="str">
        <x:v>Ordinary claim</x:v>
      </x:c>
      <x:c r="I223" s="31" t="n">
        <x:f>IF(G223="Yes",'Controls &amp; Summary'!$B$5,'Controls &amp; Summary'!$B$4)</x:f>
        <x:v>6</x:v>
      </x:c>
      <x:c r="J223" s="31" t="n">
        <x:v>7.76</x:v>
      </x:c>
      <x:c r="K223" s="31" t="n">
        <x:v>6.17</x:v>
      </x:c>
      <x:c r="L223" s="31" t="n">
        <x:f>ABS(J223-K223)</x:f>
        <x:v>1.5899999999999999</x:v>
      </x:c>
      <x:c r="M223" s="31" t="n">
        <x:v>4.65</x:v>
      </x:c>
      <x:c r="N223" s="31" t="n">
        <x:v>4.63</x:v>
      </x:c>
      <x:c r="O223" s="31" t="n">
        <x:f>ABS(M223-N223)</x:f>
        <x:v>0.020000000000000462</x:v>
      </x:c>
      <x:c r="P223" s="31" t="n">
        <x:v>4.36</x:v>
      </x:c>
      <x:c r="Q223" s="31" t="n">
        <x:v>5</x:v>
      </x:c>
      <x:c r="R223" s="31" t="n">
        <x:f>ABS(P223-Q223)</x:f>
        <x:v>0.6399999999999997</x:v>
      </x:c>
      <x:c r="S223" s="32" t="n">
        <x:v>1301.4697957546507</x:v>
      </x:c>
      <x:c r="T223" s="32" t="n">
        <x:v>3560.418691627976</x:v>
      </x:c>
      <x:c r="U223" s="31" t="n">
        <x:f>MAX(S223/T223,T223/S223)</x:f>
        <x:v>2.7356906039939908</x:v>
      </x:c>
      <x:c r="V223" s="31" t="n">
        <x:f>L223*'Controls &amp; Summary'!$B$9+O223*'Controls &amp; Summary'!$B$10+R223*'Controls &amp; Summary'!$B$11+U223*'Controls &amp; Summary'!$B$12</x:f>
        <x:v>4.985690603993991</x:v>
      </x:c>
      <x:c r="W223" s="31" t="n">
        <x:v>0.77</x:v>
      </x:c>
      <x:c r="X223" s="31" t="n">
        <x:v>3.01</x:v>
      </x:c>
      <x:c r="Y223" s="31" t="n">
        <x:f>((10-MIN(10,MAX(0,X223)))/10)*'Controls &amp; Summary'!$B$15+((10-MIN(10,MAX(0,W223)))/10)*'Controls &amp; Summary'!$B$16</x:f>
        <x:v>1.622</x:v>
      </x:c>
      <x:c r="Z223" s="31" t="n">
        <x:f>V223*Y223</x:f>
        <x:v>8.086790159678253</x:v>
      </x:c>
      <x:c r="AA223" s="30" t="str">
        <x:f>IF(Z223&lt;=I223,"Peaceful","Hostile")</x:f>
        <x:v>Hostile</x:v>
      </x:c>
      <x:c r="AB223" s="30" t="str">
        <x:f>IF(Z223&lt;='Controls &amp; Summary'!$B$6,"Eligible","Blocked")</x:f>
        <x:v>Eligible</x:v>
      </x:c>
      <x:c r="AC223" s="30" t="str">
        <x:v>2003_IND</x:v>
      </x:c>
      <x:c r="AD223" s="30" t="str">
        <x:v>2003_GUY</x:v>
      </x:c>
      <x:c r="AE223" s="30" t="str">
        <x:v>2003_Guyana</x:v>
      </x:c>
      <x:c r="AF223" s="30" t="str">
        <x:v>Explicit capitalClaim</x:v>
      </x:c>
      <x:c r="AG223" s="30" t="str">
        <x:v>Claim2003_IND2003_Guyana</x:v>
      </x:c>
      <x:c r="AH223" s="30" t="str">
        <x:v>Project_UnitedIndosphere</x:v>
      </x:c>
    </x:row>
    <x:row r="224">
      <x:c r="A224" s="30" t="str">
        <x:v>2003</x:v>
      </x:c>
      <x:c r="B224" s="30" t="str">
        <x:v>Dark Skies</x:v>
      </x:c>
      <x:c r="C224" s="30" t="str">
        <x:v>India</x:v>
      </x:c>
      <x:c r="D224" s="30" t="str">
        <x:v>Indonesia</x:v>
      </x:c>
      <x:c r="E224" s="30" t="str">
        <x:v>Project unlock</x:v>
      </x:c>
      <x:c r="F224" s="30" t="str">
        <x:v>United Indosphere</x:v>
      </x:c>
      <x:c r="G224" s="30" t="str">
        <x:v>No</x:v>
      </x:c>
      <x:c r="H224" s="30" t="str">
        <x:v>Ordinary claim</x:v>
      </x:c>
      <x:c r="I224" s="31" t="n">
        <x:f>IF(G224="Yes",'Controls &amp; Summary'!$B$5,'Controls &amp; Summary'!$B$4)</x:f>
        <x:v>6</x:v>
      </x:c>
      <x:c r="J224" s="31" t="n">
        <x:v>7.76</x:v>
      </x:c>
      <x:c r="K224" s="31" t="n">
        <x:v>6.21</x:v>
      </x:c>
      <x:c r="L224" s="31" t="n">
        <x:f>ABS(J224-K224)</x:f>
        <x:v>1.5499999999999998</x:v>
      </x:c>
      <x:c r="M224" s="31" t="n">
        <x:v>4.65</x:v>
      </x:c>
      <x:c r="N224" s="31" t="n">
        <x:v>4.16</x:v>
      </x:c>
      <x:c r="O224" s="31" t="n">
        <x:f>ABS(M224-N224)</x:f>
        <x:v>0.4900000000000002</x:v>
      </x:c>
      <x:c r="P224" s="31" t="n">
        <x:v>4.36</x:v>
      </x:c>
      <x:c r="Q224" s="31" t="n">
        <x:v>5.42</x:v>
      </x:c>
      <x:c r="R224" s="31" t="n">
        <x:f>ABS(P224-Q224)</x:f>
        <x:v>1.0599999999999996</x:v>
      </x:c>
      <x:c r="S224" s="32" t="n">
        <x:v>1301.4697957546507</x:v>
      </x:c>
      <x:c r="T224" s="32" t="n">
        <x:v>2643.8374101449504</x:v>
      </x:c>
      <x:c r="U224" s="31" t="n">
        <x:f>MAX(S224/T224,T224/S224)</x:f>
        <x:v>2.031424331758644</x:v>
      </x:c>
      <x:c r="V224" s="31" t="n">
        <x:f>L224*'Controls &amp; Summary'!$B$9+O224*'Controls &amp; Summary'!$B$10+R224*'Controls &amp; Summary'!$B$11+U224*'Controls &amp; Summary'!$B$12</x:f>
        <x:v>5.131424331758644</x:v>
      </x:c>
      <x:c r="W224" s="31" t="n">
        <x:v>0.77</x:v>
      </x:c>
      <x:c r="X224" s="31" t="n">
        <x:v>5.65</x:v>
      </x:c>
      <x:c r="Y224" s="31" t="n">
        <x:f>((10-MIN(10,MAX(0,X224)))/10)*'Controls &amp; Summary'!$B$15+((10-MIN(10,MAX(0,W224)))/10)*'Controls &amp; Summary'!$B$16</x:f>
        <x:v>1.358</x:v>
      </x:c>
      <x:c r="Z224" s="31" t="n">
        <x:f>V224*Y224</x:f>
        <x:v>6.968474242528239</x:v>
      </x:c>
      <x:c r="AA224" s="30" t="str">
        <x:f>IF(Z224&lt;=I224,"Peaceful","Hostile")</x:f>
        <x:v>Hostile</x:v>
      </x:c>
      <x:c r="AB224" s="30" t="str">
        <x:f>IF(Z224&lt;='Controls &amp; Summary'!$B$6,"Eligible","Blocked")</x:f>
        <x:v>Eligible</x:v>
      </x:c>
      <x:c r="AC224" s="30" t="str">
        <x:v>2003_IND</x:v>
      </x:c>
      <x:c r="AD224" s="30" t="str">
        <x:v>2003_IDN</x:v>
      </x:c>
      <x:c r="AE224" s="30" t="str">
        <x:v>2003_Java</x:v>
      </x:c>
      <x:c r="AF224" s="30" t="str">
        <x:v>Explicit capitalClaim</x:v>
      </x:c>
      <x:c r="AG224" s="30" t="str">
        <x:v>Claim2003_IND2003_Java</x:v>
      </x:c>
      <x:c r="AH224" s="30" t="str">
        <x:v>Project_UnitedIndosphere</x:v>
      </x:c>
    </x:row>
    <x:row r="225">
      <x:c r="A225" s="30" t="str">
        <x:v>2003</x:v>
      </x:c>
      <x:c r="B225" s="30" t="str">
        <x:v>Dark Skies</x:v>
      </x:c>
      <x:c r="C225" s="30" t="str">
        <x:v>India</x:v>
      </x:c>
      <x:c r="D225" s="30" t="str">
        <x:v>Laos</x:v>
      </x:c>
      <x:c r="E225" s="30" t="str">
        <x:v>Project unlock</x:v>
      </x:c>
      <x:c r="F225" s="30" t="str">
        <x:v>United Indosphere</x:v>
      </x:c>
      <x:c r="G225" s="30" t="str">
        <x:v>No</x:v>
      </x:c>
      <x:c r="H225" s="30" t="str">
        <x:v>Ordinary claim</x:v>
      </x:c>
      <x:c r="I225" s="31" t="n">
        <x:f>IF(G225="Yes",'Controls &amp; Summary'!$B$5,'Controls &amp; Summary'!$B$4)</x:f>
        <x:v>6</x:v>
      </x:c>
      <x:c r="J225" s="31" t="n">
        <x:v>7.76</x:v>
      </x:c>
      <x:c r="K225" s="31" t="n">
        <x:v>2.1</x:v>
      </x:c>
      <x:c r="L225" s="31" t="n">
        <x:f>ABS(J225-K225)</x:f>
        <x:v>5.66</x:v>
      </x:c>
      <x:c r="M225" s="31" t="n">
        <x:v>4.65</x:v>
      </x:c>
      <x:c r="N225" s="31" t="n">
        <x:v>3.54</x:v>
      </x:c>
      <x:c r="O225" s="31" t="n">
        <x:f>ABS(M225-N225)</x:f>
        <x:v>1.1100000000000003</x:v>
      </x:c>
      <x:c r="P225" s="31" t="n">
        <x:v>4.36</x:v>
      </x:c>
      <x:c r="Q225" s="31" t="n">
        <x:v>4</x:v>
      </x:c>
      <x:c r="R225" s="31" t="n">
        <x:f>ABS(P225-Q225)</x:f>
        <x:v>0.3600000000000003</x:v>
      </x:c>
      <x:c r="S225" s="32" t="n">
        <x:v>1301.4697957546507</x:v>
      </x:c>
      <x:c r="T225" s="32" t="n">
        <x:v>1415.6124481721042</x:v>
      </x:c>
      <x:c r="U225" s="31" t="n">
        <x:f>MAX(S225/T225,T225/S225)</x:f>
        <x:v>1.087702882379432</x:v>
      </x:c>
      <x:c r="V225" s="31" t="n">
        <x:f>L225*'Controls &amp; Summary'!$B$9+O225*'Controls &amp; Summary'!$B$10+R225*'Controls &amp; Summary'!$B$11+U225*'Controls &amp; Summary'!$B$12</x:f>
        <x:v>8.217702882379433</x:v>
      </x:c>
      <x:c r="W225" s="31" t="n">
        <x:v>0.77</x:v>
      </x:c>
      <x:c r="X225" s="31" t="n">
        <x:v>3.68</x:v>
      </x:c>
      <x:c r="Y225" s="31" t="n">
        <x:f>((10-MIN(10,MAX(0,X225)))/10)*'Controls &amp; Summary'!$B$15+((10-MIN(10,MAX(0,W225)))/10)*'Controls &amp; Summary'!$B$16</x:f>
        <x:v>1.5550000000000002</x:v>
      </x:c>
      <x:c r="Z225" s="31" t="n">
        <x:f>V225*Y225</x:f>
        <x:v>12.77852798210002</x:v>
      </x:c>
      <x:c r="AA225" s="30" t="str">
        <x:f>IF(Z225&lt;=I225,"Peaceful","Hostile")</x:f>
        <x:v>Hostile</x:v>
      </x:c>
      <x:c r="AB225" s="30" t="str">
        <x:f>IF(Z225&lt;='Controls &amp; Summary'!$B$6,"Eligible","Blocked")</x:f>
        <x:v>Blocked</x:v>
      </x:c>
      <x:c r="AC225" s="30" t="str">
        <x:v>2003_IND</x:v>
      </x:c>
      <x:c r="AD225" s="30" t="str">
        <x:v>2003_LAO</x:v>
      </x:c>
      <x:c r="AE225" s="30" t="str">
        <x:v>2003_Laos</x:v>
      </x:c>
      <x:c r="AF225" s="30" t="str">
        <x:v>Explicit capitalClaim</x:v>
      </x:c>
      <x:c r="AG225" s="30" t="str">
        <x:v>Claim2003_IND2003_Laos</x:v>
      </x:c>
      <x:c r="AH225" s="30" t="str">
        <x:v>Project_UnitedIndosphere</x:v>
      </x:c>
    </x:row>
    <x:row r="226">
      <x:c r="A226" s="30" t="str">
        <x:v>2003</x:v>
      </x:c>
      <x:c r="B226" s="30" t="str">
        <x:v>Dark Skies</x:v>
      </x:c>
      <x:c r="C226" s="30" t="str">
        <x:v>India</x:v>
      </x:c>
      <x:c r="D226" s="30" t="str">
        <x:v>Malaysia</x:v>
      </x:c>
      <x:c r="E226" s="30" t="str">
        <x:v>Project unlock</x:v>
      </x:c>
      <x:c r="F226" s="30" t="str">
        <x:v>United Indosphere</x:v>
      </x:c>
      <x:c r="G226" s="30" t="str">
        <x:v>No</x:v>
      </x:c>
      <x:c r="H226" s="30" t="str">
        <x:v>Ordinary claim</x:v>
      </x:c>
      <x:c r="I226" s="31" t="n">
        <x:f>IF(G226="Yes",'Controls &amp; Summary'!$B$5,'Controls &amp; Summary'!$B$4)</x:f>
        <x:v>6</x:v>
      </x:c>
      <x:c r="J226" s="31" t="n">
        <x:v>7.76</x:v>
      </x:c>
      <x:c r="K226" s="31" t="n">
        <x:v>5.71</x:v>
      </x:c>
      <x:c r="L226" s="31" t="n">
        <x:f>ABS(J226-K226)</x:f>
        <x:v>2.05</x:v>
      </x:c>
      <x:c r="M226" s="31" t="n">
        <x:v>4.65</x:v>
      </x:c>
      <x:c r="N226" s="31" t="n">
        <x:v>4.16</x:v>
      </x:c>
      <x:c r="O226" s="31" t="n">
        <x:f>ABS(M226-N226)</x:f>
        <x:v>0.4900000000000002</x:v>
      </x:c>
      <x:c r="P226" s="31" t="n">
        <x:v>4.36</x:v>
      </x:c>
      <x:c r="Q226" s="31" t="n">
        <x:v>6.65</x:v>
      </x:c>
      <x:c r="R226" s="31" t="n">
        <x:f>ABS(P226-Q226)</x:f>
        <x:v>2.29</x:v>
      </x:c>
      <x:c r="S226" s="32" t="n">
        <x:v>1301.4697957546507</x:v>
      </x:c>
      <x:c r="T226" s="32" t="n">
        <x:v>7805.958670484231</x:v>
      </x:c>
      <x:c r="U226" s="31" t="n">
        <x:f>MAX(S226/T226,T226/S226)</x:f>
        <x:v>5.997802404594403</x:v>
      </x:c>
      <x:c r="V226" s="31" t="n">
        <x:f>L226*'Controls &amp; Summary'!$B$9+O226*'Controls &amp; Summary'!$B$10+R226*'Controls &amp; Summary'!$B$11+U226*'Controls &amp; Summary'!$B$12</x:f>
        <x:v>10.827802404594404</x:v>
      </x:c>
      <x:c r="W226" s="31" t="n">
        <x:v>0.77</x:v>
      </x:c>
      <x:c r="X226" s="31" t="n">
        <x:v>3.26</x:v>
      </x:c>
      <x:c r="Y226" s="31" t="n">
        <x:f>((10-MIN(10,MAX(0,X226)))/10)*'Controls &amp; Summary'!$B$15+((10-MIN(10,MAX(0,W226)))/10)*'Controls &amp; Summary'!$B$16</x:f>
        <x:v>1.597</x:v>
      </x:c>
      <x:c r="Z226" s="31" t="n">
        <x:f>V226*Y226</x:f>
        <x:v>17.292000440137265</x:v>
      </x:c>
      <x:c r="AA226" s="30" t="str">
        <x:f>IF(Z226&lt;=I226,"Peaceful","Hostile")</x:f>
        <x:v>Hostile</x:v>
      </x:c>
      <x:c r="AB226" s="30" t="str">
        <x:f>IF(Z226&lt;='Controls &amp; Summary'!$B$6,"Eligible","Blocked")</x:f>
        <x:v>Blocked</x:v>
      </x:c>
      <x:c r="AC226" s="30" t="str">
        <x:v>2003_IND</x:v>
      </x:c>
      <x:c r="AD226" s="30" t="str">
        <x:v>2003_MYS</x:v>
      </x:c>
      <x:c r="AE226" s="30" t="str">
        <x:v>2003_MalayPeninsula</x:v>
      </x:c>
      <x:c r="AF226" s="30" t="str">
        <x:v>Explicit capitalClaim</x:v>
      </x:c>
      <x:c r="AG226" s="30" t="str">
        <x:v>Claim2003_IND2003_MalayPeninsula</x:v>
      </x:c>
      <x:c r="AH226" s="30" t="str">
        <x:v>Project_UnitedIndosphere</x:v>
      </x:c>
    </x:row>
    <x:row r="227">
      <x:c r="A227" s="30" t="str">
        <x:v>2003</x:v>
      </x:c>
      <x:c r="B227" s="30" t="str">
        <x:v>Dark Skies</x:v>
      </x:c>
      <x:c r="C227" s="30" t="str">
        <x:v>India</x:v>
      </x:c>
      <x:c r="D227" s="30" t="str">
        <x:v>Maldives</x:v>
      </x:c>
      <x:c r="E227" s="30" t="str">
        <x:v>Project unlock</x:v>
      </x:c>
      <x:c r="F227" s="30" t="str">
        <x:v>Greater India</x:v>
      </x:c>
      <x:c r="G227" s="30" t="str">
        <x:v>No</x:v>
      </x:c>
      <x:c r="H227" s="30" t="str">
        <x:v>Ordinary claim</x:v>
      </x:c>
      <x:c r="I227" s="31" t="n">
        <x:f>IF(G227="Yes",'Controls &amp; Summary'!$B$5,'Controls &amp; Summary'!$B$4)</x:f>
        <x:v>6</x:v>
      </x:c>
      <x:c r="J227" s="31" t="n">
        <x:v>7.76</x:v>
      </x:c>
      <x:c r="K227" s="31" t="n">
        <x:v>2.9</x:v>
      </x:c>
      <x:c r="L227" s="31" t="n">
        <x:f>ABS(J227-K227)</x:f>
        <x:v>4.859999999999999</x:v>
      </x:c>
      <x:c r="M227" s="31" t="n">
        <x:v>4.65</x:v>
      </x:c>
      <x:c r="N227" s="31" t="n">
        <x:v>3.81</x:v>
      </x:c>
      <x:c r="O227" s="31" t="n">
        <x:f>ABS(M227-N227)</x:f>
        <x:v>0.8400000000000003</x:v>
      </x:c>
      <x:c r="P227" s="31" t="n">
        <x:v>4.36</x:v>
      </x:c>
      <x:c r="Q227" s="31" t="n">
        <x:v>5.74</x:v>
      </x:c>
      <x:c r="R227" s="31" t="n">
        <x:f>ABS(P227-Q227)</x:f>
        <x:v>1.38</x:v>
      </x:c>
      <x:c r="S227" s="32" t="n">
        <x:v>1301.4697957546507</x:v>
      </x:c>
      <x:c r="T227" s="32" t="n">
        <x:v>6790.932244149064</x:v>
      </x:c>
      <x:c r="U227" s="31" t="n">
        <x:f>MAX(S227/T227,T227/S227)</x:f>
        <x:v>5.217894619069032</x:v>
      </x:c>
      <x:c r="V227" s="31" t="n">
        <x:f>L227*'Controls &amp; Summary'!$B$9+O227*'Controls &amp; Summary'!$B$10+R227*'Controls &amp; Summary'!$B$11+U227*'Controls &amp; Summary'!$B$12</x:f>
        <x:v>12.29789461906903</x:v>
      </x:c>
      <x:c r="W227" s="31" t="n">
        <x:v>0.77</x:v>
      </x:c>
      <x:c r="X227" s="31" t="n">
        <x:v>2.49</x:v>
      </x:c>
      <x:c r="Y227" s="31" t="n">
        <x:f>((10-MIN(10,MAX(0,X227)))/10)*'Controls &amp; Summary'!$B$15+((10-MIN(10,MAX(0,W227)))/10)*'Controls &amp; Summary'!$B$16</x:f>
        <x:v>1.674</x:v>
      </x:c>
      <x:c r="Z227" s="31" t="n">
        <x:f>V227*Y227</x:f>
        <x:v>20.586675592321555</x:v>
      </x:c>
      <x:c r="AA227" s="30" t="str">
        <x:f>IF(Z227&lt;=I227,"Peaceful","Hostile")</x:f>
        <x:v>Hostile</x:v>
      </x:c>
      <x:c r="AB227" s="30" t="str">
        <x:f>IF(Z227&lt;='Controls &amp; Summary'!$B$6,"Eligible","Blocked")</x:f>
        <x:v>Blocked</x:v>
      </x:c>
      <x:c r="AC227" s="30" t="str">
        <x:v>2003_IND</x:v>
      </x:c>
      <x:c r="AD227" s="30" t="str">
        <x:v>2003_MLD</x:v>
      </x:c>
      <x:c r="AE227" s="30" t="str">
        <x:v>2003_Maldives</x:v>
      </x:c>
      <x:c r="AF227" s="30" t="str">
        <x:v>Explicit capitalClaim</x:v>
      </x:c>
      <x:c r="AG227" s="30" t="str">
        <x:v>Claim2003_IND2003_Maldives</x:v>
      </x:c>
      <x:c r="AH227" s="30" t="str">
        <x:v>Project_GreaterIndia</x:v>
      </x:c>
    </x:row>
    <x:row r="228">
      <x:c r="A228" s="30" t="str">
        <x:v>2003</x:v>
      </x:c>
      <x:c r="B228" s="30" t="str">
        <x:v>Dark Skies</x:v>
      </x:c>
      <x:c r="C228" s="30" t="str">
        <x:v>India</x:v>
      </x:c>
      <x:c r="D228" s="30" t="str">
        <x:v>Mauritius</x:v>
      </x:c>
      <x:c r="E228" s="30" t="str">
        <x:v>Project unlock</x:v>
      </x:c>
      <x:c r="F228" s="30" t="str">
        <x:v>United Indosphere</x:v>
      </x:c>
      <x:c r="G228" s="30" t="str">
        <x:v>No</x:v>
      </x:c>
      <x:c r="H228" s="30" t="str">
        <x:v>Ordinary claim</x:v>
      </x:c>
      <x:c r="I228" s="31" t="n">
        <x:f>IF(G228="Yes",'Controls &amp; Summary'!$B$5,'Controls &amp; Summary'!$B$4)</x:f>
        <x:v>6</x:v>
      </x:c>
      <x:c r="J228" s="31" t="n">
        <x:v>7.76</x:v>
      </x:c>
      <x:c r="K228" s="31" t="n">
        <x:v>8.02</x:v>
      </x:c>
      <x:c r="L228" s="31" t="n">
        <x:f>ABS(J228-K228)</x:f>
        <x:v>0.2599999999999998</x:v>
      </x:c>
      <x:c r="M228" s="31" t="n">
        <x:v>4.65</x:v>
      </x:c>
      <x:c r="N228" s="31" t="n">
        <x:v>3.78</x:v>
      </x:c>
      <x:c r="O228" s="31" t="n">
        <x:f>ABS(M228-N228)</x:f>
        <x:v>0.8700000000000006</x:v>
      </x:c>
      <x:c r="P228" s="31" t="n">
        <x:v>4.36</x:v>
      </x:c>
      <x:c r="Q228" s="31" t="n">
        <x:v>6.34</x:v>
      </x:c>
      <x:c r="R228" s="31" t="n">
        <x:f>ABS(P228-Q228)</x:f>
        <x:v>1.9799999999999995</x:v>
      </x:c>
      <x:c r="S228" s="32" t="n">
        <x:v>1301.4697957546507</x:v>
      </x:c>
      <x:c r="T228" s="32" t="n">
        <x:v>6026.395735766634</x:v>
      </x:c>
      <x:c r="U228" s="31" t="n">
        <x:f>MAX(S228/T228,T228/S228)</x:f>
        <x:v>4.630453780352435</x:v>
      </x:c>
      <x:c r="V228" s="31" t="n">
        <x:f>L228*'Controls &amp; Summary'!$B$9+O228*'Controls &amp; Summary'!$B$10+R228*'Controls &amp; Summary'!$B$11+U228*'Controls &amp; Summary'!$B$12</x:f>
        <x:v>7.740453780352436</x:v>
      </x:c>
      <x:c r="W228" s="31" t="n">
        <x:v>0.77</x:v>
      </x:c>
      <x:c r="X228" s="31" t="n">
        <x:v>1.32</x:v>
      </x:c>
      <x:c r="Y228" s="31" t="n">
        <x:f>((10-MIN(10,MAX(0,X228)))/10)*'Controls &amp; Summary'!$B$15+((10-MIN(10,MAX(0,W228)))/10)*'Controls &amp; Summary'!$B$16</x:f>
        <x:v>1.791</x:v>
      </x:c>
      <x:c r="Z228" s="31" t="n">
        <x:f>V228*Y228</x:f>
        <x:v>13.863152720611211</x:v>
      </x:c>
      <x:c r="AA228" s="30" t="str">
        <x:f>IF(Z228&lt;=I228,"Peaceful","Hostile")</x:f>
        <x:v>Hostile</x:v>
      </x:c>
      <x:c r="AB228" s="30" t="str">
        <x:f>IF(Z228&lt;='Controls &amp; Summary'!$B$6,"Eligible","Blocked")</x:f>
        <x:v>Blocked</x:v>
      </x:c>
      <x:c r="AC228" s="30" t="str">
        <x:v>2003_IND</x:v>
      </x:c>
      <x:c r="AD228" s="30" t="str">
        <x:v>2003_MRS</x:v>
      </x:c>
      <x:c r="AE228" s="30" t="str">
        <x:v>2003_Mauritius</x:v>
      </x:c>
      <x:c r="AF228" s="30" t="str">
        <x:v>Explicit capitalClaim</x:v>
      </x:c>
      <x:c r="AG228" s="30" t="str">
        <x:v>Claim2003_IND2003_Mauritius</x:v>
      </x:c>
      <x:c r="AH228" s="30" t="str">
        <x:v>Project_UnitedIndosphere</x:v>
      </x:c>
    </x:row>
    <x:row r="229">
      <x:c r="A229" s="30" t="str">
        <x:v>2003</x:v>
      </x:c>
      <x:c r="B229" s="30" t="str">
        <x:v>Dark Skies</x:v>
      </x:c>
      <x:c r="C229" s="30" t="str">
        <x:v>India</x:v>
      </x:c>
      <x:c r="D229" s="30" t="str">
        <x:v>Myanmar</x:v>
      </x:c>
      <x:c r="E229" s="30" t="str">
        <x:v>Project unlock</x:v>
      </x:c>
      <x:c r="F229" s="30" t="str">
        <x:v>Greater India</x:v>
      </x:c>
      <x:c r="G229" s="30" t="str">
        <x:v>No</x:v>
      </x:c>
      <x:c r="H229" s="30" t="str">
        <x:v>Ordinary claim</x:v>
      </x:c>
      <x:c r="I229" s="31" t="n">
        <x:f>IF(G229="Yes",'Controls &amp; Summary'!$B$5,'Controls &amp; Summary'!$B$4)</x:f>
        <x:v>6</x:v>
      </x:c>
      <x:c r="J229" s="31" t="n">
        <x:v>7.76</x:v>
      </x:c>
      <x:c r="K229" s="31" t="n">
        <x:v>1.77</x:v>
      </x:c>
      <x:c r="L229" s="31" t="n">
        <x:f>ABS(J229-K229)</x:f>
        <x:v>5.99</x:v>
      </x:c>
      <x:c r="M229" s="31" t="n">
        <x:v>4.65</x:v>
      </x:c>
      <x:c r="N229" s="31" t="n">
        <x:v>3.37</x:v>
      </x:c>
      <x:c r="O229" s="31" t="n">
        <x:f>ABS(M229-N229)</x:f>
        <x:v>1.2800000000000002</x:v>
      </x:c>
      <x:c r="P229" s="31" t="n">
        <x:v>4.36</x:v>
      </x:c>
      <x:c r="Q229" s="31" t="n">
        <x:v>3.42</x:v>
      </x:c>
      <x:c r="R229" s="31" t="n">
        <x:f>ABS(P229-Q229)</x:f>
        <x:v>0.9400000000000004</x:v>
      </x:c>
      <x:c r="S229" s="32" t="n">
        <x:v>1301.4697957546507</x:v>
      </x:c>
      <x:c r="T229" s="32" t="n">
        <x:v>695.8442971027697</x:v>
      </x:c>
      <x:c r="U229" s="31" t="n">
        <x:f>MAX(S229/T229,T229/S229)</x:f>
        <x:v>1.8703462846120527</x:v>
      </x:c>
      <x:c r="V229" s="31" t="n">
        <x:f>L229*'Controls &amp; Summary'!$B$9+O229*'Controls &amp; Summary'!$B$10+R229*'Controls &amp; Summary'!$B$11+U229*'Controls &amp; Summary'!$B$12</x:f>
        <x:v>10.080346284612054</x:v>
      </x:c>
      <x:c r="W229" s="31" t="n">
        <x:v>0.77</x:v>
      </x:c>
      <x:c r="X229" s="31" t="n">
        <x:v>7.36</x:v>
      </x:c>
      <x:c r="Y229" s="31" t="n">
        <x:f>((10-MIN(10,MAX(0,X229)))/10)*'Controls &amp; Summary'!$B$15+((10-MIN(10,MAX(0,W229)))/10)*'Controls &amp; Summary'!$B$16</x:f>
        <x:v>1.187</x:v>
      </x:c>
      <x:c r="Z229" s="31" t="n">
        <x:f>V229*Y229</x:f>
        <x:v>11.965371039834508</x:v>
      </x:c>
      <x:c r="AA229" s="30" t="str">
        <x:f>IF(Z229&lt;=I229,"Peaceful","Hostile")</x:f>
        <x:v>Hostile</x:v>
      </x:c>
      <x:c r="AB229" s="30" t="str">
        <x:f>IF(Z229&lt;='Controls &amp; Summary'!$B$6,"Eligible","Blocked")</x:f>
        <x:v>Eligible</x:v>
      </x:c>
      <x:c r="AC229" s="30" t="str">
        <x:v>2003_IND</x:v>
      </x:c>
      <x:c r="AD229" s="30" t="str">
        <x:v>2003_MMR</x:v>
      </x:c>
      <x:c r="AE229" s="30" t="str">
        <x:v>2003_Myanmar</x:v>
      </x:c>
      <x:c r="AF229" s="30" t="str">
        <x:v>Explicit capitalClaim</x:v>
      </x:c>
      <x:c r="AG229" s="30" t="str">
        <x:v>Claim2003_IND2003_Myanmar</x:v>
      </x:c>
      <x:c r="AH229" s="30" t="str">
        <x:v>Project_GreaterIndia</x:v>
      </x:c>
    </x:row>
    <x:row r="230">
      <x:c r="A230" s="30" t="str">
        <x:v>2003</x:v>
      </x:c>
      <x:c r="B230" s="30" t="str">
        <x:v>Dark Skies</x:v>
      </x:c>
      <x:c r="C230" s="30" t="str">
        <x:v>India</x:v>
      </x:c>
      <x:c r="D230" s="30" t="str">
        <x:v>Nepal</x:v>
      </x:c>
      <x:c r="E230" s="30" t="str">
        <x:v>Project unlock</x:v>
      </x:c>
      <x:c r="F230" s="30" t="str">
        <x:v>Greater India</x:v>
      </x:c>
      <x:c r="G230" s="30" t="str">
        <x:v>No</x:v>
      </x:c>
      <x:c r="H230" s="30" t="str">
        <x:v>Ordinary claim</x:v>
      </x:c>
      <x:c r="I230" s="31" t="n">
        <x:f>IF(G230="Yes",'Controls &amp; Summary'!$B$5,'Controls &amp; Summary'!$B$4)</x:f>
        <x:v>6</x:v>
      </x:c>
      <x:c r="J230" s="31" t="n">
        <x:v>7.76</x:v>
      </x:c>
      <x:c r="K230" s="31" t="n">
        <x:v>2.93</x:v>
      </x:c>
      <x:c r="L230" s="31" t="n">
        <x:f>ABS(J230-K230)</x:f>
        <x:v>4.83</x:v>
      </x:c>
      <x:c r="M230" s="31" t="n">
        <x:v>4.65</x:v>
      </x:c>
      <x:c r="N230" s="31" t="n">
        <x:v>3.78</x:v>
      </x:c>
      <x:c r="O230" s="31" t="n">
        <x:f>ABS(M230-N230)</x:f>
        <x:v>0.8700000000000006</x:v>
      </x:c>
      <x:c r="P230" s="31" t="n">
        <x:v>4.36</x:v>
      </x:c>
      <x:c r="Q230" s="31" t="n">
        <x:v>3.89</x:v>
      </x:c>
      <x:c r="R230" s="31" t="n">
        <x:f>ABS(P230-Q230)</x:f>
        <x:v>0.4700000000000002</x:v>
      </x:c>
      <x:c r="S230" s="32" t="n">
        <x:v>1301.4697957546507</x:v>
      </x:c>
      <x:c r="T230" s="32" t="n">
        <x:v>972.573704263943</x:v>
      </x:c>
      <x:c r="U230" s="31" t="n">
        <x:f>MAX(S230/T230,T230/S230)</x:f>
        <x:v>1.3381708656616629</x:v>
      </x:c>
      <x:c r="V230" s="31" t="n">
        <x:f>L230*'Controls &amp; Summary'!$B$9+O230*'Controls &amp; Summary'!$B$10+R230*'Controls &amp; Summary'!$B$11+U230*'Controls &amp; Summary'!$B$12</x:f>
        <x:v>7.508170865661665</x:v>
      </x:c>
      <x:c r="W230" s="31" t="n">
        <x:v>0.77</x:v>
      </x:c>
      <x:c r="X230" s="31" t="n">
        <x:v>8.12</x:v>
      </x:c>
      <x:c r="Y230" s="31" t="n">
        <x:f>((10-MIN(10,MAX(0,X230)))/10)*'Controls &amp; Summary'!$B$15+((10-MIN(10,MAX(0,W230)))/10)*'Controls &amp; Summary'!$B$16</x:f>
        <x:v>1.1110000000000002</x:v>
      </x:c>
      <x:c r="Z230" s="31" t="n">
        <x:f>V230*Y230</x:f>
        <x:v>8.341577831750111</x:v>
      </x:c>
      <x:c r="AA230" s="30" t="str">
        <x:f>IF(Z230&lt;=I230,"Peaceful","Hostile")</x:f>
        <x:v>Hostile</x:v>
      </x:c>
      <x:c r="AB230" s="30" t="str">
        <x:f>IF(Z230&lt;='Controls &amp; Summary'!$B$6,"Eligible","Blocked")</x:f>
        <x:v>Eligible</x:v>
      </x:c>
      <x:c r="AC230" s="30" t="str">
        <x:v>2003_IND</x:v>
      </x:c>
      <x:c r="AD230" s="30" t="str">
        <x:v>2003_HYS</x:v>
      </x:c>
      <x:c r="AE230" s="30" t="str">
        <x:v>2003_Himalayas</x:v>
      </x:c>
      <x:c r="AF230" s="30" t="str">
        <x:v>Explicit capitalClaim</x:v>
      </x:c>
      <x:c r="AG230" s="30" t="str">
        <x:v>Claim2003_IND2003_Himalayas</x:v>
      </x:c>
      <x:c r="AH230" s="30" t="str">
        <x:v>Project_GreaterIndia</x:v>
      </x:c>
    </x:row>
    <x:row r="231">
      <x:c r="A231" s="30" t="str">
        <x:v>2003</x:v>
      </x:c>
      <x:c r="B231" s="30" t="str">
        <x:v>Dark Skies</x:v>
      </x:c>
      <x:c r="C231" s="30" t="str">
        <x:v>India</x:v>
      </x:c>
      <x:c r="D231" s="30" t="str">
        <x:v>Pakistan</x:v>
      </x:c>
      <x:c r="E231" s="30" t="str">
        <x:v>Project unlock</x:v>
      </x:c>
      <x:c r="F231" s="30" t="str">
        <x:v>Greater India</x:v>
      </x:c>
      <x:c r="G231" s="30" t="str">
        <x:v>Yes</x:v>
      </x:c>
      <x:c r="H231" s="30" t="str">
        <x:v>Template hostileClaim</x:v>
      </x:c>
      <x:c r="I231" s="31" t="n">
        <x:f>IF(G231="Yes",'Controls &amp; Summary'!$B$5,'Controls &amp; Summary'!$B$4)</x:f>
        <x:v>3</x:v>
      </x:c>
      <x:c r="J231" s="31" t="n">
        <x:v>7.76</x:v>
      </x:c>
      <x:c r="K231" s="31" t="n">
        <x:v>3.93</x:v>
      </x:c>
      <x:c r="L231" s="31" t="n">
        <x:f>ABS(J231-K231)</x:f>
        <x:v>3.8299999999999996</x:v>
      </x:c>
      <x:c r="M231" s="31" t="n">
        <x:v>4.65</x:v>
      </x:c>
      <x:c r="N231" s="31" t="n">
        <x:v>3.44</x:v>
      </x:c>
      <x:c r="O231" s="31" t="n">
        <x:f>ABS(M231-N231)</x:f>
        <x:v>1.2100000000000004</x:v>
      </x:c>
      <x:c r="P231" s="31" t="n">
        <x:v>4.36</x:v>
      </x:c>
      <x:c r="Q231" s="31" t="n">
        <x:v>3.58</x:v>
      </x:c>
      <x:c r="R231" s="31" t="n">
        <x:f>ABS(P231-Q231)</x:f>
        <x:v>0.7800000000000002</x:v>
      </x:c>
      <x:c r="S231" s="32" t="n">
        <x:v>1301.4697957546507</x:v>
      </x:c>
      <x:c r="T231" s="32" t="n">
        <x:v>1596.501806789252</x:v>
      </x:c>
      <x:c r="U231" s="31" t="n">
        <x:f>MAX(S231/T231,T231/S231)</x:f>
        <x:v>1.2266914007508938</x:v>
      </x:c>
      <x:c r="V231" s="31" t="n">
        <x:f>L231*'Controls &amp; Summary'!$B$9+O231*'Controls &amp; Summary'!$B$10+R231*'Controls &amp; Summary'!$B$11+U231*'Controls &amp; Summary'!$B$12</x:f>
        <x:v>7.046691400750894</x:v>
      </x:c>
      <x:c r="W231" s="31" t="n">
        <x:v>0.77</x:v>
      </x:c>
      <x:c r="X231" s="31" t="n">
        <x:v>5.9</x:v>
      </x:c>
      <x:c r="Y231" s="31" t="n">
        <x:f>((10-MIN(10,MAX(0,X231)))/10)*'Controls &amp; Summary'!$B$15+((10-MIN(10,MAX(0,W231)))/10)*'Controls &amp; Summary'!$B$16</x:f>
        <x:v>1.333</x:v>
      </x:c>
      <x:c r="Z231" s="31" t="n">
        <x:f>V231*Y231</x:f>
        <x:v>9.39323963720094</x:v>
      </x:c>
      <x:c r="AA231" s="30" t="str">
        <x:f>IF(Z231&lt;=I231,"Peaceful","Hostile")</x:f>
        <x:v>Hostile</x:v>
      </x:c>
      <x:c r="AB231" s="30" t="str">
        <x:f>IF(Z231&lt;='Controls &amp; Summary'!$B$6,"Eligible","Blocked")</x:f>
        <x:v>Eligible</x:v>
      </x:c>
      <x:c r="AC231" s="30" t="str">
        <x:v>2003_IND</x:v>
      </x:c>
      <x:c r="AD231" s="30" t="str">
        <x:v>2003_PAK</x:v>
      </x:c>
      <x:c r="AE231" s="30" t="str">
        <x:v>2003_Punjab</x:v>
      </x:c>
      <x:c r="AF231" s="30" t="str">
        <x:v>Explicit capitalClaim</x:v>
      </x:c>
      <x:c r="AG231" s="30" t="str">
        <x:v>Claim2003_IND2003_Punjab</x:v>
      </x:c>
      <x:c r="AH231" s="30" t="str">
        <x:v>Project_GreaterIndia</x:v>
      </x:c>
    </x:row>
    <x:row r="232">
      <x:c r="A232" s="30" t="str">
        <x:v>2003</x:v>
      </x:c>
      <x:c r="B232" s="30" t="str">
        <x:v>Dark Skies</x:v>
      </x:c>
      <x:c r="C232" s="30" t="str">
        <x:v>India</x:v>
      </x:c>
      <x:c r="D232" s="30" t="str">
        <x:v>Philippines</x:v>
      </x:c>
      <x:c r="E232" s="30" t="str">
        <x:v>Project unlock</x:v>
      </x:c>
      <x:c r="F232" s="30" t="str">
        <x:v>United Indosphere</x:v>
      </x:c>
      <x:c r="G232" s="30" t="str">
        <x:v>No</x:v>
      </x:c>
      <x:c r="H232" s="30" t="str">
        <x:v>Ordinary claim</x:v>
      </x:c>
      <x:c r="I232" s="31" t="n">
        <x:f>IF(G232="Yes",'Controls &amp; Summary'!$B$5,'Controls &amp; Summary'!$B$4)</x:f>
        <x:v>6</x:v>
      </x:c>
      <x:c r="J232" s="31" t="n">
        <x:v>7.76</x:v>
      </x:c>
      <x:c r="K232" s="31" t="n">
        <x:v>6.82</x:v>
      </x:c>
      <x:c r="L232" s="31" t="n">
        <x:f>ABS(J232-K232)</x:f>
        <x:v>0.9399999999999995</x:v>
      </x:c>
      <x:c r="M232" s="31" t="n">
        <x:v>4.65</x:v>
      </x:c>
      <x:c r="N232" s="31" t="n">
        <x:v>4.19</x:v>
      </x:c>
      <x:c r="O232" s="31" t="n">
        <x:f>ABS(M232-N232)</x:f>
        <x:v>0.45999999999999996</x:v>
      </x:c>
      <x:c r="P232" s="31" t="n">
        <x:v>4.36</x:v>
      </x:c>
      <x:c r="Q232" s="31" t="n">
        <x:v>5.67</x:v>
      </x:c>
      <x:c r="R232" s="31" t="n">
        <x:f>ABS(P232-Q232)</x:f>
        <x:v>1.3099999999999996</x:v>
      </x:c>
      <x:c r="S232" s="32" t="n">
        <x:v>1301.4697957546507</x:v>
      </x:c>
      <x:c r="T232" s="32" t="n">
        <x:v>2040.4656608817693</x:v>
      </x:c>
      <x:c r="U232" s="31" t="n">
        <x:f>MAX(S232/T232,T232/S232)</x:f>
        <x:v>1.5678163777121048</x:v>
      </x:c>
      <x:c r="V232" s="31" t="n">
        <x:f>L232*'Controls &amp; Summary'!$B$9+O232*'Controls &amp; Summary'!$B$10+R232*'Controls &amp; Summary'!$B$11+U232*'Controls &amp; Summary'!$B$12</x:f>
        <x:v>4.277816377712104</x:v>
      </x:c>
      <x:c r="W232" s="31" t="n">
        <x:v>0.77</x:v>
      </x:c>
      <x:c r="X232" s="31" t="n">
        <x:v>3.08</x:v>
      </x:c>
      <x:c r="Y232" s="31" t="n">
        <x:f>((10-MIN(10,MAX(0,X232)))/10)*'Controls &amp; Summary'!$B$15+((10-MIN(10,MAX(0,W232)))/10)*'Controls &amp; Summary'!$B$16</x:f>
        <x:v>1.615</x:v>
      </x:c>
      <x:c r="Z232" s="31" t="n">
        <x:f>V232*Y232</x:f>
        <x:v>6.908673450005048</x:v>
      </x:c>
      <x:c r="AA232" s="30" t="str">
        <x:f>IF(Z232&lt;=I232,"Peaceful","Hostile")</x:f>
        <x:v>Hostile</x:v>
      </x:c>
      <x:c r="AB232" s="30" t="str">
        <x:f>IF(Z232&lt;='Controls &amp; Summary'!$B$6,"Eligible","Blocked")</x:f>
        <x:v>Eligible</x:v>
      </x:c>
      <x:c r="AC232" s="30" t="str">
        <x:v>2003_IND</x:v>
      </x:c>
      <x:c r="AD232" s="30" t="str">
        <x:v>2003_PHL</x:v>
      </x:c>
      <x:c r="AE232" s="30" t="str">
        <x:v>2003_Luzon</x:v>
      </x:c>
      <x:c r="AF232" s="30" t="str">
        <x:v>Explicit capitalClaim</x:v>
      </x:c>
      <x:c r="AG232" s="30" t="str">
        <x:v>Claim2003_IND2003_Luzon</x:v>
      </x:c>
      <x:c r="AH232" s="30" t="str">
        <x:v>Project_UnitedIndosphere</x:v>
      </x:c>
    </x:row>
    <x:row r="233">
      <x:c r="A233" s="30" t="str">
        <x:v>2003</x:v>
      </x:c>
      <x:c r="B233" s="30" t="str">
        <x:v>Dark Skies</x:v>
      </x:c>
      <x:c r="C233" s="30" t="str">
        <x:v>India</x:v>
      </x:c>
      <x:c r="D233" s="30" t="str">
        <x:v>Singapore</x:v>
      </x:c>
      <x:c r="E233" s="30" t="str">
        <x:v>Project unlock</x:v>
      </x:c>
      <x:c r="F233" s="30" t="str">
        <x:v>United Indosphere</x:v>
      </x:c>
      <x:c r="G233" s="30" t="str">
        <x:v>No</x:v>
      </x:c>
      <x:c r="H233" s="30" t="str">
        <x:v>Ordinary claim</x:v>
      </x:c>
      <x:c r="I233" s="31" t="n">
        <x:f>IF(G233="Yes",'Controls &amp; Summary'!$B$5,'Controls &amp; Summary'!$B$4)</x:f>
        <x:v>6</x:v>
      </x:c>
      <x:c r="J233" s="31" t="n">
        <x:v>7.76</x:v>
      </x:c>
      <x:c r="K233" s="31" t="n">
        <x:v>5.85</x:v>
      </x:c>
      <x:c r="L233" s="31" t="n">
        <x:f>ABS(J233-K233)</x:f>
        <x:v>1.9100000000000001</x:v>
      </x:c>
      <x:c r="M233" s="31" t="n">
        <x:v>4.65</x:v>
      </x:c>
      <x:c r="N233" s="31" t="n">
        <x:v>3.86</x:v>
      </x:c>
      <x:c r="O233" s="31" t="n">
        <x:f>ABS(M233-N233)</x:f>
        <x:v>0.7900000000000005</x:v>
      </x:c>
      <x:c r="P233" s="31" t="n">
        <x:v>4.36</x:v>
      </x:c>
      <x:c r="Q233" s="31" t="n">
        <x:v>8.41</x:v>
      </x:c>
      <x:c r="R233" s="31" t="n">
        <x:f>ABS(P233-Q233)</x:f>
        <x:v>4.05</x:v>
      </x:c>
      <x:c r="S233" s="32" t="n">
        <x:v>1301.4697957546507</x:v>
      </x:c>
      <x:c r="T233" s="32" t="n">
        <x:v>26456.959439810835</x:v>
      </x:c>
      <x:c r="U233" s="31" t="n">
        <x:f>MAX(S233/T233,T233/S233)</x:f>
        <x:v>20.32852358626571</x:v>
      </x:c>
      <x:c r="V233" s="31" t="n">
        <x:f>L233*'Controls &amp; Summary'!$B$9+O233*'Controls &amp; Summary'!$B$10+R233*'Controls &amp; Summary'!$B$11+U233*'Controls &amp; Summary'!$B$12</x:f>
        <x:v>27.07852358626571</x:v>
      </x:c>
      <x:c r="W233" s="31" t="n">
        <x:v>0.77</x:v>
      </x:c>
      <x:c r="X233" s="31" t="n">
        <x:v>0.35</x:v>
      </x:c>
      <x:c r="Y233" s="31" t="n">
        <x:f>((10-MIN(10,MAX(0,X233)))/10)*'Controls &amp; Summary'!$B$15+((10-MIN(10,MAX(0,W233)))/10)*'Controls &amp; Summary'!$B$16</x:f>
        <x:v>1.8880000000000001</x:v>
      </x:c>
      <x:c r="Z233" s="31" t="n">
        <x:f>V233*Y233</x:f>
        <x:v>51.12425253086966</x:v>
      </x:c>
      <x:c r="AA233" s="30" t="str">
        <x:f>IF(Z233&lt;=I233,"Peaceful","Hostile")</x:f>
        <x:v>Hostile</x:v>
      </x:c>
      <x:c r="AB233" s="30" t="str">
        <x:f>IF(Z233&lt;='Controls &amp; Summary'!$B$6,"Eligible","Blocked")</x:f>
        <x:v>Blocked</x:v>
      </x:c>
      <x:c r="AC233" s="30" t="str">
        <x:v>2003_IND</x:v>
      </x:c>
      <x:c r="AD233" s="30" t="str">
        <x:v>2003_SGP</x:v>
      </x:c>
      <x:c r="AE233" s="30" t="str">
        <x:v>2003_Singapore</x:v>
      </x:c>
      <x:c r="AF233" s="30" t="str">
        <x:v>Explicit capitalClaim</x:v>
      </x:c>
      <x:c r="AG233" s="30" t="str">
        <x:v>Claim2003_IND2003_Singapore</x:v>
      </x:c>
      <x:c r="AH233" s="30" t="str">
        <x:v>Project_UnitedIndosphere</x:v>
      </x:c>
    </x:row>
    <x:row r="234">
      <x:c r="A234" s="30" t="str">
        <x:v>2003</x:v>
      </x:c>
      <x:c r="B234" s="30" t="str">
        <x:v>Dark Skies</x:v>
      </x:c>
      <x:c r="C234" s="30" t="str">
        <x:v>India</x:v>
      </x:c>
      <x:c r="D234" s="30" t="str">
        <x:v>Sri Lanka</x:v>
      </x:c>
      <x:c r="E234" s="30" t="str">
        <x:v>Project unlock</x:v>
      </x:c>
      <x:c r="F234" s="30" t="str">
        <x:v>Greater India</x:v>
      </x:c>
      <x:c r="G234" s="30" t="str">
        <x:v>No</x:v>
      </x:c>
      <x:c r="H234" s="30" t="str">
        <x:v>Ordinary claim</x:v>
      </x:c>
      <x:c r="I234" s="31" t="n">
        <x:f>IF(G234="Yes",'Controls &amp; Summary'!$B$5,'Controls &amp; Summary'!$B$4)</x:f>
        <x:v>6</x:v>
      </x:c>
      <x:c r="J234" s="31" t="n">
        <x:v>7.76</x:v>
      </x:c>
      <x:c r="K234" s="31" t="n">
        <x:v>7.32</x:v>
      </x:c>
      <x:c r="L234" s="31" t="n">
        <x:f>ABS(J234-K234)</x:f>
        <x:v>0.4399999999999995</x:v>
      </x:c>
      <x:c r="M234" s="31" t="n">
        <x:v>4.65</x:v>
      </x:c>
      <x:c r="N234" s="31" t="n">
        <x:v>4.72</x:v>
      </x:c>
      <x:c r="O234" s="31" t="n">
        <x:f>ABS(M234-N234)</x:f>
        <x:v>0.0699999999999994</x:v>
      </x:c>
      <x:c r="P234" s="31" t="n">
        <x:v>4.36</x:v>
      </x:c>
      <x:c r="Q234" s="31" t="n">
        <x:v>6.39</x:v>
      </x:c>
      <x:c r="R234" s="31" t="n">
        <x:f>ABS(P234-Q234)</x:f>
        <x:v>2.0299999999999994</x:v>
      </x:c>
      <x:c r="S234" s="32" t="n">
        <x:v>1301.4697957546507</x:v>
      </x:c>
      <x:c r="T234" s="32" t="n">
        <x:v>2835.264351875729</x:v>
      </x:c>
      <x:c r="U234" s="31" t="n">
        <x:f>MAX(S234/T234,T234/S234)</x:f>
        <x:v>2.1785095290910808</x:v>
      </x:c>
      <x:c r="V234" s="31" t="n">
        <x:f>L234*'Controls &amp; Summary'!$B$9+O234*'Controls &amp; Summary'!$B$10+R234*'Controls &amp; Summary'!$B$11+U234*'Controls &amp; Summary'!$B$12</x:f>
        <x:v>4.7185095290910795</x:v>
      </x:c>
      <x:c r="W234" s="31" t="n">
        <x:v>0.77</x:v>
      </x:c>
      <x:c r="X234" s="31" t="n">
        <x:v>7.21</x:v>
      </x:c>
      <x:c r="Y234" s="31" t="n">
        <x:f>((10-MIN(10,MAX(0,X234)))/10)*'Controls &amp; Summary'!$B$15+((10-MIN(10,MAX(0,W234)))/10)*'Controls &amp; Summary'!$B$16</x:f>
        <x:v>1.202</x:v>
      </x:c>
      <x:c r="Z234" s="31" t="n">
        <x:f>V234*Y234</x:f>
        <x:v>5.671648453967477</x:v>
      </x:c>
      <x:c r="AA234" s="30" t="str">
        <x:f>IF(Z234&lt;=I234,"Peaceful","Hostile")</x:f>
        <x:v>Peaceful</x:v>
      </x:c>
      <x:c r="AB234" s="30" t="str">
        <x:f>IF(Z234&lt;='Controls &amp; Summary'!$B$6,"Eligible","Blocked")</x:f>
        <x:v>Eligible</x:v>
      </x:c>
      <x:c r="AC234" s="30" t="str">
        <x:v>2003_IND</x:v>
      </x:c>
      <x:c r="AD234" s="30" t="str">
        <x:v>2003_LKA</x:v>
      </x:c>
      <x:c r="AE234" s="30" t="str">
        <x:v>2003_SriLanka</x:v>
      </x:c>
      <x:c r="AF234" s="30" t="str">
        <x:v>Explicit capitalClaim</x:v>
      </x:c>
      <x:c r="AG234" s="30" t="str">
        <x:v>Claim2003_IND2003_SriLanka</x:v>
      </x:c>
      <x:c r="AH234" s="30" t="str">
        <x:v>Project_GreaterIndia</x:v>
      </x:c>
    </x:row>
    <x:row r="235">
      <x:c r="A235" s="30" t="str">
        <x:v>2003</x:v>
      </x:c>
      <x:c r="B235" s="30" t="str">
        <x:v>Dark Skies</x:v>
      </x:c>
      <x:c r="C235" s="30" t="str">
        <x:v>India</x:v>
      </x:c>
      <x:c r="D235" s="30" t="str">
        <x:v>Suriname</x:v>
      </x:c>
      <x:c r="E235" s="30" t="str">
        <x:v>Project unlock</x:v>
      </x:c>
      <x:c r="F235" s="30" t="str">
        <x:v>United Indosphere</x:v>
      </x:c>
      <x:c r="G235" s="30" t="str">
        <x:v>No</x:v>
      </x:c>
      <x:c r="H235" s="30" t="str">
        <x:v>Ordinary claim</x:v>
      </x:c>
      <x:c r="I235" s="31" t="n">
        <x:f>IF(G235="Yes",'Controls &amp; Summary'!$B$5,'Controls &amp; Summary'!$B$4)</x:f>
        <x:v>6</x:v>
      </x:c>
      <x:c r="J235" s="31" t="n">
        <x:v>7.76</x:v>
      </x:c>
      <x:c r="K235" s="31" t="n">
        <x:v>6.57</x:v>
      </x:c>
      <x:c r="L235" s="31" t="n">
        <x:f>ABS(J235-K235)</x:f>
        <x:v>1.1899999999999995</x:v>
      </x:c>
      <x:c r="M235" s="31" t="n">
        <x:v>4.65</x:v>
      </x:c>
      <x:c r="N235" s="31" t="n">
        <x:v>4.67</x:v>
      </x:c>
      <x:c r="O235" s="31" t="n">
        <x:f>ABS(M235-N235)</x:f>
        <x:v>0.019999999999999574</x:v>
      </x:c>
      <x:c r="P235" s="31" t="n">
        <x:v>4.36</x:v>
      </x:c>
      <x:c r="Q235" s="31" t="n">
        <x:v>6.01</x:v>
      </x:c>
      <x:c r="R235" s="31" t="n">
        <x:f>ABS(P235-Q235)</x:f>
        <x:v>1.6499999999999995</x:v>
      </x:c>
      <x:c r="S235" s="32" t="n">
        <x:v>1301.4697957546507</x:v>
      </x:c>
      <x:c r="T235" s="32" t="n">
        <x:v>6277.368650945668</x:v>
      </x:c>
      <x:c r="U235" s="31" t="n">
        <x:f>MAX(S235/T235,T235/S235)</x:f>
        <x:v>4.823291843900048</x:v>
      </x:c>
      <x:c r="V235" s="31" t="n">
        <x:f>L235*'Controls &amp; Summary'!$B$9+O235*'Controls &amp; Summary'!$B$10+R235*'Controls &amp; Summary'!$B$11+U235*'Controls &amp; Summary'!$B$12</x:f>
        <x:v>7.683291843900046</x:v>
      </x:c>
      <x:c r="W235" s="31" t="n">
        <x:v>0.77</x:v>
      </x:c>
      <x:c r="X235" s="31" t="n">
        <x:v>1.68</x:v>
      </x:c>
      <x:c r="Y235" s="31" t="n">
        <x:f>((10-MIN(10,MAX(0,X235)))/10)*'Controls &amp; Summary'!$B$15+((10-MIN(10,MAX(0,W235)))/10)*'Controls &amp; Summary'!$B$16</x:f>
        <x:v>1.7550000000000001</x:v>
      </x:c>
      <x:c r="Z235" s="31" t="n">
        <x:f>V235*Y235</x:f>
        <x:v>13.484177186044583</x:v>
      </x:c>
      <x:c r="AA235" s="30" t="str">
        <x:f>IF(Z235&lt;=I235,"Peaceful","Hostile")</x:f>
        <x:v>Hostile</x:v>
      </x:c>
      <x:c r="AB235" s="30" t="str">
        <x:f>IF(Z235&lt;='Controls &amp; Summary'!$B$6,"Eligible","Blocked")</x:f>
        <x:v>Blocked</x:v>
      </x:c>
      <x:c r="AC235" s="30" t="str">
        <x:v>2003_IND</x:v>
      </x:c>
      <x:c r="AD235" s="30" t="str">
        <x:v>2003_SUR</x:v>
      </x:c>
      <x:c r="AE235" s="30" t="str">
        <x:v>2003_Suriname</x:v>
      </x:c>
      <x:c r="AF235" s="30" t="str">
        <x:v>Explicit capitalClaim</x:v>
      </x:c>
      <x:c r="AG235" s="30" t="str">
        <x:v>Claim2003_IND2003_Suriname</x:v>
      </x:c>
      <x:c r="AH235" s="30" t="str">
        <x:v>Project_UnitedIndosphere</x:v>
      </x:c>
    </x:row>
    <x:row r="236">
      <x:c r="A236" s="30" t="str">
        <x:v>2003</x:v>
      </x:c>
      <x:c r="B236" s="30" t="str">
        <x:v>Dark Skies</x:v>
      </x:c>
      <x:c r="C236" s="30" t="str">
        <x:v>India</x:v>
      </x:c>
      <x:c r="D236" s="30" t="str">
        <x:v>Thailand</x:v>
      </x:c>
      <x:c r="E236" s="30" t="str">
        <x:v>Project unlock</x:v>
      </x:c>
      <x:c r="F236" s="30" t="str">
        <x:v>United Indosphere</x:v>
      </x:c>
      <x:c r="G236" s="30" t="str">
        <x:v>No</x:v>
      </x:c>
      <x:c r="H236" s="30" t="str">
        <x:v>Ordinary claim</x:v>
      </x:c>
      <x:c r="I236" s="31" t="n">
        <x:f>IF(G236="Yes",'Controls &amp; Summary'!$B$5,'Controls &amp; Summary'!$B$4)</x:f>
        <x:v>6</x:v>
      </x:c>
      <x:c r="J236" s="31" t="n">
        <x:v>7.76</x:v>
      </x:c>
      <x:c r="K236" s="31" t="n">
        <x:v>7.34</x:v>
      </x:c>
      <x:c r="L236" s="31" t="n">
        <x:f>ABS(J236-K236)</x:f>
        <x:v>0.41999999999999993</x:v>
      </x:c>
      <x:c r="M236" s="31" t="n">
        <x:v>4.65</x:v>
      </x:c>
      <x:c r="N236" s="31" t="n">
        <x:v>4.27</x:v>
      </x:c>
      <x:c r="O236" s="31" t="n">
        <x:f>ABS(M236-N236)</x:f>
        <x:v>0.3800000000000008</x:v>
      </x:c>
      <x:c r="P236" s="31" t="n">
        <x:v>4.36</x:v>
      </x:c>
      <x:c r="Q236" s="31" t="n">
        <x:v>6.13</x:v>
      </x:c>
      <x:c r="R236" s="31" t="n">
        <x:f>ABS(P236-Q236)</x:f>
        <x:v>1.7699999999999996</x:v>
      </x:c>
      <x:c r="S236" s="32" t="n">
        <x:v>1301.4697957546507</x:v>
      </x:c>
      <x:c r="T236" s="32" t="n">
        <x:v>5232.862585170051</x:v>
      </x:c>
      <x:c r="U236" s="31" t="n">
        <x:f>MAX(S236/T236,T236/S236)</x:f>
        <x:v>4.020733022187274</x:v>
      </x:c>
      <x:c r="V236" s="31" t="n">
        <x:f>L236*'Controls &amp; Summary'!$B$9+O236*'Controls &amp; Summary'!$B$10+R236*'Controls &amp; Summary'!$B$11+U236*'Controls &amp; Summary'!$B$12</x:f>
        <x:v>6.590733022187274</x:v>
      </x:c>
      <x:c r="W236" s="31" t="n">
        <x:v>0.77</x:v>
      </x:c>
      <x:c r="X236" s="31" t="n">
        <x:v>5.03</x:v>
      </x:c>
      <x:c r="Y236" s="31" t="n">
        <x:f>((10-MIN(10,MAX(0,X236)))/10)*'Controls &amp; Summary'!$B$15+((10-MIN(10,MAX(0,W236)))/10)*'Controls &amp; Summary'!$B$16</x:f>
        <x:v>1.42</x:v>
      </x:c>
      <x:c r="Z236" s="31" t="n">
        <x:f>V236*Y236</x:f>
        <x:v>9.35884089150593</x:v>
      </x:c>
      <x:c r="AA236" s="30" t="str">
        <x:f>IF(Z236&lt;=I236,"Peaceful","Hostile")</x:f>
        <x:v>Hostile</x:v>
      </x:c>
      <x:c r="AB236" s="30" t="str">
        <x:f>IF(Z236&lt;='Controls &amp; Summary'!$B$6,"Eligible","Blocked")</x:f>
        <x:v>Eligible</x:v>
      </x:c>
      <x:c r="AC236" s="30" t="str">
        <x:v>2003_IND</x:v>
      </x:c>
      <x:c r="AD236" s="30" t="str">
        <x:v>2003_THA</x:v>
      </x:c>
      <x:c r="AE236" s="30" t="str">
        <x:v>2003_Bangkok</x:v>
      </x:c>
      <x:c r="AF236" s="30" t="str">
        <x:v>Explicit capitalClaim</x:v>
      </x:c>
      <x:c r="AG236" s="30" t="str">
        <x:v>Claim2003_IND2003_Bangkok</x:v>
      </x:c>
      <x:c r="AH236" s="30" t="str">
        <x:v>Project_UnitedIndosphere</x:v>
      </x:c>
    </x:row>
    <x:row r="237">
      <x:c r="A237" s="30" t="str">
        <x:v>2003</x:v>
      </x:c>
      <x:c r="B237" s="30" t="str">
        <x:v>Dark Skies</x:v>
      </x:c>
      <x:c r="C237" s="30" t="str">
        <x:v>India</x:v>
      </x:c>
      <x:c r="D237" s="30" t="str">
        <x:v>Vietnam</x:v>
      </x:c>
      <x:c r="E237" s="30" t="str">
        <x:v>Project unlock</x:v>
      </x:c>
      <x:c r="F237" s="30" t="str">
        <x:v>United Indosphere</x:v>
      </x:c>
      <x:c r="G237" s="30" t="str">
        <x:v>No</x:v>
      </x:c>
      <x:c r="H237" s="30" t="str">
        <x:v>Ordinary claim</x:v>
      </x:c>
      <x:c r="I237" s="31" t="n">
        <x:f>IF(G237="Yes",'Controls &amp; Summary'!$B$5,'Controls &amp; Summary'!$B$4)</x:f>
        <x:v>6</x:v>
      </x:c>
      <x:c r="J237" s="31" t="n">
        <x:v>7.76</x:v>
      </x:c>
      <x:c r="K237" s="31" t="n">
        <x:v>2.62</x:v>
      </x:c>
      <x:c r="L237" s="31" t="n">
        <x:f>ABS(J237-K237)</x:f>
        <x:v>5.14</x:v>
      </x:c>
      <x:c r="M237" s="31" t="n">
        <x:v>4.65</x:v>
      </x:c>
      <x:c r="N237" s="31" t="n">
        <x:v>3.7</x:v>
      </x:c>
      <x:c r="O237" s="31" t="n">
        <x:f>ABS(M237-N237)</x:f>
        <x:v>0.9500000000000002</x:v>
      </x:c>
      <x:c r="P237" s="31" t="n">
        <x:v>4.36</x:v>
      </x:c>
      <x:c r="Q237" s="31" t="n">
        <x:v>5.47</x:v>
      </x:c>
      <x:c r="R237" s="31" t="n">
        <x:f>ABS(P237-Q237)</x:f>
        <x:v>1.1099999999999994</x:v>
      </x:c>
      <x:c r="S237" s="32" t="n">
        <x:v>1301.4697957546507</x:v>
      </x:c>
      <x:c r="T237" s="32" t="n">
        <x:v>2037.8370385307373</x:v>
      </x:c>
      <x:c r="U237" s="31" t="n">
        <x:f>MAX(S237/T237,T237/S237)</x:f>
        <x:v>1.5657966440543538</x:v>
      </x:c>
      <x:c r="V237" s="31" t="n">
        <x:f>L237*'Controls &amp; Summary'!$B$9+O237*'Controls &amp; Summary'!$B$10+R237*'Controls &amp; Summary'!$B$11+U237*'Controls &amp; Summary'!$B$12</x:f>
        <x:v>8.765796644054353</x:v>
      </x:c>
      <x:c r="W237" s="31" t="n">
        <x:v>0.77</x:v>
      </x:c>
      <x:c r="X237" s="31" t="n">
        <x:v>2.27</x:v>
      </x:c>
      <x:c r="Y237" s="31" t="n">
        <x:f>((10-MIN(10,MAX(0,X237)))/10)*'Controls &amp; Summary'!$B$15+((10-MIN(10,MAX(0,W237)))/10)*'Controls &amp; Summary'!$B$16</x:f>
        <x:v>1.6960000000000002</x:v>
      </x:c>
      <x:c r="Z237" s="31" t="n">
        <x:f>V237*Y237</x:f>
        <x:v>14.866791108316184</x:v>
      </x:c>
      <x:c r="AA237" s="30" t="str">
        <x:f>IF(Z237&lt;=I237,"Peaceful","Hostile")</x:f>
        <x:v>Hostile</x:v>
      </x:c>
      <x:c r="AB237" s="30" t="str">
        <x:f>IF(Z237&lt;='Controls &amp; Summary'!$B$6,"Eligible","Blocked")</x:f>
        <x:v>Blocked</x:v>
      </x:c>
      <x:c r="AC237" s="30" t="str">
        <x:v>2003_IND</x:v>
      </x:c>
      <x:c r="AD237" s="30" t="str">
        <x:v>2003_VNM</x:v>
      </x:c>
      <x:c r="AE237" s="30" t="str">
        <x:v>2003_Hanoi</x:v>
      </x:c>
      <x:c r="AF237" s="30" t="str">
        <x:v>Explicit capitalClaim</x:v>
      </x:c>
      <x:c r="AG237" s="30" t="str">
        <x:v>Claim2003_IND2003_Hanoi</x:v>
      </x:c>
      <x:c r="AH237" s="30" t="str">
        <x:v>Project_UnitedIndosphere</x:v>
      </x:c>
    </x:row>
    <x:row r="238">
      <x:c r="A238" s="30" t="str">
        <x:v>2003</x:v>
      </x:c>
      <x:c r="B238" s="30" t="str">
        <x:v>Dark Skies</x:v>
      </x:c>
      <x:c r="C238" s="30" t="str">
        <x:v>Indonesia</x:v>
      </x:c>
      <x:c r="D238" s="30" t="str">
        <x:v>Brunei</x:v>
      </x:c>
      <x:c r="E238" s="30" t="str">
        <x:v>Project unlock</x:v>
      </x:c>
      <x:c r="F238" s="30" t="str">
        <x:v>Greater Indonesia</x:v>
      </x:c>
      <x:c r="G238" s="30" t="str">
        <x:v>No</x:v>
      </x:c>
      <x:c r="H238" s="30" t="str">
        <x:v>Ordinary claim</x:v>
      </x:c>
      <x:c r="I238" s="31" t="n">
        <x:f>IF(G238="Yes",'Controls &amp; Summary'!$B$5,'Controls &amp; Summary'!$B$4)</x:f>
        <x:v>6</x:v>
      </x:c>
      <x:c r="J238" s="31" t="n">
        <x:v>6.21</x:v>
      </x:c>
      <x:c r="K238" s="31" t="n">
        <x:v>2.33</x:v>
      </x:c>
      <x:c r="L238" s="31" t="n">
        <x:f>ABS(J238-K238)</x:f>
        <x:v>3.88</x:v>
      </x:c>
      <x:c r="M238" s="31" t="n">
        <x:v>4.16</x:v>
      </x:c>
      <x:c r="N238" s="31" t="n">
        <x:v>4.65</x:v>
      </x:c>
      <x:c r="O238" s="31" t="n">
        <x:f>ABS(M238-N238)</x:f>
        <x:v>0.4900000000000002</x:v>
      </x:c>
      <x:c r="P238" s="31" t="n">
        <x:v>5.42</x:v>
      </x:c>
      <x:c r="Q238" s="31" t="n">
        <x:v>7.39</x:v>
      </x:c>
      <x:c r="R238" s="31" t="n">
        <x:f>ABS(P238-Q238)</x:f>
        <x:v>1.9699999999999998</x:v>
      </x:c>
      <x:c r="S238" s="32" t="n">
        <x:v>2643.8374101449504</x:v>
      </x:c>
      <x:c r="T238" s="32" t="n">
        <x:v>33813.622411917946</x:v>
      </x:c>
      <x:c r="U238" s="31" t="n">
        <x:f>MAX(S238/T238,T238/S238)</x:f>
        <x:v>12.7895997999605</x:v>
      </x:c>
      <x:c r="V238" s="31" t="n">
        <x:f>L238*'Controls &amp; Summary'!$B$9+O238*'Controls &amp; Summary'!$B$10+R238*'Controls &amp; Summary'!$B$11+U238*'Controls &amp; Summary'!$B$12</x:f>
        <x:v>19.129599799960502</x:v>
      </x:c>
      <x:c r="W238" s="31" t="n">
        <x:v>0</x:v>
      </x:c>
      <x:c r="X238" s="31" t="n">
        <x:v>1</x:v>
      </x:c>
      <x:c r="Y238" s="31" t="n">
        <x:f>((10-MIN(10,MAX(0,X238)))/10)*'Controls &amp; Summary'!$B$15+((10-MIN(10,MAX(0,W238)))/10)*'Controls &amp; Summary'!$B$16</x:f>
        <x:v>1.9</x:v>
      </x:c>
      <x:c r="Z238" s="31" t="n">
        <x:f>V238*Y238</x:f>
        <x:v>36.34623961992495</x:v>
      </x:c>
      <x:c r="AA238" s="30" t="str">
        <x:f>IF(Z238&lt;=I238,"Peaceful","Hostile")</x:f>
        <x:v>Hostile</x:v>
      </x:c>
      <x:c r="AB238" s="30" t="str">
        <x:f>IF(Z238&lt;='Controls &amp; Summary'!$B$6,"Eligible","Blocked")</x:f>
        <x:v>Blocked</x:v>
      </x:c>
      <x:c r="AC238" s="30" t="str">
        <x:v>2003_IDN</x:v>
      </x:c>
      <x:c r="AD238" s="30" t="str">
        <x:v>2003_BRU</x:v>
      </x:c>
      <x:c r="AE238" s="30" t="str">
        <x:v>2003_Brunei</x:v>
      </x:c>
      <x:c r="AF238" s="30" t="str">
        <x:v>Explicit capitalClaim</x:v>
      </x:c>
      <x:c r="AG238" s="30" t="str">
        <x:v>Claim2003_IDN2003_Brunei</x:v>
      </x:c>
      <x:c r="AH238" s="30" t="str">
        <x:v>Project_GreaterIndonesia</x:v>
      </x:c>
    </x:row>
    <x:row r="239">
      <x:c r="A239" s="30" t="str">
        <x:v>2003</x:v>
      </x:c>
      <x:c r="B239" s="30" t="str">
        <x:v>Dark Skies</x:v>
      </x:c>
      <x:c r="C239" s="30" t="str">
        <x:v>Indonesia</x:v>
      </x:c>
      <x:c r="D239" s="30" t="str">
        <x:v>Madagascar</x:v>
      </x:c>
      <x:c r="E239" s="30" t="str">
        <x:v>Project unlock</x:v>
      </x:c>
      <x:c r="F239" s="30" t="str">
        <x:v>Greater Austronesia</x:v>
      </x:c>
      <x:c r="G239" s="30" t="str">
        <x:v>No</x:v>
      </x:c>
      <x:c r="H239" s="30" t="str">
        <x:v>Ordinary claim</x:v>
      </x:c>
      <x:c r="I239" s="31" t="n">
        <x:f>IF(G239="Yes",'Controls &amp; Summary'!$B$5,'Controls &amp; Summary'!$B$4)</x:f>
        <x:v>6</x:v>
      </x:c>
      <x:c r="J239" s="31" t="n">
        <x:v>6.21</x:v>
      </x:c>
      <x:c r="K239" s="31" t="n">
        <x:v>5.81</x:v>
      </x:c>
      <x:c r="L239" s="31" t="n">
        <x:f>ABS(J239-K239)</x:f>
        <x:v>0.40000000000000036</x:v>
      </x:c>
      <x:c r="M239" s="31" t="n">
        <x:v>4.16</x:v>
      </x:c>
      <x:c r="N239" s="31" t="n">
        <x:v>4.37</x:v>
      </x:c>
      <x:c r="O239" s="31" t="n">
        <x:f>ABS(M239-N239)</x:f>
        <x:v>0.20999999999999996</x:v>
      </x:c>
      <x:c r="P239" s="31" t="n">
        <x:v>5.42</x:v>
      </x:c>
      <x:c r="Q239" s="31" t="n">
        <x:v>3.58</x:v>
      </x:c>
      <x:c r="R239" s="31" t="n">
        <x:f>ABS(P239-Q239)</x:f>
        <x:v>1.8399999999999999</x:v>
      </x:c>
      <x:c r="S239" s="32" t="n">
        <x:v>2643.8374101449504</x:v>
      </x:c>
      <x:c r="T239" s="32" t="n">
        <x:v>661.1359972252985</x:v>
      </x:c>
      <x:c r="U239" s="31" t="n">
        <x:f>MAX(S239/T239,T239/S239)</x:f>
        <x:v>3.9989312656409437</x:v>
      </x:c>
      <x:c r="V239" s="31" t="n">
        <x:f>L239*'Controls &amp; Summary'!$B$9+O239*'Controls &amp; Summary'!$B$10+R239*'Controls &amp; Summary'!$B$11+U239*'Controls &amp; Summary'!$B$12</x:f>
        <x:v>6.448931265640944</x:v>
      </x:c>
      <x:c r="W239" s="31" t="n">
        <x:v>0</x:v>
      </x:c>
      <x:c r="X239" s="31" t="n">
        <x:v>4.4</x:v>
      </x:c>
      <x:c r="Y239" s="31" t="n">
        <x:f>((10-MIN(10,MAX(0,X239)))/10)*'Controls &amp; Summary'!$B$15+((10-MIN(10,MAX(0,W239)))/10)*'Controls &amp; Summary'!$B$16</x:f>
        <x:v>1.56</x:v>
      </x:c>
      <x:c r="Z239" s="31" t="n">
        <x:f>V239*Y239</x:f>
        <x:v>10.060332774399873</x:v>
      </x:c>
      <x:c r="AA239" s="30" t="str">
        <x:f>IF(Z239&lt;=I239,"Peaceful","Hostile")</x:f>
        <x:v>Hostile</x:v>
      </x:c>
      <x:c r="AB239" s="30" t="str">
        <x:f>IF(Z239&lt;='Controls &amp; Summary'!$B$6,"Eligible","Blocked")</x:f>
        <x:v>Eligible</x:v>
      </x:c>
      <x:c r="AC239" s="30" t="str">
        <x:v>2003_IDN</x:v>
      </x:c>
      <x:c r="AD239" s="30" t="str">
        <x:v>2003_MDG</x:v>
      </x:c>
      <x:c r="AE239" s="30" t="str">
        <x:v>2003_Madagascar</x:v>
      </x:c>
      <x:c r="AF239" s="30" t="str">
        <x:v>Explicit capitalClaim</x:v>
      </x:c>
      <x:c r="AG239" s="30" t="str">
        <x:v>Claim2003_IDN2003_Madagascar</x:v>
      </x:c>
      <x:c r="AH239" s="30" t="str">
        <x:v>Project_GreaterAustronesia</x:v>
      </x:c>
    </x:row>
    <x:row r="240">
      <x:c r="A240" s="30" t="str">
        <x:v>2003</x:v>
      </x:c>
      <x:c r="B240" s="30" t="str">
        <x:v>Dark Skies</x:v>
      </x:c>
      <x:c r="C240" s="30" t="str">
        <x:v>Indonesia</x:v>
      </x:c>
      <x:c r="D240" s="30" t="str">
        <x:v>Malaysia</x:v>
      </x:c>
      <x:c r="E240" s="30" t="str">
        <x:v>Project unlock</x:v>
      </x:c>
      <x:c r="F240" s="30" t="str">
        <x:v>Greater Indonesia</x:v>
      </x:c>
      <x:c r="G240" s="30" t="str">
        <x:v>No</x:v>
      </x:c>
      <x:c r="H240" s="30" t="str">
        <x:v>Ordinary claim</x:v>
      </x:c>
      <x:c r="I240" s="31" t="n">
        <x:f>IF(G240="Yes",'Controls &amp; Summary'!$B$5,'Controls &amp; Summary'!$B$4)</x:f>
        <x:v>6</x:v>
      </x:c>
      <x:c r="J240" s="31" t="n">
        <x:v>6.21</x:v>
      </x:c>
      <x:c r="K240" s="31" t="n">
        <x:v>5.71</x:v>
      </x:c>
      <x:c r="L240" s="31" t="n">
        <x:f>ABS(J240-K240)</x:f>
        <x:v>0.5</x:v>
      </x:c>
      <x:c r="M240" s="31" t="n">
        <x:v>4.16</x:v>
      </x:c>
      <x:c r="N240" s="31" t="n">
        <x:v>4.16</x:v>
      </x:c>
      <x:c r="O240" s="31" t="n">
        <x:f>ABS(M240-N240)</x:f>
        <x:v>0</x:v>
      </x:c>
      <x:c r="P240" s="31" t="n">
        <x:v>5.42</x:v>
      </x:c>
      <x:c r="Q240" s="31" t="n">
        <x:v>6.65</x:v>
      </x:c>
      <x:c r="R240" s="31" t="n">
        <x:f>ABS(P240-Q240)</x:f>
        <x:v>1.2300000000000004</x:v>
      </x:c>
      <x:c r="S240" s="32" t="n">
        <x:v>2643.8374101449504</x:v>
      </x:c>
      <x:c r="T240" s="32" t="n">
        <x:v>7805.958670484231</x:v>
      </x:c>
      <x:c r="U240" s="31" t="n">
        <x:f>MAX(S240/T240,T240/S240)</x:f>
        <x:v>2.9525108618749227</x:v>
      </x:c>
      <x:c r="V240" s="31" t="n">
        <x:f>L240*'Controls &amp; Summary'!$B$9+O240*'Controls &amp; Summary'!$B$10+R240*'Controls &amp; Summary'!$B$11+U240*'Controls &amp; Summary'!$B$12</x:f>
        <x:v>4.682510861874923</x:v>
      </x:c>
      <x:c r="W240" s="31" t="n">
        <x:v>0</x:v>
      </x:c>
      <x:c r="X240" s="31" t="n">
        <x:v>3.26</x:v>
      </x:c>
      <x:c r="Y240" s="31" t="n">
        <x:f>((10-MIN(10,MAX(0,X240)))/10)*'Controls &amp; Summary'!$B$15+((10-MIN(10,MAX(0,W240)))/10)*'Controls &amp; Summary'!$B$16</x:f>
        <x:v>1.674</x:v>
      </x:c>
      <x:c r="Z240" s="31" t="n">
        <x:f>V240*Y240</x:f>
        <x:v>7.838523182778621</x:v>
      </x:c>
      <x:c r="AA240" s="30" t="str">
        <x:f>IF(Z240&lt;=I240,"Peaceful","Hostile")</x:f>
        <x:v>Hostile</x:v>
      </x:c>
      <x:c r="AB240" s="30" t="str">
        <x:f>IF(Z240&lt;='Controls &amp; Summary'!$B$6,"Eligible","Blocked")</x:f>
        <x:v>Eligible</x:v>
      </x:c>
      <x:c r="AC240" s="30" t="str">
        <x:v>2003_IDN</x:v>
      </x:c>
      <x:c r="AD240" s="30" t="str">
        <x:v>2003_MYS</x:v>
      </x:c>
      <x:c r="AE240" s="30" t="str">
        <x:v>2003_MalayPeninsula</x:v>
      </x:c>
      <x:c r="AF240" s="30" t="str">
        <x:v>Explicit capitalClaim</x:v>
      </x:c>
      <x:c r="AG240" s="30" t="str">
        <x:v>Claim2003_IDN2003_MalayPeninsula</x:v>
      </x:c>
      <x:c r="AH240" s="30" t="str">
        <x:v>Project_GreaterIndonesia</x:v>
      </x:c>
    </x:row>
    <x:row r="241">
      <x:c r="A241" s="30" t="str">
        <x:v>2003</x:v>
      </x:c>
      <x:c r="B241" s="30" t="str">
        <x:v>Dark Skies</x:v>
      </x:c>
      <x:c r="C241" s="30" t="str">
        <x:v>Indonesia</x:v>
      </x:c>
      <x:c r="D241" s="30" t="str">
        <x:v>Melanesian States</x:v>
      </x:c>
      <x:c r="E241" s="30" t="str">
        <x:v>Project unlock</x:v>
      </x:c>
      <x:c r="F241" s="30" t="str">
        <x:v>Greater Indonesia</x:v>
      </x:c>
      <x:c r="G241" s="30" t="str">
        <x:v>No</x:v>
      </x:c>
      <x:c r="H241" s="30" t="str">
        <x:v>Ordinary claim</x:v>
      </x:c>
      <x:c r="I241" s="31" t="n">
        <x:f>IF(G241="Yes",'Controls &amp; Summary'!$B$5,'Controls &amp; Summary'!$B$4)</x:f>
        <x:v>6</x:v>
      </x:c>
      <x:c r="J241" s="31" t="n">
        <x:v>6.21</x:v>
      </x:c>
      <x:c r="K241" s="31" t="n">
        <x:v>6.13</x:v>
      </x:c>
      <x:c r="L241" s="31" t="n">
        <x:f>ABS(J241-K241)</x:f>
        <x:v>0.08000000000000007</x:v>
      </x:c>
      <x:c r="M241" s="31" t="n">
        <x:v>4.16</x:v>
      </x:c>
      <x:c r="N241" s="31" t="n">
        <x:v>4.07</x:v>
      </x:c>
      <x:c r="O241" s="31" t="n">
        <x:f>ABS(M241-N241)</x:f>
        <x:v>0.08999999999999986</x:v>
      </x:c>
      <x:c r="P241" s="31" t="n">
        <x:v>5.42</x:v>
      </x:c>
      <x:c r="Q241" s="31" t="n">
        <x:v>5.35</x:v>
      </x:c>
      <x:c r="R241" s="31" t="n">
        <x:f>ABS(P241-Q241)</x:f>
        <x:v>0.07000000000000028</x:v>
      </x:c>
      <x:c r="S241" s="32" t="n">
        <x:v>2643.8374101449504</x:v>
      </x:c>
      <x:c r="T241" s="32" t="n">
        <x:v>2840.0898292835964</x:v>
      </x:c>
      <x:c r="U241" s="31" t="n">
        <x:f>MAX(S241/T241,T241/S241)</x:f>
        <x:v>1.0742301392610547</x:v>
      </x:c>
      <x:c r="V241" s="31" t="n">
        <x:f>L241*'Controls &amp; Summary'!$B$9+O241*'Controls &amp; Summary'!$B$10+R241*'Controls &amp; Summary'!$B$11+U241*'Controls &amp; Summary'!$B$12</x:f>
        <x:v>1.314230139261055</x:v>
      </x:c>
      <x:c r="W241" s="31" t="n">
        <x:v>0</x:v>
      </x:c>
      <x:c r="X241" s="31" t="n">
        <x:v>2.14</x:v>
      </x:c>
      <x:c r="Y241" s="31" t="n">
        <x:f>((10-MIN(10,MAX(0,X241)))/10)*'Controls &amp; Summary'!$B$15+((10-MIN(10,MAX(0,W241)))/10)*'Controls &amp; Summary'!$B$16</x:f>
        <x:v>1.786</x:v>
      </x:c>
      <x:c r="Z241" s="31" t="n">
        <x:f>V241*Y241</x:f>
        <x:v>2.3472150287202442</x:v>
      </x:c>
      <x:c r="AA241" s="30" t="str">
        <x:f>IF(Z241&lt;=I241,"Peaceful","Hostile")</x:f>
        <x:v>Peaceful</x:v>
      </x:c>
      <x:c r="AB241" s="30" t="str">
        <x:f>IF(Z241&lt;='Controls &amp; Summary'!$B$6,"Eligible","Blocked")</x:f>
        <x:v>Eligible</x:v>
      </x:c>
      <x:c r="AC241" s="30" t="str">
        <x:v>2003_IDN</x:v>
      </x:c>
      <x:c r="AD241" s="30" t="str">
        <x:v>2003_PCS</x:v>
      </x:c>
      <x:c r="AE241" s="30" t="str">
        <x:v>2003_Melanesia</x:v>
      </x:c>
      <x:c r="AF241" s="30" t="str">
        <x:v>Explicit capitalClaim</x:v>
      </x:c>
      <x:c r="AG241" s="30" t="str">
        <x:v>Claim2003_IDN2003_Melanesia</x:v>
      </x:c>
      <x:c r="AH241" s="30" t="str">
        <x:v>Project_GreaterIndonesia</x:v>
      </x:c>
    </x:row>
    <x:row r="242">
      <x:c r="A242" s="30" t="str">
        <x:v>2003</x:v>
      </x:c>
      <x:c r="B242" s="30" t="str">
        <x:v>Dark Skies</x:v>
      </x:c>
      <x:c r="C242" s="30" t="str">
        <x:v>Indonesia</x:v>
      </x:c>
      <x:c r="D242" s="30" t="str">
        <x:v>Micronesian States</x:v>
      </x:c>
      <x:c r="E242" s="30" t="str">
        <x:v>Project unlock</x:v>
      </x:c>
      <x:c r="F242" s="30" t="str">
        <x:v>Greater Austronesia</x:v>
      </x:c>
      <x:c r="G242" s="30" t="str">
        <x:v>No</x:v>
      </x:c>
      <x:c r="H242" s="30" t="str">
        <x:v>Ordinary claim</x:v>
      </x:c>
      <x:c r="I242" s="31" t="n">
        <x:f>IF(G242="Yes",'Controls &amp; Summary'!$B$5,'Controls &amp; Summary'!$B$4)</x:f>
        <x:v>6</x:v>
      </x:c>
      <x:c r="J242" s="31" t="n">
        <x:v>6.21</x:v>
      </x:c>
      <x:c r="K242" s="31" t="n">
        <x:v>9.67</x:v>
      </x:c>
      <x:c r="L242" s="31" t="n">
        <x:f>ABS(J242-K242)</x:f>
        <x:v>3.46</x:v>
      </x:c>
      <x:c r="M242" s="31" t="n">
        <x:v>4.16</x:v>
      </x:c>
      <x:c r="N242" s="31" t="n">
        <x:v>3.93</x:v>
      </x:c>
      <x:c r="O242" s="31" t="n">
        <x:f>ABS(M242-N242)</x:f>
        <x:v>0.22999999999999998</x:v>
      </x:c>
      <x:c r="P242" s="31" t="n">
        <x:v>5.42</x:v>
      </x:c>
      <x:c r="Q242" s="31" t="n">
        <x:v>5.34</x:v>
      </x:c>
      <x:c r="R242" s="31" t="n">
        <x:f>ABS(P242-Q242)</x:f>
        <x:v>0.08000000000000007</x:v>
      </x:c>
      <x:c r="S242" s="32" t="n">
        <x:v>2643.8374101449504</x:v>
      </x:c>
      <x:c r="T242" s="32" t="n">
        <x:v>2258.419207343555</x:v>
      </x:c>
      <x:c r="U242" s="31" t="n">
        <x:f>MAX(S242/T242,T242/S242)</x:f>
        <x:v>1.1706583974968667</x:v>
      </x:c>
      <x:c r="V242" s="31" t="n">
        <x:f>L242*'Controls &amp; Summary'!$B$9+O242*'Controls &amp; Summary'!$B$10+R242*'Controls &amp; Summary'!$B$11+U242*'Controls &amp; Summary'!$B$12</x:f>
        <x:v>4.9406583974968665</x:v>
      </x:c>
      <x:c r="W242" s="31" t="n">
        <x:v>0</x:v>
      </x:c>
      <x:c r="X242" s="31" t="n">
        <x:v>0.1</x:v>
      </x:c>
      <x:c r="Y242" s="31" t="n">
        <x:f>((10-MIN(10,MAX(0,X242)))/10)*'Controls &amp; Summary'!$B$15+((10-MIN(10,MAX(0,W242)))/10)*'Controls &amp; Summary'!$B$16</x:f>
        <x:v>1.99</x:v>
      </x:c>
      <x:c r="Z242" s="31" t="n">
        <x:f>V242*Y242</x:f>
        <x:v>9.831910211018764</x:v>
      </x:c>
      <x:c r="AA242" s="30" t="str">
        <x:f>IF(Z242&lt;=I242,"Peaceful","Hostile")</x:f>
        <x:v>Hostile</x:v>
      </x:c>
      <x:c r="AB242" s="30" t="str">
        <x:f>IF(Z242&lt;='Controls &amp; Summary'!$B$6,"Eligible","Blocked")</x:f>
        <x:v>Eligible</x:v>
      </x:c>
      <x:c r="AC242" s="30" t="str">
        <x:v>2003_IDN</x:v>
      </x:c>
      <x:c r="AD242" s="30" t="str">
        <x:v>2003_MCS</x:v>
      </x:c>
      <x:c r="AE242" s="30" t="str">
        <x:v>2003_Micronesia</x:v>
      </x:c>
      <x:c r="AF242" s="30" t="str">
        <x:v>Explicit capitalClaim</x:v>
      </x:c>
      <x:c r="AG242" s="30" t="str">
        <x:v>Claim2003_IDN2003_Micronesia</x:v>
      </x:c>
      <x:c r="AH242" s="30" t="str">
        <x:v>Project_GreaterAustronesia</x:v>
      </x:c>
    </x:row>
    <x:row r="243">
      <x:c r="A243" s="30" t="str">
        <x:v>2003</x:v>
      </x:c>
      <x:c r="B243" s="30" t="str">
        <x:v>Dark Skies</x:v>
      </x:c>
      <x:c r="C243" s="30" t="str">
        <x:v>Indonesia</x:v>
      </x:c>
      <x:c r="D243" s="30" t="str">
        <x:v>New Zealand</x:v>
      </x:c>
      <x:c r="E243" s="30" t="str">
        <x:v>Project unlock</x:v>
      </x:c>
      <x:c r="F243" s="30" t="str">
        <x:v>Greater Austronesia</x:v>
      </x:c>
      <x:c r="G243" s="30" t="str">
        <x:v>No</x:v>
      </x:c>
      <x:c r="H243" s="30" t="str">
        <x:v>Ordinary claim</x:v>
      </x:c>
      <x:c r="I243" s="31" t="n">
        <x:f>IF(G243="Yes",'Controls &amp; Summary'!$B$5,'Controls &amp; Summary'!$B$4)</x:f>
        <x:v>6</x:v>
      </x:c>
      <x:c r="J243" s="31" t="n">
        <x:v>6.21</x:v>
      </x:c>
      <x:c r="K243" s="31" t="n">
        <x:v>9.02</x:v>
      </x:c>
      <x:c r="L243" s="31" t="n">
        <x:f>ABS(J243-K243)</x:f>
        <x:v>2.8099999999999996</x:v>
      </x:c>
      <x:c r="M243" s="31" t="n">
        <x:v>4.16</x:v>
      </x:c>
      <x:c r="N243" s="31" t="n">
        <x:v>3.25</x:v>
      </x:c>
      <x:c r="O243" s="31" t="n">
        <x:f>ABS(M243-N243)</x:f>
        <x:v>0.9100000000000001</x:v>
      </x:c>
      <x:c r="P243" s="31" t="n">
        <x:v>5.42</x:v>
      </x:c>
      <x:c r="Q243" s="31" t="n">
        <x:v>8.55</x:v>
      </x:c>
      <x:c r="R243" s="31" t="n">
        <x:f>ABS(P243-Q243)</x:f>
        <x:v>3.130000000000001</x:v>
      </x:c>
      <x:c r="S243" s="32" t="n">
        <x:v>2643.8374101449504</x:v>
      </x:c>
      <x:c r="T243" s="32" t="n">
        <x:v>20486.3423678201</x:v>
      </x:c>
      <x:c r="U243" s="31" t="n">
        <x:f>MAX(S243/T243,T243/S243)</x:f>
        <x:v>7.7487149131069</x:v>
      </x:c>
      <x:c r="V243" s="31" t="n">
        <x:f>L243*'Controls &amp; Summary'!$B$9+O243*'Controls &amp; Summary'!$B$10+R243*'Controls &amp; Summary'!$B$11+U243*'Controls &amp; Summary'!$B$12</x:f>
        <x:v>14.5987149131069</x:v>
      </x:c>
      <x:c r="W243" s="31" t="n">
        <x:v>0</x:v>
      </x:c>
      <x:c r="X243" s="31" t="n">
        <x:v>2.2</x:v>
      </x:c>
      <x:c r="Y243" s="31" t="n">
        <x:f>((10-MIN(10,MAX(0,X243)))/10)*'Controls &amp; Summary'!$B$15+((10-MIN(10,MAX(0,W243)))/10)*'Controls &amp; Summary'!$B$16</x:f>
        <x:v>1.78</x:v>
      </x:c>
      <x:c r="Z243" s="31" t="n">
        <x:f>V243*Y243</x:f>
        <x:v>25.98571254533028</x:v>
      </x:c>
      <x:c r="AA243" s="30" t="str">
        <x:f>IF(Z243&lt;=I243,"Peaceful","Hostile")</x:f>
        <x:v>Hostile</x:v>
      </x:c>
      <x:c r="AB243" s="30" t="str">
        <x:f>IF(Z243&lt;='Controls &amp; Summary'!$B$6,"Eligible","Blocked")</x:f>
        <x:v>Blocked</x:v>
      </x:c>
      <x:c r="AC243" s="30" t="str">
        <x:v>2003_IDN</x:v>
      </x:c>
      <x:c r="AD243" s="30" t="str">
        <x:v>2003_NZL</x:v>
      </x:c>
      <x:c r="AE243" s="30" t="str">
        <x:v>2003_NewZealand</x:v>
      </x:c>
      <x:c r="AF243" s="30" t="str">
        <x:v>Explicit capitalClaim</x:v>
      </x:c>
      <x:c r="AG243" s="30" t="str">
        <x:v>Claim2003_IDN2003_NewZealand</x:v>
      </x:c>
      <x:c r="AH243" s="30" t="str">
        <x:v>Project_GreaterAustronesia</x:v>
      </x:c>
    </x:row>
    <x:row r="244">
      <x:c r="A244" s="30" t="str">
        <x:v>2003</x:v>
      </x:c>
      <x:c r="B244" s="30" t="str">
        <x:v>Dark Skies</x:v>
      </x:c>
      <x:c r="C244" s="30" t="str">
        <x:v>Indonesia</x:v>
      </x:c>
      <x:c r="D244" s="30" t="str">
        <x:v>Papua New Guinea</x:v>
      </x:c>
      <x:c r="E244" s="30" t="str">
        <x:v>Project unlock</x:v>
      </x:c>
      <x:c r="F244" s="30" t="str">
        <x:v>Greater Indonesia</x:v>
      </x:c>
      <x:c r="G244" s="30" t="str">
        <x:v>No</x:v>
      </x:c>
      <x:c r="H244" s="30" t="str">
        <x:v>Ordinary claim</x:v>
      </x:c>
      <x:c r="I244" s="31" t="n">
        <x:f>IF(G244="Yes",'Controls &amp; Summary'!$B$5,'Controls &amp; Summary'!$B$4)</x:f>
        <x:v>6</x:v>
      </x:c>
      <x:c r="J244" s="31" t="n">
        <x:v>6.21</x:v>
      </x:c>
      <x:c r="K244" s="31" t="n">
        <x:v>6.52</x:v>
      </x:c>
      <x:c r="L244" s="31" t="n">
        <x:f>ABS(J244-K244)</x:f>
        <x:v>0.3099999999999996</x:v>
      </x:c>
      <x:c r="M244" s="31" t="n">
        <x:v>4.16</x:v>
      </x:c>
      <x:c r="N244" s="31" t="n">
        <x:v>4.68</x:v>
      </x:c>
      <x:c r="O244" s="31" t="n">
        <x:f>ABS(M244-N244)</x:f>
        <x:v>0.5199999999999996</x:v>
      </x:c>
      <x:c r="P244" s="31" t="n">
        <x:v>5.42</x:v>
      </x:c>
      <x:c r="Q244" s="31" t="n">
        <x:v>4.39</x:v>
      </x:c>
      <x:c r="R244" s="31" t="n">
        <x:f>ABS(P244-Q244)</x:f>
        <x:v>1.0300000000000002</x:v>
      </x:c>
      <x:c r="S244" s="32" t="n">
        <x:v>2643.8374101449504</x:v>
      </x:c>
      <x:c r="T244" s="32" t="n">
        <x:v>1166.5354586228568</x:v>
      </x:c>
      <x:c r="U244" s="31" t="n">
        <x:f>MAX(S244/T244,T244/S244)</x:f>
        <x:v>2.266401240186997</x:v>
      </x:c>
      <x:c r="V244" s="31" t="n">
        <x:f>L244*'Controls &amp; Summary'!$B$9+O244*'Controls &amp; Summary'!$B$10+R244*'Controls &amp; Summary'!$B$11+U244*'Controls &amp; Summary'!$B$12</x:f>
        <x:v>4.126401240186997</x:v>
      </x:c>
      <x:c r="W244" s="31" t="n">
        <x:v>0</x:v>
      </x:c>
      <x:c r="X244" s="31" t="n">
        <x:v>2.59</x:v>
      </x:c>
      <x:c r="Y244" s="31" t="n">
        <x:f>((10-MIN(10,MAX(0,X244)))/10)*'Controls &amp; Summary'!$B$15+((10-MIN(10,MAX(0,W244)))/10)*'Controls &amp; Summary'!$B$16</x:f>
        <x:v>1.741</x:v>
      </x:c>
      <x:c r="Z244" s="31" t="n">
        <x:f>V244*Y244</x:f>
        <x:v>7.184064559165562</x:v>
      </x:c>
      <x:c r="AA244" s="30" t="str">
        <x:f>IF(Z244&lt;=I244,"Peaceful","Hostile")</x:f>
        <x:v>Hostile</x:v>
      </x:c>
      <x:c r="AB244" s="30" t="str">
        <x:f>IF(Z244&lt;='Controls &amp; Summary'!$B$6,"Eligible","Blocked")</x:f>
        <x:v>Eligible</x:v>
      </x:c>
      <x:c r="AC244" s="30" t="str">
        <x:v>2003_IDN</x:v>
      </x:c>
      <x:c r="AD244" s="30" t="str">
        <x:v>2003_PNG</x:v>
      </x:c>
      <x:c r="AE244" s="30" t="str">
        <x:v>2003_PortMorseby</x:v>
      </x:c>
      <x:c r="AF244" s="30" t="str">
        <x:v>Explicit capitalClaim</x:v>
      </x:c>
      <x:c r="AG244" s="30" t="str">
        <x:v>Claim2003_IDN2003_PortMorseby</x:v>
      </x:c>
      <x:c r="AH244" s="30" t="str">
        <x:v>Project_GreaterIndonesia</x:v>
      </x:c>
    </x:row>
    <x:row r="245">
      <x:c r="A245" s="30" t="str">
        <x:v>2003</x:v>
      </x:c>
      <x:c r="B245" s="30" t="str">
        <x:v>Dark Skies</x:v>
      </x:c>
      <x:c r="C245" s="30" t="str">
        <x:v>Indonesia</x:v>
      </x:c>
      <x:c r="D245" s="30" t="str">
        <x:v>Philippines</x:v>
      </x:c>
      <x:c r="E245" s="30" t="str">
        <x:v>Project unlock</x:v>
      </x:c>
      <x:c r="F245" s="30" t="str">
        <x:v>Greater Austronesia</x:v>
      </x:c>
      <x:c r="G245" s="30" t="str">
        <x:v>No</x:v>
      </x:c>
      <x:c r="H245" s="30" t="str">
        <x:v>Ordinary claim</x:v>
      </x:c>
      <x:c r="I245" s="31" t="n">
        <x:f>IF(G245="Yes",'Controls &amp; Summary'!$B$5,'Controls &amp; Summary'!$B$4)</x:f>
        <x:v>6</x:v>
      </x:c>
      <x:c r="J245" s="31" t="n">
        <x:v>6.21</x:v>
      </x:c>
      <x:c r="K245" s="31" t="n">
        <x:v>6.82</x:v>
      </x:c>
      <x:c r="L245" s="31" t="n">
        <x:f>ABS(J245-K245)</x:f>
        <x:v>0.6100000000000003</x:v>
      </x:c>
      <x:c r="M245" s="31" t="n">
        <x:v>4.16</x:v>
      </x:c>
      <x:c r="N245" s="31" t="n">
        <x:v>4.19</x:v>
      </x:c>
      <x:c r="O245" s="31" t="n">
        <x:f>ABS(M245-N245)</x:f>
        <x:v>0.03000000000000025</x:v>
      </x:c>
      <x:c r="P245" s="31" t="n">
        <x:v>5.42</x:v>
      </x:c>
      <x:c r="Q245" s="31" t="n">
        <x:v>5.67</x:v>
      </x:c>
      <x:c r="R245" s="31" t="n">
        <x:f>ABS(P245-Q245)</x:f>
        <x:v>0.25</x:v>
      </x:c>
      <x:c r="S245" s="32" t="n">
        <x:v>2643.8374101449504</x:v>
      </x:c>
      <x:c r="T245" s="32" t="n">
        <x:v>2040.4656608817693</x:v>
      </x:c>
      <x:c r="U245" s="31" t="n">
        <x:f>MAX(S245/T245,T245/S245)</x:f>
        <x:v>1.295702966646564</x:v>
      </x:c>
      <x:c r="V245" s="31" t="n">
        <x:f>L245*'Controls &amp; Summary'!$B$9+O245*'Controls &amp; Summary'!$B$10+R245*'Controls &amp; Summary'!$B$11+U245*'Controls &amp; Summary'!$B$12</x:f>
        <x:v>2.1857029666465646</x:v>
      </x:c>
      <x:c r="W245" s="31" t="n">
        <x:v>0</x:v>
      </x:c>
      <x:c r="X245" s="31" t="n">
        <x:v>3.08</x:v>
      </x:c>
      <x:c r="Y245" s="31" t="n">
        <x:f>((10-MIN(10,MAX(0,X245)))/10)*'Controls &amp; Summary'!$B$15+((10-MIN(10,MAX(0,W245)))/10)*'Controls &amp; Summary'!$B$16</x:f>
        <x:v>1.692</x:v>
      </x:c>
      <x:c r="Z245" s="31" t="n">
        <x:f>V245*Y245</x:f>
        <x:v>3.698209419565987</x:v>
      </x:c>
      <x:c r="AA245" s="30" t="str">
        <x:f>IF(Z245&lt;=I245,"Peaceful","Hostile")</x:f>
        <x:v>Peaceful</x:v>
      </x:c>
      <x:c r="AB245" s="30" t="str">
        <x:f>IF(Z245&lt;='Controls &amp; Summary'!$B$6,"Eligible","Blocked")</x:f>
        <x:v>Eligible</x:v>
      </x:c>
      <x:c r="AC245" s="30" t="str">
        <x:v>2003_IDN</x:v>
      </x:c>
      <x:c r="AD245" s="30" t="str">
        <x:v>2003_PHL</x:v>
      </x:c>
      <x:c r="AE245" s="30" t="str">
        <x:v>2003_Luzon</x:v>
      </x:c>
      <x:c r="AF245" s="30" t="str">
        <x:v>Explicit capitalClaim</x:v>
      </x:c>
      <x:c r="AG245" s="30" t="str">
        <x:v>Claim2003_IDN2003_Luzon</x:v>
      </x:c>
      <x:c r="AH245" s="30" t="str">
        <x:v>Project_GreaterAustronesia</x:v>
      </x:c>
    </x:row>
    <x:row r="246">
      <x:c r="A246" s="30" t="str">
        <x:v>2003</x:v>
      </x:c>
      <x:c r="B246" s="30" t="str">
        <x:v>Dark Skies</x:v>
      </x:c>
      <x:c r="C246" s="30" t="str">
        <x:v>Indonesia</x:v>
      </x:c>
      <x:c r="D246" s="30" t="str">
        <x:v>Polynesian States</x:v>
      </x:c>
      <x:c r="E246" s="30" t="str">
        <x:v>Project unlock</x:v>
      </x:c>
      <x:c r="F246" s="30" t="str">
        <x:v>Greater Austronesia</x:v>
      </x:c>
      <x:c r="G246" s="30" t="str">
        <x:v>No</x:v>
      </x:c>
      <x:c r="H246" s="30" t="str">
        <x:v>Ordinary claim</x:v>
      </x:c>
      <x:c r="I246" s="31" t="n">
        <x:f>IF(G246="Yes",'Controls &amp; Summary'!$B$5,'Controls &amp; Summary'!$B$4)</x:f>
        <x:v>6</x:v>
      </x:c>
      <x:c r="J246" s="31" t="n">
        <x:v>6.21</x:v>
      </x:c>
      <x:c r="K246" s="31" t="n">
        <x:v>7.11</x:v>
      </x:c>
      <x:c r="L246" s="31" t="n">
        <x:f>ABS(J246-K246)</x:f>
        <x:v>0.9000000000000004</x:v>
      </x:c>
      <x:c r="M246" s="31" t="n">
        <x:v>4.16</x:v>
      </x:c>
      <x:c r="N246" s="31" t="n">
        <x:v>4</x:v>
      </x:c>
      <x:c r="O246" s="31" t="n">
        <x:f>ABS(M246-N246)</x:f>
        <x:v>0.16000000000000014</x:v>
      </x:c>
      <x:c r="P246" s="31" t="n">
        <x:v>5.42</x:v>
      </x:c>
      <x:c r="Q246" s="31" t="n">
        <x:v>6.16</x:v>
      </x:c>
      <x:c r="R246" s="31" t="n">
        <x:f>ABS(P246-Q246)</x:f>
        <x:v>0.7400000000000002</x:v>
      </x:c>
      <x:c r="S246" s="32" t="n">
        <x:v>2643.8374101449504</x:v>
      </x:c>
      <x:c r="T246" s="32" t="n">
        <x:v>1959.1319862944033</x:v>
      </x:c>
      <x:c r="U246" s="31" t="n">
        <x:f>MAX(S246/T246,T246/S246)</x:f>
        <x:v>1.34949428044694</x:v>
      </x:c>
      <x:c r="V246" s="31" t="n">
        <x:f>L246*'Controls &amp; Summary'!$B$9+O246*'Controls &amp; Summary'!$B$10+R246*'Controls &amp; Summary'!$B$11+U246*'Controls &amp; Summary'!$B$12</x:f>
        <x:v>3.149494280446941</x:v>
      </x:c>
      <x:c r="W246" s="31" t="n">
        <x:v>0</x:v>
      </x:c>
      <x:c r="X246" s="31" t="n">
        <x:v>0.7</x:v>
      </x:c>
      <x:c r="Y246" s="31" t="n">
        <x:f>((10-MIN(10,MAX(0,X246)))/10)*'Controls &amp; Summary'!$B$15+((10-MIN(10,MAX(0,W246)))/10)*'Controls &amp; Summary'!$B$16</x:f>
        <x:v>1.9300000000000002</x:v>
      </x:c>
      <x:c r="Z246" s="31" t="n">
        <x:f>V246*Y246</x:f>
        <x:v>6.078523961262596</x:v>
      </x:c>
      <x:c r="AA246" s="30" t="str">
        <x:f>IF(Z246&lt;=I246,"Peaceful","Hostile")</x:f>
        <x:v>Hostile</x:v>
      </x:c>
      <x:c r="AB246" s="30" t="str">
        <x:f>IF(Z246&lt;='Controls &amp; Summary'!$B$6,"Eligible","Blocked")</x:f>
        <x:v>Eligible</x:v>
      </x:c>
      <x:c r="AC246" s="30" t="str">
        <x:v>2003_IDN</x:v>
      </x:c>
      <x:c r="AD246" s="30" t="str">
        <x:v>2003_PLS</x:v>
      </x:c>
      <x:c r="AE246" s="30" t="str">
        <x:v>2003_Polynesia</x:v>
      </x:c>
      <x:c r="AF246" s="30" t="str">
        <x:v>Explicit capitalClaim</x:v>
      </x:c>
      <x:c r="AG246" s="30" t="str">
        <x:v>Claim2003_IDN2003_Polynesia</x:v>
      </x:c>
      <x:c r="AH246" s="30" t="str">
        <x:v>Project_GreaterAustronesia</x:v>
      </x:c>
    </x:row>
    <x:row r="247">
      <x:c r="A247" s="30" t="str">
        <x:v>2003</x:v>
      </x:c>
      <x:c r="B247" s="30" t="str">
        <x:v>Dark Skies</x:v>
      </x:c>
      <x:c r="C247" s="30" t="str">
        <x:v>Indonesia</x:v>
      </x:c>
      <x:c r="D247" s="30" t="str">
        <x:v>Singapore</x:v>
      </x:c>
      <x:c r="E247" s="30" t="str">
        <x:v>Project unlock</x:v>
      </x:c>
      <x:c r="F247" s="30" t="str">
        <x:v>Greater Indonesia</x:v>
      </x:c>
      <x:c r="G247" s="30" t="str">
        <x:v>No</x:v>
      </x:c>
      <x:c r="H247" s="30" t="str">
        <x:v>Ordinary claim</x:v>
      </x:c>
      <x:c r="I247" s="31" t="n">
        <x:f>IF(G247="Yes",'Controls &amp; Summary'!$B$5,'Controls &amp; Summary'!$B$4)</x:f>
        <x:v>6</x:v>
      </x:c>
      <x:c r="J247" s="31" t="n">
        <x:v>6.21</x:v>
      </x:c>
      <x:c r="K247" s="31" t="n">
        <x:v>5.85</x:v>
      </x:c>
      <x:c r="L247" s="31" t="n">
        <x:f>ABS(J247-K247)</x:f>
        <x:v>0.3600000000000003</x:v>
      </x:c>
      <x:c r="M247" s="31" t="n">
        <x:v>4.16</x:v>
      </x:c>
      <x:c r="N247" s="31" t="n">
        <x:v>3.86</x:v>
      </x:c>
      <x:c r="O247" s="31" t="n">
        <x:f>ABS(M247-N247)</x:f>
        <x:v>0.30000000000000027</x:v>
      </x:c>
      <x:c r="P247" s="31" t="n">
        <x:v>5.42</x:v>
      </x:c>
      <x:c r="Q247" s="31" t="n">
        <x:v>8.41</x:v>
      </x:c>
      <x:c r="R247" s="31" t="n">
        <x:f>ABS(P247-Q247)</x:f>
        <x:v>2.99</x:v>
      </x:c>
      <x:c r="S247" s="32" t="n">
        <x:v>2643.8374101449504</x:v>
      </x:c>
      <x:c r="T247" s="32" t="n">
        <x:v>26456.959439810835</x:v>
      </x:c>
      <x:c r="U247" s="31" t="n">
        <x:f>MAX(S247/T247,T247/S247)</x:f>
        <x:v>10.007029682797443</x:v>
      </x:c>
      <x:c r="V247" s="31" t="n">
        <x:f>L247*'Controls &amp; Summary'!$B$9+O247*'Controls &amp; Summary'!$B$10+R247*'Controls &amp; Summary'!$B$11+U247*'Controls &amp; Summary'!$B$12</x:f>
        <x:v>13.657029682797443</x:v>
      </x:c>
      <x:c r="W247" s="31" t="n">
        <x:v>0</x:v>
      </x:c>
      <x:c r="X247" s="31" t="n">
        <x:v>0.35</x:v>
      </x:c>
      <x:c r="Y247" s="31" t="n">
        <x:f>((10-MIN(10,MAX(0,X247)))/10)*'Controls &amp; Summary'!$B$15+((10-MIN(10,MAX(0,W247)))/10)*'Controls &amp; Summary'!$B$16</x:f>
        <x:v>1.965</x:v>
      </x:c>
      <x:c r="Z247" s="31" t="n">
        <x:f>V247*Y247</x:f>
        <x:v>26.836063326696976</x:v>
      </x:c>
      <x:c r="AA247" s="30" t="str">
        <x:f>IF(Z247&lt;=I247,"Peaceful","Hostile")</x:f>
        <x:v>Hostile</x:v>
      </x:c>
      <x:c r="AB247" s="30" t="str">
        <x:f>IF(Z247&lt;='Controls &amp; Summary'!$B$6,"Eligible","Blocked")</x:f>
        <x:v>Blocked</x:v>
      </x:c>
      <x:c r="AC247" s="30" t="str">
        <x:v>2003_IDN</x:v>
      </x:c>
      <x:c r="AD247" s="30" t="str">
        <x:v>2003_SGP</x:v>
      </x:c>
      <x:c r="AE247" s="30" t="str">
        <x:v>2003_Singapore</x:v>
      </x:c>
      <x:c r="AF247" s="30" t="str">
        <x:v>Explicit capitalClaim</x:v>
      </x:c>
      <x:c r="AG247" s="30" t="str">
        <x:v>Claim2003_IDN2003_Singapore</x:v>
      </x:c>
      <x:c r="AH247" s="30" t="str">
        <x:v>Project_GreaterIndonesia</x:v>
      </x:c>
    </x:row>
    <x:row r="248">
      <x:c r="A248" s="30" t="str">
        <x:v>2003</x:v>
      </x:c>
      <x:c r="B248" s="30" t="str">
        <x:v>Dark Skies</x:v>
      </x:c>
      <x:c r="C248" s="30" t="str">
        <x:v>Indonesia</x:v>
      </x:c>
      <x:c r="D248" s="30" t="str">
        <x:v>Taiwan</x:v>
      </x:c>
      <x:c r="E248" s="30" t="str">
        <x:v>Project unlock</x:v>
      </x:c>
      <x:c r="F248" s="30" t="str">
        <x:v>Greater Austronesia</x:v>
      </x:c>
      <x:c r="G248" s="30" t="str">
        <x:v>No</x:v>
      </x:c>
      <x:c r="H248" s="30" t="str">
        <x:v>Ordinary claim</x:v>
      </x:c>
      <x:c r="I248" s="31" t="n">
        <x:f>IF(G248="Yes",'Controls &amp; Summary'!$B$5,'Controls &amp; Summary'!$B$4)</x:f>
        <x:v>6</x:v>
      </x:c>
      <x:c r="J248" s="31" t="n">
        <x:v>6.21</x:v>
      </x:c>
      <x:c r="K248" s="31" t="n">
        <x:v>7.92</x:v>
      </x:c>
      <x:c r="L248" s="31" t="n">
        <x:f>ABS(J248-K248)</x:f>
        <x:v>1.71</x:v>
      </x:c>
      <x:c r="M248" s="31" t="n">
        <x:v>4.16</x:v>
      </x:c>
      <x:c r="N248" s="31" t="n">
        <x:v>3.04</x:v>
      </x:c>
      <x:c r="O248" s="31" t="n">
        <x:f>ABS(M248-N248)</x:f>
        <x:v>1.12</x:v>
      </x:c>
      <x:c r="P248" s="31" t="n">
        <x:v>5.42</x:v>
      </x:c>
      <x:c r="Q248" s="31" t="n">
        <x:v>8.09</x:v>
      </x:c>
      <x:c r="R248" s="31" t="n">
        <x:f>ABS(P248-Q248)</x:f>
        <x:v>2.67</x:v>
      </x:c>
      <x:c r="S248" s="32" t="n">
        <x:v>2643.8374101449504</x:v>
      </x:c>
      <x:c r="T248" s="32" t="n">
        <x:v>14003.689884343648</x:v>
      </x:c>
      <x:c r="U248" s="31" t="n">
        <x:f>MAX(S248/T248,T248/S248)</x:f>
        <x:v>5.2967288497426495</x:v>
      </x:c>
      <x:c r="V248" s="31" t="n">
        <x:f>L248*'Controls &amp; Summary'!$B$9+O248*'Controls &amp; Summary'!$B$10+R248*'Controls &amp; Summary'!$B$11+U248*'Controls &amp; Summary'!$B$12</x:f>
        <x:v>10.79672884974265</x:v>
      </x:c>
      <x:c r="W248" s="31" t="n">
        <x:v>0</x:v>
      </x:c>
      <x:c r="X248" s="31" t="n">
        <x:v>1.03</x:v>
      </x:c>
      <x:c r="Y248" s="31" t="n">
        <x:f>((10-MIN(10,MAX(0,X248)))/10)*'Controls &amp; Summary'!$B$15+((10-MIN(10,MAX(0,W248)))/10)*'Controls &amp; Summary'!$B$16</x:f>
        <x:v>1.897</x:v>
      </x:c>
      <x:c r="Z248" s="31" t="n">
        <x:f>V248*Y248</x:f>
        <x:v>20.481394627961805</x:v>
      </x:c>
      <x:c r="AA248" s="30" t="str">
        <x:f>IF(Z248&lt;=I248,"Peaceful","Hostile")</x:f>
        <x:v>Hostile</x:v>
      </x:c>
      <x:c r="AB248" s="30" t="str">
        <x:f>IF(Z248&lt;='Controls &amp; Summary'!$B$6,"Eligible","Blocked")</x:f>
        <x:v>Blocked</x:v>
      </x:c>
      <x:c r="AC248" s="30" t="str">
        <x:v>2003_IDN</x:v>
      </x:c>
      <x:c r="AD248" s="30" t="str">
        <x:v>2003_TWN</x:v>
      </x:c>
      <x:c r="AE248" s="30" t="str">
        <x:v>2003_Taiwan</x:v>
      </x:c>
      <x:c r="AF248" s="30" t="str">
        <x:v>Largest owned population fallback</x:v>
      </x:c>
      <x:c r="AG248" s="30" t="str">
        <x:v>Claim2003_IDN2003_Taiwan</x:v>
      </x:c>
      <x:c r="AH248" s="30" t="str">
        <x:v>Project_GreaterAustronesia</x:v>
      </x:c>
    </x:row>
    <x:row r="249">
      <x:c r="A249" s="30" t="str">
        <x:v>2003</x:v>
      </x:c>
      <x:c r="B249" s="30" t="str">
        <x:v>Dark Skies</x:v>
      </x:c>
      <x:c r="C249" s="30" t="str">
        <x:v>Indonesia</x:v>
      </x:c>
      <x:c r="D249" s="30" t="str">
        <x:v>Timor-Leste</x:v>
      </x:c>
      <x:c r="E249" s="30" t="str">
        <x:v>Starting claim</x:v>
      </x:c>
      <x:c r="F249" s="30" t="str"/>
      <x:c r="G249" s="30" t="str">
        <x:v>Yes</x:v>
      </x:c>
      <x:c r="H249" s="30" t="str">
        <x:v>Template hostileClaim</x:v>
      </x:c>
      <x:c r="I249" s="31" t="n">
        <x:f>IF(G249="Yes",'Controls &amp; Summary'!$B$5,'Controls &amp; Summary'!$B$4)</x:f>
        <x:v>3</x:v>
      </x:c>
      <x:c r="J249" s="31" t="n">
        <x:v>6.21</x:v>
      </x:c>
      <x:c r="K249" s="31" t="n">
        <x:v>6.46</x:v>
      </x:c>
      <x:c r="L249" s="31" t="n">
        <x:f>ABS(J249-K249)</x:f>
        <x:v>0.25</x:v>
      </x:c>
      <x:c r="M249" s="31" t="n">
        <x:v>4.16</x:v>
      </x:c>
      <x:c r="N249" s="31" t="n">
        <x:v>3.42</x:v>
      </x:c>
      <x:c r="O249" s="31" t="n">
        <x:f>ABS(M249-N249)</x:f>
        <x:v>0.7400000000000002</x:v>
      </x:c>
      <x:c r="P249" s="31" t="n">
        <x:v>5.42</x:v>
      </x:c>
      <x:c r="Q249" s="31" t="n">
        <x:v>4.42</x:v>
      </x:c>
      <x:c r="R249" s="31" t="n">
        <x:f>ABS(P249-Q249)</x:f>
        <x:v>1</x:v>
      </x:c>
      <x:c r="S249" s="32" t="n">
        <x:v>2643.8374101449504</x:v>
      </x:c>
      <x:c r="T249" s="32" t="n">
        <x:v>1200.999032586669</x:v>
      </x:c>
      <x:c r="U249" s="31" t="n">
        <x:f>MAX(S249/T249,T249/S249)</x:f>
        <x:v>2.2013651455245116</x:v>
      </x:c>
      <x:c r="V249" s="31" t="n">
        <x:f>L249*'Controls &amp; Summary'!$B$9+O249*'Controls &amp; Summary'!$B$10+R249*'Controls &amp; Summary'!$B$11+U249*'Controls &amp; Summary'!$B$12</x:f>
        <x:v>4.191365145524512</x:v>
      </x:c>
      <x:c r="W249" s="31" t="n">
        <x:v>0</x:v>
      </x:c>
      <x:c r="X249" s="31" t="n">
        <x:v>2.52</x:v>
      </x:c>
      <x:c r="Y249" s="31" t="n">
        <x:f>((10-MIN(10,MAX(0,X249)))/10)*'Controls &amp; Summary'!$B$15+((10-MIN(10,MAX(0,W249)))/10)*'Controls &amp; Summary'!$B$16</x:f>
        <x:v>1.748</x:v>
      </x:c>
      <x:c r="Z249" s="31" t="n">
        <x:f>V249*Y249</x:f>
        <x:v>7.326506274376847</x:v>
      </x:c>
      <x:c r="AA249" s="30" t="str">
        <x:f>IF(Z249&lt;=I249,"Peaceful","Hostile")</x:f>
        <x:v>Hostile</x:v>
      </x:c>
      <x:c r="AB249" s="30" t="str">
        <x:f>IF(Z249&lt;='Controls &amp; Summary'!$B$6,"Eligible","Blocked")</x:f>
        <x:v>Eligible</x:v>
      </x:c>
      <x:c r="AC249" s="30" t="str">
        <x:v>2003_IDN</x:v>
      </x:c>
      <x:c r="AD249" s="30" t="str">
        <x:v>2003_TLS</x:v>
      </x:c>
      <x:c r="AE249" s="30" t="str">
        <x:v>2003_TimorLeste</x:v>
      </x:c>
      <x:c r="AF249" s="30" t="str">
        <x:v>Explicit capitalClaim</x:v>
      </x:c>
      <x:c r="AG249" s="30" t="str">
        <x:v>Claim2003_IDN2003_TimorLeste</x:v>
      </x:c>
      <x:c r="AH249" s="30" t="str"/>
    </x:row>
    <x:row r="250">
      <x:c r="A250" s="30" t="str">
        <x:v>2003</x:v>
      </x:c>
      <x:c r="B250" s="30" t="str">
        <x:v>Dark Skies</x:v>
      </x:c>
      <x:c r="C250" s="30" t="str">
        <x:v>Iran</x:v>
      </x:c>
      <x:c r="D250" s="30" t="str">
        <x:v>Azerbaijan</x:v>
      </x:c>
      <x:c r="E250" s="30" t="str">
        <x:v>Project unlock</x:v>
      </x:c>
      <x:c r="F250" s="30" t="str">
        <x:v>The Shia Nation</x:v>
      </x:c>
      <x:c r="G250" s="30" t="str">
        <x:v>No</x:v>
      </x:c>
      <x:c r="H250" s="30" t="str">
        <x:v>Ordinary claim</x:v>
      </x:c>
      <x:c r="I250" s="31" t="n">
        <x:f>IF(G250="Yes",'Controls &amp; Summary'!$B$5,'Controls &amp; Summary'!$B$4)</x:f>
        <x:v>6</x:v>
      </x:c>
      <x:c r="J250" s="31" t="n">
        <x:v>3.13</x:v>
      </x:c>
      <x:c r="K250" s="31" t="n">
        <x:v>3.34</x:v>
      </x:c>
      <x:c r="L250" s="31" t="n">
        <x:f>ABS(J250-K250)</x:f>
        <x:v>0.20999999999999996</x:v>
      </x:c>
      <x:c r="M250" s="31" t="n">
        <x:v>4.17</x:v>
      </x:c>
      <x:c r="N250" s="31" t="n">
        <x:v>2.89</x:v>
      </x:c>
      <x:c r="O250" s="31" t="n">
        <x:f>ABS(M250-N250)</x:f>
        <x:v>1.2799999999999998</x:v>
      </x:c>
      <x:c r="P250" s="31" t="n">
        <x:v>6.6</x:v>
      </x:c>
      <x:c r="Q250" s="31" t="n">
        <x:v>5.98</x:v>
      </x:c>
      <x:c r="R250" s="31" t="n">
        <x:f>ABS(P250-Q250)</x:f>
        <x:v>0.6199999999999992</x:v>
      </x:c>
      <x:c r="S250" s="32" t="n">
        <x:v>5689.653120125917</x:v>
      </x:c>
      <x:c r="T250" s="32" t="n">
        <x:v>2347.665852868807</x:v>
      </x:c>
      <x:c r="U250" s="31" t="n">
        <x:f>MAX(S250/T250,T250/S250)</x:f>
        <x:v>2.4235361745255437</x:v>
      </x:c>
      <x:c r="V250" s="31" t="n">
        <x:f>L250*'Controls &amp; Summary'!$B$9+O250*'Controls &amp; Summary'!$B$10+R250*'Controls &amp; Summary'!$B$11+U250*'Controls &amp; Summary'!$B$12</x:f>
        <x:v>4.533536174525542</x:v>
      </x:c>
      <x:c r="W250" s="31" t="n">
        <x:v>1.63</x:v>
      </x:c>
      <x:c r="X250" s="31" t="n">
        <x:v>2.02</x:v>
      </x:c>
      <x:c r="Y250" s="31" t="n">
        <x:f>((10-MIN(10,MAX(0,X250)))/10)*'Controls &amp; Summary'!$B$15+((10-MIN(10,MAX(0,W250)))/10)*'Controls &amp; Summary'!$B$16</x:f>
        <x:v>1.6350000000000002</x:v>
      </x:c>
      <x:c r="Z250" s="31" t="n">
        <x:f>V250*Y250</x:f>
        <x:v>7.412331645349263</x:v>
      </x:c>
      <x:c r="AA250" s="30" t="str">
        <x:f>IF(Z250&lt;=I250,"Peaceful","Hostile")</x:f>
        <x:v>Hostile</x:v>
      </x:c>
      <x:c r="AB250" s="30" t="str">
        <x:f>IF(Z250&lt;='Controls &amp; Summary'!$B$6,"Eligible","Blocked")</x:f>
        <x:v>Eligible</x:v>
      </x:c>
      <x:c r="AC250" s="30" t="str">
        <x:v>2003_IRN</x:v>
      </x:c>
      <x:c r="AD250" s="30" t="str">
        <x:v>2003_AZE</x:v>
      </x:c>
      <x:c r="AE250" s="30" t="str">
        <x:v>2003_Azerbaijan</x:v>
      </x:c>
      <x:c r="AF250" s="30" t="str">
        <x:v>Explicit capitalClaim</x:v>
      </x:c>
      <x:c r="AG250" s="30" t="str">
        <x:v>Claim2003_IRN2003_Azerbaijan</x:v>
      </x:c>
      <x:c r="AH250" s="30" t="str">
        <x:v>Project_TheShiaNation</x:v>
      </x:c>
    </x:row>
    <x:row r="251">
      <x:c r="A251" s="30" t="str">
        <x:v>2003</x:v>
      </x:c>
      <x:c r="B251" s="30" t="str">
        <x:v>Dark Skies</x:v>
      </x:c>
      <x:c r="C251" s="30" t="str">
        <x:v>Iran</x:v>
      </x:c>
      <x:c r="D251" s="30" t="str">
        <x:v>Gulf States</x:v>
      </x:c>
      <x:c r="E251" s="30" t="str">
        <x:v>Project unlock</x:v>
      </x:c>
      <x:c r="F251" s="30" t="str">
        <x:v>The Shia Nation</x:v>
      </x:c>
      <x:c r="G251" s="30" t="str">
        <x:v>No</x:v>
      </x:c>
      <x:c r="H251" s="30" t="str">
        <x:v>Ordinary claim</x:v>
      </x:c>
      <x:c r="I251" s="31" t="n">
        <x:f>IF(G251="Yes",'Controls &amp; Summary'!$B$5,'Controls &amp; Summary'!$B$4)</x:f>
        <x:v>6</x:v>
      </x:c>
      <x:c r="J251" s="31" t="n">
        <x:v>3.13</x:v>
      </x:c>
      <x:c r="K251" s="31" t="n">
        <x:v>3.16</x:v>
      </x:c>
      <x:c r="L251" s="31" t="n">
        <x:f>ABS(J251-K251)</x:f>
        <x:v>0.03000000000000025</x:v>
      </x:c>
      <x:c r="M251" s="31" t="n">
        <x:v>4.17</x:v>
      </x:c>
      <x:c r="N251" s="31" t="n">
        <x:v>4.23</x:v>
      </x:c>
      <x:c r="O251" s="31" t="n">
        <x:f>ABS(M251-N251)</x:f>
        <x:v>0.0600000000000005</x:v>
      </x:c>
      <x:c r="P251" s="31" t="n">
        <x:v>6.6</x:v>
      </x:c>
      <x:c r="Q251" s="31" t="n">
        <x:v>7.36</x:v>
      </x:c>
      <x:c r="R251" s="31" t="n">
        <x:f>ABS(P251-Q251)</x:f>
        <x:v>0.7600000000000007</x:v>
      </x:c>
      <x:c r="S251" s="32" t="n">
        <x:v>5689.653120125917</x:v>
      </x:c>
      <x:c r="T251" s="32" t="n">
        <x:v>28676.79143074556</x:v>
      </x:c>
      <x:c r="U251" s="31" t="n">
        <x:f>MAX(S251/T251,T251/S251)</x:f>
        <x:v>5.040165160386952</x:v>
      </x:c>
      <x:c r="V251" s="31" t="n">
        <x:f>L251*'Controls &amp; Summary'!$B$9+O251*'Controls &amp; Summary'!$B$10+R251*'Controls &amp; Summary'!$B$11+U251*'Controls &amp; Summary'!$B$12</x:f>
        <x:v>5.890165160386953</x:v>
      </x:c>
      <x:c r="W251" s="31" t="n">
        <x:v>1.63</x:v>
      </x:c>
      <x:c r="X251" s="31" t="n">
        <x:v>3.58</x:v>
      </x:c>
      <x:c r="Y251" s="31" t="n">
        <x:f>((10-MIN(10,MAX(0,X251)))/10)*'Controls &amp; Summary'!$B$15+((10-MIN(10,MAX(0,W251)))/10)*'Controls &amp; Summary'!$B$16</x:f>
        <x:v>1.479</x:v>
      </x:c>
      <x:c r="Z251" s="31" t="n">
        <x:f>V251*Y251</x:f>
        <x:v>8.711554272212304</x:v>
      </x:c>
      <x:c r="AA251" s="30" t="str">
        <x:f>IF(Z251&lt;=I251,"Peaceful","Hostile")</x:f>
        <x:v>Hostile</x:v>
      </x:c>
      <x:c r="AB251" s="30" t="str">
        <x:f>IF(Z251&lt;='Controls &amp; Summary'!$B$6,"Eligible","Blocked")</x:f>
        <x:v>Eligible</x:v>
      </x:c>
      <x:c r="AC251" s="30" t="str">
        <x:v>2003_IRN</x:v>
      </x:c>
      <x:c r="AD251" s="30" t="str">
        <x:v>2003_GUS</x:v>
      </x:c>
      <x:c r="AE251" s="30" t="str">
        <x:v>2003_GulfStates</x:v>
      </x:c>
      <x:c r="AF251" s="30" t="str">
        <x:v>Explicit capitalClaim</x:v>
      </x:c>
      <x:c r="AG251" s="30" t="str">
        <x:v>Claim2003_IRN2003_GulfStates</x:v>
      </x:c>
      <x:c r="AH251" s="30" t="str">
        <x:v>Project_TheShiaNation</x:v>
      </x:c>
    </x:row>
    <x:row r="252">
      <x:c r="A252" s="30" t="str">
        <x:v>2003</x:v>
      </x:c>
      <x:c r="B252" s="30" t="str">
        <x:v>Dark Skies</x:v>
      </x:c>
      <x:c r="C252" s="30" t="str">
        <x:v>Iran</x:v>
      </x:c>
      <x:c r="D252" s="30" t="str">
        <x:v>Iraq</x:v>
      </x:c>
      <x:c r="E252" s="30" t="str">
        <x:v>Project unlock</x:v>
      </x:c>
      <x:c r="F252" s="30" t="str">
        <x:v>The Shia Nation</x:v>
      </x:c>
      <x:c r="G252" s="30" t="str">
        <x:v>No</x:v>
      </x:c>
      <x:c r="H252" s="30" t="str">
        <x:v>Ordinary claim</x:v>
      </x:c>
      <x:c r="I252" s="31" t="n">
        <x:f>IF(G252="Yes",'Controls &amp; Summary'!$B$5,'Controls &amp; Summary'!$B$4)</x:f>
        <x:v>6</x:v>
      </x:c>
      <x:c r="J252" s="31" t="n">
        <x:v>3.13</x:v>
      </x:c>
      <x:c r="K252" s="31" t="n">
        <x:v>3</x:v>
      </x:c>
      <x:c r="L252" s="31" t="n">
        <x:f>ABS(J252-K252)</x:f>
        <x:v>0.1299999999999999</x:v>
      </x:c>
      <x:c r="M252" s="31" t="n">
        <x:v>4.17</x:v>
      </x:c>
      <x:c r="N252" s="31" t="n">
        <x:v>3.61</x:v>
      </x:c>
      <x:c r="O252" s="31" t="n">
        <x:f>ABS(M252-N252)</x:f>
        <x:v>0.56</x:v>
      </x:c>
      <x:c r="P252" s="31" t="n">
        <x:v>6.6</x:v>
      </x:c>
      <x:c r="Q252" s="31" t="n">
        <x:v>4.95</x:v>
      </x:c>
      <x:c r="R252" s="31" t="n">
        <x:f>ABS(P252-Q252)</x:f>
        <x:v>1.6499999999999995</x:v>
      </x:c>
      <x:c r="S252" s="32" t="n">
        <x:v>5689.653120125917</x:v>
      </x:c>
      <x:c r="T252" s="32" t="n">
        <x:v>2191.5648772757954</x:v>
      </x:c>
      <x:c r="U252" s="31" t="n">
        <x:f>MAX(S252/T252,T252/S252)</x:f>
        <x:v>2.5961600220561976</x:v>
      </x:c>
      <x:c r="V252" s="31" t="n">
        <x:f>L252*'Controls &amp; Summary'!$B$9+O252*'Controls &amp; Summary'!$B$10+R252*'Controls &amp; Summary'!$B$11+U252*'Controls &amp; Summary'!$B$12</x:f>
        <x:v>4.936160022056197</x:v>
      </x:c>
      <x:c r="W252" s="31" t="n">
        <x:v>1.63</x:v>
      </x:c>
      <x:c r="X252" s="31" t="n">
        <x:v>7.61</x:v>
      </x:c>
      <x:c r="Y252" s="31" t="n">
        <x:f>((10-MIN(10,MAX(0,X252)))/10)*'Controls &amp; Summary'!$B$15+((10-MIN(10,MAX(0,W252)))/10)*'Controls &amp; Summary'!$B$16</x:f>
        <x:v>1.076</x:v>
      </x:c>
      <x:c r="Z252" s="31" t="n">
        <x:f>V252*Y252</x:f>
        <x:v>5.311308183732469</x:v>
      </x:c>
      <x:c r="AA252" s="30" t="str">
        <x:f>IF(Z252&lt;=I252,"Peaceful","Hostile")</x:f>
        <x:v>Peaceful</x:v>
      </x:c>
      <x:c r="AB252" s="30" t="str">
        <x:f>IF(Z252&lt;='Controls &amp; Summary'!$B$6,"Eligible","Blocked")</x:f>
        <x:v>Eligible</x:v>
      </x:c>
      <x:c r="AC252" s="30" t="str">
        <x:v>2003_IRN</x:v>
      </x:c>
      <x:c r="AD252" s="30" t="str">
        <x:v>2003_IRQ</x:v>
      </x:c>
      <x:c r="AE252" s="30" t="str">
        <x:v>2003_Baghdad</x:v>
      </x:c>
      <x:c r="AF252" s="30" t="str">
        <x:v>Explicit capitalClaim</x:v>
      </x:c>
      <x:c r="AG252" s="30" t="str">
        <x:v>Claim2003_IRN2003_Baghdad</x:v>
      </x:c>
      <x:c r="AH252" s="30" t="str">
        <x:v>Project_TheShiaNation</x:v>
      </x:c>
    </x:row>
    <x:row r="253">
      <x:c r="A253" s="30" t="str">
        <x:v>2003</x:v>
      </x:c>
      <x:c r="B253" s="30" t="str">
        <x:v>Dark Skies</x:v>
      </x:c>
      <x:c r="C253" s="30" t="str">
        <x:v>Iran</x:v>
      </x:c>
      <x:c r="D253" s="30" t="str">
        <x:v>Yemen</x:v>
      </x:c>
      <x:c r="E253" s="30" t="str">
        <x:v>Project unlock</x:v>
      </x:c>
      <x:c r="F253" s="30" t="str">
        <x:v>The Shia Nation</x:v>
      </x:c>
      <x:c r="G253" s="30" t="str">
        <x:v>No</x:v>
      </x:c>
      <x:c r="H253" s="30" t="str">
        <x:v>Ordinary claim</x:v>
      </x:c>
      <x:c r="I253" s="31" t="n">
        <x:f>IF(G253="Yes",'Controls &amp; Summary'!$B$5,'Controls &amp; Summary'!$B$4)</x:f>
        <x:v>6</x:v>
      </x:c>
      <x:c r="J253" s="31" t="n">
        <x:v>3.13</x:v>
      </x:c>
      <x:c r="K253" s="31" t="n">
        <x:v>2.96</x:v>
      </x:c>
      <x:c r="L253" s="31" t="n">
        <x:f>ABS(J253-K253)</x:f>
        <x:v>0.16999999999999993</x:v>
      </x:c>
      <x:c r="M253" s="31" t="n">
        <x:v>4.17</x:v>
      </x:c>
      <x:c r="N253" s="31" t="n">
        <x:v>3.66</x:v>
      </x:c>
      <x:c r="O253" s="31" t="n">
        <x:f>ABS(M253-N253)</x:f>
        <x:v>0.5099999999999998</x:v>
      </x:c>
      <x:c r="P253" s="31" t="n">
        <x:v>6.6</x:v>
      </x:c>
      <x:c r="Q253" s="31" t="n">
        <x:v>3.68</x:v>
      </x:c>
      <x:c r="R253" s="31" t="n">
        <x:f>ABS(P253-Q253)</x:f>
        <x:v>2.9199999999999995</x:v>
      </x:c>
      <x:c r="S253" s="32" t="n">
        <x:v>5689.653120125917</x:v>
      </x:c>
      <x:c r="T253" s="32" t="n">
        <x:v>1663.2139890892122</x:v>
      </x:c>
      <x:c r="U253" s="31" t="n">
        <x:f>MAX(S253/T253,T253/S253)</x:f>
        <x:v>3.4208785865501357</x:v>
      </x:c>
      <x:c r="V253" s="31" t="n">
        <x:f>L253*'Controls &amp; Summary'!$B$9+O253*'Controls &amp; Summary'!$B$10+R253*'Controls &amp; Summary'!$B$11+U253*'Controls &amp; Summary'!$B$12</x:f>
        <x:v>7.020878586550134</x:v>
      </x:c>
      <x:c r="W253" s="31" t="n">
        <x:v>1.63</x:v>
      </x:c>
      <x:c r="X253" s="31" t="n">
        <x:v>4.46</x:v>
      </x:c>
      <x:c r="Y253" s="31" t="n">
        <x:f>((10-MIN(10,MAX(0,X253)))/10)*'Controls &amp; Summary'!$B$15+((10-MIN(10,MAX(0,W253)))/10)*'Controls &amp; Summary'!$B$16</x:f>
        <x:v>1.391</x:v>
      </x:c>
      <x:c r="Z253" s="31" t="n">
        <x:f>V253*Y253</x:f>
        <x:v>9.766042113891237</x:v>
      </x:c>
      <x:c r="AA253" s="30" t="str">
        <x:f>IF(Z253&lt;=I253,"Peaceful","Hostile")</x:f>
        <x:v>Hostile</x:v>
      </x:c>
      <x:c r="AB253" s="30" t="str">
        <x:f>IF(Z253&lt;='Controls &amp; Summary'!$B$6,"Eligible","Blocked")</x:f>
        <x:v>Eligible</x:v>
      </x:c>
      <x:c r="AC253" s="30" t="str">
        <x:v>2003_IRN</x:v>
      </x:c>
      <x:c r="AD253" s="30" t="str">
        <x:v>2003_YEM</x:v>
      </x:c>
      <x:c r="AE253" s="30" t="str">
        <x:v>2003_Yemen</x:v>
      </x:c>
      <x:c r="AF253" s="30" t="str">
        <x:v>Explicit capitalClaim</x:v>
      </x:c>
      <x:c r="AG253" s="30" t="str">
        <x:v>Claim2003_IRN2003_Yemen</x:v>
      </x:c>
      <x:c r="AH253" s="30" t="str">
        <x:v>Project_TheShiaNation</x:v>
      </x:c>
    </x:row>
    <x:row r="254">
      <x:c r="A254" s="30" t="str">
        <x:v>2003</x:v>
      </x:c>
      <x:c r="B254" s="30" t="str">
        <x:v>Dark Skies</x:v>
      </x:c>
      <x:c r="C254" s="30" t="str">
        <x:v>Israel</x:v>
      </x:c>
      <x:c r="D254" s="30" t="str">
        <x:v>Palestine</x:v>
      </x:c>
      <x:c r="E254" s="30" t="str">
        <x:v>Starting claim</x:v>
      </x:c>
      <x:c r="F254" s="30" t="str"/>
      <x:c r="G254" s="30" t="str">
        <x:v>Yes</x:v>
      </x:c>
      <x:c r="H254" s="30" t="str">
        <x:v>Template hostileClaim</x:v>
      </x:c>
      <x:c r="I254" s="31" t="n">
        <x:f>IF(G254="Yes",'Controls &amp; Summary'!$B$5,'Controls &amp; Summary'!$B$4)</x:f>
        <x:v>3</x:v>
      </x:c>
      <x:c r="J254" s="31" t="n">
        <x:v>7.26</x:v>
      </x:c>
      <x:c r="K254" s="31" t="n">
        <x:v>5.87</x:v>
      </x:c>
      <x:c r="L254" s="31" t="n">
        <x:f>ABS(J254-K254)</x:f>
        <x:v>1.3899999999999997</x:v>
      </x:c>
      <x:c r="M254" s="31" t="n">
        <x:v>3.64</x:v>
      </x:c>
      <x:c r="N254" s="31" t="n">
        <x:v>3.94</x:v>
      </x:c>
      <x:c r="O254" s="31" t="n">
        <x:f>ABS(M254-N254)</x:f>
        <x:v>0.2999999999999998</x:v>
      </x:c>
      <x:c r="P254" s="31" t="n">
        <x:v>7.86</x:v>
      </x:c>
      <x:c r="Q254" s="31" t="n">
        <x:v>5.74</x:v>
      </x:c>
      <x:c r="R254" s="31" t="n">
        <x:f>ABS(P254-Q254)</x:f>
        <x:v>2.12</x:v>
      </x:c>
      <x:c r="S254" s="32" t="n">
        <x:v>20187.83958344226</x:v>
      </x:c>
      <x:c r="T254" s="32" t="n">
        <x:v>1505.3264582542442</x:v>
      </x:c>
      <x:c r="U254" s="31" t="n">
        <x:f>MAX(S254/T254,T254/S254)</x:f>
        <x:v>13.410937855204168</x:v>
      </x:c>
      <x:c r="V254" s="31" t="n">
        <x:f>L254*'Controls &amp; Summary'!$B$9+O254*'Controls &amp; Summary'!$B$10+R254*'Controls &amp; Summary'!$B$11+U254*'Controls &amp; Summary'!$B$12</x:f>
        <x:v>17.220937855204166</x:v>
      </x:c>
      <x:c r="W254" s="31" t="n">
        <x:v>0.77</x:v>
      </x:c>
      <x:c r="X254" s="31" t="n">
        <x:v>4.19</x:v>
      </x:c>
      <x:c r="Y254" s="31" t="n">
        <x:f>((10-MIN(10,MAX(0,X254)))/10)*'Controls &amp; Summary'!$B$15+((10-MIN(10,MAX(0,W254)))/10)*'Controls &amp; Summary'!$B$16</x:f>
        <x:v>1.504</x:v>
      </x:c>
      <x:c r="Z254" s="31" t="n">
        <x:f>V254*Y254</x:f>
        <x:v>25.900290534227068</x:v>
      </x:c>
      <x:c r="AA254" s="30" t="str">
        <x:f>IF(Z254&lt;=I254,"Peaceful","Hostile")</x:f>
        <x:v>Hostile</x:v>
      </x:c>
      <x:c r="AB254" s="30" t="str">
        <x:f>IF(Z254&lt;='Controls &amp; Summary'!$B$6,"Eligible","Blocked")</x:f>
        <x:v>Blocked</x:v>
      </x:c>
      <x:c r="AC254" s="30" t="str">
        <x:v>2003_ISR</x:v>
      </x:c>
      <x:c r="AD254" s="30" t="str">
        <x:v>2003_PAL</x:v>
      </x:c>
      <x:c r="AE254" s="30" t="str">
        <x:v>2003_Palestine</x:v>
      </x:c>
      <x:c r="AF254" s="30" t="str">
        <x:v>Explicit capitalClaim</x:v>
      </x:c>
      <x:c r="AG254" s="30" t="str">
        <x:v>Claim2003_ISR2003_Palestine</x:v>
      </x:c>
      <x:c r="AH254" s="30" t="str"/>
    </x:row>
    <x:row r="255">
      <x:c r="A255" s="30" t="str">
        <x:v>2003</x:v>
      </x:c>
      <x:c r="B255" s="30" t="str">
        <x:v>Dark Skies</x:v>
      </x:c>
      <x:c r="C255" s="30" t="str">
        <x:v>Jamaica</x:v>
      </x:c>
      <x:c r="D255" s="30" t="str">
        <x:v>Bahamas</x:v>
      </x:c>
      <x:c r="E255" s="30" t="str">
        <x:v>Project unlock</x:v>
      </x:c>
      <x:c r="F255" s="30" t="str">
        <x:v>Caribbean Community</x:v>
      </x:c>
      <x:c r="G255" s="30" t="str">
        <x:v>No</x:v>
      </x:c>
      <x:c r="H255" s="30" t="str">
        <x:v>Ordinary claim</x:v>
      </x:c>
      <x:c r="I255" s="31" t="n">
        <x:f>IF(G255="Yes",'Controls &amp; Summary'!$B$5,'Controls &amp; Summary'!$B$4)</x:f>
        <x:v>6</x:v>
      </x:c>
      <x:c r="J255" s="31" t="n">
        <x:v>7.24</x:v>
      </x:c>
      <x:c r="K255" s="31" t="n">
        <x:v>10</x:v>
      </x:c>
      <x:c r="L255" s="31" t="n">
        <x:f>ABS(J255-K255)</x:f>
        <x:v>2.76</x:v>
      </x:c>
      <x:c r="M255" s="31" t="n">
        <x:v>4.46</x:v>
      </x:c>
      <x:c r="N255" s="31" t="n">
        <x:v>4.43</x:v>
      </x:c>
      <x:c r="O255" s="31" t="n">
        <x:f>ABS(M255-N255)</x:f>
        <x:v>0.03000000000000025</x:v>
      </x:c>
      <x:c r="P255" s="31" t="n">
        <x:v>5.89</x:v>
      </x:c>
      <x:c r="Q255" s="31" t="n">
        <x:v>7.28</x:v>
      </x:c>
      <x:c r="R255" s="31" t="n">
        <x:f>ABS(P255-Q255)</x:f>
        <x:v>1.3900000000000006</x:v>
      </x:c>
      <x:c r="S255" s="32" t="n">
        <x:v>4436.446161913075</x:v>
      </x:c>
      <x:c r="T255" s="32" t="n">
        <x:v>26429.115840032417</x:v>
      </x:c>
      <x:c r="U255" s="31" t="n">
        <x:f>MAX(S255/T255,T255/S255)</x:f>
        <x:v>5.957271851268382</x:v>
      </x:c>
      <x:c r="V255" s="31" t="n">
        <x:f>L255*'Controls &amp; Summary'!$B$9+O255*'Controls &amp; Summary'!$B$10+R255*'Controls &amp; Summary'!$B$11+U255*'Controls &amp; Summary'!$B$12</x:f>
        <x:v>10.137271851268384</x:v>
      </x:c>
      <x:c r="W255" s="31" t="n">
        <x:v>3.51</x:v>
      </x:c>
      <x:c r="X255" s="31" t="n">
        <x:v>0</x:v>
      </x:c>
      <x:c r="Y255" s="31" t="n">
        <x:f>((10-MIN(10,MAX(0,X255)))/10)*'Controls &amp; Summary'!$B$15+((10-MIN(10,MAX(0,W255)))/10)*'Controls &amp; Summary'!$B$16</x:f>
        <x:v>1.649</x:v>
      </x:c>
      <x:c r="Z255" s="31" t="n">
        <x:f>V255*Y255</x:f>
        <x:v>16.716361282741566</x:v>
      </x:c>
      <x:c r="AA255" s="30" t="str">
        <x:f>IF(Z255&lt;=I255,"Peaceful","Hostile")</x:f>
        <x:v>Hostile</x:v>
      </x:c>
      <x:c r="AB255" s="30" t="str">
        <x:f>IF(Z255&lt;='Controls &amp; Summary'!$B$6,"Eligible","Blocked")</x:f>
        <x:v>Blocked</x:v>
      </x:c>
      <x:c r="AC255" s="30" t="str">
        <x:v>2003_JAM</x:v>
      </x:c>
      <x:c r="AD255" s="30" t="str">
        <x:v>2003_BAH</x:v>
      </x:c>
      <x:c r="AE255" s="30" t="str">
        <x:v>2003_Bahamas</x:v>
      </x:c>
      <x:c r="AF255" s="30" t="str">
        <x:v>Explicit capitalClaim</x:v>
      </x:c>
      <x:c r="AG255" s="30" t="str">
        <x:v>Claim2003_JAM2003_Bahamas</x:v>
      </x:c>
      <x:c r="AH255" s="30" t="str">
        <x:v>Project_CaribbeanCommunity</x:v>
      </x:c>
    </x:row>
    <x:row r="256">
      <x:c r="A256" s="30" t="str">
        <x:v>2003</x:v>
      </x:c>
      <x:c r="B256" s="30" t="str">
        <x:v>Dark Skies</x:v>
      </x:c>
      <x:c r="C256" s="30" t="str">
        <x:v>Jamaica</x:v>
      </x:c>
      <x:c r="D256" s="30" t="str">
        <x:v>Belize</x:v>
      </x:c>
      <x:c r="E256" s="30" t="str">
        <x:v>Project unlock</x:v>
      </x:c>
      <x:c r="F256" s="30" t="str">
        <x:v>Caribbean Community</x:v>
      </x:c>
      <x:c r="G256" s="30" t="str">
        <x:v>No</x:v>
      </x:c>
      <x:c r="H256" s="30" t="str">
        <x:v>Ordinary claim</x:v>
      </x:c>
      <x:c r="I256" s="31" t="n">
        <x:f>IF(G256="Yes",'Controls &amp; Summary'!$B$5,'Controls &amp; Summary'!$B$4)</x:f>
        <x:v>6</x:v>
      </x:c>
      <x:c r="J256" s="31" t="n">
        <x:v>7.24</x:v>
      </x:c>
      <x:c r="K256" s="31" t="n">
        <x:v>9.33</x:v>
      </x:c>
      <x:c r="L256" s="31" t="n">
        <x:f>ABS(J256-K256)</x:f>
        <x:v>2.09</x:v>
      </x:c>
      <x:c r="M256" s="31" t="n">
        <x:v>4.46</x:v>
      </x:c>
      <x:c r="N256" s="31" t="n">
        <x:v>5.1</x:v>
      </x:c>
      <x:c r="O256" s="31" t="n">
        <x:f>ABS(M256-N256)</x:f>
        <x:v>0.6399999999999997</x:v>
      </x:c>
      <x:c r="P256" s="31" t="n">
        <x:v>5.89</x:v>
      </x:c>
      <x:c r="Q256" s="31" t="n">
        <x:v>6.2</x:v>
      </x:c>
      <x:c r="R256" s="31" t="n">
        <x:f>ABS(P256-Q256)</x:f>
        <x:v>0.3100000000000005</x:v>
      </x:c>
      <x:c r="S256" s="32" t="n">
        <x:v>4436.446161913075</x:v>
      </x:c>
      <x:c r="T256" s="32" t="n">
        <x:v>4959.73917658655</x:v>
      </x:c>
      <x:c r="U256" s="31" t="n">
        <x:f>MAX(S256/T256,T256/S256)</x:f>
        <x:v>1.1179531984780857</x:v>
      </x:c>
      <x:c r="V256" s="31" t="n">
        <x:f>L256*'Controls &amp; Summary'!$B$9+O256*'Controls &amp; Summary'!$B$10+R256*'Controls &amp; Summary'!$B$11+U256*'Controls &amp; Summary'!$B$12</x:f>
        <x:v>4.1579531984780855</x:v>
      </x:c>
      <x:c r="W256" s="31" t="n">
        <x:v>3.51</x:v>
      </x:c>
      <x:c r="X256" s="31" t="n">
        <x:v>0</x:v>
      </x:c>
      <x:c r="Y256" s="31" t="n">
        <x:f>((10-MIN(10,MAX(0,X256)))/10)*'Controls &amp; Summary'!$B$15+((10-MIN(10,MAX(0,W256)))/10)*'Controls &amp; Summary'!$B$16</x:f>
        <x:v>1.649</x:v>
      </x:c>
      <x:c r="Z256" s="31" t="n">
        <x:f>V256*Y256</x:f>
        <x:v>6.856464824290363</x:v>
      </x:c>
      <x:c r="AA256" s="30" t="str">
        <x:f>IF(Z256&lt;=I256,"Peaceful","Hostile")</x:f>
        <x:v>Hostile</x:v>
      </x:c>
      <x:c r="AB256" s="30" t="str">
        <x:f>IF(Z256&lt;='Controls &amp; Summary'!$B$6,"Eligible","Blocked")</x:f>
        <x:v>Eligible</x:v>
      </x:c>
      <x:c r="AC256" s="30" t="str">
        <x:v>2003_JAM</x:v>
      </x:c>
      <x:c r="AD256" s="30" t="str">
        <x:v>2003_BEL</x:v>
      </x:c>
      <x:c r="AE256" s="30" t="str">
        <x:v>2003_Belize</x:v>
      </x:c>
      <x:c r="AF256" s="30" t="str">
        <x:v>Explicit capitalClaim</x:v>
      </x:c>
      <x:c r="AG256" s="30" t="str">
        <x:v>Claim2003_JAM2003_Belize</x:v>
      </x:c>
      <x:c r="AH256" s="30" t="str">
        <x:v>Project_CaribbeanCommunity</x:v>
      </x:c>
    </x:row>
    <x:row r="257">
      <x:c r="A257" s="30" t="str">
        <x:v>2003</x:v>
      </x:c>
      <x:c r="B257" s="30" t="str">
        <x:v>Dark Skies</x:v>
      </x:c>
      <x:c r="C257" s="30" t="str">
        <x:v>Jamaica</x:v>
      </x:c>
      <x:c r="D257" s="30" t="str">
        <x:v>Cuba</x:v>
      </x:c>
      <x:c r="E257" s="30" t="str">
        <x:v>Project unlock</x:v>
      </x:c>
      <x:c r="F257" s="30" t="str">
        <x:v>Caribbean Community</x:v>
      </x:c>
      <x:c r="G257" s="30" t="str">
        <x:v>No</x:v>
      </x:c>
      <x:c r="H257" s="30" t="str">
        <x:v>Ordinary claim</x:v>
      </x:c>
      <x:c r="I257" s="31" t="n">
        <x:f>IF(G257="Yes",'Controls &amp; Summary'!$B$5,'Controls &amp; Summary'!$B$4)</x:f>
        <x:v>6</x:v>
      </x:c>
      <x:c r="J257" s="31" t="n">
        <x:v>7.24</x:v>
      </x:c>
      <x:c r="K257" s="31" t="n">
        <x:v>3.51</x:v>
      </x:c>
      <x:c r="L257" s="31" t="n">
        <x:f>ABS(J257-K257)</x:f>
        <x:v>3.7300000000000004</x:v>
      </x:c>
      <x:c r="M257" s="31" t="n">
        <x:v>4.46</x:v>
      </x:c>
      <x:c r="N257" s="31" t="n">
        <x:v>3.8</x:v>
      </x:c>
      <x:c r="O257" s="31" t="n">
        <x:f>ABS(M257-N257)</x:f>
        <x:v>0.6600000000000001</x:v>
      </x:c>
      <x:c r="P257" s="31" t="n">
        <x:v>5.89</x:v>
      </x:c>
      <x:c r="Q257" s="31" t="n">
        <x:v>6.47</x:v>
      </x:c>
      <x:c r="R257" s="31" t="n">
        <x:f>ABS(P257-Q257)</x:f>
        <x:v>0.5800000000000001</x:v>
      </x:c>
      <x:c r="S257" s="32" t="n">
        <x:v>4436.446161913075</x:v>
      </x:c>
      <x:c r="T257" s="32" t="n">
        <x:v>3202.781098656367</x:v>
      </x:c>
      <x:c r="U257" s="31" t="n">
        <x:f>MAX(S257/T257,T257/S257)</x:f>
        <x:v>1.3851855700579276</x:v>
      </x:c>
      <x:c r="V257" s="31" t="n">
        <x:f>L257*'Controls &amp; Summary'!$B$9+O257*'Controls &amp; Summary'!$B$10+R257*'Controls &amp; Summary'!$B$11+U257*'Controls &amp; Summary'!$B$12</x:f>
        <x:v>6.3551855700579285</x:v>
      </x:c>
      <x:c r="W257" s="31" t="n">
        <x:v>3.51</x:v>
      </x:c>
      <x:c r="X257" s="31" t="n">
        <x:v>3.15</x:v>
      </x:c>
      <x:c r="Y257" s="31" t="n">
        <x:f>((10-MIN(10,MAX(0,X257)))/10)*'Controls &amp; Summary'!$B$15+((10-MIN(10,MAX(0,W257)))/10)*'Controls &amp; Summary'!$B$16</x:f>
        <x:v>1.334</x:v>
      </x:c>
      <x:c r="Z257" s="31" t="n">
        <x:f>V257*Y257</x:f>
        <x:v>8.477817550457278</x:v>
      </x:c>
      <x:c r="AA257" s="30" t="str">
        <x:f>IF(Z257&lt;=I257,"Peaceful","Hostile")</x:f>
        <x:v>Hostile</x:v>
      </x:c>
      <x:c r="AB257" s="30" t="str">
        <x:f>IF(Z257&lt;='Controls &amp; Summary'!$B$6,"Eligible","Blocked")</x:f>
        <x:v>Eligible</x:v>
      </x:c>
      <x:c r="AC257" s="30" t="str">
        <x:v>2003_JAM</x:v>
      </x:c>
      <x:c r="AD257" s="30" t="str">
        <x:v>2003_CUB</x:v>
      </x:c>
      <x:c r="AE257" s="30" t="str">
        <x:v>2003_Cuba</x:v>
      </x:c>
      <x:c r="AF257" s="30" t="str">
        <x:v>Explicit capitalClaim</x:v>
      </x:c>
      <x:c r="AG257" s="30" t="str">
        <x:v>Claim2003_JAM2003_Cuba</x:v>
      </x:c>
      <x:c r="AH257" s="30" t="str">
        <x:v>Project_CaribbeanCommunity</x:v>
      </x:c>
    </x:row>
    <x:row r="258">
      <x:c r="A258" s="30" t="str">
        <x:v>2003</x:v>
      </x:c>
      <x:c r="B258" s="30" t="str">
        <x:v>Dark Skies</x:v>
      </x:c>
      <x:c r="C258" s="30" t="str">
        <x:v>Jamaica</x:v>
      </x:c>
      <x:c r="D258" s="30" t="str">
        <x:v>Dominican Republic</x:v>
      </x:c>
      <x:c r="E258" s="30" t="str">
        <x:v>Project unlock</x:v>
      </x:c>
      <x:c r="F258" s="30" t="str">
        <x:v>Caribbean Community</x:v>
      </x:c>
      <x:c r="G258" s="30" t="str">
        <x:v>No</x:v>
      </x:c>
      <x:c r="H258" s="30" t="str">
        <x:v>Ordinary claim</x:v>
      </x:c>
      <x:c r="I258" s="31" t="n">
        <x:f>IF(G258="Yes",'Controls &amp; Summary'!$B$5,'Controls &amp; Summary'!$B$4)</x:f>
        <x:v>6</x:v>
      </x:c>
      <x:c r="J258" s="31" t="n">
        <x:v>7.24</x:v>
      </x:c>
      <x:c r="K258" s="31" t="n">
        <x:v>6.19</x:v>
      </x:c>
      <x:c r="L258" s="31" t="n">
        <x:f>ABS(J258-K258)</x:f>
        <x:v>1.0499999999999998</x:v>
      </x:c>
      <x:c r="M258" s="31" t="n">
        <x:v>4.46</x:v>
      </x:c>
      <x:c r="N258" s="31" t="n">
        <x:v>4.83</x:v>
      </x:c>
      <x:c r="O258" s="31" t="n">
        <x:f>ABS(M258-N258)</x:f>
        <x:v>0.3700000000000001</x:v>
      </x:c>
      <x:c r="P258" s="31" t="n">
        <x:v>5.89</x:v>
      </x:c>
      <x:c r="Q258" s="31" t="n">
        <x:v>5.91</x:v>
      </x:c>
      <x:c r="R258" s="31" t="n">
        <x:f>ABS(P258-Q258)</x:f>
        <x:v>0.020000000000000462</x:v>
      </x:c>
      <x:c r="S258" s="32" t="n">
        <x:v>4436.446161913075</x:v>
      </x:c>
      <x:c r="T258" s="32" t="n">
        <x:v>4322.042340395206</x:v>
      </x:c>
      <x:c r="U258" s="31" t="n">
        <x:f>MAX(S258/T258,T258/S258)</x:f>
        <x:v>1.0264698520994608</x:v>
      </x:c>
      <x:c r="V258" s="31" t="n">
        <x:f>L258*'Controls &amp; Summary'!$B$9+O258*'Controls &amp; Summary'!$B$10+R258*'Controls &amp; Summary'!$B$11+U258*'Controls &amp; Summary'!$B$12</x:f>
        <x:v>2.4664698520994612</x:v>
      </x:c>
      <x:c r="W258" s="31" t="n">
        <x:v>3.51</x:v>
      </x:c>
      <x:c r="X258" s="31" t="n">
        <x:v>1.87</x:v>
      </x:c>
      <x:c r="Y258" s="31" t="n">
        <x:f>((10-MIN(10,MAX(0,X258)))/10)*'Controls &amp; Summary'!$B$15+((10-MIN(10,MAX(0,W258)))/10)*'Controls &amp; Summary'!$B$16</x:f>
        <x:v>1.462</x:v>
      </x:c>
      <x:c r="Z258" s="31" t="n">
        <x:f>V258*Y258</x:f>
        <x:v>3.6059789237694124</x:v>
      </x:c>
      <x:c r="AA258" s="30" t="str">
        <x:f>IF(Z258&lt;=I258,"Peaceful","Hostile")</x:f>
        <x:v>Peaceful</x:v>
      </x:c>
      <x:c r="AB258" s="30" t="str">
        <x:f>IF(Z258&lt;='Controls &amp; Summary'!$B$6,"Eligible","Blocked")</x:f>
        <x:v>Eligible</x:v>
      </x:c>
      <x:c r="AC258" s="30" t="str">
        <x:v>2003_JAM</x:v>
      </x:c>
      <x:c r="AD258" s="30" t="str">
        <x:v>2003_DOM</x:v>
      </x:c>
      <x:c r="AE258" s="30" t="str">
        <x:v>2003_EastHispanola</x:v>
      </x:c>
      <x:c r="AF258" s="30" t="str">
        <x:v>Explicit capitalClaim</x:v>
      </x:c>
      <x:c r="AG258" s="30" t="str">
        <x:v>Claim2003_JAM2003_EastHispanola</x:v>
      </x:c>
      <x:c r="AH258" s="30" t="str">
        <x:v>Project_CaribbeanCommunity</x:v>
      </x:c>
    </x:row>
    <x:row r="259">
      <x:c r="A259" s="30" t="str">
        <x:v>2003</x:v>
      </x:c>
      <x:c r="B259" s="30" t="str">
        <x:v>Dark Skies</x:v>
      </x:c>
      <x:c r="C259" s="30" t="str">
        <x:v>Jamaica</x:v>
      </x:c>
      <x:c r="D259" s="30" t="str">
        <x:v>Guyana</x:v>
      </x:c>
      <x:c r="E259" s="30" t="str">
        <x:v>Project unlock</x:v>
      </x:c>
      <x:c r="F259" s="30" t="str">
        <x:v>Caribbean Community</x:v>
      </x:c>
      <x:c r="G259" s="30" t="str">
        <x:v>No</x:v>
      </x:c>
      <x:c r="H259" s="30" t="str">
        <x:v>Ordinary claim</x:v>
      </x:c>
      <x:c r="I259" s="31" t="n">
        <x:f>IF(G259="Yes",'Controls &amp; Summary'!$B$5,'Controls &amp; Summary'!$B$4)</x:f>
        <x:v>6</x:v>
      </x:c>
      <x:c r="J259" s="31" t="n">
        <x:v>7.24</x:v>
      </x:c>
      <x:c r="K259" s="31" t="n">
        <x:v>6.17</x:v>
      </x:c>
      <x:c r="L259" s="31" t="n">
        <x:f>ABS(J259-K259)</x:f>
        <x:v>1.0700000000000003</x:v>
      </x:c>
      <x:c r="M259" s="31" t="n">
        <x:v>4.46</x:v>
      </x:c>
      <x:c r="N259" s="31" t="n">
        <x:v>4.63</x:v>
      </x:c>
      <x:c r="O259" s="31" t="n">
        <x:f>ABS(M259-N259)</x:f>
        <x:v>0.16999999999999993</x:v>
      </x:c>
      <x:c r="P259" s="31" t="n">
        <x:v>5.89</x:v>
      </x:c>
      <x:c r="Q259" s="31" t="n">
        <x:v>5</x:v>
      </x:c>
      <x:c r="R259" s="31" t="n">
        <x:f>ABS(P259-Q259)</x:f>
        <x:v>0.8899999999999997</x:v>
      </x:c>
      <x:c r="S259" s="32" t="n">
        <x:v>4436.446161913075</x:v>
      </x:c>
      <x:c r="T259" s="32" t="n">
        <x:v>3560.418691627976</x:v>
      </x:c>
      <x:c r="U259" s="31" t="n">
        <x:f>MAX(S259/T259,T259/S259)</x:f>
        <x:v>1.2460461946076746</x:v>
      </x:c>
      <x:c r="V259" s="31" t="n">
        <x:f>L259*'Controls &amp; Summary'!$B$9+O259*'Controls &amp; Summary'!$B$10+R259*'Controls &amp; Summary'!$B$11+U259*'Controls &amp; Summary'!$B$12</x:f>
        <x:v>3.3760461946076745</x:v>
      </x:c>
      <x:c r="W259" s="31" t="n">
        <x:v>3.51</x:v>
      </x:c>
      <x:c r="X259" s="31" t="n">
        <x:v>3.01</x:v>
      </x:c>
      <x:c r="Y259" s="31" t="n">
        <x:f>((10-MIN(10,MAX(0,X259)))/10)*'Controls &amp; Summary'!$B$15+((10-MIN(10,MAX(0,W259)))/10)*'Controls &amp; Summary'!$B$16</x:f>
        <x:v>1.348</x:v>
      </x:c>
      <x:c r="Z259" s="31" t="n">
        <x:f>V259*Y259</x:f>
        <x:v>4.550910270331146</x:v>
      </x:c>
      <x:c r="AA259" s="30" t="str">
        <x:f>IF(Z259&lt;=I259,"Peaceful","Hostile")</x:f>
        <x:v>Peaceful</x:v>
      </x:c>
      <x:c r="AB259" s="30" t="str">
        <x:f>IF(Z259&lt;='Controls &amp; Summary'!$B$6,"Eligible","Blocked")</x:f>
        <x:v>Eligible</x:v>
      </x:c>
      <x:c r="AC259" s="30" t="str">
        <x:v>2003_JAM</x:v>
      </x:c>
      <x:c r="AD259" s="30" t="str">
        <x:v>2003_GUY</x:v>
      </x:c>
      <x:c r="AE259" s="30" t="str">
        <x:v>2003_Guyana</x:v>
      </x:c>
      <x:c r="AF259" s="30" t="str">
        <x:v>Explicit capitalClaim</x:v>
      </x:c>
      <x:c r="AG259" s="30" t="str">
        <x:v>Claim2003_JAM2003_Guyana</x:v>
      </x:c>
      <x:c r="AH259" s="30" t="str">
        <x:v>Project_CaribbeanCommunity</x:v>
      </x:c>
    </x:row>
    <x:row r="260">
      <x:c r="A260" s="30" t="str">
        <x:v>2003</x:v>
      </x:c>
      <x:c r="B260" s="30" t="str">
        <x:v>Dark Skies</x:v>
      </x:c>
      <x:c r="C260" s="30" t="str">
        <x:v>Jamaica</x:v>
      </x:c>
      <x:c r="D260" s="30" t="str">
        <x:v>Haiti</x:v>
      </x:c>
      <x:c r="E260" s="30" t="str">
        <x:v>Project unlock</x:v>
      </x:c>
      <x:c r="F260" s="30" t="str">
        <x:v>Caribbean Community</x:v>
      </x:c>
      <x:c r="G260" s="30" t="str">
        <x:v>No</x:v>
      </x:c>
      <x:c r="H260" s="30" t="str">
        <x:v>Ordinary claim</x:v>
      </x:c>
      <x:c r="I260" s="31" t="n">
        <x:f>IF(G260="Yes",'Controls &amp; Summary'!$B$5,'Controls &amp; Summary'!$B$4)</x:f>
        <x:v>6</x:v>
      </x:c>
      <x:c r="J260" s="31" t="n">
        <x:v>7.24</x:v>
      </x:c>
      <x:c r="K260" s="31" t="n">
        <x:v>4.58</x:v>
      </x:c>
      <x:c r="L260" s="31" t="n">
        <x:f>ABS(J260-K260)</x:f>
        <x:v>2.66</x:v>
      </x:c>
      <x:c r="M260" s="31" t="n">
        <x:v>4.46</x:v>
      </x:c>
      <x:c r="N260" s="31" t="n">
        <x:v>5.41</x:v>
      </x:c>
      <x:c r="O260" s="31" t="n">
        <x:f>ABS(M260-N260)</x:f>
        <x:v>0.9500000000000002</x:v>
      </x:c>
      <x:c r="P260" s="31" t="n">
        <x:v>5.89</x:v>
      </x:c>
      <x:c r="Q260" s="31" t="n">
        <x:v>4.13</x:v>
      </x:c>
      <x:c r="R260" s="31" t="n">
        <x:f>ABS(P260-Q260)</x:f>
        <x:v>1.7599999999999998</x:v>
      </x:c>
      <x:c r="S260" s="32" t="n">
        <x:v>4436.446161913075</x:v>
      </x:c>
      <x:c r="T260" s="32" t="n">
        <x:v>1387.0336138079927</x:v>
      </x:c>
      <x:c r="U260" s="31" t="n">
        <x:f>MAX(S260/T260,T260/S260)</x:f>
        <x:v>3.1985138051075475</x:v>
      </x:c>
      <x:c r="V260" s="31" t="n">
        <x:f>L260*'Controls &amp; Summary'!$B$9+O260*'Controls &amp; Summary'!$B$10+R260*'Controls &amp; Summary'!$B$11+U260*'Controls &amp; Summary'!$B$12</x:f>
        <x:v>8.568513805107548</x:v>
      </x:c>
      <x:c r="W260" s="31" t="n">
        <x:v>3.51</x:v>
      </x:c>
      <x:c r="X260" s="31" t="n">
        <x:v>5.72</x:v>
      </x:c>
      <x:c r="Y260" s="31" t="n">
        <x:f>((10-MIN(10,MAX(0,X260)))/10)*'Controls &amp; Summary'!$B$15+((10-MIN(10,MAX(0,W260)))/10)*'Controls &amp; Summary'!$B$16</x:f>
        <x:v>1.077</x:v>
      </x:c>
      <x:c r="Z260" s="31" t="n">
        <x:f>V260*Y260</x:f>
        <x:v>9.228289368100828</x:v>
      </x:c>
      <x:c r="AA260" s="30" t="str">
        <x:f>IF(Z260&lt;=I260,"Peaceful","Hostile")</x:f>
        <x:v>Hostile</x:v>
      </x:c>
      <x:c r="AB260" s="30" t="str">
        <x:f>IF(Z260&lt;='Controls &amp; Summary'!$B$6,"Eligible","Blocked")</x:f>
        <x:v>Eligible</x:v>
      </x:c>
      <x:c r="AC260" s="30" t="str">
        <x:v>2003_JAM</x:v>
      </x:c>
      <x:c r="AD260" s="30" t="str">
        <x:v>2003_HTI</x:v>
      </x:c>
      <x:c r="AE260" s="30" t="str">
        <x:v>2003_WestHispanola</x:v>
      </x:c>
      <x:c r="AF260" s="30" t="str">
        <x:v>Explicit capitalClaim</x:v>
      </x:c>
      <x:c r="AG260" s="30" t="str">
        <x:v>Claim2003_JAM2003_WestHispanola</x:v>
      </x:c>
      <x:c r="AH260" s="30" t="str">
        <x:v>Project_CaribbeanCommunity</x:v>
      </x:c>
    </x:row>
    <x:row r="261">
      <x:c r="A261" s="30" t="str">
        <x:v>2003</x:v>
      </x:c>
      <x:c r="B261" s="30" t="str">
        <x:v>Dark Skies</x:v>
      </x:c>
      <x:c r="C261" s="30" t="str">
        <x:v>Jamaica</x:v>
      </x:c>
      <x:c r="D261" s="30" t="str">
        <x:v>Lesser Antilles States</x:v>
      </x:c>
      <x:c r="E261" s="30" t="str">
        <x:v>Project unlock</x:v>
      </x:c>
      <x:c r="F261" s="30" t="str">
        <x:v>Caribbean Community</x:v>
      </x:c>
      <x:c r="G261" s="30" t="str">
        <x:v>No</x:v>
      </x:c>
      <x:c r="H261" s="30" t="str">
        <x:v>Ordinary claim</x:v>
      </x:c>
      <x:c r="I261" s="31" t="n">
        <x:f>IF(G261="Yes",'Controls &amp; Summary'!$B$5,'Controls &amp; Summary'!$B$4)</x:f>
        <x:v>6</x:v>
      </x:c>
      <x:c r="J261" s="31" t="n">
        <x:v>7.24</x:v>
      </x:c>
      <x:c r="K261" s="31" t="n">
        <x:v>7.21</x:v>
      </x:c>
      <x:c r="L261" s="31" t="n">
        <x:f>ABS(J261-K261)</x:f>
        <x:v>0.03000000000000025</x:v>
      </x:c>
      <x:c r="M261" s="31" t="n">
        <x:v>4.46</x:v>
      </x:c>
      <x:c r="N261" s="31" t="n">
        <x:v>4.34</x:v>
      </x:c>
      <x:c r="O261" s="31" t="n">
        <x:f>ABS(M261-N261)</x:f>
        <x:v>0.1200000000000001</x:v>
      </x:c>
      <x:c r="P261" s="31" t="n">
        <x:v>5.89</x:v>
      </x:c>
      <x:c r="Q261" s="31" t="n">
        <x:v>6.74</x:v>
      </x:c>
      <x:c r="R261" s="31" t="n">
        <x:f>ABS(P261-Q261)</x:f>
        <x:v>0.8500000000000005</x:v>
      </x:c>
      <x:c r="S261" s="32" t="n">
        <x:v>4436.446161913075</x:v>
      </x:c>
      <x:c r="T261" s="32" t="n">
        <x:v>8943.376509169933</x:v>
      </x:c>
      <x:c r="U261" s="31" t="n">
        <x:f>MAX(S261/T261,T261/S261)</x:f>
        <x:v>2.0158875331225454</x:v>
      </x:c>
      <x:c r="V261" s="31" t="n">
        <x:f>L261*'Controls &amp; Summary'!$B$9+O261*'Controls &amp; Summary'!$B$10+R261*'Controls &amp; Summary'!$B$11+U261*'Controls &amp; Summary'!$B$12</x:f>
        <x:v>3.0158875331225463</x:v>
      </x:c>
      <x:c r="W261" s="31" t="n">
        <x:v>3.51</x:v>
      </x:c>
      <x:c r="X261" s="31" t="n">
        <x:v>0.96</x:v>
      </x:c>
      <x:c r="Y261" s="31" t="n">
        <x:f>((10-MIN(10,MAX(0,X261)))/10)*'Controls &amp; Summary'!$B$15+((10-MIN(10,MAX(0,W261)))/10)*'Controls &amp; Summary'!$B$16</x:f>
        <x:v>1.553</x:v>
      </x:c>
      <x:c r="Z261" s="31" t="n">
        <x:f>V261*Y261</x:f>
        <x:v>4.683673338939315</x:v>
      </x:c>
      <x:c r="AA261" s="30" t="str">
        <x:f>IF(Z261&lt;=I261,"Peaceful","Hostile")</x:f>
        <x:v>Peaceful</x:v>
      </x:c>
      <x:c r="AB261" s="30" t="str">
        <x:f>IF(Z261&lt;='Controls &amp; Summary'!$B$6,"Eligible","Blocked")</x:f>
        <x:v>Eligible</x:v>
      </x:c>
      <x:c r="AC261" s="30" t="str">
        <x:v>2003_JAM</x:v>
      </x:c>
      <x:c r="AD261" s="30" t="str">
        <x:v>2003_CAB</x:v>
      </x:c>
      <x:c r="AE261" s="30" t="str">
        <x:v>2003_WestIndies</x:v>
      </x:c>
      <x:c r="AF261" s="30" t="str">
        <x:v>Explicit capitalClaim</x:v>
      </x:c>
      <x:c r="AG261" s="30" t="str">
        <x:v>Claim2003_JAM2003_WestIndies</x:v>
      </x:c>
      <x:c r="AH261" s="30" t="str">
        <x:v>Project_CaribbeanCommunity</x:v>
      </x:c>
    </x:row>
    <x:row r="262">
      <x:c r="A262" s="30" t="str">
        <x:v>2003</x:v>
      </x:c>
      <x:c r="B262" s="30" t="str">
        <x:v>Dark Skies</x:v>
      </x:c>
      <x:c r="C262" s="30" t="str">
        <x:v>Jamaica</x:v>
      </x:c>
      <x:c r="D262" s="30" t="str">
        <x:v>Suriname</x:v>
      </x:c>
      <x:c r="E262" s="30" t="str">
        <x:v>Project unlock</x:v>
      </x:c>
      <x:c r="F262" s="30" t="str">
        <x:v>Caribbean Community</x:v>
      </x:c>
      <x:c r="G262" s="30" t="str">
        <x:v>No</x:v>
      </x:c>
      <x:c r="H262" s="30" t="str">
        <x:v>Ordinary claim</x:v>
      </x:c>
      <x:c r="I262" s="31" t="n">
        <x:f>IF(G262="Yes",'Controls &amp; Summary'!$B$5,'Controls &amp; Summary'!$B$4)</x:f>
        <x:v>6</x:v>
      </x:c>
      <x:c r="J262" s="31" t="n">
        <x:v>7.24</x:v>
      </x:c>
      <x:c r="K262" s="31" t="n">
        <x:v>6.57</x:v>
      </x:c>
      <x:c r="L262" s="31" t="n">
        <x:f>ABS(J262-K262)</x:f>
        <x:v>0.6699999999999999</x:v>
      </x:c>
      <x:c r="M262" s="31" t="n">
        <x:v>4.46</x:v>
      </x:c>
      <x:c r="N262" s="31" t="n">
        <x:v>4.67</x:v>
      </x:c>
      <x:c r="O262" s="31" t="n">
        <x:f>ABS(M262-N262)</x:f>
        <x:v>0.20999999999999996</x:v>
      </x:c>
      <x:c r="P262" s="31" t="n">
        <x:v>5.89</x:v>
      </x:c>
      <x:c r="Q262" s="31" t="n">
        <x:v>6.01</x:v>
      </x:c>
      <x:c r="R262" s="31" t="n">
        <x:f>ABS(P262-Q262)</x:f>
        <x:v>0.1200000000000001</x:v>
      </x:c>
      <x:c r="S262" s="32" t="n">
        <x:v>4436.446161913075</x:v>
      </x:c>
      <x:c r="T262" s="32" t="n">
        <x:v>6277.368650945668</x:v>
      </x:c>
      <x:c r="U262" s="31" t="n">
        <x:f>MAX(S262/T262,T262/S262)</x:f>
        <x:v>1.4149543174527681</x:v>
      </x:c>
      <x:c r="V262" s="31" t="n">
        <x:f>L262*'Controls &amp; Summary'!$B$9+O262*'Controls &amp; Summary'!$B$10+R262*'Controls &amp; Summary'!$B$11+U262*'Controls &amp; Summary'!$B$12</x:f>
        <x:v>2.414954317452768</x:v>
      </x:c>
      <x:c r="W262" s="31" t="n">
        <x:v>3.51</x:v>
      </x:c>
      <x:c r="X262" s="31" t="n">
        <x:v>1.68</x:v>
      </x:c>
      <x:c r="Y262" s="31" t="n">
        <x:f>((10-MIN(10,MAX(0,X262)))/10)*'Controls &amp; Summary'!$B$15+((10-MIN(10,MAX(0,W262)))/10)*'Controls &amp; Summary'!$B$16</x:f>
        <x:v>1.481</x:v>
      </x:c>
      <x:c r="Z262" s="31" t="n">
        <x:f>V262*Y262</x:f>
        <x:v>3.5765473441475493</x:v>
      </x:c>
      <x:c r="AA262" s="30" t="str">
        <x:f>IF(Z262&lt;=I262,"Peaceful","Hostile")</x:f>
        <x:v>Peaceful</x:v>
      </x:c>
      <x:c r="AB262" s="30" t="str">
        <x:f>IF(Z262&lt;='Controls &amp; Summary'!$B$6,"Eligible","Blocked")</x:f>
        <x:v>Eligible</x:v>
      </x:c>
      <x:c r="AC262" s="30" t="str">
        <x:v>2003_JAM</x:v>
      </x:c>
      <x:c r="AD262" s="30" t="str">
        <x:v>2003_SUR</x:v>
      </x:c>
      <x:c r="AE262" s="30" t="str">
        <x:v>2003_Suriname</x:v>
      </x:c>
      <x:c r="AF262" s="30" t="str">
        <x:v>Explicit capitalClaim</x:v>
      </x:c>
      <x:c r="AG262" s="30" t="str">
        <x:v>Claim2003_JAM2003_Suriname</x:v>
      </x:c>
      <x:c r="AH262" s="30" t="str">
        <x:v>Project_CaribbeanCommunity</x:v>
      </x:c>
    </x:row>
    <x:row r="263">
      <x:c r="A263" s="30" t="str">
        <x:v>2003</x:v>
      </x:c>
      <x:c r="B263" s="30" t="str">
        <x:v>Dark Skies</x:v>
      </x:c>
      <x:c r="C263" s="30" t="str">
        <x:v>Japan</x:v>
      </x:c>
      <x:c r="D263" s="30" t="str">
        <x:v>Melanesian States</x:v>
      </x:c>
      <x:c r="E263" s="30" t="str">
        <x:v>Project unlock</x:v>
      </x:c>
      <x:c r="F263" s="30" t="str">
        <x:v>Pacific League</x:v>
      </x:c>
      <x:c r="G263" s="30" t="str">
        <x:v>No</x:v>
      </x:c>
      <x:c r="H263" s="30" t="str">
        <x:v>Ordinary claim</x:v>
      </x:c>
      <x:c r="I263" s="31" t="n">
        <x:f>IF(G263="Yes",'Controls &amp; Summary'!$B$5,'Controls &amp; Summary'!$B$4)</x:f>
        <x:v>6</x:v>
      </x:c>
      <x:c r="J263" s="31" t="n">
        <x:v>8.1</x:v>
      </x:c>
      <x:c r="K263" s="31" t="n">
        <x:v>6.13</x:v>
      </x:c>
      <x:c r="L263" s="31" t="n">
        <x:f>ABS(J263-K263)</x:f>
        <x:v>1.9699999999999998</x:v>
      </x:c>
      <x:c r="M263" s="31" t="n">
        <x:v>3</x:v>
      </x:c>
      <x:c r="N263" s="31" t="n">
        <x:v>4.07</x:v>
      </x:c>
      <x:c r="O263" s="31" t="n">
        <x:f>ABS(M263-N263)</x:f>
        <x:v>1.0700000000000003</x:v>
      </x:c>
      <x:c r="P263" s="31" t="n">
        <x:v>8.4</x:v>
      </x:c>
      <x:c r="Q263" s="31" t="n">
        <x:v>5.35</x:v>
      </x:c>
      <x:c r="R263" s="31" t="n">
        <x:f>ABS(P263-Q263)</x:f>
        <x:v>3.0500000000000007</x:v>
      </x:c>
      <x:c r="S263" s="32" t="n">
        <x:v>28665.59138674062</x:v>
      </x:c>
      <x:c r="T263" s="32" t="n">
        <x:v>2840.0898292835964</x:v>
      </x:c>
      <x:c r="U263" s="31" t="n">
        <x:f>MAX(S263/T263,T263/S263)</x:f>
        <x:v>10.093198845746166</x:v>
      </x:c>
      <x:c r="V263" s="31" t="n">
        <x:f>L263*'Controls &amp; Summary'!$B$9+O263*'Controls &amp; Summary'!$B$10+R263*'Controls &amp; Summary'!$B$11+U263*'Controls &amp; Summary'!$B$12</x:f>
        <x:v>16.183198845746166</x:v>
      </x:c>
      <x:c r="W263" s="31" t="n">
        <x:v>6.27</x:v>
      </x:c>
      <x:c r="X263" s="31" t="n">
        <x:v>2.14</x:v>
      </x:c>
      <x:c r="Y263" s="31" t="n">
        <x:f>((10-MIN(10,MAX(0,X263)))/10)*'Controls &amp; Summary'!$B$15+((10-MIN(10,MAX(0,W263)))/10)*'Controls &amp; Summary'!$B$16</x:f>
        <x:v>1.159</x:v>
      </x:c>
      <x:c r="Z263" s="31" t="n">
        <x:f>V263*Y263</x:f>
        <x:v>18.756327462219808</x:v>
      </x:c>
      <x:c r="AA263" s="30" t="str">
        <x:f>IF(Z263&lt;=I263,"Peaceful","Hostile")</x:f>
        <x:v>Hostile</x:v>
      </x:c>
      <x:c r="AB263" s="30" t="str">
        <x:f>IF(Z263&lt;='Controls &amp; Summary'!$B$6,"Eligible","Blocked")</x:f>
        <x:v>Blocked</x:v>
      </x:c>
      <x:c r="AC263" s="30" t="str">
        <x:v>2003_JPN</x:v>
      </x:c>
      <x:c r="AD263" s="30" t="str">
        <x:v>2003_PCS</x:v>
      </x:c>
      <x:c r="AE263" s="30" t="str">
        <x:v>2003_Melanesia</x:v>
      </x:c>
      <x:c r="AF263" s="30" t="str">
        <x:v>Explicit capitalClaim</x:v>
      </x:c>
      <x:c r="AG263" s="30" t="str">
        <x:v>Claim2003_JPN2003_Melanesia</x:v>
      </x:c>
      <x:c r="AH263" s="30" t="str">
        <x:v>Project_PacificLeague</x:v>
      </x:c>
    </x:row>
    <x:row r="264">
      <x:c r="A264" s="30" t="str">
        <x:v>2003</x:v>
      </x:c>
      <x:c r="B264" s="30" t="str">
        <x:v>Dark Skies</x:v>
      </x:c>
      <x:c r="C264" s="30" t="str">
        <x:v>Japan</x:v>
      </x:c>
      <x:c r="D264" s="30" t="str">
        <x:v>Micronesian States</x:v>
      </x:c>
      <x:c r="E264" s="30" t="str">
        <x:v>Project unlock</x:v>
      </x:c>
      <x:c r="F264" s="30" t="str">
        <x:v>Pacific League</x:v>
      </x:c>
      <x:c r="G264" s="30" t="str">
        <x:v>No</x:v>
      </x:c>
      <x:c r="H264" s="30" t="str">
        <x:v>Ordinary claim</x:v>
      </x:c>
      <x:c r="I264" s="31" t="n">
        <x:f>IF(G264="Yes",'Controls &amp; Summary'!$B$5,'Controls &amp; Summary'!$B$4)</x:f>
        <x:v>6</x:v>
      </x:c>
      <x:c r="J264" s="31" t="n">
        <x:v>8.1</x:v>
      </x:c>
      <x:c r="K264" s="31" t="n">
        <x:v>9.67</x:v>
      </x:c>
      <x:c r="L264" s="31" t="n">
        <x:f>ABS(J264-K264)</x:f>
        <x:v>1.5700000000000003</x:v>
      </x:c>
      <x:c r="M264" s="31" t="n">
        <x:v>3</x:v>
      </x:c>
      <x:c r="N264" s="31" t="n">
        <x:v>3.93</x:v>
      </x:c>
      <x:c r="O264" s="31" t="n">
        <x:f>ABS(M264-N264)</x:f>
        <x:v>0.9300000000000002</x:v>
      </x:c>
      <x:c r="P264" s="31" t="n">
        <x:v>8.4</x:v>
      </x:c>
      <x:c r="Q264" s="31" t="n">
        <x:v>5.34</x:v>
      </x:c>
      <x:c r="R264" s="31" t="n">
        <x:f>ABS(P264-Q264)</x:f>
        <x:v>3.0600000000000005</x:v>
      </x:c>
      <x:c r="S264" s="32" t="n">
        <x:v>28665.59138674062</x:v>
      </x:c>
      <x:c r="T264" s="32" t="n">
        <x:v>2258.419207343555</x:v>
      </x:c>
      <x:c r="U264" s="31" t="n">
        <x:f>MAX(S264/T264,T264/S264)</x:f>
        <x:v>12.692768151072475</x:v>
      </x:c>
      <x:c r="V264" s="31" t="n">
        <x:f>L264*'Controls &amp; Summary'!$B$9+O264*'Controls &amp; Summary'!$B$10+R264*'Controls &amp; Summary'!$B$11+U264*'Controls &amp; Summary'!$B$12</x:f>
        <x:v>18.252768151072473</x:v>
      </x:c>
      <x:c r="W264" s="31" t="n">
        <x:v>6.27</x:v>
      </x:c>
      <x:c r="X264" s="31" t="n">
        <x:v>0.1</x:v>
      </x:c>
      <x:c r="Y264" s="31" t="n">
        <x:f>((10-MIN(10,MAX(0,X264)))/10)*'Controls &amp; Summary'!$B$15+((10-MIN(10,MAX(0,W264)))/10)*'Controls &amp; Summary'!$B$16</x:f>
        <x:v>1.363</x:v>
      </x:c>
      <x:c r="Z264" s="31" t="n">
        <x:f>V264*Y264</x:f>
        <x:v>24.87852298991178</x:v>
      </x:c>
      <x:c r="AA264" s="30" t="str">
        <x:f>IF(Z264&lt;=I264,"Peaceful","Hostile")</x:f>
        <x:v>Hostile</x:v>
      </x:c>
      <x:c r="AB264" s="30" t="str">
        <x:f>IF(Z264&lt;='Controls &amp; Summary'!$B$6,"Eligible","Blocked")</x:f>
        <x:v>Blocked</x:v>
      </x:c>
      <x:c r="AC264" s="30" t="str">
        <x:v>2003_JPN</x:v>
      </x:c>
      <x:c r="AD264" s="30" t="str">
        <x:v>2003_MCS</x:v>
      </x:c>
      <x:c r="AE264" s="30" t="str">
        <x:v>2003_Micronesia</x:v>
      </x:c>
      <x:c r="AF264" s="30" t="str">
        <x:v>Explicit capitalClaim</x:v>
      </x:c>
      <x:c r="AG264" s="30" t="str">
        <x:v>Claim2003_JPN2003_Micronesia</x:v>
      </x:c>
      <x:c r="AH264" s="30" t="str">
        <x:v>Project_PacificLeague</x:v>
      </x:c>
    </x:row>
    <x:row r="265">
      <x:c r="A265" s="30" t="str">
        <x:v>2003</x:v>
      </x:c>
      <x:c r="B265" s="30" t="str">
        <x:v>Dark Skies</x:v>
      </x:c>
      <x:c r="C265" s="30" t="str">
        <x:v>Japan</x:v>
      </x:c>
      <x:c r="D265" s="30" t="str">
        <x:v>North Korea</x:v>
      </x:c>
      <x:c r="E265" s="30" t="str">
        <x:v>Project unlock</x:v>
      </x:c>
      <x:c r="F265" s="30" t="str">
        <x:v>Pacific League</x:v>
      </x:c>
      <x:c r="G265" s="30" t="str">
        <x:v>No</x:v>
      </x:c>
      <x:c r="H265" s="30" t="str">
        <x:v>Ordinary claim</x:v>
      </x:c>
      <x:c r="I265" s="31" t="n">
        <x:f>IF(G265="Yes",'Controls &amp; Summary'!$B$5,'Controls &amp; Summary'!$B$4)</x:f>
        <x:v>6</x:v>
      </x:c>
      <x:c r="J265" s="31" t="n">
        <x:v>8.1</x:v>
      </x:c>
      <x:c r="K265" s="31" t="n">
        <x:v>1.03</x:v>
      </x:c>
      <x:c r="L265" s="31" t="n">
        <x:f>ABS(J265-K265)</x:f>
        <x:v>7.069999999999999</x:v>
      </x:c>
      <x:c r="M265" s="31" t="n">
        <x:v>3</x:v>
      </x:c>
      <x:c r="N265" s="31" t="n">
        <x:v>8.6</x:v>
      </x:c>
      <x:c r="O265" s="31" t="n">
        <x:f>ABS(M265-N265)</x:f>
        <x:v>5.6</x:v>
      </x:c>
      <x:c r="P265" s="31" t="n">
        <x:v>8.4</x:v>
      </x:c>
      <x:c r="Q265" s="31" t="n">
        <x:v>4.85</x:v>
      </x:c>
      <x:c r="R265" s="31" t="n">
        <x:f>ABS(P265-Q265)</x:f>
        <x:v>3.5500000000000007</x:v>
      </x:c>
      <x:c r="S265" s="32" t="n">
        <x:v>28665.59138674062</x:v>
      </x:c>
      <x:c r="T265" s="32" t="n">
        <x:v>2405.4113076256995</x:v>
      </x:c>
      <x:c r="U265" s="31" t="n">
        <x:f>MAX(S265/T265,T265/S265)</x:f>
        <x:v>11.917126728332985</x:v>
      </x:c>
      <x:c r="V265" s="31" t="n">
        <x:f>L265*'Controls &amp; Summary'!$B$9+O265*'Controls &amp; Summary'!$B$10+R265*'Controls &amp; Summary'!$B$11+U265*'Controls &amp; Summary'!$B$12</x:f>
        <x:v>28.137126728332984</x:v>
      </x:c>
      <x:c r="W265" s="31" t="n">
        <x:v>6.27</x:v>
      </x:c>
      <x:c r="X265" s="31" t="n">
        <x:v>2.96</x:v>
      </x:c>
      <x:c r="Y265" s="31" t="n">
        <x:f>((10-MIN(10,MAX(0,X265)))/10)*'Controls &amp; Summary'!$B$15+((10-MIN(10,MAX(0,W265)))/10)*'Controls &amp; Summary'!$B$16</x:f>
        <x:v>1.077</x:v>
      </x:c>
      <x:c r="Z265" s="31" t="n">
        <x:f>V265*Y265</x:f>
        <x:v>30.303685486414622</x:v>
      </x:c>
      <x:c r="AA265" s="30" t="str">
        <x:f>IF(Z265&lt;=I265,"Peaceful","Hostile")</x:f>
        <x:v>Hostile</x:v>
      </x:c>
      <x:c r="AB265" s="30" t="str">
        <x:f>IF(Z265&lt;='Controls &amp; Summary'!$B$6,"Eligible","Blocked")</x:f>
        <x:v>Blocked</x:v>
      </x:c>
      <x:c r="AC265" s="30" t="str">
        <x:v>2003_JPN</x:v>
      </x:c>
      <x:c r="AD265" s="30" t="str">
        <x:v>2003_PRK</x:v>
      </x:c>
      <x:c r="AE265" s="30" t="str">
        <x:v>2003_NorthKorea</x:v>
      </x:c>
      <x:c r="AF265" s="30" t="str">
        <x:v>Explicit capitalClaim</x:v>
      </x:c>
      <x:c r="AG265" s="30" t="str">
        <x:v>Claim2003_JPN2003_NorthKorea</x:v>
      </x:c>
      <x:c r="AH265" s="30" t="str">
        <x:v>Project_PacificLeague</x:v>
      </x:c>
    </x:row>
    <x:row r="266">
      <x:c r="A266" s="30" t="str">
        <x:v>2003</x:v>
      </x:c>
      <x:c r="B266" s="30" t="str">
        <x:v>Dark Skies</x:v>
      </x:c>
      <x:c r="C266" s="30" t="str">
        <x:v>Japan</x:v>
      </x:c>
      <x:c r="D266" s="30" t="str">
        <x:v>Papua New Guinea</x:v>
      </x:c>
      <x:c r="E266" s="30" t="str">
        <x:v>Project unlock</x:v>
      </x:c>
      <x:c r="F266" s="30" t="str">
        <x:v>Pacific League</x:v>
      </x:c>
      <x:c r="G266" s="30" t="str">
        <x:v>No</x:v>
      </x:c>
      <x:c r="H266" s="30" t="str">
        <x:v>Ordinary claim</x:v>
      </x:c>
      <x:c r="I266" s="31" t="n">
        <x:f>IF(G266="Yes",'Controls &amp; Summary'!$B$5,'Controls &amp; Summary'!$B$4)</x:f>
        <x:v>6</x:v>
      </x:c>
      <x:c r="J266" s="31" t="n">
        <x:v>8.1</x:v>
      </x:c>
      <x:c r="K266" s="31" t="n">
        <x:v>6.52</x:v>
      </x:c>
      <x:c r="L266" s="31" t="n">
        <x:f>ABS(J266-K266)</x:f>
        <x:v>1.58</x:v>
      </x:c>
      <x:c r="M266" s="31" t="n">
        <x:v>3</x:v>
      </x:c>
      <x:c r="N266" s="31" t="n">
        <x:v>4.68</x:v>
      </x:c>
      <x:c r="O266" s="31" t="n">
        <x:f>ABS(M266-N266)</x:f>
        <x:v>1.6799999999999997</x:v>
      </x:c>
      <x:c r="P266" s="31" t="n">
        <x:v>8.4</x:v>
      </x:c>
      <x:c r="Q266" s="31" t="n">
        <x:v>4.39</x:v>
      </x:c>
      <x:c r="R266" s="31" t="n">
        <x:f>ABS(P266-Q266)</x:f>
        <x:v>4.010000000000001</x:v>
      </x:c>
      <x:c r="S266" s="32" t="n">
        <x:v>28665.59138674062</x:v>
      </x:c>
      <x:c r="T266" s="32" t="n">
        <x:v>1166.5354586228568</x:v>
      </x:c>
      <x:c r="U266" s="31" t="n">
        <x:f>MAX(S266/T266,T266/S266)</x:f>
        <x:v>24.573270512138166</x:v>
      </x:c>
      <x:c r="V266" s="31" t="n">
        <x:f>L266*'Controls &amp; Summary'!$B$9+O266*'Controls &amp; Summary'!$B$10+R266*'Controls &amp; Summary'!$B$11+U266*'Controls &amp; Summary'!$B$12</x:f>
        <x:v>31.843270512138165</x:v>
      </x:c>
      <x:c r="W266" s="31" t="n">
        <x:v>6.27</x:v>
      </x:c>
      <x:c r="X266" s="31" t="n">
        <x:v>2.59</x:v>
      </x:c>
      <x:c r="Y266" s="31" t="n">
        <x:f>((10-MIN(10,MAX(0,X266)))/10)*'Controls &amp; Summary'!$B$15+((10-MIN(10,MAX(0,W266)))/10)*'Controls &amp; Summary'!$B$16</x:f>
        <x:v>1.114</x:v>
      </x:c>
      <x:c r="Z266" s="31" t="n">
        <x:f>V266*Y266</x:f>
        <x:v>35.47340335052192</x:v>
      </x:c>
      <x:c r="AA266" s="30" t="str">
        <x:f>IF(Z266&lt;=I266,"Peaceful","Hostile")</x:f>
        <x:v>Hostile</x:v>
      </x:c>
      <x:c r="AB266" s="30" t="str">
        <x:f>IF(Z266&lt;='Controls &amp; Summary'!$B$6,"Eligible","Blocked")</x:f>
        <x:v>Blocked</x:v>
      </x:c>
      <x:c r="AC266" s="30" t="str">
        <x:v>2003_JPN</x:v>
      </x:c>
      <x:c r="AD266" s="30" t="str">
        <x:v>2003_PNG</x:v>
      </x:c>
      <x:c r="AE266" s="30" t="str">
        <x:v>2003_PortMorseby</x:v>
      </x:c>
      <x:c r="AF266" s="30" t="str">
        <x:v>Explicit capitalClaim</x:v>
      </x:c>
      <x:c r="AG266" s="30" t="str">
        <x:v>Claim2003_JPN2003_PortMorseby</x:v>
      </x:c>
      <x:c r="AH266" s="30" t="str">
        <x:v>Project_PacificLeague</x:v>
      </x:c>
    </x:row>
    <x:row r="267">
      <x:c r="A267" s="30" t="str">
        <x:v>2003</x:v>
      </x:c>
      <x:c r="B267" s="30" t="str">
        <x:v>Dark Skies</x:v>
      </x:c>
      <x:c r="C267" s="30" t="str">
        <x:v>Japan</x:v>
      </x:c>
      <x:c r="D267" s="30" t="str">
        <x:v>Philippines</x:v>
      </x:c>
      <x:c r="E267" s="30" t="str">
        <x:v>Project unlock</x:v>
      </x:c>
      <x:c r="F267" s="30" t="str">
        <x:v>Pacific League</x:v>
      </x:c>
      <x:c r="G267" s="30" t="str">
        <x:v>No</x:v>
      </x:c>
      <x:c r="H267" s="30" t="str">
        <x:v>Ordinary claim</x:v>
      </x:c>
      <x:c r="I267" s="31" t="n">
        <x:f>IF(G267="Yes",'Controls &amp; Summary'!$B$5,'Controls &amp; Summary'!$B$4)</x:f>
        <x:v>6</x:v>
      </x:c>
      <x:c r="J267" s="31" t="n">
        <x:v>8.1</x:v>
      </x:c>
      <x:c r="K267" s="31" t="n">
        <x:v>6.82</x:v>
      </x:c>
      <x:c r="L267" s="31" t="n">
        <x:f>ABS(J267-K267)</x:f>
        <x:v>1.2799999999999994</x:v>
      </x:c>
      <x:c r="M267" s="31" t="n">
        <x:v>3</x:v>
      </x:c>
      <x:c r="N267" s="31" t="n">
        <x:v>4.19</x:v>
      </x:c>
      <x:c r="O267" s="31" t="n">
        <x:f>ABS(M267-N267)</x:f>
        <x:v>1.1900000000000004</x:v>
      </x:c>
      <x:c r="P267" s="31" t="n">
        <x:v>8.4</x:v>
      </x:c>
      <x:c r="Q267" s="31" t="n">
        <x:v>5.67</x:v>
      </x:c>
      <x:c r="R267" s="31" t="n">
        <x:f>ABS(P267-Q267)</x:f>
        <x:v>2.7300000000000004</x:v>
      </x:c>
      <x:c r="S267" s="32" t="n">
        <x:v>28665.59138674062</x:v>
      </x:c>
      <x:c r="T267" s="32" t="n">
        <x:v>2040.4656608817693</x:v>
      </x:c>
      <x:c r="U267" s="31" t="n">
        <x:f>MAX(S267/T267,T267/S267)</x:f>
        <x:v>14.048553688648227</x:v>
      </x:c>
      <x:c r="V267" s="31" t="n">
        <x:f>L267*'Controls &amp; Summary'!$B$9+O267*'Controls &amp; Summary'!$B$10+R267*'Controls &amp; Summary'!$B$11+U267*'Controls &amp; Summary'!$B$12</x:f>
        <x:v>19.248553688648226</x:v>
      </x:c>
      <x:c r="W267" s="31" t="n">
        <x:v>6.27</x:v>
      </x:c>
      <x:c r="X267" s="31" t="n">
        <x:v>3.08</x:v>
      </x:c>
      <x:c r="Y267" s="31" t="n">
        <x:f>((10-MIN(10,MAX(0,X267)))/10)*'Controls &amp; Summary'!$B$15+((10-MIN(10,MAX(0,W267)))/10)*'Controls &amp; Summary'!$B$16</x:f>
        <x:v>1.065</x:v>
      </x:c>
      <x:c r="Z267" s="31" t="n">
        <x:f>V267*Y267</x:f>
        <x:v>20.49970967841036</x:v>
      </x:c>
      <x:c r="AA267" s="30" t="str">
        <x:f>IF(Z267&lt;=I267,"Peaceful","Hostile")</x:f>
        <x:v>Hostile</x:v>
      </x:c>
      <x:c r="AB267" s="30" t="str">
        <x:f>IF(Z267&lt;='Controls &amp; Summary'!$B$6,"Eligible","Blocked")</x:f>
        <x:v>Blocked</x:v>
      </x:c>
      <x:c r="AC267" s="30" t="str">
        <x:v>2003_JPN</x:v>
      </x:c>
      <x:c r="AD267" s="30" t="str">
        <x:v>2003_PHL</x:v>
      </x:c>
      <x:c r="AE267" s="30" t="str">
        <x:v>2003_Luzon</x:v>
      </x:c>
      <x:c r="AF267" s="30" t="str">
        <x:v>Explicit capitalClaim</x:v>
      </x:c>
      <x:c r="AG267" s="30" t="str">
        <x:v>Claim2003_JPN2003_Luzon</x:v>
      </x:c>
      <x:c r="AH267" s="30" t="str">
        <x:v>Project_PacificLeague</x:v>
      </x:c>
    </x:row>
    <x:row r="268">
      <x:c r="A268" s="30" t="str">
        <x:v>2003</x:v>
      </x:c>
      <x:c r="B268" s="30" t="str">
        <x:v>Dark Skies</x:v>
      </x:c>
      <x:c r="C268" s="30" t="str">
        <x:v>Japan</x:v>
      </x:c>
      <x:c r="D268" s="30" t="str">
        <x:v>South Korea</x:v>
      </x:c>
      <x:c r="E268" s="30" t="str">
        <x:v>Project unlock</x:v>
      </x:c>
      <x:c r="F268" s="30" t="str">
        <x:v>Pacific League</x:v>
      </x:c>
      <x:c r="G268" s="30" t="str">
        <x:v>No</x:v>
      </x:c>
      <x:c r="H268" s="30" t="str">
        <x:v>Ordinary claim</x:v>
      </x:c>
      <x:c r="I268" s="31" t="n">
        <x:f>IF(G268="Yes",'Controls &amp; Summary'!$B$5,'Controls &amp; Summary'!$B$4)</x:f>
        <x:v>6</x:v>
      </x:c>
      <x:c r="J268" s="31" t="n">
        <x:v>8.1</x:v>
      </x:c>
      <x:c r="K268" s="31" t="n">
        <x:v>7.88</x:v>
      </x:c>
      <x:c r="L268" s="31" t="n">
        <x:f>ABS(J268-K268)</x:f>
        <x:v>0.21999999999999975</x:v>
      </x:c>
      <x:c r="M268" s="31" t="n">
        <x:v>3</x:v>
      </x:c>
      <x:c r="N268" s="31" t="n">
        <x:v>3.3</x:v>
      </x:c>
      <x:c r="O268" s="31" t="n">
        <x:f>ABS(M268-N268)</x:f>
        <x:v>0.2999999999999998</x:v>
      </x:c>
      <x:c r="P268" s="31" t="n">
        <x:v>8.4</x:v>
      </x:c>
      <x:c r="Q268" s="31" t="n">
        <x:v>7.92</x:v>
      </x:c>
      <x:c r="R268" s="31" t="n">
        <x:f>ABS(P268-Q268)</x:f>
        <x:v>0.4800000000000004</x:v>
      </x:c>
      <x:c r="S268" s="32" t="n">
        <x:v>28665.59138674062</x:v>
      </x:c>
      <x:c r="T268" s="32" t="n">
        <x:v>15332.211618599593</x:v>
      </x:c>
      <x:c r="U268" s="31" t="n">
        <x:f>MAX(S268/T268,T268/S268)</x:f>
        <x:v>1.8696318639358087</x:v>
      </x:c>
      <x:c r="V268" s="31" t="n">
        <x:f>L268*'Controls &amp; Summary'!$B$9+O268*'Controls &amp; Summary'!$B$10+R268*'Controls &amp; Summary'!$B$11+U268*'Controls &amp; Summary'!$B$12</x:f>
        <x:v>2.8696318639358087</x:v>
      </x:c>
      <x:c r="W268" s="31" t="n">
        <x:v>6.27</x:v>
      </x:c>
      <x:c r="X268" s="31" t="n">
        <x:v>1.45</x:v>
      </x:c>
      <x:c r="Y268" s="31" t="n">
        <x:f>((10-MIN(10,MAX(0,X268)))/10)*'Controls &amp; Summary'!$B$15+((10-MIN(10,MAX(0,W268)))/10)*'Controls &amp; Summary'!$B$16</x:f>
        <x:v>1.2280000000000002</x:v>
      </x:c>
      <x:c r="Z268" s="31" t="n">
        <x:f>V268*Y268</x:f>
        <x:v>3.523907928913174</x:v>
      </x:c>
      <x:c r="AA268" s="30" t="str">
        <x:f>IF(Z268&lt;=I268,"Peaceful","Hostile")</x:f>
        <x:v>Peaceful</x:v>
      </x:c>
      <x:c r="AB268" s="30" t="str">
        <x:f>IF(Z268&lt;='Controls &amp; Summary'!$B$6,"Eligible","Blocked")</x:f>
        <x:v>Eligible</x:v>
      </x:c>
      <x:c r="AC268" s="30" t="str">
        <x:v>2003_JPN</x:v>
      </x:c>
      <x:c r="AD268" s="30" t="str">
        <x:v>2003_KOR</x:v>
      </x:c>
      <x:c r="AE268" s="30" t="str">
        <x:v>2003_SouthKorea</x:v>
      </x:c>
      <x:c r="AF268" s="30" t="str">
        <x:v>Explicit capitalClaim</x:v>
      </x:c>
      <x:c r="AG268" s="30" t="str">
        <x:v>Claim2003_JPN2003_SouthKorea</x:v>
      </x:c>
      <x:c r="AH268" s="30" t="str">
        <x:v>Project_PacificLeague</x:v>
      </x:c>
    </x:row>
    <x:row r="269">
      <x:c r="A269" s="30" t="str">
        <x:v>2003</x:v>
      </x:c>
      <x:c r="B269" s="30" t="str">
        <x:v>Dark Skies</x:v>
      </x:c>
      <x:c r="C269" s="30" t="str">
        <x:v>Japan</x:v>
      </x:c>
      <x:c r="D269" s="30" t="str">
        <x:v>Taiwan</x:v>
      </x:c>
      <x:c r="E269" s="30" t="str">
        <x:v>Project unlock</x:v>
      </x:c>
      <x:c r="F269" s="30" t="str">
        <x:v>Pacific League</x:v>
      </x:c>
      <x:c r="G269" s="30" t="str">
        <x:v>No</x:v>
      </x:c>
      <x:c r="H269" s="30" t="str">
        <x:v>Ordinary claim</x:v>
      </x:c>
      <x:c r="I269" s="31" t="n">
        <x:f>IF(G269="Yes",'Controls &amp; Summary'!$B$5,'Controls &amp; Summary'!$B$4)</x:f>
        <x:v>6</x:v>
      </x:c>
      <x:c r="J269" s="31" t="n">
        <x:v>8.1</x:v>
      </x:c>
      <x:c r="K269" s="31" t="n">
        <x:v>7.92</x:v>
      </x:c>
      <x:c r="L269" s="31" t="n">
        <x:f>ABS(J269-K269)</x:f>
        <x:v>0.17999999999999972</x:v>
      </x:c>
      <x:c r="M269" s="31" t="n">
        <x:v>3</x:v>
      </x:c>
      <x:c r="N269" s="31" t="n">
        <x:v>3.04</x:v>
      </x:c>
      <x:c r="O269" s="31" t="n">
        <x:f>ABS(M269-N269)</x:f>
        <x:v>0.040000000000000036</x:v>
      </x:c>
      <x:c r="P269" s="31" t="n">
        <x:v>8.4</x:v>
      </x:c>
      <x:c r="Q269" s="31" t="n">
        <x:v>8.09</x:v>
      </x:c>
      <x:c r="R269" s="31" t="n">
        <x:f>ABS(P269-Q269)</x:f>
        <x:v>0.3100000000000005</x:v>
      </x:c>
      <x:c r="S269" s="32" t="n">
        <x:v>28665.59138674062</x:v>
      </x:c>
      <x:c r="T269" s="32" t="n">
        <x:v>14003.689884343648</x:v>
      </x:c>
      <x:c r="U269" s="31" t="n">
        <x:f>MAX(S269/T269,T269/S269)</x:f>
        <x:v>2.0470027273875306</x:v>
      </x:c>
      <x:c r="V269" s="31" t="n">
        <x:f>L269*'Controls &amp; Summary'!$B$9+O269*'Controls &amp; Summary'!$B$10+R269*'Controls &amp; Summary'!$B$11+U269*'Controls &amp; Summary'!$B$12</x:f>
        <x:v>2.577002727387531</x:v>
      </x:c>
      <x:c r="W269" s="31" t="n">
        <x:v>6.27</x:v>
      </x:c>
      <x:c r="X269" s="31" t="n">
        <x:v>1.03</x:v>
      </x:c>
      <x:c r="Y269" s="31" t="n">
        <x:f>((10-MIN(10,MAX(0,X269)))/10)*'Controls &amp; Summary'!$B$15+((10-MIN(10,MAX(0,W269)))/10)*'Controls &amp; Summary'!$B$16</x:f>
        <x:v>1.27</x:v>
      </x:c>
      <x:c r="Z269" s="31" t="n">
        <x:f>V269*Y269</x:f>
        <x:v>3.2727934637821643</x:v>
      </x:c>
      <x:c r="AA269" s="30" t="str">
        <x:f>IF(Z269&lt;=I269,"Peaceful","Hostile")</x:f>
        <x:v>Peaceful</x:v>
      </x:c>
      <x:c r="AB269" s="30" t="str">
        <x:f>IF(Z269&lt;='Controls &amp; Summary'!$B$6,"Eligible","Blocked")</x:f>
        <x:v>Eligible</x:v>
      </x:c>
      <x:c r="AC269" s="30" t="str">
        <x:v>2003_JPN</x:v>
      </x:c>
      <x:c r="AD269" s="30" t="str">
        <x:v>2003_TWN</x:v>
      </x:c>
      <x:c r="AE269" s="30" t="str">
        <x:v>2003_Taiwan</x:v>
      </x:c>
      <x:c r="AF269" s="30" t="str">
        <x:v>Largest owned population fallback</x:v>
      </x:c>
      <x:c r="AG269" s="30" t="str">
        <x:v>Claim2003_JPN2003_Taiwan</x:v>
      </x:c>
      <x:c r="AH269" s="30" t="str">
        <x:v>Project_PacificLeague</x:v>
      </x:c>
    </x:row>
    <x:row r="270">
      <x:c r="A270" s="30" t="str">
        <x:v>2003</x:v>
      </x:c>
      <x:c r="B270" s="30" t="str">
        <x:v>Dark Skies</x:v>
      </x:c>
      <x:c r="C270" s="30" t="str">
        <x:v>Japan</x:v>
      </x:c>
      <x:c r="D270" s="30" t="str">
        <x:v>Vietnam</x:v>
      </x:c>
      <x:c r="E270" s="30" t="str">
        <x:v>Project unlock</x:v>
      </x:c>
      <x:c r="F270" s="30" t="str">
        <x:v>Pacific League</x:v>
      </x:c>
      <x:c r="G270" s="30" t="str">
        <x:v>No</x:v>
      </x:c>
      <x:c r="H270" s="30" t="str">
        <x:v>Ordinary claim</x:v>
      </x:c>
      <x:c r="I270" s="31" t="n">
        <x:f>IF(G270="Yes",'Controls &amp; Summary'!$B$5,'Controls &amp; Summary'!$B$4)</x:f>
        <x:v>6</x:v>
      </x:c>
      <x:c r="J270" s="31" t="n">
        <x:v>8.1</x:v>
      </x:c>
      <x:c r="K270" s="31" t="n">
        <x:v>2.62</x:v>
      </x:c>
      <x:c r="L270" s="31" t="n">
        <x:f>ABS(J270-K270)</x:f>
        <x:v>5.4799999999999995</x:v>
      </x:c>
      <x:c r="M270" s="31" t="n">
        <x:v>3</x:v>
      </x:c>
      <x:c r="N270" s="31" t="n">
        <x:v>3.7</x:v>
      </x:c>
      <x:c r="O270" s="31" t="n">
        <x:f>ABS(M270-N270)</x:f>
        <x:v>0.7000000000000002</x:v>
      </x:c>
      <x:c r="P270" s="31" t="n">
        <x:v>8.4</x:v>
      </x:c>
      <x:c r="Q270" s="31" t="n">
        <x:v>5.47</x:v>
      </x:c>
      <x:c r="R270" s="31" t="n">
        <x:f>ABS(P270-Q270)</x:f>
        <x:v>2.9300000000000006</x:v>
      </x:c>
      <x:c r="S270" s="32" t="n">
        <x:v>28665.59138674062</x:v>
      </x:c>
      <x:c r="T270" s="32" t="n">
        <x:v>2037.8370385307373</x:v>
      </x:c>
      <x:c r="U270" s="31" t="n">
        <x:f>MAX(S270/T270,T270/S270)</x:f>
        <x:v>14.06667503080043</x:v>
      </x:c>
      <x:c r="V270" s="31" t="n">
        <x:f>L270*'Controls &amp; Summary'!$B$9+O270*'Controls &amp; Summary'!$B$10+R270*'Controls &amp; Summary'!$B$11+U270*'Controls &amp; Summary'!$B$12</x:f>
        <x:v>23.176675030800432</x:v>
      </x:c>
      <x:c r="W270" s="31" t="n">
        <x:v>6.27</x:v>
      </x:c>
      <x:c r="X270" s="31" t="n">
        <x:v>2.27</x:v>
      </x:c>
      <x:c r="Y270" s="31" t="n">
        <x:f>((10-MIN(10,MAX(0,X270)))/10)*'Controls &amp; Summary'!$B$15+((10-MIN(10,MAX(0,W270)))/10)*'Controls &amp; Summary'!$B$16</x:f>
        <x:v>1.1460000000000001</x:v>
      </x:c>
      <x:c r="Z270" s="31" t="n">
        <x:f>V270*Y270</x:f>
        <x:v>26.560469585297298</x:v>
      </x:c>
      <x:c r="AA270" s="30" t="str">
        <x:f>IF(Z270&lt;=I270,"Peaceful","Hostile")</x:f>
        <x:v>Hostile</x:v>
      </x:c>
      <x:c r="AB270" s="30" t="str">
        <x:f>IF(Z270&lt;='Controls &amp; Summary'!$B$6,"Eligible","Blocked")</x:f>
        <x:v>Blocked</x:v>
      </x:c>
      <x:c r="AC270" s="30" t="str">
        <x:v>2003_JPN</x:v>
      </x:c>
      <x:c r="AD270" s="30" t="str">
        <x:v>2003_VNM</x:v>
      </x:c>
      <x:c r="AE270" s="30" t="str">
        <x:v>2003_Hanoi</x:v>
      </x:c>
      <x:c r="AF270" s="30" t="str">
        <x:v>Explicit capitalClaim</x:v>
      </x:c>
      <x:c r="AG270" s="30" t="str">
        <x:v>Claim2003_JPN2003_Hanoi</x:v>
      </x:c>
      <x:c r="AH270" s="30" t="str">
        <x:v>Project_PacificLeague</x:v>
      </x:c>
    </x:row>
    <x:row r="271">
      <x:c r="A271" s="30" t="str">
        <x:v>2003</x:v>
      </x:c>
      <x:c r="B271" s="30" t="str">
        <x:v>Dark Skies</x:v>
      </x:c>
      <x:c r="C271" s="30" t="str">
        <x:v>Jordan</x:v>
      </x:c>
      <x:c r="D271" s="30" t="str">
        <x:v>Palestine</x:v>
      </x:c>
      <x:c r="E271" s="30" t="str">
        <x:v>Starting claim</x:v>
      </x:c>
      <x:c r="F271" s="30" t="str"/>
      <x:c r="G271" s="30" t="str">
        <x:v>No</x:v>
      </x:c>
      <x:c r="H271" s="30" t="str">
        <x:v>Ordinary claim</x:v>
      </x:c>
      <x:c r="I271" s="31" t="n">
        <x:f>IF(G271="Yes",'Controls &amp; Summary'!$B$5,'Controls &amp; Summary'!$B$4)</x:f>
        <x:v>6</x:v>
      </x:c>
      <x:c r="J271" s="31" t="n">
        <x:v>3.53</x:v>
      </x:c>
      <x:c r="K271" s="31" t="n">
        <x:v>5.87</x:v>
      </x:c>
      <x:c r="L271" s="31" t="n">
        <x:f>ABS(J271-K271)</x:f>
        <x:v>2.3400000000000003</x:v>
      </x:c>
      <x:c r="M271" s="31" t="n">
        <x:v>3.86</x:v>
      </x:c>
      <x:c r="N271" s="31" t="n">
        <x:v>3.94</x:v>
      </x:c>
      <x:c r="O271" s="31" t="n">
        <x:f>ABS(M271-N271)</x:f>
        <x:v>0.08000000000000007</x:v>
      </x:c>
      <x:c r="P271" s="31" t="n">
        <x:v>6.17</x:v>
      </x:c>
      <x:c r="Q271" s="31" t="n">
        <x:v>5.74</x:v>
      </x:c>
      <x:c r="R271" s="31" t="n">
        <x:f>ABS(P271-Q271)</x:f>
        <x:v>0.4299999999999997</x:v>
      </x:c>
      <x:c r="S271" s="32" t="n">
        <x:v>3890.0951595902907</x:v>
      </x:c>
      <x:c r="T271" s="32" t="n">
        <x:v>1505.3264582542442</x:v>
      </x:c>
      <x:c r="U271" s="31" t="n">
        <x:f>MAX(S271/T271,T271/S271)</x:f>
        <x:v>2.5842202787704323</x:v>
      </x:c>
      <x:c r="V271" s="31" t="n">
        <x:f>L271*'Controls &amp; Summary'!$B$9+O271*'Controls &amp; Summary'!$B$10+R271*'Controls &amp; Summary'!$B$11+U271*'Controls &amp; Summary'!$B$12</x:f>
        <x:v>5.434220278770432</x:v>
      </x:c>
      <x:c r="W271" s="31" t="n">
        <x:v>3.05</x:v>
      </x:c>
      <x:c r="X271" s="31" t="n">
        <x:v>4.19</x:v>
      </x:c>
      <x:c r="Y271" s="31" t="n">
        <x:f>((10-MIN(10,MAX(0,X271)))/10)*'Controls &amp; Summary'!$B$15+((10-MIN(10,MAX(0,W271)))/10)*'Controls &amp; Summary'!$B$16</x:f>
        <x:v>1.276</x:v>
      </x:c>
      <x:c r="Z271" s="31" t="n">
        <x:f>V271*Y271</x:f>
        <x:v>6.934065075711072</x:v>
      </x:c>
      <x:c r="AA271" s="30" t="str">
        <x:f>IF(Z271&lt;=I271,"Peaceful","Hostile")</x:f>
        <x:v>Hostile</x:v>
      </x:c>
      <x:c r="AB271" s="30" t="str">
        <x:f>IF(Z271&lt;='Controls &amp; Summary'!$B$6,"Eligible","Blocked")</x:f>
        <x:v>Eligible</x:v>
      </x:c>
      <x:c r="AC271" s="30" t="str">
        <x:v>2003_JOR</x:v>
      </x:c>
      <x:c r="AD271" s="30" t="str">
        <x:v>2003_PAL</x:v>
      </x:c>
      <x:c r="AE271" s="30" t="str">
        <x:v>2003_Palestine</x:v>
      </x:c>
      <x:c r="AF271" s="30" t="str">
        <x:v>Explicit capitalClaim</x:v>
      </x:c>
      <x:c r="AG271" s="30" t="str">
        <x:v>Claim2003_JOR2003_Palestine</x:v>
      </x:c>
      <x:c r="AH271" s="30" t="str"/>
    </x:row>
    <x:row r="272">
      <x:c r="A272" s="30" t="str">
        <x:v>2003</x:v>
      </x:c>
      <x:c r="B272" s="30" t="str">
        <x:v>Dark Skies</x:v>
      </x:c>
      <x:c r="C272" s="30" t="str">
        <x:v>Kazakhstan</x:v>
      </x:c>
      <x:c r="D272" s="30" t="str">
        <x:v>Kyrgyzstan</x:v>
      </x:c>
      <x:c r="E272" s="30" t="str">
        <x:v>Project unlock</x:v>
      </x:c>
      <x:c r="F272" s="30" t="str">
        <x:v>Central Asian Union</x:v>
      </x:c>
      <x:c r="G272" s="30" t="str">
        <x:v>No</x:v>
      </x:c>
      <x:c r="H272" s="30" t="str">
        <x:v>Ordinary claim</x:v>
      </x:c>
      <x:c r="I272" s="31" t="n">
        <x:f>IF(G272="Yes",'Controls &amp; Summary'!$B$5,'Controls &amp; Summary'!$B$4)</x:f>
        <x:v>6</x:v>
      </x:c>
      <x:c r="J272" s="31" t="n">
        <x:v>3.61</x:v>
      </x:c>
      <x:c r="K272" s="31" t="n">
        <x:v>3.85</x:v>
      </x:c>
      <x:c r="L272" s="31" t="n">
        <x:f>ABS(J272-K272)</x:f>
        <x:v>0.2400000000000002</x:v>
      </x:c>
      <x:c r="M272" s="31" t="n">
        <x:v>3.09</x:v>
      </x:c>
      <x:c r="N272" s="31" t="n">
        <x:v>3.46</x:v>
      </x:c>
      <x:c r="O272" s="31" t="n">
        <x:f>ABS(M272-N272)</x:f>
        <x:v>0.3700000000000001</x:v>
      </x:c>
      <x:c r="P272" s="31" t="n">
        <x:v>6.6</x:v>
      </x:c>
      <x:c r="Q272" s="31" t="n">
        <x:v>5.61</x:v>
      </x:c>
      <x:c r="R272" s="31" t="n">
        <x:f>ABS(P272-Q272)</x:f>
        <x:v>0.9899999999999993</x:v>
      </x:c>
      <x:c r="S272" s="32" t="n">
        <x:v>5957.809047663802</x:v>
      </x:c>
      <x:c r="T272" s="32" t="n">
        <x:v>1493.3219967275404</x:v>
      </x:c>
      <x:c r="U272" s="31" t="n">
        <x:f>MAX(S272/T272,T272/S272)</x:f>
        <x:v>3.989634560208528</x:v>
      </x:c>
      <x:c r="V272" s="31" t="n">
        <x:f>L272*'Controls &amp; Summary'!$B$9+O272*'Controls &amp; Summary'!$B$10+R272*'Controls &amp; Summary'!$B$11+U272*'Controls &amp; Summary'!$B$12</x:f>
        <x:v>5.589634560208528</x:v>
      </x:c>
      <x:c r="W272" s="31" t="n">
        <x:v>3.19</x:v>
      </x:c>
      <x:c r="X272" s="31" t="n">
        <x:v>1.62</x:v>
      </x:c>
      <x:c r="Y272" s="31" t="n">
        <x:f>((10-MIN(10,MAX(0,X272)))/10)*'Controls &amp; Summary'!$B$15+((10-MIN(10,MAX(0,W272)))/10)*'Controls &amp; Summary'!$B$16</x:f>
        <x:v>1.519</x:v>
      </x:c>
      <x:c r="Z272" s="31" t="n">
        <x:f>V272*Y272</x:f>
        <x:v>8.490654896956753</x:v>
      </x:c>
      <x:c r="AA272" s="30" t="str">
        <x:f>IF(Z272&lt;=I272,"Peaceful","Hostile")</x:f>
        <x:v>Hostile</x:v>
      </x:c>
      <x:c r="AB272" s="30" t="str">
        <x:f>IF(Z272&lt;='Controls &amp; Summary'!$B$6,"Eligible","Blocked")</x:f>
        <x:v>Eligible</x:v>
      </x:c>
      <x:c r="AC272" s="30" t="str">
        <x:v>2003_KAZ</x:v>
      </x:c>
      <x:c r="AD272" s="30" t="str">
        <x:v>2003_KGZ</x:v>
      </x:c>
      <x:c r="AE272" s="30" t="str">
        <x:v>2003_Kyrgyzstan</x:v>
      </x:c>
      <x:c r="AF272" s="30" t="str">
        <x:v>Explicit capitalClaim</x:v>
      </x:c>
      <x:c r="AG272" s="30" t="str">
        <x:v>Claim2003_KAZ2003_Kyrgyzstan</x:v>
      </x:c>
      <x:c r="AH272" s="30" t="str">
        <x:v>Project_CentralAsianUnion</x:v>
      </x:c>
    </x:row>
    <x:row r="273">
      <x:c r="A273" s="30" t="str">
        <x:v>2003</x:v>
      </x:c>
      <x:c r="B273" s="30" t="str">
        <x:v>Dark Skies</x:v>
      </x:c>
      <x:c r="C273" s="30" t="str">
        <x:v>Kazakhstan</x:v>
      </x:c>
      <x:c r="D273" s="30" t="str">
        <x:v>Tajikistan</x:v>
      </x:c>
      <x:c r="E273" s="30" t="str">
        <x:v>Project unlock</x:v>
      </x:c>
      <x:c r="F273" s="30" t="str">
        <x:v>Central Asian Union</x:v>
      </x:c>
      <x:c r="G273" s="30" t="str">
        <x:v>No</x:v>
      </x:c>
      <x:c r="H273" s="30" t="str">
        <x:v>Ordinary claim</x:v>
      </x:c>
      <x:c r="I273" s="31" t="n">
        <x:f>IF(G273="Yes",'Controls &amp; Summary'!$B$5,'Controls &amp; Summary'!$B$4)</x:f>
        <x:v>6</x:v>
      </x:c>
      <x:c r="J273" s="31" t="n">
        <x:v>3.61</x:v>
      </x:c>
      <x:c r="K273" s="31" t="n">
        <x:v>2.57</x:v>
      </x:c>
      <x:c r="L273" s="31" t="n">
        <x:f>ABS(J273-K273)</x:f>
        <x:v>1.04</x:v>
      </x:c>
      <x:c r="M273" s="31" t="n">
        <x:v>3.09</x:v>
      </x:c>
      <x:c r="N273" s="31" t="n">
        <x:v>4.28</x:v>
      </x:c>
      <x:c r="O273" s="31" t="n">
        <x:f>ABS(M273-N273)</x:f>
        <x:v>1.1900000000000004</x:v>
      </x:c>
      <x:c r="P273" s="31" t="n">
        <x:v>6.6</x:v>
      </x:c>
      <x:c r="Q273" s="31" t="n">
        <x:v>5</x:v>
      </x:c>
      <x:c r="R273" s="31" t="n">
        <x:f>ABS(P273-Q273)</x:f>
        <x:v>1.5999999999999996</x:v>
      </x:c>
      <x:c r="S273" s="32" t="n">
        <x:v>5957.809047663802</x:v>
      </x:c>
      <x:c r="T273" s="32" t="n">
        <x:v>710.4236802919544</x:v>
      </x:c>
      <x:c r="U273" s="31" t="n">
        <x:f>MAX(S273/T273,T273/S273)</x:f>
        <x:v>8.386275982826744</x:v>
      </x:c>
      <x:c r="V273" s="31" t="n">
        <x:f>L273*'Controls &amp; Summary'!$B$9+O273*'Controls &amp; Summary'!$B$10+R273*'Controls &amp; Summary'!$B$11+U273*'Controls &amp; Summary'!$B$12</x:f>
        <x:v>12.216275982826744</x:v>
      </x:c>
      <x:c r="W273" s="31" t="n">
        <x:v>3.19</x:v>
      </x:c>
      <x:c r="X273" s="31" t="n">
        <x:v>4.55</x:v>
      </x:c>
      <x:c r="Y273" s="31" t="n">
        <x:f>((10-MIN(10,MAX(0,X273)))/10)*'Controls &amp; Summary'!$B$15+((10-MIN(10,MAX(0,W273)))/10)*'Controls &amp; Summary'!$B$16</x:f>
        <x:v>1.226</x:v>
      </x:c>
      <x:c r="Z273" s="31" t="n">
        <x:f>V273*Y273</x:f>
        <x:v>14.977154354945588</x:v>
      </x:c>
      <x:c r="AA273" s="30" t="str">
        <x:f>IF(Z273&lt;=I273,"Peaceful","Hostile")</x:f>
        <x:v>Hostile</x:v>
      </x:c>
      <x:c r="AB273" s="30" t="str">
        <x:f>IF(Z273&lt;='Controls &amp; Summary'!$B$6,"Eligible","Blocked")</x:f>
        <x:v>Blocked</x:v>
      </x:c>
      <x:c r="AC273" s="30" t="str">
        <x:v>2003_KAZ</x:v>
      </x:c>
      <x:c r="AD273" s="30" t="str">
        <x:v>2003_TJK</x:v>
      </x:c>
      <x:c r="AE273" s="30" t="str">
        <x:v>2003_Tajikistan</x:v>
      </x:c>
      <x:c r="AF273" s="30" t="str">
        <x:v>Explicit capitalClaim</x:v>
      </x:c>
      <x:c r="AG273" s="30" t="str">
        <x:v>Claim2003_KAZ2003_Tajikistan</x:v>
      </x:c>
      <x:c r="AH273" s="30" t="str">
        <x:v>Project_CentralAsianUnion</x:v>
      </x:c>
    </x:row>
    <x:row r="274">
      <x:c r="A274" s="30" t="str">
        <x:v>2003</x:v>
      </x:c>
      <x:c r="B274" s="30" t="str">
        <x:v>Dark Skies</x:v>
      </x:c>
      <x:c r="C274" s="30" t="str">
        <x:v>Kazakhstan</x:v>
      </x:c>
      <x:c r="D274" s="30" t="str">
        <x:v>Turkmenistan</x:v>
      </x:c>
      <x:c r="E274" s="30" t="str">
        <x:v>Project unlock</x:v>
      </x:c>
      <x:c r="F274" s="30" t="str">
        <x:v>Central Asian Union</x:v>
      </x:c>
      <x:c r="G274" s="30" t="str">
        <x:v>No</x:v>
      </x:c>
      <x:c r="H274" s="30" t="str">
        <x:v>Ordinary claim</x:v>
      </x:c>
      <x:c r="I274" s="31" t="n">
        <x:f>IF(G274="Yes",'Controls &amp; Summary'!$B$5,'Controls &amp; Summary'!$B$4)</x:f>
        <x:v>6</x:v>
      </x:c>
      <x:c r="J274" s="31" t="n">
        <x:v>3.61</x:v>
      </x:c>
      <x:c r="K274" s="31" t="n">
        <x:v>1.83</x:v>
      </x:c>
      <x:c r="L274" s="31" t="n">
        <x:f>ABS(J274-K274)</x:f>
        <x:v>1.7799999999999998</x:v>
      </x:c>
      <x:c r="M274" s="31" t="n">
        <x:v>3.09</x:v>
      </x:c>
      <x:c r="N274" s="31" t="n">
        <x:v>3.46</x:v>
      </x:c>
      <x:c r="O274" s="31" t="n">
        <x:f>ABS(M274-N274)</x:f>
        <x:v>0.3700000000000001</x:v>
      </x:c>
      <x:c r="P274" s="31" t="n">
        <x:v>6.6</x:v>
      </x:c>
      <x:c r="Q274" s="31" t="n">
        <x:v>5.73</x:v>
      </x:c>
      <x:c r="R274" s="31" t="n">
        <x:f>ABS(P274-Q274)</x:f>
        <x:v>0.8699999999999992</x:v>
      </x:c>
      <x:c r="S274" s="32" t="n">
        <x:v>5957.809047663802</x:v>
      </x:c>
      <x:c r="T274" s="32" t="n">
        <x:v>3342.001679734121</x:v>
      </x:c>
      <x:c r="U274" s="31" t="n">
        <x:f>MAX(S274/T274,T274/S274)</x:f>
        <x:v>1.7827067783334527</x:v>
      </x:c>
      <x:c r="V274" s="31" t="n">
        <x:f>L274*'Controls &amp; Summary'!$B$9+O274*'Controls &amp; Summary'!$B$10+R274*'Controls &amp; Summary'!$B$11+U274*'Controls &amp; Summary'!$B$12</x:f>
        <x:v>4.802706778333452</x:v>
      </x:c>
      <x:c r="W274" s="31" t="n">
        <x:v>3.19</x:v>
      </x:c>
      <x:c r="X274" s="31" t="n">
        <x:v>2.47</x:v>
      </x:c>
      <x:c r="Y274" s="31" t="n">
        <x:f>((10-MIN(10,MAX(0,X274)))/10)*'Controls &amp; Summary'!$B$15+((10-MIN(10,MAX(0,W274)))/10)*'Controls &amp; Summary'!$B$16</x:f>
        <x:v>1.434</x:v>
      </x:c>
      <x:c r="Z274" s="31" t="n">
        <x:f>V274*Y274</x:f>
        <x:v>6.887081520130169</x:v>
      </x:c>
      <x:c r="AA274" s="30" t="str">
        <x:f>IF(Z274&lt;=I274,"Peaceful","Hostile")</x:f>
        <x:v>Hostile</x:v>
      </x:c>
      <x:c r="AB274" s="30" t="str">
        <x:f>IF(Z274&lt;='Controls &amp; Summary'!$B$6,"Eligible","Blocked")</x:f>
        <x:v>Eligible</x:v>
      </x:c>
      <x:c r="AC274" s="30" t="str">
        <x:v>2003_KAZ</x:v>
      </x:c>
      <x:c r="AD274" s="30" t="str">
        <x:v>2003_TKM</x:v>
      </x:c>
      <x:c r="AE274" s="30" t="str">
        <x:v>2003_Turkmenistan</x:v>
      </x:c>
      <x:c r="AF274" s="30" t="str">
        <x:v>Explicit capitalClaim</x:v>
      </x:c>
      <x:c r="AG274" s="30" t="str">
        <x:v>Claim2003_KAZ2003_Turkmenistan</x:v>
      </x:c>
      <x:c r="AH274" s="30" t="str">
        <x:v>Project_CentralAsianUnion</x:v>
      </x:c>
    </x:row>
    <x:row r="275">
      <x:c r="A275" s="30" t="str">
        <x:v>2003</x:v>
      </x:c>
      <x:c r="B275" s="30" t="str">
        <x:v>Dark Skies</x:v>
      </x:c>
      <x:c r="C275" s="30" t="str">
        <x:v>Kazakhstan</x:v>
      </x:c>
      <x:c r="D275" s="30" t="str">
        <x:v>Uzbekistan</x:v>
      </x:c>
      <x:c r="E275" s="30" t="str">
        <x:v>Project unlock</x:v>
      </x:c>
      <x:c r="F275" s="30" t="str">
        <x:v>Central Asian Union</x:v>
      </x:c>
      <x:c r="G275" s="30" t="str">
        <x:v>No</x:v>
      </x:c>
      <x:c r="H275" s="30" t="str">
        <x:v>Ordinary claim</x:v>
      </x:c>
      <x:c r="I275" s="31" t="n">
        <x:f>IF(G275="Yes",'Controls &amp; Summary'!$B$5,'Controls &amp; Summary'!$B$4)</x:f>
        <x:v>6</x:v>
      </x:c>
      <x:c r="J275" s="31" t="n">
        <x:v>3.61</x:v>
      </x:c>
      <x:c r="K275" s="31" t="n">
        <x:v>1.87</x:v>
      </x:c>
      <x:c r="L275" s="31" t="n">
        <x:f>ABS(J275-K275)</x:f>
        <x:v>1.7399999999999998</x:v>
      </x:c>
      <x:c r="M275" s="31" t="n">
        <x:v>3.09</x:v>
      </x:c>
      <x:c r="N275" s="31" t="n">
        <x:v>3.36</x:v>
      </x:c>
      <x:c r="O275" s="31" t="n">
        <x:f>ABS(M275-N275)</x:f>
        <x:v>0.27</x:v>
      </x:c>
      <x:c r="P275" s="31" t="n">
        <x:v>6.6</x:v>
      </x:c>
      <x:c r="Q275" s="31" t="n">
        <x:v>5.42</x:v>
      </x:c>
      <x:c r="R275" s="31" t="n">
        <x:f>ABS(P275-Q275)</x:f>
        <x:v>1.1799999999999997</x:v>
      </x:c>
      <x:c r="S275" s="32" t="n">
        <x:v>5957.809047663802</x:v>
      </x:c>
      <x:c r="T275" s="32" t="n">
        <x:v>1630.113900762308</x:v>
      </x:c>
      <x:c r="U275" s="31" t="n">
        <x:f>MAX(S275/T275,T275/S275)</x:f>
        <x:v>3.6548421830386735</x:v>
      </x:c>
      <x:c r="V275" s="31" t="n">
        <x:f>L275*'Controls &amp; Summary'!$B$9+O275*'Controls &amp; Summary'!$B$10+R275*'Controls &amp; Summary'!$B$11+U275*'Controls &amp; Summary'!$B$12</x:f>
        <x:v>6.844842183038673</x:v>
      </x:c>
      <x:c r="W275" s="31" t="n">
        <x:v>3.19</x:v>
      </x:c>
      <x:c r="X275" s="31" t="n">
        <x:v>3.87</x:v>
      </x:c>
      <x:c r="Y275" s="31" t="n">
        <x:f>((10-MIN(10,MAX(0,X275)))/10)*'Controls &amp; Summary'!$B$15+((10-MIN(10,MAX(0,W275)))/10)*'Controls &amp; Summary'!$B$16</x:f>
        <x:v>1.294</x:v>
      </x:c>
      <x:c r="Z275" s="31" t="n">
        <x:f>V275*Y275</x:f>
        <x:v>8.857225784852043</x:v>
      </x:c>
      <x:c r="AA275" s="30" t="str">
        <x:f>IF(Z275&lt;=I275,"Peaceful","Hostile")</x:f>
        <x:v>Hostile</x:v>
      </x:c>
      <x:c r="AB275" s="30" t="str">
        <x:f>IF(Z275&lt;='Controls &amp; Summary'!$B$6,"Eligible","Blocked")</x:f>
        <x:v>Eligible</x:v>
      </x:c>
      <x:c r="AC275" s="30" t="str">
        <x:v>2003_KAZ</x:v>
      </x:c>
      <x:c r="AD275" s="30" t="str">
        <x:v>2003_UZB</x:v>
      </x:c>
      <x:c r="AE275" s="30" t="str">
        <x:v>2003_Uzbekistan</x:v>
      </x:c>
      <x:c r="AF275" s="30" t="str">
        <x:v>Explicit capitalClaim</x:v>
      </x:c>
      <x:c r="AG275" s="30" t="str">
        <x:v>Claim2003_KAZ2003_Uzbekistan</x:v>
      </x:c>
      <x:c r="AH275" s="30" t="str">
        <x:v>Project_CentralAsianUnion</x:v>
      </x:c>
    </x:row>
    <x:row r="276">
      <x:c r="A276" s="30" t="str">
        <x:v>2003</x:v>
      </x:c>
      <x:c r="B276" s="30" t="str">
        <x:v>Dark Skies</x:v>
      </x:c>
      <x:c r="C276" s="30" t="str">
        <x:v>Malaysia</x:v>
      </x:c>
      <x:c r="D276" s="30" t="str">
        <x:v>Brunei</x:v>
      </x:c>
      <x:c r="E276" s="30" t="str">
        <x:v>Project unlock</x:v>
      </x:c>
      <x:c r="F276" s="30" t="str">
        <x:v>United Malay Nation</x:v>
      </x:c>
      <x:c r="G276" s="30" t="str">
        <x:v>No</x:v>
      </x:c>
      <x:c r="H276" s="30" t="str">
        <x:v>Ordinary claim</x:v>
      </x:c>
      <x:c r="I276" s="31" t="n">
        <x:f>IF(G276="Yes",'Controls &amp; Summary'!$B$5,'Controls &amp; Summary'!$B$4)</x:f>
        <x:v>6</x:v>
      </x:c>
      <x:c r="J276" s="31" t="n">
        <x:v>5.71</x:v>
      </x:c>
      <x:c r="K276" s="31" t="n">
        <x:v>2.33</x:v>
      </x:c>
      <x:c r="L276" s="31" t="n">
        <x:f>ABS(J276-K276)</x:f>
        <x:v>3.38</x:v>
      </x:c>
      <x:c r="M276" s="31" t="n">
        <x:v>4.16</x:v>
      </x:c>
      <x:c r="N276" s="31" t="n">
        <x:v>4.65</x:v>
      </x:c>
      <x:c r="O276" s="31" t="n">
        <x:f>ABS(M276-N276)</x:f>
        <x:v>0.4900000000000002</x:v>
      </x:c>
      <x:c r="P276" s="31" t="n">
        <x:v>6.65</x:v>
      </x:c>
      <x:c r="Q276" s="31" t="n">
        <x:v>7.39</x:v>
      </x:c>
      <x:c r="R276" s="31" t="n">
        <x:f>ABS(P276-Q276)</x:f>
        <x:v>0.7399999999999993</x:v>
      </x:c>
      <x:c r="S276" s="32" t="n">
        <x:v>7805.958670484231</x:v>
      </x:c>
      <x:c r="T276" s="32" t="n">
        <x:v>33813.622411917946</x:v>
      </x:c>
      <x:c r="U276" s="31" t="n">
        <x:f>MAX(S276/T276,T276/S276)</x:f>
        <x:v>4.33177061771714</x:v>
      </x:c>
      <x:c r="V276" s="31" t="n">
        <x:f>L276*'Controls &amp; Summary'!$B$9+O276*'Controls &amp; Summary'!$B$10+R276*'Controls &amp; Summary'!$B$11+U276*'Controls &amp; Summary'!$B$12</x:f>
        <x:v>8.94177061771714</x:v>
      </x:c>
      <x:c r="W276" s="31" t="n">
        <x:v>3.43</x:v>
      </x:c>
      <x:c r="X276" s="31" t="n">
        <x:v>1</x:v>
      </x:c>
      <x:c r="Y276" s="31" t="n">
        <x:f>((10-MIN(10,MAX(0,X276)))/10)*'Controls &amp; Summary'!$B$15+((10-MIN(10,MAX(0,W276)))/10)*'Controls &amp; Summary'!$B$16</x:f>
        <x:v>1.557</x:v>
      </x:c>
      <x:c r="Z276" s="31" t="n">
        <x:f>V276*Y276</x:f>
        <x:v>13.922336851785586</x:v>
      </x:c>
      <x:c r="AA276" s="30" t="str">
        <x:f>IF(Z276&lt;=I276,"Peaceful","Hostile")</x:f>
        <x:v>Hostile</x:v>
      </x:c>
      <x:c r="AB276" s="30" t="str">
        <x:f>IF(Z276&lt;='Controls &amp; Summary'!$B$6,"Eligible","Blocked")</x:f>
        <x:v>Blocked</x:v>
      </x:c>
      <x:c r="AC276" s="30" t="str">
        <x:v>2003_MYS</x:v>
      </x:c>
      <x:c r="AD276" s="30" t="str">
        <x:v>2003_BRU</x:v>
      </x:c>
      <x:c r="AE276" s="30" t="str">
        <x:v>2003_Brunei</x:v>
      </x:c>
      <x:c r="AF276" s="30" t="str">
        <x:v>Explicit capitalClaim</x:v>
      </x:c>
      <x:c r="AG276" s="30" t="str">
        <x:v>Claim2003_MYS2003_Brunei</x:v>
      </x:c>
      <x:c r="AH276" s="30" t="str">
        <x:v>Project_UnitedMalayNation</x:v>
      </x:c>
    </x:row>
    <x:row r="277">
      <x:c r="A277" s="30" t="str">
        <x:v>2003</x:v>
      </x:c>
      <x:c r="B277" s="30" t="str">
        <x:v>Dark Skies</x:v>
      </x:c>
      <x:c r="C277" s="30" t="str">
        <x:v>Malaysia</x:v>
      </x:c>
      <x:c r="D277" s="30" t="str">
        <x:v>Indonesia</x:v>
      </x:c>
      <x:c r="E277" s="30" t="str">
        <x:v>Project unlock</x:v>
      </x:c>
      <x:c r="F277" s="30" t="str">
        <x:v>United Malay Nation</x:v>
      </x:c>
      <x:c r="G277" s="30" t="str">
        <x:v>No</x:v>
      </x:c>
      <x:c r="H277" s="30" t="str">
        <x:v>Ordinary claim</x:v>
      </x:c>
      <x:c r="I277" s="31" t="n">
        <x:f>IF(G277="Yes",'Controls &amp; Summary'!$B$5,'Controls &amp; Summary'!$B$4)</x:f>
        <x:v>6</x:v>
      </x:c>
      <x:c r="J277" s="31" t="n">
        <x:v>5.71</x:v>
      </x:c>
      <x:c r="K277" s="31" t="n">
        <x:v>6.21</x:v>
      </x:c>
      <x:c r="L277" s="31" t="n">
        <x:f>ABS(J277-K277)</x:f>
        <x:v>0.5</x:v>
      </x:c>
      <x:c r="M277" s="31" t="n">
        <x:v>4.16</x:v>
      </x:c>
      <x:c r="N277" s="31" t="n">
        <x:v>4.16</x:v>
      </x:c>
      <x:c r="O277" s="31" t="n">
        <x:f>ABS(M277-N277)</x:f>
        <x:v>0</x:v>
      </x:c>
      <x:c r="P277" s="31" t="n">
        <x:v>6.65</x:v>
      </x:c>
      <x:c r="Q277" s="31" t="n">
        <x:v>5.42</x:v>
      </x:c>
      <x:c r="R277" s="31" t="n">
        <x:f>ABS(P277-Q277)</x:f>
        <x:v>1.2300000000000004</x:v>
      </x:c>
      <x:c r="S277" s="32" t="n">
        <x:v>7805.958670484231</x:v>
      </x:c>
      <x:c r="T277" s="32" t="n">
        <x:v>2643.8374101449504</x:v>
      </x:c>
      <x:c r="U277" s="31" t="n">
        <x:f>MAX(S277/T277,T277/S277)</x:f>
        <x:v>2.9525108618749227</x:v>
      </x:c>
      <x:c r="V277" s="31" t="n">
        <x:f>L277*'Controls &amp; Summary'!$B$9+O277*'Controls &amp; Summary'!$B$10+R277*'Controls &amp; Summary'!$B$11+U277*'Controls &amp; Summary'!$B$12</x:f>
        <x:v>4.682510861874923</x:v>
      </x:c>
      <x:c r="W277" s="31" t="n">
        <x:v>3.43</x:v>
      </x:c>
      <x:c r="X277" s="31" t="n">
        <x:v>5.65</x:v>
      </x:c>
      <x:c r="Y277" s="31" t="n">
        <x:f>((10-MIN(10,MAX(0,X277)))/10)*'Controls &amp; Summary'!$B$15+((10-MIN(10,MAX(0,W277)))/10)*'Controls &amp; Summary'!$B$16</x:f>
        <x:v>1.092</x:v>
      </x:c>
      <x:c r="Z277" s="31" t="n">
        <x:f>V277*Y277</x:f>
        <x:v>5.113301861167416</x:v>
      </x:c>
      <x:c r="AA277" s="30" t="str">
        <x:f>IF(Z277&lt;=I277,"Peaceful","Hostile")</x:f>
        <x:v>Peaceful</x:v>
      </x:c>
      <x:c r="AB277" s="30" t="str">
        <x:f>IF(Z277&lt;='Controls &amp; Summary'!$B$6,"Eligible","Blocked")</x:f>
        <x:v>Eligible</x:v>
      </x:c>
      <x:c r="AC277" s="30" t="str">
        <x:v>2003_MYS</x:v>
      </x:c>
      <x:c r="AD277" s="30" t="str">
        <x:v>2003_IDN</x:v>
      </x:c>
      <x:c r="AE277" s="30" t="str">
        <x:v>2003_Java</x:v>
      </x:c>
      <x:c r="AF277" s="30" t="str">
        <x:v>Explicit capitalClaim</x:v>
      </x:c>
      <x:c r="AG277" s="30" t="str">
        <x:v>Claim2003_MYS2003_Java</x:v>
      </x:c>
      <x:c r="AH277" s="30" t="str">
        <x:v>Project_UnitedMalayNation</x:v>
      </x:c>
    </x:row>
    <x:row r="278">
      <x:c r="A278" s="30" t="str">
        <x:v>2003</x:v>
      </x:c>
      <x:c r="B278" s="30" t="str">
        <x:v>Dark Skies</x:v>
      </x:c>
      <x:c r="C278" s="30" t="str">
        <x:v>Malaysia</x:v>
      </x:c>
      <x:c r="D278" s="30" t="str">
        <x:v>Philippines</x:v>
      </x:c>
      <x:c r="E278" s="30" t="str">
        <x:v>Project unlock</x:v>
      </x:c>
      <x:c r="F278" s="30" t="str">
        <x:v>Greater Malaysia</x:v>
      </x:c>
      <x:c r="G278" s="30" t="str">
        <x:v>No</x:v>
      </x:c>
      <x:c r="H278" s="30" t="str">
        <x:v>Ordinary claim</x:v>
      </x:c>
      <x:c r="I278" s="31" t="n">
        <x:f>IF(G278="Yes",'Controls &amp; Summary'!$B$5,'Controls &amp; Summary'!$B$4)</x:f>
        <x:v>6</x:v>
      </x:c>
      <x:c r="J278" s="31" t="n">
        <x:v>5.71</x:v>
      </x:c>
      <x:c r="K278" s="31" t="n">
        <x:v>6.82</x:v>
      </x:c>
      <x:c r="L278" s="31" t="n">
        <x:f>ABS(J278-K278)</x:f>
        <x:v>1.1100000000000003</x:v>
      </x:c>
      <x:c r="M278" s="31" t="n">
        <x:v>4.16</x:v>
      </x:c>
      <x:c r="N278" s="31" t="n">
        <x:v>4.19</x:v>
      </x:c>
      <x:c r="O278" s="31" t="n">
        <x:f>ABS(M278-N278)</x:f>
        <x:v>0.03000000000000025</x:v>
      </x:c>
      <x:c r="P278" s="31" t="n">
        <x:v>6.65</x:v>
      </x:c>
      <x:c r="Q278" s="31" t="n">
        <x:v>5.67</x:v>
      </x:c>
      <x:c r="R278" s="31" t="n">
        <x:f>ABS(P278-Q278)</x:f>
        <x:v>0.9800000000000004</x:v>
      </x:c>
      <x:c r="S278" s="32" t="n">
        <x:v>7805.958670484231</x:v>
      </x:c>
      <x:c r="T278" s="32" t="n">
        <x:v>2040.4656608817693</x:v>
      </x:c>
      <x:c r="U278" s="31" t="n">
        <x:f>MAX(S278/T278,T278/S278)</x:f>
        <x:v>3.8255770827875413</x:v>
      </x:c>
      <x:c r="V278" s="31" t="n">
        <x:f>L278*'Controls &amp; Summary'!$B$9+O278*'Controls &amp; Summary'!$B$10+R278*'Controls &amp; Summary'!$B$11+U278*'Controls &amp; Summary'!$B$12</x:f>
        <x:v>5.945577082787542</x:v>
      </x:c>
      <x:c r="W278" s="31" t="n">
        <x:v>3.43</x:v>
      </x:c>
      <x:c r="X278" s="31" t="n">
        <x:v>3.08</x:v>
      </x:c>
      <x:c r="Y278" s="31" t="n">
        <x:f>((10-MIN(10,MAX(0,X278)))/10)*'Controls &amp; Summary'!$B$15+((10-MIN(10,MAX(0,W278)))/10)*'Controls &amp; Summary'!$B$16</x:f>
        <x:v>1.349</x:v>
      </x:c>
      <x:c r="Z278" s="31" t="n">
        <x:f>V278*Y278</x:f>
        <x:v>8.020583484680394</x:v>
      </x:c>
      <x:c r="AA278" s="30" t="str">
        <x:f>IF(Z278&lt;=I278,"Peaceful","Hostile")</x:f>
        <x:v>Hostile</x:v>
      </x:c>
      <x:c r="AB278" s="30" t="str">
        <x:f>IF(Z278&lt;='Controls &amp; Summary'!$B$6,"Eligible","Blocked")</x:f>
        <x:v>Eligible</x:v>
      </x:c>
      <x:c r="AC278" s="30" t="str">
        <x:v>2003_MYS</x:v>
      </x:c>
      <x:c r="AD278" s="30" t="str">
        <x:v>2003_PHL</x:v>
      </x:c>
      <x:c r="AE278" s="30" t="str">
        <x:v>2003_Luzon</x:v>
      </x:c>
      <x:c r="AF278" s="30" t="str">
        <x:v>Explicit capitalClaim</x:v>
      </x:c>
      <x:c r="AG278" s="30" t="str">
        <x:v>Claim2003_MYS2003_Luzon</x:v>
      </x:c>
      <x:c r="AH278" s="30" t="str">
        <x:v>Project_GreaterMalaysia</x:v>
      </x:c>
    </x:row>
    <x:row r="279">
      <x:c r="A279" s="30" t="str">
        <x:v>2003</x:v>
      </x:c>
      <x:c r="B279" s="30" t="str">
        <x:v>Dark Skies</x:v>
      </x:c>
      <x:c r="C279" s="30" t="str">
        <x:v>Malaysia</x:v>
      </x:c>
      <x:c r="D279" s="30" t="str">
        <x:v>Singapore</x:v>
      </x:c>
      <x:c r="E279" s="30" t="str">
        <x:v>Project unlock</x:v>
      </x:c>
      <x:c r="F279" s="30" t="str">
        <x:v>United Malay Nation</x:v>
      </x:c>
      <x:c r="G279" s="30" t="str">
        <x:v>No</x:v>
      </x:c>
      <x:c r="H279" s="30" t="str">
        <x:v>Ordinary claim</x:v>
      </x:c>
      <x:c r="I279" s="31" t="n">
        <x:f>IF(G279="Yes",'Controls &amp; Summary'!$B$5,'Controls &amp; Summary'!$B$4)</x:f>
        <x:v>6</x:v>
      </x:c>
      <x:c r="J279" s="31" t="n">
        <x:v>5.71</x:v>
      </x:c>
      <x:c r="K279" s="31" t="n">
        <x:v>5.85</x:v>
      </x:c>
      <x:c r="L279" s="31" t="n">
        <x:f>ABS(J279-K279)</x:f>
        <x:v>0.13999999999999968</x:v>
      </x:c>
      <x:c r="M279" s="31" t="n">
        <x:v>4.16</x:v>
      </x:c>
      <x:c r="N279" s="31" t="n">
        <x:v>3.86</x:v>
      </x:c>
      <x:c r="O279" s="31" t="n">
        <x:f>ABS(M279-N279)</x:f>
        <x:v>0.30000000000000027</x:v>
      </x:c>
      <x:c r="P279" s="31" t="n">
        <x:v>6.65</x:v>
      </x:c>
      <x:c r="Q279" s="31" t="n">
        <x:v>8.41</x:v>
      </x:c>
      <x:c r="R279" s="31" t="n">
        <x:f>ABS(P279-Q279)</x:f>
        <x:v>1.7599999999999998</x:v>
      </x:c>
      <x:c r="S279" s="32" t="n">
        <x:v>7805.958670484231</x:v>
      </x:c>
      <x:c r="T279" s="32" t="n">
        <x:v>26456.959439810835</x:v>
      </x:c>
      <x:c r="U279" s="31" t="n">
        <x:f>MAX(S279/T279,T279/S279)</x:f>
        <x:v>3.3893286598927914</x:v>
      </x:c>
      <x:c r="V279" s="31" t="n">
        <x:f>L279*'Controls &amp; Summary'!$B$9+O279*'Controls &amp; Summary'!$B$10+R279*'Controls &amp; Summary'!$B$11+U279*'Controls &amp; Summary'!$B$12</x:f>
        <x:v>5.589328659892791</x:v>
      </x:c>
      <x:c r="W279" s="31" t="n">
        <x:v>3.43</x:v>
      </x:c>
      <x:c r="X279" s="31" t="n">
        <x:v>0.35</x:v>
      </x:c>
      <x:c r="Y279" s="31" t="n">
        <x:f>((10-MIN(10,MAX(0,X279)))/10)*'Controls &amp; Summary'!$B$15+((10-MIN(10,MAX(0,W279)))/10)*'Controls &amp; Summary'!$B$16</x:f>
        <x:v>1.622</x:v>
      </x:c>
      <x:c r="Z279" s="31" t="n">
        <x:f>V279*Y279</x:f>
        <x:v>9.065891086346108</x:v>
      </x:c>
      <x:c r="AA279" s="30" t="str">
        <x:f>IF(Z279&lt;=I279,"Peaceful","Hostile")</x:f>
        <x:v>Hostile</x:v>
      </x:c>
      <x:c r="AB279" s="30" t="str">
        <x:f>IF(Z279&lt;='Controls &amp; Summary'!$B$6,"Eligible","Blocked")</x:f>
        <x:v>Eligible</x:v>
      </x:c>
      <x:c r="AC279" s="30" t="str">
        <x:v>2003_MYS</x:v>
      </x:c>
      <x:c r="AD279" s="30" t="str">
        <x:v>2003_SGP</x:v>
      </x:c>
      <x:c r="AE279" s="30" t="str">
        <x:v>2003_Singapore</x:v>
      </x:c>
      <x:c r="AF279" s="30" t="str">
        <x:v>Explicit capitalClaim</x:v>
      </x:c>
      <x:c r="AG279" s="30" t="str">
        <x:v>Claim2003_MYS2003_Singapore</x:v>
      </x:c>
      <x:c r="AH279" s="30" t="str">
        <x:v>Project_UnitedMalayNation</x:v>
      </x:c>
    </x:row>
    <x:row r="280">
      <x:c r="A280" s="30" t="str">
        <x:v>2003</x:v>
      </x:c>
      <x:c r="B280" s="30" t="str">
        <x:v>Dark Skies</x:v>
      </x:c>
      <x:c r="C280" s="30" t="str">
        <x:v>Malaysia</x:v>
      </x:c>
      <x:c r="D280" s="30" t="str">
        <x:v>Sri Lanka</x:v>
      </x:c>
      <x:c r="E280" s="30" t="str">
        <x:v>Project unlock</x:v>
      </x:c>
      <x:c r="F280" s="30" t="str">
        <x:v>Greater Malaysia</x:v>
      </x:c>
      <x:c r="G280" s="30" t="str">
        <x:v>No</x:v>
      </x:c>
      <x:c r="H280" s="30" t="str">
        <x:v>Ordinary claim</x:v>
      </x:c>
      <x:c r="I280" s="31" t="n">
        <x:f>IF(G280="Yes",'Controls &amp; Summary'!$B$5,'Controls &amp; Summary'!$B$4)</x:f>
        <x:v>6</x:v>
      </x:c>
      <x:c r="J280" s="31" t="n">
        <x:v>5.71</x:v>
      </x:c>
      <x:c r="K280" s="31" t="n">
        <x:v>7.32</x:v>
      </x:c>
      <x:c r="L280" s="31" t="n">
        <x:f>ABS(J280-K280)</x:f>
        <x:v>1.6100000000000003</x:v>
      </x:c>
      <x:c r="M280" s="31" t="n">
        <x:v>4.16</x:v>
      </x:c>
      <x:c r="N280" s="31" t="n">
        <x:v>4.72</x:v>
      </x:c>
      <x:c r="O280" s="31" t="n">
        <x:f>ABS(M280-N280)</x:f>
        <x:v>0.5599999999999996</x:v>
      </x:c>
      <x:c r="P280" s="31" t="n">
        <x:v>6.65</x:v>
      </x:c>
      <x:c r="Q280" s="31" t="n">
        <x:v>6.39</x:v>
      </x:c>
      <x:c r="R280" s="31" t="n">
        <x:f>ABS(P280-Q280)</x:f>
        <x:v>0.2600000000000007</x:v>
      </x:c>
      <x:c r="S280" s="32" t="n">
        <x:v>7805.958670484231</x:v>
      </x:c>
      <x:c r="T280" s="32" t="n">
        <x:v>2835.264351875729</x:v>
      </x:c>
      <x:c r="U280" s="31" t="n">
        <x:f>MAX(S280/T280,T280/S280)</x:f>
        <x:v>2.753167853755871</x:v>
      </x:c>
      <x:c r="V280" s="31" t="n">
        <x:f>L280*'Controls &amp; Summary'!$B$9+O280*'Controls &amp; Summary'!$B$10+R280*'Controls &amp; Summary'!$B$11+U280*'Controls &amp; Summary'!$B$12</x:f>
        <x:v>5.183167853755871</x:v>
      </x:c>
      <x:c r="W280" s="31" t="n">
        <x:v>3.43</x:v>
      </x:c>
      <x:c r="X280" s="31" t="n">
        <x:v>7.21</x:v>
      </x:c>
      <x:c r="Y280" s="31" t="n">
        <x:f>((10-MIN(10,MAX(0,X280)))/10)*'Controls &amp; Summary'!$B$15+((10-MIN(10,MAX(0,W280)))/10)*'Controls &amp; Summary'!$B$16</x:f>
        <x:v>0.936</x:v>
      </x:c>
      <x:c r="Z280" s="31" t="n">
        <x:f>V280*Y280</x:f>
        <x:v>4.851445111115496</x:v>
      </x:c>
      <x:c r="AA280" s="30" t="str">
        <x:f>IF(Z280&lt;=I280,"Peaceful","Hostile")</x:f>
        <x:v>Peaceful</x:v>
      </x:c>
      <x:c r="AB280" s="30" t="str">
        <x:f>IF(Z280&lt;='Controls &amp; Summary'!$B$6,"Eligible","Blocked")</x:f>
        <x:v>Eligible</x:v>
      </x:c>
      <x:c r="AC280" s="30" t="str">
        <x:v>2003_MYS</x:v>
      </x:c>
      <x:c r="AD280" s="30" t="str">
        <x:v>2003_LKA</x:v>
      </x:c>
      <x:c r="AE280" s="30" t="str">
        <x:v>2003_SriLanka</x:v>
      </x:c>
      <x:c r="AF280" s="30" t="str">
        <x:v>Explicit capitalClaim</x:v>
      </x:c>
      <x:c r="AG280" s="30" t="str">
        <x:v>Claim2003_MYS2003_SriLanka</x:v>
      </x:c>
      <x:c r="AH280" s="30" t="str">
        <x:v>Project_GreaterMalaysia</x:v>
      </x:c>
    </x:row>
    <x:row r="281">
      <x:c r="A281" s="30" t="str">
        <x:v>2003</x:v>
      </x:c>
      <x:c r="B281" s="30" t="str">
        <x:v>Dark Skies</x:v>
      </x:c>
      <x:c r="C281" s="30" t="str">
        <x:v>Malaysia</x:v>
      </x:c>
      <x:c r="D281" s="30" t="str">
        <x:v>Thailand</x:v>
      </x:c>
      <x:c r="E281" s="30" t="str">
        <x:v>Project unlock</x:v>
      </x:c>
      <x:c r="F281" s="30" t="str">
        <x:v>Greater Malaysia</x:v>
      </x:c>
      <x:c r="G281" s="30" t="str">
        <x:v>No</x:v>
      </x:c>
      <x:c r="H281" s="30" t="str">
        <x:v>Ordinary claim</x:v>
      </x:c>
      <x:c r="I281" s="31" t="n">
        <x:f>IF(G281="Yes",'Controls &amp; Summary'!$B$5,'Controls &amp; Summary'!$B$4)</x:f>
        <x:v>6</x:v>
      </x:c>
      <x:c r="J281" s="31" t="n">
        <x:v>5.71</x:v>
      </x:c>
      <x:c r="K281" s="31" t="n">
        <x:v>7.34</x:v>
      </x:c>
      <x:c r="L281" s="31" t="n">
        <x:f>ABS(J281-K281)</x:f>
        <x:v>1.63</x:v>
      </x:c>
      <x:c r="M281" s="31" t="n">
        <x:v>4.16</x:v>
      </x:c>
      <x:c r="N281" s="31" t="n">
        <x:v>4.27</x:v>
      </x:c>
      <x:c r="O281" s="31" t="n">
        <x:f>ABS(M281-N281)</x:f>
        <x:v>0.10999999999999943</x:v>
      </x:c>
      <x:c r="P281" s="31" t="n">
        <x:v>6.65</x:v>
      </x:c>
      <x:c r="Q281" s="31" t="n">
        <x:v>6.13</x:v>
      </x:c>
      <x:c r="R281" s="31" t="n">
        <x:f>ABS(P281-Q281)</x:f>
        <x:v>0.5200000000000005</x:v>
      </x:c>
      <x:c r="S281" s="32" t="n">
        <x:v>7805.958670484231</x:v>
      </x:c>
      <x:c r="T281" s="32" t="n">
        <x:v>5232.862585170051</x:v>
      </x:c>
      <x:c r="U281" s="31" t="n">
        <x:f>MAX(S281/T281,T281/S281)</x:f>
        <x:v>1.4917186422220112</x:v>
      </x:c>
      <x:c r="V281" s="31" t="n">
        <x:f>L281*'Controls &amp; Summary'!$B$9+O281*'Controls &amp; Summary'!$B$10+R281*'Controls &amp; Summary'!$B$11+U281*'Controls &amp; Summary'!$B$12</x:f>
        <x:v>3.751718642222011</x:v>
      </x:c>
      <x:c r="W281" s="31" t="n">
        <x:v>3.43</x:v>
      </x:c>
      <x:c r="X281" s="31" t="n">
        <x:v>5.03</x:v>
      </x:c>
      <x:c r="Y281" s="31" t="n">
        <x:f>((10-MIN(10,MAX(0,X281)))/10)*'Controls &amp; Summary'!$B$15+((10-MIN(10,MAX(0,W281)))/10)*'Controls &amp; Summary'!$B$16</x:f>
        <x:v>1.154</x:v>
      </x:c>
      <x:c r="Z281" s="31" t="n">
        <x:f>V281*Y281</x:f>
        <x:v>4.3294833131242</x:v>
      </x:c>
      <x:c r="AA281" s="30" t="str">
        <x:f>IF(Z281&lt;=I281,"Peaceful","Hostile")</x:f>
        <x:v>Peaceful</x:v>
      </x:c>
      <x:c r="AB281" s="30" t="str">
        <x:f>IF(Z281&lt;='Controls &amp; Summary'!$B$6,"Eligible","Blocked")</x:f>
        <x:v>Eligible</x:v>
      </x:c>
      <x:c r="AC281" s="30" t="str">
        <x:v>2003_MYS</x:v>
      </x:c>
      <x:c r="AD281" s="30" t="str">
        <x:v>2003_THA</x:v>
      </x:c>
      <x:c r="AE281" s="30" t="str">
        <x:v>2003_Bangkok</x:v>
      </x:c>
      <x:c r="AF281" s="30" t="str">
        <x:v>Explicit capitalClaim</x:v>
      </x:c>
      <x:c r="AG281" s="30" t="str">
        <x:v>Claim2003_MYS2003_Bangkok</x:v>
      </x:c>
      <x:c r="AH281" s="30" t="str">
        <x:v>Project_GreaterMalaysia</x:v>
      </x:c>
    </x:row>
    <x:row r="282">
      <x:c r="A282" s="30" t="str">
        <x:v>2003</x:v>
      </x:c>
      <x:c r="B282" s="30" t="str">
        <x:v>Dark Skies</x:v>
      </x:c>
      <x:c r="C282" s="30" t="str">
        <x:v>Mali</x:v>
      </x:c>
      <x:c r="D282" s="30" t="str">
        <x:v>Burkina Faso</x:v>
      </x:c>
      <x:c r="E282" s="30" t="str">
        <x:v>Project unlock</x:v>
      </x:c>
      <x:c r="F282" s="30" t="str">
        <x:v>African Confederations</x:v>
      </x:c>
      <x:c r="G282" s="30" t="str">
        <x:v>No</x:v>
      </x:c>
      <x:c r="H282" s="30" t="str">
        <x:v>Ordinary claim</x:v>
      </x:c>
      <x:c r="I282" s="31" t="n">
        <x:f>IF(G282="Yes",'Controls &amp; Summary'!$B$5,'Controls &amp; Summary'!$B$4)</x:f>
        <x:v>6</x:v>
      </x:c>
      <x:c r="J282" s="31" t="n">
        <x:v>5.99</x:v>
      </x:c>
      <x:c r="K282" s="31" t="n">
        <x:v>3.58</x:v>
      </x:c>
      <x:c r="L282" s="31" t="n">
        <x:f>ABS(J282-K282)</x:f>
        <x:v>2.41</x:v>
      </x:c>
      <x:c r="M282" s="31" t="n">
        <x:v>3.99</x:v>
      </x:c>
      <x:c r="N282" s="31" t="n">
        <x:v>4.49</x:v>
      </x:c>
      <x:c r="O282" s="31" t="n">
        <x:f>ABS(M282-N282)</x:f>
        <x:v>0.5</x:v>
      </x:c>
      <x:c r="P282" s="31" t="n">
        <x:v>2.42</x:v>
      </x:c>
      <x:c r="Q282" s="31" t="n">
        <x:v>2.21</x:v>
      </x:c>
      <x:c r="R282" s="31" t="n">
        <x:f>ABS(P282-Q282)</x:f>
        <x:v>0.20999999999999996</x:v>
      </x:c>
      <x:c r="S282" s="32" t="n">
        <x:v>855.6897493920948</x:v>
      </x:c>
      <x:c r="T282" s="32" t="n">
        <x:v>643.1503540751897</x:v>
      </x:c>
      <x:c r="U282" s="31" t="n">
        <x:f>MAX(S282/T282,T282/S282)</x:f>
        <x:v>1.3304661094722143</x:v>
      </x:c>
      <x:c r="V282" s="31" t="n">
        <x:f>L282*'Controls &amp; Summary'!$B$9+O282*'Controls &amp; Summary'!$B$10+R282*'Controls &amp; Summary'!$B$11+U282*'Controls &amp; Summary'!$B$12</x:f>
        <x:v>4.450466109472215</x:v>
      </x:c>
      <x:c r="W282" s="31" t="n">
        <x:v>2.77</x:v>
      </x:c>
      <x:c r="X282" s="31" t="n">
        <x:v>4.63</x:v>
      </x:c>
      <x:c r="Y282" s="31" t="n">
        <x:f>((10-MIN(10,MAX(0,X282)))/10)*'Controls &amp; Summary'!$B$15+((10-MIN(10,MAX(0,W282)))/10)*'Controls &amp; Summary'!$B$16</x:f>
        <x:v>1.2600000000000002</x:v>
      </x:c>
      <x:c r="Z282" s="31" t="n">
        <x:f>V282*Y282</x:f>
        <x:v>5.607587297934992</x:v>
      </x:c>
      <x:c r="AA282" s="30" t="str">
        <x:f>IF(Z282&lt;=I282,"Peaceful","Hostile")</x:f>
        <x:v>Peaceful</x:v>
      </x:c>
      <x:c r="AB282" s="30" t="str">
        <x:f>IF(Z282&lt;='Controls &amp; Summary'!$B$6,"Eligible","Blocked")</x:f>
        <x:v>Eligible</x:v>
      </x:c>
      <x:c r="AC282" s="30" t="str">
        <x:v>2003_MLI</x:v>
      </x:c>
      <x:c r="AD282" s="30" t="str">
        <x:v>2003_BKF</x:v>
      </x:c>
      <x:c r="AE282" s="30" t="str">
        <x:v>2003_BurkinaFaso</x:v>
      </x:c>
      <x:c r="AF282" s="30" t="str">
        <x:v>Explicit capitalClaim</x:v>
      </x:c>
      <x:c r="AG282" s="30" t="str">
        <x:v>Claim2003_MLI2003_BurkinaFaso</x:v>
      </x:c>
      <x:c r="AH282" s="30" t="str">
        <x:v>Project_EastAfricanFederation</x:v>
      </x:c>
    </x:row>
    <x:row r="283">
      <x:c r="A283" s="30" t="str">
        <x:v>2003</x:v>
      </x:c>
      <x:c r="B283" s="30" t="str">
        <x:v>Dark Skies</x:v>
      </x:c>
      <x:c r="C283" s="30" t="str">
        <x:v>Mali</x:v>
      </x:c>
      <x:c r="D283" s="30" t="str">
        <x:v>Chad</x:v>
      </x:c>
      <x:c r="E283" s="30" t="str">
        <x:v>Project unlock</x:v>
      </x:c>
      <x:c r="F283" s="30" t="str">
        <x:v>Regional African Unions</x:v>
      </x:c>
      <x:c r="G283" s="30" t="str">
        <x:v>No</x:v>
      </x:c>
      <x:c r="H283" s="30" t="str">
        <x:v>Ordinary claim</x:v>
      </x:c>
      <x:c r="I283" s="31" t="n">
        <x:f>IF(G283="Yes",'Controls &amp; Summary'!$B$5,'Controls &amp; Summary'!$B$4)</x:f>
        <x:v>6</x:v>
      </x:c>
      <x:c r="J283" s="31" t="n">
        <x:v>5.99</x:v>
      </x:c>
      <x:c r="K283" s="31" t="n">
        <x:v>1.66</x:v>
      </x:c>
      <x:c r="L283" s="31" t="n">
        <x:f>ABS(J283-K283)</x:f>
        <x:v>4.33</x:v>
      </x:c>
      <x:c r="M283" s="31" t="n">
        <x:v>3.99</x:v>
      </x:c>
      <x:c r="N283" s="31" t="n">
        <x:v>4.09</x:v>
      </x:c>
      <x:c r="O283" s="31" t="n">
        <x:f>ABS(M283-N283)</x:f>
        <x:v>0.09999999999999964</x:v>
      </x:c>
      <x:c r="P283" s="31" t="n">
        <x:v>2.42</x:v>
      </x:c>
      <x:c r="Q283" s="31" t="n">
        <x:v>2.06</x:v>
      </x:c>
      <x:c r="R283" s="31" t="n">
        <x:f>ABS(P283-Q283)</x:f>
        <x:v>0.3599999999999999</x:v>
      </x:c>
      <x:c r="S283" s="32" t="n">
        <x:v>855.6897493920948</x:v>
      </x:c>
      <x:c r="T283" s="32" t="n">
        <x:v>761.3320990156551</x:v>
      </x:c>
      <x:c r="U283" s="31" t="n">
        <x:f>MAX(S283/T283,T283/S283)</x:f>
        <x:v>1.1239375700807006</x:v>
      </x:c>
      <x:c r="V283" s="31" t="n">
        <x:f>L283*'Controls &amp; Summary'!$B$9+O283*'Controls &amp; Summary'!$B$10+R283*'Controls &amp; Summary'!$B$11+U283*'Controls &amp; Summary'!$B$12</x:f>
        <x:v>5.9139375700807</x:v>
      </x:c>
      <x:c r="W283" s="31" t="n">
        <x:v>2.77</x:v>
      </x:c>
      <x:c r="X283" s="31" t="n">
        <x:v>9.1</x:v>
      </x:c>
      <x:c r="Y283" s="31" t="n">
        <x:f>((10-MIN(10,MAX(0,X283)))/10)*'Controls &amp; Summary'!$B$15+((10-MIN(10,MAX(0,W283)))/10)*'Controls &amp; Summary'!$B$16</x:f>
        <x:v>0.8130000000000002</x:v>
      </x:c>
      <x:c r="Z283" s="31" t="n">
        <x:f>V283*Y283</x:f>
        <x:v>4.80803124447561</x:v>
      </x:c>
      <x:c r="AA283" s="30" t="str">
        <x:f>IF(Z283&lt;=I283,"Peaceful","Hostile")</x:f>
        <x:v>Peaceful</x:v>
      </x:c>
      <x:c r="AB283" s="30" t="str">
        <x:f>IF(Z283&lt;='Controls &amp; Summary'!$B$6,"Eligible","Blocked")</x:f>
        <x:v>Eligible</x:v>
      </x:c>
      <x:c r="AC283" s="30" t="str">
        <x:v>2003_MLI</x:v>
      </x:c>
      <x:c r="AD283" s="30" t="str">
        <x:v>2003_TCD</x:v>
      </x:c>
      <x:c r="AE283" s="30" t="str">
        <x:v>2003_Chad</x:v>
      </x:c>
      <x:c r="AF283" s="30" t="str">
        <x:v>Explicit capitalClaim</x:v>
      </x:c>
      <x:c r="AG283" s="30" t="str">
        <x:v>Claim2003_MLI2003_Chad</x:v>
      </x:c>
      <x:c r="AH283" s="30" t="str">
        <x:v>Project_RegionalAfricanUnions</x:v>
      </x:c>
    </x:row>
    <x:row r="284">
      <x:c r="A284" s="30" t="str">
        <x:v>2003</x:v>
      </x:c>
      <x:c r="B284" s="30" t="str">
        <x:v>Dark Skies</x:v>
      </x:c>
      <x:c r="C284" s="30" t="str">
        <x:v>Mali</x:v>
      </x:c>
      <x:c r="D284" s="30" t="str">
        <x:v>Ghana</x:v>
      </x:c>
      <x:c r="E284" s="30" t="str">
        <x:v>Project unlock</x:v>
      </x:c>
      <x:c r="F284" s="30" t="str">
        <x:v>Regional African Unions</x:v>
      </x:c>
      <x:c r="G284" s="30" t="str">
        <x:v>No</x:v>
      </x:c>
      <x:c r="H284" s="30" t="str">
        <x:v>Ordinary claim</x:v>
      </x:c>
      <x:c r="I284" s="31" t="n">
        <x:f>IF(G284="Yes",'Controls &amp; Summary'!$B$5,'Controls &amp; Summary'!$B$4)</x:f>
        <x:v>6</x:v>
      </x:c>
      <x:c r="J284" s="31" t="n">
        <x:v>5.99</x:v>
      </x:c>
      <x:c r="K284" s="31" t="n">
        <x:v>5.34</x:v>
      </x:c>
      <x:c r="L284" s="31" t="n">
        <x:f>ABS(J284-K284)</x:f>
        <x:v>0.6500000000000004</x:v>
      </x:c>
      <x:c r="M284" s="31" t="n">
        <x:v>3.99</x:v>
      </x:c>
      <x:c r="N284" s="31" t="n">
        <x:v>4.19</x:v>
      </x:c>
      <x:c r="O284" s="31" t="n">
        <x:f>ABS(M284-N284)</x:f>
        <x:v>0.20000000000000018</x:v>
      </x:c>
      <x:c r="P284" s="31" t="n">
        <x:v>2.42</x:v>
      </x:c>
      <x:c r="Q284" s="31" t="n">
        <x:v>3.99</x:v>
      </x:c>
      <x:c r="R284" s="31" t="n">
        <x:f>ABS(P284-Q284)</x:f>
        <x:v>1.5700000000000003</x:v>
      </x:c>
      <x:c r="S284" s="32" t="n">
        <x:v>855.6897493920948</x:v>
      </x:c>
      <x:c r="T284" s="32" t="n">
        <x:v>1377.6943840373428</x:v>
      </x:c>
      <x:c r="U284" s="31" t="n">
        <x:f>MAX(S284/T284,T284/S284)</x:f>
        <x:v>1.6100396025733559</x:v>
      </x:c>
      <x:c r="V284" s="31" t="n">
        <x:f>L284*'Controls &amp; Summary'!$B$9+O284*'Controls &amp; Summary'!$B$10+R284*'Controls &amp; Summary'!$B$11+U284*'Controls &amp; Summary'!$B$12</x:f>
        <x:v>4.030039602573357</x:v>
      </x:c>
      <x:c r="W284" s="31" t="n">
        <x:v>2.77</x:v>
      </x:c>
      <x:c r="X284" s="31" t="n">
        <x:v>4.32</x:v>
      </x:c>
      <x:c r="Y284" s="31" t="n">
        <x:f>((10-MIN(10,MAX(0,X284)))/10)*'Controls &amp; Summary'!$B$15+((10-MIN(10,MAX(0,W284)))/10)*'Controls &amp; Summary'!$B$16</x:f>
        <x:v>1.291</x:v>
      </x:c>
      <x:c r="Z284" s="31" t="n">
        <x:f>V284*Y284</x:f>
        <x:v>5.202781126922203</x:v>
      </x:c>
      <x:c r="AA284" s="30" t="str">
        <x:f>IF(Z284&lt;=I284,"Peaceful","Hostile")</x:f>
        <x:v>Peaceful</x:v>
      </x:c>
      <x:c r="AB284" s="30" t="str">
        <x:f>IF(Z284&lt;='Controls &amp; Summary'!$B$6,"Eligible","Blocked")</x:f>
        <x:v>Eligible</x:v>
      </x:c>
      <x:c r="AC284" s="30" t="str">
        <x:v>2003_MLI</x:v>
      </x:c>
      <x:c r="AD284" s="30" t="str">
        <x:v>2003_GHA</x:v>
      </x:c>
      <x:c r="AE284" s="30" t="str">
        <x:v>2003_Accra</x:v>
      </x:c>
      <x:c r="AF284" s="30" t="str">
        <x:v>Explicit capitalClaim</x:v>
      </x:c>
      <x:c r="AG284" s="30" t="str">
        <x:v>Claim2003_MLI2003_Accra</x:v>
      </x:c>
      <x:c r="AH284" s="30" t="str">
        <x:v>Project_RegionalAfricanUnions</x:v>
      </x:c>
    </x:row>
    <x:row r="285">
      <x:c r="A285" s="30" t="str">
        <x:v>2003</x:v>
      </x:c>
      <x:c r="B285" s="30" t="str">
        <x:v>Dark Skies</x:v>
      </x:c>
      <x:c r="C285" s="30" t="str">
        <x:v>Mali</x:v>
      </x:c>
      <x:c r="D285" s="30" t="str">
        <x:v>Guinea</x:v>
      </x:c>
      <x:c r="E285" s="30" t="str">
        <x:v>Project unlock</x:v>
      </x:c>
      <x:c r="F285" s="30" t="str">
        <x:v>Regional African Unions</x:v>
      </x:c>
      <x:c r="G285" s="30" t="str">
        <x:v>No</x:v>
      </x:c>
      <x:c r="H285" s="30" t="str">
        <x:v>Ordinary claim</x:v>
      </x:c>
      <x:c r="I285" s="31" t="n">
        <x:f>IF(G285="Yes",'Controls &amp; Summary'!$B$5,'Controls &amp; Summary'!$B$4)</x:f>
        <x:v>6</x:v>
      </x:c>
      <x:c r="J285" s="31" t="n">
        <x:v>5.99</x:v>
      </x:c>
      <x:c r="K285" s="31" t="n">
        <x:v>2.02</x:v>
      </x:c>
      <x:c r="L285" s="31" t="n">
        <x:f>ABS(J285-K285)</x:f>
        <x:v>3.97</x:v>
      </x:c>
      <x:c r="M285" s="31" t="n">
        <x:v>3.99</x:v>
      </x:c>
      <x:c r="N285" s="31" t="n">
        <x:v>4.09</x:v>
      </x:c>
      <x:c r="O285" s="31" t="n">
        <x:f>ABS(M285-N285)</x:f>
        <x:v>0.09999999999999964</x:v>
      </x:c>
      <x:c r="P285" s="31" t="n">
        <x:v>2.42</x:v>
      </x:c>
      <x:c r="Q285" s="31" t="n">
        <x:v>2.77</x:v>
      </x:c>
      <x:c r="R285" s="31" t="n">
        <x:f>ABS(P285-Q285)</x:f>
        <x:v>0.3500000000000001</x:v>
      </x:c>
      <x:c r="S285" s="32" t="n">
        <x:v>855.6897493920948</x:v>
      </x:c>
      <x:c r="T285" s="32" t="n">
        <x:v>897.8817401759777</x:v>
      </x:c>
      <x:c r="U285" s="31" t="n">
        <x:f>MAX(S285/T285,T285/S285)</x:f>
        <x:v>1.049307580012332</x:v>
      </x:c>
      <x:c r="V285" s="31" t="n">
        <x:f>L285*'Controls &amp; Summary'!$B$9+O285*'Controls &amp; Summary'!$B$10+R285*'Controls &amp; Summary'!$B$11+U285*'Controls &amp; Summary'!$B$12</x:f>
        <x:v>5.469307580012332</x:v>
      </x:c>
      <x:c r="W285" s="31" t="n">
        <x:v>2.77</x:v>
      </x:c>
      <x:c r="X285" s="31" t="n">
        <x:v>5.52</x:v>
      </x:c>
      <x:c r="Y285" s="31" t="n">
        <x:f>((10-MIN(10,MAX(0,X285)))/10)*'Controls &amp; Summary'!$B$15+((10-MIN(10,MAX(0,W285)))/10)*'Controls &amp; Summary'!$B$16</x:f>
        <x:v>1.1710000000000003</x:v>
      </x:c>
      <x:c r="Z285" s="31" t="n">
        <x:f>V285*Y285</x:f>
        <x:v>6.404559176194442</x:v>
      </x:c>
      <x:c r="AA285" s="30" t="str">
        <x:f>IF(Z285&lt;=I285,"Peaceful","Hostile")</x:f>
        <x:v>Hostile</x:v>
      </x:c>
      <x:c r="AB285" s="30" t="str">
        <x:f>IF(Z285&lt;='Controls &amp; Summary'!$B$6,"Eligible","Blocked")</x:f>
        <x:v>Eligible</x:v>
      </x:c>
      <x:c r="AC285" s="30" t="str">
        <x:v>2003_MLI</x:v>
      </x:c>
      <x:c r="AD285" s="30" t="str">
        <x:v>2003_GIN</x:v>
      </x:c>
      <x:c r="AE285" s="30" t="str">
        <x:v>2003_Guinea</x:v>
      </x:c>
      <x:c r="AF285" s="30" t="str">
        <x:v>Explicit capitalClaim</x:v>
      </x:c>
      <x:c r="AG285" s="30" t="str">
        <x:v>Claim2003_MLI2003_Guinea</x:v>
      </x:c>
      <x:c r="AH285" s="30" t="str">
        <x:v>Project_RegionalAfricanUnions</x:v>
      </x:c>
    </x:row>
    <x:row r="286">
      <x:c r="A286" s="30" t="str">
        <x:v>2003</x:v>
      </x:c>
      <x:c r="B286" s="30" t="str">
        <x:v>Dark Skies</x:v>
      </x:c>
      <x:c r="C286" s="30" t="str">
        <x:v>Mali</x:v>
      </x:c>
      <x:c r="D286" s="30" t="str">
        <x:v>Niger</x:v>
      </x:c>
      <x:c r="E286" s="30" t="str">
        <x:v>Project unlock</x:v>
      </x:c>
      <x:c r="F286" s="30" t="str">
        <x:v>African Confederations</x:v>
      </x:c>
      <x:c r="G286" s="30" t="str">
        <x:v>No</x:v>
      </x:c>
      <x:c r="H286" s="30" t="str">
        <x:v>Ordinary claim</x:v>
      </x:c>
      <x:c r="I286" s="31" t="n">
        <x:f>IF(G286="Yes",'Controls &amp; Summary'!$B$5,'Controls &amp; Summary'!$B$4)</x:f>
        <x:v>6</x:v>
      </x:c>
      <x:c r="J286" s="31" t="n">
        <x:v>5.99</x:v>
      </x:c>
      <x:c r="K286" s="31" t="n">
        <x:v>3.35</x:v>
      </x:c>
      <x:c r="L286" s="31" t="n">
        <x:f>ABS(J286-K286)</x:f>
        <x:v>2.64</x:v>
      </x:c>
      <x:c r="M286" s="31" t="n">
        <x:v>3.99</x:v>
      </x:c>
      <x:c r="N286" s="31" t="n">
        <x:v>3.92</x:v>
      </x:c>
      <x:c r="O286" s="31" t="n">
        <x:f>ABS(M286-N286)</x:f>
        <x:v>0.07000000000000028</x:v>
      </x:c>
      <x:c r="P286" s="31" t="n">
        <x:v>2.42</x:v>
      </x:c>
      <x:c r="Q286" s="31" t="n">
        <x:v>1.67</x:v>
      </x:c>
      <x:c r="R286" s="31" t="n">
        <x:f>ABS(P286-Q286)</x:f>
        <x:v>0.75</x:v>
      </x:c>
      <x:c r="S286" s="32" t="n">
        <x:v>855.6897493920948</x:v>
      </x:c>
      <x:c r="T286" s="32" t="n">
        <x:v>440.7562654606742</x:v>
      </x:c>
      <x:c r="U286" s="31" t="n">
        <x:f>MAX(S286/T286,T286/S286)</x:f>
        <x:v>1.9414125593829872</x:v>
      </x:c>
      <x:c r="V286" s="31" t="n">
        <x:f>L286*'Controls &amp; Summary'!$B$9+O286*'Controls &amp; Summary'!$B$10+R286*'Controls &amp; Summary'!$B$11+U286*'Controls &amp; Summary'!$B$12</x:f>
        <x:v>5.401412559382988</x:v>
      </x:c>
      <x:c r="W286" s="31" t="n">
        <x:v>2.77</x:v>
      </x:c>
      <x:c r="X286" s="31" t="n">
        <x:v>4.51</x:v>
      </x:c>
      <x:c r="Y286" s="31" t="n">
        <x:f>((10-MIN(10,MAX(0,X286)))/10)*'Controls &amp; Summary'!$B$15+((10-MIN(10,MAX(0,W286)))/10)*'Controls &amp; Summary'!$B$16</x:f>
        <x:v>1.2720000000000002</x:v>
      </x:c>
      <x:c r="Z286" s="31" t="n">
        <x:f>V286*Y286</x:f>
        <x:v>6.870596775535161</x:v>
      </x:c>
      <x:c r="AA286" s="30" t="str">
        <x:f>IF(Z286&lt;=I286,"Peaceful","Hostile")</x:f>
        <x:v>Hostile</x:v>
      </x:c>
      <x:c r="AB286" s="30" t="str">
        <x:f>IF(Z286&lt;='Controls &amp; Summary'!$B$6,"Eligible","Blocked")</x:f>
        <x:v>Eligible</x:v>
      </x:c>
      <x:c r="AC286" s="30" t="str">
        <x:v>2003_MLI</x:v>
      </x:c>
      <x:c r="AD286" s="30" t="str">
        <x:v>2003_NER</x:v>
      </x:c>
      <x:c r="AE286" s="30" t="str">
        <x:v>2003_Niger</x:v>
      </x:c>
      <x:c r="AF286" s="30" t="str">
        <x:v>Explicit capitalClaim</x:v>
      </x:c>
      <x:c r="AG286" s="30" t="str">
        <x:v>Claim2003_MLI2003_Niger</x:v>
      </x:c>
      <x:c r="AH286" s="30" t="str">
        <x:v>Project_EastAfricanFederation</x:v>
      </x:c>
    </x:row>
    <x:row r="287">
      <x:c r="A287" s="30" t="str">
        <x:v>2003</x:v>
      </x:c>
      <x:c r="B287" s="30" t="str">
        <x:v>Dark Skies</x:v>
      </x:c>
      <x:c r="C287" s="30" t="str">
        <x:v>Mali</x:v>
      </x:c>
      <x:c r="D287" s="30" t="str">
        <x:v>Senegal</x:v>
      </x:c>
      <x:c r="E287" s="30" t="str">
        <x:v>Project unlock</x:v>
      </x:c>
      <x:c r="F287" s="30" t="str">
        <x:v>Regional African Unions</x:v>
      </x:c>
      <x:c r="G287" s="30" t="str">
        <x:v>No</x:v>
      </x:c>
      <x:c r="H287" s="30" t="str">
        <x:v>Ordinary claim</x:v>
      </x:c>
      <x:c r="I287" s="31" t="n">
        <x:f>IF(G287="Yes",'Controls &amp; Summary'!$B$5,'Controls &amp; Summary'!$B$4)</x:f>
        <x:v>6</x:v>
      </x:c>
      <x:c r="J287" s="31" t="n">
        <x:v>5.99</x:v>
      </x:c>
      <x:c r="K287" s="31" t="n">
        <x:v>5.37</x:v>
      </x:c>
      <x:c r="L287" s="31" t="n">
        <x:f>ABS(J287-K287)</x:f>
        <x:v>0.6200000000000001</x:v>
      </x:c>
      <x:c r="M287" s="31" t="n">
        <x:v>3.99</x:v>
      </x:c>
      <x:c r="N287" s="31" t="n">
        <x:v>4.11</x:v>
      </x:c>
      <x:c r="O287" s="31" t="n">
        <x:f>ABS(M287-N287)</x:f>
        <x:v>0.1200000000000001</x:v>
      </x:c>
      <x:c r="P287" s="31" t="n">
        <x:v>2.42</x:v>
      </x:c>
      <x:c r="Q287" s="31" t="n">
        <x:v>3.12</x:v>
      </x:c>
      <x:c r="R287" s="31" t="n">
        <x:f>ABS(P287-Q287)</x:f>
        <x:v>0.7000000000000002</x:v>
      </x:c>
      <x:c r="S287" s="32" t="n">
        <x:v>855.6897493920948</x:v>
      </x:c>
      <x:c r="T287" s="32" t="n">
        <x:v>1192.644324465898</x:v>
      </x:c>
      <x:c r="U287" s="31" t="n">
        <x:f>MAX(S287/T287,T287/S287)</x:f>
        <x:v>1.3937812452622986</x:v>
      </x:c>
      <x:c r="V287" s="31" t="n">
        <x:f>L287*'Controls &amp; Summary'!$B$9+O287*'Controls &amp; Summary'!$B$10+R287*'Controls &amp; Summary'!$B$11+U287*'Controls &amp; Summary'!$B$12</x:f>
        <x:v>2.833781245262299</x:v>
      </x:c>
      <x:c r="W287" s="31" t="n">
        <x:v>2.77</x:v>
      </x:c>
      <x:c r="X287" s="31" t="n">
        <x:v>2.36</x:v>
      </x:c>
      <x:c r="Y287" s="31" t="n">
        <x:f>((10-MIN(10,MAX(0,X287)))/10)*'Controls &amp; Summary'!$B$15+((10-MIN(10,MAX(0,W287)))/10)*'Controls &amp; Summary'!$B$16</x:f>
        <x:v>1.487</x:v>
      </x:c>
      <x:c r="Z287" s="31" t="n">
        <x:f>V287*Y287</x:f>
        <x:v>4.213832711705039</x:v>
      </x:c>
      <x:c r="AA287" s="30" t="str">
        <x:f>IF(Z287&lt;=I287,"Peaceful","Hostile")</x:f>
        <x:v>Peaceful</x:v>
      </x:c>
      <x:c r="AB287" s="30" t="str">
        <x:f>IF(Z287&lt;='Controls &amp; Summary'!$B$6,"Eligible","Blocked")</x:f>
        <x:v>Eligible</x:v>
      </x:c>
      <x:c r="AC287" s="30" t="str">
        <x:v>2003_MLI</x:v>
      </x:c>
      <x:c r="AD287" s="30" t="str">
        <x:v>2003_SEG</x:v>
      </x:c>
      <x:c r="AE287" s="30" t="str">
        <x:v>2003_Senegambia</x:v>
      </x:c>
      <x:c r="AF287" s="30" t="str">
        <x:v>Explicit capitalClaim</x:v>
      </x:c>
      <x:c r="AG287" s="30" t="str">
        <x:v>Claim2003_MLI2003_Senegambia</x:v>
      </x:c>
      <x:c r="AH287" s="30" t="str">
        <x:v>Project_RegionalAfricanUnions</x:v>
      </x:c>
    </x:row>
    <x:row r="288">
      <x:c r="A288" s="30" t="str">
        <x:v>2003</x:v>
      </x:c>
      <x:c r="B288" s="30" t="str">
        <x:v>Dark Skies</x:v>
      </x:c>
      <x:c r="C288" s="30" t="str">
        <x:v>Mali</x:v>
      </x:c>
      <x:c r="D288" s="30" t="str">
        <x:v>Togo</x:v>
      </x:c>
      <x:c r="E288" s="30" t="str">
        <x:v>Project unlock</x:v>
      </x:c>
      <x:c r="F288" s="30" t="str">
        <x:v>Regional African Unions</x:v>
      </x:c>
      <x:c r="G288" s="30" t="str">
        <x:v>No</x:v>
      </x:c>
      <x:c r="H288" s="30" t="str">
        <x:v>Ordinary claim</x:v>
      </x:c>
      <x:c r="I288" s="31" t="n">
        <x:f>IF(G288="Yes",'Controls &amp; Summary'!$B$5,'Controls &amp; Summary'!$B$4)</x:f>
        <x:v>6</x:v>
      </x:c>
      <x:c r="J288" s="31" t="n">
        <x:v>5.99</x:v>
      </x:c>
      <x:c r="K288" s="31" t="n">
        <x:v>1.69</x:v>
      </x:c>
      <x:c r="L288" s="31" t="n">
        <x:f>ABS(J288-K288)</x:f>
        <x:v>4.300000000000001</x:v>
      </x:c>
      <x:c r="M288" s="31" t="n">
        <x:v>3.99</x:v>
      </x:c>
      <x:c r="N288" s="31" t="n">
        <x:v>4.23</x:v>
      </x:c>
      <x:c r="O288" s="31" t="n">
        <x:f>ABS(M288-N288)</x:f>
        <x:v>0.2400000000000002</x:v>
      </x:c>
      <x:c r="P288" s="31" t="n">
        <x:v>2.42</x:v>
      </x:c>
      <x:c r="Q288" s="31" t="n">
        <x:v>3.6</x:v>
      </x:c>
      <x:c r="R288" s="31" t="n">
        <x:f>ABS(P288-Q288)</x:f>
        <x:v>1.1800000000000002</x:v>
      </x:c>
      <x:c r="S288" s="32" t="n">
        <x:v>855.6897493920948</x:v>
      </x:c>
      <x:c r="T288" s="32" t="n">
        <x:v>780.7920257081604</x:v>
      </x:c>
      <x:c r="U288" s="31" t="n">
        <x:f>MAX(S288/T288,T288/S288)</x:f>
        <x:v>1.095925318417544</x:v>
      </x:c>
      <x:c r="V288" s="31" t="n">
        <x:f>L288*'Controls &amp; Summary'!$B$9+O288*'Controls &amp; Summary'!$B$10+R288*'Controls &amp; Summary'!$B$11+U288*'Controls &amp; Summary'!$B$12</x:f>
        <x:v>6.815925318417545</x:v>
      </x:c>
      <x:c r="W288" s="31" t="n">
        <x:v>2.77</x:v>
      </x:c>
      <x:c r="X288" s="31" t="n">
        <x:v>6.94</x:v>
      </x:c>
      <x:c r="Y288" s="31" t="n">
        <x:f>((10-MIN(10,MAX(0,X288)))/10)*'Controls &amp; Summary'!$B$15+((10-MIN(10,MAX(0,W288)))/10)*'Controls &amp; Summary'!$B$16</x:f>
        <x:v>1.029</x:v>
      </x:c>
      <x:c r="Z288" s="31" t="n">
        <x:f>V288*Y288</x:f>
        <x:v>7.013587152651653</x:v>
      </x:c>
      <x:c r="AA288" s="30" t="str">
        <x:f>IF(Z288&lt;=I288,"Peaceful","Hostile")</x:f>
        <x:v>Hostile</x:v>
      </x:c>
      <x:c r="AB288" s="30" t="str">
        <x:f>IF(Z288&lt;='Controls &amp; Summary'!$B$6,"Eligible","Blocked")</x:f>
        <x:v>Eligible</x:v>
      </x:c>
      <x:c r="AC288" s="30" t="str">
        <x:v>2003_MLI</x:v>
      </x:c>
      <x:c r="AD288" s="30" t="str">
        <x:v>2003_TGO</x:v>
      </x:c>
      <x:c r="AE288" s="30" t="str">
        <x:v>2003_Togo</x:v>
      </x:c>
      <x:c r="AF288" s="30" t="str">
        <x:v>Explicit capitalClaim</x:v>
      </x:c>
      <x:c r="AG288" s="30" t="str">
        <x:v>Claim2003_MLI2003_Togo</x:v>
      </x:c>
      <x:c r="AH288" s="30" t="str">
        <x:v>Project_RegionalAfricanUnions</x:v>
      </x:c>
    </x:row>
    <x:row r="289">
      <x:c r="A289" s="30" t="str">
        <x:v>2003</x:v>
      </x:c>
      <x:c r="B289" s="30" t="str">
        <x:v>Dark Skies</x:v>
      </x:c>
      <x:c r="C289" s="30" t="str">
        <x:v>Morocco</x:v>
      </x:c>
      <x:c r="D289" s="30" t="str">
        <x:v>Algeria</x:v>
      </x:c>
      <x:c r="E289" s="30" t="str">
        <x:v>Project unlock</x:v>
      </x:c>
      <x:c r="F289" s="30" t="str">
        <x:v>African Independence Movements</x:v>
      </x:c>
      <x:c r="G289" s="30" t="str">
        <x:v>No</x:v>
      </x:c>
      <x:c r="H289" s="30" t="str">
        <x:v>Ordinary claim</x:v>
      </x:c>
      <x:c r="I289" s="31" t="n">
        <x:f>IF(G289="Yes",'Controls &amp; Summary'!$B$5,'Controls &amp; Summary'!$B$4)</x:f>
        <x:v>6</x:v>
      </x:c>
      <x:c r="J289" s="31" t="n">
        <x:v>3.86</x:v>
      </x:c>
      <x:c r="K289" s="31" t="n">
        <x:v>3.15</x:v>
      </x:c>
      <x:c r="L289" s="31" t="n">
        <x:f>ABS(J289-K289)</x:f>
        <x:v>0.71</x:v>
      </x:c>
      <x:c r="M289" s="31" t="n">
        <x:v>4.08</x:v>
      </x:c>
      <x:c r="N289" s="31" t="n">
        <x:v>3.55</x:v>
      </x:c>
      <x:c r="O289" s="31" t="n">
        <x:f>ABS(M289-N289)</x:f>
        <x:v>0.5300000000000002</x:v>
      </x:c>
      <x:c r="P289" s="31" t="n">
        <x:v>4.7</x:v>
      </x:c>
      <x:c r="Q289" s="31" t="n">
        <x:v>5.99</x:v>
      </x:c>
      <x:c r="R289" s="31" t="n">
        <x:f>ABS(P289-Q289)</x:f>
        <x:v>1.29</x:v>
      </x:c>
      <x:c r="S289" s="32" t="n">
        <x:v>2531.308899658674</x:v>
      </x:c>
      <x:c r="T289" s="32" t="n">
        <x:v>5060.481949487656</x:v>
      </x:c>
      <x:c r="U289" s="31" t="n">
        <x:f>MAX(S289/T289,T289/S289)</x:f>
        <x:v>1.9991562271084418</x:v>
      </x:c>
      <x:c r="V289" s="31" t="n">
        <x:f>L289*'Controls &amp; Summary'!$B$9+O289*'Controls &amp; Summary'!$B$10+R289*'Controls &amp; Summary'!$B$11+U289*'Controls &amp; Summary'!$B$12</x:f>
        <x:v>4.529156227108442</x:v>
      </x:c>
      <x:c r="W289" s="31" t="n">
        <x:v>2.39</x:v>
      </x:c>
      <x:c r="X289" s="31" t="n">
        <x:v>3.86</x:v>
      </x:c>
      <x:c r="Y289" s="31" t="n">
        <x:f>((10-MIN(10,MAX(0,X289)))/10)*'Controls &amp; Summary'!$B$15+((10-MIN(10,MAX(0,W289)))/10)*'Controls &amp; Summary'!$B$16</x:f>
        <x:v>1.375</x:v>
      </x:c>
      <x:c r="Z289" s="31" t="n">
        <x:f>V289*Y289</x:f>
        <x:v>6.227589812274108</x:v>
      </x:c>
      <x:c r="AA289" s="30" t="str">
        <x:f>IF(Z289&lt;=I289,"Peaceful","Hostile")</x:f>
        <x:v>Hostile</x:v>
      </x:c>
      <x:c r="AB289" s="30" t="str">
        <x:f>IF(Z289&lt;='Controls &amp; Summary'!$B$6,"Eligible","Blocked")</x:f>
        <x:v>Eligible</x:v>
      </x:c>
      <x:c r="AC289" s="30" t="str">
        <x:v>2003_MAR</x:v>
      </x:c>
      <x:c r="AD289" s="30" t="str">
        <x:v>2003_DZA</x:v>
      </x:c>
      <x:c r="AE289" s="30" t="str">
        <x:v>2003_Algeria</x:v>
      </x:c>
      <x:c r="AF289" s="30" t="str">
        <x:v>Explicit capitalClaim</x:v>
      </x:c>
      <x:c r="AG289" s="30" t="str">
        <x:v>Claim2003_MAR2003_Algeria</x:v>
      </x:c>
      <x:c r="AH289" s="30" t="str">
        <x:v>Project_AfricanIndependenceMovements</x:v>
      </x:c>
    </x:row>
    <x:row r="290">
      <x:c r="A290" s="30" t="str">
        <x:v>2003</x:v>
      </x:c>
      <x:c r="B290" s="30" t="str">
        <x:v>Dark Skies</x:v>
      </x:c>
      <x:c r="C290" s="30" t="str">
        <x:v>Morocco</x:v>
      </x:c>
      <x:c r="D290" s="30" t="str">
        <x:v>Libya</x:v>
      </x:c>
      <x:c r="E290" s="30" t="str">
        <x:v>Project unlock</x:v>
      </x:c>
      <x:c r="F290" s="30" t="str">
        <x:v>African Independence Movements</x:v>
      </x:c>
      <x:c r="G290" s="30" t="str">
        <x:v>No</x:v>
      </x:c>
      <x:c r="H290" s="30" t="str">
        <x:v>Ordinary claim</x:v>
      </x:c>
      <x:c r="I290" s="31" t="n">
        <x:f>IF(G290="Yes",'Controls &amp; Summary'!$B$5,'Controls &amp; Summary'!$B$4)</x:f>
        <x:v>6</x:v>
      </x:c>
      <x:c r="J290" s="31" t="n">
        <x:v>3.86</x:v>
      </x:c>
      <x:c r="K290" s="31" t="n">
        <x:v>1.84</x:v>
      </x:c>
      <x:c r="L290" s="31" t="n">
        <x:f>ABS(J290-K290)</x:f>
        <x:v>2.0199999999999996</x:v>
      </x:c>
      <x:c r="M290" s="31" t="n">
        <x:v>4.08</x:v>
      </x:c>
      <x:c r="N290" s="31" t="n">
        <x:v>3.29</x:v>
      </x:c>
      <x:c r="O290" s="31" t="n">
        <x:f>ABS(M290-N290)</x:f>
        <x:v>0.79</x:v>
      </x:c>
      <x:c r="P290" s="31" t="n">
        <x:v>4.7</x:v>
      </x:c>
      <x:c r="Q290" s="31" t="n">
        <x:v>6.67</x:v>
      </x:c>
      <x:c r="R290" s="31" t="n">
        <x:f>ABS(P290-Q290)</x:f>
        <x:v>1.9699999999999998</x:v>
      </x:c>
      <x:c r="S290" s="32" t="n">
        <x:v>2531.308899658674</x:v>
      </x:c>
      <x:c r="T290" s="32" t="n">
        <x:v>10275.080370174883</x:v>
      </x:c>
      <x:c r="U290" s="31" t="n">
        <x:f>MAX(S290/T290,T290/S290)</x:f>
        <x:v>4.059196556990888</x:v>
      </x:c>
      <x:c r="V290" s="31" t="n">
        <x:f>L290*'Controls &amp; Summary'!$B$9+O290*'Controls &amp; Summary'!$B$10+R290*'Controls &amp; Summary'!$B$11+U290*'Controls &amp; Summary'!$B$12</x:f>
        <x:v>8.839196556990888</x:v>
      </x:c>
      <x:c r="W290" s="31" t="n">
        <x:v>2.39</x:v>
      </x:c>
      <x:c r="X290" s="31" t="n">
        <x:v>4.5</x:v>
      </x:c>
      <x:c r="Y290" s="31" t="n">
        <x:f>((10-MIN(10,MAX(0,X290)))/10)*'Controls &amp; Summary'!$B$15+((10-MIN(10,MAX(0,W290)))/10)*'Controls &amp; Summary'!$B$16</x:f>
        <x:v>1.311</x:v>
      </x:c>
      <x:c r="Z290" s="31" t="n">
        <x:f>V290*Y290</x:f>
        <x:v>11.588186686215055</x:v>
      </x:c>
      <x:c r="AA290" s="30" t="str">
        <x:f>IF(Z290&lt;=I290,"Peaceful","Hostile")</x:f>
        <x:v>Hostile</x:v>
      </x:c>
      <x:c r="AB290" s="30" t="str">
        <x:f>IF(Z290&lt;='Controls &amp; Summary'!$B$6,"Eligible","Blocked")</x:f>
        <x:v>Eligible</x:v>
      </x:c>
      <x:c r="AC290" s="30" t="str">
        <x:v>2003_MAR</x:v>
      </x:c>
      <x:c r="AD290" s="30" t="str">
        <x:v>2003_LBY</x:v>
      </x:c>
      <x:c r="AE290" s="30" t="str">
        <x:v>2003_Libya</x:v>
      </x:c>
      <x:c r="AF290" s="30" t="str">
        <x:v>Explicit capitalClaim</x:v>
      </x:c>
      <x:c r="AG290" s="30" t="str">
        <x:v>Claim2003_MAR2003_Libya</x:v>
      </x:c>
      <x:c r="AH290" s="30" t="str">
        <x:v>Project_AfricanIndependenceMovements</x:v>
      </x:c>
    </x:row>
    <x:row r="291">
      <x:c r="A291" s="30" t="str">
        <x:v>2003</x:v>
      </x:c>
      <x:c r="B291" s="30" t="str">
        <x:v>Dark Skies</x:v>
      </x:c>
      <x:c r="C291" s="30" t="str">
        <x:v>Morocco</x:v>
      </x:c>
      <x:c r="D291" s="30" t="str">
        <x:v>Niger</x:v>
      </x:c>
      <x:c r="E291" s="30" t="str">
        <x:v>Project unlock</x:v>
      </x:c>
      <x:c r="F291" s="30" t="str">
        <x:v>African Independence Movements</x:v>
      </x:c>
      <x:c r="G291" s="30" t="str">
        <x:v>No</x:v>
      </x:c>
      <x:c r="H291" s="30" t="str">
        <x:v>Ordinary claim</x:v>
      </x:c>
      <x:c r="I291" s="31" t="n">
        <x:f>IF(G291="Yes",'Controls &amp; Summary'!$B$5,'Controls &amp; Summary'!$B$4)</x:f>
        <x:v>6</x:v>
      </x:c>
      <x:c r="J291" s="31" t="n">
        <x:v>3.86</x:v>
      </x:c>
      <x:c r="K291" s="31" t="n">
        <x:v>3.35</x:v>
      </x:c>
      <x:c r="L291" s="31" t="n">
        <x:f>ABS(J291-K291)</x:f>
        <x:v>0.5099999999999998</x:v>
      </x:c>
      <x:c r="M291" s="31" t="n">
        <x:v>4.08</x:v>
      </x:c>
      <x:c r="N291" s="31" t="n">
        <x:v>3.92</x:v>
      </x:c>
      <x:c r="O291" s="31" t="n">
        <x:f>ABS(M291-N291)</x:f>
        <x:v>0.16000000000000014</x:v>
      </x:c>
      <x:c r="P291" s="31" t="n">
        <x:v>4.7</x:v>
      </x:c>
      <x:c r="Q291" s="31" t="n">
        <x:v>1.67</x:v>
      </x:c>
      <x:c r="R291" s="31" t="n">
        <x:f>ABS(P291-Q291)</x:f>
        <x:v>3.0300000000000002</x:v>
      </x:c>
      <x:c r="S291" s="32" t="n">
        <x:v>2531.308899658674</x:v>
      </x:c>
      <x:c r="T291" s="32" t="n">
        <x:v>440.7562654606742</x:v>
      </x:c>
      <x:c r="U291" s="31" t="n">
        <x:f>MAX(S291/T291,T291/S291)</x:f>
        <x:v>5.743103610819858</x:v>
      </x:c>
      <x:c r="V291" s="31" t="n">
        <x:f>L291*'Controls &amp; Summary'!$B$9+O291*'Controls &amp; Summary'!$B$10+R291*'Controls &amp; Summary'!$B$11+U291*'Controls &amp; Summary'!$B$12</x:f>
        <x:v>9.443103610819858</x:v>
      </x:c>
      <x:c r="W291" s="31" t="n">
        <x:v>2.39</x:v>
      </x:c>
      <x:c r="X291" s="31" t="n">
        <x:v>4.51</x:v>
      </x:c>
      <x:c r="Y291" s="31" t="n">
        <x:f>((10-MIN(10,MAX(0,X291)))/10)*'Controls &amp; Summary'!$B$15+((10-MIN(10,MAX(0,W291)))/10)*'Controls &amp; Summary'!$B$16</x:f>
        <x:v>1.31</x:v>
      </x:c>
      <x:c r="Z291" s="31" t="n">
        <x:f>V291*Y291</x:f>
        <x:v>12.370465730174015</x:v>
      </x:c>
      <x:c r="AA291" s="30" t="str">
        <x:f>IF(Z291&lt;=I291,"Peaceful","Hostile")</x:f>
        <x:v>Hostile</x:v>
      </x:c>
      <x:c r="AB291" s="30" t="str">
        <x:f>IF(Z291&lt;='Controls &amp; Summary'!$B$6,"Eligible","Blocked")</x:f>
        <x:v>Blocked</x:v>
      </x:c>
      <x:c r="AC291" s="30" t="str">
        <x:v>2003_MAR</x:v>
      </x:c>
      <x:c r="AD291" s="30" t="str">
        <x:v>2003_NER</x:v>
      </x:c>
      <x:c r="AE291" s="30" t="str">
        <x:v>2003_Niger</x:v>
      </x:c>
      <x:c r="AF291" s="30" t="str">
        <x:v>Explicit capitalClaim</x:v>
      </x:c>
      <x:c r="AG291" s="30" t="str">
        <x:v>Claim2003_MAR2003_Niger</x:v>
      </x:c>
      <x:c r="AH291" s="30" t="str">
        <x:v>Project_AfricanIndependenceMovements</x:v>
      </x:c>
    </x:row>
    <x:row r="292">
      <x:c r="A292" s="30" t="str">
        <x:v>2003</x:v>
      </x:c>
      <x:c r="B292" s="30" t="str">
        <x:v>Dark Skies</x:v>
      </x:c>
      <x:c r="C292" s="30" t="str">
        <x:v>Nigeria</x:v>
      </x:c>
      <x:c r="D292" s="30" t="str">
        <x:v>Benin</x:v>
      </x:c>
      <x:c r="E292" s="30" t="str">
        <x:v>Project unlock</x:v>
      </x:c>
      <x:c r="F292" s="30" t="str">
        <x:v>African Confederations</x:v>
      </x:c>
      <x:c r="G292" s="30" t="str">
        <x:v>No</x:v>
      </x:c>
      <x:c r="H292" s="30" t="str">
        <x:v>Ordinary claim</x:v>
      </x:c>
      <x:c r="I292" s="31" t="n">
        <x:f>IF(G292="Yes",'Controls &amp; Summary'!$B$5,'Controls &amp; Summary'!$B$4)</x:f>
        <x:v>6</x:v>
      </x:c>
      <x:c r="J292" s="31" t="n">
        <x:v>3.59</x:v>
      </x:c>
      <x:c r="K292" s="31" t="n">
        <x:v>5.88</x:v>
      </x:c>
      <x:c r="L292" s="31" t="n">
        <x:f>ABS(J292-K292)</x:f>
        <x:v>2.29</x:v>
      </x:c>
      <x:c r="M292" s="31" t="n">
        <x:v>4.2</x:v>
      </x:c>
      <x:c r="N292" s="31" t="n">
        <x:v>4.34</x:v>
      </x:c>
      <x:c r="O292" s="31" t="n">
        <x:f>ABS(M292-N292)</x:f>
        <x:v>0.13999999999999968</x:v>
      </x:c>
      <x:c r="P292" s="31" t="n">
        <x:v>3.65</x:v>
      </x:c>
      <x:c r="Q292" s="31" t="n">
        <x:v>3.41</x:v>
      </x:c>
      <x:c r="R292" s="31" t="n">
        <x:f>ABS(P292-Q292)</x:f>
        <x:v>0.23999999999999977</x:v>
      </x:c>
      <x:c r="S292" s="32" t="n">
        <x:v>1504.859922626564</x:v>
      </x:c>
      <x:c r="T292" s="32" t="n">
        <x:v>1127.5297984221042</x:v>
      </x:c>
      <x:c r="U292" s="31" t="n">
        <x:f>MAX(S292/T292,T292/S292)</x:f>
        <x:v>1.3346520196029459</x:v>
      </x:c>
      <x:c r="V292" s="31" t="n">
        <x:f>L292*'Controls &amp; Summary'!$B$9+O292*'Controls &amp; Summary'!$B$10+R292*'Controls &amp; Summary'!$B$11+U292*'Controls &amp; Summary'!$B$12</x:f>
        <x:v>4.004652019602945</x:v>
      </x:c>
      <x:c r="W292" s="31" t="n">
        <x:v>0</x:v>
      </x:c>
      <x:c r="X292" s="31" t="n">
        <x:v>1.86</x:v>
      </x:c>
      <x:c r="Y292" s="31" t="n">
        <x:f>((10-MIN(10,MAX(0,X292)))/10)*'Controls &amp; Summary'!$B$15+((10-MIN(10,MAX(0,W292)))/10)*'Controls &amp; Summary'!$B$16</x:f>
        <x:v>1.814</x:v>
      </x:c>
      <x:c r="Z292" s="31" t="n">
        <x:f>V292*Y292</x:f>
        <x:v>7.264438763559743</x:v>
      </x:c>
      <x:c r="AA292" s="30" t="str">
        <x:f>IF(Z292&lt;=I292,"Peaceful","Hostile")</x:f>
        <x:v>Hostile</x:v>
      </x:c>
      <x:c r="AB292" s="30" t="str">
        <x:f>IF(Z292&lt;='Controls &amp; Summary'!$B$6,"Eligible","Blocked")</x:f>
        <x:v>Eligible</x:v>
      </x:c>
      <x:c r="AC292" s="30" t="str">
        <x:v>2003_NGA</x:v>
      </x:c>
      <x:c r="AD292" s="30" t="str">
        <x:v>2003_BEN</x:v>
      </x:c>
      <x:c r="AE292" s="30" t="str">
        <x:v>2003_TogoBenin</x:v>
      </x:c>
      <x:c r="AF292" s="30" t="str">
        <x:v>Explicit capitalClaim</x:v>
      </x:c>
      <x:c r="AG292" s="30" t="str">
        <x:v>Claim2003_NGA2003_TogoBenin</x:v>
      </x:c>
      <x:c r="AH292" s="30" t="str">
        <x:v>Project_EastAfricanFederation</x:v>
      </x:c>
    </x:row>
    <x:row r="293">
      <x:c r="A293" s="30" t="str">
        <x:v>2003</x:v>
      </x:c>
      <x:c r="B293" s="30" t="str">
        <x:v>Dark Skies</x:v>
      </x:c>
      <x:c r="C293" s="30" t="str">
        <x:v>Nigeria</x:v>
      </x:c>
      <x:c r="D293" s="30" t="str">
        <x:v>Burkina Faso</x:v>
      </x:c>
      <x:c r="E293" s="30" t="str">
        <x:v>Project unlock</x:v>
      </x:c>
      <x:c r="F293" s="30" t="str">
        <x:v>Regional African Unions</x:v>
      </x:c>
      <x:c r="G293" s="30" t="str">
        <x:v>No</x:v>
      </x:c>
      <x:c r="H293" s="30" t="str">
        <x:v>Ordinary claim</x:v>
      </x:c>
      <x:c r="I293" s="31" t="n">
        <x:f>IF(G293="Yes",'Controls &amp; Summary'!$B$5,'Controls &amp; Summary'!$B$4)</x:f>
        <x:v>6</x:v>
      </x:c>
      <x:c r="J293" s="31" t="n">
        <x:v>3.59</x:v>
      </x:c>
      <x:c r="K293" s="31" t="n">
        <x:v>3.58</x:v>
      </x:c>
      <x:c r="L293" s="31" t="n">
        <x:f>ABS(J293-K293)</x:f>
        <x:v>0.009999999999999787</x:v>
      </x:c>
      <x:c r="M293" s="31" t="n">
        <x:v>4.2</x:v>
      </x:c>
      <x:c r="N293" s="31" t="n">
        <x:v>4.49</x:v>
      </x:c>
      <x:c r="O293" s="31" t="n">
        <x:f>ABS(M293-N293)</x:f>
        <x:v>0.29000000000000004</x:v>
      </x:c>
      <x:c r="P293" s="31" t="n">
        <x:v>3.65</x:v>
      </x:c>
      <x:c r="Q293" s="31" t="n">
        <x:v>2.21</x:v>
      </x:c>
      <x:c r="R293" s="31" t="n">
        <x:f>ABS(P293-Q293)</x:f>
        <x:v>1.44</x:v>
      </x:c>
      <x:c r="S293" s="32" t="n">
        <x:v>1504.859922626564</x:v>
      </x:c>
      <x:c r="T293" s="32" t="n">
        <x:v>643.1503540751897</x:v>
      </x:c>
      <x:c r="U293" s="31" t="n">
        <x:f>MAX(S293/T293,T293/S293)</x:f>
        <x:v>2.3398260035018703</x:v>
      </x:c>
      <x:c r="V293" s="31" t="n">
        <x:f>L293*'Controls &amp; Summary'!$B$9+O293*'Controls &amp; Summary'!$B$10+R293*'Controls &amp; Summary'!$B$11+U293*'Controls &amp; Summary'!$B$12</x:f>
        <x:v>4.07982600350187</x:v>
      </x:c>
      <x:c r="W293" s="31" t="n">
        <x:v>0</x:v>
      </x:c>
      <x:c r="X293" s="31" t="n">
        <x:v>4.63</x:v>
      </x:c>
      <x:c r="Y293" s="31" t="n">
        <x:f>((10-MIN(10,MAX(0,X293)))/10)*'Controls &amp; Summary'!$B$15+((10-MIN(10,MAX(0,W293)))/10)*'Controls &amp; Summary'!$B$16</x:f>
        <x:v>1.537</x:v>
      </x:c>
      <x:c r="Z293" s="31" t="n">
        <x:f>V293*Y293</x:f>
        <x:v>6.2706925673823735</x:v>
      </x:c>
      <x:c r="AA293" s="30" t="str">
        <x:f>IF(Z293&lt;=I293,"Peaceful","Hostile")</x:f>
        <x:v>Hostile</x:v>
      </x:c>
      <x:c r="AB293" s="30" t="str">
        <x:f>IF(Z293&lt;='Controls &amp; Summary'!$B$6,"Eligible","Blocked")</x:f>
        <x:v>Eligible</x:v>
      </x:c>
      <x:c r="AC293" s="30" t="str">
        <x:v>2003_NGA</x:v>
      </x:c>
      <x:c r="AD293" s="30" t="str">
        <x:v>2003_BKF</x:v>
      </x:c>
      <x:c r="AE293" s="30" t="str">
        <x:v>2003_BurkinaFaso</x:v>
      </x:c>
      <x:c r="AF293" s="30" t="str">
        <x:v>Explicit capitalClaim</x:v>
      </x:c>
      <x:c r="AG293" s="30" t="str">
        <x:v>Claim2003_NGA2003_BurkinaFaso</x:v>
      </x:c>
      <x:c r="AH293" s="30" t="str">
        <x:v>Project_RegionalAfricanUnions</x:v>
      </x:c>
    </x:row>
    <x:row r="294">
      <x:c r="A294" s="30" t="str">
        <x:v>2003</x:v>
      </x:c>
      <x:c r="B294" s="30" t="str">
        <x:v>Dark Skies</x:v>
      </x:c>
      <x:c r="C294" s="30" t="str">
        <x:v>Nigeria</x:v>
      </x:c>
      <x:c r="D294" s="30" t="str">
        <x:v>Cabo Verde</x:v>
      </x:c>
      <x:c r="E294" s="30" t="str">
        <x:v>Project unlock</x:v>
      </x:c>
      <x:c r="F294" s="30" t="str">
        <x:v>African Confederations</x:v>
      </x:c>
      <x:c r="G294" s="30" t="str">
        <x:v>No</x:v>
      </x:c>
      <x:c r="H294" s="30" t="str">
        <x:v>Ordinary claim</x:v>
      </x:c>
      <x:c r="I294" s="31" t="n">
        <x:f>IF(G294="Yes",'Controls &amp; Summary'!$B$5,'Controls &amp; Summary'!$B$4)</x:f>
        <x:v>6</x:v>
      </x:c>
      <x:c r="J294" s="31" t="n">
        <x:v>3.59</x:v>
      </x:c>
      <x:c r="K294" s="31" t="n">
        <x:v>7.35</x:v>
      </x:c>
      <x:c r="L294" s="31" t="n">
        <x:f>ABS(J294-K294)</x:f>
        <x:v>3.76</x:v>
      </x:c>
      <x:c r="M294" s="31" t="n">
        <x:v>4.2</x:v>
      </x:c>
      <x:c r="N294" s="31" t="n">
        <x:v>5.01</x:v>
      </x:c>
      <x:c r="O294" s="31" t="n">
        <x:f>ABS(M294-N294)</x:f>
        <x:v>0.8099999999999996</x:v>
      </x:c>
      <x:c r="P294" s="31" t="n">
        <x:v>3.65</x:v>
      </x:c>
      <x:c r="Q294" s="31" t="n">
        <x:v>5.21</x:v>
      </x:c>
      <x:c r="R294" s="31" t="n">
        <x:f>ABS(P294-Q294)</x:f>
        <x:v>1.56</x:v>
      </x:c>
      <x:c r="S294" s="32" t="n">
        <x:v>1504.859922626564</x:v>
      </x:c>
      <x:c r="T294" s="32" t="n">
        <x:v>2333.9600281378926</x:v>
      </x:c>
      <x:c r="U294" s="31" t="n">
        <x:f>MAX(S294/T294,T294/S294)</x:f>
        <x:v>1.5509483594089126</x:v>
      </x:c>
      <x:c r="V294" s="31" t="n">
        <x:f>L294*'Controls &amp; Summary'!$B$9+O294*'Controls &amp; Summary'!$B$10+R294*'Controls &amp; Summary'!$B$11+U294*'Controls &amp; Summary'!$B$12</x:f>
        <x:v>7.680948359408911</x:v>
      </x:c>
      <x:c r="W294" s="31" t="n">
        <x:v>0</x:v>
      </x:c>
      <x:c r="X294" s="31" t="n">
        <x:v>0.88</x:v>
      </x:c>
      <x:c r="Y294" s="31" t="n">
        <x:f>((10-MIN(10,MAX(0,X294)))/10)*'Controls &amp; Summary'!$B$15+((10-MIN(10,MAX(0,W294)))/10)*'Controls &amp; Summary'!$B$16</x:f>
        <x:v>1.912</x:v>
      </x:c>
      <x:c r="Z294" s="31" t="n">
        <x:f>V294*Y294</x:f>
        <x:v>14.685973263189839</x:v>
      </x:c>
      <x:c r="AA294" s="30" t="str">
        <x:f>IF(Z294&lt;=I294,"Peaceful","Hostile")</x:f>
        <x:v>Hostile</x:v>
      </x:c>
      <x:c r="AB294" s="30" t="str">
        <x:f>IF(Z294&lt;='Controls &amp; Summary'!$B$6,"Eligible","Blocked")</x:f>
        <x:v>Blocked</x:v>
      </x:c>
      <x:c r="AC294" s="30" t="str">
        <x:v>2003_NGA</x:v>
      </x:c>
      <x:c r="AD294" s="30" t="str">
        <x:v>2003_CPV</x:v>
      </x:c>
      <x:c r="AE294" s="30" t="str">
        <x:v>2003_CaboVerde</x:v>
      </x:c>
      <x:c r="AF294" s="30" t="str">
        <x:v>Explicit capitalClaim</x:v>
      </x:c>
      <x:c r="AG294" s="30" t="str">
        <x:v>Claim2003_NGA2003_CaboVerde</x:v>
      </x:c>
      <x:c r="AH294" s="30" t="str">
        <x:v>Project_EastAfricanFederation</x:v>
      </x:c>
    </x:row>
    <x:row r="295">
      <x:c r="A295" s="30" t="str">
        <x:v>2003</x:v>
      </x:c>
      <x:c r="B295" s="30" t="str">
        <x:v>Dark Skies</x:v>
      </x:c>
      <x:c r="C295" s="30" t="str">
        <x:v>Nigeria</x:v>
      </x:c>
      <x:c r="D295" s="30" t="str">
        <x:v>Cameroon</x:v>
      </x:c>
      <x:c r="E295" s="30" t="str">
        <x:v>Project unlock</x:v>
      </x:c>
      <x:c r="F295" s="30" t="str">
        <x:v>Nigerian Confederation</x:v>
      </x:c>
      <x:c r="G295" s="30" t="str">
        <x:v>No</x:v>
      </x:c>
      <x:c r="H295" s="30" t="str">
        <x:v>Ordinary claim</x:v>
      </x:c>
      <x:c r="I295" s="31" t="n">
        <x:f>IF(G295="Yes",'Controls &amp; Summary'!$B$5,'Controls &amp; Summary'!$B$4)</x:f>
        <x:v>6</x:v>
      </x:c>
      <x:c r="J295" s="31" t="n">
        <x:v>3.59</x:v>
      </x:c>
      <x:c r="K295" s="31" t="n">
        <x:v>3.3</x:v>
      </x:c>
      <x:c r="L295" s="31" t="n">
        <x:f>ABS(J295-K295)</x:f>
        <x:v>0.29000000000000004</x:v>
      </x:c>
      <x:c r="M295" s="31" t="n">
        <x:v>4.2</x:v>
      </x:c>
      <x:c r="N295" s="31" t="n">
        <x:v>4.4</x:v>
      </x:c>
      <x:c r="O295" s="31" t="n">
        <x:f>ABS(M295-N295)</x:f>
        <x:v>0.20000000000000018</x:v>
      </x:c>
      <x:c r="P295" s="31" t="n">
        <x:v>3.65</x:v>
      </x:c>
      <x:c r="Q295" s="31" t="n">
        <x:v>3.66</x:v>
      </x:c>
      <x:c r="R295" s="31" t="n">
        <x:f>ABS(P295-Q295)</x:f>
        <x:v>0.010000000000000231</x:v>
      </x:c>
      <x:c r="S295" s="32" t="n">
        <x:v>1504.859922626564</x:v>
      </x:c>
      <x:c r="T295" s="32" t="n">
        <x:v>1461.8851709803137</x:v>
      </x:c>
      <x:c r="U295" s="31" t="n">
        <x:f>MAX(S295/T295,T295/S295)</x:f>
        <x:v>1.0293968038662245</x:v>
      </x:c>
      <x:c r="V295" s="31" t="n">
        <x:f>L295*'Controls &amp; Summary'!$B$9+O295*'Controls &amp; Summary'!$B$10+R295*'Controls &amp; Summary'!$B$11+U295*'Controls &amp; Summary'!$B$12</x:f>
        <x:v>1.529396803866225</x:v>
      </x:c>
      <x:c r="W295" s="31" t="n">
        <x:v>0</x:v>
      </x:c>
      <x:c r="X295" s="31" t="n">
        <x:v>4.35</x:v>
      </x:c>
      <x:c r="Y295" s="31" t="n">
        <x:f>((10-MIN(10,MAX(0,X295)))/10)*'Controls &amp; Summary'!$B$15+((10-MIN(10,MAX(0,W295)))/10)*'Controls &amp; Summary'!$B$16</x:f>
        <x:v>1.565</x:v>
      </x:c>
      <x:c r="Z295" s="31" t="n">
        <x:f>V295*Y295</x:f>
        <x:v>2.393505998050642</x:v>
      </x:c>
      <x:c r="AA295" s="30" t="str">
        <x:f>IF(Z295&lt;=I295,"Peaceful","Hostile")</x:f>
        <x:v>Peaceful</x:v>
      </x:c>
      <x:c r="AB295" s="30" t="str">
        <x:f>IF(Z295&lt;='Controls &amp; Summary'!$B$6,"Eligible","Blocked")</x:f>
        <x:v>Eligible</x:v>
      </x:c>
      <x:c r="AC295" s="30" t="str">
        <x:v>2003_NGA</x:v>
      </x:c>
      <x:c r="AD295" s="30" t="str">
        <x:v>2003_CMR</x:v>
      </x:c>
      <x:c r="AE295" s="30" t="str">
        <x:v>2003_Cameroon</x:v>
      </x:c>
      <x:c r="AF295" s="30" t="str">
        <x:v>Explicit capitalClaim</x:v>
      </x:c>
      <x:c r="AG295" s="30" t="str">
        <x:v>Claim2003_NGA2003_Cameroon</x:v>
      </x:c>
      <x:c r="AH295" s="30" t="str">
        <x:v>Project_NigerianConfederation</x:v>
      </x:c>
    </x:row>
    <x:row r="296">
      <x:c r="A296" s="30" t="str">
        <x:v>2003</x:v>
      </x:c>
      <x:c r="B296" s="30" t="str">
        <x:v>Dark Skies</x:v>
      </x:c>
      <x:c r="C296" s="30" t="str">
        <x:v>Nigeria</x:v>
      </x:c>
      <x:c r="D296" s="30" t="str">
        <x:v>Central African Republic</x:v>
      </x:c>
      <x:c r="E296" s="30" t="str">
        <x:v>Project unlock</x:v>
      </x:c>
      <x:c r="F296" s="30" t="str">
        <x:v>Nigerian Confederation</x:v>
      </x:c>
      <x:c r="G296" s="30" t="str">
        <x:v>No</x:v>
      </x:c>
      <x:c r="H296" s="30" t="str">
        <x:v>Ordinary claim</x:v>
      </x:c>
      <x:c r="I296" s="31" t="n">
        <x:f>IF(G296="Yes",'Controls &amp; Summary'!$B$5,'Controls &amp; Summary'!$B$4)</x:f>
        <x:v>6</x:v>
      </x:c>
      <x:c r="J296" s="31" t="n">
        <x:v>3.59</x:v>
      </x:c>
      <x:c r="K296" s="31" t="n">
        <x:v>1.06</x:v>
      </x:c>
      <x:c r="L296" s="31" t="n">
        <x:f>ABS(J296-K296)</x:f>
        <x:v>2.53</x:v>
      </x:c>
      <x:c r="M296" s="31" t="n">
        <x:v>4.2</x:v>
      </x:c>
      <x:c r="N296" s="31" t="n">
        <x:v>5.17</x:v>
      </x:c>
      <x:c r="O296" s="31" t="n">
        <x:f>ABS(M296-N296)</x:f>
        <x:v>0.9699999999999998</x:v>
      </x:c>
      <x:c r="P296" s="31" t="n">
        <x:v>3.65</x:v>
      </x:c>
      <x:c r="Q296" s="31" t="n">
        <x:v>2.26</x:v>
      </x:c>
      <x:c r="R296" s="31" t="n">
        <x:f>ABS(P296-Q296)</x:f>
        <x:v>1.3900000000000001</x:v>
      </x:c>
      <x:c r="S296" s="32" t="n">
        <x:v>1504.859922626564</x:v>
      </x:c>
      <x:c r="T296" s="32" t="n">
        <x:v>472.18773893601053</x:v>
      </x:c>
      <x:c r="U296" s="31" t="n">
        <x:f>MAX(S296/T296,T296/S296)</x:f>
        <x:v>3.1869949143903926</x:v>
      </x:c>
      <x:c r="V296" s="31" t="n">
        <x:f>L296*'Controls &amp; Summary'!$B$9+O296*'Controls &amp; Summary'!$B$10+R296*'Controls &amp; Summary'!$B$11+U296*'Controls &amp; Summary'!$B$12</x:f>
        <x:v>8.076994914390392</x:v>
      </x:c>
      <x:c r="W296" s="31" t="n">
        <x:v>0</x:v>
      </x:c>
      <x:c r="X296" s="31" t="n">
        <x:v>10.24</x:v>
      </x:c>
      <x:c r="Y296" s="31" t="n">
        <x:f>((10-MIN(10,MAX(0,X296)))/10)*'Controls &amp; Summary'!$B$15+((10-MIN(10,MAX(0,W296)))/10)*'Controls &amp; Summary'!$B$16</x:f>
        <x:v>1</x:v>
      </x:c>
      <x:c r="Z296" s="31" t="n">
        <x:f>V296*Y296</x:f>
        <x:v>8.076994914390392</x:v>
      </x:c>
      <x:c r="AA296" s="30" t="str">
        <x:f>IF(Z296&lt;=I296,"Peaceful","Hostile")</x:f>
        <x:v>Hostile</x:v>
      </x:c>
      <x:c r="AB296" s="30" t="str">
        <x:f>IF(Z296&lt;='Controls &amp; Summary'!$B$6,"Eligible","Blocked")</x:f>
        <x:v>Eligible</x:v>
      </x:c>
      <x:c r="AC296" s="30" t="str">
        <x:v>2003_NGA</x:v>
      </x:c>
      <x:c r="AD296" s="30" t="str">
        <x:v>2003_CAF</x:v>
      </x:c>
      <x:c r="AE296" s="30" t="str">
        <x:v>2003_CentralAfricanRepublic</x:v>
      </x:c>
      <x:c r="AF296" s="30" t="str">
        <x:v>Explicit capitalClaim</x:v>
      </x:c>
      <x:c r="AG296" s="30" t="str">
        <x:v>Claim2003_NGA2003_CentralAfricanRepublic</x:v>
      </x:c>
      <x:c r="AH296" s="30" t="str">
        <x:v>Project_NigerianConfederation</x:v>
      </x:c>
    </x:row>
    <x:row r="297">
      <x:c r="A297" s="30" t="str">
        <x:v>2003</x:v>
      </x:c>
      <x:c r="B297" s="30" t="str">
        <x:v>Dark Skies</x:v>
      </x:c>
      <x:c r="C297" s="30" t="str">
        <x:v>Nigeria</x:v>
      </x:c>
      <x:c r="D297" s="30" t="str">
        <x:v>Chad</x:v>
      </x:c>
      <x:c r="E297" s="30" t="str">
        <x:v>Project unlock</x:v>
      </x:c>
      <x:c r="F297" s="30" t="str">
        <x:v>Nigerian Confederation</x:v>
      </x:c>
      <x:c r="G297" s="30" t="str">
        <x:v>No</x:v>
      </x:c>
      <x:c r="H297" s="30" t="str">
        <x:v>Ordinary claim</x:v>
      </x:c>
      <x:c r="I297" s="31" t="n">
        <x:f>IF(G297="Yes",'Controls &amp; Summary'!$B$5,'Controls &amp; Summary'!$B$4)</x:f>
        <x:v>6</x:v>
      </x:c>
      <x:c r="J297" s="31" t="n">
        <x:v>3.59</x:v>
      </x:c>
      <x:c r="K297" s="31" t="n">
        <x:v>1.66</x:v>
      </x:c>
      <x:c r="L297" s="31" t="n">
        <x:f>ABS(J297-K297)</x:f>
        <x:v>1.93</x:v>
      </x:c>
      <x:c r="M297" s="31" t="n">
        <x:v>4.2</x:v>
      </x:c>
      <x:c r="N297" s="31" t="n">
        <x:v>4.09</x:v>
      </x:c>
      <x:c r="O297" s="31" t="n">
        <x:f>ABS(M297-N297)</x:f>
        <x:v>0.11000000000000032</x:v>
      </x:c>
      <x:c r="P297" s="31" t="n">
        <x:v>3.65</x:v>
      </x:c>
      <x:c r="Q297" s="31" t="n">
        <x:v>2.06</x:v>
      </x:c>
      <x:c r="R297" s="31" t="n">
        <x:f>ABS(P297-Q297)</x:f>
        <x:v>1.5899999999999999</x:v>
      </x:c>
      <x:c r="S297" s="32" t="n">
        <x:v>1504.859922626564</x:v>
      </x:c>
      <x:c r="T297" s="32" t="n">
        <x:v>761.3320990156551</x:v>
      </x:c>
      <x:c r="U297" s="31" t="n">
        <x:f>MAX(S297/T297,T297/S297)</x:f>
        <x:v>1.9766143113790082</x:v>
      </x:c>
      <x:c r="V297" s="31" t="n">
        <x:f>L297*'Controls &amp; Summary'!$B$9+O297*'Controls &amp; Summary'!$B$10+R297*'Controls &amp; Summary'!$B$11+U297*'Controls &amp; Summary'!$B$12</x:f>
        <x:v>5.606614311379008</x:v>
      </x:c>
      <x:c r="W297" s="31" t="n">
        <x:v>0</x:v>
      </x:c>
      <x:c r="X297" s="31" t="n">
        <x:v>9.1</x:v>
      </x:c>
      <x:c r="Y297" s="31" t="n">
        <x:f>((10-MIN(10,MAX(0,X297)))/10)*'Controls &amp; Summary'!$B$15+((10-MIN(10,MAX(0,W297)))/10)*'Controls &amp; Summary'!$B$16</x:f>
        <x:v>1.09</x:v>
      </x:c>
      <x:c r="Z297" s="31" t="n">
        <x:f>V297*Y297</x:f>
        <x:v>6.11120959940312</x:v>
      </x:c>
      <x:c r="AA297" s="30" t="str">
        <x:f>IF(Z297&lt;=I297,"Peaceful","Hostile")</x:f>
        <x:v>Hostile</x:v>
      </x:c>
      <x:c r="AB297" s="30" t="str">
        <x:f>IF(Z297&lt;='Controls &amp; Summary'!$B$6,"Eligible","Blocked")</x:f>
        <x:v>Eligible</x:v>
      </x:c>
      <x:c r="AC297" s="30" t="str">
        <x:v>2003_NGA</x:v>
      </x:c>
      <x:c r="AD297" s="30" t="str">
        <x:v>2003_TCD</x:v>
      </x:c>
      <x:c r="AE297" s="30" t="str">
        <x:v>2003_Chad</x:v>
      </x:c>
      <x:c r="AF297" s="30" t="str">
        <x:v>Explicit capitalClaim</x:v>
      </x:c>
      <x:c r="AG297" s="30" t="str">
        <x:v>Claim2003_NGA2003_Chad</x:v>
      </x:c>
      <x:c r="AH297" s="30" t="str">
        <x:v>Project_NigerianConfederation</x:v>
      </x:c>
    </x:row>
    <x:row r="298">
      <x:c r="A298" s="30" t="str">
        <x:v>2003</x:v>
      </x:c>
      <x:c r="B298" s="30" t="str">
        <x:v>Dark Skies</x:v>
      </x:c>
      <x:c r="C298" s="30" t="str">
        <x:v>Nigeria</x:v>
      </x:c>
      <x:c r="D298" s="30" t="str">
        <x:v>Gambia</x:v>
      </x:c>
      <x:c r="E298" s="30" t="str">
        <x:v>Project unlock</x:v>
      </x:c>
      <x:c r="F298" s="30" t="str">
        <x:v>African Confederations</x:v>
      </x:c>
      <x:c r="G298" s="30" t="str">
        <x:v>No</x:v>
      </x:c>
      <x:c r="H298" s="30" t="str">
        <x:v>Ordinary claim</x:v>
      </x:c>
      <x:c r="I298" s="31" t="n">
        <x:f>IF(G298="Yes",'Controls &amp; Summary'!$B$5,'Controls &amp; Summary'!$B$4)</x:f>
        <x:v>6</x:v>
      </x:c>
      <x:c r="J298" s="31" t="n">
        <x:v>3.59</x:v>
      </x:c>
      <x:c r="K298" s="31" t="n">
        <x:v>4.43</x:v>
      </x:c>
      <x:c r="L298" s="31" t="n">
        <x:f>ABS(J298-K298)</x:f>
        <x:v>0.8399999999999999</x:v>
      </x:c>
      <x:c r="M298" s="31" t="n">
        <x:v>4.2</x:v>
      </x:c>
      <x:c r="N298" s="31" t="n">
        <x:v>4.41</x:v>
      </x:c>
      <x:c r="O298" s="31" t="n">
        <x:f>ABS(M298-N298)</x:f>
        <x:v>0.20999999999999996</x:v>
      </x:c>
      <x:c r="P298" s="31" t="n">
        <x:v>3.65</x:v>
      </x:c>
      <x:c r="Q298" s="31" t="n">
        <x:v>3.19</x:v>
      </x:c>
      <x:c r="R298" s="31" t="n">
        <x:f>ABS(P298-Q298)</x:f>
        <x:v>0.45999999999999996</x:v>
      </x:c>
      <x:c r="S298" s="32" t="n">
        <x:v>1504.859922626564</x:v>
      </x:c>
      <x:c r="T298" s="32" t="n">
        <x:v>972.3044077405647</x:v>
      </x:c>
      <x:c r="U298" s="31" t="n">
        <x:f>MAX(S298/T298,T298/S298)</x:f>
        <x:v>1.547725085524963</x:v>
      </x:c>
      <x:c r="V298" s="31" t="n">
        <x:f>L298*'Controls &amp; Summary'!$B$9+O298*'Controls &amp; Summary'!$B$10+R298*'Controls &amp; Summary'!$B$11+U298*'Controls &amp; Summary'!$B$12</x:f>
        <x:v>3.0577250855249627</x:v>
      </x:c>
      <x:c r="W298" s="31" t="n">
        <x:v>0</x:v>
      </x:c>
      <x:c r="X298" s="31" t="n">
        <x:v>2.61</x:v>
      </x:c>
      <x:c r="Y298" s="31" t="n">
        <x:f>((10-MIN(10,MAX(0,X298)))/10)*'Controls &amp; Summary'!$B$15+((10-MIN(10,MAX(0,W298)))/10)*'Controls &amp; Summary'!$B$16</x:f>
        <x:v>1.739</x:v>
      </x:c>
      <x:c r="Z298" s="31" t="n">
        <x:f>V298*Y298</x:f>
        <x:v>5.317383923727911</x:v>
      </x:c>
      <x:c r="AA298" s="30" t="str">
        <x:f>IF(Z298&lt;=I298,"Peaceful","Hostile")</x:f>
        <x:v>Peaceful</x:v>
      </x:c>
      <x:c r="AB298" s="30" t="str">
        <x:f>IF(Z298&lt;='Controls &amp; Summary'!$B$6,"Eligible","Blocked")</x:f>
        <x:v>Eligible</x:v>
      </x:c>
      <x:c r="AC298" s="30" t="str">
        <x:v>2003_NGA</x:v>
      </x:c>
      <x:c r="AD298" s="30" t="str">
        <x:v>2003_GAM</x:v>
      </x:c>
      <x:c r="AE298" s="30" t="str">
        <x:v>2003_Gambia</x:v>
      </x:c>
      <x:c r="AF298" s="30" t="str">
        <x:v>Explicit capitalClaim</x:v>
      </x:c>
      <x:c r="AG298" s="30" t="str">
        <x:v>Claim2003_NGA2003_Gambia</x:v>
      </x:c>
      <x:c r="AH298" s="30" t="str">
        <x:v>Project_EastAfricanFederation</x:v>
      </x:c>
    </x:row>
    <x:row r="299">
      <x:c r="A299" s="30" t="str">
        <x:v>2003</x:v>
      </x:c>
      <x:c r="B299" s="30" t="str">
        <x:v>Dark Skies</x:v>
      </x:c>
      <x:c r="C299" s="30" t="str">
        <x:v>Nigeria</x:v>
      </x:c>
      <x:c r="D299" s="30" t="str">
        <x:v>Ghana</x:v>
      </x:c>
      <x:c r="E299" s="30" t="str">
        <x:v>Project unlock</x:v>
      </x:c>
      <x:c r="F299" s="30" t="str">
        <x:v>African Confederations</x:v>
      </x:c>
      <x:c r="G299" s="30" t="str">
        <x:v>No</x:v>
      </x:c>
      <x:c r="H299" s="30" t="str">
        <x:v>Ordinary claim</x:v>
      </x:c>
      <x:c r="I299" s="31" t="n">
        <x:f>IF(G299="Yes",'Controls &amp; Summary'!$B$5,'Controls &amp; Summary'!$B$4)</x:f>
        <x:v>6</x:v>
      </x:c>
      <x:c r="J299" s="31" t="n">
        <x:v>3.59</x:v>
      </x:c>
      <x:c r="K299" s="31" t="n">
        <x:v>5.34</x:v>
      </x:c>
      <x:c r="L299" s="31" t="n">
        <x:f>ABS(J299-K299)</x:f>
        <x:v>1.75</x:v>
      </x:c>
      <x:c r="M299" s="31" t="n">
        <x:v>4.2</x:v>
      </x:c>
      <x:c r="N299" s="31" t="n">
        <x:v>4.19</x:v>
      </x:c>
      <x:c r="O299" s="31" t="n">
        <x:f>ABS(M299-N299)</x:f>
        <x:v>0.009999999999999787</x:v>
      </x:c>
      <x:c r="P299" s="31" t="n">
        <x:v>3.65</x:v>
      </x:c>
      <x:c r="Q299" s="31" t="n">
        <x:v>3.99</x:v>
      </x:c>
      <x:c r="R299" s="31" t="n">
        <x:f>ABS(P299-Q299)</x:f>
        <x:v>0.3400000000000003</x:v>
      </x:c>
      <x:c r="S299" s="32" t="n">
        <x:v>1504.859922626564</x:v>
      </x:c>
      <x:c r="T299" s="32" t="n">
        <x:v>1377.6943840373428</x:v>
      </x:c>
      <x:c r="U299" s="31" t="n">
        <x:f>MAX(S299/T299,T299/S299)</x:f>
        <x:v>1.092303155229944</x:v>
      </x:c>
      <x:c r="V299" s="31" t="n">
        <x:f>L299*'Controls &amp; Summary'!$B$9+O299*'Controls &amp; Summary'!$B$10+R299*'Controls &amp; Summary'!$B$11+U299*'Controls &amp; Summary'!$B$12</x:f>
        <x:v>3.1923031552299443</x:v>
      </x:c>
      <x:c r="W299" s="31" t="n">
        <x:v>0</x:v>
      </x:c>
      <x:c r="X299" s="31" t="n">
        <x:v>4.32</x:v>
      </x:c>
      <x:c r="Y299" s="31" t="n">
        <x:f>((10-MIN(10,MAX(0,X299)))/10)*'Controls &amp; Summary'!$B$15+((10-MIN(10,MAX(0,W299)))/10)*'Controls &amp; Summary'!$B$16</x:f>
        <x:v>1.568</x:v>
      </x:c>
      <x:c r="Z299" s="31" t="n">
        <x:f>V299*Y299</x:f>
        <x:v>5.005531347400553</x:v>
      </x:c>
      <x:c r="AA299" s="30" t="str">
        <x:f>IF(Z299&lt;=I299,"Peaceful","Hostile")</x:f>
        <x:v>Peaceful</x:v>
      </x:c>
      <x:c r="AB299" s="30" t="str">
        <x:f>IF(Z299&lt;='Controls &amp; Summary'!$B$6,"Eligible","Blocked")</x:f>
        <x:v>Eligible</x:v>
      </x:c>
      <x:c r="AC299" s="30" t="str">
        <x:v>2003_NGA</x:v>
      </x:c>
      <x:c r="AD299" s="30" t="str">
        <x:v>2003_GHA</x:v>
      </x:c>
      <x:c r="AE299" s="30" t="str">
        <x:v>2003_Accra</x:v>
      </x:c>
      <x:c r="AF299" s="30" t="str">
        <x:v>Explicit capitalClaim</x:v>
      </x:c>
      <x:c r="AG299" s="30" t="str">
        <x:v>Claim2003_NGA2003_Accra</x:v>
      </x:c>
      <x:c r="AH299" s="30" t="str">
        <x:v>Project_EastAfricanFederation</x:v>
      </x:c>
    </x:row>
    <x:row r="300">
      <x:c r="A300" s="30" t="str">
        <x:v>2003</x:v>
      </x:c>
      <x:c r="B300" s="30" t="str">
        <x:v>Dark Skies</x:v>
      </x:c>
      <x:c r="C300" s="30" t="str">
        <x:v>Nigeria</x:v>
      </x:c>
      <x:c r="D300" s="30" t="str">
        <x:v>Guinea</x:v>
      </x:c>
      <x:c r="E300" s="30" t="str">
        <x:v>Project unlock</x:v>
      </x:c>
      <x:c r="F300" s="30" t="str">
        <x:v>African Confederations</x:v>
      </x:c>
      <x:c r="G300" s="30" t="str">
        <x:v>No</x:v>
      </x:c>
      <x:c r="H300" s="30" t="str">
        <x:v>Ordinary claim</x:v>
      </x:c>
      <x:c r="I300" s="31" t="n">
        <x:f>IF(G300="Yes",'Controls &amp; Summary'!$B$5,'Controls &amp; Summary'!$B$4)</x:f>
        <x:v>6</x:v>
      </x:c>
      <x:c r="J300" s="31" t="n">
        <x:v>3.59</x:v>
      </x:c>
      <x:c r="K300" s="31" t="n">
        <x:v>2.02</x:v>
      </x:c>
      <x:c r="L300" s="31" t="n">
        <x:f>ABS(J300-K300)</x:f>
        <x:v>1.5699999999999998</x:v>
      </x:c>
      <x:c r="M300" s="31" t="n">
        <x:v>4.2</x:v>
      </x:c>
      <x:c r="N300" s="31" t="n">
        <x:v>4.09</x:v>
      </x:c>
      <x:c r="O300" s="31" t="n">
        <x:f>ABS(M300-N300)</x:f>
        <x:v>0.11000000000000032</x:v>
      </x:c>
      <x:c r="P300" s="31" t="n">
        <x:v>3.65</x:v>
      </x:c>
      <x:c r="Q300" s="31" t="n">
        <x:v>2.77</x:v>
      </x:c>
      <x:c r="R300" s="31" t="n">
        <x:f>ABS(P300-Q300)</x:f>
        <x:v>0.8799999999999999</x:v>
      </x:c>
      <x:c r="S300" s="32" t="n">
        <x:v>1504.859922626564</x:v>
      </x:c>
      <x:c r="T300" s="32" t="n">
        <x:v>897.8817401759777</x:v>
      </x:c>
      <x:c r="U300" s="31" t="n">
        <x:f>MAX(S300/T300,T300/S300)</x:f>
        <x:v>1.676011277756493</x:v>
      </x:c>
      <x:c r="V300" s="31" t="n">
        <x:f>L300*'Controls &amp; Summary'!$B$9+O300*'Controls &amp; Summary'!$B$10+R300*'Controls &amp; Summary'!$B$11+U300*'Controls &amp; Summary'!$B$12</x:f>
        <x:v>4.236011277756493</x:v>
      </x:c>
      <x:c r="W300" s="31" t="n">
        <x:v>0</x:v>
      </x:c>
      <x:c r="X300" s="31" t="n">
        <x:v>5.52</x:v>
      </x:c>
      <x:c r="Y300" s="31" t="n">
        <x:f>((10-MIN(10,MAX(0,X300)))/10)*'Controls &amp; Summary'!$B$15+((10-MIN(10,MAX(0,W300)))/10)*'Controls &amp; Summary'!$B$16</x:f>
        <x:v>1.448</x:v>
      </x:c>
      <x:c r="Z300" s="31" t="n">
        <x:f>V300*Y300</x:f>
        <x:v>6.133744330191401</x:v>
      </x:c>
      <x:c r="AA300" s="30" t="str">
        <x:f>IF(Z300&lt;=I300,"Peaceful","Hostile")</x:f>
        <x:v>Hostile</x:v>
      </x:c>
      <x:c r="AB300" s="30" t="str">
        <x:f>IF(Z300&lt;='Controls &amp; Summary'!$B$6,"Eligible","Blocked")</x:f>
        <x:v>Eligible</x:v>
      </x:c>
      <x:c r="AC300" s="30" t="str">
        <x:v>2003_NGA</x:v>
      </x:c>
      <x:c r="AD300" s="30" t="str">
        <x:v>2003_GIN</x:v>
      </x:c>
      <x:c r="AE300" s="30" t="str">
        <x:v>2003_Guinea</x:v>
      </x:c>
      <x:c r="AF300" s="30" t="str">
        <x:v>Explicit capitalClaim</x:v>
      </x:c>
      <x:c r="AG300" s="30" t="str">
        <x:v>Claim2003_NGA2003_Guinea</x:v>
      </x:c>
      <x:c r="AH300" s="30" t="str">
        <x:v>Project_EastAfricanFederation</x:v>
      </x:c>
    </x:row>
    <x:row r="301">
      <x:c r="A301" s="30" t="str">
        <x:v>2003</x:v>
      </x:c>
      <x:c r="B301" s="30" t="str">
        <x:v>Dark Skies</x:v>
      </x:c>
      <x:c r="C301" s="30" t="str">
        <x:v>Nigeria</x:v>
      </x:c>
      <x:c r="D301" s="30" t="str">
        <x:v>Guinea-Bissau</x:v>
      </x:c>
      <x:c r="E301" s="30" t="str">
        <x:v>Project unlock</x:v>
      </x:c>
      <x:c r="F301" s="30" t="str">
        <x:v>African Confederations</x:v>
      </x:c>
      <x:c r="G301" s="30" t="str">
        <x:v>No</x:v>
      </x:c>
      <x:c r="H301" s="30" t="str">
        <x:v>Ordinary claim</x:v>
      </x:c>
      <x:c r="I301" s="31" t="n">
        <x:f>IF(G301="Yes",'Controls &amp; Summary'!$B$5,'Controls &amp; Summary'!$B$4)</x:f>
        <x:v>6</x:v>
      </x:c>
      <x:c r="J301" s="31" t="n">
        <x:v>3.59</x:v>
      </x:c>
      <x:c r="K301" s="31" t="n">
        <x:v>1.57</x:v>
      </x:c>
      <x:c r="L301" s="31" t="n">
        <x:f>ABS(J301-K301)</x:f>
        <x:v>2.0199999999999996</x:v>
      </x:c>
      <x:c r="M301" s="31" t="n">
        <x:v>4.2</x:v>
      </x:c>
      <x:c r="N301" s="31" t="n">
        <x:v>4.17</x:v>
      </x:c>
      <x:c r="O301" s="31" t="n">
        <x:f>ABS(M301-N301)</x:f>
        <x:v>0.03000000000000025</x:v>
      </x:c>
      <x:c r="P301" s="31" t="n">
        <x:v>3.65</x:v>
      </x:c>
      <x:c r="Q301" s="31" t="n">
        <x:v>3.08</x:v>
      </x:c>
      <x:c r="R301" s="31" t="n">
        <x:f>ABS(P301-Q301)</x:f>
        <x:v>0.5699999999999998</x:v>
      </x:c>
      <x:c r="S301" s="32" t="n">
        <x:v>1504.859922626564</x:v>
      </x:c>
      <x:c r="T301" s="32" t="n">
        <x:v>801.2741419132154</x:v>
      </x:c>
      <x:c r="U301" s="31" t="n">
        <x:f>MAX(S301/T301,T301/S301)</x:f>
        <x:v>1.8780837218001134</x:v>
      </x:c>
      <x:c r="V301" s="31" t="n">
        <x:f>L301*'Controls &amp; Summary'!$B$9+O301*'Controls &amp; Summary'!$B$10+R301*'Controls &amp; Summary'!$B$11+U301*'Controls &amp; Summary'!$B$12</x:f>
        <x:v>4.498083721800113</x:v>
      </x:c>
      <x:c r="W301" s="31" t="n">
        <x:v>0</x:v>
      </x:c>
      <x:c r="X301" s="31" t="n">
        <x:v>7.42</x:v>
      </x:c>
      <x:c r="Y301" s="31" t="n">
        <x:f>((10-MIN(10,MAX(0,X301)))/10)*'Controls &amp; Summary'!$B$15+((10-MIN(10,MAX(0,W301)))/10)*'Controls &amp; Summary'!$B$16</x:f>
        <x:v>1.258</x:v>
      </x:c>
      <x:c r="Z301" s="31" t="n">
        <x:f>V301*Y301</x:f>
        <x:v>5.658589322024542</x:v>
      </x:c>
      <x:c r="AA301" s="30" t="str">
        <x:f>IF(Z301&lt;=I301,"Peaceful","Hostile")</x:f>
        <x:v>Peaceful</x:v>
      </x:c>
      <x:c r="AB301" s="30" t="str">
        <x:f>IF(Z301&lt;='Controls &amp; Summary'!$B$6,"Eligible","Blocked")</x:f>
        <x:v>Eligible</x:v>
      </x:c>
      <x:c r="AC301" s="30" t="str">
        <x:v>2003_NGA</x:v>
      </x:c>
      <x:c r="AD301" s="30" t="str">
        <x:v>2003_GNB</x:v>
      </x:c>
      <x:c r="AE301" s="30" t="str">
        <x:v>2003_GuineaBissau</x:v>
      </x:c>
      <x:c r="AF301" s="30" t="str">
        <x:v>Explicit capitalClaim</x:v>
      </x:c>
      <x:c r="AG301" s="30" t="str">
        <x:v>Claim2003_NGA2003_GuineaBissau</x:v>
      </x:c>
      <x:c r="AH301" s="30" t="str">
        <x:v>Project_EastAfricanFederation</x:v>
      </x:c>
    </x:row>
    <x:row r="302">
      <x:c r="A302" s="30" t="str">
        <x:v>2003</x:v>
      </x:c>
      <x:c r="B302" s="30" t="str">
        <x:v>Dark Skies</x:v>
      </x:c>
      <x:c r="C302" s="30" t="str">
        <x:v>Nigeria</x:v>
      </x:c>
      <x:c r="D302" s="30" t="str">
        <x:v>Ivory Coast</x:v>
      </x:c>
      <x:c r="E302" s="30" t="str">
        <x:v>Project unlock</x:v>
      </x:c>
      <x:c r="F302" s="30" t="str">
        <x:v>African Confederations</x:v>
      </x:c>
      <x:c r="G302" s="30" t="str">
        <x:v>No</x:v>
      </x:c>
      <x:c r="H302" s="30" t="str">
        <x:v>Ordinary claim</x:v>
      </x:c>
      <x:c r="I302" s="31" t="n">
        <x:f>IF(G302="Yes",'Controls &amp; Summary'!$B$5,'Controls &amp; Summary'!$B$4)</x:f>
        <x:v>6</x:v>
      </x:c>
      <x:c r="J302" s="31" t="n">
        <x:v>3.59</x:v>
      </x:c>
      <x:c r="K302" s="31" t="n">
        <x:v>3.42</x:v>
      </x:c>
      <x:c r="L302" s="31" t="n">
        <x:f>ABS(J302-K302)</x:f>
        <x:v>0.16999999999999993</x:v>
      </x:c>
      <x:c r="M302" s="31" t="n">
        <x:v>4.2</x:v>
      </x:c>
      <x:c r="N302" s="31" t="n">
        <x:v>5.19</x:v>
      </x:c>
      <x:c r="O302" s="31" t="n">
        <x:f>ABS(M302-N302)</x:f>
        <x:v>0.9900000000000002</x:v>
      </x:c>
      <x:c r="P302" s="31" t="n">
        <x:v>3.65</x:v>
      </x:c>
      <x:c r="Q302" s="31" t="n">
        <x:v>3.22</x:v>
      </x:c>
      <x:c r="R302" s="31" t="n">
        <x:f>ABS(P302-Q302)</x:f>
        <x:v>0.4299999999999997</x:v>
      </x:c>
      <x:c r="S302" s="32" t="n">
        <x:v>1504.859922626564</x:v>
      </x:c>
      <x:c r="T302" s="32" t="n">
        <x:v>1635.331860765044</x:v>
      </x:c>
      <x:c r="U302" s="31" t="n">
        <x:f>MAX(S302/T302,T302/S302)</x:f>
        <x:v>1.0867003873096415</x:v>
      </x:c>
      <x:c r="V302" s="31" t="n">
        <x:f>L302*'Controls &amp; Summary'!$B$9+O302*'Controls &amp; Summary'!$B$10+R302*'Controls &amp; Summary'!$B$11+U302*'Controls &amp; Summary'!$B$12</x:f>
        <x:v>2.6767003873096415</x:v>
      </x:c>
      <x:c r="W302" s="31" t="n">
        <x:v>0</x:v>
      </x:c>
      <x:c r="X302" s="31" t="n">
        <x:v>6.2</x:v>
      </x:c>
      <x:c r="Y302" s="31" t="n">
        <x:f>((10-MIN(10,MAX(0,X302)))/10)*'Controls &amp; Summary'!$B$15+((10-MIN(10,MAX(0,W302)))/10)*'Controls &amp; Summary'!$B$16</x:f>
        <x:v>1.38</x:v>
      </x:c>
      <x:c r="Z302" s="31" t="n">
        <x:f>V302*Y302</x:f>
        <x:v>3.6938465344873053</x:v>
      </x:c>
      <x:c r="AA302" s="30" t="str">
        <x:f>IF(Z302&lt;=I302,"Peaceful","Hostile")</x:f>
        <x:v>Peaceful</x:v>
      </x:c>
      <x:c r="AB302" s="30" t="str">
        <x:f>IF(Z302&lt;='Controls &amp; Summary'!$B$6,"Eligible","Blocked")</x:f>
        <x:v>Eligible</x:v>
      </x:c>
      <x:c r="AC302" s="30" t="str">
        <x:v>2003_NGA</x:v>
      </x:c>
      <x:c r="AD302" s="30" t="str">
        <x:v>2003_IVO</x:v>
      </x:c>
      <x:c r="AE302" s="30" t="str">
        <x:v>2003_IvoryCoast</x:v>
      </x:c>
      <x:c r="AF302" s="30" t="str">
        <x:v>Explicit capitalClaim</x:v>
      </x:c>
      <x:c r="AG302" s="30" t="str">
        <x:v>Claim2003_NGA2003_IvoryCoast</x:v>
      </x:c>
      <x:c r="AH302" s="30" t="str">
        <x:v>Project_EastAfricanFederation</x:v>
      </x:c>
    </x:row>
    <x:row r="303">
      <x:c r="A303" s="30" t="str">
        <x:v>2003</x:v>
      </x:c>
      <x:c r="B303" s="30" t="str">
        <x:v>Dark Skies</x:v>
      </x:c>
      <x:c r="C303" s="30" t="str">
        <x:v>Nigeria</x:v>
      </x:c>
      <x:c r="D303" s="30" t="str">
        <x:v>Liberia</x:v>
      </x:c>
      <x:c r="E303" s="30" t="str">
        <x:v>Project unlock</x:v>
      </x:c>
      <x:c r="F303" s="30" t="str">
        <x:v>African Confederations</x:v>
      </x:c>
      <x:c r="G303" s="30" t="str">
        <x:v>No</x:v>
      </x:c>
      <x:c r="H303" s="30" t="str">
        <x:v>Ordinary claim</x:v>
      </x:c>
      <x:c r="I303" s="31" t="n">
        <x:f>IF(G303="Yes",'Controls &amp; Summary'!$B$5,'Controls &amp; Summary'!$B$4)</x:f>
        <x:v>6</x:v>
      </x:c>
      <x:c r="J303" s="31" t="n">
        <x:v>3.59</x:v>
      </x:c>
      <x:c r="K303" s="31" t="n">
        <x:v>2.54</x:v>
      </x:c>
      <x:c r="L303" s="31" t="n">
        <x:f>ABS(J303-K303)</x:f>
        <x:v>1.0499999999999998</x:v>
      </x:c>
      <x:c r="M303" s="31" t="n">
        <x:v>4.2</x:v>
      </x:c>
      <x:c r="N303" s="31" t="n">
        <x:v>3.72</x:v>
      </x:c>
      <x:c r="O303" s="31" t="n">
        <x:f>ABS(M303-N303)</x:f>
        <x:v>0.48</x:v>
      </x:c>
      <x:c r="P303" s="31" t="n">
        <x:v>3.65</x:v>
      </x:c>
      <x:c r="Q303" s="31" t="n">
        <x:v>3.26</x:v>
      </x:c>
      <x:c r="R303" s="31" t="n">
        <x:f>ABS(P303-Q303)</x:f>
        <x:v>0.3900000000000001</x:v>
      </x:c>
      <x:c r="S303" s="32" t="n">
        <x:v>1504.859922626564</x:v>
      </x:c>
      <x:c r="T303" s="32" t="n">
        <x:v>552.4520386391292</x:v>
      </x:c>
      <x:c r="U303" s="31" t="n">
        <x:f>MAX(S303/T303,T303/S303)</x:f>
        <x:v>2.723964828392213</x:v>
      </x:c>
      <x:c r="V303" s="31" t="n">
        <x:f>L303*'Controls &amp; Summary'!$B$9+O303*'Controls &amp; Summary'!$B$10+R303*'Controls &amp; Summary'!$B$11+U303*'Controls &amp; Summary'!$B$12</x:f>
        <x:v>4.643964828392213</x:v>
      </x:c>
      <x:c r="W303" s="31" t="n">
        <x:v>0</x:v>
      </x:c>
      <x:c r="X303" s="31" t="n">
        <x:v>9.51</x:v>
      </x:c>
      <x:c r="Y303" s="31" t="n">
        <x:f>((10-MIN(10,MAX(0,X303)))/10)*'Controls &amp; Summary'!$B$15+((10-MIN(10,MAX(0,W303)))/10)*'Controls &amp; Summary'!$B$16</x:f>
        <x:v>1.049</x:v>
      </x:c>
      <x:c r="Z303" s="31" t="n">
        <x:f>V303*Y303</x:f>
        <x:v>4.871519104983431</x:v>
      </x:c>
      <x:c r="AA303" s="30" t="str">
        <x:f>IF(Z303&lt;=I303,"Peaceful","Hostile")</x:f>
        <x:v>Peaceful</x:v>
      </x:c>
      <x:c r="AB303" s="30" t="str">
        <x:f>IF(Z303&lt;='Controls &amp; Summary'!$B$6,"Eligible","Blocked")</x:f>
        <x:v>Eligible</x:v>
      </x:c>
      <x:c r="AC303" s="30" t="str">
        <x:v>2003_NGA</x:v>
      </x:c>
      <x:c r="AD303" s="30" t="str">
        <x:v>2003_LBR</x:v>
      </x:c>
      <x:c r="AE303" s="30" t="str">
        <x:v>2003_Liberia</x:v>
      </x:c>
      <x:c r="AF303" s="30" t="str">
        <x:v>Explicit capitalClaim</x:v>
      </x:c>
      <x:c r="AG303" s="30" t="str">
        <x:v>Claim2003_NGA2003_Liberia</x:v>
      </x:c>
      <x:c r="AH303" s="30" t="str">
        <x:v>Project_EastAfricanFederation</x:v>
      </x:c>
    </x:row>
    <x:row r="304">
      <x:c r="A304" s="30" t="str">
        <x:v>2003</x:v>
      </x:c>
      <x:c r="B304" s="30" t="str">
        <x:v>Dark Skies</x:v>
      </x:c>
      <x:c r="C304" s="30" t="str">
        <x:v>Nigeria</x:v>
      </x:c>
      <x:c r="D304" s="30" t="str">
        <x:v>Mali</x:v>
      </x:c>
      <x:c r="E304" s="30" t="str">
        <x:v>Project unlock</x:v>
      </x:c>
      <x:c r="F304" s="30" t="str">
        <x:v>Regional African Unions</x:v>
      </x:c>
      <x:c r="G304" s="30" t="str">
        <x:v>No</x:v>
      </x:c>
      <x:c r="H304" s="30" t="str">
        <x:v>Ordinary claim</x:v>
      </x:c>
      <x:c r="I304" s="31" t="n">
        <x:f>IF(G304="Yes",'Controls &amp; Summary'!$B$5,'Controls &amp; Summary'!$B$4)</x:f>
        <x:v>6</x:v>
      </x:c>
      <x:c r="J304" s="31" t="n">
        <x:v>3.59</x:v>
      </x:c>
      <x:c r="K304" s="31" t="n">
        <x:v>5.99</x:v>
      </x:c>
      <x:c r="L304" s="31" t="n">
        <x:f>ABS(J304-K304)</x:f>
        <x:v>2.4000000000000004</x:v>
      </x:c>
      <x:c r="M304" s="31" t="n">
        <x:v>4.2</x:v>
      </x:c>
      <x:c r="N304" s="31" t="n">
        <x:v>3.99</x:v>
      </x:c>
      <x:c r="O304" s="31" t="n">
        <x:f>ABS(M304-N304)</x:f>
        <x:v>0.20999999999999996</x:v>
      </x:c>
      <x:c r="P304" s="31" t="n">
        <x:v>3.65</x:v>
      </x:c>
      <x:c r="Q304" s="31" t="n">
        <x:v>2.42</x:v>
      </x:c>
      <x:c r="R304" s="31" t="n">
        <x:f>ABS(P304-Q304)</x:f>
        <x:v>1.23</x:v>
      </x:c>
      <x:c r="S304" s="32" t="n">
        <x:v>1504.859922626564</x:v>
      </x:c>
      <x:c r="T304" s="32" t="n">
        <x:v>855.6897493920948</x:v>
      </x:c>
      <x:c r="U304" s="31" t="n">
        <x:f>MAX(S304/T304,T304/S304)</x:f>
        <x:v>1.758651337936042</x:v>
      </x:c>
      <x:c r="V304" s="31" t="n">
        <x:f>L304*'Controls &amp; Summary'!$B$9+O304*'Controls &amp; Summary'!$B$10+R304*'Controls &amp; Summary'!$B$11+U304*'Controls &amp; Summary'!$B$12</x:f>
        <x:v>5.598651337936042</x:v>
      </x:c>
      <x:c r="W304" s="31" t="n">
        <x:v>0</x:v>
      </x:c>
      <x:c r="X304" s="31" t="n">
        <x:v>4.23</x:v>
      </x:c>
      <x:c r="Y304" s="31" t="n">
        <x:f>((10-MIN(10,MAX(0,X304)))/10)*'Controls &amp; Summary'!$B$15+((10-MIN(10,MAX(0,W304)))/10)*'Controls &amp; Summary'!$B$16</x:f>
        <x:v>1.577</x:v>
      </x:c>
      <x:c r="Z304" s="31" t="n">
        <x:f>V304*Y304</x:f>
        <x:v>8.829073159925137</x:v>
      </x:c>
      <x:c r="AA304" s="30" t="str">
        <x:f>IF(Z304&lt;=I304,"Peaceful","Hostile")</x:f>
        <x:v>Hostile</x:v>
      </x:c>
      <x:c r="AB304" s="30" t="str">
        <x:f>IF(Z304&lt;='Controls &amp; Summary'!$B$6,"Eligible","Blocked")</x:f>
        <x:v>Eligible</x:v>
      </x:c>
      <x:c r="AC304" s="30" t="str">
        <x:v>2003_NGA</x:v>
      </x:c>
      <x:c r="AD304" s="30" t="str">
        <x:v>2003_MLI</x:v>
      </x:c>
      <x:c r="AE304" s="30" t="str">
        <x:v>2003_Mali</x:v>
      </x:c>
      <x:c r="AF304" s="30" t="str">
        <x:v>Explicit capitalClaim</x:v>
      </x:c>
      <x:c r="AG304" s="30" t="str">
        <x:v>Claim2003_NGA2003_Mali</x:v>
      </x:c>
      <x:c r="AH304" s="30" t="str">
        <x:v>Project_RegionalAfricanUnions</x:v>
      </x:c>
    </x:row>
    <x:row r="305">
      <x:c r="A305" s="30" t="str">
        <x:v>2003</x:v>
      </x:c>
      <x:c r="B305" s="30" t="str">
        <x:v>Dark Skies</x:v>
      </x:c>
      <x:c r="C305" s="30" t="str">
        <x:v>Nigeria</x:v>
      </x:c>
      <x:c r="D305" s="30" t="str">
        <x:v>Mauritania</x:v>
      </x:c>
      <x:c r="E305" s="30" t="str">
        <x:v>Project unlock</x:v>
      </x:c>
      <x:c r="F305" s="30" t="str">
        <x:v>Nigerian Confederation</x:v>
      </x:c>
      <x:c r="G305" s="30" t="str">
        <x:v>No</x:v>
      </x:c>
      <x:c r="H305" s="30" t="str">
        <x:v>Ordinary claim</x:v>
      </x:c>
      <x:c r="I305" s="31" t="n">
        <x:f>IF(G305="Yes",'Controls &amp; Summary'!$B$5,'Controls &amp; Summary'!$B$4)</x:f>
        <x:v>6</x:v>
      </x:c>
      <x:c r="J305" s="31" t="n">
        <x:v>3.59</x:v>
      </x:c>
      <x:c r="K305" s="31" t="n">
        <x:v>3.27</x:v>
      </x:c>
      <x:c r="L305" s="31" t="n">
        <x:f>ABS(J305-K305)</x:f>
        <x:v>0.31999999999999984</x:v>
      </x:c>
      <x:c r="M305" s="31" t="n">
        <x:v>4.2</x:v>
      </x:c>
      <x:c r="N305" s="31" t="n">
        <x:v>3.99</x:v>
      </x:c>
      <x:c r="O305" s="31" t="n">
        <x:f>ABS(M305-N305)</x:f>
        <x:v>0.20999999999999996</x:v>
      </x:c>
      <x:c r="P305" s="31" t="n">
        <x:v>3.65</x:v>
      </x:c>
      <x:c r="Q305" s="31" t="n">
        <x:v>3.85</x:v>
      </x:c>
      <x:c r="R305" s="31" t="n">
        <x:f>ABS(P305-Q305)</x:f>
        <x:v>0.20000000000000018</x:v>
      </x:c>
      <x:c r="S305" s="32" t="n">
        <x:v>1504.859922626564</x:v>
      </x:c>
      <x:c r="T305" s="32" t="n">
        <x:v>2001.4614802897597</x:v>
      </x:c>
      <x:c r="U305" s="31" t="n">
        <x:f>MAX(S305/T305,T305/S305)</x:f>
        <x:v>1.3299985269037091</x:v>
      </x:c>
      <x:c r="V305" s="31" t="n">
        <x:f>L305*'Controls &amp; Summary'!$B$9+O305*'Controls &amp; Summary'!$B$10+R305*'Controls &amp; Summary'!$B$11+U305*'Controls &amp; Summary'!$B$12</x:f>
        <x:v>2.0599985269037093</x:v>
      </x:c>
      <x:c r="W305" s="31" t="n">
        <x:v>0</x:v>
      </x:c>
      <x:c r="X305" s="31" t="n">
        <x:v>2.86</x:v>
      </x:c>
      <x:c r="Y305" s="31" t="n">
        <x:f>((10-MIN(10,MAX(0,X305)))/10)*'Controls &amp; Summary'!$B$15+((10-MIN(10,MAX(0,W305)))/10)*'Controls &amp; Summary'!$B$16</x:f>
        <x:v>1.714</x:v>
      </x:c>
      <x:c r="Z305" s="31" t="n">
        <x:f>V305*Y305</x:f>
        <x:v>3.530837475112958</x:v>
      </x:c>
      <x:c r="AA305" s="30" t="str">
        <x:f>IF(Z305&lt;=I305,"Peaceful","Hostile")</x:f>
        <x:v>Peaceful</x:v>
      </x:c>
      <x:c r="AB305" s="30" t="str">
        <x:f>IF(Z305&lt;='Controls &amp; Summary'!$B$6,"Eligible","Blocked")</x:f>
        <x:v>Eligible</x:v>
      </x:c>
      <x:c r="AC305" s="30" t="str">
        <x:v>2003_NGA</x:v>
      </x:c>
      <x:c r="AD305" s="30" t="str">
        <x:v>2003_MRT</x:v>
      </x:c>
      <x:c r="AE305" s="30" t="str">
        <x:v>2003_Mauritania</x:v>
      </x:c>
      <x:c r="AF305" s="30" t="str">
        <x:v>Explicit capitalClaim</x:v>
      </x:c>
      <x:c r="AG305" s="30" t="str">
        <x:v>Claim2003_NGA2003_Mauritania</x:v>
      </x:c>
      <x:c r="AH305" s="30" t="str">
        <x:v>Project_NigerianConfederation</x:v>
      </x:c>
    </x:row>
    <x:row r="306">
      <x:c r="A306" s="30" t="str">
        <x:v>2003</x:v>
      </x:c>
      <x:c r="B306" s="30" t="str">
        <x:v>Dark Skies</x:v>
      </x:c>
      <x:c r="C306" s="30" t="str">
        <x:v>Nigeria</x:v>
      </x:c>
      <x:c r="D306" s="30" t="str">
        <x:v>Morocco</x:v>
      </x:c>
      <x:c r="E306" s="30" t="str">
        <x:v>Project unlock</x:v>
      </x:c>
      <x:c r="F306" s="30" t="str">
        <x:v>Nigerian Confederation</x:v>
      </x:c>
      <x:c r="G306" s="30" t="str">
        <x:v>No</x:v>
      </x:c>
      <x:c r="H306" s="30" t="str">
        <x:v>Ordinary claim</x:v>
      </x:c>
      <x:c r="I306" s="31" t="n">
        <x:f>IF(G306="Yes",'Controls &amp; Summary'!$B$5,'Controls &amp; Summary'!$B$4)</x:f>
        <x:v>6</x:v>
      </x:c>
      <x:c r="J306" s="31" t="n">
        <x:v>3.59</x:v>
      </x:c>
      <x:c r="K306" s="31" t="n">
        <x:v>3.86</x:v>
      </x:c>
      <x:c r="L306" s="31" t="n">
        <x:f>ABS(J306-K306)</x:f>
        <x:v>0.27</x:v>
      </x:c>
      <x:c r="M306" s="31" t="n">
        <x:v>4.2</x:v>
      </x:c>
      <x:c r="N306" s="31" t="n">
        <x:v>4.08</x:v>
      </x:c>
      <x:c r="O306" s="31" t="n">
        <x:f>ABS(M306-N306)</x:f>
        <x:v>0.1200000000000001</x:v>
      </x:c>
      <x:c r="P306" s="31" t="n">
        <x:v>3.65</x:v>
      </x:c>
      <x:c r="Q306" s="31" t="n">
        <x:v>4.7</x:v>
      </x:c>
      <x:c r="R306" s="31" t="n">
        <x:f>ABS(P306-Q306)</x:f>
        <x:v>1.0500000000000003</x:v>
      </x:c>
      <x:c r="S306" s="32" t="n">
        <x:v>1504.859922626564</x:v>
      </x:c>
      <x:c r="T306" s="32" t="n">
        <x:v>2531.308899658674</x:v>
      </x:c>
      <x:c r="U306" s="31" t="n">
        <x:f>MAX(S306/T306,T306/S306)</x:f>
        <x:v>1.6820893836022681</x:v>
      </x:c>
      <x:c r="V306" s="31" t="n">
        <x:f>L306*'Controls &amp; Summary'!$B$9+O306*'Controls &amp; Summary'!$B$10+R306*'Controls &amp; Summary'!$B$11+U306*'Controls &amp; Summary'!$B$12</x:f>
        <x:v>3.1220893836022685</x:v>
      </x:c>
      <x:c r="W306" s="31" t="n">
        <x:v>0</x:v>
      </x:c>
      <x:c r="X306" s="31" t="n">
        <x:v>2.55</x:v>
      </x:c>
      <x:c r="Y306" s="31" t="n">
        <x:f>((10-MIN(10,MAX(0,X306)))/10)*'Controls &amp; Summary'!$B$15+((10-MIN(10,MAX(0,W306)))/10)*'Controls &amp; Summary'!$B$16</x:f>
        <x:v>1.745</x:v>
      </x:c>
      <x:c r="Z306" s="31" t="n">
        <x:f>V306*Y306</x:f>
        <x:v>5.448045974385959</x:v>
      </x:c>
      <x:c r="AA306" s="30" t="str">
        <x:f>IF(Z306&lt;=I306,"Peaceful","Hostile")</x:f>
        <x:v>Peaceful</x:v>
      </x:c>
      <x:c r="AB306" s="30" t="str">
        <x:f>IF(Z306&lt;='Controls &amp; Summary'!$B$6,"Eligible","Blocked")</x:f>
        <x:v>Eligible</x:v>
      </x:c>
      <x:c r="AC306" s="30" t="str">
        <x:v>2003_NGA</x:v>
      </x:c>
      <x:c r="AD306" s="30" t="str">
        <x:v>2003_MAR</x:v>
      </x:c>
      <x:c r="AE306" s="30" t="str">
        <x:v>2003_Rabat</x:v>
      </x:c>
      <x:c r="AF306" s="30" t="str">
        <x:v>Explicit capitalClaim</x:v>
      </x:c>
      <x:c r="AG306" s="30" t="str">
        <x:v>Claim2003_NGA2003_Rabat</x:v>
      </x:c>
      <x:c r="AH306" s="30" t="str">
        <x:v>Project_NigerianConfederation</x:v>
      </x:c>
    </x:row>
    <x:row r="307">
      <x:c r="A307" s="30" t="str">
        <x:v>2003</x:v>
      </x:c>
      <x:c r="B307" s="30" t="str">
        <x:v>Dark Skies</x:v>
      </x:c>
      <x:c r="C307" s="30" t="str">
        <x:v>Nigeria</x:v>
      </x:c>
      <x:c r="D307" s="30" t="str">
        <x:v>Niger</x:v>
      </x:c>
      <x:c r="E307" s="30" t="str">
        <x:v>Project unlock</x:v>
      </x:c>
      <x:c r="F307" s="30" t="str">
        <x:v>Regional African Unions</x:v>
      </x:c>
      <x:c r="G307" s="30" t="str">
        <x:v>No</x:v>
      </x:c>
      <x:c r="H307" s="30" t="str">
        <x:v>Ordinary claim</x:v>
      </x:c>
      <x:c r="I307" s="31" t="n">
        <x:f>IF(G307="Yes",'Controls &amp; Summary'!$B$5,'Controls &amp; Summary'!$B$4)</x:f>
        <x:v>6</x:v>
      </x:c>
      <x:c r="J307" s="31" t="n">
        <x:v>3.59</x:v>
      </x:c>
      <x:c r="K307" s="31" t="n">
        <x:v>3.35</x:v>
      </x:c>
      <x:c r="L307" s="31" t="n">
        <x:f>ABS(J307-K307)</x:f>
        <x:v>0.23999999999999977</x:v>
      </x:c>
      <x:c r="M307" s="31" t="n">
        <x:v>4.2</x:v>
      </x:c>
      <x:c r="N307" s="31" t="n">
        <x:v>3.92</x:v>
      </x:c>
      <x:c r="O307" s="31" t="n">
        <x:f>ABS(M307-N307)</x:f>
        <x:v>0.28000000000000025</x:v>
      </x:c>
      <x:c r="P307" s="31" t="n">
        <x:v>3.65</x:v>
      </x:c>
      <x:c r="Q307" s="31" t="n">
        <x:v>1.67</x:v>
      </x:c>
      <x:c r="R307" s="31" t="n">
        <x:f>ABS(P307-Q307)</x:f>
        <x:v>1.98</x:v>
      </x:c>
      <x:c r="S307" s="32" t="n">
        <x:v>1504.859922626564</x:v>
      </x:c>
      <x:c r="T307" s="32" t="n">
        <x:v>440.7562654606742</x:v>
      </x:c>
      <x:c r="U307" s="31" t="n">
        <x:f>MAX(S307/T307,T307/S307)</x:f>
        <x:v>3.414267795044726</x:v>
      </x:c>
      <x:c r="V307" s="31" t="n">
        <x:f>L307*'Controls &amp; Summary'!$B$9+O307*'Controls &amp; Summary'!$B$10+R307*'Controls &amp; Summary'!$B$11+U307*'Controls &amp; Summary'!$B$12</x:f>
        <x:v>5.914267795044726</x:v>
      </x:c>
      <x:c r="W307" s="31" t="n">
        <x:v>0</x:v>
      </x:c>
      <x:c r="X307" s="31" t="n">
        <x:v>4.51</x:v>
      </x:c>
      <x:c r="Y307" s="31" t="n">
        <x:f>((10-MIN(10,MAX(0,X307)))/10)*'Controls &amp; Summary'!$B$15+((10-MIN(10,MAX(0,W307)))/10)*'Controls &amp; Summary'!$B$16</x:f>
        <x:v>1.549</x:v>
      </x:c>
      <x:c r="Z307" s="31" t="n">
        <x:f>V307*Y307</x:f>
        <x:v>9.16120081452428</x:v>
      </x:c>
      <x:c r="AA307" s="30" t="str">
        <x:f>IF(Z307&lt;=I307,"Peaceful","Hostile")</x:f>
        <x:v>Hostile</x:v>
      </x:c>
      <x:c r="AB307" s="30" t="str">
        <x:f>IF(Z307&lt;='Controls &amp; Summary'!$B$6,"Eligible","Blocked")</x:f>
        <x:v>Eligible</x:v>
      </x:c>
      <x:c r="AC307" s="30" t="str">
        <x:v>2003_NGA</x:v>
      </x:c>
      <x:c r="AD307" s="30" t="str">
        <x:v>2003_NER</x:v>
      </x:c>
      <x:c r="AE307" s="30" t="str">
        <x:v>2003_Niger</x:v>
      </x:c>
      <x:c r="AF307" s="30" t="str">
        <x:v>Explicit capitalClaim</x:v>
      </x:c>
      <x:c r="AG307" s="30" t="str">
        <x:v>Claim2003_NGA2003_Niger</x:v>
      </x:c>
      <x:c r="AH307" s="30" t="str">
        <x:v>Project_RegionalAfricanUnions</x:v>
      </x:c>
    </x:row>
    <x:row r="308">
      <x:c r="A308" s="30" t="str">
        <x:v>2003</x:v>
      </x:c>
      <x:c r="B308" s="30" t="str">
        <x:v>Dark Skies</x:v>
      </x:c>
      <x:c r="C308" s="30" t="str">
        <x:v>Nigeria</x:v>
      </x:c>
      <x:c r="D308" s="30" t="str">
        <x:v>Senegal</x:v>
      </x:c>
      <x:c r="E308" s="30" t="str">
        <x:v>Project unlock</x:v>
      </x:c>
      <x:c r="F308" s="30" t="str">
        <x:v>African Confederations</x:v>
      </x:c>
      <x:c r="G308" s="30" t="str">
        <x:v>No</x:v>
      </x:c>
      <x:c r="H308" s="30" t="str">
        <x:v>Ordinary claim</x:v>
      </x:c>
      <x:c r="I308" s="31" t="n">
        <x:f>IF(G308="Yes",'Controls &amp; Summary'!$B$5,'Controls &amp; Summary'!$B$4)</x:f>
        <x:v>6</x:v>
      </x:c>
      <x:c r="J308" s="31" t="n">
        <x:v>3.59</x:v>
      </x:c>
      <x:c r="K308" s="31" t="n">
        <x:v>5.37</x:v>
      </x:c>
      <x:c r="L308" s="31" t="n">
        <x:f>ABS(J308-K308)</x:f>
        <x:v>1.7800000000000002</x:v>
      </x:c>
      <x:c r="M308" s="31" t="n">
        <x:v>4.2</x:v>
      </x:c>
      <x:c r="N308" s="31" t="n">
        <x:v>4.11</x:v>
      </x:c>
      <x:c r="O308" s="31" t="n">
        <x:f>ABS(M308-N308)</x:f>
        <x:v>0.08999999999999986</x:v>
      </x:c>
      <x:c r="P308" s="31" t="n">
        <x:v>3.65</x:v>
      </x:c>
      <x:c r="Q308" s="31" t="n">
        <x:v>3.12</x:v>
      </x:c>
      <x:c r="R308" s="31" t="n">
        <x:f>ABS(P308-Q308)</x:f>
        <x:v>0.5299999999999998</x:v>
      </x:c>
      <x:c r="S308" s="32" t="n">
        <x:v>1504.859922626564</x:v>
      </x:c>
      <x:c r="T308" s="32" t="n">
        <x:v>1192.644324465898</x:v>
      </x:c>
      <x:c r="U308" s="31" t="n">
        <x:f>MAX(S308/T308,T308/S308)</x:f>
        <x:v>1.2617843323075264</x:v>
      </x:c>
      <x:c r="V308" s="31" t="n">
        <x:f>L308*'Controls &amp; Summary'!$B$9+O308*'Controls &amp; Summary'!$B$10+R308*'Controls &amp; Summary'!$B$11+U308*'Controls &amp; Summary'!$B$12</x:f>
        <x:v>3.6617843323075263</x:v>
      </x:c>
      <x:c r="W308" s="31" t="n">
        <x:v>0</x:v>
      </x:c>
      <x:c r="X308" s="31" t="n">
        <x:v>2.36</x:v>
      </x:c>
      <x:c r="Y308" s="31" t="n">
        <x:f>((10-MIN(10,MAX(0,X308)))/10)*'Controls &amp; Summary'!$B$15+((10-MIN(10,MAX(0,W308)))/10)*'Controls &amp; Summary'!$B$16</x:f>
        <x:v>1.764</x:v>
      </x:c>
      <x:c r="Z308" s="31" t="n">
        <x:f>V308*Y308</x:f>
        <x:v>6.459387562190477</x:v>
      </x:c>
      <x:c r="AA308" s="30" t="str">
        <x:f>IF(Z308&lt;=I308,"Peaceful","Hostile")</x:f>
        <x:v>Hostile</x:v>
      </x:c>
      <x:c r="AB308" s="30" t="str">
        <x:f>IF(Z308&lt;='Controls &amp; Summary'!$B$6,"Eligible","Blocked")</x:f>
        <x:v>Eligible</x:v>
      </x:c>
      <x:c r="AC308" s="30" t="str">
        <x:v>2003_NGA</x:v>
      </x:c>
      <x:c r="AD308" s="30" t="str">
        <x:v>2003_SEG</x:v>
      </x:c>
      <x:c r="AE308" s="30" t="str">
        <x:v>2003_Senegambia</x:v>
      </x:c>
      <x:c r="AF308" s="30" t="str">
        <x:v>Explicit capitalClaim</x:v>
      </x:c>
      <x:c r="AG308" s="30" t="str">
        <x:v>Claim2003_NGA2003_Senegambia</x:v>
      </x:c>
      <x:c r="AH308" s="30" t="str">
        <x:v>Project_EastAfricanFederation</x:v>
      </x:c>
    </x:row>
    <x:row r="309">
      <x:c r="A309" s="30" t="str">
        <x:v>2003</x:v>
      </x:c>
      <x:c r="B309" s="30" t="str">
        <x:v>Dark Skies</x:v>
      </x:c>
      <x:c r="C309" s="30" t="str">
        <x:v>Nigeria</x:v>
      </x:c>
      <x:c r="D309" s="30" t="str">
        <x:v>Sierra Leone</x:v>
      </x:c>
      <x:c r="E309" s="30" t="str">
        <x:v>Project unlock</x:v>
      </x:c>
      <x:c r="F309" s="30" t="str">
        <x:v>African Confederations</x:v>
      </x:c>
      <x:c r="G309" s="30" t="str">
        <x:v>No</x:v>
      </x:c>
      <x:c r="H309" s="30" t="str">
        <x:v>Ordinary claim</x:v>
      </x:c>
      <x:c r="I309" s="31" t="n">
        <x:f>IF(G309="Yes",'Controls &amp; Summary'!$B$5,'Controls &amp; Summary'!$B$4)</x:f>
        <x:v>6</x:v>
      </x:c>
      <x:c r="J309" s="31" t="n">
        <x:v>3.59</x:v>
      </x:c>
      <x:c r="K309" s="31" t="n">
        <x:v>3.68</x:v>
      </x:c>
      <x:c r="L309" s="31" t="n">
        <x:f>ABS(J309-K309)</x:f>
        <x:v>0.0900000000000003</x:v>
      </x:c>
      <x:c r="M309" s="31" t="n">
        <x:v>4.2</x:v>
      </x:c>
      <x:c r="N309" s="31" t="n">
        <x:v>4.21</x:v>
      </x:c>
      <x:c r="O309" s="31" t="n">
        <x:f>ABS(M309-N309)</x:f>
        <x:v>0.009999999999999787</x:v>
      </x:c>
      <x:c r="P309" s="31" t="n">
        <x:v>3.65</x:v>
      </x:c>
      <x:c r="Q309" s="31" t="n">
        <x:v>2.44</x:v>
      </x:c>
      <x:c r="R309" s="31" t="n">
        <x:f>ABS(P309-Q309)</x:f>
        <x:v>1.21</x:v>
      </x:c>
      <x:c r="S309" s="32" t="n">
        <x:v>1504.859922626564</x:v>
      </x:c>
      <x:c r="T309" s="32" t="n">
        <x:v>857.5935310496752</x:v>
      </x:c>
      <x:c r="U309" s="31" t="n">
        <x:f>MAX(S309/T309,T309/S309)</x:f>
        <x:v>1.7547472877793857</x:v>
      </x:c>
      <x:c r="V309" s="31" t="n">
        <x:f>L309*'Controls &amp; Summary'!$B$9+O309*'Controls &amp; Summary'!$B$10+R309*'Controls &amp; Summary'!$B$11+U309*'Controls &amp; Summary'!$B$12</x:f>
        <x:v>3.0647472877793858</x:v>
      </x:c>
      <x:c r="W309" s="31" t="n">
        <x:v>0</x:v>
      </x:c>
      <x:c r="X309" s="31" t="n">
        <x:v>4.91</x:v>
      </x:c>
      <x:c r="Y309" s="31" t="n">
        <x:f>((10-MIN(10,MAX(0,X309)))/10)*'Controls &amp; Summary'!$B$15+((10-MIN(10,MAX(0,W309)))/10)*'Controls &amp; Summary'!$B$16</x:f>
        <x:v>1.509</x:v>
      </x:c>
      <x:c r="Z309" s="31" t="n">
        <x:f>V309*Y309</x:f>
        <x:v>4.624703657259093</x:v>
      </x:c>
      <x:c r="AA309" s="30" t="str">
        <x:f>IF(Z309&lt;=I309,"Peaceful","Hostile")</x:f>
        <x:v>Peaceful</x:v>
      </x:c>
      <x:c r="AB309" s="30" t="str">
        <x:f>IF(Z309&lt;='Controls &amp; Summary'!$B$6,"Eligible","Blocked")</x:f>
        <x:v>Eligible</x:v>
      </x:c>
      <x:c r="AC309" s="30" t="str">
        <x:v>2003_NGA</x:v>
      </x:c>
      <x:c r="AD309" s="30" t="str">
        <x:v>2003_SLE</x:v>
      </x:c>
      <x:c r="AE309" s="30" t="str">
        <x:v>2003_SierraLeone</x:v>
      </x:c>
      <x:c r="AF309" s="30" t="str">
        <x:v>Explicit capitalClaim</x:v>
      </x:c>
      <x:c r="AG309" s="30" t="str">
        <x:v>Claim2003_NGA2003_SierraLeone</x:v>
      </x:c>
      <x:c r="AH309" s="30" t="str">
        <x:v>Project_EastAfricanFederation</x:v>
      </x:c>
    </x:row>
    <x:row r="310">
      <x:c r="A310" s="30" t="str">
        <x:v>2003</x:v>
      </x:c>
      <x:c r="B310" s="30" t="str">
        <x:v>Dark Skies</x:v>
      </x:c>
      <x:c r="C310" s="30" t="str">
        <x:v>Nigeria</x:v>
      </x:c>
      <x:c r="D310" s="30" t="str">
        <x:v>Togo</x:v>
      </x:c>
      <x:c r="E310" s="30" t="str">
        <x:v>Project unlock</x:v>
      </x:c>
      <x:c r="F310" s="30" t="str">
        <x:v>African Confederations</x:v>
      </x:c>
      <x:c r="G310" s="30" t="str">
        <x:v>No</x:v>
      </x:c>
      <x:c r="H310" s="30" t="str">
        <x:v>Ordinary claim</x:v>
      </x:c>
      <x:c r="I310" s="31" t="n">
        <x:f>IF(G310="Yes",'Controls &amp; Summary'!$B$5,'Controls &amp; Summary'!$B$4)</x:f>
        <x:v>6</x:v>
      </x:c>
      <x:c r="J310" s="31" t="n">
        <x:v>3.59</x:v>
      </x:c>
      <x:c r="K310" s="31" t="n">
        <x:v>1.69</x:v>
      </x:c>
      <x:c r="L310" s="31" t="n">
        <x:f>ABS(J310-K310)</x:f>
        <x:v>1.9</x:v>
      </x:c>
      <x:c r="M310" s="31" t="n">
        <x:v>4.2</x:v>
      </x:c>
      <x:c r="N310" s="31" t="n">
        <x:v>4.23</x:v>
      </x:c>
      <x:c r="O310" s="31" t="n">
        <x:f>ABS(M310-N310)</x:f>
        <x:v>0.03000000000000025</x:v>
      </x:c>
      <x:c r="P310" s="31" t="n">
        <x:v>3.65</x:v>
      </x:c>
      <x:c r="Q310" s="31" t="n">
        <x:v>3.6</x:v>
      </x:c>
      <x:c r="R310" s="31" t="n">
        <x:f>ABS(P310-Q310)</x:f>
        <x:v>0.04999999999999982</x:v>
      </x:c>
      <x:c r="S310" s="32" t="n">
        <x:v>1504.859922626564</x:v>
      </x:c>
      <x:c r="T310" s="32" t="n">
        <x:v>780.7920257081604</x:v>
      </x:c>
      <x:c r="U310" s="31" t="n">
        <x:f>MAX(S310/T310,T310/S310)</x:f>
        <x:v>1.9273505275129963</x:v>
      </x:c>
      <x:c r="V310" s="31" t="n">
        <x:f>L310*'Controls &amp; Summary'!$B$9+O310*'Controls &amp; Summary'!$B$10+R310*'Controls &amp; Summary'!$B$11+U310*'Controls &amp; Summary'!$B$12</x:f>
        <x:v>3.907350527512996</x:v>
      </x:c>
      <x:c r="W310" s="31" t="n">
        <x:v>0</x:v>
      </x:c>
      <x:c r="X310" s="31" t="n">
        <x:v>6.94</x:v>
      </x:c>
      <x:c r="Y310" s="31" t="n">
        <x:f>((10-MIN(10,MAX(0,X310)))/10)*'Controls &amp; Summary'!$B$15+((10-MIN(10,MAX(0,W310)))/10)*'Controls &amp; Summary'!$B$16</x:f>
        <x:v>1.306</x:v>
      </x:c>
      <x:c r="Z310" s="31" t="n">
        <x:f>V310*Y310</x:f>
        <x:v>5.102999788931973</x:v>
      </x:c>
      <x:c r="AA310" s="30" t="str">
        <x:f>IF(Z310&lt;=I310,"Peaceful","Hostile")</x:f>
        <x:v>Peaceful</x:v>
      </x:c>
      <x:c r="AB310" s="30" t="str">
        <x:f>IF(Z310&lt;='Controls &amp; Summary'!$B$6,"Eligible","Blocked")</x:f>
        <x:v>Eligible</x:v>
      </x:c>
      <x:c r="AC310" s="30" t="str">
        <x:v>2003_NGA</x:v>
      </x:c>
      <x:c r="AD310" s="30" t="str">
        <x:v>2003_TGO</x:v>
      </x:c>
      <x:c r="AE310" s="30" t="str">
        <x:v>2003_Togo</x:v>
      </x:c>
      <x:c r="AF310" s="30" t="str">
        <x:v>Explicit capitalClaim</x:v>
      </x:c>
      <x:c r="AG310" s="30" t="str">
        <x:v>Claim2003_NGA2003_Togo</x:v>
      </x:c>
      <x:c r="AH310" s="30" t="str">
        <x:v>Project_EastAfricanFederation</x:v>
      </x:c>
    </x:row>
    <x:row r="311">
      <x:c r="A311" s="30" t="str">
        <x:v>2003</x:v>
      </x:c>
      <x:c r="B311" s="30" t="str">
        <x:v>Dark Skies</x:v>
      </x:c>
      <x:c r="C311" s="30" t="str">
        <x:v>North Korea</x:v>
      </x:c>
      <x:c r="D311" s="30" t="str">
        <x:v>South Korea</x:v>
      </x:c>
      <x:c r="E311" s="30" t="str">
        <x:v>Starting claim</x:v>
      </x:c>
      <x:c r="F311" s="30" t="str"/>
      <x:c r="G311" s="30" t="str">
        <x:v>Yes</x:v>
      </x:c>
      <x:c r="H311" s="30" t="str">
        <x:v>Approved bilateral grievance</x:v>
      </x:c>
      <x:c r="I311" s="31" t="n">
        <x:f>IF(G311="Yes",'Controls &amp; Summary'!$B$5,'Controls &amp; Summary'!$B$4)</x:f>
        <x:v>3</x:v>
      </x:c>
      <x:c r="J311" s="31" t="n">
        <x:v>1.03</x:v>
      </x:c>
      <x:c r="K311" s="31" t="n">
        <x:v>7.88</x:v>
      </x:c>
      <x:c r="L311" s="31" t="n">
        <x:f>ABS(J311-K311)</x:f>
        <x:v>6.85</x:v>
      </x:c>
      <x:c r="M311" s="31" t="n">
        <x:v>8.6</x:v>
      </x:c>
      <x:c r="N311" s="31" t="n">
        <x:v>3.3</x:v>
      </x:c>
      <x:c r="O311" s="31" t="n">
        <x:f>ABS(M311-N311)</x:f>
        <x:v>5.3</x:v>
      </x:c>
      <x:c r="P311" s="31" t="n">
        <x:v>4.85</x:v>
      </x:c>
      <x:c r="Q311" s="31" t="n">
        <x:v>7.92</x:v>
      </x:c>
      <x:c r="R311" s="31" t="n">
        <x:f>ABS(P311-Q311)</x:f>
        <x:v>3.0700000000000003</x:v>
      </x:c>
      <x:c r="S311" s="32" t="n">
        <x:v>2405.4113076256995</x:v>
      </x:c>
      <x:c r="T311" s="32" t="n">
        <x:v>15332.211618599593</x:v>
      </x:c>
      <x:c r="U311" s="31" t="n">
        <x:f>MAX(S311/T311,T311/S311)</x:f>
        <x:v>6.374049864151301</x:v>
      </x:c>
      <x:c r="V311" s="31" t="n">
        <x:f>L311*'Controls &amp; Summary'!$B$9+O311*'Controls &amp; Summary'!$B$10+R311*'Controls &amp; Summary'!$B$11+U311*'Controls &amp; Summary'!$B$12</x:f>
        <x:v>21.5940498641513</x:v>
      </x:c>
      <x:c r="W311" s="31" t="n">
        <x:v>4.57</x:v>
      </x:c>
      <x:c r="X311" s="31" t="n">
        <x:v>1.45</x:v>
      </x:c>
      <x:c r="Y311" s="31" t="n">
        <x:f>((10-MIN(10,MAX(0,X311)))/10)*'Controls &amp; Summary'!$B$15+((10-MIN(10,MAX(0,W311)))/10)*'Controls &amp; Summary'!$B$16</x:f>
        <x:v>1.3980000000000001</x:v>
      </x:c>
      <x:c r="Z311" s="31" t="n">
        <x:f>V311*Y311</x:f>
        <x:v>30.188481710083522</x:v>
      </x:c>
      <x:c r="AA311" s="30" t="str">
        <x:f>IF(Z311&lt;=I311,"Peaceful","Hostile")</x:f>
        <x:v>Hostile</x:v>
      </x:c>
      <x:c r="AB311" s="30" t="str">
        <x:f>IF(Z311&lt;='Controls &amp; Summary'!$B$6,"Eligible","Blocked")</x:f>
        <x:v>Blocked</x:v>
      </x:c>
      <x:c r="AC311" s="30" t="str">
        <x:v>2003_PRK</x:v>
      </x:c>
      <x:c r="AD311" s="30" t="str">
        <x:v>2003_KOR</x:v>
      </x:c>
      <x:c r="AE311" s="30" t="str">
        <x:v>2003_SouthKorea</x:v>
      </x:c>
      <x:c r="AF311" s="30" t="str">
        <x:v>Explicit capitalClaim</x:v>
      </x:c>
      <x:c r="AG311" s="30" t="str">
        <x:v>Claim2003_PRK2003_SouthKorea</x:v>
      </x:c>
      <x:c r="AH311" s="30" t="str"/>
    </x:row>
    <x:row r="312">
      <x:c r="A312" s="30" t="str">
        <x:v>2003</x:v>
      </x:c>
      <x:c r="B312" s="30" t="str">
        <x:v>Dark Skies</x:v>
      </x:c>
      <x:c r="C312" s="30" t="str">
        <x:v>Palestine</x:v>
      </x:c>
      <x:c r="D312" s="30" t="str">
        <x:v>Israel</x:v>
      </x:c>
      <x:c r="E312" s="30" t="str">
        <x:v>Starting claim</x:v>
      </x:c>
      <x:c r="F312" s="30" t="str"/>
      <x:c r="G312" s="30" t="str">
        <x:v>Yes</x:v>
      </x:c>
      <x:c r="H312" s="30" t="str">
        <x:v>Template hostileClaim</x:v>
      </x:c>
      <x:c r="I312" s="31" t="n">
        <x:f>IF(G312="Yes",'Controls &amp; Summary'!$B$5,'Controls &amp; Summary'!$B$4)</x:f>
        <x:v>3</x:v>
      </x:c>
      <x:c r="J312" s="31" t="n">
        <x:v>5.87</x:v>
      </x:c>
      <x:c r="K312" s="31" t="n">
        <x:v>7.26</x:v>
      </x:c>
      <x:c r="L312" s="31" t="n">
        <x:f>ABS(J312-K312)</x:f>
        <x:v>1.3899999999999997</x:v>
      </x:c>
      <x:c r="M312" s="31" t="n">
        <x:v>3.94</x:v>
      </x:c>
      <x:c r="N312" s="31" t="n">
        <x:v>3.64</x:v>
      </x:c>
      <x:c r="O312" s="31" t="n">
        <x:f>ABS(M312-N312)</x:f>
        <x:v>0.2999999999999998</x:v>
      </x:c>
      <x:c r="P312" s="31" t="n">
        <x:v>5.74</x:v>
      </x:c>
      <x:c r="Q312" s="31" t="n">
        <x:v>7.86</x:v>
      </x:c>
      <x:c r="R312" s="31" t="n">
        <x:f>ABS(P312-Q312)</x:f>
        <x:v>2.12</x:v>
      </x:c>
      <x:c r="S312" s="32" t="n">
        <x:v>1505.3264582542442</x:v>
      </x:c>
      <x:c r="T312" s="32" t="n">
        <x:v>20187.83958344226</x:v>
      </x:c>
      <x:c r="U312" s="31" t="n">
        <x:f>MAX(S312/T312,T312/S312)</x:f>
        <x:v>13.410937855204168</x:v>
      </x:c>
      <x:c r="V312" s="31" t="n">
        <x:f>L312*'Controls &amp; Summary'!$B$9+O312*'Controls &amp; Summary'!$B$10+R312*'Controls &amp; Summary'!$B$11+U312*'Controls &amp; Summary'!$B$12</x:f>
        <x:v>17.220937855204166</x:v>
      </x:c>
      <x:c r="W312" s="31" t="n">
        <x:v>3.6</x:v>
      </x:c>
      <x:c r="X312" s="31" t="n">
        <x:v>5.77</x:v>
      </x:c>
      <x:c r="Y312" s="31" t="n">
        <x:f>((10-MIN(10,MAX(0,X312)))/10)*'Controls &amp; Summary'!$B$15+((10-MIN(10,MAX(0,W312)))/10)*'Controls &amp; Summary'!$B$16</x:f>
        <x:v>1.0630000000000002</x:v>
      </x:c>
      <x:c r="Z312" s="31" t="n">
        <x:f>V312*Y312</x:f>
        <x:v>18.30585694008203</x:v>
      </x:c>
      <x:c r="AA312" s="30" t="str">
        <x:f>IF(Z312&lt;=I312,"Peaceful","Hostile")</x:f>
        <x:v>Hostile</x:v>
      </x:c>
      <x:c r="AB312" s="30" t="str">
        <x:f>IF(Z312&lt;='Controls &amp; Summary'!$B$6,"Eligible","Blocked")</x:f>
        <x:v>Blocked</x:v>
      </x:c>
      <x:c r="AC312" s="30" t="str">
        <x:v>2003_PAL</x:v>
      </x:c>
      <x:c r="AD312" s="30" t="str">
        <x:v>2003_ISR</x:v>
      </x:c>
      <x:c r="AE312" s="30" t="str">
        <x:v>2003_Israel</x:v>
      </x:c>
      <x:c r="AF312" s="30" t="str">
        <x:v>Explicit capitalClaim</x:v>
      </x:c>
      <x:c r="AG312" s="30" t="str">
        <x:v>Claim2003_PAL2003_Israel</x:v>
      </x:c>
      <x:c r="AH312" s="30" t="str"/>
    </x:row>
    <x:row r="313">
      <x:c r="A313" s="30" t="str">
        <x:v>2003</x:v>
      </x:c>
      <x:c r="B313" s="30" t="str">
        <x:v>Dark Skies</x:v>
      </x:c>
      <x:c r="C313" s="30" t="str">
        <x:v>Peru</x:v>
      </x:c>
      <x:c r="D313" s="30" t="str">
        <x:v>Bolivia</x:v>
      </x:c>
      <x:c r="E313" s="30" t="str">
        <x:v>Project unlock</x:v>
      </x:c>
      <x:c r="F313" s="30" t="str">
        <x:v>South American Confederations</x:v>
      </x:c>
      <x:c r="G313" s="30" t="str">
        <x:v>No</x:v>
      </x:c>
      <x:c r="H313" s="30" t="str">
        <x:v>Ordinary claim</x:v>
      </x:c>
      <x:c r="I313" s="31" t="n">
        <x:f>IF(G313="Yes",'Controls &amp; Summary'!$B$5,'Controls &amp; Summary'!$B$4)</x:f>
        <x:v>6</x:v>
      </x:c>
      <x:c r="J313" s="31" t="n">
        <x:v>6.12</x:v>
      </x:c>
      <x:c r="K313" s="31" t="n">
        <x:v>6.41</x:v>
      </x:c>
      <x:c r="L313" s="31" t="n">
        <x:f>ABS(J313-K313)</x:f>
        <x:v>0.29000000000000004</x:v>
      </x:c>
      <x:c r="M313" s="31" t="n">
        <x:v>5.23</x:v>
      </x:c>
      <x:c r="N313" s="31" t="n">
        <x:v>5.33</x:v>
      </x:c>
      <x:c r="O313" s="31" t="n">
        <x:f>ABS(M313-N313)</x:f>
        <x:v>0.09999999999999964</x:v>
      </x:c>
      <x:c r="P313" s="31" t="n">
        <x:v>6.12</x:v>
      </x:c>
      <x:c r="Q313" s="31" t="n">
        <x:v>5.64</x:v>
      </x:c>
      <x:c r="R313" s="31" t="n">
        <x:f>ABS(P313-Q313)</x:f>
        <x:v>0.4800000000000004</x:v>
      </x:c>
      <x:c r="S313" s="32" t="n">
        <x:v>3157.4781783064773</x:v>
      </x:c>
      <x:c r="T313" s="32" t="n">
        <x:v>2486.1893981680973</x:v>
      </x:c>
      <x:c r="U313" s="31" t="n">
        <x:f>MAX(S313/T313,T313/S313)</x:f>
        <x:v>1.2700070962546162</x:v>
      </x:c>
      <x:c r="V313" s="31" t="n">
        <x:f>L313*'Controls &amp; Summary'!$B$9+O313*'Controls &amp; Summary'!$B$10+R313*'Controls &amp; Summary'!$B$11+U313*'Controls &amp; Summary'!$B$12</x:f>
        <x:v>2.1400070962546165</x:v>
      </x:c>
      <x:c r="W313" s="31" t="n">
        <x:v>0.49</x:v>
      </x:c>
      <x:c r="X313" s="31" t="n">
        <x:v>4.74</x:v>
      </x:c>
      <x:c r="Y313" s="31" t="n">
        <x:f>((10-MIN(10,MAX(0,X313)))/10)*'Controls &amp; Summary'!$B$15+((10-MIN(10,MAX(0,W313)))/10)*'Controls &amp; Summary'!$B$16</x:f>
        <x:v>1.4769999999999999</x:v>
      </x:c>
      <x:c r="Z313" s="31" t="n">
        <x:f>V313*Y313</x:f>
        <x:v>3.1607904811680685</x:v>
      </x:c>
      <x:c r="AA313" s="30" t="str">
        <x:f>IF(Z313&lt;=I313,"Peaceful","Hostile")</x:f>
        <x:v>Peaceful</x:v>
      </x:c>
      <x:c r="AB313" s="30" t="str">
        <x:f>IF(Z313&lt;='Controls &amp; Summary'!$B$6,"Eligible","Blocked")</x:f>
        <x:v>Eligible</x:v>
      </x:c>
      <x:c r="AC313" s="30" t="str">
        <x:v>2003_PER</x:v>
      </x:c>
      <x:c r="AD313" s="30" t="str">
        <x:v>2003_BOL</x:v>
      </x:c>
      <x:c r="AE313" s="30" t="str">
        <x:v>2003_Bolivia</x:v>
      </x:c>
      <x:c r="AF313" s="30" t="str">
        <x:v>Explicit capitalClaim</x:v>
      </x:c>
      <x:c r="AG313" s="30" t="str">
        <x:v>Claim2003_PER2003_Bolivia</x:v>
      </x:c>
      <x:c r="AH313" s="30" t="str">
        <x:v>Project_GranColombia</x:v>
      </x:c>
    </x:row>
    <x:row r="314">
      <x:c r="A314" s="30" t="str">
        <x:v>2003</x:v>
      </x:c>
      <x:c r="B314" s="30" t="str">
        <x:v>Dark Skies</x:v>
      </x:c>
      <x:c r="C314" s="30" t="str">
        <x:v>Peru</x:v>
      </x:c>
      <x:c r="D314" s="30" t="str">
        <x:v>Paraguay</x:v>
      </x:c>
      <x:c r="E314" s="30" t="str">
        <x:v>Project unlock</x:v>
      </x:c>
      <x:c r="F314" s="30" t="str">
        <x:v>South American Confederations</x:v>
      </x:c>
      <x:c r="G314" s="30" t="str">
        <x:v>No</x:v>
      </x:c>
      <x:c r="H314" s="30" t="str">
        <x:v>Ordinary claim</x:v>
      </x:c>
      <x:c r="I314" s="31" t="n">
        <x:f>IF(G314="Yes",'Controls &amp; Summary'!$B$5,'Controls &amp; Summary'!$B$4)</x:f>
        <x:v>6</x:v>
      </x:c>
      <x:c r="J314" s="31" t="n">
        <x:v>6.12</x:v>
      </x:c>
      <x:c r="K314" s="31" t="n">
        <x:v>6.02</x:v>
      </x:c>
      <x:c r="L314" s="31" t="n">
        <x:f>ABS(J314-K314)</x:f>
        <x:v>0.10000000000000053</x:v>
      </x:c>
      <x:c r="M314" s="31" t="n">
        <x:v>5.23</x:v>
      </x:c>
      <x:c r="N314" s="31" t="n">
        <x:v>5.24</x:v>
      </x:c>
      <x:c r="O314" s="31" t="n">
        <x:f>ABS(M314-N314)</x:f>
        <x:v>0.009999999999999787</x:v>
      </x:c>
      <x:c r="P314" s="31" t="n">
        <x:v>6.12</x:v>
      </x:c>
      <x:c r="Q314" s="31" t="n">
        <x:v>5.95</x:v>
      </x:c>
      <x:c r="R314" s="31" t="n">
        <x:f>ABS(P314-Q314)</x:f>
        <x:v>0.16999999999999993</x:v>
      </x:c>
      <x:c r="S314" s="32" t="n">
        <x:v>3157.4781783064773</x:v>
      </x:c>
      <x:c r="T314" s="32" t="n">
        <x:v>4068.858542560166</x:v>
      </x:c>
      <x:c r="U314" s="31" t="n">
        <x:f>MAX(S314/T314,T314/S314)</x:f>
        <x:v>1.2886418568195808</x:v>
      </x:c>
      <x:c r="V314" s="31" t="n">
        <x:f>L314*'Controls &amp; Summary'!$B$9+O314*'Controls &amp; Summary'!$B$10+R314*'Controls &amp; Summary'!$B$11+U314*'Controls &amp; Summary'!$B$12</x:f>
        <x:v>1.568641856819581</x:v>
      </x:c>
      <x:c r="W314" s="31" t="n">
        <x:v>0.49</x:v>
      </x:c>
      <x:c r="X314" s="31" t="n">
        <x:v>3.04</x:v>
      </x:c>
      <x:c r="Y314" s="31" t="n">
        <x:f>((10-MIN(10,MAX(0,X314)))/10)*'Controls &amp; Summary'!$B$15+((10-MIN(10,MAX(0,W314)))/10)*'Controls &amp; Summary'!$B$16</x:f>
        <x:v>1.6469999999999998</x:v>
      </x:c>
      <x:c r="Z314" s="31" t="n">
        <x:f>V314*Y314</x:f>
        <x:v>2.5835531381818497</x:v>
      </x:c>
      <x:c r="AA314" s="30" t="str">
        <x:f>IF(Z314&lt;=I314,"Peaceful","Hostile")</x:f>
        <x:v>Peaceful</x:v>
      </x:c>
      <x:c r="AB314" s="30" t="str">
        <x:f>IF(Z314&lt;='Controls &amp; Summary'!$B$6,"Eligible","Blocked")</x:f>
        <x:v>Eligible</x:v>
      </x:c>
      <x:c r="AC314" s="30" t="str">
        <x:v>2003_PER</x:v>
      </x:c>
      <x:c r="AD314" s="30" t="str">
        <x:v>2003_PRY</x:v>
      </x:c>
      <x:c r="AE314" s="30" t="str">
        <x:v>2003_Paraguay</x:v>
      </x:c>
      <x:c r="AF314" s="30" t="str">
        <x:v>Explicit capitalClaim</x:v>
      </x:c>
      <x:c r="AG314" s="30" t="str">
        <x:v>Claim2003_PER2003_Paraguay</x:v>
      </x:c>
      <x:c r="AH314" s="30" t="str">
        <x:v>Project_GranColombia</x:v>
      </x:c>
    </x:row>
    <x:row r="315">
      <x:c r="A315" s="30" t="str">
        <x:v>2003</x:v>
      </x:c>
      <x:c r="B315" s="30" t="str">
        <x:v>Dark Skies</x:v>
      </x:c>
      <x:c r="C315" s="30" t="str">
        <x:v>Poland</x:v>
      </x:c>
      <x:c r="D315" s="30" t="str">
        <x:v>Albania</x:v>
      </x:c>
      <x:c r="E315" s="30" t="str">
        <x:v>Project unlock</x:v>
      </x:c>
      <x:c r="F315" s="30" t="str">
        <x:v>Slavic Commonwealth</x:v>
      </x:c>
      <x:c r="G315" s="30" t="str">
        <x:v>No</x:v>
      </x:c>
      <x:c r="H315" s="30" t="str">
        <x:v>Ordinary claim</x:v>
      </x:c>
      <x:c r="I315" s="31" t="n">
        <x:f>IF(G315="Yes",'Controls &amp; Summary'!$B$5,'Controls &amp; Summary'!$B$4)</x:f>
        <x:v>6</x:v>
      </x:c>
      <x:c r="J315" s="31" t="n">
        <x:v>7.35</x:v>
      </x:c>
      <x:c r="K315" s="31" t="n">
        <x:v>5.53</x:v>
      </x:c>
      <x:c r="L315" s="31" t="n">
        <x:f>ABS(J315-K315)</x:f>
        <x:v>1.8199999999999994</x:v>
      </x:c>
      <x:c r="M315" s="31" t="n">
        <x:v>3.05</x:v>
      </x:c>
      <x:c r="N315" s="31" t="n">
        <x:v>3.67</x:v>
      </x:c>
      <x:c r="O315" s="31" t="n">
        <x:f>ABS(M315-N315)</x:f>
        <x:v>0.6200000000000001</x:v>
      </x:c>
      <x:c r="P315" s="31" t="n">
        <x:v>7.59</x:v>
      </x:c>
      <x:c r="Q315" s="31" t="n">
        <x:v>6.3</x:v>
      </x:c>
      <x:c r="R315" s="31" t="n">
        <x:f>ABS(P315-Q315)</x:f>
        <x:v>1.29</x:v>
      </x:c>
      <x:c r="S315" s="32" t="n">
        <x:v>7801.797037126732</x:v>
      </x:c>
      <x:c r="T315" s="32" t="n">
        <x:v>3140.5135650437064</x:v>
      </x:c>
      <x:c r="U315" s="31" t="n">
        <x:f>MAX(S315/T315,T315/S315)</x:f>
        <x:v>2.484242425814249</x:v>
      </x:c>
      <x:c r="V315" s="31" t="n">
        <x:f>L315*'Controls &amp; Summary'!$B$9+O315*'Controls &amp; Summary'!$B$10+R315*'Controls &amp; Summary'!$B$11+U315*'Controls &amp; Summary'!$B$12</x:f>
        <x:v>6.214242425814248</x:v>
      </x:c>
      <x:c r="W315" s="31" t="n">
        <x:v>5.79</x:v>
      </x:c>
      <x:c r="X315" s="31" t="n">
        <x:v>2.85</x:v>
      </x:c>
      <x:c r="Y315" s="31" t="n">
        <x:f>((10-MIN(10,MAX(0,X315)))/10)*'Controls &amp; Summary'!$B$15+((10-MIN(10,MAX(0,W315)))/10)*'Controls &amp; Summary'!$B$16</x:f>
        <x:v>1.1360000000000001</x:v>
      </x:c>
      <x:c r="Z315" s="31" t="n">
        <x:f>V315*Y315</x:f>
        <x:v>7.059379395724987</x:v>
      </x:c>
      <x:c r="AA315" s="30" t="str">
        <x:f>IF(Z315&lt;=I315,"Peaceful","Hostile")</x:f>
        <x:v>Hostile</x:v>
      </x:c>
      <x:c r="AB315" s="30" t="str">
        <x:f>IF(Z315&lt;='Controls &amp; Summary'!$B$6,"Eligible","Blocked")</x:f>
        <x:v>Eligible</x:v>
      </x:c>
      <x:c r="AC315" s="30" t="str">
        <x:v>2003_POL</x:v>
      </x:c>
      <x:c r="AD315" s="30" t="str">
        <x:v>2003_SBK</x:v>
      </x:c>
      <x:c r="AE315" s="30" t="str">
        <x:v>2003_Tirana</x:v>
      </x:c>
      <x:c r="AF315" s="30" t="str">
        <x:v>Explicit capitalClaim</x:v>
      </x:c>
      <x:c r="AG315" s="30" t="str">
        <x:v>Claim2003_POL2003_Tirana</x:v>
      </x:c>
      <x:c r="AH315" s="30" t="str">
        <x:v>Project_SlavicCommonwealth</x:v>
      </x:c>
    </x:row>
    <x:row r="316">
      <x:c r="A316" s="30" t="str">
        <x:v>2003</x:v>
      </x:c>
      <x:c r="B316" s="30" t="str">
        <x:v>Dark Skies</x:v>
      </x:c>
      <x:c r="C316" s="30" t="str">
        <x:v>Poland</x:v>
      </x:c>
      <x:c r="D316" s="30" t="str">
        <x:v>Belarus</x:v>
      </x:c>
      <x:c r="E316" s="30" t="str">
        <x:v>Project unlock</x:v>
      </x:c>
      <x:c r="F316" s="30" t="str">
        <x:v>Slavic Commonwealth</x:v>
      </x:c>
      <x:c r="G316" s="30" t="str">
        <x:v>No</x:v>
      </x:c>
      <x:c r="H316" s="30" t="str">
        <x:v>Ordinary claim</x:v>
      </x:c>
      <x:c r="I316" s="31" t="n">
        <x:f>IF(G316="Yes",'Controls &amp; Summary'!$B$5,'Controls &amp; Summary'!$B$4)</x:f>
        <x:v>6</x:v>
      </x:c>
      <x:c r="J316" s="31" t="n">
        <x:v>7.35</x:v>
      </x:c>
      <x:c r="K316" s="31" t="n">
        <x:v>3.36</x:v>
      </x:c>
      <x:c r="L316" s="31" t="n">
        <x:f>ABS(J316-K316)</x:f>
        <x:v>3.9899999999999998</x:v>
      </x:c>
      <x:c r="M316" s="31" t="n">
        <x:v>3.05</x:v>
      </x:c>
      <x:c r="N316" s="31" t="n">
        <x:v>2.48</x:v>
      </x:c>
      <x:c r="O316" s="31" t="n">
        <x:f>ABS(M316-N316)</x:f>
        <x:v>0.5699999999999998</x:v>
      </x:c>
      <x:c r="P316" s="31" t="n">
        <x:v>7.59</x:v>
      </x:c>
      <x:c r="Q316" s="31" t="n">
        <x:v>6.76</x:v>
      </x:c>
      <x:c r="R316" s="31" t="n">
        <x:f>ABS(P316-Q316)</x:f>
        <x:v>0.8300000000000001</x:v>
      </x:c>
      <x:c r="S316" s="32" t="n">
        <x:v>7801.797037126732</x:v>
      </x:c>
      <x:c r="T316" s="32" t="n">
        <x:v>4367.423361877824</x:v>
      </x:c>
      <x:c r="U316" s="31" t="n">
        <x:f>MAX(S316/T316,T316/S316)</x:f>
        <x:v>1.7863615204394243</x:v>
      </x:c>
      <x:c r="V316" s="31" t="n">
        <x:f>L316*'Controls &amp; Summary'!$B$9+O316*'Controls &amp; Summary'!$B$10+R316*'Controls &amp; Summary'!$B$11+U316*'Controls &amp; Summary'!$B$12</x:f>
        <x:v>7.176361520439424</x:v>
      </x:c>
      <x:c r="W316" s="31" t="n">
        <x:v>5.79</x:v>
      </x:c>
      <x:c r="X316" s="31" t="n">
        <x:v>0.6</x:v>
      </x:c>
      <x:c r="Y316" s="31" t="n">
        <x:f>((10-MIN(10,MAX(0,X316)))/10)*'Controls &amp; Summary'!$B$15+((10-MIN(10,MAX(0,W316)))/10)*'Controls &amp; Summary'!$B$16</x:f>
        <x:v>1.361</x:v>
      </x:c>
      <x:c r="Z316" s="31" t="n">
        <x:f>V316*Y316</x:f>
        <x:v>9.767028029318055</x:v>
      </x:c>
      <x:c r="AA316" s="30" t="str">
        <x:f>IF(Z316&lt;=I316,"Peaceful","Hostile")</x:f>
        <x:v>Hostile</x:v>
      </x:c>
      <x:c r="AB316" s="30" t="str">
        <x:f>IF(Z316&lt;='Controls &amp; Summary'!$B$6,"Eligible","Blocked")</x:f>
        <x:v>Eligible</x:v>
      </x:c>
      <x:c r="AC316" s="30" t="str">
        <x:v>2003_POL</x:v>
      </x:c>
      <x:c r="AD316" s="30" t="str">
        <x:v>2003_BLR</x:v>
      </x:c>
      <x:c r="AE316" s="30" t="str">
        <x:v>2003_Belarus</x:v>
      </x:c>
      <x:c r="AF316" s="30" t="str">
        <x:v>Explicit capitalClaim</x:v>
      </x:c>
      <x:c r="AG316" s="30" t="str">
        <x:v>Claim2003_POL2003_Belarus</x:v>
      </x:c>
      <x:c r="AH316" s="30" t="str">
        <x:v>Project_SlavicCommonwealth</x:v>
      </x:c>
    </x:row>
    <x:row r="317">
      <x:c r="A317" s="30" t="str">
        <x:v>2003</x:v>
      </x:c>
      <x:c r="B317" s="30" t="str">
        <x:v>Dark Skies</x:v>
      </x:c>
      <x:c r="C317" s="30" t="str">
        <x:v>Poland</x:v>
      </x:c>
      <x:c r="D317" s="30" t="str">
        <x:v>Bosnia and Herzegovina</x:v>
      </x:c>
      <x:c r="E317" s="30" t="str">
        <x:v>Project unlock</x:v>
      </x:c>
      <x:c r="F317" s="30" t="str">
        <x:v>Slavic Commonwealth</x:v>
      </x:c>
      <x:c r="G317" s="30" t="str">
        <x:v>No</x:v>
      </x:c>
      <x:c r="H317" s="30" t="str">
        <x:v>Ordinary claim</x:v>
      </x:c>
      <x:c r="I317" s="31" t="n">
        <x:f>IF(G317="Yes",'Controls &amp; Summary'!$B$5,'Controls &amp; Summary'!$B$4)</x:f>
        <x:v>6</x:v>
      </x:c>
      <x:c r="J317" s="31" t="n">
        <x:v>7.35</x:v>
      </x:c>
      <x:c r="K317" s="31" t="n">
        <x:v>5.96</x:v>
      </x:c>
      <x:c r="L317" s="31" t="n">
        <x:f>ABS(J317-K317)</x:f>
        <x:v>1.3899999999999997</x:v>
      </x:c>
      <x:c r="M317" s="31" t="n">
        <x:v>3.05</x:v>
      </x:c>
      <x:c r="N317" s="31" t="n">
        <x:v>3.83</x:v>
      </x:c>
      <x:c r="O317" s="31" t="n">
        <x:f>ABS(M317-N317)</x:f>
        <x:v>0.7800000000000002</x:v>
      </x:c>
      <x:c r="P317" s="31" t="n">
        <x:v>7.59</x:v>
      </x:c>
      <x:c r="Q317" s="31" t="n">
        <x:v>6.12</x:v>
      </x:c>
      <x:c r="R317" s="31" t="n">
        <x:f>ABS(P317-Q317)</x:f>
        <x:v>1.4699999999999998</x:v>
      </x:c>
      <x:c r="S317" s="32" t="n">
        <x:v>7801.797037126732</x:v>
      </x:c>
      <x:c r="T317" s="32" t="n">
        <x:v>3334.651533328882</x:v>
      </x:c>
      <x:c r="U317" s="31" t="n">
        <x:f>MAX(S317/T317,T317/S317)</x:f>
        <x:v>2.3396138874332193</x:v>
      </x:c>
      <x:c r="V317" s="31" t="n">
        <x:f>L317*'Controls &amp; Summary'!$B$9+O317*'Controls &amp; Summary'!$B$10+R317*'Controls &amp; Summary'!$B$11+U317*'Controls &amp; Summary'!$B$12</x:f>
        <x:v>5.979613887433219</x:v>
      </x:c>
      <x:c r="W317" s="31" t="n">
        <x:v>5.79</x:v>
      </x:c>
      <x:c r="X317" s="31" t="n">
        <x:v>3.25</x:v>
      </x:c>
      <x:c r="Y317" s="31" t="n">
        <x:f>((10-MIN(10,MAX(0,X317)))/10)*'Controls &amp; Summary'!$B$15+((10-MIN(10,MAX(0,W317)))/10)*'Controls &amp; Summary'!$B$16</x:f>
        <x:v>1.096</x:v>
      </x:c>
      <x:c r="Z317" s="31" t="n">
        <x:f>V317*Y317</x:f>
        <x:v>6.553656820626808</x:v>
      </x:c>
      <x:c r="AA317" s="30" t="str">
        <x:f>IF(Z317&lt;=I317,"Peaceful","Hostile")</x:f>
        <x:v>Hostile</x:v>
      </x:c>
      <x:c r="AB317" s="30" t="str">
        <x:f>IF(Z317&lt;='Controls &amp; Summary'!$B$6,"Eligible","Blocked")</x:f>
        <x:v>Eligible</x:v>
      </x:c>
      <x:c r="AC317" s="30" t="str">
        <x:v>2003_POL</x:v>
      </x:c>
      <x:c r="AD317" s="30" t="str">
        <x:v>2003_BSM</x:v>
      </x:c>
      <x:c r="AE317" s="30" t="str">
        <x:v>2003_Sarajevo</x:v>
      </x:c>
      <x:c r="AF317" s="30" t="str">
        <x:v>Explicit capitalClaim</x:v>
      </x:c>
      <x:c r="AG317" s="30" t="str">
        <x:v>Claim2003_POL2003_Sarajevo</x:v>
      </x:c>
      <x:c r="AH317" s="30" t="str">
        <x:v>Project_SlavicCommonwealth</x:v>
      </x:c>
    </x:row>
    <x:row r="318">
      <x:c r="A318" s="30" t="str">
        <x:v>2003</x:v>
      </x:c>
      <x:c r="B318" s="30" t="str">
        <x:v>Dark Skies</x:v>
      </x:c>
      <x:c r="C318" s="30" t="str">
        <x:v>Poland</x:v>
      </x:c>
      <x:c r="D318" s="30" t="str">
        <x:v>Bulgaria</x:v>
      </x:c>
      <x:c r="E318" s="30" t="str">
        <x:v>Project unlock</x:v>
      </x:c>
      <x:c r="F318" s="30" t="str">
        <x:v>Slavic Commonwealth</x:v>
      </x:c>
      <x:c r="G318" s="30" t="str">
        <x:v>No</x:v>
      </x:c>
      <x:c r="H318" s="30" t="str">
        <x:v>Ordinary claim</x:v>
      </x:c>
      <x:c r="I318" s="31" t="n">
        <x:f>IF(G318="Yes",'Controls &amp; Summary'!$B$5,'Controls &amp; Summary'!$B$4)</x:f>
        <x:v>6</x:v>
      </x:c>
      <x:c r="J318" s="31" t="n">
        <x:v>7.35</x:v>
      </x:c>
      <x:c r="K318" s="31" t="n">
        <x:v>7.12</x:v>
      </x:c>
      <x:c r="L318" s="31" t="n">
        <x:f>ABS(J318-K318)</x:f>
        <x:v>0.22999999999999954</x:v>
      </x:c>
      <x:c r="M318" s="31" t="n">
        <x:v>3.05</x:v>
      </x:c>
      <x:c r="N318" s="31" t="n">
        <x:v>3.28</x:v>
      </x:c>
      <x:c r="O318" s="31" t="n">
        <x:f>ABS(M318-N318)</x:f>
        <x:v>0.22999999999999998</x:v>
      </x:c>
      <x:c r="P318" s="31" t="n">
        <x:v>7.59</x:v>
      </x:c>
      <x:c r="Q318" s="31" t="n">
        <x:v>6.93</x:v>
      </x:c>
      <x:c r="R318" s="31" t="n">
        <x:f>ABS(P318-Q318)</x:f>
        <x:v>0.6600000000000001</x:v>
      </x:c>
      <x:c r="S318" s="32" t="n">
        <x:v>7801.797037126732</x:v>
      </x:c>
      <x:c r="T318" s="32" t="n">
        <x:v>5728.655677835439</x:v>
      </x:c>
      <x:c r="U318" s="31" t="n">
        <x:f>MAX(S318/T318,T318/S318)</x:f>
        <x:v>1.3618896781163545</x:v>
      </x:c>
      <x:c r="V318" s="31" t="n">
        <x:f>L318*'Controls &amp; Summary'!$B$9+O318*'Controls &amp; Summary'!$B$10+R318*'Controls &amp; Summary'!$B$11+U318*'Controls &amp; Summary'!$B$12</x:f>
        <x:v>2.481889678116354</x:v>
      </x:c>
      <x:c r="W318" s="31" t="n">
        <x:v>5.79</x:v>
      </x:c>
      <x:c r="X318" s="31" t="n">
        <x:v>0.84</x:v>
      </x:c>
      <x:c r="Y318" s="31" t="n">
        <x:f>((10-MIN(10,MAX(0,X318)))/10)*'Controls &amp; Summary'!$B$15+((10-MIN(10,MAX(0,W318)))/10)*'Controls &amp; Summary'!$B$16</x:f>
        <x:v>1.337</x:v>
      </x:c>
      <x:c r="Z318" s="31" t="n">
        <x:f>V318*Y318</x:f>
        <x:v>3.318286499641565</x:v>
      </x:c>
      <x:c r="AA318" s="30" t="str">
        <x:f>IF(Z318&lt;=I318,"Peaceful","Hostile")</x:f>
        <x:v>Peaceful</x:v>
      </x:c>
      <x:c r="AB318" s="30" t="str">
        <x:f>IF(Z318&lt;='Controls &amp; Summary'!$B$6,"Eligible","Blocked")</x:f>
        <x:v>Eligible</x:v>
      </x:c>
      <x:c r="AC318" s="30" t="str">
        <x:v>2003_POL</x:v>
      </x:c>
      <x:c r="AD318" s="30" t="str">
        <x:v>2003_BUL</x:v>
      </x:c>
      <x:c r="AE318" s="30" t="str">
        <x:v>2003_Bulgaria</x:v>
      </x:c>
      <x:c r="AF318" s="30" t="str">
        <x:v>Explicit capitalClaim</x:v>
      </x:c>
      <x:c r="AG318" s="30" t="str">
        <x:v>Claim2003_POL2003_Bulgaria</x:v>
      </x:c>
      <x:c r="AH318" s="30" t="str">
        <x:v>Project_SlavicCommonwealth</x:v>
      </x:c>
    </x:row>
    <x:row r="319">
      <x:c r="A319" s="30" t="str">
        <x:v>2003</x:v>
      </x:c>
      <x:c r="B319" s="30" t="str">
        <x:v>Dark Skies</x:v>
      </x:c>
      <x:c r="C319" s="30" t="str">
        <x:v>Poland</x:v>
      </x:c>
      <x:c r="D319" s="30" t="str">
        <x:v>Croatia</x:v>
      </x:c>
      <x:c r="E319" s="30" t="str">
        <x:v>Project unlock</x:v>
      </x:c>
      <x:c r="F319" s="30" t="str">
        <x:v>Slavic Commonwealth</x:v>
      </x:c>
      <x:c r="G319" s="30" t="str">
        <x:v>No</x:v>
      </x:c>
      <x:c r="H319" s="30" t="str">
        <x:v>Ordinary claim</x:v>
      </x:c>
      <x:c r="I319" s="31" t="n">
        <x:f>IF(G319="Yes",'Controls &amp; Summary'!$B$5,'Controls &amp; Summary'!$B$4)</x:f>
        <x:v>6</x:v>
      </x:c>
      <x:c r="J319" s="31" t="n">
        <x:v>7.35</x:v>
      </x:c>
      <x:c r="K319" s="31" t="n">
        <x:v>7.03</x:v>
      </x:c>
      <x:c r="L319" s="31" t="n">
        <x:f>ABS(J319-K319)</x:f>
        <x:v>0.3199999999999994</x:v>
      </x:c>
      <x:c r="M319" s="31" t="n">
        <x:v>3.05</x:v>
      </x:c>
      <x:c r="N319" s="31" t="n">
        <x:v>2.67</x:v>
      </x:c>
      <x:c r="O319" s="31" t="n">
        <x:f>ABS(M319-N319)</x:f>
        <x:v>0.3799999999999999</x:v>
      </x:c>
      <x:c r="P319" s="31" t="n">
        <x:v>7.59</x:v>
      </x:c>
      <x:c r="Q319" s="31" t="n">
        <x:v>7.32</x:v>
      </x:c>
      <x:c r="R319" s="31" t="n">
        <x:f>ABS(P319-Q319)</x:f>
        <x:v>0.2699999999999996</x:v>
      </x:c>
      <x:c r="S319" s="32" t="n">
        <x:v>7801.797037126732</x:v>
      </x:c>
      <x:c r="T319" s="32" t="n">
        <x:v>9881.140802928285</x:v>
      </x:c>
      <x:c r="U319" s="31" t="n">
        <x:f>MAX(S319/T319,T319/S319)</x:f>
        <x:v>1.2665211304403965</x:v>
      </x:c>
      <x:c r="V319" s="31" t="n">
        <x:f>L319*'Controls &amp; Summary'!$B$9+O319*'Controls &amp; Summary'!$B$10+R319*'Controls &amp; Summary'!$B$11+U319*'Controls &amp; Summary'!$B$12</x:f>
        <x:v>2.236521130440395</x:v>
      </x:c>
      <x:c r="W319" s="31" t="n">
        <x:v>5.79</x:v>
      </x:c>
      <x:c r="X319" s="31" t="n">
        <x:v>1.98</x:v>
      </x:c>
      <x:c r="Y319" s="31" t="n">
        <x:f>((10-MIN(10,MAX(0,X319)))/10)*'Controls &amp; Summary'!$B$15+((10-MIN(10,MAX(0,W319)))/10)*'Controls &amp; Summary'!$B$16</x:f>
        <x:v>1.2229999999999999</x:v>
      </x:c>
      <x:c r="Z319" s="31" t="n">
        <x:f>V319*Y319</x:f>
        <x:v>2.735265342528603</x:v>
      </x:c>
      <x:c r="AA319" s="30" t="str">
        <x:f>IF(Z319&lt;=I319,"Peaceful","Hostile")</x:f>
        <x:v>Peaceful</x:v>
      </x:c>
      <x:c r="AB319" s="30" t="str">
        <x:f>IF(Z319&lt;='Controls &amp; Summary'!$B$6,"Eligible","Blocked")</x:f>
        <x:v>Eligible</x:v>
      </x:c>
      <x:c r="AC319" s="30" t="str">
        <x:v>2003_POL</x:v>
      </x:c>
      <x:c r="AD319" s="30" t="str">
        <x:v>2003_CRS</x:v>
      </x:c>
      <x:c r="AE319" s="30" t="str">
        <x:v>2003_Zagreb</x:v>
      </x:c>
      <x:c r="AF319" s="30" t="str">
        <x:v>Explicit capitalClaim</x:v>
      </x:c>
      <x:c r="AG319" s="30" t="str">
        <x:v>Claim2003_POL2003_Zagreb</x:v>
      </x:c>
      <x:c r="AH319" s="30" t="str">
        <x:v>Project_SlavicCommonwealth</x:v>
      </x:c>
    </x:row>
    <x:row r="320">
      <x:c r="A320" s="30" t="str">
        <x:v>2003</x:v>
      </x:c>
      <x:c r="B320" s="30" t="str">
        <x:v>Dark Skies</x:v>
      </x:c>
      <x:c r="C320" s="30" t="str">
        <x:v>Poland</x:v>
      </x:c>
      <x:c r="D320" s="30" t="str">
        <x:v>Czechia</x:v>
      </x:c>
      <x:c r="E320" s="30" t="str">
        <x:v>Project unlock</x:v>
      </x:c>
      <x:c r="F320" s="30" t="str">
        <x:v>Slavic Commonwealth</x:v>
      </x:c>
      <x:c r="G320" s="30" t="str">
        <x:v>No</x:v>
      </x:c>
      <x:c r="H320" s="30" t="str">
        <x:v>Ordinary claim</x:v>
      </x:c>
      <x:c r="I320" s="31" t="n">
        <x:f>IF(G320="Yes",'Controls &amp; Summary'!$B$5,'Controls &amp; Summary'!$B$4)</x:f>
        <x:v>6</x:v>
      </x:c>
      <x:c r="J320" s="31" t="n">
        <x:v>7.35</x:v>
      </x:c>
      <x:c r="K320" s="31" t="n">
        <x:v>8.12</x:v>
      </x:c>
      <x:c r="L320" s="31" t="n">
        <x:f>ABS(J320-K320)</x:f>
        <x:v>0.7699999999999996</x:v>
      </x:c>
      <x:c r="M320" s="31" t="n">
        <x:v>3.05</x:v>
      </x:c>
      <x:c r="N320" s="31" t="n">
        <x:v>2.56</x:v>
      </x:c>
      <x:c r="O320" s="31" t="n">
        <x:f>ABS(M320-N320)</x:f>
        <x:v>0.48999999999999977</x:v>
      </x:c>
      <x:c r="P320" s="31" t="n">
        <x:v>7.59</x:v>
      </x:c>
      <x:c r="Q320" s="31" t="n">
        <x:v>7.81</x:v>
      </x:c>
      <x:c r="R320" s="31" t="n">
        <x:f>ABS(P320-Q320)</x:f>
        <x:v>0.21999999999999975</x:v>
      </x:c>
      <x:c r="S320" s="32" t="n">
        <x:v>7801.797037126732</x:v>
      </x:c>
      <x:c r="T320" s="32" t="n">
        <x:v>12463.396827877925</x:v>
      </x:c>
      <x:c r="U320" s="31" t="n">
        <x:f>MAX(S320/T320,T320/S320)</x:f>
        <x:v>1.5975033403929693</x:v>
      </x:c>
      <x:c r="V320" s="31" t="n">
        <x:f>L320*'Controls &amp; Summary'!$B$9+O320*'Controls &amp; Summary'!$B$10+R320*'Controls &amp; Summary'!$B$11+U320*'Controls &amp; Summary'!$B$12</x:f>
        <x:v>3.077503340392968</x:v>
      </x:c>
      <x:c r="W320" s="31" t="n">
        <x:v>5.79</x:v>
      </x:c>
      <x:c r="X320" s="31" t="n">
        <x:v>0.59</x:v>
      </x:c>
      <x:c r="Y320" s="31" t="n">
        <x:f>((10-MIN(10,MAX(0,X320)))/10)*'Controls &amp; Summary'!$B$15+((10-MIN(10,MAX(0,W320)))/10)*'Controls &amp; Summary'!$B$16</x:f>
        <x:v>1.362</x:v>
      </x:c>
      <x:c r="Z320" s="31" t="n">
        <x:f>V320*Y320</x:f>
        <x:v>4.1915595496152225</x:v>
      </x:c>
      <x:c r="AA320" s="30" t="str">
        <x:f>IF(Z320&lt;=I320,"Peaceful","Hostile")</x:f>
        <x:v>Peaceful</x:v>
      </x:c>
      <x:c r="AB320" s="30" t="str">
        <x:f>IF(Z320&lt;='Controls &amp; Summary'!$B$6,"Eligible","Blocked")</x:f>
        <x:v>Eligible</x:v>
      </x:c>
      <x:c r="AC320" s="30" t="str">
        <x:v>2003_POL</x:v>
      </x:c>
      <x:c r="AD320" s="30" t="str">
        <x:v>2003_CZE</x:v>
      </x:c>
      <x:c r="AE320" s="30" t="str">
        <x:v>2003_Czechia</x:v>
      </x:c>
      <x:c r="AF320" s="30" t="str">
        <x:v>Explicit capitalClaim</x:v>
      </x:c>
      <x:c r="AG320" s="30" t="str">
        <x:v>Claim2003_POL2003_Czechia</x:v>
      </x:c>
      <x:c r="AH320" s="30" t="str">
        <x:v>Project_SlavicCommonwealth</x:v>
      </x:c>
    </x:row>
    <x:row r="321">
      <x:c r="A321" s="30" t="str">
        <x:v>2003</x:v>
      </x:c>
      <x:c r="B321" s="30" t="str">
        <x:v>Dark Skies</x:v>
      </x:c>
      <x:c r="C321" s="30" t="str">
        <x:v>Poland</x:v>
      </x:c>
      <x:c r="D321" s="30" t="str">
        <x:v>Estonia</x:v>
      </x:c>
      <x:c r="E321" s="30" t="str">
        <x:v>Project unlock</x:v>
      </x:c>
      <x:c r="F321" s="30" t="str">
        <x:v>Slavic Commonwealth</x:v>
      </x:c>
      <x:c r="G321" s="30" t="str">
        <x:v>No</x:v>
      </x:c>
      <x:c r="H321" s="30" t="str">
        <x:v>Ordinary claim</x:v>
      </x:c>
      <x:c r="I321" s="31" t="n">
        <x:f>IF(G321="Yes",'Controls &amp; Summary'!$B$5,'Controls &amp; Summary'!$B$4)</x:f>
        <x:v>6</x:v>
      </x:c>
      <x:c r="J321" s="31" t="n">
        <x:v>7.35</x:v>
      </x:c>
      <x:c r="K321" s="31" t="n">
        <x:v>7.72</x:v>
      </x:c>
      <x:c r="L321" s="31" t="n">
        <x:f>ABS(J321-K321)</x:f>
        <x:v>0.3700000000000001</x:v>
      </x:c>
      <x:c r="M321" s="31" t="n">
        <x:v>3.05</x:v>
      </x:c>
      <x:c r="N321" s="31" t="n">
        <x:v>3.49</x:v>
      </x:c>
      <x:c r="O321" s="31" t="n">
        <x:f>ABS(M321-N321)</x:f>
        <x:v>0.4400000000000004</x:v>
      </x:c>
      <x:c r="P321" s="31" t="n">
        <x:v>7.59</x:v>
      </x:c>
      <x:c r="Q321" s="31" t="n">
        <x:v>7.61</x:v>
      </x:c>
      <x:c r="R321" s="31" t="n">
        <x:f>ABS(P321-Q321)</x:f>
        <x:v>0.020000000000000462</x:v>
      </x:c>
      <x:c r="S321" s="32" t="n">
        <x:v>7801.797037126732</x:v>
      </x:c>
      <x:c r="T321" s="32" t="n">
        <x:v>10017.262095050515</x:v>
      </x:c>
      <x:c r="U321" s="31" t="n">
        <x:f>MAX(S321/T321,T321/S321)</x:f>
        <x:v>1.2839685584463372</x:v>
      </x:c>
      <x:c r="V321" s="31" t="n">
        <x:f>L321*'Controls &amp; Summary'!$B$9+O321*'Controls &amp; Summary'!$B$10+R321*'Controls &amp; Summary'!$B$11+U321*'Controls &amp; Summary'!$B$12</x:f>
        <x:v>2.113968558446338</x:v>
      </x:c>
      <x:c r="W321" s="31" t="n">
        <x:v>5.79</x:v>
      </x:c>
      <x:c r="X321" s="31" t="n">
        <x:v>0.54</x:v>
      </x:c>
      <x:c r="Y321" s="31" t="n">
        <x:f>((10-MIN(10,MAX(0,X321)))/10)*'Controls &amp; Summary'!$B$15+((10-MIN(10,MAX(0,W321)))/10)*'Controls &amp; Summary'!$B$16</x:f>
        <x:v>1.367</x:v>
      </x:c>
      <x:c r="Z321" s="31" t="n">
        <x:f>V321*Y321</x:f>
        <x:v>2.8897950193961437</x:v>
      </x:c>
      <x:c r="AA321" s="30" t="str">
        <x:f>IF(Z321&lt;=I321,"Peaceful","Hostile")</x:f>
        <x:v>Peaceful</x:v>
      </x:c>
      <x:c r="AB321" s="30" t="str">
        <x:f>IF(Z321&lt;='Controls &amp; Summary'!$B$6,"Eligible","Blocked")</x:f>
        <x:v>Eligible</x:v>
      </x:c>
      <x:c r="AC321" s="30" t="str">
        <x:v>2003_POL</x:v>
      </x:c>
      <x:c r="AD321" s="30" t="str">
        <x:v>2003_EST</x:v>
      </x:c>
      <x:c r="AE321" s="30" t="str">
        <x:v>2003_Estonia</x:v>
      </x:c>
      <x:c r="AF321" s="30" t="str">
        <x:v>Explicit capitalClaim</x:v>
      </x:c>
      <x:c r="AG321" s="30" t="str">
        <x:v>Claim2003_POL2003_Estonia</x:v>
      </x:c>
      <x:c r="AH321" s="30" t="str">
        <x:v>Project_SlavicCommonwealth</x:v>
      </x:c>
    </x:row>
    <x:row r="322">
      <x:c r="A322" s="30" t="str">
        <x:v>2003</x:v>
      </x:c>
      <x:c r="B322" s="30" t="str">
        <x:v>Dark Skies</x:v>
      </x:c>
      <x:c r="C322" s="30" t="str">
        <x:v>Poland</x:v>
      </x:c>
      <x:c r="D322" s="30" t="str">
        <x:v>Finland</x:v>
      </x:c>
      <x:c r="E322" s="30" t="str">
        <x:v>Project unlock</x:v>
      </x:c>
      <x:c r="F322" s="30" t="str">
        <x:v>Slavic Commonwealth</x:v>
      </x:c>
      <x:c r="G322" s="30" t="str">
        <x:v>No</x:v>
      </x:c>
      <x:c r="H322" s="30" t="str">
        <x:v>Ordinary claim</x:v>
      </x:c>
      <x:c r="I322" s="31" t="n">
        <x:f>IF(G322="Yes",'Controls &amp; Summary'!$B$5,'Controls &amp; Summary'!$B$4)</x:f>
        <x:v>6</x:v>
      </x:c>
      <x:c r="J322" s="31" t="n">
        <x:v>7.35</x:v>
      </x:c>
      <x:c r="K322" s="31" t="n">
        <x:v>9.22</x:v>
      </x:c>
      <x:c r="L322" s="31" t="n">
        <x:f>ABS(J322-K322)</x:f>
        <x:v>1.870000000000001</x:v>
      </x:c>
      <x:c r="M322" s="31" t="n">
        <x:v>3.05</x:v>
      </x:c>
      <x:c r="N322" s="31" t="n">
        <x:v>2.49</x:v>
      </x:c>
      <x:c r="O322" s="31" t="n">
        <x:f>ABS(M322-N322)</x:f>
        <x:v>0.5599999999999996</x:v>
      </x:c>
      <x:c r="P322" s="31" t="n">
        <x:v>7.59</x:v>
      </x:c>
      <x:c r="Q322" s="31" t="n">
        <x:v>8.61</x:v>
      </x:c>
      <x:c r="R322" s="31" t="n">
        <x:f>ABS(P322-Q322)</x:f>
        <x:v>1.0199999999999996</x:v>
      </x:c>
      <x:c r="S322" s="32" t="n">
        <x:v>7801.797037126732</x:v>
      </x:c>
      <x:c r="T322" s="32" t="n">
        <x:v>32463.99959332087</x:v>
      </x:c>
      <x:c r="U322" s="31" t="n">
        <x:f>MAX(S322/T322,T322/S322)</x:f>
        <x:v>4.1610925583981615</x:v>
      </x:c>
      <x:c r="V322" s="31" t="n">
        <x:f>L322*'Controls &amp; Summary'!$B$9+O322*'Controls &amp; Summary'!$B$10+R322*'Controls &amp; Summary'!$B$11+U322*'Controls &amp; Summary'!$B$12</x:f>
        <x:v>7.611092558398162</x:v>
      </x:c>
      <x:c r="W322" s="31" t="n">
        <x:v>5.79</x:v>
      </x:c>
      <x:c r="X322" s="31" t="n">
        <x:v>1.82</x:v>
      </x:c>
      <x:c r="Y322" s="31" t="n">
        <x:f>((10-MIN(10,MAX(0,X322)))/10)*'Controls &amp; Summary'!$B$15+((10-MIN(10,MAX(0,W322)))/10)*'Controls &amp; Summary'!$B$16</x:f>
        <x:v>1.2389999999999999</x:v>
      </x:c>
      <x:c r="Z322" s="31" t="n">
        <x:f>V322*Y322</x:f>
        <x:v>9.430143679855322</x:v>
      </x:c>
      <x:c r="AA322" s="30" t="str">
        <x:f>IF(Z322&lt;=I322,"Peaceful","Hostile")</x:f>
        <x:v>Hostile</x:v>
      </x:c>
      <x:c r="AB322" s="30" t="str">
        <x:f>IF(Z322&lt;='Controls &amp; Summary'!$B$6,"Eligible","Blocked")</x:f>
        <x:v>Eligible</x:v>
      </x:c>
      <x:c r="AC322" s="30" t="str">
        <x:v>2003_POL</x:v>
      </x:c>
      <x:c r="AD322" s="30" t="str">
        <x:v>2003_FIN</x:v>
      </x:c>
      <x:c r="AE322" s="30" t="str">
        <x:v>2003_Finland</x:v>
      </x:c>
      <x:c r="AF322" s="30" t="str">
        <x:v>Explicit capitalClaim</x:v>
      </x:c>
      <x:c r="AG322" s="30" t="str">
        <x:v>Claim2003_POL2003_Finland</x:v>
      </x:c>
      <x:c r="AH322" s="30" t="str">
        <x:v>Project_SlavicCommonwealth</x:v>
      </x:c>
    </x:row>
    <x:row r="323">
      <x:c r="A323" s="30" t="str">
        <x:v>2003</x:v>
      </x:c>
      <x:c r="B323" s="30" t="str">
        <x:v>Dark Skies</x:v>
      </x:c>
      <x:c r="C323" s="30" t="str">
        <x:v>Poland</x:v>
      </x:c>
      <x:c r="D323" s="30" t="str">
        <x:v>Hungary</x:v>
      </x:c>
      <x:c r="E323" s="30" t="str">
        <x:v>Project unlock</x:v>
      </x:c>
      <x:c r="F323" s="30" t="str">
        <x:v>Slavic Commonwealth</x:v>
      </x:c>
      <x:c r="G323" s="30" t="str">
        <x:v>No</x:v>
      </x:c>
      <x:c r="H323" s="30" t="str">
        <x:v>Ordinary claim</x:v>
      </x:c>
      <x:c r="I323" s="31" t="n">
        <x:f>IF(G323="Yes",'Controls &amp; Summary'!$B$5,'Controls &amp; Summary'!$B$4)</x:f>
        <x:v>6</x:v>
      </x:c>
      <x:c r="J323" s="31" t="n">
        <x:v>7.35</x:v>
      </x:c>
      <x:c r="K323" s="31" t="n">
        <x:v>7.67</x:v>
      </x:c>
      <x:c r="L323" s="31" t="n">
        <x:f>ABS(J323-K323)</x:f>
        <x:v>0.3200000000000003</x:v>
      </x:c>
      <x:c r="M323" s="31" t="n">
        <x:v>3.05</x:v>
      </x:c>
      <x:c r="N323" s="31" t="n">
        <x:v>2.8</x:v>
      </x:c>
      <x:c r="O323" s="31" t="n">
        <x:f>ABS(M323-N323)</x:f>
        <x:v>0.25</x:v>
      </x:c>
      <x:c r="P323" s="31" t="n">
        <x:v>7.59</x:v>
      </x:c>
      <x:c r="Q323" s="31" t="n">
        <x:v>7.42</x:v>
      </x:c>
      <x:c r="R323" s="31" t="n">
        <x:f>ABS(P323-Q323)</x:f>
        <x:v>0.16999999999999993</x:v>
      </x:c>
      <x:c r="S323" s="32" t="n">
        <x:v>7801.797037126732</x:v>
      </x:c>
      <x:c r="T323" s="32" t="n">
        <x:v>10016.008762520943</x:v>
      </x:c>
      <x:c r="U323" s="31" t="n">
        <x:f>MAX(S323/T323,T323/S323)</x:f>
        <x:v>1.2838079117999803</x:v>
      </x:c>
      <x:c r="V323" s="31" t="n">
        <x:f>L323*'Controls &amp; Summary'!$B$9+O323*'Controls &amp; Summary'!$B$10+R323*'Controls &amp; Summary'!$B$11+U323*'Controls &amp; Summary'!$B$12</x:f>
        <x:v>2.0238079117999805</x:v>
      </x:c>
      <x:c r="W323" s="31" t="n">
        <x:v>5.79</x:v>
      </x:c>
      <x:c r="X323" s="31" t="n">
        <x:v>0.8</x:v>
      </x:c>
      <x:c r="Y323" s="31" t="n">
        <x:f>((10-MIN(10,MAX(0,X323)))/10)*'Controls &amp; Summary'!$B$15+((10-MIN(10,MAX(0,W323)))/10)*'Controls &amp; Summary'!$B$16</x:f>
        <x:v>1.341</x:v>
      </x:c>
      <x:c r="Z323" s="31" t="n">
        <x:f>V323*Y323</x:f>
        <x:v>2.713926409723774</x:v>
      </x:c>
      <x:c r="AA323" s="30" t="str">
        <x:f>IF(Z323&lt;=I323,"Peaceful","Hostile")</x:f>
        <x:v>Peaceful</x:v>
      </x:c>
      <x:c r="AB323" s="30" t="str">
        <x:f>IF(Z323&lt;='Controls &amp; Summary'!$B$6,"Eligible","Blocked")</x:f>
        <x:v>Eligible</x:v>
      </x:c>
      <x:c r="AC323" s="30" t="str">
        <x:v>2003_POL</x:v>
      </x:c>
      <x:c r="AD323" s="30" t="str">
        <x:v>2003_HUN</x:v>
      </x:c>
      <x:c r="AE323" s="30" t="str">
        <x:v>2003_Hungary</x:v>
      </x:c>
      <x:c r="AF323" s="30" t="str">
        <x:v>Explicit capitalClaim</x:v>
      </x:c>
      <x:c r="AG323" s="30" t="str">
        <x:v>Claim2003_POL2003_Hungary</x:v>
      </x:c>
      <x:c r="AH323" s="30" t="str">
        <x:v>Project_SlavicCommonwealth</x:v>
      </x:c>
    </x:row>
    <x:row r="324">
      <x:c r="A324" s="30" t="str">
        <x:v>2003</x:v>
      </x:c>
      <x:c r="B324" s="30" t="str">
        <x:v>Dark Skies</x:v>
      </x:c>
      <x:c r="C324" s="30" t="str">
        <x:v>Poland</x:v>
      </x:c>
      <x:c r="D324" s="30" t="str">
        <x:v>Kosovo</x:v>
      </x:c>
      <x:c r="E324" s="30" t="str">
        <x:v>Project unlock</x:v>
      </x:c>
      <x:c r="F324" s="30" t="str">
        <x:v>Slavic Commonwealth</x:v>
      </x:c>
      <x:c r="G324" s="30" t="str">
        <x:v>No</x:v>
      </x:c>
      <x:c r="H324" s="30" t="str">
        <x:v>Ordinary claim</x:v>
      </x:c>
      <x:c r="I324" s="31" t="n">
        <x:f>IF(G324="Yes",'Controls &amp; Summary'!$B$5,'Controls &amp; Summary'!$B$4)</x:f>
        <x:v>6</x:v>
      </x:c>
      <x:c r="J324" s="31" t="n">
        <x:v>7.35</x:v>
      </x:c>
      <x:c r="K324" s="31" t="n">
        <x:v>5.33</x:v>
      </x:c>
      <x:c r="L324" s="31" t="n">
        <x:f>ABS(J324-K324)</x:f>
        <x:v>2.0199999999999996</x:v>
      </x:c>
      <x:c r="M324" s="31" t="n">
        <x:v>3.05</x:v>
      </x:c>
      <x:c r="N324" s="31" t="n">
        <x:v>3.16</x:v>
      </x:c>
      <x:c r="O324" s="31" t="n">
        <x:f>ABS(M324-N324)</x:f>
        <x:v>0.11000000000000032</x:v>
      </x:c>
      <x:c r="P324" s="31" t="n">
        <x:v>7.59</x:v>
      </x:c>
      <x:c r="Q324" s="31" t="n">
        <x:v>6.81</x:v>
      </x:c>
      <x:c r="R324" s="31" t="n">
        <x:f>ABS(P324-Q324)</x:f>
        <x:v>0.7800000000000002</x:v>
      </x:c>
      <x:c r="S324" s="32" t="n">
        <x:v>7801.797037126732</x:v>
      </x:c>
      <x:c r="T324" s="32" t="n">
        <x:v>2667.1344428542175</x:v>
      </x:c>
      <x:c r="U324" s="31" t="n">
        <x:f>MAX(S324/T324,T324/S324)</x:f>
        <x:v>2.925160768715388</x:v>
      </x:c>
      <x:c r="V324" s="31" t="n">
        <x:f>L324*'Controls &amp; Summary'!$B$9+O324*'Controls &amp; Summary'!$B$10+R324*'Controls &amp; Summary'!$B$11+U324*'Controls &amp; Summary'!$B$12</x:f>
        <x:v>5.835160768715388</x:v>
      </x:c>
      <x:c r="W324" s="31" t="n">
        <x:v>5.79</x:v>
      </x:c>
      <x:c r="X324" s="31" t="n">
        <x:v>4.64</x:v>
      </x:c>
      <x:c r="Y324" s="31" t="n">
        <x:f>((10-MIN(10,MAX(0,X324)))/10)*'Controls &amp; Summary'!$B$15+((10-MIN(10,MAX(0,W324)))/10)*'Controls &amp; Summary'!$B$16</x:f>
        <x:v>0.9570000000000001</x:v>
      </x:c>
      <x:c r="Z324" s="31" t="n">
        <x:f>V324*Y324</x:f>
        <x:v>5.584248855660627</x:v>
      </x:c>
      <x:c r="AA324" s="30" t="str">
        <x:f>IF(Z324&lt;=I324,"Peaceful","Hostile")</x:f>
        <x:v>Peaceful</x:v>
      </x:c>
      <x:c r="AB324" s="30" t="str">
        <x:f>IF(Z324&lt;='Controls &amp; Summary'!$B$6,"Eligible","Blocked")</x:f>
        <x:v>Eligible</x:v>
      </x:c>
      <x:c r="AC324" s="30" t="str">
        <x:v>2003_POL</x:v>
      </x:c>
      <x:c r="AD324" s="30" t="str">
        <x:v>2003_KOS</x:v>
      </x:c>
      <x:c r="AE324" s="30" t="str">
        <x:v>2003_Kosovo</x:v>
      </x:c>
      <x:c r="AF324" s="30" t="str">
        <x:v>Explicit capitalClaim</x:v>
      </x:c>
      <x:c r="AG324" s="30" t="str">
        <x:v>Claim2003_POL2003_Kosovo</x:v>
      </x:c>
      <x:c r="AH324" s="30" t="str">
        <x:v>Project_SlavicCommonwealth</x:v>
      </x:c>
    </x:row>
    <x:row r="325">
      <x:c r="A325" s="30" t="str">
        <x:v>2003</x:v>
      </x:c>
      <x:c r="B325" s="30" t="str">
        <x:v>Dark Skies</x:v>
      </x:c>
      <x:c r="C325" s="30" t="str">
        <x:v>Poland</x:v>
      </x:c>
      <x:c r="D325" s="30" t="str">
        <x:v>Latvia</x:v>
      </x:c>
      <x:c r="E325" s="30" t="str">
        <x:v>Project unlock</x:v>
      </x:c>
      <x:c r="F325" s="30" t="str">
        <x:v>Slavic Commonwealth</x:v>
      </x:c>
      <x:c r="G325" s="30" t="str">
        <x:v>No</x:v>
      </x:c>
      <x:c r="H325" s="30" t="str">
        <x:v>Ordinary claim</x:v>
      </x:c>
      <x:c r="I325" s="31" t="n">
        <x:f>IF(G325="Yes",'Controls &amp; Summary'!$B$5,'Controls &amp; Summary'!$B$4)</x:f>
        <x:v>6</x:v>
      </x:c>
      <x:c r="J325" s="31" t="n">
        <x:v>7.35</x:v>
      </x:c>
      <x:c r="K325" s="31" t="n">
        <x:v>7.47</x:v>
      </x:c>
      <x:c r="L325" s="31" t="n">
        <x:f>ABS(J325-K325)</x:f>
        <x:v>0.1200000000000001</x:v>
      </x:c>
      <x:c r="M325" s="31" t="n">
        <x:v>3.05</x:v>
      </x:c>
      <x:c r="N325" s="31" t="n">
        <x:v>3.41</x:v>
      </x:c>
      <x:c r="O325" s="31" t="n">
        <x:f>ABS(M325-N325)</x:f>
        <x:v>0.3600000000000003</x:v>
      </x:c>
      <x:c r="P325" s="31" t="n">
        <x:v>7.59</x:v>
      </x:c>
      <x:c r="Q325" s="31" t="n">
        <x:v>7.32</x:v>
      </x:c>
      <x:c r="R325" s="31" t="n">
        <x:f>ABS(P325-Q325)</x:f>
        <x:v>0.2699999999999996</x:v>
      </x:c>
      <x:c r="S325" s="32" t="n">
        <x:v>7801.797037126732</x:v>
      </x:c>
      <x:c r="T325" s="32" t="n">
        <x:v>7469.285946516009</x:v>
      </x:c>
      <x:c r="U325" s="31" t="n">
        <x:f>MAX(S325/T325,T325/S325)</x:f>
        <x:v>1.0445171189042268</x:v>
      </x:c>
      <x:c r="V325" s="31" t="n">
        <x:f>L325*'Controls &amp; Summary'!$B$9+O325*'Controls &amp; Summary'!$B$10+R325*'Controls &amp; Summary'!$B$11+U325*'Controls &amp; Summary'!$B$12</x:f>
        <x:v>1.7945171189042268</x:v>
      </x:c>
      <x:c r="W325" s="31" t="n">
        <x:v>5.79</x:v>
      </x:c>
      <x:c r="X325" s="31" t="n">
        <x:v>1.89</x:v>
      </x:c>
      <x:c r="Y325" s="31" t="n">
        <x:f>((10-MIN(10,MAX(0,X325)))/10)*'Controls &amp; Summary'!$B$15+((10-MIN(10,MAX(0,W325)))/10)*'Controls &amp; Summary'!$B$16</x:f>
        <x:v>1.232</x:v>
      </x:c>
      <x:c r="Z325" s="31" t="n">
        <x:f>V325*Y325</x:f>
        <x:v>2.2108450904900074</x:v>
      </x:c>
      <x:c r="AA325" s="30" t="str">
        <x:f>IF(Z325&lt;=I325,"Peaceful","Hostile")</x:f>
        <x:v>Peaceful</x:v>
      </x:c>
      <x:c r="AB325" s="30" t="str">
        <x:f>IF(Z325&lt;='Controls &amp; Summary'!$B$6,"Eligible","Blocked")</x:f>
        <x:v>Eligible</x:v>
      </x:c>
      <x:c r="AC325" s="30" t="str">
        <x:v>2003_POL</x:v>
      </x:c>
      <x:c r="AD325" s="30" t="str">
        <x:v>2003_LVA</x:v>
      </x:c>
      <x:c r="AE325" s="30" t="str">
        <x:v>2003_Latvia</x:v>
      </x:c>
      <x:c r="AF325" s="30" t="str">
        <x:v>Explicit capitalClaim</x:v>
      </x:c>
      <x:c r="AG325" s="30" t="str">
        <x:v>Claim2003_POL2003_Latvia</x:v>
      </x:c>
      <x:c r="AH325" s="30" t="str">
        <x:v>Project_SlavicCommonwealth</x:v>
      </x:c>
    </x:row>
    <x:row r="326">
      <x:c r="A326" s="30" t="str">
        <x:v>2003</x:v>
      </x:c>
      <x:c r="B326" s="30" t="str">
        <x:v>Dark Skies</x:v>
      </x:c>
      <x:c r="C326" s="30" t="str">
        <x:v>Poland</x:v>
      </x:c>
      <x:c r="D326" s="30" t="str">
        <x:v>Lithuania</x:v>
      </x:c>
      <x:c r="E326" s="30" t="str">
        <x:v>Project unlock</x:v>
      </x:c>
      <x:c r="F326" s="30" t="str">
        <x:v>Slavic Commonwealth</x:v>
      </x:c>
      <x:c r="G326" s="30" t="str">
        <x:v>No</x:v>
      </x:c>
      <x:c r="H326" s="30" t="str">
        <x:v>Ordinary claim</x:v>
      </x:c>
      <x:c r="I326" s="31" t="n">
        <x:f>IF(G326="Yes",'Controls &amp; Summary'!$B$5,'Controls &amp; Summary'!$B$4)</x:f>
        <x:v>6</x:v>
      </x:c>
      <x:c r="J326" s="31" t="n">
        <x:v>7.35</x:v>
      </x:c>
      <x:c r="K326" s="31" t="n">
        <x:v>7.38</x:v>
      </x:c>
      <x:c r="L326" s="31" t="n">
        <x:f>ABS(J326-K326)</x:f>
        <x:v>0.03000000000000025</x:v>
      </x:c>
      <x:c r="M326" s="31" t="n">
        <x:v>3.05</x:v>
      </x:c>
      <x:c r="N326" s="31" t="n">
        <x:v>3.28</x:v>
      </x:c>
      <x:c r="O326" s="31" t="n">
        <x:f>ABS(M326-N326)</x:f>
        <x:v>0.22999999999999998</x:v>
      </x:c>
      <x:c r="P326" s="31" t="n">
        <x:v>7.59</x:v>
      </x:c>
      <x:c r="Q326" s="31" t="n">
        <x:v>7.48</x:v>
      </x:c>
      <x:c r="R326" s="31" t="n">
        <x:f>ABS(P326-Q326)</x:f>
        <x:v>0.10999999999999943</x:v>
      </x:c>
      <x:c r="S326" s="32" t="n">
        <x:v>7801.797037126732</x:v>
      </x:c>
      <x:c r="T326" s="32" t="n">
        <x:v>8016.437482688086</x:v>
      </x:c>
      <x:c r="U326" s="31" t="n">
        <x:f>MAX(S326/T326,T326/S326)</x:f>
        <x:v>1.027511667445325</x:v>
      </x:c>
      <x:c r="V326" s="31" t="n">
        <x:f>L326*'Controls &amp; Summary'!$B$9+O326*'Controls &amp; Summary'!$B$10+R326*'Controls &amp; Summary'!$B$11+U326*'Controls &amp; Summary'!$B$12</x:f>
        <x:v>1.3975116674453247</x:v>
      </x:c>
      <x:c r="W326" s="31" t="n">
        <x:v>5.79</x:v>
      </x:c>
      <x:c r="X326" s="31" t="n">
        <x:v>0.45</x:v>
      </x:c>
      <x:c r="Y326" s="31" t="n">
        <x:f>((10-MIN(10,MAX(0,X326)))/10)*'Controls &amp; Summary'!$B$15+((10-MIN(10,MAX(0,W326)))/10)*'Controls &amp; Summary'!$B$16</x:f>
        <x:v>1.3760000000000001</x:v>
      </x:c>
      <x:c r="Z326" s="31" t="n">
        <x:f>V326*Y326</x:f>
        <x:v>1.922976054404767</x:v>
      </x:c>
      <x:c r="AA326" s="30" t="str">
        <x:f>IF(Z326&lt;=I326,"Peaceful","Hostile")</x:f>
        <x:v>Peaceful</x:v>
      </x:c>
      <x:c r="AB326" s="30" t="str">
        <x:f>IF(Z326&lt;='Controls &amp; Summary'!$B$6,"Eligible","Blocked")</x:f>
        <x:v>Eligible</x:v>
      </x:c>
      <x:c r="AC326" s="30" t="str">
        <x:v>2003_POL</x:v>
      </x:c>
      <x:c r="AD326" s="30" t="str">
        <x:v>2003_LTU</x:v>
      </x:c>
      <x:c r="AE326" s="30" t="str">
        <x:v>2003_Lithuania</x:v>
      </x:c>
      <x:c r="AF326" s="30" t="str">
        <x:v>Explicit capitalClaim</x:v>
      </x:c>
      <x:c r="AG326" s="30" t="str">
        <x:v>Claim2003_POL2003_Lithuania</x:v>
      </x:c>
      <x:c r="AH326" s="30" t="str">
        <x:v>Project_SlavicCommonwealth</x:v>
      </x:c>
    </x:row>
    <x:row r="327">
      <x:c r="A327" s="30" t="str">
        <x:v>2003</x:v>
      </x:c>
      <x:c r="B327" s="30" t="str">
        <x:v>Dark Skies</x:v>
      </x:c>
      <x:c r="C327" s="30" t="str">
        <x:v>Poland</x:v>
      </x:c>
      <x:c r="D327" s="30" t="str">
        <x:v>Moldova</x:v>
      </x:c>
      <x:c r="E327" s="30" t="str">
        <x:v>Project unlock</x:v>
      </x:c>
      <x:c r="F327" s="30" t="str">
        <x:v>Slavic Commonwealth</x:v>
      </x:c>
      <x:c r="G327" s="30" t="str">
        <x:v>No</x:v>
      </x:c>
      <x:c r="H327" s="30" t="str">
        <x:v>Ordinary claim</x:v>
      </x:c>
      <x:c r="I327" s="31" t="n">
        <x:f>IF(G327="Yes",'Controls &amp; Summary'!$B$5,'Controls &amp; Summary'!$B$4)</x:f>
        <x:v>6</x:v>
      </x:c>
      <x:c r="J327" s="31" t="n">
        <x:v>7.35</x:v>
      </x:c>
      <x:c r="K327" s="31" t="n">
        <x:v>6.75</x:v>
      </x:c>
      <x:c r="L327" s="31" t="n">
        <x:f>ABS(J327-K327)</x:f>
        <x:v>0.5999999999999996</x:v>
      </x:c>
      <x:c r="M327" s="31" t="n">
        <x:v>3.05</x:v>
      </x:c>
      <x:c r="N327" s="31" t="n">
        <x:v>3.77</x:v>
      </x:c>
      <x:c r="O327" s="31" t="n">
        <x:f>ABS(M327-N327)</x:f>
        <x:v>0.7200000000000002</x:v>
      </x:c>
      <x:c r="P327" s="31" t="n">
        <x:v>7.59</x:v>
      </x:c>
      <x:c r="Q327" s="31" t="n">
        <x:v>6.27</x:v>
      </x:c>
      <x:c r="R327" s="31" t="n">
        <x:f>ABS(P327-Q327)</x:f>
        <x:v>1.3200000000000003</x:v>
      </x:c>
      <x:c r="S327" s="32" t="n">
        <x:v>7801.797037126732</x:v>
      </x:c>
      <x:c r="T327" s="32" t="n">
        <x:v>1929.9841034580347</x:v>
      </x:c>
      <x:c r="U327" s="31" t="n">
        <x:f>MAX(S327/T327,T327/S327)</x:f>
        <x:v>4.042415180077349</x:v>
      </x:c>
      <x:c r="V327" s="31" t="n">
        <x:f>L327*'Controls &amp; Summary'!$B$9+O327*'Controls &amp; Summary'!$B$10+R327*'Controls &amp; Summary'!$B$11+U327*'Controls &amp; Summary'!$B$12</x:f>
        <x:v>6.682415180077349</x:v>
      </x:c>
      <x:c r="W327" s="31" t="n">
        <x:v>5.79</x:v>
      </x:c>
      <x:c r="X327" s="31" t="n">
        <x:v>1.12</x:v>
      </x:c>
      <x:c r="Y327" s="31" t="n">
        <x:f>((10-MIN(10,MAX(0,X327)))/10)*'Controls &amp; Summary'!$B$15+((10-MIN(10,MAX(0,W327)))/10)*'Controls &amp; Summary'!$B$16</x:f>
        <x:v>1.309</x:v>
      </x:c>
      <x:c r="Z327" s="31" t="n">
        <x:f>V327*Y327</x:f>
        <x:v>8.74728147072125</x:v>
      </x:c>
      <x:c r="AA327" s="30" t="str">
        <x:f>IF(Z327&lt;=I327,"Peaceful","Hostile")</x:f>
        <x:v>Hostile</x:v>
      </x:c>
      <x:c r="AB327" s="30" t="str">
        <x:f>IF(Z327&lt;='Controls &amp; Summary'!$B$6,"Eligible","Blocked")</x:f>
        <x:v>Eligible</x:v>
      </x:c>
      <x:c r="AC327" s="30" t="str">
        <x:v>2003_POL</x:v>
      </x:c>
      <x:c r="AD327" s="30" t="str">
        <x:v>2003_MOL</x:v>
      </x:c>
      <x:c r="AE327" s="30" t="str">
        <x:v>2003_Moldova</x:v>
      </x:c>
      <x:c r="AF327" s="30" t="str">
        <x:v>Explicit capitalClaim</x:v>
      </x:c>
      <x:c r="AG327" s="30" t="str">
        <x:v>Claim2003_POL2003_Moldova</x:v>
      </x:c>
      <x:c r="AH327" s="30" t="str">
        <x:v>Project_SlavicCommonwealth</x:v>
      </x:c>
    </x:row>
    <x:row r="328">
      <x:c r="A328" s="30" t="str">
        <x:v>2003</x:v>
      </x:c>
      <x:c r="B328" s="30" t="str">
        <x:v>Dark Skies</x:v>
      </x:c>
      <x:c r="C328" s="30" t="str">
        <x:v>Poland</x:v>
      </x:c>
      <x:c r="D328" s="30" t="str">
        <x:v>North Macedonia</x:v>
      </x:c>
      <x:c r="E328" s="30" t="str">
        <x:v>Project unlock</x:v>
      </x:c>
      <x:c r="F328" s="30" t="str">
        <x:v>Slavic Commonwealth</x:v>
      </x:c>
      <x:c r="G328" s="30" t="str">
        <x:v>No</x:v>
      </x:c>
      <x:c r="H328" s="30" t="str">
        <x:v>Ordinary claim</x:v>
      </x:c>
      <x:c r="I328" s="31" t="n">
        <x:f>IF(G328="Yes",'Controls &amp; Summary'!$B$5,'Controls &amp; Summary'!$B$4)</x:f>
        <x:v>6</x:v>
      </x:c>
      <x:c r="J328" s="31" t="n">
        <x:v>7.35</x:v>
      </x:c>
      <x:c r="K328" s="31" t="n">
        <x:v>5.99</x:v>
      </x:c>
      <x:c r="L328" s="31" t="n">
        <x:f>ABS(J328-K328)</x:f>
        <x:v>1.3599999999999994</x:v>
      </x:c>
      <x:c r="M328" s="31" t="n">
        <x:v>3.05</x:v>
      </x:c>
      <x:c r="N328" s="31" t="n">
        <x:v>3.32</x:v>
      </x:c>
      <x:c r="O328" s="31" t="n">
        <x:f>ABS(M328-N328)</x:f>
        <x:v>0.27</x:v>
      </x:c>
      <x:c r="P328" s="31" t="n">
        <x:v>7.59</x:v>
      </x:c>
      <x:c r="Q328" s="31" t="n">
        <x:v>6.24</x:v>
      </x:c>
      <x:c r="R328" s="31" t="n">
        <x:f>ABS(P328-Q328)</x:f>
        <x:v>1.3499999999999996</x:v>
      </x:c>
      <x:c r="S328" s="32" t="n">
        <x:v>7801.797037126732</x:v>
      </x:c>
      <x:c r="T328" s="32" t="n">
        <x:v>4508.019288838196</x:v>
      </x:c>
      <x:c r="U328" s="31" t="n">
        <x:f>MAX(S328/T328,T328/S328)</x:f>
        <x:v>1.7306485481204332</x:v>
      </x:c>
      <x:c r="V328" s="31" t="n">
        <x:f>L328*'Controls &amp; Summary'!$B$9+O328*'Controls &amp; Summary'!$B$10+R328*'Controls &amp; Summary'!$B$11+U328*'Controls &amp; Summary'!$B$12</x:f>
        <x:v>4.7106485481204325</x:v>
      </x:c>
      <x:c r="W328" s="31" t="n">
        <x:v>5.79</x:v>
      </x:c>
      <x:c r="X328" s="31" t="n">
        <x:v>2</x:v>
      </x:c>
      <x:c r="Y328" s="31" t="n">
        <x:f>((10-MIN(10,MAX(0,X328)))/10)*'Controls &amp; Summary'!$B$15+((10-MIN(10,MAX(0,W328)))/10)*'Controls &amp; Summary'!$B$16</x:f>
        <x:v>1.221</x:v>
      </x:c>
      <x:c r="Z328" s="31" t="n">
        <x:f>V328*Y328</x:f>
        <x:v>5.751701877255049</x:v>
      </x:c>
      <x:c r="AA328" s="30" t="str">
        <x:f>IF(Z328&lt;=I328,"Peaceful","Hostile")</x:f>
        <x:v>Peaceful</x:v>
      </x:c>
      <x:c r="AB328" s="30" t="str">
        <x:f>IF(Z328&lt;='Controls &amp; Summary'!$B$6,"Eligible","Blocked")</x:f>
        <x:v>Eligible</x:v>
      </x:c>
      <x:c r="AC328" s="30" t="str">
        <x:v>2003_POL</x:v>
      </x:c>
      <x:c r="AD328" s="30" t="str">
        <x:v>2003_MKD</x:v>
      </x:c>
      <x:c r="AE328" s="30" t="str">
        <x:v>2003_NorthMacedonia</x:v>
      </x:c>
      <x:c r="AF328" s="30" t="str">
        <x:v>Explicit capitalClaim</x:v>
      </x:c>
      <x:c r="AG328" s="30" t="str">
        <x:v>Claim2003_POL2003_NorthMacedonia</x:v>
      </x:c>
      <x:c r="AH328" s="30" t="str">
        <x:v>Project_SlavicCommonwealth</x:v>
      </x:c>
    </x:row>
    <x:row r="329">
      <x:c r="A329" s="30" t="str">
        <x:v>2003</x:v>
      </x:c>
      <x:c r="B329" s="30" t="str">
        <x:v>Dark Skies</x:v>
      </x:c>
      <x:c r="C329" s="30" t="str">
        <x:v>Poland</x:v>
      </x:c>
      <x:c r="D329" s="30" t="str">
        <x:v>Romania</x:v>
      </x:c>
      <x:c r="E329" s="30" t="str">
        <x:v>Project unlock</x:v>
      </x:c>
      <x:c r="F329" s="30" t="str">
        <x:v>Slavic Commonwealth</x:v>
      </x:c>
      <x:c r="G329" s="30" t="str">
        <x:v>No</x:v>
      </x:c>
      <x:c r="H329" s="30" t="str">
        <x:v>Ordinary claim</x:v>
      </x:c>
      <x:c r="I329" s="31" t="n">
        <x:f>IF(G329="Yes",'Controls &amp; Summary'!$B$5,'Controls &amp; Summary'!$B$4)</x:f>
        <x:v>6</x:v>
      </x:c>
      <x:c r="J329" s="31" t="n">
        <x:v>7.35</x:v>
      </x:c>
      <x:c r="K329" s="31" t="n">
        <x:v>6.77</x:v>
      </x:c>
      <x:c r="L329" s="31" t="n">
        <x:f>ABS(J329-K329)</x:f>
        <x:v>0.5800000000000001</x:v>
      </x:c>
      <x:c r="M329" s="31" t="n">
        <x:v>3.05</x:v>
      </x:c>
      <x:c r="N329" s="31" t="n">
        <x:v>3.1</x:v>
      </x:c>
      <x:c r="O329" s="31" t="n">
        <x:f>ABS(M329-N329)</x:f>
        <x:v>0.050000000000000266</x:v>
      </x:c>
      <x:c r="P329" s="31" t="n">
        <x:v>7.59</x:v>
      </x:c>
      <x:c r="Q329" s="31" t="n">
        <x:v>6.78</x:v>
      </x:c>
      <x:c r="R329" s="31" t="n">
        <x:f>ABS(P329-Q329)</x:f>
        <x:v>0.8099999999999996</x:v>
      </x:c>
      <x:c r="S329" s="32" t="n">
        <x:v>7801.797037126732</x:v>
      </x:c>
      <x:c r="T329" s="32" t="n">
        <x:v>6486.968196003881</x:v>
      </x:c>
      <x:c r="U329" s="31" t="n">
        <x:f>MAX(S329/T329,T329/S329)</x:f>
        <x:v>1.2026877273628096</x:v>
      </x:c>
      <x:c r="V329" s="31" t="n">
        <x:f>L329*'Controls &amp; Summary'!$B$9+O329*'Controls &amp; Summary'!$B$10+R329*'Controls &amp; Summary'!$B$11+U329*'Controls &amp; Summary'!$B$12</x:f>
        <x:v>2.6426877273628095</x:v>
      </x:c>
      <x:c r="W329" s="31" t="n">
        <x:v>5.79</x:v>
      </x:c>
      <x:c r="X329" s="31" t="n">
        <x:v>0.17</x:v>
      </x:c>
      <x:c r="Y329" s="31" t="n">
        <x:f>((10-MIN(10,MAX(0,X329)))/10)*'Controls &amp; Summary'!$B$15+((10-MIN(10,MAX(0,W329)))/10)*'Controls &amp; Summary'!$B$16</x:f>
        <x:v>1.404</x:v>
      </x:c>
      <x:c r="Z329" s="31" t="n">
        <x:f>V329*Y329</x:f>
        <x:v>3.710333569217384</x:v>
      </x:c>
      <x:c r="AA329" s="30" t="str">
        <x:f>IF(Z329&lt;=I329,"Peaceful","Hostile")</x:f>
        <x:v>Peaceful</x:v>
      </x:c>
      <x:c r="AB329" s="30" t="str">
        <x:f>IF(Z329&lt;='Controls &amp; Summary'!$B$6,"Eligible","Blocked")</x:f>
        <x:v>Eligible</x:v>
      </x:c>
      <x:c r="AC329" s="30" t="str">
        <x:v>2003_POL</x:v>
      </x:c>
      <x:c r="AD329" s="30" t="str">
        <x:v>2003_ROM</x:v>
      </x:c>
      <x:c r="AE329" s="30" t="str">
        <x:v>2003_Romania</x:v>
      </x:c>
      <x:c r="AF329" s="30" t="str">
        <x:v>Explicit capitalClaim</x:v>
      </x:c>
      <x:c r="AG329" s="30" t="str">
        <x:v>Claim2003_POL2003_Romania</x:v>
      </x:c>
      <x:c r="AH329" s="30" t="str">
        <x:v>Project_SlavicCommonwealth</x:v>
      </x:c>
    </x:row>
    <x:row r="330">
      <x:c r="A330" s="30" t="str">
        <x:v>2003</x:v>
      </x:c>
      <x:c r="B330" s="30" t="str">
        <x:v>Dark Skies</x:v>
      </x:c>
      <x:c r="C330" s="30" t="str">
        <x:v>Poland</x:v>
      </x:c>
      <x:c r="D330" s="30" t="str">
        <x:v>Russia</x:v>
      </x:c>
      <x:c r="E330" s="30" t="str">
        <x:v>Project unlock</x:v>
      </x:c>
      <x:c r="F330" s="30" t="str">
        <x:v>Greater Intermarium</x:v>
      </x:c>
      <x:c r="G330" s="30" t="str">
        <x:v>No</x:v>
      </x:c>
      <x:c r="H330" s="30" t="str">
        <x:v>Ordinary claim</x:v>
      </x:c>
      <x:c r="I330" s="31" t="n">
        <x:f>IF(G330="Yes",'Controls &amp; Summary'!$B$5,'Controls &amp; Summary'!$B$4)</x:f>
        <x:v>6</x:v>
      </x:c>
      <x:c r="J330" s="31" t="n">
        <x:v>7.35</x:v>
      </x:c>
      <x:c r="K330" s="31" t="n">
        <x:v>5.16</x:v>
      </x:c>
      <x:c r="L330" s="31" t="n">
        <x:f>ABS(J330-K330)</x:f>
        <x:v>2.1899999999999995</x:v>
      </x:c>
      <x:c r="M330" s="31" t="n">
        <x:v>3.05</x:v>
      </x:c>
      <x:c r="N330" s="31" t="n">
        <x:v>3.77</x:v>
      </x:c>
      <x:c r="O330" s="31" t="n">
        <x:f>ABS(M330-N330)</x:f>
        <x:v>0.7200000000000002</x:v>
      </x:c>
      <x:c r="P330" s="31" t="n">
        <x:v>7.59</x:v>
      </x:c>
      <x:c r="Q330" s="31" t="n">
        <x:v>7.04</x:v>
      </x:c>
      <x:c r="R330" s="31" t="n">
        <x:f>ABS(P330-Q330)</x:f>
        <x:v>0.5499999999999998</x:v>
      </x:c>
      <x:c r="S330" s="32" t="n">
        <x:v>7801.797037126732</x:v>
      </x:c>
      <x:c r="T330" s="32" t="n">
        <x:v>7812.9539838514465</x:v>
      </x:c>
      <x:c r="U330" s="31" t="n">
        <x:f>MAX(S330/T330,T330/S330)</x:f>
        <x:v>1.0014300483172816</x:v>
      </x:c>
      <x:c r="V330" s="31" t="n">
        <x:f>L330*'Controls &amp; Summary'!$B$9+O330*'Controls &amp; Summary'!$B$10+R330*'Controls &amp; Summary'!$B$11+U330*'Controls &amp; Summary'!$B$12</x:f>
        <x:v>4.461430048317281</x:v>
      </x:c>
      <x:c r="W330" s="31" t="n">
        <x:v>5.79</x:v>
      </x:c>
      <x:c r="X330" s="31" t="n">
        <x:v>3.67</x:v>
      </x:c>
      <x:c r="Y330" s="31" t="n">
        <x:f>((10-MIN(10,MAX(0,X330)))/10)*'Controls &amp; Summary'!$B$15+((10-MIN(10,MAX(0,W330)))/10)*'Controls &amp; Summary'!$B$16</x:f>
        <x:v>1.054</x:v>
      </x:c>
      <x:c r="Z330" s="31" t="n">
        <x:f>V330*Y330</x:f>
        <x:v>4.702347270926414</x:v>
      </x:c>
      <x:c r="AA330" s="30" t="str">
        <x:f>IF(Z330&lt;=I330,"Peaceful","Hostile")</x:f>
        <x:v>Peaceful</x:v>
      </x:c>
      <x:c r="AB330" s="30" t="str">
        <x:f>IF(Z330&lt;='Controls &amp; Summary'!$B$6,"Eligible","Blocked")</x:f>
        <x:v>Eligible</x:v>
      </x:c>
      <x:c r="AC330" s="30" t="str">
        <x:v>2003_POL</x:v>
      </x:c>
      <x:c r="AD330" s="30" t="str">
        <x:v>2003_RUS</x:v>
      </x:c>
      <x:c r="AE330" s="30" t="str">
        <x:v>2003_Moskva</x:v>
      </x:c>
      <x:c r="AF330" s="30" t="str">
        <x:v>Explicit capitalClaim</x:v>
      </x:c>
      <x:c r="AG330" s="30" t="str">
        <x:v>Claim2003_POL2003_Moskva</x:v>
      </x:c>
      <x:c r="AH330" s="30" t="str">
        <x:v>Project_GreaterIntermarium</x:v>
      </x:c>
    </x:row>
    <x:row r="331">
      <x:c r="A331" s="30" t="str">
        <x:v>2003</x:v>
      </x:c>
      <x:c r="B331" s="30" t="str">
        <x:v>Dark Skies</x:v>
      </x:c>
      <x:c r="C331" s="30" t="str">
        <x:v>Poland</x:v>
      </x:c>
      <x:c r="D331" s="30" t="str">
        <x:v>Serbia</x:v>
      </x:c>
      <x:c r="E331" s="30" t="str">
        <x:v>Project unlock</x:v>
      </x:c>
      <x:c r="F331" s="30" t="str">
        <x:v>Slavic Commonwealth</x:v>
      </x:c>
      <x:c r="G331" s="30" t="str">
        <x:v>No</x:v>
      </x:c>
      <x:c r="H331" s="30" t="str">
        <x:v>Ordinary claim</x:v>
      </x:c>
      <x:c r="I331" s="31" t="n">
        <x:f>IF(G331="Yes",'Controls &amp; Summary'!$B$5,'Controls &amp; Summary'!$B$4)</x:f>
        <x:v>6</x:v>
      </x:c>
      <x:c r="J331" s="31" t="n">
        <x:v>7.35</x:v>
      </x:c>
      <x:c r="K331" s="31" t="n">
        <x:v>6.65</x:v>
      </x:c>
      <x:c r="L331" s="31" t="n">
        <x:f>ABS(J331-K331)</x:f>
        <x:v>0.6999999999999993</x:v>
      </x:c>
      <x:c r="M331" s="31" t="n">
        <x:v>3.05</x:v>
      </x:c>
      <x:c r="N331" s="31" t="n">
        <x:v>3.43</x:v>
      </x:c>
      <x:c r="O331" s="31" t="n">
        <x:f>ABS(M331-N331)</x:f>
        <x:v>0.38000000000000034</x:v>
      </x:c>
      <x:c r="P331" s="31" t="n">
        <x:v>7.59</x:v>
      </x:c>
      <x:c r="Q331" s="31" t="n">
        <x:v>6.46</x:v>
      </x:c>
      <x:c r="R331" s="31" t="n">
        <x:f>ABS(P331-Q331)</x:f>
        <x:v>1.13</x:v>
      </x:c>
      <x:c r="S331" s="32" t="n">
        <x:v>7801.797037126732</x:v>
      </x:c>
      <x:c r="T331" s="32" t="n">
        <x:v>4347.589668859871</x:v>
      </x:c>
      <x:c r="U331" s="31" t="n">
        <x:f>MAX(S331/T331,T331/S331)</x:f>
        <x:v>1.7945108971548147</x:v>
      </x:c>
      <x:c r="V331" s="31" t="n">
        <x:f>L331*'Controls &amp; Summary'!$B$9+O331*'Controls &amp; Summary'!$B$10+R331*'Controls &amp; Summary'!$B$11+U331*'Controls &amp; Summary'!$B$12</x:f>
        <x:v>4.004510897154814</x:v>
      </x:c>
      <x:c r="W331" s="31" t="n">
        <x:v>5.79</x:v>
      </x:c>
      <x:c r="X331" s="31" t="n">
        <x:v>3.06</x:v>
      </x:c>
      <x:c r="Y331" s="31" t="n">
        <x:f>((10-MIN(10,MAX(0,X331)))/10)*'Controls &amp; Summary'!$B$15+((10-MIN(10,MAX(0,W331)))/10)*'Controls &amp; Summary'!$B$16</x:f>
        <x:v>1.115</x:v>
      </x:c>
      <x:c r="Z331" s="31" t="n">
        <x:f>V331*Y331</x:f>
        <x:v>4.465029650327618</x:v>
      </x:c>
      <x:c r="AA331" s="30" t="str">
        <x:f>IF(Z331&lt;=I331,"Peaceful","Hostile")</x:f>
        <x:v>Peaceful</x:v>
      </x:c>
      <x:c r="AB331" s="30" t="str">
        <x:f>IF(Z331&lt;='Controls &amp; Summary'!$B$6,"Eligible","Blocked")</x:f>
        <x:v>Eligible</x:v>
      </x:c>
      <x:c r="AC331" s="30" t="str">
        <x:v>2003_POL</x:v>
      </x:c>
      <x:c r="AD331" s="30" t="str">
        <x:v>2003_SER</x:v>
      </x:c>
      <x:c r="AE331" s="30" t="str">
        <x:v>2003_Belgrade</x:v>
      </x:c>
      <x:c r="AF331" s="30" t="str">
        <x:v>Explicit capitalClaim</x:v>
      </x:c>
      <x:c r="AG331" s="30" t="str">
        <x:v>Claim2003_POL2003_Belgrade</x:v>
      </x:c>
      <x:c r="AH331" s="30" t="str">
        <x:v>Project_SlavicCommonwealth</x:v>
      </x:c>
    </x:row>
    <x:row r="332">
      <x:c r="A332" s="30" t="str">
        <x:v>2003</x:v>
      </x:c>
      <x:c r="B332" s="30" t="str">
        <x:v>Dark Skies</x:v>
      </x:c>
      <x:c r="C332" s="30" t="str">
        <x:v>Poland</x:v>
      </x:c>
      <x:c r="D332" s="30" t="str">
        <x:v>Slovakia</x:v>
      </x:c>
      <x:c r="E332" s="30" t="str">
        <x:v>Project unlock</x:v>
      </x:c>
      <x:c r="F332" s="30" t="str">
        <x:v>Slavic Commonwealth</x:v>
      </x:c>
      <x:c r="G332" s="30" t="str">
        <x:v>No</x:v>
      </x:c>
      <x:c r="H332" s="30" t="str">
        <x:v>Ordinary claim</x:v>
      </x:c>
      <x:c r="I332" s="31" t="n">
        <x:f>IF(G332="Yes",'Controls &amp; Summary'!$B$5,'Controls &amp; Summary'!$B$4)</x:f>
        <x:v>6</x:v>
      </x:c>
      <x:c r="J332" s="31" t="n">
        <x:v>7.35</x:v>
      </x:c>
      <x:c r="K332" s="31" t="n">
        <x:v>7.57</x:v>
      </x:c>
      <x:c r="L332" s="31" t="n">
        <x:f>ABS(J332-K332)</x:f>
        <x:v>0.22000000000000064</x:v>
      </x:c>
      <x:c r="M332" s="31" t="n">
        <x:v>3.05</x:v>
      </x:c>
      <x:c r="N332" s="31" t="n">
        <x:v>2.62</x:v>
      </x:c>
      <x:c r="O332" s="31" t="n">
        <x:f>ABS(M332-N332)</x:f>
        <x:v>0.4299999999999997</x:v>
      </x:c>
      <x:c r="P332" s="31" t="n">
        <x:v>7.59</x:v>
      </x:c>
      <x:c r="Q332" s="31" t="n">
        <x:v>7.3</x:v>
      </x:c>
      <x:c r="R332" s="31" t="n">
        <x:f>ABS(P332-Q332)</x:f>
        <x:v>0.29000000000000004</x:v>
      </x:c>
      <x:c r="S332" s="32" t="n">
        <x:v>7801.797037126732</x:v>
      </x:c>
      <x:c r="T332" s="32" t="n">
        <x:v>8050.541042402472</x:v>
      </x:c>
      <x:c r="U332" s="31" t="n">
        <x:f>MAX(S332/T332,T332/S332)</x:f>
        <x:v>1.031882911602549</x:v>
      </x:c>
      <x:c r="V332" s="31" t="n">
        <x:f>L332*'Controls &amp; Summary'!$B$9+O332*'Controls &amp; Summary'!$B$10+R332*'Controls &amp; Summary'!$B$11+U332*'Controls &amp; Summary'!$B$12</x:f>
        <x:v>1.9718829116025494</x:v>
      </x:c>
      <x:c r="W332" s="31" t="n">
        <x:v>5.79</x:v>
      </x:c>
      <x:c r="X332" s="31" t="n">
        <x:v>0.69</x:v>
      </x:c>
      <x:c r="Y332" s="31" t="n">
        <x:f>((10-MIN(10,MAX(0,X332)))/10)*'Controls &amp; Summary'!$B$15+((10-MIN(10,MAX(0,W332)))/10)*'Controls &amp; Summary'!$B$16</x:f>
        <x:v>1.352</x:v>
      </x:c>
      <x:c r="Z332" s="31" t="n">
        <x:f>V332*Y332</x:f>
        <x:v>2.665985696486647</x:v>
      </x:c>
      <x:c r="AA332" s="30" t="str">
        <x:f>IF(Z332&lt;=I332,"Peaceful","Hostile")</x:f>
        <x:v>Peaceful</x:v>
      </x:c>
      <x:c r="AB332" s="30" t="str">
        <x:f>IF(Z332&lt;='Controls &amp; Summary'!$B$6,"Eligible","Blocked")</x:f>
        <x:v>Eligible</x:v>
      </x:c>
      <x:c r="AC332" s="30" t="str">
        <x:v>2003_POL</x:v>
      </x:c>
      <x:c r="AD332" s="30" t="str">
        <x:v>2003_SLO</x:v>
      </x:c>
      <x:c r="AE332" s="30" t="str">
        <x:v>2003_Slovakia</x:v>
      </x:c>
      <x:c r="AF332" s="30" t="str">
        <x:v>Explicit capitalClaim</x:v>
      </x:c>
      <x:c r="AG332" s="30" t="str">
        <x:v>Claim2003_POL2003_Slovakia</x:v>
      </x:c>
      <x:c r="AH332" s="30" t="str">
        <x:v>Project_SlavicCommonwealth</x:v>
      </x:c>
    </x:row>
    <x:row r="333">
      <x:c r="A333" s="30" t="str">
        <x:v>2003</x:v>
      </x:c>
      <x:c r="B333" s="30" t="str">
        <x:v>Dark Skies</x:v>
      </x:c>
      <x:c r="C333" s="30" t="str">
        <x:v>Poland</x:v>
      </x:c>
      <x:c r="D333" s="30" t="str">
        <x:v>Slovenia</x:v>
      </x:c>
      <x:c r="E333" s="30" t="str">
        <x:v>Project unlock</x:v>
      </x:c>
      <x:c r="F333" s="30" t="str">
        <x:v>Slavic Commonwealth</x:v>
      </x:c>
      <x:c r="G333" s="30" t="str">
        <x:v>No</x:v>
      </x:c>
      <x:c r="H333" s="30" t="str">
        <x:v>Ordinary claim</x:v>
      </x:c>
      <x:c r="I333" s="31" t="n">
        <x:f>IF(G333="Yes",'Controls &amp; Summary'!$B$5,'Controls &amp; Summary'!$B$4)</x:f>
        <x:v>6</x:v>
      </x:c>
      <x:c r="J333" s="31" t="n">
        <x:v>7.35</x:v>
      </x:c>
      <x:c r="K333" s="31" t="n">
        <x:v>8.09</x:v>
      </x:c>
      <x:c r="L333" s="31" t="n">
        <x:f>ABS(J333-K333)</x:f>
        <x:v>0.7400000000000002</x:v>
      </x:c>
      <x:c r="M333" s="31" t="n">
        <x:v>3.05</x:v>
      </x:c>
      <x:c r="N333" s="31" t="n">
        <x:v>2.37</x:v>
      </x:c>
      <x:c r="O333" s="31" t="n">
        <x:f>ABS(M333-N333)</x:f>
        <x:v>0.6799999999999997</x:v>
      </x:c>
      <x:c r="P333" s="31" t="n">
        <x:v>7.59</x:v>
      </x:c>
      <x:c r="Q333" s="31" t="n">
        <x:v>8.06</x:v>
      </x:c>
      <x:c r="R333" s="31" t="n">
        <x:f>ABS(P333-Q333)</x:f>
        <x:v>0.47000000000000064</x:v>
      </x:c>
      <x:c r="S333" s="32" t="n">
        <x:v>7801.797037126732</x:v>
      </x:c>
      <x:c r="T333" s="32" t="n">
        <x:v>14754.809308955126</x:v>
      </x:c>
      <x:c r="U333" s="31" t="n">
        <x:f>MAX(S333/T333,T333/S333)</x:f>
        <x:v>1.8912065052116593</x:v>
      </x:c>
      <x:c r="V333" s="31" t="n">
        <x:f>L333*'Controls &amp; Summary'!$B$9+O333*'Controls &amp; Summary'!$B$10+R333*'Controls &amp; Summary'!$B$11+U333*'Controls &amp; Summary'!$B$12</x:f>
        <x:v>3.78120650521166</x:v>
      </x:c>
      <x:c r="W333" s="31" t="n">
        <x:v>5.79</x:v>
      </x:c>
      <x:c r="X333" s="31" t="n">
        <x:v>0.75</x:v>
      </x:c>
      <x:c r="Y333" s="31" t="n">
        <x:f>((10-MIN(10,MAX(0,X333)))/10)*'Controls &amp; Summary'!$B$15+((10-MIN(10,MAX(0,W333)))/10)*'Controls &amp; Summary'!$B$16</x:f>
        <x:v>1.346</x:v>
      </x:c>
      <x:c r="Z333" s="31" t="n">
        <x:f>V333*Y333</x:f>
        <x:v>5.0895039560148945</x:v>
      </x:c>
      <x:c r="AA333" s="30" t="str">
        <x:f>IF(Z333&lt;=I333,"Peaceful","Hostile")</x:f>
        <x:v>Peaceful</x:v>
      </x:c>
      <x:c r="AB333" s="30" t="str">
        <x:f>IF(Z333&lt;='Controls &amp; Summary'!$B$6,"Eligible","Blocked")</x:f>
        <x:v>Eligible</x:v>
      </x:c>
      <x:c r="AC333" s="30" t="str">
        <x:v>2003_POL</x:v>
      </x:c>
      <x:c r="AD333" s="30" t="str">
        <x:v>2003_SLV</x:v>
      </x:c>
      <x:c r="AE333" s="30" t="str">
        <x:v>2003_Slovenia</x:v>
      </x:c>
      <x:c r="AF333" s="30" t="str">
        <x:v>Explicit capitalClaim</x:v>
      </x:c>
      <x:c r="AG333" s="30" t="str">
        <x:v>Claim2003_POL2003_Slovenia</x:v>
      </x:c>
      <x:c r="AH333" s="30" t="str">
        <x:v>Project_SlavicCommonwealth</x:v>
      </x:c>
    </x:row>
    <x:row r="334">
      <x:c r="A334" s="30" t="str">
        <x:v>2003</x:v>
      </x:c>
      <x:c r="B334" s="30" t="str">
        <x:v>Dark Skies</x:v>
      </x:c>
      <x:c r="C334" s="30" t="str">
        <x:v>Poland</x:v>
      </x:c>
      <x:c r="D334" s="30" t="str">
        <x:v>Ukraine</x:v>
      </x:c>
      <x:c r="E334" s="30" t="str">
        <x:v>Project unlock</x:v>
      </x:c>
      <x:c r="F334" s="30" t="str">
        <x:v>Slavic Commonwealth</x:v>
      </x:c>
      <x:c r="G334" s="30" t="str">
        <x:v>No</x:v>
      </x:c>
      <x:c r="H334" s="30" t="str">
        <x:v>Ordinary claim</x:v>
      </x:c>
      <x:c r="I334" s="31" t="n">
        <x:f>IF(G334="Yes",'Controls &amp; Summary'!$B$5,'Controls &amp; Summary'!$B$4)</x:f>
        <x:v>6</x:v>
      </x:c>
      <x:c r="J334" s="31" t="n">
        <x:v>7.35</x:v>
      </x:c>
      <x:c r="K334" s="31" t="n">
        <x:v>6.04</x:v>
      </x:c>
      <x:c r="L334" s="31" t="n">
        <x:f>ABS(J334-K334)</x:f>
        <x:v>1.3099999999999996</x:v>
      </x:c>
      <x:c r="M334" s="31" t="n">
        <x:v>3.05</x:v>
      </x:c>
      <x:c r="N334" s="31" t="n">
        <x:v>2.94</x:v>
      </x:c>
      <x:c r="O334" s="31" t="n">
        <x:f>ABS(M334-N334)</x:f>
        <x:v>0.10999999999999988</x:v>
      </x:c>
      <x:c r="P334" s="31" t="n">
        <x:v>7.59</x:v>
      </x:c>
      <x:c r="Q334" s="31" t="n">
        <x:v>6.74</x:v>
      </x:c>
      <x:c r="R334" s="31" t="n">
        <x:f>ABS(P334-Q334)</x:f>
        <x:v>0.8499999999999996</x:v>
      </x:c>
      <x:c r="S334" s="32" t="n">
        <x:v>7801.797037126732</x:v>
      </x:c>
      <x:c r="T334" s="32" t="n">
        <x:v>3894.360833317625</x:v>
      </x:c>
      <x:c r="U334" s="31" t="n">
        <x:f>MAX(S334/T334,T334/S334)</x:f>
        <x:v>2.003357513864565</x:v>
      </x:c>
      <x:c r="V334" s="31" t="n">
        <x:f>L334*'Controls &amp; Summary'!$B$9+O334*'Controls &amp; Summary'!$B$10+R334*'Controls &amp; Summary'!$B$11+U334*'Controls &amp; Summary'!$B$12</x:f>
        <x:v>4.273357513864564</x:v>
      </x:c>
      <x:c r="W334" s="31" t="n">
        <x:v>5.79</x:v>
      </x:c>
      <x:c r="X334" s="31" t="n">
        <x:v>1.92</x:v>
      </x:c>
      <x:c r="Y334" s="31" t="n">
        <x:f>((10-MIN(10,MAX(0,X334)))/10)*'Controls &amp; Summary'!$B$15+((10-MIN(10,MAX(0,W334)))/10)*'Controls &amp; Summary'!$B$16</x:f>
        <x:v>1.229</x:v>
      </x:c>
      <x:c r="Z334" s="31" t="n">
        <x:f>V334*Y334</x:f>
        <x:v>5.251956384539549</x:v>
      </x:c>
      <x:c r="AA334" s="30" t="str">
        <x:f>IF(Z334&lt;=I334,"Peaceful","Hostile")</x:f>
        <x:v>Peaceful</x:v>
      </x:c>
      <x:c r="AB334" s="30" t="str">
        <x:f>IF(Z334&lt;='Controls &amp; Summary'!$B$6,"Eligible","Blocked")</x:f>
        <x:v>Eligible</x:v>
      </x:c>
      <x:c r="AC334" s="30" t="str">
        <x:v>2003_POL</x:v>
      </x:c>
      <x:c r="AD334" s="30" t="str">
        <x:v>2003_UKR</x:v>
      </x:c>
      <x:c r="AE334" s="30" t="str">
        <x:v>2003_Kiev</x:v>
      </x:c>
      <x:c r="AF334" s="30" t="str">
        <x:v>Explicit capitalClaim</x:v>
      </x:c>
      <x:c r="AG334" s="30" t="str">
        <x:v>Claim2003_POL2003_Kiev</x:v>
      </x:c>
      <x:c r="AH334" s="30" t="str">
        <x:v>Project_SlavicCommonwealth</x:v>
      </x:c>
    </x:row>
    <x:row r="335">
      <x:c r="A335" s="30" t="str">
        <x:v>2003</x:v>
      </x:c>
      <x:c r="B335" s="30" t="str">
        <x:v>Dark Skies</x:v>
      </x:c>
      <x:c r="C335" s="30" t="str">
        <x:v>Romania</x:v>
      </x:c>
      <x:c r="D335" s="30" t="str">
        <x:v>Moldova</x:v>
      </x:c>
      <x:c r="E335" s="30" t="str">
        <x:v>Starting claim</x:v>
      </x:c>
      <x:c r="F335" s="30" t="str"/>
      <x:c r="G335" s="30" t="str">
        <x:v>No</x:v>
      </x:c>
      <x:c r="H335" s="30" t="str">
        <x:v>Ordinary claim</x:v>
      </x:c>
      <x:c r="I335" s="31" t="n">
        <x:f>IF(G335="Yes",'Controls &amp; Summary'!$B$5,'Controls &amp; Summary'!$B$4)</x:f>
        <x:v>6</x:v>
      </x:c>
      <x:c r="J335" s="31" t="n">
        <x:v>6.77</x:v>
      </x:c>
      <x:c r="K335" s="31" t="n">
        <x:v>6.75</x:v>
      </x:c>
      <x:c r="L335" s="31" t="n">
        <x:f>ABS(J335-K335)</x:f>
        <x:v>0.019999999999999574</x:v>
      </x:c>
      <x:c r="M335" s="31" t="n">
        <x:v>3.1</x:v>
      </x:c>
      <x:c r="N335" s="31" t="n">
        <x:v>3.77</x:v>
      </x:c>
      <x:c r="O335" s="31" t="n">
        <x:f>ABS(M335-N335)</x:f>
        <x:v>0.6699999999999999</x:v>
      </x:c>
      <x:c r="P335" s="31" t="n">
        <x:v>6.78</x:v>
      </x:c>
      <x:c r="Q335" s="31" t="n">
        <x:v>6.27</x:v>
      </x:c>
      <x:c r="R335" s="31" t="n">
        <x:f>ABS(P335-Q335)</x:f>
        <x:v>0.5100000000000007</x:v>
      </x:c>
      <x:c r="S335" s="32" t="n">
        <x:v>6486.968196003881</x:v>
      </x:c>
      <x:c r="T335" s="32" t="n">
        <x:v>1929.9841034580347</x:v>
      </x:c>
      <x:c r="U335" s="31" t="n">
        <x:f>MAX(S335/T335,T335/S335)</x:f>
        <x:v>3.3611511019085096</x:v>
      </x:c>
      <x:c r="V335" s="31" t="n">
        <x:f>L335*'Controls &amp; Summary'!$B$9+O335*'Controls &amp; Summary'!$B$10+R335*'Controls &amp; Summary'!$B$11+U335*'Controls &amp; Summary'!$B$12</x:f>
        <x:v>4.56115110190851</x:v>
      </x:c>
      <x:c r="W335" s="31" t="n">
        <x:v>3.99</x:v>
      </x:c>
      <x:c r="X335" s="31" t="n">
        <x:v>1.12</x:v>
      </x:c>
      <x:c r="Y335" s="31" t="n">
        <x:f>((10-MIN(10,MAX(0,X335)))/10)*'Controls &amp; Summary'!$B$15+((10-MIN(10,MAX(0,W335)))/10)*'Controls &amp; Summary'!$B$16</x:f>
        <x:v>1.4889999999999999</x:v>
      </x:c>
      <x:c r="Z335" s="31" t="n">
        <x:f>V335*Y335</x:f>
        <x:v>6.791553990741771</x:v>
      </x:c>
      <x:c r="AA335" s="30" t="str">
        <x:f>IF(Z335&lt;=I335,"Peaceful","Hostile")</x:f>
        <x:v>Hostile</x:v>
      </x:c>
      <x:c r="AB335" s="30" t="str">
        <x:f>IF(Z335&lt;='Controls &amp; Summary'!$B$6,"Eligible","Blocked")</x:f>
        <x:v>Eligible</x:v>
      </x:c>
      <x:c r="AC335" s="30" t="str">
        <x:v>2003_ROM</x:v>
      </x:c>
      <x:c r="AD335" s="30" t="str">
        <x:v>2003_MOL</x:v>
      </x:c>
      <x:c r="AE335" s="30" t="str">
        <x:v>2003_Moldova</x:v>
      </x:c>
      <x:c r="AF335" s="30" t="str">
        <x:v>Explicit capitalClaim</x:v>
      </x:c>
      <x:c r="AG335" s="30" t="str">
        <x:v>Claim2003_ROM2003_Moldova</x:v>
      </x:c>
      <x:c r="AH335" s="30" t="str"/>
    </x:row>
    <x:row r="336">
      <x:c r="A336" s="30" t="str">
        <x:v>2003</x:v>
      </x:c>
      <x:c r="B336" s="30" t="str">
        <x:v>Dark Skies</x:v>
      </x:c>
      <x:c r="C336" s="30" t="str">
        <x:v>Russia</x:v>
      </x:c>
      <x:c r="D336" s="30" t="str">
        <x:v>Albania</x:v>
      </x:c>
      <x:c r="E336" s="30" t="str">
        <x:v>Project unlock</x:v>
      </x:c>
      <x:c r="F336" s="30" t="str">
        <x:v>Forward Russia</x:v>
      </x:c>
      <x:c r="G336" s="30" t="str">
        <x:v>Yes</x:v>
      </x:c>
      <x:c r="H336" s="30" t="str">
        <x:v>Approved expansion-project family</x:v>
      </x:c>
      <x:c r="I336" s="31" t="n">
        <x:f>IF(G336="Yes",'Controls &amp; Summary'!$B$5,'Controls &amp; Summary'!$B$4)</x:f>
        <x:v>3</x:v>
      </x:c>
      <x:c r="J336" s="31" t="n">
        <x:v>5.16</x:v>
      </x:c>
      <x:c r="K336" s="31" t="n">
        <x:v>5.53</x:v>
      </x:c>
      <x:c r="L336" s="31" t="n">
        <x:f>ABS(J336-K336)</x:f>
        <x:v>0.3700000000000001</x:v>
      </x:c>
      <x:c r="M336" s="31" t="n">
        <x:v>3.77</x:v>
      </x:c>
      <x:c r="N336" s="31" t="n">
        <x:v>3.67</x:v>
      </x:c>
      <x:c r="O336" s="31" t="n">
        <x:f>ABS(M336-N336)</x:f>
        <x:v>0.10000000000000009</x:v>
      </x:c>
      <x:c r="P336" s="31" t="n">
        <x:v>7.04</x:v>
      </x:c>
      <x:c r="Q336" s="31" t="n">
        <x:v>6.3</x:v>
      </x:c>
      <x:c r="R336" s="31" t="n">
        <x:f>ABS(P336-Q336)</x:f>
        <x:v>0.7400000000000002</x:v>
      </x:c>
      <x:c r="S336" s="32" t="n">
        <x:v>7812.9539838514465</x:v>
      </x:c>
      <x:c r="T336" s="32" t="n">
        <x:v>3140.5135650437064</x:v>
      </x:c>
      <x:c r="U336" s="31" t="n">
        <x:f>MAX(S336/T336,T336/S336)</x:f>
        <x:v>2.487795012515004</x:v>
      </x:c>
      <x:c r="V336" s="31" t="n">
        <x:f>L336*'Controls &amp; Summary'!$B$9+O336*'Controls &amp; Summary'!$B$10+R336*'Controls &amp; Summary'!$B$11+U336*'Controls &amp; Summary'!$B$12</x:f>
        <x:v>3.6977950125150043</x:v>
      </x:c>
      <x:c r="W336" s="31" t="n">
        <x:v>0.03</x:v>
      </x:c>
      <x:c r="X336" s="31" t="n">
        <x:v>2.85</x:v>
      </x:c>
      <x:c r="Y336" s="31" t="n">
        <x:f>((10-MIN(10,MAX(0,X336)))/10)*'Controls &amp; Summary'!$B$15+((10-MIN(10,MAX(0,W336)))/10)*'Controls &amp; Summary'!$B$16</x:f>
        <x:v>1.7120000000000002</x:v>
      </x:c>
      <x:c r="Z336" s="31" t="n">
        <x:f>V336*Y336</x:f>
        <x:v>6.330625061425688</x:v>
      </x:c>
      <x:c r="AA336" s="30" t="str">
        <x:f>IF(Z336&lt;=I336,"Peaceful","Hostile")</x:f>
        <x:v>Hostile</x:v>
      </x:c>
      <x:c r="AB336" s="30" t="str">
        <x:f>IF(Z336&lt;='Controls &amp; Summary'!$B$6,"Eligible","Blocked")</x:f>
        <x:v>Eligible</x:v>
      </x:c>
      <x:c r="AC336" s="30" t="str">
        <x:v>2003_RUS</x:v>
      </x:c>
      <x:c r="AD336" s="30" t="str">
        <x:v>2003_SBK</x:v>
      </x:c>
      <x:c r="AE336" s="30" t="str">
        <x:v>2003_Tirana</x:v>
      </x:c>
      <x:c r="AF336" s="30" t="str">
        <x:v>Explicit capitalClaim</x:v>
      </x:c>
      <x:c r="AG336" s="30" t="str">
        <x:v>Claim2003_RUS2003_Tirana</x:v>
      </x:c>
      <x:c r="AH336" s="30" t="str">
        <x:v>Project_ForwardRussia</x:v>
      </x:c>
    </x:row>
    <x:row r="337">
      <x:c r="A337" s="30" t="str">
        <x:v>2003</x:v>
      </x:c>
      <x:c r="B337" s="30" t="str">
        <x:v>Dark Skies</x:v>
      </x:c>
      <x:c r="C337" s="30" t="str">
        <x:v>Russia</x:v>
      </x:c>
      <x:c r="D337" s="30" t="str">
        <x:v>Armenia</x:v>
      </x:c>
      <x:c r="E337" s="30" t="str">
        <x:v>Starting claim</x:v>
      </x:c>
      <x:c r="F337" s="30" t="str"/>
      <x:c r="G337" s="30" t="str">
        <x:v>No</x:v>
      </x:c>
      <x:c r="H337" s="30" t="str">
        <x:v>Ordinary claim</x:v>
      </x:c>
      <x:c r="I337" s="31" t="n">
        <x:f>IF(G337="Yes",'Controls &amp; Summary'!$B$5,'Controls &amp; Summary'!$B$4)</x:f>
        <x:v>6</x:v>
      </x:c>
      <x:c r="J337" s="31" t="n">
        <x:v>5.16</x:v>
      </x:c>
      <x:c r="K337" s="31" t="n">
        <x:v>4.16</x:v>
      </x:c>
      <x:c r="L337" s="31" t="n">
        <x:f>ABS(J337-K337)</x:f>
        <x:v>1</x:v>
      </x:c>
      <x:c r="M337" s="31" t="n">
        <x:v>3.77</x:v>
      </x:c>
      <x:c r="N337" s="31" t="n">
        <x:v>3.86</x:v>
      </x:c>
      <x:c r="O337" s="31" t="n">
        <x:f>ABS(M337-N337)</x:f>
        <x:v>0.08999999999999986</x:v>
      </x:c>
      <x:c r="P337" s="31" t="n">
        <x:v>7.04</x:v>
      </x:c>
      <x:c r="Q337" s="31" t="n">
        <x:v>6.16</x:v>
      </x:c>
      <x:c r="R337" s="31" t="n">
        <x:f>ABS(P337-Q337)</x:f>
        <x:v>0.8799999999999999</x:v>
      </x:c>
      <x:c r="S337" s="32" t="n">
        <x:v>7812.9539838514465</x:v>
      </x:c>
      <x:c r="T337" s="32" t="n">
        <x:v>2616.3082970929604</x:v>
      </x:c>
      <x:c r="U337" s="31" t="n">
        <x:f>MAX(S337/T337,T337/S337)</x:f>
        <x:v>2.9862512734193434</x:v>
      </x:c>
      <x:c r="V337" s="31" t="n">
        <x:f>L337*'Controls &amp; Summary'!$B$9+O337*'Controls &amp; Summary'!$B$10+R337*'Controls &amp; Summary'!$B$11+U337*'Controls &amp; Summary'!$B$12</x:f>
        <x:v>4.956251273419343</x:v>
      </x:c>
      <x:c r="W337" s="31" t="n">
        <x:v>0.03</x:v>
      </x:c>
      <x:c r="X337" s="31" t="n">
        <x:v>2.61</x:v>
      </x:c>
      <x:c r="Y337" s="31" t="n">
        <x:f>((10-MIN(10,MAX(0,X337)))/10)*'Controls &amp; Summary'!$B$15+((10-MIN(10,MAX(0,W337)))/10)*'Controls &amp; Summary'!$B$16</x:f>
        <x:v>1.7360000000000002</x:v>
      </x:c>
      <x:c r="Z337" s="31" t="n">
        <x:f>V337*Y337</x:f>
        <x:v>8.604052210655981</x:v>
      </x:c>
      <x:c r="AA337" s="30" t="str">
        <x:f>IF(Z337&lt;=I337,"Peaceful","Hostile")</x:f>
        <x:v>Hostile</x:v>
      </x:c>
      <x:c r="AB337" s="30" t="str">
        <x:f>IF(Z337&lt;='Controls &amp; Summary'!$B$6,"Eligible","Blocked")</x:f>
        <x:v>Eligible</x:v>
      </x:c>
      <x:c r="AC337" s="30" t="str">
        <x:v>2003_RUS</x:v>
      </x:c>
      <x:c r="AD337" s="30" t="str">
        <x:v>2003_ARM</x:v>
      </x:c>
      <x:c r="AE337" s="30" t="str">
        <x:v>2003_Armenia</x:v>
      </x:c>
      <x:c r="AF337" s="30" t="str">
        <x:v>Explicit capitalClaim</x:v>
      </x:c>
      <x:c r="AG337" s="30" t="str">
        <x:v>Claim2003_RUS2003_Armenia</x:v>
      </x:c>
      <x:c r="AH337" s="30" t="str"/>
    </x:row>
    <x:row r="338">
      <x:c r="A338" s="30" t="str">
        <x:v>2003</x:v>
      </x:c>
      <x:c r="B338" s="30" t="str">
        <x:v>Dark Skies</x:v>
      </x:c>
      <x:c r="C338" s="30" t="str">
        <x:v>Russia</x:v>
      </x:c>
      <x:c r="D338" s="30" t="str">
        <x:v>Austria</x:v>
      </x:c>
      <x:c r="E338" s="30" t="str">
        <x:v>Project unlock</x:v>
      </x:c>
      <x:c r="F338" s="30" t="str">
        <x:v>Forward Russia</x:v>
      </x:c>
      <x:c r="G338" s="30" t="str">
        <x:v>Yes</x:v>
      </x:c>
      <x:c r="H338" s="30" t="str">
        <x:v>Template hostileClaim</x:v>
      </x:c>
      <x:c r="I338" s="31" t="n">
        <x:f>IF(G338="Yes",'Controls &amp; Summary'!$B$5,'Controls &amp; Summary'!$B$4)</x:f>
        <x:v>3</x:v>
      </x:c>
      <x:c r="J338" s="31" t="n">
        <x:v>5.16</x:v>
      </x:c>
      <x:c r="K338" s="31" t="n">
        <x:v>8.68</x:v>
      </x:c>
      <x:c r="L338" s="31" t="n">
        <x:f>ABS(J338-K338)</x:f>
        <x:v>3.5199999999999996</x:v>
      </x:c>
      <x:c r="M338" s="31" t="n">
        <x:v>3.77</x:v>
      </x:c>
      <x:c r="N338" s="31" t="n">
        <x:v>2.65</x:v>
      </x:c>
      <x:c r="O338" s="31" t="n">
        <x:f>ABS(M338-N338)</x:f>
        <x:v>1.12</x:v>
      </x:c>
      <x:c r="P338" s="31" t="n">
        <x:v>7.04</x:v>
      </x:c>
      <x:c r="Q338" s="31" t="n">
        <x:v>8.32</x:v>
      </x:c>
      <x:c r="R338" s="31" t="n">
        <x:f>ABS(P338-Q338)</x:f>
        <x:v>1.2800000000000002</x:v>
      </x:c>
      <x:c r="S338" s="32" t="n">
        <x:v>7812.9539838514465</x:v>
      </x:c>
      <x:c r="T338" s="32" t="n">
        <x:v>32372.22800209203</x:v>
      </x:c>
      <x:c r="U338" s="31" t="n">
        <x:f>MAX(S338/T338,T338/S338)</x:f>
        <x:v>4.143404411315108</x:v>
      </x:c>
      <x:c r="V338" s="31" t="n">
        <x:f>L338*'Controls &amp; Summary'!$B$9+O338*'Controls &amp; Summary'!$B$10+R338*'Controls &amp; Summary'!$B$11+U338*'Controls &amp; Summary'!$B$12</x:f>
        <x:v>10.063404411315108</x:v>
      </x:c>
      <x:c r="W338" s="31" t="n">
        <x:v>0.03</x:v>
      </x:c>
      <x:c r="X338" s="31" t="n">
        <x:v>0.67</x:v>
      </x:c>
      <x:c r="Y338" s="31" t="n">
        <x:f>((10-MIN(10,MAX(0,X338)))/10)*'Controls &amp; Summary'!$B$15+((10-MIN(10,MAX(0,W338)))/10)*'Controls &amp; Summary'!$B$16</x:f>
        <x:v>1.9300000000000002</x:v>
      </x:c>
      <x:c r="Z338" s="31" t="n">
        <x:f>V338*Y338</x:f>
        <x:v>19.42237051383816</x:v>
      </x:c>
      <x:c r="AA338" s="30" t="str">
        <x:f>IF(Z338&lt;=I338,"Peaceful","Hostile")</x:f>
        <x:v>Hostile</x:v>
      </x:c>
      <x:c r="AB338" s="30" t="str">
        <x:f>IF(Z338&lt;='Controls &amp; Summary'!$B$6,"Eligible","Blocked")</x:f>
        <x:v>Blocked</x:v>
      </x:c>
      <x:c r="AC338" s="30" t="str">
        <x:v>2003_RUS</x:v>
      </x:c>
      <x:c r="AD338" s="30" t="str">
        <x:v>2003_ALP</x:v>
      </x:c>
      <x:c r="AE338" s="30" t="str">
        <x:v>2003_Vienna</x:v>
      </x:c>
      <x:c r="AF338" s="30" t="str">
        <x:v>Explicit capitalClaim</x:v>
      </x:c>
      <x:c r="AG338" s="30" t="str">
        <x:v>Claim2003_RUS2003_Vienna</x:v>
      </x:c>
      <x:c r="AH338" s="30" t="str">
        <x:v>Project_ForwardRussia</x:v>
      </x:c>
    </x:row>
    <x:row r="339">
      <x:c r="A339" s="30" t="str">
        <x:v>2003</x:v>
      </x:c>
      <x:c r="B339" s="30" t="str">
        <x:v>Dark Skies</x:v>
      </x:c>
      <x:c r="C339" s="30" t="str">
        <x:v>Russia</x:v>
      </x:c>
      <x:c r="D339" s="30" t="str">
        <x:v>Azerbaijan</x:v>
      </x:c>
      <x:c r="E339" s="30" t="str">
        <x:v>Starting claim</x:v>
      </x:c>
      <x:c r="F339" s="30" t="str"/>
      <x:c r="G339" s="30" t="str">
        <x:v>No</x:v>
      </x:c>
      <x:c r="H339" s="30" t="str">
        <x:v>Ordinary claim</x:v>
      </x:c>
      <x:c r="I339" s="31" t="n">
        <x:f>IF(G339="Yes",'Controls &amp; Summary'!$B$5,'Controls &amp; Summary'!$B$4)</x:f>
        <x:v>6</x:v>
      </x:c>
      <x:c r="J339" s="31" t="n">
        <x:v>5.16</x:v>
      </x:c>
      <x:c r="K339" s="31" t="n">
        <x:v>3.34</x:v>
      </x:c>
      <x:c r="L339" s="31" t="n">
        <x:f>ABS(J339-K339)</x:f>
        <x:v>1.8200000000000003</x:v>
      </x:c>
      <x:c r="M339" s="31" t="n">
        <x:v>3.77</x:v>
      </x:c>
      <x:c r="N339" s="31" t="n">
        <x:v>2.89</x:v>
      </x:c>
      <x:c r="O339" s="31" t="n">
        <x:f>ABS(M339-N339)</x:f>
        <x:v>0.8799999999999999</x:v>
      </x:c>
      <x:c r="P339" s="31" t="n">
        <x:v>7.04</x:v>
      </x:c>
      <x:c r="Q339" s="31" t="n">
        <x:v>5.98</x:v>
      </x:c>
      <x:c r="R339" s="31" t="n">
        <x:f>ABS(P339-Q339)</x:f>
        <x:v>1.0599999999999996</x:v>
      </x:c>
      <x:c r="S339" s="32" t="n">
        <x:v>7812.9539838514465</x:v>
      </x:c>
      <x:c r="T339" s="32" t="n">
        <x:v>2347.665852868807</x:v>
      </x:c>
      <x:c r="U339" s="31" t="n">
        <x:f>MAX(S339/T339,T339/S339)</x:f>
        <x:v>3.327966786373858</x:v>
      </x:c>
      <x:c r="V339" s="31" t="n">
        <x:f>L339*'Controls &amp; Summary'!$B$9+O339*'Controls &amp; Summary'!$B$10+R339*'Controls &amp; Summary'!$B$11+U339*'Controls &amp; Summary'!$B$12</x:f>
        <x:v>7.087966786373858</x:v>
      </x:c>
      <x:c r="W339" s="31" t="n">
        <x:v>0.03</x:v>
      </x:c>
      <x:c r="X339" s="31" t="n">
        <x:v>2.02</x:v>
      </x:c>
      <x:c r="Y339" s="31" t="n">
        <x:f>((10-MIN(10,MAX(0,X339)))/10)*'Controls &amp; Summary'!$B$15+((10-MIN(10,MAX(0,W339)))/10)*'Controls &amp; Summary'!$B$16</x:f>
        <x:v>1.7950000000000002</x:v>
      </x:c>
      <x:c r="Z339" s="31" t="n">
        <x:f>V339*Y339</x:f>
        <x:v>12.722900381541077</x:v>
      </x:c>
      <x:c r="AA339" s="30" t="str">
        <x:f>IF(Z339&lt;=I339,"Peaceful","Hostile")</x:f>
        <x:v>Hostile</x:v>
      </x:c>
      <x:c r="AB339" s="30" t="str">
        <x:f>IF(Z339&lt;='Controls &amp; Summary'!$B$6,"Eligible","Blocked")</x:f>
        <x:v>Blocked</x:v>
      </x:c>
      <x:c r="AC339" s="30" t="str">
        <x:v>2003_RUS</x:v>
      </x:c>
      <x:c r="AD339" s="30" t="str">
        <x:v>2003_AZE</x:v>
      </x:c>
      <x:c r="AE339" s="30" t="str">
        <x:v>2003_Azerbaijan</x:v>
      </x:c>
      <x:c r="AF339" s="30" t="str">
        <x:v>Explicit capitalClaim</x:v>
      </x:c>
      <x:c r="AG339" s="30" t="str">
        <x:v>Claim2003_RUS2003_Azerbaijan</x:v>
      </x:c>
      <x:c r="AH339" s="30" t="str"/>
    </x:row>
    <x:row r="340">
      <x:c r="A340" s="30" t="str">
        <x:v>2003</x:v>
      </x:c>
      <x:c r="B340" s="30" t="str">
        <x:v>Dark Skies</x:v>
      </x:c>
      <x:c r="C340" s="30" t="str">
        <x:v>Russia</x:v>
      </x:c>
      <x:c r="D340" s="30" t="str">
        <x:v>Belarus</x:v>
      </x:c>
      <x:c r="E340" s="30" t="str">
        <x:v>Starting claim</x:v>
      </x:c>
      <x:c r="F340" s="30" t="str"/>
      <x:c r="G340" s="30" t="str">
        <x:v>No</x:v>
      </x:c>
      <x:c r="H340" s="30" t="str">
        <x:v>Ordinary claim</x:v>
      </x:c>
      <x:c r="I340" s="31" t="n">
        <x:f>IF(G340="Yes",'Controls &amp; Summary'!$B$5,'Controls &amp; Summary'!$B$4)</x:f>
        <x:v>6</x:v>
      </x:c>
      <x:c r="J340" s="31" t="n">
        <x:v>5.16</x:v>
      </x:c>
      <x:c r="K340" s="31" t="n">
        <x:v>3.36</x:v>
      </x:c>
      <x:c r="L340" s="31" t="n">
        <x:f>ABS(J340-K340)</x:f>
        <x:v>1.8000000000000003</x:v>
      </x:c>
      <x:c r="M340" s="31" t="n">
        <x:v>3.77</x:v>
      </x:c>
      <x:c r="N340" s="31" t="n">
        <x:v>2.48</x:v>
      </x:c>
      <x:c r="O340" s="31" t="n">
        <x:f>ABS(M340-N340)</x:f>
        <x:v>1.29</x:v>
      </x:c>
      <x:c r="P340" s="31" t="n">
        <x:v>7.04</x:v>
      </x:c>
      <x:c r="Q340" s="31" t="n">
        <x:v>6.76</x:v>
      </x:c>
      <x:c r="R340" s="31" t="n">
        <x:f>ABS(P340-Q340)</x:f>
        <x:v>0.28000000000000025</x:v>
      </x:c>
      <x:c r="S340" s="32" t="n">
        <x:v>7812.9539838514465</x:v>
      </x:c>
      <x:c r="T340" s="32" t="n">
        <x:v>4367.423361877824</x:v>
      </x:c>
      <x:c r="U340" s="31" t="n">
        <x:f>MAX(S340/T340,T340/S340)</x:f>
        <x:v>1.788916103725785</x:v>
      </x:c>
      <x:c r="V340" s="31" t="n">
        <x:f>L340*'Controls &amp; Summary'!$B$9+O340*'Controls &amp; Summary'!$B$10+R340*'Controls &amp; Summary'!$B$11+U340*'Controls &amp; Summary'!$B$12</x:f>
        <x:v>5.158916103725786</x:v>
      </x:c>
      <x:c r="W340" s="31" t="n">
        <x:v>0.03</x:v>
      </x:c>
      <x:c r="X340" s="31" t="n">
        <x:v>0.6</x:v>
      </x:c>
      <x:c r="Y340" s="31" t="n">
        <x:f>((10-MIN(10,MAX(0,X340)))/10)*'Controls &amp; Summary'!$B$15+((10-MIN(10,MAX(0,W340)))/10)*'Controls &amp; Summary'!$B$16</x:f>
        <x:v>1.9370000000000003</x:v>
      </x:c>
      <x:c r="Z340" s="31" t="n">
        <x:f>V340*Y340</x:f>
        <x:v>9.992820492916849</x:v>
      </x:c>
      <x:c r="AA340" s="30" t="str">
        <x:f>IF(Z340&lt;=I340,"Peaceful","Hostile")</x:f>
        <x:v>Hostile</x:v>
      </x:c>
      <x:c r="AB340" s="30" t="str">
        <x:f>IF(Z340&lt;='Controls &amp; Summary'!$B$6,"Eligible","Blocked")</x:f>
        <x:v>Eligible</x:v>
      </x:c>
      <x:c r="AC340" s="30" t="str">
        <x:v>2003_RUS</x:v>
      </x:c>
      <x:c r="AD340" s="30" t="str">
        <x:v>2003_BLR</x:v>
      </x:c>
      <x:c r="AE340" s="30" t="str">
        <x:v>2003_Belarus</x:v>
      </x:c>
      <x:c r="AF340" s="30" t="str">
        <x:v>Explicit capitalClaim</x:v>
      </x:c>
      <x:c r="AG340" s="30" t="str">
        <x:v>Claim2003_RUS2003_Belarus</x:v>
      </x:c>
      <x:c r="AH340" s="30" t="str"/>
    </x:row>
    <x:row r="341">
      <x:c r="A341" s="30" t="str">
        <x:v>2003</x:v>
      </x:c>
      <x:c r="B341" s="30" t="str">
        <x:v>Dark Skies</x:v>
      </x:c>
      <x:c r="C341" s="30" t="str">
        <x:v>Russia</x:v>
      </x:c>
      <x:c r="D341" s="30" t="str">
        <x:v>Belgium</x:v>
      </x:c>
      <x:c r="E341" s="30" t="str">
        <x:v>Project unlock</x:v>
      </x:c>
      <x:c r="F341" s="30" t="str">
        <x:v>Forward Russia</x:v>
      </x:c>
      <x:c r="G341" s="30" t="str">
        <x:v>Yes</x:v>
      </x:c>
      <x:c r="H341" s="30" t="str">
        <x:v>Template hostileClaim</x:v>
      </x:c>
      <x:c r="I341" s="31" t="n">
        <x:f>IF(G341="Yes",'Controls &amp; Summary'!$B$5,'Controls &amp; Summary'!$B$4)</x:f>
        <x:v>3</x:v>
      </x:c>
      <x:c r="J341" s="31" t="n">
        <x:v>5.16</x:v>
      </x:c>
      <x:c r="K341" s="31" t="n">
        <x:v>8.15</x:v>
      </x:c>
      <x:c r="L341" s="31" t="n">
        <x:f>ABS(J341-K341)</x:f>
        <x:v>2.99</x:v>
      </x:c>
      <x:c r="M341" s="31" t="n">
        <x:v>3.77</x:v>
      </x:c>
      <x:c r="N341" s="31" t="n">
        <x:v>2.63</x:v>
      </x:c>
      <x:c r="O341" s="31" t="n">
        <x:f>ABS(M341-N341)</x:f>
        <x:v>1.1400000000000001</x:v>
      </x:c>
      <x:c r="P341" s="31" t="n">
        <x:v>7.04</x:v>
      </x:c>
      <x:c r="Q341" s="31" t="n">
        <x:v>8.48</x:v>
      </x:c>
      <x:c r="R341" s="31" t="n">
        <x:f>ABS(P341-Q341)</x:f>
        <x:v>1.4400000000000004</x:v>
      </x:c>
      <x:c r="S341" s="32" t="n">
        <x:v>7812.9539838514465</x:v>
      </x:c>
      <x:c r="T341" s="32" t="n">
        <x:v>32107.544741467984</x:v>
      </x:c>
      <x:c r="U341" s="31" t="n">
        <x:f>MAX(S341/T341,T341/S341)</x:f>
        <x:v>4.1095269225738305</x:v>
      </x:c>
      <x:c r="V341" s="31" t="n">
        <x:f>L341*'Controls &amp; Summary'!$B$9+O341*'Controls &amp; Summary'!$B$10+R341*'Controls &amp; Summary'!$B$11+U341*'Controls &amp; Summary'!$B$12</x:f>
        <x:v>9.679526922573832</x:v>
      </x:c>
      <x:c r="W341" s="31" t="n">
        <x:v>0.03</x:v>
      </x:c>
      <x:c r="X341" s="31" t="n">
        <x:v>1.71</x:v>
      </x:c>
      <x:c r="Y341" s="31" t="n">
        <x:f>((10-MIN(10,MAX(0,X341)))/10)*'Controls &amp; Summary'!$B$15+((10-MIN(10,MAX(0,W341)))/10)*'Controls &amp; Summary'!$B$16</x:f>
        <x:v>1.826</x:v>
      </x:c>
      <x:c r="Z341" s="31" t="n">
        <x:f>V341*Y341</x:f>
        <x:v>17.674816160619816</x:v>
      </x:c>
      <x:c r="AA341" s="30" t="str">
        <x:f>IF(Z341&lt;=I341,"Peaceful","Hostile")</x:f>
        <x:v>Hostile</x:v>
      </x:c>
      <x:c r="AB341" s="30" t="str">
        <x:f>IF(Z341&lt;='Controls &amp; Summary'!$B$6,"Eligible","Blocked")</x:f>
        <x:v>Blocked</x:v>
      </x:c>
      <x:c r="AC341" s="30" t="str">
        <x:v>2003_RUS</x:v>
      </x:c>
      <x:c r="AD341" s="30" t="str">
        <x:v>2003_BGM</x:v>
      </x:c>
      <x:c r="AE341" s="30" t="str">
        <x:v>2003_Belgium</x:v>
      </x:c>
      <x:c r="AF341" s="30" t="str">
        <x:v>Explicit capitalClaim</x:v>
      </x:c>
      <x:c r="AG341" s="30" t="str">
        <x:v>Claim2003_RUS2003_Belgium</x:v>
      </x:c>
      <x:c r="AH341" s="30" t="str">
        <x:v>Project_ForwardRussia</x:v>
      </x:c>
    </x:row>
    <x:row r="342">
      <x:c r="A342" s="30" t="str">
        <x:v>2003</x:v>
      </x:c>
      <x:c r="B342" s="30" t="str">
        <x:v>Dark Skies</x:v>
      </x:c>
      <x:c r="C342" s="30" t="str">
        <x:v>Russia</x:v>
      </x:c>
      <x:c r="D342" s="30" t="str">
        <x:v>Bosnia and Herzegovina</x:v>
      </x:c>
      <x:c r="E342" s="30" t="str">
        <x:v>Project unlock</x:v>
      </x:c>
      <x:c r="F342" s="30" t="str">
        <x:v>Forward Russia</x:v>
      </x:c>
      <x:c r="G342" s="30" t="str">
        <x:v>Yes</x:v>
      </x:c>
      <x:c r="H342" s="30" t="str">
        <x:v>Template hostileClaim</x:v>
      </x:c>
      <x:c r="I342" s="31" t="n">
        <x:f>IF(G342="Yes",'Controls &amp; Summary'!$B$5,'Controls &amp; Summary'!$B$4)</x:f>
        <x:v>3</x:v>
      </x:c>
      <x:c r="J342" s="31" t="n">
        <x:v>5.16</x:v>
      </x:c>
      <x:c r="K342" s="31" t="n">
        <x:v>5.96</x:v>
      </x:c>
      <x:c r="L342" s="31" t="n">
        <x:f>ABS(J342-K342)</x:f>
        <x:v>0.7999999999999998</x:v>
      </x:c>
      <x:c r="M342" s="31" t="n">
        <x:v>3.77</x:v>
      </x:c>
      <x:c r="N342" s="31" t="n">
        <x:v>3.83</x:v>
      </x:c>
      <x:c r="O342" s="31" t="n">
        <x:f>ABS(M342-N342)</x:f>
        <x:v>0.06000000000000005</x:v>
      </x:c>
      <x:c r="P342" s="31" t="n">
        <x:v>7.04</x:v>
      </x:c>
      <x:c r="Q342" s="31" t="n">
        <x:v>6.12</x:v>
      </x:c>
      <x:c r="R342" s="31" t="n">
        <x:f>ABS(P342-Q342)</x:f>
        <x:v>0.9199999999999999</x:v>
      </x:c>
      <x:c r="S342" s="32" t="n">
        <x:v>7812.9539838514465</x:v>
      </x:c>
      <x:c r="T342" s="32" t="n">
        <x:v>3334.651533328882</x:v>
      </x:c>
      <x:c r="U342" s="31" t="n">
        <x:f>MAX(S342/T342,T342/S342)</x:f>
        <x:v>2.3429596483360315</x:v>
      </x:c>
      <x:c r="V342" s="31" t="n">
        <x:f>L342*'Controls &amp; Summary'!$B$9+O342*'Controls &amp; Summary'!$B$10+R342*'Controls &amp; Summary'!$B$11+U342*'Controls &amp; Summary'!$B$12</x:f>
        <x:v>4.122959648336032</x:v>
      </x:c>
      <x:c r="W342" s="31" t="n">
        <x:v>0.03</x:v>
      </x:c>
      <x:c r="X342" s="31" t="n">
        <x:v>3.25</x:v>
      </x:c>
      <x:c r="Y342" s="31" t="n">
        <x:f>((10-MIN(10,MAX(0,X342)))/10)*'Controls &amp; Summary'!$B$15+((10-MIN(10,MAX(0,W342)))/10)*'Controls &amp; Summary'!$B$16</x:f>
        <x:v>1.6720000000000002</x:v>
      </x:c>
      <x:c r="Z342" s="31" t="n">
        <x:f>V342*Y342</x:f>
        <x:v>6.893588532017846</x:v>
      </x:c>
      <x:c r="AA342" s="30" t="str">
        <x:f>IF(Z342&lt;=I342,"Peaceful","Hostile")</x:f>
        <x:v>Hostile</x:v>
      </x:c>
      <x:c r="AB342" s="30" t="str">
        <x:f>IF(Z342&lt;='Controls &amp; Summary'!$B$6,"Eligible","Blocked")</x:f>
        <x:v>Eligible</x:v>
      </x:c>
      <x:c r="AC342" s="30" t="str">
        <x:v>2003_RUS</x:v>
      </x:c>
      <x:c r="AD342" s="30" t="str">
        <x:v>2003_BSM</x:v>
      </x:c>
      <x:c r="AE342" s="30" t="str">
        <x:v>2003_Sarajevo</x:v>
      </x:c>
      <x:c r="AF342" s="30" t="str">
        <x:v>Explicit capitalClaim</x:v>
      </x:c>
      <x:c r="AG342" s="30" t="str">
        <x:v>Claim2003_RUS2003_Sarajevo</x:v>
      </x:c>
      <x:c r="AH342" s="30" t="str">
        <x:v>Project_ForwardRussia</x:v>
      </x:c>
    </x:row>
    <x:row r="343">
      <x:c r="A343" s="30" t="str">
        <x:v>2003</x:v>
      </x:c>
      <x:c r="B343" s="30" t="str">
        <x:v>Dark Skies</x:v>
      </x:c>
      <x:c r="C343" s="30" t="str">
        <x:v>Russia</x:v>
      </x:c>
      <x:c r="D343" s="30" t="str">
        <x:v>Bulgaria</x:v>
      </x:c>
      <x:c r="E343" s="30" t="str">
        <x:v>Project unlock</x:v>
      </x:c>
      <x:c r="F343" s="30" t="str">
        <x:v>Restored Warsaw Pact</x:v>
      </x:c>
      <x:c r="G343" s="30" t="str">
        <x:v>Yes</x:v>
      </x:c>
      <x:c r="H343" s="30" t="str">
        <x:v>Approved expansion-project family</x:v>
      </x:c>
      <x:c r="I343" s="31" t="n">
        <x:f>IF(G343="Yes",'Controls &amp; Summary'!$B$5,'Controls &amp; Summary'!$B$4)</x:f>
        <x:v>3</x:v>
      </x:c>
      <x:c r="J343" s="31" t="n">
        <x:v>5.16</x:v>
      </x:c>
      <x:c r="K343" s="31" t="n">
        <x:v>7.12</x:v>
      </x:c>
      <x:c r="L343" s="31" t="n">
        <x:f>ABS(J343-K343)</x:f>
        <x:v>1.96</x:v>
      </x:c>
      <x:c r="M343" s="31" t="n">
        <x:v>3.77</x:v>
      </x:c>
      <x:c r="N343" s="31" t="n">
        <x:v>3.28</x:v>
      </x:c>
      <x:c r="O343" s="31" t="n">
        <x:f>ABS(M343-N343)</x:f>
        <x:v>0.4900000000000002</x:v>
      </x:c>
      <x:c r="P343" s="31" t="n">
        <x:v>7.04</x:v>
      </x:c>
      <x:c r="Q343" s="31" t="n">
        <x:v>6.93</x:v>
      </x:c>
      <x:c r="R343" s="31" t="n">
        <x:f>ABS(P343-Q343)</x:f>
        <x:v>0.11000000000000032</x:v>
      </x:c>
      <x:c r="S343" s="32" t="n">
        <x:v>7812.9539838514465</x:v>
      </x:c>
      <x:c r="T343" s="32" t="n">
        <x:v>5728.655677835439</x:v>
      </x:c>
      <x:c r="U343" s="31" t="n">
        <x:f>MAX(S343/T343,T343/S343)</x:f>
        <x:v>1.3638372461588677</x:v>
      </x:c>
      <x:c r="V343" s="31" t="n">
        <x:f>L343*'Controls &amp; Summary'!$B$9+O343*'Controls &amp; Summary'!$B$10+R343*'Controls &amp; Summary'!$B$11+U343*'Controls &amp; Summary'!$B$12</x:f>
        <x:v>3.923837246158868</x:v>
      </x:c>
      <x:c r="W343" s="31" t="n">
        <x:v>0.03</x:v>
      </x:c>
      <x:c r="X343" s="31" t="n">
        <x:v>0.84</x:v>
      </x:c>
      <x:c r="Y343" s="31" t="n">
        <x:f>((10-MIN(10,MAX(0,X343)))/10)*'Controls &amp; Summary'!$B$15+((10-MIN(10,MAX(0,W343)))/10)*'Controls &amp; Summary'!$B$16</x:f>
        <x:v>1.9130000000000003</x:v>
      </x:c>
      <x:c r="Z343" s="31" t="n">
        <x:f>V343*Y343</x:f>
        <x:v>7.506300651901916</x:v>
      </x:c>
      <x:c r="AA343" s="30" t="str">
        <x:f>IF(Z343&lt;=I343,"Peaceful","Hostile")</x:f>
        <x:v>Hostile</x:v>
      </x:c>
      <x:c r="AB343" s="30" t="str">
        <x:f>IF(Z343&lt;='Controls &amp; Summary'!$B$6,"Eligible","Blocked")</x:f>
        <x:v>Eligible</x:v>
      </x:c>
      <x:c r="AC343" s="30" t="str">
        <x:v>2003_RUS</x:v>
      </x:c>
      <x:c r="AD343" s="30" t="str">
        <x:v>2003_BUL</x:v>
      </x:c>
      <x:c r="AE343" s="30" t="str">
        <x:v>2003_Bulgaria</x:v>
      </x:c>
      <x:c r="AF343" s="30" t="str">
        <x:v>Explicit capitalClaim</x:v>
      </x:c>
      <x:c r="AG343" s="30" t="str">
        <x:v>Claim2003_RUS2003_Bulgaria</x:v>
      </x:c>
      <x:c r="AH343" s="30" t="str">
        <x:v>Project_RestoredWarsawPact</x:v>
      </x:c>
    </x:row>
    <x:row r="344">
      <x:c r="A344" s="30" t="str">
        <x:v>2003</x:v>
      </x:c>
      <x:c r="B344" s="30" t="str">
        <x:v>Dark Skies</x:v>
      </x:c>
      <x:c r="C344" s="30" t="str">
        <x:v>Russia</x:v>
      </x:c>
      <x:c r="D344" s="30" t="str">
        <x:v>Croatia</x:v>
      </x:c>
      <x:c r="E344" s="30" t="str">
        <x:v>Project unlock</x:v>
      </x:c>
      <x:c r="F344" s="30" t="str">
        <x:v>Forward Russia</x:v>
      </x:c>
      <x:c r="G344" s="30" t="str">
        <x:v>Yes</x:v>
      </x:c>
      <x:c r="H344" s="30" t="str">
        <x:v>Template hostileClaim</x:v>
      </x:c>
      <x:c r="I344" s="31" t="n">
        <x:f>IF(G344="Yes",'Controls &amp; Summary'!$B$5,'Controls &amp; Summary'!$B$4)</x:f>
        <x:v>3</x:v>
      </x:c>
      <x:c r="J344" s="31" t="n">
        <x:v>5.16</x:v>
      </x:c>
      <x:c r="K344" s="31" t="n">
        <x:v>7.03</x:v>
      </x:c>
      <x:c r="L344" s="31" t="n">
        <x:f>ABS(J344-K344)</x:f>
        <x:v>1.87</x:v>
      </x:c>
      <x:c r="M344" s="31" t="n">
        <x:v>3.77</x:v>
      </x:c>
      <x:c r="N344" s="31" t="n">
        <x:v>2.67</x:v>
      </x:c>
      <x:c r="O344" s="31" t="n">
        <x:f>ABS(M344-N344)</x:f>
        <x:v>1.1</x:v>
      </x:c>
      <x:c r="P344" s="31" t="n">
        <x:v>7.04</x:v>
      </x:c>
      <x:c r="Q344" s="31" t="n">
        <x:v>7.32</x:v>
      </x:c>
      <x:c r="R344" s="31" t="n">
        <x:f>ABS(P344-Q344)</x:f>
        <x:v>0.28000000000000025</x:v>
      </x:c>
      <x:c r="S344" s="32" t="n">
        <x:v>7812.9539838514465</x:v>
      </x:c>
      <x:c r="T344" s="32" t="n">
        <x:v>9881.140802928285</x:v>
      </x:c>
      <x:c r="U344" s="31" t="n">
        <x:f>MAX(S344/T344,T344/S344)</x:f>
        <x:v>1.2647125304144327</x:v>
      </x:c>
      <x:c r="V344" s="31" t="n">
        <x:f>L344*'Controls &amp; Summary'!$B$9+O344*'Controls &amp; Summary'!$B$10+R344*'Controls &amp; Summary'!$B$11+U344*'Controls &amp; Summary'!$B$12</x:f>
        <x:v>4.5147125304144335</x:v>
      </x:c>
      <x:c r="W344" s="31" t="n">
        <x:v>0.03</x:v>
      </x:c>
      <x:c r="X344" s="31" t="n">
        <x:v>1.98</x:v>
      </x:c>
      <x:c r="Y344" s="31" t="n">
        <x:f>((10-MIN(10,MAX(0,X344)))/10)*'Controls &amp; Summary'!$B$15+((10-MIN(10,MAX(0,W344)))/10)*'Controls &amp; Summary'!$B$16</x:f>
        <x:v>1.799</x:v>
      </x:c>
      <x:c r="Z344" s="31" t="n">
        <x:f>V344*Y344</x:f>
        <x:v>8.121967842215566</x:v>
      </x:c>
      <x:c r="AA344" s="30" t="str">
        <x:f>IF(Z344&lt;=I344,"Peaceful","Hostile")</x:f>
        <x:v>Hostile</x:v>
      </x:c>
      <x:c r="AB344" s="30" t="str">
        <x:f>IF(Z344&lt;='Controls &amp; Summary'!$B$6,"Eligible","Blocked")</x:f>
        <x:v>Eligible</x:v>
      </x:c>
      <x:c r="AC344" s="30" t="str">
        <x:v>2003_RUS</x:v>
      </x:c>
      <x:c r="AD344" s="30" t="str">
        <x:v>2003_CRS</x:v>
      </x:c>
      <x:c r="AE344" s="30" t="str">
        <x:v>2003_Zagreb</x:v>
      </x:c>
      <x:c r="AF344" s="30" t="str">
        <x:v>Explicit capitalClaim</x:v>
      </x:c>
      <x:c r="AG344" s="30" t="str">
        <x:v>Claim2003_RUS2003_Zagreb</x:v>
      </x:c>
      <x:c r="AH344" s="30" t="str">
        <x:v>Project_ForwardRussia</x:v>
      </x:c>
    </x:row>
    <x:row r="345">
      <x:c r="A345" s="30" t="str">
        <x:v>2003</x:v>
      </x:c>
      <x:c r="B345" s="30" t="str">
        <x:v>Dark Skies</x:v>
      </x:c>
      <x:c r="C345" s="30" t="str">
        <x:v>Russia</x:v>
      </x:c>
      <x:c r="D345" s="30" t="str">
        <x:v>Czechia</x:v>
      </x:c>
      <x:c r="E345" s="30" t="str">
        <x:v>Project unlock</x:v>
      </x:c>
      <x:c r="F345" s="30" t="str">
        <x:v>Restored Warsaw Pact</x:v>
      </x:c>
      <x:c r="G345" s="30" t="str">
        <x:v>Yes</x:v>
      </x:c>
      <x:c r="H345" s="30" t="str">
        <x:v>Approved expansion-project family</x:v>
      </x:c>
      <x:c r="I345" s="31" t="n">
        <x:f>IF(G345="Yes",'Controls &amp; Summary'!$B$5,'Controls &amp; Summary'!$B$4)</x:f>
        <x:v>3</x:v>
      </x:c>
      <x:c r="J345" s="31" t="n">
        <x:v>5.16</x:v>
      </x:c>
      <x:c r="K345" s="31" t="n">
        <x:v>8.12</x:v>
      </x:c>
      <x:c r="L345" s="31" t="n">
        <x:f>ABS(J345-K345)</x:f>
        <x:v>2.959999999999999</x:v>
      </x:c>
      <x:c r="M345" s="31" t="n">
        <x:v>3.77</x:v>
      </x:c>
      <x:c r="N345" s="31" t="n">
        <x:v>2.56</x:v>
      </x:c>
      <x:c r="O345" s="31" t="n">
        <x:f>ABS(M345-N345)</x:f>
        <x:v>1.21</x:v>
      </x:c>
      <x:c r="P345" s="31" t="n">
        <x:v>7.04</x:v>
      </x:c>
      <x:c r="Q345" s="31" t="n">
        <x:v>7.81</x:v>
      </x:c>
      <x:c r="R345" s="31" t="n">
        <x:f>ABS(P345-Q345)</x:f>
        <x:v>0.7699999999999996</x:v>
      </x:c>
      <x:c r="S345" s="32" t="n">
        <x:v>7812.9539838514465</x:v>
      </x:c>
      <x:c r="T345" s="32" t="n">
        <x:v>12463.396827877925</x:v>
      </x:c>
      <x:c r="U345" s="31" t="n">
        <x:f>MAX(S345/T345,T345/S345)</x:f>
        <x:v>1.5952220957192957</x:v>
      </x:c>
      <x:c r="V345" s="31" t="n">
        <x:f>L345*'Controls &amp; Summary'!$B$9+O345*'Controls &amp; Summary'!$B$10+R345*'Controls &amp; Summary'!$B$11+U345*'Controls &amp; Summary'!$B$12</x:f>
        <x:v>6.535222095719295</x:v>
      </x:c>
      <x:c r="W345" s="31" t="n">
        <x:v>0.03</x:v>
      </x:c>
      <x:c r="X345" s="31" t="n">
        <x:v>0.59</x:v>
      </x:c>
      <x:c r="Y345" s="31" t="n">
        <x:f>((10-MIN(10,MAX(0,X345)))/10)*'Controls &amp; Summary'!$B$15+((10-MIN(10,MAX(0,W345)))/10)*'Controls &amp; Summary'!$B$16</x:f>
        <x:v>1.9380000000000002</x:v>
      </x:c>
      <x:c r="Z345" s="31" t="n">
        <x:f>V345*Y345</x:f>
        <x:v>12.665260421503994</x:v>
      </x:c>
      <x:c r="AA345" s="30" t="str">
        <x:f>IF(Z345&lt;=I345,"Peaceful","Hostile")</x:f>
        <x:v>Hostile</x:v>
      </x:c>
      <x:c r="AB345" s="30" t="str">
        <x:f>IF(Z345&lt;='Controls &amp; Summary'!$B$6,"Eligible","Blocked")</x:f>
        <x:v>Blocked</x:v>
      </x:c>
      <x:c r="AC345" s="30" t="str">
        <x:v>2003_RUS</x:v>
      </x:c>
      <x:c r="AD345" s="30" t="str">
        <x:v>2003_CZE</x:v>
      </x:c>
      <x:c r="AE345" s="30" t="str">
        <x:v>2003_Czechia</x:v>
      </x:c>
      <x:c r="AF345" s="30" t="str">
        <x:v>Explicit capitalClaim</x:v>
      </x:c>
      <x:c r="AG345" s="30" t="str">
        <x:v>Claim2003_RUS2003_Czechia</x:v>
      </x:c>
      <x:c r="AH345" s="30" t="str">
        <x:v>Project_RestoredWarsawPact</x:v>
      </x:c>
    </x:row>
    <x:row r="346">
      <x:c r="A346" s="30" t="str">
        <x:v>2003</x:v>
      </x:c>
      <x:c r="B346" s="30" t="str">
        <x:v>Dark Skies</x:v>
      </x:c>
      <x:c r="C346" s="30" t="str">
        <x:v>Russia</x:v>
      </x:c>
      <x:c r="D346" s="30" t="str">
        <x:v>Denmark</x:v>
      </x:c>
      <x:c r="E346" s="30" t="str">
        <x:v>Project unlock</x:v>
      </x:c>
      <x:c r="F346" s="30" t="str">
        <x:v>Forward Russia</x:v>
      </x:c>
      <x:c r="G346" s="30" t="str">
        <x:v>Yes</x:v>
      </x:c>
      <x:c r="H346" s="30" t="str">
        <x:v>Template hostileClaim</x:v>
      </x:c>
      <x:c r="I346" s="31" t="n">
        <x:f>IF(G346="Yes",'Controls &amp; Summary'!$B$5,'Controls &amp; Summary'!$B$4)</x:f>
        <x:v>3</x:v>
      </x:c>
      <x:c r="J346" s="31" t="n">
        <x:v>5.16</x:v>
      </x:c>
      <x:c r="K346" s="31" t="n">
        <x:v>9.41</x:v>
      </x:c>
      <x:c r="L346" s="31" t="n">
        <x:f>ABS(J346-K346)</x:f>
        <x:v>4.25</x:v>
      </x:c>
      <x:c r="M346" s="31" t="n">
        <x:v>3.77</x:v>
      </x:c>
      <x:c r="N346" s="31" t="n">
        <x:v>2.31</x:v>
      </x:c>
      <x:c r="O346" s="31" t="n">
        <x:f>ABS(M346-N346)</x:f>
        <x:v>1.46</x:v>
      </x:c>
      <x:c r="P346" s="31" t="n">
        <x:v>7.04</x:v>
      </x:c>
      <x:c r="Q346" s="31" t="n">
        <x:v>8.52</x:v>
      </x:c>
      <x:c r="R346" s="31" t="n">
        <x:f>ABS(P346-Q346)</x:f>
        <x:v>1.4799999999999995</x:v>
      </x:c>
      <x:c r="S346" s="32" t="n">
        <x:v>7812.9539838514465</x:v>
      </x:c>
      <x:c r="T346" s="32" t="n">
        <x:v>37932.96337266989</x:v>
      </x:c>
      <x:c r="U346" s="31" t="n">
        <x:f>MAX(S346/T346,T346/S346)</x:f>
        <x:v>4.855137180005582</x:v>
      </x:c>
      <x:c r="V346" s="31" t="n">
        <x:f>L346*'Controls &amp; Summary'!$B$9+O346*'Controls &amp; Summary'!$B$10+R346*'Controls &amp; Summary'!$B$11+U346*'Controls &amp; Summary'!$B$12</x:f>
        <x:v>12.045137180005582</x:v>
      </x:c>
      <x:c r="W346" s="31" t="n">
        <x:v>0.03</x:v>
      </x:c>
      <x:c r="X346" s="31" t="n">
        <x:v>1.32</x:v>
      </x:c>
      <x:c r="Y346" s="31" t="n">
        <x:f>((10-MIN(10,MAX(0,X346)))/10)*'Controls &amp; Summary'!$B$15+((10-MIN(10,MAX(0,W346)))/10)*'Controls &amp; Summary'!$B$16</x:f>
        <x:v>1.8650000000000002</x:v>
      </x:c>
      <x:c r="Z346" s="31" t="n">
        <x:f>V346*Y346</x:f>
        <x:v>22.464180840710412</x:v>
      </x:c>
      <x:c r="AA346" s="30" t="str">
        <x:f>IF(Z346&lt;=I346,"Peaceful","Hostile")</x:f>
        <x:v>Hostile</x:v>
      </x:c>
      <x:c r="AB346" s="30" t="str">
        <x:f>IF(Z346&lt;='Controls &amp; Summary'!$B$6,"Eligible","Blocked")</x:f>
        <x:v>Blocked</x:v>
      </x:c>
      <x:c r="AC346" s="30" t="str">
        <x:v>2003_RUS</x:v>
      </x:c>
      <x:c r="AD346" s="30" t="str">
        <x:v>2003_DEN</x:v>
      </x:c>
      <x:c r="AE346" s="30" t="str">
        <x:v>2003_Denmark</x:v>
      </x:c>
      <x:c r="AF346" s="30" t="str">
        <x:v>Explicit capitalClaim</x:v>
      </x:c>
      <x:c r="AG346" s="30" t="str">
        <x:v>Claim2003_RUS2003_Denmark</x:v>
      </x:c>
      <x:c r="AH346" s="30" t="str">
        <x:v>Project_ForwardRussia</x:v>
      </x:c>
    </x:row>
    <x:row r="347">
      <x:c r="A347" s="30" t="str">
        <x:v>2003</x:v>
      </x:c>
      <x:c r="B347" s="30" t="str">
        <x:v>Dark Skies</x:v>
      </x:c>
      <x:c r="C347" s="30" t="str">
        <x:v>Russia</x:v>
      </x:c>
      <x:c r="D347" s="30" t="str">
        <x:v>Estonia</x:v>
      </x:c>
      <x:c r="E347" s="30" t="str">
        <x:v>Starting claim</x:v>
      </x:c>
      <x:c r="F347" s="30" t="str"/>
      <x:c r="G347" s="30" t="str">
        <x:v>Yes</x:v>
      </x:c>
      <x:c r="H347" s="30" t="str">
        <x:v>Approved Russia-neighbor grievance</x:v>
      </x:c>
      <x:c r="I347" s="31" t="n">
        <x:f>IF(G347="Yes",'Controls &amp; Summary'!$B$5,'Controls &amp; Summary'!$B$4)</x:f>
        <x:v>3</x:v>
      </x:c>
      <x:c r="J347" s="31" t="n">
        <x:v>5.16</x:v>
      </x:c>
      <x:c r="K347" s="31" t="n">
        <x:v>7.72</x:v>
      </x:c>
      <x:c r="L347" s="31" t="n">
        <x:f>ABS(J347-K347)</x:f>
        <x:v>2.5599999999999996</x:v>
      </x:c>
      <x:c r="M347" s="31" t="n">
        <x:v>3.77</x:v>
      </x:c>
      <x:c r="N347" s="31" t="n">
        <x:v>3.49</x:v>
      </x:c>
      <x:c r="O347" s="31" t="n">
        <x:f>ABS(M347-N347)</x:f>
        <x:v>0.2799999999999998</x:v>
      </x:c>
      <x:c r="P347" s="31" t="n">
        <x:v>7.04</x:v>
      </x:c>
      <x:c r="Q347" s="31" t="n">
        <x:v>7.61</x:v>
      </x:c>
      <x:c r="R347" s="31" t="n">
        <x:f>ABS(P347-Q347)</x:f>
        <x:v>0.5700000000000003</x:v>
      </x:c>
      <x:c r="S347" s="32" t="n">
        <x:v>7812.9539838514465</x:v>
      </x:c>
      <x:c r="T347" s="32" t="n">
        <x:v>10017.262095050515</x:v>
      </x:c>
      <x:c r="U347" s="31" t="n">
        <x:f>MAX(S347/T347,T347/S347)</x:f>
        <x:v>1.282135043385017</x:v>
      </x:c>
      <x:c r="V347" s="31" t="n">
        <x:f>L347*'Controls &amp; Summary'!$B$9+O347*'Controls &amp; Summary'!$B$10+R347*'Controls &amp; Summary'!$B$11+U347*'Controls &amp; Summary'!$B$12</x:f>
        <x:v>4.692135043385017</x:v>
      </x:c>
      <x:c r="W347" s="31" t="n">
        <x:v>0.03</x:v>
      </x:c>
      <x:c r="X347" s="31" t="n">
        <x:v>0.54</x:v>
      </x:c>
      <x:c r="Y347" s="31" t="n">
        <x:f>((10-MIN(10,MAX(0,X347)))/10)*'Controls &amp; Summary'!$B$15+((10-MIN(10,MAX(0,W347)))/10)*'Controls &amp; Summary'!$B$16</x:f>
        <x:v>1.943</x:v>
      </x:c>
      <x:c r="Z347" s="31" t="n">
        <x:f>V347*Y347</x:f>
        <x:v>9.116818389297087</x:v>
      </x:c>
      <x:c r="AA347" s="30" t="str">
        <x:f>IF(Z347&lt;=I347,"Peaceful","Hostile")</x:f>
        <x:v>Hostile</x:v>
      </x:c>
      <x:c r="AB347" s="30" t="str">
        <x:f>IF(Z347&lt;='Controls &amp; Summary'!$B$6,"Eligible","Blocked")</x:f>
        <x:v>Eligible</x:v>
      </x:c>
      <x:c r="AC347" s="30" t="str">
        <x:v>2003_RUS</x:v>
      </x:c>
      <x:c r="AD347" s="30" t="str">
        <x:v>2003_EST</x:v>
      </x:c>
      <x:c r="AE347" s="30" t="str">
        <x:v>2003_Estonia</x:v>
      </x:c>
      <x:c r="AF347" s="30" t="str">
        <x:v>Explicit capitalClaim</x:v>
      </x:c>
      <x:c r="AG347" s="30" t="str">
        <x:v>Claim2003_RUS2003_Estonia</x:v>
      </x:c>
      <x:c r="AH347" s="30" t="str"/>
    </x:row>
    <x:row r="348">
      <x:c r="A348" s="30" t="str">
        <x:v>2003</x:v>
      </x:c>
      <x:c r="B348" s="30" t="str">
        <x:v>Dark Skies</x:v>
      </x:c>
      <x:c r="C348" s="30" t="str">
        <x:v>Russia</x:v>
      </x:c>
      <x:c r="D348" s="30" t="str">
        <x:v>Finland</x:v>
      </x:c>
      <x:c r="E348" s="30" t="str">
        <x:v>Project unlock</x:v>
      </x:c>
      <x:c r="F348" s="30" t="str">
        <x:v>Forward Russia</x:v>
      </x:c>
      <x:c r="G348" s="30" t="str">
        <x:v>Yes</x:v>
      </x:c>
      <x:c r="H348" s="30" t="str">
        <x:v>Template hostileClaim</x:v>
      </x:c>
      <x:c r="I348" s="31" t="n">
        <x:f>IF(G348="Yes",'Controls &amp; Summary'!$B$5,'Controls &amp; Summary'!$B$4)</x:f>
        <x:v>3</x:v>
      </x:c>
      <x:c r="J348" s="31" t="n">
        <x:v>5.16</x:v>
      </x:c>
      <x:c r="K348" s="31" t="n">
        <x:v>9.22</x:v>
      </x:c>
      <x:c r="L348" s="31" t="n">
        <x:f>ABS(J348-K348)</x:f>
        <x:v>4.0600000000000005</x:v>
      </x:c>
      <x:c r="M348" s="31" t="n">
        <x:v>3.77</x:v>
      </x:c>
      <x:c r="N348" s="31" t="n">
        <x:v>2.49</x:v>
      </x:c>
      <x:c r="O348" s="31" t="n">
        <x:f>ABS(M348-N348)</x:f>
        <x:v>1.2799999999999998</x:v>
      </x:c>
      <x:c r="P348" s="31" t="n">
        <x:v>7.04</x:v>
      </x:c>
      <x:c r="Q348" s="31" t="n">
        <x:v>8.61</x:v>
      </x:c>
      <x:c r="R348" s="31" t="n">
        <x:f>ABS(P348-Q348)</x:f>
        <x:v>1.5699999999999994</x:v>
      </x:c>
      <x:c r="S348" s="32" t="n">
        <x:v>7812.9539838514465</x:v>
      </x:c>
      <x:c r="T348" s="32" t="n">
        <x:v>32463.99959332087</x:v>
      </x:c>
      <x:c r="U348" s="31" t="n">
        <x:f>MAX(S348/T348,T348/S348)</x:f>
        <x:v>4.1551504924284135</x:v>
      </x:c>
      <x:c r="V348" s="31" t="n">
        <x:f>L348*'Controls &amp; Summary'!$B$9+O348*'Controls &amp; Summary'!$B$10+R348*'Controls &amp; Summary'!$B$11+U348*'Controls &amp; Summary'!$B$12</x:f>
        <x:v>11.065150492428412</x:v>
      </x:c>
      <x:c r="W348" s="31" t="n">
        <x:v>0.03</x:v>
      </x:c>
      <x:c r="X348" s="31" t="n">
        <x:v>1.82</x:v>
      </x:c>
      <x:c r="Y348" s="31" t="n">
        <x:f>((10-MIN(10,MAX(0,X348)))/10)*'Controls &amp; Summary'!$B$15+((10-MIN(10,MAX(0,W348)))/10)*'Controls &amp; Summary'!$B$16</x:f>
        <x:v>1.815</x:v>
      </x:c>
      <x:c r="Z348" s="31" t="n">
        <x:f>V348*Y348</x:f>
        <x:v>20.083248143757565</x:v>
      </x:c>
      <x:c r="AA348" s="30" t="str">
        <x:f>IF(Z348&lt;=I348,"Peaceful","Hostile")</x:f>
        <x:v>Hostile</x:v>
      </x:c>
      <x:c r="AB348" s="30" t="str">
        <x:f>IF(Z348&lt;='Controls &amp; Summary'!$B$6,"Eligible","Blocked")</x:f>
        <x:v>Blocked</x:v>
      </x:c>
      <x:c r="AC348" s="30" t="str">
        <x:v>2003_RUS</x:v>
      </x:c>
      <x:c r="AD348" s="30" t="str">
        <x:v>2003_FIN</x:v>
      </x:c>
      <x:c r="AE348" s="30" t="str">
        <x:v>2003_Finland</x:v>
      </x:c>
      <x:c r="AF348" s="30" t="str">
        <x:v>Explicit capitalClaim</x:v>
      </x:c>
      <x:c r="AG348" s="30" t="str">
        <x:v>Claim2003_RUS2003_Finland</x:v>
      </x:c>
      <x:c r="AH348" s="30" t="str">
        <x:v>Project_ForwardRussia</x:v>
      </x:c>
    </x:row>
    <x:row r="349">
      <x:c r="A349" s="30" t="str">
        <x:v>2003</x:v>
      </x:c>
      <x:c r="B349" s="30" t="str">
        <x:v>Dark Skies</x:v>
      </x:c>
      <x:c r="C349" s="30" t="str">
        <x:v>Russia</x:v>
      </x:c>
      <x:c r="D349" s="30" t="str">
        <x:v>France</x:v>
      </x:c>
      <x:c r="E349" s="30" t="str">
        <x:v>Project unlock</x:v>
      </x:c>
      <x:c r="F349" s="30" t="str">
        <x:v>Forward Russia</x:v>
      </x:c>
      <x:c r="G349" s="30" t="str">
        <x:v>Yes</x:v>
      </x:c>
      <x:c r="H349" s="30" t="str">
        <x:v>Template hostileClaim</x:v>
      </x:c>
      <x:c r="I349" s="31" t="n">
        <x:f>IF(G349="Yes",'Controls &amp; Summary'!$B$5,'Controls &amp; Summary'!$B$4)</x:f>
        <x:v>3</x:v>
      </x:c>
      <x:c r="J349" s="31" t="n">
        <x:v>5.16</x:v>
      </x:c>
      <x:c r="K349" s="31" t="n">
        <x:v>8.07</x:v>
      </x:c>
      <x:c r="L349" s="31" t="n">
        <x:f>ABS(J349-K349)</x:f>
        <x:v>2.91</x:v>
      </x:c>
      <x:c r="M349" s="31" t="n">
        <x:v>3.77</x:v>
      </x:c>
      <x:c r="N349" s="31" t="n">
        <x:v>2.88</x:v>
      </x:c>
      <x:c r="O349" s="31" t="n">
        <x:f>ABS(M349-N349)</x:f>
        <x:v>0.8900000000000001</x:v>
      </x:c>
      <x:c r="P349" s="31" t="n">
        <x:v>7.04</x:v>
      </x:c>
      <x:c r="Q349" s="31" t="n">
        <x:v>8.03</x:v>
      </x:c>
      <x:c r="R349" s="31" t="n">
        <x:f>ABS(P349-Q349)</x:f>
        <x:v>0.9899999999999993</x:v>
      </x:c>
      <x:c r="S349" s="32" t="n">
        <x:v>7812.9539838514465</x:v>
      </x:c>
      <x:c r="T349" s="32" t="n">
        <x:v>29306.518540870566</x:v>
      </x:c>
      <x:c r="U349" s="31" t="n">
        <x:f>MAX(S349/T349,T349/S349)</x:f>
        <x:v>3.7510164019196908</x:v>
      </x:c>
      <x:c r="V349" s="31" t="n">
        <x:f>L349*'Controls &amp; Summary'!$B$9+O349*'Controls &amp; Summary'!$B$10+R349*'Controls &amp; Summary'!$B$11+U349*'Controls &amp; Summary'!$B$12</x:f>
        <x:v>8.54101640191969</x:v>
      </x:c>
      <x:c r="W349" s="31" t="n">
        <x:v>0.03</x:v>
      </x:c>
      <x:c r="X349" s="31" t="n">
        <x:v>1.82</x:v>
      </x:c>
      <x:c r="Y349" s="31" t="n">
        <x:f>((10-MIN(10,MAX(0,X349)))/10)*'Controls &amp; Summary'!$B$15+((10-MIN(10,MAX(0,W349)))/10)*'Controls &amp; Summary'!$B$16</x:f>
        <x:v>1.815</x:v>
      </x:c>
      <x:c r="Z349" s="31" t="n">
        <x:f>V349*Y349</x:f>
        <x:v>15.501944769484236</x:v>
      </x:c>
      <x:c r="AA349" s="30" t="str">
        <x:f>IF(Z349&lt;=I349,"Peaceful","Hostile")</x:f>
        <x:v>Hostile</x:v>
      </x:c>
      <x:c r="AB349" s="30" t="str">
        <x:f>IF(Z349&lt;='Controls &amp; Summary'!$B$6,"Eligible","Blocked")</x:f>
        <x:v>Blocked</x:v>
      </x:c>
      <x:c r="AC349" s="30" t="str">
        <x:v>2003_RUS</x:v>
      </x:c>
      <x:c r="AD349" s="30" t="str">
        <x:v>2003_EUA</x:v>
      </x:c>
      <x:c r="AE349" s="30" t="str">
        <x:v>2003_Paris</x:v>
      </x:c>
      <x:c r="AF349" s="30" t="str">
        <x:v>Explicit capitalClaim</x:v>
      </x:c>
      <x:c r="AG349" s="30" t="str">
        <x:v>Claim2003_RUS2003_Paris</x:v>
      </x:c>
      <x:c r="AH349" s="30" t="str">
        <x:v>Project_ForwardRussia</x:v>
      </x:c>
    </x:row>
    <x:row r="350">
      <x:c r="A350" s="30" t="str">
        <x:v>2003</x:v>
      </x:c>
      <x:c r="B350" s="30" t="str">
        <x:v>Dark Skies</x:v>
      </x:c>
      <x:c r="C350" s="30" t="str">
        <x:v>Russia</x:v>
      </x:c>
      <x:c r="D350" s="30" t="str">
        <x:v>Georgia</x:v>
      </x:c>
      <x:c r="E350" s="30" t="str">
        <x:v>Starting claim</x:v>
      </x:c>
      <x:c r="F350" s="30" t="str"/>
      <x:c r="G350" s="30" t="str">
        <x:v>Yes</x:v>
      </x:c>
      <x:c r="H350" s="30" t="str">
        <x:v>Approved Russia-neighbor grievance</x:v>
      </x:c>
      <x:c r="I350" s="31" t="n">
        <x:f>IF(G350="Yes",'Controls &amp; Summary'!$B$5,'Controls &amp; Summary'!$B$4)</x:f>
        <x:v>3</x:v>
      </x:c>
      <x:c r="J350" s="31" t="n">
        <x:v>5.16</x:v>
      </x:c>
      <x:c r="K350" s="31" t="n">
        <x:v>3.71</x:v>
      </x:c>
      <x:c r="L350" s="31" t="n">
        <x:f>ABS(J350-K350)</x:f>
        <x:v>1.4500000000000002</x:v>
      </x:c>
      <x:c r="M350" s="31" t="n">
        <x:v>3.77</x:v>
      </x:c>
      <x:c r="N350" s="31" t="n">
        <x:v>3.95</x:v>
      </x:c>
      <x:c r="O350" s="31" t="n">
        <x:f>ABS(M350-N350)</x:f>
        <x:v>0.18000000000000016</x:v>
      </x:c>
      <x:c r="P350" s="31" t="n">
        <x:v>7.04</x:v>
      </x:c>
      <x:c r="Q350" s="31" t="n">
        <x:v>6.61</x:v>
      </x:c>
      <x:c r="R350" s="31" t="n">
        <x:f>ABS(P350-Q350)</x:f>
        <x:v>0.4299999999999997</x:v>
      </x:c>
      <x:c r="S350" s="32" t="n">
        <x:v>7812.9539838514465</x:v>
      </x:c>
      <x:c r="T350" s="32" t="n">
        <x:v>2642.218029545099</x:v>
      </x:c>
      <x:c r="U350" s="31" t="n">
        <x:f>MAX(S350/T350,T350/S350)</x:f>
        <x:v>2.9569679324293214</x:v>
      </x:c>
      <x:c r="V350" s="31" t="n">
        <x:f>L350*'Controls &amp; Summary'!$B$9+O350*'Controls &amp; Summary'!$B$10+R350*'Controls &amp; Summary'!$B$11+U350*'Controls &amp; Summary'!$B$12</x:f>
        <x:v>5.0169679324293215</x:v>
      </x:c>
      <x:c r="W350" s="31" t="n">
        <x:v>0.03</x:v>
      </x:c>
      <x:c r="X350" s="31" t="n">
        <x:v>3.29</x:v>
      </x:c>
      <x:c r="Y350" s="31" t="n">
        <x:f>((10-MIN(10,MAX(0,X350)))/10)*'Controls &amp; Summary'!$B$15+((10-MIN(10,MAX(0,W350)))/10)*'Controls &amp; Summary'!$B$16</x:f>
        <x:v>1.6680000000000001</x:v>
      </x:c>
      <x:c r="Z350" s="31" t="n">
        <x:f>V350*Y350</x:f>
        <x:v>8.368302511292109</x:v>
      </x:c>
      <x:c r="AA350" s="30" t="str">
        <x:f>IF(Z350&lt;=I350,"Peaceful","Hostile")</x:f>
        <x:v>Hostile</x:v>
      </x:c>
      <x:c r="AB350" s="30" t="str">
        <x:f>IF(Z350&lt;='Controls &amp; Summary'!$B$6,"Eligible","Blocked")</x:f>
        <x:v>Eligible</x:v>
      </x:c>
      <x:c r="AC350" s="30" t="str">
        <x:v>2003_RUS</x:v>
      </x:c>
      <x:c r="AD350" s="30" t="str">
        <x:v>2003_GEO</x:v>
      </x:c>
      <x:c r="AE350" s="30" t="str">
        <x:v>2003_Georgia</x:v>
      </x:c>
      <x:c r="AF350" s="30" t="str">
        <x:v>Explicit capitalClaim</x:v>
      </x:c>
      <x:c r="AG350" s="30" t="str">
        <x:v>Claim2003_RUS2003_Georgia</x:v>
      </x:c>
      <x:c r="AH350" s="30" t="str"/>
    </x:row>
    <x:row r="351">
      <x:c r="A351" s="30" t="str">
        <x:v>2003</x:v>
      </x:c>
      <x:c r="B351" s="30" t="str">
        <x:v>Dark Skies</x:v>
      </x:c>
      <x:c r="C351" s="30" t="str">
        <x:v>Russia</x:v>
      </x:c>
      <x:c r="D351" s="30" t="str">
        <x:v>Germany</x:v>
      </x:c>
      <x:c r="E351" s="30" t="str">
        <x:v>Project unlock</x:v>
      </x:c>
      <x:c r="F351" s="30" t="str">
        <x:v>Restored Warsaw Pact</x:v>
      </x:c>
      <x:c r="G351" s="30" t="str">
        <x:v>Yes</x:v>
      </x:c>
      <x:c r="H351" s="30" t="str">
        <x:v>Approved expansion-project family</x:v>
      </x:c>
      <x:c r="I351" s="31" t="n">
        <x:f>IF(G351="Yes",'Controls &amp; Summary'!$B$5,'Controls &amp; Summary'!$B$4)</x:f>
        <x:v>3</x:v>
      </x:c>
      <x:c r="J351" s="31" t="n">
        <x:v>5.16</x:v>
      </x:c>
      <x:c r="K351" s="31" t="n">
        <x:v>8.73</x:v>
      </x:c>
      <x:c r="L351" s="31" t="n">
        <x:f>ABS(J351-K351)</x:f>
        <x:v>3.5700000000000003</x:v>
      </x:c>
      <x:c r="M351" s="31" t="n">
        <x:v>3.77</x:v>
      </x:c>
      <x:c r="N351" s="31" t="n">
        <x:v>2.7</x:v>
      </x:c>
      <x:c r="O351" s="31" t="n">
        <x:f>ABS(M351-N351)</x:f>
        <x:v>1.0699999999999998</x:v>
      </x:c>
      <x:c r="P351" s="31" t="n">
        <x:v>7.04</x:v>
      </x:c>
      <x:c r="Q351" s="31" t="n">
        <x:v>8.6</x:v>
      </x:c>
      <x:c r="R351" s="31" t="n">
        <x:f>ABS(P351-Q351)</x:f>
        <x:v>1.5599999999999996</x:v>
      </x:c>
      <x:c r="S351" s="32" t="n">
        <x:v>7812.9539838514465</x:v>
      </x:c>
      <x:c r="T351" s="32" t="n">
        <x:v>30861.417571679718</x:v>
      </x:c>
      <x:c r="U351" s="31" t="n">
        <x:f>MAX(S351/T351,T351/S351)</x:f>
        <x:v>3.9500319130852453</x:v>
      </x:c>
      <x:c r="V351" s="31" t="n">
        <x:f>L351*'Controls &amp; Summary'!$B$9+O351*'Controls &amp; Summary'!$B$10+R351*'Controls &amp; Summary'!$B$11+U351*'Controls &amp; Summary'!$B$12</x:f>
        <x:v>10.150031913085245</x:v>
      </x:c>
      <x:c r="W351" s="31" t="n">
        <x:v>0.03</x:v>
      </x:c>
      <x:c r="X351" s="31" t="n">
        <x:v>1.45</x:v>
      </x:c>
      <x:c r="Y351" s="31" t="n">
        <x:f>((10-MIN(10,MAX(0,X351)))/10)*'Controls &amp; Summary'!$B$15+((10-MIN(10,MAX(0,W351)))/10)*'Controls &amp; Summary'!$B$16</x:f>
        <x:v>1.8520000000000003</x:v>
      </x:c>
      <x:c r="Z351" s="31" t="n">
        <x:f>V351*Y351</x:f>
        <x:v>18.797859103033876</x:v>
      </x:c>
      <x:c r="AA351" s="30" t="str">
        <x:f>IF(Z351&lt;=I351,"Peaceful","Hostile")</x:f>
        <x:v>Hostile</x:v>
      </x:c>
      <x:c r="AB351" s="30" t="str">
        <x:f>IF(Z351&lt;='Controls &amp; Summary'!$B$6,"Eligible","Blocked")</x:f>
        <x:v>Blocked</x:v>
      </x:c>
      <x:c r="AC351" s="30" t="str">
        <x:v>2003_RUS</x:v>
      </x:c>
      <x:c r="AD351" s="30" t="str">
        <x:v>2003_DEU</x:v>
      </x:c>
      <x:c r="AE351" s="30" t="str">
        <x:v>2003_EastGermany</x:v>
      </x:c>
      <x:c r="AF351" s="30" t="str">
        <x:v>Explicit capitalClaim</x:v>
      </x:c>
      <x:c r="AG351" s="30" t="str">
        <x:v>Claim2003_RUS2003_EastGermany</x:v>
      </x:c>
      <x:c r="AH351" s="30" t="str">
        <x:v>Project_RestoredWarsawPact</x:v>
      </x:c>
    </x:row>
    <x:row r="352">
      <x:c r="A352" s="30" t="str">
        <x:v>2003</x:v>
      </x:c>
      <x:c r="B352" s="30" t="str">
        <x:v>Dark Skies</x:v>
      </x:c>
      <x:c r="C352" s="30" t="str">
        <x:v>Russia</x:v>
      </x:c>
      <x:c r="D352" s="30" t="str">
        <x:v>Greece</x:v>
      </x:c>
      <x:c r="E352" s="30" t="str">
        <x:v>Project unlock</x:v>
      </x:c>
      <x:c r="F352" s="30" t="str">
        <x:v>Forward Russia</x:v>
      </x:c>
      <x:c r="G352" s="30" t="str">
        <x:v>Yes</x:v>
      </x:c>
      <x:c r="H352" s="30" t="str">
        <x:v>Template hostileClaim</x:v>
      </x:c>
      <x:c r="I352" s="31" t="n">
        <x:f>IF(G352="Yes",'Controls &amp; Summary'!$B$5,'Controls &amp; Summary'!$B$4)</x:f>
        <x:v>3</x:v>
      </x:c>
      <x:c r="J352" s="31" t="n">
        <x:v>5.16</x:v>
      </x:c>
      <x:c r="K352" s="31" t="n">
        <x:v>8.15</x:v>
      </x:c>
      <x:c r="L352" s="31" t="n">
        <x:f>ABS(J352-K352)</x:f>
        <x:v>2.99</x:v>
      </x:c>
      <x:c r="M352" s="31" t="n">
        <x:v>3.77</x:v>
      </x:c>
      <x:c r="N352" s="31" t="n">
        <x:v>3.3</x:v>
      </x:c>
      <x:c r="O352" s="31" t="n">
        <x:f>ABS(M352-N352)</x:f>
        <x:v>0.4700000000000002</x:v>
      </x:c>
      <x:c r="P352" s="31" t="n">
        <x:v>7.04</x:v>
      </x:c>
      <x:c r="Q352" s="31" t="n">
        <x:v>7.81</x:v>
      </x:c>
      <x:c r="R352" s="31" t="n">
        <x:f>ABS(P352-Q352)</x:f>
        <x:v>0.7699999999999996</x:v>
      </x:c>
      <x:c r="S352" s="32" t="n">
        <x:v>7812.9539838514465</x:v>
      </x:c>
      <x:c r="T352" s="32" t="n">
        <x:v>17740.59270211824</x:v>
      </x:c>
      <x:c r="U352" s="31" t="n">
        <x:f>MAX(S352/T352,T352/S352)</x:f>
        <x:v>2.2706639177430428</x:v>
      </x:c>
      <x:c r="V352" s="31" t="n">
        <x:f>L352*'Controls &amp; Summary'!$B$9+O352*'Controls &amp; Summary'!$B$10+R352*'Controls &amp; Summary'!$B$11+U352*'Controls &amp; Summary'!$B$12</x:f>
        <x:v>6.500663917743044</x:v>
      </x:c>
      <x:c r="W352" s="31" t="n">
        <x:v>0.03</x:v>
      </x:c>
      <x:c r="X352" s="31" t="n">
        <x:v>4.42</x:v>
      </x:c>
      <x:c r="Y352" s="31" t="n">
        <x:f>((10-MIN(10,MAX(0,X352)))/10)*'Controls &amp; Summary'!$B$15+((10-MIN(10,MAX(0,W352)))/10)*'Controls &amp; Summary'!$B$16</x:f>
        <x:v>1.5550000000000002</x:v>
      </x:c>
      <x:c r="Z352" s="31" t="n">
        <x:f>V352*Y352</x:f>
        <x:v>10.108532392090433</x:v>
      </x:c>
      <x:c r="AA352" s="30" t="str">
        <x:f>IF(Z352&lt;=I352,"Peaceful","Hostile")</x:f>
        <x:v>Hostile</x:v>
      </x:c>
      <x:c r="AB352" s="30" t="str">
        <x:f>IF(Z352&lt;='Controls &amp; Summary'!$B$6,"Eligible","Blocked")</x:f>
        <x:v>Eligible</x:v>
      </x:c>
      <x:c r="AC352" s="30" t="str">
        <x:v>2003_RUS</x:v>
      </x:c>
      <x:c r="AD352" s="30" t="str">
        <x:v>2003_GRE</x:v>
      </x:c>
      <x:c r="AE352" s="30" t="str">
        <x:v>2003_Greece</x:v>
      </x:c>
      <x:c r="AF352" s="30" t="str">
        <x:v>Explicit capitalClaim</x:v>
      </x:c>
      <x:c r="AG352" s="30" t="str">
        <x:v>Claim2003_RUS2003_Greece</x:v>
      </x:c>
      <x:c r="AH352" s="30" t="str">
        <x:v>Project_ForwardRussia</x:v>
      </x:c>
    </x:row>
    <x:row r="353">
      <x:c r="A353" s="30" t="str">
        <x:v>2003</x:v>
      </x:c>
      <x:c r="B353" s="30" t="str">
        <x:v>Dark Skies</x:v>
      </x:c>
      <x:c r="C353" s="30" t="str">
        <x:v>Russia</x:v>
      </x:c>
      <x:c r="D353" s="30" t="str">
        <x:v>Hungary</x:v>
      </x:c>
      <x:c r="E353" s="30" t="str">
        <x:v>Project unlock</x:v>
      </x:c>
      <x:c r="F353" s="30" t="str">
        <x:v>Restored Warsaw Pact</x:v>
      </x:c>
      <x:c r="G353" s="30" t="str">
        <x:v>Yes</x:v>
      </x:c>
      <x:c r="H353" s="30" t="str">
        <x:v>Approved expansion-project family</x:v>
      </x:c>
      <x:c r="I353" s="31" t="n">
        <x:f>IF(G353="Yes",'Controls &amp; Summary'!$B$5,'Controls &amp; Summary'!$B$4)</x:f>
        <x:v>3</x:v>
      </x:c>
      <x:c r="J353" s="31" t="n">
        <x:v>5.16</x:v>
      </x:c>
      <x:c r="K353" s="31" t="n">
        <x:v>7.67</x:v>
      </x:c>
      <x:c r="L353" s="31" t="n">
        <x:f>ABS(J353-K353)</x:f>
        <x:v>2.51</x:v>
      </x:c>
      <x:c r="M353" s="31" t="n">
        <x:v>3.77</x:v>
      </x:c>
      <x:c r="N353" s="31" t="n">
        <x:v>2.8</x:v>
      </x:c>
      <x:c r="O353" s="31" t="n">
        <x:f>ABS(M353-N353)</x:f>
        <x:v>0.9700000000000002</x:v>
      </x:c>
      <x:c r="P353" s="31" t="n">
        <x:v>7.04</x:v>
      </x:c>
      <x:c r="Q353" s="31" t="n">
        <x:v>7.42</x:v>
      </x:c>
      <x:c r="R353" s="31" t="n">
        <x:f>ABS(P353-Q353)</x:f>
        <x:v>0.3799999999999999</x:v>
      </x:c>
      <x:c r="S353" s="32" t="n">
        <x:v>7812.9539838514465</x:v>
      </x:c>
      <x:c r="T353" s="32" t="n">
        <x:v>10016.008762520943</x:v>
      </x:c>
      <x:c r="U353" s="31" t="n">
        <x:f>MAX(S353/T353,T353/S353)</x:f>
        <x:v>1.281974626143067</x:v>
      </x:c>
      <x:c r="V353" s="31" t="n">
        <x:f>L353*'Controls &amp; Summary'!$B$9+O353*'Controls &amp; Summary'!$B$10+R353*'Controls &amp; Summary'!$B$11+U353*'Controls &amp; Summary'!$B$12</x:f>
        <x:v>5.1419746261430666</x:v>
      </x:c>
      <x:c r="W353" s="31" t="n">
        <x:v>0.03</x:v>
      </x:c>
      <x:c r="X353" s="31" t="n">
        <x:v>0.8</x:v>
      </x:c>
      <x:c r="Y353" s="31" t="n">
        <x:f>((10-MIN(10,MAX(0,X353)))/10)*'Controls &amp; Summary'!$B$15+((10-MIN(10,MAX(0,W353)))/10)*'Controls &amp; Summary'!$B$16</x:f>
        <x:v>1.917</x:v>
      </x:c>
      <x:c r="Z353" s="31" t="n">
        <x:f>V353*Y353</x:f>
        <x:v>9.857165358316259</x:v>
      </x:c>
      <x:c r="AA353" s="30" t="str">
        <x:f>IF(Z353&lt;=I353,"Peaceful","Hostile")</x:f>
        <x:v>Hostile</x:v>
      </x:c>
      <x:c r="AB353" s="30" t="str">
        <x:f>IF(Z353&lt;='Controls &amp; Summary'!$B$6,"Eligible","Blocked")</x:f>
        <x:v>Eligible</x:v>
      </x:c>
      <x:c r="AC353" s="30" t="str">
        <x:v>2003_RUS</x:v>
      </x:c>
      <x:c r="AD353" s="30" t="str">
        <x:v>2003_HUN</x:v>
      </x:c>
      <x:c r="AE353" s="30" t="str">
        <x:v>2003_Hungary</x:v>
      </x:c>
      <x:c r="AF353" s="30" t="str">
        <x:v>Explicit capitalClaim</x:v>
      </x:c>
      <x:c r="AG353" s="30" t="str">
        <x:v>Claim2003_RUS2003_Hungary</x:v>
      </x:c>
      <x:c r="AH353" s="30" t="str">
        <x:v>Project_RestoredWarsawPact</x:v>
      </x:c>
    </x:row>
    <x:row r="354">
      <x:c r="A354" s="30" t="str">
        <x:v>2003</x:v>
      </x:c>
      <x:c r="B354" s="30" t="str">
        <x:v>Dark Skies</x:v>
      </x:c>
      <x:c r="C354" s="30" t="str">
        <x:v>Russia</x:v>
      </x:c>
      <x:c r="D354" s="30" t="str">
        <x:v>Italy</x:v>
      </x:c>
      <x:c r="E354" s="30" t="str">
        <x:v>Project unlock</x:v>
      </x:c>
      <x:c r="F354" s="30" t="str">
        <x:v>Forward Russia</x:v>
      </x:c>
      <x:c r="G354" s="30" t="str">
        <x:v>Yes</x:v>
      </x:c>
      <x:c r="H354" s="30" t="str">
        <x:v>Template hostileClaim</x:v>
      </x:c>
      <x:c r="I354" s="31" t="n">
        <x:f>IF(G354="Yes",'Controls &amp; Summary'!$B$5,'Controls &amp; Summary'!$B$4)</x:f>
        <x:v>3</x:v>
      </x:c>
      <x:c r="J354" s="31" t="n">
        <x:v>5.16</x:v>
      </x:c>
      <x:c r="K354" s="31" t="n">
        <x:v>7.58</x:v>
      </x:c>
      <x:c r="L354" s="31" t="n">
        <x:f>ABS(J354-K354)</x:f>
        <x:v>2.42</x:v>
      </x:c>
      <x:c r="M354" s="31" t="n">
        <x:v>3.77</x:v>
      </x:c>
      <x:c r="N354" s="31" t="n">
        <x:v>3.26</x:v>
      </x:c>
      <x:c r="O354" s="31" t="n">
        <x:f>ABS(M354-N354)</x:f>
        <x:v>0.5100000000000002</x:v>
      </x:c>
      <x:c r="P354" s="31" t="n">
        <x:v>7.04</x:v>
      </x:c>
      <x:c r="Q354" s="31" t="n">
        <x:v>8.07</x:v>
      </x:c>
      <x:c r="R354" s="31" t="n">
        <x:f>ABS(P354-Q354)</x:f>
        <x:v>1.0300000000000002</x:v>
      </x:c>
      <x:c r="S354" s="32" t="n">
        <x:v>7812.9539838514465</x:v>
      </x:c>
      <x:c r="T354" s="32" t="n">
        <x:v>27321.012917268232</x:v>
      </x:c>
      <x:c r="U354" s="31" t="n">
        <x:f>MAX(S354/T354,T354/S354)</x:f>
        <x:v>3.4968864495730925</x:v>
      </x:c>
      <x:c r="V354" s="31" t="n">
        <x:f>L354*'Controls &amp; Summary'!$B$9+O354*'Controls &amp; Summary'!$B$10+R354*'Controls &amp; Summary'!$B$11+U354*'Controls &amp; Summary'!$B$12</x:f>
        <x:v>7.456886449573092</x:v>
      </x:c>
      <x:c r="W354" s="31" t="n">
        <x:v>0.03</x:v>
      </x:c>
      <x:c r="X354" s="31" t="n">
        <x:v>1</x:v>
      </x:c>
      <x:c r="Y354" s="31" t="n">
        <x:f>((10-MIN(10,MAX(0,X354)))/10)*'Controls &amp; Summary'!$B$15+((10-MIN(10,MAX(0,W354)))/10)*'Controls &amp; Summary'!$B$16</x:f>
        <x:v>1.8970000000000002</x:v>
      </x:c>
      <x:c r="Z354" s="31" t="n">
        <x:f>V354*Y354</x:f>
        <x:v>14.145713594840158</x:v>
      </x:c>
      <x:c r="AA354" s="30" t="str">
        <x:f>IF(Z354&lt;=I354,"Peaceful","Hostile")</x:f>
        <x:v>Hostile</x:v>
      </x:c>
      <x:c r="AB354" s="30" t="str">
        <x:f>IF(Z354&lt;='Controls &amp; Summary'!$B$6,"Eligible","Blocked")</x:f>
        <x:v>Blocked</x:v>
      </x:c>
      <x:c r="AC354" s="30" t="str">
        <x:v>2003_RUS</x:v>
      </x:c>
      <x:c r="AD354" s="30" t="str">
        <x:v>2003_ITA</x:v>
      </x:c>
      <x:c r="AE354" s="30" t="str">
        <x:v>2003_Italy</x:v>
      </x:c>
      <x:c r="AF354" s="30" t="str">
        <x:v>Explicit capitalClaim</x:v>
      </x:c>
      <x:c r="AG354" s="30" t="str">
        <x:v>Claim2003_RUS2003_Italy</x:v>
      </x:c>
      <x:c r="AH354" s="30" t="str">
        <x:v>Project_ForwardRussia</x:v>
      </x:c>
    </x:row>
    <x:row r="355">
      <x:c r="A355" s="30" t="str">
        <x:v>2003</x:v>
      </x:c>
      <x:c r="B355" s="30" t="str">
        <x:v>Dark Skies</x:v>
      </x:c>
      <x:c r="C355" s="30" t="str">
        <x:v>Russia</x:v>
      </x:c>
      <x:c r="D355" s="30" t="str">
        <x:v>Kazakhstan</x:v>
      </x:c>
      <x:c r="E355" s="30" t="str">
        <x:v>Starting claim</x:v>
      </x:c>
      <x:c r="F355" s="30" t="str"/>
      <x:c r="G355" s="30" t="str">
        <x:v>No</x:v>
      </x:c>
      <x:c r="H355" s="30" t="str">
        <x:v>Ordinary claim</x:v>
      </x:c>
      <x:c r="I355" s="31" t="n">
        <x:f>IF(G355="Yes",'Controls &amp; Summary'!$B$5,'Controls &amp; Summary'!$B$4)</x:f>
        <x:v>6</x:v>
      </x:c>
      <x:c r="J355" s="31" t="n">
        <x:v>5.16</x:v>
      </x:c>
      <x:c r="K355" s="31" t="n">
        <x:v>3.61</x:v>
      </x:c>
      <x:c r="L355" s="31" t="n">
        <x:f>ABS(J355-K355)</x:f>
        <x:v>1.5500000000000003</x:v>
      </x:c>
      <x:c r="M355" s="31" t="n">
        <x:v>3.77</x:v>
      </x:c>
      <x:c r="N355" s="31" t="n">
        <x:v>3.09</x:v>
      </x:c>
      <x:c r="O355" s="31" t="n">
        <x:f>ABS(M355-N355)</x:f>
        <x:v>0.6800000000000002</x:v>
      </x:c>
      <x:c r="P355" s="31" t="n">
        <x:v>7.04</x:v>
      </x:c>
      <x:c r="Q355" s="31" t="n">
        <x:v>6.6</x:v>
      </x:c>
      <x:c r="R355" s="31" t="n">
        <x:f>ABS(P355-Q355)</x:f>
        <x:v>0.4400000000000004</x:v>
      </x:c>
      <x:c r="S355" s="32" t="n">
        <x:v>7812.9539838514465</x:v>
      </x:c>
      <x:c r="T355" s="32" t="n">
        <x:v>5957.809047663802</x:v>
      </x:c>
      <x:c r="U355" s="31" t="n">
        <x:f>MAX(S355/T355,T355/S355)</x:f>
        <x:v>1.3113803952671312</x:v>
      </x:c>
      <x:c r="V355" s="31" t="n">
        <x:f>L355*'Controls &amp; Summary'!$B$9+O355*'Controls &amp; Summary'!$B$10+R355*'Controls &amp; Summary'!$B$11+U355*'Controls &amp; Summary'!$B$12</x:f>
        <x:v>3.981380395267132</x:v>
      </x:c>
      <x:c r="W355" s="31" t="n">
        <x:v>0.03</x:v>
      </x:c>
      <x:c r="X355" s="31" t="n">
        <x:v>3.62</x:v>
      </x:c>
      <x:c r="Y355" s="31" t="n">
        <x:f>((10-MIN(10,MAX(0,X355)))/10)*'Controls &amp; Summary'!$B$15+((10-MIN(10,MAX(0,W355)))/10)*'Controls &amp; Summary'!$B$16</x:f>
        <x:v>1.6350000000000002</x:v>
      </x:c>
      <x:c r="Z355" s="31" t="n">
        <x:f>V355*Y355</x:f>
        <x:v>6.509556946261762</x:v>
      </x:c>
      <x:c r="AA355" s="30" t="str">
        <x:f>IF(Z355&lt;=I355,"Peaceful","Hostile")</x:f>
        <x:v>Hostile</x:v>
      </x:c>
      <x:c r="AB355" s="30" t="str">
        <x:f>IF(Z355&lt;='Controls &amp; Summary'!$B$6,"Eligible","Blocked")</x:f>
        <x:v>Eligible</x:v>
      </x:c>
      <x:c r="AC355" s="30" t="str">
        <x:v>2003_RUS</x:v>
      </x:c>
      <x:c r="AD355" s="30" t="str">
        <x:v>2003_KAZ</x:v>
      </x:c>
      <x:c r="AE355" s="30" t="str">
        <x:v>2003_Astana</x:v>
      </x:c>
      <x:c r="AF355" s="30" t="str">
        <x:v>Explicit capitalClaim</x:v>
      </x:c>
      <x:c r="AG355" s="30" t="str">
        <x:v>Claim2003_RUS2003_Astana</x:v>
      </x:c>
      <x:c r="AH355" s="30" t="str"/>
    </x:row>
    <x:row r="356">
      <x:c r="A356" s="30" t="str">
        <x:v>2003</x:v>
      </x:c>
      <x:c r="B356" s="30" t="str">
        <x:v>Dark Skies</x:v>
      </x:c>
      <x:c r="C356" s="30" t="str">
        <x:v>Russia</x:v>
      </x:c>
      <x:c r="D356" s="30" t="str">
        <x:v>Kosovo</x:v>
      </x:c>
      <x:c r="E356" s="30" t="str">
        <x:v>Project unlock</x:v>
      </x:c>
      <x:c r="F356" s="30" t="str">
        <x:v>Forward Russia</x:v>
      </x:c>
      <x:c r="G356" s="30" t="str">
        <x:v>Yes</x:v>
      </x:c>
      <x:c r="H356" s="30" t="str">
        <x:v>Template hostileClaim</x:v>
      </x:c>
      <x:c r="I356" s="31" t="n">
        <x:f>IF(G356="Yes",'Controls &amp; Summary'!$B$5,'Controls &amp; Summary'!$B$4)</x:f>
        <x:v>3</x:v>
      </x:c>
      <x:c r="J356" s="31" t="n">
        <x:v>5.16</x:v>
      </x:c>
      <x:c r="K356" s="31" t="n">
        <x:v>5.33</x:v>
      </x:c>
      <x:c r="L356" s="31" t="n">
        <x:f>ABS(J356-K356)</x:f>
        <x:v>0.16999999999999993</x:v>
      </x:c>
      <x:c r="M356" s="31" t="n">
        <x:v>3.77</x:v>
      </x:c>
      <x:c r="N356" s="31" t="n">
        <x:v>3.16</x:v>
      </x:c>
      <x:c r="O356" s="31" t="n">
        <x:f>ABS(M356-N356)</x:f>
        <x:v>0.6099999999999999</x:v>
      </x:c>
      <x:c r="P356" s="31" t="n">
        <x:v>7.04</x:v>
      </x:c>
      <x:c r="Q356" s="31" t="n">
        <x:v>6.81</x:v>
      </x:c>
      <x:c r="R356" s="31" t="n">
        <x:f>ABS(P356-Q356)</x:f>
        <x:v>0.23000000000000043</x:v>
      </x:c>
      <x:c r="S356" s="32" t="n">
        <x:v>7812.9539838514465</x:v>
      </x:c>
      <x:c r="T356" s="32" t="n">
        <x:v>2667.1344428542175</x:v>
      </x:c>
      <x:c r="U356" s="31" t="n">
        <x:f>MAX(S356/T356,T356/S356)</x:f>
        <x:v>2.929343889950468</x:v>
      </x:c>
      <x:c r="V356" s="31" t="n">
        <x:f>L356*'Controls &amp; Summary'!$B$9+O356*'Controls &amp; Summary'!$B$10+R356*'Controls &amp; Summary'!$B$11+U356*'Controls &amp; Summary'!$B$12</x:f>
        <x:v>3.939343889950468</x:v>
      </x:c>
      <x:c r="W356" s="31" t="n">
        <x:v>0.03</x:v>
      </x:c>
      <x:c r="X356" s="31" t="n">
        <x:v>4.64</x:v>
      </x:c>
      <x:c r="Y356" s="31" t="n">
        <x:f>((10-MIN(10,MAX(0,X356)))/10)*'Controls &amp; Summary'!$B$15+((10-MIN(10,MAX(0,W356)))/10)*'Controls &amp; Summary'!$B$16</x:f>
        <x:v>1.5330000000000001</x:v>
      </x:c>
      <x:c r="Z356" s="31" t="n">
        <x:f>V356*Y356</x:f>
        <x:v>6.039014183294068</x:v>
      </x:c>
      <x:c r="AA356" s="30" t="str">
        <x:f>IF(Z356&lt;=I356,"Peaceful","Hostile")</x:f>
        <x:v>Hostile</x:v>
      </x:c>
      <x:c r="AB356" s="30" t="str">
        <x:f>IF(Z356&lt;='Controls &amp; Summary'!$B$6,"Eligible","Blocked")</x:f>
        <x:v>Eligible</x:v>
      </x:c>
      <x:c r="AC356" s="30" t="str">
        <x:v>2003_RUS</x:v>
      </x:c>
      <x:c r="AD356" s="30" t="str">
        <x:v>2003_KOS</x:v>
      </x:c>
      <x:c r="AE356" s="30" t="str">
        <x:v>2003_Kosovo</x:v>
      </x:c>
      <x:c r="AF356" s="30" t="str">
        <x:v>Explicit capitalClaim</x:v>
      </x:c>
      <x:c r="AG356" s="30" t="str">
        <x:v>Claim2003_RUS2003_Kosovo</x:v>
      </x:c>
      <x:c r="AH356" s="30" t="str">
        <x:v>Project_ForwardRussia</x:v>
      </x:c>
    </x:row>
    <x:row r="357">
      <x:c r="A357" s="30" t="str">
        <x:v>2003</x:v>
      </x:c>
      <x:c r="B357" s="30" t="str">
        <x:v>Dark Skies</x:v>
      </x:c>
      <x:c r="C357" s="30" t="str">
        <x:v>Russia</x:v>
      </x:c>
      <x:c r="D357" s="30" t="str">
        <x:v>Kyrgyzstan</x:v>
      </x:c>
      <x:c r="E357" s="30" t="str">
        <x:v>Starting claim</x:v>
      </x:c>
      <x:c r="F357" s="30" t="str"/>
      <x:c r="G357" s="30" t="str">
        <x:v>No</x:v>
      </x:c>
      <x:c r="H357" s="30" t="str">
        <x:v>Ordinary claim</x:v>
      </x:c>
      <x:c r="I357" s="31" t="n">
        <x:f>IF(G357="Yes",'Controls &amp; Summary'!$B$5,'Controls &amp; Summary'!$B$4)</x:f>
        <x:v>6</x:v>
      </x:c>
      <x:c r="J357" s="31" t="n">
        <x:v>5.16</x:v>
      </x:c>
      <x:c r="K357" s="31" t="n">
        <x:v>3.85</x:v>
      </x:c>
      <x:c r="L357" s="31" t="n">
        <x:f>ABS(J357-K357)</x:f>
        <x:v>1.31</x:v>
      </x:c>
      <x:c r="M357" s="31" t="n">
        <x:v>3.77</x:v>
      </x:c>
      <x:c r="N357" s="31" t="n">
        <x:v>3.46</x:v>
      </x:c>
      <x:c r="O357" s="31" t="n">
        <x:f>ABS(M357-N357)</x:f>
        <x:v>0.31000000000000005</x:v>
      </x:c>
      <x:c r="P357" s="31" t="n">
        <x:v>7.04</x:v>
      </x:c>
      <x:c r="Q357" s="31" t="n">
        <x:v>5.61</x:v>
      </x:c>
      <x:c r="R357" s="31" t="n">
        <x:f>ABS(P357-Q357)</x:f>
        <x:v>1.4299999999999997</x:v>
      </x:c>
      <x:c r="S357" s="32" t="n">
        <x:v>7812.9539838514465</x:v>
      </x:c>
      <x:c r="T357" s="32" t="n">
        <x:v>1493.3219967275404</x:v>
      </x:c>
      <x:c r="U357" s="31" t="n">
        <x:f>MAX(S357/T357,T357/S357)</x:f>
        <x:v>5.231928546537667</x:v>
      </x:c>
      <x:c r="V357" s="31" t="n">
        <x:f>L357*'Controls &amp; Summary'!$B$9+O357*'Controls &amp; Summary'!$B$10+R357*'Controls &amp; Summary'!$B$11+U357*'Controls &amp; Summary'!$B$12</x:f>
        <x:v>8.281928546537667</x:v>
      </x:c>
      <x:c r="W357" s="31" t="n">
        <x:v>0.03</x:v>
      </x:c>
      <x:c r="X357" s="31" t="n">
        <x:v>1.62</x:v>
      </x:c>
      <x:c r="Y357" s="31" t="n">
        <x:f>((10-MIN(10,MAX(0,X357)))/10)*'Controls &amp; Summary'!$B$15+((10-MIN(10,MAX(0,W357)))/10)*'Controls &amp; Summary'!$B$16</x:f>
        <x:v>1.835</x:v>
      </x:c>
      <x:c r="Z357" s="31" t="n">
        <x:f>V357*Y357</x:f>
        <x:v>15.19733888289662</x:v>
      </x:c>
      <x:c r="AA357" s="30" t="str">
        <x:f>IF(Z357&lt;=I357,"Peaceful","Hostile")</x:f>
        <x:v>Hostile</x:v>
      </x:c>
      <x:c r="AB357" s="30" t="str">
        <x:f>IF(Z357&lt;='Controls &amp; Summary'!$B$6,"Eligible","Blocked")</x:f>
        <x:v>Blocked</x:v>
      </x:c>
      <x:c r="AC357" s="30" t="str">
        <x:v>2003_RUS</x:v>
      </x:c>
      <x:c r="AD357" s="30" t="str">
        <x:v>2003_KGZ</x:v>
      </x:c>
      <x:c r="AE357" s="30" t="str">
        <x:v>2003_Kyrgyzstan</x:v>
      </x:c>
      <x:c r="AF357" s="30" t="str">
        <x:v>Explicit capitalClaim</x:v>
      </x:c>
      <x:c r="AG357" s="30" t="str">
        <x:v>Claim2003_RUS2003_Kyrgyzstan</x:v>
      </x:c>
      <x:c r="AH357" s="30" t="str"/>
    </x:row>
    <x:row r="358">
      <x:c r="A358" s="30" t="str">
        <x:v>2003</x:v>
      </x:c>
      <x:c r="B358" s="30" t="str">
        <x:v>Dark Skies</x:v>
      </x:c>
      <x:c r="C358" s="30" t="str">
        <x:v>Russia</x:v>
      </x:c>
      <x:c r="D358" s="30" t="str">
        <x:v>Latvia</x:v>
      </x:c>
      <x:c r="E358" s="30" t="str">
        <x:v>Starting claim</x:v>
      </x:c>
      <x:c r="F358" s="30" t="str"/>
      <x:c r="G358" s="30" t="str">
        <x:v>Yes</x:v>
      </x:c>
      <x:c r="H358" s="30" t="str">
        <x:v>Approved Russia-neighbor grievance</x:v>
      </x:c>
      <x:c r="I358" s="31" t="n">
        <x:f>IF(G358="Yes",'Controls &amp; Summary'!$B$5,'Controls &amp; Summary'!$B$4)</x:f>
        <x:v>3</x:v>
      </x:c>
      <x:c r="J358" s="31" t="n">
        <x:v>5.16</x:v>
      </x:c>
      <x:c r="K358" s="31" t="n">
        <x:v>7.47</x:v>
      </x:c>
      <x:c r="L358" s="31" t="n">
        <x:f>ABS(J358-K358)</x:f>
        <x:v>2.3099999999999996</x:v>
      </x:c>
      <x:c r="M358" s="31" t="n">
        <x:v>3.77</x:v>
      </x:c>
      <x:c r="N358" s="31" t="n">
        <x:v>3.41</x:v>
      </x:c>
      <x:c r="O358" s="31" t="n">
        <x:f>ABS(M358-N358)</x:f>
        <x:v>0.3599999999999999</x:v>
      </x:c>
      <x:c r="P358" s="31" t="n">
        <x:v>7.04</x:v>
      </x:c>
      <x:c r="Q358" s="31" t="n">
        <x:v>7.32</x:v>
      </x:c>
      <x:c r="R358" s="31" t="n">
        <x:f>ABS(P358-Q358)</x:f>
        <x:v>0.28000000000000025</x:v>
      </x:c>
      <x:c r="S358" s="32" t="n">
        <x:v>7812.9539838514465</x:v>
      </x:c>
      <x:c r="T358" s="32" t="n">
        <x:v>7469.285946516009</x:v>
      </x:c>
      <x:c r="U358" s="31" t="n">
        <x:f>MAX(S358/T358,T358/S358)</x:f>
        <x:v>1.0460108288524874</x:v>
      </x:c>
      <x:c r="V358" s="31" t="n">
        <x:f>L358*'Controls &amp; Summary'!$B$9+O358*'Controls &amp; Summary'!$B$10+R358*'Controls &amp; Summary'!$B$11+U358*'Controls &amp; Summary'!$B$12</x:f>
        <x:v>3.996010828852487</x:v>
      </x:c>
      <x:c r="W358" s="31" t="n">
        <x:v>0.03</x:v>
      </x:c>
      <x:c r="X358" s="31" t="n">
        <x:v>1.89</x:v>
      </x:c>
      <x:c r="Y358" s="31" t="n">
        <x:f>((10-MIN(10,MAX(0,X358)))/10)*'Controls &amp; Summary'!$B$15+((10-MIN(10,MAX(0,W358)))/10)*'Controls &amp; Summary'!$B$16</x:f>
        <x:v>1.808</x:v>
      </x:c>
      <x:c r="Z358" s="31" t="n">
        <x:f>V358*Y358</x:f>
        <x:v>7.224787578565297</x:v>
      </x:c>
      <x:c r="AA358" s="30" t="str">
        <x:f>IF(Z358&lt;=I358,"Peaceful","Hostile")</x:f>
        <x:v>Hostile</x:v>
      </x:c>
      <x:c r="AB358" s="30" t="str">
        <x:f>IF(Z358&lt;='Controls &amp; Summary'!$B$6,"Eligible","Blocked")</x:f>
        <x:v>Eligible</x:v>
      </x:c>
      <x:c r="AC358" s="30" t="str">
        <x:v>2003_RUS</x:v>
      </x:c>
      <x:c r="AD358" s="30" t="str">
        <x:v>2003_LVA</x:v>
      </x:c>
      <x:c r="AE358" s="30" t="str">
        <x:v>2003_Latvia</x:v>
      </x:c>
      <x:c r="AF358" s="30" t="str">
        <x:v>Explicit capitalClaim</x:v>
      </x:c>
      <x:c r="AG358" s="30" t="str">
        <x:v>Claim2003_RUS2003_Latvia</x:v>
      </x:c>
      <x:c r="AH358" s="30" t="str"/>
    </x:row>
    <x:row r="359">
      <x:c r="A359" s="30" t="str">
        <x:v>2003</x:v>
      </x:c>
      <x:c r="B359" s="30" t="str">
        <x:v>Dark Skies</x:v>
      </x:c>
      <x:c r="C359" s="30" t="str">
        <x:v>Russia</x:v>
      </x:c>
      <x:c r="D359" s="30" t="str">
        <x:v>Lithuania</x:v>
      </x:c>
      <x:c r="E359" s="30" t="str">
        <x:v>Starting claim</x:v>
      </x:c>
      <x:c r="F359" s="30" t="str"/>
      <x:c r="G359" s="30" t="str">
        <x:v>Yes</x:v>
      </x:c>
      <x:c r="H359" s="30" t="str">
        <x:v>Approved Russia-neighbor grievance</x:v>
      </x:c>
      <x:c r="I359" s="31" t="n">
        <x:f>IF(G359="Yes",'Controls &amp; Summary'!$B$5,'Controls &amp; Summary'!$B$4)</x:f>
        <x:v>3</x:v>
      </x:c>
      <x:c r="J359" s="31" t="n">
        <x:v>5.16</x:v>
      </x:c>
      <x:c r="K359" s="31" t="n">
        <x:v>7.38</x:v>
      </x:c>
      <x:c r="L359" s="31" t="n">
        <x:f>ABS(J359-K359)</x:f>
        <x:v>2.2199999999999998</x:v>
      </x:c>
      <x:c r="M359" s="31" t="n">
        <x:v>3.77</x:v>
      </x:c>
      <x:c r="N359" s="31" t="n">
        <x:v>3.28</x:v>
      </x:c>
      <x:c r="O359" s="31" t="n">
        <x:f>ABS(M359-N359)</x:f>
        <x:v>0.4900000000000002</x:v>
      </x:c>
      <x:c r="P359" s="31" t="n">
        <x:v>7.04</x:v>
      </x:c>
      <x:c r="Q359" s="31" t="n">
        <x:v>7.48</x:v>
      </x:c>
      <x:c r="R359" s="31" t="n">
        <x:f>ABS(P359-Q359)</x:f>
        <x:v>0.4400000000000004</x:v>
      </x:c>
      <x:c r="S359" s="32" t="n">
        <x:v>7812.9539838514465</x:v>
      </x:c>
      <x:c r="T359" s="32" t="n">
        <x:v>8016.437482688086</x:v>
      </x:c>
      <x:c r="U359" s="31" t="n">
        <x:f>MAX(S359/T359,T359/S359)</x:f>
        <x:v>1.026044374414238</x:v>
      </x:c>
      <x:c r="V359" s="31" t="n">
        <x:f>L359*'Controls &amp; Summary'!$B$9+O359*'Controls &amp; Summary'!$B$10+R359*'Controls &amp; Summary'!$B$11+U359*'Controls &amp; Summary'!$B$12</x:f>
        <x:v>4.176044374414238</x:v>
      </x:c>
      <x:c r="W359" s="31" t="n">
        <x:v>0.03</x:v>
      </x:c>
      <x:c r="X359" s="31" t="n">
        <x:v>0.45</x:v>
      </x:c>
      <x:c r="Y359" s="31" t="n">
        <x:f>((10-MIN(10,MAX(0,X359)))/10)*'Controls &amp; Summary'!$B$15+((10-MIN(10,MAX(0,W359)))/10)*'Controls &amp; Summary'!$B$16</x:f>
        <x:v>1.9520000000000002</x:v>
      </x:c>
      <x:c r="Z359" s="31" t="n">
        <x:f>V359*Y359</x:f>
        <x:v>8.151638618856595</x:v>
      </x:c>
      <x:c r="AA359" s="30" t="str">
        <x:f>IF(Z359&lt;=I359,"Peaceful","Hostile")</x:f>
        <x:v>Hostile</x:v>
      </x:c>
      <x:c r="AB359" s="30" t="str">
        <x:f>IF(Z359&lt;='Controls &amp; Summary'!$B$6,"Eligible","Blocked")</x:f>
        <x:v>Eligible</x:v>
      </x:c>
      <x:c r="AC359" s="30" t="str">
        <x:v>2003_RUS</x:v>
      </x:c>
      <x:c r="AD359" s="30" t="str">
        <x:v>2003_LTU</x:v>
      </x:c>
      <x:c r="AE359" s="30" t="str">
        <x:v>2003_Lithuania</x:v>
      </x:c>
      <x:c r="AF359" s="30" t="str">
        <x:v>Explicit capitalClaim</x:v>
      </x:c>
      <x:c r="AG359" s="30" t="str">
        <x:v>Claim2003_RUS2003_Lithuania</x:v>
      </x:c>
      <x:c r="AH359" s="30" t="str"/>
    </x:row>
    <x:row r="360">
      <x:c r="A360" s="30" t="str">
        <x:v>2003</x:v>
      </x:c>
      <x:c r="B360" s="30" t="str">
        <x:v>Dark Skies</x:v>
      </x:c>
      <x:c r="C360" s="30" t="str">
        <x:v>Russia</x:v>
      </x:c>
      <x:c r="D360" s="30" t="str">
        <x:v>Moldova</x:v>
      </x:c>
      <x:c r="E360" s="30" t="str">
        <x:v>Starting claim</x:v>
      </x:c>
      <x:c r="F360" s="30" t="str"/>
      <x:c r="G360" s="30" t="str">
        <x:v>Yes</x:v>
      </x:c>
      <x:c r="H360" s="30" t="str">
        <x:v>Approved Russia-neighbor grievance</x:v>
      </x:c>
      <x:c r="I360" s="31" t="n">
        <x:f>IF(G360="Yes",'Controls &amp; Summary'!$B$5,'Controls &amp; Summary'!$B$4)</x:f>
        <x:v>3</x:v>
      </x:c>
      <x:c r="J360" s="31" t="n">
        <x:v>5.16</x:v>
      </x:c>
      <x:c r="K360" s="31" t="n">
        <x:v>6.75</x:v>
      </x:c>
      <x:c r="L360" s="31" t="n">
        <x:f>ABS(J360-K360)</x:f>
        <x:v>1.5899999999999999</x:v>
      </x:c>
      <x:c r="M360" s="31" t="n">
        <x:v>3.77</x:v>
      </x:c>
      <x:c r="N360" s="31" t="n">
        <x:v>3.77</x:v>
      </x:c>
      <x:c r="O360" s="31" t="n">
        <x:f>ABS(M360-N360)</x:f>
        <x:v>0</x:v>
      </x:c>
      <x:c r="P360" s="31" t="n">
        <x:v>7.04</x:v>
      </x:c>
      <x:c r="Q360" s="31" t="n">
        <x:v>6.27</x:v>
      </x:c>
      <x:c r="R360" s="31" t="n">
        <x:f>ABS(P360-Q360)</x:f>
        <x:v>0.7700000000000005</x:v>
      </x:c>
      <x:c r="S360" s="32" t="n">
        <x:v>7812.9539838514465</x:v>
      </x:c>
      <x:c r="T360" s="32" t="n">
        <x:v>1929.9841034580347</x:v>
      </x:c>
      <x:c r="U360" s="31" t="n">
        <x:f>MAX(S360/T360,T360/S360)</x:f>
        <x:v>4.048196029103371</x:v>
      </x:c>
      <x:c r="V360" s="31" t="n">
        <x:f>L360*'Controls &amp; Summary'!$B$9+O360*'Controls &amp; Summary'!$B$10+R360*'Controls &amp; Summary'!$B$11+U360*'Controls &amp; Summary'!$B$12</x:f>
        <x:v>6.4081960291033715</x:v>
      </x:c>
      <x:c r="W360" s="31" t="n">
        <x:v>0.03</x:v>
      </x:c>
      <x:c r="X360" s="31" t="n">
        <x:v>1.12</x:v>
      </x:c>
      <x:c r="Y360" s="31" t="n">
        <x:f>((10-MIN(10,MAX(0,X360)))/10)*'Controls &amp; Summary'!$B$15+((10-MIN(10,MAX(0,W360)))/10)*'Controls &amp; Summary'!$B$16</x:f>
        <x:v>1.885</x:v>
      </x:c>
      <x:c r="Z360" s="31" t="n">
        <x:f>V360*Y360</x:f>
        <x:v>12.079449514859855</x:v>
      </x:c>
      <x:c r="AA360" s="30" t="str">
        <x:f>IF(Z360&lt;=I360,"Peaceful","Hostile")</x:f>
        <x:v>Hostile</x:v>
      </x:c>
      <x:c r="AB360" s="30" t="str">
        <x:f>IF(Z360&lt;='Controls &amp; Summary'!$B$6,"Eligible","Blocked")</x:f>
        <x:v>Blocked</x:v>
      </x:c>
      <x:c r="AC360" s="30" t="str">
        <x:v>2003_RUS</x:v>
      </x:c>
      <x:c r="AD360" s="30" t="str">
        <x:v>2003_MOL</x:v>
      </x:c>
      <x:c r="AE360" s="30" t="str">
        <x:v>2003_Moldova</x:v>
      </x:c>
      <x:c r="AF360" s="30" t="str">
        <x:v>Explicit capitalClaim</x:v>
      </x:c>
      <x:c r="AG360" s="30" t="str">
        <x:v>Claim2003_RUS2003_Moldova</x:v>
      </x:c>
      <x:c r="AH360" s="30" t="str"/>
    </x:row>
    <x:row r="361">
      <x:c r="A361" s="30" t="str">
        <x:v>2003</x:v>
      </x:c>
      <x:c r="B361" s="30" t="str">
        <x:v>Dark Skies</x:v>
      </x:c>
      <x:c r="C361" s="30" t="str">
        <x:v>Russia</x:v>
      </x:c>
      <x:c r="D361" s="30" t="str">
        <x:v>Mongolia</x:v>
      </x:c>
      <x:c r="E361" s="30" t="str">
        <x:v>Project unlock</x:v>
      </x:c>
      <x:c r="F361" s="30" t="str">
        <x:v>Forward Russia</x:v>
      </x:c>
      <x:c r="G361" s="30" t="str">
        <x:v>Yes</x:v>
      </x:c>
      <x:c r="H361" s="30" t="str">
        <x:v>Approved expansion-project family</x:v>
      </x:c>
      <x:c r="I361" s="31" t="n">
        <x:f>IF(G361="Yes",'Controls &amp; Summary'!$B$5,'Controls &amp; Summary'!$B$4)</x:f>
        <x:v>3</x:v>
      </x:c>
      <x:c r="J361" s="31" t="n">
        <x:v>5.16</x:v>
      </x:c>
      <x:c r="K361" s="31" t="n">
        <x:v>6.48</x:v>
      </x:c>
      <x:c r="L361" s="31" t="n">
        <x:f>ABS(J361-K361)</x:f>
        <x:v>1.3200000000000003</x:v>
      </x:c>
      <x:c r="M361" s="31" t="n">
        <x:v>3.77</x:v>
      </x:c>
      <x:c r="N361" s="31" t="n">
        <x:v>3.43</x:v>
      </x:c>
      <x:c r="O361" s="31" t="n">
        <x:f>ABS(M361-N361)</x:f>
        <x:v>0.33999999999999986</x:v>
      </x:c>
      <x:c r="P361" s="31" t="n">
        <x:v>7.04</x:v>
      </x:c>
      <x:c r="Q361" s="31" t="n">
        <x:v>5.62</x:v>
      </x:c>
      <x:c r="R361" s="31" t="n">
        <x:f>ABS(P361-Q361)</x:f>
        <x:v>1.42</x:v>
      </x:c>
      <x:c r="S361" s="32" t="n">
        <x:v>7812.9539838514465</x:v>
      </x:c>
      <x:c r="T361" s="32" t="n">
        <x:v>2305.2735211485424</x:v>
      </x:c>
      <x:c r="U361" s="31" t="n">
        <x:f>MAX(S361/T361,T361/S361)</x:f>
        <x:v>3.3891657159879434</x:v>
      </x:c>
      <x:c r="V361" s="31" t="n">
        <x:f>L361*'Controls &amp; Summary'!$B$9+O361*'Controls &amp; Summary'!$B$10+R361*'Controls &amp; Summary'!$B$11+U361*'Controls &amp; Summary'!$B$12</x:f>
        <x:v>6.469165715987943</x:v>
      </x:c>
      <x:c r="W361" s="31" t="n">
        <x:v>0.03</x:v>
      </x:c>
      <x:c r="X361" s="31" t="n">
        <x:v>1.17</x:v>
      </x:c>
      <x:c r="Y361" s="31" t="n">
        <x:f>((10-MIN(10,MAX(0,X361)))/10)*'Controls &amp; Summary'!$B$15+((10-MIN(10,MAX(0,W361)))/10)*'Controls &amp; Summary'!$B$16</x:f>
        <x:v>1.8800000000000001</x:v>
      </x:c>
      <x:c r="Z361" s="31" t="n">
        <x:f>V361*Y361</x:f>
        <x:v>12.162031546057333</x:v>
      </x:c>
      <x:c r="AA361" s="30" t="str">
        <x:f>IF(Z361&lt;=I361,"Peaceful","Hostile")</x:f>
        <x:v>Hostile</x:v>
      </x:c>
      <x:c r="AB361" s="30" t="str">
        <x:f>IF(Z361&lt;='Controls &amp; Summary'!$B$6,"Eligible","Blocked")</x:f>
        <x:v>Blocked</x:v>
      </x:c>
      <x:c r="AC361" s="30" t="str">
        <x:v>2003_RUS</x:v>
      </x:c>
      <x:c r="AD361" s="30" t="str">
        <x:v>2003_MNG</x:v>
      </x:c>
      <x:c r="AE361" s="30" t="str">
        <x:v>2003_Mongolia</x:v>
      </x:c>
      <x:c r="AF361" s="30" t="str">
        <x:v>Explicit capitalClaim</x:v>
      </x:c>
      <x:c r="AG361" s="30" t="str">
        <x:v>Claim2003_RUS2003_Mongolia</x:v>
      </x:c>
      <x:c r="AH361" s="30" t="str">
        <x:v>Project_ForwardRussia</x:v>
      </x:c>
    </x:row>
    <x:row r="362">
      <x:c r="A362" s="30" t="str">
        <x:v>2003</x:v>
      </x:c>
      <x:c r="B362" s="30" t="str">
        <x:v>Dark Skies</x:v>
      </x:c>
      <x:c r="C362" s="30" t="str">
        <x:v>Russia</x:v>
      </x:c>
      <x:c r="D362" s="30" t="str">
        <x:v>Netherlands</x:v>
      </x:c>
      <x:c r="E362" s="30" t="str">
        <x:v>Project unlock</x:v>
      </x:c>
      <x:c r="F362" s="30" t="str">
        <x:v>Forward Russia</x:v>
      </x:c>
      <x:c r="G362" s="30" t="str">
        <x:v>Yes</x:v>
      </x:c>
      <x:c r="H362" s="30" t="str">
        <x:v>Template hostileClaim</x:v>
      </x:c>
      <x:c r="I362" s="31" t="n">
        <x:f>IF(G362="Yes",'Controls &amp; Summary'!$B$5,'Controls &amp; Summary'!$B$4)</x:f>
        <x:v>3</x:v>
      </x:c>
      <x:c r="J362" s="31" t="n">
        <x:v>5.16</x:v>
      </x:c>
      <x:c r="K362" s="31" t="n">
        <x:v>9.62</x:v>
      </x:c>
      <x:c r="L362" s="31" t="n">
        <x:f>ABS(J362-K362)</x:f>
        <x:v>4.459999999999999</x:v>
      </x:c>
      <x:c r="M362" s="31" t="n">
        <x:v>3.77</x:v>
      </x:c>
      <x:c r="N362" s="31" t="n">
        <x:v>2.64</x:v>
      </x:c>
      <x:c r="O362" s="31" t="n">
        <x:f>ABS(M362-N362)</x:f>
        <x:v>1.13</x:v>
      </x:c>
      <x:c r="P362" s="31" t="n">
        <x:v>7.04</x:v>
      </x:c>
      <x:c r="Q362" s="31" t="n">
        <x:v>8.45</x:v>
      </x:c>
      <x:c r="R362" s="31" t="n">
        <x:f>ABS(P362-Q362)</x:f>
        <x:v>1.4099999999999993</x:v>
      </x:c>
      <x:c r="S362" s="32" t="n">
        <x:v>7812.9539838514465</x:v>
      </x:c>
      <x:c r="T362" s="32" t="n">
        <x:v>35255.779272891494</x:v>
      </x:c>
      <x:c r="U362" s="31" t="n">
        <x:f>MAX(S362/T362,T362/S362)</x:f>
        <x:v>4.51247752716341</x:v>
      </x:c>
      <x:c r="V362" s="31" t="n">
        <x:f>L362*'Controls &amp; Summary'!$B$9+O362*'Controls &amp; Summary'!$B$10+R362*'Controls &amp; Summary'!$B$11+U362*'Controls &amp; Summary'!$B$12</x:f>
        <x:v>11.512477527163409</x:v>
      </x:c>
      <x:c r="W362" s="31" t="n">
        <x:v>0.03</x:v>
      </x:c>
      <x:c r="X362" s="31" t="n">
        <x:v>1.89</x:v>
      </x:c>
      <x:c r="Y362" s="31" t="n">
        <x:f>((10-MIN(10,MAX(0,X362)))/10)*'Controls &amp; Summary'!$B$15+((10-MIN(10,MAX(0,W362)))/10)*'Controls &amp; Summary'!$B$16</x:f>
        <x:v>1.808</x:v>
      </x:c>
      <x:c r="Z362" s="31" t="n">
        <x:f>V362*Y362</x:f>
        <x:v>20.814559369111443</x:v>
      </x:c>
      <x:c r="AA362" s="30" t="str">
        <x:f>IF(Z362&lt;=I362,"Peaceful","Hostile")</x:f>
        <x:v>Hostile</x:v>
      </x:c>
      <x:c r="AB362" s="30" t="str">
        <x:f>IF(Z362&lt;='Controls &amp; Summary'!$B$6,"Eligible","Blocked")</x:f>
        <x:v>Blocked</x:v>
      </x:c>
      <x:c r="AC362" s="30" t="str">
        <x:v>2003_RUS</x:v>
      </x:c>
      <x:c r="AD362" s="30" t="str">
        <x:v>2003_NET</x:v>
      </x:c>
      <x:c r="AE362" s="30" t="str">
        <x:v>2003_Netherlands</x:v>
      </x:c>
      <x:c r="AF362" s="30" t="str">
        <x:v>Explicit capitalClaim</x:v>
      </x:c>
      <x:c r="AG362" s="30" t="str">
        <x:v>Claim2003_RUS2003_Netherlands</x:v>
      </x:c>
      <x:c r="AH362" s="30" t="str">
        <x:v>Project_ForwardRussia</x:v>
      </x:c>
    </x:row>
    <x:row r="363">
      <x:c r="A363" s="30" t="str">
        <x:v>2003</x:v>
      </x:c>
      <x:c r="B363" s="30" t="str">
        <x:v>Dark Skies</x:v>
      </x:c>
      <x:c r="C363" s="30" t="str">
        <x:v>Russia</x:v>
      </x:c>
      <x:c r="D363" s="30" t="str">
        <x:v>North Macedonia</x:v>
      </x:c>
      <x:c r="E363" s="30" t="str">
        <x:v>Project unlock</x:v>
      </x:c>
      <x:c r="F363" s="30" t="str">
        <x:v>Forward Russia</x:v>
      </x:c>
      <x:c r="G363" s="30" t="str">
        <x:v>Yes</x:v>
      </x:c>
      <x:c r="H363" s="30" t="str">
        <x:v>Template hostileClaim</x:v>
      </x:c>
      <x:c r="I363" s="31" t="n">
        <x:f>IF(G363="Yes",'Controls &amp; Summary'!$B$5,'Controls &amp; Summary'!$B$4)</x:f>
        <x:v>3</x:v>
      </x:c>
      <x:c r="J363" s="31" t="n">
        <x:v>5.16</x:v>
      </x:c>
      <x:c r="K363" s="31" t="n">
        <x:v>5.99</x:v>
      </x:c>
      <x:c r="L363" s="31" t="n">
        <x:f>ABS(J363-K363)</x:f>
        <x:v>0.8300000000000001</x:v>
      </x:c>
      <x:c r="M363" s="31" t="n">
        <x:v>3.77</x:v>
      </x:c>
      <x:c r="N363" s="31" t="n">
        <x:v>3.32</x:v>
      </x:c>
      <x:c r="O363" s="31" t="n">
        <x:f>ABS(M363-N363)</x:f>
        <x:v>0.4500000000000002</x:v>
      </x:c>
      <x:c r="P363" s="31" t="n">
        <x:v>7.04</x:v>
      </x:c>
      <x:c r="Q363" s="31" t="n">
        <x:v>6.24</x:v>
      </x:c>
      <x:c r="R363" s="31" t="n">
        <x:f>ABS(P363-Q363)</x:f>
        <x:v>0.7999999999999998</x:v>
      </x:c>
      <x:c r="S363" s="32" t="n">
        <x:v>7812.9539838514465</x:v>
      </x:c>
      <x:c r="T363" s="32" t="n">
        <x:v>4508.019288838196</x:v>
      </x:c>
      <x:c r="U363" s="31" t="n">
        <x:f>MAX(S363/T363,T363/S363)</x:f>
        <x:v>1.7331234591644784</x:v>
      </x:c>
      <x:c r="V363" s="31" t="n">
        <x:f>L363*'Controls &amp; Summary'!$B$9+O363*'Controls &amp; Summary'!$B$10+R363*'Controls &amp; Summary'!$B$11+U363*'Controls &amp; Summary'!$B$12</x:f>
        <x:v>3.8131234591644785</x:v>
      </x:c>
      <x:c r="W363" s="31" t="n">
        <x:v>0.03</x:v>
      </x:c>
      <x:c r="X363" s="31" t="n">
        <x:v>2</x:v>
      </x:c>
      <x:c r="Y363" s="31" t="n">
        <x:f>((10-MIN(10,MAX(0,X363)))/10)*'Controls &amp; Summary'!$B$15+((10-MIN(10,MAX(0,W363)))/10)*'Controls &amp; Summary'!$B$16</x:f>
        <x:v>1.7970000000000002</x:v>
      </x:c>
      <x:c r="Z363" s="31" t="n">
        <x:f>V363*Y363</x:f>
        <x:v>6.852182856118568</x:v>
      </x:c>
      <x:c r="AA363" s="30" t="str">
        <x:f>IF(Z363&lt;=I363,"Peaceful","Hostile")</x:f>
        <x:v>Hostile</x:v>
      </x:c>
      <x:c r="AB363" s="30" t="str">
        <x:f>IF(Z363&lt;='Controls &amp; Summary'!$B$6,"Eligible","Blocked")</x:f>
        <x:v>Eligible</x:v>
      </x:c>
      <x:c r="AC363" s="30" t="str">
        <x:v>2003_RUS</x:v>
      </x:c>
      <x:c r="AD363" s="30" t="str">
        <x:v>2003_MKD</x:v>
      </x:c>
      <x:c r="AE363" s="30" t="str">
        <x:v>2003_NorthMacedonia</x:v>
      </x:c>
      <x:c r="AF363" s="30" t="str">
        <x:v>Explicit capitalClaim</x:v>
      </x:c>
      <x:c r="AG363" s="30" t="str">
        <x:v>Claim2003_RUS2003_NorthMacedonia</x:v>
      </x:c>
      <x:c r="AH363" s="30" t="str">
        <x:v>Project_ForwardRussia</x:v>
      </x:c>
    </x:row>
    <x:row r="364">
      <x:c r="A364" s="30" t="str">
        <x:v>2003</x:v>
      </x:c>
      <x:c r="B364" s="30" t="str">
        <x:v>Dark Skies</x:v>
      </x:c>
      <x:c r="C364" s="30" t="str">
        <x:v>Russia</x:v>
      </x:c>
      <x:c r="D364" s="30" t="str">
        <x:v>Norway</x:v>
      </x:c>
      <x:c r="E364" s="30" t="str">
        <x:v>Project unlock</x:v>
      </x:c>
      <x:c r="F364" s="30" t="str">
        <x:v>Forward Russia</x:v>
      </x:c>
      <x:c r="G364" s="30" t="str">
        <x:v>Yes</x:v>
      </x:c>
      <x:c r="H364" s="30" t="str">
        <x:v>Template hostileClaim</x:v>
      </x:c>
      <x:c r="I364" s="31" t="n">
        <x:f>IF(G364="Yes",'Controls &amp; Summary'!$B$5,'Controls &amp; Summary'!$B$4)</x:f>
        <x:v>3</x:v>
      </x:c>
      <x:c r="J364" s="31" t="n">
        <x:v>5.16</x:v>
      </x:c>
      <x:c r="K364" s="31" t="n">
        <x:v>9.5</x:v>
      </x:c>
      <x:c r="L364" s="31" t="n">
        <x:f>ABS(J364-K364)</x:f>
        <x:v>4.34</x:v>
      </x:c>
      <x:c r="M364" s="31" t="n">
        <x:v>3.77</x:v>
      </x:c>
      <x:c r="N364" s="31" t="n">
        <x:v>2.64</x:v>
      </x:c>
      <x:c r="O364" s="31" t="n">
        <x:f>ABS(M364-N364)</x:f>
        <x:v>1.13</x:v>
      </x:c>
      <x:c r="P364" s="31" t="n">
        <x:v>7.04</x:v>
      </x:c>
      <x:c r="Q364" s="31" t="n">
        <x:v>8.77</x:v>
      </x:c>
      <x:c r="R364" s="31" t="n">
        <x:f>ABS(P364-Q364)</x:f>
        <x:v>1.7299999999999995</x:v>
      </x:c>
      <x:c r="S364" s="32" t="n">
        <x:v>7812.9539838514465</x:v>
      </x:c>
      <x:c r="T364" s="32" t="n">
        <x:v>45429.38162657577</x:v>
      </x:c>
      <x:c r="U364" s="31" t="n">
        <x:f>MAX(S364/T364,T364/S364)</x:f>
        <x:v>5.81462296085111</x:v>
      </x:c>
      <x:c r="V364" s="31" t="n">
        <x:f>L364*'Controls &amp; Summary'!$B$9+O364*'Controls &amp; Summary'!$B$10+R364*'Controls &amp; Summary'!$B$11+U364*'Controls &amp; Summary'!$B$12</x:f>
        <x:v>13.01462296085111</x:v>
      </x:c>
      <x:c r="W364" s="31" t="n">
        <x:v>0.03</x:v>
      </x:c>
      <x:c r="X364" s="31" t="n">
        <x:v>1.33</x:v>
      </x:c>
      <x:c r="Y364" s="31" t="n">
        <x:f>((10-MIN(10,MAX(0,X364)))/10)*'Controls &amp; Summary'!$B$15+((10-MIN(10,MAX(0,W364)))/10)*'Controls &amp; Summary'!$B$16</x:f>
        <x:v>1.864</x:v>
      </x:c>
      <x:c r="Z364" s="31" t="n">
        <x:f>V364*Y364</x:f>
        <x:v>24.25925719902647</x:v>
      </x:c>
      <x:c r="AA364" s="30" t="str">
        <x:f>IF(Z364&lt;=I364,"Peaceful","Hostile")</x:f>
        <x:v>Hostile</x:v>
      </x:c>
      <x:c r="AB364" s="30" t="str">
        <x:f>IF(Z364&lt;='Controls &amp; Summary'!$B$6,"Eligible","Blocked")</x:f>
        <x:v>Blocked</x:v>
      </x:c>
      <x:c r="AC364" s="30" t="str">
        <x:v>2003_RUS</x:v>
      </x:c>
      <x:c r="AD364" s="30" t="str">
        <x:v>2003_NOR</x:v>
      </x:c>
      <x:c r="AE364" s="30" t="str">
        <x:v>2003_Norway</x:v>
      </x:c>
      <x:c r="AF364" s="30" t="str">
        <x:v>Explicit capitalClaim</x:v>
      </x:c>
      <x:c r="AG364" s="30" t="str">
        <x:v>Claim2003_RUS2003_Norway</x:v>
      </x:c>
      <x:c r="AH364" s="30" t="str">
        <x:v>Project_ForwardRussia</x:v>
      </x:c>
    </x:row>
    <x:row r="365">
      <x:c r="A365" s="30" t="str">
        <x:v>2003</x:v>
      </x:c>
      <x:c r="B365" s="30" t="str">
        <x:v>Dark Skies</x:v>
      </x:c>
      <x:c r="C365" s="30" t="str">
        <x:v>Russia</x:v>
      </x:c>
      <x:c r="D365" s="30" t="str">
        <x:v>Poland</x:v>
      </x:c>
      <x:c r="E365" s="30" t="str">
        <x:v>Project unlock</x:v>
      </x:c>
      <x:c r="F365" s="30" t="str">
        <x:v>Restored Warsaw Pact</x:v>
      </x:c>
      <x:c r="G365" s="30" t="str">
        <x:v>Yes</x:v>
      </x:c>
      <x:c r="H365" s="30" t="str">
        <x:v>Template hostileClaim</x:v>
      </x:c>
      <x:c r="I365" s="31" t="n">
        <x:f>IF(G365="Yes",'Controls &amp; Summary'!$B$5,'Controls &amp; Summary'!$B$4)</x:f>
        <x:v>3</x:v>
      </x:c>
      <x:c r="J365" s="31" t="n">
        <x:v>5.16</x:v>
      </x:c>
      <x:c r="K365" s="31" t="n">
        <x:v>7.35</x:v>
      </x:c>
      <x:c r="L365" s="31" t="n">
        <x:f>ABS(J365-K365)</x:f>
        <x:v>2.1899999999999995</x:v>
      </x:c>
      <x:c r="M365" s="31" t="n">
        <x:v>3.77</x:v>
      </x:c>
      <x:c r="N365" s="31" t="n">
        <x:v>3.05</x:v>
      </x:c>
      <x:c r="O365" s="31" t="n">
        <x:f>ABS(M365-N365)</x:f>
        <x:v>0.7200000000000002</x:v>
      </x:c>
      <x:c r="P365" s="31" t="n">
        <x:v>7.04</x:v>
      </x:c>
      <x:c r="Q365" s="31" t="n">
        <x:v>7.59</x:v>
      </x:c>
      <x:c r="R365" s="31" t="n">
        <x:f>ABS(P365-Q365)</x:f>
        <x:v>0.5499999999999998</x:v>
      </x:c>
      <x:c r="S365" s="32" t="n">
        <x:v>7812.9539838514465</x:v>
      </x:c>
      <x:c r="T365" s="32" t="n">
        <x:v>7801.797037126732</x:v>
      </x:c>
      <x:c r="U365" s="31" t="n">
        <x:f>MAX(S365/T365,T365/S365)</x:f>
        <x:v>1.0014300483172816</x:v>
      </x:c>
      <x:c r="V365" s="31" t="n">
        <x:f>L365*'Controls &amp; Summary'!$B$9+O365*'Controls &amp; Summary'!$B$10+R365*'Controls &amp; Summary'!$B$11+U365*'Controls &amp; Summary'!$B$12</x:f>
        <x:v>4.461430048317281</x:v>
      </x:c>
      <x:c r="W365" s="31" t="n">
        <x:v>0.03</x:v>
      </x:c>
      <x:c r="X365" s="31" t="n">
        <x:v>2.03</x:v>
      </x:c>
      <x:c r="Y365" s="31" t="n">
        <x:f>((10-MIN(10,MAX(0,X365)))/10)*'Controls &amp; Summary'!$B$15+((10-MIN(10,MAX(0,W365)))/10)*'Controls &amp; Summary'!$B$16</x:f>
        <x:v>1.794</x:v>
      </x:c>
      <x:c r="Z365" s="31" t="n">
        <x:f>V365*Y365</x:f>
        <x:v>8.003805506681202</x:v>
      </x:c>
      <x:c r="AA365" s="30" t="str">
        <x:f>IF(Z365&lt;=I365,"Peaceful","Hostile")</x:f>
        <x:v>Hostile</x:v>
      </x:c>
      <x:c r="AB365" s="30" t="str">
        <x:f>IF(Z365&lt;='Controls &amp; Summary'!$B$6,"Eligible","Blocked")</x:f>
        <x:v>Eligible</x:v>
      </x:c>
      <x:c r="AC365" s="30" t="str">
        <x:v>2003_RUS</x:v>
      </x:c>
      <x:c r="AD365" s="30" t="str">
        <x:v>2003_POL</x:v>
      </x:c>
      <x:c r="AE365" s="30" t="str">
        <x:v>2003_Poland</x:v>
      </x:c>
      <x:c r="AF365" s="30" t="str">
        <x:v>Explicit capitalClaim</x:v>
      </x:c>
      <x:c r="AG365" s="30" t="str">
        <x:v>Claim2003_RUS2003_Poland</x:v>
      </x:c>
      <x:c r="AH365" s="30" t="str">
        <x:v>Project_RestoredWarsawPact</x:v>
      </x:c>
    </x:row>
    <x:row r="366">
      <x:c r="A366" s="30" t="str">
        <x:v>2003</x:v>
      </x:c>
      <x:c r="B366" s="30" t="str">
        <x:v>Dark Skies</x:v>
      </x:c>
      <x:c r="C366" s="30" t="str">
        <x:v>Russia</x:v>
      </x:c>
      <x:c r="D366" s="30" t="str">
        <x:v>Portugal</x:v>
      </x:c>
      <x:c r="E366" s="30" t="str">
        <x:v>Project unlock</x:v>
      </x:c>
      <x:c r="F366" s="30" t="str">
        <x:v>Forward Russia</x:v>
      </x:c>
      <x:c r="G366" s="30" t="str">
        <x:v>Yes</x:v>
      </x:c>
      <x:c r="H366" s="30" t="str">
        <x:v>Template hostileClaim</x:v>
      </x:c>
      <x:c r="I366" s="31" t="n">
        <x:f>IF(G366="Yes",'Controls &amp; Summary'!$B$5,'Controls &amp; Summary'!$B$4)</x:f>
        <x:v>3</x:v>
      </x:c>
      <x:c r="J366" s="31" t="n">
        <x:v>5.16</x:v>
      </x:c>
      <x:c r="K366" s="31" t="n">
        <x:v>8.03</x:v>
      </x:c>
      <x:c r="L366" s="31" t="n">
        <x:f>ABS(J366-K366)</x:f>
        <x:v>2.869999999999999</x:v>
      </x:c>
      <x:c r="M366" s="31" t="n">
        <x:v>3.77</x:v>
      </x:c>
      <x:c r="N366" s="31" t="n">
        <x:v>3.3</x:v>
      </x:c>
      <x:c r="O366" s="31" t="n">
        <x:f>ABS(M366-N366)</x:f>
        <x:v>0.4700000000000002</x:v>
      </x:c>
      <x:c r="P366" s="31" t="n">
        <x:v>7.04</x:v>
      </x:c>
      <x:c r="Q366" s="31" t="n">
        <x:v>7.43</x:v>
      </x:c>
      <x:c r="R366" s="31" t="n">
        <x:f>ABS(P366-Q366)</x:f>
        <x:v>0.3899999999999997</x:v>
      </x:c>
      <x:c r="S366" s="32" t="n">
        <x:v>7812.9539838514465</x:v>
      </x:c>
      <x:c r="T366" s="32" t="n">
        <x:v>15800.733386294278</x:v>
      </x:c>
      <x:c r="U366" s="31" t="n">
        <x:f>MAX(S366/T366,T366/S366)</x:f>
        <x:v>2.022376353291307</x:v>
      </x:c>
      <x:c r="V366" s="31" t="n">
        <x:f>L366*'Controls &amp; Summary'!$B$9+O366*'Controls &amp; Summary'!$B$10+R366*'Controls &amp; Summary'!$B$11+U366*'Controls &amp; Summary'!$B$12</x:f>
        <x:v>5.7523763532913055</x:v>
      </x:c>
      <x:c r="W366" s="31" t="n">
        <x:v>0.03</x:v>
      </x:c>
      <x:c r="X366" s="31" t="n">
        <x:v>0.47</x:v>
      </x:c>
      <x:c r="Y366" s="31" t="n">
        <x:f>((10-MIN(10,MAX(0,X366)))/10)*'Controls &amp; Summary'!$B$15+((10-MIN(10,MAX(0,W366)))/10)*'Controls &amp; Summary'!$B$16</x:f>
        <x:v>1.9500000000000002</x:v>
      </x:c>
      <x:c r="Z366" s="31" t="n">
        <x:f>V366*Y366</x:f>
        <x:v>11.217133888918047</x:v>
      </x:c>
      <x:c r="AA366" s="30" t="str">
        <x:f>IF(Z366&lt;=I366,"Peaceful","Hostile")</x:f>
        <x:v>Hostile</x:v>
      </x:c>
      <x:c r="AB366" s="30" t="str">
        <x:f>IF(Z366&lt;='Controls &amp; Summary'!$B$6,"Eligible","Blocked")</x:f>
        <x:v>Eligible</x:v>
      </x:c>
      <x:c r="AC366" s="30" t="str">
        <x:v>2003_RUS</x:v>
      </x:c>
      <x:c r="AD366" s="30" t="str">
        <x:v>2003_PRT</x:v>
      </x:c>
      <x:c r="AE366" s="30" t="str">
        <x:v>2003_Portugal</x:v>
      </x:c>
      <x:c r="AF366" s="30" t="str">
        <x:v>Explicit capitalClaim</x:v>
      </x:c>
      <x:c r="AG366" s="30" t="str">
        <x:v>Claim2003_RUS2003_Portugal</x:v>
      </x:c>
      <x:c r="AH366" s="30" t="str">
        <x:v>Project_ForwardRussia</x:v>
      </x:c>
    </x:row>
    <x:row r="367">
      <x:c r="A367" s="30" t="str">
        <x:v>2003</x:v>
      </x:c>
      <x:c r="B367" s="30" t="str">
        <x:v>Dark Skies</x:v>
      </x:c>
      <x:c r="C367" s="30" t="str">
        <x:v>Russia</x:v>
      </x:c>
      <x:c r="D367" s="30" t="str">
        <x:v>Romania</x:v>
      </x:c>
      <x:c r="E367" s="30" t="str">
        <x:v>Project unlock</x:v>
      </x:c>
      <x:c r="F367" s="30" t="str">
        <x:v>Restored Warsaw Pact</x:v>
      </x:c>
      <x:c r="G367" s="30" t="str">
        <x:v>Yes</x:v>
      </x:c>
      <x:c r="H367" s="30" t="str">
        <x:v>Approved expansion-project family</x:v>
      </x:c>
      <x:c r="I367" s="31" t="n">
        <x:f>IF(G367="Yes",'Controls &amp; Summary'!$B$5,'Controls &amp; Summary'!$B$4)</x:f>
        <x:v>3</x:v>
      </x:c>
      <x:c r="J367" s="31" t="n">
        <x:v>5.16</x:v>
      </x:c>
      <x:c r="K367" s="31" t="n">
        <x:v>6.77</x:v>
      </x:c>
      <x:c r="L367" s="31" t="n">
        <x:f>ABS(J367-K367)</x:f>
        <x:v>1.6099999999999994</x:v>
      </x:c>
      <x:c r="M367" s="31" t="n">
        <x:v>3.77</x:v>
      </x:c>
      <x:c r="N367" s="31" t="n">
        <x:v>3.1</x:v>
      </x:c>
      <x:c r="O367" s="31" t="n">
        <x:f>ABS(M367-N367)</x:f>
        <x:v>0.6699999999999999</x:v>
      </x:c>
      <x:c r="P367" s="31" t="n">
        <x:v>7.04</x:v>
      </x:c>
      <x:c r="Q367" s="31" t="n">
        <x:v>6.78</x:v>
      </x:c>
      <x:c r="R367" s="31" t="n">
        <x:f>ABS(P367-Q367)</x:f>
        <x:v>0.2599999999999998</x:v>
      </x:c>
      <x:c r="S367" s="32" t="n">
        <x:v>7812.9539838514465</x:v>
      </x:c>
      <x:c r="T367" s="32" t="n">
        <x:v>6486.968196003881</x:v>
      </x:c>
      <x:c r="U367" s="31" t="n">
        <x:f>MAX(S367/T367,T367/S367)</x:f>
        <x:v>1.20440762892354</x:v>
      </x:c>
      <x:c r="V367" s="31" t="n">
        <x:f>L367*'Controls &amp; Summary'!$B$9+O367*'Controls &amp; Summary'!$B$10+R367*'Controls &amp; Summary'!$B$11+U367*'Controls &amp; Summary'!$B$12</x:f>
        <x:v>3.744407628923539</x:v>
      </x:c>
      <x:c r="W367" s="31" t="n">
        <x:v>0.03</x:v>
      </x:c>
      <x:c r="X367" s="31" t="n">
        <x:v>0.17</x:v>
      </x:c>
      <x:c r="Y367" s="31" t="n">
        <x:f>((10-MIN(10,MAX(0,X367)))/10)*'Controls &amp; Summary'!$B$15+((10-MIN(10,MAX(0,W367)))/10)*'Controls &amp; Summary'!$B$16</x:f>
        <x:v>1.98</x:v>
      </x:c>
      <x:c r="Z367" s="31" t="n">
        <x:f>V367*Y367</x:f>
        <x:v>7.413927105268606</x:v>
      </x:c>
      <x:c r="AA367" s="30" t="str">
        <x:f>IF(Z367&lt;=I367,"Peaceful","Hostile")</x:f>
        <x:v>Hostile</x:v>
      </x:c>
      <x:c r="AB367" s="30" t="str">
        <x:f>IF(Z367&lt;='Controls &amp; Summary'!$B$6,"Eligible","Blocked")</x:f>
        <x:v>Eligible</x:v>
      </x:c>
      <x:c r="AC367" s="30" t="str">
        <x:v>2003_RUS</x:v>
      </x:c>
      <x:c r="AD367" s="30" t="str">
        <x:v>2003_ROM</x:v>
      </x:c>
      <x:c r="AE367" s="30" t="str">
        <x:v>2003_Romania</x:v>
      </x:c>
      <x:c r="AF367" s="30" t="str">
        <x:v>Explicit capitalClaim</x:v>
      </x:c>
      <x:c r="AG367" s="30" t="str">
        <x:v>Claim2003_RUS2003_Romania</x:v>
      </x:c>
      <x:c r="AH367" s="30" t="str">
        <x:v>Project_RestoredWarsawPact</x:v>
      </x:c>
    </x:row>
    <x:row r="368">
      <x:c r="A368" s="30" t="str">
        <x:v>2003</x:v>
      </x:c>
      <x:c r="B368" s="30" t="str">
        <x:v>Dark Skies</x:v>
      </x:c>
      <x:c r="C368" s="30" t="str">
        <x:v>Russia</x:v>
      </x:c>
      <x:c r="D368" s="30" t="str">
        <x:v>Serbia</x:v>
      </x:c>
      <x:c r="E368" s="30" t="str">
        <x:v>Project unlock</x:v>
      </x:c>
      <x:c r="F368" s="30" t="str">
        <x:v>Forward Russia</x:v>
      </x:c>
      <x:c r="G368" s="30" t="str">
        <x:v>Yes</x:v>
      </x:c>
      <x:c r="H368" s="30" t="str">
        <x:v>Approved expansion-project family</x:v>
      </x:c>
      <x:c r="I368" s="31" t="n">
        <x:f>IF(G368="Yes",'Controls &amp; Summary'!$B$5,'Controls &amp; Summary'!$B$4)</x:f>
        <x:v>3</x:v>
      </x:c>
      <x:c r="J368" s="31" t="n">
        <x:v>5.16</x:v>
      </x:c>
      <x:c r="K368" s="31" t="n">
        <x:v>6.65</x:v>
      </x:c>
      <x:c r="L368" s="31" t="n">
        <x:f>ABS(J368-K368)</x:f>
        <x:v>1.4900000000000002</x:v>
      </x:c>
      <x:c r="M368" s="31" t="n">
        <x:v>3.77</x:v>
      </x:c>
      <x:c r="N368" s="31" t="n">
        <x:v>3.43</x:v>
      </x:c>
      <x:c r="O368" s="31" t="n">
        <x:f>ABS(M368-N368)</x:f>
        <x:v>0.33999999999999986</x:v>
      </x:c>
      <x:c r="P368" s="31" t="n">
        <x:v>7.04</x:v>
      </x:c>
      <x:c r="Q368" s="31" t="n">
        <x:v>6.46</x:v>
      </x:c>
      <x:c r="R368" s="31" t="n">
        <x:f>ABS(P368-Q368)</x:f>
        <x:v>0.5800000000000001</x:v>
      </x:c>
      <x:c r="S368" s="32" t="n">
        <x:v>7812.9539838514465</x:v>
      </x:c>
      <x:c r="T368" s="32" t="n">
        <x:v>4347.589668859871</x:v>
      </x:c>
      <x:c r="U368" s="31" t="n">
        <x:f>MAX(S368/T368,T368/S368)</x:f>
        <x:v>1.7970771344436343</x:v>
      </x:c>
      <x:c r="V368" s="31" t="n">
        <x:f>L368*'Controls &amp; Summary'!$B$9+O368*'Controls &amp; Summary'!$B$10+R368*'Controls &amp; Summary'!$B$11+U368*'Controls &amp; Summary'!$B$12</x:f>
        <x:v>4.207077134443635</x:v>
      </x:c>
      <x:c r="W368" s="31" t="n">
        <x:v>0.03</x:v>
      </x:c>
      <x:c r="X368" s="31" t="n">
        <x:v>3.06</x:v>
      </x:c>
      <x:c r="Y368" s="31" t="n">
        <x:f>((10-MIN(10,MAX(0,X368)))/10)*'Controls &amp; Summary'!$B$15+((10-MIN(10,MAX(0,W368)))/10)*'Controls &amp; Summary'!$B$16</x:f>
        <x:v>1.691</x:v>
      </x:c>
      <x:c r="Z368" s="31" t="n">
        <x:f>V368*Y368</x:f>
        <x:v>7.1141674343441865</x:v>
      </x:c>
      <x:c r="AA368" s="30" t="str">
        <x:f>IF(Z368&lt;=I368,"Peaceful","Hostile")</x:f>
        <x:v>Hostile</x:v>
      </x:c>
      <x:c r="AB368" s="30" t="str">
        <x:f>IF(Z368&lt;='Controls &amp; Summary'!$B$6,"Eligible","Blocked")</x:f>
        <x:v>Eligible</x:v>
      </x:c>
      <x:c r="AC368" s="30" t="str">
        <x:v>2003_RUS</x:v>
      </x:c>
      <x:c r="AD368" s="30" t="str">
        <x:v>2003_SER</x:v>
      </x:c>
      <x:c r="AE368" s="30" t="str">
        <x:v>2003_Belgrade</x:v>
      </x:c>
      <x:c r="AF368" s="30" t="str">
        <x:v>Explicit capitalClaim</x:v>
      </x:c>
      <x:c r="AG368" s="30" t="str">
        <x:v>Claim2003_RUS2003_Belgrade</x:v>
      </x:c>
      <x:c r="AH368" s="30" t="str">
        <x:v>Project_ForwardRussia</x:v>
      </x:c>
    </x:row>
    <x:row r="369">
      <x:c r="A369" s="30" t="str">
        <x:v>2003</x:v>
      </x:c>
      <x:c r="B369" s="30" t="str">
        <x:v>Dark Skies</x:v>
      </x:c>
      <x:c r="C369" s="30" t="str">
        <x:v>Russia</x:v>
      </x:c>
      <x:c r="D369" s="30" t="str">
        <x:v>Slovakia</x:v>
      </x:c>
      <x:c r="E369" s="30" t="str">
        <x:v>Project unlock</x:v>
      </x:c>
      <x:c r="F369" s="30" t="str">
        <x:v>Restored Warsaw Pact</x:v>
      </x:c>
      <x:c r="G369" s="30" t="str">
        <x:v>Yes</x:v>
      </x:c>
      <x:c r="H369" s="30" t="str">
        <x:v>Approved expansion-project family</x:v>
      </x:c>
      <x:c r="I369" s="31" t="n">
        <x:f>IF(G369="Yes",'Controls &amp; Summary'!$B$5,'Controls &amp; Summary'!$B$4)</x:f>
        <x:v>3</x:v>
      </x:c>
      <x:c r="J369" s="31" t="n">
        <x:v>5.16</x:v>
      </x:c>
      <x:c r="K369" s="31" t="n">
        <x:v>7.57</x:v>
      </x:c>
      <x:c r="L369" s="31" t="n">
        <x:f>ABS(J369-K369)</x:f>
        <x:v>2.41</x:v>
      </x:c>
      <x:c r="M369" s="31" t="n">
        <x:v>3.77</x:v>
      </x:c>
      <x:c r="N369" s="31" t="n">
        <x:v>2.62</x:v>
      </x:c>
      <x:c r="O369" s="31" t="n">
        <x:f>ABS(M369-N369)</x:f>
        <x:v>1.15</x:v>
      </x:c>
      <x:c r="P369" s="31" t="n">
        <x:v>7.04</x:v>
      </x:c>
      <x:c r="Q369" s="31" t="n">
        <x:v>7.3</x:v>
      </x:c>
      <x:c r="R369" s="31" t="n">
        <x:f>ABS(P369-Q369)</x:f>
        <x:v>0.2599999999999998</x:v>
      </x:c>
      <x:c r="S369" s="32" t="n">
        <x:v>7812.9539838514465</x:v>
      </x:c>
      <x:c r="T369" s="32" t="n">
        <x:v>8050.541042402472</x:v>
      </x:c>
      <x:c r="U369" s="31" t="n">
        <x:f>MAX(S369/T369,T369/S369)</x:f>
        <x:v>1.030409376407706</x:v>
      </x:c>
      <x:c r="V369" s="31" t="n">
        <x:f>L369*'Controls &amp; Summary'!$B$9+O369*'Controls &amp; Summary'!$B$10+R369*'Controls &amp; Summary'!$B$11+U369*'Controls &amp; Summary'!$B$12</x:f>
        <x:v>4.850409376407706</x:v>
      </x:c>
      <x:c r="W369" s="31" t="n">
        <x:v>0.03</x:v>
      </x:c>
      <x:c r="X369" s="31" t="n">
        <x:v>0.69</x:v>
      </x:c>
      <x:c r="Y369" s="31" t="n">
        <x:f>((10-MIN(10,MAX(0,X369)))/10)*'Controls &amp; Summary'!$B$15+((10-MIN(10,MAX(0,W369)))/10)*'Controls &amp; Summary'!$B$16</x:f>
        <x:v>1.9280000000000002</x:v>
      </x:c>
      <x:c r="Z369" s="31" t="n">
        <x:f>V369*Y369</x:f>
        <x:v>9.351589277714057</x:v>
      </x:c>
      <x:c r="AA369" s="30" t="str">
        <x:f>IF(Z369&lt;=I369,"Peaceful","Hostile")</x:f>
        <x:v>Hostile</x:v>
      </x:c>
      <x:c r="AB369" s="30" t="str">
        <x:f>IF(Z369&lt;='Controls &amp; Summary'!$B$6,"Eligible","Blocked")</x:f>
        <x:v>Eligible</x:v>
      </x:c>
      <x:c r="AC369" s="30" t="str">
        <x:v>2003_RUS</x:v>
      </x:c>
      <x:c r="AD369" s="30" t="str">
        <x:v>2003_SLO</x:v>
      </x:c>
      <x:c r="AE369" s="30" t="str">
        <x:v>2003_Slovakia</x:v>
      </x:c>
      <x:c r="AF369" s="30" t="str">
        <x:v>Explicit capitalClaim</x:v>
      </x:c>
      <x:c r="AG369" s="30" t="str">
        <x:v>Claim2003_RUS2003_Slovakia</x:v>
      </x:c>
      <x:c r="AH369" s="30" t="str">
        <x:v>Project_RestoredWarsawPact</x:v>
      </x:c>
    </x:row>
    <x:row r="370">
      <x:c r="A370" s="30" t="str">
        <x:v>2003</x:v>
      </x:c>
      <x:c r="B370" s="30" t="str">
        <x:v>Dark Skies</x:v>
      </x:c>
      <x:c r="C370" s="30" t="str">
        <x:v>Russia</x:v>
      </x:c>
      <x:c r="D370" s="30" t="str">
        <x:v>Slovenia</x:v>
      </x:c>
      <x:c r="E370" s="30" t="str">
        <x:v>Project unlock</x:v>
      </x:c>
      <x:c r="F370" s="30" t="str">
        <x:v>Forward Russia</x:v>
      </x:c>
      <x:c r="G370" s="30" t="str">
        <x:v>Yes</x:v>
      </x:c>
      <x:c r="H370" s="30" t="str">
        <x:v>Template hostileClaim</x:v>
      </x:c>
      <x:c r="I370" s="31" t="n">
        <x:f>IF(G370="Yes",'Controls &amp; Summary'!$B$5,'Controls &amp; Summary'!$B$4)</x:f>
        <x:v>3</x:v>
      </x:c>
      <x:c r="J370" s="31" t="n">
        <x:v>5.16</x:v>
      </x:c>
      <x:c r="K370" s="31" t="n">
        <x:v>8.09</x:v>
      </x:c>
      <x:c r="L370" s="31" t="n">
        <x:f>ABS(J370-K370)</x:f>
        <x:v>2.9299999999999997</x:v>
      </x:c>
      <x:c r="M370" s="31" t="n">
        <x:v>3.77</x:v>
      </x:c>
      <x:c r="N370" s="31" t="n">
        <x:v>2.37</x:v>
      </x:c>
      <x:c r="O370" s="31" t="n">
        <x:f>ABS(M370-N370)</x:f>
        <x:v>1.4</x:v>
      </x:c>
      <x:c r="P370" s="31" t="n">
        <x:v>7.04</x:v>
      </x:c>
      <x:c r="Q370" s="31" t="n">
        <x:v>8.06</x:v>
      </x:c>
      <x:c r="R370" s="31" t="n">
        <x:f>ABS(P370-Q370)</x:f>
        <x:v>1.0200000000000005</x:v>
      </x:c>
      <x:c r="S370" s="32" t="n">
        <x:v>7812.9539838514465</x:v>
      </x:c>
      <x:c r="T370" s="32" t="n">
        <x:v>14754.809308955126</x:v>
      </x:c>
      <x:c r="U370" s="31" t="n">
        <x:f>MAX(S370/T370,T370/S370)</x:f>
        <x:v>1.8885058505978358</x:v>
      </x:c>
      <x:c r="V370" s="31" t="n">
        <x:f>L370*'Controls &amp; Summary'!$B$9+O370*'Controls &amp; Summary'!$B$10+R370*'Controls &amp; Summary'!$B$11+U370*'Controls &amp; Summary'!$B$12</x:f>
        <x:v>7.238505850597837</x:v>
      </x:c>
      <x:c r="W370" s="31" t="n">
        <x:v>0.03</x:v>
      </x:c>
      <x:c r="X370" s="31" t="n">
        <x:v>0.75</x:v>
      </x:c>
      <x:c r="Y370" s="31" t="n">
        <x:f>((10-MIN(10,MAX(0,X370)))/10)*'Controls &amp; Summary'!$B$15+((10-MIN(10,MAX(0,W370)))/10)*'Controls &amp; Summary'!$B$16</x:f>
        <x:v>1.9220000000000002</x:v>
      </x:c>
      <x:c r="Z370" s="31" t="n">
        <x:f>V370*Y370</x:f>
        <x:v>13.912408244849043</x:v>
      </x:c>
      <x:c r="AA370" s="30" t="str">
        <x:f>IF(Z370&lt;=I370,"Peaceful","Hostile")</x:f>
        <x:v>Hostile</x:v>
      </x:c>
      <x:c r="AB370" s="30" t="str">
        <x:f>IF(Z370&lt;='Controls &amp; Summary'!$B$6,"Eligible","Blocked")</x:f>
        <x:v>Blocked</x:v>
      </x:c>
      <x:c r="AC370" s="30" t="str">
        <x:v>2003_RUS</x:v>
      </x:c>
      <x:c r="AD370" s="30" t="str">
        <x:v>2003_SLV</x:v>
      </x:c>
      <x:c r="AE370" s="30" t="str">
        <x:v>2003_Slovenia</x:v>
      </x:c>
      <x:c r="AF370" s="30" t="str">
        <x:v>Explicit capitalClaim</x:v>
      </x:c>
      <x:c r="AG370" s="30" t="str">
        <x:v>Claim2003_RUS2003_Slovenia</x:v>
      </x:c>
      <x:c r="AH370" s="30" t="str">
        <x:v>Project_ForwardRussia</x:v>
      </x:c>
    </x:row>
    <x:row r="371">
      <x:c r="A371" s="30" t="str">
        <x:v>2003</x:v>
      </x:c>
      <x:c r="B371" s="30" t="str">
        <x:v>Dark Skies</x:v>
      </x:c>
      <x:c r="C371" s="30" t="str">
        <x:v>Russia</x:v>
      </x:c>
      <x:c r="D371" s="30" t="str">
        <x:v>Spain</x:v>
      </x:c>
      <x:c r="E371" s="30" t="str">
        <x:v>Project unlock</x:v>
      </x:c>
      <x:c r="F371" s="30" t="str">
        <x:v>Forward Russia</x:v>
      </x:c>
      <x:c r="G371" s="30" t="str">
        <x:v>Yes</x:v>
      </x:c>
      <x:c r="H371" s="30" t="str">
        <x:v>Template hostileClaim</x:v>
      </x:c>
      <x:c r="I371" s="31" t="n">
        <x:f>IF(G371="Yes",'Controls &amp; Summary'!$B$5,'Controls &amp; Summary'!$B$4)</x:f>
        <x:v>3</x:v>
      </x:c>
      <x:c r="J371" s="31" t="n">
        <x:v>5.16</x:v>
      </x:c>
      <x:c r="K371" s="31" t="n">
        <x:v>8.24</x:v>
      </x:c>
      <x:c r="L371" s="31" t="n">
        <x:f>ABS(J371-K371)</x:f>
        <x:v>3.08</x:v>
      </x:c>
      <x:c r="M371" s="31" t="n">
        <x:v>3.77</x:v>
      </x:c>
      <x:c r="N371" s="31" t="n">
        <x:v>3.12</x:v>
      </x:c>
      <x:c r="O371" s="31" t="n">
        <x:f>ABS(M371-N371)</x:f>
        <x:v>0.6499999999999999</x:v>
      </x:c>
      <x:c r="P371" s="31" t="n">
        <x:v>7.04</x:v>
      </x:c>
      <x:c r="Q371" s="31" t="n">
        <x:v>7.85</x:v>
      </x:c>
      <x:c r="R371" s="31" t="n">
        <x:f>ABS(P371-Q371)</x:f>
        <x:v>0.8099999999999996</x:v>
      </x:c>
      <x:c r="S371" s="32" t="n">
        <x:v>7812.9539838514465</x:v>
      </x:c>
      <x:c r="T371" s="32" t="n">
        <x:v>21355.20329187909</x:v>
      </x:c>
      <x:c r="U371" s="31" t="n">
        <x:f>MAX(S371/T371,T371/S371)</x:f>
        <x:v>2.7333071890629395</x:v>
      </x:c>
      <x:c r="V371" s="31" t="n">
        <x:f>L371*'Controls &amp; Summary'!$B$9+O371*'Controls &amp; Summary'!$B$10+R371*'Controls &amp; Summary'!$B$11+U371*'Controls &amp; Summary'!$B$12</x:f>
        <x:v>7.273307189062939</x:v>
      </x:c>
      <x:c r="W371" s="31" t="n">
        <x:v>0.03</x:v>
      </x:c>
      <x:c r="X371" s="31" t="n">
        <x:v>4.96</x:v>
      </x:c>
      <x:c r="Y371" s="31" t="n">
        <x:f>((10-MIN(10,MAX(0,X371)))/10)*'Controls &amp; Summary'!$B$15+((10-MIN(10,MAX(0,W371)))/10)*'Controls &amp; Summary'!$B$16</x:f>
        <x:v>1.5010000000000001</x:v>
      </x:c>
      <x:c r="Z371" s="31" t="n">
        <x:f>V371*Y371</x:f>
        <x:v>10.917234090783472</x:v>
      </x:c>
      <x:c r="AA371" s="30" t="str">
        <x:f>IF(Z371&lt;=I371,"Peaceful","Hostile")</x:f>
        <x:v>Hostile</x:v>
      </x:c>
      <x:c r="AB371" s="30" t="str">
        <x:f>IF(Z371&lt;='Controls &amp; Summary'!$B$6,"Eligible","Blocked")</x:f>
        <x:v>Eligible</x:v>
      </x:c>
      <x:c r="AC371" s="30" t="str">
        <x:v>2003_RUS</x:v>
      </x:c>
      <x:c r="AD371" s="30" t="str">
        <x:v>2003_ESP</x:v>
      </x:c>
      <x:c r="AE371" s="30" t="str">
        <x:v>2003_Spain</x:v>
      </x:c>
      <x:c r="AF371" s="30" t="str">
        <x:v>Explicit capitalClaim</x:v>
      </x:c>
      <x:c r="AG371" s="30" t="str">
        <x:v>Claim2003_RUS2003_Spain</x:v>
      </x:c>
      <x:c r="AH371" s="30" t="str">
        <x:v>Project_ForwardRussia</x:v>
      </x:c>
    </x:row>
    <x:row r="372">
      <x:c r="A372" s="30" t="str">
        <x:v>2003</x:v>
      </x:c>
      <x:c r="B372" s="30" t="str">
        <x:v>Dark Skies</x:v>
      </x:c>
      <x:c r="C372" s="30" t="str">
        <x:v>Russia</x:v>
      </x:c>
      <x:c r="D372" s="30" t="str">
        <x:v>Sweden</x:v>
      </x:c>
      <x:c r="E372" s="30" t="str">
        <x:v>Project unlock</x:v>
      </x:c>
      <x:c r="F372" s="30" t="str">
        <x:v>Forward Russia</x:v>
      </x:c>
      <x:c r="G372" s="30" t="str">
        <x:v>Yes</x:v>
      </x:c>
      <x:c r="H372" s="30" t="str">
        <x:v>Template hostileClaim</x:v>
      </x:c>
      <x:c r="I372" s="31" t="n">
        <x:f>IF(G372="Yes",'Controls &amp; Summary'!$B$5,'Controls &amp; Summary'!$B$4)</x:f>
        <x:v>3</x:v>
      </x:c>
      <x:c r="J372" s="31" t="n">
        <x:v>5.16</x:v>
      </x:c>
      <x:c r="K372" s="31" t="n">
        <x:v>9.86</x:v>
      </x:c>
      <x:c r="L372" s="31" t="n">
        <x:f>ABS(J372-K372)</x:f>
        <x:v>4.699999999999999</x:v>
      </x:c>
      <x:c r="M372" s="31" t="n">
        <x:v>3.77</x:v>
      </x:c>
      <x:c r="N372" s="31" t="n">
        <x:v>2.41</x:v>
      </x:c>
      <x:c r="O372" s="31" t="n">
        <x:f>ABS(M372-N372)</x:f>
        <x:v>1.3599999999999999</x:v>
      </x:c>
      <x:c r="P372" s="31" t="n">
        <x:v>7.04</x:v>
      </x:c>
      <x:c r="Q372" s="31" t="n">
        <x:v>8.7</x:v>
      </x:c>
      <x:c r="R372" s="31" t="n">
        <x:f>ABS(P372-Q372)</x:f>
        <x:v>1.6599999999999993</x:v>
      </x:c>
      <x:c r="S372" s="32" t="n">
        <x:v>7812.9539838514465</x:v>
      </x:c>
      <x:c r="T372" s="32" t="n">
        <x:v>33150.3393842069</x:v>
      </x:c>
      <x:c r="U372" s="31" t="n">
        <x:f>MAX(S372/T372,T372/S372)</x:f>
        <x:v>4.242996880914077</x:v>
      </x:c>
      <x:c r="V372" s="31" t="n">
        <x:f>L372*'Controls &amp; Summary'!$B$9+O372*'Controls &amp; Summary'!$B$10+R372*'Controls &amp; Summary'!$B$11+U372*'Controls &amp; Summary'!$B$12</x:f>
        <x:v>11.962996880914075</x:v>
      </x:c>
      <x:c r="W372" s="31" t="n">
        <x:v>0.03</x:v>
      </x:c>
      <x:c r="X372" s="31" t="n">
        <x:v>1.76</x:v>
      </x:c>
      <x:c r="Y372" s="31" t="n">
        <x:f>((10-MIN(10,MAX(0,X372)))/10)*'Controls &amp; Summary'!$B$15+((10-MIN(10,MAX(0,W372)))/10)*'Controls &amp; Summary'!$B$16</x:f>
        <x:v>1.8210000000000002</x:v>
      </x:c>
      <x:c r="Z372" s="31" t="n">
        <x:f>V372*Y372</x:f>
        <x:v>21.78461732014453</x:v>
      </x:c>
      <x:c r="AA372" s="30" t="str">
        <x:f>IF(Z372&lt;=I372,"Peaceful","Hostile")</x:f>
        <x:v>Hostile</x:v>
      </x:c>
      <x:c r="AB372" s="30" t="str">
        <x:f>IF(Z372&lt;='Controls &amp; Summary'!$B$6,"Eligible","Blocked")</x:f>
        <x:v>Blocked</x:v>
      </x:c>
      <x:c r="AC372" s="30" t="str">
        <x:v>2003_RUS</x:v>
      </x:c>
      <x:c r="AD372" s="30" t="str">
        <x:v>2003_SCA</x:v>
      </x:c>
      <x:c r="AE372" s="30" t="str">
        <x:v>2003_Sweden</x:v>
      </x:c>
      <x:c r="AF372" s="30" t="str">
        <x:v>Explicit capitalClaim</x:v>
      </x:c>
      <x:c r="AG372" s="30" t="str">
        <x:v>Claim2003_RUS2003_Sweden</x:v>
      </x:c>
      <x:c r="AH372" s="30" t="str">
        <x:v>Project_ForwardRussia</x:v>
      </x:c>
    </x:row>
    <x:row r="373">
      <x:c r="A373" s="30" t="str">
        <x:v>2003</x:v>
      </x:c>
      <x:c r="B373" s="30" t="str">
        <x:v>Dark Skies</x:v>
      </x:c>
      <x:c r="C373" s="30" t="str">
        <x:v>Russia</x:v>
      </x:c>
      <x:c r="D373" s="30" t="str">
        <x:v>Switzerland</x:v>
      </x:c>
      <x:c r="E373" s="30" t="str">
        <x:v>Project unlock</x:v>
      </x:c>
      <x:c r="F373" s="30" t="str">
        <x:v>Forward Russia</x:v>
      </x:c>
      <x:c r="G373" s="30" t="str">
        <x:v>Yes</x:v>
      </x:c>
      <x:c r="H373" s="30" t="str">
        <x:v>Template hostileClaim</x:v>
      </x:c>
      <x:c r="I373" s="31" t="n">
        <x:f>IF(G373="Yes",'Controls &amp; Summary'!$B$5,'Controls &amp; Summary'!$B$4)</x:f>
        <x:v>3</x:v>
      </x:c>
      <x:c r="J373" s="31" t="n">
        <x:v>5.16</x:v>
      </x:c>
      <x:c r="K373" s="31" t="n">
        <x:v>9.02</x:v>
      </x:c>
      <x:c r="L373" s="31" t="n">
        <x:f>ABS(J373-K373)</x:f>
        <x:v>3.8599999999999994</x:v>
      </x:c>
      <x:c r="M373" s="31" t="n">
        <x:v>3.77</x:v>
      </x:c>
      <x:c r="N373" s="31" t="n">
        <x:v>2.76</x:v>
      </x:c>
      <x:c r="O373" s="31" t="n">
        <x:f>ABS(M373-N373)</x:f>
        <x:v>1.0100000000000002</x:v>
      </x:c>
      <x:c r="P373" s="31" t="n">
        <x:v>7.04</x:v>
      </x:c>
      <x:c r="Q373" s="31" t="n">
        <x:v>8.45</x:v>
      </x:c>
      <x:c r="R373" s="31" t="n">
        <x:f>ABS(P373-Q373)</x:f>
        <x:v>1.4099999999999993</x:v>
      </x:c>
      <x:c r="S373" s="32" t="n">
        <x:v>7812.9539838514465</x:v>
      </x:c>
      <x:c r="T373" s="32" t="n">
        <x:v>46142.691015561984</x:v>
      </x:c>
      <x:c r="U373" s="31" t="n">
        <x:f>MAX(S373/T373,T373/S373)</x:f>
        <x:v>5.905921257303456</x:v>
      </x:c>
      <x:c r="V373" s="31" t="n">
        <x:f>L373*'Controls &amp; Summary'!$B$9+O373*'Controls &amp; Summary'!$B$10+R373*'Controls &amp; Summary'!$B$11+U373*'Controls &amp; Summary'!$B$12</x:f>
        <x:v>12.185921257303455</x:v>
      </x:c>
      <x:c r="W373" s="31" t="n">
        <x:v>0.03</x:v>
      </x:c>
      <x:c r="X373" s="31" t="n">
        <x:v>0.77</x:v>
      </x:c>
      <x:c r="Y373" s="31" t="n">
        <x:f>((10-MIN(10,MAX(0,X373)))/10)*'Controls &amp; Summary'!$B$15+((10-MIN(10,MAX(0,W373)))/10)*'Controls &amp; Summary'!$B$16</x:f>
        <x:v>1.9200000000000002</x:v>
      </x:c>
      <x:c r="Z373" s="31" t="n">
        <x:f>V373*Y373</x:f>
        <x:v>23.396968814022635</x:v>
      </x:c>
      <x:c r="AA373" s="30" t="str">
        <x:f>IF(Z373&lt;=I373,"Peaceful","Hostile")</x:f>
        <x:v>Hostile</x:v>
      </x:c>
      <x:c r="AB373" s="30" t="str">
        <x:f>IF(Z373&lt;='Controls &amp; Summary'!$B$6,"Eligible","Blocked")</x:f>
        <x:v>Blocked</x:v>
      </x:c>
      <x:c r="AC373" s="30" t="str">
        <x:v>2003_RUS</x:v>
      </x:c>
      <x:c r="AD373" s="30" t="str">
        <x:v>2003_SWI</x:v>
      </x:c>
      <x:c r="AE373" s="30" t="str">
        <x:v>2003_Zurich</x:v>
      </x:c>
      <x:c r="AF373" s="30" t="str">
        <x:v>Explicit capitalClaim</x:v>
      </x:c>
      <x:c r="AG373" s="30" t="str">
        <x:v>Claim2003_RUS2003_Zurich</x:v>
      </x:c>
      <x:c r="AH373" s="30" t="str">
        <x:v>Project_ForwardRussia</x:v>
      </x:c>
    </x:row>
    <x:row r="374">
      <x:c r="A374" s="30" t="str">
        <x:v>2003</x:v>
      </x:c>
      <x:c r="B374" s="30" t="str">
        <x:v>Dark Skies</x:v>
      </x:c>
      <x:c r="C374" s="30" t="str">
        <x:v>Russia</x:v>
      </x:c>
      <x:c r="D374" s="30" t="str">
        <x:v>Tajikistan</x:v>
      </x:c>
      <x:c r="E374" s="30" t="str">
        <x:v>Starting claim</x:v>
      </x:c>
      <x:c r="F374" s="30" t="str"/>
      <x:c r="G374" s="30" t="str">
        <x:v>No</x:v>
      </x:c>
      <x:c r="H374" s="30" t="str">
        <x:v>Ordinary claim</x:v>
      </x:c>
      <x:c r="I374" s="31" t="n">
        <x:f>IF(G374="Yes",'Controls &amp; Summary'!$B$5,'Controls &amp; Summary'!$B$4)</x:f>
        <x:v>6</x:v>
      </x:c>
      <x:c r="J374" s="31" t="n">
        <x:v>5.16</x:v>
      </x:c>
      <x:c r="K374" s="31" t="n">
        <x:v>2.57</x:v>
      </x:c>
      <x:c r="L374" s="31" t="n">
        <x:f>ABS(J374-K374)</x:f>
        <x:v>2.5900000000000003</x:v>
      </x:c>
      <x:c r="M374" s="31" t="n">
        <x:v>3.77</x:v>
      </x:c>
      <x:c r="N374" s="31" t="n">
        <x:v>4.28</x:v>
      </x:c>
      <x:c r="O374" s="31" t="n">
        <x:f>ABS(M374-N374)</x:f>
        <x:v>0.5100000000000002</x:v>
      </x:c>
      <x:c r="P374" s="31" t="n">
        <x:v>7.04</x:v>
      </x:c>
      <x:c r="Q374" s="31" t="n">
        <x:v>5</x:v>
      </x:c>
      <x:c r="R374" s="31" t="n">
        <x:f>ABS(P374-Q374)</x:f>
        <x:v>2.04</x:v>
      </x:c>
      <x:c r="S374" s="32" t="n">
        <x:v>7812.9539838514465</x:v>
      </x:c>
      <x:c r="T374" s="32" t="n">
        <x:v>710.4236802919544</x:v>
      </x:c>
      <x:c r="U374" s="31" t="n">
        <x:f>MAX(S374/T374,T374/S374)</x:f>
        <x:v>10.997597913178584</x:v>
      </x:c>
      <x:c r="V374" s="31" t="n">
        <x:f>L374*'Controls &amp; Summary'!$B$9+O374*'Controls &amp; Summary'!$B$10+R374*'Controls &amp; Summary'!$B$11+U374*'Controls &amp; Summary'!$B$12</x:f>
        <x:v>16.137597913178585</x:v>
      </x:c>
      <x:c r="W374" s="31" t="n">
        <x:v>0.03</x:v>
      </x:c>
      <x:c r="X374" s="31" t="n">
        <x:v>4.55</x:v>
      </x:c>
      <x:c r="Y374" s="31" t="n">
        <x:f>((10-MIN(10,MAX(0,X374)))/10)*'Controls &amp; Summary'!$B$15+((10-MIN(10,MAX(0,W374)))/10)*'Controls &amp; Summary'!$B$16</x:f>
        <x:v>1.5420000000000003</x:v>
      </x:c>
      <x:c r="Z374" s="31" t="n">
        <x:f>V374*Y374</x:f>
        <x:v>24.88417598212138</x:v>
      </x:c>
      <x:c r="AA374" s="30" t="str">
        <x:f>IF(Z374&lt;=I374,"Peaceful","Hostile")</x:f>
        <x:v>Hostile</x:v>
      </x:c>
      <x:c r="AB374" s="30" t="str">
        <x:f>IF(Z374&lt;='Controls &amp; Summary'!$B$6,"Eligible","Blocked")</x:f>
        <x:v>Blocked</x:v>
      </x:c>
      <x:c r="AC374" s="30" t="str">
        <x:v>2003_RUS</x:v>
      </x:c>
      <x:c r="AD374" s="30" t="str">
        <x:v>2003_TJK</x:v>
      </x:c>
      <x:c r="AE374" s="30" t="str">
        <x:v>2003_Tajikistan</x:v>
      </x:c>
      <x:c r="AF374" s="30" t="str">
        <x:v>Explicit capitalClaim</x:v>
      </x:c>
      <x:c r="AG374" s="30" t="str">
        <x:v>Claim2003_RUS2003_Tajikistan</x:v>
      </x:c>
      <x:c r="AH374" s="30" t="str"/>
    </x:row>
    <x:row r="375">
      <x:c r="A375" s="30" t="str">
        <x:v>2003</x:v>
      </x:c>
      <x:c r="B375" s="30" t="str">
        <x:v>Dark Skies</x:v>
      </x:c>
      <x:c r="C375" s="30" t="str">
        <x:v>Russia</x:v>
      </x:c>
      <x:c r="D375" s="30" t="str">
        <x:v>Turkmenistan</x:v>
      </x:c>
      <x:c r="E375" s="30" t="str">
        <x:v>Starting claim</x:v>
      </x:c>
      <x:c r="F375" s="30" t="str"/>
      <x:c r="G375" s="30" t="str">
        <x:v>No</x:v>
      </x:c>
      <x:c r="H375" s="30" t="str">
        <x:v>Ordinary claim</x:v>
      </x:c>
      <x:c r="I375" s="31" t="n">
        <x:f>IF(G375="Yes",'Controls &amp; Summary'!$B$5,'Controls &amp; Summary'!$B$4)</x:f>
        <x:v>6</x:v>
      </x:c>
      <x:c r="J375" s="31" t="n">
        <x:v>5.16</x:v>
      </x:c>
      <x:c r="K375" s="31" t="n">
        <x:v>1.83</x:v>
      </x:c>
      <x:c r="L375" s="31" t="n">
        <x:f>ABS(J375-K375)</x:f>
        <x:v>3.33</x:v>
      </x:c>
      <x:c r="M375" s="31" t="n">
        <x:v>3.77</x:v>
      </x:c>
      <x:c r="N375" s="31" t="n">
        <x:v>3.46</x:v>
      </x:c>
      <x:c r="O375" s="31" t="n">
        <x:f>ABS(M375-N375)</x:f>
        <x:v>0.31000000000000005</x:v>
      </x:c>
      <x:c r="P375" s="31" t="n">
        <x:v>7.04</x:v>
      </x:c>
      <x:c r="Q375" s="31" t="n">
        <x:v>5.73</x:v>
      </x:c>
      <x:c r="R375" s="31" t="n">
        <x:f>ABS(P375-Q375)</x:f>
        <x:v>1.3099999999999996</x:v>
      </x:c>
      <x:c r="S375" s="32" t="n">
        <x:v>7812.9539838514465</x:v>
      </x:c>
      <x:c r="T375" s="32" t="n">
        <x:v>3342.001679734121</x:v>
      </x:c>
      <x:c r="U375" s="31" t="n">
        <x:f>MAX(S375/T375,T375/S375)</x:f>
        <x:v>2.3378067196163173</x:v>
      </x:c>
      <x:c r="V375" s="31" t="n">
        <x:f>L375*'Controls &amp; Summary'!$B$9+O375*'Controls &amp; Summary'!$B$10+R375*'Controls &amp; Summary'!$B$11+U375*'Controls &amp; Summary'!$B$12</x:f>
        <x:v>7.2878067196163165</x:v>
      </x:c>
      <x:c r="W375" s="31" t="n">
        <x:v>0.03</x:v>
      </x:c>
      <x:c r="X375" s="31" t="n">
        <x:v>2.47</x:v>
      </x:c>
      <x:c r="Y375" s="31" t="n">
        <x:f>((10-MIN(10,MAX(0,X375)))/10)*'Controls &amp; Summary'!$B$15+((10-MIN(10,MAX(0,W375)))/10)*'Controls &amp; Summary'!$B$16</x:f>
        <x:v>1.75</x:v>
      </x:c>
      <x:c r="Z375" s="31" t="n">
        <x:f>V375*Y375</x:f>
        <x:v>12.753661759328555</x:v>
      </x:c>
      <x:c r="AA375" s="30" t="str">
        <x:f>IF(Z375&lt;=I375,"Peaceful","Hostile")</x:f>
        <x:v>Hostile</x:v>
      </x:c>
      <x:c r="AB375" s="30" t="str">
        <x:f>IF(Z375&lt;='Controls &amp; Summary'!$B$6,"Eligible","Blocked")</x:f>
        <x:v>Blocked</x:v>
      </x:c>
      <x:c r="AC375" s="30" t="str">
        <x:v>2003_RUS</x:v>
      </x:c>
      <x:c r="AD375" s="30" t="str">
        <x:v>2003_TKM</x:v>
      </x:c>
      <x:c r="AE375" s="30" t="str">
        <x:v>2003_Turkmenistan</x:v>
      </x:c>
      <x:c r="AF375" s="30" t="str">
        <x:v>Explicit capitalClaim</x:v>
      </x:c>
      <x:c r="AG375" s="30" t="str">
        <x:v>Claim2003_RUS2003_Turkmenistan</x:v>
      </x:c>
      <x:c r="AH375" s="30" t="str"/>
    </x:row>
    <x:row r="376">
      <x:c r="A376" s="30" t="str">
        <x:v>2003</x:v>
      </x:c>
      <x:c r="B376" s="30" t="str">
        <x:v>Dark Skies</x:v>
      </x:c>
      <x:c r="C376" s="30" t="str">
        <x:v>Russia</x:v>
      </x:c>
      <x:c r="D376" s="30" t="str">
        <x:v>Ukraine</x:v>
      </x:c>
      <x:c r="E376" s="30" t="str">
        <x:v>Starting claim</x:v>
      </x:c>
      <x:c r="F376" s="30" t="str"/>
      <x:c r="G376" s="30" t="str">
        <x:v>No</x:v>
      </x:c>
      <x:c r="H376" s="30" t="str">
        <x:v>Ordinary claim</x:v>
      </x:c>
      <x:c r="I376" s="31" t="n">
        <x:f>IF(G376="Yes",'Controls &amp; Summary'!$B$5,'Controls &amp; Summary'!$B$4)</x:f>
        <x:v>6</x:v>
      </x:c>
      <x:c r="J376" s="31" t="n">
        <x:v>5.16</x:v>
      </x:c>
      <x:c r="K376" s="31" t="n">
        <x:v>6.04</x:v>
      </x:c>
      <x:c r="L376" s="31" t="n">
        <x:f>ABS(J376-K376)</x:f>
        <x:v>0.8799999999999999</x:v>
      </x:c>
      <x:c r="M376" s="31" t="n">
        <x:v>3.77</x:v>
      </x:c>
      <x:c r="N376" s="31" t="n">
        <x:v>2.94</x:v>
      </x:c>
      <x:c r="O376" s="31" t="n">
        <x:f>ABS(M376-N376)</x:f>
        <x:v>0.8300000000000001</x:v>
      </x:c>
      <x:c r="P376" s="31" t="n">
        <x:v>7.04</x:v>
      </x:c>
      <x:c r="Q376" s="31" t="n">
        <x:v>6.74</x:v>
      </x:c>
      <x:c r="R376" s="31" t="n">
        <x:f>ABS(P376-Q376)</x:f>
        <x:v>0.2999999999999998</x:v>
      </x:c>
      <x:c r="S376" s="32" t="n">
        <x:v>7812.9539838514465</x:v>
      </x:c>
      <x:c r="T376" s="32" t="n">
        <x:v>3894.360833317625</x:v>
      </x:c>
      <x:c r="U376" s="31" t="n">
        <x:f>MAX(S376/T376,T376/S376)</x:f>
        <x:v>2.00622241190618</x:v>
      </x:c>
      <x:c r="V376" s="31" t="n">
        <x:f>L376*'Controls &amp; Summary'!$B$9+O376*'Controls &amp; Summary'!$B$10+R376*'Controls &amp; Summary'!$B$11+U376*'Controls &amp; Summary'!$B$12</x:f>
        <x:v>4.016222411906179</x:v>
      </x:c>
      <x:c r="W376" s="31" t="n">
        <x:v>0.03</x:v>
      </x:c>
      <x:c r="X376" s="31" t="n">
        <x:v>1.92</x:v>
      </x:c>
      <x:c r="Y376" s="31" t="n">
        <x:f>((10-MIN(10,MAX(0,X376)))/10)*'Controls &amp; Summary'!$B$15+((10-MIN(10,MAX(0,W376)))/10)*'Controls &amp; Summary'!$B$16</x:f>
        <x:v>1.8050000000000002</x:v>
      </x:c>
      <x:c r="Z376" s="31" t="n">
        <x:f>V376*Y376</x:f>
        <x:v>7.249281453490655</x:v>
      </x:c>
      <x:c r="AA376" s="30" t="str">
        <x:f>IF(Z376&lt;=I376,"Peaceful","Hostile")</x:f>
        <x:v>Hostile</x:v>
      </x:c>
      <x:c r="AB376" s="30" t="str">
        <x:f>IF(Z376&lt;='Controls &amp; Summary'!$B$6,"Eligible","Blocked")</x:f>
        <x:v>Eligible</x:v>
      </x:c>
      <x:c r="AC376" s="30" t="str">
        <x:v>2003_RUS</x:v>
      </x:c>
      <x:c r="AD376" s="30" t="str">
        <x:v>2003_UKR</x:v>
      </x:c>
      <x:c r="AE376" s="30" t="str">
        <x:v>2003_Kiev</x:v>
      </x:c>
      <x:c r="AF376" s="30" t="str">
        <x:v>Explicit capitalClaim</x:v>
      </x:c>
      <x:c r="AG376" s="30" t="str">
        <x:v>Claim2003_RUS2003_Kiev</x:v>
      </x:c>
      <x:c r="AH376" s="30" t="str"/>
    </x:row>
    <x:row r="377">
      <x:c r="A377" s="30" t="str">
        <x:v>2003</x:v>
      </x:c>
      <x:c r="B377" s="30" t="str">
        <x:v>Dark Skies</x:v>
      </x:c>
      <x:c r="C377" s="30" t="str">
        <x:v>Russia</x:v>
      </x:c>
      <x:c r="D377" s="30" t="str">
        <x:v>Uzbekistan</x:v>
      </x:c>
      <x:c r="E377" s="30" t="str">
        <x:v>Starting claim</x:v>
      </x:c>
      <x:c r="F377" s="30" t="str"/>
      <x:c r="G377" s="30" t="str">
        <x:v>No</x:v>
      </x:c>
      <x:c r="H377" s="30" t="str">
        <x:v>Ordinary claim</x:v>
      </x:c>
      <x:c r="I377" s="31" t="n">
        <x:f>IF(G377="Yes",'Controls &amp; Summary'!$B$5,'Controls &amp; Summary'!$B$4)</x:f>
        <x:v>6</x:v>
      </x:c>
      <x:c r="J377" s="31" t="n">
        <x:v>5.16</x:v>
      </x:c>
      <x:c r="K377" s="31" t="n">
        <x:v>1.87</x:v>
      </x:c>
      <x:c r="L377" s="31" t="n">
        <x:f>ABS(J377-K377)</x:f>
        <x:v>3.29</x:v>
      </x:c>
      <x:c r="M377" s="31" t="n">
        <x:v>3.77</x:v>
      </x:c>
      <x:c r="N377" s="31" t="n">
        <x:v>3.36</x:v>
      </x:c>
      <x:c r="O377" s="31" t="n">
        <x:f>ABS(M377-N377)</x:f>
        <x:v>0.41000000000000014</x:v>
      </x:c>
      <x:c r="P377" s="31" t="n">
        <x:v>7.04</x:v>
      </x:c>
      <x:c r="Q377" s="31" t="n">
        <x:v>5.42</x:v>
      </x:c>
      <x:c r="R377" s="31" t="n">
        <x:f>ABS(P377-Q377)</x:f>
        <x:v>1.62</x:v>
      </x:c>
      <x:c r="S377" s="32" t="n">
        <x:v>7812.9539838514465</x:v>
      </x:c>
      <x:c r="T377" s="32" t="n">
        <x:v>1630.113900762308</x:v>
      </x:c>
      <x:c r="U377" s="31" t="n">
        <x:f>MAX(S377/T377,T377/S377)</x:f>
        <x:v>4.7928883866322405</x:v>
      </x:c>
      <x:c r="V377" s="31" t="n">
        <x:f>L377*'Controls &amp; Summary'!$B$9+O377*'Controls &amp; Summary'!$B$10+R377*'Controls &amp; Summary'!$B$11+U377*'Controls &amp; Summary'!$B$12</x:f>
        <x:v>10.11288838663224</x:v>
      </x:c>
      <x:c r="W377" s="31" t="n">
        <x:v>0.03</x:v>
      </x:c>
      <x:c r="X377" s="31" t="n">
        <x:v>3.87</x:v>
      </x:c>
      <x:c r="Y377" s="31" t="n">
        <x:f>((10-MIN(10,MAX(0,X377)))/10)*'Controls &amp; Summary'!$B$15+((10-MIN(10,MAX(0,W377)))/10)*'Controls &amp; Summary'!$B$16</x:f>
        <x:v>1.61</x:v>
      </x:c>
      <x:c r="Z377" s="31" t="n">
        <x:f>V377*Y377</x:f>
        <x:v>16.28175030247791</x:v>
      </x:c>
      <x:c r="AA377" s="30" t="str">
        <x:f>IF(Z377&lt;=I377,"Peaceful","Hostile")</x:f>
        <x:v>Hostile</x:v>
      </x:c>
      <x:c r="AB377" s="30" t="str">
        <x:f>IF(Z377&lt;='Controls &amp; Summary'!$B$6,"Eligible","Blocked")</x:f>
        <x:v>Blocked</x:v>
      </x:c>
      <x:c r="AC377" s="30" t="str">
        <x:v>2003_RUS</x:v>
      </x:c>
      <x:c r="AD377" s="30" t="str">
        <x:v>2003_UZB</x:v>
      </x:c>
      <x:c r="AE377" s="30" t="str">
        <x:v>2003_Uzbekistan</x:v>
      </x:c>
      <x:c r="AF377" s="30" t="str">
        <x:v>Explicit capitalClaim</x:v>
      </x:c>
      <x:c r="AG377" s="30" t="str">
        <x:v>Claim2003_RUS2003_Uzbekistan</x:v>
      </x:c>
      <x:c r="AH377" s="30" t="str"/>
    </x:row>
    <x:row r="378">
      <x:c r="A378" s="30" t="str">
        <x:v>2003</x:v>
      </x:c>
      <x:c r="B378" s="30" t="str">
        <x:v>Dark Skies</x:v>
      </x:c>
      <x:c r="C378" s="30" t="str">
        <x:v>Saudi Arabia</x:v>
      </x:c>
      <x:c r="D378" s="30" t="str">
        <x:v>Gulf States</x:v>
      </x:c>
      <x:c r="E378" s="30" t="str">
        <x:v>Project unlock</x:v>
      </x:c>
      <x:c r="F378" s="30" t="str">
        <x:v>Gulf Cooperation Council</x:v>
      </x:c>
      <x:c r="G378" s="30" t="str">
        <x:v>No</x:v>
      </x:c>
      <x:c r="H378" s="30" t="str">
        <x:v>Ordinary claim</x:v>
      </x:c>
      <x:c r="I378" s="31" t="n">
        <x:f>IF(G378="Yes",'Controls &amp; Summary'!$B$5,'Controls &amp; Summary'!$B$4)</x:f>
        <x:v>6</x:v>
      </x:c>
      <x:c r="J378" s="31" t="n">
        <x:v>1.9</x:v>
      </x:c>
      <x:c r="K378" s="31" t="n">
        <x:v>3.16</x:v>
      </x:c>
      <x:c r="L378" s="31" t="n">
        <x:f>ABS(J378-K378)</x:f>
        <x:v>1.2600000000000002</x:v>
      </x:c>
      <x:c r="M378" s="31" t="n">
        <x:v>4.71</x:v>
      </x:c>
      <x:c r="N378" s="31" t="n">
        <x:v>4.23</x:v>
      </x:c>
      <x:c r="O378" s="31" t="n">
        <x:f>ABS(M378-N378)</x:f>
        <x:v>0.47999999999999954</x:v>
      </x:c>
      <x:c r="P378" s="31" t="n">
        <x:v>6.93</x:v>
      </x:c>
      <x:c r="Q378" s="31" t="n">
        <x:v>7.36</x:v>
      </x:c>
      <x:c r="R378" s="31" t="n">
        <x:f>ABS(P378-Q378)</x:f>
        <x:v>0.4300000000000006</x:v>
      </x:c>
      <x:c r="S378" s="32" t="n">
        <x:v>21190.6342784791</x:v>
      </x:c>
      <x:c r="T378" s="32" t="n">
        <x:v>28676.79143074556</x:v>
      </x:c>
      <x:c r="U378" s="31" t="n">
        <x:f>MAX(S378/T378,T378/S378)</x:f>
        <x:v>1.3532766907250762</x:v>
      </x:c>
      <x:c r="V378" s="31" t="n">
        <x:f>L378*'Controls &amp; Summary'!$B$9+O378*'Controls &amp; Summary'!$B$10+R378*'Controls &amp; Summary'!$B$11+U378*'Controls &amp; Summary'!$B$12</x:f>
        <x:v>3.5232766907250763</x:v>
      </x:c>
      <x:c r="W378" s="31" t="n">
        <x:v>4.53</x:v>
      </x:c>
      <x:c r="X378" s="31" t="n">
        <x:v>3.58</x:v>
      </x:c>
      <x:c r="Y378" s="31" t="n">
        <x:f>((10-MIN(10,MAX(0,X378)))/10)*'Controls &amp; Summary'!$B$15+((10-MIN(10,MAX(0,W378)))/10)*'Controls &amp; Summary'!$B$16</x:f>
        <x:v>1.189</x:v>
      </x:c>
      <x:c r="Z378" s="31" t="n">
        <x:f>V378*Y378</x:f>
        <x:v>4.189175985272116</x:v>
      </x:c>
      <x:c r="AA378" s="30" t="str">
        <x:f>IF(Z378&lt;=I378,"Peaceful","Hostile")</x:f>
        <x:v>Peaceful</x:v>
      </x:c>
      <x:c r="AB378" s="30" t="str">
        <x:f>IF(Z378&lt;='Controls &amp; Summary'!$B$6,"Eligible","Blocked")</x:f>
        <x:v>Eligible</x:v>
      </x:c>
      <x:c r="AC378" s="30" t="str">
        <x:v>2003_SAU</x:v>
      </x:c>
      <x:c r="AD378" s="30" t="str">
        <x:v>2003_GUS</x:v>
      </x:c>
      <x:c r="AE378" s="30" t="str">
        <x:v>2003_GulfStates</x:v>
      </x:c>
      <x:c r="AF378" s="30" t="str">
        <x:v>Explicit capitalClaim</x:v>
      </x:c>
      <x:c r="AG378" s="30" t="str">
        <x:v>Claim2003_SAU2003_GulfStates</x:v>
      </x:c>
      <x:c r="AH378" s="30" t="str">
        <x:v>Project_GulfCooperationCouncil</x:v>
      </x:c>
    </x:row>
    <x:row r="379">
      <x:c r="A379" s="30" t="str">
        <x:v>2003</x:v>
      </x:c>
      <x:c r="B379" s="30" t="str">
        <x:v>Dark Skies</x:v>
      </x:c>
      <x:c r="C379" s="30" t="str">
        <x:v>Saudi Arabia</x:v>
      </x:c>
      <x:c r="D379" s="30" t="str">
        <x:v>Kuwait</x:v>
      </x:c>
      <x:c r="E379" s="30" t="str">
        <x:v>Project unlock</x:v>
      </x:c>
      <x:c r="F379" s="30" t="str">
        <x:v>Gulf Cooperation Council</x:v>
      </x:c>
      <x:c r="G379" s="30" t="str">
        <x:v>No</x:v>
      </x:c>
      <x:c r="H379" s="30" t="str">
        <x:v>Ordinary claim</x:v>
      </x:c>
      <x:c r="I379" s="31" t="n">
        <x:f>IF(G379="Yes",'Controls &amp; Summary'!$B$5,'Controls &amp; Summary'!$B$4)</x:f>
        <x:v>6</x:v>
      </x:c>
      <x:c r="J379" s="31" t="n">
        <x:v>1.9</x:v>
      </x:c>
      <x:c r="K379" s="31" t="n">
        <x:v>2.94</x:v>
      </x:c>
      <x:c r="L379" s="31" t="n">
        <x:f>ABS(J379-K379)</x:f>
        <x:v>1.04</x:v>
      </x:c>
      <x:c r="M379" s="31" t="n">
        <x:v>4.71</x:v>
      </x:c>
      <x:c r="N379" s="31" t="n">
        <x:v>3.63</x:v>
      </x:c>
      <x:c r="O379" s="31" t="n">
        <x:f>ABS(M379-N379)</x:f>
        <x:v>1.08</x:v>
      </x:c>
      <x:c r="P379" s="31" t="n">
        <x:v>6.93</x:v>
      </x:c>
      <x:c r="Q379" s="31" t="n">
        <x:v>7.29</x:v>
      </x:c>
      <x:c r="R379" s="31" t="n">
        <x:f>ABS(P379-Q379)</x:f>
        <x:v>0.3600000000000003</x:v>
      </x:c>
      <x:c r="S379" s="32" t="n">
        <x:v>21190.6342784791</x:v>
      </x:c>
      <x:c r="T379" s="32" t="n">
        <x:v>27266.02598677366</x:v>
      </x:c>
      <x:c r="U379" s="31" t="n">
        <x:f>MAX(S379/T379,T379/S379)</x:f>
        <x:v>1.2867017394785882</x:v>
      </x:c>
      <x:c r="V379" s="31" t="n">
        <x:f>L379*'Controls &amp; Summary'!$B$9+O379*'Controls &amp; Summary'!$B$10+R379*'Controls &amp; Summary'!$B$11+U379*'Controls &amp; Summary'!$B$12</x:f>
        <x:v>3.766701739478589</x:v>
      </x:c>
      <x:c r="W379" s="31" t="n">
        <x:v>4.53</x:v>
      </x:c>
      <x:c r="X379" s="31" t="n">
        <x:v>2.75</x:v>
      </x:c>
      <x:c r="Y379" s="31" t="n">
        <x:f>((10-MIN(10,MAX(0,X379)))/10)*'Controls &amp; Summary'!$B$15+((10-MIN(10,MAX(0,W379)))/10)*'Controls &amp; Summary'!$B$16</x:f>
        <x:v>1.2719999999999998</x:v>
      </x:c>
      <x:c r="Z379" s="31" t="n">
        <x:f>V379*Y379</x:f>
        <x:v>4.791244612616764</x:v>
      </x:c>
      <x:c r="AA379" s="30" t="str">
        <x:f>IF(Z379&lt;=I379,"Peaceful","Hostile")</x:f>
        <x:v>Peaceful</x:v>
      </x:c>
      <x:c r="AB379" s="30" t="str">
        <x:f>IF(Z379&lt;='Controls &amp; Summary'!$B$6,"Eligible","Blocked")</x:f>
        <x:v>Eligible</x:v>
      </x:c>
      <x:c r="AC379" s="30" t="str">
        <x:v>2003_SAU</x:v>
      </x:c>
      <x:c r="AD379" s="30" t="str">
        <x:v>2003_KUW</x:v>
      </x:c>
      <x:c r="AE379" s="30" t="str">
        <x:v>2003_Kuwait</x:v>
      </x:c>
      <x:c r="AF379" s="30" t="str">
        <x:v>Explicit capitalClaim</x:v>
      </x:c>
      <x:c r="AG379" s="30" t="str">
        <x:v>Claim2003_SAU2003_Kuwait</x:v>
      </x:c>
      <x:c r="AH379" s="30" t="str">
        <x:v>Project_GulfCooperationCouncil</x:v>
      </x:c>
    </x:row>
    <x:row r="380">
      <x:c r="A380" s="30" t="str">
        <x:v>2003</x:v>
      </x:c>
      <x:c r="B380" s="30" t="str">
        <x:v>Dark Skies</x:v>
      </x:c>
      <x:c r="C380" s="30" t="str">
        <x:v>Saudi Arabia</x:v>
      </x:c>
      <x:c r="D380" s="30" t="str">
        <x:v>Oman</x:v>
      </x:c>
      <x:c r="E380" s="30" t="str">
        <x:v>Project unlock</x:v>
      </x:c>
      <x:c r="F380" s="30" t="str">
        <x:v>Gulf Cooperation Council</x:v>
      </x:c>
      <x:c r="G380" s="30" t="str">
        <x:v>No</x:v>
      </x:c>
      <x:c r="H380" s="30" t="str">
        <x:v>Ordinary claim</x:v>
      </x:c>
      <x:c r="I380" s="31" t="n">
        <x:f>IF(G380="Yes",'Controls &amp; Summary'!$B$5,'Controls &amp; Summary'!$B$4)</x:f>
        <x:v>6</x:v>
      </x:c>
      <x:c r="J380" s="31" t="n">
        <x:v>1.9</x:v>
      </x:c>
      <x:c r="K380" s="31" t="n">
        <x:v>2.74</x:v>
      </x:c>
      <x:c r="L380" s="31" t="n">
        <x:f>ABS(J380-K380)</x:f>
        <x:v>0.8400000000000003</x:v>
      </x:c>
      <x:c r="M380" s="31" t="n">
        <x:v>4.71</x:v>
      </x:c>
      <x:c r="N380" s="31" t="n">
        <x:v>3.76</x:v>
      </x:c>
      <x:c r="O380" s="31" t="n">
        <x:f>ABS(M380-N380)</x:f>
        <x:v>0.9500000000000002</x:v>
      </x:c>
      <x:c r="P380" s="31" t="n">
        <x:v>6.93</x:v>
      </x:c>
      <x:c r="Q380" s="31" t="n">
        <x:v>6.67</x:v>
      </x:c>
      <x:c r="R380" s="31" t="n">
        <x:f>ABS(P380-Q380)</x:f>
        <x:v>0.2599999999999998</x:v>
      </x:c>
      <x:c r="S380" s="32" t="n">
        <x:v>21190.6342784791</x:v>
      </x:c>
      <x:c r="T380" s="32" t="n">
        <x:v>16140.160480853678</x:v>
      </x:c>
      <x:c r="U380" s="31" t="n">
        <x:f>MAX(S380/T380,T380/S380)</x:f>
        <x:v>1.3129134808551977</x:v>
      </x:c>
      <x:c r="V380" s="31" t="n">
        <x:f>L380*'Controls &amp; Summary'!$B$9+O380*'Controls &amp; Summary'!$B$10+R380*'Controls &amp; Summary'!$B$11+U380*'Controls &amp; Summary'!$B$12</x:f>
        <x:v>3.362913480855198</x:v>
      </x:c>
      <x:c r="W380" s="31" t="n">
        <x:v>4.53</x:v>
      </x:c>
      <x:c r="X380" s="31" t="n">
        <x:v>1.49</x:v>
      </x:c>
      <x:c r="Y380" s="31" t="n">
        <x:f>((10-MIN(10,MAX(0,X380)))/10)*'Controls &amp; Summary'!$B$15+((10-MIN(10,MAX(0,W380)))/10)*'Controls &amp; Summary'!$B$16</x:f>
        <x:v>1.398</x:v>
      </x:c>
      <x:c r="Z380" s="31" t="n">
        <x:f>V380*Y380</x:f>
        <x:v>4.701353046235567</x:v>
      </x:c>
      <x:c r="AA380" s="30" t="str">
        <x:f>IF(Z380&lt;=I380,"Peaceful","Hostile")</x:f>
        <x:v>Peaceful</x:v>
      </x:c>
      <x:c r="AB380" s="30" t="str">
        <x:f>IF(Z380&lt;='Controls &amp; Summary'!$B$6,"Eligible","Blocked")</x:f>
        <x:v>Eligible</x:v>
      </x:c>
      <x:c r="AC380" s="30" t="str">
        <x:v>2003_SAU</x:v>
      </x:c>
      <x:c r="AD380" s="30" t="str">
        <x:v>2003_OMN</x:v>
      </x:c>
      <x:c r="AE380" s="30" t="str">
        <x:v>2003_Oman</x:v>
      </x:c>
      <x:c r="AF380" s="30" t="str">
        <x:v>Explicit capitalClaim</x:v>
      </x:c>
      <x:c r="AG380" s="30" t="str">
        <x:v>Claim2003_SAU2003_Oman</x:v>
      </x:c>
      <x:c r="AH380" s="30" t="str">
        <x:v>Project_GulfCooperationCouncil</x:v>
      </x:c>
    </x:row>
    <x:row r="381">
      <x:c r="A381" s="30" t="str">
        <x:v>2003</x:v>
      </x:c>
      <x:c r="B381" s="30" t="str">
        <x:v>Dark Skies</x:v>
      </x:c>
      <x:c r="C381" s="30" t="str">
        <x:v>Saudi Arabia</x:v>
      </x:c>
      <x:c r="D381" s="30" t="str">
        <x:v>United Arab Emirates</x:v>
      </x:c>
      <x:c r="E381" s="30" t="str">
        <x:v>Project unlock</x:v>
      </x:c>
      <x:c r="F381" s="30" t="str">
        <x:v>Gulf Cooperation Council</x:v>
      </x:c>
      <x:c r="G381" s="30" t="str">
        <x:v>No</x:v>
      </x:c>
      <x:c r="H381" s="30" t="str">
        <x:v>Ordinary claim</x:v>
      </x:c>
      <x:c r="I381" s="31" t="n">
        <x:f>IF(G381="Yes",'Controls &amp; Summary'!$B$5,'Controls &amp; Summary'!$B$4)</x:f>
        <x:v>6</x:v>
      </x:c>
      <x:c r="J381" s="31" t="n">
        <x:v>1.9</x:v>
      </x:c>
      <x:c r="K381" s="31" t="n">
        <x:v>2.4</x:v>
      </x:c>
      <x:c r="L381" s="31" t="n">
        <x:f>ABS(J381-K381)</x:f>
        <x:v>0.5</x:v>
      </x:c>
      <x:c r="M381" s="31" t="n">
        <x:v>4.71</x:v>
      </x:c>
      <x:c r="N381" s="31" t="n">
        <x:v>3.21</x:v>
      </x:c>
      <x:c r="O381" s="31" t="n">
        <x:f>ABS(M381-N381)</x:f>
        <x:v>1.5</x:v>
      </x:c>
      <x:c r="P381" s="31" t="n">
        <x:v>6.93</x:v>
      </x:c>
      <x:c r="Q381" s="31" t="n">
        <x:v>7.45</x:v>
      </x:c>
      <x:c r="R381" s="31" t="n">
        <x:f>ABS(P381-Q381)</x:f>
        <x:v>0.5200000000000005</x:v>
      </x:c>
      <x:c r="S381" s="32" t="n">
        <x:v>21190.6342784791</x:v>
      </x:c>
      <x:c r="T381" s="32" t="n">
        <x:v>37418.77571719877</x:v>
      </x:c>
      <x:c r="U381" s="31" t="n">
        <x:f>MAX(S381/T381,T381/S381)</x:f>
        <x:v>1.7658166917259637</x:v>
      </x:c>
      <x:c r="V381" s="31" t="n">
        <x:f>L381*'Controls &amp; Summary'!$B$9+O381*'Controls &amp; Summary'!$B$10+R381*'Controls &amp; Summary'!$B$11+U381*'Controls &amp; Summary'!$B$12</x:f>
        <x:v>4.285816691725964</x:v>
      </x:c>
      <x:c r="W381" s="31" t="n">
        <x:v>4.53</x:v>
      </x:c>
      <x:c r="X381" s="31" t="n">
        <x:v>1.14</x:v>
      </x:c>
      <x:c r="Y381" s="31" t="n">
        <x:f>((10-MIN(10,MAX(0,X381)))/10)*'Controls &amp; Summary'!$B$15+((10-MIN(10,MAX(0,W381)))/10)*'Controls &amp; Summary'!$B$16</x:f>
        <x:v>1.4329999999999998</x:v>
      </x:c>
      <x:c r="Z381" s="31" t="n">
        <x:f>V381*Y381</x:f>
        <x:v>6.141575319243306</x:v>
      </x:c>
      <x:c r="AA381" s="30" t="str">
        <x:f>IF(Z381&lt;=I381,"Peaceful","Hostile")</x:f>
        <x:v>Hostile</x:v>
      </x:c>
      <x:c r="AB381" s="30" t="str">
        <x:f>IF(Z381&lt;='Controls &amp; Summary'!$B$6,"Eligible","Blocked")</x:f>
        <x:v>Eligible</x:v>
      </x:c>
      <x:c r="AC381" s="30" t="str">
        <x:v>2003_SAU</x:v>
      </x:c>
      <x:c r="AD381" s="30" t="str">
        <x:v>2003_UAE</x:v>
      </x:c>
      <x:c r="AE381" s="30" t="str">
        <x:v>2003_Dubai</x:v>
      </x:c>
      <x:c r="AF381" s="30" t="str">
        <x:v>Explicit capitalClaim</x:v>
      </x:c>
      <x:c r="AG381" s="30" t="str">
        <x:v>Claim2003_SAU2003_Dubai</x:v>
      </x:c>
      <x:c r="AH381" s="30" t="str">
        <x:v>Project_GulfCooperationCouncil</x:v>
      </x:c>
    </x:row>
    <x:row r="382">
      <x:c r="A382" s="30" t="str">
        <x:v>2003</x:v>
      </x:c>
      <x:c r="B382" s="30" t="str">
        <x:v>Dark Skies</x:v>
      </x:c>
      <x:c r="C382" s="30" t="str">
        <x:v>Saudi Arabia</x:v>
      </x:c>
      <x:c r="D382" s="30" t="str">
        <x:v>Yemen</x:v>
      </x:c>
      <x:c r="E382" s="30" t="str">
        <x:v>Project unlock</x:v>
      </x:c>
      <x:c r="F382" s="30" t="str">
        <x:v>Gulf Cooperation Council</x:v>
      </x:c>
      <x:c r="G382" s="30" t="str">
        <x:v>No</x:v>
      </x:c>
      <x:c r="H382" s="30" t="str">
        <x:v>Ordinary claim</x:v>
      </x:c>
      <x:c r="I382" s="31" t="n">
        <x:f>IF(G382="Yes",'Controls &amp; Summary'!$B$5,'Controls &amp; Summary'!$B$4)</x:f>
        <x:v>6</x:v>
      </x:c>
      <x:c r="J382" s="31" t="n">
        <x:v>1.9</x:v>
      </x:c>
      <x:c r="K382" s="31" t="n">
        <x:v>2.96</x:v>
      </x:c>
      <x:c r="L382" s="31" t="n">
        <x:f>ABS(J382-K382)</x:f>
        <x:v>1.06</x:v>
      </x:c>
      <x:c r="M382" s="31" t="n">
        <x:v>4.71</x:v>
      </x:c>
      <x:c r="N382" s="31" t="n">
        <x:v>3.66</x:v>
      </x:c>
      <x:c r="O382" s="31" t="n">
        <x:f>ABS(M382-N382)</x:f>
        <x:v>1.0499999999999998</x:v>
      </x:c>
      <x:c r="P382" s="31" t="n">
        <x:v>6.93</x:v>
      </x:c>
      <x:c r="Q382" s="31" t="n">
        <x:v>3.68</x:v>
      </x:c>
      <x:c r="R382" s="31" t="n">
        <x:f>ABS(P382-Q382)</x:f>
        <x:v>3.2499999999999996</x:v>
      </x:c>
      <x:c r="S382" s="32" t="n">
        <x:v>21190.6342784791</x:v>
      </x:c>
      <x:c r="T382" s="32" t="n">
        <x:v>1663.2139890892122</x:v>
      </x:c>
      <x:c r="U382" s="31" t="n">
        <x:f>MAX(S382/T382,T382/S382)</x:f>
        <x:v>12.740774438822056</x:v>
      </x:c>
      <x:c r="V382" s="31" t="n">
        <x:f>L382*'Controls &amp; Summary'!$B$9+O382*'Controls &amp; Summary'!$B$10+R382*'Controls &amp; Summary'!$B$11+U382*'Controls &amp; Summary'!$B$12</x:f>
        <x:v>18.100774438822057</x:v>
      </x:c>
      <x:c r="W382" s="31" t="n">
        <x:v>4.53</x:v>
      </x:c>
      <x:c r="X382" s="31" t="n">
        <x:v>4.46</x:v>
      </x:c>
      <x:c r="Y382" s="31" t="n">
        <x:f>((10-MIN(10,MAX(0,X382)))/10)*'Controls &amp; Summary'!$B$15+((10-MIN(10,MAX(0,W382)))/10)*'Controls &amp; Summary'!$B$16</x:f>
        <x:v>1.101</x:v>
      </x:c>
      <x:c r="Z382" s="31" t="n">
        <x:f>V382*Y382</x:f>
        <x:v>19.928952657143086</x:v>
      </x:c>
      <x:c r="AA382" s="30" t="str">
        <x:f>IF(Z382&lt;=I382,"Peaceful","Hostile")</x:f>
        <x:v>Hostile</x:v>
      </x:c>
      <x:c r="AB382" s="30" t="str">
        <x:f>IF(Z382&lt;='Controls &amp; Summary'!$B$6,"Eligible","Blocked")</x:f>
        <x:v>Blocked</x:v>
      </x:c>
      <x:c r="AC382" s="30" t="str">
        <x:v>2003_SAU</x:v>
      </x:c>
      <x:c r="AD382" s="30" t="str">
        <x:v>2003_YEM</x:v>
      </x:c>
      <x:c r="AE382" s="30" t="str">
        <x:v>2003_Yemen</x:v>
      </x:c>
      <x:c r="AF382" s="30" t="str">
        <x:v>Explicit capitalClaim</x:v>
      </x:c>
      <x:c r="AG382" s="30" t="str">
        <x:v>Claim2003_SAU2003_Yemen</x:v>
      </x:c>
      <x:c r="AH382" s="30" t="str">
        <x:v>Project_GulfCooperationCouncil</x:v>
      </x:c>
    </x:row>
    <x:row r="383">
      <x:c r="A383" s="30" t="str">
        <x:v>2003</x:v>
      </x:c>
      <x:c r="B383" s="30" t="str">
        <x:v>Dark Skies</x:v>
      </x:c>
      <x:c r="C383" s="30" t="str">
        <x:v>Senegal</x:v>
      </x:c>
      <x:c r="D383" s="30" t="str">
        <x:v>Gambia</x:v>
      </x:c>
      <x:c r="E383" s="30" t="str">
        <x:v>Starting claim</x:v>
      </x:c>
      <x:c r="F383" s="30" t="str"/>
      <x:c r="G383" s="30" t="str">
        <x:v>No</x:v>
      </x:c>
      <x:c r="H383" s="30" t="str">
        <x:v>Ordinary claim</x:v>
      </x:c>
      <x:c r="I383" s="31" t="n">
        <x:f>IF(G383="Yes",'Controls &amp; Summary'!$B$5,'Controls &amp; Summary'!$B$4)</x:f>
        <x:v>6</x:v>
      </x:c>
      <x:c r="J383" s="31" t="n">
        <x:v>5.37</x:v>
      </x:c>
      <x:c r="K383" s="31" t="n">
        <x:v>4.43</x:v>
      </x:c>
      <x:c r="L383" s="31" t="n">
        <x:f>ABS(J383-K383)</x:f>
        <x:v>0.9400000000000004</x:v>
      </x:c>
      <x:c r="M383" s="31" t="n">
        <x:v>4.11</x:v>
      </x:c>
      <x:c r="N383" s="31" t="n">
        <x:v>4.41</x:v>
      </x:c>
      <x:c r="O383" s="31" t="n">
        <x:f>ABS(M383-N383)</x:f>
        <x:v>0.2999999999999998</x:v>
      </x:c>
      <x:c r="P383" s="31" t="n">
        <x:v>3.12</x:v>
      </x:c>
      <x:c r="Q383" s="31" t="n">
        <x:v>3.19</x:v>
      </x:c>
      <x:c r="R383" s="31" t="n">
        <x:f>ABS(P383-Q383)</x:f>
        <x:v>0.06999999999999984</x:v>
      </x:c>
      <x:c r="S383" s="32" t="n">
        <x:v>1192.644324465898</x:v>
      </x:c>
      <x:c r="T383" s="32" t="n">
        <x:v>972.3044077405647</x:v>
      </x:c>
      <x:c r="U383" s="31" t="n">
        <x:f>MAX(S383/T383,T383/S383)</x:f>
        <x:v>1.2266161862182214</x:v>
      </x:c>
      <x:c r="V383" s="31" t="n">
        <x:f>L383*'Controls &amp; Summary'!$B$9+O383*'Controls &amp; Summary'!$B$10+R383*'Controls &amp; Summary'!$B$11+U383*'Controls &amp; Summary'!$B$12</x:f>
        <x:v>2.5366161862182217</x:v>
      </x:c>
      <x:c r="W383" s="31" t="n">
        <x:v>3.45</x:v>
      </x:c>
      <x:c r="X383" s="31" t="n">
        <x:v>2.61</x:v>
      </x:c>
      <x:c r="Y383" s="31" t="n">
        <x:f>((10-MIN(10,MAX(0,X383)))/10)*'Controls &amp; Summary'!$B$15+((10-MIN(10,MAX(0,W383)))/10)*'Controls &amp; Summary'!$B$16</x:f>
        <x:v>1.3940000000000001</x:v>
      </x:c>
      <x:c r="Z383" s="31" t="n">
        <x:f>V383*Y383</x:f>
        <x:v>3.5360429635882014</x:v>
      </x:c>
      <x:c r="AA383" s="30" t="str">
        <x:f>IF(Z383&lt;=I383,"Peaceful","Hostile")</x:f>
        <x:v>Peaceful</x:v>
      </x:c>
      <x:c r="AB383" s="30" t="str">
        <x:f>IF(Z383&lt;='Controls &amp; Summary'!$B$6,"Eligible","Blocked")</x:f>
        <x:v>Eligible</x:v>
      </x:c>
      <x:c r="AC383" s="30" t="str">
        <x:v>2003_SEG</x:v>
      </x:c>
      <x:c r="AD383" s="30" t="str">
        <x:v>2003_GAM</x:v>
      </x:c>
      <x:c r="AE383" s="30" t="str">
        <x:v>2003_Gambia</x:v>
      </x:c>
      <x:c r="AF383" s="30" t="str">
        <x:v>Explicit capitalClaim</x:v>
      </x:c>
      <x:c r="AG383" s="30" t="str">
        <x:v>Claim2003_SEG2003_Gambia</x:v>
      </x:c>
      <x:c r="AH383" s="30" t="str"/>
    </x:row>
    <x:row r="384">
      <x:c r="A384" s="30" t="str">
        <x:v>2003</x:v>
      </x:c>
      <x:c r="B384" s="30" t="str">
        <x:v>Dark Skies</x:v>
      </x:c>
      <x:c r="C384" s="30" t="str">
        <x:v>Serbia</x:v>
      </x:c>
      <x:c r="D384" s="30" t="str">
        <x:v>Bosnia and Herzegovina</x:v>
      </x:c>
      <x:c r="E384" s="30" t="str">
        <x:v>Starting claim</x:v>
      </x:c>
      <x:c r="F384" s="30" t="str"/>
      <x:c r="G384" s="30" t="str">
        <x:v>Yes</x:v>
      </x:c>
      <x:c r="H384" s="30" t="str">
        <x:v>Template hostileClaim</x:v>
      </x:c>
      <x:c r="I384" s="31" t="n">
        <x:f>IF(G384="Yes",'Controls &amp; Summary'!$B$5,'Controls &amp; Summary'!$B$4)</x:f>
        <x:v>3</x:v>
      </x:c>
      <x:c r="J384" s="31" t="n">
        <x:v>6.65</x:v>
      </x:c>
      <x:c r="K384" s="31" t="n">
        <x:v>5.96</x:v>
      </x:c>
      <x:c r="L384" s="31" t="n">
        <x:f>ABS(J384-K384)</x:f>
        <x:v>0.6900000000000004</x:v>
      </x:c>
      <x:c r="M384" s="31" t="n">
        <x:v>3.43</x:v>
      </x:c>
      <x:c r="N384" s="31" t="n">
        <x:v>3.83</x:v>
      </x:c>
      <x:c r="O384" s="31" t="n">
        <x:f>ABS(M384-N384)</x:f>
        <x:v>0.3999999999999999</x:v>
      </x:c>
      <x:c r="P384" s="31" t="n">
        <x:v>6.46</x:v>
      </x:c>
      <x:c r="Q384" s="31" t="n">
        <x:v>6.12</x:v>
      </x:c>
      <x:c r="R384" s="31" t="n">
        <x:f>ABS(P384-Q384)</x:f>
        <x:v>0.33999999999999986</x:v>
      </x:c>
      <x:c r="S384" s="32" t="n">
        <x:v>4347.589668859871</x:v>
      </x:c>
      <x:c r="T384" s="32" t="n">
        <x:v>3334.651533328882</x:v>
      </x:c>
      <x:c r="U384" s="31" t="n">
        <x:f>MAX(S384/T384,T384/S384)</x:f>
        <x:v>1.3037613152099894</x:v>
      </x:c>
      <x:c r="V384" s="31" t="n">
        <x:f>L384*'Controls &amp; Summary'!$B$9+O384*'Controls &amp; Summary'!$B$10+R384*'Controls &amp; Summary'!$B$11+U384*'Controls &amp; Summary'!$B$12</x:f>
        <x:v>2.7337613152099896</x:v>
      </x:c>
      <x:c r="W384" s="31" t="n">
        <x:v>0.42</x:v>
      </x:c>
      <x:c r="X384" s="31" t="n">
        <x:v>3.25</x:v>
      </x:c>
      <x:c r="Y384" s="31" t="n">
        <x:f>((10-MIN(10,MAX(0,X384)))/10)*'Controls &amp; Summary'!$B$15+((10-MIN(10,MAX(0,W384)))/10)*'Controls &amp; Summary'!$B$16</x:f>
        <x:v>1.633</x:v>
      </x:c>
      <x:c r="Z384" s="31" t="n">
        <x:f>V384*Y384</x:f>
        <x:v>4.464232227737913</x:v>
      </x:c>
      <x:c r="AA384" s="30" t="str">
        <x:f>IF(Z384&lt;=I384,"Peaceful","Hostile")</x:f>
        <x:v>Hostile</x:v>
      </x:c>
      <x:c r="AB384" s="30" t="str">
        <x:f>IF(Z384&lt;='Controls &amp; Summary'!$B$6,"Eligible","Blocked")</x:f>
        <x:v>Eligible</x:v>
      </x:c>
      <x:c r="AC384" s="30" t="str">
        <x:v>2003_SER</x:v>
      </x:c>
      <x:c r="AD384" s="30" t="str">
        <x:v>2003_BSM</x:v>
      </x:c>
      <x:c r="AE384" s="30" t="str">
        <x:v>2003_Sarajevo</x:v>
      </x:c>
      <x:c r="AF384" s="30" t="str">
        <x:v>Explicit capitalClaim</x:v>
      </x:c>
      <x:c r="AG384" s="30" t="str">
        <x:v>Claim2003_SER2003_Sarajevo</x:v>
      </x:c>
      <x:c r="AH384" s="30" t="str"/>
    </x:row>
    <x:row r="385">
      <x:c r="A385" s="30" t="str">
        <x:v>2003</x:v>
      </x:c>
      <x:c r="B385" s="30" t="str">
        <x:v>Dark Skies</x:v>
      </x:c>
      <x:c r="C385" s="30" t="str">
        <x:v>Serbia</x:v>
      </x:c>
      <x:c r="D385" s="30" t="str">
        <x:v>Croatia</x:v>
      </x:c>
      <x:c r="E385" s="30" t="str">
        <x:v>Starting claim</x:v>
      </x:c>
      <x:c r="F385" s="30" t="str"/>
      <x:c r="G385" s="30" t="str">
        <x:v>Yes</x:v>
      </x:c>
      <x:c r="H385" s="30" t="str">
        <x:v>Template hostileClaim</x:v>
      </x:c>
      <x:c r="I385" s="31" t="n">
        <x:f>IF(G385="Yes",'Controls &amp; Summary'!$B$5,'Controls &amp; Summary'!$B$4)</x:f>
        <x:v>3</x:v>
      </x:c>
      <x:c r="J385" s="31" t="n">
        <x:v>6.65</x:v>
      </x:c>
      <x:c r="K385" s="31" t="n">
        <x:v>7.03</x:v>
      </x:c>
      <x:c r="L385" s="31" t="n">
        <x:f>ABS(J385-K385)</x:f>
        <x:v>0.3799999999999999</x:v>
      </x:c>
      <x:c r="M385" s="31" t="n">
        <x:v>3.43</x:v>
      </x:c>
      <x:c r="N385" s="31" t="n">
        <x:v>2.67</x:v>
      </x:c>
      <x:c r="O385" s="31" t="n">
        <x:f>ABS(M385-N385)</x:f>
        <x:v>0.7600000000000002</x:v>
      </x:c>
      <x:c r="P385" s="31" t="n">
        <x:v>6.46</x:v>
      </x:c>
      <x:c r="Q385" s="31" t="n">
        <x:v>7.32</x:v>
      </x:c>
      <x:c r="R385" s="31" t="n">
        <x:f>ABS(P385-Q385)</x:f>
        <x:v>0.8600000000000003</x:v>
      </x:c>
      <x:c r="S385" s="32" t="n">
        <x:v>4347.589668859871</x:v>
      </x:c>
      <x:c r="T385" s="32" t="n">
        <x:v>9881.140802928285</x:v>
      </x:c>
      <x:c r="U385" s="31" t="n">
        <x:f>MAX(S385/T385,T385/S385)</x:f>
        <x:v>2.272785970052126</x:v>
      </x:c>
      <x:c r="V385" s="31" t="n">
        <x:f>L385*'Controls &amp; Summary'!$B$9+O385*'Controls &amp; Summary'!$B$10+R385*'Controls &amp; Summary'!$B$11+U385*'Controls &amp; Summary'!$B$12</x:f>
        <x:v>4.2727859700521265</x:v>
      </x:c>
      <x:c r="W385" s="31" t="n">
        <x:v>0.42</x:v>
      </x:c>
      <x:c r="X385" s="31" t="n">
        <x:v>1.98</x:v>
      </x:c>
      <x:c r="Y385" s="31" t="n">
        <x:f>((10-MIN(10,MAX(0,X385)))/10)*'Controls &amp; Summary'!$B$15+((10-MIN(10,MAX(0,W385)))/10)*'Controls &amp; Summary'!$B$16</x:f>
        <x:v>1.7599999999999998</x:v>
      </x:c>
      <x:c r="Z385" s="31" t="n">
        <x:f>V385*Y385</x:f>
        <x:v>7.520103307291742</x:v>
      </x:c>
      <x:c r="AA385" s="30" t="str">
        <x:f>IF(Z385&lt;=I385,"Peaceful","Hostile")</x:f>
        <x:v>Hostile</x:v>
      </x:c>
      <x:c r="AB385" s="30" t="str">
        <x:f>IF(Z385&lt;='Controls &amp; Summary'!$B$6,"Eligible","Blocked")</x:f>
        <x:v>Eligible</x:v>
      </x:c>
      <x:c r="AC385" s="30" t="str">
        <x:v>2003_SER</x:v>
      </x:c>
      <x:c r="AD385" s="30" t="str">
        <x:v>2003_CRS</x:v>
      </x:c>
      <x:c r="AE385" s="30" t="str">
        <x:v>2003_Zagreb</x:v>
      </x:c>
      <x:c r="AF385" s="30" t="str">
        <x:v>Explicit capitalClaim</x:v>
      </x:c>
      <x:c r="AG385" s="30" t="str">
        <x:v>Claim2003_SER2003_Zagreb</x:v>
      </x:c>
      <x:c r="AH385" s="30" t="str"/>
    </x:row>
    <x:row r="386">
      <x:c r="A386" s="30" t="str">
        <x:v>2003</x:v>
      </x:c>
      <x:c r="B386" s="30" t="str">
        <x:v>Dark Skies</x:v>
      </x:c>
      <x:c r="C386" s="30" t="str">
        <x:v>Serbia</x:v>
      </x:c>
      <x:c r="D386" s="30" t="str">
        <x:v>Kosovo</x:v>
      </x:c>
      <x:c r="E386" s="30" t="str">
        <x:v>Starting claim</x:v>
      </x:c>
      <x:c r="F386" s="30" t="str"/>
      <x:c r="G386" s="30" t="str">
        <x:v>Yes</x:v>
      </x:c>
      <x:c r="H386" s="30" t="str">
        <x:v>Template hostileClaim</x:v>
      </x:c>
      <x:c r="I386" s="31" t="n">
        <x:f>IF(G386="Yes",'Controls &amp; Summary'!$B$5,'Controls &amp; Summary'!$B$4)</x:f>
        <x:v>3</x:v>
      </x:c>
      <x:c r="J386" s="31" t="n">
        <x:v>6.65</x:v>
      </x:c>
      <x:c r="K386" s="31" t="n">
        <x:v>5.33</x:v>
      </x:c>
      <x:c r="L386" s="31" t="n">
        <x:f>ABS(J386-K386)</x:f>
        <x:v>1.3200000000000003</x:v>
      </x:c>
      <x:c r="M386" s="31" t="n">
        <x:v>3.43</x:v>
      </x:c>
      <x:c r="N386" s="31" t="n">
        <x:v>3.16</x:v>
      </x:c>
      <x:c r="O386" s="31" t="n">
        <x:f>ABS(M386-N386)</x:f>
        <x:v>0.27</x:v>
      </x:c>
      <x:c r="P386" s="31" t="n">
        <x:v>6.46</x:v>
      </x:c>
      <x:c r="Q386" s="31" t="n">
        <x:v>6.81</x:v>
      </x:c>
      <x:c r="R386" s="31" t="n">
        <x:f>ABS(P386-Q386)</x:f>
        <x:v>0.34999999999999964</x:v>
      </x:c>
      <x:c r="S386" s="32" t="n">
        <x:v>4347.589668859871</x:v>
      </x:c>
      <x:c r="T386" s="32" t="n">
        <x:v>2667.1344428542175</x:v>
      </x:c>
      <x:c r="U386" s="31" t="n">
        <x:f>MAX(S386/T386,T386/S386)</x:f>
        <x:v>1.630060187070032</x:v>
      </x:c>
      <x:c r="V386" s="31" t="n">
        <x:f>L386*'Controls &amp; Summary'!$B$9+O386*'Controls &amp; Summary'!$B$10+R386*'Controls &amp; Summary'!$B$11+U386*'Controls &amp; Summary'!$B$12</x:f>
        <x:v>3.570060187070032</x:v>
      </x:c>
      <x:c r="W386" s="31" t="n">
        <x:v>0.42</x:v>
      </x:c>
      <x:c r="X386" s="31" t="n">
        <x:v>4.64</x:v>
      </x:c>
      <x:c r="Y386" s="31" t="n">
        <x:f>((10-MIN(10,MAX(0,X386)))/10)*'Controls &amp; Summary'!$B$15+((10-MIN(10,MAX(0,W386)))/10)*'Controls &amp; Summary'!$B$16</x:f>
        <x:v>1.494</x:v>
      </x:c>
      <x:c r="Z386" s="31" t="n">
        <x:f>V386*Y386</x:f>
        <x:v>5.333669919482628</x:v>
      </x:c>
      <x:c r="AA386" s="30" t="str">
        <x:f>IF(Z386&lt;=I386,"Peaceful","Hostile")</x:f>
        <x:v>Hostile</x:v>
      </x:c>
      <x:c r="AB386" s="30" t="str">
        <x:f>IF(Z386&lt;='Controls &amp; Summary'!$B$6,"Eligible","Blocked")</x:f>
        <x:v>Eligible</x:v>
      </x:c>
      <x:c r="AC386" s="30" t="str">
        <x:v>2003_SER</x:v>
      </x:c>
      <x:c r="AD386" s="30" t="str">
        <x:v>2003_KOS</x:v>
      </x:c>
      <x:c r="AE386" s="30" t="str">
        <x:v>2003_Kosovo</x:v>
      </x:c>
      <x:c r="AF386" s="30" t="str">
        <x:v>Explicit capitalClaim</x:v>
      </x:c>
      <x:c r="AG386" s="30" t="str">
        <x:v>Claim2003_SER2003_Kosovo</x:v>
      </x:c>
      <x:c r="AH386" s="30" t="str"/>
    </x:row>
    <x:row r="387">
      <x:c r="A387" s="30" t="str">
        <x:v>2003</x:v>
      </x:c>
      <x:c r="B387" s="30" t="str">
        <x:v>Dark Skies</x:v>
      </x:c>
      <x:c r="C387" s="30" t="str">
        <x:v>Serbia</x:v>
      </x:c>
      <x:c r="D387" s="30" t="str">
        <x:v>North Macedonia</x:v>
      </x:c>
      <x:c r="E387" s="30" t="str">
        <x:v>Starting claim</x:v>
      </x:c>
      <x:c r="F387" s="30" t="str"/>
      <x:c r="G387" s="30" t="str">
        <x:v>Yes</x:v>
      </x:c>
      <x:c r="H387" s="30" t="str">
        <x:v>Template hostileClaim</x:v>
      </x:c>
      <x:c r="I387" s="31" t="n">
        <x:f>IF(G387="Yes",'Controls &amp; Summary'!$B$5,'Controls &amp; Summary'!$B$4)</x:f>
        <x:v>3</x:v>
      </x:c>
      <x:c r="J387" s="31" t="n">
        <x:v>6.65</x:v>
      </x:c>
      <x:c r="K387" s="31" t="n">
        <x:v>5.99</x:v>
      </x:c>
      <x:c r="L387" s="31" t="n">
        <x:f>ABS(J387-K387)</x:f>
        <x:v>0.6600000000000001</x:v>
      </x:c>
      <x:c r="M387" s="31" t="n">
        <x:v>3.43</x:v>
      </x:c>
      <x:c r="N387" s="31" t="n">
        <x:v>3.32</x:v>
      </x:c>
      <x:c r="O387" s="31" t="n">
        <x:f>ABS(M387-N387)</x:f>
        <x:v>0.11000000000000032</x:v>
      </x:c>
      <x:c r="P387" s="31" t="n">
        <x:v>6.46</x:v>
      </x:c>
      <x:c r="Q387" s="31" t="n">
        <x:v>6.24</x:v>
      </x:c>
      <x:c r="R387" s="31" t="n">
        <x:f>ABS(P387-Q387)</x:f>
        <x:v>0.21999999999999975</x:v>
      </x:c>
      <x:c r="S387" s="32" t="n">
        <x:v>4347.589668859871</x:v>
      </x:c>
      <x:c r="T387" s="32" t="n">
        <x:v>4508.019288838196</x:v>
      </x:c>
      <x:c r="U387" s="31" t="n">
        <x:f>MAX(S387/T387,T387/S387)</x:f>
        <x:v>1.0369008191199416</x:v>
      </x:c>
      <x:c r="V387" s="31" t="n">
        <x:f>L387*'Controls &amp; Summary'!$B$9+O387*'Controls &amp; Summary'!$B$10+R387*'Controls &amp; Summary'!$B$11+U387*'Controls &amp; Summary'!$B$12</x:f>
        <x:v>2.026900819119942</x:v>
      </x:c>
      <x:c r="W387" s="31" t="n">
        <x:v>0.42</x:v>
      </x:c>
      <x:c r="X387" s="31" t="n">
        <x:v>2</x:v>
      </x:c>
      <x:c r="Y387" s="31" t="n">
        <x:f>((10-MIN(10,MAX(0,X387)))/10)*'Controls &amp; Summary'!$B$15+((10-MIN(10,MAX(0,W387)))/10)*'Controls &amp; Summary'!$B$16</x:f>
        <x:v>1.758</x:v>
      </x:c>
      <x:c r="Z387" s="31" t="n">
        <x:f>V387*Y387</x:f>
        <x:v>3.5632916400128583</x:v>
      </x:c>
      <x:c r="AA387" s="30" t="str">
        <x:f>IF(Z387&lt;=I387,"Peaceful","Hostile")</x:f>
        <x:v>Hostile</x:v>
      </x:c>
      <x:c r="AB387" s="30" t="str">
        <x:f>IF(Z387&lt;='Controls &amp; Summary'!$B$6,"Eligible","Blocked")</x:f>
        <x:v>Eligible</x:v>
      </x:c>
      <x:c r="AC387" s="30" t="str">
        <x:v>2003_SER</x:v>
      </x:c>
      <x:c r="AD387" s="30" t="str">
        <x:v>2003_MKD</x:v>
      </x:c>
      <x:c r="AE387" s="30" t="str">
        <x:v>2003_NorthMacedonia</x:v>
      </x:c>
      <x:c r="AF387" s="30" t="str">
        <x:v>Explicit capitalClaim</x:v>
      </x:c>
      <x:c r="AG387" s="30" t="str">
        <x:v>Claim2003_SER2003_NorthMacedonia</x:v>
      </x:c>
      <x:c r="AH387" s="30" t="str"/>
    </x:row>
    <x:row r="388">
      <x:c r="A388" s="30" t="str">
        <x:v>2003</x:v>
      </x:c>
      <x:c r="B388" s="30" t="str">
        <x:v>Dark Skies</x:v>
      </x:c>
      <x:c r="C388" s="30" t="str">
        <x:v>Serbia</x:v>
      </x:c>
      <x:c r="D388" s="30" t="str">
        <x:v>Slovenia</x:v>
      </x:c>
      <x:c r="E388" s="30" t="str">
        <x:v>Starting claim</x:v>
      </x:c>
      <x:c r="F388" s="30" t="str"/>
      <x:c r="G388" s="30" t="str">
        <x:v>Yes</x:v>
      </x:c>
      <x:c r="H388" s="30" t="str">
        <x:v>Template hostileClaim</x:v>
      </x:c>
      <x:c r="I388" s="31" t="n">
        <x:f>IF(G388="Yes",'Controls &amp; Summary'!$B$5,'Controls &amp; Summary'!$B$4)</x:f>
        <x:v>3</x:v>
      </x:c>
      <x:c r="J388" s="31" t="n">
        <x:v>6.65</x:v>
      </x:c>
      <x:c r="K388" s="31" t="n">
        <x:v>8.09</x:v>
      </x:c>
      <x:c r="L388" s="31" t="n">
        <x:f>ABS(J388-K388)</x:f>
        <x:v>1.4399999999999995</x:v>
      </x:c>
      <x:c r="M388" s="31" t="n">
        <x:v>3.43</x:v>
      </x:c>
      <x:c r="N388" s="31" t="n">
        <x:v>2.37</x:v>
      </x:c>
      <x:c r="O388" s="31" t="n">
        <x:f>ABS(M388-N388)</x:f>
        <x:v>1.06</x:v>
      </x:c>
      <x:c r="P388" s="31" t="n">
        <x:v>6.46</x:v>
      </x:c>
      <x:c r="Q388" s="31" t="n">
        <x:v>8.06</x:v>
      </x:c>
      <x:c r="R388" s="31" t="n">
        <x:f>ABS(P388-Q388)</x:f>
        <x:v>1.6000000000000005</x:v>
      </x:c>
      <x:c r="S388" s="32" t="n">
        <x:v>4347.589668859871</x:v>
      </x:c>
      <x:c r="T388" s="32" t="n">
        <x:v>14754.809308955126</x:v>
      </x:c>
      <x:c r="U388" s="31" t="n">
        <x:f>MAX(S388/T388,T388/S388)</x:f>
        <x:v>3.393790682372397</x:v>
      </x:c>
      <x:c r="V388" s="31" t="n">
        <x:f>L388*'Controls &amp; Summary'!$B$9+O388*'Controls &amp; Summary'!$B$10+R388*'Controls &amp; Summary'!$B$11+U388*'Controls &amp; Summary'!$B$12</x:f>
        <x:v>7.4937906823723965</x:v>
      </x:c>
      <x:c r="W388" s="31" t="n">
        <x:v>0.42</x:v>
      </x:c>
      <x:c r="X388" s="31" t="n">
        <x:v>0.75</x:v>
      </x:c>
      <x:c r="Y388" s="31" t="n">
        <x:f>((10-MIN(10,MAX(0,X388)))/10)*'Controls &amp; Summary'!$B$15+((10-MIN(10,MAX(0,W388)))/10)*'Controls &amp; Summary'!$B$16</x:f>
        <x:v>1.883</x:v>
      </x:c>
      <x:c r="Z388" s="31" t="n">
        <x:f>V388*Y388</x:f>
        <x:v>14.110807854907224</x:v>
      </x:c>
      <x:c r="AA388" s="30" t="str">
        <x:f>IF(Z388&lt;=I388,"Peaceful","Hostile")</x:f>
        <x:v>Hostile</x:v>
      </x:c>
      <x:c r="AB388" s="30" t="str">
        <x:f>IF(Z388&lt;='Controls &amp; Summary'!$B$6,"Eligible","Blocked")</x:f>
        <x:v>Blocked</x:v>
      </x:c>
      <x:c r="AC388" s="30" t="str">
        <x:v>2003_SER</x:v>
      </x:c>
      <x:c r="AD388" s="30" t="str">
        <x:v>2003_SLV</x:v>
      </x:c>
      <x:c r="AE388" s="30" t="str">
        <x:v>2003_Slovenia</x:v>
      </x:c>
      <x:c r="AF388" s="30" t="str">
        <x:v>Explicit capitalClaim</x:v>
      </x:c>
      <x:c r="AG388" s="30" t="str">
        <x:v>Claim2003_SER2003_Slovenia</x:v>
      </x:c>
      <x:c r="AH388" s="30" t="str"/>
    </x:row>
    <x:row r="389">
      <x:c r="A389" s="30" t="str">
        <x:v>2003</x:v>
      </x:c>
      <x:c r="B389" s="30" t="str">
        <x:v>Dark Skies</x:v>
      </x:c>
      <x:c r="C389" s="30" t="str">
        <x:v>South Africa</x:v>
      </x:c>
      <x:c r="D389" s="30" t="str">
        <x:v>Angola</x:v>
      </x:c>
      <x:c r="E389" s="30" t="str">
        <x:v>Project unlock</x:v>
      </x:c>
      <x:c r="F389" s="30" t="str">
        <x:v>Regional African Unions</x:v>
      </x:c>
      <x:c r="G389" s="30" t="str">
        <x:v>No</x:v>
      </x:c>
      <x:c r="H389" s="30" t="str">
        <x:v>Ordinary claim</x:v>
      </x:c>
      <x:c r="I389" s="31" t="n">
        <x:f>IF(G389="Yes",'Controls &amp; Summary'!$B$5,'Controls &amp; Summary'!$B$4)</x:f>
        <x:v>6</x:v>
      </x:c>
      <x:c r="J389" s="31" t="n">
        <x:v>7.75</x:v>
      </x:c>
      <x:c r="K389" s="31" t="n">
        <x:v>2.39</x:v>
      </x:c>
      <x:c r="L389" s="31" t="n">
        <x:f>ABS(J389-K389)</x:f>
        <x:v>5.359999999999999</x:v>
      </x:c>
      <x:c r="M389" s="31" t="n">
        <x:v>6.22</x:v>
      </x:c>
      <x:c r="N389" s="31" t="n">
        <x:v>4.96</x:v>
      </x:c>
      <x:c r="O389" s="31" t="n">
        <x:f>ABS(M389-N389)</x:f>
        <x:v>1.2599999999999998</x:v>
      </x:c>
      <x:c r="P389" s="31" t="n">
        <x:v>5.25</x:v>
      </x:c>
      <x:c r="Q389" s="31" t="n">
        <x:v>3.33</x:v>
      </x:c>
      <x:c r="R389" s="31" t="n">
        <x:f>ABS(P389-Q389)</x:f>
        <x:v>1.92</x:v>
      </x:c>
      <x:c r="S389" s="32" t="n">
        <x:v>4761.990490026999</x:v>
      </x:c>
      <x:c r="T389" s="32" t="n">
        <x:v>2603.332593166899</x:v>
      </x:c>
      <x:c r="U389" s="31" t="n">
        <x:f>MAX(S389/T389,T389/S389)</x:f>
        <x:v>1.8291902089368222</x:v>
      </x:c>
      <x:c r="V389" s="31" t="n">
        <x:f>L389*'Controls &amp; Summary'!$B$9+O389*'Controls &amp; Summary'!$B$10+R389*'Controls &amp; Summary'!$B$11+U389*'Controls &amp; Summary'!$B$12</x:f>
        <x:v>10.369190208936821</x:v>
      </x:c>
      <x:c r="W389" s="31" t="n">
        <x:v>3.02</x:v>
      </x:c>
      <x:c r="X389" s="31" t="n">
        <x:v>4.02</x:v>
      </x:c>
      <x:c r="Y389" s="31" t="n">
        <x:f>((10-MIN(10,MAX(0,X389)))/10)*'Controls &amp; Summary'!$B$15+((10-MIN(10,MAX(0,W389)))/10)*'Controls &amp; Summary'!$B$16</x:f>
        <x:v>1.2960000000000003</x:v>
      </x:c>
      <x:c r="Z389" s="31" t="n">
        <x:f>V389*Y389</x:f>
        <x:v>13.438470510782123</x:v>
      </x:c>
      <x:c r="AA389" s="30" t="str">
        <x:f>IF(Z389&lt;=I389,"Peaceful","Hostile")</x:f>
        <x:v>Hostile</x:v>
      </x:c>
      <x:c r="AB389" s="30" t="str">
        <x:f>IF(Z389&lt;='Controls &amp; Summary'!$B$6,"Eligible","Blocked")</x:f>
        <x:v>Blocked</x:v>
      </x:c>
      <x:c r="AC389" s="30" t="str">
        <x:v>2003_ZAF</x:v>
      </x:c>
      <x:c r="AD389" s="30" t="str">
        <x:v>2003_AGO</x:v>
      </x:c>
      <x:c r="AE389" s="30" t="str">
        <x:v>2003_Angola</x:v>
      </x:c>
      <x:c r="AF389" s="30" t="str">
        <x:v>Explicit capitalClaim</x:v>
      </x:c>
      <x:c r="AG389" s="30" t="str">
        <x:v>Claim2003_ZAF2003_Angola</x:v>
      </x:c>
      <x:c r="AH389" s="30" t="str">
        <x:v>Project_RegionalAfricanUnions</x:v>
      </x:c>
    </x:row>
    <x:row r="390">
      <x:c r="A390" s="30" t="str">
        <x:v>2003</x:v>
      </x:c>
      <x:c r="B390" s="30" t="str">
        <x:v>Dark Skies</x:v>
      </x:c>
      <x:c r="C390" s="30" t="str">
        <x:v>South Africa</x:v>
      </x:c>
      <x:c r="D390" s="30" t="str">
        <x:v>Botswana</x:v>
      </x:c>
      <x:c r="E390" s="30" t="str">
        <x:v>Project unlock</x:v>
      </x:c>
      <x:c r="F390" s="30" t="str">
        <x:v>Regional African Unions</x:v>
      </x:c>
      <x:c r="G390" s="30" t="str">
        <x:v>No</x:v>
      </x:c>
      <x:c r="H390" s="30" t="str">
        <x:v>Ordinary claim</x:v>
      </x:c>
      <x:c r="I390" s="31" t="n">
        <x:f>IF(G390="Yes",'Controls &amp; Summary'!$B$5,'Controls &amp; Summary'!$B$4)</x:f>
        <x:v>6</x:v>
      </x:c>
      <x:c r="J390" s="31" t="n">
        <x:v>7.75</x:v>
      </x:c>
      <x:c r="K390" s="31" t="n">
        <x:v>7.54</x:v>
      </x:c>
      <x:c r="L390" s="31" t="n">
        <x:f>ABS(J390-K390)</x:f>
        <x:v>0.20999999999999996</x:v>
      </x:c>
      <x:c r="M390" s="31" t="n">
        <x:v>6.22</x:v>
      </x:c>
      <x:c r="N390" s="31" t="n">
        <x:v>5.78</x:v>
      </x:c>
      <x:c r="O390" s="31" t="n">
        <x:f>ABS(M390-N390)</x:f>
        <x:v>0.4399999999999995</x:v>
      </x:c>
      <x:c r="P390" s="31" t="n">
        <x:v>5.25</x:v>
      </x:c>
      <x:c r="Q390" s="31" t="n">
        <x:v>5.17</x:v>
      </x:c>
      <x:c r="R390" s="31" t="n">
        <x:f>ABS(P390-Q390)</x:f>
        <x:v>0.08000000000000007</x:v>
      </x:c>
      <x:c r="S390" s="32" t="n">
        <x:v>4761.990490026999</x:v>
      </x:c>
      <x:c r="T390" s="32" t="n">
        <x:v>5821.488611482788</x:v>
      </x:c>
      <x:c r="U390" s="31" t="n">
        <x:f>MAX(S390/T390,T390/S390)</x:f>
        <x:v>1.2224906000284308</x:v>
      </x:c>
      <x:c r="V390" s="31" t="n">
        <x:f>L390*'Controls &amp; Summary'!$B$9+O390*'Controls &amp; Summary'!$B$10+R390*'Controls &amp; Summary'!$B$11+U390*'Controls &amp; Summary'!$B$12</x:f>
        <x:v>1.9524906000284303</x:v>
      </x:c>
      <x:c r="W390" s="31" t="n">
        <x:v>3.02</x:v>
      </x:c>
      <x:c r="X390" s="31" t="n">
        <x:v>0.58</x:v>
      </x:c>
      <x:c r="Y390" s="31" t="n">
        <x:f>((10-MIN(10,MAX(0,X390)))/10)*'Controls &amp; Summary'!$B$15+((10-MIN(10,MAX(0,W390)))/10)*'Controls &amp; Summary'!$B$16</x:f>
        <x:v>1.6400000000000001</x:v>
      </x:c>
      <x:c r="Z390" s="31" t="n">
        <x:f>V390*Y390</x:f>
        <x:v>3.202084584046626</x:v>
      </x:c>
      <x:c r="AA390" s="30" t="str">
        <x:f>IF(Z390&lt;=I390,"Peaceful","Hostile")</x:f>
        <x:v>Peaceful</x:v>
      </x:c>
      <x:c r="AB390" s="30" t="str">
        <x:f>IF(Z390&lt;='Controls &amp; Summary'!$B$6,"Eligible","Blocked")</x:f>
        <x:v>Eligible</x:v>
      </x:c>
      <x:c r="AC390" s="30" t="str">
        <x:v>2003_ZAF</x:v>
      </x:c>
      <x:c r="AD390" s="30" t="str">
        <x:v>2003_BWA</x:v>
      </x:c>
      <x:c r="AE390" s="30" t="str">
        <x:v>2003_Botswana</x:v>
      </x:c>
      <x:c r="AF390" s="30" t="str">
        <x:v>Explicit capitalClaim</x:v>
      </x:c>
      <x:c r="AG390" s="30" t="str">
        <x:v>Claim2003_ZAF2003_Botswana</x:v>
      </x:c>
      <x:c r="AH390" s="30" t="str">
        <x:v>Project_RegionalAfricanUnions</x:v>
      </x:c>
    </x:row>
    <x:row r="391">
      <x:c r="A391" s="30" t="str">
        <x:v>2003</x:v>
      </x:c>
      <x:c r="B391" s="30" t="str">
        <x:v>Dark Skies</x:v>
      </x:c>
      <x:c r="C391" s="30" t="str">
        <x:v>South Africa</x:v>
      </x:c>
      <x:c r="D391" s="30" t="str">
        <x:v>Congo</x:v>
      </x:c>
      <x:c r="E391" s="30" t="str">
        <x:v>Project unlock</x:v>
      </x:c>
      <x:c r="F391" s="30" t="str">
        <x:v>Regional African Unions</x:v>
      </x:c>
      <x:c r="G391" s="30" t="str">
        <x:v>No</x:v>
      </x:c>
      <x:c r="H391" s="30" t="str">
        <x:v>Ordinary claim</x:v>
      </x:c>
      <x:c r="I391" s="31" t="n">
        <x:f>IF(G391="Yes",'Controls &amp; Summary'!$B$5,'Controls &amp; Summary'!$B$4)</x:f>
        <x:v>6</x:v>
      </x:c>
      <x:c r="J391" s="31" t="n">
        <x:v>7.75</x:v>
      </x:c>
      <x:c r="K391" s="31" t="n">
        <x:v>3.12</x:v>
      </x:c>
      <x:c r="L391" s="31" t="n">
        <x:f>ABS(J391-K391)</x:f>
        <x:v>4.63</x:v>
      </x:c>
      <x:c r="M391" s="31" t="n">
        <x:v>6.22</x:v>
      </x:c>
      <x:c r="N391" s="31" t="n">
        <x:v>4.35</x:v>
      </x:c>
      <x:c r="O391" s="31" t="n">
        <x:f>ABS(M391-N391)</x:f>
        <x:v>1.87</x:v>
      </x:c>
      <x:c r="P391" s="31" t="n">
        <x:v>5.25</x:v>
      </x:c>
      <x:c r="Q391" s="31" t="n">
        <x:v>4.63</x:v>
      </x:c>
      <x:c r="R391" s="31" t="n">
        <x:f>ABS(P391-Q391)</x:f>
        <x:v>0.6200000000000001</x:v>
      </x:c>
      <x:c r="S391" s="32" t="n">
        <x:v>4761.990490026999</x:v>
      </x:c>
      <x:c r="T391" s="32" t="n">
        <x:v>308.88222613717977</x:v>
      </x:c>
      <x:c r="U391" s="31" t="n">
        <x:f>MAX(S391/T391,T391/S391)</x:f>
        <x:v>15.416848517247217</x:v>
      </x:c>
      <x:c r="V391" s="31" t="n">
        <x:f>L391*'Controls &amp; Summary'!$B$9+O391*'Controls &amp; Summary'!$B$10+R391*'Controls &amp; Summary'!$B$11+U391*'Controls &amp; Summary'!$B$12</x:f>
        <x:v>22.53684851724722</x:v>
      </x:c>
      <x:c r="W391" s="31" t="n">
        <x:v>3.02</x:v>
      </x:c>
      <x:c r="X391" s="31" t="n">
        <x:v>7.34</x:v>
      </x:c>
      <x:c r="Y391" s="31" t="n">
        <x:f>((10-MIN(10,MAX(0,X391)))/10)*'Controls &amp; Summary'!$B$15+((10-MIN(10,MAX(0,W391)))/10)*'Controls &amp; Summary'!$B$16</x:f>
        <x:v>0.9640000000000001</x:v>
      </x:c>
      <x:c r="Z391" s="31" t="n">
        <x:f>V391*Y391</x:f>
        <x:v>21.72552197062632</x:v>
      </x:c>
      <x:c r="AA391" s="30" t="str">
        <x:f>IF(Z391&lt;=I391,"Peaceful","Hostile")</x:f>
        <x:v>Hostile</x:v>
      </x:c>
      <x:c r="AB391" s="30" t="str">
        <x:f>IF(Z391&lt;='Controls &amp; Summary'!$B$6,"Eligible","Blocked")</x:f>
        <x:v>Blocked</x:v>
      </x:c>
      <x:c r="AC391" s="30" t="str">
        <x:v>2003_ZAF</x:v>
      </x:c>
      <x:c r="AD391" s="30" t="str">
        <x:v>2003_COD</x:v>
      </x:c>
      <x:c r="AE391" s="30" t="str">
        <x:v>2003_Kinshasa</x:v>
      </x:c>
      <x:c r="AF391" s="30" t="str">
        <x:v>Explicit capitalClaim</x:v>
      </x:c>
      <x:c r="AG391" s="30" t="str">
        <x:v>Claim2003_ZAF2003_Kinshasa</x:v>
      </x:c>
      <x:c r="AH391" s="30" t="str">
        <x:v>Project_RegionalAfricanUnions</x:v>
      </x:c>
    </x:row>
    <x:row r="392">
      <x:c r="A392" s="30" t="str">
        <x:v>2003</x:v>
      </x:c>
      <x:c r="B392" s="30" t="str">
        <x:v>Dark Skies</x:v>
      </x:c>
      <x:c r="C392" s="30" t="str">
        <x:v>South Africa</x:v>
      </x:c>
      <x:c r="D392" s="30" t="str">
        <x:v>Eswatini</x:v>
      </x:c>
      <x:c r="E392" s="30" t="str">
        <x:v>Project unlock</x:v>
      </x:c>
      <x:c r="F392" s="30" t="str">
        <x:v>Regional African Unions</x:v>
      </x:c>
      <x:c r="G392" s="30" t="str">
        <x:v>No</x:v>
      </x:c>
      <x:c r="H392" s="30" t="str">
        <x:v>Ordinary claim</x:v>
      </x:c>
      <x:c r="I392" s="31" t="n">
        <x:f>IF(G392="Yes",'Controls &amp; Summary'!$B$5,'Controls &amp; Summary'!$B$4)</x:f>
        <x:v>6</x:v>
      </x:c>
      <x:c r="J392" s="31" t="n">
        <x:v>7.75</x:v>
      </x:c>
      <x:c r="K392" s="31" t="n">
        <x:v>2.92</x:v>
      </x:c>
      <x:c r="L392" s="31" t="n">
        <x:f>ABS(J392-K392)</x:f>
        <x:v>4.83</x:v>
      </x:c>
      <x:c r="M392" s="31" t="n">
        <x:v>6.22</x:v>
      </x:c>
      <x:c r="N392" s="31" t="n">
        <x:v>5.85</x:v>
      </x:c>
      <x:c r="O392" s="31" t="n">
        <x:f>ABS(M392-N392)</x:f>
        <x:v>0.3700000000000001</x:v>
      </x:c>
      <x:c r="P392" s="31" t="n">
        <x:v>5.25</x:v>
      </x:c>
      <x:c r="Q392" s="31" t="n">
        <x:v>3.7</x:v>
      </x:c>
      <x:c r="R392" s="31" t="n">
        <x:f>ABS(P392-Q392)</x:f>
        <x:v>1.5499999999999998</x:v>
      </x:c>
      <x:c r="S392" s="32" t="n">
        <x:v>4761.990490026999</x:v>
      </x:c>
      <x:c r="T392" s="32" t="n">
        <x:v>2691.2536176994467</x:v>
      </x:c>
      <x:c r="U392" s="31" t="n">
        <x:f>MAX(S392/T392,T392/S392)</x:f>
        <x:v>1.7694320812832467</x:v>
      </x:c>
      <x:c r="V392" s="31" t="n">
        <x:f>L392*'Controls &amp; Summary'!$B$9+O392*'Controls &amp; Summary'!$B$10+R392*'Controls &amp; Summary'!$B$11+U392*'Controls &amp; Summary'!$B$12</x:f>
        <x:v>8.519432081283247</x:v>
      </x:c>
      <x:c r="W392" s="31" t="n">
        <x:v>3.02</x:v>
      </x:c>
      <x:c r="X392" s="31" t="n">
        <x:v>1.99</x:v>
      </x:c>
      <x:c r="Y392" s="31" t="n">
        <x:f>((10-MIN(10,MAX(0,X392)))/10)*'Controls &amp; Summary'!$B$15+((10-MIN(10,MAX(0,W392)))/10)*'Controls &amp; Summary'!$B$16</x:f>
        <x:v>1.499</x:v>
      </x:c>
      <x:c r="Z392" s="31" t="n">
        <x:f>V392*Y392</x:f>
        <x:v>12.770628689843589</x:v>
      </x:c>
      <x:c r="AA392" s="30" t="str">
        <x:f>IF(Z392&lt;=I392,"Peaceful","Hostile")</x:f>
        <x:v>Hostile</x:v>
      </x:c>
      <x:c r="AB392" s="30" t="str">
        <x:f>IF(Z392&lt;='Controls &amp; Summary'!$B$6,"Eligible","Blocked")</x:f>
        <x:v>Blocked</x:v>
      </x:c>
      <x:c r="AC392" s="30" t="str">
        <x:v>2003_ZAF</x:v>
      </x:c>
      <x:c r="AD392" s="30" t="str">
        <x:v>2003_ESW</x:v>
      </x:c>
      <x:c r="AE392" s="30" t="str">
        <x:v>2003_Eswatini</x:v>
      </x:c>
      <x:c r="AF392" s="30" t="str">
        <x:v>Explicit capitalClaim</x:v>
      </x:c>
      <x:c r="AG392" s="30" t="str">
        <x:v>Claim2003_ZAF2003_Eswatini</x:v>
      </x:c>
      <x:c r="AH392" s="30" t="str">
        <x:v>Project_RegionalAfricanUnions</x:v>
      </x:c>
    </x:row>
    <x:row r="393">
      <x:c r="A393" s="30" t="str">
        <x:v>2003</x:v>
      </x:c>
      <x:c r="B393" s="30" t="str">
        <x:v>Dark Skies</x:v>
      </x:c>
      <x:c r="C393" s="30" t="str">
        <x:v>South Africa</x:v>
      </x:c>
      <x:c r="D393" s="30" t="str">
        <x:v>Lesotho</x:v>
      </x:c>
      <x:c r="E393" s="30" t="str">
        <x:v>Starting claim</x:v>
      </x:c>
      <x:c r="F393" s="30" t="str"/>
      <x:c r="G393" s="30" t="str">
        <x:v>No</x:v>
      </x:c>
      <x:c r="H393" s="30" t="str">
        <x:v>Ordinary claim</x:v>
      </x:c>
      <x:c r="I393" s="31" t="n">
        <x:f>IF(G393="Yes",'Controls &amp; Summary'!$B$5,'Controls &amp; Summary'!$B$4)</x:f>
        <x:v>6</x:v>
      </x:c>
      <x:c r="J393" s="31" t="n">
        <x:v>7.75</x:v>
      </x:c>
      <x:c r="K393" s="31" t="n">
        <x:v>6.46</x:v>
      </x:c>
      <x:c r="L393" s="31" t="n">
        <x:f>ABS(J393-K393)</x:f>
        <x:v>1.29</x:v>
      </x:c>
      <x:c r="M393" s="31" t="n">
        <x:v>6.22</x:v>
      </x:c>
      <x:c r="N393" s="31" t="n">
        <x:v>5.15</x:v>
      </x:c>
      <x:c r="O393" s="31" t="n">
        <x:f>ABS(M393-N393)</x:f>
        <x:v>1.0699999999999994</x:v>
      </x:c>
      <x:c r="P393" s="31" t="n">
        <x:v>5.25</x:v>
      </x:c>
      <x:c r="Q393" s="31" t="n">
        <x:v>3.56</x:v>
      </x:c>
      <x:c r="R393" s="31" t="n">
        <x:f>ABS(P393-Q393)</x:f>
        <x:v>1.69</x:v>
      </x:c>
      <x:c r="S393" s="32" t="n">
        <x:v>4761.990490026999</x:v>
      </x:c>
      <x:c r="T393" s="32" t="n">
        <x:v>892.9279280867722</x:v>
      </x:c>
      <x:c r="U393" s="31" t="n">
        <x:f>MAX(S393/T393,T393/S393)</x:f>
        <x:v>5.333006550965715</x:v>
      </x:c>
      <x:c r="V393" s="31" t="n">
        <x:f>L393*'Controls &amp; Summary'!$B$9+O393*'Controls &amp; Summary'!$B$10+R393*'Controls &amp; Summary'!$B$11+U393*'Controls &amp; Summary'!$B$12</x:f>
        <x:v>9.383006550965714</x:v>
      </x:c>
      <x:c r="W393" s="31" t="n">
        <x:v>3.02</x:v>
      </x:c>
      <x:c r="X393" s="31" t="n">
        <x:v>3.87</x:v>
      </x:c>
      <x:c r="Y393" s="31" t="n">
        <x:f>((10-MIN(10,MAX(0,X393)))/10)*'Controls &amp; Summary'!$B$15+((10-MIN(10,MAX(0,W393)))/10)*'Controls &amp; Summary'!$B$16</x:f>
        <x:v>1.311</x:v>
      </x:c>
      <x:c r="Z393" s="31" t="n">
        <x:f>V393*Y393</x:f>
        <x:v>12.30112158831605</x:v>
      </x:c>
      <x:c r="AA393" s="30" t="str">
        <x:f>IF(Z393&lt;=I393,"Peaceful","Hostile")</x:f>
        <x:v>Hostile</x:v>
      </x:c>
      <x:c r="AB393" s="30" t="str">
        <x:f>IF(Z393&lt;='Controls &amp; Summary'!$B$6,"Eligible","Blocked")</x:f>
        <x:v>Blocked</x:v>
      </x:c>
      <x:c r="AC393" s="30" t="str">
        <x:v>2003_ZAF</x:v>
      </x:c>
      <x:c r="AD393" s="30" t="str">
        <x:v>2003_LES</x:v>
      </x:c>
      <x:c r="AE393" s="30" t="str">
        <x:v>2003_Lesotho</x:v>
      </x:c>
      <x:c r="AF393" s="30" t="str">
        <x:v>Explicit capitalClaim</x:v>
      </x:c>
      <x:c r="AG393" s="30" t="str">
        <x:v>Claim2003_ZAF2003_Lesotho</x:v>
      </x:c>
      <x:c r="AH393" s="30" t="str"/>
    </x:row>
    <x:row r="394">
      <x:c r="A394" s="30" t="str">
        <x:v>2003</x:v>
      </x:c>
      <x:c r="B394" s="30" t="str">
        <x:v>Dark Skies</x:v>
      </x:c>
      <x:c r="C394" s="30" t="str">
        <x:v>South Africa</x:v>
      </x:c>
      <x:c r="D394" s="30" t="str">
        <x:v>Malawi</x:v>
      </x:c>
      <x:c r="E394" s="30" t="str">
        <x:v>Project unlock</x:v>
      </x:c>
      <x:c r="F394" s="30" t="str">
        <x:v>Regional African Unions</x:v>
      </x:c>
      <x:c r="G394" s="30" t="str">
        <x:v>No</x:v>
      </x:c>
      <x:c r="H394" s="30" t="str">
        <x:v>Ordinary claim</x:v>
      </x:c>
      <x:c r="I394" s="31" t="n">
        <x:f>IF(G394="Yes",'Controls &amp; Summary'!$B$5,'Controls &amp; Summary'!$B$4)</x:f>
        <x:v>6</x:v>
      </x:c>
      <x:c r="J394" s="31" t="n">
        <x:v>7.75</x:v>
      </x:c>
      <x:c r="K394" s="31" t="n">
        <x:v>5.1</x:v>
      </x:c>
      <x:c r="L394" s="31" t="n">
        <x:f>ABS(J394-K394)</x:f>
        <x:v>2.6500000000000004</x:v>
      </x:c>
      <x:c r="M394" s="31" t="n">
        <x:v>6.22</x:v>
      </x:c>
      <x:c r="N394" s="31" t="n">
        <x:v>4.62</x:v>
      </x:c>
      <x:c r="O394" s="31" t="n">
        <x:f>ABS(M394-N394)</x:f>
        <x:v>1.5999999999999996</x:v>
      </x:c>
      <x:c r="P394" s="31" t="n">
        <x:v>5.25</x:v>
      </x:c>
      <x:c r="Q394" s="31" t="n">
        <x:v>3.1</x:v>
      </x:c>
      <x:c r="R394" s="31" t="n">
        <x:f>ABS(P394-Q394)</x:f>
        <x:v>2.15</x:v>
      </x:c>
      <x:c r="S394" s="32" t="n">
        <x:v>4761.990490026999</x:v>
      </x:c>
      <x:c r="T394" s="32" t="n">
        <x:v>454.52600008833014</x:v>
      </x:c>
      <x:c r="U394" s="31" t="n">
        <x:f>MAX(S394/T394,T394/S394)</x:f>
        <x:v>10.4768274842398</x:v>
      </x:c>
      <x:c r="V394" s="31" t="n">
        <x:f>L394*'Controls &amp; Summary'!$B$9+O394*'Controls &amp; Summary'!$B$10+R394*'Controls &amp; Summary'!$B$11+U394*'Controls &amp; Summary'!$B$12</x:f>
        <x:v>16.8768274842398</x:v>
      </x:c>
      <x:c r="W394" s="31" t="n">
        <x:v>3.02</x:v>
      </x:c>
      <x:c r="X394" s="31" t="n">
        <x:v>2.42</x:v>
      </x:c>
      <x:c r="Y394" s="31" t="n">
        <x:f>((10-MIN(10,MAX(0,X394)))/10)*'Controls &amp; Summary'!$B$15+((10-MIN(10,MAX(0,W394)))/10)*'Controls &amp; Summary'!$B$16</x:f>
        <x:v>1.456</x:v>
      </x:c>
      <x:c r="Z394" s="31" t="n">
        <x:f>V394*Y394</x:f>
        <x:v>24.572660817053148</x:v>
      </x:c>
      <x:c r="AA394" s="30" t="str">
        <x:f>IF(Z394&lt;=I394,"Peaceful","Hostile")</x:f>
        <x:v>Hostile</x:v>
      </x:c>
      <x:c r="AB394" s="30" t="str">
        <x:f>IF(Z394&lt;='Controls &amp; Summary'!$B$6,"Eligible","Blocked")</x:f>
        <x:v>Blocked</x:v>
      </x:c>
      <x:c r="AC394" s="30" t="str">
        <x:v>2003_ZAF</x:v>
      </x:c>
      <x:c r="AD394" s="30" t="str">
        <x:v>2003_MAL</x:v>
      </x:c>
      <x:c r="AE394" s="30" t="str">
        <x:v>2003_Malawi</x:v>
      </x:c>
      <x:c r="AF394" s="30" t="str">
        <x:v>Explicit capitalClaim</x:v>
      </x:c>
      <x:c r="AG394" s="30" t="str">
        <x:v>Claim2003_ZAF2003_Malawi</x:v>
      </x:c>
      <x:c r="AH394" s="30" t="str">
        <x:v>Project_RegionalAfricanUnions</x:v>
      </x:c>
    </x:row>
    <x:row r="395">
      <x:c r="A395" s="30" t="str">
        <x:v>2003</x:v>
      </x:c>
      <x:c r="B395" s="30" t="str">
        <x:v>Dark Skies</x:v>
      </x:c>
      <x:c r="C395" s="30" t="str">
        <x:v>South Africa</x:v>
      </x:c>
      <x:c r="D395" s="30" t="str">
        <x:v>Mozambique</x:v>
      </x:c>
      <x:c r="E395" s="30" t="str">
        <x:v>Project unlock</x:v>
      </x:c>
      <x:c r="F395" s="30" t="str">
        <x:v>Regional African Unions</x:v>
      </x:c>
      <x:c r="G395" s="30" t="str">
        <x:v>No</x:v>
      </x:c>
      <x:c r="H395" s="30" t="str">
        <x:v>Ordinary claim</x:v>
      </x:c>
      <x:c r="I395" s="31" t="n">
        <x:f>IF(G395="Yes",'Controls &amp; Summary'!$B$5,'Controls &amp; Summary'!$B$4)</x:f>
        <x:v>6</x:v>
      </x:c>
      <x:c r="J395" s="31" t="n">
        <x:v>7.75</x:v>
      </x:c>
      <x:c r="K395" s="31" t="n">
        <x:v>5.15</x:v>
      </x:c>
      <x:c r="L395" s="31" t="n">
        <x:f>ABS(J395-K395)</x:f>
        <x:v>2.5999999999999996</x:v>
      </x:c>
      <x:c r="M395" s="31" t="n">
        <x:v>6.22</x:v>
      </x:c>
      <x:c r="N395" s="31" t="n">
        <x:v>4.62</x:v>
      </x:c>
      <x:c r="O395" s="31" t="n">
        <x:f>ABS(M395-N395)</x:f>
        <x:v>1.5999999999999996</x:v>
      </x:c>
      <x:c r="P395" s="31" t="n">
        <x:v>5.25</x:v>
      </x:c>
      <x:c r="Q395" s="31" t="n">
        <x:v>2.39</x:v>
      </x:c>
      <x:c r="R395" s="31" t="n">
        <x:f>ABS(P395-Q395)</x:f>
        <x:v>2.86</x:v>
      </x:c>
      <x:c r="S395" s="32" t="n">
        <x:v>4761.990490026999</x:v>
      </x:c>
      <x:c r="T395" s="32" t="n">
        <x:v>339.4883324588532</x:v>
      </x:c>
      <x:c r="U395" s="31" t="n">
        <x:f>MAX(S395/T395,T395/S395)</x:f>
        <x:v>14.026963623570667</x:v>
      </x:c>
      <x:c r="V395" s="31" t="n">
        <x:f>L395*'Controls &amp; Summary'!$B$9+O395*'Controls &amp; Summary'!$B$10+R395*'Controls &amp; Summary'!$B$11+U395*'Controls &amp; Summary'!$B$12</x:f>
        <x:v>21.086963623570668</x:v>
      </x:c>
      <x:c r="W395" s="31" t="n">
        <x:v>3.02</x:v>
      </x:c>
      <x:c r="X395" s="31" t="n">
        <x:v>3.33</x:v>
      </x:c>
      <x:c r="Y395" s="31" t="n">
        <x:f>((10-MIN(10,MAX(0,X395)))/10)*'Controls &amp; Summary'!$B$15+((10-MIN(10,MAX(0,W395)))/10)*'Controls &amp; Summary'!$B$16</x:f>
        <x:v>1.3650000000000002</x:v>
      </x:c>
      <x:c r="Z395" s="31" t="n">
        <x:f>V395*Y395</x:f>
        <x:v>28.783705346173967</x:v>
      </x:c>
      <x:c r="AA395" s="30" t="str">
        <x:f>IF(Z395&lt;=I395,"Peaceful","Hostile")</x:f>
        <x:v>Hostile</x:v>
      </x:c>
      <x:c r="AB395" s="30" t="str">
        <x:f>IF(Z395&lt;='Controls &amp; Summary'!$B$6,"Eligible","Blocked")</x:f>
        <x:v>Blocked</x:v>
      </x:c>
      <x:c r="AC395" s="30" t="str">
        <x:v>2003_ZAF</x:v>
      </x:c>
      <x:c r="AD395" s="30" t="str">
        <x:v>2003_MOZ</x:v>
      </x:c>
      <x:c r="AE395" s="30" t="str">
        <x:v>2003_Mozambique</x:v>
      </x:c>
      <x:c r="AF395" s="30" t="str">
        <x:v>Explicit capitalClaim</x:v>
      </x:c>
      <x:c r="AG395" s="30" t="str">
        <x:v>Claim2003_ZAF2003_Mozambique</x:v>
      </x:c>
      <x:c r="AH395" s="30" t="str">
        <x:v>Project_RegionalAfricanUnions</x:v>
      </x:c>
    </x:row>
    <x:row r="396">
      <x:c r="A396" s="30" t="str">
        <x:v>2003</x:v>
      </x:c>
      <x:c r="B396" s="30" t="str">
        <x:v>Dark Skies</x:v>
      </x:c>
      <x:c r="C396" s="30" t="str">
        <x:v>South Africa</x:v>
      </x:c>
      <x:c r="D396" s="30" t="str">
        <x:v>Namibia</x:v>
      </x:c>
      <x:c r="E396" s="30" t="str">
        <x:v>Project unlock</x:v>
      </x:c>
      <x:c r="F396" s="30" t="str">
        <x:v>Regional African Unions</x:v>
      </x:c>
      <x:c r="G396" s="30" t="str">
        <x:v>No</x:v>
      </x:c>
      <x:c r="H396" s="30" t="str">
        <x:v>Ordinary claim</x:v>
      </x:c>
      <x:c r="I396" s="31" t="n">
        <x:f>IF(G396="Yes",'Controls &amp; Summary'!$B$5,'Controls &amp; Summary'!$B$4)</x:f>
        <x:v>6</x:v>
      </x:c>
      <x:c r="J396" s="31" t="n">
        <x:v>7.75</x:v>
      </x:c>
      <x:c r="K396" s="31" t="n">
        <x:v>6.44</x:v>
      </x:c>
      <x:c r="L396" s="31" t="n">
        <x:f>ABS(J396-K396)</x:f>
        <x:v>1.3099999999999996</x:v>
      </x:c>
      <x:c r="M396" s="31" t="n">
        <x:v>6.22</x:v>
      </x:c>
      <x:c r="N396" s="31" t="n">
        <x:v>6.53</x:v>
      </x:c>
      <x:c r="O396" s="31" t="n">
        <x:f>ABS(M396-N396)</x:f>
        <x:v>0.3100000000000005</x:v>
      </x:c>
      <x:c r="P396" s="31" t="n">
        <x:v>5.25</x:v>
      </x:c>
      <x:c r="Q396" s="31" t="n">
        <x:v>4.68</x:v>
      </x:c>
      <x:c r="R396" s="31" t="n">
        <x:f>ABS(P396-Q396)</x:f>
        <x:v>0.5700000000000003</x:v>
      </x:c>
      <x:c r="S396" s="32" t="n">
        <x:v>4761.990490026999</x:v>
      </x:c>
      <x:c r="T396" s="32" t="n">
        <x:v>3472.544742430627</x:v>
      </x:c>
      <x:c r="U396" s="31" t="n">
        <x:f>MAX(S396/T396,T396/S396)</x:f>
        <x:v>1.371325884398488</x:v>
      </x:c>
      <x:c r="V396" s="31" t="n">
        <x:f>L396*'Controls &amp; Summary'!$B$9+O396*'Controls &amp; Summary'!$B$10+R396*'Controls &amp; Summary'!$B$11+U396*'Controls &amp; Summary'!$B$12</x:f>
        <x:v>3.5613258843984883</x:v>
      </x:c>
      <x:c r="W396" s="31" t="n">
        <x:v>3.02</x:v>
      </x:c>
      <x:c r="X396" s="31" t="n">
        <x:v>0.41</x:v>
      </x:c>
      <x:c r="Y396" s="31" t="n">
        <x:f>((10-MIN(10,MAX(0,X396)))/10)*'Controls &amp; Summary'!$B$15+((10-MIN(10,MAX(0,W396)))/10)*'Controls &amp; Summary'!$B$16</x:f>
        <x:v>1.657</x:v>
      </x:c>
      <x:c r="Z396" s="31" t="n">
        <x:f>V396*Y396</x:f>
        <x:v>5.901116990448295</x:v>
      </x:c>
      <x:c r="AA396" s="30" t="str">
        <x:f>IF(Z396&lt;=I396,"Peaceful","Hostile")</x:f>
        <x:v>Peaceful</x:v>
      </x:c>
      <x:c r="AB396" s="30" t="str">
        <x:f>IF(Z396&lt;='Controls &amp; Summary'!$B$6,"Eligible","Blocked")</x:f>
        <x:v>Eligible</x:v>
      </x:c>
      <x:c r="AC396" s="30" t="str">
        <x:v>2003_ZAF</x:v>
      </x:c>
      <x:c r="AD396" s="30" t="str">
        <x:v>2003_SWA</x:v>
      </x:c>
      <x:c r="AE396" s="30" t="str">
        <x:v>2003_Namibia</x:v>
      </x:c>
      <x:c r="AF396" s="30" t="str">
        <x:v>Explicit capitalClaim</x:v>
      </x:c>
      <x:c r="AG396" s="30" t="str">
        <x:v>Claim2003_ZAF2003_Namibia</x:v>
      </x:c>
      <x:c r="AH396" s="30" t="str">
        <x:v>Project_RegionalAfricanUnions</x:v>
      </x:c>
    </x:row>
    <x:row r="397">
      <x:c r="A397" s="30" t="str">
        <x:v>2003</x:v>
      </x:c>
      <x:c r="B397" s="30" t="str">
        <x:v>Dark Skies</x:v>
      </x:c>
      <x:c r="C397" s="30" t="str">
        <x:v>South Africa</x:v>
      </x:c>
      <x:c r="D397" s="30" t="str">
        <x:v>Zambia</x:v>
      </x:c>
      <x:c r="E397" s="30" t="str">
        <x:v>Project unlock</x:v>
      </x:c>
      <x:c r="F397" s="30" t="str">
        <x:v>Regional African Unions</x:v>
      </x:c>
      <x:c r="G397" s="30" t="str">
        <x:v>No</x:v>
      </x:c>
      <x:c r="H397" s="30" t="str">
        <x:v>Ordinary claim</x:v>
      </x:c>
      <x:c r="I397" s="31" t="n">
        <x:f>IF(G397="Yes",'Controls &amp; Summary'!$B$5,'Controls &amp; Summary'!$B$4)</x:f>
        <x:v>6</x:v>
      </x:c>
      <x:c r="J397" s="31" t="n">
        <x:v>7.75</x:v>
      </x:c>
      <x:c r="K397" s="31" t="n">
        <x:v>5.12</x:v>
      </x:c>
      <x:c r="L397" s="31" t="n">
        <x:f>ABS(J397-K397)</x:f>
        <x:v>2.63</x:v>
      </x:c>
      <x:c r="M397" s="31" t="n">
        <x:v>6.22</x:v>
      </x:c>
      <x:c r="N397" s="31" t="n">
        <x:v>5.39</x:v>
      </x:c>
      <x:c r="O397" s="31" t="n">
        <x:f>ABS(M397-N397)</x:f>
        <x:v>0.8300000000000001</x:v>
      </x:c>
      <x:c r="P397" s="31" t="n">
        <x:v>5.25</x:v>
      </x:c>
      <x:c r="Q397" s="31" t="n">
        <x:v>3.58</x:v>
      </x:c>
      <x:c r="R397" s="31" t="n">
        <x:f>ABS(P397-Q397)</x:f>
        <x:v>1.67</x:v>
      </x:c>
      <x:c r="S397" s="32" t="n">
        <x:v>4761.990490026999</x:v>
      </x:c>
      <x:c r="T397" s="32" t="n">
        <x:v>1007.8827049795627</x:v>
      </x:c>
      <x:c r="U397" s="31" t="n">
        <x:f>MAX(S397/T397,T397/S397)</x:f>
        <x:v>4.724746705643253</x:v>
      </x:c>
      <x:c r="V397" s="31" t="n">
        <x:f>L397*'Controls &amp; Summary'!$B$9+O397*'Controls &amp; Summary'!$B$10+R397*'Controls &amp; Summary'!$B$11+U397*'Controls &amp; Summary'!$B$12</x:f>
        <x:v>9.854746705643253</x:v>
      </x:c>
      <x:c r="W397" s="31" t="n">
        <x:v>3.02</x:v>
      </x:c>
      <x:c r="X397" s="31" t="n">
        <x:v>4.32</x:v>
      </x:c>
      <x:c r="Y397" s="31" t="n">
        <x:f>((10-MIN(10,MAX(0,X397)))/10)*'Controls &amp; Summary'!$B$15+((10-MIN(10,MAX(0,W397)))/10)*'Controls &amp; Summary'!$B$16</x:f>
        <x:v>1.266</x:v>
      </x:c>
      <x:c r="Z397" s="31" t="n">
        <x:f>V397*Y397</x:f>
        <x:v>12.476109329344357</x:v>
      </x:c>
      <x:c r="AA397" s="30" t="str">
        <x:f>IF(Z397&lt;=I397,"Peaceful","Hostile")</x:f>
        <x:v>Hostile</x:v>
      </x:c>
      <x:c r="AB397" s="30" t="str">
        <x:f>IF(Z397&lt;='Controls &amp; Summary'!$B$6,"Eligible","Blocked")</x:f>
        <x:v>Blocked</x:v>
      </x:c>
      <x:c r="AC397" s="30" t="str">
        <x:v>2003_ZAF</x:v>
      </x:c>
      <x:c r="AD397" s="30" t="str">
        <x:v>2003_ZMB</x:v>
      </x:c>
      <x:c r="AE397" s="30" t="str">
        <x:v>2003_Zambia</x:v>
      </x:c>
      <x:c r="AF397" s="30" t="str">
        <x:v>Explicit capitalClaim</x:v>
      </x:c>
      <x:c r="AG397" s="30" t="str">
        <x:v>Claim2003_ZAF2003_Zambia</x:v>
      </x:c>
      <x:c r="AH397" s="30" t="str">
        <x:v>Project_RegionalAfricanUnions</x:v>
      </x:c>
    </x:row>
    <x:row r="398">
      <x:c r="A398" s="30" t="str">
        <x:v>2003</x:v>
      </x:c>
      <x:c r="B398" s="30" t="str">
        <x:v>Dark Skies</x:v>
      </x:c>
      <x:c r="C398" s="30" t="str">
        <x:v>South Africa</x:v>
      </x:c>
      <x:c r="D398" s="30" t="str">
        <x:v>Zimbabwe</x:v>
      </x:c>
      <x:c r="E398" s="30" t="str">
        <x:v>Project unlock</x:v>
      </x:c>
      <x:c r="F398" s="30" t="str">
        <x:v>Regional African Unions</x:v>
      </x:c>
      <x:c r="G398" s="30" t="str">
        <x:v>No</x:v>
      </x:c>
      <x:c r="H398" s="30" t="str">
        <x:v>Ordinary claim</x:v>
      </x:c>
      <x:c r="I398" s="31" t="n">
        <x:f>IF(G398="Yes",'Controls &amp; Summary'!$B$5,'Controls &amp; Summary'!$B$4)</x:f>
        <x:v>6</x:v>
      </x:c>
      <x:c r="J398" s="31" t="n">
        <x:v>7.75</x:v>
      </x:c>
      <x:c r="K398" s="31" t="n">
        <x:v>2.67</x:v>
      </x:c>
      <x:c r="L398" s="31" t="n">
        <x:f>ABS(J398-K398)</x:f>
        <x:v>5.08</x:v>
      </x:c>
      <x:c r="M398" s="31" t="n">
        <x:v>6.22</x:v>
      </x:c>
      <x:c r="N398" s="31" t="n">
        <x:v>4.79</x:v>
      </x:c>
      <x:c r="O398" s="31" t="n">
        <x:f>ABS(M398-N398)</x:f>
        <x:v>1.4299999999999997</x:v>
      </x:c>
      <x:c r="P398" s="31" t="n">
        <x:v>5.25</x:v>
      </x:c>
      <x:c r="Q398" s="31" t="n">
        <x:v>3.49</x:v>
      </x:c>
      <x:c r="R398" s="31" t="n">
        <x:f>ABS(P398-Q398)</x:f>
        <x:v>1.7599999999999998</x:v>
      </x:c>
      <x:c r="S398" s="32" t="n">
        <x:v>4761.990490026999</x:v>
      </x:c>
      <x:c r="T398" s="32" t="n">
        <x:v>1265.6047874144592</x:v>
      </x:c>
      <x:c r="U398" s="31" t="n">
        <x:f>MAX(S398/T398,T398/S398)</x:f>
        <x:v>3.7626204778787287</x:v>
      </x:c>
      <x:c r="V398" s="31" t="n">
        <x:f>L398*'Controls &amp; Summary'!$B$9+O398*'Controls &amp; Summary'!$B$10+R398*'Controls &amp; Summary'!$B$11+U398*'Controls &amp; Summary'!$B$12</x:f>
        <x:v>12.032620477878728</x:v>
      </x:c>
      <x:c r="W398" s="31" t="n">
        <x:v>3.02</x:v>
      </x:c>
      <x:c r="X398" s="31" t="n">
        <x:v>5.87</x:v>
      </x:c>
      <x:c r="Y398" s="31" t="n">
        <x:f>((10-MIN(10,MAX(0,X398)))/10)*'Controls &amp; Summary'!$B$15+((10-MIN(10,MAX(0,W398)))/10)*'Controls &amp; Summary'!$B$16</x:f>
        <x:v>1.111</x:v>
      </x:c>
      <x:c r="Z398" s="31" t="n">
        <x:f>V398*Y398</x:f>
        <x:v>13.368241350923267</x:v>
      </x:c>
      <x:c r="AA398" s="30" t="str">
        <x:f>IF(Z398&lt;=I398,"Peaceful","Hostile")</x:f>
        <x:v>Hostile</x:v>
      </x:c>
      <x:c r="AB398" s="30" t="str">
        <x:f>IF(Z398&lt;='Controls &amp; Summary'!$B$6,"Eligible","Blocked")</x:f>
        <x:v>Blocked</x:v>
      </x:c>
      <x:c r="AC398" s="30" t="str">
        <x:v>2003_ZAF</x:v>
      </x:c>
      <x:c r="AD398" s="30" t="str">
        <x:v>2003_ZWE</x:v>
      </x:c>
      <x:c r="AE398" s="30" t="str">
        <x:v>2003_Zimbabwe</x:v>
      </x:c>
      <x:c r="AF398" s="30" t="str">
        <x:v>Explicit capitalClaim</x:v>
      </x:c>
      <x:c r="AG398" s="30" t="str">
        <x:v>Claim2003_ZAF2003_Zimbabwe</x:v>
      </x:c>
      <x:c r="AH398" s="30" t="str">
        <x:v>Project_RegionalAfricanUnions</x:v>
      </x:c>
    </x:row>
    <x:row r="399">
      <x:c r="A399" s="30" t="str">
        <x:v>2003</x:v>
      </x:c>
      <x:c r="B399" s="30" t="str">
        <x:v>Dark Skies</x:v>
      </x:c>
      <x:c r="C399" s="30" t="str">
        <x:v>South Korea</x:v>
      </x:c>
      <x:c r="D399" s="30" t="str">
        <x:v>North Korea</x:v>
      </x:c>
      <x:c r="E399" s="30" t="str">
        <x:v>Starting claim</x:v>
      </x:c>
      <x:c r="F399" s="30" t="str"/>
      <x:c r="G399" s="30" t="str">
        <x:v>Yes</x:v>
      </x:c>
      <x:c r="H399" s="30" t="str">
        <x:v>Approved bilateral grievance</x:v>
      </x:c>
      <x:c r="I399" s="31" t="n">
        <x:f>IF(G399="Yes",'Controls &amp; Summary'!$B$5,'Controls &amp; Summary'!$B$4)</x:f>
        <x:v>3</x:v>
      </x:c>
      <x:c r="J399" s="31" t="n">
        <x:v>7.88</x:v>
      </x:c>
      <x:c r="K399" s="31" t="n">
        <x:v>1.03</x:v>
      </x:c>
      <x:c r="L399" s="31" t="n">
        <x:f>ABS(J399-K399)</x:f>
        <x:v>6.85</x:v>
      </x:c>
      <x:c r="M399" s="31" t="n">
        <x:v>3.3</x:v>
      </x:c>
      <x:c r="N399" s="31" t="n">
        <x:v>8.6</x:v>
      </x:c>
      <x:c r="O399" s="31" t="n">
        <x:f>ABS(M399-N399)</x:f>
        <x:v>5.3</x:v>
      </x:c>
      <x:c r="P399" s="31" t="n">
        <x:v>7.92</x:v>
      </x:c>
      <x:c r="Q399" s="31" t="n">
        <x:v>4.85</x:v>
      </x:c>
      <x:c r="R399" s="31" t="n">
        <x:f>ABS(P399-Q399)</x:f>
        <x:v>3.0700000000000003</x:v>
      </x:c>
      <x:c r="S399" s="32" t="n">
        <x:v>15332.211618599593</x:v>
      </x:c>
      <x:c r="T399" s="32" t="n">
        <x:v>2405.4113076256995</x:v>
      </x:c>
      <x:c r="U399" s="31" t="n">
        <x:f>MAX(S399/T399,T399/S399)</x:f>
        <x:v>6.374049864151301</x:v>
      </x:c>
      <x:c r="V399" s="31" t="n">
        <x:f>L399*'Controls &amp; Summary'!$B$9+O399*'Controls &amp; Summary'!$B$10+R399*'Controls &amp; Summary'!$B$11+U399*'Controls &amp; Summary'!$B$12</x:f>
        <x:v>21.5940498641513</x:v>
      </x:c>
      <x:c r="W399" s="31" t="n">
        <x:v>5.46</x:v>
      </x:c>
      <x:c r="X399" s="31" t="n">
        <x:v>2.96</x:v>
      </x:c>
      <x:c r="Y399" s="31" t="n">
        <x:f>((10-MIN(10,MAX(0,X399)))/10)*'Controls &amp; Summary'!$B$15+((10-MIN(10,MAX(0,W399)))/10)*'Controls &amp; Summary'!$B$16</x:f>
        <x:v>1.158</x:v>
      </x:c>
      <x:c r="Z399" s="31" t="n">
        <x:f>V399*Y399</x:f>
        <x:v>25.005909742687205</x:v>
      </x:c>
      <x:c r="AA399" s="30" t="str">
        <x:f>IF(Z399&lt;=I399,"Peaceful","Hostile")</x:f>
        <x:v>Hostile</x:v>
      </x:c>
      <x:c r="AB399" s="30" t="str">
        <x:f>IF(Z399&lt;='Controls &amp; Summary'!$B$6,"Eligible","Blocked")</x:f>
        <x:v>Blocked</x:v>
      </x:c>
      <x:c r="AC399" s="30" t="str">
        <x:v>2003_KOR</x:v>
      </x:c>
      <x:c r="AD399" s="30" t="str">
        <x:v>2003_PRK</x:v>
      </x:c>
      <x:c r="AE399" s="30" t="str">
        <x:v>2003_NorthKorea</x:v>
      </x:c>
      <x:c r="AF399" s="30" t="str">
        <x:v>Explicit capitalClaim</x:v>
      </x:c>
      <x:c r="AG399" s="30" t="str">
        <x:v>Claim2003_KOR2003_NorthKorea</x:v>
      </x:c>
      <x:c r="AH399" s="30" t="str"/>
    </x:row>
    <x:row r="400">
      <x:c r="A400" s="30" t="str">
        <x:v>2003</x:v>
      </x:c>
      <x:c r="B400" s="30" t="str">
        <x:v>Dark Skies</x:v>
      </x:c>
      <x:c r="C400" s="30" t="str">
        <x:v>Sweden</x:v>
      </x:c>
      <x:c r="D400" s="30" t="str">
        <x:v>Denmark</x:v>
      </x:c>
      <x:c r="E400" s="30" t="str">
        <x:v>Project unlock</x:v>
      </x:c>
      <x:c r="F400" s="30" t="str">
        <x:v>Nordic Federation</x:v>
      </x:c>
      <x:c r="G400" s="30" t="str">
        <x:v>No</x:v>
      </x:c>
      <x:c r="H400" s="30" t="str">
        <x:v>Ordinary claim</x:v>
      </x:c>
      <x:c r="I400" s="31" t="n">
        <x:f>IF(G400="Yes",'Controls &amp; Summary'!$B$5,'Controls &amp; Summary'!$B$4)</x:f>
        <x:v>6</x:v>
      </x:c>
      <x:c r="J400" s="31" t="n">
        <x:v>9.86</x:v>
      </x:c>
      <x:c r="K400" s="31" t="n">
        <x:v>9.41</x:v>
      </x:c>
      <x:c r="L400" s="31" t="n">
        <x:f>ABS(J400-K400)</x:f>
        <x:v>0.4499999999999993</x:v>
      </x:c>
      <x:c r="M400" s="31" t="n">
        <x:v>2.41</x:v>
      </x:c>
      <x:c r="N400" s="31" t="n">
        <x:v>2.31</x:v>
      </x:c>
      <x:c r="O400" s="31" t="n">
        <x:f>ABS(M400-N400)</x:f>
        <x:v>0.10000000000000009</x:v>
      </x:c>
      <x:c r="P400" s="31" t="n">
        <x:v>8.7</x:v>
      </x:c>
      <x:c r="Q400" s="31" t="n">
        <x:v>8.52</x:v>
      </x:c>
      <x:c r="R400" s="31" t="n">
        <x:f>ABS(P400-Q400)</x:f>
        <x:v>0.17999999999999972</x:v>
      </x:c>
      <x:c r="S400" s="32" t="n">
        <x:v>33150.3393842069</x:v>
      </x:c>
      <x:c r="T400" s="32" t="n">
        <x:v>37932.96337266989</x:v>
      </x:c>
      <x:c r="U400" s="31" t="n">
        <x:f>MAX(S400/T400,T400/S400)</x:f>
        <x:v>1.1442707398266176</x:v>
      </x:c>
      <x:c r="V400" s="31" t="n">
        <x:f>L400*'Controls &amp; Summary'!$B$9+O400*'Controls &amp; Summary'!$B$10+R400*'Controls &amp; Summary'!$B$11+U400*'Controls &amp; Summary'!$B$12</x:f>
        <x:v>1.8742707398266167</x:v>
      </x:c>
      <x:c r="W400" s="31" t="n">
        <x:v>7.93</x:v>
      </x:c>
      <x:c r="X400" s="31" t="n">
        <x:v>1.32</x:v>
      </x:c>
      <x:c r="Y400" s="31" t="n">
        <x:f>((10-MIN(10,MAX(0,X400)))/10)*'Controls &amp; Summary'!$B$15+((10-MIN(10,MAX(0,W400)))/10)*'Controls &amp; Summary'!$B$16</x:f>
        <x:v>1.075</x:v>
      </x:c>
      <x:c r="Z400" s="31" t="n">
        <x:f>V400*Y400</x:f>
        <x:v>2.014841045313613</x:v>
      </x:c>
      <x:c r="AA400" s="30" t="str">
        <x:f>IF(Z400&lt;=I400,"Peaceful","Hostile")</x:f>
        <x:v>Peaceful</x:v>
      </x:c>
      <x:c r="AB400" s="30" t="str">
        <x:f>IF(Z400&lt;='Controls &amp; Summary'!$B$6,"Eligible","Blocked")</x:f>
        <x:v>Eligible</x:v>
      </x:c>
      <x:c r="AC400" s="30" t="str">
        <x:v>2003_SCA</x:v>
      </x:c>
      <x:c r="AD400" s="30" t="str">
        <x:v>2003_DEN</x:v>
      </x:c>
      <x:c r="AE400" s="30" t="str">
        <x:v>2003_Denmark</x:v>
      </x:c>
      <x:c r="AF400" s="30" t="str">
        <x:v>Explicit capitalClaim</x:v>
      </x:c>
      <x:c r="AG400" s="30" t="str">
        <x:v>Claim2003_SCA2003_Denmark</x:v>
      </x:c>
      <x:c r="AH400" s="30" t="str">
        <x:v>Project_NordicFederation</x:v>
      </x:c>
    </x:row>
    <x:row r="401">
      <x:c r="A401" s="30" t="str">
        <x:v>2003</x:v>
      </x:c>
      <x:c r="B401" s="30" t="str">
        <x:v>Dark Skies</x:v>
      </x:c>
      <x:c r="C401" s="30" t="str">
        <x:v>Sweden</x:v>
      </x:c>
      <x:c r="D401" s="30" t="str">
        <x:v>Estonia</x:v>
      </x:c>
      <x:c r="E401" s="30" t="str">
        <x:v>Project unlock</x:v>
      </x:c>
      <x:c r="F401" s="30" t="str">
        <x:v>Nordic Federation</x:v>
      </x:c>
      <x:c r="G401" s="30" t="str">
        <x:v>No</x:v>
      </x:c>
      <x:c r="H401" s="30" t="str">
        <x:v>Ordinary claim</x:v>
      </x:c>
      <x:c r="I401" s="31" t="n">
        <x:f>IF(G401="Yes",'Controls &amp; Summary'!$B$5,'Controls &amp; Summary'!$B$4)</x:f>
        <x:v>6</x:v>
      </x:c>
      <x:c r="J401" s="31" t="n">
        <x:v>9.86</x:v>
      </x:c>
      <x:c r="K401" s="31" t="n">
        <x:v>7.72</x:v>
      </x:c>
      <x:c r="L401" s="31" t="n">
        <x:f>ABS(J401-K401)</x:f>
        <x:v>2.1399999999999997</x:v>
      </x:c>
      <x:c r="M401" s="31" t="n">
        <x:v>2.41</x:v>
      </x:c>
      <x:c r="N401" s="31" t="n">
        <x:v>3.49</x:v>
      </x:c>
      <x:c r="O401" s="31" t="n">
        <x:f>ABS(M401-N401)</x:f>
        <x:v>1.08</x:v>
      </x:c>
      <x:c r="P401" s="31" t="n">
        <x:v>8.7</x:v>
      </x:c>
      <x:c r="Q401" s="31" t="n">
        <x:v>7.61</x:v>
      </x:c>
      <x:c r="R401" s="31" t="n">
        <x:f>ABS(P401-Q401)</x:f>
        <x:v>1.089999999999999</x:v>
      </x:c>
      <x:c r="S401" s="32" t="n">
        <x:v>33150.3393842069</x:v>
      </x:c>
      <x:c r="T401" s="32" t="n">
        <x:v>10017.262095050515</x:v>
      </x:c>
      <x:c r="U401" s="31" t="n">
        <x:f>MAX(S401/T401,T401/S401)</x:f>
        <x:v>3.3093213564399333</x:v>
      </x:c>
      <x:c r="V401" s="31" t="n">
        <x:f>L401*'Controls &amp; Summary'!$B$9+O401*'Controls &amp; Summary'!$B$10+R401*'Controls &amp; Summary'!$B$11+U401*'Controls &amp; Summary'!$B$12</x:f>
        <x:v>7.619321356439932</x:v>
      </x:c>
      <x:c r="W401" s="31" t="n">
        <x:v>7.93</x:v>
      </x:c>
      <x:c r="X401" s="31" t="n">
        <x:v>0.54</x:v>
      </x:c>
      <x:c r="Y401" s="31" t="n">
        <x:f>((10-MIN(10,MAX(0,X401)))/10)*'Controls &amp; Summary'!$B$15+((10-MIN(10,MAX(0,W401)))/10)*'Controls &amp; Summary'!$B$16</x:f>
        <x:v>1.153</x:v>
      </x:c>
      <x:c r="Z401" s="31" t="n">
        <x:f>V401*Y401</x:f>
        <x:v>8.785077523975241</x:v>
      </x:c>
      <x:c r="AA401" s="30" t="str">
        <x:f>IF(Z401&lt;=I401,"Peaceful","Hostile")</x:f>
        <x:v>Hostile</x:v>
      </x:c>
      <x:c r="AB401" s="30" t="str">
        <x:f>IF(Z401&lt;='Controls &amp; Summary'!$B$6,"Eligible","Blocked")</x:f>
        <x:v>Eligible</x:v>
      </x:c>
      <x:c r="AC401" s="30" t="str">
        <x:v>2003_SCA</x:v>
      </x:c>
      <x:c r="AD401" s="30" t="str">
        <x:v>2003_EST</x:v>
      </x:c>
      <x:c r="AE401" s="30" t="str">
        <x:v>2003_Estonia</x:v>
      </x:c>
      <x:c r="AF401" s="30" t="str">
        <x:v>Explicit capitalClaim</x:v>
      </x:c>
      <x:c r="AG401" s="30" t="str">
        <x:v>Claim2003_SCA2003_Estonia</x:v>
      </x:c>
      <x:c r="AH401" s="30" t="str">
        <x:v>Project_NordicFederation</x:v>
      </x:c>
    </x:row>
    <x:row r="402">
      <x:c r="A402" s="30" t="str">
        <x:v>2003</x:v>
      </x:c>
      <x:c r="B402" s="30" t="str">
        <x:v>Dark Skies</x:v>
      </x:c>
      <x:c r="C402" s="30" t="str">
        <x:v>Sweden</x:v>
      </x:c>
      <x:c r="D402" s="30" t="str">
        <x:v>Finland</x:v>
      </x:c>
      <x:c r="E402" s="30" t="str">
        <x:v>Project unlock</x:v>
      </x:c>
      <x:c r="F402" s="30" t="str">
        <x:v>Nordic Federation</x:v>
      </x:c>
      <x:c r="G402" s="30" t="str">
        <x:v>No</x:v>
      </x:c>
      <x:c r="H402" s="30" t="str">
        <x:v>Ordinary claim</x:v>
      </x:c>
      <x:c r="I402" s="31" t="n">
        <x:f>IF(G402="Yes",'Controls &amp; Summary'!$B$5,'Controls &amp; Summary'!$B$4)</x:f>
        <x:v>6</x:v>
      </x:c>
      <x:c r="J402" s="31" t="n">
        <x:v>9.86</x:v>
      </x:c>
      <x:c r="K402" s="31" t="n">
        <x:v>9.22</x:v>
      </x:c>
      <x:c r="L402" s="31" t="n">
        <x:f>ABS(J402-K402)</x:f>
        <x:v>0.6399999999999988</x:v>
      </x:c>
      <x:c r="M402" s="31" t="n">
        <x:v>2.41</x:v>
      </x:c>
      <x:c r="N402" s="31" t="n">
        <x:v>2.49</x:v>
      </x:c>
      <x:c r="O402" s="31" t="n">
        <x:f>ABS(M402-N402)</x:f>
        <x:v>0.08000000000000007</x:v>
      </x:c>
      <x:c r="P402" s="31" t="n">
        <x:v>8.7</x:v>
      </x:c>
      <x:c r="Q402" s="31" t="n">
        <x:v>8.61</x:v>
      </x:c>
      <x:c r="R402" s="31" t="n">
        <x:f>ABS(P402-Q402)</x:f>
        <x:v>0.08999999999999986</x:v>
      </x:c>
      <x:c r="S402" s="32" t="n">
        <x:v>33150.3393842069</x:v>
      </x:c>
      <x:c r="T402" s="32" t="n">
        <x:v>32463.99959332087</x:v>
      </x:c>
      <x:c r="U402" s="31" t="n">
        <x:f>MAX(S402/T402,T402/S402)</x:f>
        <x:v>1.0211415660264866</x:v>
      </x:c>
      <x:c r="V402" s="31" t="n">
        <x:f>L402*'Controls &amp; Summary'!$B$9+O402*'Controls &amp; Summary'!$B$10+R402*'Controls &amp; Summary'!$B$11+U402*'Controls &amp; Summary'!$B$12</x:f>
        <x:v>1.8311415660264854</x:v>
      </x:c>
      <x:c r="W402" s="31" t="n">
        <x:v>7.93</x:v>
      </x:c>
      <x:c r="X402" s="31" t="n">
        <x:v>1.82</x:v>
      </x:c>
      <x:c r="Y402" s="31" t="n">
        <x:f>((10-MIN(10,MAX(0,X402)))/10)*'Controls &amp; Summary'!$B$15+((10-MIN(10,MAX(0,W402)))/10)*'Controls &amp; Summary'!$B$16</x:f>
        <x:v>1.025</x:v>
      </x:c>
      <x:c r="Z402" s="31" t="n">
        <x:f>V402*Y402</x:f>
        <x:v>1.8769201051771474</x:v>
      </x:c>
      <x:c r="AA402" s="30" t="str">
        <x:f>IF(Z402&lt;=I402,"Peaceful","Hostile")</x:f>
        <x:v>Peaceful</x:v>
      </x:c>
      <x:c r="AB402" s="30" t="str">
        <x:f>IF(Z402&lt;='Controls &amp; Summary'!$B$6,"Eligible","Blocked")</x:f>
        <x:v>Eligible</x:v>
      </x:c>
      <x:c r="AC402" s="30" t="str">
        <x:v>2003_SCA</x:v>
      </x:c>
      <x:c r="AD402" s="30" t="str">
        <x:v>2003_FIN</x:v>
      </x:c>
      <x:c r="AE402" s="30" t="str">
        <x:v>2003_Finland</x:v>
      </x:c>
      <x:c r="AF402" s="30" t="str">
        <x:v>Explicit capitalClaim</x:v>
      </x:c>
      <x:c r="AG402" s="30" t="str">
        <x:v>Claim2003_SCA2003_Finland</x:v>
      </x:c>
      <x:c r="AH402" s="30" t="str">
        <x:v>Project_NordicFederation</x:v>
      </x:c>
    </x:row>
    <x:row r="403">
      <x:c r="A403" s="30" t="str">
        <x:v>2003</x:v>
      </x:c>
      <x:c r="B403" s="30" t="str">
        <x:v>Dark Skies</x:v>
      </x:c>
      <x:c r="C403" s="30" t="str">
        <x:v>Sweden</x:v>
      </x:c>
      <x:c r="D403" s="30" t="str">
        <x:v>Iceland</x:v>
      </x:c>
      <x:c r="E403" s="30" t="str">
        <x:v>Project unlock</x:v>
      </x:c>
      <x:c r="F403" s="30" t="str">
        <x:v>Nordic Federation</x:v>
      </x:c>
      <x:c r="G403" s="30" t="str">
        <x:v>No</x:v>
      </x:c>
      <x:c r="H403" s="30" t="str">
        <x:v>Ordinary claim</x:v>
      </x:c>
      <x:c r="I403" s="31" t="n">
        <x:f>IF(G403="Yes",'Controls &amp; Summary'!$B$5,'Controls &amp; Summary'!$B$4)</x:f>
        <x:v>6</x:v>
      </x:c>
      <x:c r="J403" s="31" t="n">
        <x:v>9.86</x:v>
      </x:c>
      <x:c r="K403" s="31" t="n">
        <x:v>9.74</x:v>
      </x:c>
      <x:c r="L403" s="31" t="n">
        <x:f>ABS(J403-K403)</x:f>
        <x:v>0.11999999999999922</x:v>
      </x:c>
      <x:c r="M403" s="31" t="n">
        <x:v>2.41</x:v>
      </x:c>
      <x:c r="N403" s="31" t="n">
        <x:v>2.6</x:v>
      </x:c>
      <x:c r="O403" s="31" t="n">
        <x:f>ABS(M403-N403)</x:f>
        <x:v>0.18999999999999995</x:v>
      </x:c>
      <x:c r="P403" s="31" t="n">
        <x:v>8.7</x:v>
      </x:c>
      <x:c r="Q403" s="31" t="n">
        <x:v>8.72</x:v>
      </x:c>
      <x:c r="R403" s="31" t="n">
        <x:f>ABS(P403-Q403)</x:f>
        <x:v>0.02000000000000135</x:v>
      </x:c>
      <x:c r="S403" s="32" t="n">
        <x:v>33150.3393842069</x:v>
      </x:c>
      <x:c r="T403" s="32" t="n">
        <x:v>34543.95814989382</x:v>
      </x:c>
      <x:c r="U403" s="31" t="n">
        <x:f>MAX(S403/T403,T403/S403)</x:f>
        <x:v>1.0420393513784312</x:v>
      </x:c>
      <x:c r="V403" s="31" t="n">
        <x:f>L403*'Controls &amp; Summary'!$B$9+O403*'Controls &amp; Summary'!$B$10+R403*'Controls &amp; Summary'!$B$11+U403*'Controls &amp; Summary'!$B$12</x:f>
        <x:v>1.3720393513784317</x:v>
      </x:c>
      <x:c r="W403" s="31" t="n">
        <x:v>7.93</x:v>
      </x:c>
      <x:c r="X403" s="31" t="n">
        <x:v>1.05</x:v>
      </x:c>
      <x:c r="Y403" s="31" t="n">
        <x:f>((10-MIN(10,MAX(0,X403)))/10)*'Controls &amp; Summary'!$B$15+((10-MIN(10,MAX(0,W403)))/10)*'Controls &amp; Summary'!$B$16</x:f>
        <x:v>1.1019999999999999</x:v>
      </x:c>
      <x:c r="Z403" s="31" t="n">
        <x:f>V403*Y403</x:f>
        <x:v>1.5119873652190317</x:v>
      </x:c>
      <x:c r="AA403" s="30" t="str">
        <x:f>IF(Z403&lt;=I403,"Peaceful","Hostile")</x:f>
        <x:v>Peaceful</x:v>
      </x:c>
      <x:c r="AB403" s="30" t="str">
        <x:f>IF(Z403&lt;='Controls &amp; Summary'!$B$6,"Eligible","Blocked")</x:f>
        <x:v>Eligible</x:v>
      </x:c>
      <x:c r="AC403" s="30" t="str">
        <x:v>2003_SCA</x:v>
      </x:c>
      <x:c r="AD403" s="30" t="str">
        <x:v>2003_ISL</x:v>
      </x:c>
      <x:c r="AE403" s="30" t="str">
        <x:v>2003_Iceland</x:v>
      </x:c>
      <x:c r="AF403" s="30" t="str">
        <x:v>Explicit capitalClaim</x:v>
      </x:c>
      <x:c r="AG403" s="30" t="str">
        <x:v>Claim2003_SCA2003_Iceland</x:v>
      </x:c>
      <x:c r="AH403" s="30" t="str">
        <x:v>Project_NordicFederation</x:v>
      </x:c>
    </x:row>
    <x:row r="404">
      <x:c r="A404" s="30" t="str">
        <x:v>2003</x:v>
      </x:c>
      <x:c r="B404" s="30" t="str">
        <x:v>Dark Skies</x:v>
      </x:c>
      <x:c r="C404" s="30" t="str">
        <x:v>Sweden</x:v>
      </x:c>
      <x:c r="D404" s="30" t="str">
        <x:v>Norway</x:v>
      </x:c>
      <x:c r="E404" s="30" t="str">
        <x:v>Project unlock</x:v>
      </x:c>
      <x:c r="F404" s="30" t="str">
        <x:v>Nordic Federation</x:v>
      </x:c>
      <x:c r="G404" s="30" t="str">
        <x:v>No</x:v>
      </x:c>
      <x:c r="H404" s="30" t="str">
        <x:v>Ordinary claim</x:v>
      </x:c>
      <x:c r="I404" s="31" t="n">
        <x:f>IF(G404="Yes",'Controls &amp; Summary'!$B$5,'Controls &amp; Summary'!$B$4)</x:f>
        <x:v>6</x:v>
      </x:c>
      <x:c r="J404" s="31" t="n">
        <x:v>9.86</x:v>
      </x:c>
      <x:c r="K404" s="31" t="n">
        <x:v>9.5</x:v>
      </x:c>
      <x:c r="L404" s="31" t="n">
        <x:f>ABS(J404-K404)</x:f>
        <x:v>0.35999999999999943</x:v>
      </x:c>
      <x:c r="M404" s="31" t="n">
        <x:v>2.41</x:v>
      </x:c>
      <x:c r="N404" s="31" t="n">
        <x:v>2.64</x:v>
      </x:c>
      <x:c r="O404" s="31" t="n">
        <x:f>ABS(M404-N404)</x:f>
        <x:v>0.22999999999999998</x:v>
      </x:c>
      <x:c r="P404" s="31" t="n">
        <x:v>8.7</x:v>
      </x:c>
      <x:c r="Q404" s="31" t="n">
        <x:v>8.77</x:v>
      </x:c>
      <x:c r="R404" s="31" t="n">
        <x:f>ABS(P404-Q404)</x:f>
        <x:v>0.07000000000000028</x:v>
      </x:c>
      <x:c r="S404" s="32" t="n">
        <x:v>33150.3393842069</x:v>
      </x:c>
      <x:c r="T404" s="32" t="n">
        <x:v>45429.38162657577</x:v>
      </x:c>
      <x:c r="U404" s="31" t="n">
        <x:f>MAX(S404/T404,T404/S404)</x:f>
        <x:v>1.3704047219564428</x:v>
      </x:c>
      <x:c r="V404" s="31" t="n">
        <x:f>L404*'Controls &amp; Summary'!$B$9+O404*'Controls &amp; Summary'!$B$10+R404*'Controls &amp; Summary'!$B$11+U404*'Controls &amp; Summary'!$B$12</x:f>
        <x:v>2.0304047219564425</x:v>
      </x:c>
      <x:c r="W404" s="31" t="n">
        <x:v>7.93</x:v>
      </x:c>
      <x:c r="X404" s="31" t="n">
        <x:v>1.33</x:v>
      </x:c>
      <x:c r="Y404" s="31" t="n">
        <x:f>((10-MIN(10,MAX(0,X404)))/10)*'Controls &amp; Summary'!$B$15+((10-MIN(10,MAX(0,W404)))/10)*'Controls &amp; Summary'!$B$16</x:f>
        <x:v>1.074</x:v>
      </x:c>
      <x:c r="Z404" s="31" t="n">
        <x:f>V404*Y404</x:f>
        <x:v>2.1806546713812196</x:v>
      </x:c>
      <x:c r="AA404" s="30" t="str">
        <x:f>IF(Z404&lt;=I404,"Peaceful","Hostile")</x:f>
        <x:v>Peaceful</x:v>
      </x:c>
      <x:c r="AB404" s="30" t="str">
        <x:f>IF(Z404&lt;='Controls &amp; Summary'!$B$6,"Eligible","Blocked")</x:f>
        <x:v>Eligible</x:v>
      </x:c>
      <x:c r="AC404" s="30" t="str">
        <x:v>2003_SCA</x:v>
      </x:c>
      <x:c r="AD404" s="30" t="str">
        <x:v>2003_NOR</x:v>
      </x:c>
      <x:c r="AE404" s="30" t="str">
        <x:v>2003_Norway</x:v>
      </x:c>
      <x:c r="AF404" s="30" t="str">
        <x:v>Explicit capitalClaim</x:v>
      </x:c>
      <x:c r="AG404" s="30" t="str">
        <x:v>Claim2003_SCA2003_Norway</x:v>
      </x:c>
      <x:c r="AH404" s="30" t="str">
        <x:v>Project_NordicFederation</x:v>
      </x:c>
    </x:row>
    <x:row r="405">
      <x:c r="A405" s="30" t="str">
        <x:v>2003</x:v>
      </x:c>
      <x:c r="B405" s="30" t="str">
        <x:v>Dark Skies</x:v>
      </x:c>
      <x:c r="C405" s="30" t="str">
        <x:v>Syria</x:v>
      </x:c>
      <x:c r="D405" s="30" t="str">
        <x:v>Lebanon</x:v>
      </x:c>
      <x:c r="E405" s="30" t="str">
        <x:v>Starting claim</x:v>
      </x:c>
      <x:c r="F405" s="30" t="str"/>
      <x:c r="G405" s="30" t="str">
        <x:v>Yes</x:v>
      </x:c>
      <x:c r="H405" s="30" t="str">
        <x:v>Approved bilateral grievance</x:v>
      </x:c>
      <x:c r="I405" s="31" t="n">
        <x:f>IF(G405="Yes",'Controls &amp; Summary'!$B$5,'Controls &amp; Summary'!$B$4)</x:f>
        <x:v>3</x:v>
      </x:c>
      <x:c r="J405" s="31" t="n">
        <x:v>2.36</x:v>
      </x:c>
      <x:c r="K405" s="31" t="n">
        <x:v>5.44</x:v>
      </x:c>
      <x:c r="L405" s="31" t="n">
        <x:f>ABS(J405-K405)</x:f>
        <x:v>3.0800000000000005</x:v>
      </x:c>
      <x:c r="M405" s="31" t="n">
        <x:v>3.65</x:v>
      </x:c>
      <x:c r="N405" s="31" t="n">
        <x:v>3.71</x:v>
      </x:c>
      <x:c r="O405" s="31" t="n">
        <x:f>ABS(M405-N405)</x:f>
        <x:v>0.06000000000000005</x:v>
      </x:c>
      <x:c r="P405" s="31" t="n">
        <x:v>5.38</x:v>
      </x:c>
      <x:c r="Q405" s="31" t="n">
        <x:v>6.35</x:v>
      </x:c>
      <x:c r="R405" s="31" t="n">
        <x:f>ABS(P405-Q405)</x:f>
        <x:v>0.9699999999999998</x:v>
      </x:c>
      <x:c r="S405" s="32" t="n">
        <x:v>2654.8594897753383</x:v>
      </x:c>
      <x:c r="T405" s="32" t="n">
        <x:v>7132.280615126523</x:v>
      </x:c>
      <x:c r="U405" s="31" t="n">
        <x:f>MAX(S405/T405,T405/S405)</x:f>
        <x:v>2.6865002244356355</x:v>
      </x:c>
      <x:c r="V405" s="31" t="n">
        <x:f>L405*'Controls &amp; Summary'!$B$9+O405*'Controls &amp; Summary'!$B$10+R405*'Controls &amp; Summary'!$B$11+U405*'Controls &amp; Summary'!$B$12</x:f>
        <x:v>6.796500224435636</x:v>
      </x:c>
      <x:c r="W405" s="31" t="n">
        <x:v>2.96</x:v>
      </x:c>
      <x:c r="X405" s="31" t="n">
        <x:v>4.7</x:v>
      </x:c>
      <x:c r="Y405" s="31" t="n">
        <x:f>((10-MIN(10,MAX(0,X405)))/10)*'Controls &amp; Summary'!$B$15+((10-MIN(10,MAX(0,W405)))/10)*'Controls &amp; Summary'!$B$16</x:f>
        <x:v>1.234</x:v>
      </x:c>
      <x:c r="Z405" s="31" t="n">
        <x:f>V405*Y405</x:f>
        <x:v>8.386881276953575</x:v>
      </x:c>
      <x:c r="AA405" s="30" t="str">
        <x:f>IF(Z405&lt;=I405,"Peaceful","Hostile")</x:f>
        <x:v>Hostile</x:v>
      </x:c>
      <x:c r="AB405" s="30" t="str">
        <x:f>IF(Z405&lt;='Controls &amp; Summary'!$B$6,"Eligible","Blocked")</x:f>
        <x:v>Eligible</x:v>
      </x:c>
      <x:c r="AC405" s="30" t="str">
        <x:v>2003_SYR</x:v>
      </x:c>
      <x:c r="AD405" s="30" t="str">
        <x:v>2003_LEB</x:v>
      </x:c>
      <x:c r="AE405" s="30" t="str">
        <x:v>2003_Lebanon</x:v>
      </x:c>
      <x:c r="AF405" s="30" t="str">
        <x:v>Explicit capitalClaim</x:v>
      </x:c>
      <x:c r="AG405" s="30" t="str">
        <x:v>Claim2003_SYR2003_Lebanon</x:v>
      </x:c>
      <x:c r="AH405" s="30" t="str"/>
    </x:row>
    <x:row r="406">
      <x:c r="A406" s="30" t="str">
        <x:v>2003</x:v>
      </x:c>
      <x:c r="B406" s="30" t="str">
        <x:v>Dark Skies</x:v>
      </x:c>
      <x:c r="C406" s="30" t="str">
        <x:v>Taiwan</x:v>
      </x:c>
      <x:c r="D406" s="30" t="str">
        <x:v>China</x:v>
      </x:c>
      <x:c r="E406" s="30" t="str">
        <x:v>Project unlock</x:v>
      </x:c>
      <x:c r="F406" s="30" t="str">
        <x:v>Liberating Mainland China</x:v>
      </x:c>
      <x:c r="G406" s="30" t="str">
        <x:v>Yes</x:v>
      </x:c>
      <x:c r="H406" s="30" t="str">
        <x:v>Approved expansion-project family</x:v>
      </x:c>
      <x:c r="I406" s="31" t="n">
        <x:f>IF(G406="Yes",'Controls &amp; Summary'!$B$5,'Controls &amp; Summary'!$B$4)</x:f>
        <x:v>3</x:v>
      </x:c>
      <x:c r="J406" s="31" t="n">
        <x:v>7.92</x:v>
      </x:c>
      <x:c r="K406" s="31" t="n">
        <x:v>3.1</x:v>
      </x:c>
      <x:c r="L406" s="31" t="n">
        <x:f>ABS(J406-K406)</x:f>
        <x:v>4.82</x:v>
      </x:c>
      <x:c r="M406" s="31" t="n">
        <x:v>3.04</x:v>
      </x:c>
      <x:c r="N406" s="31" t="n">
        <x:v>4.16</x:v>
      </x:c>
      <x:c r="O406" s="31" t="n">
        <x:f>ABS(M406-N406)</x:f>
        <x:v>1.12</x:v>
      </x:c>
      <x:c r="P406" s="31" t="n">
        <x:v>8.09</x:v>
      </x:c>
      <x:c r="Q406" s="31" t="n">
        <x:v>5.47</x:v>
      </x:c>
      <x:c r="R406" s="31" t="n">
        <x:f>ABS(P406-Q406)</x:f>
        <x:v>2.62</x:v>
      </x:c>
      <x:c r="S406" s="32" t="n">
        <x:v>14003.689884343648</x:v>
      </x:c>
      <x:c r="T406" s="32" t="n">
        <x:v>2037.114576960092</x:v>
      </x:c>
      <x:c r="U406" s="31" t="n">
        <x:f>MAX(S406/T406,T406/S406)</x:f>
        <x:v>6.874277000776666</x:v>
      </x:c>
      <x:c r="V406" s="31" t="n">
        <x:f>L406*'Controls &amp; Summary'!$B$9+O406*'Controls &amp; Summary'!$B$10+R406*'Controls &amp; Summary'!$B$11+U406*'Controls &amp; Summary'!$B$12</x:f>
        <x:v>15.434277000776667</x:v>
      </x:c>
      <x:c r="W406" s="31" t="n">
        <x:v>6</x:v>
      </x:c>
      <x:c r="X406" s="31" t="n">
        <x:v>1.97</x:v>
      </x:c>
      <x:c r="Y406" s="31" t="n">
        <x:f>((10-MIN(10,MAX(0,X406)))/10)*'Controls &amp; Summary'!$B$15+((10-MIN(10,MAX(0,W406)))/10)*'Controls &amp; Summary'!$B$16</x:f>
        <x:v>1.2029999999999998</x:v>
      </x:c>
      <x:c r="Z406" s="31" t="n">
        <x:f>V406*Y406</x:f>
        <x:v>18.56743523193433</x:v>
      </x:c>
      <x:c r="AA406" s="30" t="str">
        <x:f>IF(Z406&lt;=I406,"Peaceful","Hostile")</x:f>
        <x:v>Hostile</x:v>
      </x:c>
      <x:c r="AB406" s="30" t="str">
        <x:f>IF(Z406&lt;='Controls &amp; Summary'!$B$6,"Eligible","Blocked")</x:f>
        <x:v>Blocked</x:v>
      </x:c>
      <x:c r="AC406" s="30" t="str">
        <x:v>2003_TWN</x:v>
      </x:c>
      <x:c r="AD406" s="30" t="str">
        <x:v>2003_CHN</x:v>
      </x:c>
      <x:c r="AE406" s="30" t="str">
        <x:v>2003_Beijing</x:v>
      </x:c>
      <x:c r="AF406" s="30" t="str">
        <x:v>Explicit capitalClaim</x:v>
      </x:c>
      <x:c r="AG406" s="30" t="str">
        <x:v>Claim2003_TWN2003_Beijing</x:v>
      </x:c>
      <x:c r="AH406" s="30" t="str">
        <x:v>Project_LiberatingMainlandChina</x:v>
      </x:c>
    </x:row>
    <x:row r="407">
      <x:c r="A407" s="30" t="str">
        <x:v>2003</x:v>
      </x:c>
      <x:c r="B407" s="30" t="str">
        <x:v>Dark Skies</x:v>
      </x:c>
      <x:c r="C407" s="30" t="str">
        <x:v>Tanzania</x:v>
      </x:c>
      <x:c r="D407" s="30" t="str">
        <x:v>Comoros</x:v>
      </x:c>
      <x:c r="E407" s="30" t="str">
        <x:v>Project unlock</x:v>
      </x:c>
      <x:c r="F407" s="30" t="str">
        <x:v>Regional African Unions</x:v>
      </x:c>
      <x:c r="G407" s="30" t="str">
        <x:v>No</x:v>
      </x:c>
      <x:c r="H407" s="30" t="str">
        <x:v>Ordinary claim</x:v>
      </x:c>
      <x:c r="I407" s="31" t="n">
        <x:f>IF(G407="Yes",'Controls &amp; Summary'!$B$5,'Controls &amp; Summary'!$B$4)</x:f>
        <x:v>6</x:v>
      </x:c>
      <x:c r="J407" s="31" t="n">
        <x:v>5.04</x:v>
      </x:c>
      <x:c r="K407" s="31" t="n">
        <x:v>3.22</x:v>
      </x:c>
      <x:c r="L407" s="31" t="n">
        <x:f>ABS(J407-K407)</x:f>
        <x:v>1.8199999999999998</x:v>
      </x:c>
      <x:c r="M407" s="31" t="n">
        <x:v>4.41</x:v>
      </x:c>
      <x:c r="N407" s="31" t="n">
        <x:v>5.46</x:v>
      </x:c>
      <x:c r="O407" s="31" t="n">
        <x:f>ABS(M407-N407)</x:f>
        <x:v>1.0499999999999998</x:v>
      </x:c>
      <x:c r="P407" s="31" t="n">
        <x:v>3.43</x:v>
      </x:c>
      <x:c r="Q407" s="31" t="n">
        <x:v>3.88</x:v>
      </x:c>
      <x:c r="R407" s="31" t="n">
        <x:f>ABS(P407-Q407)</x:f>
        <x:v>0.44999999999999973</x:v>
      </x:c>
      <x:c r="S407" s="32" t="n">
        <x:v>674.8168041110225</x:v>
      </x:c>
      <x:c r="T407" s="32" t="n">
        <x:v>1339.3481461851393</x:v>
      </x:c>
      <x:c r="U407" s="31" t="n">
        <x:f>MAX(S407/T407,T407/S407)</x:f>
        <x:v>1.9847581418034552</x:v>
      </x:c>
      <x:c r="V407" s="31" t="n">
        <x:f>L407*'Controls &amp; Summary'!$B$9+O407*'Controls &amp; Summary'!$B$10+R407*'Controls &amp; Summary'!$B$11+U407*'Controls &amp; Summary'!$B$12</x:f>
        <x:v>5.304758141803455</x:v>
      </x:c>
      <x:c r="W407" s="31" t="n">
        <x:v>1.65</x:v>
      </x:c>
      <x:c r="X407" s="31" t="n">
        <x:v>5.59</x:v>
      </x:c>
      <x:c r="Y407" s="31" t="n">
        <x:f>((10-MIN(10,MAX(0,X407)))/10)*'Controls &amp; Summary'!$B$15+((10-MIN(10,MAX(0,W407)))/10)*'Controls &amp; Summary'!$B$16</x:f>
        <x:v>1.276</x:v>
      </x:c>
      <x:c r="Z407" s="31" t="n">
        <x:f>V407*Y407</x:f>
        <x:v>6.768871388941209</x:v>
      </x:c>
      <x:c r="AA407" s="30" t="str">
        <x:f>IF(Z407&lt;=I407,"Peaceful","Hostile")</x:f>
        <x:v>Hostile</x:v>
      </x:c>
      <x:c r="AB407" s="30" t="str">
        <x:f>IF(Z407&lt;='Controls &amp; Summary'!$B$6,"Eligible","Blocked")</x:f>
        <x:v>Eligible</x:v>
      </x:c>
      <x:c r="AC407" s="30" t="str">
        <x:v>2003_TZA</x:v>
      </x:c>
      <x:c r="AD407" s="30" t="str">
        <x:v>2003_RTK</x:v>
      </x:c>
      <x:c r="AE407" s="30" t="str">
        <x:v>2003_Ratnakara</x:v>
      </x:c>
      <x:c r="AF407" s="30" t="str">
        <x:v>Explicit capitalClaim</x:v>
      </x:c>
      <x:c r="AG407" s="30" t="str">
        <x:v>Claim2003_TZA2003_Ratnakara</x:v>
      </x:c>
      <x:c r="AH407" s="30" t="str">
        <x:v>Project_RegionalAfricanUnions</x:v>
      </x:c>
    </x:row>
    <x:row r="408">
      <x:c r="A408" s="30" t="str">
        <x:v>2003</x:v>
      </x:c>
      <x:c r="B408" s="30" t="str">
        <x:v>Dark Skies</x:v>
      </x:c>
      <x:c r="C408" s="30" t="str">
        <x:v>Tanzania</x:v>
      </x:c>
      <x:c r="D408" s="30" t="str">
        <x:v>Congo</x:v>
      </x:c>
      <x:c r="E408" s="30" t="str">
        <x:v>Project unlock</x:v>
      </x:c>
      <x:c r="F408" s="30" t="str">
        <x:v>African Confederations</x:v>
      </x:c>
      <x:c r="G408" s="30" t="str">
        <x:v>No</x:v>
      </x:c>
      <x:c r="H408" s="30" t="str">
        <x:v>Ordinary claim</x:v>
      </x:c>
      <x:c r="I408" s="31" t="n">
        <x:f>IF(G408="Yes",'Controls &amp; Summary'!$B$5,'Controls &amp; Summary'!$B$4)</x:f>
        <x:v>6</x:v>
      </x:c>
      <x:c r="J408" s="31" t="n">
        <x:v>5.04</x:v>
      </x:c>
      <x:c r="K408" s="31" t="n">
        <x:v>3.12</x:v>
      </x:c>
      <x:c r="L408" s="31" t="n">
        <x:f>ABS(J408-K408)</x:f>
        <x:v>1.92</x:v>
      </x:c>
      <x:c r="M408" s="31" t="n">
        <x:v>4.41</x:v>
      </x:c>
      <x:c r="N408" s="31" t="n">
        <x:v>4.35</x:v>
      </x:c>
      <x:c r="O408" s="31" t="n">
        <x:f>ABS(M408-N408)</x:f>
        <x:v>0.0600000000000005</x:v>
      </x:c>
      <x:c r="P408" s="31" t="n">
        <x:v>3.43</x:v>
      </x:c>
      <x:c r="Q408" s="31" t="n">
        <x:v>4.63</x:v>
      </x:c>
      <x:c r="R408" s="31" t="n">
        <x:f>ABS(P408-Q408)</x:f>
        <x:v>1.1999999999999997</x:v>
      </x:c>
      <x:c r="S408" s="32" t="n">
        <x:v>674.8168041110225</x:v>
      </x:c>
      <x:c r="T408" s="32" t="n">
        <x:v>308.88222613717977</x:v>
      </x:c>
      <x:c r="U408" s="31" t="n">
        <x:f>MAX(S408/T408,T408/S408)</x:f>
        <x:v>2.1847058425800294</x:v>
      </x:c>
      <x:c r="V408" s="31" t="n">
        <x:f>L408*'Controls &amp; Summary'!$B$9+O408*'Controls &amp; Summary'!$B$10+R408*'Controls &amp; Summary'!$B$11+U408*'Controls &amp; Summary'!$B$12</x:f>
        <x:v>5.36470584258003</x:v>
      </x:c>
      <x:c r="W408" s="31" t="n">
        <x:v>1.65</x:v>
      </x:c>
      <x:c r="X408" s="31" t="n">
        <x:v>7.34</x:v>
      </x:c>
      <x:c r="Y408" s="31" t="n">
        <x:f>((10-MIN(10,MAX(0,X408)))/10)*'Controls &amp; Summary'!$B$15+((10-MIN(10,MAX(0,W408)))/10)*'Controls &amp; Summary'!$B$16</x:f>
        <x:v>1.101</x:v>
      </x:c>
      <x:c r="Z408" s="31" t="n">
        <x:f>V408*Y408</x:f>
        <x:v>5.906541132680612</x:v>
      </x:c>
      <x:c r="AA408" s="30" t="str">
        <x:f>IF(Z408&lt;=I408,"Peaceful","Hostile")</x:f>
        <x:v>Peaceful</x:v>
      </x:c>
      <x:c r="AB408" s="30" t="str">
        <x:f>IF(Z408&lt;='Controls &amp; Summary'!$B$6,"Eligible","Blocked")</x:f>
        <x:v>Eligible</x:v>
      </x:c>
      <x:c r="AC408" s="30" t="str">
        <x:v>2003_TZA</x:v>
      </x:c>
      <x:c r="AD408" s="30" t="str">
        <x:v>2003_COD</x:v>
      </x:c>
      <x:c r="AE408" s="30" t="str">
        <x:v>2003_Kinshasa</x:v>
      </x:c>
      <x:c r="AF408" s="30" t="str">
        <x:v>Explicit capitalClaim</x:v>
      </x:c>
      <x:c r="AG408" s="30" t="str">
        <x:v>Claim2003_TZA2003_Kinshasa</x:v>
      </x:c>
      <x:c r="AH408" s="30" t="str">
        <x:v>Project_EastAfricanFederation</x:v>
      </x:c>
    </x:row>
    <x:row r="409">
      <x:c r="A409" s="30" t="str">
        <x:v>2003</x:v>
      </x:c>
      <x:c r="B409" s="30" t="str">
        <x:v>Dark Skies</x:v>
      </x:c>
      <x:c r="C409" s="30" t="str">
        <x:v>Tanzania</x:v>
      </x:c>
      <x:c r="D409" s="30" t="str">
        <x:v>Djibouti</x:v>
      </x:c>
      <x:c r="E409" s="30" t="str">
        <x:v>Project unlock</x:v>
      </x:c>
      <x:c r="F409" s="30" t="str">
        <x:v>Regional African Unions</x:v>
      </x:c>
      <x:c r="G409" s="30" t="str">
        <x:v>No</x:v>
      </x:c>
      <x:c r="H409" s="30" t="str">
        <x:v>Ordinary claim</x:v>
      </x:c>
      <x:c r="I409" s="31" t="n">
        <x:f>IF(G409="Yes",'Controls &amp; Summary'!$B$5,'Controls &amp; Summary'!$B$4)</x:f>
        <x:v>6</x:v>
      </x:c>
      <x:c r="J409" s="31" t="n">
        <x:v>5.04</x:v>
      </x:c>
      <x:c r="K409" s="31" t="n">
        <x:v>2.41</x:v>
      </x:c>
      <x:c r="L409" s="31" t="n">
        <x:f>ABS(J409-K409)</x:f>
        <x:v>2.63</x:v>
      </x:c>
      <x:c r="M409" s="31" t="n">
        <x:v>4.41</x:v>
      </x:c>
      <x:c r="N409" s="31" t="n">
        <x:v>4.15</x:v>
      </x:c>
      <x:c r="O409" s="31" t="n">
        <x:f>ABS(M409-N409)</x:f>
        <x:v>0.2599999999999998</x:v>
      </x:c>
      <x:c r="P409" s="31" t="n">
        <x:v>3.43</x:v>
      </x:c>
      <x:c r="Q409" s="31" t="n">
        <x:v>2.5</x:v>
      </x:c>
      <x:c r="R409" s="31" t="n">
        <x:f>ABS(P409-Q409)</x:f>
        <x:v>0.9300000000000002</x:v>
      </x:c>
      <x:c r="S409" s="32" t="n">
        <x:v>674.8168041110225</x:v>
      </x:c>
      <x:c r="T409" s="32" t="n">
        <x:v>1362.2142015121958</x:v>
      </x:c>
      <x:c r="U409" s="31" t="n">
        <x:f>MAX(S409/T409,T409/S409)</x:f>
        <x:v>2.01864297571357</x:v>
      </x:c>
      <x:c r="V409" s="31" t="n">
        <x:f>L409*'Controls &amp; Summary'!$B$9+O409*'Controls &amp; Summary'!$B$10+R409*'Controls &amp; Summary'!$B$11+U409*'Controls &amp; Summary'!$B$12</x:f>
        <x:v>5.8386429757135705</x:v>
      </x:c>
      <x:c r="W409" s="31" t="n">
        <x:v>1.65</x:v>
      </x:c>
      <x:c r="X409" s="31" t="n">
        <x:v>4.18</x:v>
      </x:c>
      <x:c r="Y409" s="31" t="n">
        <x:f>((10-MIN(10,MAX(0,X409)))/10)*'Controls &amp; Summary'!$B$15+((10-MIN(10,MAX(0,W409)))/10)*'Controls &amp; Summary'!$B$16</x:f>
        <x:v>1.417</x:v>
      </x:c>
      <x:c r="Z409" s="31" t="n">
        <x:f>V409*Y409</x:f>
        <x:v>8.27335709658613</x:v>
      </x:c>
      <x:c r="AA409" s="30" t="str">
        <x:f>IF(Z409&lt;=I409,"Peaceful","Hostile")</x:f>
        <x:v>Hostile</x:v>
      </x:c>
      <x:c r="AB409" s="30" t="str">
        <x:f>IF(Z409&lt;='Controls &amp; Summary'!$B$6,"Eligible","Blocked")</x:f>
        <x:v>Eligible</x:v>
      </x:c>
      <x:c r="AC409" s="30" t="str">
        <x:v>2003_TZA</x:v>
      </x:c>
      <x:c r="AD409" s="30" t="str">
        <x:v>2003_DJI</x:v>
      </x:c>
      <x:c r="AE409" s="30" t="str">
        <x:v>2003_Djibouti</x:v>
      </x:c>
      <x:c r="AF409" s="30" t="str">
        <x:v>Explicit capitalClaim</x:v>
      </x:c>
      <x:c r="AG409" s="30" t="str">
        <x:v>Claim2003_TZA2003_Djibouti</x:v>
      </x:c>
      <x:c r="AH409" s="30" t="str">
        <x:v>Project_RegionalAfricanUnions</x:v>
      </x:c>
    </x:row>
    <x:row r="410">
      <x:c r="A410" s="30" t="str">
        <x:v>2003</x:v>
      </x:c>
      <x:c r="B410" s="30" t="str">
        <x:v>Dark Skies</x:v>
      </x:c>
      <x:c r="C410" s="30" t="str">
        <x:v>Tanzania</x:v>
      </x:c>
      <x:c r="D410" s="30" t="str">
        <x:v>Kenya</x:v>
      </x:c>
      <x:c r="E410" s="30" t="str">
        <x:v>Project unlock</x:v>
      </x:c>
      <x:c r="F410" s="30" t="str">
        <x:v>African Confederations</x:v>
      </x:c>
      <x:c r="G410" s="30" t="str">
        <x:v>No</x:v>
      </x:c>
      <x:c r="H410" s="30" t="str">
        <x:v>Ordinary claim</x:v>
      </x:c>
      <x:c r="I410" s="31" t="n">
        <x:f>IF(G410="Yes",'Controls &amp; Summary'!$B$5,'Controls &amp; Summary'!$B$4)</x:f>
        <x:v>6</x:v>
      </x:c>
      <x:c r="J410" s="31" t="n">
        <x:v>5.04</x:v>
      </x:c>
      <x:c r="K410" s="31" t="n">
        <x:v>5.05</x:v>
      </x:c>
      <x:c r="L410" s="31" t="n">
        <x:f>ABS(J410-K410)</x:f>
        <x:v>0.009999999999999787</x:v>
      </x:c>
      <x:c r="M410" s="31" t="n">
        <x:v>4.41</x:v>
      </x:c>
      <x:c r="N410" s="31" t="n">
        <x:v>4.59</x:v>
      </x:c>
      <x:c r="O410" s="31" t="n">
        <x:f>ABS(M410-N410)</x:f>
        <x:v>0.17999999999999972</x:v>
      </x:c>
      <x:c r="P410" s="31" t="n">
        <x:v>3.43</x:v>
      </x:c>
      <x:c r="Q410" s="31" t="n">
        <x:v>4.21</x:v>
      </x:c>
      <x:c r="R410" s="31" t="n">
        <x:f>ABS(P410-Q410)</x:f>
        <x:v>0.7799999999999998</x:v>
      </x:c>
      <x:c r="S410" s="32" t="n">
        <x:v>674.8168041110225</x:v>
      </x:c>
      <x:c r="T410" s="32" t="n">
        <x:v>1444.3403384673875</x:v>
      </x:c>
      <x:c r="U410" s="31" t="n">
        <x:f>MAX(S410/T410,T410/S410)</x:f>
        <x:v>2.140344356673372</x:v>
      </x:c>
      <x:c r="V410" s="31" t="n">
        <x:f>L410*'Controls &amp; Summary'!$B$9+O410*'Controls &amp; Summary'!$B$10+R410*'Controls &amp; Summary'!$B$11+U410*'Controls &amp; Summary'!$B$12</x:f>
        <x:v>3.1103443566733713</x:v>
      </x:c>
      <x:c r="W410" s="31" t="n">
        <x:v>1.65</x:v>
      </x:c>
      <x:c r="X410" s="31" t="n">
        <x:v>4.73</x:v>
      </x:c>
      <x:c r="Y410" s="31" t="n">
        <x:f>((10-MIN(10,MAX(0,X410)))/10)*'Controls &amp; Summary'!$B$15+((10-MIN(10,MAX(0,W410)))/10)*'Controls &amp; Summary'!$B$16</x:f>
        <x:v>1.3619999999999999</x:v>
      </x:c>
      <x:c r="Z410" s="31" t="n">
        <x:f>V410*Y410</x:f>
        <x:v>4.236289013789131</x:v>
      </x:c>
      <x:c r="AA410" s="30" t="str">
        <x:f>IF(Z410&lt;=I410,"Peaceful","Hostile")</x:f>
        <x:v>Peaceful</x:v>
      </x:c>
      <x:c r="AB410" s="30" t="str">
        <x:f>IF(Z410&lt;='Controls &amp; Summary'!$B$6,"Eligible","Blocked")</x:f>
        <x:v>Eligible</x:v>
      </x:c>
      <x:c r="AC410" s="30" t="str">
        <x:v>2003_TZA</x:v>
      </x:c>
      <x:c r="AD410" s="30" t="str">
        <x:v>2003_KEN</x:v>
      </x:c>
      <x:c r="AE410" s="30" t="str">
        <x:v>2003_Kenya</x:v>
      </x:c>
      <x:c r="AF410" s="30" t="str">
        <x:v>Explicit capitalClaim</x:v>
      </x:c>
      <x:c r="AG410" s="30" t="str">
        <x:v>Claim2003_TZA2003_Kenya</x:v>
      </x:c>
      <x:c r="AH410" s="30" t="str">
        <x:v>Project_EastAfricanFederation</x:v>
      </x:c>
    </x:row>
    <x:row r="411">
      <x:c r="A411" s="30" t="str">
        <x:v>2003</x:v>
      </x:c>
      <x:c r="B411" s="30" t="str">
        <x:v>Dark Skies</x:v>
      </x:c>
      <x:c r="C411" s="30" t="str">
        <x:v>Tanzania</x:v>
      </x:c>
      <x:c r="D411" s="30" t="str">
        <x:v>Rwanda-Burundi</x:v>
      </x:c>
      <x:c r="E411" s="30" t="str">
        <x:v>Project unlock</x:v>
      </x:c>
      <x:c r="F411" s="30" t="str">
        <x:v>African Confederations</x:v>
      </x:c>
      <x:c r="G411" s="30" t="str">
        <x:v>No</x:v>
      </x:c>
      <x:c r="H411" s="30" t="str">
        <x:v>Ordinary claim</x:v>
      </x:c>
      <x:c r="I411" s="31" t="n">
        <x:f>IF(G411="Yes",'Controls &amp; Summary'!$B$5,'Controls &amp; Summary'!$B$4)</x:f>
        <x:v>6</x:v>
      </x:c>
      <x:c r="J411" s="31" t="n">
        <x:v>5.04</x:v>
      </x:c>
      <x:c r="K411" s="31" t="n">
        <x:v>3.96</x:v>
      </x:c>
      <x:c r="L411" s="31" t="n">
        <x:f>ABS(J411-K411)</x:f>
        <x:v>1.08</x:v>
      </x:c>
      <x:c r="M411" s="31" t="n">
        <x:v>4.41</x:v>
      </x:c>
      <x:c r="N411" s="31" t="n">
        <x:v>4.49</x:v>
      </x:c>
      <x:c r="O411" s="31" t="n">
        <x:f>ABS(M411-N411)</x:f>
        <x:v>0.08000000000000007</x:v>
      </x:c>
      <x:c r="P411" s="31" t="n">
        <x:v>3.43</x:v>
      </x:c>
      <x:c r="Q411" s="31" t="n">
        <x:v>2.6</x:v>
      </x:c>
      <x:c r="R411" s="31" t="n">
        <x:f>ABS(P411-Q411)</x:f>
        <x:v>0.8300000000000001</x:v>
      </x:c>
      <x:c r="S411" s="32" t="n">
        <x:v>674.8168041110225</x:v>
      </x:c>
      <x:c r="T411" s="32" t="n">
        <x:v>416.31512929374605</x:v>
      </x:c>
      <x:c r="U411" s="31" t="n">
        <x:f>MAX(S411/T411,T411/S411)</x:f>
        <x:v>1.6209278900236204</x:v>
      </x:c>
      <x:c r="V411" s="31" t="n">
        <x:f>L411*'Controls &amp; Summary'!$B$9+O411*'Controls &amp; Summary'!$B$10+R411*'Controls &amp; Summary'!$B$11+U411*'Controls &amp; Summary'!$B$12</x:f>
        <x:v>3.6109278900236204</x:v>
      </x:c>
      <x:c r="W411" s="31" t="n">
        <x:v>1.65</x:v>
      </x:c>
      <x:c r="X411" s="31" t="n">
        <x:v>4.92</x:v>
      </x:c>
      <x:c r="Y411" s="31" t="n">
        <x:f>((10-MIN(10,MAX(0,X411)))/10)*'Controls &amp; Summary'!$B$15+((10-MIN(10,MAX(0,W411)))/10)*'Controls &amp; Summary'!$B$16</x:f>
        <x:v>1.343</x:v>
      </x:c>
      <x:c r="Z411" s="31" t="n">
        <x:f>V411*Y411</x:f>
        <x:v>4.849476156301722</x:v>
      </x:c>
      <x:c r="AA411" s="30" t="str">
        <x:f>IF(Z411&lt;=I411,"Peaceful","Hostile")</x:f>
        <x:v>Peaceful</x:v>
      </x:c>
      <x:c r="AB411" s="30" t="str">
        <x:f>IF(Z411&lt;='Controls &amp; Summary'!$B$6,"Eligible","Blocked")</x:f>
        <x:v>Eligible</x:v>
      </x:c>
      <x:c r="AC411" s="30" t="str">
        <x:v>2003_TZA</x:v>
      </x:c>
      <x:c r="AD411" s="30" t="str">
        <x:v>2003_RWB</x:v>
      </x:c>
      <x:c r="AE411" s="30" t="str">
        <x:v>2003_Kigali</x:v>
      </x:c>
      <x:c r="AF411" s="30" t="str">
        <x:v>Explicit capitalClaim</x:v>
      </x:c>
      <x:c r="AG411" s="30" t="str">
        <x:v>Claim2003_TZA2003_Kigali</x:v>
      </x:c>
      <x:c r="AH411" s="30" t="str">
        <x:v>Project_EastAfricanFederation</x:v>
      </x:c>
    </x:row>
    <x:row r="412">
      <x:c r="A412" s="30" t="str">
        <x:v>2003</x:v>
      </x:c>
      <x:c r="B412" s="30" t="str">
        <x:v>Dark Skies</x:v>
      </x:c>
      <x:c r="C412" s="30" t="str">
        <x:v>Tanzania</x:v>
      </x:c>
      <x:c r="D412" s="30" t="str">
        <x:v>Seychelles</x:v>
      </x:c>
      <x:c r="E412" s="30" t="str">
        <x:v>Project unlock</x:v>
      </x:c>
      <x:c r="F412" s="30" t="str">
        <x:v>Regional African Unions</x:v>
      </x:c>
      <x:c r="G412" s="30" t="str">
        <x:v>No</x:v>
      </x:c>
      <x:c r="H412" s="30" t="str">
        <x:v>Ordinary claim</x:v>
      </x:c>
      <x:c r="I412" s="31" t="n">
        <x:f>IF(G412="Yes",'Controls &amp; Summary'!$B$5,'Controls &amp; Summary'!$B$4)</x:f>
        <x:v>6</x:v>
      </x:c>
      <x:c r="J412" s="31" t="n">
        <x:v>5.04</x:v>
      </x:c>
      <x:c r="K412" s="31" t="n">
        <x:v>4.8</x:v>
      </x:c>
      <x:c r="L412" s="31" t="n">
        <x:f>ABS(J412-K412)</x:f>
        <x:v>0.2400000000000002</x:v>
      </x:c>
      <x:c r="M412" s="31" t="n">
        <x:v>4.41</x:v>
      </x:c>
      <x:c r="N412" s="31" t="n">
        <x:v>3.97</x:v>
      </x:c>
      <x:c r="O412" s="31" t="n">
        <x:f>ABS(M412-N412)</x:f>
        <x:v>0.43999999999999995</x:v>
      </x:c>
      <x:c r="P412" s="31" t="n">
        <x:v>3.43</x:v>
      </x:c>
      <x:c r="Q412" s="31" t="n">
        <x:v>6.88</x:v>
      </x:c>
      <x:c r="R412" s="31" t="n">
        <x:f>ABS(P412-Q412)</x:f>
        <x:v>3.4499999999999997</x:v>
      </x:c>
      <x:c r="S412" s="32" t="n">
        <x:v>674.8168041110225</x:v>
      </x:c>
      <x:c r="T412" s="32" t="n">
        <x:v>8108.359951283406</x:v>
      </x:c>
      <x:c r="U412" s="31" t="n">
        <x:f>MAX(S412/T412,T412/S412)</x:f>
        <x:v>12.015646175209055</x:v>
      </x:c>
      <x:c r="V412" s="31" t="n">
        <x:f>L412*'Controls &amp; Summary'!$B$9+O412*'Controls &amp; Summary'!$B$10+R412*'Controls &amp; Summary'!$B$11+U412*'Controls &amp; Summary'!$B$12</x:f>
        <x:v>16.145646175209055</x:v>
      </x:c>
      <x:c r="W412" s="31" t="n">
        <x:v>1.65</x:v>
      </x:c>
      <x:c r="X412" s="31" t="n">
        <x:v>1.67</x:v>
      </x:c>
      <x:c r="Y412" s="31" t="n">
        <x:f>((10-MIN(10,MAX(0,X412)))/10)*'Controls &amp; Summary'!$B$15+((10-MIN(10,MAX(0,W412)))/10)*'Controls &amp; Summary'!$B$16</x:f>
        <x:v>1.668</x:v>
      </x:c>
      <x:c r="Z412" s="31" t="n">
        <x:f>V412*Y412</x:f>
        <x:v>26.930937820248705</x:v>
      </x:c>
      <x:c r="AA412" s="30" t="str">
        <x:f>IF(Z412&lt;=I412,"Peaceful","Hostile")</x:f>
        <x:v>Hostile</x:v>
      </x:c>
      <x:c r="AB412" s="30" t="str">
        <x:f>IF(Z412&lt;='Controls &amp; Summary'!$B$6,"Eligible","Blocked")</x:f>
        <x:v>Blocked</x:v>
      </x:c>
      <x:c r="AC412" s="30" t="str">
        <x:v>2003_TZA</x:v>
      </x:c>
      <x:c r="AD412" s="30" t="str">
        <x:v>2003_SYC</x:v>
      </x:c>
      <x:c r="AE412" s="30" t="str">
        <x:v>2003_Seychelles</x:v>
      </x:c>
      <x:c r="AF412" s="30" t="str">
        <x:v>Explicit capitalClaim</x:v>
      </x:c>
      <x:c r="AG412" s="30" t="str">
        <x:v>Claim2003_TZA2003_Seychelles</x:v>
      </x:c>
      <x:c r="AH412" s="30" t="str">
        <x:v>Project_RegionalAfricanUnions</x:v>
      </x:c>
    </x:row>
    <x:row r="413">
      <x:c r="A413" s="30" t="str">
        <x:v>2003</x:v>
      </x:c>
      <x:c r="B413" s="30" t="str">
        <x:v>Dark Skies</x:v>
      </x:c>
      <x:c r="C413" s="30" t="str">
        <x:v>Tanzania</x:v>
      </x:c>
      <x:c r="D413" s="30" t="str">
        <x:v>Somalia</x:v>
      </x:c>
      <x:c r="E413" s="30" t="str">
        <x:v>Project unlock</x:v>
      </x:c>
      <x:c r="F413" s="30" t="str">
        <x:v>African Confederations</x:v>
      </x:c>
      <x:c r="G413" s="30" t="str">
        <x:v>No</x:v>
      </x:c>
      <x:c r="H413" s="30" t="str">
        <x:v>Ordinary claim</x:v>
      </x:c>
      <x:c r="I413" s="31" t="n">
        <x:f>IF(G413="Yes",'Controls &amp; Summary'!$B$5,'Controls &amp; Summary'!$B$4)</x:f>
        <x:v>6</x:v>
      </x:c>
      <x:c r="J413" s="31" t="n">
        <x:v>5.04</x:v>
      </x:c>
      <x:c r="K413" s="31" t="n">
        <x:v>2.68</x:v>
      </x:c>
      <x:c r="L413" s="31" t="n">
        <x:f>ABS(J413-K413)</x:f>
        <x:v>2.36</x:v>
      </x:c>
      <x:c r="M413" s="31" t="n">
        <x:v>4.41</x:v>
      </x:c>
      <x:c r="N413" s="31" t="n">
        <x:v>3.56</x:v>
      </x:c>
      <x:c r="O413" s="31" t="n">
        <x:f>ABS(M413-N413)</x:f>
        <x:v>0.8500000000000001</x:v>
      </x:c>
      <x:c r="P413" s="31" t="n">
        <x:v>3.43</x:v>
      </x:c>
      <x:c r="Q413" s="31" t="n">
        <x:v>2.78</x:v>
      </x:c>
      <x:c r="R413" s="31" t="n">
        <x:f>ABS(P413-Q413)</x:f>
        <x:v>0.6500000000000004</x:v>
      </x:c>
      <x:c r="S413" s="32" t="n">
        <x:v>674.8168041110225</x:v>
      </x:c>
      <x:c r="T413" s="32" t="n">
        <x:v>547.374154839128</x:v>
      </x:c>
      <x:c r="U413" s="31" t="n">
        <x:f>MAX(S413/T413,T413/S413)</x:f>
        <x:v>1.2328254780486478</x:v>
      </x:c>
      <x:c r="V413" s="31" t="n">
        <x:f>L413*'Controls &amp; Summary'!$B$9+O413*'Controls &amp; Summary'!$B$10+R413*'Controls &amp; Summary'!$B$11+U413*'Controls &amp; Summary'!$B$12</x:f>
        <x:v>5.092825478048648</x:v>
      </x:c>
      <x:c r="W413" s="31" t="n">
        <x:v>1.65</x:v>
      </x:c>
      <x:c r="X413" s="31" t="n">
        <x:v>9.8</x:v>
      </x:c>
      <x:c r="Y413" s="31" t="n">
        <x:f>((10-MIN(10,MAX(0,X413)))/10)*'Controls &amp; Summary'!$B$15+((10-MIN(10,MAX(0,W413)))/10)*'Controls &amp; Summary'!$B$16</x:f>
        <x:v>0.8549999999999999</x:v>
      </x:c>
      <x:c r="Z413" s="31" t="n">
        <x:f>V413*Y413</x:f>
        <x:v>4.354365783731594</x:v>
      </x:c>
      <x:c r="AA413" s="30" t="str">
        <x:f>IF(Z413&lt;=I413,"Peaceful","Hostile")</x:f>
        <x:v>Peaceful</x:v>
      </x:c>
      <x:c r="AB413" s="30" t="str">
        <x:f>IF(Z413&lt;='Controls &amp; Summary'!$B$6,"Eligible","Blocked")</x:f>
        <x:v>Eligible</x:v>
      </x:c>
      <x:c r="AC413" s="30" t="str">
        <x:v>2003_TZA</x:v>
      </x:c>
      <x:c r="AD413" s="30" t="str">
        <x:v>2003_SOM</x:v>
      </x:c>
      <x:c r="AE413" s="30" t="str">
        <x:v>2003_Somalia</x:v>
      </x:c>
      <x:c r="AF413" s="30" t="str">
        <x:v>Explicit capitalClaim</x:v>
      </x:c>
      <x:c r="AG413" s="30" t="str">
        <x:v>Claim2003_TZA2003_Somalia</x:v>
      </x:c>
      <x:c r="AH413" s="30" t="str">
        <x:v>Project_EastAfricanFederation</x:v>
      </x:c>
    </x:row>
    <x:row r="414">
      <x:c r="A414" s="30" t="str">
        <x:v>2003</x:v>
      </x:c>
      <x:c r="B414" s="30" t="str">
        <x:v>Dark Skies</x:v>
      </x:c>
      <x:c r="C414" s="30" t="str">
        <x:v>Tanzania</x:v>
      </x:c>
      <x:c r="D414" s="30" t="str">
        <x:v>Uganda</x:v>
      </x:c>
      <x:c r="E414" s="30" t="str">
        <x:v>Project unlock</x:v>
      </x:c>
      <x:c r="F414" s="30" t="str">
        <x:v>African Confederations</x:v>
      </x:c>
      <x:c r="G414" s="30" t="str">
        <x:v>No</x:v>
      </x:c>
      <x:c r="H414" s="30" t="str">
        <x:v>Ordinary claim</x:v>
      </x:c>
      <x:c r="I414" s="31" t="n">
        <x:f>IF(G414="Yes",'Controls &amp; Summary'!$B$5,'Controls &amp; Summary'!$B$4)</x:f>
        <x:v>6</x:v>
      </x:c>
      <x:c r="J414" s="31" t="n">
        <x:v>5.04</x:v>
      </x:c>
      <x:c r="K414" s="31" t="n">
        <x:v>4.86</x:v>
      </x:c>
      <x:c r="L414" s="31" t="n">
        <x:f>ABS(J414-K414)</x:f>
        <x:v>0.17999999999999972</x:v>
      </x:c>
      <x:c r="M414" s="31" t="n">
        <x:v>4.41</x:v>
      </x:c>
      <x:c r="N414" s="31" t="n">
        <x:v>4.42</x:v>
      </x:c>
      <x:c r="O414" s="31" t="n">
        <x:f>ABS(M414-N414)</x:f>
        <x:v>0.009999999999999787</x:v>
      </x:c>
      <x:c r="P414" s="31" t="n">
        <x:v>3.43</x:v>
      </x:c>
      <x:c r="Q414" s="31" t="n">
        <x:v>3.45</x:v>
      </x:c>
      <x:c r="R414" s="31" t="n">
        <x:f>ABS(P414-Q414)</x:f>
        <x:v>0.020000000000000018</x:v>
      </x:c>
      <x:c r="S414" s="32" t="n">
        <x:v>674.8168041110225</x:v>
      </x:c>
      <x:c r="T414" s="32" t="n">
        <x:v>644.51011713515</x:v>
      </x:c>
      <x:c r="U414" s="31" t="n">
        <x:f>MAX(S414/T414,T414/S414)</x:f>
        <x:v>1.0470228258178256</x:v>
      </x:c>
      <x:c r="V414" s="31" t="n">
        <x:f>L414*'Controls &amp; Summary'!$B$9+O414*'Controls &amp; Summary'!$B$10+R414*'Controls &amp; Summary'!$B$11+U414*'Controls &amp; Summary'!$B$12</x:f>
        <x:v>1.257022825817825</x:v>
      </x:c>
      <x:c r="W414" s="31" t="n">
        <x:v>1.65</x:v>
      </x:c>
      <x:c r="X414" s="31" t="n">
        <x:v>4.57</x:v>
      </x:c>
      <x:c r="Y414" s="31" t="n">
        <x:f>((10-MIN(10,MAX(0,X414)))/10)*'Controls &amp; Summary'!$B$15+((10-MIN(10,MAX(0,W414)))/10)*'Controls &amp; Summary'!$B$16</x:f>
        <x:v>1.378</x:v>
      </x:c>
      <x:c r="Z414" s="31" t="n">
        <x:f>V414*Y414</x:f>
        <x:v>1.7321774539769628</x:v>
      </x:c>
      <x:c r="AA414" s="30" t="str">
        <x:f>IF(Z414&lt;=I414,"Peaceful","Hostile")</x:f>
        <x:v>Peaceful</x:v>
      </x:c>
      <x:c r="AB414" s="30" t="str">
        <x:f>IF(Z414&lt;='Controls &amp; Summary'!$B$6,"Eligible","Blocked")</x:f>
        <x:v>Eligible</x:v>
      </x:c>
      <x:c r="AC414" s="30" t="str">
        <x:v>2003_TZA</x:v>
      </x:c>
      <x:c r="AD414" s="30" t="str">
        <x:v>2003_UGA</x:v>
      </x:c>
      <x:c r="AE414" s="30" t="str">
        <x:v>2003_Uganda</x:v>
      </x:c>
      <x:c r="AF414" s="30" t="str">
        <x:v>Explicit capitalClaim</x:v>
      </x:c>
      <x:c r="AG414" s="30" t="str">
        <x:v>Claim2003_TZA2003_Uganda</x:v>
      </x:c>
      <x:c r="AH414" s="30" t="str">
        <x:v>Project_EastAfricanFederation</x:v>
      </x:c>
    </x:row>
    <x:row r="415">
      <x:c r="A415" s="30" t="str">
        <x:v>2003</x:v>
      </x:c>
      <x:c r="B415" s="30" t="str">
        <x:v>Dark Skies</x:v>
      </x:c>
      <x:c r="C415" s="30" t="str">
        <x:v>Thailand</x:v>
      </x:c>
      <x:c r="D415" s="30" t="str">
        <x:v>Brunei</x:v>
      </x:c>
      <x:c r="E415" s="30" t="str">
        <x:v>Project unlock</x:v>
      </x:c>
      <x:c r="F415" s="30" t="str">
        <x:v>Southeast Asian Alliance</x:v>
      </x:c>
      <x:c r="G415" s="30" t="str">
        <x:v>No</x:v>
      </x:c>
      <x:c r="H415" s="30" t="str">
        <x:v>Ordinary claim</x:v>
      </x:c>
      <x:c r="I415" s="31" t="n">
        <x:f>IF(G415="Yes",'Controls &amp; Summary'!$B$5,'Controls &amp; Summary'!$B$4)</x:f>
        <x:v>6</x:v>
      </x:c>
      <x:c r="J415" s="31" t="n">
        <x:v>7.34</x:v>
      </x:c>
      <x:c r="K415" s="31" t="n">
        <x:v>2.33</x:v>
      </x:c>
      <x:c r="L415" s="31" t="n">
        <x:f>ABS(J415-K415)</x:f>
        <x:v>5.01</x:v>
      </x:c>
      <x:c r="M415" s="31" t="n">
        <x:v>4.27</x:v>
      </x:c>
      <x:c r="N415" s="31" t="n">
        <x:v>4.65</x:v>
      </x:c>
      <x:c r="O415" s="31" t="n">
        <x:f>ABS(M415-N415)</x:f>
        <x:v>0.3800000000000008</x:v>
      </x:c>
      <x:c r="P415" s="31" t="n">
        <x:v>6.13</x:v>
      </x:c>
      <x:c r="Q415" s="31" t="n">
        <x:v>7.39</x:v>
      </x:c>
      <x:c r="R415" s="31" t="n">
        <x:f>ABS(P415-Q415)</x:f>
        <x:v>1.2599999999999998</x:v>
      </x:c>
      <x:c r="S415" s="32" t="n">
        <x:v>5232.862585170051</x:v>
      </x:c>
      <x:c r="T415" s="32" t="n">
        <x:v>33813.622411917946</x:v>
      </x:c>
      <x:c r="U415" s="31" t="n">
        <x:f>MAX(S415/T415,T415/S415)</x:f>
        <x:v>6.461782984278215</x:v>
      </x:c>
      <x:c r="V415" s="31" t="n">
        <x:f>L415*'Controls &amp; Summary'!$B$9+O415*'Controls &amp; Summary'!$B$10+R415*'Controls &amp; Summary'!$B$11+U415*'Controls &amp; Summary'!$B$12</x:f>
        <x:v>13.111782984278214</x:v>
      </x:c>
      <x:c r="W415" s="31" t="n">
        <x:v>3.16</x:v>
      </x:c>
      <x:c r="X415" s="31" t="n">
        <x:v>1</x:v>
      </x:c>
      <x:c r="Y415" s="31" t="n">
        <x:f>((10-MIN(10,MAX(0,X415)))/10)*'Controls &amp; Summary'!$B$15+((10-MIN(10,MAX(0,W415)))/10)*'Controls &amp; Summary'!$B$16</x:f>
        <x:v>1.584</x:v>
      </x:c>
      <x:c r="Z415" s="31" t="n">
        <x:f>V415*Y415</x:f>
        <x:v>20.769064247096694</x:v>
      </x:c>
      <x:c r="AA415" s="30" t="str">
        <x:f>IF(Z415&lt;=I415,"Peaceful","Hostile")</x:f>
        <x:v>Hostile</x:v>
      </x:c>
      <x:c r="AB415" s="30" t="str">
        <x:f>IF(Z415&lt;='Controls &amp; Summary'!$B$6,"Eligible","Blocked")</x:f>
        <x:v>Blocked</x:v>
      </x:c>
      <x:c r="AC415" s="30" t="str">
        <x:v>2003_THA</x:v>
      </x:c>
      <x:c r="AD415" s="30" t="str">
        <x:v>2003_BRU</x:v>
      </x:c>
      <x:c r="AE415" s="30" t="str">
        <x:v>2003_Brunei</x:v>
      </x:c>
      <x:c r="AF415" s="30" t="str">
        <x:v>Explicit capitalClaim</x:v>
      </x:c>
      <x:c r="AG415" s="30" t="str">
        <x:v>Claim2003_THA2003_Brunei</x:v>
      </x:c>
      <x:c r="AH415" s="30" t="str">
        <x:v>Project_SoutheastAsianAlliance</x:v>
      </x:c>
    </x:row>
    <x:row r="416">
      <x:c r="A416" s="30" t="str">
        <x:v>2003</x:v>
      </x:c>
      <x:c r="B416" s="30" t="str">
        <x:v>Dark Skies</x:v>
      </x:c>
      <x:c r="C416" s="30" t="str">
        <x:v>Thailand</x:v>
      </x:c>
      <x:c r="D416" s="30" t="str">
        <x:v>Cambodia</x:v>
      </x:c>
      <x:c r="E416" s="30" t="str">
        <x:v>Project unlock</x:v>
      </x:c>
      <x:c r="F416" s="30" t="str">
        <x:v>Southeast Asian Alliance</x:v>
      </x:c>
      <x:c r="G416" s="30" t="str">
        <x:v>No</x:v>
      </x:c>
      <x:c r="H416" s="30" t="str">
        <x:v>Ordinary claim</x:v>
      </x:c>
      <x:c r="I416" s="31" t="n">
        <x:f>IF(G416="Yes",'Controls &amp; Summary'!$B$5,'Controls &amp; Summary'!$B$4)</x:f>
        <x:v>6</x:v>
      </x:c>
      <x:c r="J416" s="31" t="n">
        <x:v>7.34</x:v>
      </x:c>
      <x:c r="K416" s="31" t="n">
        <x:v>4.79</x:v>
      </x:c>
      <x:c r="L416" s="31" t="n">
        <x:f>ABS(J416-K416)</x:f>
        <x:v>2.55</x:v>
      </x:c>
      <x:c r="M416" s="31" t="n">
        <x:v>4.27</x:v>
      </x:c>
      <x:c r="N416" s="31" t="n">
        <x:v>3.66</x:v>
      </x:c>
      <x:c r="O416" s="31" t="n">
        <x:f>ABS(M416-N416)</x:f>
        <x:v>0.6099999999999994</x:v>
      </x:c>
      <x:c r="P416" s="31" t="n">
        <x:v>6.13</x:v>
      </x:c>
      <x:c r="Q416" s="31" t="n">
        <x:v>3.91</x:v>
      </x:c>
      <x:c r="R416" s="31" t="n">
        <x:f>ABS(P416-Q416)</x:f>
        <x:v>2.2199999999999998</x:v>
      </x:c>
      <x:c r="S416" s="32" t="n">
        <x:v>5232.862585170051</x:v>
      </x:c>
      <x:c r="T416" s="32" t="n">
        <x:v>932.6905575126688</x:v>
      </x:c>
      <x:c r="U416" s="31" t="n">
        <x:f>MAX(S416/T416,T416/S416)</x:f>
        <x:v>5.610502371896236</x:v>
      </x:c>
      <x:c r="V416" s="31" t="n">
        <x:f>L416*'Controls &amp; Summary'!$B$9+O416*'Controls &amp; Summary'!$B$10+R416*'Controls &amp; Summary'!$B$11+U416*'Controls &amp; Summary'!$B$12</x:f>
        <x:v>10.990502371896234</x:v>
      </x:c>
      <x:c r="W416" s="31" t="n">
        <x:v>3.16</x:v>
      </x:c>
      <x:c r="X416" s="31" t="n">
        <x:v>1.96</x:v>
      </x:c>
      <x:c r="Y416" s="31" t="n">
        <x:f>((10-MIN(10,MAX(0,X416)))/10)*'Controls &amp; Summary'!$B$15+((10-MIN(10,MAX(0,W416)))/10)*'Controls &amp; Summary'!$B$16</x:f>
        <x:v>1.488</x:v>
      </x:c>
      <x:c r="Z416" s="31" t="n">
        <x:f>V416*Y416</x:f>
        <x:v>16.353867529381596</x:v>
      </x:c>
      <x:c r="AA416" s="30" t="str">
        <x:f>IF(Z416&lt;=I416,"Peaceful","Hostile")</x:f>
        <x:v>Hostile</x:v>
      </x:c>
      <x:c r="AB416" s="30" t="str">
        <x:f>IF(Z416&lt;='Controls &amp; Summary'!$B$6,"Eligible","Blocked")</x:f>
        <x:v>Blocked</x:v>
      </x:c>
      <x:c r="AC416" s="30" t="str">
        <x:v>2003_THA</x:v>
      </x:c>
      <x:c r="AD416" s="30" t="str">
        <x:v>2003_KHM</x:v>
      </x:c>
      <x:c r="AE416" s="30" t="str">
        <x:v>2003_Cambodia</x:v>
      </x:c>
      <x:c r="AF416" s="30" t="str">
        <x:v>Explicit capitalClaim</x:v>
      </x:c>
      <x:c r="AG416" s="30" t="str">
        <x:v>Claim2003_THA2003_Cambodia</x:v>
      </x:c>
      <x:c r="AH416" s="30" t="str">
        <x:v>Project_SoutheastAsianAlliance</x:v>
      </x:c>
    </x:row>
    <x:row r="417">
      <x:c r="A417" s="30" t="str">
        <x:v>2003</x:v>
      </x:c>
      <x:c r="B417" s="30" t="str">
        <x:v>Dark Skies</x:v>
      </x:c>
      <x:c r="C417" s="30" t="str">
        <x:v>Thailand</x:v>
      </x:c>
      <x:c r="D417" s="30" t="str">
        <x:v>Indonesia</x:v>
      </x:c>
      <x:c r="E417" s="30" t="str">
        <x:v>Project unlock</x:v>
      </x:c>
      <x:c r="F417" s="30" t="str">
        <x:v>Southeast Asian Alliance</x:v>
      </x:c>
      <x:c r="G417" s="30" t="str">
        <x:v>No</x:v>
      </x:c>
      <x:c r="H417" s="30" t="str">
        <x:v>Ordinary claim</x:v>
      </x:c>
      <x:c r="I417" s="31" t="n">
        <x:f>IF(G417="Yes",'Controls &amp; Summary'!$B$5,'Controls &amp; Summary'!$B$4)</x:f>
        <x:v>6</x:v>
      </x:c>
      <x:c r="J417" s="31" t="n">
        <x:v>7.34</x:v>
      </x:c>
      <x:c r="K417" s="31" t="n">
        <x:v>6.21</x:v>
      </x:c>
      <x:c r="L417" s="31" t="n">
        <x:f>ABS(J417-K417)</x:f>
        <x:v>1.13</x:v>
      </x:c>
      <x:c r="M417" s="31" t="n">
        <x:v>4.27</x:v>
      </x:c>
      <x:c r="N417" s="31" t="n">
        <x:v>4.16</x:v>
      </x:c>
      <x:c r="O417" s="31" t="n">
        <x:f>ABS(M417-N417)</x:f>
        <x:v>0.10999999999999943</x:v>
      </x:c>
      <x:c r="P417" s="31" t="n">
        <x:v>6.13</x:v>
      </x:c>
      <x:c r="Q417" s="31" t="n">
        <x:v>5.42</x:v>
      </x:c>
      <x:c r="R417" s="31" t="n">
        <x:f>ABS(P417-Q417)</x:f>
        <x:v>0.71</x:v>
      </x:c>
      <x:c r="S417" s="32" t="n">
        <x:v>5232.862585170051</x:v>
      </x:c>
      <x:c r="T417" s="32" t="n">
        <x:v>2643.8374101449504</x:v>
      </x:c>
      <x:c r="U417" s="31" t="n">
        <x:f>MAX(S417/T417,T417/S417)</x:f>
        <x:v>1.979267925134305</x:v>
      </x:c>
      <x:c r="V417" s="31" t="n">
        <x:f>L417*'Controls &amp; Summary'!$B$9+O417*'Controls &amp; Summary'!$B$10+R417*'Controls &amp; Summary'!$B$11+U417*'Controls &amp; Summary'!$B$12</x:f>
        <x:v>3.9292679251343046</x:v>
      </x:c>
      <x:c r="W417" s="31" t="n">
        <x:v>3.16</x:v>
      </x:c>
      <x:c r="X417" s="31" t="n">
        <x:v>5.65</x:v>
      </x:c>
      <x:c r="Y417" s="31" t="n">
        <x:f>((10-MIN(10,MAX(0,X417)))/10)*'Controls &amp; Summary'!$B$15+((10-MIN(10,MAX(0,W417)))/10)*'Controls &amp; Summary'!$B$16</x:f>
        <x:v>1.1189999999999998</x:v>
      </x:c>
      <x:c r="Z417" s="31" t="n">
        <x:f>V417*Y417</x:f>
        <x:v>4.3968508082252855</x:v>
      </x:c>
      <x:c r="AA417" s="30" t="str">
        <x:f>IF(Z417&lt;=I417,"Peaceful","Hostile")</x:f>
        <x:v>Peaceful</x:v>
      </x:c>
      <x:c r="AB417" s="30" t="str">
        <x:f>IF(Z417&lt;='Controls &amp; Summary'!$B$6,"Eligible","Blocked")</x:f>
        <x:v>Eligible</x:v>
      </x:c>
      <x:c r="AC417" s="30" t="str">
        <x:v>2003_THA</x:v>
      </x:c>
      <x:c r="AD417" s="30" t="str">
        <x:v>2003_IDN</x:v>
      </x:c>
      <x:c r="AE417" s="30" t="str">
        <x:v>2003_Java</x:v>
      </x:c>
      <x:c r="AF417" s="30" t="str">
        <x:v>Explicit capitalClaim</x:v>
      </x:c>
      <x:c r="AG417" s="30" t="str">
        <x:v>Claim2003_THA2003_Java</x:v>
      </x:c>
      <x:c r="AH417" s="30" t="str">
        <x:v>Project_SoutheastAsianAlliance</x:v>
      </x:c>
    </x:row>
    <x:row r="418">
      <x:c r="A418" s="30" t="str">
        <x:v>2003</x:v>
      </x:c>
      <x:c r="B418" s="30" t="str">
        <x:v>Dark Skies</x:v>
      </x:c>
      <x:c r="C418" s="30" t="str">
        <x:v>Thailand</x:v>
      </x:c>
      <x:c r="D418" s="30" t="str">
        <x:v>Laos</x:v>
      </x:c>
      <x:c r="E418" s="30" t="str">
        <x:v>Project unlock</x:v>
      </x:c>
      <x:c r="F418" s="30" t="str">
        <x:v>Southeast Asian Alliance</x:v>
      </x:c>
      <x:c r="G418" s="30" t="str">
        <x:v>No</x:v>
      </x:c>
      <x:c r="H418" s="30" t="str">
        <x:v>Ordinary claim</x:v>
      </x:c>
      <x:c r="I418" s="31" t="n">
        <x:f>IF(G418="Yes",'Controls &amp; Summary'!$B$5,'Controls &amp; Summary'!$B$4)</x:f>
        <x:v>6</x:v>
      </x:c>
      <x:c r="J418" s="31" t="n">
        <x:v>7.34</x:v>
      </x:c>
      <x:c r="K418" s="31" t="n">
        <x:v>2.1</x:v>
      </x:c>
      <x:c r="L418" s="31" t="n">
        <x:f>ABS(J418-K418)</x:f>
        <x:v>5.24</x:v>
      </x:c>
      <x:c r="M418" s="31" t="n">
        <x:v>4.27</x:v>
      </x:c>
      <x:c r="N418" s="31" t="n">
        <x:v>3.54</x:v>
      </x:c>
      <x:c r="O418" s="31" t="n">
        <x:f>ABS(M418-N418)</x:f>
        <x:v>0.7299999999999995</x:v>
      </x:c>
      <x:c r="P418" s="31" t="n">
        <x:v>6.13</x:v>
      </x:c>
      <x:c r="Q418" s="31" t="n">
        <x:v>4</x:v>
      </x:c>
      <x:c r="R418" s="31" t="n">
        <x:f>ABS(P418-Q418)</x:f>
        <x:v>2.13</x:v>
      </x:c>
      <x:c r="S418" s="32" t="n">
        <x:v>5232.862585170051</x:v>
      </x:c>
      <x:c r="T418" s="32" t="n">
        <x:v>1415.6124481721042</x:v>
      </x:c>
      <x:c r="U418" s="31" t="n">
        <x:f>MAX(S418/T418,T418/S418)</x:f>
        <x:v>3.696536147253391</x:v>
      </x:c>
      <x:c r="V418" s="31" t="n">
        <x:f>L418*'Controls &amp; Summary'!$B$9+O418*'Controls &amp; Summary'!$B$10+R418*'Controls &amp; Summary'!$B$11+U418*'Controls &amp; Summary'!$B$12</x:f>
        <x:v>11.796536147253391</x:v>
      </x:c>
      <x:c r="W418" s="31" t="n">
        <x:v>3.16</x:v>
      </x:c>
      <x:c r="X418" s="31" t="n">
        <x:v>3.68</x:v>
      </x:c>
      <x:c r="Y418" s="31" t="n">
        <x:f>((10-MIN(10,MAX(0,X418)))/10)*'Controls &amp; Summary'!$B$15+((10-MIN(10,MAX(0,W418)))/10)*'Controls &amp; Summary'!$B$16</x:f>
        <x:v>1.3159999999999998</x:v>
      </x:c>
      <x:c r="Z418" s="31" t="n">
        <x:f>V418*Y418</x:f>
        <x:v>15.524241569785461</x:v>
      </x:c>
      <x:c r="AA418" s="30" t="str">
        <x:f>IF(Z418&lt;=I418,"Peaceful","Hostile")</x:f>
        <x:v>Hostile</x:v>
      </x:c>
      <x:c r="AB418" s="30" t="str">
        <x:f>IF(Z418&lt;='Controls &amp; Summary'!$B$6,"Eligible","Blocked")</x:f>
        <x:v>Blocked</x:v>
      </x:c>
      <x:c r="AC418" s="30" t="str">
        <x:v>2003_THA</x:v>
      </x:c>
      <x:c r="AD418" s="30" t="str">
        <x:v>2003_LAO</x:v>
      </x:c>
      <x:c r="AE418" s="30" t="str">
        <x:v>2003_Laos</x:v>
      </x:c>
      <x:c r="AF418" s="30" t="str">
        <x:v>Explicit capitalClaim</x:v>
      </x:c>
      <x:c r="AG418" s="30" t="str">
        <x:v>Claim2003_THA2003_Laos</x:v>
      </x:c>
      <x:c r="AH418" s="30" t="str">
        <x:v>Project_SoutheastAsianAlliance</x:v>
      </x:c>
    </x:row>
    <x:row r="419">
      <x:c r="A419" s="30" t="str">
        <x:v>2003</x:v>
      </x:c>
      <x:c r="B419" s="30" t="str">
        <x:v>Dark Skies</x:v>
      </x:c>
      <x:c r="C419" s="30" t="str">
        <x:v>Thailand</x:v>
      </x:c>
      <x:c r="D419" s="30" t="str">
        <x:v>Malaysia</x:v>
      </x:c>
      <x:c r="E419" s="30" t="str">
        <x:v>Project unlock</x:v>
      </x:c>
      <x:c r="F419" s="30" t="str">
        <x:v>Southeast Asian Alliance</x:v>
      </x:c>
      <x:c r="G419" s="30" t="str">
        <x:v>No</x:v>
      </x:c>
      <x:c r="H419" s="30" t="str">
        <x:v>Ordinary claim</x:v>
      </x:c>
      <x:c r="I419" s="31" t="n">
        <x:f>IF(G419="Yes",'Controls &amp; Summary'!$B$5,'Controls &amp; Summary'!$B$4)</x:f>
        <x:v>6</x:v>
      </x:c>
      <x:c r="J419" s="31" t="n">
        <x:v>7.34</x:v>
      </x:c>
      <x:c r="K419" s="31" t="n">
        <x:v>5.71</x:v>
      </x:c>
      <x:c r="L419" s="31" t="n">
        <x:f>ABS(J419-K419)</x:f>
        <x:v>1.63</x:v>
      </x:c>
      <x:c r="M419" s="31" t="n">
        <x:v>4.27</x:v>
      </x:c>
      <x:c r="N419" s="31" t="n">
        <x:v>4.16</x:v>
      </x:c>
      <x:c r="O419" s="31" t="n">
        <x:f>ABS(M419-N419)</x:f>
        <x:v>0.10999999999999943</x:v>
      </x:c>
      <x:c r="P419" s="31" t="n">
        <x:v>6.13</x:v>
      </x:c>
      <x:c r="Q419" s="31" t="n">
        <x:v>6.65</x:v>
      </x:c>
      <x:c r="R419" s="31" t="n">
        <x:f>ABS(P419-Q419)</x:f>
        <x:v>0.5200000000000005</x:v>
      </x:c>
      <x:c r="S419" s="32" t="n">
        <x:v>5232.862585170051</x:v>
      </x:c>
      <x:c r="T419" s="32" t="n">
        <x:v>7805.958670484231</x:v>
      </x:c>
      <x:c r="U419" s="31" t="n">
        <x:f>MAX(S419/T419,T419/S419)</x:f>
        <x:v>1.4917186422220112</x:v>
      </x:c>
      <x:c r="V419" s="31" t="n">
        <x:f>L419*'Controls &amp; Summary'!$B$9+O419*'Controls &amp; Summary'!$B$10+R419*'Controls &amp; Summary'!$B$11+U419*'Controls &amp; Summary'!$B$12</x:f>
        <x:v>3.751718642222011</x:v>
      </x:c>
      <x:c r="W419" s="31" t="n">
        <x:v>3.16</x:v>
      </x:c>
      <x:c r="X419" s="31" t="n">
        <x:v>3.26</x:v>
      </x:c>
      <x:c r="Y419" s="31" t="n">
        <x:f>((10-MIN(10,MAX(0,X419)))/10)*'Controls &amp; Summary'!$B$15+((10-MIN(10,MAX(0,W419)))/10)*'Controls &amp; Summary'!$B$16</x:f>
        <x:v>1.358</x:v>
      </x:c>
      <x:c r="Z419" s="31" t="n">
        <x:f>V419*Y419</x:f>
        <x:v>5.094833916137492</x:v>
      </x:c>
      <x:c r="AA419" s="30" t="str">
        <x:f>IF(Z419&lt;=I419,"Peaceful","Hostile")</x:f>
        <x:v>Peaceful</x:v>
      </x:c>
      <x:c r="AB419" s="30" t="str">
        <x:f>IF(Z419&lt;='Controls &amp; Summary'!$B$6,"Eligible","Blocked")</x:f>
        <x:v>Eligible</x:v>
      </x:c>
      <x:c r="AC419" s="30" t="str">
        <x:v>2003_THA</x:v>
      </x:c>
      <x:c r="AD419" s="30" t="str">
        <x:v>2003_MYS</x:v>
      </x:c>
      <x:c r="AE419" s="30" t="str">
        <x:v>2003_MalayPeninsula</x:v>
      </x:c>
      <x:c r="AF419" s="30" t="str">
        <x:v>Explicit capitalClaim</x:v>
      </x:c>
      <x:c r="AG419" s="30" t="str">
        <x:v>Claim2003_THA2003_MalayPeninsula</x:v>
      </x:c>
      <x:c r="AH419" s="30" t="str">
        <x:v>Project_SoutheastAsianAlliance</x:v>
      </x:c>
    </x:row>
    <x:row r="420">
      <x:c r="A420" s="30" t="str">
        <x:v>2003</x:v>
      </x:c>
      <x:c r="B420" s="30" t="str">
        <x:v>Dark Skies</x:v>
      </x:c>
      <x:c r="C420" s="30" t="str">
        <x:v>Thailand</x:v>
      </x:c>
      <x:c r="D420" s="30" t="str">
        <x:v>Myanmar</x:v>
      </x:c>
      <x:c r="E420" s="30" t="str">
        <x:v>Project unlock</x:v>
      </x:c>
      <x:c r="F420" s="30" t="str">
        <x:v>Southeast Asian Alliance</x:v>
      </x:c>
      <x:c r="G420" s="30" t="str">
        <x:v>No</x:v>
      </x:c>
      <x:c r="H420" s="30" t="str">
        <x:v>Ordinary claim</x:v>
      </x:c>
      <x:c r="I420" s="31" t="n">
        <x:f>IF(G420="Yes",'Controls &amp; Summary'!$B$5,'Controls &amp; Summary'!$B$4)</x:f>
        <x:v>6</x:v>
      </x:c>
      <x:c r="J420" s="31" t="n">
        <x:v>7.34</x:v>
      </x:c>
      <x:c r="K420" s="31" t="n">
        <x:v>1.77</x:v>
      </x:c>
      <x:c r="L420" s="31" t="n">
        <x:f>ABS(J420-K420)</x:f>
        <x:v>5.57</x:v>
      </x:c>
      <x:c r="M420" s="31" t="n">
        <x:v>4.27</x:v>
      </x:c>
      <x:c r="N420" s="31" t="n">
        <x:v>3.37</x:v>
      </x:c>
      <x:c r="O420" s="31" t="n">
        <x:f>ABS(M420-N420)</x:f>
        <x:v>0.8999999999999995</x:v>
      </x:c>
      <x:c r="P420" s="31" t="n">
        <x:v>6.13</x:v>
      </x:c>
      <x:c r="Q420" s="31" t="n">
        <x:v>3.42</x:v>
      </x:c>
      <x:c r="R420" s="31" t="n">
        <x:f>ABS(P420-Q420)</x:f>
        <x:v>2.71</x:v>
      </x:c>
      <x:c r="S420" s="32" t="n">
        <x:v>5232.862585170051</x:v>
      </x:c>
      <x:c r="T420" s="32" t="n">
        <x:v>695.8442971027697</x:v>
      </x:c>
      <x:c r="U420" s="31" t="n">
        <x:f>MAX(S420/T420,T420/S420)</x:f>
        <x:v>7.520163069464958</x:v>
      </x:c>
      <x:c r="V420" s="31" t="n">
        <x:f>L420*'Controls &amp; Summary'!$B$9+O420*'Controls &amp; Summary'!$B$10+R420*'Controls &amp; Summary'!$B$11+U420*'Controls &amp; Summary'!$B$12</x:f>
        <x:v>16.700163069464956</x:v>
      </x:c>
      <x:c r="W420" s="31" t="n">
        <x:v>3.16</x:v>
      </x:c>
      <x:c r="X420" s="31" t="n">
        <x:v>7.36</x:v>
      </x:c>
      <x:c r="Y420" s="31" t="n">
        <x:f>((10-MIN(10,MAX(0,X420)))/10)*'Controls &amp; Summary'!$B$15+((10-MIN(10,MAX(0,W420)))/10)*'Controls &amp; Summary'!$B$16</x:f>
        <x:v>0.948</x:v>
      </x:c>
      <x:c r="Z420" s="31" t="n">
        <x:f>V420*Y420</x:f>
        <x:v>15.831754589852778</x:v>
      </x:c>
      <x:c r="AA420" s="30" t="str">
        <x:f>IF(Z420&lt;=I420,"Peaceful","Hostile")</x:f>
        <x:v>Hostile</x:v>
      </x:c>
      <x:c r="AB420" s="30" t="str">
        <x:f>IF(Z420&lt;='Controls &amp; Summary'!$B$6,"Eligible","Blocked")</x:f>
        <x:v>Blocked</x:v>
      </x:c>
      <x:c r="AC420" s="30" t="str">
        <x:v>2003_THA</x:v>
      </x:c>
      <x:c r="AD420" s="30" t="str">
        <x:v>2003_MMR</x:v>
      </x:c>
      <x:c r="AE420" s="30" t="str">
        <x:v>2003_Myanmar</x:v>
      </x:c>
      <x:c r="AF420" s="30" t="str">
        <x:v>Explicit capitalClaim</x:v>
      </x:c>
      <x:c r="AG420" s="30" t="str">
        <x:v>Claim2003_THA2003_Myanmar</x:v>
      </x:c>
      <x:c r="AH420" s="30" t="str">
        <x:v>Project_SoutheastAsianAlliance</x:v>
      </x:c>
    </x:row>
    <x:row r="421">
      <x:c r="A421" s="30" t="str">
        <x:v>2003</x:v>
      </x:c>
      <x:c r="B421" s="30" t="str">
        <x:v>Dark Skies</x:v>
      </x:c>
      <x:c r="C421" s="30" t="str">
        <x:v>Thailand</x:v>
      </x:c>
      <x:c r="D421" s="30" t="str">
        <x:v>Philippines</x:v>
      </x:c>
      <x:c r="E421" s="30" t="str">
        <x:v>Project unlock</x:v>
      </x:c>
      <x:c r="F421" s="30" t="str">
        <x:v>Southeast Asian Alliance</x:v>
      </x:c>
      <x:c r="G421" s="30" t="str">
        <x:v>No</x:v>
      </x:c>
      <x:c r="H421" s="30" t="str">
        <x:v>Ordinary claim</x:v>
      </x:c>
      <x:c r="I421" s="31" t="n">
        <x:f>IF(G421="Yes",'Controls &amp; Summary'!$B$5,'Controls &amp; Summary'!$B$4)</x:f>
        <x:v>6</x:v>
      </x:c>
      <x:c r="J421" s="31" t="n">
        <x:v>7.34</x:v>
      </x:c>
      <x:c r="K421" s="31" t="n">
        <x:v>6.82</x:v>
      </x:c>
      <x:c r="L421" s="31" t="n">
        <x:f>ABS(J421-K421)</x:f>
        <x:v>0.5199999999999996</x:v>
      </x:c>
      <x:c r="M421" s="31" t="n">
        <x:v>4.27</x:v>
      </x:c>
      <x:c r="N421" s="31" t="n">
        <x:v>4.19</x:v>
      </x:c>
      <x:c r="O421" s="31" t="n">
        <x:f>ABS(M421-N421)</x:f>
        <x:v>0.07999999999999918</x:v>
      </x:c>
      <x:c r="P421" s="31" t="n">
        <x:v>6.13</x:v>
      </x:c>
      <x:c r="Q421" s="31" t="n">
        <x:v>5.67</x:v>
      </x:c>
      <x:c r="R421" s="31" t="n">
        <x:f>ABS(P421-Q421)</x:f>
        <x:v>0.45999999999999996</x:v>
      </x:c>
      <x:c r="S421" s="32" t="n">
        <x:v>5232.862585170051</x:v>
      </x:c>
      <x:c r="T421" s="32" t="n">
        <x:v>2040.4656608817693</x:v>
      </x:c>
      <x:c r="U421" s="31" t="n">
        <x:f>MAX(S421/T421,T421/S421)</x:f>
        <x:v>2.5645433223849086</x:v>
      </x:c>
      <x:c r="V421" s="31" t="n">
        <x:f>L421*'Controls &amp; Summary'!$B$9+O421*'Controls &amp; Summary'!$B$10+R421*'Controls &amp; Summary'!$B$11+U421*'Controls &amp; Summary'!$B$12</x:f>
        <x:v>3.6245433223849073</x:v>
      </x:c>
      <x:c r="W421" s="31" t="n">
        <x:v>3.16</x:v>
      </x:c>
      <x:c r="X421" s="31" t="n">
        <x:v>3.08</x:v>
      </x:c>
      <x:c r="Y421" s="31" t="n">
        <x:f>((10-MIN(10,MAX(0,X421)))/10)*'Controls &amp; Summary'!$B$15+((10-MIN(10,MAX(0,W421)))/10)*'Controls &amp; Summary'!$B$16</x:f>
        <x:v>1.376</x:v>
      </x:c>
      <x:c r="Z421" s="31" t="n">
        <x:f>V421*Y421</x:f>
        <x:v>4.987371611601632</x:v>
      </x:c>
      <x:c r="AA421" s="30" t="str">
        <x:f>IF(Z421&lt;=I421,"Peaceful","Hostile")</x:f>
        <x:v>Peaceful</x:v>
      </x:c>
      <x:c r="AB421" s="30" t="str">
        <x:f>IF(Z421&lt;='Controls &amp; Summary'!$B$6,"Eligible","Blocked")</x:f>
        <x:v>Eligible</x:v>
      </x:c>
      <x:c r="AC421" s="30" t="str">
        <x:v>2003_THA</x:v>
      </x:c>
      <x:c r="AD421" s="30" t="str">
        <x:v>2003_PHL</x:v>
      </x:c>
      <x:c r="AE421" s="30" t="str">
        <x:v>2003_Luzon</x:v>
      </x:c>
      <x:c r="AF421" s="30" t="str">
        <x:v>Explicit capitalClaim</x:v>
      </x:c>
      <x:c r="AG421" s="30" t="str">
        <x:v>Claim2003_THA2003_Luzon</x:v>
      </x:c>
      <x:c r="AH421" s="30" t="str">
        <x:v>Project_SoutheastAsianAlliance</x:v>
      </x:c>
    </x:row>
    <x:row r="422">
      <x:c r="A422" s="30" t="str">
        <x:v>2003</x:v>
      </x:c>
      <x:c r="B422" s="30" t="str">
        <x:v>Dark Skies</x:v>
      </x:c>
      <x:c r="C422" s="30" t="str">
        <x:v>Thailand</x:v>
      </x:c>
      <x:c r="D422" s="30" t="str">
        <x:v>Singapore</x:v>
      </x:c>
      <x:c r="E422" s="30" t="str">
        <x:v>Project unlock</x:v>
      </x:c>
      <x:c r="F422" s="30" t="str">
        <x:v>Southeast Asian Alliance</x:v>
      </x:c>
      <x:c r="G422" s="30" t="str">
        <x:v>No</x:v>
      </x:c>
      <x:c r="H422" s="30" t="str">
        <x:v>Ordinary claim</x:v>
      </x:c>
      <x:c r="I422" s="31" t="n">
        <x:f>IF(G422="Yes",'Controls &amp; Summary'!$B$5,'Controls &amp; Summary'!$B$4)</x:f>
        <x:v>6</x:v>
      </x:c>
      <x:c r="J422" s="31" t="n">
        <x:v>7.34</x:v>
      </x:c>
      <x:c r="K422" s="31" t="n">
        <x:v>5.85</x:v>
      </x:c>
      <x:c r="L422" s="31" t="n">
        <x:f>ABS(J422-K422)</x:f>
        <x:v>1.4900000000000002</x:v>
      </x:c>
      <x:c r="M422" s="31" t="n">
        <x:v>4.27</x:v>
      </x:c>
      <x:c r="N422" s="31" t="n">
        <x:v>3.86</x:v>
      </x:c>
      <x:c r="O422" s="31" t="n">
        <x:f>ABS(M422-N422)</x:f>
        <x:v>0.4099999999999997</x:v>
      </x:c>
      <x:c r="P422" s="31" t="n">
        <x:v>6.13</x:v>
      </x:c>
      <x:c r="Q422" s="31" t="n">
        <x:v>8.41</x:v>
      </x:c>
      <x:c r="R422" s="31" t="n">
        <x:f>ABS(P422-Q422)</x:f>
        <x:v>2.2800000000000002</x:v>
      </x:c>
      <x:c r="S422" s="32" t="n">
        <x:v>5232.862585170051</x:v>
      </x:c>
      <x:c r="T422" s="32" t="n">
        <x:v>26456.959439810835</x:v>
      </x:c>
      <x:c r="U422" s="31" t="n">
        <x:f>MAX(S422/T422,T422/S422)</x:f>
        <x:v>5.055924746579423</x:v>
      </x:c>
      <x:c r="V422" s="31" t="n">
        <x:f>L422*'Controls &amp; Summary'!$B$9+O422*'Controls &amp; Summary'!$B$10+R422*'Controls &amp; Summary'!$B$11+U422*'Controls &amp; Summary'!$B$12</x:f>
        <x:v>9.235924746579423</x:v>
      </x:c>
      <x:c r="W422" s="31" t="n">
        <x:v>3.16</x:v>
      </x:c>
      <x:c r="X422" s="31" t="n">
        <x:v>0.35</x:v>
      </x:c>
      <x:c r="Y422" s="31" t="n">
        <x:f>((10-MIN(10,MAX(0,X422)))/10)*'Controls &amp; Summary'!$B$15+((10-MIN(10,MAX(0,W422)))/10)*'Controls &amp; Summary'!$B$16</x:f>
        <x:v>1.649</x:v>
      </x:c>
      <x:c r="Z422" s="31" t="n">
        <x:f>V422*Y422</x:f>
        <x:v>15.230039907109468</x:v>
      </x:c>
      <x:c r="AA422" s="30" t="str">
        <x:f>IF(Z422&lt;=I422,"Peaceful","Hostile")</x:f>
        <x:v>Hostile</x:v>
      </x:c>
      <x:c r="AB422" s="30" t="str">
        <x:f>IF(Z422&lt;='Controls &amp; Summary'!$B$6,"Eligible","Blocked")</x:f>
        <x:v>Blocked</x:v>
      </x:c>
      <x:c r="AC422" s="30" t="str">
        <x:v>2003_THA</x:v>
      </x:c>
      <x:c r="AD422" s="30" t="str">
        <x:v>2003_SGP</x:v>
      </x:c>
      <x:c r="AE422" s="30" t="str">
        <x:v>2003_Singapore</x:v>
      </x:c>
      <x:c r="AF422" s="30" t="str">
        <x:v>Explicit capitalClaim</x:v>
      </x:c>
      <x:c r="AG422" s="30" t="str">
        <x:v>Claim2003_THA2003_Singapore</x:v>
      </x:c>
      <x:c r="AH422" s="30" t="str">
        <x:v>Project_SoutheastAsianAlliance</x:v>
      </x:c>
    </x:row>
    <x:row r="423">
      <x:c r="A423" s="30" t="str">
        <x:v>2003</x:v>
      </x:c>
      <x:c r="B423" s="30" t="str">
        <x:v>Dark Skies</x:v>
      </x:c>
      <x:c r="C423" s="30" t="str">
        <x:v>Thailand</x:v>
      </x:c>
      <x:c r="D423" s="30" t="str">
        <x:v>Timor-Leste</x:v>
      </x:c>
      <x:c r="E423" s="30" t="str">
        <x:v>Project unlock</x:v>
      </x:c>
      <x:c r="F423" s="30" t="str">
        <x:v>Southeast Asian Alliance</x:v>
      </x:c>
      <x:c r="G423" s="30" t="str">
        <x:v>No</x:v>
      </x:c>
      <x:c r="H423" s="30" t="str">
        <x:v>Ordinary claim</x:v>
      </x:c>
      <x:c r="I423" s="31" t="n">
        <x:f>IF(G423="Yes",'Controls &amp; Summary'!$B$5,'Controls &amp; Summary'!$B$4)</x:f>
        <x:v>6</x:v>
      </x:c>
      <x:c r="J423" s="31" t="n">
        <x:v>7.34</x:v>
      </x:c>
      <x:c r="K423" s="31" t="n">
        <x:v>6.46</x:v>
      </x:c>
      <x:c r="L423" s="31" t="n">
        <x:f>ABS(J423-K423)</x:f>
        <x:v>0.8799999999999999</x:v>
      </x:c>
      <x:c r="M423" s="31" t="n">
        <x:v>4.27</x:v>
      </x:c>
      <x:c r="N423" s="31" t="n">
        <x:v>3.42</x:v>
      </x:c>
      <x:c r="O423" s="31" t="n">
        <x:f>ABS(M423-N423)</x:f>
        <x:v>0.8499999999999996</x:v>
      </x:c>
      <x:c r="P423" s="31" t="n">
        <x:v>6.13</x:v>
      </x:c>
      <x:c r="Q423" s="31" t="n">
        <x:v>4.42</x:v>
      </x:c>
      <x:c r="R423" s="31" t="n">
        <x:f>ABS(P423-Q423)</x:f>
        <x:v>1.71</x:v>
      </x:c>
      <x:c r="S423" s="32" t="n">
        <x:v>5232.862585170051</x:v>
      </x:c>
      <x:c r="T423" s="32" t="n">
        <x:v>1200.999032586669</x:v>
      </x:c>
      <x:c r="U423" s="31" t="n">
        <x:f>MAX(S423/T423,T423/S423)</x:f>
        <x:v>4.357091424045278</x:v>
      </x:c>
      <x:c r="V423" s="31" t="n">
        <x:f>L423*'Controls &amp; Summary'!$B$9+O423*'Controls &amp; Summary'!$B$10+R423*'Controls &amp; Summary'!$B$11+U423*'Controls &amp; Summary'!$B$12</x:f>
        <x:v>7.797091424045277</x:v>
      </x:c>
      <x:c r="W423" s="31" t="n">
        <x:v>3.16</x:v>
      </x:c>
      <x:c r="X423" s="31" t="n">
        <x:v>2.52</x:v>
      </x:c>
      <x:c r="Y423" s="31" t="n">
        <x:f>((10-MIN(10,MAX(0,X423)))/10)*'Controls &amp; Summary'!$B$15+((10-MIN(10,MAX(0,W423)))/10)*'Controls &amp; Summary'!$B$16</x:f>
        <x:v>1.432</x:v>
      </x:c>
      <x:c r="Z423" s="31" t="n">
        <x:f>V423*Y423</x:f>
        <x:v>11.165434919232837</x:v>
      </x:c>
      <x:c r="AA423" s="30" t="str">
        <x:f>IF(Z423&lt;=I423,"Peaceful","Hostile")</x:f>
        <x:v>Hostile</x:v>
      </x:c>
      <x:c r="AB423" s="30" t="str">
        <x:f>IF(Z423&lt;='Controls &amp; Summary'!$B$6,"Eligible","Blocked")</x:f>
        <x:v>Eligible</x:v>
      </x:c>
      <x:c r="AC423" s="30" t="str">
        <x:v>2003_THA</x:v>
      </x:c>
      <x:c r="AD423" s="30" t="str">
        <x:v>2003_TLS</x:v>
      </x:c>
      <x:c r="AE423" s="30" t="str">
        <x:v>2003_TimorLeste</x:v>
      </x:c>
      <x:c r="AF423" s="30" t="str">
        <x:v>Explicit capitalClaim</x:v>
      </x:c>
      <x:c r="AG423" s="30" t="str">
        <x:v>Claim2003_THA2003_TimorLeste</x:v>
      </x:c>
      <x:c r="AH423" s="30" t="str">
        <x:v>Project_SoutheastAsianAlliance</x:v>
      </x:c>
    </x:row>
    <x:row r="424">
      <x:c r="A424" s="30" t="str">
        <x:v>2003</x:v>
      </x:c>
      <x:c r="B424" s="30" t="str">
        <x:v>Dark Skies</x:v>
      </x:c>
      <x:c r="C424" s="30" t="str">
        <x:v>Thailand</x:v>
      </x:c>
      <x:c r="D424" s="30" t="str">
        <x:v>Vietnam</x:v>
      </x:c>
      <x:c r="E424" s="30" t="str">
        <x:v>Project unlock</x:v>
      </x:c>
      <x:c r="F424" s="30" t="str">
        <x:v>Southeast Asian Alliance</x:v>
      </x:c>
      <x:c r="G424" s="30" t="str">
        <x:v>No</x:v>
      </x:c>
      <x:c r="H424" s="30" t="str">
        <x:v>Ordinary claim</x:v>
      </x:c>
      <x:c r="I424" s="31" t="n">
        <x:f>IF(G424="Yes",'Controls &amp; Summary'!$B$5,'Controls &amp; Summary'!$B$4)</x:f>
        <x:v>6</x:v>
      </x:c>
      <x:c r="J424" s="31" t="n">
        <x:v>7.34</x:v>
      </x:c>
      <x:c r="K424" s="31" t="n">
        <x:v>2.62</x:v>
      </x:c>
      <x:c r="L424" s="31" t="n">
        <x:f>ABS(J424-K424)</x:f>
        <x:v>4.72</x:v>
      </x:c>
      <x:c r="M424" s="31" t="n">
        <x:v>4.27</x:v>
      </x:c>
      <x:c r="N424" s="31" t="n">
        <x:v>3.7</x:v>
      </x:c>
      <x:c r="O424" s="31" t="n">
        <x:f>ABS(M424-N424)</x:f>
        <x:v>0.5699999999999994</x:v>
      </x:c>
      <x:c r="P424" s="31" t="n">
        <x:v>6.13</x:v>
      </x:c>
      <x:c r="Q424" s="31" t="n">
        <x:v>5.47</x:v>
      </x:c>
      <x:c r="R424" s="31" t="n">
        <x:f>ABS(P424-Q424)</x:f>
        <x:v>0.6600000000000001</x:v>
      </x:c>
      <x:c r="S424" s="32" t="n">
        <x:v>5232.862585170051</x:v>
      </x:c>
      <x:c r="T424" s="32" t="n">
        <x:v>2037.8370385307373</x:v>
      </x:c>
      <x:c r="U424" s="31" t="n">
        <x:f>MAX(S424/T424,T424/S424)</x:f>
        <x:v>2.567851347398661</x:v>
      </x:c>
      <x:c r="V424" s="31" t="n">
        <x:f>L424*'Controls &amp; Summary'!$B$9+O424*'Controls &amp; Summary'!$B$10+R424*'Controls &amp; Summary'!$B$11+U424*'Controls &amp; Summary'!$B$12</x:f>
        <x:v>8.517851347398661</x:v>
      </x:c>
      <x:c r="W424" s="31" t="n">
        <x:v>3.16</x:v>
      </x:c>
      <x:c r="X424" s="31" t="n">
        <x:v>2.27</x:v>
      </x:c>
      <x:c r="Y424" s="31" t="n">
        <x:f>((10-MIN(10,MAX(0,X424)))/10)*'Controls &amp; Summary'!$B$15+((10-MIN(10,MAX(0,W424)))/10)*'Controls &amp; Summary'!$B$16</x:f>
        <x:v>1.4569999999999999</x:v>
      </x:c>
      <x:c r="Z424" s="31" t="n">
        <x:f>V424*Y424</x:f>
        <x:v>12.410509413159849</x:v>
      </x:c>
      <x:c r="AA424" s="30" t="str">
        <x:f>IF(Z424&lt;=I424,"Peaceful","Hostile")</x:f>
        <x:v>Hostile</x:v>
      </x:c>
      <x:c r="AB424" s="30" t="str">
        <x:f>IF(Z424&lt;='Controls &amp; Summary'!$B$6,"Eligible","Blocked")</x:f>
        <x:v>Blocked</x:v>
      </x:c>
      <x:c r="AC424" s="30" t="str">
        <x:v>2003_THA</x:v>
      </x:c>
      <x:c r="AD424" s="30" t="str">
        <x:v>2003_VNM</x:v>
      </x:c>
      <x:c r="AE424" s="30" t="str">
        <x:v>2003_Hanoi</x:v>
      </x:c>
      <x:c r="AF424" s="30" t="str">
        <x:v>Explicit capitalClaim</x:v>
      </x:c>
      <x:c r="AG424" s="30" t="str">
        <x:v>Claim2003_THA2003_Hanoi</x:v>
      </x:c>
      <x:c r="AH424" s="30" t="str">
        <x:v>Project_SoutheastAsianAlliance</x:v>
      </x:c>
    </x:row>
    <x:row r="425">
      <x:c r="A425" s="30" t="str">
        <x:v>2003</x:v>
      </x:c>
      <x:c r="B425" s="30" t="str">
        <x:v>Dark Skies</x:v>
      </x:c>
      <x:c r="C425" s="30" t="str">
        <x:v>Turkey</x:v>
      </x:c>
      <x:c r="D425" s="30" t="str">
        <x:v>Armenia</x:v>
      </x:c>
      <x:c r="E425" s="30" t="str">
        <x:v>Project unlock</x:v>
      </x:c>
      <x:c r="F425" s="30" t="str">
        <x:v>United Turkestan</x:v>
      </x:c>
      <x:c r="G425" s="30" t="str">
        <x:v>No</x:v>
      </x:c>
      <x:c r="H425" s="30" t="str">
        <x:v>Ordinary claim</x:v>
      </x:c>
      <x:c r="I425" s="31" t="n">
        <x:f>IF(G425="Yes",'Controls &amp; Summary'!$B$5,'Controls &amp; Summary'!$B$4)</x:f>
        <x:v>6</x:v>
      </x:c>
      <x:c r="J425" s="31" t="n">
        <x:v>5.78</x:v>
      </x:c>
      <x:c r="K425" s="31" t="n">
        <x:v>4.16</x:v>
      </x:c>
      <x:c r="L425" s="31" t="n">
        <x:f>ABS(J425-K425)</x:f>
        <x:v>1.62</x:v>
      </x:c>
      <x:c r="M425" s="31" t="n">
        <x:v>4.14</x:v>
      </x:c>
      <x:c r="N425" s="31" t="n">
        <x:v>3.86</x:v>
      </x:c>
      <x:c r="O425" s="31" t="n">
        <x:f>ABS(M425-N425)</x:f>
        <x:v>0.2799999999999998</x:v>
      </x:c>
      <x:c r="P425" s="31" t="n">
        <x:v>6.14</x:v>
      </x:c>
      <x:c r="Q425" s="31" t="n">
        <x:v>6.16</x:v>
      </x:c>
      <x:c r="R425" s="31" t="n">
        <x:f>ABS(P425-Q425)</x:f>
        <x:v>0.020000000000000462</x:v>
      </x:c>
      <x:c r="S425" s="32" t="n">
        <x:v>6875.562315010984</x:v>
      </x:c>
      <x:c r="T425" s="32" t="n">
        <x:v>2616.3082970929604</x:v>
      </x:c>
      <x:c r="U425" s="31" t="n">
        <x:f>MAX(S425/T425,T425/S425)</x:f>
        <x:v>2.6279633492163663</x:v>
      </x:c>
      <x:c r="V425" s="31" t="n">
        <x:f>L425*'Controls &amp; Summary'!$B$9+O425*'Controls &amp; Summary'!$B$10+R425*'Controls &amp; Summary'!$B$11+U425*'Controls &amp; Summary'!$B$12</x:f>
        <x:v>4.547963349216367</x:v>
      </x:c>
      <x:c r="W425" s="31" t="n">
        <x:v>0.84</x:v>
      </x:c>
      <x:c r="X425" s="31" t="n">
        <x:v>2.61</x:v>
      </x:c>
      <x:c r="Y425" s="31" t="n">
        <x:f>((10-MIN(10,MAX(0,X425)))/10)*'Controls &amp; Summary'!$B$15+((10-MIN(10,MAX(0,W425)))/10)*'Controls &amp; Summary'!$B$16</x:f>
        <x:v>1.6550000000000002</x:v>
      </x:c>
      <x:c r="Z425" s="31" t="n">
        <x:f>V425*Y425</x:f>
        <x:v>7.526879342953089</x:v>
      </x:c>
      <x:c r="AA425" s="30" t="str">
        <x:f>IF(Z425&lt;=I425,"Peaceful","Hostile")</x:f>
        <x:v>Hostile</x:v>
      </x:c>
      <x:c r="AB425" s="30" t="str">
        <x:f>IF(Z425&lt;='Controls &amp; Summary'!$B$6,"Eligible","Blocked")</x:f>
        <x:v>Eligible</x:v>
      </x:c>
      <x:c r="AC425" s="30" t="str">
        <x:v>2003_TUR</x:v>
      </x:c>
      <x:c r="AD425" s="30" t="str">
        <x:v>2003_ARM</x:v>
      </x:c>
      <x:c r="AE425" s="30" t="str">
        <x:v>2003_Armenia</x:v>
      </x:c>
      <x:c r="AF425" s="30" t="str">
        <x:v>Explicit capitalClaim</x:v>
      </x:c>
      <x:c r="AG425" s="30" t="str">
        <x:v>Claim2003_TUR2003_Armenia</x:v>
      </x:c>
      <x:c r="AH425" s="30" t="str">
        <x:v>Project_UnitedTurkestan</x:v>
      </x:c>
    </x:row>
    <x:row r="426">
      <x:c r="A426" s="30" t="str">
        <x:v>2003</x:v>
      </x:c>
      <x:c r="B426" s="30" t="str">
        <x:v>Dark Skies</x:v>
      </x:c>
      <x:c r="C426" s="30" t="str">
        <x:v>Turkey</x:v>
      </x:c>
      <x:c r="D426" s="30" t="str">
        <x:v>Azerbaijan</x:v>
      </x:c>
      <x:c r="E426" s="30" t="str">
        <x:v>Project unlock</x:v>
      </x:c>
      <x:c r="F426" s="30" t="str">
        <x:v>United Turkestan</x:v>
      </x:c>
      <x:c r="G426" s="30" t="str">
        <x:v>No</x:v>
      </x:c>
      <x:c r="H426" s="30" t="str">
        <x:v>Ordinary claim</x:v>
      </x:c>
      <x:c r="I426" s="31" t="n">
        <x:f>IF(G426="Yes",'Controls &amp; Summary'!$B$5,'Controls &amp; Summary'!$B$4)</x:f>
        <x:v>6</x:v>
      </x:c>
      <x:c r="J426" s="31" t="n">
        <x:v>5.78</x:v>
      </x:c>
      <x:c r="K426" s="31" t="n">
        <x:v>3.34</x:v>
      </x:c>
      <x:c r="L426" s="31" t="n">
        <x:f>ABS(J426-K426)</x:f>
        <x:v>2.4400000000000004</x:v>
      </x:c>
      <x:c r="M426" s="31" t="n">
        <x:v>4.14</x:v>
      </x:c>
      <x:c r="N426" s="31" t="n">
        <x:v>2.89</x:v>
      </x:c>
      <x:c r="O426" s="31" t="n">
        <x:f>ABS(M426-N426)</x:f>
        <x:v>1.2499999999999996</x:v>
      </x:c>
      <x:c r="P426" s="31" t="n">
        <x:v>6.14</x:v>
      </x:c>
      <x:c r="Q426" s="31" t="n">
        <x:v>5.98</x:v>
      </x:c>
      <x:c r="R426" s="31" t="n">
        <x:f>ABS(P426-Q426)</x:f>
        <x:v>0.15999999999999925</x:v>
      </x:c>
      <x:c r="S426" s="32" t="n">
        <x:v>6875.562315010984</x:v>
      </x:c>
      <x:c r="T426" s="32" t="n">
        <x:v>2347.665852868807</x:v>
      </x:c>
      <x:c r="U426" s="31" t="n">
        <x:f>MAX(S426/T426,T426/S426)</x:f>
        <x:v>2.928680121410449</x:v>
      </x:c>
      <x:c r="V426" s="31" t="n">
        <x:f>L426*'Controls &amp; Summary'!$B$9+O426*'Controls &amp; Summary'!$B$10+R426*'Controls &amp; Summary'!$B$11+U426*'Controls &amp; Summary'!$B$12</x:f>
        <x:v>6.778680121410448</x:v>
      </x:c>
      <x:c r="W426" s="31" t="n">
        <x:v>0.84</x:v>
      </x:c>
      <x:c r="X426" s="31" t="n">
        <x:v>2.02</x:v>
      </x:c>
      <x:c r="Y426" s="31" t="n">
        <x:f>((10-MIN(10,MAX(0,X426)))/10)*'Controls &amp; Summary'!$B$15+((10-MIN(10,MAX(0,W426)))/10)*'Controls &amp; Summary'!$B$16</x:f>
        <x:v>1.714</x:v>
      </x:c>
      <x:c r="Z426" s="31" t="n">
        <x:f>V426*Y426</x:f>
        <x:v>11.618657728097508</x:v>
      </x:c>
      <x:c r="AA426" s="30" t="str">
        <x:f>IF(Z426&lt;=I426,"Peaceful","Hostile")</x:f>
        <x:v>Hostile</x:v>
      </x:c>
      <x:c r="AB426" s="30" t="str">
        <x:f>IF(Z426&lt;='Controls &amp; Summary'!$B$6,"Eligible","Blocked")</x:f>
        <x:v>Eligible</x:v>
      </x:c>
      <x:c r="AC426" s="30" t="str">
        <x:v>2003_TUR</x:v>
      </x:c>
      <x:c r="AD426" s="30" t="str">
        <x:v>2003_AZE</x:v>
      </x:c>
      <x:c r="AE426" s="30" t="str">
        <x:v>2003_Azerbaijan</x:v>
      </x:c>
      <x:c r="AF426" s="30" t="str">
        <x:v>Explicit capitalClaim</x:v>
      </x:c>
      <x:c r="AG426" s="30" t="str">
        <x:v>Claim2003_TUR2003_Azerbaijan</x:v>
      </x:c>
      <x:c r="AH426" s="30" t="str">
        <x:v>Project_UnitedTurkestan</x:v>
      </x:c>
    </x:row>
    <x:row r="427">
      <x:c r="A427" s="30" t="str">
        <x:v>2003</x:v>
      </x:c>
      <x:c r="B427" s="30" t="str">
        <x:v>Dark Skies</x:v>
      </x:c>
      <x:c r="C427" s="30" t="str">
        <x:v>Turkey</x:v>
      </x:c>
      <x:c r="D427" s="30" t="str">
        <x:v>Kazakhstan</x:v>
      </x:c>
      <x:c r="E427" s="30" t="str">
        <x:v>Project unlock</x:v>
      </x:c>
      <x:c r="F427" s="30" t="str">
        <x:v>United Turkestan</x:v>
      </x:c>
      <x:c r="G427" s="30" t="str">
        <x:v>No</x:v>
      </x:c>
      <x:c r="H427" s="30" t="str">
        <x:v>Ordinary claim</x:v>
      </x:c>
      <x:c r="I427" s="31" t="n">
        <x:f>IF(G427="Yes",'Controls &amp; Summary'!$B$5,'Controls &amp; Summary'!$B$4)</x:f>
        <x:v>6</x:v>
      </x:c>
      <x:c r="J427" s="31" t="n">
        <x:v>5.78</x:v>
      </x:c>
      <x:c r="K427" s="31" t="n">
        <x:v>3.61</x:v>
      </x:c>
      <x:c r="L427" s="31" t="n">
        <x:f>ABS(J427-K427)</x:f>
        <x:v>2.1700000000000004</x:v>
      </x:c>
      <x:c r="M427" s="31" t="n">
        <x:v>4.14</x:v>
      </x:c>
      <x:c r="N427" s="31" t="n">
        <x:v>3.09</x:v>
      </x:c>
      <x:c r="O427" s="31" t="n">
        <x:f>ABS(M427-N427)</x:f>
        <x:v>1.0499999999999998</x:v>
      </x:c>
      <x:c r="P427" s="31" t="n">
        <x:v>6.14</x:v>
      </x:c>
      <x:c r="Q427" s="31" t="n">
        <x:v>6.6</x:v>
      </x:c>
      <x:c r="R427" s="31" t="n">
        <x:f>ABS(P427-Q427)</x:f>
        <x:v>0.45999999999999996</x:v>
      </x:c>
      <x:c r="S427" s="32" t="n">
        <x:v>6875.562315010984</x:v>
      </x:c>
      <x:c r="T427" s="32" t="n">
        <x:v>5957.809047663802</x:v>
      </x:c>
      <x:c r="U427" s="31" t="n">
        <x:f>MAX(S427/T427,T427/S427)</x:f>
        <x:v>1.1540420748642581</x:v>
      </x:c>
      <x:c r="V427" s="31" t="n">
        <x:f>L427*'Controls &amp; Summary'!$B$9+O427*'Controls &amp; Summary'!$B$10+R427*'Controls &amp; Summary'!$B$11+U427*'Controls &amp; Summary'!$B$12</x:f>
        <x:v>4.834042074864258</x:v>
      </x:c>
      <x:c r="W427" s="31" t="n">
        <x:v>0.84</x:v>
      </x:c>
      <x:c r="X427" s="31" t="n">
        <x:v>3.62</x:v>
      </x:c>
      <x:c r="Y427" s="31" t="n">
        <x:f>((10-MIN(10,MAX(0,X427)))/10)*'Controls &amp; Summary'!$B$15+((10-MIN(10,MAX(0,W427)))/10)*'Controls &amp; Summary'!$B$16</x:f>
        <x:v>1.554</x:v>
      </x:c>
      <x:c r="Z427" s="31" t="n">
        <x:f>V427*Y427</x:f>
        <x:v>7.512101384339057</x:v>
      </x:c>
      <x:c r="AA427" s="30" t="str">
        <x:f>IF(Z427&lt;=I427,"Peaceful","Hostile")</x:f>
        <x:v>Hostile</x:v>
      </x:c>
      <x:c r="AB427" s="30" t="str">
        <x:f>IF(Z427&lt;='Controls &amp; Summary'!$B$6,"Eligible","Blocked")</x:f>
        <x:v>Eligible</x:v>
      </x:c>
      <x:c r="AC427" s="30" t="str">
        <x:v>2003_TUR</x:v>
      </x:c>
      <x:c r="AD427" s="30" t="str">
        <x:v>2003_KAZ</x:v>
      </x:c>
      <x:c r="AE427" s="30" t="str">
        <x:v>2003_Astana</x:v>
      </x:c>
      <x:c r="AF427" s="30" t="str">
        <x:v>Explicit capitalClaim</x:v>
      </x:c>
      <x:c r="AG427" s="30" t="str">
        <x:v>Claim2003_TUR2003_Astana</x:v>
      </x:c>
      <x:c r="AH427" s="30" t="str">
        <x:v>Project_UnitedTurkestan</x:v>
      </x:c>
    </x:row>
    <x:row r="428">
      <x:c r="A428" s="30" t="str">
        <x:v>2003</x:v>
      </x:c>
      <x:c r="B428" s="30" t="str">
        <x:v>Dark Skies</x:v>
      </x:c>
      <x:c r="C428" s="30" t="str">
        <x:v>Turkey</x:v>
      </x:c>
      <x:c r="D428" s="30" t="str">
        <x:v>Kyrgyzstan</x:v>
      </x:c>
      <x:c r="E428" s="30" t="str">
        <x:v>Project unlock</x:v>
      </x:c>
      <x:c r="F428" s="30" t="str">
        <x:v>United Turkestan</x:v>
      </x:c>
      <x:c r="G428" s="30" t="str">
        <x:v>No</x:v>
      </x:c>
      <x:c r="H428" s="30" t="str">
        <x:v>Ordinary claim</x:v>
      </x:c>
      <x:c r="I428" s="31" t="n">
        <x:f>IF(G428="Yes",'Controls &amp; Summary'!$B$5,'Controls &amp; Summary'!$B$4)</x:f>
        <x:v>6</x:v>
      </x:c>
      <x:c r="J428" s="31" t="n">
        <x:v>5.78</x:v>
      </x:c>
      <x:c r="K428" s="31" t="n">
        <x:v>3.85</x:v>
      </x:c>
      <x:c r="L428" s="31" t="n">
        <x:f>ABS(J428-K428)</x:f>
        <x:v>1.9300000000000002</x:v>
      </x:c>
      <x:c r="M428" s="31" t="n">
        <x:v>4.14</x:v>
      </x:c>
      <x:c r="N428" s="31" t="n">
        <x:v>3.46</x:v>
      </x:c>
      <x:c r="O428" s="31" t="n">
        <x:f>ABS(M428-N428)</x:f>
        <x:v>0.6799999999999997</x:v>
      </x:c>
      <x:c r="P428" s="31" t="n">
        <x:v>6.14</x:v>
      </x:c>
      <x:c r="Q428" s="31" t="n">
        <x:v>5.61</x:v>
      </x:c>
      <x:c r="R428" s="31" t="n">
        <x:f>ABS(P428-Q428)</x:f>
        <x:v>0.5299999999999994</x:v>
      </x:c>
      <x:c r="S428" s="32" t="n">
        <x:v>6875.562315010984</x:v>
      </x:c>
      <x:c r="T428" s="32" t="n">
        <x:v>1493.3219967275404</x:v>
      </x:c>
      <x:c r="U428" s="31" t="n">
        <x:f>MAX(S428/T428,T428/S428)</x:f>
        <x:v>4.604206145813202</x:v>
      </x:c>
      <x:c r="V428" s="31" t="n">
        <x:f>L428*'Controls &amp; Summary'!$B$9+O428*'Controls &amp; Summary'!$B$10+R428*'Controls &amp; Summary'!$B$11+U428*'Controls &amp; Summary'!$B$12</x:f>
        <x:v>7.744206145813202</x:v>
      </x:c>
      <x:c r="W428" s="31" t="n">
        <x:v>0.84</x:v>
      </x:c>
      <x:c r="X428" s="31" t="n">
        <x:v>1.62</x:v>
      </x:c>
      <x:c r="Y428" s="31" t="n">
        <x:f>((10-MIN(10,MAX(0,X428)))/10)*'Controls &amp; Summary'!$B$15+((10-MIN(10,MAX(0,W428)))/10)*'Controls &amp; Summary'!$B$16</x:f>
        <x:v>1.754</x:v>
      </x:c>
      <x:c r="Z428" s="31" t="n">
        <x:f>V428*Y428</x:f>
        <x:v>13.583337579756355</x:v>
      </x:c>
      <x:c r="AA428" s="30" t="str">
        <x:f>IF(Z428&lt;=I428,"Peaceful","Hostile")</x:f>
        <x:v>Hostile</x:v>
      </x:c>
      <x:c r="AB428" s="30" t="str">
        <x:f>IF(Z428&lt;='Controls &amp; Summary'!$B$6,"Eligible","Blocked")</x:f>
        <x:v>Blocked</x:v>
      </x:c>
      <x:c r="AC428" s="30" t="str">
        <x:v>2003_TUR</x:v>
      </x:c>
      <x:c r="AD428" s="30" t="str">
        <x:v>2003_KGZ</x:v>
      </x:c>
      <x:c r="AE428" s="30" t="str">
        <x:v>2003_Kyrgyzstan</x:v>
      </x:c>
      <x:c r="AF428" s="30" t="str">
        <x:v>Explicit capitalClaim</x:v>
      </x:c>
      <x:c r="AG428" s="30" t="str">
        <x:v>Claim2003_TUR2003_Kyrgyzstan</x:v>
      </x:c>
      <x:c r="AH428" s="30" t="str">
        <x:v>Project_UnitedTurkestan</x:v>
      </x:c>
    </x:row>
    <x:row r="429">
      <x:c r="A429" s="30" t="str">
        <x:v>2003</x:v>
      </x:c>
      <x:c r="B429" s="30" t="str">
        <x:v>Dark Skies</x:v>
      </x:c>
      <x:c r="C429" s="30" t="str">
        <x:v>Turkey</x:v>
      </x:c>
      <x:c r="D429" s="30" t="str">
        <x:v>Turkmenistan</x:v>
      </x:c>
      <x:c r="E429" s="30" t="str">
        <x:v>Project unlock</x:v>
      </x:c>
      <x:c r="F429" s="30" t="str">
        <x:v>United Turkestan</x:v>
      </x:c>
      <x:c r="G429" s="30" t="str">
        <x:v>No</x:v>
      </x:c>
      <x:c r="H429" s="30" t="str">
        <x:v>Ordinary claim</x:v>
      </x:c>
      <x:c r="I429" s="31" t="n">
        <x:f>IF(G429="Yes",'Controls &amp; Summary'!$B$5,'Controls &amp; Summary'!$B$4)</x:f>
        <x:v>6</x:v>
      </x:c>
      <x:c r="J429" s="31" t="n">
        <x:v>5.78</x:v>
      </x:c>
      <x:c r="K429" s="31" t="n">
        <x:v>1.83</x:v>
      </x:c>
      <x:c r="L429" s="31" t="n">
        <x:f>ABS(J429-K429)</x:f>
        <x:v>3.95</x:v>
      </x:c>
      <x:c r="M429" s="31" t="n">
        <x:v>4.14</x:v>
      </x:c>
      <x:c r="N429" s="31" t="n">
        <x:v>3.46</x:v>
      </x:c>
      <x:c r="O429" s="31" t="n">
        <x:f>ABS(M429-N429)</x:f>
        <x:v>0.6799999999999997</x:v>
      </x:c>
      <x:c r="P429" s="31" t="n">
        <x:v>6.14</x:v>
      </x:c>
      <x:c r="Q429" s="31" t="n">
        <x:v>5.73</x:v>
      </x:c>
      <x:c r="R429" s="31" t="n">
        <x:f>ABS(P429-Q429)</x:f>
        <x:v>0.40999999999999925</x:v>
      </x:c>
      <x:c r="S429" s="32" t="n">
        <x:v>6875.562315010984</x:v>
      </x:c>
      <x:c r="T429" s="32" t="n">
        <x:v>3342.001679734121</x:v>
      </x:c>
      <x:c r="U429" s="31" t="n">
        <x:f>MAX(S429/T429,T429/S429)</x:f>
        <x:v>2.057318629342515</x:v>
      </x:c>
      <x:c r="V429" s="31" t="n">
        <x:f>L429*'Controls &amp; Summary'!$B$9+O429*'Controls &amp; Summary'!$B$10+R429*'Controls &amp; Summary'!$B$11+U429*'Controls &amp; Summary'!$B$12</x:f>
        <x:v>7.097318629342514</x:v>
      </x:c>
      <x:c r="W429" s="31" t="n">
        <x:v>0.84</x:v>
      </x:c>
      <x:c r="X429" s="31" t="n">
        <x:v>2.47</x:v>
      </x:c>
      <x:c r="Y429" s="31" t="n">
        <x:f>((10-MIN(10,MAX(0,X429)))/10)*'Controls &amp; Summary'!$B$15+((10-MIN(10,MAX(0,W429)))/10)*'Controls &amp; Summary'!$B$16</x:f>
        <x:v>1.669</x:v>
      </x:c>
      <x:c r="Z429" s="31" t="n">
        <x:f>V429*Y429</x:f>
        <x:v>11.845424792372656</x:v>
      </x:c>
      <x:c r="AA429" s="30" t="str">
        <x:f>IF(Z429&lt;=I429,"Peaceful","Hostile")</x:f>
        <x:v>Hostile</x:v>
      </x:c>
      <x:c r="AB429" s="30" t="str">
        <x:f>IF(Z429&lt;='Controls &amp; Summary'!$B$6,"Eligible","Blocked")</x:f>
        <x:v>Eligible</x:v>
      </x:c>
      <x:c r="AC429" s="30" t="str">
        <x:v>2003_TUR</x:v>
      </x:c>
      <x:c r="AD429" s="30" t="str">
        <x:v>2003_TKM</x:v>
      </x:c>
      <x:c r="AE429" s="30" t="str">
        <x:v>2003_Turkmenistan</x:v>
      </x:c>
      <x:c r="AF429" s="30" t="str">
        <x:v>Explicit capitalClaim</x:v>
      </x:c>
      <x:c r="AG429" s="30" t="str">
        <x:v>Claim2003_TUR2003_Turkmenistan</x:v>
      </x:c>
      <x:c r="AH429" s="30" t="str">
        <x:v>Project_UnitedTurkestan</x:v>
      </x:c>
    </x:row>
    <x:row r="430">
      <x:c r="A430" s="30" t="str">
        <x:v>2003</x:v>
      </x:c>
      <x:c r="B430" s="30" t="str">
        <x:v>Dark Skies</x:v>
      </x:c>
      <x:c r="C430" s="30" t="str">
        <x:v>Turkey</x:v>
      </x:c>
      <x:c r="D430" s="30" t="str">
        <x:v>Uzbekistan</x:v>
      </x:c>
      <x:c r="E430" s="30" t="str">
        <x:v>Project unlock</x:v>
      </x:c>
      <x:c r="F430" s="30" t="str">
        <x:v>United Turkestan</x:v>
      </x:c>
      <x:c r="G430" s="30" t="str">
        <x:v>No</x:v>
      </x:c>
      <x:c r="H430" s="30" t="str">
        <x:v>Ordinary claim</x:v>
      </x:c>
      <x:c r="I430" s="31" t="n">
        <x:f>IF(G430="Yes",'Controls &amp; Summary'!$B$5,'Controls &amp; Summary'!$B$4)</x:f>
        <x:v>6</x:v>
      </x:c>
      <x:c r="J430" s="31" t="n">
        <x:v>5.78</x:v>
      </x:c>
      <x:c r="K430" s="31" t="n">
        <x:v>1.87</x:v>
      </x:c>
      <x:c r="L430" s="31" t="n">
        <x:f>ABS(J430-K430)</x:f>
        <x:v>3.91</x:v>
      </x:c>
      <x:c r="M430" s="31" t="n">
        <x:v>4.14</x:v>
      </x:c>
      <x:c r="N430" s="31" t="n">
        <x:v>3.36</x:v>
      </x:c>
      <x:c r="O430" s="31" t="n">
        <x:f>ABS(M430-N430)</x:f>
        <x:v>0.7799999999999998</x:v>
      </x:c>
      <x:c r="P430" s="31" t="n">
        <x:v>6.14</x:v>
      </x:c>
      <x:c r="Q430" s="31" t="n">
        <x:v>5.42</x:v>
      </x:c>
      <x:c r="R430" s="31" t="n">
        <x:f>ABS(P430-Q430)</x:f>
        <x:v>0.7199999999999998</x:v>
      </x:c>
      <x:c r="S430" s="32" t="n">
        <x:v>6875.562315010984</x:v>
      </x:c>
      <x:c r="T430" s="32" t="n">
        <x:v>1630.113900762308</x:v>
      </x:c>
      <x:c r="U430" s="31" t="n">
        <x:f>MAX(S430/T430,T430/S430)</x:f>
        <x:v>4.2178416562153656</x:v>
      </x:c>
      <x:c r="V430" s="31" t="n">
        <x:f>L430*'Controls &amp; Summary'!$B$9+O430*'Controls &amp; Summary'!$B$10+R430*'Controls &amp; Summary'!$B$11+U430*'Controls &amp; Summary'!$B$12</x:f>
        <x:v>9.627841656215365</x:v>
      </x:c>
      <x:c r="W430" s="31" t="n">
        <x:v>0.84</x:v>
      </x:c>
      <x:c r="X430" s="31" t="n">
        <x:v>3.87</x:v>
      </x:c>
      <x:c r="Y430" s="31" t="n">
        <x:f>((10-MIN(10,MAX(0,X430)))/10)*'Controls &amp; Summary'!$B$15+((10-MIN(10,MAX(0,W430)))/10)*'Controls &amp; Summary'!$B$16</x:f>
        <x:v>1.529</x:v>
      </x:c>
      <x:c r="Z430" s="31" t="n">
        <x:f>V430*Y430</x:f>
        <x:v>14.720969892353292</x:v>
      </x:c>
      <x:c r="AA430" s="30" t="str">
        <x:f>IF(Z430&lt;=I430,"Peaceful","Hostile")</x:f>
        <x:v>Hostile</x:v>
      </x:c>
      <x:c r="AB430" s="30" t="str">
        <x:f>IF(Z430&lt;='Controls &amp; Summary'!$B$6,"Eligible","Blocked")</x:f>
        <x:v>Blocked</x:v>
      </x:c>
      <x:c r="AC430" s="30" t="str">
        <x:v>2003_TUR</x:v>
      </x:c>
      <x:c r="AD430" s="30" t="str">
        <x:v>2003_UZB</x:v>
      </x:c>
      <x:c r="AE430" s="30" t="str">
        <x:v>2003_Uzbekistan</x:v>
      </x:c>
      <x:c r="AF430" s="30" t="str">
        <x:v>Explicit capitalClaim</x:v>
      </x:c>
      <x:c r="AG430" s="30" t="str">
        <x:v>Claim2003_TUR2003_Uzbekistan</x:v>
      </x:c>
      <x:c r="AH430" s="30" t="str">
        <x:v>Project_UnitedTurkestan</x:v>
      </x:c>
    </x:row>
    <x:row r="431">
      <x:c r="A431" s="30" t="str">
        <x:v>2003</x:v>
      </x:c>
      <x:c r="B431" s="30" t="str">
        <x:v>Dark Skies</x:v>
      </x:c>
      <x:c r="C431" s="30" t="str">
        <x:v>United Kingdom</x:v>
      </x:c>
      <x:c r="D431" s="30" t="str">
        <x:v>Australia</x:v>
      </x:c>
      <x:c r="E431" s="30" t="str">
        <x:v>Project unlock</x:v>
      </x:c>
      <x:c r="F431" s="30" t="str">
        <x:v>Commonwealth Restored</x:v>
      </x:c>
      <x:c r="G431" s="30" t="str">
        <x:v>No</x:v>
      </x:c>
      <x:c r="H431" s="30" t="str">
        <x:v>Ordinary claim</x:v>
      </x:c>
      <x:c r="I431" s="31" t="n">
        <x:f>IF(G431="Yes",'Controls &amp; Summary'!$B$5,'Controls &amp; Summary'!$B$4)</x:f>
        <x:v>6</x:v>
      </x:c>
      <x:c r="J431" s="31" t="n">
        <x:v>8.05</x:v>
      </x:c>
      <x:c r="K431" s="31" t="n">
        <x:v>9.11</x:v>
      </x:c>
      <x:c r="L431" s="31" t="n">
        <x:f>ABS(J431-K431)</x:f>
        <x:v>1.0599999999999987</x:v>
      </x:c>
      <x:c r="M431" s="31" t="n">
        <x:v>3.32</x:v>
      </x:c>
      <x:c r="N431" s="31" t="n">
        <x:v>3.16</x:v>
      </x:c>
      <x:c r="O431" s="31" t="n">
        <x:f>ABS(M431-N431)</x:f>
        <x:v>0.1599999999999997</x:v>
      </x:c>
      <x:c r="P431" s="31" t="n">
        <x:v>8.29</x:v>
      </x:c>
      <x:c r="Q431" s="31" t="n">
        <x:v>8.51</x:v>
      </x:c>
      <x:c r="R431" s="31" t="n">
        <x:f>ABS(P431-Q431)</x:f>
        <x:v>0.22000000000000064</x:v>
      </x:c>
      <x:c r="S431" s="32" t="n">
        <x:v>31776.79741027792</x:v>
      </x:c>
      <x:c r="T431" s="32" t="n">
        <x:v>27348.101819555675</x:v>
      </x:c>
      <x:c r="U431" s="31" t="n">
        <x:f>MAX(S431/T431,T431/S431)</x:f>
        <x:v>1.1619379516700292</x:v>
      </x:c>
      <x:c r="V431" s="31" t="n">
        <x:f>L431*'Controls &amp; Summary'!$B$9+O431*'Controls &amp; Summary'!$B$10+R431*'Controls &amp; Summary'!$B$11+U431*'Controls &amp; Summary'!$B$12</x:f>
        <x:v>2.6019379516700285</x:v>
      </x:c>
      <x:c r="W431" s="31" t="n">
        <x:v>4.19</x:v>
      </x:c>
      <x:c r="X431" s="31" t="n">
        <x:v>1.85</x:v>
      </x:c>
      <x:c r="Y431" s="31" t="n">
        <x:f>((10-MIN(10,MAX(0,X431)))/10)*'Controls &amp; Summary'!$B$15+((10-MIN(10,MAX(0,W431)))/10)*'Controls &amp; Summary'!$B$16</x:f>
        <x:v>1.396</x:v>
      </x:c>
      <x:c r="Z431" s="31" t="n">
        <x:f>V431*Y431</x:f>
        <x:v>3.6323053805313594</x:v>
      </x:c>
      <x:c r="AA431" s="30" t="str">
        <x:f>IF(Z431&lt;=I431,"Peaceful","Hostile")</x:f>
        <x:v>Peaceful</x:v>
      </x:c>
      <x:c r="AB431" s="30" t="str">
        <x:f>IF(Z431&lt;='Controls &amp; Summary'!$B$6,"Eligible","Blocked")</x:f>
        <x:v>Eligible</x:v>
      </x:c>
      <x:c r="AC431" s="30" t="str">
        <x:v>2003_GBR</x:v>
      </x:c>
      <x:c r="AD431" s="30" t="str">
        <x:v>2003_AUS</x:v>
      </x:c>
      <x:c r="AE431" s="30" t="str">
        <x:v>2003_Sydney</x:v>
      </x:c>
      <x:c r="AF431" s="30" t="str">
        <x:v>Explicit capitalClaim</x:v>
      </x:c>
      <x:c r="AG431" s="30" t="str">
        <x:v>Claim2003_GBR2003_Sydney</x:v>
      </x:c>
      <x:c r="AH431" s="30" t="str">
        <x:v>Project_CommonwealthRestored</x:v>
      </x:c>
    </x:row>
    <x:row r="432">
      <x:c r="A432" s="30" t="str">
        <x:v>2003</x:v>
      </x:c>
      <x:c r="B432" s="30" t="str">
        <x:v>Dark Skies</x:v>
      </x:c>
      <x:c r="C432" s="30" t="str">
        <x:v>United Kingdom</x:v>
      </x:c>
      <x:c r="D432" s="30" t="str">
        <x:v>Belize</x:v>
      </x:c>
      <x:c r="E432" s="30" t="str">
        <x:v>Project unlock</x:v>
      </x:c>
      <x:c r="F432" s="30" t="str">
        <x:v>Commonwealth Restored</x:v>
      </x:c>
      <x:c r="G432" s="30" t="str">
        <x:v>No</x:v>
      </x:c>
      <x:c r="H432" s="30" t="str">
        <x:v>Ordinary claim</x:v>
      </x:c>
      <x:c r="I432" s="31" t="n">
        <x:f>IF(G432="Yes",'Controls &amp; Summary'!$B$5,'Controls &amp; Summary'!$B$4)</x:f>
        <x:v>6</x:v>
      </x:c>
      <x:c r="J432" s="31" t="n">
        <x:v>8.05</x:v>
      </x:c>
      <x:c r="K432" s="31" t="n">
        <x:v>9.33</x:v>
      </x:c>
      <x:c r="L432" s="31" t="n">
        <x:f>ABS(J432-K432)</x:f>
        <x:v>1.2799999999999994</x:v>
      </x:c>
      <x:c r="M432" s="31" t="n">
        <x:v>3.32</x:v>
      </x:c>
      <x:c r="N432" s="31" t="n">
        <x:v>5.1</x:v>
      </x:c>
      <x:c r="O432" s="31" t="n">
        <x:f>ABS(M432-N432)</x:f>
        <x:v>1.7799999999999998</x:v>
      </x:c>
      <x:c r="P432" s="31" t="n">
        <x:v>8.29</x:v>
      </x:c>
      <x:c r="Q432" s="31" t="n">
        <x:v>6.2</x:v>
      </x:c>
      <x:c r="R432" s="31" t="n">
        <x:f>ABS(P432-Q432)</x:f>
        <x:v>2.089999999999999</x:v>
      </x:c>
      <x:c r="S432" s="32" t="n">
        <x:v>31776.79741027792</x:v>
      </x:c>
      <x:c r="T432" s="32" t="n">
        <x:v>4959.73917658655</x:v>
      </x:c>
      <x:c r="U432" s="31" t="n">
        <x:f>MAX(S432/T432,T432/S432)</x:f>
        <x:v>6.406949292875462</x:v>
      </x:c>
      <x:c r="V432" s="31" t="n">
        <x:f>L432*'Controls &amp; Summary'!$B$9+O432*'Controls &amp; Summary'!$B$10+R432*'Controls &amp; Summary'!$B$11+U432*'Controls &amp; Summary'!$B$12</x:f>
        <x:v>11.55694929287546</x:v>
      </x:c>
      <x:c r="W432" s="31" t="n">
        <x:v>4.19</x:v>
      </x:c>
      <x:c r="X432" s="31" t="n">
        <x:v>0</x:v>
      </x:c>
      <x:c r="Y432" s="31" t="n">
        <x:f>((10-MIN(10,MAX(0,X432)))/10)*'Controls &amp; Summary'!$B$15+((10-MIN(10,MAX(0,W432)))/10)*'Controls &amp; Summary'!$B$16</x:f>
        <x:v>1.581</x:v>
      </x:c>
      <x:c r="Z432" s="31" t="n">
        <x:f>V432*Y432</x:f>
        <x:v>18.2715368320361</x:v>
      </x:c>
      <x:c r="AA432" s="30" t="str">
        <x:f>IF(Z432&lt;=I432,"Peaceful","Hostile")</x:f>
        <x:v>Hostile</x:v>
      </x:c>
      <x:c r="AB432" s="30" t="str">
        <x:f>IF(Z432&lt;='Controls &amp; Summary'!$B$6,"Eligible","Blocked")</x:f>
        <x:v>Blocked</x:v>
      </x:c>
      <x:c r="AC432" s="30" t="str">
        <x:v>2003_GBR</x:v>
      </x:c>
      <x:c r="AD432" s="30" t="str">
        <x:v>2003_BEL</x:v>
      </x:c>
      <x:c r="AE432" s="30" t="str">
        <x:v>2003_Belize</x:v>
      </x:c>
      <x:c r="AF432" s="30" t="str">
        <x:v>Explicit capitalClaim</x:v>
      </x:c>
      <x:c r="AG432" s="30" t="str">
        <x:v>Claim2003_GBR2003_Belize</x:v>
      </x:c>
      <x:c r="AH432" s="30" t="str">
        <x:v>Project_CommonwealthRestored</x:v>
      </x:c>
    </x:row>
    <x:row r="433">
      <x:c r="A433" s="30" t="str">
        <x:v>2003</x:v>
      </x:c>
      <x:c r="B433" s="30" t="str">
        <x:v>Dark Skies</x:v>
      </x:c>
      <x:c r="C433" s="30" t="str">
        <x:v>United Kingdom</x:v>
      </x:c>
      <x:c r="D433" s="30" t="str">
        <x:v>Canada</x:v>
      </x:c>
      <x:c r="E433" s="30" t="str">
        <x:v>Project unlock</x:v>
      </x:c>
      <x:c r="F433" s="30" t="str">
        <x:v>Commonwealth Restored</x:v>
      </x:c>
      <x:c r="G433" s="30" t="str">
        <x:v>No</x:v>
      </x:c>
      <x:c r="H433" s="30" t="str">
        <x:v>Ordinary claim</x:v>
      </x:c>
      <x:c r="I433" s="31" t="n">
        <x:f>IF(G433="Yes",'Controls &amp; Summary'!$B$5,'Controls &amp; Summary'!$B$4)</x:f>
        <x:v>6</x:v>
      </x:c>
      <x:c r="J433" s="31" t="n">
        <x:v>8.05</x:v>
      </x:c>
      <x:c r="K433" s="31" t="n">
        <x:v>8.98</x:v>
      </x:c>
      <x:c r="L433" s="31" t="n">
        <x:f>ABS(J433-K433)</x:f>
        <x:v>0.9299999999999997</x:v>
      </x:c>
      <x:c r="M433" s="31" t="n">
        <x:v>3.32</x:v>
      </x:c>
      <x:c r="N433" s="31" t="n">
        <x:v>3.18</x:v>
      </x:c>
      <x:c r="O433" s="31" t="n">
        <x:f>ABS(M433-N433)</x:f>
        <x:v>0.13999999999999968</x:v>
      </x:c>
      <x:c r="P433" s="31" t="n">
        <x:v>8.29</x:v>
      </x:c>
      <x:c r="Q433" s="31" t="n">
        <x:v>8.47</x:v>
      </x:c>
      <x:c r="R433" s="31" t="n">
        <x:f>ABS(P433-Q433)</x:f>
        <x:v>0.1800000000000015</x:v>
      </x:c>
      <x:c r="S433" s="32" t="n">
        <x:v>31776.79741027792</x:v>
      </x:c>
      <x:c r="T433" s="32" t="n">
        <x:v>28131.212393379396</x:v>
      </x:c>
      <x:c r="U433" s="31" t="n">
        <x:f>MAX(S433/T433,T433/S433)</x:f>
        <x:v>1.129592175620433</x:v>
      </x:c>
      <x:c r="V433" s="31" t="n">
        <x:f>L433*'Controls &amp; Summary'!$B$9+O433*'Controls &amp; Summary'!$B$10+R433*'Controls &amp; Summary'!$B$11+U433*'Controls &amp; Summary'!$B$12</x:f>
        <x:v>2.379592175620434</x:v>
      </x:c>
      <x:c r="W433" s="31" t="n">
        <x:v>4.19</x:v>
      </x:c>
      <x:c r="X433" s="31" t="n">
        <x:v>1.37</x:v>
      </x:c>
      <x:c r="Y433" s="31" t="n">
        <x:f>((10-MIN(10,MAX(0,X433)))/10)*'Controls &amp; Summary'!$B$15+((10-MIN(10,MAX(0,W433)))/10)*'Controls &amp; Summary'!$B$16</x:f>
        <x:v>1.444</x:v>
      </x:c>
      <x:c r="Z433" s="31" t="n">
        <x:f>V433*Y433</x:f>
        <x:v>3.4361311015959064</x:v>
      </x:c>
      <x:c r="AA433" s="30" t="str">
        <x:f>IF(Z433&lt;=I433,"Peaceful","Hostile")</x:f>
        <x:v>Peaceful</x:v>
      </x:c>
      <x:c r="AB433" s="30" t="str">
        <x:f>IF(Z433&lt;='Controls &amp; Summary'!$B$6,"Eligible","Blocked")</x:f>
        <x:v>Eligible</x:v>
      </x:c>
      <x:c r="AC433" s="30" t="str">
        <x:v>2003_GBR</x:v>
      </x:c>
      <x:c r="AD433" s="30" t="str">
        <x:v>2003_CAN</x:v>
      </x:c>
      <x:c r="AE433" s="30" t="str">
        <x:v>2003_Ontario</x:v>
      </x:c>
      <x:c r="AF433" s="30" t="str">
        <x:v>Explicit capitalClaim</x:v>
      </x:c>
      <x:c r="AG433" s="30" t="str">
        <x:v>Claim2003_GBR2003_Ontario</x:v>
      </x:c>
      <x:c r="AH433" s="30" t="str">
        <x:v>Project_CommonwealthRestored</x:v>
      </x:c>
    </x:row>
    <x:row r="434">
      <x:c r="A434" s="30" t="str">
        <x:v>2003</x:v>
      </x:c>
      <x:c r="B434" s="30" t="str">
        <x:v>Dark Skies</x:v>
      </x:c>
      <x:c r="C434" s="30" t="str">
        <x:v>United Kingdom</x:v>
      </x:c>
      <x:c r="D434" s="30" t="str">
        <x:v>New Zealand</x:v>
      </x:c>
      <x:c r="E434" s="30" t="str">
        <x:v>Project unlock</x:v>
      </x:c>
      <x:c r="F434" s="30" t="str">
        <x:v>Commonwealth Restored</x:v>
      </x:c>
      <x:c r="G434" s="30" t="str">
        <x:v>No</x:v>
      </x:c>
      <x:c r="H434" s="30" t="str">
        <x:v>Ordinary claim</x:v>
      </x:c>
      <x:c r="I434" s="31" t="n">
        <x:f>IF(G434="Yes",'Controls &amp; Summary'!$B$5,'Controls &amp; Summary'!$B$4)</x:f>
        <x:v>6</x:v>
      </x:c>
      <x:c r="J434" s="31" t="n">
        <x:v>8.05</x:v>
      </x:c>
      <x:c r="K434" s="31" t="n">
        <x:v>9.02</x:v>
      </x:c>
      <x:c r="L434" s="31" t="n">
        <x:f>ABS(J434-K434)</x:f>
        <x:v>0.9699999999999989</x:v>
      </x:c>
      <x:c r="M434" s="31" t="n">
        <x:v>3.32</x:v>
      </x:c>
      <x:c r="N434" s="31" t="n">
        <x:v>3.25</x:v>
      </x:c>
      <x:c r="O434" s="31" t="n">
        <x:f>ABS(M434-N434)</x:f>
        <x:v>0.06999999999999984</x:v>
      </x:c>
      <x:c r="P434" s="31" t="n">
        <x:v>8.29</x:v>
      </x:c>
      <x:c r="Q434" s="31" t="n">
        <x:v>8.55</x:v>
      </x:c>
      <x:c r="R434" s="31" t="n">
        <x:f>ABS(P434-Q434)</x:f>
        <x:v>0.26000000000000156</x:v>
      </x:c>
      <x:c r="S434" s="32" t="n">
        <x:v>31776.79741027792</x:v>
      </x:c>
      <x:c r="T434" s="32" t="n">
        <x:v>20486.3423678201</x:v>
      </x:c>
      <x:c r="U434" s="31" t="n">
        <x:f>MAX(S434/T434,T434/S434)</x:f>
        <x:v>1.5511210756778546</x:v>
      </x:c>
      <x:c r="V434" s="31" t="n">
        <x:f>L434*'Controls &amp; Summary'!$B$9+O434*'Controls &amp; Summary'!$B$10+R434*'Controls &amp; Summary'!$B$11+U434*'Controls &amp; Summary'!$B$12</x:f>
        <x:v>2.851121075677855</x:v>
      </x:c>
      <x:c r="W434" s="31" t="n">
        <x:v>4.19</x:v>
      </x:c>
      <x:c r="X434" s="31" t="n">
        <x:v>2.2</x:v>
      </x:c>
      <x:c r="Y434" s="31" t="n">
        <x:f>((10-MIN(10,MAX(0,X434)))/10)*'Controls &amp; Summary'!$B$15+((10-MIN(10,MAX(0,W434)))/10)*'Controls &amp; Summary'!$B$16</x:f>
        <x:v>1.361</x:v>
      </x:c>
      <x:c r="Z434" s="31" t="n">
        <x:f>V434*Y434</x:f>
        <x:v>3.8803757839975606</x:v>
      </x:c>
      <x:c r="AA434" s="30" t="str">
        <x:f>IF(Z434&lt;=I434,"Peaceful","Hostile")</x:f>
        <x:v>Peaceful</x:v>
      </x:c>
      <x:c r="AB434" s="30" t="str">
        <x:f>IF(Z434&lt;='Controls &amp; Summary'!$B$6,"Eligible","Blocked")</x:f>
        <x:v>Eligible</x:v>
      </x:c>
      <x:c r="AC434" s="30" t="str">
        <x:v>2003_GBR</x:v>
      </x:c>
      <x:c r="AD434" s="30" t="str">
        <x:v>2003_NZL</x:v>
      </x:c>
      <x:c r="AE434" s="30" t="str">
        <x:v>2003_NewZealand</x:v>
      </x:c>
      <x:c r="AF434" s="30" t="str">
        <x:v>Explicit capitalClaim</x:v>
      </x:c>
      <x:c r="AG434" s="30" t="str">
        <x:v>Claim2003_GBR2003_NewZealand</x:v>
      </x:c>
      <x:c r="AH434" s="30" t="str">
        <x:v>Project_CommonwealthRestored</x:v>
      </x:c>
    </x:row>
    <x:row r="435">
      <x:c r="A435" s="30" t="str">
        <x:v>2003</x:v>
      </x:c>
      <x:c r="B435" s="30" t="str">
        <x:v>Dark Skies</x:v>
      </x:c>
      <x:c r="C435" s="30" t="str">
        <x:v>United States of America</x:v>
      </x:c>
      <x:c r="D435" s="30" t="str">
        <x:v>Bahamas</x:v>
      </x:c>
      <x:c r="E435" s="30" t="str">
        <x:v>Project unlock</x:v>
      </x:c>
      <x:c r="F435" s="30" t="str">
        <x:v>Greater United North America</x:v>
      </x:c>
      <x:c r="G435" s="30" t="str">
        <x:v>No</x:v>
      </x:c>
      <x:c r="H435" s="30" t="str">
        <x:v>Ordinary claim</x:v>
      </x:c>
      <x:c r="I435" s="31" t="n">
        <x:f>IF(G435="Yes",'Controls &amp; Summary'!$B$5,'Controls &amp; Summary'!$B$4)</x:f>
        <x:v>6</x:v>
      </x:c>
      <x:c r="J435" s="31" t="n">
        <x:v>8.13</x:v>
      </x:c>
      <x:c r="K435" s="31" t="n">
        <x:v>10</x:v>
      </x:c>
      <x:c r="L435" s="31" t="n">
        <x:f>ABS(J435-K435)</x:f>
        <x:v>1.8699999999999992</x:v>
      </x:c>
      <x:c r="M435" s="31" t="n">
        <x:v>3.78</x:v>
      </x:c>
      <x:c r="N435" s="31" t="n">
        <x:v>4.43</x:v>
      </x:c>
      <x:c r="O435" s="31" t="n">
        <x:f>ABS(M435-N435)</x:f>
        <x:v>0.6499999999999999</x:v>
      </x:c>
      <x:c r="P435" s="31" t="n">
        <x:v>8.44</x:v>
      </x:c>
      <x:c r="Q435" s="31" t="n">
        <x:v>7.28</x:v>
      </x:c>
      <x:c r="R435" s="31" t="n">
        <x:f>ABS(P435-Q435)</x:f>
        <x:v>1.1599999999999993</x:v>
      </x:c>
      <x:c r="S435" s="32" t="n">
        <x:v>39240.90878202425</x:v>
      </x:c>
      <x:c r="T435" s="32" t="n">
        <x:v>26429.115840032417</x:v>
      </x:c>
      <x:c r="U435" s="31" t="n">
        <x:f>MAX(S435/T435,T435/S435)</x:f>
        <x:v>1.4847605579973924</x:v>
      </x:c>
      <x:c r="V435" s="31" t="n">
        <x:f>L435*'Controls &amp; Summary'!$B$9+O435*'Controls &amp; Summary'!$B$10+R435*'Controls &amp; Summary'!$B$11+U435*'Controls &amp; Summary'!$B$12</x:f>
        <x:v>5.164760557997391</x:v>
      </x:c>
      <x:c r="W435" s="31" t="n">
        <x:v>5.18</x:v>
      </x:c>
      <x:c r="X435" s="31" t="n">
        <x:v>0</x:v>
      </x:c>
      <x:c r="Y435" s="31" t="n">
        <x:f>((10-MIN(10,MAX(0,X435)))/10)*'Controls &amp; Summary'!$B$15+((10-MIN(10,MAX(0,W435)))/10)*'Controls &amp; Summary'!$B$16</x:f>
        <x:v>1.482</x:v>
      </x:c>
      <x:c r="Z435" s="31" t="n">
        <x:f>V435*Y435</x:f>
        <x:v>7.654175146952133</x:v>
      </x:c>
      <x:c r="AA435" s="30" t="str">
        <x:f>IF(Z435&lt;=I435,"Peaceful","Hostile")</x:f>
        <x:v>Hostile</x:v>
      </x:c>
      <x:c r="AB435" s="30" t="str">
        <x:f>IF(Z435&lt;='Controls &amp; Summary'!$B$6,"Eligible","Blocked")</x:f>
        <x:v>Eligible</x:v>
      </x:c>
      <x:c r="AC435" s="30" t="str">
        <x:v>2003_USA</x:v>
      </x:c>
      <x:c r="AD435" s="30" t="str">
        <x:v>2003_BAH</x:v>
      </x:c>
      <x:c r="AE435" s="30" t="str">
        <x:v>2003_Bahamas</x:v>
      </x:c>
      <x:c r="AF435" s="30" t="str">
        <x:v>Explicit capitalClaim</x:v>
      </x:c>
      <x:c r="AG435" s="30" t="str">
        <x:v>Claim2003_USA2003_Bahamas</x:v>
      </x:c>
      <x:c r="AH435" s="30" t="str">
        <x:v>Project_GreaterUnitedNorthAmerica</x:v>
      </x:c>
    </x:row>
    <x:row r="436">
      <x:c r="A436" s="30" t="str">
        <x:v>2003</x:v>
      </x:c>
      <x:c r="B436" s="30" t="str">
        <x:v>Dark Skies</x:v>
      </x:c>
      <x:c r="C436" s="30" t="str">
        <x:v>United States of America</x:v>
      </x:c>
      <x:c r="D436" s="30" t="str">
        <x:v>Belize</x:v>
      </x:c>
      <x:c r="E436" s="30" t="str">
        <x:v>Project unlock</x:v>
      </x:c>
      <x:c r="F436" s="30" t="str">
        <x:v>Greater United North America</x:v>
      </x:c>
      <x:c r="G436" s="30" t="str">
        <x:v>No</x:v>
      </x:c>
      <x:c r="H436" s="30" t="str">
        <x:v>Ordinary claim</x:v>
      </x:c>
      <x:c r="I436" s="31" t="n">
        <x:f>IF(G436="Yes",'Controls &amp; Summary'!$B$5,'Controls &amp; Summary'!$B$4)</x:f>
        <x:v>6</x:v>
      </x:c>
      <x:c r="J436" s="31" t="n">
        <x:v>8.13</x:v>
      </x:c>
      <x:c r="K436" s="31" t="n">
        <x:v>9.33</x:v>
      </x:c>
      <x:c r="L436" s="31" t="n">
        <x:f>ABS(J436-K436)</x:f>
        <x:v>1.1999999999999993</x:v>
      </x:c>
      <x:c r="M436" s="31" t="n">
        <x:v>3.78</x:v>
      </x:c>
      <x:c r="N436" s="31" t="n">
        <x:v>5.1</x:v>
      </x:c>
      <x:c r="O436" s="31" t="n">
        <x:f>ABS(M436-N436)</x:f>
        <x:v>1.3199999999999998</x:v>
      </x:c>
      <x:c r="P436" s="31" t="n">
        <x:v>8.44</x:v>
      </x:c>
      <x:c r="Q436" s="31" t="n">
        <x:v>6.2</x:v>
      </x:c>
      <x:c r="R436" s="31" t="n">
        <x:f>ABS(P436-Q436)</x:f>
        <x:v>2.2399999999999993</x:v>
      </x:c>
      <x:c r="S436" s="32" t="n">
        <x:v>39240.90878202425</x:v>
      </x:c>
      <x:c r="T436" s="32" t="n">
        <x:v>4959.73917658655</x:v>
      </x:c>
      <x:c r="U436" s="31" t="n">
        <x:f>MAX(S436/T436,T436/S436)</x:f>
        <x:v>7.911889594369979</x:v>
      </x:c>
      <x:c r="V436" s="31" t="n">
        <x:f>L436*'Controls &amp; Summary'!$B$9+O436*'Controls &amp; Summary'!$B$10+R436*'Controls &amp; Summary'!$B$11+U436*'Controls &amp; Summary'!$B$12</x:f>
        <x:v>12.671889594369977</x:v>
      </x:c>
      <x:c r="W436" s="31" t="n">
        <x:v>5.18</x:v>
      </x:c>
      <x:c r="X436" s="31" t="n">
        <x:v>0</x:v>
      </x:c>
      <x:c r="Y436" s="31" t="n">
        <x:f>((10-MIN(10,MAX(0,X436)))/10)*'Controls &amp; Summary'!$B$15+((10-MIN(10,MAX(0,W436)))/10)*'Controls &amp; Summary'!$B$16</x:f>
        <x:v>1.482</x:v>
      </x:c>
      <x:c r="Z436" s="31" t="n">
        <x:f>V436*Y436</x:f>
        <x:v>18.779740378856307</x:v>
      </x:c>
      <x:c r="AA436" s="30" t="str">
        <x:f>IF(Z436&lt;=I436,"Peaceful","Hostile")</x:f>
        <x:v>Hostile</x:v>
      </x:c>
      <x:c r="AB436" s="30" t="str">
        <x:f>IF(Z436&lt;='Controls &amp; Summary'!$B$6,"Eligible","Blocked")</x:f>
        <x:v>Blocked</x:v>
      </x:c>
      <x:c r="AC436" s="30" t="str">
        <x:v>2003_USA</x:v>
      </x:c>
      <x:c r="AD436" s="30" t="str">
        <x:v>2003_BEL</x:v>
      </x:c>
      <x:c r="AE436" s="30" t="str">
        <x:v>2003_Belize</x:v>
      </x:c>
      <x:c r="AF436" s="30" t="str">
        <x:v>Explicit capitalClaim</x:v>
      </x:c>
      <x:c r="AG436" s="30" t="str">
        <x:v>Claim2003_USA2003_Belize</x:v>
      </x:c>
      <x:c r="AH436" s="30" t="str">
        <x:v>Project_GreaterUnitedNorthAmerica</x:v>
      </x:c>
    </x:row>
    <x:row r="437">
      <x:c r="A437" s="30" t="str">
        <x:v>2003</x:v>
      </x:c>
      <x:c r="B437" s="30" t="str">
        <x:v>Dark Skies</x:v>
      </x:c>
      <x:c r="C437" s="30" t="str">
        <x:v>United States of America</x:v>
      </x:c>
      <x:c r="D437" s="30" t="str">
        <x:v>Canada</x:v>
      </x:c>
      <x:c r="E437" s="30" t="str">
        <x:v>Project unlock</x:v>
      </x:c>
      <x:c r="F437" s="30" t="str">
        <x:v>United North America</x:v>
      </x:c>
      <x:c r="G437" s="30" t="str">
        <x:v>No</x:v>
      </x:c>
      <x:c r="H437" s="30" t="str">
        <x:v>Ordinary claim</x:v>
      </x:c>
      <x:c r="I437" s="31" t="n">
        <x:f>IF(G437="Yes",'Controls &amp; Summary'!$B$5,'Controls &amp; Summary'!$B$4)</x:f>
        <x:v>6</x:v>
      </x:c>
      <x:c r="J437" s="31" t="n">
        <x:v>8.13</x:v>
      </x:c>
      <x:c r="K437" s="31" t="n">
        <x:v>8.98</x:v>
      </x:c>
      <x:c r="L437" s="31" t="n">
        <x:f>ABS(J437-K437)</x:f>
        <x:v>0.8499999999999996</x:v>
      </x:c>
      <x:c r="M437" s="31" t="n">
        <x:v>3.78</x:v>
      </x:c>
      <x:c r="N437" s="31" t="n">
        <x:v>3.18</x:v>
      </x:c>
      <x:c r="O437" s="31" t="n">
        <x:f>ABS(M437-N437)</x:f>
        <x:v>0.5999999999999996</x:v>
      </x:c>
      <x:c r="P437" s="31" t="n">
        <x:v>8.44</x:v>
      </x:c>
      <x:c r="Q437" s="31" t="n">
        <x:v>8.47</x:v>
      </x:c>
      <x:c r="R437" s="31" t="n">
        <x:f>ABS(P437-Q437)</x:f>
        <x:v>0.030000000000001137</x:v>
      </x:c>
      <x:c r="S437" s="32" t="n">
        <x:v>39240.90878202425</x:v>
      </x:c>
      <x:c r="T437" s="32" t="n">
        <x:v>28131.212393379396</x:v>
      </x:c>
      <x:c r="U437" s="31" t="n">
        <x:f>MAX(S437/T437,T437/S437)</x:f>
        <x:v>1.3949241942824864</x:v>
      </x:c>
      <x:c r="V437" s="31" t="n">
        <x:f>L437*'Controls &amp; Summary'!$B$9+O437*'Controls &amp; Summary'!$B$10+R437*'Controls &amp; Summary'!$B$11+U437*'Controls &amp; Summary'!$B$12</x:f>
        <x:v>2.874924194282487</x:v>
      </x:c>
      <x:c r="W437" s="31" t="n">
        <x:v>5.18</x:v>
      </x:c>
      <x:c r="X437" s="31" t="n">
        <x:v>1.37</x:v>
      </x:c>
      <x:c r="Y437" s="31" t="n">
        <x:f>((10-MIN(10,MAX(0,X437)))/10)*'Controls &amp; Summary'!$B$15+((10-MIN(10,MAX(0,W437)))/10)*'Controls &amp; Summary'!$B$16</x:f>
        <x:v>1.345</x:v>
      </x:c>
      <x:c r="Z437" s="31" t="n">
        <x:f>V437*Y437</x:f>
        <x:v>3.866773041309945</x:v>
      </x:c>
      <x:c r="AA437" s="30" t="str">
        <x:f>IF(Z437&lt;=I437,"Peaceful","Hostile")</x:f>
        <x:v>Peaceful</x:v>
      </x:c>
      <x:c r="AB437" s="30" t="str">
        <x:f>IF(Z437&lt;='Controls &amp; Summary'!$B$6,"Eligible","Blocked")</x:f>
        <x:v>Eligible</x:v>
      </x:c>
      <x:c r="AC437" s="30" t="str">
        <x:v>2003_USA</x:v>
      </x:c>
      <x:c r="AD437" s="30" t="str">
        <x:v>2003_CAN</x:v>
      </x:c>
      <x:c r="AE437" s="30" t="str">
        <x:v>2003_Ontario</x:v>
      </x:c>
      <x:c r="AF437" s="30" t="str">
        <x:v>Explicit capitalClaim</x:v>
      </x:c>
      <x:c r="AG437" s="30" t="str">
        <x:v>Claim2003_USA2003_Ontario</x:v>
      </x:c>
      <x:c r="AH437" s="30" t="str">
        <x:v>Project_UnitedNorthAmerica</x:v>
      </x:c>
    </x:row>
    <x:row r="438">
      <x:c r="A438" s="30" t="str">
        <x:v>2003</x:v>
      </x:c>
      <x:c r="B438" s="30" t="str">
        <x:v>Dark Skies</x:v>
      </x:c>
      <x:c r="C438" s="30" t="str">
        <x:v>United States of America</x:v>
      </x:c>
      <x:c r="D438" s="30" t="str">
        <x:v>Costa Rica</x:v>
      </x:c>
      <x:c r="E438" s="30" t="str">
        <x:v>Project unlock</x:v>
      </x:c>
      <x:c r="F438" s="30" t="str">
        <x:v>Greater United North America</x:v>
      </x:c>
      <x:c r="G438" s="30" t="str">
        <x:v>No</x:v>
      </x:c>
      <x:c r="H438" s="30" t="str">
        <x:v>Ordinary claim</x:v>
      </x:c>
      <x:c r="I438" s="31" t="n">
        <x:f>IF(G438="Yes",'Controls &amp; Summary'!$B$5,'Controls &amp; Summary'!$B$4)</x:f>
        <x:v>6</x:v>
      </x:c>
      <x:c r="J438" s="31" t="n">
        <x:v>8.13</x:v>
      </x:c>
      <x:c r="K438" s="31" t="n">
        <x:v>8</x:v>
      </x:c>
      <x:c r="L438" s="31" t="n">
        <x:f>ABS(J438-K438)</x:f>
        <x:v>0.13000000000000078</x:v>
      </x:c>
      <x:c r="M438" s="31" t="n">
        <x:v>3.78</x:v>
      </x:c>
      <x:c r="N438" s="31" t="n">
        <x:v>4.56</x:v>
      </x:c>
      <x:c r="O438" s="31" t="n">
        <x:f>ABS(M438-N438)</x:f>
        <x:v>0.7799999999999998</x:v>
      </x:c>
      <x:c r="P438" s="31" t="n">
        <x:v>8.44</x:v>
      </x:c>
      <x:c r="Q438" s="31" t="n">
        <x:v>6.64</x:v>
      </x:c>
      <x:c r="R438" s="31" t="n">
        <x:f>ABS(P438-Q438)</x:f>
        <x:v>1.7999999999999998</x:v>
      </x:c>
      <x:c r="S438" s="32" t="n">
        <x:v>39240.90878202425</x:v>
      </x:c>
      <x:c r="T438" s="32" t="n">
        <x:v>6076.593415360647</x:v>
      </x:c>
      <x:c r="U438" s="31" t="n">
        <x:f>MAX(S438/T438,T438/S438)</x:f>
        <x:v>6.4577150550881965</x:v>
      </x:c>
      <x:c r="V438" s="31" t="n">
        <x:f>L438*'Controls &amp; Summary'!$B$9+O438*'Controls &amp; Summary'!$B$10+R438*'Controls &amp; Summary'!$B$11+U438*'Controls &amp; Summary'!$B$12</x:f>
        <x:v>9.167715055088197</x:v>
      </x:c>
      <x:c r="W438" s="31" t="n">
        <x:v>5.18</x:v>
      </x:c>
      <x:c r="X438" s="31" t="n">
        <x:v>1</x:v>
      </x:c>
      <x:c r="Y438" s="31" t="n">
        <x:f>((10-MIN(10,MAX(0,X438)))/10)*'Controls &amp; Summary'!$B$15+((10-MIN(10,MAX(0,W438)))/10)*'Controls &amp; Summary'!$B$16</x:f>
        <x:v>1.3820000000000001</x:v>
      </x:c>
      <x:c r="Z438" s="31" t="n">
        <x:f>V438*Y438</x:f>
        <x:v>12.669782206131888</x:v>
      </x:c>
      <x:c r="AA438" s="30" t="str">
        <x:f>IF(Z438&lt;=I438,"Peaceful","Hostile")</x:f>
        <x:v>Hostile</x:v>
      </x:c>
      <x:c r="AB438" s="30" t="str">
        <x:f>IF(Z438&lt;='Controls &amp; Summary'!$B$6,"Eligible","Blocked")</x:f>
        <x:v>Blocked</x:v>
      </x:c>
      <x:c r="AC438" s="30" t="str">
        <x:v>2003_USA</x:v>
      </x:c>
      <x:c r="AD438" s="30" t="str">
        <x:v>2003_COS</x:v>
      </x:c>
      <x:c r="AE438" s="30" t="str">
        <x:v>2003_CostaRica</x:v>
      </x:c>
      <x:c r="AF438" s="30" t="str">
        <x:v>Explicit capitalClaim</x:v>
      </x:c>
      <x:c r="AG438" s="30" t="str">
        <x:v>Claim2003_USA2003_CostaRica</x:v>
      </x:c>
      <x:c r="AH438" s="30" t="str">
        <x:v>Project_GreaterUnitedNorthAmerica</x:v>
      </x:c>
    </x:row>
    <x:row r="439">
      <x:c r="A439" s="30" t="str">
        <x:v>2003</x:v>
      </x:c>
      <x:c r="B439" s="30" t="str">
        <x:v>Dark Skies</x:v>
      </x:c>
      <x:c r="C439" s="30" t="str">
        <x:v>United States of America</x:v>
      </x:c>
      <x:c r="D439" s="30" t="str">
        <x:v>Cuba</x:v>
      </x:c>
      <x:c r="E439" s="30" t="str">
        <x:v>Project unlock</x:v>
      </x:c>
      <x:c r="F439" s="30" t="str">
        <x:v>Greater United North America</x:v>
      </x:c>
      <x:c r="G439" s="30" t="str">
        <x:v>No</x:v>
      </x:c>
      <x:c r="H439" s="30" t="str">
        <x:v>Ordinary claim</x:v>
      </x:c>
      <x:c r="I439" s="31" t="n">
        <x:f>IF(G439="Yes",'Controls &amp; Summary'!$B$5,'Controls &amp; Summary'!$B$4)</x:f>
        <x:v>6</x:v>
      </x:c>
      <x:c r="J439" s="31" t="n">
        <x:v>8.13</x:v>
      </x:c>
      <x:c r="K439" s="31" t="n">
        <x:v>3.51</x:v>
      </x:c>
      <x:c r="L439" s="31" t="n">
        <x:f>ABS(J439-K439)</x:f>
        <x:v>4.620000000000001</x:v>
      </x:c>
      <x:c r="M439" s="31" t="n">
        <x:v>3.78</x:v>
      </x:c>
      <x:c r="N439" s="31" t="n">
        <x:v>3.8</x:v>
      </x:c>
      <x:c r="O439" s="31" t="n">
        <x:f>ABS(M439-N439)</x:f>
        <x:v>0.020000000000000018</x:v>
      </x:c>
      <x:c r="P439" s="31" t="n">
        <x:v>8.44</x:v>
      </x:c>
      <x:c r="Q439" s="31" t="n">
        <x:v>6.47</x:v>
      </x:c>
      <x:c r="R439" s="31" t="n">
        <x:f>ABS(P439-Q439)</x:f>
        <x:v>1.9699999999999998</x:v>
      </x:c>
      <x:c r="S439" s="32" t="n">
        <x:v>39240.90878202425</x:v>
      </x:c>
      <x:c r="T439" s="32" t="n">
        <x:v>3202.781098656367</x:v>
      </x:c>
      <x:c r="U439" s="31" t="n">
        <x:f>MAX(S439/T439,T439/S439)</x:f>
        <x:v>12.252135744927003</x:v>
      </x:c>
      <x:c r="V439" s="31" t="n">
        <x:f>L439*'Controls &amp; Summary'!$B$9+O439*'Controls &amp; Summary'!$B$10+R439*'Controls &amp; Summary'!$B$11+U439*'Controls &amp; Summary'!$B$12</x:f>
        <x:v>18.862135744927002</x:v>
      </x:c>
      <x:c r="W439" s="31" t="n">
        <x:v>5.18</x:v>
      </x:c>
      <x:c r="X439" s="31" t="n">
        <x:v>3.15</x:v>
      </x:c>
      <x:c r="Y439" s="31" t="n">
        <x:f>((10-MIN(10,MAX(0,X439)))/10)*'Controls &amp; Summary'!$B$15+((10-MIN(10,MAX(0,W439)))/10)*'Controls &amp; Summary'!$B$16</x:f>
        <x:v>1.167</x:v>
      </x:c>
      <x:c r="Z439" s="31" t="n">
        <x:f>V439*Y439</x:f>
        <x:v>22.012112414329813</x:v>
      </x:c>
      <x:c r="AA439" s="30" t="str">
        <x:f>IF(Z439&lt;=I439,"Peaceful","Hostile")</x:f>
        <x:v>Hostile</x:v>
      </x:c>
      <x:c r="AB439" s="30" t="str">
        <x:f>IF(Z439&lt;='Controls &amp; Summary'!$B$6,"Eligible","Blocked")</x:f>
        <x:v>Blocked</x:v>
      </x:c>
      <x:c r="AC439" s="30" t="str">
        <x:v>2003_USA</x:v>
      </x:c>
      <x:c r="AD439" s="30" t="str">
        <x:v>2003_CUB</x:v>
      </x:c>
      <x:c r="AE439" s="30" t="str">
        <x:v>2003_Cuba</x:v>
      </x:c>
      <x:c r="AF439" s="30" t="str">
        <x:v>Explicit capitalClaim</x:v>
      </x:c>
      <x:c r="AG439" s="30" t="str">
        <x:v>Claim2003_USA2003_Cuba</x:v>
      </x:c>
      <x:c r="AH439" s="30" t="str">
        <x:v>Project_GreaterUnitedNorthAmerica</x:v>
      </x:c>
    </x:row>
    <x:row r="440">
      <x:c r="A440" s="30" t="str">
        <x:v>2003</x:v>
      </x:c>
      <x:c r="B440" s="30" t="str">
        <x:v>Dark Skies</x:v>
      </x:c>
      <x:c r="C440" s="30" t="str">
        <x:v>United States of America</x:v>
      </x:c>
      <x:c r="D440" s="30" t="str">
        <x:v>Dominican Republic</x:v>
      </x:c>
      <x:c r="E440" s="30" t="str">
        <x:v>Project unlock</x:v>
      </x:c>
      <x:c r="F440" s="30" t="str">
        <x:v>Greater United North America</x:v>
      </x:c>
      <x:c r="G440" s="30" t="str">
        <x:v>No</x:v>
      </x:c>
      <x:c r="H440" s="30" t="str">
        <x:v>Ordinary claim</x:v>
      </x:c>
      <x:c r="I440" s="31" t="n">
        <x:f>IF(G440="Yes",'Controls &amp; Summary'!$B$5,'Controls &amp; Summary'!$B$4)</x:f>
        <x:v>6</x:v>
      </x:c>
      <x:c r="J440" s="31" t="n">
        <x:v>8.13</x:v>
      </x:c>
      <x:c r="K440" s="31" t="n">
        <x:v>6.19</x:v>
      </x:c>
      <x:c r="L440" s="31" t="n">
        <x:f>ABS(J440-K440)</x:f>
        <x:v>1.9400000000000004</x:v>
      </x:c>
      <x:c r="M440" s="31" t="n">
        <x:v>3.78</x:v>
      </x:c>
      <x:c r="N440" s="31" t="n">
        <x:v>4.83</x:v>
      </x:c>
      <x:c r="O440" s="31" t="n">
        <x:f>ABS(M440-N440)</x:f>
        <x:v>1.0500000000000003</x:v>
      </x:c>
      <x:c r="P440" s="31" t="n">
        <x:v>8.44</x:v>
      </x:c>
      <x:c r="Q440" s="31" t="n">
        <x:v>5.91</x:v>
      </x:c>
      <x:c r="R440" s="31" t="n">
        <x:f>ABS(P440-Q440)</x:f>
        <x:v>2.5299999999999994</x:v>
      </x:c>
      <x:c r="S440" s="32" t="n">
        <x:v>39240.90878202425</x:v>
      </x:c>
      <x:c r="T440" s="32" t="n">
        <x:v>4322.042340395206</x:v>
      </x:c>
      <x:c r="U440" s="31" t="n">
        <x:f>MAX(S440/T440,T440/S440)</x:f>
        <x:v>9.07925135653254</x:v>
      </x:c>
      <x:c r="V440" s="31" t="n">
        <x:f>L440*'Controls &amp; Summary'!$B$9+O440*'Controls &amp; Summary'!$B$10+R440*'Controls &amp; Summary'!$B$11+U440*'Controls &amp; Summary'!$B$12</x:f>
        <x:v>14.59925135653254</x:v>
      </x:c>
      <x:c r="W440" s="31" t="n">
        <x:v>5.18</x:v>
      </x:c>
      <x:c r="X440" s="31" t="n">
        <x:v>1.87</x:v>
      </x:c>
      <x:c r="Y440" s="31" t="n">
        <x:f>((10-MIN(10,MAX(0,X440)))/10)*'Controls &amp; Summary'!$B$15+((10-MIN(10,MAX(0,W440)))/10)*'Controls &amp; Summary'!$B$16</x:f>
        <x:v>1.295</x:v>
      </x:c>
      <x:c r="Z440" s="31" t="n">
        <x:f>V440*Y440</x:f>
        <x:v>18.906030506709637</x:v>
      </x:c>
      <x:c r="AA440" s="30" t="str">
        <x:f>IF(Z440&lt;=I440,"Peaceful","Hostile")</x:f>
        <x:v>Hostile</x:v>
      </x:c>
      <x:c r="AB440" s="30" t="str">
        <x:f>IF(Z440&lt;='Controls &amp; Summary'!$B$6,"Eligible","Blocked")</x:f>
        <x:v>Blocked</x:v>
      </x:c>
      <x:c r="AC440" s="30" t="str">
        <x:v>2003_USA</x:v>
      </x:c>
      <x:c r="AD440" s="30" t="str">
        <x:v>2003_DOM</x:v>
      </x:c>
      <x:c r="AE440" s="30" t="str">
        <x:v>2003_EastHispanola</x:v>
      </x:c>
      <x:c r="AF440" s="30" t="str">
        <x:v>Explicit capitalClaim</x:v>
      </x:c>
      <x:c r="AG440" s="30" t="str">
        <x:v>Claim2003_USA2003_EastHispanola</x:v>
      </x:c>
      <x:c r="AH440" s="30" t="str">
        <x:v>Project_GreaterUnitedNorthAmerica</x:v>
      </x:c>
    </x:row>
    <x:row r="441">
      <x:c r="A441" s="30" t="str">
        <x:v>2003</x:v>
      </x:c>
      <x:c r="B441" s="30" t="str">
        <x:v>Dark Skies</x:v>
      </x:c>
      <x:c r="C441" s="30" t="str">
        <x:v>United States of America</x:v>
      </x:c>
      <x:c r="D441" s="30" t="str">
        <x:v>El Salvador</x:v>
      </x:c>
      <x:c r="E441" s="30" t="str">
        <x:v>Project unlock</x:v>
      </x:c>
      <x:c r="F441" s="30" t="str">
        <x:v>Greater United North America</x:v>
      </x:c>
      <x:c r="G441" s="30" t="str">
        <x:v>No</x:v>
      </x:c>
      <x:c r="H441" s="30" t="str">
        <x:v>Ordinary claim</x:v>
      </x:c>
      <x:c r="I441" s="31" t="n">
        <x:f>IF(G441="Yes",'Controls &amp; Summary'!$B$5,'Controls &amp; Summary'!$B$4)</x:f>
        <x:v>6</x:v>
      </x:c>
      <x:c r="J441" s="31" t="n">
        <x:v>8.13</x:v>
      </x:c>
      <x:c r="K441" s="31" t="n">
        <x:v>6.14</x:v>
      </x:c>
      <x:c r="L441" s="31" t="n">
        <x:f>ABS(J441-K441)</x:f>
        <x:v>1.990000000000001</x:v>
      </x:c>
      <x:c r="M441" s="31" t="n">
        <x:v>3.78</x:v>
      </x:c>
      <x:c r="N441" s="31" t="n">
        <x:v>4.62</x:v>
      </x:c>
      <x:c r="O441" s="31" t="n">
        <x:f>ABS(M441-N441)</x:f>
        <x:v>0.8400000000000003</x:v>
      </x:c>
      <x:c r="P441" s="31" t="n">
        <x:v>8.44</x:v>
      </x:c>
      <x:c r="Q441" s="31" t="n">
        <x:v>5.45</x:v>
      </x:c>
      <x:c r="R441" s="31" t="n">
        <x:f>ABS(P441-Q441)</x:f>
        <x:v>2.9899999999999993</x:v>
      </x:c>
      <x:c r="S441" s="32" t="n">
        <x:v>39240.90878202425</x:v>
      </x:c>
      <x:c r="T441" s="32" t="n">
        <x:v>3120.9041697903126</x:v>
      </x:c>
      <x:c r="U441" s="31" t="n">
        <x:f>MAX(S441/T441,T441/S441)</x:f>
        <x:v>12.57357055749032</x:v>
      </x:c>
      <x:c r="V441" s="31" t="n">
        <x:f>L441*'Controls &amp; Summary'!$B$9+O441*'Controls &amp; Summary'!$B$10+R441*'Controls &amp; Summary'!$B$11+U441*'Controls &amp; Summary'!$B$12</x:f>
        <x:v>18.39357055749032</x:v>
      </x:c>
      <x:c r="W441" s="31" t="n">
        <x:v>5.18</x:v>
      </x:c>
      <x:c r="X441" s="31" t="n">
        <x:v>3.22</x:v>
      </x:c>
      <x:c r="Y441" s="31" t="n">
        <x:f>((10-MIN(10,MAX(0,X441)))/10)*'Controls &amp; Summary'!$B$15+((10-MIN(10,MAX(0,W441)))/10)*'Controls &amp; Summary'!$B$16</x:f>
        <x:v>1.16</x:v>
      </x:c>
      <x:c r="Z441" s="31" t="n">
        <x:f>V441*Y441</x:f>
        <x:v>21.33654184668877</x:v>
      </x:c>
      <x:c r="AA441" s="30" t="str">
        <x:f>IF(Z441&lt;=I441,"Peaceful","Hostile")</x:f>
        <x:v>Hostile</x:v>
      </x:c>
      <x:c r="AB441" s="30" t="str">
        <x:f>IF(Z441&lt;='Controls &amp; Summary'!$B$6,"Eligible","Blocked")</x:f>
        <x:v>Blocked</x:v>
      </x:c>
      <x:c r="AC441" s="30" t="str">
        <x:v>2003_USA</x:v>
      </x:c>
      <x:c r="AD441" s="30" t="str">
        <x:v>2003_ELS</x:v>
      </x:c>
      <x:c r="AE441" s="30" t="str">
        <x:v>2003_ElSalvador</x:v>
      </x:c>
      <x:c r="AF441" s="30" t="str">
        <x:v>Explicit capitalClaim</x:v>
      </x:c>
      <x:c r="AG441" s="30" t="str">
        <x:v>Claim2003_USA2003_ElSalvador</x:v>
      </x:c>
      <x:c r="AH441" s="30" t="str">
        <x:v>Project_GreaterUnitedNorthAmerica</x:v>
      </x:c>
    </x:row>
    <x:row r="442">
      <x:c r="A442" s="30" t="str">
        <x:v>2003</x:v>
      </x:c>
      <x:c r="B442" s="30" t="str">
        <x:v>Dark Skies</x:v>
      </x:c>
      <x:c r="C442" s="30" t="str">
        <x:v>United States of America</x:v>
      </x:c>
      <x:c r="D442" s="30" t="str">
        <x:v>Guatemala</x:v>
      </x:c>
      <x:c r="E442" s="30" t="str">
        <x:v>Project unlock</x:v>
      </x:c>
      <x:c r="F442" s="30" t="str">
        <x:v>Greater United North America</x:v>
      </x:c>
      <x:c r="G442" s="30" t="str">
        <x:v>No</x:v>
      </x:c>
      <x:c r="H442" s="30" t="str">
        <x:v>Ordinary claim</x:v>
      </x:c>
      <x:c r="I442" s="31" t="n">
        <x:f>IF(G442="Yes",'Controls &amp; Summary'!$B$5,'Controls &amp; Summary'!$B$4)</x:f>
        <x:v>6</x:v>
      </x:c>
      <x:c r="J442" s="31" t="n">
        <x:v>8.13</x:v>
      </x:c>
      <x:c r="K442" s="31" t="n">
        <x:v>5.98</x:v>
      </x:c>
      <x:c r="L442" s="31" t="n">
        <x:f>ABS(J442-K442)</x:f>
        <x:v>2.1500000000000004</x:v>
      </x:c>
      <x:c r="M442" s="31" t="n">
        <x:v>3.78</x:v>
      </x:c>
      <x:c r="N442" s="31" t="n">
        <x:v>4.93</x:v>
      </x:c>
      <x:c r="O442" s="31" t="n">
        <x:f>ABS(M442-N442)</x:f>
        <x:v>1.15</x:v>
      </x:c>
      <x:c r="P442" s="31" t="n">
        <x:v>8.44</x:v>
      </x:c>
      <x:c r="Q442" s="31" t="n">
        <x:v>4.89</x:v>
      </x:c>
      <x:c r="R442" s="31" t="n">
        <x:f>ABS(P442-Q442)</x:f>
        <x:v>3.55</x:v>
      </x:c>
      <x:c r="S442" s="32" t="n">
        <x:v>39240.90878202425</x:v>
      </x:c>
      <x:c r="T442" s="32" t="n">
        <x:v>3491.8220823797715</x:v>
      </x:c>
      <x:c r="U442" s="31" t="n">
        <x:f>MAX(S442/T442,T442/S442)</x:f>
        <x:v>11.237946222987542</x:v>
      </x:c>
      <x:c r="V442" s="31" t="n">
        <x:f>L442*'Controls &amp; Summary'!$B$9+O442*'Controls &amp; Summary'!$B$10+R442*'Controls &amp; Summary'!$B$11+U442*'Controls &amp; Summary'!$B$12</x:f>
        <x:v>18.08794622298754</x:v>
      </x:c>
      <x:c r="W442" s="31" t="n">
        <x:v>5.18</x:v>
      </x:c>
      <x:c r="X442" s="31" t="n">
        <x:v>3.78</x:v>
      </x:c>
      <x:c r="Y442" s="31" t="n">
        <x:f>((10-MIN(10,MAX(0,X442)))/10)*'Controls &amp; Summary'!$B$15+((10-MIN(10,MAX(0,W442)))/10)*'Controls &amp; Summary'!$B$16</x:f>
        <x:v>1.104</x:v>
      </x:c>
      <x:c r="Z442" s="31" t="n">
        <x:f>V442*Y442</x:f>
        <x:v>19.969092630178245</x:v>
      </x:c>
      <x:c r="AA442" s="30" t="str">
        <x:f>IF(Z442&lt;=I442,"Peaceful","Hostile")</x:f>
        <x:v>Hostile</x:v>
      </x:c>
      <x:c r="AB442" s="30" t="str">
        <x:f>IF(Z442&lt;='Controls &amp; Summary'!$B$6,"Eligible","Blocked")</x:f>
        <x:v>Blocked</x:v>
      </x:c>
      <x:c r="AC442" s="30" t="str">
        <x:v>2003_USA</x:v>
      </x:c>
      <x:c r="AD442" s="30" t="str">
        <x:v>2003_GTM</x:v>
      </x:c>
      <x:c r="AE442" s="30" t="str">
        <x:v>2003_Guatemala</x:v>
      </x:c>
      <x:c r="AF442" s="30" t="str">
        <x:v>Explicit capitalClaim</x:v>
      </x:c>
      <x:c r="AG442" s="30" t="str">
        <x:v>Claim2003_USA2003_Guatemala</x:v>
      </x:c>
      <x:c r="AH442" s="30" t="str">
        <x:v>Project_GreaterUnitedNorthAmerica</x:v>
      </x:c>
    </x:row>
    <x:row r="443">
      <x:c r="A443" s="30" t="str">
        <x:v>2003</x:v>
      </x:c>
      <x:c r="B443" s="30" t="str">
        <x:v>Dark Skies</x:v>
      </x:c>
      <x:c r="C443" s="30" t="str">
        <x:v>United States of America</x:v>
      </x:c>
      <x:c r="D443" s="30" t="str">
        <x:v>Haiti</x:v>
      </x:c>
      <x:c r="E443" s="30" t="str">
        <x:v>Project unlock</x:v>
      </x:c>
      <x:c r="F443" s="30" t="str">
        <x:v>Greater United North America</x:v>
      </x:c>
      <x:c r="G443" s="30" t="str">
        <x:v>No</x:v>
      </x:c>
      <x:c r="H443" s="30" t="str">
        <x:v>Ordinary claim</x:v>
      </x:c>
      <x:c r="I443" s="31" t="n">
        <x:f>IF(G443="Yes",'Controls &amp; Summary'!$B$5,'Controls &amp; Summary'!$B$4)</x:f>
        <x:v>6</x:v>
      </x:c>
      <x:c r="J443" s="31" t="n">
        <x:v>8.13</x:v>
      </x:c>
      <x:c r="K443" s="31" t="n">
        <x:v>4.58</x:v>
      </x:c>
      <x:c r="L443" s="31" t="n">
        <x:f>ABS(J443-K443)</x:f>
        <x:v>3.5500000000000007</x:v>
      </x:c>
      <x:c r="M443" s="31" t="n">
        <x:v>3.78</x:v>
      </x:c>
      <x:c r="N443" s="31" t="n">
        <x:v>5.41</x:v>
      </x:c>
      <x:c r="O443" s="31" t="n">
        <x:f>ABS(M443-N443)</x:f>
        <x:v>1.6300000000000003</x:v>
      </x:c>
      <x:c r="P443" s="31" t="n">
        <x:v>8.44</x:v>
      </x:c>
      <x:c r="Q443" s="31" t="n">
        <x:v>4.13</x:v>
      </x:c>
      <x:c r="R443" s="31" t="n">
        <x:f>ABS(P443-Q443)</x:f>
        <x:v>4.31</x:v>
      </x:c>
      <x:c r="S443" s="32" t="n">
        <x:v>39240.90878202425</x:v>
      </x:c>
      <x:c r="T443" s="32" t="n">
        <x:v>1387.0336138079927</x:v>
      </x:c>
      <x:c r="U443" s="31" t="n">
        <x:f>MAX(S443/T443,T443/S443)</x:f>
        <x:v>28.29124571414776</x:v>
      </x:c>
      <x:c r="V443" s="31" t="n">
        <x:f>L443*'Controls &amp; Summary'!$B$9+O443*'Controls &amp; Summary'!$B$10+R443*'Controls &amp; Summary'!$B$11+U443*'Controls &amp; Summary'!$B$12</x:f>
        <x:v>37.78124571414776</x:v>
      </x:c>
      <x:c r="W443" s="31" t="n">
        <x:v>5.18</x:v>
      </x:c>
      <x:c r="X443" s="31" t="n">
        <x:v>5.72</x:v>
      </x:c>
      <x:c r="Y443" s="31" t="n">
        <x:f>((10-MIN(10,MAX(0,X443)))/10)*'Controls &amp; Summary'!$B$15+((10-MIN(10,MAX(0,W443)))/10)*'Controls &amp; Summary'!$B$16</x:f>
        <x:v>0.9100000000000001</x:v>
      </x:c>
      <x:c r="Z443" s="31" t="n">
        <x:f>V443*Y443</x:f>
        <x:v>34.38093359987447</x:v>
      </x:c>
      <x:c r="AA443" s="30" t="str">
        <x:f>IF(Z443&lt;=I443,"Peaceful","Hostile")</x:f>
        <x:v>Hostile</x:v>
      </x:c>
      <x:c r="AB443" s="30" t="str">
        <x:f>IF(Z443&lt;='Controls &amp; Summary'!$B$6,"Eligible","Blocked")</x:f>
        <x:v>Blocked</x:v>
      </x:c>
      <x:c r="AC443" s="30" t="str">
        <x:v>2003_USA</x:v>
      </x:c>
      <x:c r="AD443" s="30" t="str">
        <x:v>2003_HTI</x:v>
      </x:c>
      <x:c r="AE443" s="30" t="str">
        <x:v>2003_WestHispanola</x:v>
      </x:c>
      <x:c r="AF443" s="30" t="str">
        <x:v>Explicit capitalClaim</x:v>
      </x:c>
      <x:c r="AG443" s="30" t="str">
        <x:v>Claim2003_USA2003_WestHispanola</x:v>
      </x:c>
      <x:c r="AH443" s="30" t="str">
        <x:v>Project_GreaterUnitedNorthAmerica</x:v>
      </x:c>
    </x:row>
    <x:row r="444">
      <x:c r="A444" s="30" t="str">
        <x:v>2003</x:v>
      </x:c>
      <x:c r="B444" s="30" t="str">
        <x:v>Dark Skies</x:v>
      </x:c>
      <x:c r="C444" s="30" t="str">
        <x:v>United States of America</x:v>
      </x:c>
      <x:c r="D444" s="30" t="str">
        <x:v>Honduras</x:v>
      </x:c>
      <x:c r="E444" s="30" t="str">
        <x:v>Project unlock</x:v>
      </x:c>
      <x:c r="F444" s="30" t="str">
        <x:v>Greater United North America</x:v>
      </x:c>
      <x:c r="G444" s="30" t="str">
        <x:v>No</x:v>
      </x:c>
      <x:c r="H444" s="30" t="str">
        <x:v>Ordinary claim</x:v>
      </x:c>
      <x:c r="I444" s="31" t="n">
        <x:f>IF(G444="Yes",'Controls &amp; Summary'!$B$5,'Controls &amp; Summary'!$B$4)</x:f>
        <x:v>6</x:v>
      </x:c>
      <x:c r="J444" s="31" t="n">
        <x:v>8.13</x:v>
      </x:c>
      <x:c r="K444" s="31" t="n">
        <x:v>6.39</x:v>
      </x:c>
      <x:c r="L444" s="31" t="n">
        <x:f>ABS(J444-K444)</x:f>
        <x:v>1.740000000000001</x:v>
      </x:c>
      <x:c r="M444" s="31" t="n">
        <x:v>3.78</x:v>
      </x:c>
      <x:c r="N444" s="31" t="n">
        <x:v>5.3</x:v>
      </x:c>
      <x:c r="O444" s="31" t="n">
        <x:f>ABS(M444-N444)</x:f>
        <x:v>1.52</x:v>
      </x:c>
      <x:c r="P444" s="31" t="n">
        <x:v>8.44</x:v>
      </x:c>
      <x:c r="Q444" s="31" t="n">
        <x:v>4.79</x:v>
      </x:c>
      <x:c r="R444" s="31" t="n">
        <x:f>ABS(P444-Q444)</x:f>
        <x:v>3.6499999999999995</x:v>
      </x:c>
      <x:c r="S444" s="32" t="n">
        <x:v>39240.90878202425</x:v>
      </x:c>
      <x:c r="T444" s="32" t="n">
        <x:v>1956.488023465515</x:v>
      </x:c>
      <x:c r="U444" s="31" t="n">
        <x:f>MAX(S444/T444,T444/S444)</x:f>
        <x:v>20.0568101165869</x:v>
      </x:c>
      <x:c r="V444" s="31" t="n">
        <x:f>L444*'Controls &amp; Summary'!$B$9+O444*'Controls &amp; Summary'!$B$10+R444*'Controls &amp; Summary'!$B$11+U444*'Controls &amp; Summary'!$B$12</x:f>
        <x:v>26.9668101165869</x:v>
      </x:c>
      <x:c r="W444" s="31" t="n">
        <x:v>5.18</x:v>
      </x:c>
      <x:c r="X444" s="31" t="n">
        <x:v>1.22</x:v>
      </x:c>
      <x:c r="Y444" s="31" t="n">
        <x:f>((10-MIN(10,MAX(0,X444)))/10)*'Controls &amp; Summary'!$B$15+((10-MIN(10,MAX(0,W444)))/10)*'Controls &amp; Summary'!$B$16</x:f>
        <x:v>1.3599999999999999</x:v>
      </x:c>
      <x:c r="Z444" s="31" t="n">
        <x:f>V444*Y444</x:f>
        <x:v>36.67486175855818</x:v>
      </x:c>
      <x:c r="AA444" s="30" t="str">
        <x:f>IF(Z444&lt;=I444,"Peaceful","Hostile")</x:f>
        <x:v>Hostile</x:v>
      </x:c>
      <x:c r="AB444" s="30" t="str">
        <x:f>IF(Z444&lt;='Controls &amp; Summary'!$B$6,"Eligible","Blocked")</x:f>
        <x:v>Blocked</x:v>
      </x:c>
      <x:c r="AC444" s="30" t="str">
        <x:v>2003_USA</x:v>
      </x:c>
      <x:c r="AD444" s="30" t="str">
        <x:v>2003_HON</x:v>
      </x:c>
      <x:c r="AE444" s="30" t="str">
        <x:v>2003_Honduras</x:v>
      </x:c>
      <x:c r="AF444" s="30" t="str">
        <x:v>Explicit capitalClaim</x:v>
      </x:c>
      <x:c r="AG444" s="30" t="str">
        <x:v>Claim2003_USA2003_Honduras</x:v>
      </x:c>
      <x:c r="AH444" s="30" t="str">
        <x:v>Project_GreaterUnitedNorthAmerica</x:v>
      </x:c>
    </x:row>
    <x:row r="445">
      <x:c r="A445" s="30" t="str">
        <x:v>2003</x:v>
      </x:c>
      <x:c r="B445" s="30" t="str">
        <x:v>Dark Skies</x:v>
      </x:c>
      <x:c r="C445" s="30" t="str">
        <x:v>United States of America</x:v>
      </x:c>
      <x:c r="D445" s="30" t="str">
        <x:v>Jamaica</x:v>
      </x:c>
      <x:c r="E445" s="30" t="str">
        <x:v>Project unlock</x:v>
      </x:c>
      <x:c r="F445" s="30" t="str">
        <x:v>Greater United North America</x:v>
      </x:c>
      <x:c r="G445" s="30" t="str">
        <x:v>No</x:v>
      </x:c>
      <x:c r="H445" s="30" t="str">
        <x:v>Ordinary claim</x:v>
      </x:c>
      <x:c r="I445" s="31" t="n">
        <x:f>IF(G445="Yes",'Controls &amp; Summary'!$B$5,'Controls &amp; Summary'!$B$4)</x:f>
        <x:v>6</x:v>
      </x:c>
      <x:c r="J445" s="31" t="n">
        <x:v>8.13</x:v>
      </x:c>
      <x:c r="K445" s="31" t="n">
        <x:v>7.24</x:v>
      </x:c>
      <x:c r="L445" s="31" t="n">
        <x:f>ABS(J445-K445)</x:f>
        <x:v>0.8900000000000006</x:v>
      </x:c>
      <x:c r="M445" s="31" t="n">
        <x:v>3.78</x:v>
      </x:c>
      <x:c r="N445" s="31" t="n">
        <x:v>4.46</x:v>
      </x:c>
      <x:c r="O445" s="31" t="n">
        <x:f>ABS(M445-N445)</x:f>
        <x:v>0.6800000000000002</x:v>
      </x:c>
      <x:c r="P445" s="31" t="n">
        <x:v>8.44</x:v>
      </x:c>
      <x:c r="Q445" s="31" t="n">
        <x:v>5.89</x:v>
      </x:c>
      <x:c r="R445" s="31" t="n">
        <x:f>ABS(P445-Q445)</x:f>
        <x:v>2.55</x:v>
      </x:c>
      <x:c r="S445" s="32" t="n">
        <x:v>39240.90878202425</x:v>
      </x:c>
      <x:c r="T445" s="32" t="n">
        <x:v>4436.446161913075</x:v>
      </x:c>
      <x:c r="U445" s="31" t="n">
        <x:f>MAX(S445/T445,T445/S445)</x:f>
        <x:v>8.845122278031402</x:v>
      </x:c>
      <x:c r="V445" s="31" t="n">
        <x:f>L445*'Controls &amp; Summary'!$B$9+O445*'Controls &amp; Summary'!$B$10+R445*'Controls &amp; Summary'!$B$11+U445*'Controls &amp; Summary'!$B$12</x:f>
        <x:v>12.965122278031403</x:v>
      </x:c>
      <x:c r="W445" s="31" t="n">
        <x:v>5.18</x:v>
      </x:c>
      <x:c r="X445" s="31" t="n">
        <x:v>3.56</x:v>
      </x:c>
      <x:c r="Y445" s="31" t="n">
        <x:f>((10-MIN(10,MAX(0,X445)))/10)*'Controls &amp; Summary'!$B$15+((10-MIN(10,MAX(0,W445)))/10)*'Controls &amp; Summary'!$B$16</x:f>
        <x:v>1.126</x:v>
      </x:c>
      <x:c r="Z445" s="31" t="n">
        <x:f>V445*Y445</x:f>
        <x:v>14.59872768506336</x:v>
      </x:c>
      <x:c r="AA445" s="30" t="str">
        <x:f>IF(Z445&lt;=I445,"Peaceful","Hostile")</x:f>
        <x:v>Hostile</x:v>
      </x:c>
      <x:c r="AB445" s="30" t="str">
        <x:f>IF(Z445&lt;='Controls &amp; Summary'!$B$6,"Eligible","Blocked")</x:f>
        <x:v>Blocked</x:v>
      </x:c>
      <x:c r="AC445" s="30" t="str">
        <x:v>2003_USA</x:v>
      </x:c>
      <x:c r="AD445" s="30" t="str">
        <x:v>2003_JAM</x:v>
      </x:c>
      <x:c r="AE445" s="30" t="str">
        <x:v>2003_Jamaica</x:v>
      </x:c>
      <x:c r="AF445" s="30" t="str">
        <x:v>Explicit capitalClaim</x:v>
      </x:c>
      <x:c r="AG445" s="30" t="str">
        <x:v>Claim2003_USA2003_Jamaica</x:v>
      </x:c>
      <x:c r="AH445" s="30" t="str">
        <x:v>Project_GreaterUnitedNorthAmerica</x:v>
      </x:c>
    </x:row>
    <x:row r="446">
      <x:c r="A446" s="30" t="str">
        <x:v>2003</x:v>
      </x:c>
      <x:c r="B446" s="30" t="str">
        <x:v>Dark Skies</x:v>
      </x:c>
      <x:c r="C446" s="30" t="str">
        <x:v>United States of America</x:v>
      </x:c>
      <x:c r="D446" s="30" t="str">
        <x:v>Lesser Antilles States</x:v>
      </x:c>
      <x:c r="E446" s="30" t="str">
        <x:v>Project unlock</x:v>
      </x:c>
      <x:c r="F446" s="30" t="str">
        <x:v>Greater United North America</x:v>
      </x:c>
      <x:c r="G446" s="30" t="str">
        <x:v>No</x:v>
      </x:c>
      <x:c r="H446" s="30" t="str">
        <x:v>Ordinary claim</x:v>
      </x:c>
      <x:c r="I446" s="31" t="n">
        <x:f>IF(G446="Yes",'Controls &amp; Summary'!$B$5,'Controls &amp; Summary'!$B$4)</x:f>
        <x:v>6</x:v>
      </x:c>
      <x:c r="J446" s="31" t="n">
        <x:v>8.13</x:v>
      </x:c>
      <x:c r="K446" s="31" t="n">
        <x:v>7.21</x:v>
      </x:c>
      <x:c r="L446" s="31" t="n">
        <x:f>ABS(J446-K446)</x:f>
        <x:v>0.9200000000000008</x:v>
      </x:c>
      <x:c r="M446" s="31" t="n">
        <x:v>3.78</x:v>
      </x:c>
      <x:c r="N446" s="31" t="n">
        <x:v>4.34</x:v>
      </x:c>
      <x:c r="O446" s="31" t="n">
        <x:f>ABS(M446-N446)</x:f>
        <x:v>0.56</x:v>
      </x:c>
      <x:c r="P446" s="31" t="n">
        <x:v>8.44</x:v>
      </x:c>
      <x:c r="Q446" s="31" t="n">
        <x:v>6.74</x:v>
      </x:c>
      <x:c r="R446" s="31" t="n">
        <x:f>ABS(P446-Q446)</x:f>
        <x:v>1.6999999999999993</x:v>
      </x:c>
      <x:c r="S446" s="32" t="n">
        <x:v>39240.90878202425</x:v>
      </x:c>
      <x:c r="T446" s="32" t="n">
        <x:v>8943.376509169933</x:v>
      </x:c>
      <x:c r="U446" s="31" t="n">
        <x:f>MAX(S446/T446,T446/S446)</x:f>
        <x:v>4.387706225024663</x:v>
      </x:c>
      <x:c r="V446" s="31" t="n">
        <x:f>L446*'Controls &amp; Summary'!$B$9+O446*'Controls &amp; Summary'!$B$10+R446*'Controls &amp; Summary'!$B$11+U446*'Controls &amp; Summary'!$B$12</x:f>
        <x:v>7.567706225024663</x:v>
      </x:c>
      <x:c r="W446" s="31" t="n">
        <x:v>5.18</x:v>
      </x:c>
      <x:c r="X446" s="31" t="n">
        <x:v>0.96</x:v>
      </x:c>
      <x:c r="Y446" s="31" t="n">
        <x:f>((10-MIN(10,MAX(0,X446)))/10)*'Controls &amp; Summary'!$B$15+((10-MIN(10,MAX(0,W446)))/10)*'Controls &amp; Summary'!$B$16</x:f>
        <x:v>1.386</x:v>
      </x:c>
      <x:c r="Z446" s="31" t="n">
        <x:f>V446*Y446</x:f>
        <x:v>10.488840827884182</x:v>
      </x:c>
      <x:c r="AA446" s="30" t="str">
        <x:f>IF(Z446&lt;=I446,"Peaceful","Hostile")</x:f>
        <x:v>Hostile</x:v>
      </x:c>
      <x:c r="AB446" s="30" t="str">
        <x:f>IF(Z446&lt;='Controls &amp; Summary'!$B$6,"Eligible","Blocked")</x:f>
        <x:v>Eligible</x:v>
      </x:c>
      <x:c r="AC446" s="30" t="str">
        <x:v>2003_USA</x:v>
      </x:c>
      <x:c r="AD446" s="30" t="str">
        <x:v>2003_CAB</x:v>
      </x:c>
      <x:c r="AE446" s="30" t="str">
        <x:v>2003_WestIndies</x:v>
      </x:c>
      <x:c r="AF446" s="30" t="str">
        <x:v>Explicit capitalClaim</x:v>
      </x:c>
      <x:c r="AG446" s="30" t="str">
        <x:v>Claim2003_USA2003_WestIndies</x:v>
      </x:c>
      <x:c r="AH446" s="30" t="str">
        <x:v>Project_GreaterUnitedNorthAmerica</x:v>
      </x:c>
    </x:row>
    <x:row r="447">
      <x:c r="A447" s="30" t="str">
        <x:v>2003</x:v>
      </x:c>
      <x:c r="B447" s="30" t="str">
        <x:v>Dark Skies</x:v>
      </x:c>
      <x:c r="C447" s="30" t="str">
        <x:v>United States of America</x:v>
      </x:c>
      <x:c r="D447" s="30" t="str">
        <x:v>Mexico</x:v>
      </x:c>
      <x:c r="E447" s="30" t="str">
        <x:v>Project unlock</x:v>
      </x:c>
      <x:c r="F447" s="30" t="str">
        <x:v>Greater United North America</x:v>
      </x:c>
      <x:c r="G447" s="30" t="str">
        <x:v>No</x:v>
      </x:c>
      <x:c r="H447" s="30" t="str">
        <x:v>Ordinary claim</x:v>
      </x:c>
      <x:c r="I447" s="31" t="n">
        <x:f>IF(G447="Yes",'Controls &amp; Summary'!$B$5,'Controls &amp; Summary'!$B$4)</x:f>
        <x:v>6</x:v>
      </x:c>
      <x:c r="J447" s="31" t="n">
        <x:v>8.13</x:v>
      </x:c>
      <x:c r="K447" s="31" t="n">
        <x:v>6.84</x:v>
      </x:c>
      <x:c r="L447" s="31" t="n">
        <x:f>ABS(J447-K447)</x:f>
        <x:v>1.290000000000001</x:v>
      </x:c>
      <x:c r="M447" s="31" t="n">
        <x:v>3.78</x:v>
      </x:c>
      <x:c r="N447" s="31" t="n">
        <x:v>4.75</x:v>
      </x:c>
      <x:c r="O447" s="31" t="n">
        <x:f>ABS(M447-N447)</x:f>
        <x:v>0.9700000000000002</x:v>
      </x:c>
      <x:c r="P447" s="31" t="n">
        <x:v>8.44</x:v>
      </x:c>
      <x:c r="Q447" s="31" t="n">
        <x:v>6.55</x:v>
      </x:c>
      <x:c r="R447" s="31" t="n">
        <x:f>ABS(P447-Q447)</x:f>
        <x:v>1.8899999999999997</x:v>
      </x:c>
      <x:c r="S447" s="32" t="n">
        <x:v>39240.90878202425</x:v>
      </x:c>
      <x:c r="T447" s="32" t="n">
        <x:v>8347.065609297239</x:v>
      </x:c>
      <x:c r="U447" s="31" t="n">
        <x:f>MAX(S447/T447,T447/S447)</x:f>
        <x:v>4.701162135148</x:v>
      </x:c>
      <x:c r="V447" s="31" t="n">
        <x:f>L447*'Controls &amp; Summary'!$B$9+O447*'Controls &amp; Summary'!$B$10+R447*'Controls &amp; Summary'!$B$11+U447*'Controls &amp; Summary'!$B$12</x:f>
        <x:v>8.851162135148002</x:v>
      </x:c>
      <x:c r="W447" s="31" t="n">
        <x:v>5.18</x:v>
      </x:c>
      <x:c r="X447" s="31" t="n">
        <x:v>4.02</x:v>
      </x:c>
      <x:c r="Y447" s="31" t="n">
        <x:f>((10-MIN(10,MAX(0,X447)))/10)*'Controls &amp; Summary'!$B$15+((10-MIN(10,MAX(0,W447)))/10)*'Controls &amp; Summary'!$B$16</x:f>
        <x:v>1.08</x:v>
      </x:c>
      <x:c r="Z447" s="31" t="n">
        <x:f>V447*Y447</x:f>
        <x:v>9.559255105959842</x:v>
      </x:c>
      <x:c r="AA447" s="30" t="str">
        <x:f>IF(Z447&lt;=I447,"Peaceful","Hostile")</x:f>
        <x:v>Hostile</x:v>
      </x:c>
      <x:c r="AB447" s="30" t="str">
        <x:f>IF(Z447&lt;='Controls &amp; Summary'!$B$6,"Eligible","Blocked")</x:f>
        <x:v>Eligible</x:v>
      </x:c>
      <x:c r="AC447" s="30" t="str">
        <x:v>2003_USA</x:v>
      </x:c>
      <x:c r="AD447" s="30" t="str">
        <x:v>2003_MEX</x:v>
      </x:c>
      <x:c r="AE447" s="30" t="str">
        <x:v>2003_MexicoCity</x:v>
      </x:c>
      <x:c r="AF447" s="30" t="str">
        <x:v>Explicit capitalClaim</x:v>
      </x:c>
      <x:c r="AG447" s="30" t="str">
        <x:v>Claim2003_USA2003_MexicoCity</x:v>
      </x:c>
      <x:c r="AH447" s="30" t="str">
        <x:v>Project_GreaterUnitedNorthAmerica</x:v>
      </x:c>
    </x:row>
    <x:row r="448">
      <x:c r="A448" s="30" t="str">
        <x:v>2003</x:v>
      </x:c>
      <x:c r="B448" s="30" t="str">
        <x:v>Dark Skies</x:v>
      </x:c>
      <x:c r="C448" s="30" t="str">
        <x:v>United States of America</x:v>
      </x:c>
      <x:c r="D448" s="30" t="str">
        <x:v>Micronesian States</x:v>
      </x:c>
      <x:c r="E448" s="30" t="str">
        <x:v>Project unlock</x:v>
      </x:c>
      <x:c r="F448" s="30" t="str">
        <x:v>United North America</x:v>
      </x:c>
      <x:c r="G448" s="30" t="str">
        <x:v>No</x:v>
      </x:c>
      <x:c r="H448" s="30" t="str">
        <x:v>Ordinary claim</x:v>
      </x:c>
      <x:c r="I448" s="31" t="n">
        <x:f>IF(G448="Yes",'Controls &amp; Summary'!$B$5,'Controls &amp; Summary'!$B$4)</x:f>
        <x:v>6</x:v>
      </x:c>
      <x:c r="J448" s="31" t="n">
        <x:v>8.13</x:v>
      </x:c>
      <x:c r="K448" s="31" t="n">
        <x:v>9.67</x:v>
      </x:c>
      <x:c r="L448" s="31" t="n">
        <x:f>ABS(J448-K448)</x:f>
        <x:v>1.5399999999999991</x:v>
      </x:c>
      <x:c r="M448" s="31" t="n">
        <x:v>3.78</x:v>
      </x:c>
      <x:c r="N448" s="31" t="n">
        <x:v>3.93</x:v>
      </x:c>
      <x:c r="O448" s="31" t="n">
        <x:f>ABS(M448-N448)</x:f>
        <x:v>0.15000000000000036</x:v>
      </x:c>
      <x:c r="P448" s="31" t="n">
        <x:v>8.44</x:v>
      </x:c>
      <x:c r="Q448" s="31" t="n">
        <x:v>5.34</x:v>
      </x:c>
      <x:c r="R448" s="31" t="n">
        <x:f>ABS(P448-Q448)</x:f>
        <x:v>3.0999999999999996</x:v>
      </x:c>
      <x:c r="S448" s="32" t="n">
        <x:v>39240.90878202425</x:v>
      </x:c>
      <x:c r="T448" s="32" t="n">
        <x:v>2258.419207343555</x:v>
      </x:c>
      <x:c r="U448" s="31" t="n">
        <x:f>MAX(S448/T448,T448/S448)</x:f>
        <x:v>17.375387463242934</x:v>
      </x:c>
      <x:c r="V448" s="31" t="n">
        <x:f>L448*'Controls &amp; Summary'!$B$9+O448*'Controls &amp; Summary'!$B$10+R448*'Controls &amp; Summary'!$B$11+U448*'Controls &amp; Summary'!$B$12</x:f>
        <x:v>22.165387463242933</x:v>
      </x:c>
      <x:c r="W448" s="31" t="n">
        <x:v>5.18</x:v>
      </x:c>
      <x:c r="X448" s="31" t="n">
        <x:v>0.1</x:v>
      </x:c>
      <x:c r="Y448" s="31" t="n">
        <x:f>((10-MIN(10,MAX(0,X448)))/10)*'Controls &amp; Summary'!$B$15+((10-MIN(10,MAX(0,W448)))/10)*'Controls &amp; Summary'!$B$16</x:f>
        <x:v>1.472</x:v>
      </x:c>
      <x:c r="Z448" s="31" t="n">
        <x:f>V448*Y448</x:f>
        <x:v>32.6274503458936</x:v>
      </x:c>
      <x:c r="AA448" s="30" t="str">
        <x:f>IF(Z448&lt;=I448,"Peaceful","Hostile")</x:f>
        <x:v>Hostile</x:v>
      </x:c>
      <x:c r="AB448" s="30" t="str">
        <x:f>IF(Z448&lt;='Controls &amp; Summary'!$B$6,"Eligible","Blocked")</x:f>
        <x:v>Blocked</x:v>
      </x:c>
      <x:c r="AC448" s="30" t="str">
        <x:v>2003_USA</x:v>
      </x:c>
      <x:c r="AD448" s="30" t="str">
        <x:v>2003_MCS</x:v>
      </x:c>
      <x:c r="AE448" s="30" t="str">
        <x:v>2003_Micronesia</x:v>
      </x:c>
      <x:c r="AF448" s="30" t="str">
        <x:v>Explicit capitalClaim</x:v>
      </x:c>
      <x:c r="AG448" s="30" t="str">
        <x:v>Claim2003_USA2003_Micronesia</x:v>
      </x:c>
      <x:c r="AH448" s="30" t="str">
        <x:v>Project_UnitedNorthAmerica</x:v>
      </x:c>
    </x:row>
    <x:row r="449">
      <x:c r="A449" s="30" t="str">
        <x:v>2003</x:v>
      </x:c>
      <x:c r="B449" s="30" t="str">
        <x:v>Dark Skies</x:v>
      </x:c>
      <x:c r="C449" s="30" t="str">
        <x:v>United States of America</x:v>
      </x:c>
      <x:c r="D449" s="30" t="str">
        <x:v>Nicaragua</x:v>
      </x:c>
      <x:c r="E449" s="30" t="str">
        <x:v>Project unlock</x:v>
      </x:c>
      <x:c r="F449" s="30" t="str">
        <x:v>Greater United North America</x:v>
      </x:c>
      <x:c r="G449" s="30" t="str">
        <x:v>No</x:v>
      </x:c>
      <x:c r="H449" s="30" t="str">
        <x:v>Ordinary claim</x:v>
      </x:c>
      <x:c r="I449" s="31" t="n">
        <x:f>IF(G449="Yes",'Controls &amp; Summary'!$B$5,'Controls &amp; Summary'!$B$4)</x:f>
        <x:v>6</x:v>
      </x:c>
      <x:c r="J449" s="31" t="n">
        <x:v>8.13</x:v>
      </x:c>
      <x:c r="K449" s="31" t="n">
        <x:v>6.12</x:v>
      </x:c>
      <x:c r="L449" s="31" t="n">
        <x:f>ABS(J449-K449)</x:f>
        <x:v>2.0100000000000007</x:v>
      </x:c>
      <x:c r="M449" s="31" t="n">
        <x:v>3.78</x:v>
      </x:c>
      <x:c r="N449" s="31" t="n">
        <x:v>4.76</x:v>
      </x:c>
      <x:c r="O449" s="31" t="n">
        <x:f>ABS(M449-N449)</x:f>
        <x:v>0.98</x:v>
      </x:c>
      <x:c r="P449" s="31" t="n">
        <x:v>8.44</x:v>
      </x:c>
      <x:c r="Q449" s="31" t="n">
        <x:v>5.31</x:v>
      </x:c>
      <x:c r="R449" s="31" t="n">
        <x:f>ABS(P449-Q449)</x:f>
        <x:v>3.13</x:v>
      </x:c>
      <x:c r="S449" s="32" t="n">
        <x:v>39240.90878202425</x:v>
      </x:c>
      <x:c r="T449" s="32" t="n">
        <x:v>1903.0952750959852</x:v>
      </x:c>
      <x:c r="U449" s="31" t="n">
        <x:f>MAX(S449/T449,T449/S449)</x:f>
        <x:v>20.619518788960832</x:v>
      </x:c>
      <x:c r="V449" s="31" t="n">
        <x:f>L449*'Controls &amp; Summary'!$B$9+O449*'Controls &amp; Summary'!$B$10+R449*'Controls &amp; Summary'!$B$11+U449*'Controls &amp; Summary'!$B$12</x:f>
        <x:v>26.739518788960833</x:v>
      </x:c>
      <x:c r="W449" s="31" t="n">
        <x:v>5.18</x:v>
      </x:c>
      <x:c r="X449" s="31" t="n">
        <x:v>2.98</x:v>
      </x:c>
      <x:c r="Y449" s="31" t="n">
        <x:f>((10-MIN(10,MAX(0,X449)))/10)*'Controls &amp; Summary'!$B$15+((10-MIN(10,MAX(0,W449)))/10)*'Controls &amp; Summary'!$B$16</x:f>
        <x:v>1.184</x:v>
      </x:c>
      <x:c r="Z449" s="31" t="n">
        <x:f>V449*Y449</x:f>
        <x:v>31.659590246129625</x:v>
      </x:c>
      <x:c r="AA449" s="30" t="str">
        <x:f>IF(Z449&lt;=I449,"Peaceful","Hostile")</x:f>
        <x:v>Hostile</x:v>
      </x:c>
      <x:c r="AB449" s="30" t="str">
        <x:f>IF(Z449&lt;='Controls &amp; Summary'!$B$6,"Eligible","Blocked")</x:f>
        <x:v>Blocked</x:v>
      </x:c>
      <x:c r="AC449" s="30" t="str">
        <x:v>2003_USA</x:v>
      </x:c>
      <x:c r="AD449" s="30" t="str">
        <x:v>2003_NIC</x:v>
      </x:c>
      <x:c r="AE449" s="30" t="str">
        <x:v>2003_Nicaragua</x:v>
      </x:c>
      <x:c r="AF449" s="30" t="str">
        <x:v>Explicit capitalClaim</x:v>
      </x:c>
      <x:c r="AG449" s="30" t="str">
        <x:v>Claim2003_USA2003_Nicaragua</x:v>
      </x:c>
      <x:c r="AH449" s="30" t="str">
        <x:v>Project_GreaterUnitedNorthAmerica</x:v>
      </x:c>
    </x:row>
    <x:row r="450">
      <x:c r="A450" s="30" t="str">
        <x:v>2003</x:v>
      </x:c>
      <x:c r="B450" s="30" t="str">
        <x:v>Dark Skies</x:v>
      </x:c>
      <x:c r="C450" s="30" t="str">
        <x:v>United States of America</x:v>
      </x:c>
      <x:c r="D450" s="30" t="str">
        <x:v>Panama</x:v>
      </x:c>
      <x:c r="E450" s="30" t="str">
        <x:v>Project unlock</x:v>
      </x:c>
      <x:c r="F450" s="30" t="str">
        <x:v>Greater United North America</x:v>
      </x:c>
      <x:c r="G450" s="30" t="str">
        <x:v>No</x:v>
      </x:c>
      <x:c r="H450" s="30" t="str">
        <x:v>Ordinary claim</x:v>
      </x:c>
      <x:c r="I450" s="31" t="n">
        <x:f>IF(G450="Yes",'Controls &amp; Summary'!$B$5,'Controls &amp; Summary'!$B$4)</x:f>
        <x:v>6</x:v>
      </x:c>
      <x:c r="J450" s="31" t="n">
        <x:v>8.13</x:v>
      </x:c>
      <x:c r="K450" s="31" t="n">
        <x:v>7.33</x:v>
      </x:c>
      <x:c r="L450" s="31" t="n">
        <x:f>ABS(J450-K450)</x:f>
        <x:v>0.8000000000000007</x:v>
      </x:c>
      <x:c r="M450" s="31" t="n">
        <x:v>3.78</x:v>
      </x:c>
      <x:c r="N450" s="31" t="n">
        <x:v>5.1</x:v>
      </x:c>
      <x:c r="O450" s="31" t="n">
        <x:f>ABS(M450-N450)</x:f>
        <x:v>1.3199999999999998</x:v>
      </x:c>
      <x:c r="P450" s="31" t="n">
        <x:v>8.44</x:v>
      </x:c>
      <x:c r="Q450" s="31" t="n">
        <x:v>6.63</x:v>
      </x:c>
      <x:c r="R450" s="31" t="n">
        <x:f>ABS(P450-Q450)</x:f>
        <x:v>1.8099999999999996</x:v>
      </x:c>
      <x:c r="S450" s="32" t="n">
        <x:v>39240.90878202425</x:v>
      </x:c>
      <x:c r="T450" s="32" t="n">
        <x:v>7326.3337383735125</x:v>
      </x:c>
      <x:c r="U450" s="31" t="n">
        <x:f>MAX(S450/T450,T450/S450)</x:f>
        <x:v>5.356145404145342</x:v>
      </x:c>
      <x:c r="V450" s="31" t="n">
        <x:f>L450*'Controls &amp; Summary'!$B$9+O450*'Controls &amp; Summary'!$B$10+R450*'Controls &amp; Summary'!$B$11+U450*'Controls &amp; Summary'!$B$12</x:f>
        <x:v>9.286145404145342</x:v>
      </x:c>
      <x:c r="W450" s="31" t="n">
        <x:v>5.18</x:v>
      </x:c>
      <x:c r="X450" s="31" t="n">
        <x:v>1.67</x:v>
      </x:c>
      <x:c r="Y450" s="31" t="n">
        <x:f>((10-MIN(10,MAX(0,X450)))/10)*'Controls &amp; Summary'!$B$15+((10-MIN(10,MAX(0,W450)))/10)*'Controls &amp; Summary'!$B$16</x:f>
        <x:v>1.315</x:v>
      </x:c>
      <x:c r="Z450" s="31" t="n">
        <x:f>V450*Y450</x:f>
        <x:v>12.211281206451124</x:v>
      </x:c>
      <x:c r="AA450" s="30" t="str">
        <x:f>IF(Z450&lt;=I450,"Peaceful","Hostile")</x:f>
        <x:v>Hostile</x:v>
      </x:c>
      <x:c r="AB450" s="30" t="str">
        <x:f>IF(Z450&lt;='Controls &amp; Summary'!$B$6,"Eligible","Blocked")</x:f>
        <x:v>Blocked</x:v>
      </x:c>
      <x:c r="AC450" s="30" t="str">
        <x:v>2003_USA</x:v>
      </x:c>
      <x:c r="AD450" s="30" t="str">
        <x:v>2003_PAN</x:v>
      </x:c>
      <x:c r="AE450" s="30" t="str">
        <x:v>2003_Panama</x:v>
      </x:c>
      <x:c r="AF450" s="30" t="str">
        <x:v>Explicit capitalClaim</x:v>
      </x:c>
      <x:c r="AG450" s="30" t="str">
        <x:v>Claim2003_USA2003_Panama</x:v>
      </x:c>
      <x:c r="AH450" s="30" t="str">
        <x:v>Project_GreaterUnitedNorthAmerica</x:v>
      </x:c>
    </x:row>
    <x:row r="451">
      <x:c r="A451" s="30" t="str">
        <x:v>2003</x:v>
      </x:c>
      <x:c r="B451" s="30" t="str">
        <x:v>Dark Skies</x:v>
      </x:c>
      <x:c r="C451" s="30" t="str">
        <x:v>Venezuela</x:v>
      </x:c>
      <x:c r="D451" s="30" t="str">
        <x:v>Guyana</x:v>
      </x:c>
      <x:c r="E451" s="30" t="str">
        <x:v>Starting claim</x:v>
      </x:c>
      <x:c r="F451" s="30" t="str"/>
      <x:c r="G451" s="30" t="str">
        <x:v>Yes</x:v>
      </x:c>
      <x:c r="H451" s="30" t="str">
        <x:v>Approved bilateral grievance</x:v>
      </x:c>
      <x:c r="I451" s="31" t="n">
        <x:f>IF(G451="Yes",'Controls &amp; Summary'!$B$5,'Controls &amp; Summary'!$B$4)</x:f>
        <x:v>3</x:v>
      </x:c>
      <x:c r="J451" s="31" t="n">
        <x:v>5.99</x:v>
      </x:c>
      <x:c r="K451" s="31" t="n">
        <x:v>6.17</x:v>
      </x:c>
      <x:c r="L451" s="31" t="n">
        <x:f>ABS(J451-K451)</x:f>
        <x:v>0.17999999999999972</x:v>
      </x:c>
      <x:c r="M451" s="31" t="n">
        <x:v>4.23</x:v>
      </x:c>
      <x:c r="N451" s="31" t="n">
        <x:v>4.63</x:v>
      </x:c>
      <x:c r="O451" s="31" t="n">
        <x:f>ABS(M451-N451)</x:f>
        <x:v>0.39999999999999947</x:v>
      </x:c>
      <x:c r="P451" s="31" t="n">
        <x:v>6.32</x:v>
      </x:c>
      <x:c r="Q451" s="31" t="n">
        <x:v>5</x:v>
      </x:c>
      <x:c r="R451" s="31" t="n">
        <x:f>ABS(P451-Q451)</x:f>
        <x:v>1.3200000000000003</x:v>
      </x:c>
      <x:c r="S451" s="32" t="n">
        <x:v>5903.264019519322</x:v>
      </x:c>
      <x:c r="T451" s="32" t="n">
        <x:v>3560.418691627976</x:v>
      </x:c>
      <x:c r="U451" s="31" t="n">
        <x:f>MAX(S451/T451,T451/S451)</x:f>
        <x:v>1.6580252298417455</x:v>
      </x:c>
      <x:c r="V451" s="31" t="n">
        <x:f>L451*'Controls &amp; Summary'!$B$9+O451*'Controls &amp; Summary'!$B$10+R451*'Controls &amp; Summary'!$B$11+U451*'Controls &amp; Summary'!$B$12</x:f>
        <x:v>3.558025229841745</x:v>
      </x:c>
      <x:c r="W451" s="31" t="n">
        <x:v>1.75</x:v>
      </x:c>
      <x:c r="X451" s="31" t="n">
        <x:v>3.01</x:v>
      </x:c>
      <x:c r="Y451" s="31" t="n">
        <x:f>((10-MIN(10,MAX(0,X451)))/10)*'Controls &amp; Summary'!$B$15+((10-MIN(10,MAX(0,W451)))/10)*'Controls &amp; Summary'!$B$16</x:f>
        <x:v>1.524</x:v>
      </x:c>
      <x:c r="Z451" s="31" t="n">
        <x:f>V451*Y451</x:f>
        <x:v>5.422430450278819</x:v>
      </x:c>
      <x:c r="AA451" s="30" t="str">
        <x:f>IF(Z451&lt;=I451,"Peaceful","Hostile")</x:f>
        <x:v>Hostile</x:v>
      </x:c>
      <x:c r="AB451" s="30" t="str">
        <x:f>IF(Z451&lt;='Controls &amp; Summary'!$B$6,"Eligible","Blocked")</x:f>
        <x:v>Eligible</x:v>
      </x:c>
      <x:c r="AC451" s="30" t="str">
        <x:v>2003_VEN</x:v>
      </x:c>
      <x:c r="AD451" s="30" t="str">
        <x:v>2003_GUY</x:v>
      </x:c>
      <x:c r="AE451" s="30" t="str">
        <x:v>2003_Guyana</x:v>
      </x:c>
      <x:c r="AF451" s="30" t="str">
        <x:v>Explicit capitalClaim</x:v>
      </x:c>
      <x:c r="AG451" s="30" t="str">
        <x:v>Claim2003_VEN2003_Guyana</x:v>
      </x:c>
      <x:c r="AH451" s="30" t="str"/>
    </x:row>
    <x:row r="452">
      <x:c r="A452" s="30" t="str">
        <x:v>2003</x:v>
      </x:c>
      <x:c r="B452" s="30" t="str">
        <x:v>Dark Skies</x:v>
      </x:c>
      <x:c r="C452" s="30" t="str">
        <x:v>Vietnam</x:v>
      </x:c>
      <x:c r="D452" s="30" t="str">
        <x:v>Cambodia</x:v>
      </x:c>
      <x:c r="E452" s="30" t="str">
        <x:v>Project unlock</x:v>
      </x:c>
      <x:c r="F452" s="30" t="str">
        <x:v>A Period of Unity</x:v>
      </x:c>
      <x:c r="G452" s="30" t="str">
        <x:v>No</x:v>
      </x:c>
      <x:c r="H452" s="30" t="str">
        <x:v>Ordinary claim</x:v>
      </x:c>
      <x:c r="I452" s="31" t="n">
        <x:f>IF(G452="Yes",'Controls &amp; Summary'!$B$5,'Controls &amp; Summary'!$B$4)</x:f>
        <x:v>6</x:v>
      </x:c>
      <x:c r="J452" s="31" t="n">
        <x:v>2.62</x:v>
      </x:c>
      <x:c r="K452" s="31" t="n">
        <x:v>4.79</x:v>
      </x:c>
      <x:c r="L452" s="31" t="n">
        <x:f>ABS(J452-K452)</x:f>
        <x:v>2.17</x:v>
      </x:c>
      <x:c r="M452" s="31" t="n">
        <x:v>3.7</x:v>
      </x:c>
      <x:c r="N452" s="31" t="n">
        <x:v>3.66</x:v>
      </x:c>
      <x:c r="O452" s="31" t="n">
        <x:f>ABS(M452-N452)</x:f>
        <x:v>0.040000000000000036</x:v>
      </x:c>
      <x:c r="P452" s="31" t="n">
        <x:v>5.47</x:v>
      </x:c>
      <x:c r="Q452" s="31" t="n">
        <x:v>3.91</x:v>
      </x:c>
      <x:c r="R452" s="31" t="n">
        <x:f>ABS(P452-Q452)</x:f>
        <x:v>1.5599999999999996</x:v>
      </x:c>
      <x:c r="S452" s="32" t="n">
        <x:v>2037.8370385307373</x:v>
      </x:c>
      <x:c r="T452" s="32" t="n">
        <x:v>932.6905575126688</x:v>
      </x:c>
      <x:c r="U452" s="31" t="n">
        <x:f>MAX(S452/T452,T452/S452)</x:f>
        <x:v>2.1849015432999677</x:v>
      </x:c>
      <x:c r="V452" s="31" t="n">
        <x:f>L452*'Controls &amp; Summary'!$B$9+O452*'Controls &amp; Summary'!$B$10+R452*'Controls &amp; Summary'!$B$11+U452*'Controls &amp; Summary'!$B$12</x:f>
        <x:v>5.954901543299967</x:v>
      </x:c>
      <x:c r="W452" s="31" t="n">
        <x:v>3.08</x:v>
      </x:c>
      <x:c r="X452" s="31" t="n">
        <x:v>1.96</x:v>
      </x:c>
      <x:c r="Y452" s="31" t="n">
        <x:f>((10-MIN(10,MAX(0,X452)))/10)*'Controls &amp; Summary'!$B$15+((10-MIN(10,MAX(0,W452)))/10)*'Controls &amp; Summary'!$B$16</x:f>
        <x:v>1.496</x:v>
      </x:c>
      <x:c r="Z452" s="31" t="n">
        <x:f>V452*Y452</x:f>
        <x:v>8.90853270877675</x:v>
      </x:c>
      <x:c r="AA452" s="30" t="str">
        <x:f>IF(Z452&lt;=I452,"Peaceful","Hostile")</x:f>
        <x:v>Hostile</x:v>
      </x:c>
      <x:c r="AB452" s="30" t="str">
        <x:f>IF(Z452&lt;='Controls &amp; Summary'!$B$6,"Eligible","Blocked")</x:f>
        <x:v>Eligible</x:v>
      </x:c>
      <x:c r="AC452" s="30" t="str">
        <x:v>2003_VNM</x:v>
      </x:c>
      <x:c r="AD452" s="30" t="str">
        <x:v>2003_KHM</x:v>
      </x:c>
      <x:c r="AE452" s="30" t="str">
        <x:v>2003_Cambodia</x:v>
      </x:c>
      <x:c r="AF452" s="30" t="str">
        <x:v>Explicit capitalClaim</x:v>
      </x:c>
      <x:c r="AG452" s="30" t="str">
        <x:v>Claim2003_VNM2003_Cambodia</x:v>
      </x:c>
      <x:c r="AH452" s="30" t="str">
        <x:v>Project_APeriodofUnity</x:v>
      </x:c>
    </x:row>
    <x:row r="453">
      <x:c r="A453" s="30" t="str">
        <x:v>2003</x:v>
      </x:c>
      <x:c r="B453" s="30" t="str">
        <x:v>Dark Skies</x:v>
      </x:c>
      <x:c r="C453" s="30" t="str">
        <x:v>Vietnam</x:v>
      </x:c>
      <x:c r="D453" s="30" t="str">
        <x:v>Laos</x:v>
      </x:c>
      <x:c r="E453" s="30" t="str">
        <x:v>Project unlock</x:v>
      </x:c>
      <x:c r="F453" s="30" t="str">
        <x:v>A Period of Unity</x:v>
      </x:c>
      <x:c r="G453" s="30" t="str">
        <x:v>No</x:v>
      </x:c>
      <x:c r="H453" s="30" t="str">
        <x:v>Ordinary claim</x:v>
      </x:c>
      <x:c r="I453" s="31" t="n">
        <x:f>IF(G453="Yes",'Controls &amp; Summary'!$B$5,'Controls &amp; Summary'!$B$4)</x:f>
        <x:v>6</x:v>
      </x:c>
      <x:c r="J453" s="31" t="n">
        <x:v>2.62</x:v>
      </x:c>
      <x:c r="K453" s="31" t="n">
        <x:v>2.1</x:v>
      </x:c>
      <x:c r="L453" s="31" t="n">
        <x:f>ABS(J453-K453)</x:f>
        <x:v>0.52</x:v>
      </x:c>
      <x:c r="M453" s="31" t="n">
        <x:v>3.7</x:v>
      </x:c>
      <x:c r="N453" s="31" t="n">
        <x:v>3.54</x:v>
      </x:c>
      <x:c r="O453" s="31" t="n">
        <x:f>ABS(M453-N453)</x:f>
        <x:v>0.16000000000000014</x:v>
      </x:c>
      <x:c r="P453" s="31" t="n">
        <x:v>5.47</x:v>
      </x:c>
      <x:c r="Q453" s="31" t="n">
        <x:v>4</x:v>
      </x:c>
      <x:c r="R453" s="31" t="n">
        <x:f>ABS(P453-Q453)</x:f>
        <x:v>1.4699999999999998</x:v>
      </x:c>
      <x:c r="S453" s="32" t="n">
        <x:v>2037.8370385307373</x:v>
      </x:c>
      <x:c r="T453" s="32" t="n">
        <x:v>1415.6124481721042</x:v>
      </x:c>
      <x:c r="U453" s="31" t="n">
        <x:f>MAX(S453/T453,T453/S453)</x:f>
        <x:v>1.4395444467601812</x:v>
      </x:c>
      <x:c r="V453" s="31" t="n">
        <x:f>L453*'Controls &amp; Summary'!$B$9+O453*'Controls &amp; Summary'!$B$10+R453*'Controls &amp; Summary'!$B$11+U453*'Controls &amp; Summary'!$B$12</x:f>
        <x:v>3.589544446760181</x:v>
      </x:c>
      <x:c r="W453" s="31" t="n">
        <x:v>3.08</x:v>
      </x:c>
      <x:c r="X453" s="31" t="n">
        <x:v>3.68</x:v>
      </x:c>
      <x:c r="Y453" s="31" t="n">
        <x:f>((10-MIN(10,MAX(0,X453)))/10)*'Controls &amp; Summary'!$B$15+((10-MIN(10,MAX(0,W453)))/10)*'Controls &amp; Summary'!$B$16</x:f>
        <x:v>1.3239999999999998</x:v>
      </x:c>
      <x:c r="Z453" s="31" t="n">
        <x:f>V453*Y453</x:f>
        <x:v>4.752556847510479</x:v>
      </x:c>
      <x:c r="AA453" s="30" t="str">
        <x:f>IF(Z453&lt;=I453,"Peaceful","Hostile")</x:f>
        <x:v>Peaceful</x:v>
      </x:c>
      <x:c r="AB453" s="30" t="str">
        <x:f>IF(Z453&lt;='Controls &amp; Summary'!$B$6,"Eligible","Blocked")</x:f>
        <x:v>Eligible</x:v>
      </x:c>
      <x:c r="AC453" s="30" t="str">
        <x:v>2003_VNM</x:v>
      </x:c>
      <x:c r="AD453" s="30" t="str">
        <x:v>2003_LAO</x:v>
      </x:c>
      <x:c r="AE453" s="30" t="str">
        <x:v>2003_Laos</x:v>
      </x:c>
      <x:c r="AF453" s="30" t="str">
        <x:v>Explicit capitalClaim</x:v>
      </x:c>
      <x:c r="AG453" s="30" t="str">
        <x:v>Claim2003_VNM2003_Laos</x:v>
      </x:c>
      <x:c r="AH453" s="30" t="str">
        <x:v>Project_APeriodofUnity</x:v>
      </x:c>
    </x:row>
    <x:row r="454">
      <x:c r="A454" s="30" t="str">
        <x:v>2022</x:v>
      </x:c>
      <x:c r="B454" s="30" t="str">
        <x:v>Base game</x:v>
      </x:c>
      <x:c r="C454" s="30" t="str">
        <x:v>Albania</x:v>
      </x:c>
      <x:c r="D454" s="30" t="str">
        <x:v>Kosovo</x:v>
      </x:c>
      <x:c r="E454" s="30" t="str">
        <x:v>Starting claim</x:v>
      </x:c>
      <x:c r="F454" s="30" t="str"/>
      <x:c r="G454" s="30" t="str">
        <x:v>No</x:v>
      </x:c>
      <x:c r="H454" s="30" t="str">
        <x:v>Ordinary claim</x:v>
      </x:c>
      <x:c r="I454" s="31" t="n">
        <x:f>IF(G454="Yes",'Controls &amp; Summary'!$B$5,'Controls &amp; Summary'!$B$4)</x:f>
        <x:v>6</x:v>
      </x:c>
      <x:c r="J454" s="31" t="n">
        <x:v>6.11</x:v>
      </x:c>
      <x:c r="K454" s="31" t="n">
        <x:v>5.6</x:v>
      </x:c>
      <x:c r="L454" s="31" t="n">
        <x:f>ABS(J454-K454)</x:f>
        <x:v>0.5100000000000007</x:v>
      </x:c>
      <x:c r="M454" s="31" t="n">
        <x:v>3.08</x:v>
      </x:c>
      <x:c r="N454" s="31" t="n">
        <x:v>2.9</x:v>
      </x:c>
      <x:c r="O454" s="31" t="n">
        <x:f>ABS(M454-N454)</x:f>
        <x:v>0.18000000000000016</x:v>
      </x:c>
      <x:c r="P454" s="31" t="n">
        <x:v>7.46</x:v>
      </x:c>
      <x:c r="Q454" s="31" t="n">
        <x:v>7.83</x:v>
      </x:c>
      <x:c r="R454" s="31" t="n">
        <x:f>ABS(P454-Q454)</x:f>
        <x:v>0.3700000000000001</x:v>
      </x:c>
      <x:c r="S454" s="32" t="n">
        <x:v>15308.058559743784</x:v>
      </x:c>
      <x:c r="T454" s="32" t="n">
        <x:v>12530.834815529708</x:v>
      </x:c>
      <x:c r="U454" s="31" t="n">
        <x:f>MAX(S454/T454,T454/S454)</x:f>
        <x:v>1.2216311830056372</x:v>
      </x:c>
      <x:c r="V454" s="31" t="n">
        <x:f>L454*'Controls &amp; Summary'!$B$9+O454*'Controls &amp; Summary'!$B$10+R454*'Controls &amp; Summary'!$B$11+U454*'Controls &amp; Summary'!$B$12</x:f>
        <x:v>2.281631183005638</x:v>
      </x:c>
      <x:c r="W454" s="31" t="n">
        <x:v>3</x:v>
      </x:c>
      <x:c r="X454" s="31" t="n">
        <x:v>2</x:v>
      </x:c>
      <x:c r="Y454" s="31" t="n">
        <x:f>((10-MIN(10,MAX(0,X454)))/10)*'Controls &amp; Summary'!$B$15+((10-MIN(10,MAX(0,W454)))/10)*'Controls &amp; Summary'!$B$16</x:f>
        <x:v>1.5</x:v>
      </x:c>
      <x:c r="Z454" s="31" t="n">
        <x:f>V454*Y454</x:f>
        <x:v>3.4224467745084572</x:v>
      </x:c>
      <x:c r="AA454" s="30" t="str">
        <x:f>IF(Z454&lt;=I454,"Peaceful","Hostile")</x:f>
        <x:v>Peaceful</x:v>
      </x:c>
      <x:c r="AB454" s="30" t="str">
        <x:f>IF(Z454&lt;='Controls &amp; Summary'!$B$6,"Eligible","Blocked")</x:f>
        <x:v>Eligible</x:v>
      </x:c>
      <x:c r="AC454" s="30" t="str">
        <x:v>SBK</x:v>
      </x:c>
      <x:c r="AD454" s="30" t="str">
        <x:v>KOS</x:v>
      </x:c>
      <x:c r="AE454" s="30" t="str">
        <x:v>Kosovo</x:v>
      </x:c>
      <x:c r="AF454" s="30" t="str">
        <x:v>Explicit capitalClaim</x:v>
      </x:c>
      <x:c r="AG454" s="30" t="str">
        <x:v>ClaimSBKKosovo</x:v>
      </x:c>
      <x:c r="AH454" s="30" t="str"/>
    </x:row>
    <x:row r="455">
      <x:c r="A455" s="30" t="str">
        <x:v>2022</x:v>
      </x:c>
      <x:c r="B455" s="30" t="str">
        <x:v>Base game</x:v>
      </x:c>
      <x:c r="C455" s="30" t="str">
        <x:v>Algeria</x:v>
      </x:c>
      <x:c r="D455" s="30" t="str">
        <x:v>Libya</x:v>
      </x:c>
      <x:c r="E455" s="30" t="str">
        <x:v>Project unlock</x:v>
      </x:c>
      <x:c r="F455" s="30" t="str">
        <x:v>Regional African Unions</x:v>
      </x:c>
      <x:c r="G455" s="30" t="str">
        <x:v>No</x:v>
      </x:c>
      <x:c r="H455" s="30" t="str">
        <x:v>Ordinary claim</x:v>
      </x:c>
      <x:c r="I455" s="31" t="n">
        <x:f>IF(G455="Yes",'Controls &amp; Summary'!$B$5,'Controls &amp; Summary'!$B$4)</x:f>
        <x:v>6</x:v>
      </x:c>
      <x:c r="J455" s="31" t="n">
        <x:v>3.77</x:v>
      </x:c>
      <x:c r="K455" s="31" t="n">
        <x:v>1.95</x:v>
      </x:c>
      <x:c r="L455" s="31" t="n">
        <x:f>ABS(J455-K455)</x:f>
        <x:v>1.82</x:v>
      </x:c>
      <x:c r="M455" s="31" t="n">
        <x:v>2.76</x:v>
      </x:c>
      <x:c r="N455" s="31" t="n">
        <x:v>3.07</x:v>
      </x:c>
      <x:c r="O455" s="31" t="n">
        <x:f>ABS(M455-N455)</x:f>
        <x:v>0.31000000000000005</x:v>
      </x:c>
      <x:c r="P455" s="31" t="n">
        <x:v>6.72</x:v>
      </x:c>
      <x:c r="Q455" s="31" t="n">
        <x:v>6.1</x:v>
      </x:c>
      <x:c r="R455" s="31" t="n">
        <x:f>ABS(P455-Q455)</x:f>
        <x:v>0.6200000000000001</x:v>
      </x:c>
      <x:c r="S455" s="32" t="n">
        <x:v>11317.538852483374</x:v>
      </x:c>
      <x:c r="T455" s="32" t="n">
        <x:v>12220.883315648745</x:v>
      </x:c>
      <x:c r="U455" s="31" t="n">
        <x:f>MAX(S455/T455,T455/S455)</x:f>
        <x:v>1.0798181013504675</x:v>
      </x:c>
      <x:c r="V455" s="31" t="n">
        <x:f>L455*'Controls &amp; Summary'!$B$9+O455*'Controls &amp; Summary'!$B$10+R455*'Controls &amp; Summary'!$B$11+U455*'Controls &amp; Summary'!$B$12</x:f>
        <x:v>3.8298181013504675</x:v>
      </x:c>
      <x:c r="W455" s="31" t="n">
        <x:v>4</x:v>
      </x:c>
      <x:c r="X455" s="31" t="n">
        <x:v>8</x:v>
      </x:c>
      <x:c r="Y455" s="31" t="n">
        <x:f>((10-MIN(10,MAX(0,X455)))/10)*'Controls &amp; Summary'!$B$15+((10-MIN(10,MAX(0,W455)))/10)*'Controls &amp; Summary'!$B$16</x:f>
        <x:v>0.8</x:v>
      </x:c>
      <x:c r="Z455" s="31" t="n">
        <x:f>V455*Y455</x:f>
        <x:v>3.0638544810803743</x:v>
      </x:c>
      <x:c r="AA455" s="30" t="str">
        <x:f>IF(Z455&lt;=I455,"Peaceful","Hostile")</x:f>
        <x:v>Peaceful</x:v>
      </x:c>
      <x:c r="AB455" s="30" t="str">
        <x:f>IF(Z455&lt;='Controls &amp; Summary'!$B$6,"Eligible","Blocked")</x:f>
        <x:v>Eligible</x:v>
      </x:c>
      <x:c r="AC455" s="30" t="str">
        <x:v>DZA</x:v>
      </x:c>
      <x:c r="AD455" s="30" t="str">
        <x:v>LBY</x:v>
      </x:c>
      <x:c r="AE455" s="30" t="str">
        <x:v>Libya</x:v>
      </x:c>
      <x:c r="AF455" s="30" t="str">
        <x:v>Explicit capitalClaim</x:v>
      </x:c>
      <x:c r="AG455" s="30" t="str">
        <x:v>ClaimDZALibya</x:v>
      </x:c>
      <x:c r="AH455" s="30" t="str">
        <x:v>Project_RegionalAfricanUnions</x:v>
      </x:c>
    </x:row>
    <x:row r="456">
      <x:c r="A456" s="30" t="str">
        <x:v>2022</x:v>
      </x:c>
      <x:c r="B456" s="30" t="str">
        <x:v>Base game</x:v>
      </x:c>
      <x:c r="C456" s="30" t="str">
        <x:v>Algeria</x:v>
      </x:c>
      <x:c r="D456" s="30" t="str">
        <x:v>Mauritania</x:v>
      </x:c>
      <x:c r="E456" s="30" t="str">
        <x:v>Project unlock</x:v>
      </x:c>
      <x:c r="F456" s="30" t="str">
        <x:v>Regional African Unions</x:v>
      </x:c>
      <x:c r="G456" s="30" t="str">
        <x:v>No</x:v>
      </x:c>
      <x:c r="H456" s="30" t="str">
        <x:v>Ordinary claim</x:v>
      </x:c>
      <x:c r="I456" s="31" t="n">
        <x:f>IF(G456="Yes",'Controls &amp; Summary'!$B$5,'Controls &amp; Summary'!$B$4)</x:f>
        <x:v>6</x:v>
      </x:c>
      <x:c r="J456" s="31" t="n">
        <x:v>3.77</x:v>
      </x:c>
      <x:c r="K456" s="31" t="n">
        <x:v>4.03</x:v>
      </x:c>
      <x:c r="L456" s="31" t="n">
        <x:f>ABS(J456-K456)</x:f>
        <x:v>0.26000000000000023</x:v>
      </x:c>
      <x:c r="M456" s="31" t="n">
        <x:v>2.76</x:v>
      </x:c>
      <x:c r="N456" s="31" t="n">
        <x:v>3.26</x:v>
      </x:c>
      <x:c r="O456" s="31" t="n">
        <x:f>ABS(M456-N456)</x:f>
        <x:v>0.5</x:v>
      </x:c>
      <x:c r="P456" s="31" t="n">
        <x:v>6.72</x:v>
      </x:c>
      <x:c r="Q456" s="31" t="n">
        <x:v>3.96</x:v>
      </x:c>
      <x:c r="R456" s="31" t="n">
        <x:f>ABS(P456-Q456)</x:f>
        <x:v>2.76</x:v>
      </x:c>
      <x:c r="S456" s="32" t="n">
        <x:v>11317.538852483374</x:v>
      </x:c>
      <x:c r="T456" s="32" t="n">
        <x:v>5340.571226487944</x:v>
      </x:c>
      <x:c r="U456" s="31" t="n">
        <x:f>MAX(S456/T456,T456/S456)</x:f>
        <x:v>2.1191626087395137</x:v>
      </x:c>
      <x:c r="V456" s="31" t="n">
        <x:f>L456*'Controls &amp; Summary'!$B$9+O456*'Controls &amp; Summary'!$B$10+R456*'Controls &amp; Summary'!$B$11+U456*'Controls &amp; Summary'!$B$12</x:f>
        <x:v>5.639162608739514</x:v>
      </x:c>
      <x:c r="W456" s="31" t="n">
        <x:v>4</x:v>
      </x:c>
      <x:c r="X456" s="31" t="n">
        <x:v>3</x:v>
      </x:c>
      <x:c r="Y456" s="31" t="n">
        <x:f>((10-MIN(10,MAX(0,X456)))/10)*'Controls &amp; Summary'!$B$15+((10-MIN(10,MAX(0,W456)))/10)*'Controls &amp; Summary'!$B$16</x:f>
        <x:v>1.2999999999999998</x:v>
      </x:c>
      <x:c r="Z456" s="31" t="n">
        <x:f>V456*Y456</x:f>
        <x:v>7.330911391361367</x:v>
      </x:c>
      <x:c r="AA456" s="30" t="str">
        <x:f>IF(Z456&lt;=I456,"Peaceful","Hostile")</x:f>
        <x:v>Hostile</x:v>
      </x:c>
      <x:c r="AB456" s="30" t="str">
        <x:f>IF(Z456&lt;='Controls &amp; Summary'!$B$6,"Eligible","Blocked")</x:f>
        <x:v>Eligible</x:v>
      </x:c>
      <x:c r="AC456" s="30" t="str">
        <x:v>DZA</x:v>
      </x:c>
      <x:c r="AD456" s="30" t="str">
        <x:v>MRT</x:v>
      </x:c>
      <x:c r="AE456" s="30" t="str">
        <x:v>Mauritania</x:v>
      </x:c>
      <x:c r="AF456" s="30" t="str">
        <x:v>Explicit capitalClaim</x:v>
      </x:c>
      <x:c r="AG456" s="30" t="str">
        <x:v>ClaimDZAMauritania</x:v>
      </x:c>
      <x:c r="AH456" s="30" t="str">
        <x:v>Project_RegionalAfricanUnions</x:v>
      </x:c>
    </x:row>
    <x:row r="457">
      <x:c r="A457" s="30" t="str">
        <x:v>2022</x:v>
      </x:c>
      <x:c r="B457" s="30" t="str">
        <x:v>Base game</x:v>
      </x:c>
      <x:c r="C457" s="30" t="str">
        <x:v>Algeria</x:v>
      </x:c>
      <x:c r="D457" s="30" t="str">
        <x:v>Morocco</x:v>
      </x:c>
      <x:c r="E457" s="30" t="str">
        <x:v>Project unlock</x:v>
      </x:c>
      <x:c r="F457" s="30" t="str">
        <x:v>Regional African Unions</x:v>
      </x:c>
      <x:c r="G457" s="30" t="str">
        <x:v>No</x:v>
      </x:c>
      <x:c r="H457" s="30" t="str">
        <x:v>Ordinary claim</x:v>
      </x:c>
      <x:c r="I457" s="31" t="n">
        <x:f>IF(G457="Yes",'Controls &amp; Summary'!$B$5,'Controls &amp; Summary'!$B$4)</x:f>
        <x:v>6</x:v>
      </x:c>
      <x:c r="J457" s="31" t="n">
        <x:v>3.77</x:v>
      </x:c>
      <x:c r="K457" s="31" t="n">
        <x:v>5.04</x:v>
      </x:c>
      <x:c r="L457" s="31" t="n">
        <x:f>ABS(J457-K457)</x:f>
        <x:v>1.27</x:v>
      </x:c>
      <x:c r="M457" s="31" t="n">
        <x:v>2.76</x:v>
      </x:c>
      <x:c r="N457" s="31" t="n">
        <x:v>3.95</x:v>
      </x:c>
      <x:c r="O457" s="31" t="n">
        <x:f>ABS(M457-N457)</x:f>
        <x:v>1.1900000000000004</x:v>
      </x:c>
      <x:c r="P457" s="31" t="n">
        <x:v>6.72</x:v>
      </x:c>
      <x:c r="Q457" s="31" t="n">
        <x:v>5.69</x:v>
      </x:c>
      <x:c r="R457" s="31" t="n">
        <x:f>ABS(P457-Q457)</x:f>
        <x:v>1.0299999999999994</x:v>
      </x:c>
      <x:c r="S457" s="32" t="n">
        <x:v>11317.538852483374</x:v>
      </x:c>
      <x:c r="T457" s="32" t="n">
        <x:v>7570.810298699158</x:v>
      </x:c>
      <x:c r="U457" s="31" t="n">
        <x:f>MAX(S457/T457,T457/S457)</x:f>
        <x:v>1.494891353231766</x:v>
      </x:c>
      <x:c r="V457" s="31" t="n">
        <x:f>L457*'Controls &amp; Summary'!$B$9+O457*'Controls &amp; Summary'!$B$10+R457*'Controls &amp; Summary'!$B$11+U457*'Controls &amp; Summary'!$B$12</x:f>
        <x:v>4.984891353231766</x:v>
      </x:c>
      <x:c r="W457" s="31" t="n">
        <x:v>4</x:v>
      </x:c>
      <x:c r="X457" s="31" t="n">
        <x:v>2</x:v>
      </x:c>
      <x:c r="Y457" s="31" t="n">
        <x:f>((10-MIN(10,MAX(0,X457)))/10)*'Controls &amp; Summary'!$B$15+((10-MIN(10,MAX(0,W457)))/10)*'Controls &amp; Summary'!$B$16</x:f>
        <x:v>1.4</x:v>
      </x:c>
      <x:c r="Z457" s="31" t="n">
        <x:f>V457*Y457</x:f>
        <x:v>6.978847894524471</x:v>
      </x:c>
      <x:c r="AA457" s="30" t="str">
        <x:f>IF(Z457&lt;=I457,"Peaceful","Hostile")</x:f>
        <x:v>Hostile</x:v>
      </x:c>
      <x:c r="AB457" s="30" t="str">
        <x:f>IF(Z457&lt;='Controls &amp; Summary'!$B$6,"Eligible","Blocked")</x:f>
        <x:v>Eligible</x:v>
      </x:c>
      <x:c r="AC457" s="30" t="str">
        <x:v>DZA</x:v>
      </x:c>
      <x:c r="AD457" s="30" t="str">
        <x:v>MAR</x:v>
      </x:c>
      <x:c r="AE457" s="30" t="str">
        <x:v>Rabat</x:v>
      </x:c>
      <x:c r="AF457" s="30" t="str">
        <x:v>Explicit capitalClaim</x:v>
      </x:c>
      <x:c r="AG457" s="30" t="str">
        <x:v>ClaimDZARabat</x:v>
      </x:c>
      <x:c r="AH457" s="30" t="str">
        <x:v>Project_RegionalAfricanUnions</x:v>
      </x:c>
    </x:row>
    <x:row r="458">
      <x:c r="A458" s="30" t="str">
        <x:v>2022</x:v>
      </x:c>
      <x:c r="B458" s="30" t="str">
        <x:v>Base game</x:v>
      </x:c>
      <x:c r="C458" s="30" t="str">
        <x:v>Algeria</x:v>
      </x:c>
      <x:c r="D458" s="30" t="str">
        <x:v>Tunisia</x:v>
      </x:c>
      <x:c r="E458" s="30" t="str">
        <x:v>Project unlock</x:v>
      </x:c>
      <x:c r="F458" s="30" t="str">
        <x:v>Regional African Unions</x:v>
      </x:c>
      <x:c r="G458" s="30" t="str">
        <x:v>No</x:v>
      </x:c>
      <x:c r="H458" s="30" t="str">
        <x:v>Ordinary claim</x:v>
      </x:c>
      <x:c r="I458" s="31" t="n">
        <x:f>IF(G458="Yes",'Controls &amp; Summary'!$B$5,'Controls &amp; Summary'!$B$4)</x:f>
        <x:v>6</x:v>
      </x:c>
      <x:c r="J458" s="31" t="n">
        <x:v>3.77</x:v>
      </x:c>
      <x:c r="K458" s="31" t="n">
        <x:v>5.99</x:v>
      </x:c>
      <x:c r="L458" s="31" t="n">
        <x:f>ABS(J458-K458)</x:f>
        <x:v>2.22</x:v>
      </x:c>
      <x:c r="M458" s="31" t="n">
        <x:v>2.76</x:v>
      </x:c>
      <x:c r="N458" s="31" t="n">
        <x:v>3.28</x:v>
      </x:c>
      <x:c r="O458" s="31" t="n">
        <x:f>ABS(M458-N458)</x:f>
        <x:v>0.52</x:v>
      </x:c>
      <x:c r="P458" s="31" t="n">
        <x:v>6.72</x:v>
      </x:c>
      <x:c r="Q458" s="31" t="n">
        <x:v>6.61</x:v>
      </x:c>
      <x:c r="R458" s="31" t="n">
        <x:f>ABS(P458-Q458)</x:f>
        <x:v>0.10999999999999943</x:v>
      </x:c>
      <x:c r="S458" s="32" t="n">
        <x:v>11317.538852483374</x:v>
      </x:c>
      <x:c r="T458" s="32" t="n">
        <x:v>10866.748773076144</x:v>
      </x:c>
      <x:c r="U458" s="31" t="n">
        <x:f>MAX(S458/T458,T458/S458)</x:f>
        <x:v>1.0414834361979661</x:v>
      </x:c>
      <x:c r="V458" s="31" t="n">
        <x:f>L458*'Controls &amp; Summary'!$B$9+O458*'Controls &amp; Summary'!$B$10+R458*'Controls &amp; Summary'!$B$11+U458*'Controls &amp; Summary'!$B$12</x:f>
        <x:v>3.8914834361979658</x:v>
      </x:c>
      <x:c r="W458" s="31" t="n">
        <x:v>4</x:v>
      </x:c>
      <x:c r="X458" s="31" t="n">
        <x:v>5</x:v>
      </x:c>
      <x:c r="Y458" s="31" t="n">
        <x:f>((10-MIN(10,MAX(0,X458)))/10)*'Controls &amp; Summary'!$B$15+((10-MIN(10,MAX(0,W458)))/10)*'Controls &amp; Summary'!$B$16</x:f>
        <x:v>1.1</x:v>
      </x:c>
      <x:c r="Z458" s="31" t="n">
        <x:f>V458*Y458</x:f>
        <x:v>4.280631779817763</x:v>
      </x:c>
      <x:c r="AA458" s="30" t="str">
        <x:f>IF(Z458&lt;=I458,"Peaceful","Hostile")</x:f>
        <x:v>Peaceful</x:v>
      </x:c>
      <x:c r="AB458" s="30" t="str">
        <x:f>IF(Z458&lt;='Controls &amp; Summary'!$B$6,"Eligible","Blocked")</x:f>
        <x:v>Eligible</x:v>
      </x:c>
      <x:c r="AC458" s="30" t="str">
        <x:v>DZA</x:v>
      </x:c>
      <x:c r="AD458" s="30" t="str">
        <x:v>TUN</x:v>
      </x:c>
      <x:c r="AE458" s="30" t="str">
        <x:v>Tunisia</x:v>
      </x:c>
      <x:c r="AF458" s="30" t="str">
        <x:v>Explicit capitalClaim</x:v>
      </x:c>
      <x:c r="AG458" s="30" t="str">
        <x:v>ClaimDZATunisia</x:v>
      </x:c>
      <x:c r="AH458" s="30" t="str">
        <x:v>Project_RegionalAfricanUnions</x:v>
      </x:c>
    </x:row>
    <x:row r="459">
      <x:c r="A459" s="30" t="str">
        <x:v>2022</x:v>
      </x:c>
      <x:c r="B459" s="30" t="str">
        <x:v>Base game</x:v>
      </x:c>
      <x:c r="C459" s="30" t="str">
        <x:v>Angola</x:v>
      </x:c>
      <x:c r="D459" s="30" t="str">
        <x:v>Cameroon</x:v>
      </x:c>
      <x:c r="E459" s="30" t="str">
        <x:v>Project unlock</x:v>
      </x:c>
      <x:c r="F459" s="30" t="str">
        <x:v>Regional African Unions</x:v>
      </x:c>
      <x:c r="G459" s="30" t="str">
        <x:v>No</x:v>
      </x:c>
      <x:c r="H459" s="30" t="str">
        <x:v>Ordinary claim</x:v>
      </x:c>
      <x:c r="I459" s="31" t="n">
        <x:f>IF(G459="Yes",'Controls &amp; Summary'!$B$5,'Controls &amp; Summary'!$B$4)</x:f>
        <x:v>6</x:v>
      </x:c>
      <x:c r="J459" s="31" t="n">
        <x:v>3.37</x:v>
      </x:c>
      <x:c r="K459" s="31" t="n">
        <x:v>2.56</x:v>
      </x:c>
      <x:c r="L459" s="31" t="n">
        <x:f>ABS(J459-K459)</x:f>
        <x:v>0.81</x:v>
      </x:c>
      <x:c r="M459" s="31" t="n">
        <x:v>5.13</x:v>
      </x:c>
      <x:c r="N459" s="31" t="n">
        <x:v>4.66</x:v>
      </x:c>
      <x:c r="O459" s="31" t="n">
        <x:f>ABS(M459-N459)</x:f>
        <x:v>0.46999999999999975</x:v>
      </x:c>
      <x:c r="P459" s="31" t="n">
        <x:v>5</x:v>
      </x:c>
      <x:c r="Q459" s="31" t="n">
        <x:v>5.47</x:v>
      </x:c>
      <x:c r="R459" s="31" t="n">
        <x:f>ABS(P459-Q459)</x:f>
        <x:v>0.46999999999999975</x:v>
      </x:c>
      <x:c r="S459" s="32" t="n">
        <x:v>6027.369656918198</x:v>
      </x:c>
      <x:c r="T459" s="32" t="n">
        <x:v>3840.8143048339234</x:v>
      </x:c>
      <x:c r="U459" s="31" t="n">
        <x:f>MAX(S459/T459,T459/S459)</x:f>
        <x:v>1.5692947324561741</x:v>
      </x:c>
      <x:c r="V459" s="31" t="n">
        <x:f>L459*'Controls &amp; Summary'!$B$9+O459*'Controls &amp; Summary'!$B$10+R459*'Controls &amp; Summary'!$B$11+U459*'Controls &amp; Summary'!$B$12</x:f>
        <x:v>3.3192947324561737</x:v>
      </x:c>
      <x:c r="W459" s="31" t="n">
        <x:v>4</x:v>
      </x:c>
      <x:c r="X459" s="31" t="n">
        <x:v>5</x:v>
      </x:c>
      <x:c r="Y459" s="31" t="n">
        <x:f>((10-MIN(10,MAX(0,X459)))/10)*'Controls &amp; Summary'!$B$15+((10-MIN(10,MAX(0,W459)))/10)*'Controls &amp; Summary'!$B$16</x:f>
        <x:v>1.1</x:v>
      </x:c>
      <x:c r="Z459" s="31" t="n">
        <x:f>V459*Y459</x:f>
        <x:v>3.651224205701791</x:v>
      </x:c>
      <x:c r="AA459" s="30" t="str">
        <x:f>IF(Z459&lt;=I459,"Peaceful","Hostile")</x:f>
        <x:v>Peaceful</x:v>
      </x:c>
      <x:c r="AB459" s="30" t="str">
        <x:f>IF(Z459&lt;='Controls &amp; Summary'!$B$6,"Eligible","Blocked")</x:f>
        <x:v>Eligible</x:v>
      </x:c>
      <x:c r="AC459" s="30" t="str">
        <x:v>AGO</x:v>
      </x:c>
      <x:c r="AD459" s="30" t="str">
        <x:v>CMR</x:v>
      </x:c>
      <x:c r="AE459" s="30" t="str">
        <x:v>Cameroon</x:v>
      </x:c>
      <x:c r="AF459" s="30" t="str">
        <x:v>Explicit capitalClaim</x:v>
      </x:c>
      <x:c r="AG459" s="30" t="str">
        <x:v>ClaimAGOCameroon</x:v>
      </x:c>
      <x:c r="AH459" s="30" t="str">
        <x:v>Project_RegionalAfricanUnions</x:v>
      </x:c>
    </x:row>
    <x:row r="460">
      <x:c r="A460" s="30" t="str">
        <x:v>2022</x:v>
      </x:c>
      <x:c r="B460" s="30" t="str">
        <x:v>Base game</x:v>
      </x:c>
      <x:c r="C460" s="30" t="str">
        <x:v>Angola</x:v>
      </x:c>
      <x:c r="D460" s="30" t="str">
        <x:v>Congo</x:v>
      </x:c>
      <x:c r="E460" s="30" t="str">
        <x:v>Project unlock</x:v>
      </x:c>
      <x:c r="F460" s="30" t="str">
        <x:v>Regional African Unions</x:v>
      </x:c>
      <x:c r="G460" s="30" t="str">
        <x:v>No</x:v>
      </x:c>
      <x:c r="H460" s="30" t="str">
        <x:v>Ordinary claim</x:v>
      </x:c>
      <x:c r="I460" s="31" t="n">
        <x:f>IF(G460="Yes",'Controls &amp; Summary'!$B$5,'Controls &amp; Summary'!$B$4)</x:f>
        <x:v>6</x:v>
      </x:c>
      <x:c r="J460" s="31" t="n">
        <x:v>3.37</x:v>
      </x:c>
      <x:c r="K460" s="31" t="n">
        <x:v>1.4</x:v>
      </x:c>
      <x:c r="L460" s="31" t="n">
        <x:f>ABS(J460-K460)</x:f>
        <x:v>1.9700000000000002</x:v>
      </x:c>
      <x:c r="M460" s="31" t="n">
        <x:v>5.13</x:v>
      </x:c>
      <x:c r="N460" s="31" t="n">
        <x:v>4.89</x:v>
      </x:c>
      <x:c r="O460" s="31" t="n">
        <x:f>ABS(M460-N460)</x:f>
        <x:v>0.2400000000000002</x:v>
      </x:c>
      <x:c r="P460" s="31" t="n">
        <x:v>5</x:v>
      </x:c>
      <x:c r="Q460" s="31" t="n">
        <x:v>4.96</x:v>
      </x:c>
      <x:c r="R460" s="31" t="n">
        <x:f>ABS(P460-Q460)</x:f>
        <x:v>0.040000000000000036</x:v>
      </x:c>
      <x:c r="S460" s="32" t="n">
        <x:v>6027.369656918198</x:v>
      </x:c>
      <x:c r="T460" s="32" t="n">
        <x:v>1165.8667971692287</x:v>
      </x:c>
      <x:c r="U460" s="31" t="n">
        <x:f>MAX(S460/T460,T460/S460)</x:f>
        <x:v>5.169861318250844</x:v>
      </x:c>
      <x:c r="V460" s="31" t="n">
        <x:f>L460*'Controls &amp; Summary'!$B$9+O460*'Controls &amp; Summary'!$B$10+R460*'Controls &amp; Summary'!$B$11+U460*'Controls &amp; Summary'!$B$12</x:f>
        <x:v>7.419861318250845</x:v>
      </x:c>
      <x:c r="W460" s="31" t="n">
        <x:v>4</x:v>
      </x:c>
      <x:c r="X460" s="31" t="n">
        <x:v>8</x:v>
      </x:c>
      <x:c r="Y460" s="31" t="n">
        <x:f>((10-MIN(10,MAX(0,X460)))/10)*'Controls &amp; Summary'!$B$15+((10-MIN(10,MAX(0,W460)))/10)*'Controls &amp; Summary'!$B$16</x:f>
        <x:v>0.8</x:v>
      </x:c>
      <x:c r="Z460" s="31" t="n">
        <x:f>V460*Y460</x:f>
        <x:v>5.935889054600676</x:v>
      </x:c>
      <x:c r="AA460" s="30" t="str">
        <x:f>IF(Z460&lt;=I460,"Peaceful","Hostile")</x:f>
        <x:v>Peaceful</x:v>
      </x:c>
      <x:c r="AB460" s="30" t="str">
        <x:f>IF(Z460&lt;='Controls &amp; Summary'!$B$6,"Eligible","Blocked")</x:f>
        <x:v>Eligible</x:v>
      </x:c>
      <x:c r="AC460" s="30" t="str">
        <x:v>AGO</x:v>
      </x:c>
      <x:c r="AD460" s="30" t="str">
        <x:v>COD</x:v>
      </x:c>
      <x:c r="AE460" s="30" t="str">
        <x:v>Kinshasa</x:v>
      </x:c>
      <x:c r="AF460" s="30" t="str">
        <x:v>Explicit capitalClaim</x:v>
      </x:c>
      <x:c r="AG460" s="30" t="str">
        <x:v>ClaimAGOKinshasa</x:v>
      </x:c>
      <x:c r="AH460" s="30" t="str">
        <x:v>Project_RegionalAfricanUnions</x:v>
      </x:c>
    </x:row>
    <x:row r="461">
      <x:c r="A461" s="30" t="str">
        <x:v>2022</x:v>
      </x:c>
      <x:c r="B461" s="30" t="str">
        <x:v>Base game</x:v>
      </x:c>
      <x:c r="C461" s="30" t="str">
        <x:v>Angola</x:v>
      </x:c>
      <x:c r="D461" s="30" t="str">
        <x:v>Equatorial Guinea</x:v>
      </x:c>
      <x:c r="E461" s="30" t="str">
        <x:v>Project unlock</x:v>
      </x:c>
      <x:c r="F461" s="30" t="str">
        <x:v>Regional African Unions</x:v>
      </x:c>
      <x:c r="G461" s="30" t="str">
        <x:v>No</x:v>
      </x:c>
      <x:c r="H461" s="30" t="str">
        <x:v>Ordinary claim</x:v>
      </x:c>
      <x:c r="I461" s="31" t="n">
        <x:f>IF(G461="Yes",'Controls &amp; Summary'!$B$5,'Controls &amp; Summary'!$B$4)</x:f>
        <x:v>6</x:v>
      </x:c>
      <x:c r="J461" s="31" t="n">
        <x:v>3.37</x:v>
      </x:c>
      <x:c r="K461" s="31" t="n">
        <x:v>1.92</x:v>
      </x:c>
      <x:c r="L461" s="31" t="n">
        <x:f>ABS(J461-K461)</x:f>
        <x:v>1.4500000000000002</x:v>
      </x:c>
      <x:c r="M461" s="31" t="n">
        <x:v>5.13</x:v>
      </x:c>
      <x:c r="N461" s="31" t="n">
        <x:v>6.5</x:v>
      </x:c>
      <x:c r="O461" s="31" t="n">
        <x:f>ABS(M461-N461)</x:f>
        <x:v>1.37</x:v>
      </x:c>
      <x:c r="P461" s="31" t="n">
        <x:v>5</x:v>
      </x:c>
      <x:c r="Q461" s="31" t="n">
        <x:v>4.67</x:v>
      </x:c>
      <x:c r="R461" s="31" t="n">
        <x:f>ABS(P461-Q461)</x:f>
        <x:v>0.33000000000000007</x:v>
      </x:c>
      <x:c r="S461" s="32" t="n">
        <x:v>6027.369656918198</x:v>
      </x:c>
      <x:c r="T461" s="32" t="n">
        <x:v>16604.817107419</x:v>
      </x:c>
      <x:c r="U461" s="31" t="n">
        <x:f>MAX(S461/T461,T461/S461)</x:f>
        <x:v>2.754902727487443</x:v>
      </x:c>
      <x:c r="V461" s="31" t="n">
        <x:f>L461*'Controls &amp; Summary'!$B$9+O461*'Controls &amp; Summary'!$B$10+R461*'Controls &amp; Summary'!$B$11+U461*'Controls &amp; Summary'!$B$12</x:f>
        <x:v>5.9049027274874435</x:v>
      </x:c>
      <x:c r="W461" s="31" t="n">
        <x:v>4</x:v>
      </x:c>
      <x:c r="X461" s="31" t="n">
        <x:v>2</x:v>
      </x:c>
      <x:c r="Y461" s="31" t="n">
        <x:f>((10-MIN(10,MAX(0,X461)))/10)*'Controls &amp; Summary'!$B$15+((10-MIN(10,MAX(0,W461)))/10)*'Controls &amp; Summary'!$B$16</x:f>
        <x:v>1.4</x:v>
      </x:c>
      <x:c r="Z461" s="31" t="n">
        <x:f>V461*Y461</x:f>
        <x:v>8.26686381848242</x:v>
      </x:c>
      <x:c r="AA461" s="30" t="str">
        <x:f>IF(Z461&lt;=I461,"Peaceful","Hostile")</x:f>
        <x:v>Hostile</x:v>
      </x:c>
      <x:c r="AB461" s="30" t="str">
        <x:f>IF(Z461&lt;='Controls &amp; Summary'!$B$6,"Eligible","Blocked")</x:f>
        <x:v>Eligible</x:v>
      </x:c>
      <x:c r="AC461" s="30" t="str">
        <x:v>AGO</x:v>
      </x:c>
      <x:c r="AD461" s="30" t="str">
        <x:v>EQG</x:v>
      </x:c>
      <x:c r="AE461" s="30" t="str">
        <x:v>EquatorialGuinea</x:v>
      </x:c>
      <x:c r="AF461" s="30" t="str">
        <x:v>Explicit capitalClaim</x:v>
      </x:c>
      <x:c r="AG461" s="30" t="str">
        <x:v>ClaimAGOEquatorialGuinea</x:v>
      </x:c>
      <x:c r="AH461" s="30" t="str">
        <x:v>Project_RegionalAfricanUnions</x:v>
      </x:c>
    </x:row>
    <x:row r="462">
      <x:c r="A462" s="30" t="str">
        <x:v>2022</x:v>
      </x:c>
      <x:c r="B462" s="30" t="str">
        <x:v>Base game</x:v>
      </x:c>
      <x:c r="C462" s="30" t="str">
        <x:v>Angola</x:v>
      </x:c>
      <x:c r="D462" s="30" t="str">
        <x:v>Eswatini</x:v>
      </x:c>
      <x:c r="E462" s="30" t="str">
        <x:v>Project unlock</x:v>
      </x:c>
      <x:c r="F462" s="30" t="str">
        <x:v>Regional African Unions</x:v>
      </x:c>
      <x:c r="G462" s="30" t="str">
        <x:v>No</x:v>
      </x:c>
      <x:c r="H462" s="30" t="str">
        <x:v>Ordinary claim</x:v>
      </x:c>
      <x:c r="I462" s="31" t="n">
        <x:f>IF(G462="Yes",'Controls &amp; Summary'!$B$5,'Controls &amp; Summary'!$B$4)</x:f>
        <x:v>6</x:v>
      </x:c>
      <x:c r="J462" s="31" t="n">
        <x:v>3.37</x:v>
      </x:c>
      <x:c r="K462" s="31" t="n">
        <x:v>3.08</x:v>
      </x:c>
      <x:c r="L462" s="31" t="n">
        <x:f>ABS(J462-K462)</x:f>
        <x:v>0.29000000000000004</x:v>
      </x:c>
      <x:c r="M462" s="31" t="n">
        <x:v>5.13</x:v>
      </x:c>
      <x:c r="N462" s="31" t="n">
        <x:v>5.46</x:v>
      </x:c>
      <x:c r="O462" s="31" t="n">
        <x:f>ABS(M462-N462)</x:f>
        <x:v>0.33000000000000007</x:v>
      </x:c>
      <x:c r="P462" s="31" t="n">
        <x:v>5</x:v>
      </x:c>
      <x:c r="Q462" s="31" t="n">
        <x:v>5.57</x:v>
      </x:c>
      <x:c r="R462" s="31" t="n">
        <x:f>ABS(P462-Q462)</x:f>
        <x:v>0.5700000000000003</x:v>
      </x:c>
      <x:c r="S462" s="32" t="n">
        <x:v>6027.369656918198</x:v>
      </x:c>
      <x:c r="T462" s="32" t="n">
        <x:v>8872.826024249394</x:v>
      </x:c>
      <x:c r="U462" s="31" t="n">
        <x:f>MAX(S462/T462,T462/S462)</x:f>
        <x:v>1.4720892411277926</x:v>
      </x:c>
      <x:c r="V462" s="31" t="n">
        <x:f>L462*'Controls &amp; Summary'!$B$9+O462*'Controls &amp; Summary'!$B$10+R462*'Controls &amp; Summary'!$B$11+U462*'Controls &amp; Summary'!$B$12</x:f>
        <x:v>2.662089241127793</x:v>
      </x:c>
      <x:c r="W462" s="31" t="n">
        <x:v>4</x:v>
      </x:c>
      <x:c r="X462" s="31" t="n">
        <x:v>2</x:v>
      </x:c>
      <x:c r="Y462" s="31" t="n">
        <x:f>((10-MIN(10,MAX(0,X462)))/10)*'Controls &amp; Summary'!$B$15+((10-MIN(10,MAX(0,W462)))/10)*'Controls &amp; Summary'!$B$16</x:f>
        <x:v>1.4</x:v>
      </x:c>
      <x:c r="Z462" s="31" t="n">
        <x:f>V462*Y462</x:f>
        <x:v>3.7269249375789104</x:v>
      </x:c>
      <x:c r="AA462" s="30" t="str">
        <x:f>IF(Z462&lt;=I462,"Peaceful","Hostile")</x:f>
        <x:v>Peaceful</x:v>
      </x:c>
      <x:c r="AB462" s="30" t="str">
        <x:f>IF(Z462&lt;='Controls &amp; Summary'!$B$6,"Eligible","Blocked")</x:f>
        <x:v>Eligible</x:v>
      </x:c>
      <x:c r="AC462" s="30" t="str">
        <x:v>AGO</x:v>
      </x:c>
      <x:c r="AD462" s="30" t="str">
        <x:v>ESW</x:v>
      </x:c>
      <x:c r="AE462" s="30" t="str">
        <x:v>Eswatini</x:v>
      </x:c>
      <x:c r="AF462" s="30" t="str">
        <x:v>Explicit capitalClaim</x:v>
      </x:c>
      <x:c r="AG462" s="30" t="str">
        <x:v>ClaimAGOEswatini</x:v>
      </x:c>
      <x:c r="AH462" s="30" t="str">
        <x:v>Project_RegionalAfricanUnions</x:v>
      </x:c>
    </x:row>
    <x:row r="463">
      <x:c r="A463" s="30" t="str">
        <x:v>2022</x:v>
      </x:c>
      <x:c r="B463" s="30" t="str">
        <x:v>Base game</x:v>
      </x:c>
      <x:c r="C463" s="30" t="str">
        <x:v>Angola</x:v>
      </x:c>
      <x:c r="D463" s="30" t="str">
        <x:v>Gabon</x:v>
      </x:c>
      <x:c r="E463" s="30" t="str">
        <x:v>Project unlock</x:v>
      </x:c>
      <x:c r="F463" s="30" t="str">
        <x:v>Regional African Unions</x:v>
      </x:c>
      <x:c r="G463" s="30" t="str">
        <x:v>No</x:v>
      </x:c>
      <x:c r="H463" s="30" t="str">
        <x:v>Ordinary claim</x:v>
      </x:c>
      <x:c r="I463" s="31" t="n">
        <x:f>IF(G463="Yes",'Controls &amp; Summary'!$B$5,'Controls &amp; Summary'!$B$4)</x:f>
        <x:v>6</x:v>
      </x:c>
      <x:c r="J463" s="31" t="n">
        <x:v>3.37</x:v>
      </x:c>
      <x:c r="K463" s="31" t="n">
        <x:v>3.4</x:v>
      </x:c>
      <x:c r="L463" s="31" t="n">
        <x:f>ABS(J463-K463)</x:f>
        <x:v>0.029999999999999805</x:v>
      </x:c>
      <x:c r="M463" s="31" t="n">
        <x:v>5.13</x:v>
      </x:c>
      <x:c r="N463" s="31" t="n">
        <x:v>3.8</x:v>
      </x:c>
      <x:c r="O463" s="31" t="n">
        <x:f>ABS(M463-N463)</x:f>
        <x:v>1.33</x:v>
      </x:c>
      <x:c r="P463" s="31" t="n">
        <x:v>5</x:v>
      </x:c>
      <x:c r="Q463" s="31" t="n">
        <x:v>6.5</x:v>
      </x:c>
      <x:c r="R463" s="31" t="n">
        <x:f>ABS(P463-Q463)</x:f>
        <x:v>1.5</x:v>
      </x:c>
      <x:c r="S463" s="32" t="n">
        <x:v>6027.369656918198</x:v>
      </x:c>
      <x:c r="T463" s="32" t="n">
        <x:v>14457.37442728511</x:v>
      </x:c>
      <x:c r="U463" s="31" t="n">
        <x:f>MAX(S463/T463,T463/S463)</x:f>
        <x:v>2.3986208330015026</x:v>
      </x:c>
      <x:c r="V463" s="31" t="n">
        <x:f>L463*'Controls &amp; Summary'!$B$9+O463*'Controls &amp; Summary'!$B$10+R463*'Controls &amp; Summary'!$B$11+U463*'Controls &amp; Summary'!$B$12</x:f>
        <x:v>5.258620833001503</x:v>
      </x:c>
      <x:c r="W463" s="31" t="n">
        <x:v>4</x:v>
      </x:c>
      <x:c r="X463" s="31" t="n">
        <x:v>3</x:v>
      </x:c>
      <x:c r="Y463" s="31" t="n">
        <x:f>((10-MIN(10,MAX(0,X463)))/10)*'Controls &amp; Summary'!$B$15+((10-MIN(10,MAX(0,W463)))/10)*'Controls &amp; Summary'!$B$16</x:f>
        <x:v>1.2999999999999998</x:v>
      </x:c>
      <x:c r="Z463" s="31" t="n">
        <x:f>V463*Y463</x:f>
        <x:v>6.836207082901953</x:v>
      </x:c>
      <x:c r="AA463" s="30" t="str">
        <x:f>IF(Z463&lt;=I463,"Peaceful","Hostile")</x:f>
        <x:v>Hostile</x:v>
      </x:c>
      <x:c r="AB463" s="30" t="str">
        <x:f>IF(Z463&lt;='Controls &amp; Summary'!$B$6,"Eligible","Blocked")</x:f>
        <x:v>Eligible</x:v>
      </x:c>
      <x:c r="AC463" s="30" t="str">
        <x:v>AGO</x:v>
      </x:c>
      <x:c r="AD463" s="30" t="str">
        <x:v>LWG</x:v>
      </x:c>
      <x:c r="AE463" s="30" t="str">
        <x:v>Libreville</x:v>
      </x:c>
      <x:c r="AF463" s="30" t="str">
        <x:v>Explicit capitalClaim</x:v>
      </x:c>
      <x:c r="AG463" s="30" t="str">
        <x:v>ClaimAGOLibreville</x:v>
      </x:c>
      <x:c r="AH463" s="30" t="str">
        <x:v>Project_RegionalAfricanUnions</x:v>
      </x:c>
    </x:row>
    <x:row r="464">
      <x:c r="A464" s="30" t="str">
        <x:v>2022</x:v>
      </x:c>
      <x:c r="B464" s="30" t="str">
        <x:v>Base game</x:v>
      </x:c>
      <x:c r="C464" s="30" t="str">
        <x:v>Angola</x:v>
      </x:c>
      <x:c r="D464" s="30" t="str">
        <x:v>Lesotho</x:v>
      </x:c>
      <x:c r="E464" s="30" t="str">
        <x:v>Project unlock</x:v>
      </x:c>
      <x:c r="F464" s="30" t="str">
        <x:v>Regional African Unions</x:v>
      </x:c>
      <x:c r="G464" s="30" t="str">
        <x:v>No</x:v>
      </x:c>
      <x:c r="H464" s="30" t="str">
        <x:v>Ordinary claim</x:v>
      </x:c>
      <x:c r="I464" s="31" t="n">
        <x:f>IF(G464="Yes",'Controls &amp; Summary'!$B$5,'Controls &amp; Summary'!$B$4)</x:f>
        <x:v>6</x:v>
      </x:c>
      <x:c r="J464" s="31" t="n">
        <x:v>3.37</x:v>
      </x:c>
      <x:c r="K464" s="31" t="n">
        <x:v>6.3</x:v>
      </x:c>
      <x:c r="L464" s="31" t="n">
        <x:f>ABS(J464-K464)</x:f>
        <x:v>2.9299999999999997</x:v>
      </x:c>
      <x:c r="M464" s="31" t="n">
        <x:v>5.13</x:v>
      </x:c>
      <x:c r="N464" s="31" t="n">
        <x:v>4.49</x:v>
      </x:c>
      <x:c r="O464" s="31" t="n">
        <x:f>ABS(M464-N464)</x:f>
        <x:v>0.6399999999999997</x:v>
      </x:c>
      <x:c r="P464" s="31" t="n">
        <x:v>5</x:v>
      </x:c>
      <x:c r="Q464" s="31" t="n">
        <x:v>5.32</x:v>
      </x:c>
      <x:c r="R464" s="31" t="n">
        <x:f>ABS(P464-Q464)</x:f>
        <x:v>0.3200000000000003</x:v>
      </x:c>
      <x:c r="S464" s="32" t="n">
        <x:v>6027.369656918198</x:v>
      </x:c>
      <x:c r="T464" s="32" t="n">
        <x:v>2585.7821054105007</x:v>
      </x:c>
      <x:c r="U464" s="31" t="n">
        <x:f>MAX(S464/T464,T464/S464)</x:f>
        <x:v>2.3309658011425274</x:v>
      </x:c>
      <x:c r="V464" s="31" t="n">
        <x:f>L464*'Controls &amp; Summary'!$B$9+O464*'Controls &amp; Summary'!$B$10+R464*'Controls &amp; Summary'!$B$11+U464*'Controls &amp; Summary'!$B$12</x:f>
        <x:v>6.220965801142527</x:v>
      </x:c>
      <x:c r="W464" s="31" t="n">
        <x:v>4</x:v>
      </x:c>
      <x:c r="X464" s="31" t="n">
        <x:v>3</x:v>
      </x:c>
      <x:c r="Y464" s="31" t="n">
        <x:f>((10-MIN(10,MAX(0,X464)))/10)*'Controls &amp; Summary'!$B$15+((10-MIN(10,MAX(0,W464)))/10)*'Controls &amp; Summary'!$B$16</x:f>
        <x:v>1.2999999999999998</x:v>
      </x:c>
      <x:c r="Z464" s="31" t="n">
        <x:f>V464*Y464</x:f>
        <x:v>8.087255541485284</x:v>
      </x:c>
      <x:c r="AA464" s="30" t="str">
        <x:f>IF(Z464&lt;=I464,"Peaceful","Hostile")</x:f>
        <x:v>Hostile</x:v>
      </x:c>
      <x:c r="AB464" s="30" t="str">
        <x:f>IF(Z464&lt;='Controls &amp; Summary'!$B$6,"Eligible","Blocked")</x:f>
        <x:v>Eligible</x:v>
      </x:c>
      <x:c r="AC464" s="30" t="str">
        <x:v>AGO</x:v>
      </x:c>
      <x:c r="AD464" s="30" t="str">
        <x:v>LES</x:v>
      </x:c>
      <x:c r="AE464" s="30" t="str">
        <x:v>Lesotho</x:v>
      </x:c>
      <x:c r="AF464" s="30" t="str">
        <x:v>Explicit capitalClaim</x:v>
      </x:c>
      <x:c r="AG464" s="30" t="str">
        <x:v>ClaimAGOLesotho</x:v>
      </x:c>
      <x:c r="AH464" s="30" t="str">
        <x:v>Project_RegionalAfricanUnions</x:v>
      </x:c>
    </x:row>
    <x:row r="465">
      <x:c r="A465" s="30" t="str">
        <x:v>2022</x:v>
      </x:c>
      <x:c r="B465" s="30" t="str">
        <x:v>Base game</x:v>
      </x:c>
      <x:c r="C465" s="30" t="str">
        <x:v>Angola</x:v>
      </x:c>
      <x:c r="D465" s="30" t="str">
        <x:v>Malawi</x:v>
      </x:c>
      <x:c r="E465" s="30" t="str">
        <x:v>Project unlock</x:v>
      </x:c>
      <x:c r="F465" s="30" t="str">
        <x:v>Regional African Unions</x:v>
      </x:c>
      <x:c r="G465" s="30" t="str">
        <x:v>No</x:v>
      </x:c>
      <x:c r="H465" s="30" t="str">
        <x:v>Ordinary claim</x:v>
      </x:c>
      <x:c r="I465" s="31" t="n">
        <x:f>IF(G465="Yes",'Controls &amp; Summary'!$B$5,'Controls &amp; Summary'!$B$4)</x:f>
        <x:v>6</x:v>
      </x:c>
      <x:c r="J465" s="31" t="n">
        <x:v>3.37</x:v>
      </x:c>
      <x:c r="K465" s="31" t="n">
        <x:v>5.74</x:v>
      </x:c>
      <x:c r="L465" s="31" t="n">
        <x:f>ABS(J465-K465)</x:f>
        <x:v>2.37</x:v>
      </x:c>
      <x:c r="M465" s="31" t="n">
        <x:v>5.13</x:v>
      </x:c>
      <x:c r="N465" s="31" t="n">
        <x:v>3.85</x:v>
      </x:c>
      <x:c r="O465" s="31" t="n">
        <x:f>ABS(M465-N465)</x:f>
        <x:v>1.2799999999999998</x:v>
      </x:c>
      <x:c r="P465" s="31" t="n">
        <x:v>5</x:v>
      </x:c>
      <x:c r="Q465" s="31" t="n">
        <x:v>4.7</x:v>
      </x:c>
      <x:c r="R465" s="31" t="n">
        <x:f>ABS(P465-Q465)</x:f>
        <x:v>0.2999999999999998</x:v>
      </x:c>
      <x:c r="S465" s="32" t="n">
        <x:v>6027.369656918198</x:v>
      </x:c>
      <x:c r="T465" s="32" t="n">
        <x:v>1531.2656901778273</x:v>
      </x:c>
      <x:c r="U465" s="31" t="n">
        <x:f>MAX(S465/T465,T465/S465)</x:f>
        <x:v>3.936201075737702</x:v>
      </x:c>
      <x:c r="V465" s="31" t="n">
        <x:f>L465*'Controls &amp; Summary'!$B$9+O465*'Controls &amp; Summary'!$B$10+R465*'Controls &amp; Summary'!$B$11+U465*'Controls &amp; Summary'!$B$12</x:f>
        <x:v>7.886201075737702</x:v>
      </x:c>
      <x:c r="W465" s="31" t="n">
        <x:v>4</x:v>
      </x:c>
      <x:c r="X465" s="31" t="n">
        <x:v>2</x:v>
      </x:c>
      <x:c r="Y465" s="31" t="n">
        <x:f>((10-MIN(10,MAX(0,X465)))/10)*'Controls &amp; Summary'!$B$15+((10-MIN(10,MAX(0,W465)))/10)*'Controls &amp; Summary'!$B$16</x:f>
        <x:v>1.4</x:v>
      </x:c>
      <x:c r="Z465" s="31" t="n">
        <x:f>V465*Y465</x:f>
        <x:v>11.040681506032783</x:v>
      </x:c>
      <x:c r="AA465" s="30" t="str">
        <x:f>IF(Z465&lt;=I465,"Peaceful","Hostile")</x:f>
        <x:v>Hostile</x:v>
      </x:c>
      <x:c r="AB465" s="30" t="str">
        <x:f>IF(Z465&lt;='Controls &amp; Summary'!$B$6,"Eligible","Blocked")</x:f>
        <x:v>Eligible</x:v>
      </x:c>
      <x:c r="AC465" s="30" t="str">
        <x:v>AGO</x:v>
      </x:c>
      <x:c r="AD465" s="30" t="str">
        <x:v>MAL</x:v>
      </x:c>
      <x:c r="AE465" s="30" t="str">
        <x:v>Malawi</x:v>
      </x:c>
      <x:c r="AF465" s="30" t="str">
        <x:v>Explicit capitalClaim</x:v>
      </x:c>
      <x:c r="AG465" s="30" t="str">
        <x:v>ClaimAGOMalawi</x:v>
      </x:c>
      <x:c r="AH465" s="30" t="str">
        <x:v>Project_RegionalAfricanUnions</x:v>
      </x:c>
    </x:row>
    <x:row r="466">
      <x:c r="A466" s="30" t="str">
        <x:v>2022</x:v>
      </x:c>
      <x:c r="B466" s="30" t="str">
        <x:v>Base game</x:v>
      </x:c>
      <x:c r="C466" s="30" t="str">
        <x:v>Angola</x:v>
      </x:c>
      <x:c r="D466" s="30" t="str">
        <x:v>Mozambique</x:v>
      </x:c>
      <x:c r="E466" s="30" t="str">
        <x:v>Project unlock</x:v>
      </x:c>
      <x:c r="F466" s="30" t="str">
        <x:v>Regional African Unions</x:v>
      </x:c>
      <x:c r="G466" s="30" t="str">
        <x:v>No</x:v>
      </x:c>
      <x:c r="H466" s="30" t="str">
        <x:v>Ordinary claim</x:v>
      </x:c>
      <x:c r="I466" s="31" t="n">
        <x:f>IF(G466="Yes",'Controls &amp; Summary'!$B$5,'Controls &amp; Summary'!$B$4)</x:f>
        <x:v>6</x:v>
      </x:c>
      <x:c r="J466" s="31" t="n">
        <x:v>3.37</x:v>
      </x:c>
      <x:c r="K466" s="31" t="n">
        <x:v>3.51</x:v>
      </x:c>
      <x:c r="L466" s="31" t="n">
        <x:f>ABS(J466-K466)</x:f>
        <x:v>0.13999999999999968</x:v>
      </x:c>
      <x:c r="M466" s="31" t="n">
        <x:v>5.13</x:v>
      </x:c>
      <x:c r="N466" s="31" t="n">
        <x:v>5.4</x:v>
      </x:c>
      <x:c r="O466" s="31" t="n">
        <x:f>ABS(M466-N466)</x:f>
        <x:v>0.27000000000000046</x:v>
      </x:c>
      <x:c r="P466" s="31" t="n">
        <x:v>5</x:v>
      </x:c>
      <x:c r="Q466" s="31" t="n">
        <x:v>3.95</x:v>
      </x:c>
      <x:c r="R466" s="31" t="n">
        <x:f>ABS(P466-Q466)</x:f>
        <x:v>1.0499999999999998</x:v>
      </x:c>
      <x:c r="S466" s="32" t="n">
        <x:v>6027.369656918198</x:v>
      </x:c>
      <x:c r="T466" s="32" t="n">
        <x:v>1254.9296090248706</x:v>
      </x:c>
      <x:c r="U466" s="31" t="n">
        <x:f>MAX(S466/T466,T466/S466)</x:f>
        <x:v>4.802954375745187</x:v>
      </x:c>
      <x:c r="V466" s="31" t="n">
        <x:f>L466*'Controls &amp; Summary'!$B$9+O466*'Controls &amp; Summary'!$B$10+R466*'Controls &amp; Summary'!$B$11+U466*'Controls &amp; Summary'!$B$12</x:f>
        <x:v>6.262954375745187</x:v>
      </x:c>
      <x:c r="W466" s="31" t="n">
        <x:v>4</x:v>
      </x:c>
      <x:c r="X466" s="31" t="n">
        <x:v>4</x:v>
      </x:c>
      <x:c r="Y466" s="31" t="n">
        <x:f>((10-MIN(10,MAX(0,X466)))/10)*'Controls &amp; Summary'!$B$15+((10-MIN(10,MAX(0,W466)))/10)*'Controls &amp; Summary'!$B$16</x:f>
        <x:v>1.2</x:v>
      </x:c>
      <x:c r="Z466" s="31" t="n">
        <x:f>V466*Y466</x:f>
        <x:v>7.515545250894224</x:v>
      </x:c>
      <x:c r="AA466" s="30" t="str">
        <x:f>IF(Z466&lt;=I466,"Peaceful","Hostile")</x:f>
        <x:v>Hostile</x:v>
      </x:c>
      <x:c r="AB466" s="30" t="str">
        <x:f>IF(Z466&lt;='Controls &amp; Summary'!$B$6,"Eligible","Blocked")</x:f>
        <x:v>Eligible</x:v>
      </x:c>
      <x:c r="AC466" s="30" t="str">
        <x:v>AGO</x:v>
      </x:c>
      <x:c r="AD466" s="30" t="str">
        <x:v>MOZ</x:v>
      </x:c>
      <x:c r="AE466" s="30" t="str">
        <x:v>Mozambique</x:v>
      </x:c>
      <x:c r="AF466" s="30" t="str">
        <x:v>Explicit capitalClaim</x:v>
      </x:c>
      <x:c r="AG466" s="30" t="str">
        <x:v>ClaimAGOMozambique</x:v>
      </x:c>
      <x:c r="AH466" s="30" t="str">
        <x:v>Project_RegionalAfricanUnions</x:v>
      </x:c>
    </x:row>
    <x:row r="467">
      <x:c r="A467" s="30" t="str">
        <x:v>2022</x:v>
      </x:c>
      <x:c r="B467" s="30" t="str">
        <x:v>Base game</x:v>
      </x:c>
      <x:c r="C467" s="30" t="str">
        <x:v>Angola</x:v>
      </x:c>
      <x:c r="D467" s="30" t="str">
        <x:v>Republic of the Congo</x:v>
      </x:c>
      <x:c r="E467" s="30" t="str">
        <x:v>Project unlock</x:v>
      </x:c>
      <x:c r="F467" s="30" t="str">
        <x:v>Regional African Unions</x:v>
      </x:c>
      <x:c r="G467" s="30" t="str">
        <x:v>No</x:v>
      </x:c>
      <x:c r="H467" s="30" t="str">
        <x:v>Ordinary claim</x:v>
      </x:c>
      <x:c r="I467" s="31" t="n">
        <x:f>IF(G467="Yes",'Controls &amp; Summary'!$B$5,'Controls &amp; Summary'!$B$4)</x:f>
        <x:v>6</x:v>
      </x:c>
      <x:c r="J467" s="31" t="n">
        <x:v>3.37</x:v>
      </x:c>
      <x:c r="K467" s="31" t="n">
        <x:v>2.79</x:v>
      </x:c>
      <x:c r="L467" s="31" t="n">
        <x:f>ABS(J467-K467)</x:f>
        <x:v>0.5800000000000001</x:v>
      </x:c>
      <x:c r="M467" s="31" t="n">
        <x:v>5.13</x:v>
      </x:c>
      <x:c r="N467" s="31" t="n">
        <x:v>4.21</x:v>
      </x:c>
      <x:c r="O467" s="31" t="n">
        <x:f>ABS(M467-N467)</x:f>
        <x:v>0.9199999999999999</x:v>
      </x:c>
      <x:c r="P467" s="31" t="n">
        <x:v>5</x:v>
      </x:c>
      <x:c r="Q467" s="31" t="n">
        <x:v>5.43</x:v>
      </x:c>
      <x:c r="R467" s="31" t="n">
        <x:f>ABS(P467-Q467)</x:f>
        <x:v>0.4299999999999997</x:v>
      </x:c>
      <x:c r="S467" s="32" t="n">
        <x:v>6027.369656918198</x:v>
      </x:c>
      <x:c r="T467" s="32" t="n">
        <x:v>3392.0211318645047</x:v>
      </x:c>
      <x:c r="U467" s="31" t="n">
        <x:f>MAX(S467/T467,T467/S467)</x:f>
        <x:v>1.776925739140402</x:v>
      </x:c>
      <x:c r="V467" s="31" t="n">
        <x:f>L467*'Controls &amp; Summary'!$B$9+O467*'Controls &amp; Summary'!$B$10+R467*'Controls &amp; Summary'!$B$11+U467*'Controls &amp; Summary'!$B$12</x:f>
        <x:v>3.706925739140402</x:v>
      </x:c>
      <x:c r="W467" s="31" t="n">
        <x:v>4</x:v>
      </x:c>
      <x:c r="X467" s="31" t="n">
        <x:v>3</x:v>
      </x:c>
      <x:c r="Y467" s="31" t="n">
        <x:f>((10-MIN(10,MAX(0,X467)))/10)*'Controls &amp; Summary'!$B$15+((10-MIN(10,MAX(0,W467)))/10)*'Controls &amp; Summary'!$B$16</x:f>
        <x:v>1.2999999999999998</x:v>
      </x:c>
      <x:c r="Z467" s="31" t="n">
        <x:f>V467*Y467</x:f>
        <x:v>4.819003460882522</x:v>
      </x:c>
      <x:c r="AA467" s="30" t="str">
        <x:f>IF(Z467&lt;=I467,"Peaceful","Hostile")</x:f>
        <x:v>Peaceful</x:v>
      </x:c>
      <x:c r="AB467" s="30" t="str">
        <x:f>IF(Z467&lt;='Controls &amp; Summary'!$B$6,"Eligible","Blocked")</x:f>
        <x:v>Eligible</x:v>
      </x:c>
      <x:c r="AC467" s="30" t="str">
        <x:v>AGO</x:v>
      </x:c>
      <x:c r="AD467" s="30" t="str">
        <x:v>COR</x:v>
      </x:c>
      <x:c r="AE467" s="30" t="str">
        <x:v>Brazzaville</x:v>
      </x:c>
      <x:c r="AF467" s="30" t="str">
        <x:v>Explicit capitalClaim</x:v>
      </x:c>
      <x:c r="AG467" s="30" t="str">
        <x:v>ClaimAGOBrazzaville</x:v>
      </x:c>
      <x:c r="AH467" s="30" t="str">
        <x:v>Project_RegionalAfricanUnions</x:v>
      </x:c>
    </x:row>
    <x:row r="468">
      <x:c r="A468" s="30" t="str">
        <x:v>2022</x:v>
      </x:c>
      <x:c r="B468" s="30" t="str">
        <x:v>Base game</x:v>
      </x:c>
      <x:c r="C468" s="30" t="str">
        <x:v>Angola</x:v>
      </x:c>
      <x:c r="D468" s="30" t="str">
        <x:v>Rwanda-Burundi</x:v>
      </x:c>
      <x:c r="E468" s="30" t="str">
        <x:v>Project unlock</x:v>
      </x:c>
      <x:c r="F468" s="30" t="str">
        <x:v>Regional African Unions</x:v>
      </x:c>
      <x:c r="G468" s="30" t="str">
        <x:v>No</x:v>
      </x:c>
      <x:c r="H468" s="30" t="str">
        <x:v>Ordinary claim</x:v>
      </x:c>
      <x:c r="I468" s="31" t="n">
        <x:f>IF(G468="Yes",'Controls &amp; Summary'!$B$5,'Controls &amp; Summary'!$B$4)</x:f>
        <x:v>6</x:v>
      </x:c>
      <x:c r="J468" s="31" t="n">
        <x:v>3.37</x:v>
      </x:c>
      <x:c r="K468" s="31" t="n">
        <x:v>2.63</x:v>
      </x:c>
      <x:c r="L468" s="31" t="n">
        <x:f>ABS(J468-K468)</x:f>
        <x:v>0.7400000000000002</x:v>
      </x:c>
      <x:c r="M468" s="31" t="n">
        <x:v>5.13</x:v>
      </x:c>
      <x:c r="N468" s="31" t="n">
        <x:v>4.12</x:v>
      </x:c>
      <x:c r="O468" s="31" t="n">
        <x:f>ABS(M468-N468)</x:f>
        <x:v>1.0099999999999998</x:v>
      </x:c>
      <x:c r="P468" s="31" t="n">
        <x:v>5</x:v>
      </x:c>
      <x:c r="Q468" s="31" t="n">
        <x:v>4.38</x:v>
      </x:c>
      <x:c r="R468" s="31" t="n">
        <x:f>ABS(P468-Q468)</x:f>
        <x:v>0.6200000000000001</x:v>
      </x:c>
      <x:c r="S468" s="32" t="n">
        <x:v>6027.369656918198</x:v>
      </x:c>
      <x:c r="T468" s="32" t="n">
        <x:v>1596.978721626218</x:v>
      </x:c>
      <x:c r="U468" s="31" t="n">
        <x:f>MAX(S468/T468,T468/S468)</x:f>
        <x:v>3.774232915752611</x:v>
      </x:c>
      <x:c r="V468" s="31" t="n">
        <x:f>L468*'Controls &amp; Summary'!$B$9+O468*'Controls &amp; Summary'!$B$10+R468*'Controls &amp; Summary'!$B$11+U468*'Controls &amp; Summary'!$B$12</x:f>
        <x:v>6.144232915752611</x:v>
      </x:c>
      <x:c r="W468" s="31" t="n">
        <x:v>4</x:v>
      </x:c>
      <x:c r="X468" s="31" t="n">
        <x:v>3</x:v>
      </x:c>
      <x:c r="Y468" s="31" t="n">
        <x:f>((10-MIN(10,MAX(0,X468)))/10)*'Controls &amp; Summary'!$B$15+((10-MIN(10,MAX(0,W468)))/10)*'Controls &amp; Summary'!$B$16</x:f>
        <x:v>1.2999999999999998</x:v>
      </x:c>
      <x:c r="Z468" s="31" t="n">
        <x:f>V468*Y468</x:f>
        <x:v>7.987502790478393</x:v>
      </x:c>
      <x:c r="AA468" s="30" t="str">
        <x:f>IF(Z468&lt;=I468,"Peaceful","Hostile")</x:f>
        <x:v>Hostile</x:v>
      </x:c>
      <x:c r="AB468" s="30" t="str">
        <x:f>IF(Z468&lt;='Controls &amp; Summary'!$B$6,"Eligible","Blocked")</x:f>
        <x:v>Eligible</x:v>
      </x:c>
      <x:c r="AC468" s="30" t="str">
        <x:v>AGO</x:v>
      </x:c>
      <x:c r="AD468" s="30" t="str">
        <x:v>RWB</x:v>
      </x:c>
      <x:c r="AE468" s="30" t="str">
        <x:v>Kigali</x:v>
      </x:c>
      <x:c r="AF468" s="30" t="str">
        <x:v>Explicit capitalClaim</x:v>
      </x:c>
      <x:c r="AG468" s="30" t="str">
        <x:v>ClaimAGOKigali</x:v>
      </x:c>
      <x:c r="AH468" s="30" t="str">
        <x:v>Project_RegionalAfricanUnions</x:v>
      </x:c>
    </x:row>
    <x:row r="469">
      <x:c r="A469" s="30" t="str">
        <x:v>2022</x:v>
      </x:c>
      <x:c r="B469" s="30" t="str">
        <x:v>Base game</x:v>
      </x:c>
      <x:c r="C469" s="30" t="str">
        <x:v>Angola</x:v>
      </x:c>
      <x:c r="D469" s="30" t="str">
        <x:v>Sao Tome and Principe</x:v>
      </x:c>
      <x:c r="E469" s="30" t="str">
        <x:v>Project unlock</x:v>
      </x:c>
      <x:c r="F469" s="30" t="str">
        <x:v>Regional African Unions</x:v>
      </x:c>
      <x:c r="G469" s="30" t="str">
        <x:v>No</x:v>
      </x:c>
      <x:c r="H469" s="30" t="str">
        <x:v>Ordinary claim</x:v>
      </x:c>
      <x:c r="I469" s="31" t="n">
        <x:f>IF(G469="Yes",'Controls &amp; Summary'!$B$5,'Controls &amp; Summary'!$B$4)</x:f>
        <x:v>6</x:v>
      </x:c>
      <x:c r="J469" s="31" t="n">
        <x:v>3.37</x:v>
      </x:c>
      <x:c r="K469" s="31" t="n">
        <x:v>8.4</x:v>
      </x:c>
      <x:c r="L469" s="31" t="n">
        <x:f>ABS(J469-K469)</x:f>
        <x:v>5.03</x:v>
      </x:c>
      <x:c r="M469" s="31" t="n">
        <x:v>5.13</x:v>
      </x:c>
      <x:c r="N469" s="31" t="n">
        <x:v>5.63</x:v>
      </x:c>
      <x:c r="O469" s="31" t="n">
        <x:f>ABS(M469-N469)</x:f>
        <x:v>0.5</x:v>
      </x:c>
      <x:c r="P469" s="31" t="n">
        <x:v>5</x:v>
      </x:c>
      <x:c r="Q469" s="31" t="n">
        <x:v>6.25</x:v>
      </x:c>
      <x:c r="R469" s="31" t="n">
        <x:f>ABS(P469-Q469)</x:f>
        <x:v>1.25</x:v>
      </x:c>
      <x:c r="S469" s="32" t="n">
        <x:v>6027.369656918198</x:v>
      </x:c>
      <x:c r="T469" s="32" t="n">
        <x:v>4084.6589514151256</x:v>
      </x:c>
      <x:c r="U469" s="31" t="n">
        <x:f>MAX(S469/T469,T469/S469)</x:f>
        <x:v>1.4756114839967296</x:v>
      </x:c>
      <x:c r="V469" s="31" t="n">
        <x:f>L469*'Controls &amp; Summary'!$B$9+O469*'Controls &amp; Summary'!$B$10+R469*'Controls &amp; Summary'!$B$11+U469*'Controls &amp; Summary'!$B$12</x:f>
        <x:v>8.25561148399673</x:v>
      </x:c>
      <x:c r="W469" s="31" t="n">
        <x:v>4</x:v>
      </x:c>
      <x:c r="X469" s="31" t="n">
        <x:v>0</x:v>
      </x:c>
      <x:c r="Y469" s="31" t="n">
        <x:f>((10-MIN(10,MAX(0,X469)))/10)*'Controls &amp; Summary'!$B$15+((10-MIN(10,MAX(0,W469)))/10)*'Controls &amp; Summary'!$B$16</x:f>
        <x:v>1.6</x:v>
      </x:c>
      <x:c r="Z469" s="31" t="n">
        <x:f>V469*Y469</x:f>
        <x:v>13.20897837439477</x:v>
      </x:c>
      <x:c r="AA469" s="30" t="str">
        <x:f>IF(Z469&lt;=I469,"Peaceful","Hostile")</x:f>
        <x:v>Hostile</x:v>
      </x:c>
      <x:c r="AB469" s="30" t="str">
        <x:f>IF(Z469&lt;='Controls &amp; Summary'!$B$6,"Eligible","Blocked")</x:f>
        <x:v>Blocked</x:v>
      </x:c>
      <x:c r="AC469" s="30" t="str">
        <x:v>AGO</x:v>
      </x:c>
      <x:c r="AD469" s="30" t="str">
        <x:v>STP</x:v>
      </x:c>
      <x:c r="AE469" s="30" t="str">
        <x:v>SaoTomePrincipe</x:v>
      </x:c>
      <x:c r="AF469" s="30" t="str">
        <x:v>Explicit capitalClaim</x:v>
      </x:c>
      <x:c r="AG469" s="30" t="str">
        <x:v>ClaimAGOSaoTomePrincipe</x:v>
      </x:c>
      <x:c r="AH469" s="30" t="str">
        <x:v>Project_RegionalAfricanUnions</x:v>
      </x:c>
    </x:row>
    <x:row r="470">
      <x:c r="A470" s="30" t="str">
        <x:v>2022</x:v>
      </x:c>
      <x:c r="B470" s="30" t="str">
        <x:v>Base game</x:v>
      </x:c>
      <x:c r="C470" s="30" t="str">
        <x:v>Angola</x:v>
      </x:c>
      <x:c r="D470" s="30" t="str">
        <x:v>South Africa</x:v>
      </x:c>
      <x:c r="E470" s="30" t="str">
        <x:v>Project unlock</x:v>
      </x:c>
      <x:c r="F470" s="30" t="str">
        <x:v>Regional African Unions</x:v>
      </x:c>
      <x:c r="G470" s="30" t="str">
        <x:v>No</x:v>
      </x:c>
      <x:c r="H470" s="30" t="str">
        <x:v>Ordinary claim</x:v>
      </x:c>
      <x:c r="I470" s="31" t="n">
        <x:f>IF(G470="Yes",'Controls &amp; Summary'!$B$5,'Controls &amp; Summary'!$B$4)</x:f>
        <x:v>6</x:v>
      </x:c>
      <x:c r="J470" s="31" t="n">
        <x:v>3.37</x:v>
      </x:c>
      <x:c r="K470" s="31" t="n">
        <x:v>7.05</x:v>
      </x:c>
      <x:c r="L470" s="31" t="n">
        <x:f>ABS(J470-K470)</x:f>
        <x:v>3.6799999999999997</x:v>
      </x:c>
      <x:c r="M470" s="31" t="n">
        <x:v>5.13</x:v>
      </x:c>
      <x:c r="N470" s="31" t="n">
        <x:v>6.3</x:v>
      </x:c>
      <x:c r="O470" s="31" t="n">
        <x:f>ABS(M470-N470)</x:f>
        <x:v>1.17</x:v>
      </x:c>
      <x:c r="P470" s="31" t="n">
        <x:v>5</x:v>
      </x:c>
      <x:c r="Q470" s="31" t="n">
        <x:v>7.24</x:v>
      </x:c>
      <x:c r="R470" s="31" t="n">
        <x:f>ABS(P470-Q470)</x:f>
        <x:v>2.24</x:v>
      </x:c>
      <x:c r="S470" s="32" t="n">
        <x:v>6027.369656918198</x:v>
      </x:c>
      <x:c r="T470" s="32" t="n">
        <x:v>12827.520326696369</x:v>
      </x:c>
      <x:c r="U470" s="31" t="n">
        <x:f>MAX(S470/T470,T470/S470)</x:f>
        <x:v>2.1282119824811105</x:v>
      </x:c>
      <x:c r="V470" s="31" t="n">
        <x:f>L470*'Controls &amp; Summary'!$B$9+O470*'Controls &amp; Summary'!$B$10+R470*'Controls &amp; Summary'!$B$11+U470*'Controls &amp; Summary'!$B$12</x:f>
        <x:v>9.21821198248111</x:v>
      </x:c>
      <x:c r="W470" s="31" t="n">
        <x:v>4</x:v>
      </x:c>
      <x:c r="X470" s="31" t="n">
        <x:v>3</x:v>
      </x:c>
      <x:c r="Y470" s="31" t="n">
        <x:f>((10-MIN(10,MAX(0,X470)))/10)*'Controls &amp; Summary'!$B$15+((10-MIN(10,MAX(0,W470)))/10)*'Controls &amp; Summary'!$B$16</x:f>
        <x:v>1.2999999999999998</x:v>
      </x:c>
      <x:c r="Z470" s="31" t="n">
        <x:f>V470*Y470</x:f>
        <x:v>11.98367557722544</x:v>
      </x:c>
      <x:c r="AA470" s="30" t="str">
        <x:f>IF(Z470&lt;=I470,"Peaceful","Hostile")</x:f>
        <x:v>Hostile</x:v>
      </x:c>
      <x:c r="AB470" s="30" t="str">
        <x:f>IF(Z470&lt;='Controls &amp; Summary'!$B$6,"Eligible","Blocked")</x:f>
        <x:v>Eligible</x:v>
      </x:c>
      <x:c r="AC470" s="30" t="str">
        <x:v>AGO</x:v>
      </x:c>
      <x:c r="AD470" s="30" t="str">
        <x:v>ZAF</x:v>
      </x:c>
      <x:c r="AE470" s="30" t="str">
        <x:v>Johannesburg</x:v>
      </x:c>
      <x:c r="AF470" s="30" t="str">
        <x:v>Explicit capitalClaim</x:v>
      </x:c>
      <x:c r="AG470" s="30" t="str">
        <x:v>ClaimAGOJohannesburg</x:v>
      </x:c>
      <x:c r="AH470" s="30" t="str">
        <x:v>Project_RegionalAfricanUnions</x:v>
      </x:c>
    </x:row>
    <x:row r="471">
      <x:c r="A471" s="30" t="str">
        <x:v>2022</x:v>
      </x:c>
      <x:c r="B471" s="30" t="str">
        <x:v>Base game</x:v>
      </x:c>
      <x:c r="C471" s="30" t="str">
        <x:v>Angola</x:v>
      </x:c>
      <x:c r="D471" s="30" t="str">
        <x:v>Tanzania</x:v>
      </x:c>
      <x:c r="E471" s="30" t="str">
        <x:v>Project unlock</x:v>
      </x:c>
      <x:c r="F471" s="30" t="str">
        <x:v>Regional African Unions</x:v>
      </x:c>
      <x:c r="G471" s="30" t="str">
        <x:v>No</x:v>
      </x:c>
      <x:c r="H471" s="30" t="str">
        <x:v>Ordinary claim</x:v>
      </x:c>
      <x:c r="I471" s="31" t="n">
        <x:f>IF(G471="Yes",'Controls &amp; Summary'!$B$5,'Controls &amp; Summary'!$B$4)</x:f>
        <x:v>6</x:v>
      </x:c>
      <x:c r="J471" s="31" t="n">
        <x:v>3.37</x:v>
      </x:c>
      <x:c r="K471" s="31" t="n">
        <x:v>5.1</x:v>
      </x:c>
      <x:c r="L471" s="31" t="n">
        <x:f>ABS(J471-K471)</x:f>
        <x:v>1.7299999999999995</x:v>
      </x:c>
      <x:c r="M471" s="31" t="n">
        <x:v>5.13</x:v>
      </x:c>
      <x:c r="N471" s="31" t="n">
        <x:v>4.05</x:v>
      </x:c>
      <x:c r="O471" s="31" t="n">
        <x:f>ABS(M471-N471)</x:f>
        <x:v>1.08</x:v>
      </x:c>
      <x:c r="P471" s="31" t="n">
        <x:v>5</x:v>
      </x:c>
      <x:c r="Q471" s="31" t="n">
        <x:v>4.29</x:v>
      </x:c>
      <x:c r="R471" s="31" t="n">
        <x:f>ABS(P471-Q471)</x:f>
        <x:v>0.71</x:v>
      </x:c>
      <x:c r="S471" s="32" t="n">
        <x:v>6027.369656918198</x:v>
      </x:c>
      <x:c r="T471" s="32" t="n">
        <x:v>2846.1193743566573</x:v>
      </x:c>
      <x:c r="U471" s="31" t="n">
        <x:f>MAX(S471/T471,T471/S471)</x:f>
        <x:v>2.117750123633039</x:v>
      </x:c>
      <x:c r="V471" s="31" t="n">
        <x:f>L471*'Controls &amp; Summary'!$B$9+O471*'Controls &amp; Summary'!$B$10+R471*'Controls &amp; Summary'!$B$11+U471*'Controls &amp; Summary'!$B$12</x:f>
        <x:v>5.6377501236330385</x:v>
      </x:c>
      <x:c r="W471" s="31" t="n">
        <x:v>4</x:v>
      </x:c>
      <x:c r="X471" s="31" t="n">
        <x:v>2</x:v>
      </x:c>
      <x:c r="Y471" s="31" t="n">
        <x:f>((10-MIN(10,MAX(0,X471)))/10)*'Controls &amp; Summary'!$B$15+((10-MIN(10,MAX(0,W471)))/10)*'Controls &amp; Summary'!$B$16</x:f>
        <x:v>1.4</x:v>
      </x:c>
      <x:c r="Z471" s="31" t="n">
        <x:f>V471*Y471</x:f>
        <x:v>7.892850173086253</x:v>
      </x:c>
      <x:c r="AA471" s="30" t="str">
        <x:f>IF(Z471&lt;=I471,"Peaceful","Hostile")</x:f>
        <x:v>Hostile</x:v>
      </x:c>
      <x:c r="AB471" s="30" t="str">
        <x:f>IF(Z471&lt;='Controls &amp; Summary'!$B$6,"Eligible","Blocked")</x:f>
        <x:v>Eligible</x:v>
      </x:c>
      <x:c r="AC471" s="30" t="str">
        <x:v>AGO</x:v>
      </x:c>
      <x:c r="AD471" s="30" t="str">
        <x:v>TZA</x:v>
      </x:c>
      <x:c r="AE471" s="30" t="str">
        <x:v>WestTanzania</x:v>
      </x:c>
      <x:c r="AF471" s="30" t="str">
        <x:v>Explicit capitalClaim</x:v>
      </x:c>
      <x:c r="AG471" s="30" t="str">
        <x:v>ClaimAGOWestTanzania</x:v>
      </x:c>
      <x:c r="AH471" s="30" t="str">
        <x:v>Project_RegionalAfricanUnions</x:v>
      </x:c>
    </x:row>
    <x:row r="472">
      <x:c r="A472" s="30" t="str">
        <x:v>2022</x:v>
      </x:c>
      <x:c r="B472" s="30" t="str">
        <x:v>Base game</x:v>
      </x:c>
      <x:c r="C472" s="30" t="str">
        <x:v>Angola</x:v>
      </x:c>
      <x:c r="D472" s="30" t="str">
        <x:v>Uganda</x:v>
      </x:c>
      <x:c r="E472" s="30" t="str">
        <x:v>Project unlock</x:v>
      </x:c>
      <x:c r="F472" s="30" t="str">
        <x:v>Regional African Unions</x:v>
      </x:c>
      <x:c r="G472" s="30" t="str">
        <x:v>No</x:v>
      </x:c>
      <x:c r="H472" s="30" t="str">
        <x:v>Ordinary claim</x:v>
      </x:c>
      <x:c r="I472" s="31" t="n">
        <x:f>IF(G472="Yes",'Controls &amp; Summary'!$B$5,'Controls &amp; Summary'!$B$4)</x:f>
        <x:v>6</x:v>
      </x:c>
      <x:c r="J472" s="31" t="n">
        <x:v>3.37</x:v>
      </x:c>
      <x:c r="K472" s="31" t="n">
        <x:v>4.48</x:v>
      </x:c>
      <x:c r="L472" s="31" t="n">
        <x:f>ABS(J472-K472)</x:f>
        <x:v>1.1100000000000003</x:v>
      </x:c>
      <x:c r="M472" s="31" t="n">
        <x:v>5.13</x:v>
      </x:c>
      <x:c r="N472" s="31" t="n">
        <x:v>4.27</x:v>
      </x:c>
      <x:c r="O472" s="31" t="n">
        <x:f>ABS(M472-N472)</x:f>
        <x:v>0.8600000000000003</x:v>
      </x:c>
      <x:c r="P472" s="31" t="n">
        <x:v>5</x:v>
      </x:c>
      <x:c r="Q472" s="31" t="n">
        <x:v>5.23</x:v>
      </x:c>
      <x:c r="R472" s="31" t="n">
        <x:f>ABS(P472-Q472)</x:f>
        <x:v>0.23000000000000043</x:v>
      </x:c>
      <x:c r="S472" s="32" t="n">
        <x:v>6027.369656918198</x:v>
      </x:c>
      <x:c r="T472" s="32" t="n">
        <x:v>2332.9311850582926</x:v>
      </x:c>
      <x:c r="U472" s="31" t="n">
        <x:f>MAX(S472/T472,T472/S472)</x:f>
        <x:v>2.583603706582367</x:v>
      </x:c>
      <x:c r="V472" s="31" t="n">
        <x:f>L472*'Controls &amp; Summary'!$B$9+O472*'Controls &amp; Summary'!$B$10+R472*'Controls &amp; Summary'!$B$11+U472*'Controls &amp; Summary'!$B$12</x:f>
        <x:v>4.783603706582368</x:v>
      </x:c>
      <x:c r="W472" s="31" t="n">
        <x:v>4</x:v>
      </x:c>
      <x:c r="X472" s="31" t="n">
        <x:v>5</x:v>
      </x:c>
      <x:c r="Y472" s="31" t="n">
        <x:f>((10-MIN(10,MAX(0,X472)))/10)*'Controls &amp; Summary'!$B$15+((10-MIN(10,MAX(0,W472)))/10)*'Controls &amp; Summary'!$B$16</x:f>
        <x:v>1.1</x:v>
      </x:c>
      <x:c r="Z472" s="31" t="n">
        <x:f>V472*Y472</x:f>
        <x:v>5.261964077240605</x:v>
      </x:c>
      <x:c r="AA472" s="30" t="str">
        <x:f>IF(Z472&lt;=I472,"Peaceful","Hostile")</x:f>
        <x:v>Peaceful</x:v>
      </x:c>
      <x:c r="AB472" s="30" t="str">
        <x:f>IF(Z472&lt;='Controls &amp; Summary'!$B$6,"Eligible","Blocked")</x:f>
        <x:v>Eligible</x:v>
      </x:c>
      <x:c r="AC472" s="30" t="str">
        <x:v>AGO</x:v>
      </x:c>
      <x:c r="AD472" s="30" t="str">
        <x:v>UGA</x:v>
      </x:c>
      <x:c r="AE472" s="30" t="str">
        <x:v>Uganda</x:v>
      </x:c>
      <x:c r="AF472" s="30" t="str">
        <x:v>Explicit capitalClaim</x:v>
      </x:c>
      <x:c r="AG472" s="30" t="str">
        <x:v>ClaimAGOUganda</x:v>
      </x:c>
      <x:c r="AH472" s="30" t="str">
        <x:v>Project_RegionalAfricanUnions</x:v>
      </x:c>
    </x:row>
    <x:row r="473">
      <x:c r="A473" s="30" t="str">
        <x:v>2022</x:v>
      </x:c>
      <x:c r="B473" s="30" t="str">
        <x:v>Base game</x:v>
      </x:c>
      <x:c r="C473" s="30" t="str">
        <x:v>Angola</x:v>
      </x:c>
      <x:c r="D473" s="30" t="str">
        <x:v>Zambia</x:v>
      </x:c>
      <x:c r="E473" s="30" t="str">
        <x:v>Project unlock</x:v>
      </x:c>
      <x:c r="F473" s="30" t="str">
        <x:v>Regional African Unions</x:v>
      </x:c>
      <x:c r="G473" s="30" t="str">
        <x:v>No</x:v>
      </x:c>
      <x:c r="H473" s="30" t="str">
        <x:v>Ordinary claim</x:v>
      </x:c>
      <x:c r="I473" s="31" t="n">
        <x:f>IF(G473="Yes",'Controls &amp; Summary'!$B$5,'Controls &amp; Summary'!$B$4)</x:f>
        <x:v>6</x:v>
      </x:c>
      <x:c r="J473" s="31" t="n">
        <x:v>3.37</x:v>
      </x:c>
      <x:c r="K473" s="31" t="n">
        <x:v>5.72</x:v>
      </x:c>
      <x:c r="L473" s="31" t="n">
        <x:f>ABS(J473-K473)</x:f>
        <x:v>2.3499999999999996</x:v>
      </x:c>
      <x:c r="M473" s="31" t="n">
        <x:v>5.13</x:v>
      </x:c>
      <x:c r="N473" s="31" t="n">
        <x:v>5.71</x:v>
      </x:c>
      <x:c r="O473" s="31" t="n">
        <x:f>ABS(M473-N473)</x:f>
        <x:v>0.5800000000000001</x:v>
      </x:c>
      <x:c r="P473" s="31" t="n">
        <x:v>5</x:v>
      </x:c>
      <x:c r="Q473" s="31" t="n">
        <x:v>5.57</x:v>
      </x:c>
      <x:c r="R473" s="31" t="n">
        <x:f>ABS(P473-Q473)</x:f>
        <x:v>0.5700000000000003</x:v>
      </x:c>
      <x:c r="S473" s="32" t="n">
        <x:v>6027.369656918198</x:v>
      </x:c>
      <x:c r="T473" s="32" t="n">
        <x:v>3390.769957561523</x:v>
      </x:c>
      <x:c r="U473" s="31" t="n">
        <x:f>MAX(S473/T473,T473/S473)</x:f>
        <x:v>1.7775814143560449</x:v>
      </x:c>
      <x:c r="V473" s="31" t="n">
        <x:f>L473*'Controls &amp; Summary'!$B$9+O473*'Controls &amp; Summary'!$B$10+R473*'Controls &amp; Summary'!$B$11+U473*'Controls &amp; Summary'!$B$12</x:f>
        <x:v>5.277581414356045</x:v>
      </x:c>
      <x:c r="W473" s="31" t="n">
        <x:v>4</x:v>
      </x:c>
      <x:c r="X473" s="31" t="n">
        <x:v>1</x:v>
      </x:c>
      <x:c r="Y473" s="31" t="n">
        <x:f>((10-MIN(10,MAX(0,X473)))/10)*'Controls &amp; Summary'!$B$15+((10-MIN(10,MAX(0,W473)))/10)*'Controls &amp; Summary'!$B$16</x:f>
        <x:v>1.5</x:v>
      </x:c>
      <x:c r="Z473" s="31" t="n">
        <x:f>V473*Y473</x:f>
        <x:v>7.916372121534067</x:v>
      </x:c>
      <x:c r="AA473" s="30" t="str">
        <x:f>IF(Z473&lt;=I473,"Peaceful","Hostile")</x:f>
        <x:v>Hostile</x:v>
      </x:c>
      <x:c r="AB473" s="30" t="str">
        <x:f>IF(Z473&lt;='Controls &amp; Summary'!$B$6,"Eligible","Blocked")</x:f>
        <x:v>Eligible</x:v>
      </x:c>
      <x:c r="AC473" s="30" t="str">
        <x:v>AGO</x:v>
      </x:c>
      <x:c r="AD473" s="30" t="str">
        <x:v>ZMB</x:v>
      </x:c>
      <x:c r="AE473" s="30" t="str">
        <x:v>Zambia</x:v>
      </x:c>
      <x:c r="AF473" s="30" t="str">
        <x:v>Explicit capitalClaim</x:v>
      </x:c>
      <x:c r="AG473" s="30" t="str">
        <x:v>ClaimAGOZambia</x:v>
      </x:c>
      <x:c r="AH473" s="30" t="str">
        <x:v>Project_RegionalAfricanUnions</x:v>
      </x:c>
    </x:row>
    <x:row r="474">
      <x:c r="A474" s="30" t="str">
        <x:v>2022</x:v>
      </x:c>
      <x:c r="B474" s="30" t="str">
        <x:v>Base game</x:v>
      </x:c>
      <x:c r="C474" s="30" t="str">
        <x:v>Angola</x:v>
      </x:c>
      <x:c r="D474" s="30" t="str">
        <x:v>Zimbabwe</x:v>
      </x:c>
      <x:c r="E474" s="30" t="str">
        <x:v>Project unlock</x:v>
      </x:c>
      <x:c r="F474" s="30" t="str">
        <x:v>Regional African Unions</x:v>
      </x:c>
      <x:c r="G474" s="30" t="str">
        <x:v>No</x:v>
      </x:c>
      <x:c r="H474" s="30" t="str">
        <x:v>Ordinary claim</x:v>
      </x:c>
      <x:c r="I474" s="31" t="n">
        <x:f>IF(G474="Yes",'Controls &amp; Summary'!$B$5,'Controls &amp; Summary'!$B$4)</x:f>
        <x:v>6</x:v>
      </x:c>
      <x:c r="J474" s="31" t="n">
        <x:v>3.37</x:v>
      </x:c>
      <x:c r="K474" s="31" t="n">
        <x:v>2.92</x:v>
      </x:c>
      <x:c r="L474" s="31" t="n">
        <x:f>ABS(J474-K474)</x:f>
        <x:v>0.4500000000000002</x:v>
      </x:c>
      <x:c r="M474" s="31" t="n">
        <x:v>5.13</x:v>
      </x:c>
      <x:c r="N474" s="31" t="n">
        <x:v>5.03</x:v>
      </x:c>
      <x:c r="O474" s="31" t="n">
        <x:f>ABS(M474-N474)</x:f>
        <x:v>0.09999999999999964</x:v>
      </x:c>
      <x:c r="P474" s="31" t="n">
        <x:v>5</x:v>
      </x:c>
      <x:c r="Q474" s="31" t="n">
        <x:v>5.87</x:v>
      </x:c>
      <x:c r="R474" s="31" t="n">
        <x:f>ABS(P474-Q474)</x:f>
        <x:v>0.8700000000000001</x:v>
      </x:c>
      <x:c r="S474" s="32" t="n">
        <x:v>6027.369656918198</x:v>
      </x:c>
      <x:c r="T474" s="32" t="n">
        <x:v>3022.6033813062822</x:v>
      </x:c>
      <x:c r="U474" s="31" t="n">
        <x:f>MAX(S474/T474,T474/S474)</x:f>
        <x:v>1.9940987607554859</x:v>
      </x:c>
      <x:c r="V474" s="31" t="n">
        <x:f>L474*'Controls &amp; Summary'!$B$9+O474*'Controls &amp; Summary'!$B$10+R474*'Controls &amp; Summary'!$B$11+U474*'Controls &amp; Summary'!$B$12</x:f>
        <x:v>3.414098760755486</x:v>
      </x:c>
      <x:c r="W474" s="31" t="n">
        <x:v>4</x:v>
      </x:c>
      <x:c r="X474" s="31" t="n">
        <x:v>3</x:v>
      </x:c>
      <x:c r="Y474" s="31" t="n">
        <x:f>((10-MIN(10,MAX(0,X474)))/10)*'Controls &amp; Summary'!$B$15+((10-MIN(10,MAX(0,W474)))/10)*'Controls &amp; Summary'!$B$16</x:f>
        <x:v>1.2999999999999998</x:v>
      </x:c>
      <x:c r="Z474" s="31" t="n">
        <x:f>V474*Y474</x:f>
        <x:v>4.438328388982131</x:v>
      </x:c>
      <x:c r="AA474" s="30" t="str">
        <x:f>IF(Z474&lt;=I474,"Peaceful","Hostile")</x:f>
        <x:v>Peaceful</x:v>
      </x:c>
      <x:c r="AB474" s="30" t="str">
        <x:f>IF(Z474&lt;='Controls &amp; Summary'!$B$6,"Eligible","Blocked")</x:f>
        <x:v>Eligible</x:v>
      </x:c>
      <x:c r="AC474" s="30" t="str">
        <x:v>AGO</x:v>
      </x:c>
      <x:c r="AD474" s="30" t="str">
        <x:v>ZWE</x:v>
      </x:c>
      <x:c r="AE474" s="30" t="str">
        <x:v>Zimbabwe</x:v>
      </x:c>
      <x:c r="AF474" s="30" t="str">
        <x:v>Explicit capitalClaim</x:v>
      </x:c>
      <x:c r="AG474" s="30" t="str">
        <x:v>ClaimAGOZimbabwe</x:v>
      </x:c>
      <x:c r="AH474" s="30" t="str">
        <x:v>Project_RegionalAfricanUnions</x:v>
      </x:c>
    </x:row>
    <x:row r="475">
      <x:c r="A475" s="30" t="str">
        <x:v>2022</x:v>
      </x:c>
      <x:c r="B475" s="30" t="str">
        <x:v>Base game</x:v>
      </x:c>
      <x:c r="C475" s="30" t="str">
        <x:v>Argentina</x:v>
      </x:c>
      <x:c r="D475" s="30" t="str">
        <x:v>Bolivia</x:v>
      </x:c>
      <x:c r="E475" s="30" t="str">
        <x:v>Project unlock</x:v>
      </x:c>
      <x:c r="F475" s="30" t="str">
        <x:v>South American Confederations</x:v>
      </x:c>
      <x:c r="G475" s="30" t="str">
        <x:v>Yes</x:v>
      </x:c>
      <x:c r="H475" s="30" t="str">
        <x:v>Template hostileClaim</x:v>
      </x:c>
      <x:c r="I475" s="31" t="n">
        <x:f>IF(G475="Yes",'Controls &amp; Summary'!$B$5,'Controls &amp; Summary'!$B$4)</x:f>
        <x:v>3</x:v>
      </x:c>
      <x:c r="J475" s="31" t="n">
        <x:v>6.81</x:v>
      </x:c>
      <x:c r="K475" s="31" t="n">
        <x:v>4.65</x:v>
      </x:c>
      <x:c r="L475" s="31" t="n">
        <x:f>ABS(J475-K475)</x:f>
        <x:v>2.1599999999999993</x:v>
      </x:c>
      <x:c r="M475" s="31" t="n">
        <x:v>4.23</x:v>
      </x:c>
      <x:c r="N475" s="31" t="n">
        <x:v>4.36</x:v>
      </x:c>
      <x:c r="O475" s="31" t="n">
        <x:f>ABS(M475-N475)</x:f>
        <x:v>0.1299999999999999</x:v>
      </x:c>
      <x:c r="P475" s="31" t="n">
        <x:v>8.55</x:v>
      </x:c>
      <x:c r="Q475" s="31" t="n">
        <x:v>6.95</x:v>
      </x:c>
      <x:c r="R475" s="31" t="n">
        <x:f>ABS(P475-Q475)</x:f>
        <x:v>1.6000000000000005</x:v>
      </x:c>
      <x:c r="S475" s="32" t="n">
        <x:v>22804.662999639888</x:v>
      </x:c>
      <x:c r="T475" s="32" t="n">
        <x:v>8613.914112629514</x:v>
      </x:c>
      <x:c r="U475" s="31" t="n">
        <x:f>MAX(S475/T475,T475/S475)</x:f>
        <x:v>2.6474216832745334</x:v>
      </x:c>
      <x:c r="V475" s="31" t="n">
        <x:f>L475*'Controls &amp; Summary'!$B$9+O475*'Controls &amp; Summary'!$B$10+R475*'Controls &amp; Summary'!$B$11+U475*'Controls &amp; Summary'!$B$12</x:f>
        <x:v>6.537421683274533</x:v>
      </x:c>
      <x:c r="W475" s="31" t="n">
        <x:v>5</x:v>
      </x:c>
      <x:c r="X475" s="31" t="n">
        <x:v>3</x:v>
      </x:c>
      <x:c r="Y475" s="31" t="n">
        <x:f>((10-MIN(10,MAX(0,X475)))/10)*'Controls &amp; Summary'!$B$15+((10-MIN(10,MAX(0,W475)))/10)*'Controls &amp; Summary'!$B$16</x:f>
        <x:v>1.2</x:v>
      </x:c>
      <x:c r="Z475" s="31" t="n">
        <x:f>V475*Y475</x:f>
        <x:v>7.844906019929439</x:v>
      </x:c>
      <x:c r="AA475" s="30" t="str">
        <x:f>IF(Z475&lt;=I475,"Peaceful","Hostile")</x:f>
        <x:v>Hostile</x:v>
      </x:c>
      <x:c r="AB475" s="30" t="str">
        <x:f>IF(Z475&lt;='Controls &amp; Summary'!$B$6,"Eligible","Blocked")</x:f>
        <x:v>Eligible</x:v>
      </x:c>
      <x:c r="AC475" s="30" t="str">
        <x:v>ARG</x:v>
      </x:c>
      <x:c r="AD475" s="30" t="str">
        <x:v>BOL</x:v>
      </x:c>
      <x:c r="AE475" s="30" t="str">
        <x:v>Bolivia</x:v>
      </x:c>
      <x:c r="AF475" s="30" t="str">
        <x:v>Explicit capitalClaim</x:v>
      </x:c>
      <x:c r="AG475" s="30" t="str">
        <x:v>ClaimARGBolivia</x:v>
      </x:c>
      <x:c r="AH475" s="30" t="str">
        <x:v>Project_GranColombia</x:v>
      </x:c>
    </x:row>
    <x:row r="476">
      <x:c r="A476" s="30" t="str">
        <x:v>2022</x:v>
      </x:c>
      <x:c r="B476" s="30" t="str">
        <x:v>Base game</x:v>
      </x:c>
      <x:c r="C476" s="30" t="str">
        <x:v>Argentina</x:v>
      </x:c>
      <x:c r="D476" s="30" t="str">
        <x:v>Paraguay</x:v>
      </x:c>
      <x:c r="E476" s="30" t="str">
        <x:v>Project unlock</x:v>
      </x:c>
      <x:c r="F476" s="30" t="str">
        <x:v>South American Confederations</x:v>
      </x:c>
      <x:c r="G476" s="30" t="str">
        <x:v>No</x:v>
      </x:c>
      <x:c r="H476" s="30" t="str">
        <x:v>Ordinary claim</x:v>
      </x:c>
      <x:c r="I476" s="31" t="n">
        <x:f>IF(G476="Yes",'Controls &amp; Summary'!$B$5,'Controls &amp; Summary'!$B$4)</x:f>
        <x:v>6</x:v>
      </x:c>
      <x:c r="J476" s="31" t="n">
        <x:v>6.81</x:v>
      </x:c>
      <x:c r="K476" s="31" t="n">
        <x:v>5.86</x:v>
      </x:c>
      <x:c r="L476" s="31" t="n">
        <x:f>ABS(J476-K476)</x:f>
        <x:v>0.9499999999999993</x:v>
      </x:c>
      <x:c r="M476" s="31" t="n">
        <x:v>4.23</x:v>
      </x:c>
      <x:c r="N476" s="31" t="n">
        <x:v>4.35</x:v>
      </x:c>
      <x:c r="O476" s="31" t="n">
        <x:f>ABS(M476-N476)</x:f>
        <x:v>0.11999999999999922</x:v>
      </x:c>
      <x:c r="P476" s="31" t="n">
        <x:v>8.55</x:v>
      </x:c>
      <x:c r="Q476" s="31" t="n">
        <x:v>6.38</x:v>
      </x:c>
      <x:c r="R476" s="31" t="n">
        <x:f>ABS(P476-Q476)</x:f>
        <x:v>2.170000000000001</x:v>
      </x:c>
      <x:c r="S476" s="32" t="n">
        <x:v>22804.662999639888</x:v>
      </x:c>
      <x:c r="T476" s="32" t="n">
        <x:v>12907.985540489528</x:v>
      </x:c>
      <x:c r="U476" s="31" t="n">
        <x:f>MAX(S476/T476,T476/S476)</x:f>
        <x:v>1.7667096796867836</x:v>
      </x:c>
      <x:c r="V476" s="31" t="n">
        <x:f>L476*'Controls &amp; Summary'!$B$9+O476*'Controls &amp; Summary'!$B$10+R476*'Controls &amp; Summary'!$B$11+U476*'Controls &amp; Summary'!$B$12</x:f>
        <x:v>5.006709679686783</x:v>
      </x:c>
      <x:c r="W476" s="31" t="n">
        <x:v>5</x:v>
      </x:c>
      <x:c r="X476" s="31" t="n">
        <x:v>0</x:v>
      </x:c>
      <x:c r="Y476" s="31" t="n">
        <x:f>((10-MIN(10,MAX(0,X476)))/10)*'Controls &amp; Summary'!$B$15+((10-MIN(10,MAX(0,W476)))/10)*'Controls &amp; Summary'!$B$16</x:f>
        <x:v>1.5</x:v>
      </x:c>
      <x:c r="Z476" s="31" t="n">
        <x:f>V476*Y476</x:f>
        <x:v>7.510064519530175</x:v>
      </x:c>
      <x:c r="AA476" s="30" t="str">
        <x:f>IF(Z476&lt;=I476,"Peaceful","Hostile")</x:f>
        <x:v>Hostile</x:v>
      </x:c>
      <x:c r="AB476" s="30" t="str">
        <x:f>IF(Z476&lt;='Controls &amp; Summary'!$B$6,"Eligible","Blocked")</x:f>
        <x:v>Eligible</x:v>
      </x:c>
      <x:c r="AC476" s="30" t="str">
        <x:v>ARG</x:v>
      </x:c>
      <x:c r="AD476" s="30" t="str">
        <x:v>PRY</x:v>
      </x:c>
      <x:c r="AE476" s="30" t="str">
        <x:v>Paraguay</x:v>
      </x:c>
      <x:c r="AF476" s="30" t="str">
        <x:v>Explicit capitalClaim</x:v>
      </x:c>
      <x:c r="AG476" s="30" t="str">
        <x:v>ClaimARGParaguay</x:v>
      </x:c>
      <x:c r="AH476" s="30" t="str">
        <x:v>Project_GranColombia</x:v>
      </x:c>
    </x:row>
    <x:row r="477">
      <x:c r="A477" s="30" t="str">
        <x:v>2022</x:v>
      </x:c>
      <x:c r="B477" s="30" t="str">
        <x:v>Base game</x:v>
      </x:c>
      <x:c r="C477" s="30" t="str">
        <x:v>Argentina</x:v>
      </x:c>
      <x:c r="D477" s="30" t="str">
        <x:v>Uruguay</x:v>
      </x:c>
      <x:c r="E477" s="30" t="str">
        <x:v>Project unlock</x:v>
      </x:c>
      <x:c r="F477" s="30" t="str">
        <x:v>South American Confederations</x:v>
      </x:c>
      <x:c r="G477" s="30" t="str">
        <x:v>No</x:v>
      </x:c>
      <x:c r="H477" s="30" t="str">
        <x:v>Ordinary claim</x:v>
      </x:c>
      <x:c r="I477" s="31" t="n">
        <x:f>IF(G477="Yes",'Controls &amp; Summary'!$B$5,'Controls &amp; Summary'!$B$4)</x:f>
        <x:v>6</x:v>
      </x:c>
      <x:c r="J477" s="31" t="n">
        <x:v>6.81</x:v>
      </x:c>
      <x:c r="K477" s="31" t="n">
        <x:v>8.85</x:v>
      </x:c>
      <x:c r="L477" s="31" t="n">
        <x:f>ABS(J477-K477)</x:f>
        <x:v>2.04</x:v>
      </x:c>
      <x:c r="M477" s="31" t="n">
        <x:v>4.23</x:v>
      </x:c>
      <x:c r="N477" s="31" t="n">
        <x:v>4.02</x:v>
      </x:c>
      <x:c r="O477" s="31" t="n">
        <x:f>ABS(M477-N477)</x:f>
        <x:v>0.21000000000000085</x:v>
      </x:c>
      <x:c r="P477" s="31" t="n">
        <x:v>8.55</x:v>
      </x:c>
      <x:c r="Q477" s="31" t="n">
        <x:v>7.65</x:v>
      </x:c>
      <x:c r="R477" s="31" t="n">
        <x:f>ABS(P477-Q477)</x:f>
        <x:v>0.9000000000000004</x:v>
      </x:c>
      <x:c r="S477" s="32" t="n">
        <x:v>22804.662999639888</x:v>
      </x:c>
      <x:c r="T477" s="32" t="n">
        <x:v>23835.46509981235</x:v>
      </x:c>
      <x:c r="U477" s="31" t="n">
        <x:f>MAX(S477/T477,T477/S477)</x:f>
        <x:v>1.0452013739553503</x:v>
      </x:c>
      <x:c r="V477" s="31" t="n">
        <x:f>L477*'Controls &amp; Summary'!$B$9+O477*'Controls &amp; Summary'!$B$10+R477*'Controls &amp; Summary'!$B$11+U477*'Controls &amp; Summary'!$B$12</x:f>
        <x:v>4.195201373955351</x:v>
      </x:c>
      <x:c r="W477" s="31" t="n">
        <x:v>5</x:v>
      </x:c>
      <x:c r="X477" s="31" t="n">
        <x:v>1</x:v>
      </x:c>
      <x:c r="Y477" s="31" t="n">
        <x:f>((10-MIN(10,MAX(0,X477)))/10)*'Controls &amp; Summary'!$B$15+((10-MIN(10,MAX(0,W477)))/10)*'Controls &amp; Summary'!$B$16</x:f>
        <x:v>1.4</x:v>
      </x:c>
      <x:c r="Z477" s="31" t="n">
        <x:f>V477*Y477</x:f>
        <x:v>5.873281923537491</x:v>
      </x:c>
      <x:c r="AA477" s="30" t="str">
        <x:f>IF(Z477&lt;=I477,"Peaceful","Hostile")</x:f>
        <x:v>Peaceful</x:v>
      </x:c>
      <x:c r="AB477" s="30" t="str">
        <x:f>IF(Z477&lt;='Controls &amp; Summary'!$B$6,"Eligible","Blocked")</x:f>
        <x:v>Eligible</x:v>
      </x:c>
      <x:c r="AC477" s="30" t="str">
        <x:v>ARG</x:v>
      </x:c>
      <x:c r="AD477" s="30" t="str">
        <x:v>URY</x:v>
      </x:c>
      <x:c r="AE477" s="30" t="str">
        <x:v>Uruguay</x:v>
      </x:c>
      <x:c r="AF477" s="30" t="str">
        <x:v>Explicit capitalClaim</x:v>
      </x:c>
      <x:c r="AG477" s="30" t="str">
        <x:v>ClaimARGUruguay</x:v>
      </x:c>
      <x:c r="AH477" s="30" t="str">
        <x:v>Project_GranColombia</x:v>
      </x:c>
    </x:row>
    <x:row r="478">
      <x:c r="A478" s="30" t="str">
        <x:v>2022</x:v>
      </x:c>
      <x:c r="B478" s="30" t="str">
        <x:v>Base game</x:v>
      </x:c>
      <x:c r="C478" s="30" t="str">
        <x:v>Australia</x:v>
      </x:c>
      <x:c r="D478" s="30" t="str">
        <x:v>Melanesian States</x:v>
      </x:c>
      <x:c r="E478" s="30" t="str">
        <x:v>Project unlock</x:v>
      </x:c>
      <x:c r="F478" s="30" t="str">
        <x:v>Southern Cross</x:v>
      </x:c>
      <x:c r="G478" s="30" t="str">
        <x:v>No</x:v>
      </x:c>
      <x:c r="H478" s="30" t="str">
        <x:v>Ordinary claim</x:v>
      </x:c>
      <x:c r="I478" s="31" t="n">
        <x:f>IF(G478="Yes",'Controls &amp; Summary'!$B$5,'Controls &amp; Summary'!$B$4)</x:f>
        <x:v>6</x:v>
      </x:c>
      <x:c r="J478" s="31" t="n">
        <x:v>8.9</x:v>
      </x:c>
      <x:c r="K478" s="31" t="n">
        <x:v>6.89</x:v>
      </x:c>
      <x:c r="L478" s="31" t="n">
        <x:f>ABS(J478-K478)</x:f>
        <x:v>2.0100000000000007</x:v>
      </x:c>
      <x:c r="M478" s="31" t="n">
        <x:v>3.43</x:v>
      </x:c>
      <x:c r="N478" s="31" t="n">
        <x:v>3.31</x:v>
      </x:c>
      <x:c r="O478" s="31" t="n">
        <x:f>ABS(M478-N478)</x:f>
        <x:v>0.1200000000000001</x:v>
      </x:c>
      <x:c r="P478" s="31" t="n">
        <x:v>9.24</x:v>
      </x:c>
      <x:c r="Q478" s="31" t="n">
        <x:v>6.23</x:v>
      </x:c>
      <x:c r="R478" s="31" t="n">
        <x:f>ABS(P478-Q478)</x:f>
        <x:v>3.01</x:v>
      </x:c>
      <x:c r="S478" s="32" t="n">
        <x:v>66075.11389648572</x:v>
      </x:c>
      <x:c r="T478" s="32" t="n">
        <x:v>6725.308486472044</x:v>
      </x:c>
      <x:c r="U478" s="31" t="n">
        <x:f>MAX(S478/T478,T478/S478)</x:f>
        <x:v>9.824845065381878</x:v>
      </x:c>
      <x:c r="V478" s="31" t="n">
        <x:f>L478*'Controls &amp; Summary'!$B$9+O478*'Controls &amp; Summary'!$B$10+R478*'Controls &amp; Summary'!$B$11+U478*'Controls &amp; Summary'!$B$12</x:f>
        <x:v>14.964845065381878</x:v>
      </x:c>
      <x:c r="W478" s="31" t="n">
        <x:v>6</x:v>
      </x:c>
      <x:c r="X478" s="31" t="n">
        <x:v>2</x:v>
      </x:c>
      <x:c r="Y478" s="31" t="n">
        <x:f>((10-MIN(10,MAX(0,X478)))/10)*'Controls &amp; Summary'!$B$15+((10-MIN(10,MAX(0,W478)))/10)*'Controls &amp; Summary'!$B$16</x:f>
        <x:v>1.2000000000000002</x:v>
      </x:c>
      <x:c r="Z478" s="31" t="n">
        <x:f>V478*Y478</x:f>
        <x:v>17.957814078458256</x:v>
      </x:c>
      <x:c r="AA478" s="30" t="str">
        <x:f>IF(Z478&lt;=I478,"Peaceful","Hostile")</x:f>
        <x:v>Hostile</x:v>
      </x:c>
      <x:c r="AB478" s="30" t="str">
        <x:f>IF(Z478&lt;='Controls &amp; Summary'!$B$6,"Eligible","Blocked")</x:f>
        <x:v>Blocked</x:v>
      </x:c>
      <x:c r="AC478" s="30" t="str">
        <x:v>AUS</x:v>
      </x:c>
      <x:c r="AD478" s="30" t="str">
        <x:v>PCS</x:v>
      </x:c>
      <x:c r="AE478" s="30" t="str">
        <x:v>Melanesia</x:v>
      </x:c>
      <x:c r="AF478" s="30" t="str">
        <x:v>Explicit capitalClaim</x:v>
      </x:c>
      <x:c r="AG478" s="30" t="str">
        <x:v>ClaimAUSMelanesia</x:v>
      </x:c>
      <x:c r="AH478" s="30" t="str">
        <x:v>Project_SouthernCross</x:v>
      </x:c>
    </x:row>
    <x:row r="479">
      <x:c r="A479" s="30" t="str">
        <x:v>2022</x:v>
      </x:c>
      <x:c r="B479" s="30" t="str">
        <x:v>Base game</x:v>
      </x:c>
      <x:c r="C479" s="30" t="str">
        <x:v>Australia</x:v>
      </x:c>
      <x:c r="D479" s="30" t="str">
        <x:v>New Zealand</x:v>
      </x:c>
      <x:c r="E479" s="30" t="str">
        <x:v>Starting claim</x:v>
      </x:c>
      <x:c r="F479" s="30" t="str"/>
      <x:c r="G479" s="30" t="str">
        <x:v>No</x:v>
      </x:c>
      <x:c r="H479" s="30" t="str">
        <x:v>Ordinary claim</x:v>
      </x:c>
      <x:c r="I479" s="31" t="n">
        <x:f>IF(G479="Yes",'Controls &amp; Summary'!$B$5,'Controls &amp; Summary'!$B$4)</x:f>
        <x:v>6</x:v>
      </x:c>
      <x:c r="J479" s="31" t="n">
        <x:v>8.9</x:v>
      </x:c>
      <x:c r="K479" s="31" t="n">
        <x:v>9.37</x:v>
      </x:c>
      <x:c r="L479" s="31" t="n">
        <x:f>ABS(J479-K479)</x:f>
        <x:v>0.46999999999999886</x:v>
      </x:c>
      <x:c r="M479" s="31" t="n">
        <x:v>3.43</x:v>
      </x:c>
      <x:c r="N479" s="31" t="n">
        <x:v>3.25</x:v>
      </x:c>
      <x:c r="O479" s="31" t="n">
        <x:f>ABS(M479-N479)</x:f>
        <x:v>0.18000000000000016</x:v>
      </x:c>
      <x:c r="P479" s="31" t="n">
        <x:v>9.24</x:v>
      </x:c>
      <x:c r="Q479" s="31" t="n">
        <x:v>9.26</x:v>
      </x:c>
      <x:c r="R479" s="31" t="n">
        <x:f>ABS(P479-Q479)</x:f>
        <x:v>0.019999999999999574</x:v>
      </x:c>
      <x:c r="S479" s="32" t="n">
        <x:v>66075.11389648572</x:v>
      </x:c>
      <x:c r="T479" s="32" t="n">
        <x:v>47774.32657265556</x:v>
      </x:c>
      <x:c r="U479" s="31" t="n">
        <x:f>MAX(S479/T479,T479/S479)</x:f>
        <x:v>1.3830674053771994</x:v>
      </x:c>
      <x:c r="V479" s="31" t="n">
        <x:f>L479*'Controls &amp; Summary'!$B$9+O479*'Controls &amp; Summary'!$B$10+R479*'Controls &amp; Summary'!$B$11+U479*'Controls &amp; Summary'!$B$12</x:f>
        <x:v>2.053067405377198</x:v>
      </x:c>
      <x:c r="W479" s="31" t="n">
        <x:v>6</x:v>
      </x:c>
      <x:c r="X479" s="31" t="n">
        <x:v>0</x:v>
      </x:c>
      <x:c r="Y479" s="31" t="n">
        <x:f>((10-MIN(10,MAX(0,X479)))/10)*'Controls &amp; Summary'!$B$15+((10-MIN(10,MAX(0,W479)))/10)*'Controls &amp; Summary'!$B$16</x:f>
        <x:v>1.4</x:v>
      </x:c>
      <x:c r="Z479" s="31" t="n">
        <x:f>V479*Y479</x:f>
        <x:v>2.874294367528077</x:v>
      </x:c>
      <x:c r="AA479" s="30" t="str">
        <x:f>IF(Z479&lt;=I479,"Peaceful","Hostile")</x:f>
        <x:v>Peaceful</x:v>
      </x:c>
      <x:c r="AB479" s="30" t="str">
        <x:f>IF(Z479&lt;='Controls &amp; Summary'!$B$6,"Eligible","Blocked")</x:f>
        <x:v>Eligible</x:v>
      </x:c>
      <x:c r="AC479" s="30" t="str">
        <x:v>AUS</x:v>
      </x:c>
      <x:c r="AD479" s="30" t="str">
        <x:v>NZL</x:v>
      </x:c>
      <x:c r="AE479" s="30" t="str">
        <x:v>NewZealand</x:v>
      </x:c>
      <x:c r="AF479" s="30" t="str">
        <x:v>Explicit capitalClaim</x:v>
      </x:c>
      <x:c r="AG479" s="30" t="str">
        <x:v>ClaimAUSNewZealand</x:v>
      </x:c>
      <x:c r="AH479" s="30" t="str"/>
    </x:row>
    <x:row r="480">
      <x:c r="A480" s="30" t="str">
        <x:v>2022</x:v>
      </x:c>
      <x:c r="B480" s="30" t="str">
        <x:v>Base game</x:v>
      </x:c>
      <x:c r="C480" s="30" t="str">
        <x:v>Australia</x:v>
      </x:c>
      <x:c r="D480" s="30" t="str">
        <x:v>Papua New Guinea</x:v>
      </x:c>
      <x:c r="E480" s="30" t="str">
        <x:v>Project unlock</x:v>
      </x:c>
      <x:c r="F480" s="30" t="str">
        <x:v>Southern Cross</x:v>
      </x:c>
      <x:c r="G480" s="30" t="str">
        <x:v>No</x:v>
      </x:c>
      <x:c r="H480" s="30" t="str">
        <x:v>Ordinary claim</x:v>
      </x:c>
      <x:c r="I480" s="31" t="n">
        <x:f>IF(G480="Yes",'Controls &amp; Summary'!$B$5,'Controls &amp; Summary'!$B$4)</x:f>
        <x:v>6</x:v>
      </x:c>
      <x:c r="J480" s="31" t="n">
        <x:v>8.9</x:v>
      </x:c>
      <x:c r="K480" s="31" t="n">
        <x:v>6.1</x:v>
      </x:c>
      <x:c r="L480" s="31" t="n">
        <x:f>ABS(J480-K480)</x:f>
        <x:v>2.8000000000000007</x:v>
      </x:c>
      <x:c r="M480" s="31" t="n">
        <x:v>3.43</x:v>
      </x:c>
      <x:c r="N480" s="31" t="n">
        <x:v>4.19</x:v>
      </x:c>
      <x:c r="O480" s="31" t="n">
        <x:f>ABS(M480-N480)</x:f>
        <x:v>0.7600000000000002</x:v>
      </x:c>
      <x:c r="P480" s="31" t="n">
        <x:v>9.24</x:v>
      </x:c>
      <x:c r="Q480" s="31" t="n">
        <x:v>4.39</x:v>
      </x:c>
      <x:c r="R480" s="31" t="n">
        <x:f>ABS(P480-Q480)</x:f>
        <x:v>4.8500000000000005</x:v>
      </x:c>
      <x:c r="S480" s="32" t="n">
        <x:v>66075.11389648572</x:v>
      </x:c>
      <x:c r="T480" s="32" t="n">
        <x:v>3703.932114816485</x:v>
      </x:c>
      <x:c r="U480" s="31" t="n">
        <x:f>MAX(S480/T480,T480/S480)</x:f>
        <x:v>17.839180591936817</x:v>
      </x:c>
      <x:c r="V480" s="31" t="n">
        <x:f>L480*'Controls &amp; Summary'!$B$9+O480*'Controls &amp; Summary'!$B$10+R480*'Controls &amp; Summary'!$B$11+U480*'Controls &amp; Summary'!$B$12</x:f>
        <x:v>26.24918059193682</x:v>
      </x:c>
      <x:c r="W480" s="31" t="n">
        <x:v>6</x:v>
      </x:c>
      <x:c r="X480" s="31" t="n">
        <x:v>4</x:v>
      </x:c>
      <x:c r="Y480" s="31" t="n">
        <x:f>((10-MIN(10,MAX(0,X480)))/10)*'Controls &amp; Summary'!$B$15+((10-MIN(10,MAX(0,W480)))/10)*'Controls &amp; Summary'!$B$16</x:f>
        <x:v>1</x:v>
      </x:c>
      <x:c r="Z480" s="31" t="n">
        <x:f>V480*Y480</x:f>
        <x:v>26.24918059193682</x:v>
      </x:c>
      <x:c r="AA480" s="30" t="str">
        <x:f>IF(Z480&lt;=I480,"Peaceful","Hostile")</x:f>
        <x:v>Hostile</x:v>
      </x:c>
      <x:c r="AB480" s="30" t="str">
        <x:f>IF(Z480&lt;='Controls &amp; Summary'!$B$6,"Eligible","Blocked")</x:f>
        <x:v>Blocked</x:v>
      </x:c>
      <x:c r="AC480" s="30" t="str">
        <x:v>AUS</x:v>
      </x:c>
      <x:c r="AD480" s="30" t="str">
        <x:v>PNG</x:v>
      </x:c>
      <x:c r="AE480" s="30" t="str">
        <x:v>PortMorseby</x:v>
      </x:c>
      <x:c r="AF480" s="30" t="str">
        <x:v>Explicit capitalClaim</x:v>
      </x:c>
      <x:c r="AG480" s="30" t="str">
        <x:v>ClaimAUSPortMorseby</x:v>
      </x:c>
      <x:c r="AH480" s="30" t="str">
        <x:v>Project_SouthernCross</x:v>
      </x:c>
    </x:row>
    <x:row r="481">
      <x:c r="A481" s="30" t="str">
        <x:v>2022</x:v>
      </x:c>
      <x:c r="B481" s="30" t="str">
        <x:v>Base game</x:v>
      </x:c>
      <x:c r="C481" s="30" t="str">
        <x:v>Australia</x:v>
      </x:c>
      <x:c r="D481" s="30" t="str">
        <x:v>Polynesian States</x:v>
      </x:c>
      <x:c r="E481" s="30" t="str">
        <x:v>Project unlock</x:v>
      </x:c>
      <x:c r="F481" s="30" t="str">
        <x:v>Southern Cross</x:v>
      </x:c>
      <x:c r="G481" s="30" t="str">
        <x:v>No</x:v>
      </x:c>
      <x:c r="H481" s="30" t="str">
        <x:v>Ordinary claim</x:v>
      </x:c>
      <x:c r="I481" s="31" t="n">
        <x:f>IF(G481="Yes",'Controls &amp; Summary'!$B$5,'Controls &amp; Summary'!$B$4)</x:f>
        <x:v>6</x:v>
      </x:c>
      <x:c r="J481" s="31" t="n">
        <x:v>8.9</x:v>
      </x:c>
      <x:c r="K481" s="31" t="n">
        <x:v>8.19</x:v>
      </x:c>
      <x:c r="L481" s="31" t="n">
        <x:f>ABS(J481-K481)</x:f>
        <x:v>0.7100000000000009</x:v>
      </x:c>
      <x:c r="M481" s="31" t="n">
        <x:v>3.43</x:v>
      </x:c>
      <x:c r="N481" s="31" t="n">
        <x:v>3.79</x:v>
      </x:c>
      <x:c r="O481" s="31" t="n">
        <x:f>ABS(M481-N481)</x:f>
        <x:v>0.3599999999999999</x:v>
      </x:c>
      <x:c r="P481" s="31" t="n">
        <x:v>9.24</x:v>
      </x:c>
      <x:c r="Q481" s="31" t="n">
        <x:v>7.34</x:v>
      </x:c>
      <x:c r="R481" s="31" t="n">
        <x:f>ABS(P481-Q481)</x:f>
        <x:v>1.9000000000000004</x:v>
      </x:c>
      <x:c r="S481" s="32" t="n">
        <x:v>66075.11389648572</x:v>
      </x:c>
      <x:c r="T481" s="32" t="n">
        <x:v>5857.177245824855</x:v>
      </x:c>
      <x:c r="U481" s="31" t="n">
        <x:f>MAX(S481/T481,T481/S481)</x:f>
        <x:v>11.281050772978698</x:v>
      </x:c>
      <x:c r="V481" s="31" t="n">
        <x:f>L481*'Controls &amp; Summary'!$B$9+O481*'Controls &amp; Summary'!$B$10+R481*'Controls &amp; Summary'!$B$11+U481*'Controls &amp; Summary'!$B$12</x:f>
        <x:v>14.251050772978699</x:v>
      </x:c>
      <x:c r="W481" s="31" t="n">
        <x:v>6</x:v>
      </x:c>
      <x:c r="X481" s="31" t="n">
        <x:v>0</x:v>
      </x:c>
      <x:c r="Y481" s="31" t="n">
        <x:f>((10-MIN(10,MAX(0,X481)))/10)*'Controls &amp; Summary'!$B$15+((10-MIN(10,MAX(0,W481)))/10)*'Controls &amp; Summary'!$B$16</x:f>
        <x:v>1.4</x:v>
      </x:c>
      <x:c r="Z481" s="31" t="n">
        <x:f>V481*Y481</x:f>
        <x:v>19.951471082170176</x:v>
      </x:c>
      <x:c r="AA481" s="30" t="str">
        <x:f>IF(Z481&lt;=I481,"Peaceful","Hostile")</x:f>
        <x:v>Hostile</x:v>
      </x:c>
      <x:c r="AB481" s="30" t="str">
        <x:f>IF(Z481&lt;='Controls &amp; Summary'!$B$6,"Eligible","Blocked")</x:f>
        <x:v>Blocked</x:v>
      </x:c>
      <x:c r="AC481" s="30" t="str">
        <x:v>AUS</x:v>
      </x:c>
      <x:c r="AD481" s="30" t="str">
        <x:v>PLS</x:v>
      </x:c>
      <x:c r="AE481" s="30" t="str">
        <x:v>Polynesia</x:v>
      </x:c>
      <x:c r="AF481" s="30" t="str">
        <x:v>Explicit capitalClaim</x:v>
      </x:c>
      <x:c r="AG481" s="30" t="str">
        <x:v>ClaimAUSPolynesia</x:v>
      </x:c>
      <x:c r="AH481" s="30" t="str">
        <x:v>Project_SouthernCross</x:v>
      </x:c>
    </x:row>
    <x:row r="482">
      <x:c r="A482" s="30" t="str">
        <x:v>2022</x:v>
      </x:c>
      <x:c r="B482" s="30" t="str">
        <x:v>Base game</x:v>
      </x:c>
      <x:c r="C482" s="30" t="str">
        <x:v>Australia</x:v>
      </x:c>
      <x:c r="D482" s="30" t="str">
        <x:v>Timor-Leste</x:v>
      </x:c>
      <x:c r="E482" s="30" t="str">
        <x:v>Project unlock</x:v>
      </x:c>
      <x:c r="F482" s="30" t="str">
        <x:v>Southern Cross</x:v>
      </x:c>
      <x:c r="G482" s="30" t="str">
        <x:v>No</x:v>
      </x:c>
      <x:c r="H482" s="30" t="str">
        <x:v>Ordinary claim</x:v>
      </x:c>
      <x:c r="I482" s="31" t="n">
        <x:f>IF(G482="Yes",'Controls &amp; Summary'!$B$5,'Controls &amp; Summary'!$B$4)</x:f>
        <x:v>6</x:v>
      </x:c>
      <x:c r="J482" s="31" t="n">
        <x:v>8.9</x:v>
      </x:c>
      <x:c r="K482" s="31" t="n">
        <x:v>7.06</x:v>
      </x:c>
      <x:c r="L482" s="31" t="n">
        <x:f>ABS(J482-K482)</x:f>
        <x:v>1.8400000000000007</x:v>
      </x:c>
      <x:c r="M482" s="31" t="n">
        <x:v>3.43</x:v>
      </x:c>
      <x:c r="N482" s="31" t="n">
        <x:v>2.87</x:v>
      </x:c>
      <x:c r="O482" s="31" t="n">
        <x:f>ABS(M482-N482)</x:f>
        <x:v>0.56</x:v>
      </x:c>
      <x:c r="P482" s="31" t="n">
        <x:v>9.24</x:v>
      </x:c>
      <x:c r="Q482" s="31" t="n">
        <x:v>5.1</x:v>
      </x:c>
      <x:c r="R482" s="31" t="n">
        <x:f>ABS(P482-Q482)</x:f>
        <x:v>4.140000000000001</x:v>
      </x:c>
      <x:c r="S482" s="32" t="n">
        <x:v>66075.11389648572</x:v>
      </x:c>
      <x:c r="T482" s="32" t="n">
        <x:v>2921.4550071387102</x:v>
      </x:c>
      <x:c r="U482" s="31" t="n">
        <x:f>MAX(S482/T482,T482/S482)</x:f>
        <x:v>22.617193739088272</x:v>
      </x:c>
      <x:c r="V482" s="31" t="n">
        <x:f>L482*'Controls &amp; Summary'!$B$9+O482*'Controls &amp; Summary'!$B$10+R482*'Controls &amp; Summary'!$B$11+U482*'Controls &amp; Summary'!$B$12</x:f>
        <x:v>29.15719373908827</x:v>
      </x:c>
      <x:c r="W482" s="31" t="n">
        <x:v>6</x:v>
      </x:c>
      <x:c r="X482" s="31" t="n">
        <x:v>2</x:v>
      </x:c>
      <x:c r="Y482" s="31" t="n">
        <x:f>((10-MIN(10,MAX(0,X482)))/10)*'Controls &amp; Summary'!$B$15+((10-MIN(10,MAX(0,W482)))/10)*'Controls &amp; Summary'!$B$16</x:f>
        <x:v>1.2000000000000002</x:v>
      </x:c>
      <x:c r="Z482" s="31" t="n">
        <x:f>V482*Y482</x:f>
        <x:v>34.98863248690593</x:v>
      </x:c>
      <x:c r="AA482" s="30" t="str">
        <x:f>IF(Z482&lt;=I482,"Peaceful","Hostile")</x:f>
        <x:v>Hostile</x:v>
      </x:c>
      <x:c r="AB482" s="30" t="str">
        <x:f>IF(Z482&lt;='Controls &amp; Summary'!$B$6,"Eligible","Blocked")</x:f>
        <x:v>Blocked</x:v>
      </x:c>
      <x:c r="AC482" s="30" t="str">
        <x:v>AUS</x:v>
      </x:c>
      <x:c r="AD482" s="30" t="str">
        <x:v>TLS</x:v>
      </x:c>
      <x:c r="AE482" s="30" t="str">
        <x:v>TimorLeste</x:v>
      </x:c>
      <x:c r="AF482" s="30" t="str">
        <x:v>Explicit capitalClaim</x:v>
      </x:c>
      <x:c r="AG482" s="30" t="str">
        <x:v>ClaimAUSTimorLeste</x:v>
      </x:c>
      <x:c r="AH482" s="30" t="str">
        <x:v>Project_SouthernCross</x:v>
      </x:c>
    </x:row>
    <x:row r="483">
      <x:c r="A483" s="30" t="str">
        <x:v>2022</x:v>
      </x:c>
      <x:c r="B483" s="30" t="str">
        <x:v>Base game</x:v>
      </x:c>
      <x:c r="C483" s="30" t="str">
        <x:v>Bolivia</x:v>
      </x:c>
      <x:c r="D483" s="30" t="str">
        <x:v>Argentina</x:v>
      </x:c>
      <x:c r="E483" s="30" t="str">
        <x:v>Project unlock</x:v>
      </x:c>
      <x:c r="F483" s="30" t="str">
        <x:v>South American Union</x:v>
      </x:c>
      <x:c r="G483" s="30" t="str">
        <x:v>No</x:v>
      </x:c>
      <x:c r="H483" s="30" t="str">
        <x:v>Ordinary claim</x:v>
      </x:c>
      <x:c r="I483" s="31" t="n">
        <x:f>IF(G483="Yes",'Controls &amp; Summary'!$B$5,'Controls &amp; Summary'!$B$4)</x:f>
        <x:v>6</x:v>
      </x:c>
      <x:c r="J483" s="31" t="n">
        <x:v>4.65</x:v>
      </x:c>
      <x:c r="K483" s="31" t="n">
        <x:v>6.81</x:v>
      </x:c>
      <x:c r="L483" s="31" t="n">
        <x:f>ABS(J483-K483)</x:f>
        <x:v>2.1599999999999993</x:v>
      </x:c>
      <x:c r="M483" s="31" t="n">
        <x:v>4.36</x:v>
      </x:c>
      <x:c r="N483" s="31" t="n">
        <x:v>4.23</x:v>
      </x:c>
      <x:c r="O483" s="31" t="n">
        <x:f>ABS(M483-N483)</x:f>
        <x:v>0.1299999999999999</x:v>
      </x:c>
      <x:c r="P483" s="31" t="n">
        <x:v>6.95</x:v>
      </x:c>
      <x:c r="Q483" s="31" t="n">
        <x:v>8.55</x:v>
      </x:c>
      <x:c r="R483" s="31" t="n">
        <x:f>ABS(P483-Q483)</x:f>
        <x:v>1.6000000000000005</x:v>
      </x:c>
      <x:c r="S483" s="32" t="n">
        <x:v>8613.914112629514</x:v>
      </x:c>
      <x:c r="T483" s="32" t="n">
        <x:v>22804.662999639888</x:v>
      </x:c>
      <x:c r="U483" s="31" t="n">
        <x:f>MAX(S483/T483,T483/S483)</x:f>
        <x:v>2.6474216832745334</x:v>
      </x:c>
      <x:c r="V483" s="31" t="n">
        <x:f>L483*'Controls &amp; Summary'!$B$9+O483*'Controls &amp; Summary'!$B$10+R483*'Controls &amp; Summary'!$B$11+U483*'Controls &amp; Summary'!$B$12</x:f>
        <x:v>6.537421683274533</x:v>
      </x:c>
      <x:c r="W483" s="31" t="n">
        <x:v>4</x:v>
      </x:c>
      <x:c r="X483" s="31" t="n">
        <x:v>1</x:v>
      </x:c>
      <x:c r="Y483" s="31" t="n">
        <x:f>((10-MIN(10,MAX(0,X483)))/10)*'Controls &amp; Summary'!$B$15+((10-MIN(10,MAX(0,W483)))/10)*'Controls &amp; Summary'!$B$16</x:f>
        <x:v>1.5</x:v>
      </x:c>
      <x:c r="Z483" s="31" t="n">
        <x:f>V483*Y483</x:f>
        <x:v>9.8061325249118</x:v>
      </x:c>
      <x:c r="AA483" s="30" t="str">
        <x:f>IF(Z483&lt;=I483,"Peaceful","Hostile")</x:f>
        <x:v>Hostile</x:v>
      </x:c>
      <x:c r="AB483" s="30" t="str">
        <x:f>IF(Z483&lt;='Controls &amp; Summary'!$B$6,"Eligible","Blocked")</x:f>
        <x:v>Eligible</x:v>
      </x:c>
      <x:c r="AC483" s="30" t="str">
        <x:v>BOL</x:v>
      </x:c>
      <x:c r="AD483" s="30" t="str">
        <x:v>ARG</x:v>
      </x:c>
      <x:c r="AE483" s="30" t="str">
        <x:v>Pampas</x:v>
      </x:c>
      <x:c r="AF483" s="30" t="str">
        <x:v>Explicit capitalClaim</x:v>
      </x:c>
      <x:c r="AG483" s="30" t="str">
        <x:v>ClaimBOLPampas</x:v>
      </x:c>
      <x:c r="AH483" s="30" t="str">
        <x:v>Project_SouthAmericanUnion</x:v>
      </x:c>
    </x:row>
    <x:row r="484">
      <x:c r="A484" s="30" t="str">
        <x:v>2022</x:v>
      </x:c>
      <x:c r="B484" s="30" t="str">
        <x:v>Base game</x:v>
      </x:c>
      <x:c r="C484" s="30" t="str">
        <x:v>Bolivia</x:v>
      </x:c>
      <x:c r="D484" s="30" t="str">
        <x:v>Brazil</x:v>
      </x:c>
      <x:c r="E484" s="30" t="str">
        <x:v>Project unlock</x:v>
      </x:c>
      <x:c r="F484" s="30" t="str">
        <x:v>South American Union</x:v>
      </x:c>
      <x:c r="G484" s="30" t="str">
        <x:v>No</x:v>
      </x:c>
      <x:c r="H484" s="30" t="str">
        <x:v>Ordinary claim</x:v>
      </x:c>
      <x:c r="I484" s="31" t="n">
        <x:f>IF(G484="Yes",'Controls &amp; Summary'!$B$5,'Controls &amp; Summary'!$B$4)</x:f>
        <x:v>6</x:v>
      </x:c>
      <x:c r="J484" s="31" t="n">
        <x:v>4.65</x:v>
      </x:c>
      <x:c r="K484" s="31" t="n">
        <x:v>6.86</x:v>
      </x:c>
      <x:c r="L484" s="31" t="n">
        <x:f>ABS(J484-K484)</x:f>
        <x:v>2.21</x:v>
      </x:c>
      <x:c r="M484" s="31" t="n">
        <x:v>4.36</x:v>
      </x:c>
      <x:c r="N484" s="31" t="n">
        <x:v>4.89</x:v>
      </x:c>
      <x:c r="O484" s="31" t="n">
        <x:f>ABS(M484-N484)</x:f>
        <x:v>0.5299999999999994</x:v>
      </x:c>
      <x:c r="P484" s="31" t="n">
        <x:v>6.95</x:v>
      </x:c>
      <x:c r="Q484" s="31" t="n">
        <x:v>6.94</x:v>
      </x:c>
      <x:c r="R484" s="31" t="n">
        <x:f>ABS(P484-Q484)</x:f>
        <x:v>0.009999999999999787</x:v>
      </x:c>
      <x:c r="S484" s="32" t="n">
        <x:v>8613.914112629514</x:v>
      </x:c>
      <x:c r="T484" s="32" t="n">
        <x:v>15011.916134859699</x:v>
      </x:c>
      <x:c r="U484" s="31" t="n">
        <x:f>MAX(S484/T484,T484/S484)</x:f>
        <x:v>1.7427520101285416</x:v>
      </x:c>
      <x:c r="V484" s="31" t="n">
        <x:f>L484*'Controls &amp; Summary'!$B$9+O484*'Controls &amp; Summary'!$B$10+R484*'Controls &amp; Summary'!$B$11+U484*'Controls &amp; Summary'!$B$12</x:f>
        <x:v>4.492752010128541</x:v>
      </x:c>
      <x:c r="W484" s="31" t="n">
        <x:v>4</x:v>
      </x:c>
      <x:c r="X484" s="31" t="n">
        <x:v>4</x:v>
      </x:c>
      <x:c r="Y484" s="31" t="n">
        <x:f>((10-MIN(10,MAX(0,X484)))/10)*'Controls &amp; Summary'!$B$15+((10-MIN(10,MAX(0,W484)))/10)*'Controls &amp; Summary'!$B$16</x:f>
        <x:v>1.2</x:v>
      </x:c>
      <x:c r="Z484" s="31" t="n">
        <x:f>V484*Y484</x:f>
        <x:v>5.391302412154249</x:v>
      </x:c>
      <x:c r="AA484" s="30" t="str">
        <x:f>IF(Z484&lt;=I484,"Peaceful","Hostile")</x:f>
        <x:v>Peaceful</x:v>
      </x:c>
      <x:c r="AB484" s="30" t="str">
        <x:f>IF(Z484&lt;='Controls &amp; Summary'!$B$6,"Eligible","Blocked")</x:f>
        <x:v>Eligible</x:v>
      </x:c>
      <x:c r="AC484" s="30" t="str">
        <x:v>BOL</x:v>
      </x:c>
      <x:c r="AD484" s="30" t="str">
        <x:v>BRA</x:v>
      </x:c>
      <x:c r="AE484" s="30" t="str">
        <x:v>Brasilia</x:v>
      </x:c>
      <x:c r="AF484" s="30" t="str">
        <x:v>Explicit capitalClaim</x:v>
      </x:c>
      <x:c r="AG484" s="30" t="str">
        <x:v>ClaimBOLBrasilia</x:v>
      </x:c>
      <x:c r="AH484" s="30" t="str">
        <x:v>Project_SouthAmericanUnion</x:v>
      </x:c>
    </x:row>
    <x:row r="485">
      <x:c r="A485" s="30" t="str">
        <x:v>2022</x:v>
      </x:c>
      <x:c r="B485" s="30" t="str">
        <x:v>Base game</x:v>
      </x:c>
      <x:c r="C485" s="30" t="str">
        <x:v>Bolivia</x:v>
      </x:c>
      <x:c r="D485" s="30" t="str">
        <x:v>Chile</x:v>
      </x:c>
      <x:c r="E485" s="30" t="str">
        <x:v>Project unlock</x:v>
      </x:c>
      <x:c r="F485" s="30" t="str">
        <x:v>South American Union</x:v>
      </x:c>
      <x:c r="G485" s="30" t="str">
        <x:v>No</x:v>
      </x:c>
      <x:c r="H485" s="30" t="str">
        <x:v>Ordinary claim</x:v>
      </x:c>
      <x:c r="I485" s="31" t="n">
        <x:f>IF(G485="Yes",'Controls &amp; Summary'!$B$5,'Controls &amp; Summary'!$B$4)</x:f>
        <x:v>6</x:v>
      </x:c>
      <x:c r="J485" s="31" t="n">
        <x:v>4.65</x:v>
      </x:c>
      <x:c r="K485" s="31" t="n">
        <x:v>7.92</x:v>
      </x:c>
      <x:c r="L485" s="31" t="n">
        <x:f>ABS(J485-K485)</x:f>
        <x:v>3.2699999999999996</x:v>
      </x:c>
      <x:c r="M485" s="31" t="n">
        <x:v>4.36</x:v>
      </x:c>
      <x:c r="N485" s="31" t="n">
        <x:v>4.49</x:v>
      </x:c>
      <x:c r="O485" s="31" t="n">
        <x:f>ABS(M485-N485)</x:f>
        <x:v>0.1299999999999999</x:v>
      </x:c>
      <x:c r="P485" s="31" t="n">
        <x:v>6.95</x:v>
      </x:c>
      <x:c r="Q485" s="31" t="n">
        <x:v>8.1</x:v>
      </x:c>
      <x:c r="R485" s="31" t="n">
        <x:f>ABS(P485-Q485)</x:f>
        <x:v>1.1499999999999995</x:v>
      </x:c>
      <x:c r="S485" s="32" t="n">
        <x:v>8613.914112629514</x:v>
      </x:c>
      <x:c r="T485" s="32" t="n">
        <x:v>25971.372434899622</x:v>
      </x:c>
      <x:c r="U485" s="31" t="n">
        <x:f>MAX(S485/T485,T485/S485)</x:f>
        <x:v>3.0150489191459453</x:v>
      </x:c>
      <x:c r="V485" s="31" t="n">
        <x:f>L485*'Controls &amp; Summary'!$B$9+O485*'Controls &amp; Summary'!$B$10+R485*'Controls &amp; Summary'!$B$11+U485*'Controls &amp; Summary'!$B$12</x:f>
        <x:v>7.565048919145944</x:v>
      </x:c>
      <x:c r="W485" s="31" t="n">
        <x:v>4</x:v>
      </x:c>
      <x:c r="X485" s="31" t="n">
        <x:v>2</x:v>
      </x:c>
      <x:c r="Y485" s="31" t="n">
        <x:f>((10-MIN(10,MAX(0,X485)))/10)*'Controls &amp; Summary'!$B$15+((10-MIN(10,MAX(0,W485)))/10)*'Controls &amp; Summary'!$B$16</x:f>
        <x:v>1.4</x:v>
      </x:c>
      <x:c r="Z485" s="31" t="n">
        <x:f>V485*Y485</x:f>
        <x:v>10.591068486804321</x:v>
      </x:c>
      <x:c r="AA485" s="30" t="str">
        <x:f>IF(Z485&lt;=I485,"Peaceful","Hostile")</x:f>
        <x:v>Hostile</x:v>
      </x:c>
      <x:c r="AB485" s="30" t="str">
        <x:f>IF(Z485&lt;='Controls &amp; Summary'!$B$6,"Eligible","Blocked")</x:f>
        <x:v>Eligible</x:v>
      </x:c>
      <x:c r="AC485" s="30" t="str">
        <x:v>BOL</x:v>
      </x:c>
      <x:c r="AD485" s="30" t="str">
        <x:v>CHL</x:v>
      </x:c>
      <x:c r="AE485" s="30" t="str">
        <x:v>Santiago</x:v>
      </x:c>
      <x:c r="AF485" s="30" t="str">
        <x:v>Explicit capitalClaim</x:v>
      </x:c>
      <x:c r="AG485" s="30" t="str">
        <x:v>ClaimBOLSantiago</x:v>
      </x:c>
      <x:c r="AH485" s="30" t="str">
        <x:v>Project_SouthAmericanUnion</x:v>
      </x:c>
    </x:row>
    <x:row r="486">
      <x:c r="A486" s="30" t="str">
        <x:v>2022</x:v>
      </x:c>
      <x:c r="B486" s="30" t="str">
        <x:v>Base game</x:v>
      </x:c>
      <x:c r="C486" s="30" t="str">
        <x:v>Bolivia</x:v>
      </x:c>
      <x:c r="D486" s="30" t="str">
        <x:v>Colombia</x:v>
      </x:c>
      <x:c r="E486" s="30" t="str">
        <x:v>Project unlock</x:v>
      </x:c>
      <x:c r="F486" s="30" t="str">
        <x:v>South American Union</x:v>
      </x:c>
      <x:c r="G486" s="30" t="str">
        <x:v>No</x:v>
      </x:c>
      <x:c r="H486" s="30" t="str">
        <x:v>Ordinary claim</x:v>
      </x:c>
      <x:c r="I486" s="31" t="n">
        <x:f>IF(G486="Yes",'Controls &amp; Summary'!$B$5,'Controls &amp; Summary'!$B$4)</x:f>
        <x:v>6</x:v>
      </x:c>
      <x:c r="J486" s="31" t="n">
        <x:v>4.65</x:v>
      </x:c>
      <x:c r="K486" s="31" t="n">
        <x:v>6.48</x:v>
      </x:c>
      <x:c r="L486" s="31" t="n">
        <x:f>ABS(J486-K486)</x:f>
        <x:v>1.83</x:v>
      </x:c>
      <x:c r="M486" s="31" t="n">
        <x:v>4.36</x:v>
      </x:c>
      <x:c r="N486" s="31" t="n">
        <x:v>5.42</x:v>
      </x:c>
      <x:c r="O486" s="31" t="n">
        <x:f>ABS(M486-N486)</x:f>
        <x:v>1.0599999999999996</x:v>
      </x:c>
      <x:c r="P486" s="31" t="n">
        <x:v>6.95</x:v>
      </x:c>
      <x:c r="Q486" s="31" t="n">
        <x:v>6.82</x:v>
      </x:c>
      <x:c r="R486" s="31" t="n">
        <x:f>ABS(P486-Q486)</x:f>
        <x:v>0.1299999999999999</x:v>
      </x:c>
      <x:c r="S486" s="32" t="n">
        <x:v>8613.914112629514</x:v>
      </x:c>
      <x:c r="T486" s="32" t="n">
        <x:v>16048.84946819688</x:v>
      </x:c>
      <x:c r="U486" s="31" t="n">
        <x:f>MAX(S486/T486,T486/S486)</x:f>
        <x:v>1.8631308901334924</x:v>
      </x:c>
      <x:c r="V486" s="31" t="n">
        <x:f>L486*'Controls &amp; Summary'!$B$9+O486*'Controls &amp; Summary'!$B$10+R486*'Controls &amp; Summary'!$B$11+U486*'Controls &amp; Summary'!$B$12</x:f>
        <x:v>4.883130890133492</x:v>
      </x:c>
      <x:c r="W486" s="31" t="n">
        <x:v>4</x:v>
      </x:c>
      <x:c r="X486" s="31" t="n">
        <x:v>4</x:v>
      </x:c>
      <x:c r="Y486" s="31" t="n">
        <x:f>((10-MIN(10,MAX(0,X486)))/10)*'Controls &amp; Summary'!$B$15+((10-MIN(10,MAX(0,W486)))/10)*'Controls &amp; Summary'!$B$16</x:f>
        <x:v>1.2</x:v>
      </x:c>
      <x:c r="Z486" s="31" t="n">
        <x:f>V486*Y486</x:f>
        <x:v>5.85975706816019</x:v>
      </x:c>
      <x:c r="AA486" s="30" t="str">
        <x:f>IF(Z486&lt;=I486,"Peaceful","Hostile")</x:f>
        <x:v>Peaceful</x:v>
      </x:c>
      <x:c r="AB486" s="30" t="str">
        <x:f>IF(Z486&lt;='Controls &amp; Summary'!$B$6,"Eligible","Blocked")</x:f>
        <x:v>Eligible</x:v>
      </x:c>
      <x:c r="AC486" s="30" t="str">
        <x:v>BOL</x:v>
      </x:c>
      <x:c r="AD486" s="30" t="str">
        <x:v>COL</x:v>
      </x:c>
      <x:c r="AE486" s="30" t="str">
        <x:v>Colombia</x:v>
      </x:c>
      <x:c r="AF486" s="30" t="str">
        <x:v>Explicit capitalClaim</x:v>
      </x:c>
      <x:c r="AG486" s="30" t="str">
        <x:v>ClaimBOLColombia</x:v>
      </x:c>
      <x:c r="AH486" s="30" t="str">
        <x:v>Project_SouthAmericanUnion</x:v>
      </x:c>
    </x:row>
    <x:row r="487">
      <x:c r="A487" s="30" t="str">
        <x:v>2022</x:v>
      </x:c>
      <x:c r="B487" s="30" t="str">
        <x:v>Base game</x:v>
      </x:c>
      <x:c r="C487" s="30" t="str">
        <x:v>Bolivia</x:v>
      </x:c>
      <x:c r="D487" s="30" t="str">
        <x:v>Ecuador</x:v>
      </x:c>
      <x:c r="E487" s="30" t="str">
        <x:v>Project unlock</x:v>
      </x:c>
      <x:c r="F487" s="30" t="str">
        <x:v>South American Union</x:v>
      </x:c>
      <x:c r="G487" s="30" t="str">
        <x:v>No</x:v>
      </x:c>
      <x:c r="H487" s="30" t="str">
        <x:v>Ordinary claim</x:v>
      </x:c>
      <x:c r="I487" s="31" t="n">
        <x:f>IF(G487="Yes",'Controls &amp; Summary'!$B$5,'Controls &amp; Summary'!$B$4)</x:f>
        <x:v>6</x:v>
      </x:c>
      <x:c r="J487" s="31" t="n">
        <x:v>4.65</x:v>
      </x:c>
      <x:c r="K487" s="31" t="n">
        <x:v>5.71</x:v>
      </x:c>
      <x:c r="L487" s="31" t="n">
        <x:f>ABS(J487-K487)</x:f>
        <x:v>1.0599999999999996</x:v>
      </x:c>
      <x:c r="M487" s="31" t="n">
        <x:v>4.36</x:v>
      </x:c>
      <x:c r="N487" s="31" t="n">
        <x:v>4.73</x:v>
      </x:c>
      <x:c r="O487" s="31" t="n">
        <x:f>ABS(M487-N487)</x:f>
        <x:v>0.3700000000000001</x:v>
      </x:c>
      <x:c r="P487" s="31" t="n">
        <x:v>6.95</x:v>
      </x:c>
      <x:c r="Q487" s="31" t="n">
        <x:v>7.02</x:v>
      </x:c>
      <x:c r="R487" s="31" t="n">
        <x:f>ABS(P487-Q487)</x:f>
        <x:v>0.0699999999999994</x:v>
      </x:c>
      <x:c r="S487" s="32" t="n">
        <x:v>8613.914112629514</x:v>
      </x:c>
      <x:c r="T487" s="32" t="n">
        <x:v>11036.40464736752</x:v>
      </x:c>
      <x:c r="U487" s="31" t="n">
        <x:f>MAX(S487/T487,T487/S487)</x:f>
        <x:v>1.2812299383373476</x:v>
      </x:c>
      <x:c r="V487" s="31" t="n">
        <x:f>L487*'Controls &amp; Summary'!$B$9+O487*'Controls &amp; Summary'!$B$10+R487*'Controls &amp; Summary'!$B$11+U487*'Controls &amp; Summary'!$B$12</x:f>
        <x:v>2.7812299383373467</x:v>
      </x:c>
      <x:c r="W487" s="31" t="n">
        <x:v>4</x:v>
      </x:c>
      <x:c r="X487" s="31" t="n">
        <x:v>3</x:v>
      </x:c>
      <x:c r="Y487" s="31" t="n">
        <x:f>((10-MIN(10,MAX(0,X487)))/10)*'Controls &amp; Summary'!$B$15+((10-MIN(10,MAX(0,W487)))/10)*'Controls &amp; Summary'!$B$16</x:f>
        <x:v>1.2999999999999998</x:v>
      </x:c>
      <x:c r="Z487" s="31" t="n">
        <x:f>V487*Y487</x:f>
        <x:v>3.61559891983855</x:v>
      </x:c>
      <x:c r="AA487" s="30" t="str">
        <x:f>IF(Z487&lt;=I487,"Peaceful","Hostile")</x:f>
        <x:v>Peaceful</x:v>
      </x:c>
      <x:c r="AB487" s="30" t="str">
        <x:f>IF(Z487&lt;='Controls &amp; Summary'!$B$6,"Eligible","Blocked")</x:f>
        <x:v>Eligible</x:v>
      </x:c>
      <x:c r="AC487" s="30" t="str">
        <x:v>BOL</x:v>
      </x:c>
      <x:c r="AD487" s="30" t="str">
        <x:v>ECU</x:v>
      </x:c>
      <x:c r="AE487" s="30" t="str">
        <x:v>Ecuador</x:v>
      </x:c>
      <x:c r="AF487" s="30" t="str">
        <x:v>Explicit capitalClaim</x:v>
      </x:c>
      <x:c r="AG487" s="30" t="str">
        <x:v>ClaimBOLEcuador</x:v>
      </x:c>
      <x:c r="AH487" s="30" t="str">
        <x:v>Project_SouthAmericanUnion</x:v>
      </x:c>
    </x:row>
    <x:row r="488">
      <x:c r="A488" s="30" t="str">
        <x:v>2022</x:v>
      </x:c>
      <x:c r="B488" s="30" t="str">
        <x:v>Base game</x:v>
      </x:c>
      <x:c r="C488" s="30" t="str">
        <x:v>Bolivia</x:v>
      </x:c>
      <x:c r="D488" s="30" t="str">
        <x:v>Guyana</x:v>
      </x:c>
      <x:c r="E488" s="30" t="str">
        <x:v>Project unlock</x:v>
      </x:c>
      <x:c r="F488" s="30" t="str">
        <x:v>South American Union</x:v>
      </x:c>
      <x:c r="G488" s="30" t="str">
        <x:v>No</x:v>
      </x:c>
      <x:c r="H488" s="30" t="str">
        <x:v>Ordinary claim</x:v>
      </x:c>
      <x:c r="I488" s="31" t="n">
        <x:f>IF(G488="Yes",'Controls &amp; Summary'!$B$5,'Controls &amp; Summary'!$B$4)</x:f>
        <x:v>6</x:v>
      </x:c>
      <x:c r="J488" s="31" t="n">
        <x:v>4.65</x:v>
      </x:c>
      <x:c r="K488" s="31" t="n">
        <x:v>6.25</x:v>
      </x:c>
      <x:c r="L488" s="31" t="n">
        <x:f>ABS(J488-K488)</x:f>
        <x:v>1.5999999999999996</x:v>
      </x:c>
      <x:c r="M488" s="31" t="n">
        <x:v>4.36</x:v>
      </x:c>
      <x:c r="N488" s="31" t="n">
        <x:v>4.51</x:v>
      </x:c>
      <x:c r="O488" s="31" t="n">
        <x:f>ABS(M488-N488)</x:f>
        <x:v>0.14999999999999947</x:v>
      </x:c>
      <x:c r="P488" s="31" t="n">
        <x:v>6.95</x:v>
      </x:c>
      <x:c r="Q488" s="31" t="n">
        <x:v>6.01</x:v>
      </x:c>
      <x:c r="R488" s="31" t="n">
        <x:f>ABS(P488-Q488)</x:f>
        <x:v>0.9400000000000004</x:v>
      </x:c>
      <x:c r="S488" s="32" t="n">
        <x:v>8613.914112629514</x:v>
      </x:c>
      <x:c r="T488" s="32" t="n">
        <x:v>33516.92725254583</x:v>
      </x:c>
      <x:c r="U488" s="31" t="n">
        <x:f>MAX(S488/T488,T488/S488)</x:f>
        <x:v>3.8910217601780026</x:v>
      </x:c>
      <x:c r="V488" s="31" t="n">
        <x:f>L488*'Controls &amp; Summary'!$B$9+O488*'Controls &amp; Summary'!$B$10+R488*'Controls &amp; Summary'!$B$11+U488*'Controls &amp; Summary'!$B$12</x:f>
        <x:v>6.581021760178002</x:v>
      </x:c>
      <x:c r="W488" s="31" t="n">
        <x:v>4</x:v>
      </x:c>
      <x:c r="X488" s="31" t="n">
        <x:v>2</x:v>
      </x:c>
      <x:c r="Y488" s="31" t="n">
        <x:f>((10-MIN(10,MAX(0,X488)))/10)*'Controls &amp; Summary'!$B$15+((10-MIN(10,MAX(0,W488)))/10)*'Controls &amp; Summary'!$B$16</x:f>
        <x:v>1.4</x:v>
      </x:c>
      <x:c r="Z488" s="31" t="n">
        <x:f>V488*Y488</x:f>
        <x:v>9.213430464249202</x:v>
      </x:c>
      <x:c r="AA488" s="30" t="str">
        <x:f>IF(Z488&lt;=I488,"Peaceful","Hostile")</x:f>
        <x:v>Hostile</x:v>
      </x:c>
      <x:c r="AB488" s="30" t="str">
        <x:f>IF(Z488&lt;='Controls &amp; Summary'!$B$6,"Eligible","Blocked")</x:f>
        <x:v>Eligible</x:v>
      </x:c>
      <x:c r="AC488" s="30" t="str">
        <x:v>BOL</x:v>
      </x:c>
      <x:c r="AD488" s="30" t="str">
        <x:v>GUY</x:v>
      </x:c>
      <x:c r="AE488" s="30" t="str">
        <x:v>Guyana</x:v>
      </x:c>
      <x:c r="AF488" s="30" t="str">
        <x:v>Explicit capitalClaim</x:v>
      </x:c>
      <x:c r="AG488" s="30" t="str">
        <x:v>ClaimBOLGuyana</x:v>
      </x:c>
      <x:c r="AH488" s="30" t="str">
        <x:v>Project_SouthAmericanUnion</x:v>
      </x:c>
    </x:row>
    <x:row r="489">
      <x:c r="A489" s="30" t="str">
        <x:v>2022</x:v>
      </x:c>
      <x:c r="B489" s="30" t="str">
        <x:v>Base game</x:v>
      </x:c>
      <x:c r="C489" s="30" t="str">
        <x:v>Bolivia</x:v>
      </x:c>
      <x:c r="D489" s="30" t="str">
        <x:v>Paraguay</x:v>
      </x:c>
      <x:c r="E489" s="30" t="str">
        <x:v>Project unlock</x:v>
      </x:c>
      <x:c r="F489" s="30" t="str">
        <x:v>South American Union</x:v>
      </x:c>
      <x:c r="G489" s="30" t="str">
        <x:v>No</x:v>
      </x:c>
      <x:c r="H489" s="30" t="str">
        <x:v>Ordinary claim</x:v>
      </x:c>
      <x:c r="I489" s="31" t="n">
        <x:f>IF(G489="Yes",'Controls &amp; Summary'!$B$5,'Controls &amp; Summary'!$B$4)</x:f>
        <x:v>6</x:v>
      </x:c>
      <x:c r="J489" s="31" t="n">
        <x:v>4.65</x:v>
      </x:c>
      <x:c r="K489" s="31" t="n">
        <x:v>5.86</x:v>
      </x:c>
      <x:c r="L489" s="31" t="n">
        <x:f>ABS(J489-K489)</x:f>
        <x:v>1.21</x:v>
      </x:c>
      <x:c r="M489" s="31" t="n">
        <x:v>4.36</x:v>
      </x:c>
      <x:c r="N489" s="31" t="n">
        <x:v>4.35</x:v>
      </x:c>
      <x:c r="O489" s="31" t="n">
        <x:f>ABS(M489-N489)</x:f>
        <x:v>0.010000000000000675</x:v>
      </x:c>
      <x:c r="P489" s="31" t="n">
        <x:v>6.95</x:v>
      </x:c>
      <x:c r="Q489" s="31" t="n">
        <x:v>6.38</x:v>
      </x:c>
      <x:c r="R489" s="31" t="n">
        <x:f>ABS(P489-Q489)</x:f>
        <x:v>0.5700000000000003</x:v>
      </x:c>
      <x:c r="S489" s="32" t="n">
        <x:v>8613.914112629514</x:v>
      </x:c>
      <x:c r="T489" s="32" t="n">
        <x:v>12907.985540489528</x:v>
      </x:c>
      <x:c r="U489" s="31" t="n">
        <x:f>MAX(S489/T489,T489/S489)</x:f>
        <x:v>1.4985040913705128</x:v>
      </x:c>
      <x:c r="V489" s="31" t="n">
        <x:f>L489*'Controls &amp; Summary'!$B$9+O489*'Controls &amp; Summary'!$B$10+R489*'Controls &amp; Summary'!$B$11+U489*'Controls &amp; Summary'!$B$12</x:f>
        <x:v>3.2885040913705135</x:v>
      </x:c>
      <x:c r="W489" s="31" t="n">
        <x:v>4</x:v>
      </x:c>
      <x:c r="X489" s="31" t="n">
        <x:v>0</x:v>
      </x:c>
      <x:c r="Y489" s="31" t="n">
        <x:f>((10-MIN(10,MAX(0,X489)))/10)*'Controls &amp; Summary'!$B$15+((10-MIN(10,MAX(0,W489)))/10)*'Controls &amp; Summary'!$B$16</x:f>
        <x:v>1.6</x:v>
      </x:c>
      <x:c r="Z489" s="31" t="n">
        <x:f>V489*Y489</x:f>
        <x:v>5.261606546192822</x:v>
      </x:c>
      <x:c r="AA489" s="30" t="str">
        <x:f>IF(Z489&lt;=I489,"Peaceful","Hostile")</x:f>
        <x:v>Peaceful</x:v>
      </x:c>
      <x:c r="AB489" s="30" t="str">
        <x:f>IF(Z489&lt;='Controls &amp; Summary'!$B$6,"Eligible","Blocked")</x:f>
        <x:v>Eligible</x:v>
      </x:c>
      <x:c r="AC489" s="30" t="str">
        <x:v>BOL</x:v>
      </x:c>
      <x:c r="AD489" s="30" t="str">
        <x:v>PRY</x:v>
      </x:c>
      <x:c r="AE489" s="30" t="str">
        <x:v>Paraguay</x:v>
      </x:c>
      <x:c r="AF489" s="30" t="str">
        <x:v>Explicit capitalClaim</x:v>
      </x:c>
      <x:c r="AG489" s="30" t="str">
        <x:v>ClaimBOLParaguay</x:v>
      </x:c>
      <x:c r="AH489" s="30" t="str">
        <x:v>Project_SouthAmericanUnion</x:v>
      </x:c>
    </x:row>
    <x:row r="490">
      <x:c r="A490" s="30" t="str">
        <x:v>2022</x:v>
      </x:c>
      <x:c r="B490" s="30" t="str">
        <x:v>Base game</x:v>
      </x:c>
      <x:c r="C490" s="30" t="str">
        <x:v>Bolivia</x:v>
      </x:c>
      <x:c r="D490" s="30" t="str">
        <x:v>Peru</x:v>
      </x:c>
      <x:c r="E490" s="30" t="str">
        <x:v>Project unlock</x:v>
      </x:c>
      <x:c r="F490" s="30" t="str">
        <x:v>South American Union</x:v>
      </x:c>
      <x:c r="G490" s="30" t="str">
        <x:v>No</x:v>
      </x:c>
      <x:c r="H490" s="30" t="str">
        <x:v>Ordinary claim</x:v>
      </x:c>
      <x:c r="I490" s="31" t="n">
        <x:f>IF(G490="Yes",'Controls &amp; Summary'!$B$5,'Controls &amp; Summary'!$B$4)</x:f>
        <x:v>6</x:v>
      </x:c>
      <x:c r="J490" s="31" t="n">
        <x:v>4.65</x:v>
      </x:c>
      <x:c r="K490" s="31" t="n">
        <x:v>6.09</x:v>
      </x:c>
      <x:c r="L490" s="31" t="n">
        <x:f>ABS(J490-K490)</x:f>
        <x:v>1.4399999999999995</x:v>
      </x:c>
      <x:c r="M490" s="31" t="n">
        <x:v>4.36</x:v>
      </x:c>
      <x:c r="N490" s="31" t="n">
        <x:v>4.38</x:v>
      </x:c>
      <x:c r="O490" s="31" t="n">
        <x:f>ABS(M490-N490)</x:f>
        <x:v>0.019999999999999574</x:v>
      </x:c>
      <x:c r="P490" s="31" t="n">
        <x:v>6.95</x:v>
      </x:c>
      <x:c r="Q490" s="31" t="n">
        <x:v>7.4</x:v>
      </x:c>
      <x:c r="R490" s="31" t="n">
        <x:f>ABS(P490-Q490)</x:f>
        <x:v>0.4500000000000002</x:v>
      </x:c>
      <x:c r="S490" s="32" t="n">
        <x:v>8613.914112629514</x:v>
      </x:c>
      <x:c r="T490" s="32" t="n">
        <x:v>13382.935372824697</x:v>
      </x:c>
      <x:c r="U490" s="31" t="n">
        <x:f>MAX(S490/T490,T490/S490)</x:f>
        <x:v>1.553641607965763</x:v>
      </x:c>
      <x:c r="V490" s="31" t="n">
        <x:f>L490*'Controls &amp; Summary'!$B$9+O490*'Controls &amp; Summary'!$B$10+R490*'Controls &amp; Summary'!$B$11+U490*'Controls &amp; Summary'!$B$12</x:f>
        <x:v>3.463641607965762</x:v>
      </x:c>
      <x:c r="W490" s="31" t="n">
        <x:v>4</x:v>
      </x:c>
      <x:c r="X490" s="31" t="n">
        <x:v>3</x:v>
      </x:c>
      <x:c r="Y490" s="31" t="n">
        <x:f>((10-MIN(10,MAX(0,X490)))/10)*'Controls &amp; Summary'!$B$15+((10-MIN(10,MAX(0,W490)))/10)*'Controls &amp; Summary'!$B$16</x:f>
        <x:v>1.2999999999999998</x:v>
      </x:c>
      <x:c r="Z490" s="31" t="n">
        <x:f>V490*Y490</x:f>
        <x:v>4.50273409035549</x:v>
      </x:c>
      <x:c r="AA490" s="30" t="str">
        <x:f>IF(Z490&lt;=I490,"Peaceful","Hostile")</x:f>
        <x:v>Peaceful</x:v>
      </x:c>
      <x:c r="AB490" s="30" t="str">
        <x:f>IF(Z490&lt;='Controls &amp; Summary'!$B$6,"Eligible","Blocked")</x:f>
        <x:v>Eligible</x:v>
      </x:c>
      <x:c r="AC490" s="30" t="str">
        <x:v>BOL</x:v>
      </x:c>
      <x:c r="AD490" s="30" t="str">
        <x:v>PER</x:v>
      </x:c>
      <x:c r="AE490" s="30" t="str">
        <x:v>Peru</x:v>
      </x:c>
      <x:c r="AF490" s="30" t="str">
        <x:v>Explicit capitalClaim</x:v>
      </x:c>
      <x:c r="AG490" s="30" t="str">
        <x:v>ClaimBOLPeru</x:v>
      </x:c>
      <x:c r="AH490" s="30" t="str">
        <x:v>Project_SouthAmericanUnion</x:v>
      </x:c>
    </x:row>
    <x:row r="491">
      <x:c r="A491" s="30" t="str">
        <x:v>2022</x:v>
      </x:c>
      <x:c r="B491" s="30" t="str">
        <x:v>Base game</x:v>
      </x:c>
      <x:c r="C491" s="30" t="str">
        <x:v>Bolivia</x:v>
      </x:c>
      <x:c r="D491" s="30" t="str">
        <x:v>Suriname</x:v>
      </x:c>
      <x:c r="E491" s="30" t="str">
        <x:v>Project unlock</x:v>
      </x:c>
      <x:c r="F491" s="30" t="str">
        <x:v>South American Union</x:v>
      </x:c>
      <x:c r="G491" s="30" t="str">
        <x:v>No</x:v>
      </x:c>
      <x:c r="H491" s="30" t="str">
        <x:v>Ordinary claim</x:v>
      </x:c>
      <x:c r="I491" s="31" t="n">
        <x:f>IF(G491="Yes",'Controls &amp; Summary'!$B$5,'Controls &amp; Summary'!$B$4)</x:f>
        <x:v>6</x:v>
      </x:c>
      <x:c r="J491" s="31" t="n">
        <x:v>4.65</x:v>
      </x:c>
      <x:c r="K491" s="31" t="n">
        <x:v>6.82</x:v>
      </x:c>
      <x:c r="L491" s="31" t="n">
        <x:f>ABS(J491-K491)</x:f>
        <x:v>2.17</x:v>
      </x:c>
      <x:c r="M491" s="31" t="n">
        <x:v>4.36</x:v>
      </x:c>
      <x:c r="N491" s="31" t="n">
        <x:v>5.79</x:v>
      </x:c>
      <x:c r="O491" s="31" t="n">
        <x:f>ABS(M491-N491)</x:f>
        <x:v>1.4299999999999997</x:v>
      </x:c>
      <x:c r="P491" s="31" t="n">
        <x:v>6.95</x:v>
      </x:c>
      <x:c r="Q491" s="31" t="n">
        <x:v>6.75</x:v>
      </x:c>
      <x:c r="R491" s="31" t="n">
        <x:f>ABS(P491-Q491)</x:f>
        <x:v>0.20000000000000018</x:v>
      </x:c>
      <x:c r="S491" s="32" t="n">
        <x:v>8613.914112629514</x:v>
      </x:c>
      <x:c r="T491" s="32" t="n">
        <x:v>15700.892095820684</x:v>
      </x:c>
      <x:c r="U491" s="31" t="n">
        <x:f>MAX(S491/T491,T491/S491)</x:f>
        <x:v>1.8227360861191328</x:v>
      </x:c>
      <x:c r="V491" s="31" t="n">
        <x:f>L491*'Controls &amp; Summary'!$B$9+O491*'Controls &amp; Summary'!$B$10+R491*'Controls &amp; Summary'!$B$11+U491*'Controls &amp; Summary'!$B$12</x:f>
        <x:v>5.622736086119133</x:v>
      </x:c>
      <x:c r="W491" s="31" t="n">
        <x:v>4</x:v>
      </x:c>
      <x:c r="X491" s="31" t="n">
        <x:v>1</x:v>
      </x:c>
      <x:c r="Y491" s="31" t="n">
        <x:f>((10-MIN(10,MAX(0,X491)))/10)*'Controls &amp; Summary'!$B$15+((10-MIN(10,MAX(0,W491)))/10)*'Controls &amp; Summary'!$B$16</x:f>
        <x:v>1.5</x:v>
      </x:c>
      <x:c r="Z491" s="31" t="n">
        <x:f>V491*Y491</x:f>
        <x:v>8.4341041291787</x:v>
      </x:c>
      <x:c r="AA491" s="30" t="str">
        <x:f>IF(Z491&lt;=I491,"Peaceful","Hostile")</x:f>
        <x:v>Hostile</x:v>
      </x:c>
      <x:c r="AB491" s="30" t="str">
        <x:f>IF(Z491&lt;='Controls &amp; Summary'!$B$6,"Eligible","Blocked")</x:f>
        <x:v>Eligible</x:v>
      </x:c>
      <x:c r="AC491" s="30" t="str">
        <x:v>BOL</x:v>
      </x:c>
      <x:c r="AD491" s="30" t="str">
        <x:v>SUR</x:v>
      </x:c>
      <x:c r="AE491" s="30" t="str">
        <x:v>Suriname</x:v>
      </x:c>
      <x:c r="AF491" s="30" t="str">
        <x:v>Explicit capitalClaim</x:v>
      </x:c>
      <x:c r="AG491" s="30" t="str">
        <x:v>ClaimBOLSuriname</x:v>
      </x:c>
      <x:c r="AH491" s="30" t="str">
        <x:v>Project_SouthAmericanUnion</x:v>
      </x:c>
    </x:row>
    <x:row r="492">
      <x:c r="A492" s="30" t="str">
        <x:v>2022</x:v>
      </x:c>
      <x:c r="B492" s="30" t="str">
        <x:v>Base game</x:v>
      </x:c>
      <x:c r="C492" s="30" t="str">
        <x:v>Bolivia</x:v>
      </x:c>
      <x:c r="D492" s="30" t="str">
        <x:v>Uruguay</x:v>
      </x:c>
      <x:c r="E492" s="30" t="str">
        <x:v>Project unlock</x:v>
      </x:c>
      <x:c r="F492" s="30" t="str">
        <x:v>South American Union</x:v>
      </x:c>
      <x:c r="G492" s="30" t="str">
        <x:v>No</x:v>
      </x:c>
      <x:c r="H492" s="30" t="str">
        <x:v>Ordinary claim</x:v>
      </x:c>
      <x:c r="I492" s="31" t="n">
        <x:f>IF(G492="Yes",'Controls &amp; Summary'!$B$5,'Controls &amp; Summary'!$B$4)</x:f>
        <x:v>6</x:v>
      </x:c>
      <x:c r="J492" s="31" t="n">
        <x:v>4.65</x:v>
      </x:c>
      <x:c r="K492" s="31" t="n">
        <x:v>8.85</x:v>
      </x:c>
      <x:c r="L492" s="31" t="n">
        <x:f>ABS(J492-K492)</x:f>
        <x:v>4.199999999999999</x:v>
      </x:c>
      <x:c r="M492" s="31" t="n">
        <x:v>4.36</x:v>
      </x:c>
      <x:c r="N492" s="31" t="n">
        <x:v>4.02</x:v>
      </x:c>
      <x:c r="O492" s="31" t="n">
        <x:f>ABS(M492-N492)</x:f>
        <x:v>0.34000000000000075</x:v>
      </x:c>
      <x:c r="P492" s="31" t="n">
        <x:v>6.95</x:v>
      </x:c>
      <x:c r="Q492" s="31" t="n">
        <x:v>7.65</x:v>
      </x:c>
      <x:c r="R492" s="31" t="n">
        <x:f>ABS(P492-Q492)</x:f>
        <x:v>0.7000000000000002</x:v>
      </x:c>
      <x:c r="S492" s="32" t="n">
        <x:v>8613.914112629514</x:v>
      </x:c>
      <x:c r="T492" s="32" t="n">
        <x:v>23835.46509981235</x:v>
      </x:c>
      <x:c r="U492" s="31" t="n">
        <x:f>MAX(S492/T492,T492/S492)</x:f>
        <x:v>2.7670887807977285</x:v>
      </x:c>
      <x:c r="V492" s="31" t="n">
        <x:f>L492*'Controls &amp; Summary'!$B$9+O492*'Controls &amp; Summary'!$B$10+R492*'Controls &amp; Summary'!$B$11+U492*'Controls &amp; Summary'!$B$12</x:f>
        <x:v>8.007088780797728</x:v>
      </x:c>
      <x:c r="W492" s="31" t="n">
        <x:v>4</x:v>
      </x:c>
      <x:c r="X492" s="31" t="n">
        <x:v>1</x:v>
      </x:c>
      <x:c r="Y492" s="31" t="n">
        <x:f>((10-MIN(10,MAX(0,X492)))/10)*'Controls &amp; Summary'!$B$15+((10-MIN(10,MAX(0,W492)))/10)*'Controls &amp; Summary'!$B$16</x:f>
        <x:v>1.5</x:v>
      </x:c>
      <x:c r="Z492" s="31" t="n">
        <x:f>V492*Y492</x:f>
        <x:v>12.010633171196591</x:v>
      </x:c>
      <x:c r="AA492" s="30" t="str">
        <x:f>IF(Z492&lt;=I492,"Peaceful","Hostile")</x:f>
        <x:v>Hostile</x:v>
      </x:c>
      <x:c r="AB492" s="30" t="str">
        <x:f>IF(Z492&lt;='Controls &amp; Summary'!$B$6,"Eligible","Blocked")</x:f>
        <x:v>Blocked</x:v>
      </x:c>
      <x:c r="AC492" s="30" t="str">
        <x:v>BOL</x:v>
      </x:c>
      <x:c r="AD492" s="30" t="str">
        <x:v>URY</x:v>
      </x:c>
      <x:c r="AE492" s="30" t="str">
        <x:v>Uruguay</x:v>
      </x:c>
      <x:c r="AF492" s="30" t="str">
        <x:v>Explicit capitalClaim</x:v>
      </x:c>
      <x:c r="AG492" s="30" t="str">
        <x:v>ClaimBOLUruguay</x:v>
      </x:c>
      <x:c r="AH492" s="30" t="str">
        <x:v>Project_SouthAmericanUnion</x:v>
      </x:c>
    </x:row>
    <x:row r="493">
      <x:c r="A493" s="30" t="str">
        <x:v>2022</x:v>
      </x:c>
      <x:c r="B493" s="30" t="str">
        <x:v>Base game</x:v>
      </x:c>
      <x:c r="C493" s="30" t="str">
        <x:v>Bolivia</x:v>
      </x:c>
      <x:c r="D493" s="30" t="str">
        <x:v>Venezuela</x:v>
      </x:c>
      <x:c r="E493" s="30" t="str">
        <x:v>Project unlock</x:v>
      </x:c>
      <x:c r="F493" s="30" t="str">
        <x:v>South American Union</x:v>
      </x:c>
      <x:c r="G493" s="30" t="str">
        <x:v>No</x:v>
      </x:c>
      <x:c r="H493" s="30" t="str">
        <x:v>Ordinary claim</x:v>
      </x:c>
      <x:c r="I493" s="31" t="n">
        <x:f>IF(G493="Yes",'Controls &amp; Summary'!$B$5,'Controls &amp; Summary'!$B$4)</x:f>
        <x:v>6</x:v>
      </x:c>
      <x:c r="J493" s="31" t="n">
        <x:v>4.65</x:v>
      </x:c>
      <x:c r="K493" s="31" t="n">
        <x:v>2.11</x:v>
      </x:c>
      <x:c r="L493" s="31" t="n">
        <x:f>ABS(J493-K493)</x:f>
        <x:v>2.5400000000000005</x:v>
      </x:c>
      <x:c r="M493" s="31" t="n">
        <x:v>4.36</x:v>
      </x:c>
      <x:c r="N493" s="31" t="n">
        <x:v>4.48</x:v>
      </x:c>
      <x:c r="O493" s="31" t="n">
        <x:f>ABS(M493-N493)</x:f>
        <x:v>0.1200000000000001</x:v>
      </x:c>
      <x:c r="P493" s="31" t="n">
        <x:v>6.95</x:v>
      </x:c>
      <x:c r="Q493" s="31" t="n">
        <x:v>7</x:v>
      </x:c>
      <x:c r="R493" s="31" t="n">
        <x:f>ABS(P493-Q493)</x:f>
        <x:v>0.04999999999999982</x:v>
      </x:c>
      <x:c r="S493" s="32" t="n">
        <x:v>8613.914112629514</x:v>
      </x:c>
      <x:c r="T493" s="32" t="n">
        <x:v>4781.536333352792</x:v>
      </x:c>
      <x:c r="U493" s="31" t="n">
        <x:f>MAX(S493/T493,T493/S493)</x:f>
        <x:v>1.801495066040725</x:v>
      </x:c>
      <x:c r="V493" s="31" t="n">
        <x:f>L493*'Controls &amp; Summary'!$B$9+O493*'Controls &amp; Summary'!$B$10+R493*'Controls &amp; Summary'!$B$11+U493*'Controls &amp; Summary'!$B$12</x:f>
        <x:v>4.511495066040725</x:v>
      </x:c>
      <x:c r="W493" s="31" t="n">
        <x:v>4</x:v>
      </x:c>
      <x:c r="X493" s="31" t="n">
        <x:v>6</x:v>
      </x:c>
      <x:c r="Y493" s="31" t="n">
        <x:f>((10-MIN(10,MAX(0,X493)))/10)*'Controls &amp; Summary'!$B$15+((10-MIN(10,MAX(0,W493)))/10)*'Controls &amp; Summary'!$B$16</x:f>
        <x:v>1</x:v>
      </x:c>
      <x:c r="Z493" s="31" t="n">
        <x:f>V493*Y493</x:f>
        <x:v>4.511495066040725</x:v>
      </x:c>
      <x:c r="AA493" s="30" t="str">
        <x:f>IF(Z493&lt;=I493,"Peaceful","Hostile")</x:f>
        <x:v>Peaceful</x:v>
      </x:c>
      <x:c r="AB493" s="30" t="str">
        <x:f>IF(Z493&lt;='Controls &amp; Summary'!$B$6,"Eligible","Blocked")</x:f>
        <x:v>Eligible</x:v>
      </x:c>
      <x:c r="AC493" s="30" t="str">
        <x:v>BOL</x:v>
      </x:c>
      <x:c r="AD493" s="30" t="str">
        <x:v>VEN</x:v>
      </x:c>
      <x:c r="AE493" s="30" t="str">
        <x:v>Venezuela</x:v>
      </x:c>
      <x:c r="AF493" s="30" t="str">
        <x:v>Explicit capitalClaim</x:v>
      </x:c>
      <x:c r="AG493" s="30" t="str">
        <x:v>ClaimBOLVenezuela</x:v>
      </x:c>
      <x:c r="AH493" s="30" t="str">
        <x:v>Project_SouthAmericanUnion</x:v>
      </x:c>
    </x:row>
    <x:row r="494">
      <x:c r="A494" s="30" t="str">
        <x:v>2022</x:v>
      </x:c>
      <x:c r="B494" s="30" t="str">
        <x:v>Base game</x:v>
      </x:c>
      <x:c r="C494" s="30" t="str">
        <x:v>Brazil</x:v>
      </x:c>
      <x:c r="D494" s="30" t="str">
        <x:v>Argentina</x:v>
      </x:c>
      <x:c r="E494" s="30" t="str">
        <x:v>Project unlock</x:v>
      </x:c>
      <x:c r="F494" s="30" t="str">
        <x:v>Steward of the South</x:v>
      </x:c>
      <x:c r="G494" s="30" t="str">
        <x:v>Yes</x:v>
      </x:c>
      <x:c r="H494" s="30" t="str">
        <x:v>Template hostileClaim</x:v>
      </x:c>
      <x:c r="I494" s="31" t="n">
        <x:f>IF(G494="Yes",'Controls &amp; Summary'!$B$5,'Controls &amp; Summary'!$B$4)</x:f>
        <x:v>3</x:v>
      </x:c>
      <x:c r="J494" s="31" t="n">
        <x:v>6.86</x:v>
      </x:c>
      <x:c r="K494" s="31" t="n">
        <x:v>6.81</x:v>
      </x:c>
      <x:c r="L494" s="31" t="n">
        <x:f>ABS(J494-K494)</x:f>
        <x:v>0.05000000000000071</x:v>
      </x:c>
      <x:c r="M494" s="31" t="n">
        <x:v>4.89</x:v>
      </x:c>
      <x:c r="N494" s="31" t="n">
        <x:v>4.23</x:v>
      </x:c>
      <x:c r="O494" s="31" t="n">
        <x:f>ABS(M494-N494)</x:f>
        <x:v>0.6599999999999993</x:v>
      </x:c>
      <x:c r="P494" s="31" t="n">
        <x:v>6.94</x:v>
      </x:c>
      <x:c r="Q494" s="31" t="n">
        <x:v>8.55</x:v>
      </x:c>
      <x:c r="R494" s="31" t="n">
        <x:f>ABS(P494-Q494)</x:f>
        <x:v>1.6100000000000003</x:v>
      </x:c>
      <x:c r="S494" s="32" t="n">
        <x:v>15011.916134859699</x:v>
      </x:c>
      <x:c r="T494" s="32" t="n">
        <x:v>22804.662999639888</x:v>
      </x:c>
      <x:c r="U494" s="31" t="n">
        <x:f>MAX(S494/T494,T494/S494)</x:f>
        <x:v>1.5191040767063957</x:v>
      </x:c>
      <x:c r="V494" s="31" t="n">
        <x:f>L494*'Controls &amp; Summary'!$B$9+O494*'Controls &amp; Summary'!$B$10+R494*'Controls &amp; Summary'!$B$11+U494*'Controls &amp; Summary'!$B$12</x:f>
        <x:v>3.8391040767063958</x:v>
      </x:c>
      <x:c r="W494" s="31" t="n">
        <x:v>3</x:v>
      </x:c>
      <x:c r="X494" s="31" t="n">
        <x:v>1</x:v>
      </x:c>
      <x:c r="Y494" s="31" t="n">
        <x:f>((10-MIN(10,MAX(0,X494)))/10)*'Controls &amp; Summary'!$B$15+((10-MIN(10,MAX(0,W494)))/10)*'Controls &amp; Summary'!$B$16</x:f>
        <x:v>1.6</x:v>
      </x:c>
      <x:c r="Z494" s="31" t="n">
        <x:f>V494*Y494</x:f>
        <x:v>6.142566522730234</x:v>
      </x:c>
      <x:c r="AA494" s="30" t="str">
        <x:f>IF(Z494&lt;=I494,"Peaceful","Hostile")</x:f>
        <x:v>Hostile</x:v>
      </x:c>
      <x:c r="AB494" s="30" t="str">
        <x:f>IF(Z494&lt;='Controls &amp; Summary'!$B$6,"Eligible","Blocked")</x:f>
        <x:v>Eligible</x:v>
      </x:c>
      <x:c r="AC494" s="30" t="str">
        <x:v>BRA</x:v>
      </x:c>
      <x:c r="AD494" s="30" t="str">
        <x:v>ARG</x:v>
      </x:c>
      <x:c r="AE494" s="30" t="str">
        <x:v>Pampas</x:v>
      </x:c>
      <x:c r="AF494" s="30" t="str">
        <x:v>Explicit capitalClaim</x:v>
      </x:c>
      <x:c r="AG494" s="30" t="str">
        <x:v>ClaimBRAPampas</x:v>
      </x:c>
      <x:c r="AH494" s="30" t="str">
        <x:v>Project_StewardoftheSouth</x:v>
      </x:c>
    </x:row>
    <x:row r="495">
      <x:c r="A495" s="30" t="str">
        <x:v>2022</x:v>
      </x:c>
      <x:c r="B495" s="30" t="str">
        <x:v>Base game</x:v>
      </x:c>
      <x:c r="C495" s="30" t="str">
        <x:v>Brazil</x:v>
      </x:c>
      <x:c r="D495" s="30" t="str">
        <x:v>Bolivia</x:v>
      </x:c>
      <x:c r="E495" s="30" t="str">
        <x:v>Project unlock</x:v>
      </x:c>
      <x:c r="F495" s="30" t="str">
        <x:v>Steward of the South</x:v>
      </x:c>
      <x:c r="G495" s="30" t="str">
        <x:v>Yes</x:v>
      </x:c>
      <x:c r="H495" s="30" t="str">
        <x:v>Template hostileClaim</x:v>
      </x:c>
      <x:c r="I495" s="31" t="n">
        <x:f>IF(G495="Yes",'Controls &amp; Summary'!$B$5,'Controls &amp; Summary'!$B$4)</x:f>
        <x:v>3</x:v>
      </x:c>
      <x:c r="J495" s="31" t="n">
        <x:v>6.86</x:v>
      </x:c>
      <x:c r="K495" s="31" t="n">
        <x:v>4.65</x:v>
      </x:c>
      <x:c r="L495" s="31" t="n">
        <x:f>ABS(J495-K495)</x:f>
        <x:v>2.21</x:v>
      </x:c>
      <x:c r="M495" s="31" t="n">
        <x:v>4.89</x:v>
      </x:c>
      <x:c r="N495" s="31" t="n">
        <x:v>4.36</x:v>
      </x:c>
      <x:c r="O495" s="31" t="n">
        <x:f>ABS(M495-N495)</x:f>
        <x:v>0.5299999999999994</x:v>
      </x:c>
      <x:c r="P495" s="31" t="n">
        <x:v>6.94</x:v>
      </x:c>
      <x:c r="Q495" s="31" t="n">
        <x:v>6.95</x:v>
      </x:c>
      <x:c r="R495" s="31" t="n">
        <x:f>ABS(P495-Q495)</x:f>
        <x:v>0.009999999999999787</x:v>
      </x:c>
      <x:c r="S495" s="32" t="n">
        <x:v>15011.916134859699</x:v>
      </x:c>
      <x:c r="T495" s="32" t="n">
        <x:v>8613.914112629514</x:v>
      </x:c>
      <x:c r="U495" s="31" t="n">
        <x:f>MAX(S495/T495,T495/S495)</x:f>
        <x:v>1.7427520101285416</x:v>
      </x:c>
      <x:c r="V495" s="31" t="n">
        <x:f>L495*'Controls &amp; Summary'!$B$9+O495*'Controls &amp; Summary'!$B$10+R495*'Controls &amp; Summary'!$B$11+U495*'Controls &amp; Summary'!$B$12</x:f>
        <x:v>4.492752010128541</x:v>
      </x:c>
      <x:c r="W495" s="31" t="n">
        <x:v>3</x:v>
      </x:c>
      <x:c r="X495" s="31" t="n">
        <x:v>3</x:v>
      </x:c>
      <x:c r="Y495" s="31" t="n">
        <x:f>((10-MIN(10,MAX(0,X495)))/10)*'Controls &amp; Summary'!$B$15+((10-MIN(10,MAX(0,W495)))/10)*'Controls &amp; Summary'!$B$16</x:f>
        <x:v>1.4</x:v>
      </x:c>
      <x:c r="Z495" s="31" t="n">
        <x:f>V495*Y495</x:f>
        <x:v>6.289852814179957</x:v>
      </x:c>
      <x:c r="AA495" s="30" t="str">
        <x:f>IF(Z495&lt;=I495,"Peaceful","Hostile")</x:f>
        <x:v>Hostile</x:v>
      </x:c>
      <x:c r="AB495" s="30" t="str">
        <x:f>IF(Z495&lt;='Controls &amp; Summary'!$B$6,"Eligible","Blocked")</x:f>
        <x:v>Eligible</x:v>
      </x:c>
      <x:c r="AC495" s="30" t="str">
        <x:v>BRA</x:v>
      </x:c>
      <x:c r="AD495" s="30" t="str">
        <x:v>BOL</x:v>
      </x:c>
      <x:c r="AE495" s="30" t="str">
        <x:v>Bolivia</x:v>
      </x:c>
      <x:c r="AF495" s="30" t="str">
        <x:v>Explicit capitalClaim</x:v>
      </x:c>
      <x:c r="AG495" s="30" t="str">
        <x:v>ClaimBRABolivia</x:v>
      </x:c>
      <x:c r="AH495" s="30" t="str">
        <x:v>Project_StewardoftheSouth</x:v>
      </x:c>
    </x:row>
    <x:row r="496">
      <x:c r="A496" s="30" t="str">
        <x:v>2022</x:v>
      </x:c>
      <x:c r="B496" s="30" t="str">
        <x:v>Base game</x:v>
      </x:c>
      <x:c r="C496" s="30" t="str">
        <x:v>Brazil</x:v>
      </x:c>
      <x:c r="D496" s="30" t="str">
        <x:v>Chile</x:v>
      </x:c>
      <x:c r="E496" s="30" t="str">
        <x:v>Project unlock</x:v>
      </x:c>
      <x:c r="F496" s="30" t="str">
        <x:v>Steward of the South</x:v>
      </x:c>
      <x:c r="G496" s="30" t="str">
        <x:v>Yes</x:v>
      </x:c>
      <x:c r="H496" s="30" t="str">
        <x:v>Template hostileClaim</x:v>
      </x:c>
      <x:c r="I496" s="31" t="n">
        <x:f>IF(G496="Yes",'Controls &amp; Summary'!$B$5,'Controls &amp; Summary'!$B$4)</x:f>
        <x:v>3</x:v>
      </x:c>
      <x:c r="J496" s="31" t="n">
        <x:v>6.86</x:v>
      </x:c>
      <x:c r="K496" s="31" t="n">
        <x:v>7.92</x:v>
      </x:c>
      <x:c r="L496" s="31" t="n">
        <x:f>ABS(J496-K496)</x:f>
        <x:v>1.0599999999999996</x:v>
      </x:c>
      <x:c r="M496" s="31" t="n">
        <x:v>4.89</x:v>
      </x:c>
      <x:c r="N496" s="31" t="n">
        <x:v>4.49</x:v>
      </x:c>
      <x:c r="O496" s="31" t="n">
        <x:f>ABS(M496-N496)</x:f>
        <x:v>0.39999999999999947</x:v>
      </x:c>
      <x:c r="P496" s="31" t="n">
        <x:v>6.94</x:v>
      </x:c>
      <x:c r="Q496" s="31" t="n">
        <x:v>8.1</x:v>
      </x:c>
      <x:c r="R496" s="31" t="n">
        <x:f>ABS(P496-Q496)</x:f>
        <x:v>1.1599999999999993</x:v>
      </x:c>
      <x:c r="S496" s="32" t="n">
        <x:v>15011.916134859699</x:v>
      </x:c>
      <x:c r="T496" s="32" t="n">
        <x:v>25971.372434899622</x:v>
      </x:c>
      <x:c r="U496" s="31" t="n">
        <x:f>MAX(S496/T496,T496/S496)</x:f>
        <x:v>1.7300504613525374</x:v>
      </x:c>
      <x:c r="V496" s="31" t="n">
        <x:f>L496*'Controls &amp; Summary'!$B$9+O496*'Controls &amp; Summary'!$B$10+R496*'Controls &amp; Summary'!$B$11+U496*'Controls &amp; Summary'!$B$12</x:f>
        <x:v>4.350050461352536</x:v>
      </x:c>
      <x:c r="W496" s="31" t="n">
        <x:v>3</x:v>
      </x:c>
      <x:c r="X496" s="31" t="n">
        <x:v>2</x:v>
      </x:c>
      <x:c r="Y496" s="31" t="n">
        <x:f>((10-MIN(10,MAX(0,X496)))/10)*'Controls &amp; Summary'!$B$15+((10-MIN(10,MAX(0,W496)))/10)*'Controls &amp; Summary'!$B$16</x:f>
        <x:v>1.5</x:v>
      </x:c>
      <x:c r="Z496" s="31" t="n">
        <x:f>V496*Y496</x:f>
        <x:v>6.525075692028804</x:v>
      </x:c>
      <x:c r="AA496" s="30" t="str">
        <x:f>IF(Z496&lt;=I496,"Peaceful","Hostile")</x:f>
        <x:v>Hostile</x:v>
      </x:c>
      <x:c r="AB496" s="30" t="str">
        <x:f>IF(Z496&lt;='Controls &amp; Summary'!$B$6,"Eligible","Blocked")</x:f>
        <x:v>Eligible</x:v>
      </x:c>
      <x:c r="AC496" s="30" t="str">
        <x:v>BRA</x:v>
      </x:c>
      <x:c r="AD496" s="30" t="str">
        <x:v>CHL</x:v>
      </x:c>
      <x:c r="AE496" s="30" t="str">
        <x:v>Santiago</x:v>
      </x:c>
      <x:c r="AF496" s="30" t="str">
        <x:v>Explicit capitalClaim</x:v>
      </x:c>
      <x:c r="AG496" s="30" t="str">
        <x:v>ClaimBRASantiago</x:v>
      </x:c>
      <x:c r="AH496" s="30" t="str">
        <x:v>Project_StewardoftheSouth</x:v>
      </x:c>
    </x:row>
    <x:row r="497">
      <x:c r="A497" s="30" t="str">
        <x:v>2022</x:v>
      </x:c>
      <x:c r="B497" s="30" t="str">
        <x:v>Base game</x:v>
      </x:c>
      <x:c r="C497" s="30" t="str">
        <x:v>Brazil</x:v>
      </x:c>
      <x:c r="D497" s="30" t="str">
        <x:v>Colombia</x:v>
      </x:c>
      <x:c r="E497" s="30" t="str">
        <x:v>Project unlock</x:v>
      </x:c>
      <x:c r="F497" s="30" t="str">
        <x:v>Steward of the South</x:v>
      </x:c>
      <x:c r="G497" s="30" t="str">
        <x:v>Yes</x:v>
      </x:c>
      <x:c r="H497" s="30" t="str">
        <x:v>Template hostileClaim</x:v>
      </x:c>
      <x:c r="I497" s="31" t="n">
        <x:f>IF(G497="Yes",'Controls &amp; Summary'!$B$5,'Controls &amp; Summary'!$B$4)</x:f>
        <x:v>3</x:v>
      </x:c>
      <x:c r="J497" s="31" t="n">
        <x:v>6.86</x:v>
      </x:c>
      <x:c r="K497" s="31" t="n">
        <x:v>6.48</x:v>
      </x:c>
      <x:c r="L497" s="31" t="n">
        <x:f>ABS(J497-K497)</x:f>
        <x:v>0.3799999999999999</x:v>
      </x:c>
      <x:c r="M497" s="31" t="n">
        <x:v>4.89</x:v>
      </x:c>
      <x:c r="N497" s="31" t="n">
        <x:v>5.42</x:v>
      </x:c>
      <x:c r="O497" s="31" t="n">
        <x:f>ABS(M497-N497)</x:f>
        <x:v>0.5300000000000002</x:v>
      </x:c>
      <x:c r="P497" s="31" t="n">
        <x:v>6.94</x:v>
      </x:c>
      <x:c r="Q497" s="31" t="n">
        <x:v>6.82</x:v>
      </x:c>
      <x:c r="R497" s="31" t="n">
        <x:f>ABS(P497-Q497)</x:f>
        <x:v>0.1200000000000001</x:v>
      </x:c>
      <x:c r="S497" s="32" t="n">
        <x:v>15011.916134859699</x:v>
      </x:c>
      <x:c r="T497" s="32" t="n">
        <x:v>16048.84946819688</x:v>
      </x:c>
      <x:c r="U497" s="31" t="n">
        <x:f>MAX(S497/T497,T497/S497)</x:f>
        <x:v>1.0690740158699183</x:v>
      </x:c>
      <x:c r="V497" s="31" t="n">
        <x:f>L497*'Controls &amp; Summary'!$B$9+O497*'Controls &amp; Summary'!$B$10+R497*'Controls &amp; Summary'!$B$11+U497*'Controls &amp; Summary'!$B$12</x:f>
        <x:v>2.0990740158699186</x:v>
      </x:c>
      <x:c r="W497" s="31" t="n">
        <x:v>3</x:v>
      </x:c>
      <x:c r="X497" s="31" t="n">
        <x:v>4</x:v>
      </x:c>
      <x:c r="Y497" s="31" t="n">
        <x:f>((10-MIN(10,MAX(0,X497)))/10)*'Controls &amp; Summary'!$B$15+((10-MIN(10,MAX(0,W497)))/10)*'Controls &amp; Summary'!$B$16</x:f>
        <x:v>1.2999999999999998</x:v>
      </x:c>
      <x:c r="Z497" s="31" t="n">
        <x:f>V497*Y497</x:f>
        <x:v>2.728796220630894</x:v>
      </x:c>
      <x:c r="AA497" s="30" t="str">
        <x:f>IF(Z497&lt;=I497,"Peaceful","Hostile")</x:f>
        <x:v>Peaceful</x:v>
      </x:c>
      <x:c r="AB497" s="30" t="str">
        <x:f>IF(Z497&lt;='Controls &amp; Summary'!$B$6,"Eligible","Blocked")</x:f>
        <x:v>Eligible</x:v>
      </x:c>
      <x:c r="AC497" s="30" t="str">
        <x:v>BRA</x:v>
      </x:c>
      <x:c r="AD497" s="30" t="str">
        <x:v>COL</x:v>
      </x:c>
      <x:c r="AE497" s="30" t="str">
        <x:v>Colombia</x:v>
      </x:c>
      <x:c r="AF497" s="30" t="str">
        <x:v>Explicit capitalClaim</x:v>
      </x:c>
      <x:c r="AG497" s="30" t="str">
        <x:v>ClaimBRAColombia</x:v>
      </x:c>
      <x:c r="AH497" s="30" t="str">
        <x:v>Project_StewardoftheSouth</x:v>
      </x:c>
    </x:row>
    <x:row r="498">
      <x:c r="A498" s="30" t="str">
        <x:v>2022</x:v>
      </x:c>
      <x:c r="B498" s="30" t="str">
        <x:v>Base game</x:v>
      </x:c>
      <x:c r="C498" s="30" t="str">
        <x:v>Brazil</x:v>
      </x:c>
      <x:c r="D498" s="30" t="str">
        <x:v>Ecuador</x:v>
      </x:c>
      <x:c r="E498" s="30" t="str">
        <x:v>Project unlock</x:v>
      </x:c>
      <x:c r="F498" s="30" t="str">
        <x:v>Steward of the South</x:v>
      </x:c>
      <x:c r="G498" s="30" t="str">
        <x:v>Yes</x:v>
      </x:c>
      <x:c r="H498" s="30" t="str">
        <x:v>Template hostileClaim</x:v>
      </x:c>
      <x:c r="I498" s="31" t="n">
        <x:f>IF(G498="Yes",'Controls &amp; Summary'!$B$5,'Controls &amp; Summary'!$B$4)</x:f>
        <x:v>3</x:v>
      </x:c>
      <x:c r="J498" s="31" t="n">
        <x:v>6.86</x:v>
      </x:c>
      <x:c r="K498" s="31" t="n">
        <x:v>5.71</x:v>
      </x:c>
      <x:c r="L498" s="31" t="n">
        <x:f>ABS(J498-K498)</x:f>
        <x:v>1.1500000000000004</x:v>
      </x:c>
      <x:c r="M498" s="31" t="n">
        <x:v>4.89</x:v>
      </x:c>
      <x:c r="N498" s="31" t="n">
        <x:v>4.73</x:v>
      </x:c>
      <x:c r="O498" s="31" t="n">
        <x:f>ABS(M498-N498)</x:f>
        <x:v>0.15999999999999925</x:v>
      </x:c>
      <x:c r="P498" s="31" t="n">
        <x:v>6.94</x:v>
      </x:c>
      <x:c r="Q498" s="31" t="n">
        <x:v>7.02</x:v>
      </x:c>
      <x:c r="R498" s="31" t="n">
        <x:f>ABS(P498-Q498)</x:f>
        <x:v>0.07999999999999918</x:v>
      </x:c>
      <x:c r="S498" s="32" t="n">
        <x:v>15011.916134859699</x:v>
      </x:c>
      <x:c r="T498" s="32" t="n">
        <x:v>11036.40464736752</x:v>
      </x:c>
      <x:c r="U498" s="31" t="n">
        <x:f>MAX(S498/T498,T498/S498)</x:f>
        <x:v>1.3602179889662205</x:v>
      </x:c>
      <x:c r="V498" s="31" t="n">
        <x:f>L498*'Controls &amp; Summary'!$B$9+O498*'Controls &amp; Summary'!$B$10+R498*'Controls &amp; Summary'!$B$11+U498*'Controls &amp; Summary'!$B$12</x:f>
        <x:v>2.7502179889662193</x:v>
      </x:c>
      <x:c r="W498" s="31" t="n">
        <x:v>3</x:v>
      </x:c>
      <x:c r="X498" s="31" t="n">
        <x:v>3</x:v>
      </x:c>
      <x:c r="Y498" s="31" t="n">
        <x:f>((10-MIN(10,MAX(0,X498)))/10)*'Controls &amp; Summary'!$B$15+((10-MIN(10,MAX(0,W498)))/10)*'Controls &amp; Summary'!$B$16</x:f>
        <x:v>1.4</x:v>
      </x:c>
      <x:c r="Z498" s="31" t="n">
        <x:f>V498*Y498</x:f>
        <x:v>3.8503051845527065</x:v>
      </x:c>
      <x:c r="AA498" s="30" t="str">
        <x:f>IF(Z498&lt;=I498,"Peaceful","Hostile")</x:f>
        <x:v>Hostile</x:v>
      </x:c>
      <x:c r="AB498" s="30" t="str">
        <x:f>IF(Z498&lt;='Controls &amp; Summary'!$B$6,"Eligible","Blocked")</x:f>
        <x:v>Eligible</x:v>
      </x:c>
      <x:c r="AC498" s="30" t="str">
        <x:v>BRA</x:v>
      </x:c>
      <x:c r="AD498" s="30" t="str">
        <x:v>ECU</x:v>
      </x:c>
      <x:c r="AE498" s="30" t="str">
        <x:v>Ecuador</x:v>
      </x:c>
      <x:c r="AF498" s="30" t="str">
        <x:v>Explicit capitalClaim</x:v>
      </x:c>
      <x:c r="AG498" s="30" t="str">
        <x:v>ClaimBRAEcuador</x:v>
      </x:c>
      <x:c r="AH498" s="30" t="str">
        <x:v>Project_StewardoftheSouth</x:v>
      </x:c>
    </x:row>
    <x:row r="499">
      <x:c r="A499" s="30" t="str">
        <x:v>2022</x:v>
      </x:c>
      <x:c r="B499" s="30" t="str">
        <x:v>Base game</x:v>
      </x:c>
      <x:c r="C499" s="30" t="str">
        <x:v>Brazil</x:v>
      </x:c>
      <x:c r="D499" s="30" t="str">
        <x:v>Guyana</x:v>
      </x:c>
      <x:c r="E499" s="30" t="str">
        <x:v>Project unlock</x:v>
      </x:c>
      <x:c r="F499" s="30" t="str">
        <x:v>South American Confederations</x:v>
      </x:c>
      <x:c r="G499" s="30" t="str">
        <x:v>No</x:v>
      </x:c>
      <x:c r="H499" s="30" t="str">
        <x:v>Ordinary claim</x:v>
      </x:c>
      <x:c r="I499" s="31" t="n">
        <x:f>IF(G499="Yes",'Controls &amp; Summary'!$B$5,'Controls &amp; Summary'!$B$4)</x:f>
        <x:v>6</x:v>
      </x:c>
      <x:c r="J499" s="31" t="n">
        <x:v>6.86</x:v>
      </x:c>
      <x:c r="K499" s="31" t="n">
        <x:v>6.25</x:v>
      </x:c>
      <x:c r="L499" s="31" t="n">
        <x:f>ABS(J499-K499)</x:f>
        <x:v>0.6100000000000003</x:v>
      </x:c>
      <x:c r="M499" s="31" t="n">
        <x:v>4.89</x:v>
      </x:c>
      <x:c r="N499" s="31" t="n">
        <x:v>4.51</x:v>
      </x:c>
      <x:c r="O499" s="31" t="n">
        <x:f>ABS(M499-N499)</x:f>
        <x:v>0.3799999999999999</x:v>
      </x:c>
      <x:c r="P499" s="31" t="n">
        <x:v>6.94</x:v>
      </x:c>
      <x:c r="Q499" s="31" t="n">
        <x:v>6.01</x:v>
      </x:c>
      <x:c r="R499" s="31" t="n">
        <x:f>ABS(P499-Q499)</x:f>
        <x:v>0.9300000000000006</x:v>
      </x:c>
      <x:c r="S499" s="32" t="n">
        <x:v>15011.916134859699</x:v>
      </x:c>
      <x:c r="T499" s="32" t="n">
        <x:v>33516.92725254583</x:v>
      </x:c>
      <x:c r="U499" s="31" t="n">
        <x:f>MAX(S499/T499,T499/S499)</x:f>
        <x:v>2.2326881492972768</x:v>
      </x:c>
      <x:c r="V499" s="31" t="n">
        <x:f>L499*'Controls &amp; Summary'!$B$9+O499*'Controls &amp; Summary'!$B$10+R499*'Controls &amp; Summary'!$B$11+U499*'Controls &amp; Summary'!$B$12</x:f>
        <x:v>4.152688149297278</x:v>
      </x:c>
      <x:c r="W499" s="31" t="n">
        <x:v>3</x:v>
      </x:c>
      <x:c r="X499" s="31" t="n">
        <x:v>2</x:v>
      </x:c>
      <x:c r="Y499" s="31" t="n">
        <x:f>((10-MIN(10,MAX(0,X499)))/10)*'Controls &amp; Summary'!$B$15+((10-MIN(10,MAX(0,W499)))/10)*'Controls &amp; Summary'!$B$16</x:f>
        <x:v>1.5</x:v>
      </x:c>
      <x:c r="Z499" s="31" t="n">
        <x:f>V499*Y499</x:f>
        <x:v>6.229032223945917</x:v>
      </x:c>
      <x:c r="AA499" s="30" t="str">
        <x:f>IF(Z499&lt;=I499,"Peaceful","Hostile")</x:f>
        <x:v>Hostile</x:v>
      </x:c>
      <x:c r="AB499" s="30" t="str">
        <x:f>IF(Z499&lt;='Controls &amp; Summary'!$B$6,"Eligible","Blocked")</x:f>
        <x:v>Eligible</x:v>
      </x:c>
      <x:c r="AC499" s="30" t="str">
        <x:v>BRA</x:v>
      </x:c>
      <x:c r="AD499" s="30" t="str">
        <x:v>GUY</x:v>
      </x:c>
      <x:c r="AE499" s="30" t="str">
        <x:v>Guyana</x:v>
      </x:c>
      <x:c r="AF499" s="30" t="str">
        <x:v>Explicit capitalClaim</x:v>
      </x:c>
      <x:c r="AG499" s="30" t="str">
        <x:v>ClaimBRAGuyana</x:v>
      </x:c>
      <x:c r="AH499" s="30" t="str">
        <x:v>Project_GranColombia</x:v>
      </x:c>
    </x:row>
    <x:row r="500">
      <x:c r="A500" s="30" t="str">
        <x:v>2022</x:v>
      </x:c>
      <x:c r="B500" s="30" t="str">
        <x:v>Base game</x:v>
      </x:c>
      <x:c r="C500" s="30" t="str">
        <x:v>Brazil</x:v>
      </x:c>
      <x:c r="D500" s="30" t="str">
        <x:v>Paraguay</x:v>
      </x:c>
      <x:c r="E500" s="30" t="str">
        <x:v>Project unlock</x:v>
      </x:c>
      <x:c r="F500" s="30" t="str">
        <x:v>Steward of the South</x:v>
      </x:c>
      <x:c r="G500" s="30" t="str">
        <x:v>Yes</x:v>
      </x:c>
      <x:c r="H500" s="30" t="str">
        <x:v>Template hostileClaim</x:v>
      </x:c>
      <x:c r="I500" s="31" t="n">
        <x:f>IF(G500="Yes",'Controls &amp; Summary'!$B$5,'Controls &amp; Summary'!$B$4)</x:f>
        <x:v>3</x:v>
      </x:c>
      <x:c r="J500" s="31" t="n">
        <x:v>6.86</x:v>
      </x:c>
      <x:c r="K500" s="31" t="n">
        <x:v>5.86</x:v>
      </x:c>
      <x:c r="L500" s="31" t="n">
        <x:f>ABS(J500-K500)</x:f>
        <x:v>1</x:v>
      </x:c>
      <x:c r="M500" s="31" t="n">
        <x:v>4.89</x:v>
      </x:c>
      <x:c r="N500" s="31" t="n">
        <x:v>4.35</x:v>
      </x:c>
      <x:c r="O500" s="31" t="n">
        <x:f>ABS(M500-N500)</x:f>
        <x:v>0.54</x:v>
      </x:c>
      <x:c r="P500" s="31" t="n">
        <x:v>6.94</x:v>
      </x:c>
      <x:c r="Q500" s="31" t="n">
        <x:v>6.38</x:v>
      </x:c>
      <x:c r="R500" s="31" t="n">
        <x:f>ABS(P500-Q500)</x:f>
        <x:v>0.5600000000000005</x:v>
      </x:c>
      <x:c r="S500" s="32" t="n">
        <x:v>15011.916134859699</x:v>
      </x:c>
      <x:c r="T500" s="32" t="n">
        <x:v>12907.985540489528</x:v>
      </x:c>
      <x:c r="U500" s="31" t="n">
        <x:f>MAX(S500/T500,T500/S500)</x:f>
        <x:v>1.1629944957538572</x:v>
      </x:c>
      <x:c r="V500" s="31" t="n">
        <x:f>L500*'Controls &amp; Summary'!$B$9+O500*'Controls &amp; Summary'!$B$10+R500*'Controls &amp; Summary'!$B$11+U500*'Controls &amp; Summary'!$B$12</x:f>
        <x:v>3.2629944957538575</x:v>
      </x:c>
      <x:c r="W500" s="31" t="n">
        <x:v>3</x:v>
      </x:c>
      <x:c r="X500" s="31" t="n">
        <x:v>0</x:v>
      </x:c>
      <x:c r="Y500" s="31" t="n">
        <x:f>((10-MIN(10,MAX(0,X500)))/10)*'Controls &amp; Summary'!$B$15+((10-MIN(10,MAX(0,W500)))/10)*'Controls &amp; Summary'!$B$16</x:f>
        <x:v>1.7</x:v>
      </x:c>
      <x:c r="Z500" s="31" t="n">
        <x:f>V500*Y500</x:f>
        <x:v>5.547090642781558</x:v>
      </x:c>
      <x:c r="AA500" s="30" t="str">
        <x:f>IF(Z500&lt;=I500,"Peaceful","Hostile")</x:f>
        <x:v>Hostile</x:v>
      </x:c>
      <x:c r="AB500" s="30" t="str">
        <x:f>IF(Z500&lt;='Controls &amp; Summary'!$B$6,"Eligible","Blocked")</x:f>
        <x:v>Eligible</x:v>
      </x:c>
      <x:c r="AC500" s="30" t="str">
        <x:v>BRA</x:v>
      </x:c>
      <x:c r="AD500" s="30" t="str">
        <x:v>PRY</x:v>
      </x:c>
      <x:c r="AE500" s="30" t="str">
        <x:v>Paraguay</x:v>
      </x:c>
      <x:c r="AF500" s="30" t="str">
        <x:v>Explicit capitalClaim</x:v>
      </x:c>
      <x:c r="AG500" s="30" t="str">
        <x:v>ClaimBRAParaguay</x:v>
      </x:c>
      <x:c r="AH500" s="30" t="str">
        <x:v>Project_StewardoftheSouth</x:v>
      </x:c>
    </x:row>
    <x:row r="501">
      <x:c r="A501" s="30" t="str">
        <x:v>2022</x:v>
      </x:c>
      <x:c r="B501" s="30" t="str">
        <x:v>Base game</x:v>
      </x:c>
      <x:c r="C501" s="30" t="str">
        <x:v>Brazil</x:v>
      </x:c>
      <x:c r="D501" s="30" t="str">
        <x:v>Peru</x:v>
      </x:c>
      <x:c r="E501" s="30" t="str">
        <x:v>Project unlock</x:v>
      </x:c>
      <x:c r="F501" s="30" t="str">
        <x:v>Steward of the South</x:v>
      </x:c>
      <x:c r="G501" s="30" t="str">
        <x:v>Yes</x:v>
      </x:c>
      <x:c r="H501" s="30" t="str">
        <x:v>Template hostileClaim</x:v>
      </x:c>
      <x:c r="I501" s="31" t="n">
        <x:f>IF(G501="Yes",'Controls &amp; Summary'!$B$5,'Controls &amp; Summary'!$B$4)</x:f>
        <x:v>3</x:v>
      </x:c>
      <x:c r="J501" s="31" t="n">
        <x:v>6.86</x:v>
      </x:c>
      <x:c r="K501" s="31" t="n">
        <x:v>6.09</x:v>
      </x:c>
      <x:c r="L501" s="31" t="n">
        <x:f>ABS(J501-K501)</x:f>
        <x:v>0.7700000000000005</x:v>
      </x:c>
      <x:c r="M501" s="31" t="n">
        <x:v>4.89</x:v>
      </x:c>
      <x:c r="N501" s="31" t="n">
        <x:v>4.38</x:v>
      </x:c>
      <x:c r="O501" s="31" t="n">
        <x:f>ABS(M501-N501)</x:f>
        <x:v>0.5099999999999998</x:v>
      </x:c>
      <x:c r="P501" s="31" t="n">
        <x:v>6.94</x:v>
      </x:c>
      <x:c r="Q501" s="31" t="n">
        <x:v>7.4</x:v>
      </x:c>
      <x:c r="R501" s="31" t="n">
        <x:f>ABS(P501-Q501)</x:f>
        <x:v>0.45999999999999996</x:v>
      </x:c>
      <x:c r="S501" s="32" t="n">
        <x:v>15011.916134859699</x:v>
      </x:c>
      <x:c r="T501" s="32" t="n">
        <x:v>13382.935372824697</x:v>
      </x:c>
      <x:c r="U501" s="31" t="n">
        <x:f>MAX(S501/T501,T501/S501)</x:f>
        <x:v>1.1217207373909015</x:v>
      </x:c>
      <x:c r="V501" s="31" t="n">
        <x:f>L501*'Controls &amp; Summary'!$B$9+O501*'Controls &amp; Summary'!$B$10+R501*'Controls &amp; Summary'!$B$11+U501*'Controls &amp; Summary'!$B$12</x:f>
        <x:v>2.8617207373909017</x:v>
      </x:c>
      <x:c r="W501" s="31" t="n">
        <x:v>3</x:v>
      </x:c>
      <x:c r="X501" s="31" t="n">
        <x:v>3</x:v>
      </x:c>
      <x:c r="Y501" s="31" t="n">
        <x:f>((10-MIN(10,MAX(0,X501)))/10)*'Controls &amp; Summary'!$B$15+((10-MIN(10,MAX(0,W501)))/10)*'Controls &amp; Summary'!$B$16</x:f>
        <x:v>1.4</x:v>
      </x:c>
      <x:c r="Z501" s="31" t="n">
        <x:f>V501*Y501</x:f>
        <x:v>4.006409032347262</x:v>
      </x:c>
      <x:c r="AA501" s="30" t="str">
        <x:f>IF(Z501&lt;=I501,"Peaceful","Hostile")</x:f>
        <x:v>Hostile</x:v>
      </x:c>
      <x:c r="AB501" s="30" t="str">
        <x:f>IF(Z501&lt;='Controls &amp; Summary'!$B$6,"Eligible","Blocked")</x:f>
        <x:v>Eligible</x:v>
      </x:c>
      <x:c r="AC501" s="30" t="str">
        <x:v>BRA</x:v>
      </x:c>
      <x:c r="AD501" s="30" t="str">
        <x:v>PER</x:v>
      </x:c>
      <x:c r="AE501" s="30" t="str">
        <x:v>Peru</x:v>
      </x:c>
      <x:c r="AF501" s="30" t="str">
        <x:v>Explicit capitalClaim</x:v>
      </x:c>
      <x:c r="AG501" s="30" t="str">
        <x:v>ClaimBRAPeru</x:v>
      </x:c>
      <x:c r="AH501" s="30" t="str">
        <x:v>Project_StewardoftheSouth</x:v>
      </x:c>
    </x:row>
    <x:row r="502">
      <x:c r="A502" s="30" t="str">
        <x:v>2022</x:v>
      </x:c>
      <x:c r="B502" s="30" t="str">
        <x:v>Base game</x:v>
      </x:c>
      <x:c r="C502" s="30" t="str">
        <x:v>Brazil</x:v>
      </x:c>
      <x:c r="D502" s="30" t="str">
        <x:v>Suriname</x:v>
      </x:c>
      <x:c r="E502" s="30" t="str">
        <x:v>Project unlock</x:v>
      </x:c>
      <x:c r="F502" s="30" t="str">
        <x:v>South American Confederations</x:v>
      </x:c>
      <x:c r="G502" s="30" t="str">
        <x:v>No</x:v>
      </x:c>
      <x:c r="H502" s="30" t="str">
        <x:v>Ordinary claim</x:v>
      </x:c>
      <x:c r="I502" s="31" t="n">
        <x:f>IF(G502="Yes",'Controls &amp; Summary'!$B$5,'Controls &amp; Summary'!$B$4)</x:f>
        <x:v>6</x:v>
      </x:c>
      <x:c r="J502" s="31" t="n">
        <x:v>6.86</x:v>
      </x:c>
      <x:c r="K502" s="31" t="n">
        <x:v>6.82</x:v>
      </x:c>
      <x:c r="L502" s="31" t="n">
        <x:f>ABS(J502-K502)</x:f>
        <x:v>0.040000000000000036</x:v>
      </x:c>
      <x:c r="M502" s="31" t="n">
        <x:v>4.89</x:v>
      </x:c>
      <x:c r="N502" s="31" t="n">
        <x:v>5.79</x:v>
      </x:c>
      <x:c r="O502" s="31" t="n">
        <x:f>ABS(M502-N502)</x:f>
        <x:v>0.9000000000000004</x:v>
      </x:c>
      <x:c r="P502" s="31" t="n">
        <x:v>6.94</x:v>
      </x:c>
      <x:c r="Q502" s="31" t="n">
        <x:v>6.75</x:v>
      </x:c>
      <x:c r="R502" s="31" t="n">
        <x:f>ABS(P502-Q502)</x:f>
        <x:v>0.1900000000000004</x:v>
      </x:c>
      <x:c r="S502" s="32" t="n">
        <x:v>15011.916134859699</x:v>
      </x:c>
      <x:c r="T502" s="32" t="n">
        <x:v>15700.892095820684</x:v>
      </x:c>
      <x:c r="U502" s="31" t="n">
        <x:f>MAX(S502/T502,T502/S502)</x:f>
        <x:v>1.0458952711147307</x:v>
      </x:c>
      <x:c r="V502" s="31" t="n">
        <x:f>L502*'Controls &amp; Summary'!$B$9+O502*'Controls &amp; Summary'!$B$10+R502*'Controls &amp; Summary'!$B$11+U502*'Controls &amp; Summary'!$B$12</x:f>
        <x:v>2.1758952711147312</x:v>
      </x:c>
      <x:c r="W502" s="31" t="n">
        <x:v>3</x:v>
      </x:c>
      <x:c r="X502" s="31" t="n">
        <x:v>1</x:v>
      </x:c>
      <x:c r="Y502" s="31" t="n">
        <x:f>((10-MIN(10,MAX(0,X502)))/10)*'Controls &amp; Summary'!$B$15+((10-MIN(10,MAX(0,W502)))/10)*'Controls &amp; Summary'!$B$16</x:f>
        <x:v>1.6</x:v>
      </x:c>
      <x:c r="Z502" s="31" t="n">
        <x:f>V502*Y502</x:f>
        <x:v>3.4814324337835703</x:v>
      </x:c>
      <x:c r="AA502" s="30" t="str">
        <x:f>IF(Z502&lt;=I502,"Peaceful","Hostile")</x:f>
        <x:v>Peaceful</x:v>
      </x:c>
      <x:c r="AB502" s="30" t="str">
        <x:f>IF(Z502&lt;='Controls &amp; Summary'!$B$6,"Eligible","Blocked")</x:f>
        <x:v>Eligible</x:v>
      </x:c>
      <x:c r="AC502" s="30" t="str">
        <x:v>BRA</x:v>
      </x:c>
      <x:c r="AD502" s="30" t="str">
        <x:v>SUR</x:v>
      </x:c>
      <x:c r="AE502" s="30" t="str">
        <x:v>Suriname</x:v>
      </x:c>
      <x:c r="AF502" s="30" t="str">
        <x:v>Explicit capitalClaim</x:v>
      </x:c>
      <x:c r="AG502" s="30" t="str">
        <x:v>ClaimBRASuriname</x:v>
      </x:c>
      <x:c r="AH502" s="30" t="str">
        <x:v>Project_GranColombia</x:v>
      </x:c>
    </x:row>
    <x:row r="503">
      <x:c r="A503" s="30" t="str">
        <x:v>2022</x:v>
      </x:c>
      <x:c r="B503" s="30" t="str">
        <x:v>Base game</x:v>
      </x:c>
      <x:c r="C503" s="30" t="str">
        <x:v>Brazil</x:v>
      </x:c>
      <x:c r="D503" s="30" t="str">
        <x:v>Uruguay</x:v>
      </x:c>
      <x:c r="E503" s="30" t="str">
        <x:v>Project unlock</x:v>
      </x:c>
      <x:c r="F503" s="30" t="str">
        <x:v>Steward of the South</x:v>
      </x:c>
      <x:c r="G503" s="30" t="str">
        <x:v>No</x:v>
      </x:c>
      <x:c r="H503" s="30" t="str">
        <x:v>Ordinary claim</x:v>
      </x:c>
      <x:c r="I503" s="31" t="n">
        <x:f>IF(G503="Yes",'Controls &amp; Summary'!$B$5,'Controls &amp; Summary'!$B$4)</x:f>
        <x:v>6</x:v>
      </x:c>
      <x:c r="J503" s="31" t="n">
        <x:v>6.86</x:v>
      </x:c>
      <x:c r="K503" s="31" t="n">
        <x:v>8.85</x:v>
      </x:c>
      <x:c r="L503" s="31" t="n">
        <x:f>ABS(J503-K503)</x:f>
        <x:v>1.9899999999999993</x:v>
      </x:c>
      <x:c r="M503" s="31" t="n">
        <x:v>4.89</x:v>
      </x:c>
      <x:c r="N503" s="31" t="n">
        <x:v>4.02</x:v>
      </x:c>
      <x:c r="O503" s="31" t="n">
        <x:f>ABS(M503-N503)</x:f>
        <x:v>0.8700000000000001</x:v>
      </x:c>
      <x:c r="P503" s="31" t="n">
        <x:v>6.94</x:v>
      </x:c>
      <x:c r="Q503" s="31" t="n">
        <x:v>7.65</x:v>
      </x:c>
      <x:c r="R503" s="31" t="n">
        <x:f>ABS(P503-Q503)</x:f>
        <x:v>0.71</x:v>
      </x:c>
      <x:c r="S503" s="32" t="n">
        <x:v>15011.916134859699</x:v>
      </x:c>
      <x:c r="T503" s="32" t="n">
        <x:v>23835.46509981235</x:v>
      </x:c>
      <x:c r="U503" s="31" t="n">
        <x:f>MAX(S503/T503,T503/S503)</x:f>
        <x:v>1.5877696681546987</x:v>
      </x:c>
      <x:c r="V503" s="31" t="n">
        <x:f>L503*'Controls &amp; Summary'!$B$9+O503*'Controls &amp; Summary'!$B$10+R503*'Controls &amp; Summary'!$B$11+U503*'Controls &amp; Summary'!$B$12</x:f>
        <x:v>5.157769668154698</x:v>
      </x:c>
      <x:c r="W503" s="31" t="n">
        <x:v>3</x:v>
      </x:c>
      <x:c r="X503" s="31" t="n">
        <x:v>1</x:v>
      </x:c>
      <x:c r="Y503" s="31" t="n">
        <x:f>((10-MIN(10,MAX(0,X503)))/10)*'Controls &amp; Summary'!$B$15+((10-MIN(10,MAX(0,W503)))/10)*'Controls &amp; Summary'!$B$16</x:f>
        <x:v>1.6</x:v>
      </x:c>
      <x:c r="Z503" s="31" t="n">
        <x:f>V503*Y503</x:f>
        <x:v>8.252431469047517</x:v>
      </x:c>
      <x:c r="AA503" s="30" t="str">
        <x:f>IF(Z503&lt;=I503,"Peaceful","Hostile")</x:f>
        <x:v>Hostile</x:v>
      </x:c>
      <x:c r="AB503" s="30" t="str">
        <x:f>IF(Z503&lt;='Controls &amp; Summary'!$B$6,"Eligible","Blocked")</x:f>
        <x:v>Eligible</x:v>
      </x:c>
      <x:c r="AC503" s="30" t="str">
        <x:v>BRA</x:v>
      </x:c>
      <x:c r="AD503" s="30" t="str">
        <x:v>URY</x:v>
      </x:c>
      <x:c r="AE503" s="30" t="str">
        <x:v>Uruguay</x:v>
      </x:c>
      <x:c r="AF503" s="30" t="str">
        <x:v>Explicit capitalClaim</x:v>
      </x:c>
      <x:c r="AG503" s="30" t="str">
        <x:v>ClaimBRAUruguay</x:v>
      </x:c>
      <x:c r="AH503" s="30" t="str">
        <x:v>Project_StewardoftheSouth</x:v>
      </x:c>
    </x:row>
    <x:row r="504">
      <x:c r="A504" s="30" t="str">
        <x:v>2022</x:v>
      </x:c>
      <x:c r="B504" s="30" t="str">
        <x:v>Base game</x:v>
      </x:c>
      <x:c r="C504" s="30" t="str">
        <x:v>Brazil</x:v>
      </x:c>
      <x:c r="D504" s="30" t="str">
        <x:v>Venezuela</x:v>
      </x:c>
      <x:c r="E504" s="30" t="str">
        <x:v>Project unlock</x:v>
      </x:c>
      <x:c r="F504" s="30" t="str">
        <x:v>South American Confederations</x:v>
      </x:c>
      <x:c r="G504" s="30" t="str">
        <x:v>No</x:v>
      </x:c>
      <x:c r="H504" s="30" t="str">
        <x:v>Ordinary claim</x:v>
      </x:c>
      <x:c r="I504" s="31" t="n">
        <x:f>IF(G504="Yes",'Controls &amp; Summary'!$B$5,'Controls &amp; Summary'!$B$4)</x:f>
        <x:v>6</x:v>
      </x:c>
      <x:c r="J504" s="31" t="n">
        <x:v>6.86</x:v>
      </x:c>
      <x:c r="K504" s="31" t="n">
        <x:v>2.11</x:v>
      </x:c>
      <x:c r="L504" s="31" t="n">
        <x:f>ABS(J504-K504)</x:f>
        <x:v>4.75</x:v>
      </x:c>
      <x:c r="M504" s="31" t="n">
        <x:v>4.89</x:v>
      </x:c>
      <x:c r="N504" s="31" t="n">
        <x:v>4.48</x:v>
      </x:c>
      <x:c r="O504" s="31" t="n">
        <x:f>ABS(M504-N504)</x:f>
        <x:v>0.40999999999999925</x:v>
      </x:c>
      <x:c r="P504" s="31" t="n">
        <x:v>6.94</x:v>
      </x:c>
      <x:c r="Q504" s="31" t="n">
        <x:v>7</x:v>
      </x:c>
      <x:c r="R504" s="31" t="n">
        <x:f>ABS(P504-Q504)</x:f>
        <x:v>0.05999999999999961</x:v>
      </x:c>
      <x:c r="S504" s="32" t="n">
        <x:v>15011.916134859699</x:v>
      </x:c>
      <x:c r="T504" s="32" t="n">
        <x:v>4781.536333352792</x:v>
      </x:c>
      <x:c r="U504" s="31" t="n">
        <x:f>MAX(S504/T504,T504/S504)</x:f>
        <x:v>3.1395591475791234</x:v>
      </x:c>
      <x:c r="V504" s="31" t="n">
        <x:f>L504*'Controls &amp; Summary'!$B$9+O504*'Controls &amp; Summary'!$B$10+R504*'Controls &amp; Summary'!$B$11+U504*'Controls &amp; Summary'!$B$12</x:f>
        <x:v>8.359559147579123</x:v>
      </x:c>
      <x:c r="W504" s="31" t="n">
        <x:v>3</x:v>
      </x:c>
      <x:c r="X504" s="31" t="n">
        <x:v>6</x:v>
      </x:c>
      <x:c r="Y504" s="31" t="n">
        <x:f>((10-MIN(10,MAX(0,X504)))/10)*'Controls &amp; Summary'!$B$15+((10-MIN(10,MAX(0,W504)))/10)*'Controls &amp; Summary'!$B$16</x:f>
        <x:v>1.1</x:v>
      </x:c>
      <x:c r="Z504" s="31" t="n">
        <x:f>V504*Y504</x:f>
        <x:v>9.195515062337035</x:v>
      </x:c>
      <x:c r="AA504" s="30" t="str">
        <x:f>IF(Z504&lt;=I504,"Peaceful","Hostile")</x:f>
        <x:v>Hostile</x:v>
      </x:c>
      <x:c r="AB504" s="30" t="str">
        <x:f>IF(Z504&lt;='Controls &amp; Summary'!$B$6,"Eligible","Blocked")</x:f>
        <x:v>Eligible</x:v>
      </x:c>
      <x:c r="AC504" s="30" t="str">
        <x:v>BRA</x:v>
      </x:c>
      <x:c r="AD504" s="30" t="str">
        <x:v>VEN</x:v>
      </x:c>
      <x:c r="AE504" s="30" t="str">
        <x:v>Venezuela</x:v>
      </x:c>
      <x:c r="AF504" s="30" t="str">
        <x:v>Explicit capitalClaim</x:v>
      </x:c>
      <x:c r="AG504" s="30" t="str">
        <x:v>ClaimBRAVenezuela</x:v>
      </x:c>
      <x:c r="AH504" s="30" t="str">
        <x:v>Project_GranColombia</x:v>
      </x:c>
    </x:row>
    <x:row r="505">
      <x:c r="A505" s="30" t="str">
        <x:v>2022</x:v>
      </x:c>
      <x:c r="B505" s="30" t="str">
        <x:v>Base game</x:v>
      </x:c>
      <x:c r="C505" s="30" t="str">
        <x:v>Cameroon</x:v>
      </x:c>
      <x:c r="D505" s="30" t="str">
        <x:v>Central African Republic</x:v>
      </x:c>
      <x:c r="E505" s="30" t="str">
        <x:v>Project unlock</x:v>
      </x:c>
      <x:c r="F505" s="30" t="str">
        <x:v>Regional African Unions</x:v>
      </x:c>
      <x:c r="G505" s="30" t="str">
        <x:v>No</x:v>
      </x:c>
      <x:c r="H505" s="30" t="str">
        <x:v>Ordinary claim</x:v>
      </x:c>
      <x:c r="I505" s="31" t="n">
        <x:f>IF(G505="Yes",'Controls &amp; Summary'!$B$5,'Controls &amp; Summary'!$B$4)</x:f>
        <x:v>6</x:v>
      </x:c>
      <x:c r="J505" s="31" t="n">
        <x:v>2.56</x:v>
      </x:c>
      <x:c r="K505" s="31" t="n">
        <x:v>1.43</x:v>
      </x:c>
      <x:c r="L505" s="31" t="n">
        <x:f>ABS(J505-K505)</x:f>
        <x:v>1.1300000000000001</x:v>
      </x:c>
      <x:c r="M505" s="31" t="n">
        <x:v>4.66</x:v>
      </x:c>
      <x:c r="N505" s="31" t="n">
        <x:v>5.62</x:v>
      </x:c>
      <x:c r="O505" s="31" t="n">
        <x:f>ABS(M505-N505)</x:f>
        <x:v>0.96</x:v>
      </x:c>
      <x:c r="P505" s="31" t="n">
        <x:v>5.47</x:v>
      </x:c>
      <x:c r="Q505" s="31" t="n">
        <x:v>3.53</x:v>
      </x:c>
      <x:c r="R505" s="31" t="n">
        <x:f>ABS(P505-Q505)</x:f>
        <x:v>1.94</x:v>
      </x:c>
      <x:c r="S505" s="32" t="n">
        <x:v>3840.8143048339234</x:v>
      </x:c>
      <x:c r="T505" s="32" t="n">
        <x:v>963.7922136335168</x:v>
      </x:c>
      <x:c r="U505" s="31" t="n">
        <x:f>MAX(S505/T505,T505/S505)</x:f>
        <x:v>3.9851061779737496</x:v>
      </x:c>
      <x:c r="V505" s="31" t="n">
        <x:f>L505*'Controls &amp; Summary'!$B$9+O505*'Controls &amp; Summary'!$B$10+R505*'Controls &amp; Summary'!$B$11+U505*'Controls &amp; Summary'!$B$12</x:f>
        <x:v>8.015106177973749</x:v>
      </x:c>
      <x:c r="W505" s="31" t="n">
        <x:v>2</x:v>
      </x:c>
      <x:c r="X505" s="31" t="n">
        <x:v>6</x:v>
      </x:c>
      <x:c r="Y505" s="31" t="n">
        <x:f>((10-MIN(10,MAX(0,X505)))/10)*'Controls &amp; Summary'!$B$15+((10-MIN(10,MAX(0,W505)))/10)*'Controls &amp; Summary'!$B$16</x:f>
        <x:v>1.2000000000000002</x:v>
      </x:c>
      <x:c r="Z505" s="31" t="n">
        <x:f>V505*Y505</x:f>
        <x:v>9.6181274135685</x:v>
      </x:c>
      <x:c r="AA505" s="30" t="str">
        <x:f>IF(Z505&lt;=I505,"Peaceful","Hostile")</x:f>
        <x:v>Hostile</x:v>
      </x:c>
      <x:c r="AB505" s="30" t="str">
        <x:f>IF(Z505&lt;='Controls &amp; Summary'!$B$6,"Eligible","Blocked")</x:f>
        <x:v>Eligible</x:v>
      </x:c>
      <x:c r="AC505" s="30" t="str">
        <x:v>CMR</x:v>
      </x:c>
      <x:c r="AD505" s="30" t="str">
        <x:v>CAF</x:v>
      </x:c>
      <x:c r="AE505" s="30" t="str">
        <x:v>CentralAfricanRepublic</x:v>
      </x:c>
      <x:c r="AF505" s="30" t="str">
        <x:v>Explicit capitalClaim</x:v>
      </x:c>
      <x:c r="AG505" s="30" t="str">
        <x:v>ClaimCMRCentralAfricanRepublic</x:v>
      </x:c>
      <x:c r="AH505" s="30" t="str">
        <x:v>Project_RegionalAfricanUnions</x:v>
      </x:c>
    </x:row>
    <x:row r="506">
      <x:c r="A506" s="30" t="str">
        <x:v>2022</x:v>
      </x:c>
      <x:c r="B506" s="30" t="str">
        <x:v>Base game</x:v>
      </x:c>
      <x:c r="C506" s="30" t="str">
        <x:v>Cameroon</x:v>
      </x:c>
      <x:c r="D506" s="30" t="str">
        <x:v>Chad</x:v>
      </x:c>
      <x:c r="E506" s="30" t="str">
        <x:v>Project unlock</x:v>
      </x:c>
      <x:c r="F506" s="30" t="str">
        <x:v>Regional African Unions</x:v>
      </x:c>
      <x:c r="G506" s="30" t="str">
        <x:v>No</x:v>
      </x:c>
      <x:c r="H506" s="30" t="str">
        <x:v>Ordinary claim</x:v>
      </x:c>
      <x:c r="I506" s="31" t="n">
        <x:f>IF(G506="Yes",'Controls &amp; Summary'!$B$5,'Controls &amp; Summary'!$B$4)</x:f>
        <x:v>6</x:v>
      </x:c>
      <x:c r="J506" s="31" t="n">
        <x:v>2.56</x:v>
      </x:c>
      <x:c r="K506" s="31" t="n">
        <x:v>1.67</x:v>
      </x:c>
      <x:c r="L506" s="31" t="n">
        <x:f>ABS(J506-K506)</x:f>
        <x:v>0.8900000000000001</x:v>
      </x:c>
      <x:c r="M506" s="31" t="n">
        <x:v>4.66</x:v>
      </x:c>
      <x:c r="N506" s="31" t="n">
        <x:v>3.75</x:v>
      </x:c>
      <x:c r="O506" s="31" t="n">
        <x:f>ABS(M506-N506)</x:f>
        <x:v>0.9100000000000001</x:v>
      </x:c>
      <x:c r="P506" s="31" t="n">
        <x:v>5.47</x:v>
      </x:c>
      <x:c r="Q506" s="31" t="n">
        <x:v>2.88</x:v>
      </x:c>
      <x:c r="R506" s="31" t="n">
        <x:f>ABS(P506-Q506)</x:f>
        <x:v>2.59</x:v>
      </x:c>
      <x:c r="S506" s="32" t="n">
        <x:v>3840.8143048339234</x:v>
      </x:c>
      <x:c r="T506" s="32" t="n">
        <x:v>1486.5764952493905</x:v>
      </x:c>
      <x:c r="U506" s="31" t="n">
        <x:f>MAX(S506/T506,T506/S506)</x:f>
        <x:v>2.583664087995406</x:v>
      </x:c>
      <x:c r="V506" s="31" t="n">
        <x:f>L506*'Controls &amp; Summary'!$B$9+O506*'Controls &amp; Summary'!$B$10+R506*'Controls &amp; Summary'!$B$11+U506*'Controls &amp; Summary'!$B$12</x:f>
        <x:v>6.973664087995406</x:v>
      </x:c>
      <x:c r="W506" s="31" t="n">
        <x:v>2</x:v>
      </x:c>
      <x:c r="X506" s="31" t="n">
        <x:v>5</x:v>
      </x:c>
      <x:c r="Y506" s="31" t="n">
        <x:f>((10-MIN(10,MAX(0,X506)))/10)*'Controls &amp; Summary'!$B$15+((10-MIN(10,MAX(0,W506)))/10)*'Controls &amp; Summary'!$B$16</x:f>
        <x:v>1.3</x:v>
      </x:c>
      <x:c r="Z506" s="31" t="n">
        <x:f>V506*Y506</x:f>
        <x:v>9.065763314394028</x:v>
      </x:c>
      <x:c r="AA506" s="30" t="str">
        <x:f>IF(Z506&lt;=I506,"Peaceful","Hostile")</x:f>
        <x:v>Hostile</x:v>
      </x:c>
      <x:c r="AB506" s="30" t="str">
        <x:f>IF(Z506&lt;='Controls &amp; Summary'!$B$6,"Eligible","Blocked")</x:f>
        <x:v>Eligible</x:v>
      </x:c>
      <x:c r="AC506" s="30" t="str">
        <x:v>CMR</x:v>
      </x:c>
      <x:c r="AD506" s="30" t="str">
        <x:v>TCD</x:v>
      </x:c>
      <x:c r="AE506" s="30" t="str">
        <x:v>Chad</x:v>
      </x:c>
      <x:c r="AF506" s="30" t="str">
        <x:v>Explicit capitalClaim</x:v>
      </x:c>
      <x:c r="AG506" s="30" t="str">
        <x:v>ClaimCMRChad</x:v>
      </x:c>
      <x:c r="AH506" s="30" t="str">
        <x:v>Project_RegionalAfricanUnions</x:v>
      </x:c>
    </x:row>
    <x:row r="507">
      <x:c r="A507" s="30" t="str">
        <x:v>2022</x:v>
      </x:c>
      <x:c r="B507" s="30" t="str">
        <x:v>Base game</x:v>
      </x:c>
      <x:c r="C507" s="30" t="str">
        <x:v>Cameroon</x:v>
      </x:c>
      <x:c r="D507" s="30" t="str">
        <x:v>Congo</x:v>
      </x:c>
      <x:c r="E507" s="30" t="str">
        <x:v>Project unlock</x:v>
      </x:c>
      <x:c r="F507" s="30" t="str">
        <x:v>Regional African Unions</x:v>
      </x:c>
      <x:c r="G507" s="30" t="str">
        <x:v>No</x:v>
      </x:c>
      <x:c r="H507" s="30" t="str">
        <x:v>Ordinary claim</x:v>
      </x:c>
      <x:c r="I507" s="31" t="n">
        <x:f>IF(G507="Yes",'Controls &amp; Summary'!$B$5,'Controls &amp; Summary'!$B$4)</x:f>
        <x:v>6</x:v>
      </x:c>
      <x:c r="J507" s="31" t="n">
        <x:v>2.56</x:v>
      </x:c>
      <x:c r="K507" s="31" t="n">
        <x:v>1.4</x:v>
      </x:c>
      <x:c r="L507" s="31" t="n">
        <x:f>ABS(J507-K507)</x:f>
        <x:v>1.1600000000000001</x:v>
      </x:c>
      <x:c r="M507" s="31" t="n">
        <x:v>4.66</x:v>
      </x:c>
      <x:c r="N507" s="31" t="n">
        <x:v>4.89</x:v>
      </x:c>
      <x:c r="O507" s="31" t="n">
        <x:f>ABS(M507-N507)</x:f>
        <x:v>0.22999999999999954</x:v>
      </x:c>
      <x:c r="P507" s="31" t="n">
        <x:v>5.47</x:v>
      </x:c>
      <x:c r="Q507" s="31" t="n">
        <x:v>4.96</x:v>
      </x:c>
      <x:c r="R507" s="31" t="n">
        <x:f>ABS(P507-Q507)</x:f>
        <x:v>0.5099999999999998</x:v>
      </x:c>
      <x:c r="S507" s="32" t="n">
        <x:v>3840.8143048339234</x:v>
      </x:c>
      <x:c r="T507" s="32" t="n">
        <x:v>1165.8667971692287</x:v>
      </x:c>
      <x:c r="U507" s="31" t="n">
        <x:f>MAX(S507/T507,T507/S507)</x:f>
        <x:v>3.294385185477084</x:v>
      </x:c>
      <x:c r="V507" s="31" t="n">
        <x:f>L507*'Controls &amp; Summary'!$B$9+O507*'Controls &amp; Summary'!$B$10+R507*'Controls &amp; Summary'!$B$11+U507*'Controls &amp; Summary'!$B$12</x:f>
        <x:v>5.194385185477083</x:v>
      </x:c>
      <x:c r="W507" s="31" t="n">
        <x:v>2</x:v>
      </x:c>
      <x:c r="X507" s="31" t="n">
        <x:v>8</x:v>
      </x:c>
      <x:c r="Y507" s="31" t="n">
        <x:f>((10-MIN(10,MAX(0,X507)))/10)*'Controls &amp; Summary'!$B$15+((10-MIN(10,MAX(0,W507)))/10)*'Controls &amp; Summary'!$B$16</x:f>
        <x:v>1</x:v>
      </x:c>
      <x:c r="Z507" s="31" t="n">
        <x:f>V507*Y507</x:f>
        <x:v>5.194385185477083</x:v>
      </x:c>
      <x:c r="AA507" s="30" t="str">
        <x:f>IF(Z507&lt;=I507,"Peaceful","Hostile")</x:f>
        <x:v>Peaceful</x:v>
      </x:c>
      <x:c r="AB507" s="30" t="str">
        <x:f>IF(Z507&lt;='Controls &amp; Summary'!$B$6,"Eligible","Blocked")</x:f>
        <x:v>Eligible</x:v>
      </x:c>
      <x:c r="AC507" s="30" t="str">
        <x:v>CMR</x:v>
      </x:c>
      <x:c r="AD507" s="30" t="str">
        <x:v>COD</x:v>
      </x:c>
      <x:c r="AE507" s="30" t="str">
        <x:v>Kinshasa</x:v>
      </x:c>
      <x:c r="AF507" s="30" t="str">
        <x:v>Explicit capitalClaim</x:v>
      </x:c>
      <x:c r="AG507" s="30" t="str">
        <x:v>ClaimCMRKinshasa</x:v>
      </x:c>
      <x:c r="AH507" s="30" t="str">
        <x:v>Project_RegionalAfricanUnions</x:v>
      </x:c>
    </x:row>
    <x:row r="508">
      <x:c r="A508" s="30" t="str">
        <x:v>2022</x:v>
      </x:c>
      <x:c r="B508" s="30" t="str">
        <x:v>Base game</x:v>
      </x:c>
      <x:c r="C508" s="30" t="str">
        <x:v>Cameroon</x:v>
      </x:c>
      <x:c r="D508" s="30" t="str">
        <x:v>Equatorial Guinea</x:v>
      </x:c>
      <x:c r="E508" s="30" t="str">
        <x:v>Project unlock</x:v>
      </x:c>
      <x:c r="F508" s="30" t="str">
        <x:v>Regional African Unions</x:v>
      </x:c>
      <x:c r="G508" s="30" t="str">
        <x:v>No</x:v>
      </x:c>
      <x:c r="H508" s="30" t="str">
        <x:v>Ordinary claim</x:v>
      </x:c>
      <x:c r="I508" s="31" t="n">
        <x:f>IF(G508="Yes",'Controls &amp; Summary'!$B$5,'Controls &amp; Summary'!$B$4)</x:f>
        <x:v>6</x:v>
      </x:c>
      <x:c r="J508" s="31" t="n">
        <x:v>2.56</x:v>
      </x:c>
      <x:c r="K508" s="31" t="n">
        <x:v>1.92</x:v>
      </x:c>
      <x:c r="L508" s="31" t="n">
        <x:f>ABS(J508-K508)</x:f>
        <x:v>0.6400000000000001</x:v>
      </x:c>
      <x:c r="M508" s="31" t="n">
        <x:v>4.66</x:v>
      </x:c>
      <x:c r="N508" s="31" t="n">
        <x:v>6.5</x:v>
      </x:c>
      <x:c r="O508" s="31" t="n">
        <x:f>ABS(M508-N508)</x:f>
        <x:v>1.8399999999999999</x:v>
      </x:c>
      <x:c r="P508" s="31" t="n">
        <x:v>5.47</x:v>
      </x:c>
      <x:c r="Q508" s="31" t="n">
        <x:v>4.67</x:v>
      </x:c>
      <x:c r="R508" s="31" t="n">
        <x:f>ABS(P508-Q508)</x:f>
        <x:v>0.7999999999999998</x:v>
      </x:c>
      <x:c r="S508" s="32" t="n">
        <x:v>3840.8143048339234</x:v>
      </x:c>
      <x:c r="T508" s="32" t="n">
        <x:v>16604.817107419</x:v>
      </x:c>
      <x:c r="U508" s="31" t="n">
        <x:f>MAX(S508/T508,T508/S508)</x:f>
        <x:v>4.323254338675191</x:v>
      </x:c>
      <x:c r="V508" s="31" t="n">
        <x:f>L508*'Controls &amp; Summary'!$B$9+O508*'Controls &amp; Summary'!$B$10+R508*'Controls &amp; Summary'!$B$11+U508*'Controls &amp; Summary'!$B$12</x:f>
        <x:v>7.603254338675191</x:v>
      </x:c>
      <x:c r="W508" s="31" t="n">
        <x:v>2</x:v>
      </x:c>
      <x:c r="X508" s="31" t="n">
        <x:v>2</x:v>
      </x:c>
      <x:c r="Y508" s="31" t="n">
        <x:f>((10-MIN(10,MAX(0,X508)))/10)*'Controls &amp; Summary'!$B$15+((10-MIN(10,MAX(0,W508)))/10)*'Controls &amp; Summary'!$B$16</x:f>
        <x:v>1.6</x:v>
      </x:c>
      <x:c r="Z508" s="31" t="n">
        <x:f>V508*Y508</x:f>
        <x:v>12.165206941880307</x:v>
      </x:c>
      <x:c r="AA508" s="30" t="str">
        <x:f>IF(Z508&lt;=I508,"Peaceful","Hostile")</x:f>
        <x:v>Hostile</x:v>
      </x:c>
      <x:c r="AB508" s="30" t="str">
        <x:f>IF(Z508&lt;='Controls &amp; Summary'!$B$6,"Eligible","Blocked")</x:f>
        <x:v>Blocked</x:v>
      </x:c>
      <x:c r="AC508" s="30" t="str">
        <x:v>CMR</x:v>
      </x:c>
      <x:c r="AD508" s="30" t="str">
        <x:v>EQG</x:v>
      </x:c>
      <x:c r="AE508" s="30" t="str">
        <x:v>EquatorialGuinea</x:v>
      </x:c>
      <x:c r="AF508" s="30" t="str">
        <x:v>Explicit capitalClaim</x:v>
      </x:c>
      <x:c r="AG508" s="30" t="str">
        <x:v>ClaimCMREquatorialGuinea</x:v>
      </x:c>
      <x:c r="AH508" s="30" t="str">
        <x:v>Project_RegionalAfricanUnions</x:v>
      </x:c>
    </x:row>
    <x:row r="509">
      <x:c r="A509" s="30" t="str">
        <x:v>2022</x:v>
      </x:c>
      <x:c r="B509" s="30" t="str">
        <x:v>Base game</x:v>
      </x:c>
      <x:c r="C509" s="30" t="str">
        <x:v>Cameroon</x:v>
      </x:c>
      <x:c r="D509" s="30" t="str">
        <x:v>Gabon</x:v>
      </x:c>
      <x:c r="E509" s="30" t="str">
        <x:v>Project unlock</x:v>
      </x:c>
      <x:c r="F509" s="30" t="str">
        <x:v>Regional African Unions</x:v>
      </x:c>
      <x:c r="G509" s="30" t="str">
        <x:v>No</x:v>
      </x:c>
      <x:c r="H509" s="30" t="str">
        <x:v>Ordinary claim</x:v>
      </x:c>
      <x:c r="I509" s="31" t="n">
        <x:f>IF(G509="Yes",'Controls &amp; Summary'!$B$5,'Controls &amp; Summary'!$B$4)</x:f>
        <x:v>6</x:v>
      </x:c>
      <x:c r="J509" s="31" t="n">
        <x:v>2.56</x:v>
      </x:c>
      <x:c r="K509" s="31" t="n">
        <x:v>3.4</x:v>
      </x:c>
      <x:c r="L509" s="31" t="n">
        <x:f>ABS(J509-K509)</x:f>
        <x:v>0.8399999999999999</x:v>
      </x:c>
      <x:c r="M509" s="31" t="n">
        <x:v>4.66</x:v>
      </x:c>
      <x:c r="N509" s="31" t="n">
        <x:v>3.8</x:v>
      </x:c>
      <x:c r="O509" s="31" t="n">
        <x:f>ABS(M509-N509)</x:f>
        <x:v>0.8600000000000003</x:v>
      </x:c>
      <x:c r="P509" s="31" t="n">
        <x:v>5.47</x:v>
      </x:c>
      <x:c r="Q509" s="31" t="n">
        <x:v>6.5</x:v>
      </x:c>
      <x:c r="R509" s="31" t="n">
        <x:f>ABS(P509-Q509)</x:f>
        <x:v>1.0300000000000002</x:v>
      </x:c>
      <x:c r="S509" s="32" t="n">
        <x:v>3840.8143048339234</x:v>
      </x:c>
      <x:c r="T509" s="32" t="n">
        <x:v>14457.37442728511</x:v>
      </x:c>
      <x:c r="U509" s="31" t="n">
        <x:f>MAX(S509/T509,T509/S509)</x:f>
        <x:v>3.764143038388899</x:v>
      </x:c>
      <x:c r="V509" s="31" t="n">
        <x:f>L509*'Controls &amp; Summary'!$B$9+O509*'Controls &amp; Summary'!$B$10+R509*'Controls &amp; Summary'!$B$11+U509*'Controls &amp; Summary'!$B$12</x:f>
        <x:v>6.494143038388899</x:v>
      </x:c>
      <x:c r="W509" s="31" t="n">
        <x:v>2</x:v>
      </x:c>
      <x:c r="X509" s="31" t="n">
        <x:v>3</x:v>
      </x:c>
      <x:c r="Y509" s="31" t="n">
        <x:f>((10-MIN(10,MAX(0,X509)))/10)*'Controls &amp; Summary'!$B$15+((10-MIN(10,MAX(0,W509)))/10)*'Controls &amp; Summary'!$B$16</x:f>
        <x:v>1.5</x:v>
      </x:c>
      <x:c r="Z509" s="31" t="n">
        <x:f>V509*Y509</x:f>
        <x:v>9.74121455758335</x:v>
      </x:c>
      <x:c r="AA509" s="30" t="str">
        <x:f>IF(Z509&lt;=I509,"Peaceful","Hostile")</x:f>
        <x:v>Hostile</x:v>
      </x:c>
      <x:c r="AB509" s="30" t="str">
        <x:f>IF(Z509&lt;='Controls &amp; Summary'!$B$6,"Eligible","Blocked")</x:f>
        <x:v>Eligible</x:v>
      </x:c>
      <x:c r="AC509" s="30" t="str">
        <x:v>CMR</x:v>
      </x:c>
      <x:c r="AD509" s="30" t="str">
        <x:v>LWG</x:v>
      </x:c>
      <x:c r="AE509" s="30" t="str">
        <x:v>Libreville</x:v>
      </x:c>
      <x:c r="AF509" s="30" t="str">
        <x:v>Explicit capitalClaim</x:v>
      </x:c>
      <x:c r="AG509" s="30" t="str">
        <x:v>ClaimCMRLibreville</x:v>
      </x:c>
      <x:c r="AH509" s="30" t="str">
        <x:v>Project_RegionalAfricanUnions</x:v>
      </x:c>
    </x:row>
    <x:row r="510">
      <x:c r="A510" s="30" t="str">
        <x:v>2022</x:v>
      </x:c>
      <x:c r="B510" s="30" t="str">
        <x:v>Base game</x:v>
      </x:c>
      <x:c r="C510" s="30" t="str">
        <x:v>Cameroon</x:v>
      </x:c>
      <x:c r="D510" s="30" t="str">
        <x:v>Republic of the Congo</x:v>
      </x:c>
      <x:c r="E510" s="30" t="str">
        <x:v>Project unlock</x:v>
      </x:c>
      <x:c r="F510" s="30" t="str">
        <x:v>Regional African Unions</x:v>
      </x:c>
      <x:c r="G510" s="30" t="str">
        <x:v>No</x:v>
      </x:c>
      <x:c r="H510" s="30" t="str">
        <x:v>Ordinary claim</x:v>
      </x:c>
      <x:c r="I510" s="31" t="n">
        <x:f>IF(G510="Yes",'Controls &amp; Summary'!$B$5,'Controls &amp; Summary'!$B$4)</x:f>
        <x:v>6</x:v>
      </x:c>
      <x:c r="J510" s="31" t="n">
        <x:v>2.56</x:v>
      </x:c>
      <x:c r="K510" s="31" t="n">
        <x:v>2.79</x:v>
      </x:c>
      <x:c r="L510" s="31" t="n">
        <x:f>ABS(J510-K510)</x:f>
        <x:v>0.22999999999999998</x:v>
      </x:c>
      <x:c r="M510" s="31" t="n">
        <x:v>4.66</x:v>
      </x:c>
      <x:c r="N510" s="31" t="n">
        <x:v>4.21</x:v>
      </x:c>
      <x:c r="O510" s="31" t="n">
        <x:f>ABS(M510-N510)</x:f>
        <x:v>0.4500000000000002</x:v>
      </x:c>
      <x:c r="P510" s="31" t="n">
        <x:v>5.47</x:v>
      </x:c>
      <x:c r="Q510" s="31" t="n">
        <x:v>5.43</x:v>
      </x:c>
      <x:c r="R510" s="31" t="n">
        <x:f>ABS(P510-Q510)</x:f>
        <x:v>0.040000000000000036</x:v>
      </x:c>
      <x:c r="S510" s="32" t="n">
        <x:v>3840.8143048339234</x:v>
      </x:c>
      <x:c r="T510" s="32" t="n">
        <x:v>3392.0211318645047</x:v>
      </x:c>
      <x:c r="U510" s="31" t="n">
        <x:f>MAX(S510/T510,T510/S510)</x:f>
        <x:v>1.1323084837984865</x:v>
      </x:c>
      <x:c r="V510" s="31" t="n">
        <x:f>L510*'Controls &amp; Summary'!$B$9+O510*'Controls &amp; Summary'!$B$10+R510*'Controls &amp; Summary'!$B$11+U510*'Controls &amp; Summary'!$B$12</x:f>
        <x:v>1.8523084837984867</x:v>
      </x:c>
      <x:c r="W510" s="31" t="n">
        <x:v>2</x:v>
      </x:c>
      <x:c r="X510" s="31" t="n">
        <x:v>3</x:v>
      </x:c>
      <x:c r="Y510" s="31" t="n">
        <x:f>((10-MIN(10,MAX(0,X510)))/10)*'Controls &amp; Summary'!$B$15+((10-MIN(10,MAX(0,W510)))/10)*'Controls &amp; Summary'!$B$16</x:f>
        <x:v>1.5</x:v>
      </x:c>
      <x:c r="Z510" s="31" t="n">
        <x:f>V510*Y510</x:f>
        <x:v>2.77846272569773</x:v>
      </x:c>
      <x:c r="AA510" s="30" t="str">
        <x:f>IF(Z510&lt;=I510,"Peaceful","Hostile")</x:f>
        <x:v>Peaceful</x:v>
      </x:c>
      <x:c r="AB510" s="30" t="str">
        <x:f>IF(Z510&lt;='Controls &amp; Summary'!$B$6,"Eligible","Blocked")</x:f>
        <x:v>Eligible</x:v>
      </x:c>
      <x:c r="AC510" s="30" t="str">
        <x:v>CMR</x:v>
      </x:c>
      <x:c r="AD510" s="30" t="str">
        <x:v>COR</x:v>
      </x:c>
      <x:c r="AE510" s="30" t="str">
        <x:v>Brazzaville</x:v>
      </x:c>
      <x:c r="AF510" s="30" t="str">
        <x:v>Explicit capitalClaim</x:v>
      </x:c>
      <x:c r="AG510" s="30" t="str">
        <x:v>ClaimCMRBrazzaville</x:v>
      </x:c>
      <x:c r="AH510" s="30" t="str">
        <x:v>Project_RegionalAfricanUnions</x:v>
      </x:c>
    </x:row>
    <x:row r="511">
      <x:c r="A511" s="30" t="str">
        <x:v>2022</x:v>
      </x:c>
      <x:c r="B511" s="30" t="str">
        <x:v>Base game</x:v>
      </x:c>
      <x:c r="C511" s="30" t="str">
        <x:v>Cameroon</x:v>
      </x:c>
      <x:c r="D511" s="30" t="str">
        <x:v>Sao Tome and Principe</x:v>
      </x:c>
      <x:c r="E511" s="30" t="str">
        <x:v>Project unlock</x:v>
      </x:c>
      <x:c r="F511" s="30" t="str">
        <x:v>Regional African Unions</x:v>
      </x:c>
      <x:c r="G511" s="30" t="str">
        <x:v>No</x:v>
      </x:c>
      <x:c r="H511" s="30" t="str">
        <x:v>Ordinary claim</x:v>
      </x:c>
      <x:c r="I511" s="31" t="n">
        <x:f>IF(G511="Yes",'Controls &amp; Summary'!$B$5,'Controls &amp; Summary'!$B$4)</x:f>
        <x:v>6</x:v>
      </x:c>
      <x:c r="J511" s="31" t="n">
        <x:v>2.56</x:v>
      </x:c>
      <x:c r="K511" s="31" t="n">
        <x:v>8.4</x:v>
      </x:c>
      <x:c r="L511" s="31" t="n">
        <x:f>ABS(J511-K511)</x:f>
        <x:v>5.84</x:v>
      </x:c>
      <x:c r="M511" s="31" t="n">
        <x:v>4.66</x:v>
      </x:c>
      <x:c r="N511" s="31" t="n">
        <x:v>5.63</x:v>
      </x:c>
      <x:c r="O511" s="31" t="n">
        <x:f>ABS(M511-N511)</x:f>
        <x:v>0.9699999999999998</x:v>
      </x:c>
      <x:c r="P511" s="31" t="n">
        <x:v>5.47</x:v>
      </x:c>
      <x:c r="Q511" s="31" t="n">
        <x:v>6.25</x:v>
      </x:c>
      <x:c r="R511" s="31" t="n">
        <x:f>ABS(P511-Q511)</x:f>
        <x:v>0.7800000000000002</x:v>
      </x:c>
      <x:c r="S511" s="32" t="n">
        <x:v>3840.8143048339234</x:v>
      </x:c>
      <x:c r="T511" s="32" t="n">
        <x:v>4084.6589514151256</x:v>
      </x:c>
      <x:c r="U511" s="31" t="n">
        <x:f>MAX(S511/T511,T511/S511)</x:f>
        <x:v>1.0634877469276</x:v>
      </x:c>
      <x:c r="V511" s="31" t="n">
        <x:f>L511*'Controls &amp; Summary'!$B$9+O511*'Controls &amp; Summary'!$B$10+R511*'Controls &amp; Summary'!$B$11+U511*'Controls &amp; Summary'!$B$12</x:f>
        <x:v>8.653487746927599</x:v>
      </x:c>
      <x:c r="W511" s="31" t="n">
        <x:v>2</x:v>
      </x:c>
      <x:c r="X511" s="31" t="n">
        <x:v>0</x:v>
      </x:c>
      <x:c r="Y511" s="31" t="n">
        <x:f>((10-MIN(10,MAX(0,X511)))/10)*'Controls &amp; Summary'!$B$15+((10-MIN(10,MAX(0,W511)))/10)*'Controls &amp; Summary'!$B$16</x:f>
        <x:v>1.8</x:v>
      </x:c>
      <x:c r="Z511" s="31" t="n">
        <x:f>V511*Y511</x:f>
        <x:v>15.576277944469679</x:v>
      </x:c>
      <x:c r="AA511" s="30" t="str">
        <x:f>IF(Z511&lt;=I511,"Peaceful","Hostile")</x:f>
        <x:v>Hostile</x:v>
      </x:c>
      <x:c r="AB511" s="30" t="str">
        <x:f>IF(Z511&lt;='Controls &amp; Summary'!$B$6,"Eligible","Blocked")</x:f>
        <x:v>Blocked</x:v>
      </x:c>
      <x:c r="AC511" s="30" t="str">
        <x:v>CMR</x:v>
      </x:c>
      <x:c r="AD511" s="30" t="str">
        <x:v>STP</x:v>
      </x:c>
      <x:c r="AE511" s="30" t="str">
        <x:v>SaoTomePrincipe</x:v>
      </x:c>
      <x:c r="AF511" s="30" t="str">
        <x:v>Explicit capitalClaim</x:v>
      </x:c>
      <x:c r="AG511" s="30" t="str">
        <x:v>ClaimCMRSaoTomePrincipe</x:v>
      </x:c>
      <x:c r="AH511" s="30" t="str">
        <x:v>Project_RegionalAfricanUnions</x:v>
      </x:c>
    </x:row>
    <x:row r="512">
      <x:c r="A512" s="30" t="str">
        <x:v>2022</x:v>
      </x:c>
      <x:c r="B512" s="30" t="str">
        <x:v>Base game</x:v>
      </x:c>
      <x:c r="C512" s="30" t="str">
        <x:v>China</x:v>
      </x:c>
      <x:c r="D512" s="30" t="str">
        <x:v>Bhutan</x:v>
      </x:c>
      <x:c r="E512" s="30" t="str">
        <x:v>Project unlock</x:v>
      </x:c>
      <x:c r="F512" s="30" t="str">
        <x:v>Pan-Asian Cooperative</x:v>
      </x:c>
      <x:c r="G512" s="30" t="str">
        <x:v>No</x:v>
      </x:c>
      <x:c r="H512" s="30" t="str">
        <x:v>Ordinary claim</x:v>
      </x:c>
      <x:c r="I512" s="31" t="n">
        <x:f>IF(G512="Yes",'Controls &amp; Summary'!$B$5,'Controls &amp; Summary'!$B$4)</x:f>
        <x:v>6</x:v>
      </x:c>
      <x:c r="J512" s="31" t="n">
        <x:v>2.21</x:v>
      </x:c>
      <x:c r="K512" s="31" t="n">
        <x:v>5.71</x:v>
      </x:c>
      <x:c r="L512" s="31" t="n">
        <x:f>ABS(J512-K512)</x:f>
        <x:v>3.5</x:v>
      </x:c>
      <x:c r="M512" s="31" t="n">
        <x:v>3.82</x:v>
      </x:c>
      <x:c r="N512" s="31" t="n">
        <x:v>3.74</x:v>
      </x:c>
      <x:c r="O512" s="31" t="n">
        <x:f>ABS(M512-N512)</x:f>
        <x:v>0.07999999999999963</x:v>
      </x:c>
      <x:c r="P512" s="31" t="n">
        <x:v>6.57</x:v>
      </x:c>
      <x:c r="Q512" s="31" t="n">
        <x:v>4.96</x:v>
      </x:c>
      <x:c r="R512" s="31" t="n">
        <x:f>ABS(P512-Q512)</x:f>
        <x:v>1.6100000000000003</x:v>
      </x:c>
      <x:c r="S512" s="32" t="n">
        <x:v>18318.198017637314</x:v>
      </x:c>
      <x:c r="T512" s="32" t="n">
        <x:v>10969.606185828401</x:v>
      </x:c>
      <x:c r="U512" s="31" t="n">
        <x:f>MAX(S512/T512,T512/S512)</x:f>
        <x:v>1.6699047994359666</x:v>
      </x:c>
      <x:c r="V512" s="31" t="n">
        <x:f>L512*'Controls &amp; Summary'!$B$9+O512*'Controls &amp; Summary'!$B$10+R512*'Controls &amp; Summary'!$B$11+U512*'Controls &amp; Summary'!$B$12</x:f>
        <x:v>6.8599047994359665</x:v>
      </x:c>
      <x:c r="W512" s="31" t="n">
        <x:v>8</x:v>
      </x:c>
      <x:c r="X512" s="31" t="n">
        <x:v>1</x:v>
      </x:c>
      <x:c r="Y512" s="31" t="n">
        <x:f>((10-MIN(10,MAX(0,X512)))/10)*'Controls &amp; Summary'!$B$15+((10-MIN(10,MAX(0,W512)))/10)*'Controls &amp; Summary'!$B$16</x:f>
        <x:v>1.1</x:v>
      </x:c>
      <x:c r="Z512" s="31" t="n">
        <x:f>V512*Y512</x:f>
        <x:v>7.545895279379564</x:v>
      </x:c>
      <x:c r="AA512" s="30" t="str">
        <x:f>IF(Z512&lt;=I512,"Peaceful","Hostile")</x:f>
        <x:v>Hostile</x:v>
      </x:c>
      <x:c r="AB512" s="30" t="str">
        <x:f>IF(Z512&lt;='Controls &amp; Summary'!$B$6,"Eligible","Blocked")</x:f>
        <x:v>Eligible</x:v>
      </x:c>
      <x:c r="AC512" s="30" t="str">
        <x:v>CHN</x:v>
      </x:c>
      <x:c r="AD512" s="30" t="str">
        <x:v>BHU</x:v>
      </x:c>
      <x:c r="AE512" s="30" t="str">
        <x:v>Bhutan</x:v>
      </x:c>
      <x:c r="AF512" s="30" t="str">
        <x:v>Explicit capitalClaim</x:v>
      </x:c>
      <x:c r="AG512" s="30" t="str">
        <x:v>ClaimCHNBhutan</x:v>
      </x:c>
      <x:c r="AH512" s="30" t="str">
        <x:v>Project_Pan-AsianCooperative</x:v>
      </x:c>
    </x:row>
    <x:row r="513">
      <x:c r="A513" s="30" t="str">
        <x:v>2022</x:v>
      </x:c>
      <x:c r="B513" s="30" t="str">
        <x:v>Base game</x:v>
      </x:c>
      <x:c r="C513" s="30" t="str">
        <x:v>China</x:v>
      </x:c>
      <x:c r="D513" s="30" t="str">
        <x:v>Cambodia</x:v>
      </x:c>
      <x:c r="E513" s="30" t="str">
        <x:v>Project unlock</x:v>
      </x:c>
      <x:c r="F513" s="30" t="str">
        <x:v>Pan-Asian Cooperative</x:v>
      </x:c>
      <x:c r="G513" s="30" t="str">
        <x:v>No</x:v>
      </x:c>
      <x:c r="H513" s="30" t="str">
        <x:v>Ordinary claim</x:v>
      </x:c>
      <x:c r="I513" s="31" t="n">
        <x:f>IF(G513="Yes",'Controls &amp; Summary'!$B$5,'Controls &amp; Summary'!$B$4)</x:f>
        <x:v>6</x:v>
      </x:c>
      <x:c r="J513" s="31" t="n">
        <x:v>2.21</x:v>
      </x:c>
      <x:c r="K513" s="31" t="n">
        <x:v>2.9</x:v>
      </x:c>
      <x:c r="L513" s="31" t="n">
        <x:f>ABS(J513-K513)</x:f>
        <x:v>0.69</x:v>
      </x:c>
      <x:c r="M513" s="31" t="n">
        <x:v>3.82</x:v>
      </x:c>
      <x:c r="N513" s="31" t="n">
        <x:v>3.79</x:v>
      </x:c>
      <x:c r="O513" s="31" t="n">
        <x:f>ABS(M513-N513)</x:f>
        <x:v>0.029999999999999805</x:v>
      </x:c>
      <x:c r="P513" s="31" t="n">
        <x:v>6.57</x:v>
      </x:c>
      <x:c r="Q513" s="31" t="n">
        <x:v>4.84</x:v>
      </x:c>
      <x:c r="R513" s="31" t="n">
        <x:f>ABS(P513-Q513)</x:f>
        <x:v>1.7300000000000004</x:v>
      </x:c>
      <x:c r="S513" s="32" t="n">
        <x:v>18318.198017637314</x:v>
      </x:c>
      <x:c r="T513" s="32" t="n">
        <x:v>4485.15754874337</x:v>
      </x:c>
      <x:c r="U513" s="31" t="n">
        <x:f>MAX(S513/T513,T513/S513)</x:f>
        <x:v>4.084181618719195</x:v>
      </x:c>
      <x:c r="V513" s="31" t="n">
        <x:f>L513*'Controls &amp; Summary'!$B$9+O513*'Controls &amp; Summary'!$B$10+R513*'Controls &amp; Summary'!$B$11+U513*'Controls &amp; Summary'!$B$12</x:f>
        <x:v>6.534181618719195</x:v>
      </x:c>
      <x:c r="W513" s="31" t="n">
        <x:v>8</x:v>
      </x:c>
      <x:c r="X513" s="31" t="n">
        <x:v>2</x:v>
      </x:c>
      <x:c r="Y513" s="31" t="n">
        <x:f>((10-MIN(10,MAX(0,X513)))/10)*'Controls &amp; Summary'!$B$15+((10-MIN(10,MAX(0,W513)))/10)*'Controls &amp; Summary'!$B$16</x:f>
        <x:v>1</x:v>
      </x:c>
      <x:c r="Z513" s="31" t="n">
        <x:f>V513*Y513</x:f>
        <x:v>6.534181618719195</x:v>
      </x:c>
      <x:c r="AA513" s="30" t="str">
        <x:f>IF(Z513&lt;=I513,"Peaceful","Hostile")</x:f>
        <x:v>Hostile</x:v>
      </x:c>
      <x:c r="AB513" s="30" t="str">
        <x:f>IF(Z513&lt;='Controls &amp; Summary'!$B$6,"Eligible","Blocked")</x:f>
        <x:v>Eligible</x:v>
      </x:c>
      <x:c r="AC513" s="30" t="str">
        <x:v>CHN</x:v>
      </x:c>
      <x:c r="AD513" s="30" t="str">
        <x:v>KHM</x:v>
      </x:c>
      <x:c r="AE513" s="30" t="str">
        <x:v>Cambodia</x:v>
      </x:c>
      <x:c r="AF513" s="30" t="str">
        <x:v>Explicit capitalClaim</x:v>
      </x:c>
      <x:c r="AG513" s="30" t="str">
        <x:v>ClaimCHNCambodia</x:v>
      </x:c>
      <x:c r="AH513" s="30" t="str">
        <x:v>Project_Pan-AsianCooperative</x:v>
      </x:c>
    </x:row>
    <x:row r="514">
      <x:c r="A514" s="30" t="str">
        <x:v>2022</x:v>
      </x:c>
      <x:c r="B514" s="30" t="str">
        <x:v>Base game</x:v>
      </x:c>
      <x:c r="C514" s="30" t="str">
        <x:v>China</x:v>
      </x:c>
      <x:c r="D514" s="30" t="str">
        <x:v>Japan</x:v>
      </x:c>
      <x:c r="E514" s="30" t="str">
        <x:v>Project unlock</x:v>
      </x:c>
      <x:c r="F514" s="30" t="str">
        <x:v>Greater PanAsia</x:v>
      </x:c>
      <x:c r="G514" s="30" t="str">
        <x:v>Yes</x:v>
      </x:c>
      <x:c r="H514" s="30" t="str">
        <x:v>Template hostileClaim</x:v>
      </x:c>
      <x:c r="I514" s="31" t="n">
        <x:f>IF(G514="Yes",'Controls &amp; Summary'!$B$5,'Controls &amp; Summary'!$B$4)</x:f>
        <x:v>3</x:v>
      </x:c>
      <x:c r="J514" s="31" t="n">
        <x:v>2.21</x:v>
      </x:c>
      <x:c r="K514" s="31" t="n">
        <x:v>8.15</x:v>
      </x:c>
      <x:c r="L514" s="31" t="n">
        <x:f>ABS(J514-K514)</x:f>
        <x:v>5.94</x:v>
      </x:c>
      <x:c r="M514" s="31" t="n">
        <x:v>3.82</x:v>
      </x:c>
      <x:c r="N514" s="31" t="n">
        <x:v>3.29</x:v>
      </x:c>
      <x:c r="O514" s="31" t="n">
        <x:f>ABS(M514-N514)</x:f>
        <x:v>0.5299999999999998</x:v>
      </x:c>
      <x:c r="P514" s="31" t="n">
        <x:v>6.57</x:v>
      </x:c>
      <x:c r="Q514" s="31" t="n">
        <x:v>8.51</x:v>
      </x:c>
      <x:c r="R514" s="31" t="n">
        <x:f>ABS(P514-Q514)</x:f>
        <x:v>1.9399999999999995</x:v>
      </x:c>
      <x:c r="S514" s="32" t="n">
        <x:v>18318.198017637314</x:v>
      </x:c>
      <x:c r="T514" s="32" t="n">
        <x:v>42559.709011929815</x:v>
      </x:c>
      <x:c r="U514" s="31" t="n">
        <x:f>MAX(S514/T514,T514/S514)</x:f>
        <x:v>2.32335674998993</x:v>
      </x:c>
      <x:c r="V514" s="31" t="n">
        <x:f>L514*'Controls &amp; Summary'!$B$9+O514*'Controls &amp; Summary'!$B$10+R514*'Controls &amp; Summary'!$B$11+U514*'Controls &amp; Summary'!$B$12</x:f>
        <x:v>10.73335674998993</x:v>
      </x:c>
      <x:c r="W514" s="31" t="n">
        <x:v>8</x:v>
      </x:c>
      <x:c r="X514" s="31" t="n">
        <x:v>0</x:v>
      </x:c>
      <x:c r="Y514" s="31" t="n">
        <x:f>((10-MIN(10,MAX(0,X514)))/10)*'Controls &amp; Summary'!$B$15+((10-MIN(10,MAX(0,W514)))/10)*'Controls &amp; Summary'!$B$16</x:f>
        <x:v>1.2</x:v>
      </x:c>
      <x:c r="Z514" s="31" t="n">
        <x:f>V514*Y514</x:f>
        <x:v>12.880028099987916</x:v>
      </x:c>
      <x:c r="AA514" s="30" t="str">
        <x:f>IF(Z514&lt;=I514,"Peaceful","Hostile")</x:f>
        <x:v>Hostile</x:v>
      </x:c>
      <x:c r="AB514" s="30" t="str">
        <x:f>IF(Z514&lt;='Controls &amp; Summary'!$B$6,"Eligible","Blocked")</x:f>
        <x:v>Blocked</x:v>
      </x:c>
      <x:c r="AC514" s="30" t="str">
        <x:v>CHN</x:v>
      </x:c>
      <x:c r="AD514" s="30" t="str">
        <x:v>JPN</x:v>
      </x:c>
      <x:c r="AE514" s="30" t="str">
        <x:v>NorthHonshu</x:v>
      </x:c>
      <x:c r="AF514" s="30" t="str">
        <x:v>Explicit capitalClaim</x:v>
      </x:c>
      <x:c r="AG514" s="30" t="str">
        <x:v>ClaimCHNNorthHonshu</x:v>
      </x:c>
      <x:c r="AH514" s="30" t="str">
        <x:v>Project_GreaterPanAsia</x:v>
      </x:c>
    </x:row>
    <x:row r="515">
      <x:c r="A515" s="30" t="str">
        <x:v>2022</x:v>
      </x:c>
      <x:c r="B515" s="30" t="str">
        <x:v>Base game</x:v>
      </x:c>
      <x:c r="C515" s="30" t="str">
        <x:v>China</x:v>
      </x:c>
      <x:c r="D515" s="30" t="str">
        <x:v>Laos</x:v>
      </x:c>
      <x:c r="E515" s="30" t="str">
        <x:v>Project unlock</x:v>
      </x:c>
      <x:c r="F515" s="30" t="str">
        <x:v>Pan-Asian Cooperative</x:v>
      </x:c>
      <x:c r="G515" s="30" t="str">
        <x:v>No</x:v>
      </x:c>
      <x:c r="H515" s="30" t="str">
        <x:v>Ordinary claim</x:v>
      </x:c>
      <x:c r="I515" s="31" t="n">
        <x:f>IF(G515="Yes",'Controls &amp; Summary'!$B$5,'Controls &amp; Summary'!$B$4)</x:f>
        <x:v>6</x:v>
      </x:c>
      <x:c r="J515" s="31" t="n">
        <x:v>2.21</x:v>
      </x:c>
      <x:c r="K515" s="31" t="n">
        <x:v>1.77</x:v>
      </x:c>
      <x:c r="L515" s="31" t="n">
        <x:f>ABS(J515-K515)</x:f>
        <x:v>0.43999999999999995</x:v>
      </x:c>
      <x:c r="M515" s="31" t="n">
        <x:v>3.82</x:v>
      </x:c>
      <x:c r="N515" s="31" t="n">
        <x:v>3.88</x:v>
      </x:c>
      <x:c r="O515" s="31" t="n">
        <x:f>ABS(M515-N515)</x:f>
        <x:v>0.06000000000000005</x:v>
      </x:c>
      <x:c r="P515" s="31" t="n">
        <x:v>6.57</x:v>
      </x:c>
      <x:c r="Q515" s="31" t="n">
        <x:v>4.81</x:v>
      </x:c>
      <x:c r="R515" s="31" t="n">
        <x:f>ABS(P515-Q515)</x:f>
        <x:v>1.7600000000000007</x:v>
      </x:c>
      <x:c r="S515" s="32" t="n">
        <x:v>18318.198017637314</x:v>
      </x:c>
      <x:c r="T515" s="32" t="n">
        <x:v>8047.439163636176</x:v>
      </x:c>
      <x:c r="U515" s="31" t="n">
        <x:f>MAX(S515/T515,T515/S515)</x:f>
        <x:v>2.276276669528791</x:v>
      </x:c>
      <x:c r="V515" s="31" t="n">
        <x:f>L515*'Controls &amp; Summary'!$B$9+O515*'Controls &amp; Summary'!$B$10+R515*'Controls &amp; Summary'!$B$11+U515*'Controls &amp; Summary'!$B$12</x:f>
        <x:v>4.5362766695287915</x:v>
      </x:c>
      <x:c r="W515" s="31" t="n">
        <x:v>8</x:v>
      </x:c>
      <x:c r="X515" s="31" t="n">
        <x:v>3</x:v>
      </x:c>
      <x:c r="Y515" s="31" t="n">
        <x:f>((10-MIN(10,MAX(0,X515)))/10)*'Controls &amp; Summary'!$B$15+((10-MIN(10,MAX(0,W515)))/10)*'Controls &amp; Summary'!$B$16</x:f>
        <x:v>0.8999999999999999</x:v>
      </x:c>
      <x:c r="Z515" s="31" t="n">
        <x:f>V515*Y515</x:f>
        <x:v>4.082649002575912</x:v>
      </x:c>
      <x:c r="AA515" s="30" t="str">
        <x:f>IF(Z515&lt;=I515,"Peaceful","Hostile")</x:f>
        <x:v>Peaceful</x:v>
      </x:c>
      <x:c r="AB515" s="30" t="str">
        <x:f>IF(Z515&lt;='Controls &amp; Summary'!$B$6,"Eligible","Blocked")</x:f>
        <x:v>Eligible</x:v>
      </x:c>
      <x:c r="AC515" s="30" t="str">
        <x:v>CHN</x:v>
      </x:c>
      <x:c r="AD515" s="30" t="str">
        <x:v>LAO</x:v>
      </x:c>
      <x:c r="AE515" s="30" t="str">
        <x:v>Laos</x:v>
      </x:c>
      <x:c r="AF515" s="30" t="str">
        <x:v>Explicit capitalClaim</x:v>
      </x:c>
      <x:c r="AG515" s="30" t="str">
        <x:v>ClaimCHNLaos</x:v>
      </x:c>
      <x:c r="AH515" s="30" t="str">
        <x:v>Project_Pan-AsianCooperative</x:v>
      </x:c>
    </x:row>
    <x:row r="516">
      <x:c r="A516" s="30" t="str">
        <x:v>2022</x:v>
      </x:c>
      <x:c r="B516" s="30" t="str">
        <x:v>Base game</x:v>
      </x:c>
      <x:c r="C516" s="30" t="str">
        <x:v>China</x:v>
      </x:c>
      <x:c r="D516" s="30" t="str">
        <x:v>Malaysia</x:v>
      </x:c>
      <x:c r="E516" s="30" t="str">
        <x:v>Project unlock</x:v>
      </x:c>
      <x:c r="F516" s="30" t="str">
        <x:v>Greater PanAsia</x:v>
      </x:c>
      <x:c r="G516" s="30" t="str">
        <x:v>No</x:v>
      </x:c>
      <x:c r="H516" s="30" t="str">
        <x:v>Ordinary claim</x:v>
      </x:c>
      <x:c r="I516" s="31" t="n">
        <x:f>IF(G516="Yes",'Controls &amp; Summary'!$B$5,'Controls &amp; Summary'!$B$4)</x:f>
        <x:v>6</x:v>
      </x:c>
      <x:c r="J516" s="31" t="n">
        <x:v>2.21</x:v>
      </x:c>
      <x:c r="K516" s="31" t="n">
        <x:v>7.24</x:v>
      </x:c>
      <x:c r="L516" s="31" t="n">
        <x:f>ABS(J516-K516)</x:f>
        <x:v>5.03</x:v>
      </x:c>
      <x:c r="M516" s="31" t="n">
        <x:v>3.82</x:v>
      </x:c>
      <x:c r="N516" s="31" t="n">
        <x:v>4.11</x:v>
      </x:c>
      <x:c r="O516" s="31" t="n">
        <x:f>ABS(M516-N516)</x:f>
        <x:v>0.2900000000000005</x:v>
      </x:c>
      <x:c r="P516" s="31" t="n">
        <x:v>6.57</x:v>
      </x:c>
      <x:c r="Q516" s="31" t="n">
        <x:v>7.26</x:v>
      </x:c>
      <x:c r="R516" s="31" t="n">
        <x:f>ABS(P516-Q516)</x:f>
        <x:v>0.6899999999999995</x:v>
      </x:c>
      <x:c r="S516" s="32" t="n">
        <x:v>18318.198017637314</x:v>
      </x:c>
      <x:c r="T516" s="32" t="n">
        <x:v>28784.60931677783</x:v>
      </x:c>
      <x:c r="U516" s="31" t="n">
        <x:f>MAX(S516/T516,T516/S516)</x:f>
        <x:v>1.5713668609250286</x:v>
      </x:c>
      <x:c r="V516" s="31" t="n">
        <x:f>L516*'Controls &amp; Summary'!$B$9+O516*'Controls &amp; Summary'!$B$10+R516*'Controls &amp; Summary'!$B$11+U516*'Controls &amp; Summary'!$B$12</x:f>
        <x:v>7.581366860925028</x:v>
      </x:c>
      <x:c r="W516" s="31" t="n">
        <x:v>8</x:v>
      </x:c>
      <x:c r="X516" s="31" t="n">
        <x:v>1</x:v>
      </x:c>
      <x:c r="Y516" s="31" t="n">
        <x:f>((10-MIN(10,MAX(0,X516)))/10)*'Controls &amp; Summary'!$B$15+((10-MIN(10,MAX(0,W516)))/10)*'Controls &amp; Summary'!$B$16</x:f>
        <x:v>1.1</x:v>
      </x:c>
      <x:c r="Z516" s="31" t="n">
        <x:f>V516*Y516</x:f>
        <x:v>8.339503547017532</x:v>
      </x:c>
      <x:c r="AA516" s="30" t="str">
        <x:f>IF(Z516&lt;=I516,"Peaceful","Hostile")</x:f>
        <x:v>Hostile</x:v>
      </x:c>
      <x:c r="AB516" s="30" t="str">
        <x:f>IF(Z516&lt;='Controls &amp; Summary'!$B$6,"Eligible","Blocked")</x:f>
        <x:v>Eligible</x:v>
      </x:c>
      <x:c r="AC516" s="30" t="str">
        <x:v>CHN</x:v>
      </x:c>
      <x:c r="AD516" s="30" t="str">
        <x:v>MYS</x:v>
      </x:c>
      <x:c r="AE516" s="30" t="str">
        <x:v>MalayPeninsula</x:v>
      </x:c>
      <x:c r="AF516" s="30" t="str">
        <x:v>Explicit capitalClaim</x:v>
      </x:c>
      <x:c r="AG516" s="30" t="str">
        <x:v>ClaimCHNMalayPeninsula</x:v>
      </x:c>
      <x:c r="AH516" s="30" t="str">
        <x:v>Project_GreaterPanAsia</x:v>
      </x:c>
    </x:row>
    <x:row r="517">
      <x:c r="A517" s="30" t="str">
        <x:v>2022</x:v>
      </x:c>
      <x:c r="B517" s="30" t="str">
        <x:v>Base game</x:v>
      </x:c>
      <x:c r="C517" s="30" t="str">
        <x:v>China</x:v>
      </x:c>
      <x:c r="D517" s="30" t="str">
        <x:v>Mongolia</x:v>
      </x:c>
      <x:c r="E517" s="30" t="str">
        <x:v>Project unlock</x:v>
      </x:c>
      <x:c r="F517" s="30" t="str">
        <x:v>Pan-Asian Cooperative</x:v>
      </x:c>
      <x:c r="G517" s="30" t="str">
        <x:v>No</x:v>
      </x:c>
      <x:c r="H517" s="30" t="str">
        <x:v>Ordinary claim</x:v>
      </x:c>
      <x:c r="I517" s="31" t="n">
        <x:f>IF(G517="Yes",'Controls &amp; Summary'!$B$5,'Controls &amp; Summary'!$B$4)</x:f>
        <x:v>6</x:v>
      </x:c>
      <x:c r="J517" s="31" t="n">
        <x:v>2.21</x:v>
      </x:c>
      <x:c r="K517" s="31" t="n">
        <x:v>6.42</x:v>
      </x:c>
      <x:c r="L517" s="31" t="n">
        <x:f>ABS(J517-K517)</x:f>
        <x:v>4.21</x:v>
      </x:c>
      <x:c r="M517" s="31" t="n">
        <x:v>3.82</x:v>
      </x:c>
      <x:c r="N517" s="31" t="n">
        <x:v>3.27</x:v>
      </x:c>
      <x:c r="O517" s="31" t="n">
        <x:f>ABS(M517-N517)</x:f>
        <x:v>0.5499999999999998</x:v>
      </x:c>
      <x:c r="P517" s="31" t="n">
        <x:v>6.57</x:v>
      </x:c>
      <x:c r="Q517" s="31" t="n">
        <x:v>7.36</x:v>
      </x:c>
      <x:c r="R517" s="31" t="n">
        <x:f>ABS(P517-Q517)</x:f>
        <x:v>0.79</x:v>
      </x:c>
      <x:c r="S517" s="32" t="n">
        <x:v>18318.198017637314</x:v>
      </x:c>
      <x:c r="T517" s="32" t="n">
        <x:v>12038.587862132921</x:v>
      </x:c>
      <x:c r="U517" s="31" t="n">
        <x:f>MAX(S517/T517,T517/S517)</x:f>
        <x:v>1.5216234850315584</x:v>
      </x:c>
      <x:c r="V517" s="31" t="n">
        <x:f>L517*'Controls &amp; Summary'!$B$9+O517*'Controls &amp; Summary'!$B$10+R517*'Controls &amp; Summary'!$B$11+U517*'Controls &amp; Summary'!$B$12</x:f>
        <x:v>7.071623485031559</x:v>
      </x:c>
      <x:c r="W517" s="31" t="n">
        <x:v>8</x:v>
      </x:c>
      <x:c r="X517" s="31" t="n">
        <x:v>1</x:v>
      </x:c>
      <x:c r="Y517" s="31" t="n">
        <x:f>((10-MIN(10,MAX(0,X517)))/10)*'Controls &amp; Summary'!$B$15+((10-MIN(10,MAX(0,W517)))/10)*'Controls &amp; Summary'!$B$16</x:f>
        <x:v>1.1</x:v>
      </x:c>
      <x:c r="Z517" s="31" t="n">
        <x:f>V517*Y517</x:f>
        <x:v>7.778785833534715</x:v>
      </x:c>
      <x:c r="AA517" s="30" t="str">
        <x:f>IF(Z517&lt;=I517,"Peaceful","Hostile")</x:f>
        <x:v>Hostile</x:v>
      </x:c>
      <x:c r="AB517" s="30" t="str">
        <x:f>IF(Z517&lt;='Controls &amp; Summary'!$B$6,"Eligible","Blocked")</x:f>
        <x:v>Eligible</x:v>
      </x:c>
      <x:c r="AC517" s="30" t="str">
        <x:v>CHN</x:v>
      </x:c>
      <x:c r="AD517" s="30" t="str">
        <x:v>MNG</x:v>
      </x:c>
      <x:c r="AE517" s="30" t="str">
        <x:v>Mongolia</x:v>
      </x:c>
      <x:c r="AF517" s="30" t="str">
        <x:v>Explicit capitalClaim</x:v>
      </x:c>
      <x:c r="AG517" s="30" t="str">
        <x:v>ClaimCHNMongolia</x:v>
      </x:c>
      <x:c r="AH517" s="30" t="str">
        <x:v>Project_Pan-AsianCooperative</x:v>
      </x:c>
    </x:row>
    <x:row r="518">
      <x:c r="A518" s="30" t="str">
        <x:v>2022</x:v>
      </x:c>
      <x:c r="B518" s="30" t="str">
        <x:v>Base game</x:v>
      </x:c>
      <x:c r="C518" s="30" t="str">
        <x:v>China</x:v>
      </x:c>
      <x:c r="D518" s="30" t="str">
        <x:v>Myanmar</x:v>
      </x:c>
      <x:c r="E518" s="30" t="str">
        <x:v>Project unlock</x:v>
      </x:c>
      <x:c r="F518" s="30" t="str">
        <x:v>Pan-Asian Cooperative</x:v>
      </x:c>
      <x:c r="G518" s="30" t="str">
        <x:v>No</x:v>
      </x:c>
      <x:c r="H518" s="30" t="str">
        <x:v>Ordinary claim</x:v>
      </x:c>
      <x:c r="I518" s="31" t="n">
        <x:f>IF(G518="Yes",'Controls &amp; Summary'!$B$5,'Controls &amp; Summary'!$B$4)</x:f>
        <x:v>6</x:v>
      </x:c>
      <x:c r="J518" s="31" t="n">
        <x:v>2.21</x:v>
      </x:c>
      <x:c r="K518" s="31" t="n">
        <x:v>1.02</x:v>
      </x:c>
      <x:c r="L518" s="31" t="n">
        <x:f>ABS(J518-K518)</x:f>
        <x:v>1.19</x:v>
      </x:c>
      <x:c r="M518" s="31" t="n">
        <x:v>3.82</x:v>
      </x:c>
      <x:c r="N518" s="31" t="n">
        <x:v>3.07</x:v>
      </x:c>
      <x:c r="O518" s="31" t="n">
        <x:f>ABS(M518-N518)</x:f>
        <x:v>0.75</x:v>
      </x:c>
      <x:c r="P518" s="31" t="n">
        <x:v>6.57</x:v>
      </x:c>
      <x:c r="Q518" s="31" t="n">
        <x:v>4.64</x:v>
      </x:c>
      <x:c r="R518" s="31" t="n">
        <x:f>ABS(P518-Q518)</x:f>
        <x:v>1.9300000000000006</x:v>
      </x:c>
      <x:c r="S518" s="32" t="n">
        <x:v>18318.198017637314</x:v>
      </x:c>
      <x:c r="T518" s="32" t="n">
        <x:v>4090.7238072840923</x:v>
      </x:c>
      <x:c r="U518" s="31" t="n">
        <x:f>MAX(S518/T518,T518/S518)</x:f>
        <x:v>4.4779845525183735</x:v>
      </x:c>
      <x:c r="V518" s="31" t="n">
        <x:f>L518*'Controls &amp; Summary'!$B$9+O518*'Controls &amp; Summary'!$B$10+R518*'Controls &amp; Summary'!$B$11+U518*'Controls &amp; Summary'!$B$12</x:f>
        <x:v>8.347984552518374</x:v>
      </x:c>
      <x:c r="W518" s="31" t="n">
        <x:v>8</x:v>
      </x:c>
      <x:c r="X518" s="31" t="n">
        <x:v>5</x:v>
      </x:c>
      <x:c r="Y518" s="31" t="n">
        <x:f>((10-MIN(10,MAX(0,X518)))/10)*'Controls &amp; Summary'!$B$15+((10-MIN(10,MAX(0,W518)))/10)*'Controls &amp; Summary'!$B$16</x:f>
        <x:v>0.7</x:v>
      </x:c>
      <x:c r="Z518" s="31" t="n">
        <x:f>V518*Y518</x:f>
        <x:v>5.843589186762862</x:v>
      </x:c>
      <x:c r="AA518" s="30" t="str">
        <x:f>IF(Z518&lt;=I518,"Peaceful","Hostile")</x:f>
        <x:v>Peaceful</x:v>
      </x:c>
      <x:c r="AB518" s="30" t="str">
        <x:f>IF(Z518&lt;='Controls &amp; Summary'!$B$6,"Eligible","Blocked")</x:f>
        <x:v>Eligible</x:v>
      </x:c>
      <x:c r="AC518" s="30" t="str">
        <x:v>CHN</x:v>
      </x:c>
      <x:c r="AD518" s="30" t="str">
        <x:v>MMR</x:v>
      </x:c>
      <x:c r="AE518" s="30" t="str">
        <x:v>Myanmar</x:v>
      </x:c>
      <x:c r="AF518" s="30" t="str">
        <x:v>Explicit capitalClaim</x:v>
      </x:c>
      <x:c r="AG518" s="30" t="str">
        <x:v>ClaimCHNMyanmar</x:v>
      </x:c>
      <x:c r="AH518" s="30" t="str">
        <x:v>Project_Pan-AsianCooperative</x:v>
      </x:c>
    </x:row>
    <x:row r="519">
      <x:c r="A519" s="30" t="str">
        <x:v>2022</x:v>
      </x:c>
      <x:c r="B519" s="30" t="str">
        <x:v>Base game</x:v>
      </x:c>
      <x:c r="C519" s="30" t="str">
        <x:v>China</x:v>
      </x:c>
      <x:c r="D519" s="30" t="str">
        <x:v>Nepal</x:v>
      </x:c>
      <x:c r="E519" s="30" t="str">
        <x:v>Project unlock</x:v>
      </x:c>
      <x:c r="F519" s="30" t="str">
        <x:v>Pan-Asian Cooperative</x:v>
      </x:c>
      <x:c r="G519" s="30" t="str">
        <x:v>No</x:v>
      </x:c>
      <x:c r="H519" s="30" t="str">
        <x:v>Ordinary claim</x:v>
      </x:c>
      <x:c r="I519" s="31" t="n">
        <x:f>IF(G519="Yes",'Controls &amp; Summary'!$B$5,'Controls &amp; Summary'!$B$4)</x:f>
        <x:v>6</x:v>
      </x:c>
      <x:c r="J519" s="31" t="n">
        <x:v>2.21</x:v>
      </x:c>
      <x:c r="K519" s="31" t="n">
        <x:v>4.41</x:v>
      </x:c>
      <x:c r="L519" s="31" t="n">
        <x:f>ABS(J519-K519)</x:f>
        <x:v>2.2</x:v>
      </x:c>
      <x:c r="M519" s="31" t="n">
        <x:v>3.82</x:v>
      </x:c>
      <x:c r="N519" s="31" t="n">
        <x:v>3.28</x:v>
      </x:c>
      <x:c r="O519" s="31" t="n">
        <x:f>ABS(M519-N519)</x:f>
        <x:v>0.54</x:v>
      </x:c>
      <x:c r="P519" s="31" t="n">
        <x:v>6.57</x:v>
      </x:c>
      <x:c r="Q519" s="31" t="n">
        <x:v>5.21</x:v>
      </x:c>
      <x:c r="R519" s="31" t="n">
        <x:f>ABS(P519-Q519)</x:f>
        <x:v>1.3600000000000003</x:v>
      </x:c>
      <x:c r="S519" s="32" t="n">
        <x:v>18318.198017637314</x:v>
      </x:c>
      <x:c r="T519" s="32" t="n">
        <x:v>3999.5499782671873</x:v>
      </x:c>
      <x:c r="U519" s="31" t="n">
        <x:f>MAX(S519/T519,T519/S519)</x:f>
        <x:v>4.580064786582241</x:v>
      </x:c>
      <x:c r="V519" s="31" t="n">
        <x:f>L519*'Controls &amp; Summary'!$B$9+O519*'Controls &amp; Summary'!$B$10+R519*'Controls &amp; Summary'!$B$11+U519*'Controls &amp; Summary'!$B$12</x:f>
        <x:v>8.680064786582243</x:v>
      </x:c>
      <x:c r="W519" s="31" t="n">
        <x:v>8</x:v>
      </x:c>
      <x:c r="X519" s="31" t="n">
        <x:v>1</x:v>
      </x:c>
      <x:c r="Y519" s="31" t="n">
        <x:f>((10-MIN(10,MAX(0,X519)))/10)*'Controls &amp; Summary'!$B$15+((10-MIN(10,MAX(0,W519)))/10)*'Controls &amp; Summary'!$B$16</x:f>
        <x:v>1.1</x:v>
      </x:c>
      <x:c r="Z519" s="31" t="n">
        <x:f>V519*Y519</x:f>
        <x:v>9.548071265240468</x:v>
      </x:c>
      <x:c r="AA519" s="30" t="str">
        <x:f>IF(Z519&lt;=I519,"Peaceful","Hostile")</x:f>
        <x:v>Hostile</x:v>
      </x:c>
      <x:c r="AB519" s="30" t="str">
        <x:f>IF(Z519&lt;='Controls &amp; Summary'!$B$6,"Eligible","Blocked")</x:f>
        <x:v>Eligible</x:v>
      </x:c>
      <x:c r="AC519" s="30" t="str">
        <x:v>CHN</x:v>
      </x:c>
      <x:c r="AD519" s="30" t="str">
        <x:v>HYS</x:v>
      </x:c>
      <x:c r="AE519" s="30" t="str">
        <x:v>Himalayas</x:v>
      </x:c>
      <x:c r="AF519" s="30" t="str">
        <x:v>Explicit capitalClaim</x:v>
      </x:c>
      <x:c r="AG519" s="30" t="str">
        <x:v>ClaimCHNHimalayas</x:v>
      </x:c>
      <x:c r="AH519" s="30" t="str">
        <x:v>Project_Pan-AsianCooperative</x:v>
      </x:c>
    </x:row>
    <x:row r="520">
      <x:c r="A520" s="30" t="str">
        <x:v>2022</x:v>
      </x:c>
      <x:c r="B520" s="30" t="str">
        <x:v>Base game</x:v>
      </x:c>
      <x:c r="C520" s="30" t="str">
        <x:v>China</x:v>
      </x:c>
      <x:c r="D520" s="30" t="str">
        <x:v>North Korea</x:v>
      </x:c>
      <x:c r="E520" s="30" t="str">
        <x:v>Project unlock</x:v>
      </x:c>
      <x:c r="F520" s="30" t="str">
        <x:v>Pan-Asian Cooperative</x:v>
      </x:c>
      <x:c r="G520" s="30" t="str">
        <x:v>No</x:v>
      </x:c>
      <x:c r="H520" s="30" t="str">
        <x:v>Ordinary claim</x:v>
      </x:c>
      <x:c r="I520" s="31" t="n">
        <x:f>IF(G520="Yes",'Controls &amp; Summary'!$B$5,'Controls &amp; Summary'!$B$4)</x:f>
        <x:v>6</x:v>
      </x:c>
      <x:c r="J520" s="31" t="n">
        <x:v>2.21</x:v>
      </x:c>
      <x:c r="K520" s="31" t="n">
        <x:v>1.08</x:v>
      </x:c>
      <x:c r="L520" s="31" t="n">
        <x:f>ABS(J520-K520)</x:f>
        <x:v>1.13</x:v>
      </x:c>
      <x:c r="M520" s="31" t="n">
        <x:v>3.82</x:v>
      </x:c>
      <x:c r="N520" s="31" t="n">
        <x:v>8.6</x:v>
      </x:c>
      <x:c r="O520" s="31" t="n">
        <x:f>ABS(M520-N520)</x:f>
        <x:v>4.779999999999999</x:v>
      </x:c>
      <x:c r="P520" s="31" t="n">
        <x:v>6.57</x:v>
      </x:c>
      <x:c r="Q520" s="31" t="n">
        <x:v>4.85</x:v>
      </x:c>
      <x:c r="R520" s="31" t="n">
        <x:f>ABS(P520-Q520)</x:f>
        <x:v>1.7200000000000006</x:v>
      </x:c>
      <x:c r="S520" s="32" t="n">
        <x:v>18318.198017637314</x:v>
      </x:c>
      <x:c r="T520" s="32" t="n">
        <x:v>6682.835129911699</x:v>
      </x:c>
      <x:c r="U520" s="31" t="n">
        <x:f>MAX(S520/T520,T520/S520)</x:f>
        <x:v>2.7410818404971415</x:v>
      </x:c>
      <x:c r="V520" s="31" t="n">
        <x:f>L520*'Controls &amp; Summary'!$B$9+O520*'Controls &amp; Summary'!$B$10+R520*'Controls &amp; Summary'!$B$11+U520*'Controls &amp; Summary'!$B$12</x:f>
        <x:v>10.37108184049714</x:v>
      </x:c>
      <x:c r="W520" s="31" t="n">
        <x:v>8</x:v>
      </x:c>
      <x:c r="X520" s="31" t="n">
        <x:v>0</x:v>
      </x:c>
      <x:c r="Y520" s="31" t="n">
        <x:f>((10-MIN(10,MAX(0,X520)))/10)*'Controls &amp; Summary'!$B$15+((10-MIN(10,MAX(0,W520)))/10)*'Controls &amp; Summary'!$B$16</x:f>
        <x:v>1.2</x:v>
      </x:c>
      <x:c r="Z520" s="31" t="n">
        <x:f>V520*Y520</x:f>
        <x:v>12.445298208596569</x:v>
      </x:c>
      <x:c r="AA520" s="30" t="str">
        <x:f>IF(Z520&lt;=I520,"Peaceful","Hostile")</x:f>
        <x:v>Hostile</x:v>
      </x:c>
      <x:c r="AB520" s="30" t="str">
        <x:f>IF(Z520&lt;='Controls &amp; Summary'!$B$6,"Eligible","Blocked")</x:f>
        <x:v>Blocked</x:v>
      </x:c>
      <x:c r="AC520" s="30" t="str">
        <x:v>CHN</x:v>
      </x:c>
      <x:c r="AD520" s="30" t="str">
        <x:v>PRK</x:v>
      </x:c>
      <x:c r="AE520" s="30" t="str">
        <x:v>NorthKorea</x:v>
      </x:c>
      <x:c r="AF520" s="30" t="str">
        <x:v>Explicit capitalClaim</x:v>
      </x:c>
      <x:c r="AG520" s="30" t="str">
        <x:v>ClaimCHNNorthKorea</x:v>
      </x:c>
      <x:c r="AH520" s="30" t="str">
        <x:v>Project_Pan-AsianCooperative</x:v>
      </x:c>
    </x:row>
    <x:row r="521">
      <x:c r="A521" s="30" t="str">
        <x:v>2022</x:v>
      </x:c>
      <x:c r="B521" s="30" t="str">
        <x:v>Base game</x:v>
      </x:c>
      <x:c r="C521" s="30" t="str">
        <x:v>China</x:v>
      </x:c>
      <x:c r="D521" s="30" t="str">
        <x:v>Singapore</x:v>
      </x:c>
      <x:c r="E521" s="30" t="str">
        <x:v>Project unlock</x:v>
      </x:c>
      <x:c r="F521" s="30" t="str">
        <x:v>Greater PanAsia</x:v>
      </x:c>
      <x:c r="G521" s="30" t="str">
        <x:v>No</x:v>
      </x:c>
      <x:c r="H521" s="30" t="str">
        <x:v>Ordinary claim</x:v>
      </x:c>
      <x:c r="I521" s="31" t="n">
        <x:f>IF(G521="Yes",'Controls &amp; Summary'!$B$5,'Controls &amp; Summary'!$B$4)</x:f>
        <x:v>6</x:v>
      </x:c>
      <x:c r="J521" s="31" t="n">
        <x:v>2.21</x:v>
      </x:c>
      <x:c r="K521" s="31" t="n">
        <x:v>6.23</x:v>
      </x:c>
      <x:c r="L521" s="31" t="n">
        <x:f>ABS(J521-K521)</x:f>
        <x:v>4.0200000000000005</x:v>
      </x:c>
      <x:c r="M521" s="31" t="n">
        <x:v>3.82</x:v>
      </x:c>
      <x:c r="N521" s="31" t="n">
        <x:v>3.5</x:v>
      </x:c>
      <x:c r="O521" s="31" t="n">
        <x:f>ABS(M521-N521)</x:f>
        <x:v>0.31999999999999984</x:v>
      </x:c>
      <x:c r="P521" s="31" t="n">
        <x:v>6.57</x:v>
      </x:c>
      <x:c r="Q521" s="31" t="n">
        <x:v>8.44</x:v>
      </x:c>
      <x:c r="R521" s="31" t="n">
        <x:f>ABS(P521-Q521)</x:f>
        <x:v>1.8699999999999992</x:v>
      </x:c>
      <x:c r="S521" s="32" t="n">
        <x:v>18318.198017637314</x:v>
      </x:c>
      <x:c r="T521" s="32" t="n">
        <x:v>103659.07827486754</x:v>
      </x:c>
      <x:c r="U521" s="31" t="n">
        <x:f>MAX(S521/T521,T521/S521)</x:f>
        <x:v>5.6588032390009895</x:v>
      </x:c>
      <x:c r="V521" s="31" t="n">
        <x:f>L521*'Controls &amp; Summary'!$B$9+O521*'Controls &amp; Summary'!$B$10+R521*'Controls &amp; Summary'!$B$11+U521*'Controls &amp; Summary'!$B$12</x:f>
        <x:v>11.86880323900099</x:v>
      </x:c>
      <x:c r="W521" s="31" t="n">
        <x:v>8</x:v>
      </x:c>
      <x:c r="X521" s="31" t="n">
        <x:v>0</x:v>
      </x:c>
      <x:c r="Y521" s="31" t="n">
        <x:f>((10-MIN(10,MAX(0,X521)))/10)*'Controls &amp; Summary'!$B$15+((10-MIN(10,MAX(0,W521)))/10)*'Controls &amp; Summary'!$B$16</x:f>
        <x:v>1.2</x:v>
      </x:c>
      <x:c r="Z521" s="31" t="n">
        <x:f>V521*Y521</x:f>
        <x:v>14.242563886801188</x:v>
      </x:c>
      <x:c r="AA521" s="30" t="str">
        <x:f>IF(Z521&lt;=I521,"Peaceful","Hostile")</x:f>
        <x:v>Hostile</x:v>
      </x:c>
      <x:c r="AB521" s="30" t="str">
        <x:f>IF(Z521&lt;='Controls &amp; Summary'!$B$6,"Eligible","Blocked")</x:f>
        <x:v>Blocked</x:v>
      </x:c>
      <x:c r="AC521" s="30" t="str">
        <x:v>CHN</x:v>
      </x:c>
      <x:c r="AD521" s="30" t="str">
        <x:v>SGP</x:v>
      </x:c>
      <x:c r="AE521" s="30" t="str">
        <x:v>Singapore</x:v>
      </x:c>
      <x:c r="AF521" s="30" t="str">
        <x:v>Explicit capitalClaim</x:v>
      </x:c>
      <x:c r="AG521" s="30" t="str">
        <x:v>ClaimCHNSingapore</x:v>
      </x:c>
      <x:c r="AH521" s="30" t="str">
        <x:v>Project_GreaterPanAsia</x:v>
      </x:c>
    </x:row>
    <x:row r="522">
      <x:c r="A522" s="30" t="str">
        <x:v>2022</x:v>
      </x:c>
      <x:c r="B522" s="30" t="str">
        <x:v>Base game</x:v>
      </x:c>
      <x:c r="C522" s="30" t="str">
        <x:v>China</x:v>
      </x:c>
      <x:c r="D522" s="30" t="str">
        <x:v>South Korea</x:v>
      </x:c>
      <x:c r="E522" s="30" t="str">
        <x:v>Project unlock</x:v>
      </x:c>
      <x:c r="F522" s="30" t="str">
        <x:v>Pan-Asian Cooperative</x:v>
      </x:c>
      <x:c r="G522" s="30" t="str">
        <x:v>No</x:v>
      </x:c>
      <x:c r="H522" s="30" t="str">
        <x:v>Ordinary claim</x:v>
      </x:c>
      <x:c r="I522" s="31" t="n">
        <x:f>IF(G522="Yes",'Controls &amp; Summary'!$B$5,'Controls &amp; Summary'!$B$4)</x:f>
        <x:v>6</x:v>
      </x:c>
      <x:c r="J522" s="31" t="n">
        <x:v>2.21</x:v>
      </x:c>
      <x:c r="K522" s="31" t="n">
        <x:v>8.16</x:v>
      </x:c>
      <x:c r="L522" s="31" t="n">
        <x:f>ABS(J522-K522)</x:f>
        <x:v>5.95</x:v>
      </x:c>
      <x:c r="M522" s="31" t="n">
        <x:v>3.82</x:v>
      </x:c>
      <x:c r="N522" s="31" t="n">
        <x:v>3.14</x:v>
      </x:c>
      <x:c r="O522" s="31" t="n">
        <x:f>ABS(M522-N522)</x:f>
        <x:v>0.6799999999999997</x:v>
      </x:c>
      <x:c r="P522" s="31" t="n">
        <x:v>6.57</x:v>
      </x:c>
      <x:c r="Q522" s="31" t="n">
        <x:v>8.65</x:v>
      </x:c>
      <x:c r="R522" s="31" t="n">
        <x:f>ABS(P522-Q522)</x:f>
        <x:v>2.08</x:v>
      </x:c>
      <x:c r="S522" s="32" t="n">
        <x:v>18318.198017637314</x:v>
      </x:c>
      <x:c r="T522" s="32" t="n">
        <x:v>53292.32797696257</x:v>
      </x:c>
      <x:c r="U522" s="31" t="n">
        <x:f>MAX(S522/T522,T522/S522)</x:f>
        <x:v>2.9092560264743894</x:v>
      </x:c>
      <x:c r="V522" s="31" t="n">
        <x:f>L522*'Controls &amp; Summary'!$B$9+O522*'Controls &amp; Summary'!$B$10+R522*'Controls &amp; Summary'!$B$11+U522*'Controls &amp; Summary'!$B$12</x:f>
        <x:v>11.61925602647439</x:v>
      </x:c>
      <x:c r="W522" s="31" t="n">
        <x:v>8</x:v>
      </x:c>
      <x:c r="X522" s="31" t="n">
        <x:v>1</x:v>
      </x:c>
      <x:c r="Y522" s="31" t="n">
        <x:f>((10-MIN(10,MAX(0,X522)))/10)*'Controls &amp; Summary'!$B$15+((10-MIN(10,MAX(0,W522)))/10)*'Controls &amp; Summary'!$B$16</x:f>
        <x:v>1.1</x:v>
      </x:c>
      <x:c r="Z522" s="31" t="n">
        <x:f>V522*Y522</x:f>
        <x:v>12.78118162912183</x:v>
      </x:c>
      <x:c r="AA522" s="30" t="str">
        <x:f>IF(Z522&lt;=I522,"Peaceful","Hostile")</x:f>
        <x:v>Hostile</x:v>
      </x:c>
      <x:c r="AB522" s="30" t="str">
        <x:f>IF(Z522&lt;='Controls &amp; Summary'!$B$6,"Eligible","Blocked")</x:f>
        <x:v>Blocked</x:v>
      </x:c>
      <x:c r="AC522" s="30" t="str">
        <x:v>CHN</x:v>
      </x:c>
      <x:c r="AD522" s="30" t="str">
        <x:v>KOR</x:v>
      </x:c>
      <x:c r="AE522" s="30" t="str">
        <x:v>SouthKorea</x:v>
      </x:c>
      <x:c r="AF522" s="30" t="str">
        <x:v>Explicit capitalClaim</x:v>
      </x:c>
      <x:c r="AG522" s="30" t="str">
        <x:v>ClaimCHNSouthKorea</x:v>
      </x:c>
      <x:c r="AH522" s="30" t="str">
        <x:v>Project_Pan-AsianCooperative</x:v>
      </x:c>
    </x:row>
    <x:row r="523">
      <x:c r="A523" s="30" t="str">
        <x:v>2022</x:v>
      </x:c>
      <x:c r="B523" s="30" t="str">
        <x:v>Base game</x:v>
      </x:c>
      <x:c r="C523" s="30" t="str">
        <x:v>China</x:v>
      </x:c>
      <x:c r="D523" s="30" t="str">
        <x:v>Taiwan</x:v>
      </x:c>
      <x:c r="E523" s="30" t="str">
        <x:v>Starting claim</x:v>
      </x:c>
      <x:c r="F523" s="30" t="str"/>
      <x:c r="G523" s="30" t="str">
        <x:v>Yes</x:v>
      </x:c>
      <x:c r="H523" s="30" t="str">
        <x:v>Approved bilateral grievance</x:v>
      </x:c>
      <x:c r="I523" s="31" t="n">
        <x:f>IF(G523="Yes",'Controls &amp; Summary'!$B$5,'Controls &amp; Summary'!$B$4)</x:f>
        <x:v>3</x:v>
      </x:c>
      <x:c r="J523" s="31" t="n">
        <x:v>2.21</x:v>
      </x:c>
      <x:c r="K523" s="31" t="n">
        <x:v>8.99</x:v>
      </x:c>
      <x:c r="L523" s="31" t="n">
        <x:f>ABS(J523-K523)</x:f>
        <x:v>6.78</x:v>
      </x:c>
      <x:c r="M523" s="31" t="n">
        <x:v>3.82</x:v>
      </x:c>
      <x:c r="N523" s="31" t="n">
        <x:v>3.4</x:v>
      </x:c>
      <x:c r="O523" s="31" t="n">
        <x:f>ABS(M523-N523)</x:f>
        <x:v>0.41999999999999993</x:v>
      </x:c>
      <x:c r="P523" s="31" t="n">
        <x:v>6.57</x:v>
      </x:c>
      <x:c r="Q523" s="31" t="n">
        <x:v>8.87</x:v>
      </x:c>
      <x:c r="R523" s="31" t="n">
        <x:f>ABS(P523-Q523)</x:f>
        <x:v>2.299999999999999</x:v>
      </x:c>
      <x:c r="S523" s="32" t="n">
        <x:v>18318.198017637314</x:v>
      </x:c>
      <x:c r="T523" s="32" t="n">
        <x:v>67105.06170444709</x:v>
      </x:c>
      <x:c r="U523" s="31" t="n">
        <x:f>MAX(S523/T523,T523/S523)</x:f>
        <x:v>3.6633003770259664</x:v>
      </x:c>
      <x:c r="V523" s="31" t="n">
        <x:f>L523*'Controls &amp; Summary'!$B$9+O523*'Controls &amp; Summary'!$B$10+R523*'Controls &amp; Summary'!$B$11+U523*'Controls &amp; Summary'!$B$12</x:f>
        <x:v>13.163300377025966</x:v>
      </x:c>
      <x:c r="W523" s="31" t="n">
        <x:v>8</x:v>
      </x:c>
      <x:c r="X523" s="31" t="n">
        <x:v>0</x:v>
      </x:c>
      <x:c r="Y523" s="31" t="n">
        <x:f>((10-MIN(10,MAX(0,X523)))/10)*'Controls &amp; Summary'!$B$15+((10-MIN(10,MAX(0,W523)))/10)*'Controls &amp; Summary'!$B$16</x:f>
        <x:v>1.2</x:v>
      </x:c>
      <x:c r="Z523" s="31" t="n">
        <x:f>V523*Y523</x:f>
        <x:v>15.795960452431158</x:v>
      </x:c>
      <x:c r="AA523" s="30" t="str">
        <x:f>IF(Z523&lt;=I523,"Peaceful","Hostile")</x:f>
        <x:v>Hostile</x:v>
      </x:c>
      <x:c r="AB523" s="30" t="str">
        <x:f>IF(Z523&lt;='Controls &amp; Summary'!$B$6,"Eligible","Blocked")</x:f>
        <x:v>Blocked</x:v>
      </x:c>
      <x:c r="AC523" s="30" t="str">
        <x:v>CHN</x:v>
      </x:c>
      <x:c r="AD523" s="30" t="str">
        <x:v>TWN</x:v>
      </x:c>
      <x:c r="AE523" s="30" t="str">
        <x:v>Taiwan</x:v>
      </x:c>
      <x:c r="AF523" s="30" t="str">
        <x:v>Largest owned population fallback</x:v>
      </x:c>
      <x:c r="AG523" s="30" t="str">
        <x:v>ClaimCHNTaiwan</x:v>
      </x:c>
      <x:c r="AH523" s="30" t="str"/>
    </x:row>
    <x:row r="524">
      <x:c r="A524" s="30" t="str">
        <x:v>2022</x:v>
      </x:c>
      <x:c r="B524" s="30" t="str">
        <x:v>Base game</x:v>
      </x:c>
      <x:c r="C524" s="30" t="str">
        <x:v>China</x:v>
      </x:c>
      <x:c r="D524" s="30" t="str">
        <x:v>Thailand</x:v>
      </x:c>
      <x:c r="E524" s="30" t="str">
        <x:v>Project unlock</x:v>
      </x:c>
      <x:c r="F524" s="30" t="str">
        <x:v>Pan-Asian Cooperative</x:v>
      </x:c>
      <x:c r="G524" s="30" t="str">
        <x:v>No</x:v>
      </x:c>
      <x:c r="H524" s="30" t="str">
        <x:v>Ordinary claim</x:v>
      </x:c>
      <x:c r="I524" s="31" t="n">
        <x:f>IF(G524="Yes",'Controls &amp; Summary'!$B$5,'Controls &amp; Summary'!$B$4)</x:f>
        <x:v>6</x:v>
      </x:c>
      <x:c r="J524" s="31" t="n">
        <x:v>2.21</x:v>
      </x:c>
      <x:c r="K524" s="31" t="n">
        <x:v>6.04</x:v>
      </x:c>
      <x:c r="L524" s="31" t="n">
        <x:f>ABS(J524-K524)</x:f>
        <x:v>3.83</x:v>
      </x:c>
      <x:c r="M524" s="31" t="n">
        <x:v>3.82</x:v>
      </x:c>
      <x:c r="N524" s="31" t="n">
        <x:v>3.5</x:v>
      </x:c>
      <x:c r="O524" s="31" t="n">
        <x:f>ABS(M524-N524)</x:f>
        <x:v>0.31999999999999984</x:v>
      </x:c>
      <x:c r="P524" s="31" t="n">
        <x:v>6.57</x:v>
      </x:c>
      <x:c r="Q524" s="31" t="n">
        <x:v>6.82</x:v>
      </x:c>
      <x:c r="R524" s="31" t="n">
        <x:f>ABS(P524-Q524)</x:f>
        <x:v>0.25</x:v>
      </x:c>
      <x:c r="S524" s="32" t="n">
        <x:v>18318.198017637314</x:v>
      </x:c>
      <x:c r="T524" s="32" t="n">
        <x:v>18520.345410348644</x:v>
      </x:c>
      <x:c r="U524" s="31" t="n">
        <x:f>MAX(S524/T524,T524/S524)</x:f>
        <x:v>1.0110353317786331</x:v>
      </x:c>
      <x:c r="V524" s="31" t="n">
        <x:f>L524*'Controls &amp; Summary'!$B$9+O524*'Controls &amp; Summary'!$B$10+R524*'Controls &amp; Summary'!$B$11+U524*'Controls &amp; Summary'!$B$12</x:f>
        <x:v>5.411035331778633</x:v>
      </x:c>
      <x:c r="W524" s="31" t="n">
        <x:v>8</x:v>
      </x:c>
      <x:c r="X524" s="31" t="n">
        <x:v>3</x:v>
      </x:c>
      <x:c r="Y524" s="31" t="n">
        <x:f>((10-MIN(10,MAX(0,X524)))/10)*'Controls &amp; Summary'!$B$15+((10-MIN(10,MAX(0,W524)))/10)*'Controls &amp; Summary'!$B$16</x:f>
        <x:v>0.8999999999999999</x:v>
      </x:c>
      <x:c r="Z524" s="31" t="n">
        <x:f>V524*Y524</x:f>
        <x:v>4.869931798600769</x:v>
      </x:c>
      <x:c r="AA524" s="30" t="str">
        <x:f>IF(Z524&lt;=I524,"Peaceful","Hostile")</x:f>
        <x:v>Peaceful</x:v>
      </x:c>
      <x:c r="AB524" s="30" t="str">
        <x:f>IF(Z524&lt;='Controls &amp; Summary'!$B$6,"Eligible","Blocked")</x:f>
        <x:v>Eligible</x:v>
      </x:c>
      <x:c r="AC524" s="30" t="str">
        <x:v>CHN</x:v>
      </x:c>
      <x:c r="AD524" s="30" t="str">
        <x:v>THA</x:v>
      </x:c>
      <x:c r="AE524" s="30" t="str">
        <x:v>Bangkok</x:v>
      </x:c>
      <x:c r="AF524" s="30" t="str">
        <x:v>Explicit capitalClaim</x:v>
      </x:c>
      <x:c r="AG524" s="30" t="str">
        <x:v>ClaimCHNBangkok</x:v>
      </x:c>
      <x:c r="AH524" s="30" t="str">
        <x:v>Project_Pan-AsianCooperative</x:v>
      </x:c>
    </x:row>
    <x:row r="525">
      <x:c r="A525" s="30" t="str">
        <x:v>2022</x:v>
      </x:c>
      <x:c r="B525" s="30" t="str">
        <x:v>Base game</x:v>
      </x:c>
      <x:c r="C525" s="30" t="str">
        <x:v>China</x:v>
      </x:c>
      <x:c r="D525" s="30" t="str">
        <x:v>Vietnam</x:v>
      </x:c>
      <x:c r="E525" s="30" t="str">
        <x:v>Project unlock</x:v>
      </x:c>
      <x:c r="F525" s="30" t="str">
        <x:v>Pan-Asian Cooperative</x:v>
      </x:c>
      <x:c r="G525" s="30" t="str">
        <x:v>No</x:v>
      </x:c>
      <x:c r="H525" s="30" t="str">
        <x:v>Ordinary claim</x:v>
      </x:c>
      <x:c r="I525" s="31" t="n">
        <x:f>IF(G525="Yes",'Controls &amp; Summary'!$B$5,'Controls &amp; Summary'!$B$4)</x:f>
        <x:v>6</x:v>
      </x:c>
      <x:c r="J525" s="31" t="n">
        <x:v>2.21</x:v>
      </x:c>
      <x:c r="K525" s="31" t="n">
        <x:v>2.94</x:v>
      </x:c>
      <x:c r="L525" s="31" t="n">
        <x:f>ABS(J525-K525)</x:f>
        <x:v>0.73</x:v>
      </x:c>
      <x:c r="M525" s="31" t="n">
        <x:v>3.82</x:v>
      </x:c>
      <x:c r="N525" s="31" t="n">
        <x:v>3.57</x:v>
      </x:c>
      <x:c r="O525" s="31" t="n">
        <x:f>ABS(M525-N525)</x:f>
        <x:v>0.25</x:v>
      </x:c>
      <x:c r="P525" s="31" t="n">
        <x:v>6.57</x:v>
      </x:c>
      <x:c r="Q525" s="31" t="n">
        <x:v>6.3</x:v>
      </x:c>
      <x:c r="R525" s="31" t="n">
        <x:f>ABS(P525-Q525)</x:f>
        <x:v>0.27000000000000046</x:v>
      </x:c>
      <x:c r="S525" s="32" t="n">
        <x:v>18318.198017637314</x:v>
      </x:c>
      <x:c r="T525" s="32" t="n">
        <x:v>11338.234646401552</x:v>
      </x:c>
      <x:c r="U525" s="31" t="n">
        <x:f>MAX(S525/T525,T525/S525)</x:f>
        <x:v>1.615612887624531</x:v>
      </x:c>
      <x:c r="V525" s="31" t="n">
        <x:f>L525*'Controls &amp; Summary'!$B$9+O525*'Controls &amp; Summary'!$B$10+R525*'Controls &amp; Summary'!$B$11+U525*'Controls &amp; Summary'!$B$12</x:f>
        <x:v>2.8656128876245317</x:v>
      </x:c>
      <x:c r="W525" s="31" t="n">
        <x:v>8</x:v>
      </x:c>
      <x:c r="X525" s="31" t="n">
        <x:v>0</x:v>
      </x:c>
      <x:c r="Y525" s="31" t="n">
        <x:f>((10-MIN(10,MAX(0,X525)))/10)*'Controls &amp; Summary'!$B$15+((10-MIN(10,MAX(0,W525)))/10)*'Controls &amp; Summary'!$B$16</x:f>
        <x:v>1.2</x:v>
      </x:c>
      <x:c r="Z525" s="31" t="n">
        <x:f>V525*Y525</x:f>
        <x:v>3.438735465149438</x:v>
      </x:c>
      <x:c r="AA525" s="30" t="str">
        <x:f>IF(Z525&lt;=I525,"Peaceful","Hostile")</x:f>
        <x:v>Peaceful</x:v>
      </x:c>
      <x:c r="AB525" s="30" t="str">
        <x:f>IF(Z525&lt;='Controls &amp; Summary'!$B$6,"Eligible","Blocked")</x:f>
        <x:v>Eligible</x:v>
      </x:c>
      <x:c r="AC525" s="30" t="str">
        <x:v>CHN</x:v>
      </x:c>
      <x:c r="AD525" s="30" t="str">
        <x:v>VNM</x:v>
      </x:c>
      <x:c r="AE525" s="30" t="str">
        <x:v>Hanoi</x:v>
      </x:c>
      <x:c r="AF525" s="30" t="str">
        <x:v>Explicit capitalClaim</x:v>
      </x:c>
      <x:c r="AG525" s="30" t="str">
        <x:v>ClaimCHNHanoi</x:v>
      </x:c>
      <x:c r="AH525" s="30" t="str">
        <x:v>Project_Pan-AsianCooperative</x:v>
      </x:c>
    </x:row>
    <x:row r="526">
      <x:c r="A526" s="30" t="str">
        <x:v>2022</x:v>
      </x:c>
      <x:c r="B526" s="30" t="str">
        <x:v>Base game</x:v>
      </x:c>
      <x:c r="C526" s="30" t="str">
        <x:v>Colombia</x:v>
      </x:c>
      <x:c r="D526" s="30" t="str">
        <x:v>Argentina</x:v>
      </x:c>
      <x:c r="E526" s="30" t="str">
        <x:v>Project unlock</x:v>
      </x:c>
      <x:c r="F526" s="30" t="str">
        <x:v>Unidad Colombia</x:v>
      </x:c>
      <x:c r="G526" s="30" t="str">
        <x:v>No</x:v>
      </x:c>
      <x:c r="H526" s="30" t="str">
        <x:v>Ordinary claim</x:v>
      </x:c>
      <x:c r="I526" s="31" t="n">
        <x:f>IF(G526="Yes",'Controls &amp; Summary'!$B$5,'Controls &amp; Summary'!$B$4)</x:f>
        <x:v>6</x:v>
      </x:c>
      <x:c r="J526" s="31" t="n">
        <x:v>6.48</x:v>
      </x:c>
      <x:c r="K526" s="31" t="n">
        <x:v>6.81</x:v>
      </x:c>
      <x:c r="L526" s="31" t="n">
        <x:f>ABS(J526-K526)</x:f>
        <x:v>0.3299999999999992</x:v>
      </x:c>
      <x:c r="M526" s="31" t="n">
        <x:v>5.42</x:v>
      </x:c>
      <x:c r="N526" s="31" t="n">
        <x:v>4.23</x:v>
      </x:c>
      <x:c r="O526" s="31" t="n">
        <x:f>ABS(M526-N526)</x:f>
        <x:v>1.1899999999999995</x:v>
      </x:c>
      <x:c r="P526" s="31" t="n">
        <x:v>6.82</x:v>
      </x:c>
      <x:c r="Q526" s="31" t="n">
        <x:v>8.55</x:v>
      </x:c>
      <x:c r="R526" s="31" t="n">
        <x:f>ABS(P526-Q526)</x:f>
        <x:v>1.7300000000000004</x:v>
      </x:c>
      <x:c r="S526" s="32" t="n">
        <x:v>16048.84946819688</x:v>
      </x:c>
      <x:c r="T526" s="32" t="n">
        <x:v>22804.662999639888</x:v>
      </x:c>
      <x:c r="U526" s="31" t="n">
        <x:f>MAX(S526/T526,T526/S526)</x:f>
        <x:v>1.420953137159809</x:v>
      </x:c>
      <x:c r="V526" s="31" t="n">
        <x:f>L526*'Controls &amp; Summary'!$B$9+O526*'Controls &amp; Summary'!$B$10+R526*'Controls &amp; Summary'!$B$11+U526*'Controls &amp; Summary'!$B$12</x:f>
        <x:v>4.670953137159808</x:v>
      </x:c>
      <x:c r="W526" s="31" t="n">
        <x:v>3</x:v>
      </x:c>
      <x:c r="X526" s="31" t="n">
        <x:v>1</x:v>
      </x:c>
      <x:c r="Y526" s="31" t="n">
        <x:f>((10-MIN(10,MAX(0,X526)))/10)*'Controls &amp; Summary'!$B$15+((10-MIN(10,MAX(0,W526)))/10)*'Controls &amp; Summary'!$B$16</x:f>
        <x:v>1.6</x:v>
      </x:c>
      <x:c r="Z526" s="31" t="n">
        <x:f>V526*Y526</x:f>
        <x:v>7.473525019455693</x:v>
      </x:c>
      <x:c r="AA526" s="30" t="str">
        <x:f>IF(Z526&lt;=I526,"Peaceful","Hostile")</x:f>
        <x:v>Hostile</x:v>
      </x:c>
      <x:c r="AB526" s="30" t="str">
        <x:f>IF(Z526&lt;='Controls &amp; Summary'!$B$6,"Eligible","Blocked")</x:f>
        <x:v>Eligible</x:v>
      </x:c>
      <x:c r="AC526" s="30" t="str">
        <x:v>COL</x:v>
      </x:c>
      <x:c r="AD526" s="30" t="str">
        <x:v>ARG</x:v>
      </x:c>
      <x:c r="AE526" s="30" t="str">
        <x:v>Pampas</x:v>
      </x:c>
      <x:c r="AF526" s="30" t="str">
        <x:v>Explicit capitalClaim</x:v>
      </x:c>
      <x:c r="AG526" s="30" t="str">
        <x:v>ClaimCOLPampas</x:v>
      </x:c>
      <x:c r="AH526" s="30" t="str">
        <x:v>Project_UnidadColombia</x:v>
      </x:c>
    </x:row>
    <x:row r="527">
      <x:c r="A527" s="30" t="str">
        <x:v>2022</x:v>
      </x:c>
      <x:c r="B527" s="30" t="str">
        <x:v>Base game</x:v>
      </x:c>
      <x:c r="C527" s="30" t="str">
        <x:v>Colombia</x:v>
      </x:c>
      <x:c r="D527" s="30" t="str">
        <x:v>Bolivia</x:v>
      </x:c>
      <x:c r="E527" s="30" t="str">
        <x:v>Project unlock</x:v>
      </x:c>
      <x:c r="F527" s="30" t="str">
        <x:v>Unidad Colombia</x:v>
      </x:c>
      <x:c r="G527" s="30" t="str">
        <x:v>No</x:v>
      </x:c>
      <x:c r="H527" s="30" t="str">
        <x:v>Ordinary claim</x:v>
      </x:c>
      <x:c r="I527" s="31" t="n">
        <x:f>IF(G527="Yes",'Controls &amp; Summary'!$B$5,'Controls &amp; Summary'!$B$4)</x:f>
        <x:v>6</x:v>
      </x:c>
      <x:c r="J527" s="31" t="n">
        <x:v>6.48</x:v>
      </x:c>
      <x:c r="K527" s="31" t="n">
        <x:v>4.65</x:v>
      </x:c>
      <x:c r="L527" s="31" t="n">
        <x:f>ABS(J527-K527)</x:f>
        <x:v>1.83</x:v>
      </x:c>
      <x:c r="M527" s="31" t="n">
        <x:v>5.42</x:v>
      </x:c>
      <x:c r="N527" s="31" t="n">
        <x:v>4.36</x:v>
      </x:c>
      <x:c r="O527" s="31" t="n">
        <x:f>ABS(M527-N527)</x:f>
        <x:v>1.0599999999999996</x:v>
      </x:c>
      <x:c r="P527" s="31" t="n">
        <x:v>6.82</x:v>
      </x:c>
      <x:c r="Q527" s="31" t="n">
        <x:v>6.95</x:v>
      </x:c>
      <x:c r="R527" s="31" t="n">
        <x:f>ABS(P527-Q527)</x:f>
        <x:v>0.1299999999999999</x:v>
      </x:c>
      <x:c r="S527" s="32" t="n">
        <x:v>16048.84946819688</x:v>
      </x:c>
      <x:c r="T527" s="32" t="n">
        <x:v>8613.914112629514</x:v>
      </x:c>
      <x:c r="U527" s="31" t="n">
        <x:f>MAX(S527/T527,T527/S527)</x:f>
        <x:v>1.8631308901334924</x:v>
      </x:c>
      <x:c r="V527" s="31" t="n">
        <x:f>L527*'Controls &amp; Summary'!$B$9+O527*'Controls &amp; Summary'!$B$10+R527*'Controls &amp; Summary'!$B$11+U527*'Controls &amp; Summary'!$B$12</x:f>
        <x:v>4.883130890133492</x:v>
      </x:c>
      <x:c r="W527" s="31" t="n">
        <x:v>3</x:v>
      </x:c>
      <x:c r="X527" s="31" t="n">
        <x:v>3</x:v>
      </x:c>
      <x:c r="Y527" s="31" t="n">
        <x:f>((10-MIN(10,MAX(0,X527)))/10)*'Controls &amp; Summary'!$B$15+((10-MIN(10,MAX(0,W527)))/10)*'Controls &amp; Summary'!$B$16</x:f>
        <x:v>1.4</x:v>
      </x:c>
      <x:c r="Z527" s="31" t="n">
        <x:f>V527*Y527</x:f>
        <x:v>6.836383246186888</x:v>
      </x:c>
      <x:c r="AA527" s="30" t="str">
        <x:f>IF(Z527&lt;=I527,"Peaceful","Hostile")</x:f>
        <x:v>Hostile</x:v>
      </x:c>
      <x:c r="AB527" s="30" t="str">
        <x:f>IF(Z527&lt;='Controls &amp; Summary'!$B$6,"Eligible","Blocked")</x:f>
        <x:v>Eligible</x:v>
      </x:c>
      <x:c r="AC527" s="30" t="str">
        <x:v>COL</x:v>
      </x:c>
      <x:c r="AD527" s="30" t="str">
        <x:v>BOL</x:v>
      </x:c>
      <x:c r="AE527" s="30" t="str">
        <x:v>Bolivia</x:v>
      </x:c>
      <x:c r="AF527" s="30" t="str">
        <x:v>Explicit capitalClaim</x:v>
      </x:c>
      <x:c r="AG527" s="30" t="str">
        <x:v>ClaimCOLBolivia</x:v>
      </x:c>
      <x:c r="AH527" s="30" t="str">
        <x:v>Project_UnidadColombia</x:v>
      </x:c>
    </x:row>
    <x:row r="528">
      <x:c r="A528" s="30" t="str">
        <x:v>2022</x:v>
      </x:c>
      <x:c r="B528" s="30" t="str">
        <x:v>Base game</x:v>
      </x:c>
      <x:c r="C528" s="30" t="str">
        <x:v>Colombia</x:v>
      </x:c>
      <x:c r="D528" s="30" t="str">
        <x:v>Chile</x:v>
      </x:c>
      <x:c r="E528" s="30" t="str">
        <x:v>Project unlock</x:v>
      </x:c>
      <x:c r="F528" s="30" t="str">
        <x:v>Unidad Colombia</x:v>
      </x:c>
      <x:c r="G528" s="30" t="str">
        <x:v>No</x:v>
      </x:c>
      <x:c r="H528" s="30" t="str">
        <x:v>Ordinary claim</x:v>
      </x:c>
      <x:c r="I528" s="31" t="n">
        <x:f>IF(G528="Yes",'Controls &amp; Summary'!$B$5,'Controls &amp; Summary'!$B$4)</x:f>
        <x:v>6</x:v>
      </x:c>
      <x:c r="J528" s="31" t="n">
        <x:v>6.48</x:v>
      </x:c>
      <x:c r="K528" s="31" t="n">
        <x:v>7.92</x:v>
      </x:c>
      <x:c r="L528" s="31" t="n">
        <x:f>ABS(J528-K528)</x:f>
        <x:v>1.4399999999999995</x:v>
      </x:c>
      <x:c r="M528" s="31" t="n">
        <x:v>5.42</x:v>
      </x:c>
      <x:c r="N528" s="31" t="n">
        <x:v>4.49</x:v>
      </x:c>
      <x:c r="O528" s="31" t="n">
        <x:f>ABS(M528-N528)</x:f>
        <x:v>0.9299999999999997</x:v>
      </x:c>
      <x:c r="P528" s="31" t="n">
        <x:v>6.82</x:v>
      </x:c>
      <x:c r="Q528" s="31" t="n">
        <x:v>8.1</x:v>
      </x:c>
      <x:c r="R528" s="31" t="n">
        <x:f>ABS(P528-Q528)</x:f>
        <x:v>1.2799999999999994</x:v>
      </x:c>
      <x:c r="S528" s="32" t="n">
        <x:v>16048.84946819688</x:v>
      </x:c>
      <x:c r="T528" s="32" t="n">
        <x:v>25971.372434899622</x:v>
      </x:c>
      <x:c r="U528" s="31" t="n">
        <x:f>MAX(S528/T528,T528/S528)</x:f>
        <x:v>1.6182700502217096</x:v>
      </x:c>
      <x:c r="V528" s="31" t="n">
        <x:f>L528*'Controls &amp; Summary'!$B$9+O528*'Controls &amp; Summary'!$B$10+R528*'Controls &amp; Summary'!$B$11+U528*'Controls &amp; Summary'!$B$12</x:f>
        <x:v>5.268270050221708</x:v>
      </x:c>
      <x:c r="W528" s="31" t="n">
        <x:v>3</x:v>
      </x:c>
      <x:c r="X528" s="31" t="n">
        <x:v>2</x:v>
      </x:c>
      <x:c r="Y528" s="31" t="n">
        <x:f>((10-MIN(10,MAX(0,X528)))/10)*'Controls &amp; Summary'!$B$15+((10-MIN(10,MAX(0,W528)))/10)*'Controls &amp; Summary'!$B$16</x:f>
        <x:v>1.5</x:v>
      </x:c>
      <x:c r="Z528" s="31" t="n">
        <x:f>V528*Y528</x:f>
        <x:v>7.902405075332561</x:v>
      </x:c>
      <x:c r="AA528" s="30" t="str">
        <x:f>IF(Z528&lt;=I528,"Peaceful","Hostile")</x:f>
        <x:v>Hostile</x:v>
      </x:c>
      <x:c r="AB528" s="30" t="str">
        <x:f>IF(Z528&lt;='Controls &amp; Summary'!$B$6,"Eligible","Blocked")</x:f>
        <x:v>Eligible</x:v>
      </x:c>
      <x:c r="AC528" s="30" t="str">
        <x:v>COL</x:v>
      </x:c>
      <x:c r="AD528" s="30" t="str">
        <x:v>CHL</x:v>
      </x:c>
      <x:c r="AE528" s="30" t="str">
        <x:v>Santiago</x:v>
      </x:c>
      <x:c r="AF528" s="30" t="str">
        <x:v>Explicit capitalClaim</x:v>
      </x:c>
      <x:c r="AG528" s="30" t="str">
        <x:v>ClaimCOLSantiago</x:v>
      </x:c>
      <x:c r="AH528" s="30" t="str">
        <x:v>Project_UnidadColombia</x:v>
      </x:c>
    </x:row>
    <x:row r="529">
      <x:c r="A529" s="30" t="str">
        <x:v>2022</x:v>
      </x:c>
      <x:c r="B529" s="30" t="str">
        <x:v>Base game</x:v>
      </x:c>
      <x:c r="C529" s="30" t="str">
        <x:v>Colombia</x:v>
      </x:c>
      <x:c r="D529" s="30" t="str">
        <x:v>Costa Rica</x:v>
      </x:c>
      <x:c r="E529" s="30" t="str">
        <x:v>Project unlock</x:v>
      </x:c>
      <x:c r="F529" s="30" t="str">
        <x:v>Unidad Colombia</x:v>
      </x:c>
      <x:c r="G529" s="30" t="str">
        <x:v>No</x:v>
      </x:c>
      <x:c r="H529" s="30" t="str">
        <x:v>Ordinary claim</x:v>
      </x:c>
      <x:c r="I529" s="31" t="n">
        <x:f>IF(G529="Yes",'Controls &amp; Summary'!$B$5,'Controls &amp; Summary'!$B$4)</x:f>
        <x:v>6</x:v>
      </x:c>
      <x:c r="J529" s="31" t="n">
        <x:v>6.48</x:v>
      </x:c>
      <x:c r="K529" s="31" t="n">
        <x:v>8.07</x:v>
      </x:c>
      <x:c r="L529" s="31" t="n">
        <x:f>ABS(J529-K529)</x:f>
        <x:v>1.5899999999999999</x:v>
      </x:c>
      <x:c r="M529" s="31" t="n">
        <x:v>5.42</x:v>
      </x:c>
      <x:c r="N529" s="31" t="n">
        <x:v>4.93</x:v>
      </x:c>
      <x:c r="O529" s="31" t="n">
        <x:f>ABS(M529-N529)</x:f>
        <x:v>0.4900000000000002</x:v>
      </x:c>
      <x:c r="P529" s="31" t="n">
        <x:v>6.82</x:v>
      </x:c>
      <x:c r="Q529" s="31" t="n">
        <x:v>7.26</x:v>
      </x:c>
      <x:c r="R529" s="31" t="n">
        <x:f>ABS(P529-Q529)</x:f>
        <x:v>0.4399999999999995</x:v>
      </x:c>
      <x:c r="S529" s="32" t="n">
        <x:v>16048.84946819688</x:v>
      </x:c>
      <x:c r="T529" s="32" t="n">
        <x:v>21702.236588075208</x:v>
      </x:c>
      <x:c r="U529" s="31" t="n">
        <x:f>MAX(S529/T529,T529/S529)</x:f>
        <x:v>1.3522612091964183</x:v>
      </x:c>
      <x:c r="V529" s="31" t="n">
        <x:f>L529*'Controls &amp; Summary'!$B$9+O529*'Controls &amp; Summary'!$B$10+R529*'Controls &amp; Summary'!$B$11+U529*'Controls &amp; Summary'!$B$12</x:f>
        <x:v>3.872261209196418</x:v>
      </x:c>
      <x:c r="W529" s="31" t="n">
        <x:v>3</x:v>
      </x:c>
      <x:c r="X529" s="31" t="n">
        <x:v>1</x:v>
      </x:c>
      <x:c r="Y529" s="31" t="n">
        <x:f>((10-MIN(10,MAX(0,X529)))/10)*'Controls &amp; Summary'!$B$15+((10-MIN(10,MAX(0,W529)))/10)*'Controls &amp; Summary'!$B$16</x:f>
        <x:v>1.6</x:v>
      </x:c>
      <x:c r="Z529" s="31" t="n">
        <x:f>V529*Y529</x:f>
        <x:v>6.195617934714269</x:v>
      </x:c>
      <x:c r="AA529" s="30" t="str">
        <x:f>IF(Z529&lt;=I529,"Peaceful","Hostile")</x:f>
        <x:v>Hostile</x:v>
      </x:c>
      <x:c r="AB529" s="30" t="str">
        <x:f>IF(Z529&lt;='Controls &amp; Summary'!$B$6,"Eligible","Blocked")</x:f>
        <x:v>Eligible</x:v>
      </x:c>
      <x:c r="AC529" s="30" t="str">
        <x:v>COL</x:v>
      </x:c>
      <x:c r="AD529" s="30" t="str">
        <x:v>COS</x:v>
      </x:c>
      <x:c r="AE529" s="30" t="str">
        <x:v>CostaRica</x:v>
      </x:c>
      <x:c r="AF529" s="30" t="str">
        <x:v>Explicit capitalClaim</x:v>
      </x:c>
      <x:c r="AG529" s="30" t="str">
        <x:v>ClaimCOLCostaRica</x:v>
      </x:c>
      <x:c r="AH529" s="30" t="str">
        <x:v>Project_UnidadColombia</x:v>
      </x:c>
    </x:row>
    <x:row r="530">
      <x:c r="A530" s="30" t="str">
        <x:v>2022</x:v>
      </x:c>
      <x:c r="B530" s="30" t="str">
        <x:v>Base game</x:v>
      </x:c>
      <x:c r="C530" s="30" t="str">
        <x:v>Colombia</x:v>
      </x:c>
      <x:c r="D530" s="30" t="str">
        <x:v>Cuba</x:v>
      </x:c>
      <x:c r="E530" s="30" t="str">
        <x:v>Project unlock</x:v>
      </x:c>
      <x:c r="F530" s="30" t="str">
        <x:v>Unidad Colombia</x:v>
      </x:c>
      <x:c r="G530" s="30" t="str">
        <x:v>No</x:v>
      </x:c>
      <x:c r="H530" s="30" t="str">
        <x:v>Ordinary claim</x:v>
      </x:c>
      <x:c r="I530" s="31" t="n">
        <x:f>IF(G530="Yes",'Controls &amp; Summary'!$B$5,'Controls &amp; Summary'!$B$4)</x:f>
        <x:v>6</x:v>
      </x:c>
      <x:c r="J530" s="31" t="n">
        <x:v>6.48</x:v>
      </x:c>
      <x:c r="K530" s="31" t="n">
        <x:v>2.59</x:v>
      </x:c>
      <x:c r="L530" s="31" t="n">
        <x:f>ABS(J530-K530)</x:f>
        <x:v>3.8900000000000006</x:v>
      </x:c>
      <x:c r="M530" s="31" t="n">
        <x:v>5.42</x:v>
      </x:c>
      <x:c r="N530" s="31" t="n">
        <x:v>3.8</x:v>
      </x:c>
      <x:c r="O530" s="31" t="n">
        <x:f>ABS(M530-N530)</x:f>
        <x:v>1.62</x:v>
      </x:c>
      <x:c r="P530" s="31" t="n">
        <x:v>6.82</x:v>
      </x:c>
      <x:c r="Q530" s="31" t="n">
        <x:v>7.9</x:v>
      </x:c>
      <x:c r="R530" s="31" t="n">
        <x:f>ABS(P530-Q530)</x:f>
        <x:v>1.08</x:v>
      </x:c>
      <x:c r="S530" s="32" t="n">
        <x:v>16048.84946819688</x:v>
      </x:c>
      <x:c r="T530" s="32" t="n">
        <x:v>12300.000115372583</x:v>
      </x:c>
      <x:c r="U530" s="31" t="n">
        <x:f>MAX(S530/T530,T530/S530)</x:f>
        <x:v>1.3047844973707743</x:v>
      </x:c>
      <x:c r="V530" s="31" t="n">
        <x:f>L530*'Controls &amp; Summary'!$B$9+O530*'Controls &amp; Summary'!$B$10+R530*'Controls &amp; Summary'!$B$11+U530*'Controls &amp; Summary'!$B$12</x:f>
        <x:v>7.894784497370775</x:v>
      </x:c>
      <x:c r="W530" s="31" t="n">
        <x:v>3</x:v>
      </x:c>
      <x:c r="X530" s="31" t="n">
        <x:v>1</x:v>
      </x:c>
      <x:c r="Y530" s="31" t="n">
        <x:f>((10-MIN(10,MAX(0,X530)))/10)*'Controls &amp; Summary'!$B$15+((10-MIN(10,MAX(0,W530)))/10)*'Controls &amp; Summary'!$B$16</x:f>
        <x:v>1.6</x:v>
      </x:c>
      <x:c r="Z530" s="31" t="n">
        <x:f>V530*Y530</x:f>
        <x:v>12.631655195793241</x:v>
      </x:c>
      <x:c r="AA530" s="30" t="str">
        <x:f>IF(Z530&lt;=I530,"Peaceful","Hostile")</x:f>
        <x:v>Hostile</x:v>
      </x:c>
      <x:c r="AB530" s="30" t="str">
        <x:f>IF(Z530&lt;='Controls &amp; Summary'!$B$6,"Eligible","Blocked")</x:f>
        <x:v>Blocked</x:v>
      </x:c>
      <x:c r="AC530" s="30" t="str">
        <x:v>COL</x:v>
      </x:c>
      <x:c r="AD530" s="30" t="str">
        <x:v>CUB</x:v>
      </x:c>
      <x:c r="AE530" s="30" t="str">
        <x:v>Cuba</x:v>
      </x:c>
      <x:c r="AF530" s="30" t="str">
        <x:v>Explicit capitalClaim</x:v>
      </x:c>
      <x:c r="AG530" s="30" t="str">
        <x:v>ClaimCOLCuba</x:v>
      </x:c>
      <x:c r="AH530" s="30" t="str">
        <x:v>Project_UnidadColombia</x:v>
      </x:c>
    </x:row>
    <x:row r="531">
      <x:c r="A531" s="30" t="str">
        <x:v>2022</x:v>
      </x:c>
      <x:c r="B531" s="30" t="str">
        <x:v>Base game</x:v>
      </x:c>
      <x:c r="C531" s="30" t="str">
        <x:v>Colombia</x:v>
      </x:c>
      <x:c r="D531" s="30" t="str">
        <x:v>Dominican Republic</x:v>
      </x:c>
      <x:c r="E531" s="30" t="str">
        <x:v>Project unlock</x:v>
      </x:c>
      <x:c r="F531" s="30" t="str">
        <x:v>Unidad Colombia</x:v>
      </x:c>
      <x:c r="G531" s="30" t="str">
        <x:v>No</x:v>
      </x:c>
      <x:c r="H531" s="30" t="str">
        <x:v>Ordinary claim</x:v>
      </x:c>
      <x:c r="I531" s="31" t="n">
        <x:f>IF(G531="Yes",'Controls &amp; Summary'!$B$5,'Controls &amp; Summary'!$B$4)</x:f>
        <x:v>6</x:v>
      </x:c>
      <x:c r="J531" s="31" t="n">
        <x:v>6.48</x:v>
      </x:c>
      <x:c r="K531" s="31" t="n">
        <x:v>6.45</x:v>
      </x:c>
      <x:c r="L531" s="31" t="n">
        <x:f>ABS(J531-K531)</x:f>
        <x:v>0.03000000000000025</x:v>
      </x:c>
      <x:c r="M531" s="31" t="n">
        <x:v>5.42</x:v>
      </x:c>
      <x:c r="N531" s="31" t="n">
        <x:v>3.96</x:v>
      </x:c>
      <x:c r="O531" s="31" t="n">
        <x:f>ABS(M531-N531)</x:f>
        <x:v>1.46</x:v>
      </x:c>
      <x:c r="P531" s="31" t="n">
        <x:v>6.82</x:v>
      </x:c>
      <x:c r="Q531" s="31" t="n">
        <x:v>6.66</x:v>
      </x:c>
      <x:c r="R531" s="31" t="n">
        <x:f>ABS(P531-Q531)</x:f>
        <x:v>0.16000000000000014</x:v>
      </x:c>
      <x:c r="S531" s="32" t="n">
        <x:v>16048.84946819688</x:v>
      </x:c>
      <x:c r="T531" s="32" t="n">
        <x:v>20237.04053759977</x:v>
      </x:c>
      <x:c r="U531" s="31" t="n">
        <x:f>MAX(S531/T531,T531/S531)</x:f>
        <x:v>1.2609651911622946</x:v>
      </x:c>
      <x:c r="V531" s="31" t="n">
        <x:f>L531*'Controls &amp; Summary'!$B$9+O531*'Controls &amp; Summary'!$B$10+R531*'Controls &amp; Summary'!$B$11+U531*'Controls &amp; Summary'!$B$12</x:f>
        <x:v>2.910965191162295</x:v>
      </x:c>
      <x:c r="W531" s="31" t="n">
        <x:v>3</x:v>
      </x:c>
      <x:c r="X531" s="31" t="n">
        <x:v>1</x:v>
      </x:c>
      <x:c r="Y531" s="31" t="n">
        <x:f>((10-MIN(10,MAX(0,X531)))/10)*'Controls &amp; Summary'!$B$15+((10-MIN(10,MAX(0,W531)))/10)*'Controls &amp; Summary'!$B$16</x:f>
        <x:v>1.6</x:v>
      </x:c>
      <x:c r="Z531" s="31" t="n">
        <x:f>V531*Y531</x:f>
        <x:v>4.657544305859672</x:v>
      </x:c>
      <x:c r="AA531" s="30" t="str">
        <x:f>IF(Z531&lt;=I531,"Peaceful","Hostile")</x:f>
        <x:v>Peaceful</x:v>
      </x:c>
      <x:c r="AB531" s="30" t="str">
        <x:f>IF(Z531&lt;='Controls &amp; Summary'!$B$6,"Eligible","Blocked")</x:f>
        <x:v>Eligible</x:v>
      </x:c>
      <x:c r="AC531" s="30" t="str">
        <x:v>COL</x:v>
      </x:c>
      <x:c r="AD531" s="30" t="str">
        <x:v>DOM</x:v>
      </x:c>
      <x:c r="AE531" s="30" t="str">
        <x:v>EastHispanola</x:v>
      </x:c>
      <x:c r="AF531" s="30" t="str">
        <x:v>Explicit capitalClaim</x:v>
      </x:c>
      <x:c r="AG531" s="30" t="str">
        <x:v>ClaimCOLEastHispanola</x:v>
      </x:c>
      <x:c r="AH531" s="30" t="str">
        <x:v>Project_UnidadColombia</x:v>
      </x:c>
    </x:row>
    <x:row r="532">
      <x:c r="A532" s="30" t="str">
        <x:v>2022</x:v>
      </x:c>
      <x:c r="B532" s="30" t="str">
        <x:v>Base game</x:v>
      </x:c>
      <x:c r="C532" s="30" t="str">
        <x:v>Colombia</x:v>
      </x:c>
      <x:c r="D532" s="30" t="str">
        <x:v>Ecuador</x:v>
      </x:c>
      <x:c r="E532" s="30" t="str">
        <x:v>Project unlock</x:v>
      </x:c>
      <x:c r="F532" s="30" t="str">
        <x:v>South American Confederations</x:v>
      </x:c>
      <x:c r="G532" s="30" t="str">
        <x:v>No</x:v>
      </x:c>
      <x:c r="H532" s="30" t="str">
        <x:v>Ordinary claim</x:v>
      </x:c>
      <x:c r="I532" s="31" t="n">
        <x:f>IF(G532="Yes",'Controls &amp; Summary'!$B$5,'Controls &amp; Summary'!$B$4)</x:f>
        <x:v>6</x:v>
      </x:c>
      <x:c r="J532" s="31" t="n">
        <x:v>6.48</x:v>
      </x:c>
      <x:c r="K532" s="31" t="n">
        <x:v>5.71</x:v>
      </x:c>
      <x:c r="L532" s="31" t="n">
        <x:f>ABS(J532-K532)</x:f>
        <x:v>0.7700000000000005</x:v>
      </x:c>
      <x:c r="M532" s="31" t="n">
        <x:v>5.42</x:v>
      </x:c>
      <x:c r="N532" s="31" t="n">
        <x:v>4.73</x:v>
      </x:c>
      <x:c r="O532" s="31" t="n">
        <x:f>ABS(M532-N532)</x:f>
        <x:v>0.6899999999999995</x:v>
      </x:c>
      <x:c r="P532" s="31" t="n">
        <x:v>6.82</x:v>
      </x:c>
      <x:c r="Q532" s="31" t="n">
        <x:v>7.02</x:v>
      </x:c>
      <x:c r="R532" s="31" t="n">
        <x:f>ABS(P532-Q532)</x:f>
        <x:v>0.1999999999999993</x:v>
      </x:c>
      <x:c r="S532" s="32" t="n">
        <x:v>16048.84946819688</x:v>
      </x:c>
      <x:c r="T532" s="32" t="n">
        <x:v>11036.40464736752</x:v>
      </x:c>
      <x:c r="U532" s="31" t="n">
        <x:f>MAX(S532/T532,T532/S532)</x:f>
        <x:v>1.4541737079226216</x:v>
      </x:c>
      <x:c r="V532" s="31" t="n">
        <x:f>L532*'Controls &amp; Summary'!$B$9+O532*'Controls &amp; Summary'!$B$10+R532*'Controls &amp; Summary'!$B$11+U532*'Controls &amp; Summary'!$B$12</x:f>
        <x:v>3.114173707922621</x:v>
      </x:c>
      <x:c r="W532" s="31" t="n">
        <x:v>3</x:v>
      </x:c>
      <x:c r="X532" s="31" t="n">
        <x:v>3</x:v>
      </x:c>
      <x:c r="Y532" s="31" t="n">
        <x:f>((10-MIN(10,MAX(0,X532)))/10)*'Controls &amp; Summary'!$B$15+((10-MIN(10,MAX(0,W532)))/10)*'Controls &amp; Summary'!$B$16</x:f>
        <x:v>1.4</x:v>
      </x:c>
      <x:c r="Z532" s="31" t="n">
        <x:f>V532*Y532</x:f>
        <x:v>4.359843191091669</x:v>
      </x:c>
      <x:c r="AA532" s="30" t="str">
        <x:f>IF(Z532&lt;=I532,"Peaceful","Hostile")</x:f>
        <x:v>Peaceful</x:v>
      </x:c>
      <x:c r="AB532" s="30" t="str">
        <x:f>IF(Z532&lt;='Controls &amp; Summary'!$B$6,"Eligible","Blocked")</x:f>
        <x:v>Eligible</x:v>
      </x:c>
      <x:c r="AC532" s="30" t="str">
        <x:v>COL</x:v>
      </x:c>
      <x:c r="AD532" s="30" t="str">
        <x:v>ECU</x:v>
      </x:c>
      <x:c r="AE532" s="30" t="str">
        <x:v>Ecuador</x:v>
      </x:c>
      <x:c r="AF532" s="30" t="str">
        <x:v>Explicit capitalClaim</x:v>
      </x:c>
      <x:c r="AG532" s="30" t="str">
        <x:v>ClaimCOLEcuador</x:v>
      </x:c>
      <x:c r="AH532" s="30" t="str">
        <x:v>Project_GranColombia</x:v>
      </x:c>
    </x:row>
    <x:row r="533">
      <x:c r="A533" s="30" t="str">
        <x:v>2022</x:v>
      </x:c>
      <x:c r="B533" s="30" t="str">
        <x:v>Base game</x:v>
      </x:c>
      <x:c r="C533" s="30" t="str">
        <x:v>Colombia</x:v>
      </x:c>
      <x:c r="D533" s="30" t="str">
        <x:v>El Salvador</x:v>
      </x:c>
      <x:c r="E533" s="30" t="str">
        <x:v>Project unlock</x:v>
      </x:c>
      <x:c r="F533" s="30" t="str">
        <x:v>Unidad Colombia</x:v>
      </x:c>
      <x:c r="G533" s="30" t="str">
        <x:v>No</x:v>
      </x:c>
      <x:c r="H533" s="30" t="str">
        <x:v>Ordinary claim</x:v>
      </x:c>
      <x:c r="I533" s="31" t="n">
        <x:f>IF(G533="Yes",'Controls &amp; Summary'!$B$5,'Controls &amp; Summary'!$B$4)</x:f>
        <x:v>6</x:v>
      </x:c>
      <x:c r="J533" s="31" t="n">
        <x:v>6.48</x:v>
      </x:c>
      <x:c r="K533" s="31" t="n">
        <x:v>5.72</x:v>
      </x:c>
      <x:c r="L533" s="31" t="n">
        <x:f>ABS(J533-K533)</x:f>
        <x:v>0.7600000000000007</x:v>
      </x:c>
      <x:c r="M533" s="31" t="n">
        <x:v>5.42</x:v>
      </x:c>
      <x:c r="N533" s="31" t="n">
        <x:v>3.88</x:v>
      </x:c>
      <x:c r="O533" s="31" t="n">
        <x:f>ABS(M533-N533)</x:f>
        <x:v>1.54</x:v>
      </x:c>
      <x:c r="P533" s="31" t="n">
        <x:v>6.82</x:v>
      </x:c>
      <x:c r="Q533" s="31" t="n">
        <x:v>5.55</x:v>
      </x:c>
      <x:c r="R533" s="31" t="n">
        <x:f>ABS(P533-Q533)</x:f>
        <x:v>1.2700000000000005</x:v>
      </x:c>
      <x:c r="S533" s="32" t="n">
        <x:v>16048.84946819688</x:v>
      </x:c>
      <x:c r="T533" s="32" t="n">
        <x:v>9297.797142788448</x:v>
      </x:c>
      <x:c r="U533" s="31" t="n">
        <x:f>MAX(S533/T533,T533/S533)</x:f>
        <x:v>1.7260915915599084</x:v>
      </x:c>
      <x:c r="V533" s="31" t="n">
        <x:f>L533*'Controls &amp; Summary'!$B$9+O533*'Controls &amp; Summary'!$B$10+R533*'Controls &amp; Summary'!$B$11+U533*'Controls &amp; Summary'!$B$12</x:f>
        <x:v>5.296091591559909</x:v>
      </x:c>
      <x:c r="W533" s="31" t="n">
        <x:v>3</x:v>
      </x:c>
      <x:c r="X533" s="31" t="n">
        <x:v>6</x:v>
      </x:c>
      <x:c r="Y533" s="31" t="n">
        <x:f>((10-MIN(10,MAX(0,X533)))/10)*'Controls &amp; Summary'!$B$15+((10-MIN(10,MAX(0,W533)))/10)*'Controls &amp; Summary'!$B$16</x:f>
        <x:v>1.1</x:v>
      </x:c>
      <x:c r="Z533" s="31" t="n">
        <x:f>V533*Y533</x:f>
        <x:v>5.8257007507159</x:v>
      </x:c>
      <x:c r="AA533" s="30" t="str">
        <x:f>IF(Z533&lt;=I533,"Peaceful","Hostile")</x:f>
        <x:v>Peaceful</x:v>
      </x:c>
      <x:c r="AB533" s="30" t="str">
        <x:f>IF(Z533&lt;='Controls &amp; Summary'!$B$6,"Eligible","Blocked")</x:f>
        <x:v>Eligible</x:v>
      </x:c>
      <x:c r="AC533" s="30" t="str">
        <x:v>COL</x:v>
      </x:c>
      <x:c r="AD533" s="30" t="str">
        <x:v>ELS</x:v>
      </x:c>
      <x:c r="AE533" s="30" t="str">
        <x:v>ElSalvador</x:v>
      </x:c>
      <x:c r="AF533" s="30" t="str">
        <x:v>Explicit capitalClaim</x:v>
      </x:c>
      <x:c r="AG533" s="30" t="str">
        <x:v>ClaimCOLElSalvador</x:v>
      </x:c>
      <x:c r="AH533" s="30" t="str">
        <x:v>Project_UnidadColombia</x:v>
      </x:c>
    </x:row>
    <x:row r="534">
      <x:c r="A534" s="30" t="str">
        <x:v>2022</x:v>
      </x:c>
      <x:c r="B534" s="30" t="str">
        <x:v>Base game</x:v>
      </x:c>
      <x:c r="C534" s="30" t="str">
        <x:v>Colombia</x:v>
      </x:c>
      <x:c r="D534" s="30" t="str">
        <x:v>Guatemala</x:v>
      </x:c>
      <x:c r="E534" s="30" t="str">
        <x:v>Project unlock</x:v>
      </x:c>
      <x:c r="F534" s="30" t="str">
        <x:v>Unidad Colombia</x:v>
      </x:c>
      <x:c r="G534" s="30" t="str">
        <x:v>No</x:v>
      </x:c>
      <x:c r="H534" s="30" t="str">
        <x:v>Ordinary claim</x:v>
      </x:c>
      <x:c r="I534" s="31" t="n">
        <x:f>IF(G534="Yes",'Controls &amp; Summary'!$B$5,'Controls &amp; Summary'!$B$4)</x:f>
        <x:v>6</x:v>
      </x:c>
      <x:c r="J534" s="31" t="n">
        <x:v>6.48</x:v>
      </x:c>
      <x:c r="K534" s="31" t="n">
        <x:v>4.62</x:v>
      </x:c>
      <x:c r="L534" s="31" t="n">
        <x:f>ABS(J534-K534)</x:f>
        <x:v>1.8600000000000003</x:v>
      </x:c>
      <x:c r="M534" s="31" t="n">
        <x:v>5.42</x:v>
      </x:c>
      <x:c r="N534" s="31" t="n">
        <x:v>4.83</x:v>
      </x:c>
      <x:c r="O534" s="31" t="n">
        <x:f>ABS(M534-N534)</x:f>
        <x:v>0.5899999999999999</x:v>
      </x:c>
      <x:c r="P534" s="31" t="n">
        <x:v>6.82</x:v>
      </x:c>
      <x:c r="Q534" s="31" t="n">
        <x:v>5.19</x:v>
      </x:c>
      <x:c r="R534" s="31" t="n">
        <x:f>ABS(P534-Q534)</x:f>
        <x:v>1.63</x:v>
      </x:c>
      <x:c r="S534" s="32" t="n">
        <x:v>16048.84946819688</x:v>
      </x:c>
      <x:c r="T534" s="32" t="n">
        <x:v>8733.491490836697</x:v>
      </x:c>
      <x:c r="U534" s="31" t="n">
        <x:f>MAX(S534/T534,T534/S534)</x:f>
        <x:v>1.8376212406041226</x:v>
      </x:c>
      <x:c r="V534" s="31" t="n">
        <x:f>L534*'Controls &amp; Summary'!$B$9+O534*'Controls &amp; Summary'!$B$10+R534*'Controls &amp; Summary'!$B$11+U534*'Controls &amp; Summary'!$B$12</x:f>
        <x:v>5.917621240604123</x:v>
      </x:c>
      <x:c r="W534" s="31" t="n">
        <x:v>3</x:v>
      </x:c>
      <x:c r="X534" s="31" t="n">
        <x:v>4</x:v>
      </x:c>
      <x:c r="Y534" s="31" t="n">
        <x:f>((10-MIN(10,MAX(0,X534)))/10)*'Controls &amp; Summary'!$B$15+((10-MIN(10,MAX(0,W534)))/10)*'Controls &amp; Summary'!$B$16</x:f>
        <x:v>1.2999999999999998</x:v>
      </x:c>
      <x:c r="Z534" s="31" t="n">
        <x:f>V534*Y534</x:f>
        <x:v>7.692907612785358</x:v>
      </x:c>
      <x:c r="AA534" s="30" t="str">
        <x:f>IF(Z534&lt;=I534,"Peaceful","Hostile")</x:f>
        <x:v>Hostile</x:v>
      </x:c>
      <x:c r="AB534" s="30" t="str">
        <x:f>IF(Z534&lt;='Controls &amp; Summary'!$B$6,"Eligible","Blocked")</x:f>
        <x:v>Eligible</x:v>
      </x:c>
      <x:c r="AC534" s="30" t="str">
        <x:v>COL</x:v>
      </x:c>
      <x:c r="AD534" s="30" t="str">
        <x:v>GTM</x:v>
      </x:c>
      <x:c r="AE534" s="30" t="str">
        <x:v>Guatemala</x:v>
      </x:c>
      <x:c r="AF534" s="30" t="str">
        <x:v>Explicit capitalClaim</x:v>
      </x:c>
      <x:c r="AG534" s="30" t="str">
        <x:v>ClaimCOLGuatemala</x:v>
      </x:c>
      <x:c r="AH534" s="30" t="str">
        <x:v>Project_UnidadColombia</x:v>
      </x:c>
    </x:row>
    <x:row r="535">
      <x:c r="A535" s="30" t="str">
        <x:v>2022</x:v>
      </x:c>
      <x:c r="B535" s="30" t="str">
        <x:v>Base game</x:v>
      </x:c>
      <x:c r="C535" s="30" t="str">
        <x:v>Colombia</x:v>
      </x:c>
      <x:c r="D535" s="30" t="str">
        <x:v>Guyana</x:v>
      </x:c>
      <x:c r="E535" s="30" t="str">
        <x:v>Project unlock</x:v>
      </x:c>
      <x:c r="F535" s="30" t="str">
        <x:v>South American Confederations</x:v>
      </x:c>
      <x:c r="G535" s="30" t="str">
        <x:v>No</x:v>
      </x:c>
      <x:c r="H535" s="30" t="str">
        <x:v>Ordinary claim</x:v>
      </x:c>
      <x:c r="I535" s="31" t="n">
        <x:f>IF(G535="Yes",'Controls &amp; Summary'!$B$5,'Controls &amp; Summary'!$B$4)</x:f>
        <x:v>6</x:v>
      </x:c>
      <x:c r="J535" s="31" t="n">
        <x:v>6.48</x:v>
      </x:c>
      <x:c r="K535" s="31" t="n">
        <x:v>6.25</x:v>
      </x:c>
      <x:c r="L535" s="31" t="n">
        <x:f>ABS(J535-K535)</x:f>
        <x:v>0.23000000000000043</x:v>
      </x:c>
      <x:c r="M535" s="31" t="n">
        <x:v>5.42</x:v>
      </x:c>
      <x:c r="N535" s="31" t="n">
        <x:v>4.51</x:v>
      </x:c>
      <x:c r="O535" s="31" t="n">
        <x:f>ABS(M535-N535)</x:f>
        <x:v>0.9100000000000001</x:v>
      </x:c>
      <x:c r="P535" s="31" t="n">
        <x:v>6.82</x:v>
      </x:c>
      <x:c r="Q535" s="31" t="n">
        <x:v>6.01</x:v>
      </x:c>
      <x:c r="R535" s="31" t="n">
        <x:f>ABS(P535-Q535)</x:f>
        <x:v>0.8100000000000005</x:v>
      </x:c>
      <x:c r="S535" s="32" t="n">
        <x:v>16048.84946819688</x:v>
      </x:c>
      <x:c r="T535" s="32" t="n">
        <x:v>33516.92725254583</x:v>
      </x:c>
      <x:c r="U535" s="31" t="n">
        <x:f>MAX(S535/T535,T535/S535)</x:f>
        <x:v>2.0884317794222245</x:v>
      </x:c>
      <x:c r="V535" s="31" t="n">
        <x:f>L535*'Controls &amp; Summary'!$B$9+O535*'Controls &amp; Summary'!$B$10+R535*'Controls &amp; Summary'!$B$11+U535*'Controls &amp; Summary'!$B$12</x:f>
        <x:v>4.0384317794222255</x:v>
      </x:c>
      <x:c r="W535" s="31" t="n">
        <x:v>3</x:v>
      </x:c>
      <x:c r="X535" s="31" t="n">
        <x:v>2</x:v>
      </x:c>
      <x:c r="Y535" s="31" t="n">
        <x:f>((10-MIN(10,MAX(0,X535)))/10)*'Controls &amp; Summary'!$B$15+((10-MIN(10,MAX(0,W535)))/10)*'Controls &amp; Summary'!$B$16</x:f>
        <x:v>1.5</x:v>
      </x:c>
      <x:c r="Z535" s="31" t="n">
        <x:f>V535*Y535</x:f>
        <x:v>6.057647669133338</x:v>
      </x:c>
      <x:c r="AA535" s="30" t="str">
        <x:f>IF(Z535&lt;=I535,"Peaceful","Hostile")</x:f>
        <x:v>Hostile</x:v>
      </x:c>
      <x:c r="AB535" s="30" t="str">
        <x:f>IF(Z535&lt;='Controls &amp; Summary'!$B$6,"Eligible","Blocked")</x:f>
        <x:v>Eligible</x:v>
      </x:c>
      <x:c r="AC535" s="30" t="str">
        <x:v>COL</x:v>
      </x:c>
      <x:c r="AD535" s="30" t="str">
        <x:v>GUY</x:v>
      </x:c>
      <x:c r="AE535" s="30" t="str">
        <x:v>Guyana</x:v>
      </x:c>
      <x:c r="AF535" s="30" t="str">
        <x:v>Explicit capitalClaim</x:v>
      </x:c>
      <x:c r="AG535" s="30" t="str">
        <x:v>ClaimCOLGuyana</x:v>
      </x:c>
      <x:c r="AH535" s="30" t="str">
        <x:v>Project_GranColombia</x:v>
      </x:c>
    </x:row>
    <x:row r="536">
      <x:c r="A536" s="30" t="str">
        <x:v>2022</x:v>
      </x:c>
      <x:c r="B536" s="30" t="str">
        <x:v>Base game</x:v>
      </x:c>
      <x:c r="C536" s="30" t="str">
        <x:v>Colombia</x:v>
      </x:c>
      <x:c r="D536" s="30" t="str">
        <x:v>Honduras</x:v>
      </x:c>
      <x:c r="E536" s="30" t="str">
        <x:v>Project unlock</x:v>
      </x:c>
      <x:c r="F536" s="30" t="str">
        <x:v>Unidad Colombia</x:v>
      </x:c>
      <x:c r="G536" s="30" t="str">
        <x:v>No</x:v>
      </x:c>
      <x:c r="H536" s="30" t="str">
        <x:v>Ordinary claim</x:v>
      </x:c>
      <x:c r="I536" s="31" t="n">
        <x:f>IF(G536="Yes",'Controls &amp; Summary'!$B$5,'Controls &amp; Summary'!$B$4)</x:f>
        <x:v>6</x:v>
      </x:c>
      <x:c r="J536" s="31" t="n">
        <x:v>6.48</x:v>
      </x:c>
      <x:c r="K536" s="31" t="n">
        <x:v>5.1</x:v>
      </x:c>
      <x:c r="L536" s="31" t="n">
        <x:f>ABS(J536-K536)</x:f>
        <x:v>1.3800000000000008</x:v>
      </x:c>
      <x:c r="M536" s="31" t="n">
        <x:v>5.42</x:v>
      </x:c>
      <x:c r="N536" s="31" t="n">
        <x:v>4.82</x:v>
      </x:c>
      <x:c r="O536" s="31" t="n">
        <x:f>ABS(M536-N536)</x:f>
        <x:v>0.5999999999999996</x:v>
      </x:c>
      <x:c r="P536" s="31" t="n">
        <x:v>6.82</x:v>
      </x:c>
      <x:c r="Q536" s="31" t="n">
        <x:v>4.99</x:v>
      </x:c>
      <x:c r="R536" s="31" t="n">
        <x:f>ABS(P536-Q536)</x:f>
        <x:v>1.83</x:v>
      </x:c>
      <x:c r="S536" s="32" t="n">
        <x:v>16048.84946819688</x:v>
      </x:c>
      <x:c r="T536" s="32" t="n">
        <x:v>5945.335747799667</x:v>
      </x:c>
      <x:c r="U536" s="31" t="n">
        <x:f>MAX(S536/T536,T536/S536)</x:f>
        <x:v>2.6994017073192986</x:v>
      </x:c>
      <x:c r="V536" s="31" t="n">
        <x:f>L536*'Controls &amp; Summary'!$B$9+O536*'Controls &amp; Summary'!$B$10+R536*'Controls &amp; Summary'!$B$11+U536*'Controls &amp; Summary'!$B$12</x:f>
        <x:v>6.509401707319299</x:v>
      </x:c>
      <x:c r="W536" s="31" t="n">
        <x:v>3</x:v>
      </x:c>
      <x:c r="X536" s="31" t="n">
        <x:v>4</x:v>
      </x:c>
      <x:c r="Y536" s="31" t="n">
        <x:f>((10-MIN(10,MAX(0,X536)))/10)*'Controls &amp; Summary'!$B$15+((10-MIN(10,MAX(0,W536)))/10)*'Controls &amp; Summary'!$B$16</x:f>
        <x:v>1.2999999999999998</x:v>
      </x:c>
      <x:c r="Z536" s="31" t="n">
        <x:f>V536*Y536</x:f>
        <x:v>8.462222219515088</x:v>
      </x:c>
      <x:c r="AA536" s="30" t="str">
        <x:f>IF(Z536&lt;=I536,"Peaceful","Hostile")</x:f>
        <x:v>Hostile</x:v>
      </x:c>
      <x:c r="AB536" s="30" t="str">
        <x:f>IF(Z536&lt;='Controls &amp; Summary'!$B$6,"Eligible","Blocked")</x:f>
        <x:v>Eligible</x:v>
      </x:c>
      <x:c r="AC536" s="30" t="str">
        <x:v>COL</x:v>
      </x:c>
      <x:c r="AD536" s="30" t="str">
        <x:v>HON</x:v>
      </x:c>
      <x:c r="AE536" s="30" t="str">
        <x:v>Honduras</x:v>
      </x:c>
      <x:c r="AF536" s="30" t="str">
        <x:v>Explicit capitalClaim</x:v>
      </x:c>
      <x:c r="AG536" s="30" t="str">
        <x:v>ClaimCOLHonduras</x:v>
      </x:c>
      <x:c r="AH536" s="30" t="str">
        <x:v>Project_UnidadColombia</x:v>
      </x:c>
    </x:row>
    <x:row r="537">
      <x:c r="A537" s="30" t="str">
        <x:v>2022</x:v>
      </x:c>
      <x:c r="B537" s="30" t="str">
        <x:v>Base game</x:v>
      </x:c>
      <x:c r="C537" s="30" t="str">
        <x:v>Colombia</x:v>
      </x:c>
      <x:c r="D537" s="30" t="str">
        <x:v>Mexico</x:v>
      </x:c>
      <x:c r="E537" s="30" t="str">
        <x:v>Project unlock</x:v>
      </x:c>
      <x:c r="F537" s="30" t="str">
        <x:v>Unidad Colombia</x:v>
      </x:c>
      <x:c r="G537" s="30" t="str">
        <x:v>No</x:v>
      </x:c>
      <x:c r="H537" s="30" t="str">
        <x:v>Ordinary claim</x:v>
      </x:c>
      <x:c r="I537" s="31" t="n">
        <x:f>IF(G537="Yes",'Controls &amp; Summary'!$B$5,'Controls &amp; Summary'!$B$4)</x:f>
        <x:v>6</x:v>
      </x:c>
      <x:c r="J537" s="31" t="n">
        <x:v>6.48</x:v>
      </x:c>
      <x:c r="K537" s="31" t="n">
        <x:v>5.57</x:v>
      </x:c>
      <x:c r="L537" s="31" t="n">
        <x:f>ABS(J537-K537)</x:f>
        <x:v>0.9100000000000001</x:v>
      </x:c>
      <x:c r="M537" s="31" t="n">
        <x:v>5.42</x:v>
      </x:c>
      <x:c r="N537" s="31" t="n">
        <x:v>4.54</x:v>
      </x:c>
      <x:c r="O537" s="31" t="n">
        <x:f>ABS(M537-N537)</x:f>
        <x:v>0.8799999999999999</x:v>
      </x:c>
      <x:c r="P537" s="31" t="n">
        <x:v>6.82</x:v>
      </x:c>
      <x:c r="Q537" s="31" t="n">
        <x:v>7.03</x:v>
      </x:c>
      <x:c r="R537" s="31" t="n">
        <x:f>ABS(P537-Q537)</x:f>
        <x:v>0.20999999999999996</x:v>
      </x:c>
      <x:c r="S537" s="32" t="n">
        <x:v>16048.84946819688</x:v>
      </x:c>
      <x:c r="T537" s="32" t="n">
        <x:v>19276.2061564296</x:v>
      </x:c>
      <x:c r="U537" s="31" t="n">
        <x:f>MAX(S537/T537,T537/S537)</x:f>
        <x:v>1.2010958289956044</x:v>
      </x:c>
      <x:c r="V537" s="31" t="n">
        <x:f>L537*'Controls &amp; Summary'!$B$9+O537*'Controls &amp; Summary'!$B$10+R537*'Controls &amp; Summary'!$B$11+U537*'Controls &amp; Summary'!$B$12</x:f>
        <x:v>3.201095828995604</x:v>
      </x:c>
      <x:c r="W537" s="31" t="n">
        <x:v>3</x:v>
      </x:c>
      <x:c r="X537" s="31" t="n">
        <x:v>6</x:v>
      </x:c>
      <x:c r="Y537" s="31" t="n">
        <x:f>((10-MIN(10,MAX(0,X537)))/10)*'Controls &amp; Summary'!$B$15+((10-MIN(10,MAX(0,W537)))/10)*'Controls &amp; Summary'!$B$16</x:f>
        <x:v>1.1</x:v>
      </x:c>
      <x:c r="Z537" s="31" t="n">
        <x:f>V537*Y537</x:f>
        <x:v>3.521205411895165</x:v>
      </x:c>
      <x:c r="AA537" s="30" t="str">
        <x:f>IF(Z537&lt;=I537,"Peaceful","Hostile")</x:f>
        <x:v>Peaceful</x:v>
      </x:c>
      <x:c r="AB537" s="30" t="str">
        <x:f>IF(Z537&lt;='Controls &amp; Summary'!$B$6,"Eligible","Blocked")</x:f>
        <x:v>Eligible</x:v>
      </x:c>
      <x:c r="AC537" s="30" t="str">
        <x:v>COL</x:v>
      </x:c>
      <x:c r="AD537" s="30" t="str">
        <x:v>MEX</x:v>
      </x:c>
      <x:c r="AE537" s="30" t="str">
        <x:v>MexicoCity</x:v>
      </x:c>
      <x:c r="AF537" s="30" t="str">
        <x:v>Explicit capitalClaim</x:v>
      </x:c>
      <x:c r="AG537" s="30" t="str">
        <x:v>ClaimCOLMexicoCity</x:v>
      </x:c>
      <x:c r="AH537" s="30" t="str">
        <x:v>Project_UnidadColombia</x:v>
      </x:c>
    </x:row>
    <x:row r="538">
      <x:c r="A538" s="30" t="str">
        <x:v>2022</x:v>
      </x:c>
      <x:c r="B538" s="30" t="str">
        <x:v>Base game</x:v>
      </x:c>
      <x:c r="C538" s="30" t="str">
        <x:v>Colombia</x:v>
      </x:c>
      <x:c r="D538" s="30" t="str">
        <x:v>Nicaragua</x:v>
      </x:c>
      <x:c r="E538" s="30" t="str">
        <x:v>Project unlock</x:v>
      </x:c>
      <x:c r="F538" s="30" t="str">
        <x:v>Unidad Colombia</x:v>
      </x:c>
      <x:c r="G538" s="30" t="str">
        <x:v>No</x:v>
      </x:c>
      <x:c r="H538" s="30" t="str">
        <x:v>Ordinary claim</x:v>
      </x:c>
      <x:c r="I538" s="31" t="n">
        <x:f>IF(G538="Yes",'Controls &amp; Summary'!$B$5,'Controls &amp; Summary'!$B$4)</x:f>
        <x:v>6</x:v>
      </x:c>
      <x:c r="J538" s="31" t="n">
        <x:v>6.48</x:v>
      </x:c>
      <x:c r="K538" s="31" t="n">
        <x:v>2.69</x:v>
      </x:c>
      <x:c r="L538" s="31" t="n">
        <x:f>ABS(J538-K538)</x:f>
        <x:v>3.7900000000000005</x:v>
      </x:c>
      <x:c r="M538" s="31" t="n">
        <x:v>5.42</x:v>
      </x:c>
      <x:c r="N538" s="31" t="n">
        <x:v>4.62</x:v>
      </x:c>
      <x:c r="O538" s="31" t="n">
        <x:f>ABS(M538-N538)</x:f>
        <x:v>0.7999999999999998</x:v>
      </x:c>
      <x:c r="P538" s="31" t="n">
        <x:v>6.82</x:v>
      </x:c>
      <x:c r="Q538" s="31" t="n">
        <x:v>5.73</x:v>
      </x:c>
      <x:c r="R538" s="31" t="n">
        <x:f>ABS(P538-Q538)</x:f>
        <x:v>1.0899999999999999</x:v>
      </x:c>
      <x:c r="S538" s="32" t="n">
        <x:v>16048.84946819688</x:v>
      </x:c>
      <x:c r="T538" s="32" t="n">
        <x:v>6048.567399393878</x:v>
      </x:c>
      <x:c r="U538" s="31" t="n">
        <x:f>MAX(S538/T538,T538/S538)</x:f>
        <x:v>2.6533306828663465</x:v>
      </x:c>
      <x:c r="V538" s="31" t="n">
        <x:f>L538*'Controls &amp; Summary'!$B$9+O538*'Controls &amp; Summary'!$B$10+R538*'Controls &amp; Summary'!$B$11+U538*'Controls &amp; Summary'!$B$12</x:f>
        <x:v>8.333330682866347</x:v>
      </x:c>
      <x:c r="W538" s="31" t="n">
        <x:v>3</x:v>
      </x:c>
      <x:c r="X538" s="31" t="n">
        <x:v>4</x:v>
      </x:c>
      <x:c r="Y538" s="31" t="n">
        <x:f>((10-MIN(10,MAX(0,X538)))/10)*'Controls &amp; Summary'!$B$15+((10-MIN(10,MAX(0,W538)))/10)*'Controls &amp; Summary'!$B$16</x:f>
        <x:v>1.2999999999999998</x:v>
      </x:c>
      <x:c r="Z538" s="31" t="n">
        <x:f>V538*Y538</x:f>
        <x:v>10.833329887726249</x:v>
      </x:c>
      <x:c r="AA538" s="30" t="str">
        <x:f>IF(Z538&lt;=I538,"Peaceful","Hostile")</x:f>
        <x:v>Hostile</x:v>
      </x:c>
      <x:c r="AB538" s="30" t="str">
        <x:f>IF(Z538&lt;='Controls &amp; Summary'!$B$6,"Eligible","Blocked")</x:f>
        <x:v>Eligible</x:v>
      </x:c>
      <x:c r="AC538" s="30" t="str">
        <x:v>COL</x:v>
      </x:c>
      <x:c r="AD538" s="30" t="str">
        <x:v>NIC</x:v>
      </x:c>
      <x:c r="AE538" s="30" t="str">
        <x:v>Nicaragua</x:v>
      </x:c>
      <x:c r="AF538" s="30" t="str">
        <x:v>Explicit capitalClaim</x:v>
      </x:c>
      <x:c r="AG538" s="30" t="str">
        <x:v>ClaimCOLNicaragua</x:v>
      </x:c>
      <x:c r="AH538" s="30" t="str">
        <x:v>Project_UnidadColombia</x:v>
      </x:c>
    </x:row>
    <x:row r="539">
      <x:c r="A539" s="30" t="str">
        <x:v>2022</x:v>
      </x:c>
      <x:c r="B539" s="30" t="str">
        <x:v>Base game</x:v>
      </x:c>
      <x:c r="C539" s="30" t="str">
        <x:v>Colombia</x:v>
      </x:c>
      <x:c r="D539" s="30" t="str">
        <x:v>Panama</x:v>
      </x:c>
      <x:c r="E539" s="30" t="str">
        <x:v>Project unlock</x:v>
      </x:c>
      <x:c r="F539" s="30" t="str">
        <x:v>South American Confederations</x:v>
      </x:c>
      <x:c r="G539" s="30" t="str">
        <x:v>No</x:v>
      </x:c>
      <x:c r="H539" s="30" t="str">
        <x:v>Ordinary claim</x:v>
      </x:c>
      <x:c r="I539" s="31" t="n">
        <x:f>IF(G539="Yes",'Controls &amp; Summary'!$B$5,'Controls &amp; Summary'!$B$4)</x:f>
        <x:v>6</x:v>
      </x:c>
      <x:c r="J539" s="31" t="n">
        <x:v>6.48</x:v>
      </x:c>
      <x:c r="K539" s="31" t="n">
        <x:v>6.85</x:v>
      </x:c>
      <x:c r="L539" s="31" t="n">
        <x:f>ABS(J539-K539)</x:f>
        <x:v>0.3699999999999992</x:v>
      </x:c>
      <x:c r="M539" s="31" t="n">
        <x:v>5.42</x:v>
      </x:c>
      <x:c r="N539" s="31" t="n">
        <x:v>4.98</x:v>
      </x:c>
      <x:c r="O539" s="31" t="n">
        <x:f>ABS(M539-N539)</x:f>
        <x:v>0.4399999999999995</x:v>
      </x:c>
      <x:c r="P539" s="31" t="n">
        <x:v>6.82</x:v>
      </x:c>
      <x:c r="Q539" s="31" t="n">
        <x:v>7</x:v>
      </x:c>
      <x:c r="R539" s="31" t="n">
        <x:f>ABS(P539-Q539)</x:f>
        <x:v>0.17999999999999972</x:v>
      </x:c>
      <x:c r="S539" s="32" t="n">
        <x:v>16048.84946819688</x:v>
      </x:c>
      <x:c r="T539" s="32" t="n">
        <x:v>31244.04891413395</x:v>
      </x:c>
      <x:c r="U539" s="31" t="n">
        <x:f>MAX(S539/T539,T539/S539)</x:f>
        <x:v>1.946809269789</x:v>
      </x:c>
      <x:c r="V539" s="31" t="n">
        <x:f>L539*'Controls &amp; Summary'!$B$9+O539*'Controls &amp; Summary'!$B$10+R539*'Controls &amp; Summary'!$B$11+U539*'Controls &amp; Summary'!$B$12</x:f>
        <x:v>2.9368092697889985</x:v>
      </x:c>
      <x:c r="W539" s="31" t="n">
        <x:v>3</x:v>
      </x:c>
      <x:c r="X539" s="31" t="n">
        <x:v>2</x:v>
      </x:c>
      <x:c r="Y539" s="31" t="n">
        <x:f>((10-MIN(10,MAX(0,X539)))/10)*'Controls &amp; Summary'!$B$15+((10-MIN(10,MAX(0,W539)))/10)*'Controls &amp; Summary'!$B$16</x:f>
        <x:v>1.5</x:v>
      </x:c>
      <x:c r="Z539" s="31" t="n">
        <x:f>V539*Y539</x:f>
        <x:v>4.405213904683498</x:v>
      </x:c>
      <x:c r="AA539" s="30" t="str">
        <x:f>IF(Z539&lt;=I539,"Peaceful","Hostile")</x:f>
        <x:v>Peaceful</x:v>
      </x:c>
      <x:c r="AB539" s="30" t="str">
        <x:f>IF(Z539&lt;='Controls &amp; Summary'!$B$6,"Eligible","Blocked")</x:f>
        <x:v>Eligible</x:v>
      </x:c>
      <x:c r="AC539" s="30" t="str">
        <x:v>COL</x:v>
      </x:c>
      <x:c r="AD539" s="30" t="str">
        <x:v>PAN</x:v>
      </x:c>
      <x:c r="AE539" s="30" t="str">
        <x:v>Panama</x:v>
      </x:c>
      <x:c r="AF539" s="30" t="str">
        <x:v>Explicit capitalClaim</x:v>
      </x:c>
      <x:c r="AG539" s="30" t="str">
        <x:v>ClaimCOLPanama</x:v>
      </x:c>
      <x:c r="AH539" s="30" t="str">
        <x:v>Project_GranColombia</x:v>
      </x:c>
    </x:row>
    <x:row r="540">
      <x:c r="A540" s="30" t="str">
        <x:v>2022</x:v>
      </x:c>
      <x:c r="B540" s="30" t="str">
        <x:v>Base game</x:v>
      </x:c>
      <x:c r="C540" s="30" t="str">
        <x:v>Colombia</x:v>
      </x:c>
      <x:c r="D540" s="30" t="str">
        <x:v>Paraguay</x:v>
      </x:c>
      <x:c r="E540" s="30" t="str">
        <x:v>Project unlock</x:v>
      </x:c>
      <x:c r="F540" s="30" t="str">
        <x:v>Unidad Colombia</x:v>
      </x:c>
      <x:c r="G540" s="30" t="str">
        <x:v>No</x:v>
      </x:c>
      <x:c r="H540" s="30" t="str">
        <x:v>Ordinary claim</x:v>
      </x:c>
      <x:c r="I540" s="31" t="n">
        <x:f>IF(G540="Yes",'Controls &amp; Summary'!$B$5,'Controls &amp; Summary'!$B$4)</x:f>
        <x:v>6</x:v>
      </x:c>
      <x:c r="J540" s="31" t="n">
        <x:v>6.48</x:v>
      </x:c>
      <x:c r="K540" s="31" t="n">
        <x:v>5.86</x:v>
      </x:c>
      <x:c r="L540" s="31" t="n">
        <x:f>ABS(J540-K540)</x:f>
        <x:v>0.6200000000000001</x:v>
      </x:c>
      <x:c r="M540" s="31" t="n">
        <x:v>5.42</x:v>
      </x:c>
      <x:c r="N540" s="31" t="n">
        <x:v>4.35</x:v>
      </x:c>
      <x:c r="O540" s="31" t="n">
        <x:f>ABS(M540-N540)</x:f>
        <x:v>1.0700000000000003</x:v>
      </x:c>
      <x:c r="P540" s="31" t="n">
        <x:v>6.82</x:v>
      </x:c>
      <x:c r="Q540" s="31" t="n">
        <x:v>6.38</x:v>
      </x:c>
      <x:c r="R540" s="31" t="n">
        <x:f>ABS(P540-Q540)</x:f>
        <x:v>0.4400000000000004</x:v>
      </x:c>
      <x:c r="S540" s="32" t="n">
        <x:v>16048.84946819688</x:v>
      </x:c>
      <x:c r="T540" s="32" t="n">
        <x:v>12907.985540489528</x:v>
      </x:c>
      <x:c r="U540" s="31" t="n">
        <x:f>MAX(S540/T540,T540/S540)</x:f>
        <x:v>1.2433271960101868</x:v>
      </x:c>
      <x:c r="V540" s="31" t="n">
        <x:f>L540*'Controls &amp; Summary'!$B$9+O540*'Controls &amp; Summary'!$B$10+R540*'Controls &amp; Summary'!$B$11+U540*'Controls &amp; Summary'!$B$12</x:f>
        <x:v>3.3733271960101874</x:v>
      </x:c>
      <x:c r="W540" s="31" t="n">
        <x:v>3</x:v>
      </x:c>
      <x:c r="X540" s="31" t="n">
        <x:v>0</x:v>
      </x:c>
      <x:c r="Y540" s="31" t="n">
        <x:f>((10-MIN(10,MAX(0,X540)))/10)*'Controls &amp; Summary'!$B$15+((10-MIN(10,MAX(0,W540)))/10)*'Controls &amp; Summary'!$B$16</x:f>
        <x:v>1.7</x:v>
      </x:c>
      <x:c r="Z540" s="31" t="n">
        <x:f>V540*Y540</x:f>
        <x:v>5.7346562332173185</x:v>
      </x:c>
      <x:c r="AA540" s="30" t="str">
        <x:f>IF(Z540&lt;=I540,"Peaceful","Hostile")</x:f>
        <x:v>Peaceful</x:v>
      </x:c>
      <x:c r="AB540" s="30" t="str">
        <x:f>IF(Z540&lt;='Controls &amp; Summary'!$B$6,"Eligible","Blocked")</x:f>
        <x:v>Eligible</x:v>
      </x:c>
      <x:c r="AC540" s="30" t="str">
        <x:v>COL</x:v>
      </x:c>
      <x:c r="AD540" s="30" t="str">
        <x:v>PRY</x:v>
      </x:c>
      <x:c r="AE540" s="30" t="str">
        <x:v>Paraguay</x:v>
      </x:c>
      <x:c r="AF540" s="30" t="str">
        <x:v>Explicit capitalClaim</x:v>
      </x:c>
      <x:c r="AG540" s="30" t="str">
        <x:v>ClaimCOLParaguay</x:v>
      </x:c>
      <x:c r="AH540" s="30" t="str">
        <x:v>Project_UnidadColombia</x:v>
      </x:c>
    </x:row>
    <x:row r="541">
      <x:c r="A541" s="30" t="str">
        <x:v>2022</x:v>
      </x:c>
      <x:c r="B541" s="30" t="str">
        <x:v>Base game</x:v>
      </x:c>
      <x:c r="C541" s="30" t="str">
        <x:v>Colombia</x:v>
      </x:c>
      <x:c r="D541" s="30" t="str">
        <x:v>Peru</x:v>
      </x:c>
      <x:c r="E541" s="30" t="str">
        <x:v>Project unlock</x:v>
      </x:c>
      <x:c r="F541" s="30" t="str">
        <x:v>Unidad Colombia</x:v>
      </x:c>
      <x:c r="G541" s="30" t="str">
        <x:v>No</x:v>
      </x:c>
      <x:c r="H541" s="30" t="str">
        <x:v>Ordinary claim</x:v>
      </x:c>
      <x:c r="I541" s="31" t="n">
        <x:f>IF(G541="Yes",'Controls &amp; Summary'!$B$5,'Controls &amp; Summary'!$B$4)</x:f>
        <x:v>6</x:v>
      </x:c>
      <x:c r="J541" s="31" t="n">
        <x:v>6.48</x:v>
      </x:c>
      <x:c r="K541" s="31" t="n">
        <x:v>6.09</x:v>
      </x:c>
      <x:c r="L541" s="31" t="n">
        <x:f>ABS(J541-K541)</x:f>
        <x:v>0.39000000000000057</x:v>
      </x:c>
      <x:c r="M541" s="31" t="n">
        <x:v>5.42</x:v>
      </x:c>
      <x:c r="N541" s="31" t="n">
        <x:v>4.38</x:v>
      </x:c>
      <x:c r="O541" s="31" t="n">
        <x:f>ABS(M541-N541)</x:f>
        <x:v>1.04</x:v>
      </x:c>
      <x:c r="P541" s="31" t="n">
        <x:v>6.82</x:v>
      </x:c>
      <x:c r="Q541" s="31" t="n">
        <x:v>7.4</x:v>
      </x:c>
      <x:c r="R541" s="31" t="n">
        <x:f>ABS(P541-Q541)</x:f>
        <x:v>0.5800000000000001</x:v>
      </x:c>
      <x:c r="S541" s="32" t="n">
        <x:v>16048.84946819688</x:v>
      </x:c>
      <x:c r="T541" s="32" t="n">
        <x:v>13382.935372824697</x:v>
      </x:c>
      <x:c r="U541" s="31" t="n">
        <x:f>MAX(S541/T541,T541/S541)</x:f>
        <x:v>1.199202493407057</x:v>
      </x:c>
      <x:c r="V541" s="31" t="n">
        <x:f>L541*'Controls &amp; Summary'!$B$9+O541*'Controls &amp; Summary'!$B$10+R541*'Controls &amp; Summary'!$B$11+U541*'Controls &amp; Summary'!$B$12</x:f>
        <x:v>3.2092024934070578</x:v>
      </x:c>
      <x:c r="W541" s="31" t="n">
        <x:v>3</x:v>
      </x:c>
      <x:c r="X541" s="31" t="n">
        <x:v>3</x:v>
      </x:c>
      <x:c r="Y541" s="31" t="n">
        <x:f>((10-MIN(10,MAX(0,X541)))/10)*'Controls &amp; Summary'!$B$15+((10-MIN(10,MAX(0,W541)))/10)*'Controls &amp; Summary'!$B$16</x:f>
        <x:v>1.4</x:v>
      </x:c>
      <x:c r="Z541" s="31" t="n">
        <x:f>V541*Y541</x:f>
        <x:v>4.492883490769881</x:v>
      </x:c>
      <x:c r="AA541" s="30" t="str">
        <x:f>IF(Z541&lt;=I541,"Peaceful","Hostile")</x:f>
        <x:v>Peaceful</x:v>
      </x:c>
      <x:c r="AB541" s="30" t="str">
        <x:f>IF(Z541&lt;='Controls &amp; Summary'!$B$6,"Eligible","Blocked")</x:f>
        <x:v>Eligible</x:v>
      </x:c>
      <x:c r="AC541" s="30" t="str">
        <x:v>COL</x:v>
      </x:c>
      <x:c r="AD541" s="30" t="str">
        <x:v>PER</x:v>
      </x:c>
      <x:c r="AE541" s="30" t="str">
        <x:v>Peru</x:v>
      </x:c>
      <x:c r="AF541" s="30" t="str">
        <x:v>Explicit capitalClaim</x:v>
      </x:c>
      <x:c r="AG541" s="30" t="str">
        <x:v>ClaimCOLPeru</x:v>
      </x:c>
      <x:c r="AH541" s="30" t="str">
        <x:v>Project_UnidadColombia</x:v>
      </x:c>
    </x:row>
    <x:row r="542">
      <x:c r="A542" s="30" t="str">
        <x:v>2022</x:v>
      </x:c>
      <x:c r="B542" s="30" t="str">
        <x:v>Base game</x:v>
      </x:c>
      <x:c r="C542" s="30" t="str">
        <x:v>Colombia</x:v>
      </x:c>
      <x:c r="D542" s="30" t="str">
        <x:v>Suriname</x:v>
      </x:c>
      <x:c r="E542" s="30" t="str">
        <x:v>Project unlock</x:v>
      </x:c>
      <x:c r="F542" s="30" t="str">
        <x:v>South American Confederations</x:v>
      </x:c>
      <x:c r="G542" s="30" t="str">
        <x:v>No</x:v>
      </x:c>
      <x:c r="H542" s="30" t="str">
        <x:v>Ordinary claim</x:v>
      </x:c>
      <x:c r="I542" s="31" t="n">
        <x:f>IF(G542="Yes",'Controls &amp; Summary'!$B$5,'Controls &amp; Summary'!$B$4)</x:f>
        <x:v>6</x:v>
      </x:c>
      <x:c r="J542" s="31" t="n">
        <x:v>6.48</x:v>
      </x:c>
      <x:c r="K542" s="31" t="n">
        <x:v>6.82</x:v>
      </x:c>
      <x:c r="L542" s="31" t="n">
        <x:f>ABS(J542-K542)</x:f>
        <x:v>0.33999999999999986</x:v>
      </x:c>
      <x:c r="M542" s="31" t="n">
        <x:v>5.42</x:v>
      </x:c>
      <x:c r="N542" s="31" t="n">
        <x:v>5.79</x:v>
      </x:c>
      <x:c r="O542" s="31" t="n">
        <x:f>ABS(M542-N542)</x:f>
        <x:v>0.3700000000000001</x:v>
      </x:c>
      <x:c r="P542" s="31" t="n">
        <x:v>6.82</x:v>
      </x:c>
      <x:c r="Q542" s="31" t="n">
        <x:v>6.75</x:v>
      </x:c>
      <x:c r="R542" s="31" t="n">
        <x:f>ABS(P542-Q542)</x:f>
        <x:v>0.07000000000000028</x:v>
      </x:c>
      <x:c r="S542" s="32" t="n">
        <x:v>16048.84946819688</x:v>
      </x:c>
      <x:c r="T542" s="32" t="n">
        <x:v>15700.892095820684</x:v>
      </x:c>
      <x:c r="U542" s="31" t="n">
        <x:f>MAX(S542/T542,T542/S542)</x:f>
        <x:v>1.0221616307056092</x:v>
      </x:c>
      <x:c r="V542" s="31" t="n">
        <x:f>L542*'Controls &amp; Summary'!$B$9+O542*'Controls &amp; Summary'!$B$10+R542*'Controls &amp; Summary'!$B$11+U542*'Controls &amp; Summary'!$B$12</x:f>
        <x:v>1.8021616307056094</x:v>
      </x:c>
      <x:c r="W542" s="31" t="n">
        <x:v>3</x:v>
      </x:c>
      <x:c r="X542" s="31" t="n">
        <x:v>1</x:v>
      </x:c>
      <x:c r="Y542" s="31" t="n">
        <x:f>((10-MIN(10,MAX(0,X542)))/10)*'Controls &amp; Summary'!$B$15+((10-MIN(10,MAX(0,W542)))/10)*'Controls &amp; Summary'!$B$16</x:f>
        <x:v>1.6</x:v>
      </x:c>
      <x:c r="Z542" s="31" t="n">
        <x:f>V542*Y542</x:f>
        <x:v>2.8834586091289753</x:v>
      </x:c>
      <x:c r="AA542" s="30" t="str">
        <x:f>IF(Z542&lt;=I542,"Peaceful","Hostile")</x:f>
        <x:v>Peaceful</x:v>
      </x:c>
      <x:c r="AB542" s="30" t="str">
        <x:f>IF(Z542&lt;='Controls &amp; Summary'!$B$6,"Eligible","Blocked")</x:f>
        <x:v>Eligible</x:v>
      </x:c>
      <x:c r="AC542" s="30" t="str">
        <x:v>COL</x:v>
      </x:c>
      <x:c r="AD542" s="30" t="str">
        <x:v>SUR</x:v>
      </x:c>
      <x:c r="AE542" s="30" t="str">
        <x:v>Suriname</x:v>
      </x:c>
      <x:c r="AF542" s="30" t="str">
        <x:v>Explicit capitalClaim</x:v>
      </x:c>
      <x:c r="AG542" s="30" t="str">
        <x:v>ClaimCOLSuriname</x:v>
      </x:c>
      <x:c r="AH542" s="30" t="str">
        <x:v>Project_GranColombia</x:v>
      </x:c>
    </x:row>
    <x:row r="543">
      <x:c r="A543" s="30" t="str">
        <x:v>2022</x:v>
      </x:c>
      <x:c r="B543" s="30" t="str">
        <x:v>Base game</x:v>
      </x:c>
      <x:c r="C543" s="30" t="str">
        <x:v>Colombia</x:v>
      </x:c>
      <x:c r="D543" s="30" t="str">
        <x:v>Uruguay</x:v>
      </x:c>
      <x:c r="E543" s="30" t="str">
        <x:v>Project unlock</x:v>
      </x:c>
      <x:c r="F543" s="30" t="str">
        <x:v>Unidad Colombia</x:v>
      </x:c>
      <x:c r="G543" s="30" t="str">
        <x:v>No</x:v>
      </x:c>
      <x:c r="H543" s="30" t="str">
        <x:v>Ordinary claim</x:v>
      </x:c>
      <x:c r="I543" s="31" t="n">
        <x:f>IF(G543="Yes",'Controls &amp; Summary'!$B$5,'Controls &amp; Summary'!$B$4)</x:f>
        <x:v>6</x:v>
      </x:c>
      <x:c r="J543" s="31" t="n">
        <x:v>6.48</x:v>
      </x:c>
      <x:c r="K543" s="31" t="n">
        <x:v>8.85</x:v>
      </x:c>
      <x:c r="L543" s="31" t="n">
        <x:f>ABS(J543-K543)</x:f>
        <x:v>2.369999999999999</x:v>
      </x:c>
      <x:c r="M543" s="31" t="n">
        <x:v>5.42</x:v>
      </x:c>
      <x:c r="N543" s="31" t="n">
        <x:v>4.02</x:v>
      </x:c>
      <x:c r="O543" s="31" t="n">
        <x:f>ABS(M543-N543)</x:f>
        <x:v>1.4000000000000004</x:v>
      </x:c>
      <x:c r="P543" s="31" t="n">
        <x:v>6.82</x:v>
      </x:c>
      <x:c r="Q543" s="31" t="n">
        <x:v>7.65</x:v>
      </x:c>
      <x:c r="R543" s="31" t="n">
        <x:f>ABS(P543-Q543)</x:f>
        <x:v>0.8300000000000001</x:v>
      </x:c>
      <x:c r="S543" s="32" t="n">
        <x:v>16048.84946819688</x:v>
      </x:c>
      <x:c r="T543" s="32" t="n">
        <x:v>23835.46509981235</x:v>
      </x:c>
      <x:c r="U543" s="31" t="n">
        <x:f>MAX(S543/T543,T543/S543)</x:f>
        <x:v>1.4851821712855975</x:v>
      </x:c>
      <x:c r="V543" s="31" t="n">
        <x:f>L543*'Controls &amp; Summary'!$B$9+O543*'Controls &amp; Summary'!$B$10+R543*'Controls &amp; Summary'!$B$11+U543*'Controls &amp; Summary'!$B$12</x:f>
        <x:v>6.085182171285597</x:v>
      </x:c>
      <x:c r="W543" s="31" t="n">
        <x:v>3</x:v>
      </x:c>
      <x:c r="X543" s="31" t="n">
        <x:v>1</x:v>
      </x:c>
      <x:c r="Y543" s="31" t="n">
        <x:f>((10-MIN(10,MAX(0,X543)))/10)*'Controls &amp; Summary'!$B$15+((10-MIN(10,MAX(0,W543)))/10)*'Controls &amp; Summary'!$B$16</x:f>
        <x:v>1.6</x:v>
      </x:c>
      <x:c r="Z543" s="31" t="n">
        <x:f>V543*Y543</x:f>
        <x:v>9.736291474056955</x:v>
      </x:c>
      <x:c r="AA543" s="30" t="str">
        <x:f>IF(Z543&lt;=I543,"Peaceful","Hostile")</x:f>
        <x:v>Hostile</x:v>
      </x:c>
      <x:c r="AB543" s="30" t="str">
        <x:f>IF(Z543&lt;='Controls &amp; Summary'!$B$6,"Eligible","Blocked")</x:f>
        <x:v>Eligible</x:v>
      </x:c>
      <x:c r="AC543" s="30" t="str">
        <x:v>COL</x:v>
      </x:c>
      <x:c r="AD543" s="30" t="str">
        <x:v>URY</x:v>
      </x:c>
      <x:c r="AE543" s="30" t="str">
        <x:v>Uruguay</x:v>
      </x:c>
      <x:c r="AF543" s="30" t="str">
        <x:v>Explicit capitalClaim</x:v>
      </x:c>
      <x:c r="AG543" s="30" t="str">
        <x:v>ClaimCOLUruguay</x:v>
      </x:c>
      <x:c r="AH543" s="30" t="str">
        <x:v>Project_UnidadColombia</x:v>
      </x:c>
    </x:row>
    <x:row r="544">
      <x:c r="A544" s="30" t="str">
        <x:v>2022</x:v>
      </x:c>
      <x:c r="B544" s="30" t="str">
        <x:v>Base game</x:v>
      </x:c>
      <x:c r="C544" s="30" t="str">
        <x:v>Colombia</x:v>
      </x:c>
      <x:c r="D544" s="30" t="str">
        <x:v>Venezuela</x:v>
      </x:c>
      <x:c r="E544" s="30" t="str">
        <x:v>Project unlock</x:v>
      </x:c>
      <x:c r="F544" s="30" t="str">
        <x:v>South American Confederations</x:v>
      </x:c>
      <x:c r="G544" s="30" t="str">
        <x:v>No</x:v>
      </x:c>
      <x:c r="H544" s="30" t="str">
        <x:v>Ordinary claim</x:v>
      </x:c>
      <x:c r="I544" s="31" t="n">
        <x:f>IF(G544="Yes",'Controls &amp; Summary'!$B$5,'Controls &amp; Summary'!$B$4)</x:f>
        <x:v>6</x:v>
      </x:c>
      <x:c r="J544" s="31" t="n">
        <x:v>6.48</x:v>
      </x:c>
      <x:c r="K544" s="31" t="n">
        <x:v>2.11</x:v>
      </x:c>
      <x:c r="L544" s="31" t="n">
        <x:f>ABS(J544-K544)</x:f>
        <x:v>4.370000000000001</x:v>
      </x:c>
      <x:c r="M544" s="31" t="n">
        <x:v>5.42</x:v>
      </x:c>
      <x:c r="N544" s="31" t="n">
        <x:v>4.48</x:v>
      </x:c>
      <x:c r="O544" s="31" t="n">
        <x:f>ABS(M544-N544)</x:f>
        <x:v>0.9399999999999995</x:v>
      </x:c>
      <x:c r="P544" s="31" t="n">
        <x:v>6.82</x:v>
      </x:c>
      <x:c r="Q544" s="31" t="n">
        <x:v>7</x:v>
      </x:c>
      <x:c r="R544" s="31" t="n">
        <x:f>ABS(P544-Q544)</x:f>
        <x:v>0.17999999999999972</x:v>
      </x:c>
      <x:c r="S544" s="32" t="n">
        <x:v>16048.84946819688</x:v>
      </x:c>
      <x:c r="T544" s="32" t="n">
        <x:v>4781.536333352792</x:v>
      </x:c>
      <x:c r="U544" s="31" t="n">
        <x:f>MAX(S544/T544,T544/S544)</x:f>
        <x:v>3.356421105963551</x:v>
      </x:c>
      <x:c r="V544" s="31" t="n">
        <x:f>L544*'Controls &amp; Summary'!$B$9+O544*'Controls &amp; Summary'!$B$10+R544*'Controls &amp; Summary'!$B$11+U544*'Controls &amp; Summary'!$B$12</x:f>
        <x:v>8.84642110596355</x:v>
      </x:c>
      <x:c r="W544" s="31" t="n">
        <x:v>3</x:v>
      </x:c>
      <x:c r="X544" s="31" t="n">
        <x:v>6</x:v>
      </x:c>
      <x:c r="Y544" s="31" t="n">
        <x:f>((10-MIN(10,MAX(0,X544)))/10)*'Controls &amp; Summary'!$B$15+((10-MIN(10,MAX(0,W544)))/10)*'Controls &amp; Summary'!$B$16</x:f>
        <x:v>1.1</x:v>
      </x:c>
      <x:c r="Z544" s="31" t="n">
        <x:f>V544*Y544</x:f>
        <x:v>9.731063216559907</x:v>
      </x:c>
      <x:c r="AA544" s="30" t="str">
        <x:f>IF(Z544&lt;=I544,"Peaceful","Hostile")</x:f>
        <x:v>Hostile</x:v>
      </x:c>
      <x:c r="AB544" s="30" t="str">
        <x:f>IF(Z544&lt;='Controls &amp; Summary'!$B$6,"Eligible","Blocked")</x:f>
        <x:v>Eligible</x:v>
      </x:c>
      <x:c r="AC544" s="30" t="str">
        <x:v>COL</x:v>
      </x:c>
      <x:c r="AD544" s="30" t="str">
        <x:v>VEN</x:v>
      </x:c>
      <x:c r="AE544" s="30" t="str">
        <x:v>Venezuela</x:v>
      </x:c>
      <x:c r="AF544" s="30" t="str">
        <x:v>Explicit capitalClaim</x:v>
      </x:c>
      <x:c r="AG544" s="30" t="str">
        <x:v>ClaimCOLVenezuela</x:v>
      </x:c>
      <x:c r="AH544" s="30" t="str">
        <x:v>Project_GranColombia</x:v>
      </x:c>
    </x:row>
    <x:row r="545">
      <x:c r="A545" s="30" t="str">
        <x:v>2022</x:v>
      </x:c>
      <x:c r="B545" s="30" t="str">
        <x:v>Base game</x:v>
      </x:c>
      <x:c r="C545" s="30" t="str">
        <x:v>Czechia</x:v>
      </x:c>
      <x:c r="D545" s="30" t="str">
        <x:v>Slovakia</x:v>
      </x:c>
      <x:c r="E545" s="30" t="str">
        <x:v>Starting claim</x:v>
      </x:c>
      <x:c r="F545" s="30" t="str"/>
      <x:c r="G545" s="30" t="str">
        <x:v>No</x:v>
      </x:c>
      <x:c r="H545" s="30" t="str">
        <x:v>Ordinary claim</x:v>
      </x:c>
      <x:c r="I545" s="31" t="n">
        <x:f>IF(G545="Yes",'Controls &amp; Summary'!$B$5,'Controls &amp; Summary'!$B$4)</x:f>
        <x:v>6</x:v>
      </x:c>
      <x:c r="J545" s="31" t="n">
        <x:v>7.74</x:v>
      </x:c>
      <x:c r="K545" s="31" t="n">
        <x:v>7.03</x:v>
      </x:c>
      <x:c r="L545" s="31" t="n">
        <x:f>ABS(J545-K545)</x:f>
        <x:v>0.71</x:v>
      </x:c>
      <x:c r="M545" s="31" t="n">
        <x:v>2.53</x:v>
      </x:c>
      <x:c r="N545" s="31" t="n">
        <x:v>2.32</x:v>
      </x:c>
      <x:c r="O545" s="31" t="n">
        <x:f>ABS(M545-N545)</x:f>
        <x:v>0.20999999999999996</x:v>
      </x:c>
      <x:c r="P545" s="31" t="n">
        <x:v>8.9</x:v>
      </x:c>
      <x:c r="Q545" s="31" t="n">
        <x:v>8.26</x:v>
      </x:c>
      <x:c r="R545" s="31" t="n">
        <x:f>ABS(P545-Q545)</x:f>
        <x:v>0.6400000000000006</x:v>
      </x:c>
      <x:c r="S545" s="32" t="n">
        <x:v>41782.2673233449</x:v>
      </x:c>
      <x:c r="T545" s="32" t="n">
        <x:v>34026.561582197755</x:v>
      </x:c>
      <x:c r="U545" s="31" t="n">
        <x:f>MAX(S545/T545,T545/S545)</x:f>
        <x:v>1.2279309275023789</x:v>
      </x:c>
      <x:c r="V545" s="31" t="n">
        <x:f>L545*'Controls &amp; Summary'!$B$9+O545*'Controls &amp; Summary'!$B$10+R545*'Controls &amp; Summary'!$B$11+U545*'Controls &amp; Summary'!$B$12</x:f>
        <x:v>2.787930927502379</x:v>
      </x:c>
      <x:c r="W545" s="31" t="n">
        <x:v>7</x:v>
      </x:c>
      <x:c r="X545" s="31" t="n">
        <x:v>1</x:v>
      </x:c>
      <x:c r="Y545" s="31" t="n">
        <x:f>((10-MIN(10,MAX(0,X545)))/10)*'Controls &amp; Summary'!$B$15+((10-MIN(10,MAX(0,W545)))/10)*'Controls &amp; Summary'!$B$16</x:f>
        <x:v>1.2</x:v>
      </x:c>
      <x:c r="Z545" s="31" t="n">
        <x:f>V545*Y545</x:f>
        <x:v>3.3455171130028547</x:v>
      </x:c>
      <x:c r="AA545" s="30" t="str">
        <x:f>IF(Z545&lt;=I545,"Peaceful","Hostile")</x:f>
        <x:v>Peaceful</x:v>
      </x:c>
      <x:c r="AB545" s="30" t="str">
        <x:f>IF(Z545&lt;='Controls &amp; Summary'!$B$6,"Eligible","Blocked")</x:f>
        <x:v>Eligible</x:v>
      </x:c>
      <x:c r="AC545" s="30" t="str">
        <x:v>CZE</x:v>
      </x:c>
      <x:c r="AD545" s="30" t="str">
        <x:v>SLO</x:v>
      </x:c>
      <x:c r="AE545" s="30" t="str">
        <x:v>Slovakia</x:v>
      </x:c>
      <x:c r="AF545" s="30" t="str">
        <x:v>Explicit capitalClaim</x:v>
      </x:c>
      <x:c r="AG545" s="30" t="str">
        <x:v>ClaimCZESlovakia</x:v>
      </x:c>
      <x:c r="AH545" s="30" t="str"/>
    </x:row>
    <x:row r="546">
      <x:c r="A546" s="30" t="str">
        <x:v>2022</x:v>
      </x:c>
      <x:c r="B546" s="30" t="str">
        <x:v>Base game</x:v>
      </x:c>
      <x:c r="C546" s="30" t="str">
        <x:v>Egypt</x:v>
      </x:c>
      <x:c r="D546" s="30" t="str">
        <x:v>Algeria</x:v>
      </x:c>
      <x:c r="E546" s="30" t="str">
        <x:v>Project unlock</x:v>
      </x:c>
      <x:c r="F546" s="30" t="str">
        <x:v>United Arab League</x:v>
      </x:c>
      <x:c r="G546" s="30" t="str">
        <x:v>No</x:v>
      </x:c>
      <x:c r="H546" s="30" t="str">
        <x:v>Ordinary claim</x:v>
      </x:c>
      <x:c r="I546" s="31" t="n">
        <x:f>IF(G546="Yes",'Controls &amp; Summary'!$B$5,'Controls &amp; Summary'!$B$4)</x:f>
        <x:v>6</x:v>
      </x:c>
      <x:c r="J546" s="31" t="n">
        <x:v>2.93</x:v>
      </x:c>
      <x:c r="K546" s="31" t="n">
        <x:v>3.77</x:v>
      </x:c>
      <x:c r="L546" s="31" t="n">
        <x:f>ABS(J546-K546)</x:f>
        <x:v>0.8399999999999999</x:v>
      </x:c>
      <x:c r="M546" s="31" t="n">
        <x:v>3.15</x:v>
      </x:c>
      <x:c r="N546" s="31" t="n">
        <x:v>2.76</x:v>
      </x:c>
      <x:c r="O546" s="31" t="n">
        <x:f>ABS(M546-N546)</x:f>
        <x:v>0.3900000000000001</x:v>
      </x:c>
      <x:c r="P546" s="31" t="n">
        <x:v>6.18</x:v>
      </x:c>
      <x:c r="Q546" s="31" t="n">
        <x:v>6.72</x:v>
      </x:c>
      <x:c r="R546" s="31" t="n">
        <x:f>ABS(P546-Q546)</x:f>
        <x:v>0.54</x:v>
      </x:c>
      <x:c r="S546" s="32" t="n">
        <x:v>12879.654518552721</x:v>
      </x:c>
      <x:c r="T546" s="32" t="n">
        <x:v>11317.538852483374</x:v>
      </x:c>
      <x:c r="U546" s="31" t="n">
        <x:f>MAX(S546/T546,T546/S546)</x:f>
        <x:v>1.1380260926364372</x:v>
      </x:c>
      <x:c r="V546" s="31" t="n">
        <x:f>L546*'Controls &amp; Summary'!$B$9+O546*'Controls &amp; Summary'!$B$10+R546*'Controls &amp; Summary'!$B$11+U546*'Controls &amp; Summary'!$B$12</x:f>
        <x:v>2.908026092636437</x:v>
      </x:c>
      <x:c r="W546" s="31" t="n">
        <x:v>7</x:v>
      </x:c>
      <x:c r="X546" s="31" t="n">
        <x:v>3</x:v>
      </x:c>
      <x:c r="Y546" s="31" t="n">
        <x:f>((10-MIN(10,MAX(0,X546)))/10)*'Controls &amp; Summary'!$B$15+((10-MIN(10,MAX(0,W546)))/10)*'Controls &amp; Summary'!$B$16</x:f>
        <x:v>1</x:v>
      </x:c>
      <x:c r="Z546" s="31" t="n">
        <x:f>V546*Y546</x:f>
        <x:v>2.908026092636437</x:v>
      </x:c>
      <x:c r="AA546" s="30" t="str">
        <x:f>IF(Z546&lt;=I546,"Peaceful","Hostile")</x:f>
        <x:v>Peaceful</x:v>
      </x:c>
      <x:c r="AB546" s="30" t="str">
        <x:f>IF(Z546&lt;='Controls &amp; Summary'!$B$6,"Eligible","Blocked")</x:f>
        <x:v>Eligible</x:v>
      </x:c>
      <x:c r="AC546" s="30" t="str">
        <x:v>EGY</x:v>
      </x:c>
      <x:c r="AD546" s="30" t="str">
        <x:v>DZA</x:v>
      </x:c>
      <x:c r="AE546" s="30" t="str">
        <x:v>Algeria</x:v>
      </x:c>
      <x:c r="AF546" s="30" t="str">
        <x:v>Explicit capitalClaim</x:v>
      </x:c>
      <x:c r="AG546" s="30" t="str">
        <x:v>ClaimEGYAlgeria</x:v>
      </x:c>
      <x:c r="AH546" s="30" t="str">
        <x:v>Project_UnitedArabLeague</x:v>
      </x:c>
    </x:row>
    <x:row r="547">
      <x:c r="A547" s="30" t="str">
        <x:v>2022</x:v>
      </x:c>
      <x:c r="B547" s="30" t="str">
        <x:v>Base game</x:v>
      </x:c>
      <x:c r="C547" s="30" t="str">
        <x:v>Egypt</x:v>
      </x:c>
      <x:c r="D547" s="30" t="str">
        <x:v>Gulf States</x:v>
      </x:c>
      <x:c r="E547" s="30" t="str">
        <x:v>Project unlock</x:v>
      </x:c>
      <x:c r="F547" s="30" t="str">
        <x:v>United Arab League</x:v>
      </x:c>
      <x:c r="G547" s="30" t="str">
        <x:v>No</x:v>
      </x:c>
      <x:c r="H547" s="30" t="str">
        <x:v>Ordinary claim</x:v>
      </x:c>
      <x:c r="I547" s="31" t="n">
        <x:f>IF(G547="Yes",'Controls &amp; Summary'!$B$5,'Controls &amp; Summary'!$B$4)</x:f>
        <x:v>6</x:v>
      </x:c>
      <x:c r="J547" s="31" t="n">
        <x:v>2.93</x:v>
      </x:c>
      <x:c r="K547" s="31" t="n">
        <x:v>3.23</x:v>
      </x:c>
      <x:c r="L547" s="31" t="n">
        <x:f>ABS(J547-K547)</x:f>
        <x:v>0.2999999999999998</x:v>
      </x:c>
      <x:c r="M547" s="31" t="n">
        <x:v>3.15</x:v>
      </x:c>
      <x:c r="N547" s="31" t="n">
        <x:v>4.24</x:v>
      </x:c>
      <x:c r="O547" s="31" t="n">
        <x:f>ABS(M547-N547)</x:f>
        <x:v>1.0900000000000003</x:v>
      </x:c>
      <x:c r="P547" s="31" t="n">
        <x:v>6.18</x:v>
      </x:c>
      <x:c r="Q547" s="31" t="n">
        <x:v>7</x:v>
      </x:c>
      <x:c r="R547" s="31" t="n">
        <x:f>ABS(P547-Q547)</x:f>
        <x:v>0.8200000000000003</x:v>
      </x:c>
      <x:c r="S547" s="32" t="n">
        <x:v>12879.654518552721</x:v>
      </x:c>
      <x:c r="T547" s="32" t="n">
        <x:v>71360.01182603187</x:v>
      </x:c>
      <x:c r="U547" s="31" t="n">
        <x:f>MAX(S547/T547,T547/S547)</x:f>
        <x:v>5.5405222029240075</x:v>
      </x:c>
      <x:c r="V547" s="31" t="n">
        <x:f>L547*'Controls &amp; Summary'!$B$9+O547*'Controls &amp; Summary'!$B$10+R547*'Controls &amp; Summary'!$B$11+U547*'Controls &amp; Summary'!$B$12</x:f>
        <x:v>7.750522202924008</x:v>
      </x:c>
      <x:c r="W547" s="31" t="n">
        <x:v>7</x:v>
      </x:c>
      <x:c r="X547" s="31" t="n">
        <x:v>2</x:v>
      </x:c>
      <x:c r="Y547" s="31" t="n">
        <x:f>((10-MIN(10,MAX(0,X547)))/10)*'Controls &amp; Summary'!$B$15+((10-MIN(10,MAX(0,W547)))/10)*'Controls &amp; Summary'!$B$16</x:f>
        <x:v>1.1</x:v>
      </x:c>
      <x:c r="Z547" s="31" t="n">
        <x:f>V547*Y547</x:f>
        <x:v>8.52557442321641</x:v>
      </x:c>
      <x:c r="AA547" s="30" t="str">
        <x:f>IF(Z547&lt;=I547,"Peaceful","Hostile")</x:f>
        <x:v>Hostile</x:v>
      </x:c>
      <x:c r="AB547" s="30" t="str">
        <x:f>IF(Z547&lt;='Controls &amp; Summary'!$B$6,"Eligible","Blocked")</x:f>
        <x:v>Eligible</x:v>
      </x:c>
      <x:c r="AC547" s="30" t="str">
        <x:v>EGY</x:v>
      </x:c>
      <x:c r="AD547" s="30" t="str">
        <x:v>GUS</x:v>
      </x:c>
      <x:c r="AE547" s="30" t="str">
        <x:v>GulfStates</x:v>
      </x:c>
      <x:c r="AF547" s="30" t="str">
        <x:v>Explicit capitalClaim</x:v>
      </x:c>
      <x:c r="AG547" s="30" t="str">
        <x:v>ClaimEGYGulfStates</x:v>
      </x:c>
      <x:c r="AH547" s="30" t="str">
        <x:v>Project_UnitedArabLeague</x:v>
      </x:c>
    </x:row>
    <x:row r="548">
      <x:c r="A548" s="30" t="str">
        <x:v>2022</x:v>
      </x:c>
      <x:c r="B548" s="30" t="str">
        <x:v>Base game</x:v>
      </x:c>
      <x:c r="C548" s="30" t="str">
        <x:v>Egypt</x:v>
      </x:c>
      <x:c r="D548" s="30" t="str">
        <x:v>Iraq</x:v>
      </x:c>
      <x:c r="E548" s="30" t="str">
        <x:v>Project unlock</x:v>
      </x:c>
      <x:c r="F548" s="30" t="str">
        <x:v>United Arab League</x:v>
      </x:c>
      <x:c r="G548" s="30" t="str">
        <x:v>No</x:v>
      </x:c>
      <x:c r="H548" s="30" t="str">
        <x:v>Ordinary claim</x:v>
      </x:c>
      <x:c r="I548" s="31" t="n">
        <x:f>IF(G548="Yes",'Controls &amp; Summary'!$B$5,'Controls &amp; Summary'!$B$4)</x:f>
        <x:v>6</x:v>
      </x:c>
      <x:c r="J548" s="31" t="n">
        <x:v>2.93</x:v>
      </x:c>
      <x:c r="K548" s="31" t="n">
        <x:v>3.51</x:v>
      </x:c>
      <x:c r="L548" s="31" t="n">
        <x:f>ABS(J548-K548)</x:f>
        <x:v>0.5799999999999996</x:v>
      </x:c>
      <x:c r="M548" s="31" t="n">
        <x:v>3.15</x:v>
      </x:c>
      <x:c r="N548" s="31" t="n">
        <x:v>2.95</x:v>
      </x:c>
      <x:c r="O548" s="31" t="n">
        <x:f>ABS(M548-N548)</x:f>
        <x:v>0.19999999999999973</x:v>
      </x:c>
      <x:c r="P548" s="31" t="n">
        <x:v>6.18</x:v>
      </x:c>
      <x:c r="Q548" s="31" t="n">
        <x:v>5.57</x:v>
      </x:c>
      <x:c r="R548" s="31" t="n">
        <x:f>ABS(P548-Q548)</x:f>
        <x:v>0.6099999999999994</x:v>
      </x:c>
      <x:c r="S548" s="32" t="n">
        <x:v>12879.654518552721</x:v>
      </x:c>
      <x:c r="T548" s="32" t="n">
        <x:v>10626.731663327742</x:v>
      </x:c>
      <x:c r="U548" s="31" t="n">
        <x:f>MAX(S548/T548,T548/S548)</x:f>
        <x:v>1.2120052455073924</x:v>
      </x:c>
      <x:c r="V548" s="31" t="n">
        <x:f>L548*'Controls &amp; Summary'!$B$9+O548*'Controls &amp; Summary'!$B$10+R548*'Controls &amp; Summary'!$B$11+U548*'Controls &amp; Summary'!$B$12</x:f>
        <x:v>2.6020052455073914</x:v>
      </x:c>
      <x:c r="W548" s="31" t="n">
        <x:v>7</x:v>
      </x:c>
      <x:c r="X548" s="31" t="n">
        <x:v>6</x:v>
      </x:c>
      <x:c r="Y548" s="31" t="n">
        <x:f>((10-MIN(10,MAX(0,X548)))/10)*'Controls &amp; Summary'!$B$15+((10-MIN(10,MAX(0,W548)))/10)*'Controls &amp; Summary'!$B$16</x:f>
        <x:v>0.7</x:v>
      </x:c>
      <x:c r="Z548" s="31" t="n">
        <x:f>V548*Y548</x:f>
        <x:v>1.8214036718551738</x:v>
      </x:c>
      <x:c r="AA548" s="30" t="str">
        <x:f>IF(Z548&lt;=I548,"Peaceful","Hostile")</x:f>
        <x:v>Peaceful</x:v>
      </x:c>
      <x:c r="AB548" s="30" t="str">
        <x:f>IF(Z548&lt;='Controls &amp; Summary'!$B$6,"Eligible","Blocked")</x:f>
        <x:v>Eligible</x:v>
      </x:c>
      <x:c r="AC548" s="30" t="str">
        <x:v>EGY</x:v>
      </x:c>
      <x:c r="AD548" s="30" t="str">
        <x:v>IRQ</x:v>
      </x:c>
      <x:c r="AE548" s="30" t="str">
        <x:v>Baghdad</x:v>
      </x:c>
      <x:c r="AF548" s="30" t="str">
        <x:v>Explicit capitalClaim</x:v>
      </x:c>
      <x:c r="AG548" s="30" t="str">
        <x:v>ClaimEGYBaghdad</x:v>
      </x:c>
      <x:c r="AH548" s="30" t="str">
        <x:v>Project_UnitedArabLeague</x:v>
      </x:c>
    </x:row>
    <x:row r="549">
      <x:c r="A549" s="30" t="str">
        <x:v>2022</x:v>
      </x:c>
      <x:c r="B549" s="30" t="str">
        <x:v>Base game</x:v>
      </x:c>
      <x:c r="C549" s="30" t="str">
        <x:v>Egypt</x:v>
      </x:c>
      <x:c r="D549" s="30" t="str">
        <x:v>Israel</x:v>
      </x:c>
      <x:c r="E549" s="30" t="str">
        <x:v>Project unlock</x:v>
      </x:c>
      <x:c r="F549" s="30" t="str">
        <x:v>United Arab League</x:v>
      </x:c>
      <x:c r="G549" s="30" t="str">
        <x:v>Yes</x:v>
      </x:c>
      <x:c r="H549" s="30" t="str">
        <x:v>Template hostileClaim</x:v>
      </x:c>
      <x:c r="I549" s="31" t="n">
        <x:f>IF(G549="Yes",'Controls &amp; Summary'!$B$5,'Controls &amp; Summary'!$B$4)</x:f>
        <x:v>3</x:v>
      </x:c>
      <x:c r="J549" s="31" t="n">
        <x:v>2.93</x:v>
      </x:c>
      <x:c r="K549" s="31" t="n">
        <x:v>7.97</x:v>
      </x:c>
      <x:c r="L549" s="31" t="n">
        <x:f>ABS(J549-K549)</x:f>
        <x:v>5.039999999999999</x:v>
      </x:c>
      <x:c r="M549" s="31" t="n">
        <x:v>3.15</x:v>
      </x:c>
      <x:c r="N549" s="31" t="n">
        <x:v>3.86</x:v>
      </x:c>
      <x:c r="O549" s="31" t="n">
        <x:f>ABS(M549-N549)</x:f>
        <x:v>0.71</x:v>
      </x:c>
      <x:c r="P549" s="31" t="n">
        <x:v>6.18</x:v>
      </x:c>
      <x:c r="Q549" s="31" t="n">
        <x:v>8.83</x:v>
      </x:c>
      <x:c r="R549" s="31" t="n">
        <x:f>ABS(P549-Q549)</x:f>
        <x:v>2.6500000000000004</x:v>
      </x:c>
      <x:c r="S549" s="32" t="n">
        <x:v>12879.654518552721</x:v>
      </x:c>
      <x:c r="T549" s="32" t="n">
        <x:v>54234.14760449431</x:v>
      </x:c>
      <x:c r="U549" s="31" t="n">
        <x:f>MAX(S549/T549,T549/S549)</x:f>
        <x:v>4.210838693411519</x:v>
      </x:c>
      <x:c r="V549" s="31" t="n">
        <x:f>L549*'Controls &amp; Summary'!$B$9+O549*'Controls &amp; Summary'!$B$10+R549*'Controls &amp; Summary'!$B$11+U549*'Controls &amp; Summary'!$B$12</x:f>
        <x:v>12.610838693411518</x:v>
      </x:c>
      <x:c r="W549" s="31" t="n">
        <x:v>7</x:v>
      </x:c>
      <x:c r="X549" s="31" t="n">
        <x:v>3</x:v>
      </x:c>
      <x:c r="Y549" s="31" t="n">
        <x:f>((10-MIN(10,MAX(0,X549)))/10)*'Controls &amp; Summary'!$B$15+((10-MIN(10,MAX(0,W549)))/10)*'Controls &amp; Summary'!$B$16</x:f>
        <x:v>1</x:v>
      </x:c>
      <x:c r="Z549" s="31" t="n">
        <x:f>V549*Y549</x:f>
        <x:v>12.610838693411518</x:v>
      </x:c>
      <x:c r="AA549" s="30" t="str">
        <x:f>IF(Z549&lt;=I549,"Peaceful","Hostile")</x:f>
        <x:v>Hostile</x:v>
      </x:c>
      <x:c r="AB549" s="30" t="str">
        <x:f>IF(Z549&lt;='Controls &amp; Summary'!$B$6,"Eligible","Blocked")</x:f>
        <x:v>Blocked</x:v>
      </x:c>
      <x:c r="AC549" s="30" t="str">
        <x:v>EGY</x:v>
      </x:c>
      <x:c r="AD549" s="30" t="str">
        <x:v>ISR</x:v>
      </x:c>
      <x:c r="AE549" s="30" t="str">
        <x:v>Israel</x:v>
      </x:c>
      <x:c r="AF549" s="30" t="str">
        <x:v>Explicit capitalClaim</x:v>
      </x:c>
      <x:c r="AG549" s="30" t="str">
        <x:v>ClaimEGYIsrael</x:v>
      </x:c>
      <x:c r="AH549" s="30" t="str">
        <x:v>Project_UnitedArabLeague</x:v>
      </x:c>
    </x:row>
    <x:row r="550">
      <x:c r="A550" s="30" t="str">
        <x:v>2022</x:v>
      </x:c>
      <x:c r="B550" s="30" t="str">
        <x:v>Base game</x:v>
      </x:c>
      <x:c r="C550" s="30" t="str">
        <x:v>Egypt</x:v>
      </x:c>
      <x:c r="D550" s="30" t="str">
        <x:v>Jordan</x:v>
      </x:c>
      <x:c r="E550" s="30" t="str">
        <x:v>Project unlock</x:v>
      </x:c>
      <x:c r="F550" s="30" t="str">
        <x:v>United Arab League</x:v>
      </x:c>
      <x:c r="G550" s="30" t="str">
        <x:v>No</x:v>
      </x:c>
      <x:c r="H550" s="30" t="str">
        <x:v>Ordinary claim</x:v>
      </x:c>
      <x:c r="I550" s="31" t="n">
        <x:f>IF(G550="Yes",'Controls &amp; Summary'!$B$5,'Controls &amp; Summary'!$B$4)</x:f>
        <x:v>6</x:v>
      </x:c>
      <x:c r="J550" s="31" t="n">
        <x:v>2.93</x:v>
      </x:c>
      <x:c r="K550" s="31" t="n">
        <x:v>3.49</x:v>
      </x:c>
      <x:c r="L550" s="31" t="n">
        <x:f>ABS(J550-K550)</x:f>
        <x:v>0.56</x:v>
      </x:c>
      <x:c r="M550" s="31" t="n">
        <x:v>3.15</x:v>
      </x:c>
      <x:c r="N550" s="31" t="n">
        <x:v>3.37</x:v>
      </x:c>
      <x:c r="O550" s="31" t="n">
        <x:f>ABS(M550-N550)</x:f>
        <x:v>0.2200000000000002</x:v>
      </x:c>
      <x:c r="P550" s="31" t="n">
        <x:v>6.18</x:v>
      </x:c>
      <x:c r="Q550" s="31" t="n">
        <x:v>6.67</x:v>
      </x:c>
      <x:c r="R550" s="31" t="n">
        <x:f>ABS(P550-Q550)</x:f>
        <x:v>0.4900000000000002</x:v>
      </x:c>
      <x:c r="S550" s="32" t="n">
        <x:v>12879.654518552721</x:v>
      </x:c>
      <x:c r="T550" s="32" t="n">
        <x:v>10433.33025081237</x:v>
      </x:c>
      <x:c r="U550" s="31" t="n">
        <x:f>MAX(S550/T550,T550/S550)</x:f>
        <x:v>1.2344720438184034</x:v>
      </x:c>
      <x:c r="V550" s="31" t="n">
        <x:f>L550*'Controls &amp; Summary'!$B$9+O550*'Controls &amp; Summary'!$B$10+R550*'Controls &amp; Summary'!$B$11+U550*'Controls &amp; Summary'!$B$12</x:f>
        <x:v>2.504472043818404</x:v>
      </x:c>
      <x:c r="W550" s="31" t="n">
        <x:v>7</x:v>
      </x:c>
      <x:c r="X550" s="31" t="n">
        <x:v>2</x:v>
      </x:c>
      <x:c r="Y550" s="31" t="n">
        <x:f>((10-MIN(10,MAX(0,X550)))/10)*'Controls &amp; Summary'!$B$15+((10-MIN(10,MAX(0,W550)))/10)*'Controls &amp; Summary'!$B$16</x:f>
        <x:v>1.1</x:v>
      </x:c>
      <x:c r="Z550" s="31" t="n">
        <x:f>V550*Y550</x:f>
        <x:v>2.7549192482002445</x:v>
      </x:c>
      <x:c r="AA550" s="30" t="str">
        <x:f>IF(Z550&lt;=I550,"Peaceful","Hostile")</x:f>
        <x:v>Peaceful</x:v>
      </x:c>
      <x:c r="AB550" s="30" t="str">
        <x:f>IF(Z550&lt;='Controls &amp; Summary'!$B$6,"Eligible","Blocked")</x:f>
        <x:v>Eligible</x:v>
      </x:c>
      <x:c r="AC550" s="30" t="str">
        <x:v>EGY</x:v>
      </x:c>
      <x:c r="AD550" s="30" t="str">
        <x:v>JOR</x:v>
      </x:c>
      <x:c r="AE550" s="30" t="str">
        <x:v>Jordan</x:v>
      </x:c>
      <x:c r="AF550" s="30" t="str">
        <x:v>Explicit capitalClaim</x:v>
      </x:c>
      <x:c r="AG550" s="30" t="str">
        <x:v>ClaimEGYJordan</x:v>
      </x:c>
      <x:c r="AH550" s="30" t="str">
        <x:v>Project_UnitedArabLeague</x:v>
      </x:c>
    </x:row>
    <x:row r="551">
      <x:c r="A551" s="30" t="str">
        <x:v>2022</x:v>
      </x:c>
      <x:c r="B551" s="30" t="str">
        <x:v>Base game</x:v>
      </x:c>
      <x:c r="C551" s="30" t="str">
        <x:v>Egypt</x:v>
      </x:c>
      <x:c r="D551" s="30" t="str">
        <x:v>Kuwait</x:v>
      </x:c>
      <x:c r="E551" s="30" t="str">
        <x:v>Project unlock</x:v>
      </x:c>
      <x:c r="F551" s="30" t="str">
        <x:v>United Arab League</x:v>
      </x:c>
      <x:c r="G551" s="30" t="str">
        <x:v>No</x:v>
      </x:c>
      <x:c r="H551" s="30" t="str">
        <x:v>Ordinary claim</x:v>
      </x:c>
      <x:c r="I551" s="31" t="n">
        <x:f>IF(G551="Yes",'Controls &amp; Summary'!$B$5,'Controls &amp; Summary'!$B$4)</x:f>
        <x:v>6</x:v>
      </x:c>
      <x:c r="J551" s="31" t="n">
        <x:v>2.93</x:v>
      </x:c>
      <x:c r="K551" s="31" t="n">
        <x:v>3.91</x:v>
      </x:c>
      <x:c r="L551" s="31" t="n">
        <x:f>ABS(J551-K551)</x:f>
        <x:v>0.98</x:v>
      </x:c>
      <x:c r="M551" s="31" t="n">
        <x:v>3.15</x:v>
      </x:c>
      <x:c r="N551" s="31" t="n">
        <x:v>4.7</x:v>
      </x:c>
      <x:c r="O551" s="31" t="n">
        <x:f>ABS(M551-N551)</x:f>
        <x:v>1.5500000000000003</x:v>
      </x:c>
      <x:c r="P551" s="31" t="n">
        <x:v>6.18</x:v>
      </x:c>
      <x:c r="Q551" s="31" t="n">
        <x:v>6.38</x:v>
      </x:c>
      <x:c r="R551" s="31" t="n">
        <x:f>ABS(P551-Q551)</x:f>
        <x:v>0.20000000000000018</x:v>
      </x:c>
      <x:c r="S551" s="32" t="n">
        <x:v>12879.654518552721</x:v>
      </x:c>
      <x:c r="T551" s="32" t="n">
        <x:v>49087.36160628006</x:v>
      </x:c>
      <x:c r="U551" s="31" t="n">
        <x:f>MAX(S551/T551,T551/S551)</x:f>
        <x:v>3.8112327885481183</x:v>
      </x:c>
      <x:c r="V551" s="31" t="n">
        <x:f>L551*'Controls &amp; Summary'!$B$9+O551*'Controls &amp; Summary'!$B$10+R551*'Controls &amp; Summary'!$B$11+U551*'Controls &amp; Summary'!$B$12</x:f>
        <x:v>6.541232788548118</x:v>
      </x:c>
      <x:c r="W551" s="31" t="n">
        <x:v>7</x:v>
      </x:c>
      <x:c r="X551" s="31" t="n">
        <x:v>1</x:v>
      </x:c>
      <x:c r="Y551" s="31" t="n">
        <x:f>((10-MIN(10,MAX(0,X551)))/10)*'Controls &amp; Summary'!$B$15+((10-MIN(10,MAX(0,W551)))/10)*'Controls &amp; Summary'!$B$16</x:f>
        <x:v>1.2</x:v>
      </x:c>
      <x:c r="Z551" s="31" t="n">
        <x:f>V551*Y551</x:f>
        <x:v>7.849479346257741</x:v>
      </x:c>
      <x:c r="AA551" s="30" t="str">
        <x:f>IF(Z551&lt;=I551,"Peaceful","Hostile")</x:f>
        <x:v>Hostile</x:v>
      </x:c>
      <x:c r="AB551" s="30" t="str">
        <x:f>IF(Z551&lt;='Controls &amp; Summary'!$B$6,"Eligible","Blocked")</x:f>
        <x:v>Eligible</x:v>
      </x:c>
      <x:c r="AC551" s="30" t="str">
        <x:v>EGY</x:v>
      </x:c>
      <x:c r="AD551" s="30" t="str">
        <x:v>KUW</x:v>
      </x:c>
      <x:c r="AE551" s="30" t="str">
        <x:v>Kuwait</x:v>
      </x:c>
      <x:c r="AF551" s="30" t="str">
        <x:v>Explicit capitalClaim</x:v>
      </x:c>
      <x:c r="AG551" s="30" t="str">
        <x:v>ClaimEGYKuwait</x:v>
      </x:c>
      <x:c r="AH551" s="30" t="str">
        <x:v>Project_UnitedArabLeague</x:v>
      </x:c>
    </x:row>
    <x:row r="552">
      <x:c r="A552" s="30" t="str">
        <x:v>2022</x:v>
      </x:c>
      <x:c r="B552" s="30" t="str">
        <x:v>Base game</x:v>
      </x:c>
      <x:c r="C552" s="30" t="str">
        <x:v>Egypt</x:v>
      </x:c>
      <x:c r="D552" s="30" t="str">
        <x:v>Lebanon</x:v>
      </x:c>
      <x:c r="E552" s="30" t="str">
        <x:v>Project unlock</x:v>
      </x:c>
      <x:c r="F552" s="30" t="str">
        <x:v>United Arab League</x:v>
      </x:c>
      <x:c r="G552" s="30" t="str">
        <x:v>No</x:v>
      </x:c>
      <x:c r="H552" s="30" t="str">
        <x:v>Ordinary claim</x:v>
      </x:c>
      <x:c r="I552" s="31" t="n">
        <x:f>IF(G552="Yes",'Controls &amp; Summary'!$B$5,'Controls &amp; Summary'!$B$4)</x:f>
        <x:v>6</x:v>
      </x:c>
      <x:c r="J552" s="31" t="n">
        <x:v>2.93</x:v>
      </x:c>
      <x:c r="K552" s="31" t="n">
        <x:v>3.84</x:v>
      </x:c>
      <x:c r="L552" s="31" t="n">
        <x:f>ABS(J552-K552)</x:f>
        <x:v>0.9099999999999997</x:v>
      </x:c>
      <x:c r="M552" s="31" t="n">
        <x:v>3.15</x:v>
      </x:c>
      <x:c r="N552" s="31" t="n">
        <x:v>3.18</x:v>
      </x:c>
      <x:c r="O552" s="31" t="n">
        <x:f>ABS(M552-N552)</x:f>
        <x:v>0.03000000000000025</x:v>
      </x:c>
      <x:c r="P552" s="31" t="n">
        <x:v>6.18</x:v>
      </x:c>
      <x:c r="Q552" s="31" t="n">
        <x:v>6.04</x:v>
      </x:c>
      <x:c r="R552" s="31" t="n">
        <x:f>ABS(P552-Q552)</x:f>
        <x:v>0.13999999999999968</x:v>
      </x:c>
      <x:c r="S552" s="32" t="n">
        <x:v>12879.654518552721</x:v>
      </x:c>
      <x:c r="T552" s="32" t="n">
        <x:v>10863.586892585225</x:v>
      </x:c>
      <x:c r="U552" s="31" t="n">
        <x:f>MAX(S552/T552,T552/S552)</x:f>
        <x:v>1.1855802918411351</x:v>
      </x:c>
      <x:c r="V552" s="31" t="n">
        <x:f>L552*'Controls &amp; Summary'!$B$9+O552*'Controls &amp; Summary'!$B$10+R552*'Controls &amp; Summary'!$B$11+U552*'Controls &amp; Summary'!$B$12</x:f>
        <x:v>2.2655802918411347</x:v>
      </x:c>
      <x:c r="W552" s="31" t="n">
        <x:v>7</x:v>
      </x:c>
      <x:c r="X552" s="31" t="n">
        <x:v>5</x:v>
      </x:c>
      <x:c r="Y552" s="31" t="n">
        <x:f>((10-MIN(10,MAX(0,X552)))/10)*'Controls &amp; Summary'!$B$15+((10-MIN(10,MAX(0,W552)))/10)*'Controls &amp; Summary'!$B$16</x:f>
        <x:v>0.8</x:v>
      </x:c>
      <x:c r="Z552" s="31" t="n">
        <x:f>V552*Y552</x:f>
        <x:v>1.812464233472908</x:v>
      </x:c>
      <x:c r="AA552" s="30" t="str">
        <x:f>IF(Z552&lt;=I552,"Peaceful","Hostile")</x:f>
        <x:v>Peaceful</x:v>
      </x:c>
      <x:c r="AB552" s="30" t="str">
        <x:f>IF(Z552&lt;='Controls &amp; Summary'!$B$6,"Eligible","Blocked")</x:f>
        <x:v>Eligible</x:v>
      </x:c>
      <x:c r="AC552" s="30" t="str">
        <x:v>EGY</x:v>
      </x:c>
      <x:c r="AD552" s="30" t="str">
        <x:v>LEB</x:v>
      </x:c>
      <x:c r="AE552" s="30" t="str">
        <x:v>Lebanon</x:v>
      </x:c>
      <x:c r="AF552" s="30" t="str">
        <x:v>Explicit capitalClaim</x:v>
      </x:c>
      <x:c r="AG552" s="30" t="str">
        <x:v>ClaimEGYLebanon</x:v>
      </x:c>
      <x:c r="AH552" s="30" t="str">
        <x:v>Project_UnitedArabLeague</x:v>
      </x:c>
    </x:row>
    <x:row r="553">
      <x:c r="A553" s="30" t="str">
        <x:v>2022</x:v>
      </x:c>
      <x:c r="B553" s="30" t="str">
        <x:v>Base game</x:v>
      </x:c>
      <x:c r="C553" s="30" t="str">
        <x:v>Egypt</x:v>
      </x:c>
      <x:c r="D553" s="30" t="str">
        <x:v>Libya</x:v>
      </x:c>
      <x:c r="E553" s="30" t="str">
        <x:v>Project unlock</x:v>
      </x:c>
      <x:c r="F553" s="30" t="str">
        <x:v>United Arab League</x:v>
      </x:c>
      <x:c r="G553" s="30" t="str">
        <x:v>No</x:v>
      </x:c>
      <x:c r="H553" s="30" t="str">
        <x:v>Ordinary claim</x:v>
      </x:c>
      <x:c r="I553" s="31" t="n">
        <x:f>IF(G553="Yes",'Controls &amp; Summary'!$B$5,'Controls &amp; Summary'!$B$4)</x:f>
        <x:v>6</x:v>
      </x:c>
      <x:c r="J553" s="31" t="n">
        <x:v>2.93</x:v>
      </x:c>
      <x:c r="K553" s="31" t="n">
        <x:v>1.95</x:v>
      </x:c>
      <x:c r="L553" s="31" t="n">
        <x:f>ABS(J553-K553)</x:f>
        <x:v>0.9800000000000002</x:v>
      </x:c>
      <x:c r="M553" s="31" t="n">
        <x:v>3.15</x:v>
      </x:c>
      <x:c r="N553" s="31" t="n">
        <x:v>3.07</x:v>
      </x:c>
      <x:c r="O553" s="31" t="n">
        <x:f>ABS(M553-N553)</x:f>
        <x:v>0.08000000000000007</x:v>
      </x:c>
      <x:c r="P553" s="31" t="n">
        <x:v>6.18</x:v>
      </x:c>
      <x:c r="Q553" s="31" t="n">
        <x:v>6.1</x:v>
      </x:c>
      <x:c r="R553" s="31" t="n">
        <x:f>ABS(P553-Q553)</x:f>
        <x:v>0.08000000000000007</x:v>
      </x:c>
      <x:c r="S553" s="32" t="n">
        <x:v>12879.654518552721</x:v>
      </x:c>
      <x:c r="T553" s="32" t="n">
        <x:v>12220.883315648745</x:v>
      </x:c>
      <x:c r="U553" s="31" t="n">
        <x:f>MAX(S553/T553,T553/S553)</x:f>
        <x:v>1.0539053672217313</x:v>
      </x:c>
      <x:c r="V553" s="31" t="n">
        <x:f>L553*'Controls &amp; Summary'!$B$9+O553*'Controls &amp; Summary'!$B$10+R553*'Controls &amp; Summary'!$B$11+U553*'Controls &amp; Summary'!$B$12</x:f>
        <x:v>2.1939053672217317</x:v>
      </x:c>
      <x:c r="W553" s="31" t="n">
        <x:v>7</x:v>
      </x:c>
      <x:c r="X553" s="31" t="n">
        <x:v>8</x:v>
      </x:c>
      <x:c r="Y553" s="31" t="n">
        <x:f>((10-MIN(10,MAX(0,X553)))/10)*'Controls &amp; Summary'!$B$15+((10-MIN(10,MAX(0,W553)))/10)*'Controls &amp; Summary'!$B$16</x:f>
        <x:v>0.5</x:v>
      </x:c>
      <x:c r="Z553" s="31" t="n">
        <x:f>V553*Y553</x:f>
        <x:v>1.0969526836108658</x:v>
      </x:c>
      <x:c r="AA553" s="30" t="str">
        <x:f>IF(Z553&lt;=I553,"Peaceful","Hostile")</x:f>
        <x:v>Peaceful</x:v>
      </x:c>
      <x:c r="AB553" s="30" t="str">
        <x:f>IF(Z553&lt;='Controls &amp; Summary'!$B$6,"Eligible","Blocked")</x:f>
        <x:v>Eligible</x:v>
      </x:c>
      <x:c r="AC553" s="30" t="str">
        <x:v>EGY</x:v>
      </x:c>
      <x:c r="AD553" s="30" t="str">
        <x:v>LBY</x:v>
      </x:c>
      <x:c r="AE553" s="30" t="str">
        <x:v>Libya</x:v>
      </x:c>
      <x:c r="AF553" s="30" t="str">
        <x:v>Explicit capitalClaim</x:v>
      </x:c>
      <x:c r="AG553" s="30" t="str">
        <x:v>ClaimEGYLibya</x:v>
      </x:c>
      <x:c r="AH553" s="30" t="str">
        <x:v>Project_UnitedArabLeague</x:v>
      </x:c>
    </x:row>
    <x:row r="554">
      <x:c r="A554" s="30" t="str">
        <x:v>2022</x:v>
      </x:c>
      <x:c r="B554" s="30" t="str">
        <x:v>Base game</x:v>
      </x:c>
      <x:c r="C554" s="30" t="str">
        <x:v>Egypt</x:v>
      </x:c>
      <x:c r="D554" s="30" t="str">
        <x:v>Mauritania</x:v>
      </x:c>
      <x:c r="E554" s="30" t="str">
        <x:v>Project unlock</x:v>
      </x:c>
      <x:c r="F554" s="30" t="str">
        <x:v>United Arab League</x:v>
      </x:c>
      <x:c r="G554" s="30" t="str">
        <x:v>No</x:v>
      </x:c>
      <x:c r="H554" s="30" t="str">
        <x:v>Ordinary claim</x:v>
      </x:c>
      <x:c r="I554" s="31" t="n">
        <x:f>IF(G554="Yes",'Controls &amp; Summary'!$B$5,'Controls &amp; Summary'!$B$4)</x:f>
        <x:v>6</x:v>
      </x:c>
      <x:c r="J554" s="31" t="n">
        <x:v>2.93</x:v>
      </x:c>
      <x:c r="K554" s="31" t="n">
        <x:v>4.03</x:v>
      </x:c>
      <x:c r="L554" s="31" t="n">
        <x:f>ABS(J554-K554)</x:f>
        <x:v>1.1</x:v>
      </x:c>
      <x:c r="M554" s="31" t="n">
        <x:v>3.15</x:v>
      </x:c>
      <x:c r="N554" s="31" t="n">
        <x:v>3.26</x:v>
      </x:c>
      <x:c r="O554" s="31" t="n">
        <x:f>ABS(M554-N554)</x:f>
        <x:v>0.10999999999999988</x:v>
      </x:c>
      <x:c r="P554" s="31" t="n">
        <x:v>6.18</x:v>
      </x:c>
      <x:c r="Q554" s="31" t="n">
        <x:v>3.96</x:v>
      </x:c>
      <x:c r="R554" s="31" t="n">
        <x:f>ABS(P554-Q554)</x:f>
        <x:v>2.2199999999999998</x:v>
      </x:c>
      <x:c r="S554" s="32" t="n">
        <x:v>12879.654518552721</x:v>
      </x:c>
      <x:c r="T554" s="32" t="n">
        <x:v>5340.571226487944</x:v>
      </x:c>
      <x:c r="U554" s="31" t="n">
        <x:f>MAX(S554/T554,T554/S554)</x:f>
        <x:v>2.4116623432850672</x:v>
      </x:c>
      <x:c r="V554" s="31" t="n">
        <x:f>L554*'Controls &amp; Summary'!$B$9+O554*'Controls &amp; Summary'!$B$10+R554*'Controls &amp; Summary'!$B$11+U554*'Controls &amp; Summary'!$B$12</x:f>
        <x:v>5.841662343285067</x:v>
      </x:c>
      <x:c r="W554" s="31" t="n">
        <x:v>7</x:v>
      </x:c>
      <x:c r="X554" s="31" t="n">
        <x:v>3</x:v>
      </x:c>
      <x:c r="Y554" s="31" t="n">
        <x:f>((10-MIN(10,MAX(0,X554)))/10)*'Controls &amp; Summary'!$B$15+((10-MIN(10,MAX(0,W554)))/10)*'Controls &amp; Summary'!$B$16</x:f>
        <x:v>1</x:v>
      </x:c>
      <x:c r="Z554" s="31" t="n">
        <x:f>V554*Y554</x:f>
        <x:v>5.841662343285067</x:v>
      </x:c>
      <x:c r="AA554" s="30" t="str">
        <x:f>IF(Z554&lt;=I554,"Peaceful","Hostile")</x:f>
        <x:v>Peaceful</x:v>
      </x:c>
      <x:c r="AB554" s="30" t="str">
        <x:f>IF(Z554&lt;='Controls &amp; Summary'!$B$6,"Eligible","Blocked")</x:f>
        <x:v>Eligible</x:v>
      </x:c>
      <x:c r="AC554" s="30" t="str">
        <x:v>EGY</x:v>
      </x:c>
      <x:c r="AD554" s="30" t="str">
        <x:v>MRT</x:v>
      </x:c>
      <x:c r="AE554" s="30" t="str">
        <x:v>Mauritania</x:v>
      </x:c>
      <x:c r="AF554" s="30" t="str">
        <x:v>Explicit capitalClaim</x:v>
      </x:c>
      <x:c r="AG554" s="30" t="str">
        <x:v>ClaimEGYMauritania</x:v>
      </x:c>
      <x:c r="AH554" s="30" t="str">
        <x:v>Project_UnitedArabLeague</x:v>
      </x:c>
    </x:row>
    <x:row r="555">
      <x:c r="A555" s="30" t="str">
        <x:v>2022</x:v>
      </x:c>
      <x:c r="B555" s="30" t="str">
        <x:v>Base game</x:v>
      </x:c>
      <x:c r="C555" s="30" t="str">
        <x:v>Egypt</x:v>
      </x:c>
      <x:c r="D555" s="30" t="str">
        <x:v>Morocco</x:v>
      </x:c>
      <x:c r="E555" s="30" t="str">
        <x:v>Project unlock</x:v>
      </x:c>
      <x:c r="F555" s="30" t="str">
        <x:v>United Arab League</x:v>
      </x:c>
      <x:c r="G555" s="30" t="str">
        <x:v>No</x:v>
      </x:c>
      <x:c r="H555" s="30" t="str">
        <x:v>Ordinary claim</x:v>
      </x:c>
      <x:c r="I555" s="31" t="n">
        <x:f>IF(G555="Yes",'Controls &amp; Summary'!$B$5,'Controls &amp; Summary'!$B$4)</x:f>
        <x:v>6</x:v>
      </x:c>
      <x:c r="J555" s="31" t="n">
        <x:v>2.93</x:v>
      </x:c>
      <x:c r="K555" s="31" t="n">
        <x:v>5.04</x:v>
      </x:c>
      <x:c r="L555" s="31" t="n">
        <x:f>ABS(J555-K555)</x:f>
        <x:v>2.11</x:v>
      </x:c>
      <x:c r="M555" s="31" t="n">
        <x:v>3.15</x:v>
      </x:c>
      <x:c r="N555" s="31" t="n">
        <x:v>3.95</x:v>
      </x:c>
      <x:c r="O555" s="31" t="n">
        <x:f>ABS(M555-N555)</x:f>
        <x:v>0.8000000000000003</x:v>
      </x:c>
      <x:c r="P555" s="31" t="n">
        <x:v>6.18</x:v>
      </x:c>
      <x:c r="Q555" s="31" t="n">
        <x:v>5.69</x:v>
      </x:c>
      <x:c r="R555" s="31" t="n">
        <x:f>ABS(P555-Q555)</x:f>
        <x:v>0.4899999999999993</x:v>
      </x:c>
      <x:c r="S555" s="32" t="n">
        <x:v>12879.654518552721</x:v>
      </x:c>
      <x:c r="T555" s="32" t="n">
        <x:v>7570.810298699158</x:v>
      </x:c>
      <x:c r="U555" s="31" t="n">
        <x:f>MAX(S555/T555,T555/S555)</x:f>
        <x:v>1.7012253656343426</x:v>
      </x:c>
      <x:c r="V555" s="31" t="n">
        <x:f>L555*'Controls &amp; Summary'!$B$9+O555*'Controls &amp; Summary'!$B$10+R555*'Controls &amp; Summary'!$B$11+U555*'Controls &amp; Summary'!$B$12</x:f>
        <x:v>5.101225365634342</x:v>
      </x:c>
      <x:c r="W555" s="31" t="n">
        <x:v>7</x:v>
      </x:c>
      <x:c r="X555" s="31" t="n">
        <x:v>2</x:v>
      </x:c>
      <x:c r="Y555" s="31" t="n">
        <x:f>((10-MIN(10,MAX(0,X555)))/10)*'Controls &amp; Summary'!$B$15+((10-MIN(10,MAX(0,W555)))/10)*'Controls &amp; Summary'!$B$16</x:f>
        <x:v>1.1</x:v>
      </x:c>
      <x:c r="Z555" s="31" t="n">
        <x:f>V555*Y555</x:f>
        <x:v>5.611347902197776</x:v>
      </x:c>
      <x:c r="AA555" s="30" t="str">
        <x:f>IF(Z555&lt;=I555,"Peaceful","Hostile")</x:f>
        <x:v>Peaceful</x:v>
      </x:c>
      <x:c r="AB555" s="30" t="str">
        <x:f>IF(Z555&lt;='Controls &amp; Summary'!$B$6,"Eligible","Blocked")</x:f>
        <x:v>Eligible</x:v>
      </x:c>
      <x:c r="AC555" s="30" t="str">
        <x:v>EGY</x:v>
      </x:c>
      <x:c r="AD555" s="30" t="str">
        <x:v>MAR</x:v>
      </x:c>
      <x:c r="AE555" s="30" t="str">
        <x:v>Rabat</x:v>
      </x:c>
      <x:c r="AF555" s="30" t="str">
        <x:v>Explicit capitalClaim</x:v>
      </x:c>
      <x:c r="AG555" s="30" t="str">
        <x:v>ClaimEGYRabat</x:v>
      </x:c>
      <x:c r="AH555" s="30" t="str">
        <x:v>Project_UnitedArabLeague</x:v>
      </x:c>
    </x:row>
    <x:row r="556">
      <x:c r="A556" s="30" t="str">
        <x:v>2022</x:v>
      </x:c>
      <x:c r="B556" s="30" t="str">
        <x:v>Base game</x:v>
      </x:c>
      <x:c r="C556" s="30" t="str">
        <x:v>Egypt</x:v>
      </x:c>
      <x:c r="D556" s="30" t="str">
        <x:v>Oman</x:v>
      </x:c>
      <x:c r="E556" s="30" t="str">
        <x:v>Project unlock</x:v>
      </x:c>
      <x:c r="F556" s="30" t="str">
        <x:v>United Arab League</x:v>
      </x:c>
      <x:c r="G556" s="30" t="str">
        <x:v>No</x:v>
      </x:c>
      <x:c r="H556" s="30" t="str">
        <x:v>Ordinary claim</x:v>
      </x:c>
      <x:c r="I556" s="31" t="n">
        <x:f>IF(G556="Yes",'Controls &amp; Summary'!$B$5,'Controls &amp; Summary'!$B$4)</x:f>
        <x:v>6</x:v>
      </x:c>
      <x:c r="J556" s="31" t="n">
        <x:v>2.93</x:v>
      </x:c>
      <x:c r="K556" s="31" t="n">
        <x:v>3</x:v>
      </x:c>
      <x:c r="L556" s="31" t="n">
        <x:f>ABS(J556-K556)</x:f>
        <x:v>0.06999999999999984</x:v>
      </x:c>
      <x:c r="M556" s="31" t="n">
        <x:v>3.15</x:v>
      </x:c>
      <x:c r="N556" s="31" t="n">
        <x:v>3.07</x:v>
      </x:c>
      <x:c r="O556" s="31" t="n">
        <x:f>ABS(M556-N556)</x:f>
        <x:v>0.08000000000000007</x:v>
      </x:c>
      <x:c r="P556" s="31" t="n">
        <x:v>6.18</x:v>
      </x:c>
      <x:c r="Q556" s="31" t="n">
        <x:v>7.18</x:v>
      </x:c>
      <x:c r="R556" s="31" t="n">
        <x:f>ABS(P556-Q556)</x:f>
        <x:v>1</x:v>
      </x:c>
      <x:c r="S556" s="32" t="n">
        <x:v>12879.654518552721</x:v>
      </x:c>
      <x:c r="T556" s="32" t="n">
        <x:v>27275.118988606464</x:v>
      </x:c>
      <x:c r="U556" s="31" t="n">
        <x:f>MAX(S556/T556,T556/S556)</x:f>
        <x:v>2.1176902648527993</x:v>
      </x:c>
      <x:c r="V556" s="31" t="n">
        <x:f>L556*'Controls &amp; Summary'!$B$9+O556*'Controls &amp; Summary'!$B$10+R556*'Controls &amp; Summary'!$B$11+U556*'Controls &amp; Summary'!$B$12</x:f>
        <x:v>3.2676902648527992</x:v>
      </x:c>
      <x:c r="W556" s="31" t="n">
        <x:v>7</x:v>
      </x:c>
      <x:c r="X556" s="31" t="n">
        <x:v>2</x:v>
      </x:c>
      <x:c r="Y556" s="31" t="n">
        <x:f>((10-MIN(10,MAX(0,X556)))/10)*'Controls &amp; Summary'!$B$15+((10-MIN(10,MAX(0,W556)))/10)*'Controls &amp; Summary'!$B$16</x:f>
        <x:v>1.1</x:v>
      </x:c>
      <x:c r="Z556" s="31" t="n">
        <x:f>V556*Y556</x:f>
        <x:v>3.5944592913380795</x:v>
      </x:c>
      <x:c r="AA556" s="30" t="str">
        <x:f>IF(Z556&lt;=I556,"Peaceful","Hostile")</x:f>
        <x:v>Peaceful</x:v>
      </x:c>
      <x:c r="AB556" s="30" t="str">
        <x:f>IF(Z556&lt;='Controls &amp; Summary'!$B$6,"Eligible","Blocked")</x:f>
        <x:v>Eligible</x:v>
      </x:c>
      <x:c r="AC556" s="30" t="str">
        <x:v>EGY</x:v>
      </x:c>
      <x:c r="AD556" s="30" t="str">
        <x:v>OMN</x:v>
      </x:c>
      <x:c r="AE556" s="30" t="str">
        <x:v>Oman</x:v>
      </x:c>
      <x:c r="AF556" s="30" t="str">
        <x:v>Explicit capitalClaim</x:v>
      </x:c>
      <x:c r="AG556" s="30" t="str">
        <x:v>ClaimEGYOman</x:v>
      </x:c>
      <x:c r="AH556" s="30" t="str">
        <x:v>Project_UnitedArabLeague</x:v>
      </x:c>
    </x:row>
    <x:row r="557">
      <x:c r="A557" s="30" t="str">
        <x:v>2022</x:v>
      </x:c>
      <x:c r="B557" s="30" t="str">
        <x:v>Base game</x:v>
      </x:c>
      <x:c r="C557" s="30" t="str">
        <x:v>Egypt</x:v>
      </x:c>
      <x:c r="D557" s="30" t="str">
        <x:v>Palestine</x:v>
      </x:c>
      <x:c r="E557" s="30" t="str">
        <x:v>Project unlock</x:v>
      </x:c>
      <x:c r="F557" s="30" t="str">
        <x:v>United Arab League</x:v>
      </x:c>
      <x:c r="G557" s="30" t="str">
        <x:v>No</x:v>
      </x:c>
      <x:c r="H557" s="30" t="str">
        <x:v>Ordinary claim</x:v>
      </x:c>
      <x:c r="I557" s="31" t="n">
        <x:f>IF(G557="Yes",'Controls &amp; Summary'!$B$5,'Controls &amp; Summary'!$B$4)</x:f>
        <x:v>6</x:v>
      </x:c>
      <x:c r="J557" s="31" t="n">
        <x:v>2.93</x:v>
      </x:c>
      <x:c r="K557" s="31" t="n">
        <x:v>3.94</x:v>
      </x:c>
      <x:c r="L557" s="31" t="n">
        <x:f>ABS(J557-K557)</x:f>
        <x:v>1.0099999999999998</x:v>
      </x:c>
      <x:c r="M557" s="31" t="n">
        <x:v>3.15</x:v>
      </x:c>
      <x:c r="N557" s="31" t="n">
        <x:v>3.37</x:v>
      </x:c>
      <x:c r="O557" s="31" t="n">
        <x:f>ABS(M557-N557)</x:f>
        <x:v>0.2200000000000002</x:v>
      </x:c>
      <x:c r="P557" s="31" t="n">
        <x:v>6.18</x:v>
      </x:c>
      <x:c r="Q557" s="31" t="n">
        <x:v>6.78</x:v>
      </x:c>
      <x:c r="R557" s="31" t="n">
        <x:f>ABS(P557-Q557)</x:f>
        <x:v>0.6000000000000005</x:v>
      </x:c>
      <x:c r="S557" s="32" t="n">
        <x:v>12879.654518552721</x:v>
      </x:c>
      <x:c r="T557" s="32" t="n">
        <x:v>5032.169109018014</x:v>
      </x:c>
      <x:c r="U557" s="31" t="n">
        <x:f>MAX(S557/T557,T557/S557)</x:f>
        <x:v>2.559463769902216</x:v>
      </x:c>
      <x:c r="V557" s="31" t="n">
        <x:f>L557*'Controls &amp; Summary'!$B$9+O557*'Controls &amp; Summary'!$B$10+R557*'Controls &amp; Summary'!$B$11+U557*'Controls &amp; Summary'!$B$12</x:f>
        <x:v>4.389463769902216</x:v>
      </x:c>
      <x:c r="W557" s="31" t="n">
        <x:v>7</x:v>
      </x:c>
      <x:c r="X557" s="31" t="n">
        <x:v>4</x:v>
      </x:c>
      <x:c r="Y557" s="31" t="n">
        <x:f>((10-MIN(10,MAX(0,X557)))/10)*'Controls &amp; Summary'!$B$15+((10-MIN(10,MAX(0,W557)))/10)*'Controls &amp; Summary'!$B$16</x:f>
        <x:v>0.8999999999999999</x:v>
      </x:c>
      <x:c r="Z557" s="31" t="n">
        <x:f>V557*Y557</x:f>
        <x:v>3.950517392911994</x:v>
      </x:c>
      <x:c r="AA557" s="30" t="str">
        <x:f>IF(Z557&lt;=I557,"Peaceful","Hostile")</x:f>
        <x:v>Peaceful</x:v>
      </x:c>
      <x:c r="AB557" s="30" t="str">
        <x:f>IF(Z557&lt;='Controls &amp; Summary'!$B$6,"Eligible","Blocked")</x:f>
        <x:v>Eligible</x:v>
      </x:c>
      <x:c r="AC557" s="30" t="str">
        <x:v>EGY</x:v>
      </x:c>
      <x:c r="AD557" s="30" t="str">
        <x:v>PAL</x:v>
      </x:c>
      <x:c r="AE557" s="30" t="str">
        <x:v>Palestine</x:v>
      </x:c>
      <x:c r="AF557" s="30" t="str">
        <x:v>Explicit capitalClaim</x:v>
      </x:c>
      <x:c r="AG557" s="30" t="str">
        <x:v>ClaimEGYPalestine</x:v>
      </x:c>
      <x:c r="AH557" s="30" t="str">
        <x:v>Project_UnitedArabLeague</x:v>
      </x:c>
    </x:row>
    <x:row r="558">
      <x:c r="A558" s="30" t="str">
        <x:v>2022</x:v>
      </x:c>
      <x:c r="B558" s="30" t="str">
        <x:v>Base game</x:v>
      </x:c>
      <x:c r="C558" s="30" t="str">
        <x:v>Egypt</x:v>
      </x:c>
      <x:c r="D558" s="30" t="str">
        <x:v>Saudi Arabia</x:v>
      </x:c>
      <x:c r="E558" s="30" t="str">
        <x:v>Project unlock</x:v>
      </x:c>
      <x:c r="F558" s="30" t="str">
        <x:v>United Arab League</x:v>
      </x:c>
      <x:c r="G558" s="30" t="str">
        <x:v>No</x:v>
      </x:c>
      <x:c r="H558" s="30" t="str">
        <x:v>Ordinary claim</x:v>
      </x:c>
      <x:c r="I558" s="31" t="n">
        <x:f>IF(G558="Yes",'Controls &amp; Summary'!$B$5,'Controls &amp; Summary'!$B$4)</x:f>
        <x:v>6</x:v>
      </x:c>
      <x:c r="J558" s="31" t="n">
        <x:v>2.93</x:v>
      </x:c>
      <x:c r="K558" s="31" t="n">
        <x:v>2.08</x:v>
      </x:c>
      <x:c r="L558" s="31" t="n">
        <x:f>ABS(J558-K558)</x:f>
        <x:v>0.8500000000000001</x:v>
      </x:c>
      <x:c r="M558" s="31" t="n">
        <x:v>3.15</x:v>
      </x:c>
      <x:c r="N558" s="31" t="n">
        <x:v>4.59</x:v>
      </x:c>
      <x:c r="O558" s="31" t="n">
        <x:f>ABS(M558-N558)</x:f>
        <x:v>1.44</x:v>
      </x:c>
      <x:c r="P558" s="31" t="n">
        <x:v>6.18</x:v>
      </x:c>
      <x:c r="Q558" s="31" t="n">
        <x:v>7.89</x:v>
      </x:c>
      <x:c r="R558" s="31" t="n">
        <x:f>ABS(P558-Q558)</x:f>
        <x:v>1.71</x:v>
      </x:c>
      <x:c r="S558" s="32" t="n">
        <x:v>12879.654518552721</x:v>
      </x:c>
      <x:c r="T558" s="32" t="n">
        <x:v>48950.633701847306</x:v>
      </x:c>
      <x:c r="U558" s="31" t="n">
        <x:f>MAX(S558/T558,T558/S558)</x:f>
        <x:v>3.8006169832688848</x:v>
      </x:c>
      <x:c r="V558" s="31" t="n">
        <x:f>L558*'Controls &amp; Summary'!$B$9+O558*'Controls &amp; Summary'!$B$10+R558*'Controls &amp; Summary'!$B$11+U558*'Controls &amp; Summary'!$B$12</x:f>
        <x:v>7.800616983268885</x:v>
      </x:c>
      <x:c r="W558" s="31" t="n">
        <x:v>7</x:v>
      </x:c>
      <x:c r="X558" s="31" t="n">
        <x:v>5</x:v>
      </x:c>
      <x:c r="Y558" s="31" t="n">
        <x:f>((10-MIN(10,MAX(0,X558)))/10)*'Controls &amp; Summary'!$B$15+((10-MIN(10,MAX(0,W558)))/10)*'Controls &amp; Summary'!$B$16</x:f>
        <x:v>0.8</x:v>
      </x:c>
      <x:c r="Z558" s="31" t="n">
        <x:f>V558*Y558</x:f>
        <x:v>6.240493586615108</x:v>
      </x:c>
      <x:c r="AA558" s="30" t="str">
        <x:f>IF(Z558&lt;=I558,"Peaceful","Hostile")</x:f>
        <x:v>Hostile</x:v>
      </x:c>
      <x:c r="AB558" s="30" t="str">
        <x:f>IF(Z558&lt;='Controls &amp; Summary'!$B$6,"Eligible","Blocked")</x:f>
        <x:v>Eligible</x:v>
      </x:c>
      <x:c r="AC558" s="30" t="str">
        <x:v>EGY</x:v>
      </x:c>
      <x:c r="AD558" s="30" t="str">
        <x:v>SAU</x:v>
      </x:c>
      <x:c r="AE558" s="30" t="str">
        <x:v>Najd</x:v>
      </x:c>
      <x:c r="AF558" s="30" t="str">
        <x:v>Explicit capitalClaim</x:v>
      </x:c>
      <x:c r="AG558" s="30" t="str">
        <x:v>ClaimEGYNajd</x:v>
      </x:c>
      <x:c r="AH558" s="30" t="str">
        <x:v>Project_UnitedArabLeague</x:v>
      </x:c>
    </x:row>
    <x:row r="559">
      <x:c r="A559" s="30" t="str">
        <x:v>2022</x:v>
      </x:c>
      <x:c r="B559" s="30" t="str">
        <x:v>Base game</x:v>
      </x:c>
      <x:c r="C559" s="30" t="str">
        <x:v>Egypt</x:v>
      </x:c>
      <x:c r="D559" s="30" t="str">
        <x:v>Somalia</x:v>
      </x:c>
      <x:c r="E559" s="30" t="str">
        <x:v>Project unlock</x:v>
      </x:c>
      <x:c r="F559" s="30" t="str">
        <x:v>United Arab League</x:v>
      </x:c>
      <x:c r="G559" s="30" t="str">
        <x:v>No</x:v>
      </x:c>
      <x:c r="H559" s="30" t="str">
        <x:v>Ordinary claim</x:v>
      </x:c>
      <x:c r="I559" s="31" t="n">
        <x:f>IF(G559="Yes",'Controls &amp; Summary'!$B$5,'Controls &amp; Summary'!$B$4)</x:f>
        <x:v>6</x:v>
      </x:c>
      <x:c r="J559" s="31" t="n">
        <x:v>2.93</x:v>
      </x:c>
      <x:c r="K559" s="31" t="n">
        <x:v>0.7</x:v>
      </x:c>
      <x:c r="L559" s="31" t="n">
        <x:f>ABS(J559-K559)</x:f>
        <x:v>2.2300000000000004</x:v>
      </x:c>
      <x:c r="M559" s="31" t="n">
        <x:v>3.15</x:v>
      </x:c>
      <x:c r="N559" s="31" t="n">
        <x:v>3.68</x:v>
      </x:c>
      <x:c r="O559" s="31" t="n">
        <x:f>ABS(M559-N559)</x:f>
        <x:v>0.5300000000000002</x:v>
      </x:c>
      <x:c r="P559" s="31" t="n">
        <x:v>6.18</x:v>
      </x:c>
      <x:c r="Q559" s="31" t="n">
        <x:v>3.05</x:v>
      </x:c>
      <x:c r="R559" s="31" t="n">
        <x:f>ABS(P559-Q559)</x:f>
        <x:v>3.13</x:v>
      </x:c>
      <x:c r="S559" s="32" t="n">
        <x:v>12879.654518552721</x:v>
      </x:c>
      <x:c r="T559" s="32" t="n">
        <x:v>1437.3080972992434</x:v>
      </x:c>
      <x:c r="U559" s="31" t="n">
        <x:f>MAX(S559/T559,T559/S559)</x:f>
        <x:v>8.960955930571936</x:v>
      </x:c>
      <x:c r="V559" s="31" t="n">
        <x:f>L559*'Controls &amp; Summary'!$B$9+O559*'Controls &amp; Summary'!$B$10+R559*'Controls &amp; Summary'!$B$11+U559*'Controls &amp; Summary'!$B$12</x:f>
        <x:v>14.850955930571937</x:v>
      </x:c>
      <x:c r="W559" s="31" t="n">
        <x:v>7</x:v>
      </x:c>
      <x:c r="X559" s="31" t="n">
        <x:v>8</x:v>
      </x:c>
      <x:c r="Y559" s="31" t="n">
        <x:f>((10-MIN(10,MAX(0,X559)))/10)*'Controls &amp; Summary'!$B$15+((10-MIN(10,MAX(0,W559)))/10)*'Controls &amp; Summary'!$B$16</x:f>
        <x:v>0.5</x:v>
      </x:c>
      <x:c r="Z559" s="31" t="n">
        <x:f>V559*Y559</x:f>
        <x:v>7.425477965285968</x:v>
      </x:c>
      <x:c r="AA559" s="30" t="str">
        <x:f>IF(Z559&lt;=I559,"Peaceful","Hostile")</x:f>
        <x:v>Hostile</x:v>
      </x:c>
      <x:c r="AB559" s="30" t="str">
        <x:f>IF(Z559&lt;='Controls &amp; Summary'!$B$6,"Eligible","Blocked")</x:f>
        <x:v>Eligible</x:v>
      </x:c>
      <x:c r="AC559" s="30" t="str">
        <x:v>EGY</x:v>
      </x:c>
      <x:c r="AD559" s="30" t="str">
        <x:v>SOM</x:v>
      </x:c>
      <x:c r="AE559" s="30" t="str">
        <x:v>Somalia</x:v>
      </x:c>
      <x:c r="AF559" s="30" t="str">
        <x:v>Explicit capitalClaim</x:v>
      </x:c>
      <x:c r="AG559" s="30" t="str">
        <x:v>ClaimEGYSomalia</x:v>
      </x:c>
      <x:c r="AH559" s="30" t="str">
        <x:v>Project_UnitedArabLeague</x:v>
      </x:c>
    </x:row>
    <x:row r="560">
      <x:c r="A560" s="30" t="str">
        <x:v>2022</x:v>
      </x:c>
      <x:c r="B560" s="30" t="str">
        <x:v>Base game</x:v>
      </x:c>
      <x:c r="C560" s="30" t="str">
        <x:v>Egypt</x:v>
      </x:c>
      <x:c r="D560" s="30" t="str">
        <x:v>Somaliland</x:v>
      </x:c>
      <x:c r="E560" s="30" t="str">
        <x:v>Project unlock</x:v>
      </x:c>
      <x:c r="F560" s="30" t="str">
        <x:v>United Arab League</x:v>
      </x:c>
      <x:c r="G560" s="30" t="str">
        <x:v>No</x:v>
      </x:c>
      <x:c r="H560" s="30" t="str">
        <x:v>Ordinary claim</x:v>
      </x:c>
      <x:c r="I560" s="31" t="n">
        <x:f>IF(G560="Yes",'Controls &amp; Summary'!$B$5,'Controls &amp; Summary'!$B$4)</x:f>
        <x:v>6</x:v>
      </x:c>
      <x:c r="J560" s="31" t="n">
        <x:v>2.93</x:v>
      </x:c>
      <x:c r="K560" s="31" t="n">
        <x:v>4.4</x:v>
      </x:c>
      <x:c r="L560" s="31" t="n">
        <x:f>ABS(J560-K560)</x:f>
        <x:v>1.4700000000000002</x:v>
      </x:c>
      <x:c r="M560" s="31" t="n">
        <x:v>3.15</x:v>
      </x:c>
      <x:c r="N560" s="31" t="n">
        <x:v>4.3</x:v>
      </x:c>
      <x:c r="O560" s="31" t="n">
        <x:f>ABS(M560-N560)</x:f>
        <x:v>1.15</x:v>
      </x:c>
      <x:c r="P560" s="31" t="n">
        <x:v>6.18</x:v>
      </x:c>
      <x:c r="Q560" s="31" t="n">
        <x:v>3.25</x:v>
      </x:c>
      <x:c r="R560" s="31" t="n">
        <x:f>ABS(P560-Q560)</x:f>
        <x:v>2.9299999999999997</x:v>
      </x:c>
      <x:c r="S560" s="32" t="n">
        <x:v>12879.654518552721</x:v>
      </x:c>
      <x:c r="T560" s="32" t="n">
        <x:v>1300.941181819337</x:v>
      </x:c>
      <x:c r="U560" s="31" t="n">
        <x:f>MAX(S560/T560,T560/S560)</x:f>
        <x:v>9.900258903742914</x:v>
      </x:c>
      <x:c r="V560" s="31" t="n">
        <x:f>L560*'Controls &amp; Summary'!$B$9+O560*'Controls &amp; Summary'!$B$10+R560*'Controls &amp; Summary'!$B$11+U560*'Controls &amp; Summary'!$B$12</x:f>
        <x:v>15.450258903742913</x:v>
      </x:c>
      <x:c r="W560" s="31" t="n">
        <x:v>7</x:v>
      </x:c>
      <x:c r="X560" s="31" t="n">
        <x:v>3</x:v>
      </x:c>
      <x:c r="Y560" s="31" t="n">
        <x:f>((10-MIN(10,MAX(0,X560)))/10)*'Controls &amp; Summary'!$B$15+((10-MIN(10,MAX(0,W560)))/10)*'Controls &amp; Summary'!$B$16</x:f>
        <x:v>1</x:v>
      </x:c>
      <x:c r="Z560" s="31" t="n">
        <x:f>V560*Y560</x:f>
        <x:v>15.450258903742913</x:v>
      </x:c>
      <x:c r="AA560" s="30" t="str">
        <x:f>IF(Z560&lt;=I560,"Peaceful","Hostile")</x:f>
        <x:v>Hostile</x:v>
      </x:c>
      <x:c r="AB560" s="30" t="str">
        <x:f>IF(Z560&lt;='Controls &amp; Summary'!$B$6,"Eligible","Blocked")</x:f>
        <x:v>Blocked</x:v>
      </x:c>
      <x:c r="AC560" s="30" t="str">
        <x:v>EGY</x:v>
      </x:c>
      <x:c r="AD560" s="30" t="str">
        <x:v>SOL</x:v>
      </x:c>
      <x:c r="AE560" s="30" t="str">
        <x:v>Somaliland</x:v>
      </x:c>
      <x:c r="AF560" s="30" t="str">
        <x:v>Explicit capitalClaim</x:v>
      </x:c>
      <x:c r="AG560" s="30" t="str">
        <x:v>ClaimEGYSomaliland</x:v>
      </x:c>
      <x:c r="AH560" s="30" t="str">
        <x:v>Project_UnitedArabLeague</x:v>
      </x:c>
    </x:row>
    <x:row r="561">
      <x:c r="A561" s="30" t="str">
        <x:v>2022</x:v>
      </x:c>
      <x:c r="B561" s="30" t="str">
        <x:v>Base game</x:v>
      </x:c>
      <x:c r="C561" s="30" t="str">
        <x:v>Egypt</x:v>
      </x:c>
      <x:c r="D561" s="30" t="str">
        <x:v>South Yemen</x:v>
      </x:c>
      <x:c r="E561" s="30" t="str">
        <x:v>Project unlock</x:v>
      </x:c>
      <x:c r="F561" s="30" t="str">
        <x:v>United Arab League</x:v>
      </x:c>
      <x:c r="G561" s="30" t="str">
        <x:v>No</x:v>
      </x:c>
      <x:c r="H561" s="30" t="str">
        <x:v>Ordinary claim</x:v>
      </x:c>
      <x:c r="I561" s="31" t="n">
        <x:f>IF(G561="Yes",'Controls &amp; Summary'!$B$5,'Controls &amp; Summary'!$B$4)</x:f>
        <x:v>6</x:v>
      </x:c>
      <x:c r="J561" s="31" t="n">
        <x:v>2.93</x:v>
      </x:c>
      <x:c r="K561" s="31" t="n">
        <x:v>2</x:v>
      </x:c>
      <x:c r="L561" s="31" t="n">
        <x:f>ABS(J561-K561)</x:f>
        <x:v>0.9300000000000002</x:v>
      </x:c>
      <x:c r="M561" s="31" t="n">
        <x:v>3.15</x:v>
      </x:c>
      <x:c r="N561" s="31" t="n">
        <x:v>3.67</x:v>
      </x:c>
      <x:c r="O561" s="31" t="n">
        <x:f>ABS(M561-N561)</x:f>
        <x:v>0.52</x:v>
      </x:c>
      <x:c r="P561" s="31" t="n">
        <x:v>6.18</x:v>
      </x:c>
      <x:c r="Q561" s="31" t="n">
        <x:v>3.5</x:v>
      </x:c>
      <x:c r="R561" s="31" t="n">
        <x:f>ABS(P561-Q561)</x:f>
        <x:v>2.6799999999999997</x:v>
      </x:c>
      <x:c r="S561" s="32" t="n">
        <x:v>12879.654518552721</x:v>
      </x:c>
      <x:c r="T561" s="32" t="n">
        <x:v>1510.3687364684947</x:v>
      </x:c>
      <x:c r="U561" s="31" t="n">
        <x:f>MAX(S561/T561,T561/S561)</x:f>
        <x:v>8.527490146987283</x:v>
      </x:c>
      <x:c r="V561" s="31" t="n">
        <x:f>L561*'Controls &amp; Summary'!$B$9+O561*'Controls &amp; Summary'!$B$10+R561*'Controls &amp; Summary'!$B$11+U561*'Controls &amp; Summary'!$B$12</x:f>
        <x:v>12.657490146987282</x:v>
      </x:c>
      <x:c r="W561" s="31" t="n">
        <x:v>7</x:v>
      </x:c>
      <x:c r="X561" s="31" t="n">
        <x:v>6</x:v>
      </x:c>
      <x:c r="Y561" s="31" t="n">
        <x:f>((10-MIN(10,MAX(0,X561)))/10)*'Controls &amp; Summary'!$B$15+((10-MIN(10,MAX(0,W561)))/10)*'Controls &amp; Summary'!$B$16</x:f>
        <x:v>0.7</x:v>
      </x:c>
      <x:c r="Z561" s="31" t="n">
        <x:f>V561*Y561</x:f>
        <x:v>8.860243102891097</x:v>
      </x:c>
      <x:c r="AA561" s="30" t="str">
        <x:f>IF(Z561&lt;=I561,"Peaceful","Hostile")</x:f>
        <x:v>Hostile</x:v>
      </x:c>
      <x:c r="AB561" s="30" t="str">
        <x:f>IF(Z561&lt;='Controls &amp; Summary'!$B$6,"Eligible","Blocked")</x:f>
        <x:v>Eligible</x:v>
      </x:c>
      <x:c r="AC561" s="30" t="str">
        <x:v>EGY</x:v>
      </x:c>
      <x:c r="AD561" s="30" t="str">
        <x:v>YMS</x:v>
      </x:c>
      <x:c r="AE561" s="30" t="str">
        <x:v>Aden</x:v>
      </x:c>
      <x:c r="AF561" s="30" t="str">
        <x:v>Largest owned population fallback</x:v>
      </x:c>
      <x:c r="AG561" s="30" t="str">
        <x:v>ClaimEGYAden</x:v>
      </x:c>
      <x:c r="AH561" s="30" t="str">
        <x:v>Project_UnitedArabLeague</x:v>
      </x:c>
    </x:row>
    <x:row r="562">
      <x:c r="A562" s="30" t="str">
        <x:v>2022</x:v>
      </x:c>
      <x:c r="B562" s="30" t="str">
        <x:v>Base game</x:v>
      </x:c>
      <x:c r="C562" s="30" t="str">
        <x:v>Egypt</x:v>
      </x:c>
      <x:c r="D562" s="30" t="str">
        <x:v>Sudan</x:v>
      </x:c>
      <x:c r="E562" s="30" t="str">
        <x:v>Project unlock</x:v>
      </x:c>
      <x:c r="F562" s="30" t="str">
        <x:v>United Arab League</x:v>
      </x:c>
      <x:c r="G562" s="30" t="str">
        <x:v>No</x:v>
      </x:c>
      <x:c r="H562" s="30" t="str">
        <x:v>Ordinary claim</x:v>
      </x:c>
      <x:c r="I562" s="31" t="n">
        <x:f>IF(G562="Yes",'Controls &amp; Summary'!$B$5,'Controls &amp; Summary'!$B$4)</x:f>
        <x:v>6</x:v>
      </x:c>
      <x:c r="J562" s="31" t="n">
        <x:v>2.93</x:v>
      </x:c>
      <x:c r="K562" s="31" t="n">
        <x:v>2.47</x:v>
      </x:c>
      <x:c r="L562" s="31" t="n">
        <x:f>ABS(J562-K562)</x:f>
        <x:v>0.45999999999999996</x:v>
      </x:c>
      <x:c r="M562" s="31" t="n">
        <x:v>3.15</x:v>
      </x:c>
      <x:c r="N562" s="31" t="n">
        <x:v>3.42</x:v>
      </x:c>
      <x:c r="O562" s="31" t="n">
        <x:f>ABS(M562-N562)</x:f>
        <x:v>0.27</x:v>
      </x:c>
      <x:c r="P562" s="31" t="n">
        <x:v>6.18</x:v>
      </x:c>
      <x:c r="Q562" s="31" t="n">
        <x:v>3.45</x:v>
      </x:c>
      <x:c r="R562" s="31" t="n">
        <x:f>ABS(P562-Q562)</x:f>
        <x:v>2.7299999999999995</x:v>
      </x:c>
      <x:c r="S562" s="32" t="n">
        <x:v>12879.654518552721</x:v>
      </x:c>
      <x:c r="T562" s="32" t="n">
        <x:v>3617.2570607103053</x:v>
      </x:c>
      <x:c r="U562" s="31" t="n">
        <x:f>MAX(S562/T562,T562/S562)</x:f>
        <x:v>3.5606135539683206</x:v>
      </x:c>
      <x:c r="V562" s="31" t="n">
        <x:f>L562*'Controls &amp; Summary'!$B$9+O562*'Controls &amp; Summary'!$B$10+R562*'Controls &amp; Summary'!$B$11+U562*'Controls &amp; Summary'!$B$12</x:f>
        <x:v>7.02061355396832</x:v>
      </x:c>
      <x:c r="W562" s="31" t="n">
        <x:v>7</x:v>
      </x:c>
      <x:c r="X562" s="31" t="n">
        <x:v>6</x:v>
      </x:c>
      <x:c r="Y562" s="31" t="n">
        <x:f>((10-MIN(10,MAX(0,X562)))/10)*'Controls &amp; Summary'!$B$15+((10-MIN(10,MAX(0,W562)))/10)*'Controls &amp; Summary'!$B$16</x:f>
        <x:v>0.7</x:v>
      </x:c>
      <x:c r="Z562" s="31" t="n">
        <x:f>V562*Y562</x:f>
        <x:v>4.914429487777824</x:v>
      </x:c>
      <x:c r="AA562" s="30" t="str">
        <x:f>IF(Z562&lt;=I562,"Peaceful","Hostile")</x:f>
        <x:v>Peaceful</x:v>
      </x:c>
      <x:c r="AB562" s="30" t="str">
        <x:f>IF(Z562&lt;='Controls &amp; Summary'!$B$6,"Eligible","Blocked")</x:f>
        <x:v>Eligible</x:v>
      </x:c>
      <x:c r="AC562" s="30" t="str">
        <x:v>EGY</x:v>
      </x:c>
      <x:c r="AD562" s="30" t="str">
        <x:v>SDN</x:v>
      </x:c>
      <x:c r="AE562" s="30" t="str">
        <x:v>Sudan</x:v>
      </x:c>
      <x:c r="AF562" s="30" t="str">
        <x:v>Explicit capitalClaim</x:v>
      </x:c>
      <x:c r="AG562" s="30" t="str">
        <x:v>ClaimEGYSudan</x:v>
      </x:c>
      <x:c r="AH562" s="30" t="str">
        <x:v>Project_UnitedArabLeague</x:v>
      </x:c>
    </x:row>
    <x:row r="563">
      <x:c r="A563" s="30" t="str">
        <x:v>2022</x:v>
      </x:c>
      <x:c r="B563" s="30" t="str">
        <x:v>Base game</x:v>
      </x:c>
      <x:c r="C563" s="30" t="str">
        <x:v>Egypt</x:v>
      </x:c>
      <x:c r="D563" s="30" t="str">
        <x:v>Syria</x:v>
      </x:c>
      <x:c r="E563" s="30" t="str">
        <x:v>Project unlock</x:v>
      </x:c>
      <x:c r="F563" s="30" t="str">
        <x:v>United Arab League</x:v>
      </x:c>
      <x:c r="G563" s="30" t="str">
        <x:v>No</x:v>
      </x:c>
      <x:c r="H563" s="30" t="str">
        <x:v>Ordinary claim</x:v>
      </x:c>
      <x:c r="I563" s="31" t="n">
        <x:f>IF(G563="Yes",'Controls &amp; Summary'!$B$5,'Controls &amp; Summary'!$B$4)</x:f>
        <x:v>6</x:v>
      </x:c>
      <x:c r="J563" s="31" t="n">
        <x:v>2.93</x:v>
      </x:c>
      <x:c r="K563" s="31" t="n">
        <x:v>1.43</x:v>
      </x:c>
      <x:c r="L563" s="31" t="n">
        <x:f>ABS(J563-K563)</x:f>
        <x:v>1.5000000000000002</x:v>
      </x:c>
      <x:c r="M563" s="31" t="n">
        <x:v>3.15</x:v>
      </x:c>
      <x:c r="N563" s="31" t="n">
        <x:v>3.75</x:v>
      </x:c>
      <x:c r="O563" s="31" t="n">
        <x:f>ABS(M563-N563)</x:f>
        <x:v>0.6000000000000001</x:v>
      </x:c>
      <x:c r="P563" s="31" t="n">
        <x:v>6.18</x:v>
      </x:c>
      <x:c r="Q563" s="31" t="n">
        <x:v>4.16</x:v>
      </x:c>
      <x:c r="R563" s="31" t="n">
        <x:f>ABS(P563-Q563)</x:f>
        <x:v>2.0199999999999996</x:v>
      </x:c>
      <x:c r="S563" s="32" t="n">
        <x:v>12879.654518552721</x:v>
      </x:c>
      <x:c r="T563" s="32" t="n">
        <x:v>2238.3831741034137</x:v>
      </x:c>
      <x:c r="U563" s="31" t="n">
        <x:f>MAX(S563/T563,T563/S563)</x:f>
        <x:v>5.753998988002436</x:v>
      </x:c>
      <x:c r="V563" s="31" t="n">
        <x:f>L563*'Controls &amp; Summary'!$B$9+O563*'Controls &amp; Summary'!$B$10+R563*'Controls &amp; Summary'!$B$11+U563*'Controls &amp; Summary'!$B$12</x:f>
        <x:v>9.873998988002436</x:v>
      </x:c>
      <x:c r="W563" s="31" t="n">
        <x:v>7</x:v>
      </x:c>
      <x:c r="X563" s="31" t="n">
        <x:v>9</x:v>
      </x:c>
      <x:c r="Y563" s="31" t="n">
        <x:f>((10-MIN(10,MAX(0,X563)))/10)*'Controls &amp; Summary'!$B$15+((10-MIN(10,MAX(0,W563)))/10)*'Controls &amp; Summary'!$B$16</x:f>
        <x:v>0.4</x:v>
      </x:c>
      <x:c r="Z563" s="31" t="n">
        <x:f>V563*Y563</x:f>
        <x:v>3.9495995952009744</x:v>
      </x:c>
      <x:c r="AA563" s="30" t="str">
        <x:f>IF(Z563&lt;=I563,"Peaceful","Hostile")</x:f>
        <x:v>Peaceful</x:v>
      </x:c>
      <x:c r="AB563" s="30" t="str">
        <x:f>IF(Z563&lt;='Controls &amp; Summary'!$B$6,"Eligible","Blocked")</x:f>
        <x:v>Eligible</x:v>
      </x:c>
      <x:c r="AC563" s="30" t="str">
        <x:v>EGY</x:v>
      </x:c>
      <x:c r="AD563" s="30" t="str">
        <x:v>SYR</x:v>
      </x:c>
      <x:c r="AE563" s="30" t="str">
        <x:v>Syria</x:v>
      </x:c>
      <x:c r="AF563" s="30" t="str">
        <x:v>Explicit capitalClaim</x:v>
      </x:c>
      <x:c r="AG563" s="30" t="str">
        <x:v>ClaimEGYSyria</x:v>
      </x:c>
      <x:c r="AH563" s="30" t="str">
        <x:v>Project_UnitedArabLeague</x:v>
      </x:c>
    </x:row>
    <x:row r="564">
      <x:c r="A564" s="30" t="str">
        <x:v>2022</x:v>
      </x:c>
      <x:c r="B564" s="30" t="str">
        <x:v>Base game</x:v>
      </x:c>
      <x:c r="C564" s="30" t="str">
        <x:v>Egypt</x:v>
      </x:c>
      <x:c r="D564" s="30" t="str">
        <x:v>Tunisia</x:v>
      </x:c>
      <x:c r="E564" s="30" t="str">
        <x:v>Project unlock</x:v>
      </x:c>
      <x:c r="F564" s="30" t="str">
        <x:v>United Arab League</x:v>
      </x:c>
      <x:c r="G564" s="30" t="str">
        <x:v>No</x:v>
      </x:c>
      <x:c r="H564" s="30" t="str">
        <x:v>Ordinary claim</x:v>
      </x:c>
      <x:c r="I564" s="31" t="n">
        <x:f>IF(G564="Yes",'Controls &amp; Summary'!$B$5,'Controls &amp; Summary'!$B$4)</x:f>
        <x:v>6</x:v>
      </x:c>
      <x:c r="J564" s="31" t="n">
        <x:v>2.93</x:v>
      </x:c>
      <x:c r="K564" s="31" t="n">
        <x:v>5.99</x:v>
      </x:c>
      <x:c r="L564" s="31" t="n">
        <x:f>ABS(J564-K564)</x:f>
        <x:v>3.06</x:v>
      </x:c>
      <x:c r="M564" s="31" t="n">
        <x:v>3.15</x:v>
      </x:c>
      <x:c r="N564" s="31" t="n">
        <x:v>3.28</x:v>
      </x:c>
      <x:c r="O564" s="31" t="n">
        <x:f>ABS(M564-N564)</x:f>
        <x:v>0.1299999999999999</x:v>
      </x:c>
      <x:c r="P564" s="31" t="n">
        <x:v>6.18</x:v>
      </x:c>
      <x:c r="Q564" s="31" t="n">
        <x:v>6.61</x:v>
      </x:c>
      <x:c r="R564" s="31" t="n">
        <x:f>ABS(P564-Q564)</x:f>
        <x:v>0.4300000000000006</x:v>
      </x:c>
      <x:c r="S564" s="32" t="n">
        <x:v>12879.654518552721</x:v>
      </x:c>
      <x:c r="T564" s="32" t="n">
        <x:v>10866.748773076144</x:v>
      </x:c>
      <x:c r="U564" s="31" t="n">
        <x:f>MAX(S564/T564,T564/S564)</x:f>
        <x:v>1.1852353254419414</x:v>
      </x:c>
      <x:c r="V564" s="31" t="n">
        <x:f>L564*'Controls &amp; Summary'!$B$9+O564*'Controls &amp; Summary'!$B$10+R564*'Controls &amp; Summary'!$B$11+U564*'Controls &amp; Summary'!$B$12</x:f>
        <x:v>4.8052353254419415</x:v>
      </x:c>
      <x:c r="W564" s="31" t="n">
        <x:v>7</x:v>
      </x:c>
      <x:c r="X564" s="31" t="n">
        <x:v>5</x:v>
      </x:c>
      <x:c r="Y564" s="31" t="n">
        <x:f>((10-MIN(10,MAX(0,X564)))/10)*'Controls &amp; Summary'!$B$15+((10-MIN(10,MAX(0,W564)))/10)*'Controls &amp; Summary'!$B$16</x:f>
        <x:v>0.8</x:v>
      </x:c>
      <x:c r="Z564" s="31" t="n">
        <x:f>V564*Y564</x:f>
        <x:v>3.8441882603535533</x:v>
      </x:c>
      <x:c r="AA564" s="30" t="str">
        <x:f>IF(Z564&lt;=I564,"Peaceful","Hostile")</x:f>
        <x:v>Peaceful</x:v>
      </x:c>
      <x:c r="AB564" s="30" t="str">
        <x:f>IF(Z564&lt;='Controls &amp; Summary'!$B$6,"Eligible","Blocked")</x:f>
        <x:v>Eligible</x:v>
      </x:c>
      <x:c r="AC564" s="30" t="str">
        <x:v>EGY</x:v>
      </x:c>
      <x:c r="AD564" s="30" t="str">
        <x:v>TUN</x:v>
      </x:c>
      <x:c r="AE564" s="30" t="str">
        <x:v>Tunisia</x:v>
      </x:c>
      <x:c r="AF564" s="30" t="str">
        <x:v>Explicit capitalClaim</x:v>
      </x:c>
      <x:c r="AG564" s="30" t="str">
        <x:v>ClaimEGYTunisia</x:v>
      </x:c>
      <x:c r="AH564" s="30" t="str">
        <x:v>Project_UnitedArabLeague</x:v>
      </x:c>
    </x:row>
    <x:row r="565">
      <x:c r="A565" s="30" t="str">
        <x:v>2022</x:v>
      </x:c>
      <x:c r="B565" s="30" t="str">
        <x:v>Base game</x:v>
      </x:c>
      <x:c r="C565" s="30" t="str">
        <x:v>Egypt</x:v>
      </x:c>
      <x:c r="D565" s="30" t="str">
        <x:v>United Arab Emirates</x:v>
      </x:c>
      <x:c r="E565" s="30" t="str">
        <x:v>Project unlock</x:v>
      </x:c>
      <x:c r="F565" s="30" t="str">
        <x:v>United Arab League</x:v>
      </x:c>
      <x:c r="G565" s="30" t="str">
        <x:v>No</x:v>
      </x:c>
      <x:c r="H565" s="30" t="str">
        <x:v>Ordinary claim</x:v>
      </x:c>
      <x:c r="I565" s="31" t="n">
        <x:f>IF(G565="Yes",'Controls &amp; Summary'!$B$5,'Controls &amp; Summary'!$B$4)</x:f>
        <x:v>6</x:v>
      </x:c>
      <x:c r="J565" s="31" t="n">
        <x:v>2.93</x:v>
      </x:c>
      <x:c r="K565" s="31" t="n">
        <x:v>2.9</x:v>
      </x:c>
      <x:c r="L565" s="31" t="n">
        <x:f>ABS(J565-K565)</x:f>
        <x:v>0.03000000000000025</x:v>
      </x:c>
      <x:c r="M565" s="31" t="n">
        <x:v>3.15</x:v>
      </x:c>
      <x:c r="N565" s="31" t="n">
        <x:v>2.6</x:v>
      </x:c>
      <x:c r="O565" s="31" t="n">
        <x:f>ABS(M565-N565)</x:f>
        <x:v>0.5499999999999998</x:v>
      </x:c>
      <x:c r="P565" s="31" t="n">
        <x:v>6.18</x:v>
      </x:c>
      <x:c r="Q565" s="31" t="n">
        <x:v>8.02</x:v>
      </x:c>
      <x:c r="R565" s="31" t="n">
        <x:f>ABS(P565-Q565)</x:f>
        <x:v>1.8399999999999999</x:v>
      </x:c>
      <x:c r="S565" s="32" t="n">
        <x:v>12879.654518552721</x:v>
      </x:c>
      <x:c r="T565" s="32" t="n">
        <x:v>67831.86129153769</x:v>
      </x:c>
      <x:c r="U565" s="31" t="n">
        <x:f>MAX(S565/T565,T565/S565)</x:f>
        <x:v>5.266590124279197</x:v>
      </x:c>
      <x:c r="V565" s="31" t="n">
        <x:f>L565*'Controls &amp; Summary'!$B$9+O565*'Controls &amp; Summary'!$B$10+R565*'Controls &amp; Summary'!$B$11+U565*'Controls &amp; Summary'!$B$12</x:f>
        <x:v>7.6865901242791965</x:v>
      </x:c>
      <x:c r="W565" s="31" t="n">
        <x:v>7</x:v>
      </x:c>
      <x:c r="X565" s="31" t="n">
        <x:v>1</x:v>
      </x:c>
      <x:c r="Y565" s="31" t="n">
        <x:f>((10-MIN(10,MAX(0,X565)))/10)*'Controls &amp; Summary'!$B$15+((10-MIN(10,MAX(0,W565)))/10)*'Controls &amp; Summary'!$B$16</x:f>
        <x:v>1.2</x:v>
      </x:c>
      <x:c r="Z565" s="31" t="n">
        <x:f>V565*Y565</x:f>
        <x:v>9.223908149135035</x:v>
      </x:c>
      <x:c r="AA565" s="30" t="str">
        <x:f>IF(Z565&lt;=I565,"Peaceful","Hostile")</x:f>
        <x:v>Hostile</x:v>
      </x:c>
      <x:c r="AB565" s="30" t="str">
        <x:f>IF(Z565&lt;='Controls &amp; Summary'!$B$6,"Eligible","Blocked")</x:f>
        <x:v>Eligible</x:v>
      </x:c>
      <x:c r="AC565" s="30" t="str">
        <x:v>EGY</x:v>
      </x:c>
      <x:c r="AD565" s="30" t="str">
        <x:v>UAE</x:v>
      </x:c>
      <x:c r="AE565" s="30" t="str">
        <x:v>Dubai</x:v>
      </x:c>
      <x:c r="AF565" s="30" t="str">
        <x:v>Explicit capitalClaim</x:v>
      </x:c>
      <x:c r="AG565" s="30" t="str">
        <x:v>ClaimEGYDubai</x:v>
      </x:c>
      <x:c r="AH565" s="30" t="str">
        <x:v>Project_UnitedArabLeague</x:v>
      </x:c>
    </x:row>
    <x:row r="566">
      <x:c r="A566" s="30" t="str">
        <x:v>2022</x:v>
      </x:c>
      <x:c r="B566" s="30" t="str">
        <x:v>Base game</x:v>
      </x:c>
      <x:c r="C566" s="30" t="str">
        <x:v>Egypt</x:v>
      </x:c>
      <x:c r="D566" s="30" t="str">
        <x:v>Yemen</x:v>
      </x:c>
      <x:c r="E566" s="30" t="str">
        <x:v>Project unlock</x:v>
      </x:c>
      <x:c r="F566" s="30" t="str">
        <x:v>United Arab League</x:v>
      </x:c>
      <x:c r="G566" s="30" t="str">
        <x:v>No</x:v>
      </x:c>
      <x:c r="H566" s="30" t="str">
        <x:v>Ordinary claim</x:v>
      </x:c>
      <x:c r="I566" s="31" t="n">
        <x:f>IF(G566="Yes",'Controls &amp; Summary'!$B$5,'Controls &amp; Summary'!$B$4)</x:f>
        <x:v>6</x:v>
      </x:c>
      <x:c r="J566" s="31" t="n">
        <x:v>2.93</x:v>
      </x:c>
      <x:c r="K566" s="31" t="n">
        <x:v>0.9</x:v>
      </x:c>
      <x:c r="L566" s="31" t="n">
        <x:f>ABS(J566-K566)</x:f>
        <x:v>2.0300000000000002</x:v>
      </x:c>
      <x:c r="M566" s="31" t="n">
        <x:v>3.15</x:v>
      </x:c>
      <x:c r="N566" s="31" t="n">
        <x:v>3.67</x:v>
      </x:c>
      <x:c r="O566" s="31" t="n">
        <x:f>ABS(M566-N566)</x:f>
        <x:v>0.52</x:v>
      </x:c>
      <x:c r="P566" s="31" t="n">
        <x:v>6.18</x:v>
      </x:c>
      <x:c r="Q566" s="31" t="n">
        <x:v>3.5</x:v>
      </x:c>
      <x:c r="R566" s="31" t="n">
        <x:f>ABS(P566-Q566)</x:f>
        <x:v>2.6799999999999997</x:v>
      </x:c>
      <x:c r="S566" s="32" t="n">
        <x:v>12879.654518552721</x:v>
      </x:c>
      <x:c r="T566" s="32" t="n">
        <x:v>992.4398371362754</x:v>
      </x:c>
      <x:c r="U566" s="31" t="n">
        <x:f>MAX(S566/T566,T566/S566)</x:f>
        <x:v>12.977768562492892</x:v>
      </x:c>
      <x:c r="V566" s="31" t="n">
        <x:f>L566*'Controls &amp; Summary'!$B$9+O566*'Controls &amp; Summary'!$B$10+R566*'Controls &amp; Summary'!$B$11+U566*'Controls &amp; Summary'!$B$12</x:f>
        <x:v>18.207768562492895</x:v>
      </x:c>
      <x:c r="W566" s="31" t="n">
        <x:v>7</x:v>
      </x:c>
      <x:c r="X566" s="31" t="n">
        <x:v>9</x:v>
      </x:c>
      <x:c r="Y566" s="31" t="n">
        <x:f>((10-MIN(10,MAX(0,X566)))/10)*'Controls &amp; Summary'!$B$15+((10-MIN(10,MAX(0,W566)))/10)*'Controls &amp; Summary'!$B$16</x:f>
        <x:v>0.4</x:v>
      </x:c>
      <x:c r="Z566" s="31" t="n">
        <x:f>V566*Y566</x:f>
        <x:v>7.283107424997159</x:v>
      </x:c>
      <x:c r="AA566" s="30" t="str">
        <x:f>IF(Z566&lt;=I566,"Peaceful","Hostile")</x:f>
        <x:v>Hostile</x:v>
      </x:c>
      <x:c r="AB566" s="30" t="str">
        <x:f>IF(Z566&lt;='Controls &amp; Summary'!$B$6,"Eligible","Blocked")</x:f>
        <x:v>Eligible</x:v>
      </x:c>
      <x:c r="AC566" s="30" t="str">
        <x:v>EGY</x:v>
      </x:c>
      <x:c r="AD566" s="30" t="str">
        <x:v>YEM</x:v>
      </x:c>
      <x:c r="AE566" s="30" t="str">
        <x:v>Yemen</x:v>
      </x:c>
      <x:c r="AF566" s="30" t="str">
        <x:v>Explicit capitalClaim</x:v>
      </x:c>
      <x:c r="AG566" s="30" t="str">
        <x:v>ClaimEGYYemen</x:v>
      </x:c>
      <x:c r="AH566" s="30" t="str">
        <x:v>Project_UnitedArabLeague</x:v>
      </x:c>
    </x:row>
    <x:row r="567">
      <x:c r="A567" s="30" t="str">
        <x:v>2022</x:v>
      </x:c>
      <x:c r="B567" s="30" t="str">
        <x:v>Base game</x:v>
      </x:c>
      <x:c r="C567" s="30" t="str">
        <x:v>Ethiopia</x:v>
      </x:c>
      <x:c r="D567" s="30" t="str">
        <x:v>Algeria</x:v>
      </x:c>
      <x:c r="E567" s="30" t="str">
        <x:v>Project unlock</x:v>
      </x:c>
      <x:c r="F567" s="30" t="str">
        <x:v>Great African Union</x:v>
      </x:c>
      <x:c r="G567" s="30" t="str">
        <x:v>No</x:v>
      </x:c>
      <x:c r="H567" s="30" t="str">
        <x:v>Ordinary claim</x:v>
      </x:c>
      <x:c r="I567" s="31" t="n">
        <x:f>IF(G567="Yes",'Controls &amp; Summary'!$B$5,'Controls &amp; Summary'!$B$4)</x:f>
        <x:v>6</x:v>
      </x:c>
      <x:c r="J567" s="31" t="n">
        <x:v>3.3</x:v>
      </x:c>
      <x:c r="K567" s="31" t="n">
        <x:v>3.77</x:v>
      </x:c>
      <x:c r="L567" s="31" t="n">
        <x:f>ABS(J567-K567)</x:f>
        <x:v>0.4700000000000002</x:v>
      </x:c>
      <x:c r="M567" s="31" t="n">
        <x:v>3.5</x:v>
      </x:c>
      <x:c r="N567" s="31" t="n">
        <x:v>2.76</x:v>
      </x:c>
      <x:c r="O567" s="31" t="n">
        <x:f>ABS(M567-N567)</x:f>
        <x:v>0.7400000000000002</x:v>
      </x:c>
      <x:c r="P567" s="31" t="n">
        <x:v>3.41</x:v>
      </x:c>
      <x:c r="Q567" s="31" t="n">
        <x:v>6.72</x:v>
      </x:c>
      <x:c r="R567" s="31" t="n">
        <x:f>ABS(P567-Q567)</x:f>
        <x:v>3.3099999999999996</x:v>
      </x:c>
      <x:c r="S567" s="32" t="n">
        <x:v>2494.874696388392</x:v>
      </x:c>
      <x:c r="T567" s="32" t="n">
        <x:v>11317.538852483374</x:v>
      </x:c>
      <x:c r="U567" s="31" t="n">
        <x:f>MAX(S567/T567,T567/S567)</x:f>
        <x:v>4.536315538759028</x:v>
      </x:c>
      <x:c r="V567" s="31" t="n">
        <x:f>L567*'Controls &amp; Summary'!$B$9+O567*'Controls &amp; Summary'!$B$10+R567*'Controls &amp; Summary'!$B$11+U567*'Controls &amp; Summary'!$B$12</x:f>
        <x:v>9.056315538759026</x:v>
      </x:c>
      <x:c r="W567" s="31" t="n">
        <x:v>2</x:v>
      </x:c>
      <x:c r="X567" s="31" t="n">
        <x:v>3</x:v>
      </x:c>
      <x:c r="Y567" s="31" t="n">
        <x:f>((10-MIN(10,MAX(0,X567)))/10)*'Controls &amp; Summary'!$B$15+((10-MIN(10,MAX(0,W567)))/10)*'Controls &amp; Summary'!$B$16</x:f>
        <x:v>1.5</x:v>
      </x:c>
      <x:c r="Z567" s="31" t="n">
        <x:f>V567*Y567</x:f>
        <x:v>13.58447330813854</x:v>
      </x:c>
      <x:c r="AA567" s="30" t="str">
        <x:f>IF(Z567&lt;=I567,"Peaceful","Hostile")</x:f>
        <x:v>Hostile</x:v>
      </x:c>
      <x:c r="AB567" s="30" t="str">
        <x:f>IF(Z567&lt;='Controls &amp; Summary'!$B$6,"Eligible","Blocked")</x:f>
        <x:v>Blocked</x:v>
      </x:c>
      <x:c r="AC567" s="30" t="str">
        <x:v>ETH</x:v>
      </x:c>
      <x:c r="AD567" s="30" t="str">
        <x:v>DZA</x:v>
      </x:c>
      <x:c r="AE567" s="30" t="str">
        <x:v>Algeria</x:v>
      </x:c>
      <x:c r="AF567" s="30" t="str">
        <x:v>Explicit capitalClaim</x:v>
      </x:c>
      <x:c r="AG567" s="30" t="str">
        <x:v>ClaimETHAlgeria</x:v>
      </x:c>
      <x:c r="AH567" s="30" t="str">
        <x:v>Project_GreatAfricanUnion</x:v>
      </x:c>
    </x:row>
    <x:row r="568">
      <x:c r="A568" s="30" t="str">
        <x:v>2022</x:v>
      </x:c>
      <x:c r="B568" s="30" t="str">
        <x:v>Base game</x:v>
      </x:c>
      <x:c r="C568" s="30" t="str">
        <x:v>Ethiopia</x:v>
      </x:c>
      <x:c r="D568" s="30" t="str">
        <x:v>Angola</x:v>
      </x:c>
      <x:c r="E568" s="30" t="str">
        <x:v>Project unlock</x:v>
      </x:c>
      <x:c r="F568" s="30" t="str">
        <x:v>African Union</x:v>
      </x:c>
      <x:c r="G568" s="30" t="str">
        <x:v>No</x:v>
      </x:c>
      <x:c r="H568" s="30" t="str">
        <x:v>Ordinary claim</x:v>
      </x:c>
      <x:c r="I568" s="31" t="n">
        <x:f>IF(G568="Yes",'Controls &amp; Summary'!$B$5,'Controls &amp; Summary'!$B$4)</x:f>
        <x:v>6</x:v>
      </x:c>
      <x:c r="J568" s="31" t="n">
        <x:v>3.3</x:v>
      </x:c>
      <x:c r="K568" s="31" t="n">
        <x:v>3.37</x:v>
      </x:c>
      <x:c r="L568" s="31" t="n">
        <x:f>ABS(J568-K568)</x:f>
        <x:v>0.07000000000000028</x:v>
      </x:c>
      <x:c r="M568" s="31" t="n">
        <x:v>3.5</x:v>
      </x:c>
      <x:c r="N568" s="31" t="n">
        <x:v>5.13</x:v>
      </x:c>
      <x:c r="O568" s="31" t="n">
        <x:f>ABS(M568-N568)</x:f>
        <x:v>1.63</x:v>
      </x:c>
      <x:c r="P568" s="31" t="n">
        <x:v>3.41</x:v>
      </x:c>
      <x:c r="Q568" s="31" t="n">
        <x:v>5</x:v>
      </x:c>
      <x:c r="R568" s="31" t="n">
        <x:f>ABS(P568-Q568)</x:f>
        <x:v>1.5899999999999999</x:v>
      </x:c>
      <x:c r="S568" s="32" t="n">
        <x:v>2494.874696388392</x:v>
      </x:c>
      <x:c r="T568" s="32" t="n">
        <x:v>6027.369656918198</x:v>
      </x:c>
      <x:c r="U568" s="31" t="n">
        <x:f>MAX(S568/T568,T568/S568)</x:f>
        <x:v>2.415900752708537</x:v>
      </x:c>
      <x:c r="V568" s="31" t="n">
        <x:f>L568*'Controls &amp; Summary'!$B$9+O568*'Controls &amp; Summary'!$B$10+R568*'Controls &amp; Summary'!$B$11+U568*'Controls &amp; Summary'!$B$12</x:f>
        <x:v>5.705900752708537</x:v>
      </x:c>
      <x:c r="W568" s="31" t="n">
        <x:v>2</x:v>
      </x:c>
      <x:c r="X568" s="31" t="n">
        <x:v>3</x:v>
      </x:c>
      <x:c r="Y568" s="31" t="n">
        <x:f>((10-MIN(10,MAX(0,X568)))/10)*'Controls &amp; Summary'!$B$15+((10-MIN(10,MAX(0,W568)))/10)*'Controls &amp; Summary'!$B$16</x:f>
        <x:v>1.5</x:v>
      </x:c>
      <x:c r="Z568" s="31" t="n">
        <x:f>V568*Y568</x:f>
        <x:v>8.558851129062806</x:v>
      </x:c>
      <x:c r="AA568" s="30" t="str">
        <x:f>IF(Z568&lt;=I568,"Peaceful","Hostile")</x:f>
        <x:v>Hostile</x:v>
      </x:c>
      <x:c r="AB568" s="30" t="str">
        <x:f>IF(Z568&lt;='Controls &amp; Summary'!$B$6,"Eligible","Blocked")</x:f>
        <x:v>Eligible</x:v>
      </x:c>
      <x:c r="AC568" s="30" t="str">
        <x:v>ETH</x:v>
      </x:c>
      <x:c r="AD568" s="30" t="str">
        <x:v>AGO</x:v>
      </x:c>
      <x:c r="AE568" s="30" t="str">
        <x:v>Angola</x:v>
      </x:c>
      <x:c r="AF568" s="30" t="str">
        <x:v>Explicit capitalClaim</x:v>
      </x:c>
      <x:c r="AG568" s="30" t="str">
        <x:v>ClaimETHAngola</x:v>
      </x:c>
      <x:c r="AH568" s="30" t="str">
        <x:v>Project_AfricanUnion</x:v>
      </x:c>
    </x:row>
    <x:row r="569">
      <x:c r="A569" s="30" t="str">
        <x:v>2022</x:v>
      </x:c>
      <x:c r="B569" s="30" t="str">
        <x:v>Base game</x:v>
      </x:c>
      <x:c r="C569" s="30" t="str">
        <x:v>Ethiopia</x:v>
      </x:c>
      <x:c r="D569" s="30" t="str">
        <x:v>Benin</x:v>
      </x:c>
      <x:c r="E569" s="30" t="str">
        <x:v>Project unlock</x:v>
      </x:c>
      <x:c r="F569" s="30" t="str">
        <x:v>African Union</x:v>
      </x:c>
      <x:c r="G569" s="30" t="str">
        <x:v>No</x:v>
      </x:c>
      <x:c r="H569" s="30" t="str">
        <x:v>Ordinary claim</x:v>
      </x:c>
      <x:c r="I569" s="31" t="n">
        <x:f>IF(G569="Yes",'Controls &amp; Summary'!$B$5,'Controls &amp; Summary'!$B$4)</x:f>
        <x:v>6</x:v>
      </x:c>
      <x:c r="J569" s="31" t="n">
        <x:v>3.3</x:v>
      </x:c>
      <x:c r="K569" s="31" t="n">
        <x:v>4.19</x:v>
      </x:c>
      <x:c r="L569" s="31" t="n">
        <x:f>ABS(J569-K569)</x:f>
        <x:v>0.8900000000000006</x:v>
      </x:c>
      <x:c r="M569" s="31" t="n">
        <x:v>3.5</x:v>
      </x:c>
      <x:c r="N569" s="31" t="n">
        <x:v>3.78</x:v>
      </x:c>
      <x:c r="O569" s="31" t="n">
        <x:f>ABS(M569-N569)</x:f>
        <x:v>0.2799999999999998</x:v>
      </x:c>
      <x:c r="P569" s="31" t="n">
        <x:v>3.41</x:v>
      </x:c>
      <x:c r="Q569" s="31" t="n">
        <x:v>4.78</x:v>
      </x:c>
      <x:c r="R569" s="31" t="n">
        <x:f>ABS(P569-Q569)</x:f>
        <x:v>1.37</x:v>
      </x:c>
      <x:c r="S569" s="32" t="n">
        <x:v>2494.874696388392</x:v>
      </x:c>
      <x:c r="T569" s="32" t="n">
        <x:v>3625.659140545867</x:v>
      </x:c>
      <x:c r="U569" s="31" t="n">
        <x:f>MAX(S569/T569,T569/S569)</x:f>
        <x:v>1.4532429808175984</x:v>
      </x:c>
      <x:c r="V569" s="31" t="n">
        <x:f>L569*'Controls &amp; Summary'!$B$9+O569*'Controls &amp; Summary'!$B$10+R569*'Controls &amp; Summary'!$B$11+U569*'Controls &amp; Summary'!$B$12</x:f>
        <x:v>3.993242980817599</x:v>
      </x:c>
      <x:c r="W569" s="31" t="n">
        <x:v>2</x:v>
      </x:c>
      <x:c r="X569" s="31" t="n">
        <x:v>3</x:v>
      </x:c>
      <x:c r="Y569" s="31" t="n">
        <x:f>((10-MIN(10,MAX(0,X569)))/10)*'Controls &amp; Summary'!$B$15+((10-MIN(10,MAX(0,W569)))/10)*'Controls &amp; Summary'!$B$16</x:f>
        <x:v>1.5</x:v>
      </x:c>
      <x:c r="Z569" s="31" t="n">
        <x:f>V569*Y569</x:f>
        <x:v>5.989864471226399</x:v>
      </x:c>
      <x:c r="AA569" s="30" t="str">
        <x:f>IF(Z569&lt;=I569,"Peaceful","Hostile")</x:f>
        <x:v>Peaceful</x:v>
      </x:c>
      <x:c r="AB569" s="30" t="str">
        <x:f>IF(Z569&lt;='Controls &amp; Summary'!$B$6,"Eligible","Blocked")</x:f>
        <x:v>Eligible</x:v>
      </x:c>
      <x:c r="AC569" s="30" t="str">
        <x:v>ETH</x:v>
      </x:c>
      <x:c r="AD569" s="30" t="str">
        <x:v>BEN</x:v>
      </x:c>
      <x:c r="AE569" s="30" t="str">
        <x:v>TogoBenin</x:v>
      </x:c>
      <x:c r="AF569" s="30" t="str">
        <x:v>Explicit capitalClaim</x:v>
      </x:c>
      <x:c r="AG569" s="30" t="str">
        <x:v>ClaimETHTogoBenin</x:v>
      </x:c>
      <x:c r="AH569" s="30" t="str">
        <x:v>Project_AfricanUnion</x:v>
      </x:c>
    </x:row>
    <x:row r="570">
      <x:c r="A570" s="30" t="str">
        <x:v>2022</x:v>
      </x:c>
      <x:c r="B570" s="30" t="str">
        <x:v>Base game</x:v>
      </x:c>
      <x:c r="C570" s="30" t="str">
        <x:v>Ethiopia</x:v>
      </x:c>
      <x:c r="D570" s="30" t="str">
        <x:v>Botswana</x:v>
      </x:c>
      <x:c r="E570" s="30" t="str">
        <x:v>Project unlock</x:v>
      </x:c>
      <x:c r="F570" s="30" t="str">
        <x:v>African Union</x:v>
      </x:c>
      <x:c r="G570" s="30" t="str">
        <x:v>No</x:v>
      </x:c>
      <x:c r="H570" s="30" t="str">
        <x:v>Ordinary claim</x:v>
      </x:c>
      <x:c r="I570" s="31" t="n">
        <x:f>IF(G570="Yes",'Controls &amp; Summary'!$B$5,'Controls &amp; Summary'!$B$4)</x:f>
        <x:v>6</x:v>
      </x:c>
      <x:c r="J570" s="31" t="n">
        <x:v>3.3</x:v>
      </x:c>
      <x:c r="K570" s="31" t="n">
        <x:v>7.73</x:v>
      </x:c>
      <x:c r="L570" s="31" t="n">
        <x:f>ABS(J570-K570)</x:f>
        <x:v>4.430000000000001</x:v>
      </x:c>
      <x:c r="M570" s="31" t="n">
        <x:v>3.5</x:v>
      </x:c>
      <x:c r="N570" s="31" t="n">
        <x:v>5.33</x:v>
      </x:c>
      <x:c r="O570" s="31" t="n">
        <x:f>ABS(M570-N570)</x:f>
        <x:v>1.83</x:v>
      </x:c>
      <x:c r="P570" s="31" t="n">
        <x:v>3.41</x:v>
      </x:c>
      <x:c r="Q570" s="31" t="n">
        <x:v>6.76</x:v>
      </x:c>
      <x:c r="R570" s="31" t="n">
        <x:f>ABS(P570-Q570)</x:f>
        <x:v>3.3499999999999996</x:v>
      </x:c>
      <x:c r="S570" s="32" t="n">
        <x:v>2494.874696388392</x:v>
      </x:c>
      <x:c r="T570" s="32" t="n">
        <x:v>16942.02759794286</x:v>
      </x:c>
      <x:c r="U570" s="31" t="n">
        <x:f>MAX(S570/T570,T570/S570)</x:f>
        <x:v>6.790732866251089</x:v>
      </x:c>
      <x:c r="V570" s="31" t="n">
        <x:f>L570*'Controls &amp; Summary'!$B$9+O570*'Controls &amp; Summary'!$B$10+R570*'Controls &amp; Summary'!$B$11+U570*'Controls &amp; Summary'!$B$12</x:f>
        <x:v>16.40073286625109</x:v>
      </x:c>
      <x:c r="W570" s="31" t="n">
        <x:v>2</x:v>
      </x:c>
      <x:c r="X570" s="31" t="n">
        <x:v>2</x:v>
      </x:c>
      <x:c r="Y570" s="31" t="n">
        <x:f>((10-MIN(10,MAX(0,X570)))/10)*'Controls &amp; Summary'!$B$15+((10-MIN(10,MAX(0,W570)))/10)*'Controls &amp; Summary'!$B$16</x:f>
        <x:v>1.6</x:v>
      </x:c>
      <x:c r="Z570" s="31" t="n">
        <x:f>V570*Y570</x:f>
        <x:v>26.241172586001746</x:v>
      </x:c>
      <x:c r="AA570" s="30" t="str">
        <x:f>IF(Z570&lt;=I570,"Peaceful","Hostile")</x:f>
        <x:v>Hostile</x:v>
      </x:c>
      <x:c r="AB570" s="30" t="str">
        <x:f>IF(Z570&lt;='Controls &amp; Summary'!$B$6,"Eligible","Blocked")</x:f>
        <x:v>Blocked</x:v>
      </x:c>
      <x:c r="AC570" s="30" t="str">
        <x:v>ETH</x:v>
      </x:c>
      <x:c r="AD570" s="30" t="str">
        <x:v>BWA</x:v>
      </x:c>
      <x:c r="AE570" s="30" t="str">
        <x:v>Botswana</x:v>
      </x:c>
      <x:c r="AF570" s="30" t="str">
        <x:v>Explicit capitalClaim</x:v>
      </x:c>
      <x:c r="AG570" s="30" t="str">
        <x:v>ClaimETHBotswana</x:v>
      </x:c>
      <x:c r="AH570" s="30" t="str">
        <x:v>Project_AfricanUnion</x:v>
      </x:c>
    </x:row>
    <x:row r="571">
      <x:c r="A571" s="30" t="str">
        <x:v>2022</x:v>
      </x:c>
      <x:c r="B571" s="30" t="str">
        <x:v>Base game</x:v>
      </x:c>
      <x:c r="C571" s="30" t="str">
        <x:v>Ethiopia</x:v>
      </x:c>
      <x:c r="D571" s="30" t="str">
        <x:v>Burkina Faso</x:v>
      </x:c>
      <x:c r="E571" s="30" t="str">
        <x:v>Project unlock</x:v>
      </x:c>
      <x:c r="F571" s="30" t="str">
        <x:v>African Union</x:v>
      </x:c>
      <x:c r="G571" s="30" t="str">
        <x:v>No</x:v>
      </x:c>
      <x:c r="H571" s="30" t="str">
        <x:v>Ordinary claim</x:v>
      </x:c>
      <x:c r="I571" s="31" t="n">
        <x:f>IF(G571="Yes",'Controls &amp; Summary'!$B$5,'Controls &amp; Summary'!$B$4)</x:f>
        <x:v>6</x:v>
      </x:c>
      <x:c r="J571" s="31" t="n">
        <x:v>3.3</x:v>
      </x:c>
      <x:c r="K571" s="31" t="n">
        <x:v>3.84</x:v>
      </x:c>
      <x:c r="L571" s="31" t="n">
        <x:f>ABS(J571-K571)</x:f>
        <x:v>0.54</x:v>
      </x:c>
      <x:c r="M571" s="31" t="n">
        <x:v>3.5</x:v>
      </x:c>
      <x:c r="N571" s="31" t="n">
        <x:v>4.73</x:v>
      </x:c>
      <x:c r="O571" s="31" t="n">
        <x:f>ABS(M571-N571)</x:f>
        <x:v>1.2300000000000004</x:v>
      </x:c>
      <x:c r="P571" s="31" t="n">
        <x:v>3.41</x:v>
      </x:c>
      <x:c r="Q571" s="31" t="n">
        <x:v>3.12</x:v>
      </x:c>
      <x:c r="R571" s="31" t="n">
        <x:f>ABS(P571-Q571)</x:f>
        <x:v>0.29000000000000004</x:v>
      </x:c>
      <x:c r="S571" s="32" t="n">
        <x:v>2494.874696388392</x:v>
      </x:c>
      <x:c r="T571" s="32" t="n">
        <x:v>2328.229556856228</x:v>
      </x:c>
      <x:c r="U571" s="31" t="n">
        <x:f>MAX(S571/T571,T571/S571)</x:f>
        <x:v>1.07157590583859</x:v>
      </x:c>
      <x:c r="V571" s="31" t="n">
        <x:f>L571*'Controls &amp; Summary'!$B$9+O571*'Controls &amp; Summary'!$B$10+R571*'Controls &amp; Summary'!$B$11+U571*'Controls &amp; Summary'!$B$12</x:f>
        <x:v>3.1315759058385906</x:v>
      </x:c>
      <x:c r="W571" s="31" t="n">
        <x:v>2</x:v>
      </x:c>
      <x:c r="X571" s="31" t="n">
        <x:v>4</x:v>
      </x:c>
      <x:c r="Y571" s="31" t="n">
        <x:f>((10-MIN(10,MAX(0,X571)))/10)*'Controls &amp; Summary'!$B$15+((10-MIN(10,MAX(0,W571)))/10)*'Controls &amp; Summary'!$B$16</x:f>
        <x:v>1.4</x:v>
      </x:c>
      <x:c r="Z571" s="31" t="n">
        <x:f>V571*Y571</x:f>
        <x:v>4.384206268174027</x:v>
      </x:c>
      <x:c r="AA571" s="30" t="str">
        <x:f>IF(Z571&lt;=I571,"Peaceful","Hostile")</x:f>
        <x:v>Peaceful</x:v>
      </x:c>
      <x:c r="AB571" s="30" t="str">
        <x:f>IF(Z571&lt;='Controls &amp; Summary'!$B$6,"Eligible","Blocked")</x:f>
        <x:v>Eligible</x:v>
      </x:c>
      <x:c r="AC571" s="30" t="str">
        <x:v>ETH</x:v>
      </x:c>
      <x:c r="AD571" s="30" t="str">
        <x:v>BKF</x:v>
      </x:c>
      <x:c r="AE571" s="30" t="str">
        <x:v>BurkinaFaso</x:v>
      </x:c>
      <x:c r="AF571" s="30" t="str">
        <x:v>Explicit capitalClaim</x:v>
      </x:c>
      <x:c r="AG571" s="30" t="str">
        <x:v>ClaimETHBurkinaFaso</x:v>
      </x:c>
      <x:c r="AH571" s="30" t="str">
        <x:v>Project_AfricanUnion</x:v>
      </x:c>
    </x:row>
    <x:row r="572">
      <x:c r="A572" s="30" t="str">
        <x:v>2022</x:v>
      </x:c>
      <x:c r="B572" s="30" t="str">
        <x:v>Base game</x:v>
      </x:c>
      <x:c r="C572" s="30" t="str">
        <x:v>Ethiopia</x:v>
      </x:c>
      <x:c r="D572" s="30" t="str">
        <x:v>Cabo Verde</x:v>
      </x:c>
      <x:c r="E572" s="30" t="str">
        <x:v>Project unlock</x:v>
      </x:c>
      <x:c r="F572" s="30" t="str">
        <x:v>African Union</x:v>
      </x:c>
      <x:c r="G572" s="30" t="str">
        <x:v>No</x:v>
      </x:c>
      <x:c r="H572" s="30" t="str">
        <x:v>Ordinary claim</x:v>
      </x:c>
      <x:c r="I572" s="31" t="n">
        <x:f>IF(G572="Yes",'Controls &amp; Summary'!$B$5,'Controls &amp; Summary'!$B$4)</x:f>
        <x:v>6</x:v>
      </x:c>
      <x:c r="J572" s="31" t="n">
        <x:v>3.3</x:v>
      </x:c>
      <x:c r="K572" s="31" t="n">
        <x:v>7.65</x:v>
      </x:c>
      <x:c r="L572" s="31" t="n">
        <x:f>ABS(J572-K572)</x:f>
        <x:v>4.3500000000000005</x:v>
      </x:c>
      <x:c r="M572" s="31" t="n">
        <x:v>3.5</x:v>
      </x:c>
      <x:c r="N572" s="31" t="n">
        <x:v>4.24</x:v>
      </x:c>
      <x:c r="O572" s="31" t="n">
        <x:f>ABS(M572-N572)</x:f>
        <x:v>0.7400000000000002</x:v>
      </x:c>
      <x:c r="P572" s="31" t="n">
        <x:v>3.41</x:v>
      </x:c>
      <x:c r="Q572" s="31" t="n">
        <x:v>5.62</x:v>
      </x:c>
      <x:c r="R572" s="31" t="n">
        <x:f>ABS(P572-Q572)</x:f>
        <x:v>2.21</x:v>
      </x:c>
      <x:c r="S572" s="32" t="n">
        <x:v>2494.874696388392</x:v>
      </x:c>
      <x:c r="T572" s="32" t="n">
        <x:v>6819.549148518205</x:v>
      </x:c>
      <x:c r="U572" s="31" t="n">
        <x:f>MAX(S572/T572,T572/S572)</x:f>
        <x:v>2.733423509561526</x:v>
      </x:c>
      <x:c r="V572" s="31" t="n">
        <x:f>L572*'Controls &amp; Summary'!$B$9+O572*'Controls &amp; Summary'!$B$10+R572*'Controls &amp; Summary'!$B$11+U572*'Controls &amp; Summary'!$B$12</x:f>
        <x:v>10.033423509561526</x:v>
      </x:c>
      <x:c r="W572" s="31" t="n">
        <x:v>2</x:v>
      </x:c>
      <x:c r="X572" s="31" t="n">
        <x:v>0</x:v>
      </x:c>
      <x:c r="Y572" s="31" t="n">
        <x:f>((10-MIN(10,MAX(0,X572)))/10)*'Controls &amp; Summary'!$B$15+((10-MIN(10,MAX(0,W572)))/10)*'Controls &amp; Summary'!$B$16</x:f>
        <x:v>1.8</x:v>
      </x:c>
      <x:c r="Z572" s="31" t="n">
        <x:f>V572*Y572</x:f>
        <x:v>18.060162317210747</x:v>
      </x:c>
      <x:c r="AA572" s="30" t="str">
        <x:f>IF(Z572&lt;=I572,"Peaceful","Hostile")</x:f>
        <x:v>Hostile</x:v>
      </x:c>
      <x:c r="AB572" s="30" t="str">
        <x:f>IF(Z572&lt;='Controls &amp; Summary'!$B$6,"Eligible","Blocked")</x:f>
        <x:v>Blocked</x:v>
      </x:c>
      <x:c r="AC572" s="30" t="str">
        <x:v>ETH</x:v>
      </x:c>
      <x:c r="AD572" s="30" t="str">
        <x:v>CPV</x:v>
      </x:c>
      <x:c r="AE572" s="30" t="str">
        <x:v>CaboVerde</x:v>
      </x:c>
      <x:c r="AF572" s="30" t="str">
        <x:v>Explicit capitalClaim</x:v>
      </x:c>
      <x:c r="AG572" s="30" t="str">
        <x:v>ClaimETHCaboVerde</x:v>
      </x:c>
      <x:c r="AH572" s="30" t="str">
        <x:v>Project_AfricanUnion</x:v>
      </x:c>
    </x:row>
    <x:row r="573">
      <x:c r="A573" s="30" t="str">
        <x:v>2022</x:v>
      </x:c>
      <x:c r="B573" s="30" t="str">
        <x:v>Base game</x:v>
      </x:c>
      <x:c r="C573" s="30" t="str">
        <x:v>Ethiopia</x:v>
      </x:c>
      <x:c r="D573" s="30" t="str">
        <x:v>Cameroon</x:v>
      </x:c>
      <x:c r="E573" s="30" t="str">
        <x:v>Project unlock</x:v>
      </x:c>
      <x:c r="F573" s="30" t="str">
        <x:v>African Union</x:v>
      </x:c>
      <x:c r="G573" s="30" t="str">
        <x:v>No</x:v>
      </x:c>
      <x:c r="H573" s="30" t="str">
        <x:v>Ordinary claim</x:v>
      </x:c>
      <x:c r="I573" s="31" t="n">
        <x:f>IF(G573="Yes",'Controls &amp; Summary'!$B$5,'Controls &amp; Summary'!$B$4)</x:f>
        <x:v>6</x:v>
      </x:c>
      <x:c r="J573" s="31" t="n">
        <x:v>3.3</x:v>
      </x:c>
      <x:c r="K573" s="31" t="n">
        <x:v>2.56</x:v>
      </x:c>
      <x:c r="L573" s="31" t="n">
        <x:f>ABS(J573-K573)</x:f>
        <x:v>0.7399999999999998</x:v>
      </x:c>
      <x:c r="M573" s="31" t="n">
        <x:v>3.5</x:v>
      </x:c>
      <x:c r="N573" s="31" t="n">
        <x:v>4.66</x:v>
      </x:c>
      <x:c r="O573" s="31" t="n">
        <x:f>ABS(M573-N573)</x:f>
        <x:v>1.1600000000000001</x:v>
      </x:c>
      <x:c r="P573" s="31" t="n">
        <x:v>3.41</x:v>
      </x:c>
      <x:c r="Q573" s="31" t="n">
        <x:v>5.47</x:v>
      </x:c>
      <x:c r="R573" s="31" t="n">
        <x:f>ABS(P573-Q573)</x:f>
        <x:v>2.0599999999999996</x:v>
      </x:c>
      <x:c r="S573" s="32" t="n">
        <x:v>2494.874696388392</x:v>
      </x:c>
      <x:c r="T573" s="32" t="n">
        <x:v>3840.8143048339234</x:v>
      </x:c>
      <x:c r="U573" s="31" t="n">
        <x:f>MAX(S573/T573,T573/S573)</x:f>
        <x:v>1.5394818466810893</x:v>
      </x:c>
      <x:c r="V573" s="31" t="n">
        <x:f>L573*'Controls &amp; Summary'!$B$9+O573*'Controls &amp; Summary'!$B$10+R573*'Controls &amp; Summary'!$B$11+U573*'Controls &amp; Summary'!$B$12</x:f>
        <x:v>5.499481846681089</x:v>
      </x:c>
      <x:c r="W573" s="31" t="n">
        <x:v>2</x:v>
      </x:c>
      <x:c r="X573" s="31" t="n">
        <x:v>5</x:v>
      </x:c>
      <x:c r="Y573" s="31" t="n">
        <x:f>((10-MIN(10,MAX(0,X573)))/10)*'Controls &amp; Summary'!$B$15+((10-MIN(10,MAX(0,W573)))/10)*'Controls &amp; Summary'!$B$16</x:f>
        <x:v>1.3</x:v>
      </x:c>
      <x:c r="Z573" s="31" t="n">
        <x:f>V573*Y573</x:f>
        <x:v>7.149326400685416</x:v>
      </x:c>
      <x:c r="AA573" s="30" t="str">
        <x:f>IF(Z573&lt;=I573,"Peaceful","Hostile")</x:f>
        <x:v>Hostile</x:v>
      </x:c>
      <x:c r="AB573" s="30" t="str">
        <x:f>IF(Z573&lt;='Controls &amp; Summary'!$B$6,"Eligible","Blocked")</x:f>
        <x:v>Eligible</x:v>
      </x:c>
      <x:c r="AC573" s="30" t="str">
        <x:v>ETH</x:v>
      </x:c>
      <x:c r="AD573" s="30" t="str">
        <x:v>CMR</x:v>
      </x:c>
      <x:c r="AE573" s="30" t="str">
        <x:v>Cameroon</x:v>
      </x:c>
      <x:c r="AF573" s="30" t="str">
        <x:v>Explicit capitalClaim</x:v>
      </x:c>
      <x:c r="AG573" s="30" t="str">
        <x:v>ClaimETHCameroon</x:v>
      </x:c>
      <x:c r="AH573" s="30" t="str">
        <x:v>Project_AfricanUnion</x:v>
      </x:c>
    </x:row>
    <x:row r="574">
      <x:c r="A574" s="30" t="str">
        <x:v>2022</x:v>
      </x:c>
      <x:c r="B574" s="30" t="str">
        <x:v>Base game</x:v>
      </x:c>
      <x:c r="C574" s="30" t="str">
        <x:v>Ethiopia</x:v>
      </x:c>
      <x:c r="D574" s="30" t="str">
        <x:v>Central African Republic</x:v>
      </x:c>
      <x:c r="E574" s="30" t="str">
        <x:v>Project unlock</x:v>
      </x:c>
      <x:c r="F574" s="30" t="str">
        <x:v>African Union</x:v>
      </x:c>
      <x:c r="G574" s="30" t="str">
        <x:v>No</x:v>
      </x:c>
      <x:c r="H574" s="30" t="str">
        <x:v>Ordinary claim</x:v>
      </x:c>
      <x:c r="I574" s="31" t="n">
        <x:f>IF(G574="Yes",'Controls &amp; Summary'!$B$5,'Controls &amp; Summary'!$B$4)</x:f>
        <x:v>6</x:v>
      </x:c>
      <x:c r="J574" s="31" t="n">
        <x:v>3.3</x:v>
      </x:c>
      <x:c r="K574" s="31" t="n">
        <x:v>1.43</x:v>
      </x:c>
      <x:c r="L574" s="31" t="n">
        <x:f>ABS(J574-K574)</x:f>
        <x:v>1.8699999999999999</x:v>
      </x:c>
      <x:c r="M574" s="31" t="n">
        <x:v>3.5</x:v>
      </x:c>
      <x:c r="N574" s="31" t="n">
        <x:v>5.62</x:v>
      </x:c>
      <x:c r="O574" s="31" t="n">
        <x:f>ABS(M574-N574)</x:f>
        <x:v>2.12</x:v>
      </x:c>
      <x:c r="P574" s="31" t="n">
        <x:v>3.41</x:v>
      </x:c>
      <x:c r="Q574" s="31" t="n">
        <x:v>3.53</x:v>
      </x:c>
      <x:c r="R574" s="31" t="n">
        <x:f>ABS(P574-Q574)</x:f>
        <x:v>0.11999999999999966</x:v>
      </x:c>
      <x:c r="S574" s="32" t="n">
        <x:v>2494.874696388392</x:v>
      </x:c>
      <x:c r="T574" s="32" t="n">
        <x:v>963.7922136335168</x:v>
      </x:c>
      <x:c r="U574" s="31" t="n">
        <x:f>MAX(S574/T574,T574/S574)</x:f>
        <x:v>2.5886022537810947</x:v>
      </x:c>
      <x:c r="V574" s="31" t="n">
        <x:f>L574*'Controls &amp; Summary'!$B$9+O574*'Controls &amp; Summary'!$B$10+R574*'Controls &amp; Summary'!$B$11+U574*'Controls &amp; Summary'!$B$12</x:f>
        <x:v>6.698602253781094</x:v>
      </x:c>
      <x:c r="W574" s="31" t="n">
        <x:v>2</x:v>
      </x:c>
      <x:c r="X574" s="31" t="n">
        <x:v>6</x:v>
      </x:c>
      <x:c r="Y574" s="31" t="n">
        <x:f>((10-MIN(10,MAX(0,X574)))/10)*'Controls &amp; Summary'!$B$15+((10-MIN(10,MAX(0,W574)))/10)*'Controls &amp; Summary'!$B$16</x:f>
        <x:v>1.2000000000000002</x:v>
      </x:c>
      <x:c r="Z574" s="31" t="n">
        <x:f>V574*Y574</x:f>
        <x:v>8.038322704537315</x:v>
      </x:c>
      <x:c r="AA574" s="30" t="str">
        <x:f>IF(Z574&lt;=I574,"Peaceful","Hostile")</x:f>
        <x:v>Hostile</x:v>
      </x:c>
      <x:c r="AB574" s="30" t="str">
        <x:f>IF(Z574&lt;='Controls &amp; Summary'!$B$6,"Eligible","Blocked")</x:f>
        <x:v>Eligible</x:v>
      </x:c>
      <x:c r="AC574" s="30" t="str">
        <x:v>ETH</x:v>
      </x:c>
      <x:c r="AD574" s="30" t="str">
        <x:v>CAF</x:v>
      </x:c>
      <x:c r="AE574" s="30" t="str">
        <x:v>CentralAfricanRepublic</x:v>
      </x:c>
      <x:c r="AF574" s="30" t="str">
        <x:v>Explicit capitalClaim</x:v>
      </x:c>
      <x:c r="AG574" s="30" t="str">
        <x:v>ClaimETHCentralAfricanRepublic</x:v>
      </x:c>
      <x:c r="AH574" s="30" t="str">
        <x:v>Project_AfricanUnion</x:v>
      </x:c>
    </x:row>
    <x:row r="575">
      <x:c r="A575" s="30" t="str">
        <x:v>2022</x:v>
      </x:c>
      <x:c r="B575" s="30" t="str">
        <x:v>Base game</x:v>
      </x:c>
      <x:c r="C575" s="30" t="str">
        <x:v>Ethiopia</x:v>
      </x:c>
      <x:c r="D575" s="30" t="str">
        <x:v>Chad</x:v>
      </x:c>
      <x:c r="E575" s="30" t="str">
        <x:v>Project unlock</x:v>
      </x:c>
      <x:c r="F575" s="30" t="str">
        <x:v>African Union</x:v>
      </x:c>
      <x:c r="G575" s="30" t="str">
        <x:v>No</x:v>
      </x:c>
      <x:c r="H575" s="30" t="str">
        <x:v>Ordinary claim</x:v>
      </x:c>
      <x:c r="I575" s="31" t="n">
        <x:f>IF(G575="Yes",'Controls &amp; Summary'!$B$5,'Controls &amp; Summary'!$B$4)</x:f>
        <x:v>6</x:v>
      </x:c>
      <x:c r="J575" s="31" t="n">
        <x:v>3.3</x:v>
      </x:c>
      <x:c r="K575" s="31" t="n">
        <x:v>1.67</x:v>
      </x:c>
      <x:c r="L575" s="31" t="n">
        <x:f>ABS(J575-K575)</x:f>
        <x:v>1.63</x:v>
      </x:c>
      <x:c r="M575" s="31" t="n">
        <x:v>3.5</x:v>
      </x:c>
      <x:c r="N575" s="31" t="n">
        <x:v>3.75</x:v>
      </x:c>
      <x:c r="O575" s="31" t="n">
        <x:f>ABS(M575-N575)</x:f>
        <x:v>0.25</x:v>
      </x:c>
      <x:c r="P575" s="31" t="n">
        <x:v>3.41</x:v>
      </x:c>
      <x:c r="Q575" s="31" t="n">
        <x:v>2.88</x:v>
      </x:c>
      <x:c r="R575" s="31" t="n">
        <x:f>ABS(P575-Q575)</x:f>
        <x:v>0.5300000000000002</x:v>
      </x:c>
      <x:c r="S575" s="32" t="n">
        <x:v>2494.874696388392</x:v>
      </x:c>
      <x:c r="T575" s="32" t="n">
        <x:v>1486.5764952493905</x:v>
      </x:c>
      <x:c r="U575" s="31" t="n">
        <x:f>MAX(S575/T575,T575/S575)</x:f>
        <x:v>1.678268628867193</x:v>
      </x:c>
      <x:c r="V575" s="31" t="n">
        <x:f>L575*'Controls &amp; Summary'!$B$9+O575*'Controls &amp; Summary'!$B$10+R575*'Controls &amp; Summary'!$B$11+U575*'Controls &amp; Summary'!$B$12</x:f>
        <x:v>4.088268628867193</x:v>
      </x:c>
      <x:c r="W575" s="31" t="n">
        <x:v>2</x:v>
      </x:c>
      <x:c r="X575" s="31" t="n">
        <x:v>5</x:v>
      </x:c>
      <x:c r="Y575" s="31" t="n">
        <x:f>((10-MIN(10,MAX(0,X575)))/10)*'Controls &amp; Summary'!$B$15+((10-MIN(10,MAX(0,W575)))/10)*'Controls &amp; Summary'!$B$16</x:f>
        <x:v>1.3</x:v>
      </x:c>
      <x:c r="Z575" s="31" t="n">
        <x:f>V575*Y575</x:f>
        <x:v>5.314749217527352</x:v>
      </x:c>
      <x:c r="AA575" s="30" t="str">
        <x:f>IF(Z575&lt;=I575,"Peaceful","Hostile")</x:f>
        <x:v>Peaceful</x:v>
      </x:c>
      <x:c r="AB575" s="30" t="str">
        <x:f>IF(Z575&lt;='Controls &amp; Summary'!$B$6,"Eligible","Blocked")</x:f>
        <x:v>Eligible</x:v>
      </x:c>
      <x:c r="AC575" s="30" t="str">
        <x:v>ETH</x:v>
      </x:c>
      <x:c r="AD575" s="30" t="str">
        <x:v>TCD</x:v>
      </x:c>
      <x:c r="AE575" s="30" t="str">
        <x:v>Chad</x:v>
      </x:c>
      <x:c r="AF575" s="30" t="str">
        <x:v>Explicit capitalClaim</x:v>
      </x:c>
      <x:c r="AG575" s="30" t="str">
        <x:v>ClaimETHChad</x:v>
      </x:c>
      <x:c r="AH575" s="30" t="str">
        <x:v>Project_AfricanUnion</x:v>
      </x:c>
    </x:row>
    <x:row r="576">
      <x:c r="A576" s="30" t="str">
        <x:v>2022</x:v>
      </x:c>
      <x:c r="B576" s="30" t="str">
        <x:v>Base game</x:v>
      </x:c>
      <x:c r="C576" s="30" t="str">
        <x:v>Ethiopia</x:v>
      </x:c>
      <x:c r="D576" s="30" t="str">
        <x:v>Comoros</x:v>
      </x:c>
      <x:c r="E576" s="30" t="str">
        <x:v>Project unlock</x:v>
      </x:c>
      <x:c r="F576" s="30" t="str">
        <x:v>African Union</x:v>
      </x:c>
      <x:c r="G576" s="30" t="str">
        <x:v>No</x:v>
      </x:c>
      <x:c r="H576" s="30" t="str">
        <x:v>Ordinary claim</x:v>
      </x:c>
      <x:c r="I576" s="31" t="n">
        <x:f>IF(G576="Yes",'Controls &amp; Summary'!$B$5,'Controls &amp; Summary'!$B$4)</x:f>
        <x:v>6</x:v>
      </x:c>
      <x:c r="J576" s="31" t="n">
        <x:v>3.3</x:v>
      </x:c>
      <x:c r="K576" s="31" t="n">
        <x:v>3.2</x:v>
      </x:c>
      <x:c r="L576" s="31" t="n">
        <x:f>ABS(J576-K576)</x:f>
        <x:v>0.09999999999999964</x:v>
      </x:c>
      <x:c r="M576" s="31" t="n">
        <x:v>3.5</x:v>
      </x:c>
      <x:c r="N576" s="31" t="n">
        <x:v>4.53</x:v>
      </x:c>
      <x:c r="O576" s="31" t="n">
        <x:f>ABS(M576-N576)</x:f>
        <x:v>1.0300000000000002</x:v>
      </x:c>
      <x:c r="P576" s="31" t="n">
        <x:v>3.41</x:v>
      </x:c>
      <x:c r="Q576" s="31" t="n">
        <x:v>4.82</x:v>
      </x:c>
      <x:c r="R576" s="31" t="n">
        <x:f>ABS(P576-Q576)</x:f>
        <x:v>1.4100000000000001</x:v>
      </x:c>
      <x:c r="S576" s="32" t="n">
        <x:v>2494.874696388392</x:v>
      </x:c>
      <x:c r="T576" s="32" t="n">
        <x:v>3089.2102979184547</x:v>
      </x:c>
      <x:c r="U576" s="31" t="n">
        <x:f>MAX(S576/T576,T576/S576)</x:f>
        <x:v>1.2382226259260354</x:v>
      </x:c>
      <x:c r="V576" s="31" t="n">
        <x:f>L576*'Controls &amp; Summary'!$B$9+O576*'Controls &amp; Summary'!$B$10+R576*'Controls &amp; Summary'!$B$11+U576*'Controls &amp; Summary'!$B$12</x:f>
        <x:v>3.7782226259260354</x:v>
      </x:c>
      <x:c r="W576" s="31" t="n">
        <x:v>2</x:v>
      </x:c>
      <x:c r="X576" s="31" t="n">
        <x:v>1</x:v>
      </x:c>
      <x:c r="Y576" s="31" t="n">
        <x:f>((10-MIN(10,MAX(0,X576)))/10)*'Controls &amp; Summary'!$B$15+((10-MIN(10,MAX(0,W576)))/10)*'Controls &amp; Summary'!$B$16</x:f>
        <x:v>1.7000000000000002</x:v>
      </x:c>
      <x:c r="Z576" s="31" t="n">
        <x:f>V576*Y576</x:f>
        <x:v>6.422978464074261</x:v>
      </x:c>
      <x:c r="AA576" s="30" t="str">
        <x:f>IF(Z576&lt;=I576,"Peaceful","Hostile")</x:f>
        <x:v>Hostile</x:v>
      </x:c>
      <x:c r="AB576" s="30" t="str">
        <x:f>IF(Z576&lt;='Controls &amp; Summary'!$B$6,"Eligible","Blocked")</x:f>
        <x:v>Eligible</x:v>
      </x:c>
      <x:c r="AC576" s="30" t="str">
        <x:v>ETH</x:v>
      </x:c>
      <x:c r="AD576" s="30" t="str">
        <x:v>RTK</x:v>
      </x:c>
      <x:c r="AE576" s="30" t="str">
        <x:v>Ratnakara</x:v>
      </x:c>
      <x:c r="AF576" s="30" t="str">
        <x:v>Explicit capitalClaim</x:v>
      </x:c>
      <x:c r="AG576" s="30" t="str">
        <x:v>ClaimETHRatnakara</x:v>
      </x:c>
      <x:c r="AH576" s="30" t="str">
        <x:v>Project_AfricanUnion</x:v>
      </x:c>
    </x:row>
    <x:row r="577">
      <x:c r="A577" s="30" t="str">
        <x:v>2022</x:v>
      </x:c>
      <x:c r="B577" s="30" t="str">
        <x:v>Base game</x:v>
      </x:c>
      <x:c r="C577" s="30" t="str">
        <x:v>Ethiopia</x:v>
      </x:c>
      <x:c r="D577" s="30" t="str">
        <x:v>Congo</x:v>
      </x:c>
      <x:c r="E577" s="30" t="str">
        <x:v>Project unlock</x:v>
      </x:c>
      <x:c r="F577" s="30" t="str">
        <x:v>African Union</x:v>
      </x:c>
      <x:c r="G577" s="30" t="str">
        <x:v>No</x:v>
      </x:c>
      <x:c r="H577" s="30" t="str">
        <x:v>Ordinary claim</x:v>
      </x:c>
      <x:c r="I577" s="31" t="n">
        <x:f>IF(G577="Yes",'Controls &amp; Summary'!$B$5,'Controls &amp; Summary'!$B$4)</x:f>
        <x:v>6</x:v>
      </x:c>
      <x:c r="J577" s="31" t="n">
        <x:v>3.3</x:v>
      </x:c>
      <x:c r="K577" s="31" t="n">
        <x:v>1.4</x:v>
      </x:c>
      <x:c r="L577" s="31" t="n">
        <x:f>ABS(J577-K577)</x:f>
        <x:v>1.9</x:v>
      </x:c>
      <x:c r="M577" s="31" t="n">
        <x:v>3.5</x:v>
      </x:c>
      <x:c r="N577" s="31" t="n">
        <x:v>4.89</x:v>
      </x:c>
      <x:c r="O577" s="31" t="n">
        <x:f>ABS(M577-N577)</x:f>
        <x:v>1.3899999999999997</x:v>
      </x:c>
      <x:c r="P577" s="31" t="n">
        <x:v>3.41</x:v>
      </x:c>
      <x:c r="Q577" s="31" t="n">
        <x:v>4.96</x:v>
      </x:c>
      <x:c r="R577" s="31" t="n">
        <x:f>ABS(P577-Q577)</x:f>
        <x:v>1.5499999999999998</x:v>
      </x:c>
      <x:c r="S577" s="32" t="n">
        <x:v>2494.874696388392</x:v>
      </x:c>
      <x:c r="T577" s="32" t="n">
        <x:v>1165.8667971692287</x:v>
      </x:c>
      <x:c r="U577" s="31" t="n">
        <x:f>MAX(S577/T577,T577/S577)</x:f>
        <x:v>2.1399311674764627</x:v>
      </x:c>
      <x:c r="V577" s="31" t="n">
        <x:f>L577*'Controls &amp; Summary'!$B$9+O577*'Controls &amp; Summary'!$B$10+R577*'Controls &amp; Summary'!$B$11+U577*'Controls &amp; Summary'!$B$12</x:f>
        <x:v>6.979931167476463</x:v>
      </x:c>
      <x:c r="W577" s="31" t="n">
        <x:v>2</x:v>
      </x:c>
      <x:c r="X577" s="31" t="n">
        <x:v>8</x:v>
      </x:c>
      <x:c r="Y577" s="31" t="n">
        <x:f>((10-MIN(10,MAX(0,X577)))/10)*'Controls &amp; Summary'!$B$15+((10-MIN(10,MAX(0,W577)))/10)*'Controls &amp; Summary'!$B$16</x:f>
        <x:v>1</x:v>
      </x:c>
      <x:c r="Z577" s="31" t="n">
        <x:f>V577*Y577</x:f>
        <x:v>6.979931167476463</x:v>
      </x:c>
      <x:c r="AA577" s="30" t="str">
        <x:f>IF(Z577&lt;=I577,"Peaceful","Hostile")</x:f>
        <x:v>Hostile</x:v>
      </x:c>
      <x:c r="AB577" s="30" t="str">
        <x:f>IF(Z577&lt;='Controls &amp; Summary'!$B$6,"Eligible","Blocked")</x:f>
        <x:v>Eligible</x:v>
      </x:c>
      <x:c r="AC577" s="30" t="str">
        <x:v>ETH</x:v>
      </x:c>
      <x:c r="AD577" s="30" t="str">
        <x:v>COD</x:v>
      </x:c>
      <x:c r="AE577" s="30" t="str">
        <x:v>Kinshasa</x:v>
      </x:c>
      <x:c r="AF577" s="30" t="str">
        <x:v>Explicit capitalClaim</x:v>
      </x:c>
      <x:c r="AG577" s="30" t="str">
        <x:v>ClaimETHKinshasa</x:v>
      </x:c>
      <x:c r="AH577" s="30" t="str">
        <x:v>Project_AfricanUnion</x:v>
      </x:c>
    </x:row>
    <x:row r="578">
      <x:c r="A578" s="30" t="str">
        <x:v>2022</x:v>
      </x:c>
      <x:c r="B578" s="30" t="str">
        <x:v>Base game</x:v>
      </x:c>
      <x:c r="C578" s="30" t="str">
        <x:v>Ethiopia</x:v>
      </x:c>
      <x:c r="D578" s="30" t="str">
        <x:v>Djibouti</x:v>
      </x:c>
      <x:c r="E578" s="30" t="str">
        <x:v>Project unlock</x:v>
      </x:c>
      <x:c r="F578" s="30" t="str">
        <x:v>African Union</x:v>
      </x:c>
      <x:c r="G578" s="30" t="str">
        <x:v>No</x:v>
      </x:c>
      <x:c r="H578" s="30" t="str">
        <x:v>Ordinary claim</x:v>
      </x:c>
      <x:c r="I578" s="31" t="n">
        <x:f>IF(G578="Yes",'Controls &amp; Summary'!$B$5,'Controls &amp; Summary'!$B$4)</x:f>
        <x:v>6</x:v>
      </x:c>
      <x:c r="J578" s="31" t="n">
        <x:v>3.3</x:v>
      </x:c>
      <x:c r="K578" s="31" t="n">
        <x:v>2.74</x:v>
      </x:c>
      <x:c r="L578" s="31" t="n">
        <x:f>ABS(J578-K578)</x:f>
        <x:v>0.5599999999999996</x:v>
      </x:c>
      <x:c r="M578" s="31" t="n">
        <x:v>3.5</x:v>
      </x:c>
      <x:c r="N578" s="31" t="n">
        <x:v>4.16</x:v>
      </x:c>
      <x:c r="O578" s="31" t="n">
        <x:f>ABS(M578-N578)</x:f>
        <x:v>0.6600000000000001</x:v>
      </x:c>
      <x:c r="P578" s="31" t="n">
        <x:v>3.41</x:v>
      </x:c>
      <x:c r="Q578" s="31" t="n">
        <x:v>3.25</x:v>
      </x:c>
      <x:c r="R578" s="31" t="n">
        <x:f>ABS(P578-Q578)</x:f>
        <x:v>0.16000000000000014</x:v>
      </x:c>
      <x:c r="S578" s="32" t="n">
        <x:v>2494.874696388392</x:v>
      </x:c>
      <x:c r="T578" s="32" t="n">
        <x:v>5841.749686921773</x:v>
      </x:c>
      <x:c r="U578" s="31" t="n">
        <x:f>MAX(S578/T578,T578/S578)</x:f>
        <x:v>2.341500234612325</x:v>
      </x:c>
      <x:c r="V578" s="31" t="n">
        <x:f>L578*'Controls &amp; Summary'!$B$9+O578*'Controls &amp; Summary'!$B$10+R578*'Controls &amp; Summary'!$B$11+U578*'Controls &amp; Summary'!$B$12</x:f>
        <x:v>3.721500234612325</x:v>
      </x:c>
      <x:c r="W578" s="31" t="n">
        <x:v>2</x:v>
      </x:c>
      <x:c r="X578" s="31" t="n">
        <x:v>3</x:v>
      </x:c>
      <x:c r="Y578" s="31" t="n">
        <x:f>((10-MIN(10,MAX(0,X578)))/10)*'Controls &amp; Summary'!$B$15+((10-MIN(10,MAX(0,W578)))/10)*'Controls &amp; Summary'!$B$16</x:f>
        <x:v>1.5</x:v>
      </x:c>
      <x:c r="Z578" s="31" t="n">
        <x:f>V578*Y578</x:f>
        <x:v>5.582250351918487</x:v>
      </x:c>
      <x:c r="AA578" s="30" t="str">
        <x:f>IF(Z578&lt;=I578,"Peaceful","Hostile")</x:f>
        <x:v>Peaceful</x:v>
      </x:c>
      <x:c r="AB578" s="30" t="str">
        <x:f>IF(Z578&lt;='Controls &amp; Summary'!$B$6,"Eligible","Blocked")</x:f>
        <x:v>Eligible</x:v>
      </x:c>
      <x:c r="AC578" s="30" t="str">
        <x:v>ETH</x:v>
      </x:c>
      <x:c r="AD578" s="30" t="str">
        <x:v>DJI</x:v>
      </x:c>
      <x:c r="AE578" s="30" t="str">
        <x:v>Djibouti</x:v>
      </x:c>
      <x:c r="AF578" s="30" t="str">
        <x:v>Explicit capitalClaim</x:v>
      </x:c>
      <x:c r="AG578" s="30" t="str">
        <x:v>ClaimETHDjibouti</x:v>
      </x:c>
      <x:c r="AH578" s="30" t="str">
        <x:v>Project_AfricanUnion</x:v>
      </x:c>
    </x:row>
    <x:row r="579">
      <x:c r="A579" s="30" t="str">
        <x:v>2022</x:v>
      </x:c>
      <x:c r="B579" s="30" t="str">
        <x:v>Base game</x:v>
      </x:c>
      <x:c r="C579" s="30" t="str">
        <x:v>Ethiopia</x:v>
      </x:c>
      <x:c r="D579" s="30" t="str">
        <x:v>Egypt</x:v>
      </x:c>
      <x:c r="E579" s="30" t="str">
        <x:v>Project unlock</x:v>
      </x:c>
      <x:c r="F579" s="30" t="str">
        <x:v>Great African Union</x:v>
      </x:c>
      <x:c r="G579" s="30" t="str">
        <x:v>No</x:v>
      </x:c>
      <x:c r="H579" s="30" t="str">
        <x:v>Ordinary claim</x:v>
      </x:c>
      <x:c r="I579" s="31" t="n">
        <x:f>IF(G579="Yes",'Controls &amp; Summary'!$B$5,'Controls &amp; Summary'!$B$4)</x:f>
        <x:v>6</x:v>
      </x:c>
      <x:c r="J579" s="31" t="n">
        <x:v>3.3</x:v>
      </x:c>
      <x:c r="K579" s="31" t="n">
        <x:v>2.93</x:v>
      </x:c>
      <x:c r="L579" s="31" t="n">
        <x:f>ABS(J579-K579)</x:f>
        <x:v>0.36999999999999966</x:v>
      </x:c>
      <x:c r="M579" s="31" t="n">
        <x:v>3.5</x:v>
      </x:c>
      <x:c r="N579" s="31" t="n">
        <x:v>3.15</x:v>
      </x:c>
      <x:c r="O579" s="31" t="n">
        <x:f>ABS(M579-N579)</x:f>
        <x:v>0.3500000000000001</x:v>
      </x:c>
      <x:c r="P579" s="31" t="n">
        <x:v>3.41</x:v>
      </x:c>
      <x:c r="Q579" s="31" t="n">
        <x:v>6.18</x:v>
      </x:c>
      <x:c r="R579" s="31" t="n">
        <x:f>ABS(P579-Q579)</x:f>
        <x:v>2.7699999999999996</x:v>
      </x:c>
      <x:c r="S579" s="32" t="n">
        <x:v>2494.874696388392</x:v>
      </x:c>
      <x:c r="T579" s="32" t="n">
        <x:v>12879.654518552721</x:v>
      </x:c>
      <x:c r="U579" s="31" t="n">
        <x:f>MAX(S579/T579,T579/S579)</x:f>
        <x:v>5.162445447539891</x:v>
      </x:c>
      <x:c r="V579" s="31" t="n">
        <x:f>L579*'Controls &amp; Summary'!$B$9+O579*'Controls &amp; Summary'!$B$10+R579*'Controls &amp; Summary'!$B$11+U579*'Controls &amp; Summary'!$B$12</x:f>
        <x:v>8.65244544753989</x:v>
      </x:c>
      <x:c r="W579" s="31" t="n">
        <x:v>2</x:v>
      </x:c>
      <x:c r="X579" s="31" t="n">
        <x:v>3</x:v>
      </x:c>
      <x:c r="Y579" s="31" t="n">
        <x:f>((10-MIN(10,MAX(0,X579)))/10)*'Controls &amp; Summary'!$B$15+((10-MIN(10,MAX(0,W579)))/10)*'Controls &amp; Summary'!$B$16</x:f>
        <x:v>1.5</x:v>
      </x:c>
      <x:c r="Z579" s="31" t="n">
        <x:f>V579*Y579</x:f>
        <x:v>12.978668171309835</x:v>
      </x:c>
      <x:c r="AA579" s="30" t="str">
        <x:f>IF(Z579&lt;=I579,"Peaceful","Hostile")</x:f>
        <x:v>Hostile</x:v>
      </x:c>
      <x:c r="AB579" s="30" t="str">
        <x:f>IF(Z579&lt;='Controls &amp; Summary'!$B$6,"Eligible","Blocked")</x:f>
        <x:v>Blocked</x:v>
      </x:c>
      <x:c r="AC579" s="30" t="str">
        <x:v>ETH</x:v>
      </x:c>
      <x:c r="AD579" s="30" t="str">
        <x:v>EGY</x:v>
      </x:c>
      <x:c r="AE579" s="30" t="str">
        <x:v>Cairo</x:v>
      </x:c>
      <x:c r="AF579" s="30" t="str">
        <x:v>Explicit capitalClaim</x:v>
      </x:c>
      <x:c r="AG579" s="30" t="str">
        <x:v>ClaimETHCairo</x:v>
      </x:c>
      <x:c r="AH579" s="30" t="str">
        <x:v>Project_GreatAfricanUnion</x:v>
      </x:c>
    </x:row>
    <x:row r="580">
      <x:c r="A580" s="30" t="str">
        <x:v>2022</x:v>
      </x:c>
      <x:c r="B580" s="30" t="str">
        <x:v>Base game</x:v>
      </x:c>
      <x:c r="C580" s="30" t="str">
        <x:v>Ethiopia</x:v>
      </x:c>
      <x:c r="D580" s="30" t="str">
        <x:v>Equatorial Guinea</x:v>
      </x:c>
      <x:c r="E580" s="30" t="str">
        <x:v>Project unlock</x:v>
      </x:c>
      <x:c r="F580" s="30" t="str">
        <x:v>African Union</x:v>
      </x:c>
      <x:c r="G580" s="30" t="str">
        <x:v>No</x:v>
      </x:c>
      <x:c r="H580" s="30" t="str">
        <x:v>Ordinary claim</x:v>
      </x:c>
      <x:c r="I580" s="31" t="n">
        <x:f>IF(G580="Yes",'Controls &amp; Summary'!$B$5,'Controls &amp; Summary'!$B$4)</x:f>
        <x:v>6</x:v>
      </x:c>
      <x:c r="J580" s="31" t="n">
        <x:v>3.3</x:v>
      </x:c>
      <x:c r="K580" s="31" t="n">
        <x:v>1.92</x:v>
      </x:c>
      <x:c r="L580" s="31" t="n">
        <x:f>ABS(J580-K580)</x:f>
        <x:v>1.38</x:v>
      </x:c>
      <x:c r="M580" s="31" t="n">
        <x:v>3.5</x:v>
      </x:c>
      <x:c r="N580" s="31" t="n">
        <x:v>6.5</x:v>
      </x:c>
      <x:c r="O580" s="31" t="n">
        <x:f>ABS(M580-N580)</x:f>
        <x:v>3</x:v>
      </x:c>
      <x:c r="P580" s="31" t="n">
        <x:v>3.41</x:v>
      </x:c>
      <x:c r="Q580" s="31" t="n">
        <x:v>4.67</x:v>
      </x:c>
      <x:c r="R580" s="31" t="n">
        <x:f>ABS(P580-Q580)</x:f>
        <x:v>1.2599999999999998</x:v>
      </x:c>
      <x:c r="S580" s="32" t="n">
        <x:v>2494.874696388392</x:v>
      </x:c>
      <x:c r="T580" s="32" t="n">
        <x:v>16604.817107419</x:v>
      </x:c>
      <x:c r="U580" s="31" t="n">
        <x:f>MAX(S580/T580,T580/S580)</x:f>
        <x:v>6.655571572975715</x:v>
      </x:c>
      <x:c r="V580" s="31" t="n">
        <x:f>L580*'Controls &amp; Summary'!$B$9+O580*'Controls &amp; Summary'!$B$10+R580*'Controls &amp; Summary'!$B$11+U580*'Controls &amp; Summary'!$B$12</x:f>
        <x:v>12.295571572975714</x:v>
      </x:c>
      <x:c r="W580" s="31" t="n">
        <x:v>2</x:v>
      </x:c>
      <x:c r="X580" s="31" t="n">
        <x:v>2</x:v>
      </x:c>
      <x:c r="Y580" s="31" t="n">
        <x:f>((10-MIN(10,MAX(0,X580)))/10)*'Controls &amp; Summary'!$B$15+((10-MIN(10,MAX(0,W580)))/10)*'Controls &amp; Summary'!$B$16</x:f>
        <x:v>1.6</x:v>
      </x:c>
      <x:c r="Z580" s="31" t="n">
        <x:f>V580*Y580</x:f>
        <x:v>19.672914516761143</x:v>
      </x:c>
      <x:c r="AA580" s="30" t="str">
        <x:f>IF(Z580&lt;=I580,"Peaceful","Hostile")</x:f>
        <x:v>Hostile</x:v>
      </x:c>
      <x:c r="AB580" s="30" t="str">
        <x:f>IF(Z580&lt;='Controls &amp; Summary'!$B$6,"Eligible","Blocked")</x:f>
        <x:v>Blocked</x:v>
      </x:c>
      <x:c r="AC580" s="30" t="str">
        <x:v>ETH</x:v>
      </x:c>
      <x:c r="AD580" s="30" t="str">
        <x:v>EQG</x:v>
      </x:c>
      <x:c r="AE580" s="30" t="str">
        <x:v>EquatorialGuinea</x:v>
      </x:c>
      <x:c r="AF580" s="30" t="str">
        <x:v>Explicit capitalClaim</x:v>
      </x:c>
      <x:c r="AG580" s="30" t="str">
        <x:v>ClaimETHEquatorialGuinea</x:v>
      </x:c>
      <x:c r="AH580" s="30" t="str">
        <x:v>Project_AfricanUnion</x:v>
      </x:c>
    </x:row>
    <x:row r="581">
      <x:c r="A581" s="30" t="str">
        <x:v>2022</x:v>
      </x:c>
      <x:c r="B581" s="30" t="str">
        <x:v>Base game</x:v>
      </x:c>
      <x:c r="C581" s="30" t="str">
        <x:v>Ethiopia</x:v>
      </x:c>
      <x:c r="D581" s="30" t="str">
        <x:v>Eritrea</x:v>
      </x:c>
      <x:c r="E581" s="30" t="str">
        <x:v>Starting claim</x:v>
      </x:c>
      <x:c r="F581" s="30" t="str"/>
      <x:c r="G581" s="30" t="str">
        <x:v>Yes</x:v>
      </x:c>
      <x:c r="H581" s="30" t="str">
        <x:v>Template hostileClaim</x:v>
      </x:c>
      <x:c r="I581" s="31" t="n">
        <x:f>IF(G581="Yes",'Controls &amp; Summary'!$B$5,'Controls &amp; Summary'!$B$4)</x:f>
        <x:v>3</x:v>
      </x:c>
      <x:c r="J581" s="31" t="n">
        <x:v>3.3</x:v>
      </x:c>
      <x:c r="K581" s="31" t="n">
        <x:v>2.03</x:v>
      </x:c>
      <x:c r="L581" s="31" t="n">
        <x:f>ABS(J581-K581)</x:f>
        <x:v>1.27</x:v>
      </x:c>
      <x:c r="M581" s="31" t="n">
        <x:v>3.5</x:v>
      </x:c>
      <x:c r="N581" s="31" t="n">
        <x:v>3.76</x:v>
      </x:c>
      <x:c r="O581" s="31" t="n">
        <x:f>ABS(M581-N581)</x:f>
        <x:v>0.2599999999999998</x:v>
      </x:c>
      <x:c r="P581" s="31" t="n">
        <x:v>3.41</x:v>
      </x:c>
      <x:c r="Q581" s="31" t="n">
        <x:v>2.69</x:v>
      </x:c>
      <x:c r="R581" s="31" t="n">
        <x:f>ABS(P581-Q581)</x:f>
        <x:v>0.7200000000000002</x:v>
      </x:c>
      <x:c r="S581" s="32" t="n">
        <x:v>2494.874696388392</x:v>
      </x:c>
      <x:c r="T581" s="32" t="n">
        <x:v>1839.3309786015152</x:v>
      </x:c>
      <x:c r="U581" s="31" t="n">
        <x:f>MAX(S581/T581,T581/S581)</x:f>
        <x:v>1.3564033474199957</x:v>
      </x:c>
      <x:c r="V581" s="31" t="n">
        <x:f>L581*'Controls &amp; Summary'!$B$9+O581*'Controls &amp; Summary'!$B$10+R581*'Controls &amp; Summary'!$B$11+U581*'Controls &amp; Summary'!$B$12</x:f>
        <x:v>3.6064033474199957</x:v>
      </x:c>
      <x:c r="W581" s="31" t="n">
        <x:v>2</x:v>
      </x:c>
      <x:c r="X581" s="31" t="n">
        <x:v>3</x:v>
      </x:c>
      <x:c r="Y581" s="31" t="n">
        <x:f>((10-MIN(10,MAX(0,X581)))/10)*'Controls &amp; Summary'!$B$15+((10-MIN(10,MAX(0,W581)))/10)*'Controls &amp; Summary'!$B$16</x:f>
        <x:v>1.5</x:v>
      </x:c>
      <x:c r="Z581" s="31" t="n">
        <x:f>V581*Y581</x:f>
        <x:v>5.409605021129994</x:v>
      </x:c>
      <x:c r="AA581" s="30" t="str">
        <x:f>IF(Z581&lt;=I581,"Peaceful","Hostile")</x:f>
        <x:v>Hostile</x:v>
      </x:c>
      <x:c r="AB581" s="30" t="str">
        <x:f>IF(Z581&lt;='Controls &amp; Summary'!$B$6,"Eligible","Blocked")</x:f>
        <x:v>Eligible</x:v>
      </x:c>
      <x:c r="AC581" s="30" t="str">
        <x:v>ETH</x:v>
      </x:c>
      <x:c r="AD581" s="30" t="str">
        <x:v>ERI</x:v>
      </x:c>
      <x:c r="AE581" s="30" t="str">
        <x:v>Eritrea</x:v>
      </x:c>
      <x:c r="AF581" s="30" t="str">
        <x:v>Explicit capitalClaim</x:v>
      </x:c>
      <x:c r="AG581" s="30" t="str">
        <x:v>ClaimETHEritrea</x:v>
      </x:c>
      <x:c r="AH581" s="30" t="str"/>
    </x:row>
    <x:row r="582">
      <x:c r="A582" s="30" t="str">
        <x:v>2022</x:v>
      </x:c>
      <x:c r="B582" s="30" t="str">
        <x:v>Base game</x:v>
      </x:c>
      <x:c r="C582" s="30" t="str">
        <x:v>Ethiopia</x:v>
      </x:c>
      <x:c r="D582" s="30" t="str">
        <x:v>Eswatini</x:v>
      </x:c>
      <x:c r="E582" s="30" t="str">
        <x:v>Project unlock</x:v>
      </x:c>
      <x:c r="F582" s="30" t="str">
        <x:v>African Union</x:v>
      </x:c>
      <x:c r="G582" s="30" t="str">
        <x:v>No</x:v>
      </x:c>
      <x:c r="H582" s="30" t="str">
        <x:v>Ordinary claim</x:v>
      </x:c>
      <x:c r="I582" s="31" t="n">
        <x:f>IF(G582="Yes",'Controls &amp; Summary'!$B$5,'Controls &amp; Summary'!$B$4)</x:f>
        <x:v>6</x:v>
      </x:c>
      <x:c r="J582" s="31" t="n">
        <x:v>3.3</x:v>
      </x:c>
      <x:c r="K582" s="31" t="n">
        <x:v>3.08</x:v>
      </x:c>
      <x:c r="L582" s="31" t="n">
        <x:f>ABS(J582-K582)</x:f>
        <x:v>0.21999999999999975</x:v>
      </x:c>
      <x:c r="M582" s="31" t="n">
        <x:v>3.5</x:v>
      </x:c>
      <x:c r="N582" s="31" t="n">
        <x:v>5.46</x:v>
      </x:c>
      <x:c r="O582" s="31" t="n">
        <x:f>ABS(M582-N582)</x:f>
        <x:v>1.96</x:v>
      </x:c>
      <x:c r="P582" s="31" t="n">
        <x:v>3.41</x:v>
      </x:c>
      <x:c r="Q582" s="31" t="n">
        <x:v>5.57</x:v>
      </x:c>
      <x:c r="R582" s="31" t="n">
        <x:f>ABS(P582-Q582)</x:f>
        <x:v>2.16</x:v>
      </x:c>
      <x:c r="S582" s="32" t="n">
        <x:v>2494.874696388392</x:v>
      </x:c>
      <x:c r="T582" s="32" t="n">
        <x:v>8872.826024249394</x:v>
      </x:c>
      <x:c r="U582" s="31" t="n">
        <x:f>MAX(S582/T582,T582/S582)</x:f>
        <x:v>3.556421505694773</x:v>
      </x:c>
      <x:c r="V582" s="31" t="n">
        <x:f>L582*'Controls &amp; Summary'!$B$9+O582*'Controls &amp; Summary'!$B$10+R582*'Controls &amp; Summary'!$B$11+U582*'Controls &amp; Summary'!$B$12</x:f>
        <x:v>7.896421505694773</x:v>
      </x:c>
      <x:c r="W582" s="31" t="n">
        <x:v>2</x:v>
      </x:c>
      <x:c r="X582" s="31" t="n">
        <x:v>2</x:v>
      </x:c>
      <x:c r="Y582" s="31" t="n">
        <x:f>((10-MIN(10,MAX(0,X582)))/10)*'Controls &amp; Summary'!$B$15+((10-MIN(10,MAX(0,W582)))/10)*'Controls &amp; Summary'!$B$16</x:f>
        <x:v>1.6</x:v>
      </x:c>
      <x:c r="Z582" s="31" t="n">
        <x:f>V582*Y582</x:f>
        <x:v>12.634274409111638</x:v>
      </x:c>
      <x:c r="AA582" s="30" t="str">
        <x:f>IF(Z582&lt;=I582,"Peaceful","Hostile")</x:f>
        <x:v>Hostile</x:v>
      </x:c>
      <x:c r="AB582" s="30" t="str">
        <x:f>IF(Z582&lt;='Controls &amp; Summary'!$B$6,"Eligible","Blocked")</x:f>
        <x:v>Blocked</x:v>
      </x:c>
      <x:c r="AC582" s="30" t="str">
        <x:v>ETH</x:v>
      </x:c>
      <x:c r="AD582" s="30" t="str">
        <x:v>ESW</x:v>
      </x:c>
      <x:c r="AE582" s="30" t="str">
        <x:v>Eswatini</x:v>
      </x:c>
      <x:c r="AF582" s="30" t="str">
        <x:v>Explicit capitalClaim</x:v>
      </x:c>
      <x:c r="AG582" s="30" t="str">
        <x:v>ClaimETHEswatini</x:v>
      </x:c>
      <x:c r="AH582" s="30" t="str">
        <x:v>Project_AfricanUnion</x:v>
      </x:c>
    </x:row>
    <x:row r="583">
      <x:c r="A583" s="30" t="str">
        <x:v>2022</x:v>
      </x:c>
      <x:c r="B583" s="30" t="str">
        <x:v>Base game</x:v>
      </x:c>
      <x:c r="C583" s="30" t="str">
        <x:v>Ethiopia</x:v>
      </x:c>
      <x:c r="D583" s="30" t="str">
        <x:v>Gabon</x:v>
      </x:c>
      <x:c r="E583" s="30" t="str">
        <x:v>Project unlock</x:v>
      </x:c>
      <x:c r="F583" s="30" t="str">
        <x:v>African Union</x:v>
      </x:c>
      <x:c r="G583" s="30" t="str">
        <x:v>No</x:v>
      </x:c>
      <x:c r="H583" s="30" t="str">
        <x:v>Ordinary claim</x:v>
      </x:c>
      <x:c r="I583" s="31" t="n">
        <x:f>IF(G583="Yes",'Controls &amp; Summary'!$B$5,'Controls &amp; Summary'!$B$4)</x:f>
        <x:v>6</x:v>
      </x:c>
      <x:c r="J583" s="31" t="n">
        <x:v>3.3</x:v>
      </x:c>
      <x:c r="K583" s="31" t="n">
        <x:v>3.4</x:v>
      </x:c>
      <x:c r="L583" s="31" t="n">
        <x:f>ABS(J583-K583)</x:f>
        <x:v>0.10000000000000009</x:v>
      </x:c>
      <x:c r="M583" s="31" t="n">
        <x:v>3.5</x:v>
      </x:c>
      <x:c r="N583" s="31" t="n">
        <x:v>3.8</x:v>
      </x:c>
      <x:c r="O583" s="31" t="n">
        <x:f>ABS(M583-N583)</x:f>
        <x:v>0.2999999999999998</x:v>
      </x:c>
      <x:c r="P583" s="31" t="n">
        <x:v>3.41</x:v>
      </x:c>
      <x:c r="Q583" s="31" t="n">
        <x:v>6.5</x:v>
      </x:c>
      <x:c r="R583" s="31" t="n">
        <x:f>ABS(P583-Q583)</x:f>
        <x:v>3.09</x:v>
      </x:c>
      <x:c r="S583" s="32" t="n">
        <x:v>2494.874696388392</x:v>
      </x:c>
      <x:c r="T583" s="32" t="n">
        <x:v>14457.37442728511</x:v>
      </x:c>
      <x:c r="U583" s="31" t="n">
        <x:f>MAX(S583/T583,T583/S583)</x:f>
        <x:v>5.794829875910708</x:v>
      </x:c>
      <x:c r="V583" s="31" t="n">
        <x:f>L583*'Controls &amp; Summary'!$B$9+O583*'Controls &amp; Summary'!$B$10+R583*'Controls &amp; Summary'!$B$11+U583*'Controls &amp; Summary'!$B$12</x:f>
        <x:v>9.284829875910708</x:v>
      </x:c>
      <x:c r="W583" s="31" t="n">
        <x:v>2</x:v>
      </x:c>
      <x:c r="X583" s="31" t="n">
        <x:v>3</x:v>
      </x:c>
      <x:c r="Y583" s="31" t="n">
        <x:f>((10-MIN(10,MAX(0,X583)))/10)*'Controls &amp; Summary'!$B$15+((10-MIN(10,MAX(0,W583)))/10)*'Controls &amp; Summary'!$B$16</x:f>
        <x:v>1.5</x:v>
      </x:c>
      <x:c r="Z583" s="31" t="n">
        <x:f>V583*Y583</x:f>
        <x:v>13.92724481386606</x:v>
      </x:c>
      <x:c r="AA583" s="30" t="str">
        <x:f>IF(Z583&lt;=I583,"Peaceful","Hostile")</x:f>
        <x:v>Hostile</x:v>
      </x:c>
      <x:c r="AB583" s="30" t="str">
        <x:f>IF(Z583&lt;='Controls &amp; Summary'!$B$6,"Eligible","Blocked")</x:f>
        <x:v>Blocked</x:v>
      </x:c>
      <x:c r="AC583" s="30" t="str">
        <x:v>ETH</x:v>
      </x:c>
      <x:c r="AD583" s="30" t="str">
        <x:v>LWG</x:v>
      </x:c>
      <x:c r="AE583" s="30" t="str">
        <x:v>Libreville</x:v>
      </x:c>
      <x:c r="AF583" s="30" t="str">
        <x:v>Explicit capitalClaim</x:v>
      </x:c>
      <x:c r="AG583" s="30" t="str">
        <x:v>ClaimETHLibreville</x:v>
      </x:c>
      <x:c r="AH583" s="30" t="str">
        <x:v>Project_AfricanUnion</x:v>
      </x:c>
    </x:row>
    <x:row r="584">
      <x:c r="A584" s="30" t="str">
        <x:v>2022</x:v>
      </x:c>
      <x:c r="B584" s="30" t="str">
        <x:v>Base game</x:v>
      </x:c>
      <x:c r="C584" s="30" t="str">
        <x:v>Ethiopia</x:v>
      </x:c>
      <x:c r="D584" s="30" t="str">
        <x:v>Gambia</x:v>
      </x:c>
      <x:c r="E584" s="30" t="str">
        <x:v>Project unlock</x:v>
      </x:c>
      <x:c r="F584" s="30" t="str">
        <x:v>African Union</x:v>
      </x:c>
      <x:c r="G584" s="30" t="str">
        <x:v>No</x:v>
      </x:c>
      <x:c r="H584" s="30" t="str">
        <x:v>Ordinary claim</x:v>
      </x:c>
      <x:c r="I584" s="31" t="n">
        <x:f>IF(G584="Yes",'Controls &amp; Summary'!$B$5,'Controls &amp; Summary'!$B$4)</x:f>
        <x:v>6</x:v>
      </x:c>
      <x:c r="J584" s="31" t="n">
        <x:v>3.3</x:v>
      </x:c>
      <x:c r="K584" s="31" t="n">
        <x:v>4.41</x:v>
      </x:c>
      <x:c r="L584" s="31" t="n">
        <x:f>ABS(J584-K584)</x:f>
        <x:v>1.1100000000000003</x:v>
      </x:c>
      <x:c r="M584" s="31" t="n">
        <x:v>3.5</x:v>
      </x:c>
      <x:c r="N584" s="31" t="n">
        <x:v>3.59</x:v>
      </x:c>
      <x:c r="O584" s="31" t="n">
        <x:f>ABS(M584-N584)</x:f>
        <x:v>0.08999999999999986</x:v>
      </x:c>
      <x:c r="P584" s="31" t="n">
        <x:v>3.41</x:v>
      </x:c>
      <x:c r="Q584" s="31" t="n">
        <x:v>4.06</x:v>
      </x:c>
      <x:c r="R584" s="31" t="n">
        <x:f>ABS(P584-Q584)</x:f>
        <x:v>0.6499999999999995</x:v>
      </x:c>
      <x:c r="S584" s="32" t="n">
        <x:v>2494.874696388392</x:v>
      </x:c>
      <x:c r="T584" s="32" t="n">
        <x:v>2315.605550224353</x:v>
      </x:c>
      <x:c r="U584" s="31" t="n">
        <x:f>MAX(S584/T584,T584/S584)</x:f>
        <x:v>1.0774178253920104</x:v>
      </x:c>
      <x:c r="V584" s="31" t="n">
        <x:f>L584*'Controls &amp; Summary'!$B$9+O584*'Controls &amp; Summary'!$B$10+R584*'Controls &amp; Summary'!$B$11+U584*'Controls &amp; Summary'!$B$12</x:f>
        <x:v>2.92741782539201</x:v>
      </x:c>
      <x:c r="W584" s="31" t="n">
        <x:v>2</x:v>
      </x:c>
      <x:c r="X584" s="31" t="n">
        <x:v>2</x:v>
      </x:c>
      <x:c r="Y584" s="31" t="n">
        <x:f>((10-MIN(10,MAX(0,X584)))/10)*'Controls &amp; Summary'!$B$15+((10-MIN(10,MAX(0,W584)))/10)*'Controls &amp; Summary'!$B$16</x:f>
        <x:v>1.6</x:v>
      </x:c>
      <x:c r="Z584" s="31" t="n">
        <x:f>V584*Y584</x:f>
        <x:v>4.683868520627216</x:v>
      </x:c>
      <x:c r="AA584" s="30" t="str">
        <x:f>IF(Z584&lt;=I584,"Peaceful","Hostile")</x:f>
        <x:v>Peaceful</x:v>
      </x:c>
      <x:c r="AB584" s="30" t="str">
        <x:f>IF(Z584&lt;='Controls &amp; Summary'!$B$6,"Eligible","Blocked")</x:f>
        <x:v>Eligible</x:v>
      </x:c>
      <x:c r="AC584" s="30" t="str">
        <x:v>ETH</x:v>
      </x:c>
      <x:c r="AD584" s="30" t="str">
        <x:v>GAM</x:v>
      </x:c>
      <x:c r="AE584" s="30" t="str">
        <x:v>Gambia</x:v>
      </x:c>
      <x:c r="AF584" s="30" t="str">
        <x:v>Explicit capitalClaim</x:v>
      </x:c>
      <x:c r="AG584" s="30" t="str">
        <x:v>ClaimETHGambia</x:v>
      </x:c>
      <x:c r="AH584" s="30" t="str">
        <x:v>Project_AfricanUnion</x:v>
      </x:c>
    </x:row>
    <x:row r="585">
      <x:c r="A585" s="30" t="str">
        <x:v>2022</x:v>
      </x:c>
      <x:c r="B585" s="30" t="str">
        <x:v>Base game</x:v>
      </x:c>
      <x:c r="C585" s="30" t="str">
        <x:v>Ethiopia</x:v>
      </x:c>
      <x:c r="D585" s="30" t="str">
        <x:v>Ghana</x:v>
      </x:c>
      <x:c r="E585" s="30" t="str">
        <x:v>Project unlock</x:v>
      </x:c>
      <x:c r="F585" s="30" t="str">
        <x:v>African Union</x:v>
      </x:c>
      <x:c r="G585" s="30" t="str">
        <x:v>No</x:v>
      </x:c>
      <x:c r="H585" s="30" t="str">
        <x:v>Ordinary claim</x:v>
      </x:c>
      <x:c r="I585" s="31" t="n">
        <x:f>IF(G585="Yes",'Controls &amp; Summary'!$B$5,'Controls &amp; Summary'!$B$4)</x:f>
        <x:v>6</x:v>
      </x:c>
      <x:c r="J585" s="31" t="n">
        <x:v>3.3</x:v>
      </x:c>
      <x:c r="K585" s="31" t="n">
        <x:v>6.5</x:v>
      </x:c>
      <x:c r="L585" s="31" t="n">
        <x:f>ABS(J585-K585)</x:f>
        <x:v>3.2</x:v>
      </x:c>
      <x:c r="M585" s="31" t="n">
        <x:v>3.5</x:v>
      </x:c>
      <x:c r="N585" s="31" t="n">
        <x:v>4.35</x:v>
      </x:c>
      <x:c r="O585" s="31" t="n">
        <x:f>ABS(M585-N585)</x:f>
        <x:v>0.8499999999999996</x:v>
      </x:c>
      <x:c r="P585" s="31" t="n">
        <x:v>3.41</x:v>
      </x:c>
      <x:c r="Q585" s="31" t="n">
        <x:v>5.63</x:v>
      </x:c>
      <x:c r="R585" s="31" t="n">
        <x:f>ABS(P585-Q585)</x:f>
        <x:v>2.2199999999999998</x:v>
      </x:c>
      <x:c r="S585" s="32" t="n">
        <x:v>2494.874696388392</x:v>
      </x:c>
      <x:c r="T585" s="32" t="n">
        <x:v>5848.315981446523</x:v>
      </x:c>
      <x:c r="U585" s="31" t="n">
        <x:f>MAX(S585/T585,T585/S585)</x:f>
        <x:v>2.3441321481646393</x:v>
      </x:c>
      <x:c r="V585" s="31" t="n">
        <x:f>L585*'Controls &amp; Summary'!$B$9+O585*'Controls &amp; Summary'!$B$10+R585*'Controls &amp; Summary'!$B$11+U585*'Controls &amp; Summary'!$B$12</x:f>
        <x:v>8.61413214816464</x:v>
      </x:c>
      <x:c r="W585" s="31" t="n">
        <x:v>2</x:v>
      </x:c>
      <x:c r="X585" s="31" t="n">
        <x:v>2</x:v>
      </x:c>
      <x:c r="Y585" s="31" t="n">
        <x:f>((10-MIN(10,MAX(0,X585)))/10)*'Controls &amp; Summary'!$B$15+((10-MIN(10,MAX(0,W585)))/10)*'Controls &amp; Summary'!$B$16</x:f>
        <x:v>1.6</x:v>
      </x:c>
      <x:c r="Z585" s="31" t="n">
        <x:f>V585*Y585</x:f>
        <x:v>13.782611437063423</x:v>
      </x:c>
      <x:c r="AA585" s="30" t="str">
        <x:f>IF(Z585&lt;=I585,"Peaceful","Hostile")</x:f>
        <x:v>Hostile</x:v>
      </x:c>
      <x:c r="AB585" s="30" t="str">
        <x:f>IF(Z585&lt;='Controls &amp; Summary'!$B$6,"Eligible","Blocked")</x:f>
        <x:v>Blocked</x:v>
      </x:c>
      <x:c r="AC585" s="30" t="str">
        <x:v>ETH</x:v>
      </x:c>
      <x:c r="AD585" s="30" t="str">
        <x:v>GHA</x:v>
      </x:c>
      <x:c r="AE585" s="30" t="str">
        <x:v>Accra</x:v>
      </x:c>
      <x:c r="AF585" s="30" t="str">
        <x:v>Explicit capitalClaim</x:v>
      </x:c>
      <x:c r="AG585" s="30" t="str">
        <x:v>ClaimETHAccra</x:v>
      </x:c>
      <x:c r="AH585" s="30" t="str">
        <x:v>Project_AfricanUnion</x:v>
      </x:c>
    </x:row>
    <x:row r="586">
      <x:c r="A586" s="30" t="str">
        <x:v>2022</x:v>
      </x:c>
      <x:c r="B586" s="30" t="str">
        <x:v>Base game</x:v>
      </x:c>
      <x:c r="C586" s="30" t="str">
        <x:v>Ethiopia</x:v>
      </x:c>
      <x:c r="D586" s="30" t="str">
        <x:v>Guinea</x:v>
      </x:c>
      <x:c r="E586" s="30" t="str">
        <x:v>Project unlock</x:v>
      </x:c>
      <x:c r="F586" s="30" t="str">
        <x:v>African Union</x:v>
      </x:c>
      <x:c r="G586" s="30" t="str">
        <x:v>No</x:v>
      </x:c>
      <x:c r="H586" s="30" t="str">
        <x:v>Ordinary claim</x:v>
      </x:c>
      <x:c r="I586" s="31" t="n">
        <x:f>IF(G586="Yes",'Controls &amp; Summary'!$B$5,'Controls &amp; Summary'!$B$4)</x:f>
        <x:v>6</x:v>
      </x:c>
      <x:c r="J586" s="31" t="n">
        <x:v>3.3</x:v>
      </x:c>
      <x:c r="K586" s="31" t="n">
        <x:v>2.28</x:v>
      </x:c>
      <x:c r="L586" s="31" t="n">
        <x:f>ABS(J586-K586)</x:f>
        <x:v>1.02</x:v>
      </x:c>
      <x:c r="M586" s="31" t="n">
        <x:v>3.5</x:v>
      </x:c>
      <x:c r="N586" s="31" t="n">
        <x:v>2.96</x:v>
      </x:c>
      <x:c r="O586" s="31" t="n">
        <x:f>ABS(M586-N586)</x:f>
        <x:v>0.54</x:v>
      </x:c>
      <x:c r="P586" s="31" t="n">
        <x:v>3.41</x:v>
      </x:c>
      <x:c r="Q586" s="31" t="n">
        <x:v>3.54</x:v>
      </x:c>
      <x:c r="R586" s="31" t="n">
        <x:f>ABS(P586-Q586)</x:f>
        <x:v>0.1299999999999999</x:v>
      </x:c>
      <x:c r="S586" s="32" t="n">
        <x:v>2494.874696388392</x:v>
      </x:c>
      <x:c r="T586" s="32" t="n">
        <x:v>2797.843365454211</x:v>
      </x:c>
      <x:c r="U586" s="31" t="n">
        <x:f>MAX(S586/T586,T586/S586)</x:f>
        <x:v>1.121436427049583</x:v>
      </x:c>
      <x:c r="V586" s="31" t="n">
        <x:f>L586*'Controls &amp; Summary'!$B$9+O586*'Controls &amp; Summary'!$B$10+R586*'Controls &amp; Summary'!$B$11+U586*'Controls &amp; Summary'!$B$12</x:f>
        <x:v>2.811436427049583</x:v>
      </x:c>
      <x:c r="W586" s="31" t="n">
        <x:v>2</x:v>
      </x:c>
      <x:c r="X586" s="31" t="n">
        <x:v>3</x:v>
      </x:c>
      <x:c r="Y586" s="31" t="n">
        <x:f>((10-MIN(10,MAX(0,X586)))/10)*'Controls &amp; Summary'!$B$15+((10-MIN(10,MAX(0,W586)))/10)*'Controls &amp; Summary'!$B$16</x:f>
        <x:v>1.5</x:v>
      </x:c>
      <x:c r="Z586" s="31" t="n">
        <x:f>V586*Y586</x:f>
        <x:v>4.217154640574375</x:v>
      </x:c>
      <x:c r="AA586" s="30" t="str">
        <x:f>IF(Z586&lt;=I586,"Peaceful","Hostile")</x:f>
        <x:v>Peaceful</x:v>
      </x:c>
      <x:c r="AB586" s="30" t="str">
        <x:f>IF(Z586&lt;='Controls &amp; Summary'!$B$6,"Eligible","Blocked")</x:f>
        <x:v>Eligible</x:v>
      </x:c>
      <x:c r="AC586" s="30" t="str">
        <x:v>ETH</x:v>
      </x:c>
      <x:c r="AD586" s="30" t="str">
        <x:v>GIN</x:v>
      </x:c>
      <x:c r="AE586" s="30" t="str">
        <x:v>Guinea</x:v>
      </x:c>
      <x:c r="AF586" s="30" t="str">
        <x:v>Explicit capitalClaim</x:v>
      </x:c>
      <x:c r="AG586" s="30" t="str">
        <x:v>ClaimETHGuinea</x:v>
      </x:c>
      <x:c r="AH586" s="30" t="str">
        <x:v>Project_AfricanUnion</x:v>
      </x:c>
    </x:row>
    <x:row r="587">
      <x:c r="A587" s="30" t="str">
        <x:v>2022</x:v>
      </x:c>
      <x:c r="B587" s="30" t="str">
        <x:v>Base game</x:v>
      </x:c>
      <x:c r="C587" s="30" t="str">
        <x:v>Ethiopia</x:v>
      </x:c>
      <x:c r="D587" s="30" t="str">
        <x:v>Guinea-Bissau</x:v>
      </x:c>
      <x:c r="E587" s="30" t="str">
        <x:v>Project unlock</x:v>
      </x:c>
      <x:c r="F587" s="30" t="str">
        <x:v>African Union</x:v>
      </x:c>
      <x:c r="G587" s="30" t="str">
        <x:v>No</x:v>
      </x:c>
      <x:c r="H587" s="30" t="str">
        <x:v>Ordinary claim</x:v>
      </x:c>
      <x:c r="I587" s="31" t="n">
        <x:f>IF(G587="Yes",'Controls &amp; Summary'!$B$5,'Controls &amp; Summary'!$B$4)</x:f>
        <x:v>6</x:v>
      </x:c>
      <x:c r="J587" s="31" t="n">
        <x:v>3.3</x:v>
      </x:c>
      <x:c r="K587" s="31" t="n">
        <x:v>2.75</x:v>
      </x:c>
      <x:c r="L587" s="31" t="n">
        <x:f>ABS(J587-K587)</x:f>
        <x:v>0.5499999999999998</x:v>
      </x:c>
      <x:c r="M587" s="31" t="n">
        <x:v>3.5</x:v>
      </x:c>
      <x:c r="N587" s="31" t="n">
        <x:v>3.48</x:v>
      </x:c>
      <x:c r="O587" s="31" t="n">
        <x:f>ABS(M587-N587)</x:f>
        <x:v>0.020000000000000018</x:v>
      </x:c>
      <x:c r="P587" s="31" t="n">
        <x:v>3.41</x:v>
      </x:c>
      <x:c r="Q587" s="31" t="n">
        <x:v>4.14</x:v>
      </x:c>
      <x:c r="R587" s="31" t="n">
        <x:f>ABS(P587-Q587)</x:f>
        <x:v>0.7299999999999995</x:v>
      </x:c>
      <x:c r="S587" s="32" t="n">
        <x:v>2494.874696388392</x:v>
      </x:c>
      <x:c r="T587" s="32" t="n">
        <x:v>2235.0553119904785</x:v>
      </x:c>
      <x:c r="U587" s="31" t="n">
        <x:f>MAX(S587/T587,T587/S587)</x:f>
        <x:v>1.1162474069451667</x:v>
      </x:c>
      <x:c r="V587" s="31" t="n">
        <x:f>L587*'Controls &amp; Summary'!$B$9+O587*'Controls &amp; Summary'!$B$10+R587*'Controls &amp; Summary'!$B$11+U587*'Controls &amp; Summary'!$B$12</x:f>
        <x:v>2.416247406945166</x:v>
      </x:c>
      <x:c r="W587" s="31" t="n">
        <x:v>2</x:v>
      </x:c>
      <x:c r="X587" s="31" t="n">
        <x:v>3</x:v>
      </x:c>
      <x:c r="Y587" s="31" t="n">
        <x:f>((10-MIN(10,MAX(0,X587)))/10)*'Controls &amp; Summary'!$B$15+((10-MIN(10,MAX(0,W587)))/10)*'Controls &amp; Summary'!$B$16</x:f>
        <x:v>1.5</x:v>
      </x:c>
      <x:c r="Z587" s="31" t="n">
        <x:f>V587*Y587</x:f>
        <x:v>3.6243711104177487</x:v>
      </x:c>
      <x:c r="AA587" s="30" t="str">
        <x:f>IF(Z587&lt;=I587,"Peaceful","Hostile")</x:f>
        <x:v>Peaceful</x:v>
      </x:c>
      <x:c r="AB587" s="30" t="str">
        <x:f>IF(Z587&lt;='Controls &amp; Summary'!$B$6,"Eligible","Blocked")</x:f>
        <x:v>Eligible</x:v>
      </x:c>
      <x:c r="AC587" s="30" t="str">
        <x:v>ETH</x:v>
      </x:c>
      <x:c r="AD587" s="30" t="str">
        <x:v>GNB</x:v>
      </x:c>
      <x:c r="AE587" s="30" t="str">
        <x:v>GuineaBissau</x:v>
      </x:c>
      <x:c r="AF587" s="30" t="str">
        <x:v>Explicit capitalClaim</x:v>
      </x:c>
      <x:c r="AG587" s="30" t="str">
        <x:v>ClaimETHGuineaBissau</x:v>
      </x:c>
      <x:c r="AH587" s="30" t="str">
        <x:v>Project_AfricanUnion</x:v>
      </x:c>
    </x:row>
    <x:row r="588">
      <x:c r="A588" s="30" t="str">
        <x:v>2022</x:v>
      </x:c>
      <x:c r="B588" s="30" t="str">
        <x:v>Base game</x:v>
      </x:c>
      <x:c r="C588" s="30" t="str">
        <x:v>Ethiopia</x:v>
      </x:c>
      <x:c r="D588" s="30" t="str">
        <x:v>Ivory Coast</x:v>
      </x:c>
      <x:c r="E588" s="30" t="str">
        <x:v>Project unlock</x:v>
      </x:c>
      <x:c r="F588" s="30" t="str">
        <x:v>African Union</x:v>
      </x:c>
      <x:c r="G588" s="30" t="str">
        <x:v>No</x:v>
      </x:c>
      <x:c r="H588" s="30" t="str">
        <x:v>Ordinary claim</x:v>
      </x:c>
      <x:c r="I588" s="31" t="n">
        <x:f>IF(G588="Yes",'Controls &amp; Summary'!$B$5,'Controls &amp; Summary'!$B$4)</x:f>
        <x:v>6</x:v>
      </x:c>
      <x:c r="J588" s="31" t="n">
        <x:v>3.3</x:v>
      </x:c>
      <x:c r="K588" s="31" t="n">
        <x:v>4.22</x:v>
      </x:c>
      <x:c r="L588" s="31" t="n">
        <x:f>ABS(J588-K588)</x:f>
        <x:v>0.9199999999999999</x:v>
      </x:c>
      <x:c r="M588" s="31" t="n">
        <x:v>3.5</x:v>
      </x:c>
      <x:c r="N588" s="31" t="n">
        <x:v>3.72</x:v>
      </x:c>
      <x:c r="O588" s="31" t="n">
        <x:f>ABS(M588-N588)</x:f>
        <x:v>0.2200000000000002</x:v>
      </x:c>
      <x:c r="P588" s="31" t="n">
        <x:v>3.41</x:v>
      </x:c>
      <x:c r="Q588" s="31" t="n">
        <x:v>4.53</x:v>
      </x:c>
      <x:c r="R588" s="31" t="n">
        <x:f>ABS(P588-Q588)</x:f>
        <x:v>1.12</x:v>
      </x:c>
      <x:c r="S588" s="32" t="n">
        <x:v>2494.874696388392</x:v>
      </x:c>
      <x:c r="T588" s="32" t="n">
        <x:v>5667.050223619001</x:v>
      </x:c>
      <x:c r="U588" s="31" t="n">
        <x:f>MAX(S588/T588,T588/S588)</x:f>
        <x:v>2.271476892936822</x:v>
      </x:c>
      <x:c r="V588" s="31" t="n">
        <x:f>L588*'Controls &amp; Summary'!$B$9+O588*'Controls &amp; Summary'!$B$10+R588*'Controls &amp; Summary'!$B$11+U588*'Controls &amp; Summary'!$B$12</x:f>
        <x:v>4.531476892936823</x:v>
      </x:c>
      <x:c r="W588" s="31" t="n">
        <x:v>2</x:v>
      </x:c>
      <x:c r="X588" s="31" t="n">
        <x:v>3</x:v>
      </x:c>
      <x:c r="Y588" s="31" t="n">
        <x:f>((10-MIN(10,MAX(0,X588)))/10)*'Controls &amp; Summary'!$B$15+((10-MIN(10,MAX(0,W588)))/10)*'Controls &amp; Summary'!$B$16</x:f>
        <x:v>1.5</x:v>
      </x:c>
      <x:c r="Z588" s="31" t="n">
        <x:f>V588*Y588</x:f>
        <x:v>6.797215339405234</x:v>
      </x:c>
      <x:c r="AA588" s="30" t="str">
        <x:f>IF(Z588&lt;=I588,"Peaceful","Hostile")</x:f>
        <x:v>Hostile</x:v>
      </x:c>
      <x:c r="AB588" s="30" t="str">
        <x:f>IF(Z588&lt;='Controls &amp; Summary'!$B$6,"Eligible","Blocked")</x:f>
        <x:v>Eligible</x:v>
      </x:c>
      <x:c r="AC588" s="30" t="str">
        <x:v>ETH</x:v>
      </x:c>
      <x:c r="AD588" s="30" t="str">
        <x:v>IVO</x:v>
      </x:c>
      <x:c r="AE588" s="30" t="str">
        <x:v>IvoryCoast</x:v>
      </x:c>
      <x:c r="AF588" s="30" t="str">
        <x:v>Explicit capitalClaim</x:v>
      </x:c>
      <x:c r="AG588" s="30" t="str">
        <x:v>ClaimETHIvoryCoast</x:v>
      </x:c>
      <x:c r="AH588" s="30" t="str">
        <x:v>Project_AfricanUnion</x:v>
      </x:c>
    </x:row>
    <x:row r="589">
      <x:c r="A589" s="30" t="str">
        <x:v>2022</x:v>
      </x:c>
      <x:c r="B589" s="30" t="str">
        <x:v>Base game</x:v>
      </x:c>
      <x:c r="C589" s="30" t="str">
        <x:v>Ethiopia</x:v>
      </x:c>
      <x:c r="D589" s="30" t="str">
        <x:v>Kenya</x:v>
      </x:c>
      <x:c r="E589" s="30" t="str">
        <x:v>Project unlock</x:v>
      </x:c>
      <x:c r="F589" s="30" t="str">
        <x:v>African Union</x:v>
      </x:c>
      <x:c r="G589" s="30" t="str">
        <x:v>No</x:v>
      </x:c>
      <x:c r="H589" s="30" t="str">
        <x:v>Ordinary claim</x:v>
      </x:c>
      <x:c r="I589" s="31" t="n">
        <x:f>IF(G589="Yes",'Controls &amp; Summary'!$B$5,'Controls &amp; Summary'!$B$4)</x:f>
        <x:v>6</x:v>
      </x:c>
      <x:c r="J589" s="31" t="n">
        <x:v>3.3</x:v>
      </x:c>
      <x:c r="K589" s="31" t="n">
        <x:v>5.05</x:v>
      </x:c>
      <x:c r="L589" s="31" t="n">
        <x:f>ABS(J589-K589)</x:f>
        <x:v>1.75</x:v>
      </x:c>
      <x:c r="M589" s="31" t="n">
        <x:v>3.5</x:v>
      </x:c>
      <x:c r="N589" s="31" t="n">
        <x:v>4.08</x:v>
      </x:c>
      <x:c r="O589" s="31" t="n">
        <x:f>ABS(M589-N589)</x:f>
        <x:v>0.5800000000000001</x:v>
      </x:c>
      <x:c r="P589" s="31" t="n">
        <x:v>3.41</x:v>
      </x:c>
      <x:c r="Q589" s="31" t="n">
        <x:v>5.34</x:v>
      </x:c>
      <x:c r="R589" s="31" t="n">
        <x:f>ABS(P589-Q589)</x:f>
        <x:v>1.9299999999999997</x:v>
      </x:c>
      <x:c r="S589" s="32" t="n">
        <x:v>2494.874696388392</x:v>
      </x:c>
      <x:c r="T589" s="32" t="n">
        <x:v>4798.923720068662</x:v>
      </x:c>
      <x:c r="U589" s="31" t="n">
        <x:f>MAX(S589/T589,T589/S589)</x:f>
        <x:v>1.923512923120202</x:v>
      </x:c>
      <x:c r="V589" s="31" t="n">
        <x:f>L589*'Controls &amp; Summary'!$B$9+O589*'Controls &amp; Summary'!$B$10+R589*'Controls &amp; Summary'!$B$11+U589*'Controls &amp; Summary'!$B$12</x:f>
        <x:v>6.183512923120202</x:v>
      </x:c>
      <x:c r="W589" s="31" t="n">
        <x:v>2</x:v>
      </x:c>
      <x:c r="X589" s="31" t="n">
        <x:v>4</x:v>
      </x:c>
      <x:c r="Y589" s="31" t="n">
        <x:f>((10-MIN(10,MAX(0,X589)))/10)*'Controls &amp; Summary'!$B$15+((10-MIN(10,MAX(0,W589)))/10)*'Controls &amp; Summary'!$B$16</x:f>
        <x:v>1.4</x:v>
      </x:c>
      <x:c r="Z589" s="31" t="n">
        <x:f>V589*Y589</x:f>
        <x:v>8.656918092368283</x:v>
      </x:c>
      <x:c r="AA589" s="30" t="str">
        <x:f>IF(Z589&lt;=I589,"Peaceful","Hostile")</x:f>
        <x:v>Hostile</x:v>
      </x:c>
      <x:c r="AB589" s="30" t="str">
        <x:f>IF(Z589&lt;='Controls &amp; Summary'!$B$6,"Eligible","Blocked")</x:f>
        <x:v>Eligible</x:v>
      </x:c>
      <x:c r="AC589" s="30" t="str">
        <x:v>ETH</x:v>
      </x:c>
      <x:c r="AD589" s="30" t="str">
        <x:v>KEN</x:v>
      </x:c>
      <x:c r="AE589" s="30" t="str">
        <x:v>Kenya</x:v>
      </x:c>
      <x:c r="AF589" s="30" t="str">
        <x:v>Explicit capitalClaim</x:v>
      </x:c>
      <x:c r="AG589" s="30" t="str">
        <x:v>ClaimETHKenya</x:v>
      </x:c>
      <x:c r="AH589" s="30" t="str">
        <x:v>Project_AfricanUnion</x:v>
      </x:c>
    </x:row>
    <x:row r="590">
      <x:c r="A590" s="30" t="str">
        <x:v>2022</x:v>
      </x:c>
      <x:c r="B590" s="30" t="str">
        <x:v>Base game</x:v>
      </x:c>
      <x:c r="C590" s="30" t="str">
        <x:v>Ethiopia</x:v>
      </x:c>
      <x:c r="D590" s="30" t="str">
        <x:v>Lesotho</x:v>
      </x:c>
      <x:c r="E590" s="30" t="str">
        <x:v>Project unlock</x:v>
      </x:c>
      <x:c r="F590" s="30" t="str">
        <x:v>African Union</x:v>
      </x:c>
      <x:c r="G590" s="30" t="str">
        <x:v>No</x:v>
      </x:c>
      <x:c r="H590" s="30" t="str">
        <x:v>Ordinary claim</x:v>
      </x:c>
      <x:c r="I590" s="31" t="n">
        <x:f>IF(G590="Yes",'Controls &amp; Summary'!$B$5,'Controls &amp; Summary'!$B$4)</x:f>
        <x:v>6</x:v>
      </x:c>
      <x:c r="J590" s="31" t="n">
        <x:v>3.3</x:v>
      </x:c>
      <x:c r="K590" s="31" t="n">
        <x:v>6.3</x:v>
      </x:c>
      <x:c r="L590" s="31" t="n">
        <x:f>ABS(J590-K590)</x:f>
        <x:v>3</x:v>
      </x:c>
      <x:c r="M590" s="31" t="n">
        <x:v>3.5</x:v>
      </x:c>
      <x:c r="N590" s="31" t="n">
        <x:v>4.49</x:v>
      </x:c>
      <x:c r="O590" s="31" t="n">
        <x:f>ABS(M590-N590)</x:f>
        <x:v>0.9900000000000002</x:v>
      </x:c>
      <x:c r="P590" s="31" t="n">
        <x:v>3.41</x:v>
      </x:c>
      <x:c r="Q590" s="31" t="n">
        <x:v>5.32</x:v>
      </x:c>
      <x:c r="R590" s="31" t="n">
        <x:f>ABS(P590-Q590)</x:f>
        <x:v>1.9100000000000001</x:v>
      </x:c>
      <x:c r="S590" s="32" t="n">
        <x:v>2494.874696388392</x:v>
      </x:c>
      <x:c r="T590" s="32" t="n">
        <x:v>2585.7821054105007</x:v>
      </x:c>
      <x:c r="U590" s="31" t="n">
        <x:f>MAX(S590/T590,T590/S590)</x:f>
        <x:v>1.0364376652477607</x:v>
      </x:c>
      <x:c r="V590" s="31" t="n">
        <x:f>L590*'Controls &amp; Summary'!$B$9+O590*'Controls &amp; Summary'!$B$10+R590*'Controls &amp; Summary'!$B$11+U590*'Controls &amp; Summary'!$B$12</x:f>
        <x:v>6.936437665247761</x:v>
      </x:c>
      <x:c r="W590" s="31" t="n">
        <x:v>2</x:v>
      </x:c>
      <x:c r="X590" s="31" t="n">
        <x:v>3</x:v>
      </x:c>
      <x:c r="Y590" s="31" t="n">
        <x:f>((10-MIN(10,MAX(0,X590)))/10)*'Controls &amp; Summary'!$B$15+((10-MIN(10,MAX(0,W590)))/10)*'Controls &amp; Summary'!$B$16</x:f>
        <x:v>1.5</x:v>
      </x:c>
      <x:c r="Z590" s="31" t="n">
        <x:f>V590*Y590</x:f>
        <x:v>10.404656497871642</x:v>
      </x:c>
      <x:c r="AA590" s="30" t="str">
        <x:f>IF(Z590&lt;=I590,"Peaceful","Hostile")</x:f>
        <x:v>Hostile</x:v>
      </x:c>
      <x:c r="AB590" s="30" t="str">
        <x:f>IF(Z590&lt;='Controls &amp; Summary'!$B$6,"Eligible","Blocked")</x:f>
        <x:v>Eligible</x:v>
      </x:c>
      <x:c r="AC590" s="30" t="str">
        <x:v>ETH</x:v>
      </x:c>
      <x:c r="AD590" s="30" t="str">
        <x:v>LES</x:v>
      </x:c>
      <x:c r="AE590" s="30" t="str">
        <x:v>Lesotho</x:v>
      </x:c>
      <x:c r="AF590" s="30" t="str">
        <x:v>Explicit capitalClaim</x:v>
      </x:c>
      <x:c r="AG590" s="30" t="str">
        <x:v>ClaimETHLesotho</x:v>
      </x:c>
      <x:c r="AH590" s="30" t="str">
        <x:v>Project_AfricanUnion</x:v>
      </x:c>
    </x:row>
    <x:row r="591">
      <x:c r="A591" s="30" t="str">
        <x:v>2022</x:v>
      </x:c>
      <x:c r="B591" s="30" t="str">
        <x:v>Base game</x:v>
      </x:c>
      <x:c r="C591" s="30" t="str">
        <x:v>Ethiopia</x:v>
      </x:c>
      <x:c r="D591" s="30" t="str">
        <x:v>Liberia</x:v>
      </x:c>
      <x:c r="E591" s="30" t="str">
        <x:v>Project unlock</x:v>
      </x:c>
      <x:c r="F591" s="30" t="str">
        <x:v>African Union</x:v>
      </x:c>
      <x:c r="G591" s="30" t="str">
        <x:v>No</x:v>
      </x:c>
      <x:c r="H591" s="30" t="str">
        <x:v>Ordinary claim</x:v>
      </x:c>
      <x:c r="I591" s="31" t="n">
        <x:f>IF(G591="Yes",'Controls &amp; Summary'!$B$5,'Controls &amp; Summary'!$B$4)</x:f>
        <x:v>6</x:v>
      </x:c>
      <x:c r="J591" s="31" t="n">
        <x:v>3.3</x:v>
      </x:c>
      <x:c r="K591" s="31" t="n">
        <x:v>5.43</x:v>
      </x:c>
      <x:c r="L591" s="31" t="n">
        <x:f>ABS(J591-K591)</x:f>
        <x:v>2.13</x:v>
      </x:c>
      <x:c r="M591" s="31" t="n">
        <x:v>3.5</x:v>
      </x:c>
      <x:c r="N591" s="31" t="n">
        <x:v>3.53</x:v>
      </x:c>
      <x:c r="O591" s="31" t="n">
        <x:f>ABS(M591-N591)</x:f>
        <x:v>0.029999999999999805</x:v>
      </x:c>
      <x:c r="P591" s="31" t="n">
        <x:v>3.41</x:v>
      </x:c>
      <x:c r="Q591" s="31" t="n">
        <x:v>4.26</x:v>
      </x:c>
      <x:c r="R591" s="31" t="n">
        <x:f>ABS(P591-Q591)</x:f>
        <x:v>0.8499999999999996</x:v>
      </x:c>
      <x:c r="S591" s="32" t="n">
        <x:v>2494.874696388392</x:v>
      </x:c>
      <x:c r="T591" s="32" t="n">
        <x:v>1445.0426204112412</x:v>
      </x:c>
      <x:c r="U591" s="31" t="n">
        <x:f>MAX(S591/T591,T591/S591)</x:f>
        <x:v>1.726505959857697</x:v>
      </x:c>
      <x:c r="V591" s="31" t="n">
        <x:f>L591*'Controls &amp; Summary'!$B$9+O591*'Controls &amp; Summary'!$B$10+R591*'Controls &amp; Summary'!$B$11+U591*'Controls &amp; Summary'!$B$12</x:f>
        <x:v>4.736505959857697</x:v>
      </x:c>
      <x:c r="W591" s="31" t="n">
        <x:v>2</x:v>
      </x:c>
      <x:c r="X591" s="31" t="n">
        <x:v>2</x:v>
      </x:c>
      <x:c r="Y591" s="31" t="n">
        <x:f>((10-MIN(10,MAX(0,X591)))/10)*'Controls &amp; Summary'!$B$15+((10-MIN(10,MAX(0,W591)))/10)*'Controls &amp; Summary'!$B$16</x:f>
        <x:v>1.6</x:v>
      </x:c>
      <x:c r="Z591" s="31" t="n">
        <x:f>V591*Y591</x:f>
        <x:v>7.578409535772315</x:v>
      </x:c>
      <x:c r="AA591" s="30" t="str">
        <x:f>IF(Z591&lt;=I591,"Peaceful","Hostile")</x:f>
        <x:v>Hostile</x:v>
      </x:c>
      <x:c r="AB591" s="30" t="str">
        <x:f>IF(Z591&lt;='Controls &amp; Summary'!$B$6,"Eligible","Blocked")</x:f>
        <x:v>Eligible</x:v>
      </x:c>
      <x:c r="AC591" s="30" t="str">
        <x:v>ETH</x:v>
      </x:c>
      <x:c r="AD591" s="30" t="str">
        <x:v>LBR</x:v>
      </x:c>
      <x:c r="AE591" s="30" t="str">
        <x:v>Liberia</x:v>
      </x:c>
      <x:c r="AF591" s="30" t="str">
        <x:v>Explicit capitalClaim</x:v>
      </x:c>
      <x:c r="AG591" s="30" t="str">
        <x:v>ClaimETHLiberia</x:v>
      </x:c>
      <x:c r="AH591" s="30" t="str">
        <x:v>Project_AfricanUnion</x:v>
      </x:c>
    </x:row>
    <x:row r="592">
      <x:c r="A592" s="30" t="str">
        <x:v>2022</x:v>
      </x:c>
      <x:c r="B592" s="30" t="str">
        <x:v>Base game</x:v>
      </x:c>
      <x:c r="C592" s="30" t="str">
        <x:v>Ethiopia</x:v>
      </x:c>
      <x:c r="D592" s="30" t="str">
        <x:v>Libya</x:v>
      </x:c>
      <x:c r="E592" s="30" t="str">
        <x:v>Project unlock</x:v>
      </x:c>
      <x:c r="F592" s="30" t="str">
        <x:v>African Union</x:v>
      </x:c>
      <x:c r="G592" s="30" t="str">
        <x:v>No</x:v>
      </x:c>
      <x:c r="H592" s="30" t="str">
        <x:v>Ordinary claim</x:v>
      </x:c>
      <x:c r="I592" s="31" t="n">
        <x:f>IF(G592="Yes",'Controls &amp; Summary'!$B$5,'Controls &amp; Summary'!$B$4)</x:f>
        <x:v>6</x:v>
      </x:c>
      <x:c r="J592" s="31" t="n">
        <x:v>3.3</x:v>
      </x:c>
      <x:c r="K592" s="31" t="n">
        <x:v>1.95</x:v>
      </x:c>
      <x:c r="L592" s="31" t="n">
        <x:f>ABS(J592-K592)</x:f>
        <x:v>1.3499999999999999</x:v>
      </x:c>
      <x:c r="M592" s="31" t="n">
        <x:v>3.5</x:v>
      </x:c>
      <x:c r="N592" s="31" t="n">
        <x:v>3.07</x:v>
      </x:c>
      <x:c r="O592" s="31" t="n">
        <x:f>ABS(M592-N592)</x:f>
        <x:v>0.43000000000000016</x:v>
      </x:c>
      <x:c r="P592" s="31" t="n">
        <x:v>3.41</x:v>
      </x:c>
      <x:c r="Q592" s="31" t="n">
        <x:v>6.1</x:v>
      </x:c>
      <x:c r="R592" s="31" t="n">
        <x:f>ABS(P592-Q592)</x:f>
        <x:v>2.6899999999999995</x:v>
      </x:c>
      <x:c r="S592" s="32" t="n">
        <x:v>2494.874696388392</x:v>
      </x:c>
      <x:c r="T592" s="32" t="n">
        <x:v>12220.883315648745</x:v>
      </x:c>
      <x:c r="U592" s="31" t="n">
        <x:f>MAX(S592/T592,T592/S592)</x:f>
        <x:v>4.898395632189397</x:v>
      </x:c>
      <x:c r="V592" s="31" t="n">
        <x:f>L592*'Controls &amp; Summary'!$B$9+O592*'Controls &amp; Summary'!$B$10+R592*'Controls &amp; Summary'!$B$11+U592*'Controls &amp; Summary'!$B$12</x:f>
        <x:v>9.368395632189397</x:v>
      </x:c>
      <x:c r="W592" s="31" t="n">
        <x:v>2</x:v>
      </x:c>
      <x:c r="X592" s="31" t="n">
        <x:v>8</x:v>
      </x:c>
      <x:c r="Y592" s="31" t="n">
        <x:f>((10-MIN(10,MAX(0,X592)))/10)*'Controls &amp; Summary'!$B$15+((10-MIN(10,MAX(0,W592)))/10)*'Controls &amp; Summary'!$B$16</x:f>
        <x:v>1</x:v>
      </x:c>
      <x:c r="Z592" s="31" t="n">
        <x:f>V592*Y592</x:f>
        <x:v>9.368395632189397</x:v>
      </x:c>
      <x:c r="AA592" s="30" t="str">
        <x:f>IF(Z592&lt;=I592,"Peaceful","Hostile")</x:f>
        <x:v>Hostile</x:v>
      </x:c>
      <x:c r="AB592" s="30" t="str">
        <x:f>IF(Z592&lt;='Controls &amp; Summary'!$B$6,"Eligible","Blocked")</x:f>
        <x:v>Eligible</x:v>
      </x:c>
      <x:c r="AC592" s="30" t="str">
        <x:v>ETH</x:v>
      </x:c>
      <x:c r="AD592" s="30" t="str">
        <x:v>LBY</x:v>
      </x:c>
      <x:c r="AE592" s="30" t="str">
        <x:v>Libya</x:v>
      </x:c>
      <x:c r="AF592" s="30" t="str">
        <x:v>Explicit capitalClaim</x:v>
      </x:c>
      <x:c r="AG592" s="30" t="str">
        <x:v>ClaimETHLibya</x:v>
      </x:c>
      <x:c r="AH592" s="30" t="str">
        <x:v>Project_AfricanUnion</x:v>
      </x:c>
    </x:row>
    <x:row r="593">
      <x:c r="A593" s="30" t="str">
        <x:v>2022</x:v>
      </x:c>
      <x:c r="B593" s="30" t="str">
        <x:v>Base game</x:v>
      </x:c>
      <x:c r="C593" s="30" t="str">
        <x:v>Ethiopia</x:v>
      </x:c>
      <x:c r="D593" s="30" t="str">
        <x:v>Madagascar</x:v>
      </x:c>
      <x:c r="E593" s="30" t="str">
        <x:v>Project unlock</x:v>
      </x:c>
      <x:c r="F593" s="30" t="str">
        <x:v>African Union</x:v>
      </x:c>
      <x:c r="G593" s="30" t="str">
        <x:v>No</x:v>
      </x:c>
      <x:c r="H593" s="30" t="str">
        <x:v>Ordinary claim</x:v>
      </x:c>
      <x:c r="I593" s="31" t="n">
        <x:f>IF(G593="Yes",'Controls &amp; Summary'!$B$5,'Controls &amp; Summary'!$B$4)</x:f>
        <x:v>6</x:v>
      </x:c>
      <x:c r="J593" s="31" t="n">
        <x:v>3.3</x:v>
      </x:c>
      <x:c r="K593" s="31" t="n">
        <x:v>5.7</x:v>
      </x:c>
      <x:c r="L593" s="31" t="n">
        <x:f>ABS(J593-K593)</x:f>
        <x:v>2.4000000000000004</x:v>
      </x:c>
      <x:c r="M593" s="31" t="n">
        <x:v>3.5</x:v>
      </x:c>
      <x:c r="N593" s="31" t="n">
        <x:v>4.26</x:v>
      </x:c>
      <x:c r="O593" s="31" t="n">
        <x:f>ABS(M593-N593)</x:f>
        <x:v>0.7599999999999998</x:v>
      </x:c>
      <x:c r="P593" s="31" t="n">
        <x:v>3.41</x:v>
      </x:c>
      <x:c r="Q593" s="31" t="n">
        <x:v>4.86</x:v>
      </x:c>
      <x:c r="R593" s="31" t="n">
        <x:f>ABS(P593-Q593)</x:f>
        <x:v>1.4500000000000002</x:v>
      </x:c>
      <x:c r="S593" s="32" t="n">
        <x:v>2494.874696388392</x:v>
      </x:c>
      <x:c r="T593" s="32" t="n">
        <x:v>1541.3297600266988</x:v>
      </x:c>
      <x:c r="U593" s="31" t="n">
        <x:f>MAX(S593/T593,T593/S593)</x:f>
        <x:v>1.6186508306601282</x:v>
      </x:c>
      <x:c r="V593" s="31" t="n">
        <x:f>L593*'Controls &amp; Summary'!$B$9+O593*'Controls &amp; Summary'!$B$10+R593*'Controls &amp; Summary'!$B$11+U593*'Controls &amp; Summary'!$B$12</x:f>
        <x:v>6.228650830660128</x:v>
      </x:c>
      <x:c r="W593" s="31" t="n">
        <x:v>2</x:v>
      </x:c>
      <x:c r="X593" s="31" t="n">
        <x:v>2</x:v>
      </x:c>
      <x:c r="Y593" s="31" t="n">
        <x:f>((10-MIN(10,MAX(0,X593)))/10)*'Controls &amp; Summary'!$B$15+((10-MIN(10,MAX(0,W593)))/10)*'Controls &amp; Summary'!$B$16</x:f>
        <x:v>1.6</x:v>
      </x:c>
      <x:c r="Z593" s="31" t="n">
        <x:f>V593*Y593</x:f>
        <x:v>9.965841329056206</x:v>
      </x:c>
      <x:c r="AA593" s="30" t="str">
        <x:f>IF(Z593&lt;=I593,"Peaceful","Hostile")</x:f>
        <x:v>Hostile</x:v>
      </x:c>
      <x:c r="AB593" s="30" t="str">
        <x:f>IF(Z593&lt;='Controls &amp; Summary'!$B$6,"Eligible","Blocked")</x:f>
        <x:v>Eligible</x:v>
      </x:c>
      <x:c r="AC593" s="30" t="str">
        <x:v>ETH</x:v>
      </x:c>
      <x:c r="AD593" s="30" t="str">
        <x:v>MDG</x:v>
      </x:c>
      <x:c r="AE593" s="30" t="str">
        <x:v>Madagascar</x:v>
      </x:c>
      <x:c r="AF593" s="30" t="str">
        <x:v>Explicit capitalClaim</x:v>
      </x:c>
      <x:c r="AG593" s="30" t="str">
        <x:v>ClaimETHMadagascar</x:v>
      </x:c>
      <x:c r="AH593" s="30" t="str">
        <x:v>Project_AfricanUnion</x:v>
      </x:c>
    </x:row>
    <x:row r="594">
      <x:c r="A594" s="30" t="str">
        <x:v>2022</x:v>
      </x:c>
      <x:c r="B594" s="30" t="str">
        <x:v>Base game</x:v>
      </x:c>
      <x:c r="C594" s="30" t="str">
        <x:v>Ethiopia</x:v>
      </x:c>
      <x:c r="D594" s="30" t="str">
        <x:v>Malawi</x:v>
      </x:c>
      <x:c r="E594" s="30" t="str">
        <x:v>Project unlock</x:v>
      </x:c>
      <x:c r="F594" s="30" t="str">
        <x:v>African Union</x:v>
      </x:c>
      <x:c r="G594" s="30" t="str">
        <x:v>No</x:v>
      </x:c>
      <x:c r="H594" s="30" t="str">
        <x:v>Ordinary claim</x:v>
      </x:c>
      <x:c r="I594" s="31" t="n">
        <x:f>IF(G594="Yes",'Controls &amp; Summary'!$B$5,'Controls &amp; Summary'!$B$4)</x:f>
        <x:v>6</x:v>
      </x:c>
      <x:c r="J594" s="31" t="n">
        <x:v>3.3</x:v>
      </x:c>
      <x:c r="K594" s="31" t="n">
        <x:v>5.74</x:v>
      </x:c>
      <x:c r="L594" s="31" t="n">
        <x:f>ABS(J594-K594)</x:f>
        <x:v>2.4400000000000004</x:v>
      </x:c>
      <x:c r="M594" s="31" t="n">
        <x:v>3.5</x:v>
      </x:c>
      <x:c r="N594" s="31" t="n">
        <x:v>3.85</x:v>
      </x:c>
      <x:c r="O594" s="31" t="n">
        <x:f>ABS(M594-N594)</x:f>
        <x:v>0.3500000000000001</x:v>
      </x:c>
      <x:c r="P594" s="31" t="n">
        <x:v>3.41</x:v>
      </x:c>
      <x:c r="Q594" s="31" t="n">
        <x:v>4.7</x:v>
      </x:c>
      <x:c r="R594" s="31" t="n">
        <x:f>ABS(P594-Q594)</x:f>
        <x:v>1.29</x:v>
      </x:c>
      <x:c r="S594" s="32" t="n">
        <x:v>2494.874696388392</x:v>
      </x:c>
      <x:c r="T594" s="32" t="n">
        <x:v>1531.2656901778273</x:v>
      </x:c>
      <x:c r="U594" s="31" t="n">
        <x:f>MAX(S594/T594,T594/S594)</x:f>
        <x:v>1.6292892294208328</x:v>
      </x:c>
      <x:c r="V594" s="31" t="n">
        <x:f>L594*'Controls &amp; Summary'!$B$9+O594*'Controls &amp; Summary'!$B$10+R594*'Controls &amp; Summary'!$B$11+U594*'Controls &amp; Summary'!$B$12</x:f>
        <x:v>5.709289229420833</x:v>
      </x:c>
      <x:c r="W594" s="31" t="n">
        <x:v>2</x:v>
      </x:c>
      <x:c r="X594" s="31" t="n">
        <x:v>2</x:v>
      </x:c>
      <x:c r="Y594" s="31" t="n">
        <x:f>((10-MIN(10,MAX(0,X594)))/10)*'Controls &amp; Summary'!$B$15+((10-MIN(10,MAX(0,W594)))/10)*'Controls &amp; Summary'!$B$16</x:f>
        <x:v>1.6</x:v>
      </x:c>
      <x:c r="Z594" s="31" t="n">
        <x:f>V594*Y594</x:f>
        <x:v>9.134862767073333</x:v>
      </x:c>
      <x:c r="AA594" s="30" t="str">
        <x:f>IF(Z594&lt;=I594,"Peaceful","Hostile")</x:f>
        <x:v>Hostile</x:v>
      </x:c>
      <x:c r="AB594" s="30" t="str">
        <x:f>IF(Z594&lt;='Controls &amp; Summary'!$B$6,"Eligible","Blocked")</x:f>
        <x:v>Eligible</x:v>
      </x:c>
      <x:c r="AC594" s="30" t="str">
        <x:v>ETH</x:v>
      </x:c>
      <x:c r="AD594" s="30" t="str">
        <x:v>MAL</x:v>
      </x:c>
      <x:c r="AE594" s="30" t="str">
        <x:v>Malawi</x:v>
      </x:c>
      <x:c r="AF594" s="30" t="str">
        <x:v>Explicit capitalClaim</x:v>
      </x:c>
      <x:c r="AG594" s="30" t="str">
        <x:v>ClaimETHMalawi</x:v>
      </x:c>
      <x:c r="AH594" s="30" t="str">
        <x:v>Project_AfricanUnion</x:v>
      </x:c>
    </x:row>
    <x:row r="595">
      <x:c r="A595" s="30" t="str">
        <x:v>2022</x:v>
      </x:c>
      <x:c r="B595" s="30" t="str">
        <x:v>Base game</x:v>
      </x:c>
      <x:c r="C595" s="30" t="str">
        <x:v>Ethiopia</x:v>
      </x:c>
      <x:c r="D595" s="30" t="str">
        <x:v>Mali</x:v>
      </x:c>
      <x:c r="E595" s="30" t="str">
        <x:v>Project unlock</x:v>
      </x:c>
      <x:c r="F595" s="30" t="str">
        <x:v>African Union</x:v>
      </x:c>
      <x:c r="G595" s="30" t="str">
        <x:v>No</x:v>
      </x:c>
      <x:c r="H595" s="30" t="str">
        <x:v>Ordinary claim</x:v>
      </x:c>
      <x:c r="I595" s="31" t="n">
        <x:f>IF(G595="Yes",'Controls &amp; Summary'!$B$5,'Controls &amp; Summary'!$B$4)</x:f>
        <x:v>6</x:v>
      </x:c>
      <x:c r="J595" s="31" t="n">
        <x:v>3.3</x:v>
      </x:c>
      <x:c r="K595" s="31" t="n">
        <x:v>3.48</x:v>
      </x:c>
      <x:c r="L595" s="31" t="n">
        <x:f>ABS(J595-K595)</x:f>
        <x:v>0.18000000000000016</x:v>
      </x:c>
      <x:c r="M595" s="31" t="n">
        <x:v>3.5</x:v>
      </x:c>
      <x:c r="N595" s="31" t="n">
        <x:v>3.61</x:v>
      </x:c>
      <x:c r="O595" s="31" t="n">
        <x:f>ABS(M595-N595)</x:f>
        <x:v>0.10999999999999988</x:v>
      </x:c>
      <x:c r="P595" s="31" t="n">
        <x:v>3.41</x:v>
      </x:c>
      <x:c r="Q595" s="31" t="n">
        <x:v>2.86</x:v>
      </x:c>
      <x:c r="R595" s="31" t="n">
        <x:f>ABS(P595-Q595)</x:f>
        <x:v>0.5500000000000003</x:v>
      </x:c>
      <x:c r="S595" s="32" t="n">
        <x:v>2494.874696388392</x:v>
      </x:c>
      <x:c r="T595" s="32" t="n">
        <x:v>2553.6295666642395</x:v>
      </x:c>
      <x:c r="U595" s="31" t="n">
        <x:f>MAX(S595/T595,T595/S595)</x:f>
        <x:v>1.0235502289397147</x:v>
      </x:c>
      <x:c r="V595" s="31" t="n">
        <x:f>L595*'Controls &amp; Summary'!$B$9+O595*'Controls &amp; Summary'!$B$10+R595*'Controls &amp; Summary'!$B$11+U595*'Controls &amp; Summary'!$B$12</x:f>
        <x:v>1.863550228939715</x:v>
      </x:c>
      <x:c r="W595" s="31" t="n">
        <x:v>2</x:v>
      </x:c>
      <x:c r="X595" s="31" t="n">
        <x:v>6</x:v>
      </x:c>
      <x:c r="Y595" s="31" t="n">
        <x:f>((10-MIN(10,MAX(0,X595)))/10)*'Controls &amp; Summary'!$B$15+((10-MIN(10,MAX(0,W595)))/10)*'Controls &amp; Summary'!$B$16</x:f>
        <x:v>1.2000000000000002</x:v>
      </x:c>
      <x:c r="Z595" s="31" t="n">
        <x:f>V595*Y595</x:f>
        <x:v>2.2362602747276585</x:v>
      </x:c>
      <x:c r="AA595" s="30" t="str">
        <x:f>IF(Z595&lt;=I595,"Peaceful","Hostile")</x:f>
        <x:v>Peaceful</x:v>
      </x:c>
      <x:c r="AB595" s="30" t="str">
        <x:f>IF(Z595&lt;='Controls &amp; Summary'!$B$6,"Eligible","Blocked")</x:f>
        <x:v>Eligible</x:v>
      </x:c>
      <x:c r="AC595" s="30" t="str">
        <x:v>ETH</x:v>
      </x:c>
      <x:c r="AD595" s="30" t="str">
        <x:v>MLI</x:v>
      </x:c>
      <x:c r="AE595" s="30" t="str">
        <x:v>Mali</x:v>
      </x:c>
      <x:c r="AF595" s="30" t="str">
        <x:v>Explicit capitalClaim</x:v>
      </x:c>
      <x:c r="AG595" s="30" t="str">
        <x:v>ClaimETHMali</x:v>
      </x:c>
      <x:c r="AH595" s="30" t="str">
        <x:v>Project_AfricanUnion</x:v>
      </x:c>
    </x:row>
    <x:row r="596">
      <x:c r="A596" s="30" t="str">
        <x:v>2022</x:v>
      </x:c>
      <x:c r="B596" s="30" t="str">
        <x:v>Base game</x:v>
      </x:c>
      <x:c r="C596" s="30" t="str">
        <x:v>Ethiopia</x:v>
      </x:c>
      <x:c r="D596" s="30" t="str">
        <x:v>Mauritania</x:v>
      </x:c>
      <x:c r="E596" s="30" t="str">
        <x:v>Project unlock</x:v>
      </x:c>
      <x:c r="F596" s="30" t="str">
        <x:v>African Union</x:v>
      </x:c>
      <x:c r="G596" s="30" t="str">
        <x:v>No</x:v>
      </x:c>
      <x:c r="H596" s="30" t="str">
        <x:v>Ordinary claim</x:v>
      </x:c>
      <x:c r="I596" s="31" t="n">
        <x:f>IF(G596="Yes",'Controls &amp; Summary'!$B$5,'Controls &amp; Summary'!$B$4)</x:f>
        <x:v>6</x:v>
      </x:c>
      <x:c r="J596" s="31" t="n">
        <x:v>3.3</x:v>
      </x:c>
      <x:c r="K596" s="31" t="n">
        <x:v>4.03</x:v>
      </x:c>
      <x:c r="L596" s="31" t="n">
        <x:f>ABS(J596-K596)</x:f>
        <x:v>0.7300000000000004</x:v>
      </x:c>
      <x:c r="M596" s="31" t="n">
        <x:v>3.5</x:v>
      </x:c>
      <x:c r="N596" s="31" t="n">
        <x:v>3.26</x:v>
      </x:c>
      <x:c r="O596" s="31" t="n">
        <x:f>ABS(M596-N596)</x:f>
        <x:v>0.2400000000000002</x:v>
      </x:c>
      <x:c r="P596" s="31" t="n">
        <x:v>3.41</x:v>
      </x:c>
      <x:c r="Q596" s="31" t="n">
        <x:v>3.96</x:v>
      </x:c>
      <x:c r="R596" s="31" t="n">
        <x:f>ABS(P596-Q596)</x:f>
        <x:v>0.5499999999999998</x:v>
      </x:c>
      <x:c r="S596" s="32" t="n">
        <x:v>2494.874696388392</x:v>
      </x:c>
      <x:c r="T596" s="32" t="n">
        <x:v>5340.571226487944</x:v>
      </x:c>
      <x:c r="U596" s="31" t="n">
        <x:f>MAX(S596/T596,T596/S596)</x:f>
        <x:v>2.140617015443306</x:v>
      </x:c>
      <x:c r="V596" s="31" t="n">
        <x:f>L596*'Controls &amp; Summary'!$B$9+O596*'Controls &amp; Summary'!$B$10+R596*'Controls &amp; Summary'!$B$11+U596*'Controls &amp; Summary'!$B$12</x:f>
        <x:v>3.6606170154433064</x:v>
      </x:c>
      <x:c r="W596" s="31" t="n">
        <x:v>2</x:v>
      </x:c>
      <x:c r="X596" s="31" t="n">
        <x:v>3</x:v>
      </x:c>
      <x:c r="Y596" s="31" t="n">
        <x:f>((10-MIN(10,MAX(0,X596)))/10)*'Controls &amp; Summary'!$B$15+((10-MIN(10,MAX(0,W596)))/10)*'Controls &amp; Summary'!$B$16</x:f>
        <x:v>1.5</x:v>
      </x:c>
      <x:c r="Z596" s="31" t="n">
        <x:f>V596*Y596</x:f>
        <x:v>5.490925523164959</x:v>
      </x:c>
      <x:c r="AA596" s="30" t="str">
        <x:f>IF(Z596&lt;=I596,"Peaceful","Hostile")</x:f>
        <x:v>Peaceful</x:v>
      </x:c>
      <x:c r="AB596" s="30" t="str">
        <x:f>IF(Z596&lt;='Controls &amp; Summary'!$B$6,"Eligible","Blocked")</x:f>
        <x:v>Eligible</x:v>
      </x:c>
      <x:c r="AC596" s="30" t="str">
        <x:v>ETH</x:v>
      </x:c>
      <x:c r="AD596" s="30" t="str">
        <x:v>MRT</x:v>
      </x:c>
      <x:c r="AE596" s="30" t="str">
        <x:v>Mauritania</x:v>
      </x:c>
      <x:c r="AF596" s="30" t="str">
        <x:v>Explicit capitalClaim</x:v>
      </x:c>
      <x:c r="AG596" s="30" t="str">
        <x:v>ClaimETHMauritania</x:v>
      </x:c>
      <x:c r="AH596" s="30" t="str">
        <x:v>Project_AfricanUnion</x:v>
      </x:c>
    </x:row>
    <x:row r="597">
      <x:c r="A597" s="30" t="str">
        <x:v>2022</x:v>
      </x:c>
      <x:c r="B597" s="30" t="str">
        <x:v>Base game</x:v>
      </x:c>
      <x:c r="C597" s="30" t="str">
        <x:v>Ethiopia</x:v>
      </x:c>
      <x:c r="D597" s="30" t="str">
        <x:v>Mauritius</x:v>
      </x:c>
      <x:c r="E597" s="30" t="str">
        <x:v>Project unlock</x:v>
      </x:c>
      <x:c r="F597" s="30" t="str">
        <x:v>African Union</x:v>
      </x:c>
      <x:c r="G597" s="30" t="str">
        <x:v>No</x:v>
      </x:c>
      <x:c r="H597" s="30" t="str">
        <x:v>Ordinary claim</x:v>
      </x:c>
      <x:c r="I597" s="31" t="n">
        <x:f>IF(G597="Yes",'Controls &amp; Summary'!$B$5,'Controls &amp; Summary'!$B$4)</x:f>
        <x:v>6</x:v>
      </x:c>
      <x:c r="J597" s="31" t="n">
        <x:v>3.3</x:v>
      </x:c>
      <x:c r="K597" s="31" t="n">
        <x:v>8.08</x:v>
      </x:c>
      <x:c r="L597" s="31" t="n">
        <x:f>ABS(J597-K597)</x:f>
        <x:v>4.78</x:v>
      </x:c>
      <x:c r="M597" s="31" t="n">
        <x:v>3.5</x:v>
      </x:c>
      <x:c r="N597" s="31" t="n">
        <x:v>3.68</x:v>
      </x:c>
      <x:c r="O597" s="31" t="n">
        <x:f>ABS(M597-N597)</x:f>
        <x:v>0.18000000000000016</x:v>
      </x:c>
      <x:c r="P597" s="31" t="n">
        <x:v>3.41</x:v>
      </x:c>
      <x:c r="Q597" s="31" t="n">
        <x:v>7.36</x:v>
      </x:c>
      <x:c r="R597" s="31" t="n">
        <x:f>ABS(P597-Q597)</x:f>
        <x:v>3.95</x:v>
      </x:c>
      <x:c r="S597" s="32" t="n">
        <x:v>2494.874696388392</x:v>
      </x:c>
      <x:c r="T597" s="32" t="n">
        <x:v>21891.66318321801</x:v>
      </x:c>
      <x:c r="U597" s="31" t="n">
        <x:f>MAX(S597/T597,T597/S597)</x:f>
        <x:v>8.774654380401799</x:v>
      </x:c>
      <x:c r="V597" s="31" t="n">
        <x:f>L597*'Controls &amp; Summary'!$B$9+O597*'Controls &amp; Summary'!$B$10+R597*'Controls &amp; Summary'!$B$11+U597*'Controls &amp; Summary'!$B$12</x:f>
        <x:v>17.6846543804018</x:v>
      </x:c>
      <x:c r="W597" s="31" t="n">
        <x:v>2</x:v>
      </x:c>
      <x:c r="X597" s="31" t="n">
        <x:v>1</x:v>
      </x:c>
      <x:c r="Y597" s="31" t="n">
        <x:f>((10-MIN(10,MAX(0,X597)))/10)*'Controls &amp; Summary'!$B$15+((10-MIN(10,MAX(0,W597)))/10)*'Controls &amp; Summary'!$B$16</x:f>
        <x:v>1.7000000000000002</x:v>
      </x:c>
      <x:c r="Z597" s="31" t="n">
        <x:f>V597*Y597</x:f>
        <x:v>30.063912446683062</x:v>
      </x:c>
      <x:c r="AA597" s="30" t="str">
        <x:f>IF(Z597&lt;=I597,"Peaceful","Hostile")</x:f>
        <x:v>Hostile</x:v>
      </x:c>
      <x:c r="AB597" s="30" t="str">
        <x:f>IF(Z597&lt;='Controls &amp; Summary'!$B$6,"Eligible","Blocked")</x:f>
        <x:v>Blocked</x:v>
      </x:c>
      <x:c r="AC597" s="30" t="str">
        <x:v>ETH</x:v>
      </x:c>
      <x:c r="AD597" s="30" t="str">
        <x:v>MRS</x:v>
      </x:c>
      <x:c r="AE597" s="30" t="str">
        <x:v>Mauritius</x:v>
      </x:c>
      <x:c r="AF597" s="30" t="str">
        <x:v>Explicit capitalClaim</x:v>
      </x:c>
      <x:c r="AG597" s="30" t="str">
        <x:v>ClaimETHMauritius</x:v>
      </x:c>
      <x:c r="AH597" s="30" t="str">
        <x:v>Project_AfricanUnion</x:v>
      </x:c>
    </x:row>
    <x:row r="598">
      <x:c r="A598" s="30" t="str">
        <x:v>2022</x:v>
      </x:c>
      <x:c r="B598" s="30" t="str">
        <x:v>Base game</x:v>
      </x:c>
      <x:c r="C598" s="30" t="str">
        <x:v>Ethiopia</x:v>
      </x:c>
      <x:c r="D598" s="30" t="str">
        <x:v>Morocco</x:v>
      </x:c>
      <x:c r="E598" s="30" t="str">
        <x:v>Project unlock</x:v>
      </x:c>
      <x:c r="F598" s="30" t="str">
        <x:v>Great African Union</x:v>
      </x:c>
      <x:c r="G598" s="30" t="str">
        <x:v>No</x:v>
      </x:c>
      <x:c r="H598" s="30" t="str">
        <x:v>Ordinary claim</x:v>
      </x:c>
      <x:c r="I598" s="31" t="n">
        <x:f>IF(G598="Yes",'Controls &amp; Summary'!$B$5,'Controls &amp; Summary'!$B$4)</x:f>
        <x:v>6</x:v>
      </x:c>
      <x:c r="J598" s="31" t="n">
        <x:v>3.3</x:v>
      </x:c>
      <x:c r="K598" s="31" t="n">
        <x:v>5.04</x:v>
      </x:c>
      <x:c r="L598" s="31" t="n">
        <x:f>ABS(J598-K598)</x:f>
        <x:v>1.7400000000000002</x:v>
      </x:c>
      <x:c r="M598" s="31" t="n">
        <x:v>3.5</x:v>
      </x:c>
      <x:c r="N598" s="31" t="n">
        <x:v>3.95</x:v>
      </x:c>
      <x:c r="O598" s="31" t="n">
        <x:f>ABS(M598-N598)</x:f>
        <x:v>0.4500000000000002</x:v>
      </x:c>
      <x:c r="P598" s="31" t="n">
        <x:v>3.41</x:v>
      </x:c>
      <x:c r="Q598" s="31" t="n">
        <x:v>5.69</x:v>
      </x:c>
      <x:c r="R598" s="31" t="n">
        <x:f>ABS(P598-Q598)</x:f>
        <x:v>2.2800000000000002</x:v>
      </x:c>
      <x:c r="S598" s="32" t="n">
        <x:v>2494.874696388392</x:v>
      </x:c>
      <x:c r="T598" s="32" t="n">
        <x:v>7570.810298699158</x:v>
      </x:c>
      <x:c r="U598" s="31" t="n">
        <x:f>MAX(S598/T598,T598/S598)</x:f>
        <x:v>3.0345453058860015</x:v>
      </x:c>
      <x:c r="V598" s="31" t="n">
        <x:f>L598*'Controls &amp; Summary'!$B$9+O598*'Controls &amp; Summary'!$B$10+R598*'Controls &amp; Summary'!$B$11+U598*'Controls &amp; Summary'!$B$12</x:f>
        <x:v>7.504545305886002</x:v>
      </x:c>
      <x:c r="W598" s="31" t="n">
        <x:v>2</x:v>
      </x:c>
      <x:c r="X598" s="31" t="n">
        <x:v>2</x:v>
      </x:c>
      <x:c r="Y598" s="31" t="n">
        <x:f>((10-MIN(10,MAX(0,X598)))/10)*'Controls &amp; Summary'!$B$15+((10-MIN(10,MAX(0,W598)))/10)*'Controls &amp; Summary'!$B$16</x:f>
        <x:v>1.6</x:v>
      </x:c>
      <x:c r="Z598" s="31" t="n">
        <x:f>V598*Y598</x:f>
        <x:v>12.007272489417604</x:v>
      </x:c>
      <x:c r="AA598" s="30" t="str">
        <x:f>IF(Z598&lt;=I598,"Peaceful","Hostile")</x:f>
        <x:v>Hostile</x:v>
      </x:c>
      <x:c r="AB598" s="30" t="str">
        <x:f>IF(Z598&lt;='Controls &amp; Summary'!$B$6,"Eligible","Blocked")</x:f>
        <x:v>Blocked</x:v>
      </x:c>
      <x:c r="AC598" s="30" t="str">
        <x:v>ETH</x:v>
      </x:c>
      <x:c r="AD598" s="30" t="str">
        <x:v>MAR</x:v>
      </x:c>
      <x:c r="AE598" s="30" t="str">
        <x:v>Rabat</x:v>
      </x:c>
      <x:c r="AF598" s="30" t="str">
        <x:v>Explicit capitalClaim</x:v>
      </x:c>
      <x:c r="AG598" s="30" t="str">
        <x:v>ClaimETHRabat</x:v>
      </x:c>
      <x:c r="AH598" s="30" t="str">
        <x:v>Project_GreatAfricanUnion</x:v>
      </x:c>
    </x:row>
    <x:row r="599">
      <x:c r="A599" s="30" t="str">
        <x:v>2022</x:v>
      </x:c>
      <x:c r="B599" s="30" t="str">
        <x:v>Base game</x:v>
      </x:c>
      <x:c r="C599" s="30" t="str">
        <x:v>Ethiopia</x:v>
      </x:c>
      <x:c r="D599" s="30" t="str">
        <x:v>Mozambique</x:v>
      </x:c>
      <x:c r="E599" s="30" t="str">
        <x:v>Project unlock</x:v>
      </x:c>
      <x:c r="F599" s="30" t="str">
        <x:v>African Union</x:v>
      </x:c>
      <x:c r="G599" s="30" t="str">
        <x:v>No</x:v>
      </x:c>
      <x:c r="H599" s="30" t="str">
        <x:v>Ordinary claim</x:v>
      </x:c>
      <x:c r="I599" s="31" t="n">
        <x:f>IF(G599="Yes",'Controls &amp; Summary'!$B$5,'Controls &amp; Summary'!$B$4)</x:f>
        <x:v>6</x:v>
      </x:c>
      <x:c r="J599" s="31" t="n">
        <x:v>3.3</x:v>
      </x:c>
      <x:c r="K599" s="31" t="n">
        <x:v>3.51</x:v>
      </x:c>
      <x:c r="L599" s="31" t="n">
        <x:f>ABS(J599-K599)</x:f>
        <x:v>0.20999999999999996</x:v>
      </x:c>
      <x:c r="M599" s="31" t="n">
        <x:v>3.5</x:v>
      </x:c>
      <x:c r="N599" s="31" t="n">
        <x:v>5.4</x:v>
      </x:c>
      <x:c r="O599" s="31" t="n">
        <x:f>ABS(M599-N599)</x:f>
        <x:v>1.9000000000000004</x:v>
      </x:c>
      <x:c r="P599" s="31" t="n">
        <x:v>3.41</x:v>
      </x:c>
      <x:c r="Q599" s="31" t="n">
        <x:v>3.95</x:v>
      </x:c>
      <x:c r="R599" s="31" t="n">
        <x:f>ABS(P599-Q599)</x:f>
        <x:v>0.54</x:v>
      </x:c>
      <x:c r="S599" s="32" t="n">
        <x:v>2494.874696388392</x:v>
      </x:c>
      <x:c r="T599" s="32" t="n">
        <x:v>1254.9296090248706</x:v>
      </x:c>
      <x:c r="U599" s="31" t="n">
        <x:f>MAX(S599/T599,T599/S599)</x:f>
        <x:v>1.9880594723771057</x:v>
      </x:c>
      <x:c r="V599" s="31" t="n">
        <x:f>L599*'Controls &amp; Summary'!$B$9+O599*'Controls &amp; Summary'!$B$10+R599*'Controls &amp; Summary'!$B$11+U599*'Controls &amp; Summary'!$B$12</x:f>
        <x:v>4.6380594723771065</x:v>
      </x:c>
      <x:c r="W599" s="31" t="n">
        <x:v>2</x:v>
      </x:c>
      <x:c r="X599" s="31" t="n">
        <x:v>4</x:v>
      </x:c>
      <x:c r="Y599" s="31" t="n">
        <x:f>((10-MIN(10,MAX(0,X599)))/10)*'Controls &amp; Summary'!$B$15+((10-MIN(10,MAX(0,W599)))/10)*'Controls &amp; Summary'!$B$16</x:f>
        <x:v>1.4</x:v>
      </x:c>
      <x:c r="Z599" s="31" t="n">
        <x:f>V599*Y599</x:f>
        <x:v>6.4932832613279485</x:v>
      </x:c>
      <x:c r="AA599" s="30" t="str">
        <x:f>IF(Z599&lt;=I599,"Peaceful","Hostile")</x:f>
        <x:v>Hostile</x:v>
      </x:c>
      <x:c r="AB599" s="30" t="str">
        <x:f>IF(Z599&lt;='Controls &amp; Summary'!$B$6,"Eligible","Blocked")</x:f>
        <x:v>Eligible</x:v>
      </x:c>
      <x:c r="AC599" s="30" t="str">
        <x:v>ETH</x:v>
      </x:c>
      <x:c r="AD599" s="30" t="str">
        <x:v>MOZ</x:v>
      </x:c>
      <x:c r="AE599" s="30" t="str">
        <x:v>Mozambique</x:v>
      </x:c>
      <x:c r="AF599" s="30" t="str">
        <x:v>Explicit capitalClaim</x:v>
      </x:c>
      <x:c r="AG599" s="30" t="str">
        <x:v>ClaimETHMozambique</x:v>
      </x:c>
      <x:c r="AH599" s="30" t="str">
        <x:v>Project_AfricanUnion</x:v>
      </x:c>
    </x:row>
    <x:row r="600">
      <x:c r="A600" s="30" t="str">
        <x:v>2022</x:v>
      </x:c>
      <x:c r="B600" s="30" t="str">
        <x:v>Base game</x:v>
      </x:c>
      <x:c r="C600" s="30" t="str">
        <x:v>Ethiopia</x:v>
      </x:c>
      <x:c r="D600" s="30" t="str">
        <x:v>Namibia</x:v>
      </x:c>
      <x:c r="E600" s="30" t="str">
        <x:v>Project unlock</x:v>
      </x:c>
      <x:c r="F600" s="30" t="str">
        <x:v>African Union</x:v>
      </x:c>
      <x:c r="G600" s="30" t="str">
        <x:v>No</x:v>
      </x:c>
      <x:c r="H600" s="30" t="str">
        <x:v>Ordinary claim</x:v>
      </x:c>
      <x:c r="I600" s="31" t="n">
        <x:f>IF(G600="Yes",'Controls &amp; Summary'!$B$5,'Controls &amp; Summary'!$B$4)</x:f>
        <x:v>6</x:v>
      </x:c>
      <x:c r="J600" s="31" t="n">
        <x:v>3.3</x:v>
      </x:c>
      <x:c r="K600" s="31" t="n">
        <x:v>6.52</x:v>
      </x:c>
      <x:c r="L600" s="31" t="n">
        <x:f>ABS(J600-K600)</x:f>
        <x:v>3.2199999999999998</x:v>
      </x:c>
      <x:c r="M600" s="31" t="n">
        <x:v>3.5</x:v>
      </x:c>
      <x:c r="N600" s="31" t="n">
        <x:v>5.91</x:v>
      </x:c>
      <x:c r="O600" s="31" t="n">
        <x:f>ABS(M600-N600)</x:f>
        <x:v>2.41</x:v>
      </x:c>
      <x:c r="P600" s="31" t="n">
        <x:v>3.41</x:v>
      </x:c>
      <x:c r="Q600" s="31" t="n">
        <x:v>5.84</x:v>
      </x:c>
      <x:c r="R600" s="31" t="n">
        <x:f>ABS(P600-Q600)</x:f>
        <x:v>2.4299999999999997</x:v>
      </x:c>
      <x:c r="S600" s="32" t="n">
        <x:v>2494.874696388392</x:v>
      </x:c>
      <x:c r="T600" s="32" t="n">
        <x:v>9010.482723238913</x:v>
      </x:c>
      <x:c r="U600" s="31" t="n">
        <x:f>MAX(S600/T600,T600/S600)</x:f>
        <x:v>3.611597302374579</x:v>
      </x:c>
      <x:c r="V600" s="31" t="n">
        <x:f>L600*'Controls &amp; Summary'!$B$9+O600*'Controls &amp; Summary'!$B$10+R600*'Controls &amp; Summary'!$B$11+U600*'Controls &amp; Summary'!$B$12</x:f>
        <x:v>11.671597302374577</x:v>
      </x:c>
      <x:c r="W600" s="31" t="n">
        <x:v>2</x:v>
      </x:c>
      <x:c r="X600" s="31" t="n">
        <x:v>1</x:v>
      </x:c>
      <x:c r="Y600" s="31" t="n">
        <x:f>((10-MIN(10,MAX(0,X600)))/10)*'Controls &amp; Summary'!$B$15+((10-MIN(10,MAX(0,W600)))/10)*'Controls &amp; Summary'!$B$16</x:f>
        <x:v>1.7000000000000002</x:v>
      </x:c>
      <x:c r="Z600" s="31" t="n">
        <x:f>V600*Y600</x:f>
        <x:v>19.841715414036784</x:v>
      </x:c>
      <x:c r="AA600" s="30" t="str">
        <x:f>IF(Z600&lt;=I600,"Peaceful","Hostile")</x:f>
        <x:v>Hostile</x:v>
      </x:c>
      <x:c r="AB600" s="30" t="str">
        <x:f>IF(Z600&lt;='Controls &amp; Summary'!$B$6,"Eligible","Blocked")</x:f>
        <x:v>Blocked</x:v>
      </x:c>
      <x:c r="AC600" s="30" t="str">
        <x:v>ETH</x:v>
      </x:c>
      <x:c r="AD600" s="30" t="str">
        <x:v>SWA</x:v>
      </x:c>
      <x:c r="AE600" s="30" t="str">
        <x:v>Namibia</x:v>
      </x:c>
      <x:c r="AF600" s="30" t="str">
        <x:v>Explicit capitalClaim</x:v>
      </x:c>
      <x:c r="AG600" s="30" t="str">
        <x:v>ClaimETHNamibia</x:v>
      </x:c>
      <x:c r="AH600" s="30" t="str">
        <x:v>Project_AfricanUnion</x:v>
      </x:c>
    </x:row>
    <x:row r="601">
      <x:c r="A601" s="30" t="str">
        <x:v>2022</x:v>
      </x:c>
      <x:c r="B601" s="30" t="str">
        <x:v>Base game</x:v>
      </x:c>
      <x:c r="C601" s="30" t="str">
        <x:v>Ethiopia</x:v>
      </x:c>
      <x:c r="D601" s="30" t="str">
        <x:v>Niger</x:v>
      </x:c>
      <x:c r="E601" s="30" t="str">
        <x:v>Project unlock</x:v>
      </x:c>
      <x:c r="F601" s="30" t="str">
        <x:v>African Union</x:v>
      </x:c>
      <x:c r="G601" s="30" t="str">
        <x:v>No</x:v>
      </x:c>
      <x:c r="H601" s="30" t="str">
        <x:v>Ordinary claim</x:v>
      </x:c>
      <x:c r="I601" s="31" t="n">
        <x:f>IF(G601="Yes",'Controls &amp; Summary'!$B$5,'Controls &amp; Summary'!$B$4)</x:f>
        <x:v>6</x:v>
      </x:c>
      <x:c r="J601" s="31" t="n">
        <x:v>3.3</x:v>
      </x:c>
      <x:c r="K601" s="31" t="n">
        <x:v>3.22</x:v>
      </x:c>
      <x:c r="L601" s="31" t="n">
        <x:f>ABS(J601-K601)</x:f>
        <x:v>0.07999999999999963</x:v>
      </x:c>
      <x:c r="M601" s="31" t="n">
        <x:v>3.5</x:v>
      </x:c>
      <x:c r="N601" s="31" t="n">
        <x:v>3.73</x:v>
      </x:c>
      <x:c r="O601" s="31" t="n">
        <x:f>ABS(M601-N601)</x:f>
        <x:v>0.22999999999999998</x:v>
      </x:c>
      <x:c r="P601" s="31" t="n">
        <x:v>3.41</x:v>
      </x:c>
      <x:c r="Q601" s="31" t="n">
        <x:v>2.49</x:v>
      </x:c>
      <x:c r="R601" s="31" t="n">
        <x:f>ABS(P601-Q601)</x:f>
        <x:v>0.9199999999999999</x:v>
      </x:c>
      <x:c r="S601" s="32" t="n">
        <x:v>2494.874696388392</x:v>
      </x:c>
      <x:c r="T601" s="32" t="n">
        <x:v>1247.9912421287745</x:v>
      </x:c>
      <x:c r="U601" s="31" t="n">
        <x:f>MAX(S601/T601,T601/S601)</x:f>
        <x:v>1.999112343234663</x:v>
      </x:c>
      <x:c r="V601" s="31" t="n">
        <x:f>L601*'Controls &amp; Summary'!$B$9+O601*'Controls &amp; Summary'!$B$10+R601*'Controls &amp; Summary'!$B$11+U601*'Controls &amp; Summary'!$B$12</x:f>
        <x:v>3.2291123432346627</x:v>
      </x:c>
      <x:c r="W601" s="31" t="n">
        <x:v>2</x:v>
      </x:c>
      <x:c r="X601" s="31" t="n">
        <x:v>6</x:v>
      </x:c>
      <x:c r="Y601" s="31" t="n">
        <x:f>((10-MIN(10,MAX(0,X601)))/10)*'Controls &amp; Summary'!$B$15+((10-MIN(10,MAX(0,W601)))/10)*'Controls &amp; Summary'!$B$16</x:f>
        <x:v>1.2000000000000002</x:v>
      </x:c>
      <x:c r="Z601" s="31" t="n">
        <x:f>V601*Y601</x:f>
        <x:v>3.874934811881596</x:v>
      </x:c>
      <x:c r="AA601" s="30" t="str">
        <x:f>IF(Z601&lt;=I601,"Peaceful","Hostile")</x:f>
        <x:v>Peaceful</x:v>
      </x:c>
      <x:c r="AB601" s="30" t="str">
        <x:f>IF(Z601&lt;='Controls &amp; Summary'!$B$6,"Eligible","Blocked")</x:f>
        <x:v>Eligible</x:v>
      </x:c>
      <x:c r="AC601" s="30" t="str">
        <x:v>ETH</x:v>
      </x:c>
      <x:c r="AD601" s="30" t="str">
        <x:v>NER</x:v>
      </x:c>
      <x:c r="AE601" s="30" t="str">
        <x:v>Niger</x:v>
      </x:c>
      <x:c r="AF601" s="30" t="str">
        <x:v>Explicit capitalClaim</x:v>
      </x:c>
      <x:c r="AG601" s="30" t="str">
        <x:v>ClaimETHNiger</x:v>
      </x:c>
      <x:c r="AH601" s="30" t="str">
        <x:v>Project_AfricanUnion</x:v>
      </x:c>
    </x:row>
    <x:row r="602">
      <x:c r="A602" s="30" t="str">
        <x:v>2022</x:v>
      </x:c>
      <x:c r="B602" s="30" t="str">
        <x:v>Base game</x:v>
      </x:c>
      <x:c r="C602" s="30" t="str">
        <x:v>Ethiopia</x:v>
      </x:c>
      <x:c r="D602" s="30" t="str">
        <x:v>Nigeria</x:v>
      </x:c>
      <x:c r="E602" s="30" t="str">
        <x:v>Project unlock</x:v>
      </x:c>
      <x:c r="F602" s="30" t="str">
        <x:v>African Union</x:v>
      </x:c>
      <x:c r="G602" s="30" t="str">
        <x:v>No</x:v>
      </x:c>
      <x:c r="H602" s="30" t="str">
        <x:v>Ordinary claim</x:v>
      </x:c>
      <x:c r="I602" s="31" t="n">
        <x:f>IF(G602="Yes",'Controls &amp; Summary'!$B$5,'Controls &amp; Summary'!$B$4)</x:f>
        <x:v>6</x:v>
      </x:c>
      <x:c r="J602" s="31" t="n">
        <x:v>3.3</x:v>
      </x:c>
      <x:c r="K602" s="31" t="n">
        <x:v>4.11</x:v>
      </x:c>
      <x:c r="L602" s="31" t="n">
        <x:f>ABS(J602-K602)</x:f>
        <x:v>0.8100000000000005</x:v>
      </x:c>
      <x:c r="M602" s="31" t="n">
        <x:v>3.5</x:v>
      </x:c>
      <x:c r="N602" s="31" t="n">
        <x:v>3.51</x:v>
      </x:c>
      <x:c r="O602" s="31" t="n">
        <x:f>ABS(M602-N602)</x:f>
        <x:v>0.009999999999999787</x:v>
      </x:c>
      <x:c r="P602" s="31" t="n">
        <x:v>3.41</x:v>
      </x:c>
      <x:c r="Q602" s="31" t="n">
        <x:v>4.99</x:v>
      </x:c>
      <x:c r="R602" s="31" t="n">
        <x:f>ABS(P602-Q602)</x:f>
        <x:v>1.58</x:v>
      </x:c>
      <x:c r="S602" s="32" t="n">
        <x:v>2494.874696388392</x:v>
      </x:c>
      <x:c r="T602" s="32" t="n">
        <x:v>5110.572485897615</x:v>
      </x:c>
      <x:c r="U602" s="31" t="n">
        <x:f>MAX(S602/T602,T602/S602)</x:f>
        <x:v>2.048428521598995</x:v>
      </x:c>
      <x:c r="V602" s="31" t="n">
        <x:f>L602*'Controls &amp; Summary'!$B$9+O602*'Controls &amp; Summary'!$B$10+R602*'Controls &amp; Summary'!$B$11+U602*'Controls &amp; Summary'!$B$12</x:f>
        <x:v>4.448428521598995</x:v>
      </x:c>
      <x:c r="W602" s="31" t="n">
        <x:v>2</x:v>
      </x:c>
      <x:c r="X602" s="31" t="n">
        <x:v>6</x:v>
      </x:c>
      <x:c r="Y602" s="31" t="n">
        <x:f>((10-MIN(10,MAX(0,X602)))/10)*'Controls &amp; Summary'!$B$15+((10-MIN(10,MAX(0,W602)))/10)*'Controls &amp; Summary'!$B$16</x:f>
        <x:v>1.2000000000000002</x:v>
      </x:c>
      <x:c r="Z602" s="31" t="n">
        <x:f>V602*Y602</x:f>
        <x:v>5.338114225918795</x:v>
      </x:c>
      <x:c r="AA602" s="30" t="str">
        <x:f>IF(Z602&lt;=I602,"Peaceful","Hostile")</x:f>
        <x:v>Peaceful</x:v>
      </x:c>
      <x:c r="AB602" s="30" t="str">
        <x:f>IF(Z602&lt;='Controls &amp; Summary'!$B$6,"Eligible","Blocked")</x:f>
        <x:v>Eligible</x:v>
      </x:c>
      <x:c r="AC602" s="30" t="str">
        <x:v>ETH</x:v>
      </x:c>
      <x:c r="AD602" s="30" t="str">
        <x:v>NGA</x:v>
      </x:c>
      <x:c r="AE602" s="30" t="str">
        <x:v>Lagos</x:v>
      </x:c>
      <x:c r="AF602" s="30" t="str">
        <x:v>Explicit capitalClaim</x:v>
      </x:c>
      <x:c r="AG602" s="30" t="str">
        <x:v>ClaimETHLagos</x:v>
      </x:c>
      <x:c r="AH602" s="30" t="str">
        <x:v>Project_AfricanUnion</x:v>
      </x:c>
    </x:row>
    <x:row r="603">
      <x:c r="A603" s="30" t="str">
        <x:v>2022</x:v>
      </x:c>
      <x:c r="B603" s="30" t="str">
        <x:v>Base game</x:v>
      </x:c>
      <x:c r="C603" s="30" t="str">
        <x:v>Ethiopia</x:v>
      </x:c>
      <x:c r="D603" s="30" t="str">
        <x:v>Republic of the Congo</x:v>
      </x:c>
      <x:c r="E603" s="30" t="str">
        <x:v>Project unlock</x:v>
      </x:c>
      <x:c r="F603" s="30" t="str">
        <x:v>African Union</x:v>
      </x:c>
      <x:c r="G603" s="30" t="str">
        <x:v>No</x:v>
      </x:c>
      <x:c r="H603" s="30" t="str">
        <x:v>Ordinary claim</x:v>
      </x:c>
      <x:c r="I603" s="31" t="n">
        <x:f>IF(G603="Yes",'Controls &amp; Summary'!$B$5,'Controls &amp; Summary'!$B$4)</x:f>
        <x:v>6</x:v>
      </x:c>
      <x:c r="J603" s="31" t="n">
        <x:v>3.3</x:v>
      </x:c>
      <x:c r="K603" s="31" t="n">
        <x:v>2.79</x:v>
      </x:c>
      <x:c r="L603" s="31" t="n">
        <x:f>ABS(J603-K603)</x:f>
        <x:v>0.5099999999999998</x:v>
      </x:c>
      <x:c r="M603" s="31" t="n">
        <x:v>3.5</x:v>
      </x:c>
      <x:c r="N603" s="31" t="n">
        <x:v>4.21</x:v>
      </x:c>
      <x:c r="O603" s="31" t="n">
        <x:f>ABS(M603-N603)</x:f>
        <x:v>0.71</x:v>
      </x:c>
      <x:c r="P603" s="31" t="n">
        <x:v>3.41</x:v>
      </x:c>
      <x:c r="Q603" s="31" t="n">
        <x:v>5.43</x:v>
      </x:c>
      <x:c r="R603" s="31" t="n">
        <x:f>ABS(P603-Q603)</x:f>
        <x:v>2.0199999999999996</x:v>
      </x:c>
      <x:c r="S603" s="32" t="n">
        <x:v>2494.874696388392</x:v>
      </x:c>
      <x:c r="T603" s="32" t="n">
        <x:v>3392.0211318645047</x:v>
      </x:c>
      <x:c r="U603" s="31" t="n">
        <x:f>MAX(S603/T603,T603/S603)</x:f>
        <x:v>1.3595957892293475</x:v>
      </x:c>
      <x:c r="V603" s="31" t="n">
        <x:f>L603*'Controls &amp; Summary'!$B$9+O603*'Controls &amp; Summary'!$B$10+R603*'Controls &amp; Summary'!$B$11+U603*'Controls &amp; Summary'!$B$12</x:f>
        <x:v>4.599595789229347</x:v>
      </x:c>
      <x:c r="W603" s="31" t="n">
        <x:v>2</x:v>
      </x:c>
      <x:c r="X603" s="31" t="n">
        <x:v>3</x:v>
      </x:c>
      <x:c r="Y603" s="31" t="n">
        <x:f>((10-MIN(10,MAX(0,X603)))/10)*'Controls &amp; Summary'!$B$15+((10-MIN(10,MAX(0,W603)))/10)*'Controls &amp; Summary'!$B$16</x:f>
        <x:v>1.5</x:v>
      </x:c>
      <x:c r="Z603" s="31" t="n">
        <x:f>V603*Y603</x:f>
        <x:v>6.8993936838440195</x:v>
      </x:c>
      <x:c r="AA603" s="30" t="str">
        <x:f>IF(Z603&lt;=I603,"Peaceful","Hostile")</x:f>
        <x:v>Hostile</x:v>
      </x:c>
      <x:c r="AB603" s="30" t="str">
        <x:f>IF(Z603&lt;='Controls &amp; Summary'!$B$6,"Eligible","Blocked")</x:f>
        <x:v>Eligible</x:v>
      </x:c>
      <x:c r="AC603" s="30" t="str">
        <x:v>ETH</x:v>
      </x:c>
      <x:c r="AD603" s="30" t="str">
        <x:v>COR</x:v>
      </x:c>
      <x:c r="AE603" s="30" t="str">
        <x:v>Brazzaville</x:v>
      </x:c>
      <x:c r="AF603" s="30" t="str">
        <x:v>Explicit capitalClaim</x:v>
      </x:c>
      <x:c r="AG603" s="30" t="str">
        <x:v>ClaimETHBrazzaville</x:v>
      </x:c>
      <x:c r="AH603" s="30" t="str">
        <x:v>Project_AfricanUnion</x:v>
      </x:c>
    </x:row>
    <x:row r="604">
      <x:c r="A604" s="30" t="str">
        <x:v>2022</x:v>
      </x:c>
      <x:c r="B604" s="30" t="str">
        <x:v>Base game</x:v>
      </x:c>
      <x:c r="C604" s="30" t="str">
        <x:v>Ethiopia</x:v>
      </x:c>
      <x:c r="D604" s="30" t="str">
        <x:v>Rwanda-Burundi</x:v>
      </x:c>
      <x:c r="E604" s="30" t="str">
        <x:v>Project unlock</x:v>
      </x:c>
      <x:c r="F604" s="30" t="str">
        <x:v>African Union</x:v>
      </x:c>
      <x:c r="G604" s="30" t="str">
        <x:v>No</x:v>
      </x:c>
      <x:c r="H604" s="30" t="str">
        <x:v>Ordinary claim</x:v>
      </x:c>
      <x:c r="I604" s="31" t="n">
        <x:f>IF(G604="Yes",'Controls &amp; Summary'!$B$5,'Controls &amp; Summary'!$B$4)</x:f>
        <x:v>6</x:v>
      </x:c>
      <x:c r="J604" s="31" t="n">
        <x:v>3.3</x:v>
      </x:c>
      <x:c r="K604" s="31" t="n">
        <x:v>2.63</x:v>
      </x:c>
      <x:c r="L604" s="31" t="n">
        <x:f>ABS(J604-K604)</x:f>
        <x:v>0.6699999999999999</x:v>
      </x:c>
      <x:c r="M604" s="31" t="n">
        <x:v>3.5</x:v>
      </x:c>
      <x:c r="N604" s="31" t="n">
        <x:v>4.12</x:v>
      </x:c>
      <x:c r="O604" s="31" t="n">
        <x:f>ABS(M604-N604)</x:f>
        <x:v>0.6200000000000001</x:v>
      </x:c>
      <x:c r="P604" s="31" t="n">
        <x:v>3.41</x:v>
      </x:c>
      <x:c r="Q604" s="31" t="n">
        <x:v>4.38</x:v>
      </x:c>
      <x:c r="R604" s="31" t="n">
        <x:f>ABS(P604-Q604)</x:f>
        <x:v>0.9699999999999998</x:v>
      </x:c>
      <x:c r="S604" s="32" t="n">
        <x:v>2494.874696388392</x:v>
      </x:c>
      <x:c r="T604" s="32" t="n">
        <x:v>1596.978721626218</x:v>
      </x:c>
      <x:c r="U604" s="31" t="n">
        <x:f>MAX(S604/T604,T604/S604)</x:f>
        <x:v>1.5622466740495067</x:v>
      </x:c>
      <x:c r="V604" s="31" t="n">
        <x:f>L604*'Controls &amp; Summary'!$B$9+O604*'Controls &amp; Summary'!$B$10+R604*'Controls &amp; Summary'!$B$11+U604*'Controls &amp; Summary'!$B$12</x:f>
        <x:v>3.8222466740495067</x:v>
      </x:c>
      <x:c r="W604" s="31" t="n">
        <x:v>2</x:v>
      </x:c>
      <x:c r="X604" s="31" t="n">
        <x:v>3</x:v>
      </x:c>
      <x:c r="Y604" s="31" t="n">
        <x:f>((10-MIN(10,MAX(0,X604)))/10)*'Controls &amp; Summary'!$B$15+((10-MIN(10,MAX(0,W604)))/10)*'Controls &amp; Summary'!$B$16</x:f>
        <x:v>1.5</x:v>
      </x:c>
      <x:c r="Z604" s="31" t="n">
        <x:f>V604*Y604</x:f>
        <x:v>5.7333700110742605</x:v>
      </x:c>
      <x:c r="AA604" s="30" t="str">
        <x:f>IF(Z604&lt;=I604,"Peaceful","Hostile")</x:f>
        <x:v>Peaceful</x:v>
      </x:c>
      <x:c r="AB604" s="30" t="str">
        <x:f>IF(Z604&lt;='Controls &amp; Summary'!$B$6,"Eligible","Blocked")</x:f>
        <x:v>Eligible</x:v>
      </x:c>
      <x:c r="AC604" s="30" t="str">
        <x:v>ETH</x:v>
      </x:c>
      <x:c r="AD604" s="30" t="str">
        <x:v>RWB</x:v>
      </x:c>
      <x:c r="AE604" s="30" t="str">
        <x:v>Kigali</x:v>
      </x:c>
      <x:c r="AF604" s="30" t="str">
        <x:v>Explicit capitalClaim</x:v>
      </x:c>
      <x:c r="AG604" s="30" t="str">
        <x:v>ClaimETHKigali</x:v>
      </x:c>
      <x:c r="AH604" s="30" t="str">
        <x:v>Project_AfricanUnion</x:v>
      </x:c>
    </x:row>
    <x:row r="605">
      <x:c r="A605" s="30" t="str">
        <x:v>2022</x:v>
      </x:c>
      <x:c r="B605" s="30" t="str">
        <x:v>Base game</x:v>
      </x:c>
      <x:c r="C605" s="30" t="str">
        <x:v>Ethiopia</x:v>
      </x:c>
      <x:c r="D605" s="30" t="str">
        <x:v>Sao Tome and Principe</x:v>
      </x:c>
      <x:c r="E605" s="30" t="str">
        <x:v>Project unlock</x:v>
      </x:c>
      <x:c r="F605" s="30" t="str">
        <x:v>African Union</x:v>
      </x:c>
      <x:c r="G605" s="30" t="str">
        <x:v>No</x:v>
      </x:c>
      <x:c r="H605" s="30" t="str">
        <x:v>Ordinary claim</x:v>
      </x:c>
      <x:c r="I605" s="31" t="n">
        <x:f>IF(G605="Yes",'Controls &amp; Summary'!$B$5,'Controls &amp; Summary'!$B$4)</x:f>
        <x:v>6</x:v>
      </x:c>
      <x:c r="J605" s="31" t="n">
        <x:v>3.3</x:v>
      </x:c>
      <x:c r="K605" s="31" t="n">
        <x:v>8.4</x:v>
      </x:c>
      <x:c r="L605" s="31" t="n">
        <x:f>ABS(J605-K605)</x:f>
        <x:v>5.1000000000000005</x:v>
      </x:c>
      <x:c r="M605" s="31" t="n">
        <x:v>3.5</x:v>
      </x:c>
      <x:c r="N605" s="31" t="n">
        <x:v>5.63</x:v>
      </x:c>
      <x:c r="O605" s="31" t="n">
        <x:f>ABS(M605-N605)</x:f>
        <x:v>2.13</x:v>
      </x:c>
      <x:c r="P605" s="31" t="n">
        <x:v>3.41</x:v>
      </x:c>
      <x:c r="Q605" s="31" t="n">
        <x:v>6.25</x:v>
      </x:c>
      <x:c r="R605" s="31" t="n">
        <x:f>ABS(P605-Q605)</x:f>
        <x:v>2.84</x:v>
      </x:c>
      <x:c r="S605" s="32" t="n">
        <x:v>2494.874696388392</x:v>
      </x:c>
      <x:c r="T605" s="32" t="n">
        <x:v>4084.6589514151256</x:v>
      </x:c>
      <x:c r="U605" s="31" t="n">
        <x:f>MAX(S605/T605,T605/S605)</x:f>
        <x:v>1.6372200805628125</x:v>
      </x:c>
      <x:c r="V605" s="31" t="n">
        <x:f>L605*'Controls &amp; Summary'!$B$9+O605*'Controls &amp; Summary'!$B$10+R605*'Controls &amp; Summary'!$B$11+U605*'Controls &amp; Summary'!$B$12</x:f>
        <x:v>11.707220080562813</x:v>
      </x:c>
      <x:c r="W605" s="31" t="n">
        <x:v>2</x:v>
      </x:c>
      <x:c r="X605" s="31" t="n">
        <x:v>0</x:v>
      </x:c>
      <x:c r="Y605" s="31" t="n">
        <x:f>((10-MIN(10,MAX(0,X605)))/10)*'Controls &amp; Summary'!$B$15+((10-MIN(10,MAX(0,W605)))/10)*'Controls &amp; Summary'!$B$16</x:f>
        <x:v>1.8</x:v>
      </x:c>
      <x:c r="Z605" s="31" t="n">
        <x:f>V605*Y605</x:f>
        <x:v>21.072996145013065</x:v>
      </x:c>
      <x:c r="AA605" s="30" t="str">
        <x:f>IF(Z605&lt;=I605,"Peaceful","Hostile")</x:f>
        <x:v>Hostile</x:v>
      </x:c>
      <x:c r="AB605" s="30" t="str">
        <x:f>IF(Z605&lt;='Controls &amp; Summary'!$B$6,"Eligible","Blocked")</x:f>
        <x:v>Blocked</x:v>
      </x:c>
      <x:c r="AC605" s="30" t="str">
        <x:v>ETH</x:v>
      </x:c>
      <x:c r="AD605" s="30" t="str">
        <x:v>STP</x:v>
      </x:c>
      <x:c r="AE605" s="30" t="str">
        <x:v>SaoTomePrincipe</x:v>
      </x:c>
      <x:c r="AF605" s="30" t="str">
        <x:v>Explicit capitalClaim</x:v>
      </x:c>
      <x:c r="AG605" s="30" t="str">
        <x:v>ClaimETHSaoTomePrincipe</x:v>
      </x:c>
      <x:c r="AH605" s="30" t="str">
        <x:v>Project_AfricanUnion</x:v>
      </x:c>
    </x:row>
    <x:row r="606">
      <x:c r="A606" s="30" t="str">
        <x:v>2022</x:v>
      </x:c>
      <x:c r="B606" s="30" t="str">
        <x:v>Base game</x:v>
      </x:c>
      <x:c r="C606" s="30" t="str">
        <x:v>Ethiopia</x:v>
      </x:c>
      <x:c r="D606" s="30" t="str">
        <x:v>Senegal</x:v>
      </x:c>
      <x:c r="E606" s="30" t="str">
        <x:v>Project unlock</x:v>
      </x:c>
      <x:c r="F606" s="30" t="str">
        <x:v>African Union</x:v>
      </x:c>
      <x:c r="G606" s="30" t="str">
        <x:v>No</x:v>
      </x:c>
      <x:c r="H606" s="30" t="str">
        <x:v>Ordinary claim</x:v>
      </x:c>
      <x:c r="I606" s="31" t="n">
        <x:f>IF(G606="Yes",'Controls &amp; Summary'!$B$5,'Controls &amp; Summary'!$B$4)</x:f>
        <x:v>6</x:v>
      </x:c>
      <x:c r="J606" s="31" t="n">
        <x:v>3.3</x:v>
      </x:c>
      <x:c r="K606" s="31" t="n">
        <x:v>5.53</x:v>
      </x:c>
      <x:c r="L606" s="31" t="n">
        <x:f>ABS(J606-K606)</x:f>
        <x:v>2.2300000000000004</x:v>
      </x:c>
      <x:c r="M606" s="31" t="n">
        <x:v>3.5</x:v>
      </x:c>
      <x:c r="N606" s="31" t="n">
        <x:v>3.81</x:v>
      </x:c>
      <x:c r="O606" s="31" t="n">
        <x:f>ABS(M606-N606)</x:f>
        <x:v>0.31000000000000005</x:v>
      </x:c>
      <x:c r="P606" s="31" t="n">
        <x:v>3.41</x:v>
      </x:c>
      <x:c r="Q606" s="31" t="n">
        <x:v>3.45</x:v>
      </x:c>
      <x:c r="R606" s="31" t="n">
        <x:f>ABS(P606-Q606)</x:f>
        <x:v>0.040000000000000036</x:v>
      </x:c>
      <x:c r="S606" s="32" t="n">
        <x:v>2494.874696388392</x:v>
      </x:c>
      <x:c r="T606" s="32" t="n">
        <x:v>3576.8010302812236</x:v>
      </x:c>
      <x:c r="U606" s="31" t="n">
        <x:f>MAX(S606/T606,T606/S606)</x:f>
        <x:v>1.4336595883789436</x:v>
      </x:c>
      <x:c r="V606" s="31" t="n">
        <x:f>L606*'Controls &amp; Summary'!$B$9+O606*'Controls &amp; Summary'!$B$10+R606*'Controls &amp; Summary'!$B$11+U606*'Controls &amp; Summary'!$B$12</x:f>
        <x:v>4.013659588378944</x:v>
      </x:c>
      <x:c r="W606" s="31" t="n">
        <x:v>2</x:v>
      </x:c>
      <x:c r="X606" s="31" t="n">
        <x:v>2</x:v>
      </x:c>
      <x:c r="Y606" s="31" t="n">
        <x:f>((10-MIN(10,MAX(0,X606)))/10)*'Controls &amp; Summary'!$B$15+((10-MIN(10,MAX(0,W606)))/10)*'Controls &amp; Summary'!$B$16</x:f>
        <x:v>1.6</x:v>
      </x:c>
      <x:c r="Z606" s="31" t="n">
        <x:f>V606*Y606</x:f>
        <x:v>6.421855341406311</x:v>
      </x:c>
      <x:c r="AA606" s="30" t="str">
        <x:f>IF(Z606&lt;=I606,"Peaceful","Hostile")</x:f>
        <x:v>Hostile</x:v>
      </x:c>
      <x:c r="AB606" s="30" t="str">
        <x:f>IF(Z606&lt;='Controls &amp; Summary'!$B$6,"Eligible","Blocked")</x:f>
        <x:v>Eligible</x:v>
      </x:c>
      <x:c r="AC606" s="30" t="str">
        <x:v>ETH</x:v>
      </x:c>
      <x:c r="AD606" s="30" t="str">
        <x:v>SEG</x:v>
      </x:c>
      <x:c r="AE606" s="30" t="str">
        <x:v>Senegambia</x:v>
      </x:c>
      <x:c r="AF606" s="30" t="str">
        <x:v>Explicit capitalClaim</x:v>
      </x:c>
      <x:c r="AG606" s="30" t="str">
        <x:v>ClaimETHSenegambia</x:v>
      </x:c>
      <x:c r="AH606" s="30" t="str">
        <x:v>Project_AfricanUnion</x:v>
      </x:c>
    </x:row>
    <x:row r="607">
      <x:c r="A607" s="30" t="str">
        <x:v>2022</x:v>
      </x:c>
      <x:c r="B607" s="30" t="str">
        <x:v>Base game</x:v>
      </x:c>
      <x:c r="C607" s="30" t="str">
        <x:v>Ethiopia</x:v>
      </x:c>
      <x:c r="D607" s="30" t="str">
        <x:v>Seychelles</x:v>
      </x:c>
      <x:c r="E607" s="30" t="str">
        <x:v>Project unlock</x:v>
      </x:c>
      <x:c r="F607" s="30" t="str">
        <x:v>African Union</x:v>
      </x:c>
      <x:c r="G607" s="30" t="str">
        <x:v>No</x:v>
      </x:c>
      <x:c r="H607" s="30" t="str">
        <x:v>Ordinary claim</x:v>
      </x:c>
      <x:c r="I607" s="31" t="n">
        <x:f>IF(G607="Yes",'Controls &amp; Summary'!$B$5,'Controls &amp; Summary'!$B$4)</x:f>
        <x:v>6</x:v>
      </x:c>
      <x:c r="J607" s="31" t="n">
        <x:v>3.3</x:v>
      </x:c>
      <x:c r="K607" s="31" t="n">
        <x:v>7.9</x:v>
      </x:c>
      <x:c r="L607" s="31" t="n">
        <x:f>ABS(J607-K607)</x:f>
        <x:v>4.6000000000000005</x:v>
      </x:c>
      <x:c r="M607" s="31" t="n">
        <x:v>3.5</x:v>
      </x:c>
      <x:c r="N607" s="31" t="n">
        <x:v>3.21</x:v>
      </x:c>
      <x:c r="O607" s="31" t="n">
        <x:f>ABS(M607-N607)</x:f>
        <x:v>0.29000000000000004</x:v>
      </x:c>
      <x:c r="P607" s="31" t="n">
        <x:v>3.41</x:v>
      </x:c>
      <x:c r="Q607" s="31" t="n">
        <x:v>7.26</x:v>
      </x:c>
      <x:c r="R607" s="31" t="n">
        <x:f>ABS(P607-Q607)</x:f>
        <x:v>3.8499999999999996</x:v>
      </x:c>
      <x:c r="S607" s="32" t="n">
        <x:v>2494.874696388392</x:v>
      </x:c>
      <x:c r="T607" s="32" t="n">
        <x:v>27900.965567788913</x:v>
      </x:c>
      <x:c r="U607" s="31" t="n">
        <x:f>MAX(S607/T607,T607/S607)</x:f>
        <x:v>11.18331337769334</x:v>
      </x:c>
      <x:c r="V607" s="31" t="n">
        <x:f>L607*'Controls &amp; Summary'!$B$9+O607*'Controls &amp; Summary'!$B$10+R607*'Controls &amp; Summary'!$B$11+U607*'Controls &amp; Summary'!$B$12</x:f>
        <x:v>19.92331337769334</x:v>
      </x:c>
      <x:c r="W607" s="31" t="n">
        <x:v>2</x:v>
      </x:c>
      <x:c r="X607" s="31" t="n">
        <x:v>0</x:v>
      </x:c>
      <x:c r="Y607" s="31" t="n">
        <x:f>((10-MIN(10,MAX(0,X607)))/10)*'Controls &amp; Summary'!$B$15+((10-MIN(10,MAX(0,W607)))/10)*'Controls &amp; Summary'!$B$16</x:f>
        <x:v>1.8</x:v>
      </x:c>
      <x:c r="Z607" s="31" t="n">
        <x:f>V607*Y607</x:f>
        <x:v>35.861964079848015</x:v>
      </x:c>
      <x:c r="AA607" s="30" t="str">
        <x:f>IF(Z607&lt;=I607,"Peaceful","Hostile")</x:f>
        <x:v>Hostile</x:v>
      </x:c>
      <x:c r="AB607" s="30" t="str">
        <x:f>IF(Z607&lt;='Controls &amp; Summary'!$B$6,"Eligible","Blocked")</x:f>
        <x:v>Blocked</x:v>
      </x:c>
      <x:c r="AC607" s="30" t="str">
        <x:v>ETH</x:v>
      </x:c>
      <x:c r="AD607" s="30" t="str">
        <x:v>SYC</x:v>
      </x:c>
      <x:c r="AE607" s="30" t="str">
        <x:v>Seychelles</x:v>
      </x:c>
      <x:c r="AF607" s="30" t="str">
        <x:v>Explicit capitalClaim</x:v>
      </x:c>
      <x:c r="AG607" s="30" t="str">
        <x:v>ClaimETHSeychelles</x:v>
      </x:c>
      <x:c r="AH607" s="30" t="str">
        <x:v>Project_AfricanUnion</x:v>
      </x:c>
    </x:row>
    <x:row r="608">
      <x:c r="A608" s="30" t="str">
        <x:v>2022</x:v>
      </x:c>
      <x:c r="B608" s="30" t="str">
        <x:v>Base game</x:v>
      </x:c>
      <x:c r="C608" s="30" t="str">
        <x:v>Ethiopia</x:v>
      </x:c>
      <x:c r="D608" s="30" t="str">
        <x:v>Sierra Leone</x:v>
      </x:c>
      <x:c r="E608" s="30" t="str">
        <x:v>Project unlock</x:v>
      </x:c>
      <x:c r="F608" s="30" t="str">
        <x:v>African Union</x:v>
      </x:c>
      <x:c r="G608" s="30" t="str">
        <x:v>No</x:v>
      </x:c>
      <x:c r="H608" s="30" t="str">
        <x:v>Ordinary claim</x:v>
      </x:c>
      <x:c r="I608" s="31" t="n">
        <x:f>IF(G608="Yes",'Controls &amp; Summary'!$B$5,'Controls &amp; Summary'!$B$4)</x:f>
        <x:v>6</x:v>
      </x:c>
      <x:c r="J608" s="31" t="n">
        <x:v>3.3</x:v>
      </x:c>
      <x:c r="K608" s="31" t="n">
        <x:v>4.97</x:v>
      </x:c>
      <x:c r="L608" s="31" t="n">
        <x:f>ABS(J608-K608)</x:f>
        <x:v>1.67</x:v>
      </x:c>
      <x:c r="M608" s="31" t="n">
        <x:v>3.5</x:v>
      </x:c>
      <x:c r="N608" s="31" t="n">
        <x:v>3.57</x:v>
      </x:c>
      <x:c r="O608" s="31" t="n">
        <x:f>ABS(M608-N608)</x:f>
        <x:v>0.06999999999999984</x:v>
      </x:c>
      <x:c r="P608" s="31" t="n">
        <x:v>3.41</x:v>
      </x:c>
      <x:c r="Q608" s="31" t="n">
        <x:v>4.06</x:v>
      </x:c>
      <x:c r="R608" s="31" t="n">
        <x:f>ABS(P608-Q608)</x:f>
        <x:v>0.6499999999999995</x:v>
      </x:c>
      <x:c r="S608" s="32" t="n">
        <x:v>2494.874696388392</x:v>
      </x:c>
      <x:c r="T608" s="32" t="n">
        <x:v>1713.7162890230495</x:v>
      </x:c>
      <x:c r="U608" s="31" t="n">
        <x:f>MAX(S608/T608,T608/S608)</x:f>
        <x:v>1.4558271473340916</x:v>
      </x:c>
      <x:c r="V608" s="31" t="n">
        <x:f>L608*'Controls &amp; Summary'!$B$9+O608*'Controls &amp; Summary'!$B$10+R608*'Controls &amp; Summary'!$B$11+U608*'Controls &amp; Summary'!$B$12</x:f>
        <x:v>3.8458271473340906</x:v>
      </x:c>
      <x:c r="W608" s="31" t="n">
        <x:v>2</x:v>
      </x:c>
      <x:c r="X608" s="31" t="n">
        <x:v>2</x:v>
      </x:c>
      <x:c r="Y608" s="31" t="n">
        <x:f>((10-MIN(10,MAX(0,X608)))/10)*'Controls &amp; Summary'!$B$15+((10-MIN(10,MAX(0,W608)))/10)*'Controls &amp; Summary'!$B$16</x:f>
        <x:v>1.6</x:v>
      </x:c>
      <x:c r="Z608" s="31" t="n">
        <x:f>V608*Y608</x:f>
        <x:v>6.153323435734546</x:v>
      </x:c>
      <x:c r="AA608" s="30" t="str">
        <x:f>IF(Z608&lt;=I608,"Peaceful","Hostile")</x:f>
        <x:v>Hostile</x:v>
      </x:c>
      <x:c r="AB608" s="30" t="str">
        <x:f>IF(Z608&lt;='Controls &amp; Summary'!$B$6,"Eligible","Blocked")</x:f>
        <x:v>Eligible</x:v>
      </x:c>
      <x:c r="AC608" s="30" t="str">
        <x:v>ETH</x:v>
      </x:c>
      <x:c r="AD608" s="30" t="str">
        <x:v>SLE</x:v>
      </x:c>
      <x:c r="AE608" s="30" t="str">
        <x:v>SierraLeone</x:v>
      </x:c>
      <x:c r="AF608" s="30" t="str">
        <x:v>Explicit capitalClaim</x:v>
      </x:c>
      <x:c r="AG608" s="30" t="str">
        <x:v>ClaimETHSierraLeone</x:v>
      </x:c>
      <x:c r="AH608" s="30" t="str">
        <x:v>Project_AfricanUnion</x:v>
      </x:c>
    </x:row>
    <x:row r="609">
      <x:c r="A609" s="30" t="str">
        <x:v>2022</x:v>
      </x:c>
      <x:c r="B609" s="30" t="str">
        <x:v>Base game</x:v>
      </x:c>
      <x:c r="C609" s="30" t="str">
        <x:v>Ethiopia</x:v>
      </x:c>
      <x:c r="D609" s="30" t="str">
        <x:v>Somalia</x:v>
      </x:c>
      <x:c r="E609" s="30" t="str">
        <x:v>Project unlock</x:v>
      </x:c>
      <x:c r="F609" s="30" t="str">
        <x:v>African Union</x:v>
      </x:c>
      <x:c r="G609" s="30" t="str">
        <x:v>No</x:v>
      </x:c>
      <x:c r="H609" s="30" t="str">
        <x:v>Ordinary claim</x:v>
      </x:c>
      <x:c r="I609" s="31" t="n">
        <x:f>IF(G609="Yes",'Controls &amp; Summary'!$B$5,'Controls &amp; Summary'!$B$4)</x:f>
        <x:v>6</x:v>
      </x:c>
      <x:c r="J609" s="31" t="n">
        <x:v>3.3</x:v>
      </x:c>
      <x:c r="K609" s="31" t="n">
        <x:v>0.7</x:v>
      </x:c>
      <x:c r="L609" s="31" t="n">
        <x:f>ABS(J609-K609)</x:f>
        <x:v>2.5999999999999996</x:v>
      </x:c>
      <x:c r="M609" s="31" t="n">
        <x:v>3.5</x:v>
      </x:c>
      <x:c r="N609" s="31" t="n">
        <x:v>3.68</x:v>
      </x:c>
      <x:c r="O609" s="31" t="n">
        <x:f>ABS(M609-N609)</x:f>
        <x:v>0.18000000000000016</x:v>
      </x:c>
      <x:c r="P609" s="31" t="n">
        <x:v>3.41</x:v>
      </x:c>
      <x:c r="Q609" s="31" t="n">
        <x:v>3.05</x:v>
      </x:c>
      <x:c r="R609" s="31" t="n">
        <x:f>ABS(P609-Q609)</x:f>
        <x:v>0.3600000000000003</x:v>
      </x:c>
      <x:c r="S609" s="32" t="n">
        <x:v>2494.874696388392</x:v>
      </x:c>
      <x:c r="T609" s="32" t="n">
        <x:v>1437.3080972992434</x:v>
      </x:c>
      <x:c r="U609" s="31" t="n">
        <x:f>MAX(S609/T609,T609/S609)</x:f>
        <x:v>1.735796730761036</x:v>
      </x:c>
      <x:c r="V609" s="31" t="n">
        <x:f>L609*'Controls &amp; Summary'!$B$9+O609*'Controls &amp; Summary'!$B$10+R609*'Controls &amp; Summary'!$B$11+U609*'Controls &amp; Summary'!$B$12</x:f>
        <x:v>4.875796730761036</x:v>
      </x:c>
      <x:c r="W609" s="31" t="n">
        <x:v>2</x:v>
      </x:c>
      <x:c r="X609" s="31" t="n">
        <x:v>8</x:v>
      </x:c>
      <x:c r="Y609" s="31" t="n">
        <x:f>((10-MIN(10,MAX(0,X609)))/10)*'Controls &amp; Summary'!$B$15+((10-MIN(10,MAX(0,W609)))/10)*'Controls &amp; Summary'!$B$16</x:f>
        <x:v>1</x:v>
      </x:c>
      <x:c r="Z609" s="31" t="n">
        <x:f>V609*Y609</x:f>
        <x:v>4.875796730761036</x:v>
      </x:c>
      <x:c r="AA609" s="30" t="str">
        <x:f>IF(Z609&lt;=I609,"Peaceful","Hostile")</x:f>
        <x:v>Peaceful</x:v>
      </x:c>
      <x:c r="AB609" s="30" t="str">
        <x:f>IF(Z609&lt;='Controls &amp; Summary'!$B$6,"Eligible","Blocked")</x:f>
        <x:v>Eligible</x:v>
      </x:c>
      <x:c r="AC609" s="30" t="str">
        <x:v>ETH</x:v>
      </x:c>
      <x:c r="AD609" s="30" t="str">
        <x:v>SOM</x:v>
      </x:c>
      <x:c r="AE609" s="30" t="str">
        <x:v>Somalia</x:v>
      </x:c>
      <x:c r="AF609" s="30" t="str">
        <x:v>Explicit capitalClaim</x:v>
      </x:c>
      <x:c r="AG609" s="30" t="str">
        <x:v>ClaimETHSomalia</x:v>
      </x:c>
      <x:c r="AH609" s="30" t="str">
        <x:v>Project_AfricanUnion</x:v>
      </x:c>
    </x:row>
    <x:row r="610">
      <x:c r="A610" s="30" t="str">
        <x:v>2022</x:v>
      </x:c>
      <x:c r="B610" s="30" t="str">
        <x:v>Base game</x:v>
      </x:c>
      <x:c r="C610" s="30" t="str">
        <x:v>Ethiopia</x:v>
      </x:c>
      <x:c r="D610" s="30" t="str">
        <x:v>Somaliland</x:v>
      </x:c>
      <x:c r="E610" s="30" t="str">
        <x:v>Project unlock</x:v>
      </x:c>
      <x:c r="F610" s="30" t="str">
        <x:v>African Union</x:v>
      </x:c>
      <x:c r="G610" s="30" t="str">
        <x:v>No</x:v>
      </x:c>
      <x:c r="H610" s="30" t="str">
        <x:v>Ordinary claim</x:v>
      </x:c>
      <x:c r="I610" s="31" t="n">
        <x:f>IF(G610="Yes",'Controls &amp; Summary'!$B$5,'Controls &amp; Summary'!$B$4)</x:f>
        <x:v>6</x:v>
      </x:c>
      <x:c r="J610" s="31" t="n">
        <x:v>3.3</x:v>
      </x:c>
      <x:c r="K610" s="31" t="n">
        <x:v>4.4</x:v>
      </x:c>
      <x:c r="L610" s="31" t="n">
        <x:f>ABS(J610-K610)</x:f>
        <x:v>1.1000000000000005</x:v>
      </x:c>
      <x:c r="M610" s="31" t="n">
        <x:v>3.5</x:v>
      </x:c>
      <x:c r="N610" s="31" t="n">
        <x:v>4.3</x:v>
      </x:c>
      <x:c r="O610" s="31" t="n">
        <x:f>ABS(M610-N610)</x:f>
        <x:v>0.7999999999999998</x:v>
      </x:c>
      <x:c r="P610" s="31" t="n">
        <x:v>3.41</x:v>
      </x:c>
      <x:c r="Q610" s="31" t="n">
        <x:v>3.25</x:v>
      </x:c>
      <x:c r="R610" s="31" t="n">
        <x:f>ABS(P610-Q610)</x:f>
        <x:v>0.16000000000000014</x:v>
      </x:c>
      <x:c r="S610" s="32" t="n">
        <x:v>2494.874696388392</x:v>
      </x:c>
      <x:c r="T610" s="32" t="n">
        <x:v>1300.941181819337</x:v>
      </x:c>
      <x:c r="U610" s="31" t="n">
        <x:f>MAX(S610/T610,T610/S610)</x:f>
        <x:v>1.917745960581681</x:v>
      </x:c>
      <x:c r="V610" s="31" t="n">
        <x:f>L610*'Controls &amp; Summary'!$B$9+O610*'Controls &amp; Summary'!$B$10+R610*'Controls &amp; Summary'!$B$11+U610*'Controls &amp; Summary'!$B$12</x:f>
        <x:v>3.9777459605816814</x:v>
      </x:c>
      <x:c r="W610" s="31" t="n">
        <x:v>2</x:v>
      </x:c>
      <x:c r="X610" s="31" t="n">
        <x:v>3</x:v>
      </x:c>
      <x:c r="Y610" s="31" t="n">
        <x:f>((10-MIN(10,MAX(0,X610)))/10)*'Controls &amp; Summary'!$B$15+((10-MIN(10,MAX(0,W610)))/10)*'Controls &amp; Summary'!$B$16</x:f>
        <x:v>1.5</x:v>
      </x:c>
      <x:c r="Z610" s="31" t="n">
        <x:f>V610*Y610</x:f>
        <x:v>5.966618940872522</x:v>
      </x:c>
      <x:c r="AA610" s="30" t="str">
        <x:f>IF(Z610&lt;=I610,"Peaceful","Hostile")</x:f>
        <x:v>Peaceful</x:v>
      </x:c>
      <x:c r="AB610" s="30" t="str">
        <x:f>IF(Z610&lt;='Controls &amp; Summary'!$B$6,"Eligible","Blocked")</x:f>
        <x:v>Eligible</x:v>
      </x:c>
      <x:c r="AC610" s="30" t="str">
        <x:v>ETH</x:v>
      </x:c>
      <x:c r="AD610" s="30" t="str">
        <x:v>SOL</x:v>
      </x:c>
      <x:c r="AE610" s="30" t="str">
        <x:v>Somaliland</x:v>
      </x:c>
      <x:c r="AF610" s="30" t="str">
        <x:v>Explicit capitalClaim</x:v>
      </x:c>
      <x:c r="AG610" s="30" t="str">
        <x:v>ClaimETHSomaliland</x:v>
      </x:c>
      <x:c r="AH610" s="30" t="str">
        <x:v>Project_AfricanUnion</x:v>
      </x:c>
    </x:row>
    <x:row r="611">
      <x:c r="A611" s="30" t="str">
        <x:v>2022</x:v>
      </x:c>
      <x:c r="B611" s="30" t="str">
        <x:v>Base game</x:v>
      </x:c>
      <x:c r="C611" s="30" t="str">
        <x:v>Ethiopia</x:v>
      </x:c>
      <x:c r="D611" s="30" t="str">
        <x:v>South Africa</x:v>
      </x:c>
      <x:c r="E611" s="30" t="str">
        <x:v>Project unlock</x:v>
      </x:c>
      <x:c r="F611" s="30" t="str">
        <x:v>African Union</x:v>
      </x:c>
      <x:c r="G611" s="30" t="str">
        <x:v>No</x:v>
      </x:c>
      <x:c r="H611" s="30" t="str">
        <x:v>Ordinary claim</x:v>
      </x:c>
      <x:c r="I611" s="31" t="n">
        <x:f>IF(G611="Yes",'Controls &amp; Summary'!$B$5,'Controls &amp; Summary'!$B$4)</x:f>
        <x:v>6</x:v>
      </x:c>
      <x:c r="J611" s="31" t="n">
        <x:v>3.3</x:v>
      </x:c>
      <x:c r="K611" s="31" t="n">
        <x:v>7.05</x:v>
      </x:c>
      <x:c r="L611" s="31" t="n">
        <x:f>ABS(J611-K611)</x:f>
        <x:v>3.75</x:v>
      </x:c>
      <x:c r="M611" s="31" t="n">
        <x:v>3.5</x:v>
      </x:c>
      <x:c r="N611" s="31" t="n">
        <x:v>6.3</x:v>
      </x:c>
      <x:c r="O611" s="31" t="n">
        <x:f>ABS(M611-N611)</x:f>
        <x:v>2.8</x:v>
      </x:c>
      <x:c r="P611" s="31" t="n">
        <x:v>3.41</x:v>
      </x:c>
      <x:c r="Q611" s="31" t="n">
        <x:v>7.24</x:v>
      </x:c>
      <x:c r="R611" s="31" t="n">
        <x:f>ABS(P611-Q611)</x:f>
        <x:v>3.83</x:v>
      </x:c>
      <x:c r="S611" s="32" t="n">
        <x:v>2494.874696388392</x:v>
      </x:c>
      <x:c r="T611" s="32" t="n">
        <x:v>12827.520326696369</x:v>
      </x:c>
      <x:c r="U611" s="31" t="n">
        <x:f>MAX(S611/T611,T611/S611)</x:f>
        <x:v>5.141548930399442</x:v>
      </x:c>
      <x:c r="V611" s="31" t="n">
        <x:f>L611*'Controls &amp; Summary'!$B$9+O611*'Controls &amp; Summary'!$B$10+R611*'Controls &amp; Summary'!$B$11+U611*'Controls &amp; Summary'!$B$12</x:f>
        <x:v>15.52154893039944</x:v>
      </x:c>
      <x:c r="W611" s="31" t="n">
        <x:v>2</x:v>
      </x:c>
      <x:c r="X611" s="31" t="n">
        <x:v>3</x:v>
      </x:c>
      <x:c r="Y611" s="31" t="n">
        <x:f>((10-MIN(10,MAX(0,X611)))/10)*'Controls &amp; Summary'!$B$15+((10-MIN(10,MAX(0,W611)))/10)*'Controls &amp; Summary'!$B$16</x:f>
        <x:v>1.5</x:v>
      </x:c>
      <x:c r="Z611" s="31" t="n">
        <x:f>V611*Y611</x:f>
        <x:v>23.28232339559916</x:v>
      </x:c>
      <x:c r="AA611" s="30" t="str">
        <x:f>IF(Z611&lt;=I611,"Peaceful","Hostile")</x:f>
        <x:v>Hostile</x:v>
      </x:c>
      <x:c r="AB611" s="30" t="str">
        <x:f>IF(Z611&lt;='Controls &amp; Summary'!$B$6,"Eligible","Blocked")</x:f>
        <x:v>Blocked</x:v>
      </x:c>
      <x:c r="AC611" s="30" t="str">
        <x:v>ETH</x:v>
      </x:c>
      <x:c r="AD611" s="30" t="str">
        <x:v>ZAF</x:v>
      </x:c>
      <x:c r="AE611" s="30" t="str">
        <x:v>Johannesburg</x:v>
      </x:c>
      <x:c r="AF611" s="30" t="str">
        <x:v>Explicit capitalClaim</x:v>
      </x:c>
      <x:c r="AG611" s="30" t="str">
        <x:v>ClaimETHJohannesburg</x:v>
      </x:c>
      <x:c r="AH611" s="30" t="str">
        <x:v>Project_AfricanUnion</x:v>
      </x:c>
    </x:row>
    <x:row r="612">
      <x:c r="A612" s="30" t="str">
        <x:v>2022</x:v>
      </x:c>
      <x:c r="B612" s="30" t="str">
        <x:v>Base game</x:v>
      </x:c>
      <x:c r="C612" s="30" t="str">
        <x:v>Ethiopia</x:v>
      </x:c>
      <x:c r="D612" s="30" t="str">
        <x:v>South Sudan</x:v>
      </x:c>
      <x:c r="E612" s="30" t="str">
        <x:v>Project unlock</x:v>
      </x:c>
      <x:c r="F612" s="30" t="str">
        <x:v>African Union</x:v>
      </x:c>
      <x:c r="G612" s="30" t="str">
        <x:v>No</x:v>
      </x:c>
      <x:c r="H612" s="30" t="str">
        <x:v>Ordinary claim</x:v>
      </x:c>
      <x:c r="I612" s="31" t="n">
        <x:f>IF(G612="Yes",'Controls &amp; Summary'!$B$5,'Controls &amp; Summary'!$B$4)</x:f>
        <x:v>6</x:v>
      </x:c>
      <x:c r="J612" s="31" t="n">
        <x:v>3.3</x:v>
      </x:c>
      <x:c r="K612" s="31" t="n">
        <x:v>0.1</x:v>
      </x:c>
      <x:c r="L612" s="31" t="n">
        <x:f>ABS(J612-K612)</x:f>
        <x:v>3.1999999999999997</x:v>
      </x:c>
      <x:c r="M612" s="31" t="n">
        <x:v>3.5</x:v>
      </x:c>
      <x:c r="N612" s="31" t="n">
        <x:v>4.41</x:v>
      </x:c>
      <x:c r="O612" s="31" t="n">
        <x:f>ABS(M612-N612)</x:f>
        <x:v>0.9100000000000001</x:v>
      </x:c>
      <x:c r="P612" s="31" t="n">
        <x:v>3.41</x:v>
      </x:c>
      <x:c r="Q612" s="31" t="n">
        <x:v>3.07</x:v>
      </x:c>
      <x:c r="R612" s="31" t="n">
        <x:f>ABS(P612-Q612)</x:f>
        <x:v>0.3400000000000003</x:v>
      </x:c>
      <x:c r="S612" s="32" t="n">
        <x:v>2494.874696388392</x:v>
      </x:c>
      <x:c r="T612" s="32" t="n">
        <x:v>1018.2436778757841</x:v>
      </x:c>
      <x:c r="U612" s="31" t="n">
        <x:f>MAX(S612/T612,T612/S612)</x:f>
        <x:v>2.450174502033827</x:v>
      </x:c>
      <x:c r="V612" s="31" t="n">
        <x:f>L612*'Controls &amp; Summary'!$B$9+O612*'Controls &amp; Summary'!$B$10+R612*'Controls &amp; Summary'!$B$11+U612*'Controls &amp; Summary'!$B$12</x:f>
        <x:v>6.900174502033826</x:v>
      </x:c>
      <x:c r="W612" s="31" t="n">
        <x:v>2</x:v>
      </x:c>
      <x:c r="X612" s="31" t="n">
        <x:v>8</x:v>
      </x:c>
      <x:c r="Y612" s="31" t="n">
        <x:f>((10-MIN(10,MAX(0,X612)))/10)*'Controls &amp; Summary'!$B$15+((10-MIN(10,MAX(0,W612)))/10)*'Controls &amp; Summary'!$B$16</x:f>
        <x:v>1</x:v>
      </x:c>
      <x:c r="Z612" s="31" t="n">
        <x:f>V612*Y612</x:f>
        <x:v>6.900174502033826</x:v>
      </x:c>
      <x:c r="AA612" s="30" t="str">
        <x:f>IF(Z612&lt;=I612,"Peaceful","Hostile")</x:f>
        <x:v>Hostile</x:v>
      </x:c>
      <x:c r="AB612" s="30" t="str">
        <x:f>IF(Z612&lt;='Controls &amp; Summary'!$B$6,"Eligible","Blocked")</x:f>
        <x:v>Eligible</x:v>
      </x:c>
      <x:c r="AC612" s="30" t="str">
        <x:v>ETH</x:v>
      </x:c>
      <x:c r="AD612" s="30" t="str">
        <x:v>SSD</x:v>
      </x:c>
      <x:c r="AE612" s="30" t="str">
        <x:v>SouthSudan</x:v>
      </x:c>
      <x:c r="AF612" s="30" t="str">
        <x:v>Explicit capitalClaim</x:v>
      </x:c>
      <x:c r="AG612" s="30" t="str">
        <x:v>ClaimETHSouthSudan</x:v>
      </x:c>
      <x:c r="AH612" s="30" t="str">
        <x:v>Project_AfricanUnion</x:v>
      </x:c>
    </x:row>
    <x:row r="613">
      <x:c r="A613" s="30" t="str">
        <x:v>2022</x:v>
      </x:c>
      <x:c r="B613" s="30" t="str">
        <x:v>Base game</x:v>
      </x:c>
      <x:c r="C613" s="30" t="str">
        <x:v>Ethiopia</x:v>
      </x:c>
      <x:c r="D613" s="30" t="str">
        <x:v>Sudan</x:v>
      </x:c>
      <x:c r="E613" s="30" t="str">
        <x:v>Project unlock</x:v>
      </x:c>
      <x:c r="F613" s="30" t="str">
        <x:v>Great African Union</x:v>
      </x:c>
      <x:c r="G613" s="30" t="str">
        <x:v>No</x:v>
      </x:c>
      <x:c r="H613" s="30" t="str">
        <x:v>Ordinary claim</x:v>
      </x:c>
      <x:c r="I613" s="31" t="n">
        <x:f>IF(G613="Yes",'Controls &amp; Summary'!$B$5,'Controls &amp; Summary'!$B$4)</x:f>
        <x:v>6</x:v>
      </x:c>
      <x:c r="J613" s="31" t="n">
        <x:v>3.3</x:v>
      </x:c>
      <x:c r="K613" s="31" t="n">
        <x:v>2.47</x:v>
      </x:c>
      <x:c r="L613" s="31" t="n">
        <x:f>ABS(J613-K613)</x:f>
        <x:v>0.8299999999999996</x:v>
      </x:c>
      <x:c r="M613" s="31" t="n">
        <x:v>3.5</x:v>
      </x:c>
      <x:c r="N613" s="31" t="n">
        <x:v>3.42</x:v>
      </x:c>
      <x:c r="O613" s="31" t="n">
        <x:f>ABS(M613-N613)</x:f>
        <x:v>0.08000000000000007</x:v>
      </x:c>
      <x:c r="P613" s="31" t="n">
        <x:v>3.41</x:v>
      </x:c>
      <x:c r="Q613" s="31" t="n">
        <x:v>3.45</x:v>
      </x:c>
      <x:c r="R613" s="31" t="n">
        <x:f>ABS(P613-Q613)</x:f>
        <x:v>0.040000000000000036</x:v>
      </x:c>
      <x:c r="S613" s="32" t="n">
        <x:v>2494.874696388392</x:v>
      </x:c>
      <x:c r="T613" s="32" t="n">
        <x:v>3617.2570607103053</x:v>
      </x:c>
      <x:c r="U613" s="31" t="n">
        <x:f>MAX(S613/T613,T613/S613)</x:f>
        <x:v>1.449875244615165</x:v>
      </x:c>
      <x:c r="V613" s="31" t="n">
        <x:f>L613*'Controls &amp; Summary'!$B$9+O613*'Controls &amp; Summary'!$B$10+R613*'Controls &amp; Summary'!$B$11+U613*'Controls &amp; Summary'!$B$12</x:f>
        <x:v>2.3998752446151648</x:v>
      </x:c>
      <x:c r="W613" s="31" t="n">
        <x:v>2</x:v>
      </x:c>
      <x:c r="X613" s="31" t="n">
        <x:v>6</x:v>
      </x:c>
      <x:c r="Y613" s="31" t="n">
        <x:f>((10-MIN(10,MAX(0,X613)))/10)*'Controls &amp; Summary'!$B$15+((10-MIN(10,MAX(0,W613)))/10)*'Controls &amp; Summary'!$B$16</x:f>
        <x:v>1.2000000000000002</x:v>
      </x:c>
      <x:c r="Z613" s="31" t="n">
        <x:f>V613*Y613</x:f>
        <x:v>2.879850293538198</x:v>
      </x:c>
      <x:c r="AA613" s="30" t="str">
        <x:f>IF(Z613&lt;=I613,"Peaceful","Hostile")</x:f>
        <x:v>Peaceful</x:v>
      </x:c>
      <x:c r="AB613" s="30" t="str">
        <x:f>IF(Z613&lt;='Controls &amp; Summary'!$B$6,"Eligible","Blocked")</x:f>
        <x:v>Eligible</x:v>
      </x:c>
      <x:c r="AC613" s="30" t="str">
        <x:v>ETH</x:v>
      </x:c>
      <x:c r="AD613" s="30" t="str">
        <x:v>SDN</x:v>
      </x:c>
      <x:c r="AE613" s="30" t="str">
        <x:v>Sudan</x:v>
      </x:c>
      <x:c r="AF613" s="30" t="str">
        <x:v>Explicit capitalClaim</x:v>
      </x:c>
      <x:c r="AG613" s="30" t="str">
        <x:v>ClaimETHSudan</x:v>
      </x:c>
      <x:c r="AH613" s="30" t="str">
        <x:v>Project_GreatAfricanUnion</x:v>
      </x:c>
    </x:row>
    <x:row r="614">
      <x:c r="A614" s="30" t="str">
        <x:v>2022</x:v>
      </x:c>
      <x:c r="B614" s="30" t="str">
        <x:v>Base game</x:v>
      </x:c>
      <x:c r="C614" s="30" t="str">
        <x:v>Ethiopia</x:v>
      </x:c>
      <x:c r="D614" s="30" t="str">
        <x:v>Tanzania</x:v>
      </x:c>
      <x:c r="E614" s="30" t="str">
        <x:v>Project unlock</x:v>
      </x:c>
      <x:c r="F614" s="30" t="str">
        <x:v>African Union</x:v>
      </x:c>
      <x:c r="G614" s="30" t="str">
        <x:v>No</x:v>
      </x:c>
      <x:c r="H614" s="30" t="str">
        <x:v>Ordinary claim</x:v>
      </x:c>
      <x:c r="I614" s="31" t="n">
        <x:f>IF(G614="Yes",'Controls &amp; Summary'!$B$5,'Controls &amp; Summary'!$B$4)</x:f>
        <x:v>6</x:v>
      </x:c>
      <x:c r="J614" s="31" t="n">
        <x:v>3.3</x:v>
      </x:c>
      <x:c r="K614" s="31" t="n">
        <x:v>5.1</x:v>
      </x:c>
      <x:c r="L614" s="31" t="n">
        <x:f>ABS(J614-K614)</x:f>
        <x:v>1.7999999999999998</x:v>
      </x:c>
      <x:c r="M614" s="31" t="n">
        <x:v>3.5</x:v>
      </x:c>
      <x:c r="N614" s="31" t="n">
        <x:v>4.05</x:v>
      </x:c>
      <x:c r="O614" s="31" t="n">
        <x:f>ABS(M614-N614)</x:f>
        <x:v>0.5499999999999998</x:v>
      </x:c>
      <x:c r="P614" s="31" t="n">
        <x:v>3.41</x:v>
      </x:c>
      <x:c r="Q614" s="31" t="n">
        <x:v>4.29</x:v>
      </x:c>
      <x:c r="R614" s="31" t="n">
        <x:f>ABS(P614-Q614)</x:f>
        <x:v>0.8799999999999999</x:v>
      </x:c>
      <x:c r="S614" s="32" t="n">
        <x:v>2494.874696388392</x:v>
      </x:c>
      <x:c r="T614" s="32" t="n">
        <x:v>2846.1193743566573</x:v>
      </x:c>
      <x:c r="U614" s="31" t="n">
        <x:f>MAX(S614/T614,T614/S614)</x:f>
        <x:v>1.1407865006113258</x:v>
      </x:c>
      <x:c r="V614" s="31" t="n">
        <x:f>L614*'Controls &amp; Summary'!$B$9+O614*'Controls &amp; Summary'!$B$10+R614*'Controls &amp; Summary'!$B$11+U614*'Controls &amp; Summary'!$B$12</x:f>
        <x:v>4.370786500611326</x:v>
      </x:c>
      <x:c r="W614" s="31" t="n">
        <x:v>2</x:v>
      </x:c>
      <x:c r="X614" s="31" t="n">
        <x:v>2</x:v>
      </x:c>
      <x:c r="Y614" s="31" t="n">
        <x:f>((10-MIN(10,MAX(0,X614)))/10)*'Controls &amp; Summary'!$B$15+((10-MIN(10,MAX(0,W614)))/10)*'Controls &amp; Summary'!$B$16</x:f>
        <x:v>1.6</x:v>
      </x:c>
      <x:c r="Z614" s="31" t="n">
        <x:f>V614*Y614</x:f>
        <x:v>6.993258400978121</x:v>
      </x:c>
      <x:c r="AA614" s="30" t="str">
        <x:f>IF(Z614&lt;=I614,"Peaceful","Hostile")</x:f>
        <x:v>Hostile</x:v>
      </x:c>
      <x:c r="AB614" s="30" t="str">
        <x:f>IF(Z614&lt;='Controls &amp; Summary'!$B$6,"Eligible","Blocked")</x:f>
        <x:v>Eligible</x:v>
      </x:c>
      <x:c r="AC614" s="30" t="str">
        <x:v>ETH</x:v>
      </x:c>
      <x:c r="AD614" s="30" t="str">
        <x:v>TZA</x:v>
      </x:c>
      <x:c r="AE614" s="30" t="str">
        <x:v>WestTanzania</x:v>
      </x:c>
      <x:c r="AF614" s="30" t="str">
        <x:v>Explicit capitalClaim</x:v>
      </x:c>
      <x:c r="AG614" s="30" t="str">
        <x:v>ClaimETHWestTanzania</x:v>
      </x:c>
      <x:c r="AH614" s="30" t="str">
        <x:v>Project_AfricanUnion</x:v>
      </x:c>
    </x:row>
    <x:row r="615">
      <x:c r="A615" s="30" t="str">
        <x:v>2022</x:v>
      </x:c>
      <x:c r="B615" s="30" t="str">
        <x:v>Base game</x:v>
      </x:c>
      <x:c r="C615" s="30" t="str">
        <x:v>Ethiopia</x:v>
      </x:c>
      <x:c r="D615" s="30" t="str">
        <x:v>Togo</x:v>
      </x:c>
      <x:c r="E615" s="30" t="str">
        <x:v>Project unlock</x:v>
      </x:c>
      <x:c r="F615" s="30" t="str">
        <x:v>African Union</x:v>
      </x:c>
      <x:c r="G615" s="30" t="str">
        <x:v>No</x:v>
      </x:c>
      <x:c r="H615" s="30" t="str">
        <x:v>Ordinary claim</x:v>
      </x:c>
      <x:c r="I615" s="31" t="n">
        <x:f>IF(G615="Yes",'Controls &amp; Summary'!$B$5,'Controls &amp; Summary'!$B$4)</x:f>
        <x:v>6</x:v>
      </x:c>
      <x:c r="J615" s="31" t="n">
        <x:v>3.3</x:v>
      </x:c>
      <x:c r="K615" s="31" t="n">
        <x:v>2.8</x:v>
      </x:c>
      <x:c r="L615" s="31" t="n">
        <x:f>ABS(J615-K615)</x:f>
        <x:v>0.5</x:v>
      </x:c>
      <x:c r="M615" s="31" t="n">
        <x:v>3.5</x:v>
      </x:c>
      <x:c r="N615" s="31" t="n">
        <x:v>4.24</x:v>
      </x:c>
      <x:c r="O615" s="31" t="n">
        <x:f>ABS(M615-N615)</x:f>
        <x:v>0.7400000000000002</x:v>
      </x:c>
      <x:c r="P615" s="31" t="n">
        <x:v>3.41</x:v>
      </x:c>
      <x:c r="Q615" s="31" t="n">
        <x:v>5.17</x:v>
      </x:c>
      <x:c r="R615" s="31" t="n">
        <x:f>ABS(P615-Q615)</x:f>
        <x:v>1.7599999999999998</x:v>
      </x:c>
      <x:c r="S615" s="32" t="n">
        <x:v>2494.874696388392</x:v>
      </x:c>
      <x:c r="T615" s="32" t="n">
        <x:v>2275.549928171747</x:v>
      </x:c>
      <x:c r="U615" s="31" t="n">
        <x:f>MAX(S615/T615,T615/S615)</x:f>
        <x:v>1.0963831931355854</x:v>
      </x:c>
      <x:c r="V615" s="31" t="n">
        <x:f>L615*'Controls &amp; Summary'!$B$9+O615*'Controls &amp; Summary'!$B$10+R615*'Controls &amp; Summary'!$B$11+U615*'Controls &amp; Summary'!$B$12</x:f>
        <x:v>4.096383193135585</x:v>
      </x:c>
      <x:c r="W615" s="31" t="n">
        <x:v>2</x:v>
      </x:c>
      <x:c r="X615" s="31" t="n">
        <x:v>3</x:v>
      </x:c>
      <x:c r="Y615" s="31" t="n">
        <x:f>((10-MIN(10,MAX(0,X615)))/10)*'Controls &amp; Summary'!$B$15+((10-MIN(10,MAX(0,W615)))/10)*'Controls &amp; Summary'!$B$16</x:f>
        <x:v>1.5</x:v>
      </x:c>
      <x:c r="Z615" s="31" t="n">
        <x:f>V615*Y615</x:f>
        <x:v>6.144574789703378</x:v>
      </x:c>
      <x:c r="AA615" s="30" t="str">
        <x:f>IF(Z615&lt;=I615,"Peaceful","Hostile")</x:f>
        <x:v>Hostile</x:v>
      </x:c>
      <x:c r="AB615" s="30" t="str">
        <x:f>IF(Z615&lt;='Controls &amp; Summary'!$B$6,"Eligible","Blocked")</x:f>
        <x:v>Eligible</x:v>
      </x:c>
      <x:c r="AC615" s="30" t="str">
        <x:v>ETH</x:v>
      </x:c>
      <x:c r="AD615" s="30" t="str">
        <x:v>TGO</x:v>
      </x:c>
      <x:c r="AE615" s="30" t="str">
        <x:v>Togo</x:v>
      </x:c>
      <x:c r="AF615" s="30" t="str">
        <x:v>Explicit capitalClaim</x:v>
      </x:c>
      <x:c r="AG615" s="30" t="str">
        <x:v>ClaimETHTogo</x:v>
      </x:c>
      <x:c r="AH615" s="30" t="str">
        <x:v>Project_AfricanUnion</x:v>
      </x:c>
    </x:row>
    <x:row r="616">
      <x:c r="A616" s="30" t="str">
        <x:v>2022</x:v>
      </x:c>
      <x:c r="B616" s="30" t="str">
        <x:v>Base game</x:v>
      </x:c>
      <x:c r="C616" s="30" t="str">
        <x:v>Ethiopia</x:v>
      </x:c>
      <x:c r="D616" s="30" t="str">
        <x:v>Tunisia</x:v>
      </x:c>
      <x:c r="E616" s="30" t="str">
        <x:v>Project unlock</x:v>
      </x:c>
      <x:c r="F616" s="30" t="str">
        <x:v>Great African Union</x:v>
      </x:c>
      <x:c r="G616" s="30" t="str">
        <x:v>No</x:v>
      </x:c>
      <x:c r="H616" s="30" t="str">
        <x:v>Ordinary claim</x:v>
      </x:c>
      <x:c r="I616" s="31" t="n">
        <x:f>IF(G616="Yes",'Controls &amp; Summary'!$B$5,'Controls &amp; Summary'!$B$4)</x:f>
        <x:v>6</x:v>
      </x:c>
      <x:c r="J616" s="31" t="n">
        <x:v>3.3</x:v>
      </x:c>
      <x:c r="K616" s="31" t="n">
        <x:v>5.99</x:v>
      </x:c>
      <x:c r="L616" s="31" t="n">
        <x:f>ABS(J616-K616)</x:f>
        <x:v>2.6900000000000004</x:v>
      </x:c>
      <x:c r="M616" s="31" t="n">
        <x:v>3.5</x:v>
      </x:c>
      <x:c r="N616" s="31" t="n">
        <x:v>3.28</x:v>
      </x:c>
      <x:c r="O616" s="31" t="n">
        <x:f>ABS(M616-N616)</x:f>
        <x:v>0.2200000000000002</x:v>
      </x:c>
      <x:c r="P616" s="31" t="n">
        <x:v>3.41</x:v>
      </x:c>
      <x:c r="Q616" s="31" t="n">
        <x:v>6.61</x:v>
      </x:c>
      <x:c r="R616" s="31" t="n">
        <x:f>ABS(P616-Q616)</x:f>
        <x:v>3.2</x:v>
      </x:c>
      <x:c r="S616" s="32" t="n">
        <x:v>2494.874696388392</x:v>
      </x:c>
      <x:c r="T616" s="32" t="n">
        <x:v>10866.748773076144</x:v>
      </x:c>
      <x:c r="U616" s="31" t="n">
        <x:f>MAX(S616/T616,T616/S616)</x:f>
        <x:v>4.355629077807783</x:v>
      </x:c>
      <x:c r="V616" s="31" t="n">
        <x:f>L616*'Controls &amp; Summary'!$B$9+O616*'Controls &amp; Summary'!$B$10+R616*'Controls &amp; Summary'!$B$11+U616*'Controls &amp; Summary'!$B$12</x:f>
        <x:v>10.465629077807783</x:v>
      </x:c>
      <x:c r="W616" s="31" t="n">
        <x:v>2</x:v>
      </x:c>
      <x:c r="X616" s="31" t="n">
        <x:v>5</x:v>
      </x:c>
      <x:c r="Y616" s="31" t="n">
        <x:f>((10-MIN(10,MAX(0,X616)))/10)*'Controls &amp; Summary'!$B$15+((10-MIN(10,MAX(0,W616)))/10)*'Controls &amp; Summary'!$B$16</x:f>
        <x:v>1.3</x:v>
      </x:c>
      <x:c r="Z616" s="31" t="n">
        <x:f>V616*Y616</x:f>
        <x:v>13.605317801150118</x:v>
      </x:c>
      <x:c r="AA616" s="30" t="str">
        <x:f>IF(Z616&lt;=I616,"Peaceful","Hostile")</x:f>
        <x:v>Hostile</x:v>
      </x:c>
      <x:c r="AB616" s="30" t="str">
        <x:f>IF(Z616&lt;='Controls &amp; Summary'!$B$6,"Eligible","Blocked")</x:f>
        <x:v>Blocked</x:v>
      </x:c>
      <x:c r="AC616" s="30" t="str">
        <x:v>ETH</x:v>
      </x:c>
      <x:c r="AD616" s="30" t="str">
        <x:v>TUN</x:v>
      </x:c>
      <x:c r="AE616" s="30" t="str">
        <x:v>Tunisia</x:v>
      </x:c>
      <x:c r="AF616" s="30" t="str">
        <x:v>Explicit capitalClaim</x:v>
      </x:c>
      <x:c r="AG616" s="30" t="str">
        <x:v>ClaimETHTunisia</x:v>
      </x:c>
      <x:c r="AH616" s="30" t="str">
        <x:v>Project_GreatAfricanUnion</x:v>
      </x:c>
    </x:row>
    <x:row r="617">
      <x:c r="A617" s="30" t="str">
        <x:v>2022</x:v>
      </x:c>
      <x:c r="B617" s="30" t="str">
        <x:v>Base game</x:v>
      </x:c>
      <x:c r="C617" s="30" t="str">
        <x:v>Ethiopia</x:v>
      </x:c>
      <x:c r="D617" s="30" t="str">
        <x:v>Uganda</x:v>
      </x:c>
      <x:c r="E617" s="30" t="str">
        <x:v>Project unlock</x:v>
      </x:c>
      <x:c r="F617" s="30" t="str">
        <x:v>African Union</x:v>
      </x:c>
      <x:c r="G617" s="30" t="str">
        <x:v>No</x:v>
      </x:c>
      <x:c r="H617" s="30" t="str">
        <x:v>Ordinary claim</x:v>
      </x:c>
      <x:c r="I617" s="31" t="n">
        <x:f>IF(G617="Yes",'Controls &amp; Summary'!$B$5,'Controls &amp; Summary'!$B$4)</x:f>
        <x:v>6</x:v>
      </x:c>
      <x:c r="J617" s="31" t="n">
        <x:v>3.3</x:v>
      </x:c>
      <x:c r="K617" s="31" t="n">
        <x:v>4.48</x:v>
      </x:c>
      <x:c r="L617" s="31" t="n">
        <x:f>ABS(J617-K617)</x:f>
        <x:v>1.1800000000000006</x:v>
      </x:c>
      <x:c r="M617" s="31" t="n">
        <x:v>3.5</x:v>
      </x:c>
      <x:c r="N617" s="31" t="n">
        <x:v>4.27</x:v>
      </x:c>
      <x:c r="O617" s="31" t="n">
        <x:f>ABS(M617-N617)</x:f>
        <x:v>0.7699999999999996</x:v>
      </x:c>
      <x:c r="P617" s="31" t="n">
        <x:v>3.41</x:v>
      </x:c>
      <x:c r="Q617" s="31" t="n">
        <x:v>5.23</x:v>
      </x:c>
      <x:c r="R617" s="31" t="n">
        <x:f>ABS(P617-Q617)</x:f>
        <x:v>1.8200000000000003</x:v>
      </x:c>
      <x:c r="S617" s="32" t="n">
        <x:v>2494.874696388392</x:v>
      </x:c>
      <x:c r="T617" s="32" t="n">
        <x:v>2332.9311850582926</x:v>
      </x:c>
      <x:c r="U617" s="31" t="n">
        <x:f>MAX(S617/T617,T617/S617)</x:f>
        <x:v>1.0694163258510572</x:v>
      </x:c>
      <x:c r="V617" s="31" t="n">
        <x:f>L617*'Controls &amp; Summary'!$B$9+O617*'Controls &amp; Summary'!$B$10+R617*'Controls &amp; Summary'!$B$11+U617*'Controls &amp; Summary'!$B$12</x:f>
        <x:v>4.839416325851058</x:v>
      </x:c>
      <x:c r="W617" s="31" t="n">
        <x:v>2</x:v>
      </x:c>
      <x:c r="X617" s="31" t="n">
        <x:v>5</x:v>
      </x:c>
      <x:c r="Y617" s="31" t="n">
        <x:f>((10-MIN(10,MAX(0,X617)))/10)*'Controls &amp; Summary'!$B$15+((10-MIN(10,MAX(0,W617)))/10)*'Controls &amp; Summary'!$B$16</x:f>
        <x:v>1.3</x:v>
      </x:c>
      <x:c r="Z617" s="31" t="n">
        <x:f>V617*Y617</x:f>
        <x:v>6.2912412236063755</x:v>
      </x:c>
      <x:c r="AA617" s="30" t="str">
        <x:f>IF(Z617&lt;=I617,"Peaceful","Hostile")</x:f>
        <x:v>Hostile</x:v>
      </x:c>
      <x:c r="AB617" s="30" t="str">
        <x:f>IF(Z617&lt;='Controls &amp; Summary'!$B$6,"Eligible","Blocked")</x:f>
        <x:v>Eligible</x:v>
      </x:c>
      <x:c r="AC617" s="30" t="str">
        <x:v>ETH</x:v>
      </x:c>
      <x:c r="AD617" s="30" t="str">
        <x:v>UGA</x:v>
      </x:c>
      <x:c r="AE617" s="30" t="str">
        <x:v>Uganda</x:v>
      </x:c>
      <x:c r="AF617" s="30" t="str">
        <x:v>Explicit capitalClaim</x:v>
      </x:c>
      <x:c r="AG617" s="30" t="str">
        <x:v>ClaimETHUganda</x:v>
      </x:c>
      <x:c r="AH617" s="30" t="str">
        <x:v>Project_AfricanUnion</x:v>
      </x:c>
    </x:row>
    <x:row r="618">
      <x:c r="A618" s="30" t="str">
        <x:v>2022</x:v>
      </x:c>
      <x:c r="B618" s="30" t="str">
        <x:v>Base game</x:v>
      </x:c>
      <x:c r="C618" s="30" t="str">
        <x:v>Ethiopia</x:v>
      </x:c>
      <x:c r="D618" s="30" t="str">
        <x:v>Zambia</x:v>
      </x:c>
      <x:c r="E618" s="30" t="str">
        <x:v>Project unlock</x:v>
      </x:c>
      <x:c r="F618" s="30" t="str">
        <x:v>African Union</x:v>
      </x:c>
      <x:c r="G618" s="30" t="str">
        <x:v>No</x:v>
      </x:c>
      <x:c r="H618" s="30" t="str">
        <x:v>Ordinary claim</x:v>
      </x:c>
      <x:c r="I618" s="31" t="n">
        <x:f>IF(G618="Yes",'Controls &amp; Summary'!$B$5,'Controls &amp; Summary'!$B$4)</x:f>
        <x:v>6</x:v>
      </x:c>
      <x:c r="J618" s="31" t="n">
        <x:v>3.3</x:v>
      </x:c>
      <x:c r="K618" s="31" t="n">
        <x:v>5.72</x:v>
      </x:c>
      <x:c r="L618" s="31" t="n">
        <x:f>ABS(J618-K618)</x:f>
        <x:v>2.42</x:v>
      </x:c>
      <x:c r="M618" s="31" t="n">
        <x:v>3.5</x:v>
      </x:c>
      <x:c r="N618" s="31" t="n">
        <x:v>5.71</x:v>
      </x:c>
      <x:c r="O618" s="31" t="n">
        <x:f>ABS(M618-N618)</x:f>
        <x:v>2.21</x:v>
      </x:c>
      <x:c r="P618" s="31" t="n">
        <x:v>3.41</x:v>
      </x:c>
      <x:c r="Q618" s="31" t="n">
        <x:v>5.57</x:v>
      </x:c>
      <x:c r="R618" s="31" t="n">
        <x:f>ABS(P618-Q618)</x:f>
        <x:v>2.16</x:v>
      </x:c>
      <x:c r="S618" s="32" t="n">
        <x:v>2494.874696388392</x:v>
      </x:c>
      <x:c r="T618" s="32" t="n">
        <x:v>3390.769957561523</x:v>
      </x:c>
      <x:c r="U618" s="31" t="n">
        <x:f>MAX(S618/T618,T618/S618)</x:f>
        <x:v>1.3590942913766526</x:v>
      </x:c>
      <x:c r="V618" s="31" t="n">
        <x:f>L618*'Controls &amp; Summary'!$B$9+O618*'Controls &amp; Summary'!$B$10+R618*'Controls &amp; Summary'!$B$11+U618*'Controls &amp; Summary'!$B$12</x:f>
        <x:v>8.149094291376652</x:v>
      </x:c>
      <x:c r="W618" s="31" t="n">
        <x:v>2</x:v>
      </x:c>
      <x:c r="X618" s="31" t="n">
        <x:v>1</x:v>
      </x:c>
      <x:c r="Y618" s="31" t="n">
        <x:f>((10-MIN(10,MAX(0,X618)))/10)*'Controls &amp; Summary'!$B$15+((10-MIN(10,MAX(0,W618)))/10)*'Controls &amp; Summary'!$B$16</x:f>
        <x:v>1.7000000000000002</x:v>
      </x:c>
      <x:c r="Z618" s="31" t="n">
        <x:f>V618*Y618</x:f>
        <x:v>13.85346029534031</x:v>
      </x:c>
      <x:c r="AA618" s="30" t="str">
        <x:f>IF(Z618&lt;=I618,"Peaceful","Hostile")</x:f>
        <x:v>Hostile</x:v>
      </x:c>
      <x:c r="AB618" s="30" t="str">
        <x:f>IF(Z618&lt;='Controls &amp; Summary'!$B$6,"Eligible","Blocked")</x:f>
        <x:v>Blocked</x:v>
      </x:c>
      <x:c r="AC618" s="30" t="str">
        <x:v>ETH</x:v>
      </x:c>
      <x:c r="AD618" s="30" t="str">
        <x:v>ZMB</x:v>
      </x:c>
      <x:c r="AE618" s="30" t="str">
        <x:v>Zambia</x:v>
      </x:c>
      <x:c r="AF618" s="30" t="str">
        <x:v>Explicit capitalClaim</x:v>
      </x:c>
      <x:c r="AG618" s="30" t="str">
        <x:v>ClaimETHZambia</x:v>
      </x:c>
      <x:c r="AH618" s="30" t="str">
        <x:v>Project_AfricanUnion</x:v>
      </x:c>
    </x:row>
    <x:row r="619">
      <x:c r="A619" s="30" t="str">
        <x:v>2022</x:v>
      </x:c>
      <x:c r="B619" s="30" t="str">
        <x:v>Base game</x:v>
      </x:c>
      <x:c r="C619" s="30" t="str">
        <x:v>Ethiopia</x:v>
      </x:c>
      <x:c r="D619" s="30" t="str">
        <x:v>Zimbabwe</x:v>
      </x:c>
      <x:c r="E619" s="30" t="str">
        <x:v>Project unlock</x:v>
      </x:c>
      <x:c r="F619" s="30" t="str">
        <x:v>African Union</x:v>
      </x:c>
      <x:c r="G619" s="30" t="str">
        <x:v>No</x:v>
      </x:c>
      <x:c r="H619" s="30" t="str">
        <x:v>Ordinary claim</x:v>
      </x:c>
      <x:c r="I619" s="31" t="n">
        <x:f>IF(G619="Yes",'Controls &amp; Summary'!$B$5,'Controls &amp; Summary'!$B$4)</x:f>
        <x:v>6</x:v>
      </x:c>
      <x:c r="J619" s="31" t="n">
        <x:v>3.3</x:v>
      </x:c>
      <x:c r="K619" s="31" t="n">
        <x:v>2.92</x:v>
      </x:c>
      <x:c r="L619" s="31" t="n">
        <x:f>ABS(J619-K619)</x:f>
        <x:v>0.3799999999999999</x:v>
      </x:c>
      <x:c r="M619" s="31" t="n">
        <x:v>3.5</x:v>
      </x:c>
      <x:c r="N619" s="31" t="n">
        <x:v>5.03</x:v>
      </x:c>
      <x:c r="O619" s="31" t="n">
        <x:f>ABS(M619-N619)</x:f>
        <x:v>1.5300000000000002</x:v>
      </x:c>
      <x:c r="P619" s="31" t="n">
        <x:v>3.41</x:v>
      </x:c>
      <x:c r="Q619" s="31" t="n">
        <x:v>5.87</x:v>
      </x:c>
      <x:c r="R619" s="31" t="n">
        <x:f>ABS(P619-Q619)</x:f>
        <x:v>2.46</x:v>
      </x:c>
      <x:c r="S619" s="32" t="n">
        <x:v>2494.874696388392</x:v>
      </x:c>
      <x:c r="T619" s="32" t="n">
        <x:v>3022.6033813062822</x:v>
      </x:c>
      <x:c r="U619" s="31" t="n">
        <x:f>MAX(S619/T619,T619/S619)</x:f>
        <x:v>1.2115251261643867</x:v>
      </x:c>
      <x:c r="V619" s="31" t="n">
        <x:f>L619*'Controls &amp; Summary'!$B$9+O619*'Controls &amp; Summary'!$B$10+R619*'Controls &amp; Summary'!$B$11+U619*'Controls &amp; Summary'!$B$12</x:f>
        <x:v>5.581525126164387</x:v>
      </x:c>
      <x:c r="W619" s="31" t="n">
        <x:v>2</x:v>
      </x:c>
      <x:c r="X619" s="31" t="n">
        <x:v>3</x:v>
      </x:c>
      <x:c r="Y619" s="31" t="n">
        <x:f>((10-MIN(10,MAX(0,X619)))/10)*'Controls &amp; Summary'!$B$15+((10-MIN(10,MAX(0,W619)))/10)*'Controls &amp; Summary'!$B$16</x:f>
        <x:v>1.5</x:v>
      </x:c>
      <x:c r="Z619" s="31" t="n">
        <x:f>V619*Y619</x:f>
        <x:v>8.37228768924658</x:v>
      </x:c>
      <x:c r="AA619" s="30" t="str">
        <x:f>IF(Z619&lt;=I619,"Peaceful","Hostile")</x:f>
        <x:v>Hostile</x:v>
      </x:c>
      <x:c r="AB619" s="30" t="str">
        <x:f>IF(Z619&lt;='Controls &amp; Summary'!$B$6,"Eligible","Blocked")</x:f>
        <x:v>Eligible</x:v>
      </x:c>
      <x:c r="AC619" s="30" t="str">
        <x:v>ETH</x:v>
      </x:c>
      <x:c r="AD619" s="30" t="str">
        <x:v>ZWE</x:v>
      </x:c>
      <x:c r="AE619" s="30" t="str">
        <x:v>Zimbabwe</x:v>
      </x:c>
      <x:c r="AF619" s="30" t="str">
        <x:v>Explicit capitalClaim</x:v>
      </x:c>
      <x:c r="AG619" s="30" t="str">
        <x:v>ClaimETHZimbabwe</x:v>
      </x:c>
      <x:c r="AH619" s="30" t="str">
        <x:v>Project_AfricanUnion</x:v>
      </x:c>
    </x:row>
    <x:row r="620">
      <x:c r="A620" s="30" t="str">
        <x:v>2022</x:v>
      </x:c>
      <x:c r="B620" s="30" t="str">
        <x:v>Base game</x:v>
      </x:c>
      <x:c r="C620" s="30" t="str">
        <x:v>France</x:v>
      </x:c>
      <x:c r="D620" s="30" t="str">
        <x:v>Albania</x:v>
      </x:c>
      <x:c r="E620" s="30" t="str">
        <x:v>Starting claim</x:v>
      </x:c>
      <x:c r="F620" s="30" t="str"/>
      <x:c r="G620" s="30" t="str">
        <x:v>No</x:v>
      </x:c>
      <x:c r="H620" s="30" t="str">
        <x:v>Ordinary claim</x:v>
      </x:c>
      <x:c r="I620" s="31" t="n">
        <x:f>IF(G620="Yes",'Controls &amp; Summary'!$B$5,'Controls &amp; Summary'!$B$4)</x:f>
        <x:v>6</x:v>
      </x:c>
      <x:c r="J620" s="31" t="n">
        <x:v>7.99</x:v>
      </x:c>
      <x:c r="K620" s="31" t="n">
        <x:v>6.11</x:v>
      </x:c>
      <x:c r="L620" s="31" t="n">
        <x:f>ABS(J620-K620)</x:f>
        <x:v>1.88</x:v>
      </x:c>
      <x:c r="M620" s="31" t="n">
        <x:v>3.24</x:v>
      </x:c>
      <x:c r="N620" s="31" t="n">
        <x:v>3.08</x:v>
      </x:c>
      <x:c r="O620" s="31" t="n">
        <x:f>ABS(M620-N620)</x:f>
        <x:v>0.16000000000000014</x:v>
      </x:c>
      <x:c r="P620" s="31" t="n">
        <x:v>8.17</x:v>
      </x:c>
      <x:c r="Q620" s="31" t="n">
        <x:v>7.46</x:v>
      </x:c>
      <x:c r="R620" s="31" t="n">
        <x:f>ABS(P620-Q620)</x:f>
        <x:v>0.71</x:v>
      </x:c>
      <x:c r="S620" s="32" t="n">
        <x:v>47309.88580491521</x:v>
      </x:c>
      <x:c r="T620" s="32" t="n">
        <x:v>15308.058559743784</x:v>
      </x:c>
      <x:c r="U620" s="31" t="n">
        <x:f>MAX(S620/T620,T620/S620)</x:f>
        <x:v>3.09052161123344</x:v>
      </x:c>
      <x:c r="V620" s="31" t="n">
        <x:f>L620*'Controls &amp; Summary'!$B$9+O620*'Controls &amp; Summary'!$B$10+R620*'Controls &amp; Summary'!$B$11+U620*'Controls &amp; Summary'!$B$12</x:f>
        <x:v>5.84052161123344</x:v>
      </x:c>
      <x:c r="W620" s="31" t="n">
        <x:v>4</x:v>
      </x:c>
      <x:c r="X620" s="31" t="n">
        <x:v>2</x:v>
      </x:c>
      <x:c r="Y620" s="31" t="n">
        <x:f>((10-MIN(10,MAX(0,X620)))/10)*'Controls &amp; Summary'!$B$15+((10-MIN(10,MAX(0,W620)))/10)*'Controls &amp; Summary'!$B$16</x:f>
        <x:v>1.4</x:v>
      </x:c>
      <x:c r="Z620" s="31" t="n">
        <x:f>V620*Y620</x:f>
        <x:v>8.176730255726815</x:v>
      </x:c>
      <x:c r="AA620" s="30" t="str">
        <x:f>IF(Z620&lt;=I620,"Peaceful","Hostile")</x:f>
        <x:v>Hostile</x:v>
      </x:c>
      <x:c r="AB620" s="30" t="str">
        <x:f>IF(Z620&lt;='Controls &amp; Summary'!$B$6,"Eligible","Blocked")</x:f>
        <x:v>Eligible</x:v>
      </x:c>
      <x:c r="AC620" s="30" t="str">
        <x:v>EUA</x:v>
      </x:c>
      <x:c r="AD620" s="30" t="str">
        <x:v>SBK</x:v>
      </x:c>
      <x:c r="AE620" s="30" t="str">
        <x:v>Tirana</x:v>
      </x:c>
      <x:c r="AF620" s="30" t="str">
        <x:v>Explicit capitalClaim</x:v>
      </x:c>
      <x:c r="AG620" s="30" t="str">
        <x:v>ClaimEUATirana</x:v>
      </x:c>
      <x:c r="AH620" s="30" t="str"/>
    </x:row>
    <x:row r="621">
      <x:c r="A621" s="30" t="str">
        <x:v>2022</x:v>
      </x:c>
      <x:c r="B621" s="30" t="str">
        <x:v>Base game</x:v>
      </x:c>
      <x:c r="C621" s="30" t="str">
        <x:v>France</x:v>
      </x:c>
      <x:c r="D621" s="30" t="str">
        <x:v>Armenia</x:v>
      </x:c>
      <x:c r="E621" s="30" t="str">
        <x:v>Project unlock</x:v>
      </x:c>
      <x:c r="F621" s="30" t="str">
        <x:v>Europe Ascendant</x:v>
      </x:c>
      <x:c r="G621" s="30" t="str">
        <x:v>No</x:v>
      </x:c>
      <x:c r="H621" s="30" t="str">
        <x:v>Ordinary claim</x:v>
      </x:c>
      <x:c r="I621" s="31" t="n">
        <x:f>IF(G621="Yes",'Controls &amp; Summary'!$B$5,'Controls &amp; Summary'!$B$4)</x:f>
        <x:v>6</x:v>
      </x:c>
      <x:c r="J621" s="31" t="n">
        <x:v>7.99</x:v>
      </x:c>
      <x:c r="K621" s="31" t="n">
        <x:v>5.49</x:v>
      </x:c>
      <x:c r="L621" s="31" t="n">
        <x:f>ABS(J621-K621)</x:f>
        <x:v>2.5</x:v>
      </x:c>
      <x:c r="M621" s="31" t="n">
        <x:v>3.24</x:v>
      </x:c>
      <x:c r="N621" s="31" t="n">
        <x:v>2.52</x:v>
      </x:c>
      <x:c r="O621" s="31" t="n">
        <x:f>ABS(M621-N621)</x:f>
        <x:v>0.7200000000000002</x:v>
      </x:c>
      <x:c r="P621" s="31" t="n">
        <x:v>8.17</x:v>
      </x:c>
      <x:c r="Q621" s="31" t="n">
        <x:v>7.4</x:v>
      </x:c>
      <x:c r="R621" s="31" t="n">
        <x:f>ABS(P621-Q621)</x:f>
        <x:v>0.7699999999999996</x:v>
      </x:c>
      <x:c r="S621" s="32" t="n">
        <x:v>47309.88580491521</x:v>
      </x:c>
      <x:c r="T621" s="32" t="n">
        <x:v>13870.754762964294</x:v>
      </x:c>
      <x:c r="U621" s="31" t="n">
        <x:f>MAX(S621/T621,T621/S621)</x:f>
        <x:v>3.410765067466646</x:v>
      </x:c>
      <x:c r="V621" s="31" t="n">
        <x:f>L621*'Controls &amp; Summary'!$B$9+O621*'Controls &amp; Summary'!$B$10+R621*'Controls &amp; Summary'!$B$11+U621*'Controls &amp; Summary'!$B$12</x:f>
        <x:v>7.400765067466645</x:v>
      </x:c>
      <x:c r="W621" s="31" t="n">
        <x:v>4</x:v>
      </x:c>
      <x:c r="X621" s="31" t="n">
        <x:v>3</x:v>
      </x:c>
      <x:c r="Y621" s="31" t="n">
        <x:f>((10-MIN(10,MAX(0,X621)))/10)*'Controls &amp; Summary'!$B$15+((10-MIN(10,MAX(0,W621)))/10)*'Controls &amp; Summary'!$B$16</x:f>
        <x:v>1.2999999999999998</x:v>
      </x:c>
      <x:c r="Z621" s="31" t="n">
        <x:f>V621*Y621</x:f>
        <x:v>9.620994587706639</x:v>
      </x:c>
      <x:c r="AA621" s="30" t="str">
        <x:f>IF(Z621&lt;=I621,"Peaceful","Hostile")</x:f>
        <x:v>Hostile</x:v>
      </x:c>
      <x:c r="AB621" s="30" t="str">
        <x:f>IF(Z621&lt;='Controls &amp; Summary'!$B$6,"Eligible","Blocked")</x:f>
        <x:v>Eligible</x:v>
      </x:c>
      <x:c r="AC621" s="30" t="str">
        <x:v>EUA</x:v>
      </x:c>
      <x:c r="AD621" s="30" t="str">
        <x:v>ARM</x:v>
      </x:c>
      <x:c r="AE621" s="30" t="str">
        <x:v>Armenia</x:v>
      </x:c>
      <x:c r="AF621" s="30" t="str">
        <x:v>Explicit capitalClaim</x:v>
      </x:c>
      <x:c r="AG621" s="30" t="str">
        <x:v>ClaimEUAArmenia</x:v>
      </x:c>
      <x:c r="AH621" s="30" t="str">
        <x:v>Project_EuropeAscendant</x:v>
      </x:c>
    </x:row>
    <x:row r="622">
      <x:c r="A622" s="30" t="str">
        <x:v>2022</x:v>
      </x:c>
      <x:c r="B622" s="30" t="str">
        <x:v>Base game</x:v>
      </x:c>
      <x:c r="C622" s="30" t="str">
        <x:v>France</x:v>
      </x:c>
      <x:c r="D622" s="30" t="str">
        <x:v>Austria</x:v>
      </x:c>
      <x:c r="E622" s="30" t="str">
        <x:v>Starting claim</x:v>
      </x:c>
      <x:c r="F622" s="30" t="str"/>
      <x:c r="G622" s="30" t="str">
        <x:v>No</x:v>
      </x:c>
      <x:c r="H622" s="30" t="str">
        <x:v>Ordinary claim</x:v>
      </x:c>
      <x:c r="I622" s="31" t="n">
        <x:f>IF(G622="Yes",'Controls &amp; Summary'!$B$5,'Controls &amp; Summary'!$B$4)</x:f>
        <x:v>6</x:v>
      </x:c>
      <x:c r="J622" s="31" t="n">
        <x:v>7.99</x:v>
      </x:c>
      <x:c r="K622" s="31" t="n">
        <x:v>8.07</x:v>
      </x:c>
      <x:c r="L622" s="31" t="n">
        <x:f>ABS(J622-K622)</x:f>
        <x:v>0.08000000000000007</x:v>
      </x:c>
      <x:c r="M622" s="31" t="n">
        <x:v>3.24</x:v>
      </x:c>
      <x:c r="N622" s="31" t="n">
        <x:v>3.02</x:v>
      </x:c>
      <x:c r="O622" s="31" t="n">
        <x:f>ABS(M622-N622)</x:f>
        <x:v>0.2200000000000002</x:v>
      </x:c>
      <x:c r="P622" s="31" t="n">
        <x:v>8.17</x:v>
      </x:c>
      <x:c r="Q622" s="31" t="n">
        <x:v>8.65</x:v>
      </x:c>
      <x:c r="R622" s="31" t="n">
        <x:f>ABS(P622-Q622)</x:f>
        <x:v>0.4800000000000004</x:v>
      </x:c>
      <x:c r="S622" s="32" t="n">
        <x:v>47309.88580491521</x:v>
      </x:c>
      <x:c r="T622" s="32" t="n">
        <x:v>56461.526507157185</x:v>
      </x:c>
      <x:c r="U622" s="31" t="n">
        <x:f>MAX(S622/T622,T622/S622)</x:f>
        <x:v>1.1934403464844376</x:v>
      </x:c>
      <x:c r="V622" s="31" t="n">
        <x:f>L622*'Controls &amp; Summary'!$B$9+O622*'Controls &amp; Summary'!$B$10+R622*'Controls &amp; Summary'!$B$11+U622*'Controls &amp; Summary'!$B$12</x:f>
        <x:v>1.9734403464844383</x:v>
      </x:c>
      <x:c r="W622" s="31" t="n">
        <x:v>4</x:v>
      </x:c>
      <x:c r="X622" s="31" t="n">
        <x:v>0</x:v>
      </x:c>
      <x:c r="Y622" s="31" t="n">
        <x:f>((10-MIN(10,MAX(0,X622)))/10)*'Controls &amp; Summary'!$B$15+((10-MIN(10,MAX(0,W622)))/10)*'Controls &amp; Summary'!$B$16</x:f>
        <x:v>1.6</x:v>
      </x:c>
      <x:c r="Z622" s="31" t="n">
        <x:f>V622*Y622</x:f>
        <x:v>3.1575045543751017</x:v>
      </x:c>
      <x:c r="AA622" s="30" t="str">
        <x:f>IF(Z622&lt;=I622,"Peaceful","Hostile")</x:f>
        <x:v>Peaceful</x:v>
      </x:c>
      <x:c r="AB622" s="30" t="str">
        <x:f>IF(Z622&lt;='Controls &amp; Summary'!$B$6,"Eligible","Blocked")</x:f>
        <x:v>Eligible</x:v>
      </x:c>
      <x:c r="AC622" s="30" t="str">
        <x:v>EUA</x:v>
      </x:c>
      <x:c r="AD622" s="30" t="str">
        <x:v>ALP</x:v>
      </x:c>
      <x:c r="AE622" s="30" t="str">
        <x:v>Vienna</x:v>
      </x:c>
      <x:c r="AF622" s="30" t="str">
        <x:v>Explicit capitalClaim</x:v>
      </x:c>
      <x:c r="AG622" s="30" t="str">
        <x:v>ClaimEUAVienna</x:v>
      </x:c>
      <x:c r="AH622" s="30" t="str"/>
    </x:row>
    <x:row r="623">
      <x:c r="A623" s="30" t="str">
        <x:v>2022</x:v>
      </x:c>
      <x:c r="B623" s="30" t="str">
        <x:v>Base game</x:v>
      </x:c>
      <x:c r="C623" s="30" t="str">
        <x:v>France</x:v>
      </x:c>
      <x:c r="D623" s="30" t="str">
        <x:v>Azerbaijan</x:v>
      </x:c>
      <x:c r="E623" s="30" t="str">
        <x:v>Project unlock</x:v>
      </x:c>
      <x:c r="F623" s="30" t="str">
        <x:v>Great Europa</x:v>
      </x:c>
      <x:c r="G623" s="30" t="str">
        <x:v>No</x:v>
      </x:c>
      <x:c r="H623" s="30" t="str">
        <x:v>Ordinary claim</x:v>
      </x:c>
      <x:c r="I623" s="31" t="n">
        <x:f>IF(G623="Yes",'Controls &amp; Summary'!$B$5,'Controls &amp; Summary'!$B$4)</x:f>
        <x:v>6</x:v>
      </x:c>
      <x:c r="J623" s="31" t="n">
        <x:v>7.99</x:v>
      </x:c>
      <x:c r="K623" s="31" t="n">
        <x:v>2.68</x:v>
      </x:c>
      <x:c r="L623" s="31" t="n">
        <x:f>ABS(J623-K623)</x:f>
        <x:v>5.3100000000000005</x:v>
      </x:c>
      <x:c r="M623" s="31" t="n">
        <x:v>3.24</x:v>
      </x:c>
      <x:c r="N623" s="31" t="n">
        <x:v>2.66</x:v>
      </x:c>
      <x:c r="O623" s="31" t="n">
        <x:f>ABS(M623-N623)</x:f>
        <x:v>0.5800000000000001</x:v>
      </x:c>
      <x:c r="P623" s="31" t="n">
        <x:v>8.17</x:v>
      </x:c>
      <x:c r="Q623" s="31" t="n">
        <x:v>7.11</x:v>
      </x:c>
      <x:c r="R623" s="31" t="n">
        <x:f>ABS(P623-Q623)</x:f>
        <x:v>1.0599999999999996</x:v>
      </x:c>
      <x:c r="S623" s="32" t="n">
        <x:v>47309.88580491521</x:v>
      </x:c>
      <x:c r="T623" s="32" t="n">
        <x:v>14973.357177699658</x:v>
      </x:c>
      <x:c r="U623" s="31" t="n">
        <x:f>MAX(S623/T623,T623/S623)</x:f>
        <x:v>3.159604438968134</x:v>
      </x:c>
      <x:c r="V623" s="31" t="n">
        <x:f>L623*'Controls &amp; Summary'!$B$9+O623*'Controls &amp; Summary'!$B$10+R623*'Controls &amp; Summary'!$B$11+U623*'Controls &amp; Summary'!$B$12</x:f>
        <x:v>10.109604438968134</x:v>
      </x:c>
      <x:c r="W623" s="31" t="n">
        <x:v>4</x:v>
      </x:c>
      <x:c r="X623" s="31" t="n">
        <x:v>3</x:v>
      </x:c>
      <x:c r="Y623" s="31" t="n">
        <x:f>((10-MIN(10,MAX(0,X623)))/10)*'Controls &amp; Summary'!$B$15+((10-MIN(10,MAX(0,W623)))/10)*'Controls &amp; Summary'!$B$16</x:f>
        <x:v>1.2999999999999998</x:v>
      </x:c>
      <x:c r="Z623" s="31" t="n">
        <x:f>V623*Y623</x:f>
        <x:v>13.142485770658572</x:v>
      </x:c>
      <x:c r="AA623" s="30" t="str">
        <x:f>IF(Z623&lt;=I623,"Peaceful","Hostile")</x:f>
        <x:v>Hostile</x:v>
      </x:c>
      <x:c r="AB623" s="30" t="str">
        <x:f>IF(Z623&lt;='Controls &amp; Summary'!$B$6,"Eligible","Blocked")</x:f>
        <x:v>Blocked</x:v>
      </x:c>
      <x:c r="AC623" s="30" t="str">
        <x:v>EUA</x:v>
      </x:c>
      <x:c r="AD623" s="30" t="str">
        <x:v>AZE</x:v>
      </x:c>
      <x:c r="AE623" s="30" t="str">
        <x:v>Azerbaijan</x:v>
      </x:c>
      <x:c r="AF623" s="30" t="str">
        <x:v>Explicit capitalClaim</x:v>
      </x:c>
      <x:c r="AG623" s="30" t="str">
        <x:v>ClaimEUAAzerbaijan</x:v>
      </x:c>
      <x:c r="AH623" s="30" t="str">
        <x:v>Project_GreatEuropa</x:v>
      </x:c>
    </x:row>
    <x:row r="624">
      <x:c r="A624" s="30" t="str">
        <x:v>2022</x:v>
      </x:c>
      <x:c r="B624" s="30" t="str">
        <x:v>Base game</x:v>
      </x:c>
      <x:c r="C624" s="30" t="str">
        <x:v>France</x:v>
      </x:c>
      <x:c r="D624" s="30" t="str">
        <x:v>Belarus</x:v>
      </x:c>
      <x:c r="E624" s="30" t="str">
        <x:v>Project unlock</x:v>
      </x:c>
      <x:c r="F624" s="30" t="str">
        <x:v>Europe Ascendant</x:v>
      </x:c>
      <x:c r="G624" s="30" t="str">
        <x:v>No</x:v>
      </x:c>
      <x:c r="H624" s="30" t="str">
        <x:v>Ordinary claim</x:v>
      </x:c>
      <x:c r="I624" s="31" t="n">
        <x:f>IF(G624="Yes",'Controls &amp; Summary'!$B$5,'Controls &amp; Summary'!$B$4)</x:f>
        <x:v>6</x:v>
      </x:c>
      <x:c r="J624" s="31" t="n">
        <x:v>7.99</x:v>
      </x:c>
      <x:c r="K624" s="31" t="n">
        <x:v>2.41</x:v>
      </x:c>
      <x:c r="L624" s="31" t="n">
        <x:f>ABS(J624-K624)</x:f>
        <x:v>5.58</x:v>
      </x:c>
      <x:c r="M624" s="31" t="n">
        <x:v>3.24</x:v>
      </x:c>
      <x:c r="N624" s="31" t="n">
        <x:v>2.44</x:v>
      </x:c>
      <x:c r="O624" s="31" t="n">
        <x:f>ABS(M624-N624)</x:f>
        <x:v>0.8000000000000003</x:v>
      </x:c>
      <x:c r="P624" s="31" t="n">
        <x:v>8.17</x:v>
      </x:c>
      <x:c r="Q624" s="31" t="n">
        <x:v>8.38</x:v>
      </x:c>
      <x:c r="R624" s="31" t="n">
        <x:f>ABS(P624-Q624)</x:f>
        <x:v>0.21000000000000085</x:v>
      </x:c>
      <x:c r="S624" s="32" t="n">
        <x:v>47309.88580491521</x:v>
      </x:c>
      <x:c r="T624" s="32" t="n">
        <x:v>18827.984500563976</x:v>
      </x:c>
      <x:c r="U624" s="31" t="n">
        <x:f>MAX(S624/T624,T624/S624)</x:f>
        <x:v>2.512742975940844</x:v>
      </x:c>
      <x:c r="V624" s="31" t="n">
        <x:f>L624*'Controls &amp; Summary'!$B$9+O624*'Controls &amp; Summary'!$B$10+R624*'Controls &amp; Summary'!$B$11+U624*'Controls &amp; Summary'!$B$12</x:f>
        <x:v>9.102742975940846</x:v>
      </x:c>
      <x:c r="W624" s="31" t="n">
        <x:v>4</x:v>
      </x:c>
      <x:c r="X624" s="31" t="n">
        <x:v>3</x:v>
      </x:c>
      <x:c r="Y624" s="31" t="n">
        <x:f>((10-MIN(10,MAX(0,X624)))/10)*'Controls &amp; Summary'!$B$15+((10-MIN(10,MAX(0,W624)))/10)*'Controls &amp; Summary'!$B$16</x:f>
        <x:v>1.2999999999999998</x:v>
      </x:c>
      <x:c r="Z624" s="31" t="n">
        <x:f>V624*Y624</x:f>
        <x:v>11.833565868723097</x:v>
      </x:c>
      <x:c r="AA624" s="30" t="str">
        <x:f>IF(Z624&lt;=I624,"Peaceful","Hostile")</x:f>
        <x:v>Hostile</x:v>
      </x:c>
      <x:c r="AB624" s="30" t="str">
        <x:f>IF(Z624&lt;='Controls &amp; Summary'!$B$6,"Eligible","Blocked")</x:f>
        <x:v>Eligible</x:v>
      </x:c>
      <x:c r="AC624" s="30" t="str">
        <x:v>EUA</x:v>
      </x:c>
      <x:c r="AD624" s="30" t="str">
        <x:v>BLR</x:v>
      </x:c>
      <x:c r="AE624" s="30" t="str">
        <x:v>Belarus</x:v>
      </x:c>
      <x:c r="AF624" s="30" t="str">
        <x:v>Explicit capitalClaim</x:v>
      </x:c>
      <x:c r="AG624" s="30" t="str">
        <x:v>ClaimEUABelarus</x:v>
      </x:c>
      <x:c r="AH624" s="30" t="str">
        <x:v>Project_EuropeAscendant</x:v>
      </x:c>
    </x:row>
    <x:row r="625">
      <x:c r="A625" s="30" t="str">
        <x:v>2022</x:v>
      </x:c>
      <x:c r="B625" s="30" t="str">
        <x:v>Base game</x:v>
      </x:c>
      <x:c r="C625" s="30" t="str">
        <x:v>France</x:v>
      </x:c>
      <x:c r="D625" s="30" t="str">
        <x:v>Belgium</x:v>
      </x:c>
      <x:c r="E625" s="30" t="str">
        <x:v>Starting claim</x:v>
      </x:c>
      <x:c r="F625" s="30" t="str"/>
      <x:c r="G625" s="30" t="str">
        <x:v>No</x:v>
      </x:c>
      <x:c r="H625" s="30" t="str">
        <x:v>Ordinary claim</x:v>
      </x:c>
      <x:c r="I625" s="31" t="n">
        <x:f>IF(G625="Yes",'Controls &amp; Summary'!$B$5,'Controls &amp; Summary'!$B$4)</x:f>
        <x:v>6</x:v>
      </x:c>
      <x:c r="J625" s="31" t="n">
        <x:v>7.99</x:v>
      </x:c>
      <x:c r="K625" s="31" t="n">
        <x:v>7.51</x:v>
      </x:c>
      <x:c r="L625" s="31" t="n">
        <x:f>ABS(J625-K625)</x:f>
        <x:v>0.4800000000000004</x:v>
      </x:c>
      <x:c r="M625" s="31" t="n">
        <x:v>3.24</x:v>
      </x:c>
      <x:c r="N625" s="31" t="n">
        <x:v>2.72</x:v>
      </x:c>
      <x:c r="O625" s="31" t="n">
        <x:f>ABS(M625-N625)</x:f>
        <x:v>0.52</x:v>
      </x:c>
      <x:c r="P625" s="31" t="n">
        <x:v>8.17</x:v>
      </x:c>
      <x:c r="Q625" s="31" t="n">
        <x:v>9.02</x:v>
      </x:c>
      <x:c r="R625" s="31" t="n">
        <x:f>ABS(P625-Q625)</x:f>
        <x:v>0.8499999999999996</x:v>
      </x:c>
      <x:c r="S625" s="32" t="n">
        <x:v>47309.88580491521</x:v>
      </x:c>
      <x:c r="T625" s="32" t="n">
        <x:v>54689.60278835536</x:v>
      </x:c>
      <x:c r="U625" s="31" t="n">
        <x:f>MAX(S625/T625,T625/S625)</x:f>
        <x:v>1.1559867849580276</x:v>
      </x:c>
      <x:c r="V625" s="31" t="n">
        <x:f>L625*'Controls &amp; Summary'!$B$9+O625*'Controls &amp; Summary'!$B$10+R625*'Controls &amp; Summary'!$B$11+U625*'Controls &amp; Summary'!$B$12</x:f>
        <x:v>3.0059867849580275</x:v>
      </x:c>
      <x:c r="W625" s="31" t="n">
        <x:v>4</x:v>
      </x:c>
      <x:c r="X625" s="31" t="n">
        <x:v>1</x:v>
      </x:c>
      <x:c r="Y625" s="31" t="n">
        <x:f>((10-MIN(10,MAX(0,X625)))/10)*'Controls &amp; Summary'!$B$15+((10-MIN(10,MAX(0,W625)))/10)*'Controls &amp; Summary'!$B$16</x:f>
        <x:v>1.5</x:v>
      </x:c>
      <x:c r="Z625" s="31" t="n">
        <x:f>V625*Y625</x:f>
        <x:v>4.508980177437041</x:v>
      </x:c>
      <x:c r="AA625" s="30" t="str">
        <x:f>IF(Z625&lt;=I625,"Peaceful","Hostile")</x:f>
        <x:v>Peaceful</x:v>
      </x:c>
      <x:c r="AB625" s="30" t="str">
        <x:f>IF(Z625&lt;='Controls &amp; Summary'!$B$6,"Eligible","Blocked")</x:f>
        <x:v>Eligible</x:v>
      </x:c>
      <x:c r="AC625" s="30" t="str">
        <x:v>EUA</x:v>
      </x:c>
      <x:c r="AD625" s="30" t="str">
        <x:v>BGM</x:v>
      </x:c>
      <x:c r="AE625" s="30" t="str">
        <x:v>Belgium</x:v>
      </x:c>
      <x:c r="AF625" s="30" t="str">
        <x:v>Explicit capitalClaim</x:v>
      </x:c>
      <x:c r="AG625" s="30" t="str">
        <x:v>ClaimEUABelgium</x:v>
      </x:c>
      <x:c r="AH625" s="30" t="str"/>
    </x:row>
    <x:row r="626">
      <x:c r="A626" s="30" t="str">
        <x:v>2022</x:v>
      </x:c>
      <x:c r="B626" s="30" t="str">
        <x:v>Base game</x:v>
      </x:c>
      <x:c r="C626" s="30" t="str">
        <x:v>France</x:v>
      </x:c>
      <x:c r="D626" s="30" t="str">
        <x:v>Bosnia and Herzegovina</x:v>
      </x:c>
      <x:c r="E626" s="30" t="str">
        <x:v>Starting claim</x:v>
      </x:c>
      <x:c r="F626" s="30" t="str"/>
      <x:c r="G626" s="30" t="str">
        <x:v>No</x:v>
      </x:c>
      <x:c r="H626" s="30" t="str">
        <x:v>Ordinary claim</x:v>
      </x:c>
      <x:c r="I626" s="31" t="n">
        <x:f>IF(G626="Yes",'Controls &amp; Summary'!$B$5,'Controls &amp; Summary'!$B$4)</x:f>
        <x:v>6</x:v>
      </x:c>
      <x:c r="J626" s="31" t="n">
        <x:v>7.99</x:v>
      </x:c>
      <x:c r="K626" s="31" t="n">
        <x:v>5.04</x:v>
      </x:c>
      <x:c r="L626" s="31" t="n">
        <x:f>ABS(J626-K626)</x:f>
        <x:v>2.95</x:v>
      </x:c>
      <x:c r="M626" s="31" t="n">
        <x:v>3.24</x:v>
      </x:c>
      <x:c r="N626" s="31" t="n">
        <x:v>3.3</x:v>
      </x:c>
      <x:c r="O626" s="31" t="n">
        <x:f>ABS(M626-N626)</x:f>
        <x:v>0.05999999999999961</x:v>
      </x:c>
      <x:c r="P626" s="31" t="n">
        <x:v>8.17</x:v>
      </x:c>
      <x:c r="Q626" s="31" t="n">
        <x:v>7.11</x:v>
      </x:c>
      <x:c r="R626" s="31" t="n">
        <x:f>ABS(P626-Q626)</x:f>
        <x:v>1.0599999999999996</x:v>
      </x:c>
      <x:c r="S626" s="32" t="n">
        <x:v>47309.88580491521</x:v>
      </x:c>
      <x:c r="T626" s="32" t="n">
        <x:v>16451.920111445263</x:v>
      </x:c>
      <x:c r="U626" s="31" t="n">
        <x:f>MAX(S626/T626,T626/S626)</x:f>
        <x:v>2.875645242891904</x:v>
      </x:c>
      <x:c r="V626" s="31" t="n">
        <x:f>L626*'Controls &amp; Summary'!$B$9+O626*'Controls &amp; Summary'!$B$10+R626*'Controls &amp; Summary'!$B$11+U626*'Controls &amp; Summary'!$B$12</x:f>
        <x:v>6.945645242891903</x:v>
      </x:c>
      <x:c r="W626" s="31" t="n">
        <x:v>4</x:v>
      </x:c>
      <x:c r="X626" s="31" t="n">
        <x:v>2</x:v>
      </x:c>
      <x:c r="Y626" s="31" t="n">
        <x:f>((10-MIN(10,MAX(0,X626)))/10)*'Controls &amp; Summary'!$B$15+((10-MIN(10,MAX(0,W626)))/10)*'Controls &amp; Summary'!$B$16</x:f>
        <x:v>1.4</x:v>
      </x:c>
      <x:c r="Z626" s="31" t="n">
        <x:f>V626*Y626</x:f>
        <x:v>9.723903340048663</x:v>
      </x:c>
      <x:c r="AA626" s="30" t="str">
        <x:f>IF(Z626&lt;=I626,"Peaceful","Hostile")</x:f>
        <x:v>Hostile</x:v>
      </x:c>
      <x:c r="AB626" s="30" t="str">
        <x:f>IF(Z626&lt;='Controls &amp; Summary'!$B$6,"Eligible","Blocked")</x:f>
        <x:v>Eligible</x:v>
      </x:c>
      <x:c r="AC626" s="30" t="str">
        <x:v>EUA</x:v>
      </x:c>
      <x:c r="AD626" s="30" t="str">
        <x:v>BSM</x:v>
      </x:c>
      <x:c r="AE626" s="30" t="str">
        <x:v>Sarajevo</x:v>
      </x:c>
      <x:c r="AF626" s="30" t="str">
        <x:v>Explicit capitalClaim</x:v>
      </x:c>
      <x:c r="AG626" s="30" t="str">
        <x:v>ClaimEUASarajevo</x:v>
      </x:c>
      <x:c r="AH626" s="30" t="str"/>
    </x:row>
    <x:row r="627">
      <x:c r="A627" s="30" t="str">
        <x:v>2022</x:v>
      </x:c>
      <x:c r="B627" s="30" t="str">
        <x:v>Base game</x:v>
      </x:c>
      <x:c r="C627" s="30" t="str">
        <x:v>France</x:v>
      </x:c>
      <x:c r="D627" s="30" t="str">
        <x:v>Bulgaria</x:v>
      </x:c>
      <x:c r="E627" s="30" t="str">
        <x:v>Starting claim</x:v>
      </x:c>
      <x:c r="F627" s="30" t="str"/>
      <x:c r="G627" s="30" t="str">
        <x:v>No</x:v>
      </x:c>
      <x:c r="H627" s="30" t="str">
        <x:v>Ordinary claim</x:v>
      </x:c>
      <x:c r="I627" s="31" t="n">
        <x:f>IF(G627="Yes",'Controls &amp; Summary'!$B$5,'Controls &amp; Summary'!$B$4)</x:f>
        <x:v>6</x:v>
      </x:c>
      <x:c r="J627" s="31" t="n">
        <x:v>7.99</x:v>
      </x:c>
      <x:c r="K627" s="31" t="n">
        <x:v>6.64</x:v>
      </x:c>
      <x:c r="L627" s="31" t="n">
        <x:f>ABS(J627-K627)</x:f>
        <x:v>1.3500000000000005</x:v>
      </x:c>
      <x:c r="M627" s="31" t="n">
        <x:v>3.24</x:v>
      </x:c>
      <x:c r="N627" s="31" t="n">
        <x:v>4.03</x:v>
      </x:c>
      <x:c r="O627" s="31" t="n">
        <x:f>ABS(M627-N627)</x:f>
        <x:v>0.79</x:v>
      </x:c>
      <x:c r="P627" s="31" t="n">
        <x:v>8.17</x:v>
      </x:c>
      <x:c r="Q627" s="31" t="n">
        <x:v>7.79</x:v>
      </x:c>
      <x:c r="R627" s="31" t="n">
        <x:f>ABS(P627-Q627)</x:f>
        <x:v>0.3799999999999999</x:v>
      </x:c>
      <x:c r="S627" s="32" t="n">
        <x:v>47309.88580491521</x:v>
      </x:c>
      <x:c r="T627" s="32" t="n">
        <x:v>28613.103755656426</x:v>
      </x:c>
      <x:c r="U627" s="31" t="n">
        <x:f>MAX(S627/T627,T627/S627)</x:f>
        <x:v>1.6534342519749428</x:v>
      </x:c>
      <x:c r="V627" s="31" t="n">
        <x:f>L627*'Controls &amp; Summary'!$B$9+O627*'Controls &amp; Summary'!$B$10+R627*'Controls &amp; Summary'!$B$11+U627*'Controls &amp; Summary'!$B$12</x:f>
        <x:v>4.173434251974943</x:v>
      </x:c>
      <x:c r="W627" s="31" t="n">
        <x:v>4</x:v>
      </x:c>
      <x:c r="X627" s="31" t="n">
        <x:v>1</x:v>
      </x:c>
      <x:c r="Y627" s="31" t="n">
        <x:f>((10-MIN(10,MAX(0,X627)))/10)*'Controls &amp; Summary'!$B$15+((10-MIN(10,MAX(0,W627)))/10)*'Controls &amp; Summary'!$B$16</x:f>
        <x:v>1.5</x:v>
      </x:c>
      <x:c r="Z627" s="31" t="n">
        <x:f>V627*Y627</x:f>
        <x:v>6.260151377962416</x:v>
      </x:c>
      <x:c r="AA627" s="30" t="str">
        <x:f>IF(Z627&lt;=I627,"Peaceful","Hostile")</x:f>
        <x:v>Hostile</x:v>
      </x:c>
      <x:c r="AB627" s="30" t="str">
        <x:f>IF(Z627&lt;='Controls &amp; Summary'!$B$6,"Eligible","Blocked")</x:f>
        <x:v>Eligible</x:v>
      </x:c>
      <x:c r="AC627" s="30" t="str">
        <x:v>EUA</x:v>
      </x:c>
      <x:c r="AD627" s="30" t="str">
        <x:v>BUL</x:v>
      </x:c>
      <x:c r="AE627" s="30" t="str">
        <x:v>Bulgaria</x:v>
      </x:c>
      <x:c r="AF627" s="30" t="str">
        <x:v>Explicit capitalClaim</x:v>
      </x:c>
      <x:c r="AG627" s="30" t="str">
        <x:v>ClaimEUABulgaria</x:v>
      </x:c>
      <x:c r="AH627" s="30" t="str"/>
    </x:row>
    <x:row r="628">
      <x:c r="A628" s="30" t="str">
        <x:v>2022</x:v>
      </x:c>
      <x:c r="B628" s="30" t="str">
        <x:v>Base game</x:v>
      </x:c>
      <x:c r="C628" s="30" t="str">
        <x:v>France</x:v>
      </x:c>
      <x:c r="D628" s="30" t="str">
        <x:v>Croatia</x:v>
      </x:c>
      <x:c r="E628" s="30" t="str">
        <x:v>Starting claim</x:v>
      </x:c>
      <x:c r="F628" s="30" t="str"/>
      <x:c r="G628" s="30" t="str">
        <x:v>No</x:v>
      </x:c>
      <x:c r="H628" s="30" t="str">
        <x:v>Ordinary claim</x:v>
      </x:c>
      <x:c r="I628" s="31" t="n">
        <x:f>IF(G628="Yes",'Controls &amp; Summary'!$B$5,'Controls &amp; Summary'!$B$4)</x:f>
        <x:v>6</x:v>
      </x:c>
      <x:c r="J628" s="31" t="n">
        <x:v>7.99</x:v>
      </x:c>
      <x:c r="K628" s="31" t="n">
        <x:v>6.5</x:v>
      </x:c>
      <x:c r="L628" s="31" t="n">
        <x:f>ABS(J628-K628)</x:f>
        <x:v>1.4900000000000002</x:v>
      </x:c>
      <x:c r="M628" s="31" t="n">
        <x:v>3.24</x:v>
      </x:c>
      <x:c r="N628" s="31" t="n">
        <x:v>2.89</x:v>
      </x:c>
      <x:c r="O628" s="31" t="n">
        <x:f>ABS(M628-N628)</x:f>
        <x:v>0.3500000000000001</x:v>
      </x:c>
      <x:c r="P628" s="31" t="n">
        <x:v>8.17</x:v>
      </x:c>
      <x:c r="Q628" s="31" t="n">
        <x:v>8.05</x:v>
      </x:c>
      <x:c r="R628" s="31" t="n">
        <x:f>ABS(P628-Q628)</x:f>
        <x:v>0.11999999999999922</x:v>
      </x:c>
      <x:c r="S628" s="32" t="n">
        <x:v>47309.88580491521</x:v>
      </x:c>
      <x:c r="T628" s="32" t="n">
        <x:v>31492.93156945166</x:v>
      </x:c>
      <x:c r="U628" s="31" t="n">
        <x:f>MAX(S628/T628,T628/S628)</x:f>
        <x:v>1.502238230841809</x:v>
      </x:c>
      <x:c r="V628" s="31" t="n">
        <x:f>L628*'Controls &amp; Summary'!$B$9+O628*'Controls &amp; Summary'!$B$10+R628*'Controls &amp; Summary'!$B$11+U628*'Controls &amp; Summary'!$B$12</x:f>
        <x:v>3.4622382308418085</x:v>
      </x:c>
      <x:c r="W628" s="31" t="n">
        <x:v>4</x:v>
      </x:c>
      <x:c r="X628" s="31" t="n">
        <x:v>1</x:v>
      </x:c>
      <x:c r="Y628" s="31" t="n">
        <x:f>((10-MIN(10,MAX(0,X628)))/10)*'Controls &amp; Summary'!$B$15+((10-MIN(10,MAX(0,W628)))/10)*'Controls &amp; Summary'!$B$16</x:f>
        <x:v>1.5</x:v>
      </x:c>
      <x:c r="Z628" s="31" t="n">
        <x:f>V628*Y628</x:f>
        <x:v>5.1933573462627125</x:v>
      </x:c>
      <x:c r="AA628" s="30" t="str">
        <x:f>IF(Z628&lt;=I628,"Peaceful","Hostile")</x:f>
        <x:v>Peaceful</x:v>
      </x:c>
      <x:c r="AB628" s="30" t="str">
        <x:f>IF(Z628&lt;='Controls &amp; Summary'!$B$6,"Eligible","Blocked")</x:f>
        <x:v>Eligible</x:v>
      </x:c>
      <x:c r="AC628" s="30" t="str">
        <x:v>EUA</x:v>
      </x:c>
      <x:c r="AD628" s="30" t="str">
        <x:v>CRS</x:v>
      </x:c>
      <x:c r="AE628" s="30" t="str">
        <x:v>Zagreb</x:v>
      </x:c>
      <x:c r="AF628" s="30" t="str">
        <x:v>Explicit capitalClaim</x:v>
      </x:c>
      <x:c r="AG628" s="30" t="str">
        <x:v>ClaimEUAZagreb</x:v>
      </x:c>
      <x:c r="AH628" s="30" t="str"/>
    </x:row>
    <x:row r="629">
      <x:c r="A629" s="30" t="str">
        <x:v>2022</x:v>
      </x:c>
      <x:c r="B629" s="30" t="str">
        <x:v>Base game</x:v>
      </x:c>
      <x:c r="C629" s="30" t="str">
        <x:v>France</x:v>
      </x:c>
      <x:c r="D629" s="30" t="str">
        <x:v>Czechia</x:v>
      </x:c>
      <x:c r="E629" s="30" t="str">
        <x:v>Starting claim</x:v>
      </x:c>
      <x:c r="F629" s="30" t="str"/>
      <x:c r="G629" s="30" t="str">
        <x:v>No</x:v>
      </x:c>
      <x:c r="H629" s="30" t="str">
        <x:v>Ordinary claim</x:v>
      </x:c>
      <x:c r="I629" s="31" t="n">
        <x:f>IF(G629="Yes",'Controls &amp; Summary'!$B$5,'Controls &amp; Summary'!$B$4)</x:f>
        <x:v>6</x:v>
      </x:c>
      <x:c r="J629" s="31" t="n">
        <x:v>7.99</x:v>
      </x:c>
      <x:c r="K629" s="31" t="n">
        <x:v>7.74</x:v>
      </x:c>
      <x:c r="L629" s="31" t="n">
        <x:f>ABS(J629-K629)</x:f>
        <x:v>0.25</x:v>
      </x:c>
      <x:c r="M629" s="31" t="n">
        <x:v>3.24</x:v>
      </x:c>
      <x:c r="N629" s="31" t="n">
        <x:v>2.53</x:v>
      </x:c>
      <x:c r="O629" s="31" t="n">
        <x:f>ABS(M629-N629)</x:f>
        <x:v>0.7100000000000004</x:v>
      </x:c>
      <x:c r="P629" s="31" t="n">
        <x:v>8.17</x:v>
      </x:c>
      <x:c r="Q629" s="31" t="n">
        <x:v>8.9</x:v>
      </x:c>
      <x:c r="R629" s="31" t="n">
        <x:f>ABS(P629-Q629)</x:f>
        <x:v>0.7300000000000004</x:v>
      </x:c>
      <x:c r="S629" s="32" t="n">
        <x:v>47309.88580491521</x:v>
      </x:c>
      <x:c r="T629" s="32" t="n">
        <x:v>41782.2673233449</x:v>
      </x:c>
      <x:c r="U629" s="31" t="n">
        <x:f>MAX(S629/T629,T629/S629)</x:f>
        <x:v>1.1322958000051346</x:v>
      </x:c>
      <x:c r="V629" s="31" t="n">
        <x:f>L629*'Controls &amp; Summary'!$B$9+O629*'Controls &amp; Summary'!$B$10+R629*'Controls &amp; Summary'!$B$11+U629*'Controls &amp; Summary'!$B$12</x:f>
        <x:v>2.8222958000051355</x:v>
      </x:c>
      <x:c r="W629" s="31" t="n">
        <x:v>4</x:v>
      </x:c>
      <x:c r="X629" s="31" t="n">
        <x:v>0</x:v>
      </x:c>
      <x:c r="Y629" s="31" t="n">
        <x:f>((10-MIN(10,MAX(0,X629)))/10)*'Controls &amp; Summary'!$B$15+((10-MIN(10,MAX(0,W629)))/10)*'Controls &amp; Summary'!$B$16</x:f>
        <x:v>1.6</x:v>
      </x:c>
      <x:c r="Z629" s="31" t="n">
        <x:f>V629*Y629</x:f>
        <x:v>4.515673280008217</x:v>
      </x:c>
      <x:c r="AA629" s="30" t="str">
        <x:f>IF(Z629&lt;=I629,"Peaceful","Hostile")</x:f>
        <x:v>Peaceful</x:v>
      </x:c>
      <x:c r="AB629" s="30" t="str">
        <x:f>IF(Z629&lt;='Controls &amp; Summary'!$B$6,"Eligible","Blocked")</x:f>
        <x:v>Eligible</x:v>
      </x:c>
      <x:c r="AC629" s="30" t="str">
        <x:v>EUA</x:v>
      </x:c>
      <x:c r="AD629" s="30" t="str">
        <x:v>CZE</x:v>
      </x:c>
      <x:c r="AE629" s="30" t="str">
        <x:v>Czechia</x:v>
      </x:c>
      <x:c r="AF629" s="30" t="str">
        <x:v>Explicit capitalClaim</x:v>
      </x:c>
      <x:c r="AG629" s="30" t="str">
        <x:v>ClaimEUACzechia</x:v>
      </x:c>
      <x:c r="AH629" s="30" t="str"/>
    </x:row>
    <x:row r="630">
      <x:c r="A630" s="30" t="str">
        <x:v>2022</x:v>
      </x:c>
      <x:c r="B630" s="30" t="str">
        <x:v>Base game</x:v>
      </x:c>
      <x:c r="C630" s="30" t="str">
        <x:v>France</x:v>
      </x:c>
      <x:c r="D630" s="30" t="str">
        <x:v>Denmark</x:v>
      </x:c>
      <x:c r="E630" s="30" t="str">
        <x:v>Starting claim</x:v>
      </x:c>
      <x:c r="F630" s="30" t="str"/>
      <x:c r="G630" s="30" t="str">
        <x:v>No</x:v>
      </x:c>
      <x:c r="H630" s="30" t="str">
        <x:v>Ordinary claim</x:v>
      </x:c>
      <x:c r="I630" s="31" t="n">
        <x:f>IF(G630="Yes",'Controls &amp; Summary'!$B$5,'Controls &amp; Summary'!$B$4)</x:f>
        <x:v>6</x:v>
      </x:c>
      <x:c r="J630" s="31" t="n">
        <x:v>7.99</x:v>
      </x:c>
      <x:c r="K630" s="31" t="n">
        <x:v>9.09</x:v>
      </x:c>
      <x:c r="L630" s="31" t="n">
        <x:f>ABS(J630-K630)</x:f>
        <x:v>1.0999999999999996</x:v>
      </x:c>
      <x:c r="M630" s="31" t="n">
        <x:v>3.24</x:v>
      </x:c>
      <x:c r="N630" s="31" t="n">
        <x:v>2.77</x:v>
      </x:c>
      <x:c r="O630" s="31" t="n">
        <x:f>ABS(M630-N630)</x:f>
        <x:v>0.4700000000000002</x:v>
      </x:c>
      <x:c r="P630" s="31" t="n">
        <x:v>8.17</x:v>
      </x:c>
      <x:c r="Q630" s="31" t="n">
        <x:v>9.2</x:v>
      </x:c>
      <x:c r="R630" s="31" t="n">
        <x:f>ABS(P630-Q630)</x:f>
        <x:v>1.0299999999999994</x:v>
      </x:c>
      <x:c r="S630" s="32" t="n">
        <x:v>47309.88580491521</x:v>
      </x:c>
      <x:c r="T630" s="32" t="n">
        <x:v>67668.16082608988</x:v>
      </x:c>
      <x:c r="U630" s="31" t="n">
        <x:f>MAX(S630/T630,T630/S630)</x:f>
        <x:v>1.4303175684068037</x:v>
      </x:c>
      <x:c r="V630" s="31" t="n">
        <x:f>L630*'Controls &amp; Summary'!$B$9+O630*'Controls &amp; Summary'!$B$10+R630*'Controls &amp; Summary'!$B$11+U630*'Controls &amp; Summary'!$B$12</x:f>
        <x:v>4.030317568406803</x:v>
      </x:c>
      <x:c r="W630" s="31" t="n">
        <x:v>4</x:v>
      </x:c>
      <x:c r="X630" s="31" t="n">
        <x:v>0</x:v>
      </x:c>
      <x:c r="Y630" s="31" t="n">
        <x:f>((10-MIN(10,MAX(0,X630)))/10)*'Controls &amp; Summary'!$B$15+((10-MIN(10,MAX(0,W630)))/10)*'Controls &amp; Summary'!$B$16</x:f>
        <x:v>1.6</x:v>
      </x:c>
      <x:c r="Z630" s="31" t="n">
        <x:f>V630*Y630</x:f>
        <x:v>6.448508109450884</x:v>
      </x:c>
      <x:c r="AA630" s="30" t="str">
        <x:f>IF(Z630&lt;=I630,"Peaceful","Hostile")</x:f>
        <x:v>Hostile</x:v>
      </x:c>
      <x:c r="AB630" s="30" t="str">
        <x:f>IF(Z630&lt;='Controls &amp; Summary'!$B$6,"Eligible","Blocked")</x:f>
        <x:v>Eligible</x:v>
      </x:c>
      <x:c r="AC630" s="30" t="str">
        <x:v>EUA</x:v>
      </x:c>
      <x:c r="AD630" s="30" t="str">
        <x:v>DEN</x:v>
      </x:c>
      <x:c r="AE630" s="30" t="str">
        <x:v>Denmark</x:v>
      </x:c>
      <x:c r="AF630" s="30" t="str">
        <x:v>Explicit capitalClaim</x:v>
      </x:c>
      <x:c r="AG630" s="30" t="str">
        <x:v>ClaimEUADenmark</x:v>
      </x:c>
      <x:c r="AH630" s="30" t="str"/>
    </x:row>
    <x:row r="631">
      <x:c r="A631" s="30" t="str">
        <x:v>2022</x:v>
      </x:c>
      <x:c r="B631" s="30" t="str">
        <x:v>Base game</x:v>
      </x:c>
      <x:c r="C631" s="30" t="str">
        <x:v>France</x:v>
      </x:c>
      <x:c r="D631" s="30" t="str">
        <x:v>Estonia</x:v>
      </x:c>
      <x:c r="E631" s="30" t="str">
        <x:v>Starting claim</x:v>
      </x:c>
      <x:c r="F631" s="30" t="str"/>
      <x:c r="G631" s="30" t="str">
        <x:v>No</x:v>
      </x:c>
      <x:c r="H631" s="30" t="str">
        <x:v>Ordinary claim</x:v>
      </x:c>
      <x:c r="I631" s="31" t="n">
        <x:f>IF(G631="Yes",'Controls &amp; Summary'!$B$5,'Controls &amp; Summary'!$B$4)</x:f>
        <x:v>6</x:v>
      </x:c>
      <x:c r="J631" s="31" t="n">
        <x:v>7.99</x:v>
      </x:c>
      <x:c r="K631" s="31" t="n">
        <x:v>7.84</x:v>
      </x:c>
      <x:c r="L631" s="31" t="n">
        <x:f>ABS(J631-K631)</x:f>
        <x:v>0.15000000000000036</x:v>
      </x:c>
      <x:c r="M631" s="31" t="n">
        <x:v>3.24</x:v>
      </x:c>
      <x:c r="N631" s="31" t="n">
        <x:v>3.08</x:v>
      </x:c>
      <x:c r="O631" s="31" t="n">
        <x:f>ABS(M631-N631)</x:f>
        <x:v>0.16000000000000014</x:v>
      </x:c>
      <x:c r="P631" s="31" t="n">
        <x:v>8.17</x:v>
      </x:c>
      <x:c r="Q631" s="31" t="n">
        <x:v>8.82</x:v>
      </x:c>
      <x:c r="R631" s="31" t="n">
        <x:f>ABS(P631-Q631)</x:f>
        <x:v>0.6500000000000004</x:v>
      </x:c>
      <x:c r="S631" s="32" t="n">
        <x:v>47309.88580491521</x:v>
      </x:c>
      <x:c r="T631" s="32" t="n">
        <x:v>39681.9697827776</x:v>
      </x:c>
      <x:c r="U631" s="31" t="n">
        <x:f>MAX(S631/T631,T631/S631)</x:f>
        <x:v>1.1922262444100797</x:v>
      </x:c>
      <x:c r="V631" s="31" t="n">
        <x:f>L631*'Controls &amp; Summary'!$B$9+O631*'Controls &amp; Summary'!$B$10+R631*'Controls &amp; Summary'!$B$11+U631*'Controls &amp; Summary'!$B$12</x:f>
        <x:v>2.1522262444100804</x:v>
      </x:c>
      <x:c r="W631" s="31" t="n">
        <x:v>4</x:v>
      </x:c>
      <x:c r="X631" s="31" t="n">
        <x:v>0</x:v>
      </x:c>
      <x:c r="Y631" s="31" t="n">
        <x:f>((10-MIN(10,MAX(0,X631)))/10)*'Controls &amp; Summary'!$B$15+((10-MIN(10,MAX(0,W631)))/10)*'Controls &amp; Summary'!$B$16</x:f>
        <x:v>1.6</x:v>
      </x:c>
      <x:c r="Z631" s="31" t="n">
        <x:f>V631*Y631</x:f>
        <x:v>3.4435619910561286</x:v>
      </x:c>
      <x:c r="AA631" s="30" t="str">
        <x:f>IF(Z631&lt;=I631,"Peaceful","Hostile")</x:f>
        <x:v>Peaceful</x:v>
      </x:c>
      <x:c r="AB631" s="30" t="str">
        <x:f>IF(Z631&lt;='Controls &amp; Summary'!$B$6,"Eligible","Blocked")</x:f>
        <x:v>Eligible</x:v>
      </x:c>
      <x:c r="AC631" s="30" t="str">
        <x:v>EUA</x:v>
      </x:c>
      <x:c r="AD631" s="30" t="str">
        <x:v>EST</x:v>
      </x:c>
      <x:c r="AE631" s="30" t="str">
        <x:v>Estonia</x:v>
      </x:c>
      <x:c r="AF631" s="30" t="str">
        <x:v>Explicit capitalClaim</x:v>
      </x:c>
      <x:c r="AG631" s="30" t="str">
        <x:v>ClaimEUAEstonia</x:v>
      </x:c>
      <x:c r="AH631" s="30" t="str"/>
    </x:row>
    <x:row r="632">
      <x:c r="A632" s="30" t="str">
        <x:v>2022</x:v>
      </x:c>
      <x:c r="B632" s="30" t="str">
        <x:v>Base game</x:v>
      </x:c>
      <x:c r="C632" s="30" t="str">
        <x:v>France</x:v>
      </x:c>
      <x:c r="D632" s="30" t="str">
        <x:v>Finland</x:v>
      </x:c>
      <x:c r="E632" s="30" t="str">
        <x:v>Starting claim</x:v>
      </x:c>
      <x:c r="F632" s="30" t="str"/>
      <x:c r="G632" s="30" t="str">
        <x:v>No</x:v>
      </x:c>
      <x:c r="H632" s="30" t="str">
        <x:v>Ordinary claim</x:v>
      </x:c>
      <x:c r="I632" s="31" t="n">
        <x:f>IF(G632="Yes",'Controls &amp; Summary'!$B$5,'Controls &amp; Summary'!$B$4)</x:f>
        <x:v>6</x:v>
      </x:c>
      <x:c r="J632" s="31" t="n">
        <x:v>7.99</x:v>
      </x:c>
      <x:c r="K632" s="31" t="n">
        <x:v>9.27</x:v>
      </x:c>
      <x:c r="L632" s="31" t="n">
        <x:f>ABS(J632-K632)</x:f>
        <x:v>1.2799999999999994</x:v>
      </x:c>
      <x:c r="M632" s="31" t="n">
        <x:v>3.24</x:v>
      </x:c>
      <x:c r="N632" s="31" t="n">
        <x:v>2.77</x:v>
      </x:c>
      <x:c r="O632" s="31" t="n">
        <x:f>ABS(M632-N632)</x:f>
        <x:v>0.4700000000000002</x:v>
      </x:c>
      <x:c r="P632" s="31" t="n">
        <x:v>8.17</x:v>
      </x:c>
      <x:c r="Q632" s="31" t="n">
        <x:v>9.27</x:v>
      </x:c>
      <x:c r="R632" s="31" t="n">
        <x:f>ABS(P632-Q632)</x:f>
        <x:v>1.0999999999999996</x:v>
      </x:c>
      <x:c r="S632" s="32" t="n">
        <x:v>47309.88580491521</x:v>
      </x:c>
      <x:c r="T632" s="32" t="n">
        <x:v>50870.63939339583</x:v>
      </x:c>
      <x:c r="U632" s="31" t="n">
        <x:f>MAX(S632/T632,T632/S632)</x:f>
        <x:v>1.075264472274644</x:v>
      </x:c>
      <x:c r="V632" s="31" t="n">
        <x:f>L632*'Controls &amp; Summary'!$B$9+O632*'Controls &amp; Summary'!$B$10+R632*'Controls &amp; Summary'!$B$11+U632*'Controls &amp; Summary'!$B$12</x:f>
        <x:v>3.9252644722746433</x:v>
      </x:c>
      <x:c r="W632" s="31" t="n">
        <x:v>4</x:v>
      </x:c>
      <x:c r="X632" s="31" t="n">
        <x:v>0</x:v>
      </x:c>
      <x:c r="Y632" s="31" t="n">
        <x:f>((10-MIN(10,MAX(0,X632)))/10)*'Controls &amp; Summary'!$B$15+((10-MIN(10,MAX(0,W632)))/10)*'Controls &amp; Summary'!$B$16</x:f>
        <x:v>1.6</x:v>
      </x:c>
      <x:c r="Z632" s="31" t="n">
        <x:f>V632*Y632</x:f>
        <x:v>6.280423155639429</x:v>
      </x:c>
      <x:c r="AA632" s="30" t="str">
        <x:f>IF(Z632&lt;=I632,"Peaceful","Hostile")</x:f>
        <x:v>Hostile</x:v>
      </x:c>
      <x:c r="AB632" s="30" t="str">
        <x:f>IF(Z632&lt;='Controls &amp; Summary'!$B$6,"Eligible","Blocked")</x:f>
        <x:v>Eligible</x:v>
      </x:c>
      <x:c r="AC632" s="30" t="str">
        <x:v>EUA</x:v>
      </x:c>
      <x:c r="AD632" s="30" t="str">
        <x:v>FIN</x:v>
      </x:c>
      <x:c r="AE632" s="30" t="str">
        <x:v>Finland</x:v>
      </x:c>
      <x:c r="AF632" s="30" t="str">
        <x:v>Explicit capitalClaim</x:v>
      </x:c>
      <x:c r="AG632" s="30" t="str">
        <x:v>ClaimEUAFinland</x:v>
      </x:c>
      <x:c r="AH632" s="30" t="str"/>
    </x:row>
    <x:row r="633">
      <x:c r="A633" s="30" t="str">
        <x:v>2022</x:v>
      </x:c>
      <x:c r="B633" s="30" t="str">
        <x:v>Base game</x:v>
      </x:c>
      <x:c r="C633" s="30" t="str">
        <x:v>France</x:v>
      </x:c>
      <x:c r="D633" s="30" t="str">
        <x:v>Georgia</x:v>
      </x:c>
      <x:c r="E633" s="30" t="str">
        <x:v>Starting claim</x:v>
      </x:c>
      <x:c r="F633" s="30" t="str"/>
      <x:c r="G633" s="30" t="str">
        <x:v>No</x:v>
      </x:c>
      <x:c r="H633" s="30" t="str">
        <x:v>Ordinary claim</x:v>
      </x:c>
      <x:c r="I633" s="31" t="n">
        <x:f>IF(G633="Yes",'Controls &amp; Summary'!$B$5,'Controls &amp; Summary'!$B$4)</x:f>
        <x:v>6</x:v>
      </x:c>
      <x:c r="J633" s="31" t="n">
        <x:v>7.99</x:v>
      </x:c>
      <x:c r="K633" s="31" t="n">
        <x:v>5.12</x:v>
      </x:c>
      <x:c r="L633" s="31" t="n">
        <x:f>ABS(J633-K633)</x:f>
        <x:v>2.87</x:v>
      </x:c>
      <x:c r="M633" s="31" t="n">
        <x:v>3.24</x:v>
      </x:c>
      <x:c r="N633" s="31" t="n">
        <x:v>3.45</x:v>
      </x:c>
      <x:c r="O633" s="31" t="n">
        <x:f>ABS(M633-N633)</x:f>
        <x:v>0.20999999999999996</x:v>
      </x:c>
      <x:c r="P633" s="31" t="n">
        <x:v>8.17</x:v>
      </x:c>
      <x:c r="Q633" s="31" t="n">
        <x:v>8.62</x:v>
      </x:c>
      <x:c r="R633" s="31" t="n">
        <x:f>ABS(P633-Q633)</x:f>
        <x:v>0.4499999999999993</x:v>
      </x:c>
      <x:c r="S633" s="32" t="n">
        <x:v>47309.88580491521</x:v>
      </x:c>
      <x:c r="T633" s="32" t="n">
        <x:v>15343.237389796099</x:v>
      </x:c>
      <x:c r="U633" s="31" t="n">
        <x:f>MAX(S633/T633,T633/S633)</x:f>
        <x:v>3.0834356924164052</x:v>
      </x:c>
      <x:c r="V633" s="31" t="n">
        <x:f>L633*'Controls &amp; Summary'!$B$9+O633*'Controls &amp; Summary'!$B$10+R633*'Controls &amp; Summary'!$B$11+U633*'Controls &amp; Summary'!$B$12</x:f>
        <x:v>6.613435692416404</x:v>
      </x:c>
      <x:c r="W633" s="31" t="n">
        <x:v>4</x:v>
      </x:c>
      <x:c r="X633" s="31" t="n">
        <x:v>3</x:v>
      </x:c>
      <x:c r="Y633" s="31" t="n">
        <x:f>((10-MIN(10,MAX(0,X633)))/10)*'Controls &amp; Summary'!$B$15+((10-MIN(10,MAX(0,W633)))/10)*'Controls &amp; Summary'!$B$16</x:f>
        <x:v>1.2999999999999998</x:v>
      </x:c>
      <x:c r="Z633" s="31" t="n">
        <x:f>V633*Y633</x:f>
        <x:v>8.597466400141323</x:v>
      </x:c>
      <x:c r="AA633" s="30" t="str">
        <x:f>IF(Z633&lt;=I633,"Peaceful","Hostile")</x:f>
        <x:v>Hostile</x:v>
      </x:c>
      <x:c r="AB633" s="30" t="str">
        <x:f>IF(Z633&lt;='Controls &amp; Summary'!$B$6,"Eligible","Blocked")</x:f>
        <x:v>Eligible</x:v>
      </x:c>
      <x:c r="AC633" s="30" t="str">
        <x:v>EUA</x:v>
      </x:c>
      <x:c r="AD633" s="30" t="str">
        <x:v>GEO</x:v>
      </x:c>
      <x:c r="AE633" s="30" t="str">
        <x:v>Georgia</x:v>
      </x:c>
      <x:c r="AF633" s="30" t="str">
        <x:v>Explicit capitalClaim</x:v>
      </x:c>
      <x:c r="AG633" s="30" t="str">
        <x:v>ClaimEUAGeorgia</x:v>
      </x:c>
      <x:c r="AH633" s="30" t="str"/>
    </x:row>
    <x:row r="634">
      <x:c r="A634" s="30" t="str">
        <x:v>2022</x:v>
      </x:c>
      <x:c r="B634" s="30" t="str">
        <x:v>Base game</x:v>
      </x:c>
      <x:c r="C634" s="30" t="str">
        <x:v>France</x:v>
      </x:c>
      <x:c r="D634" s="30" t="str">
        <x:v>Germany</x:v>
      </x:c>
      <x:c r="E634" s="30" t="str">
        <x:v>Starting claim</x:v>
      </x:c>
      <x:c r="F634" s="30" t="str"/>
      <x:c r="G634" s="30" t="str">
        <x:v>No</x:v>
      </x:c>
      <x:c r="H634" s="30" t="str">
        <x:v>Ordinary claim</x:v>
      </x:c>
      <x:c r="I634" s="31" t="n">
        <x:f>IF(G634="Yes",'Controls &amp; Summary'!$B$5,'Controls &amp; Summary'!$B$4)</x:f>
        <x:v>6</x:v>
      </x:c>
      <x:c r="J634" s="31" t="n">
        <x:v>7.99</x:v>
      </x:c>
      <x:c r="K634" s="31" t="n">
        <x:v>8.67</x:v>
      </x:c>
      <x:c r="L634" s="31" t="n">
        <x:f>ABS(J634-K634)</x:f>
        <x:v>0.6799999999999997</x:v>
      </x:c>
      <x:c r="M634" s="31" t="n">
        <x:v>3.24</x:v>
      </x:c>
      <x:c r="N634" s="31" t="n">
        <x:v>3.17</x:v>
      </x:c>
      <x:c r="O634" s="31" t="n">
        <x:f>ABS(M634-N634)</x:f>
        <x:v>0.07000000000000028</x:v>
      </x:c>
      <x:c r="P634" s="31" t="n">
        <x:v>8.17</x:v>
      </x:c>
      <x:c r="Q634" s="31" t="n">
        <x:v>9.43</x:v>
      </x:c>
      <x:c r="R634" s="31" t="n">
        <x:f>ABS(P634-Q634)</x:f>
        <x:v>1.2599999999999998</x:v>
      </x:c>
      <x:c r="S634" s="32" t="n">
        <x:v>47309.88580491521</x:v>
      </x:c>
      <x:c r="T634" s="32" t="n">
        <x:v>55295.97259086199</x:v>
      </x:c>
      <x:c r="U634" s="31" t="n">
        <x:f>MAX(S634/T634,T634/S634)</x:f>
        <x:v>1.1688037637393127</x:v>
      </x:c>
      <x:c r="V634" s="31" t="n">
        <x:f>L634*'Controls &amp; Summary'!$B$9+O634*'Controls &amp; Summary'!$B$10+R634*'Controls &amp; Summary'!$B$11+U634*'Controls &amp; Summary'!$B$12</x:f>
        <x:v>3.1788037637393125</x:v>
      </x:c>
      <x:c r="W634" s="31" t="n">
        <x:v>4</x:v>
      </x:c>
      <x:c r="X634" s="31" t="n">
        <x:v>1</x:v>
      </x:c>
      <x:c r="Y634" s="31" t="n">
        <x:f>((10-MIN(10,MAX(0,X634)))/10)*'Controls &amp; Summary'!$B$15+((10-MIN(10,MAX(0,W634)))/10)*'Controls &amp; Summary'!$B$16</x:f>
        <x:v>1.5</x:v>
      </x:c>
      <x:c r="Z634" s="31" t="n">
        <x:f>V634*Y634</x:f>
        <x:v>4.768205645608969</x:v>
      </x:c>
      <x:c r="AA634" s="30" t="str">
        <x:f>IF(Z634&lt;=I634,"Peaceful","Hostile")</x:f>
        <x:v>Peaceful</x:v>
      </x:c>
      <x:c r="AB634" s="30" t="str">
        <x:f>IF(Z634&lt;='Controls &amp; Summary'!$B$6,"Eligible","Blocked")</x:f>
        <x:v>Eligible</x:v>
      </x:c>
      <x:c r="AC634" s="30" t="str">
        <x:v>EUA</x:v>
      </x:c>
      <x:c r="AD634" s="30" t="str">
        <x:v>DEU</x:v>
      </x:c>
      <x:c r="AE634" s="30" t="str">
        <x:v>EastGermany</x:v>
      </x:c>
      <x:c r="AF634" s="30" t="str">
        <x:v>Explicit capitalClaim</x:v>
      </x:c>
      <x:c r="AG634" s="30" t="str">
        <x:v>ClaimEUAEastGermany</x:v>
      </x:c>
      <x:c r="AH634" s="30" t="str"/>
    </x:row>
    <x:row r="635">
      <x:c r="A635" s="30" t="str">
        <x:v>2022</x:v>
      </x:c>
      <x:c r="B635" s="30" t="str">
        <x:v>Base game</x:v>
      </x:c>
      <x:c r="C635" s="30" t="str">
        <x:v>France</x:v>
      </x:c>
      <x:c r="D635" s="30" t="str">
        <x:v>Greece</x:v>
      </x:c>
      <x:c r="E635" s="30" t="str">
        <x:v>Starting claim</x:v>
      </x:c>
      <x:c r="F635" s="30" t="str"/>
      <x:c r="G635" s="30" t="str">
        <x:v>No</x:v>
      </x:c>
      <x:c r="H635" s="30" t="str">
        <x:v>Ordinary claim</x:v>
      </x:c>
      <x:c r="I635" s="31" t="n">
        <x:f>IF(G635="Yes",'Controls &amp; Summary'!$B$5,'Controls &amp; Summary'!$B$4)</x:f>
        <x:v>6</x:v>
      </x:c>
      <x:c r="J635" s="31" t="n">
        <x:v>7.99</x:v>
      </x:c>
      <x:c r="K635" s="31" t="n">
        <x:v>7.55</x:v>
      </x:c>
      <x:c r="L635" s="31" t="n">
        <x:f>ABS(J635-K635)</x:f>
        <x:v>0.4400000000000004</x:v>
      </x:c>
      <x:c r="M635" s="31" t="n">
        <x:v>3.24</x:v>
      </x:c>
      <x:c r="N635" s="31" t="n">
        <x:v>3.3</x:v>
      </x:c>
      <x:c r="O635" s="31" t="n">
        <x:f>ABS(M635-N635)</x:f>
        <x:v>0.05999999999999961</x:v>
      </x:c>
      <x:c r="P635" s="31" t="n">
        <x:v>8.17</x:v>
      </x:c>
      <x:c r="Q635" s="31" t="n">
        <x:v>8.47</x:v>
      </x:c>
      <x:c r="R635" s="31" t="n">
        <x:f>ABS(P635-Q635)</x:f>
        <x:v>0.3000000000000007</x:v>
      </x:c>
      <x:c r="S635" s="32" t="n">
        <x:v>47309.88580491521</x:v>
      </x:c>
      <x:c r="T635" s="32" t="n">
        <x:v>33373.4843182602</x:v>
      </x:c>
      <x:c r="U635" s="31" t="n">
        <x:f>MAX(S635/T635,T635/S635)</x:f>
        <x:v>1.4175890462545966</x:v>
      </x:c>
      <x:c r="V635" s="31" t="n">
        <x:f>L635*'Controls &amp; Summary'!$B$9+O635*'Controls &amp; Summary'!$B$10+R635*'Controls &amp; Summary'!$B$11+U635*'Controls &amp; Summary'!$B$12</x:f>
        <x:v>2.2175890462545973</x:v>
      </x:c>
      <x:c r="W635" s="31" t="n">
        <x:v>4</x:v>
      </x:c>
      <x:c r="X635" s="31" t="n">
        <x:v>2</x:v>
      </x:c>
      <x:c r="Y635" s="31" t="n">
        <x:f>((10-MIN(10,MAX(0,X635)))/10)*'Controls &amp; Summary'!$B$15+((10-MIN(10,MAX(0,W635)))/10)*'Controls &amp; Summary'!$B$16</x:f>
        <x:v>1.4</x:v>
      </x:c>
      <x:c r="Z635" s="31" t="n">
        <x:f>V635*Y635</x:f>
        <x:v>3.104624664756436</x:v>
      </x:c>
      <x:c r="AA635" s="30" t="str">
        <x:f>IF(Z635&lt;=I635,"Peaceful","Hostile")</x:f>
        <x:v>Peaceful</x:v>
      </x:c>
      <x:c r="AB635" s="30" t="str">
        <x:f>IF(Z635&lt;='Controls &amp; Summary'!$B$6,"Eligible","Blocked")</x:f>
        <x:v>Eligible</x:v>
      </x:c>
      <x:c r="AC635" s="30" t="str">
        <x:v>EUA</x:v>
      </x:c>
      <x:c r="AD635" s="30" t="str">
        <x:v>GRE</x:v>
      </x:c>
      <x:c r="AE635" s="30" t="str">
        <x:v>Greece</x:v>
      </x:c>
      <x:c r="AF635" s="30" t="str">
        <x:v>Explicit capitalClaim</x:v>
      </x:c>
      <x:c r="AG635" s="30" t="str">
        <x:v>ClaimEUAGreece</x:v>
      </x:c>
      <x:c r="AH635" s="30" t="str"/>
    </x:row>
    <x:row r="636">
      <x:c r="A636" s="30" t="str">
        <x:v>2022</x:v>
      </x:c>
      <x:c r="B636" s="30" t="str">
        <x:v>Base game</x:v>
      </x:c>
      <x:c r="C636" s="30" t="str">
        <x:v>France</x:v>
      </x:c>
      <x:c r="D636" s="30" t="str">
        <x:v>Hungary</x:v>
      </x:c>
      <x:c r="E636" s="30" t="str">
        <x:v>Starting claim</x:v>
      </x:c>
      <x:c r="F636" s="30" t="str"/>
      <x:c r="G636" s="30" t="str">
        <x:v>No</x:v>
      </x:c>
      <x:c r="H636" s="30" t="str">
        <x:v>Ordinary claim</x:v>
      </x:c>
      <x:c r="I636" s="31" t="n">
        <x:f>IF(G636="Yes",'Controls &amp; Summary'!$B$5,'Controls &amp; Summary'!$B$4)</x:f>
        <x:v>6</x:v>
      </x:c>
      <x:c r="J636" s="31" t="n">
        <x:v>7.99</x:v>
      </x:c>
      <x:c r="K636" s="31" t="n">
        <x:v>6.5</x:v>
      </x:c>
      <x:c r="L636" s="31" t="n">
        <x:f>ABS(J636-K636)</x:f>
        <x:v>1.4900000000000002</x:v>
      </x:c>
      <x:c r="M636" s="31" t="n">
        <x:v>3.24</x:v>
      </x:c>
      <x:c r="N636" s="31" t="n">
        <x:v>3</x:v>
      </x:c>
      <x:c r="O636" s="31" t="n">
        <x:f>ABS(M636-N636)</x:f>
        <x:v>0.2400000000000002</x:v>
      </x:c>
      <x:c r="P636" s="31" t="n">
        <x:v>8.17</x:v>
      </x:c>
      <x:c r="Q636" s="31" t="n">
        <x:v>8.21</x:v>
      </x:c>
      <x:c r="R636" s="31" t="n">
        <x:f>ABS(P636-Q636)</x:f>
        <x:v>0.040000000000000924</x:v>
      </x:c>
      <x:c r="S636" s="32" t="n">
        <x:v>47309.88580491521</x:v>
      </x:c>
      <x:c r="T636" s="32" t="n">
        <x:v>36516.892225214695</x:v>
      </x:c>
      <x:c r="U636" s="31" t="n">
        <x:f>MAX(S636/T636,T636/S636)</x:f>
        <x:v>1.2955616680941984</x:v>
      </x:c>
      <x:c r="V636" s="31" t="n">
        <x:f>L636*'Controls &amp; Summary'!$B$9+O636*'Controls &amp; Summary'!$B$10+R636*'Controls &amp; Summary'!$B$11+U636*'Controls &amp; Summary'!$B$12</x:f>
        <x:v>3.0655616680941997</x:v>
      </x:c>
      <x:c r="W636" s="31" t="n">
        <x:v>4</x:v>
      </x:c>
      <x:c r="X636" s="31" t="n">
        <x:v>1</x:v>
      </x:c>
      <x:c r="Y636" s="31" t="n">
        <x:f>((10-MIN(10,MAX(0,X636)))/10)*'Controls &amp; Summary'!$B$15+((10-MIN(10,MAX(0,W636)))/10)*'Controls &amp; Summary'!$B$16</x:f>
        <x:v>1.5</x:v>
      </x:c>
      <x:c r="Z636" s="31" t="n">
        <x:f>V636*Y636</x:f>
        <x:v>4.5983425021413</x:v>
      </x:c>
      <x:c r="AA636" s="30" t="str">
        <x:f>IF(Z636&lt;=I636,"Peaceful","Hostile")</x:f>
        <x:v>Peaceful</x:v>
      </x:c>
      <x:c r="AB636" s="30" t="str">
        <x:f>IF(Z636&lt;='Controls &amp; Summary'!$B$6,"Eligible","Blocked")</x:f>
        <x:v>Eligible</x:v>
      </x:c>
      <x:c r="AC636" s="30" t="str">
        <x:v>EUA</x:v>
      </x:c>
      <x:c r="AD636" s="30" t="str">
        <x:v>HUN</x:v>
      </x:c>
      <x:c r="AE636" s="30" t="str">
        <x:v>Hungary</x:v>
      </x:c>
      <x:c r="AF636" s="30" t="str">
        <x:v>Explicit capitalClaim</x:v>
      </x:c>
      <x:c r="AG636" s="30" t="str">
        <x:v>ClaimEUAHungary</x:v>
      </x:c>
      <x:c r="AH636" s="30" t="str"/>
    </x:row>
    <x:row r="637">
      <x:c r="A637" s="30" t="str">
        <x:v>2022</x:v>
      </x:c>
      <x:c r="B637" s="30" t="str">
        <x:v>Base game</x:v>
      </x:c>
      <x:c r="C637" s="30" t="str">
        <x:v>France</x:v>
      </x:c>
      <x:c r="D637" s="30" t="str">
        <x:v>Iceland</x:v>
      </x:c>
      <x:c r="E637" s="30" t="str">
        <x:v>Starting claim</x:v>
      </x:c>
      <x:c r="F637" s="30" t="str"/>
      <x:c r="G637" s="30" t="str">
        <x:v>No</x:v>
      </x:c>
      <x:c r="H637" s="30" t="str">
        <x:v>Ordinary claim</x:v>
      </x:c>
      <x:c r="I637" s="31" t="n">
        <x:f>IF(G637="Yes",'Controls &amp; Summary'!$B$5,'Controls &amp; Summary'!$B$4)</x:f>
        <x:v>6</x:v>
      </x:c>
      <x:c r="J637" s="31" t="n">
        <x:v>7.99</x:v>
      </x:c>
      <x:c r="K637" s="31" t="n">
        <x:v>9.18</x:v>
      </x:c>
      <x:c r="L637" s="31" t="n">
        <x:f>ABS(J637-K637)</x:f>
        <x:v>1.1899999999999995</x:v>
      </x:c>
      <x:c r="M637" s="31" t="n">
        <x:v>3.24</x:v>
      </x:c>
      <x:c r="N637" s="31" t="n">
        <x:v>2.61</x:v>
      </x:c>
      <x:c r="O637" s="31" t="n">
        <x:f>ABS(M637-N637)</x:f>
        <x:v>0.6300000000000003</x:v>
      </x:c>
      <x:c r="P637" s="31" t="n">
        <x:v>8.17</x:v>
      </x:c>
      <x:c r="Q637" s="31" t="n">
        <x:v>9.26</x:v>
      </x:c>
      <x:c r="R637" s="31" t="n">
        <x:f>ABS(P637-Q637)</x:f>
        <x:v>1.0899999999999999</x:v>
      </x:c>
      <x:c r="S637" s="32" t="n">
        <x:v>47309.88580491521</x:v>
      </x:c>
      <x:c r="T637" s="32" t="n">
        <x:v>71962.78749382158</x:v>
      </x:c>
      <x:c r="U637" s="31" t="n">
        <x:f>MAX(S637/T637,T637/S637)</x:f>
        <x:v>1.521094085717389</x:v>
      </x:c>
      <x:c r="V637" s="31" t="n">
        <x:f>L637*'Controls &amp; Summary'!$B$9+O637*'Controls &amp; Summary'!$B$10+R637*'Controls &amp; Summary'!$B$11+U637*'Controls &amp; Summary'!$B$12</x:f>
        <x:v>4.431094085717389</x:v>
      </x:c>
      <x:c r="W637" s="31" t="n">
        <x:v>4</x:v>
      </x:c>
      <x:c r="X637" s="31" t="n">
        <x:v>0</x:v>
      </x:c>
      <x:c r="Y637" s="31" t="n">
        <x:f>((10-MIN(10,MAX(0,X637)))/10)*'Controls &amp; Summary'!$B$15+((10-MIN(10,MAX(0,W637)))/10)*'Controls &amp; Summary'!$B$16</x:f>
        <x:v>1.6</x:v>
      </x:c>
      <x:c r="Z637" s="31" t="n">
        <x:f>V637*Y637</x:f>
        <x:v>7.089750537147822</x:v>
      </x:c>
      <x:c r="AA637" s="30" t="str">
        <x:f>IF(Z637&lt;=I637,"Peaceful","Hostile")</x:f>
        <x:v>Hostile</x:v>
      </x:c>
      <x:c r="AB637" s="30" t="str">
        <x:f>IF(Z637&lt;='Controls &amp; Summary'!$B$6,"Eligible","Blocked")</x:f>
        <x:v>Eligible</x:v>
      </x:c>
      <x:c r="AC637" s="30" t="str">
        <x:v>EUA</x:v>
      </x:c>
      <x:c r="AD637" s="30" t="str">
        <x:v>ISL</x:v>
      </x:c>
      <x:c r="AE637" s="30" t="str">
        <x:v>Iceland</x:v>
      </x:c>
      <x:c r="AF637" s="30" t="str">
        <x:v>Explicit capitalClaim</x:v>
      </x:c>
      <x:c r="AG637" s="30" t="str">
        <x:v>ClaimEUAIceland</x:v>
      </x:c>
      <x:c r="AH637" s="30" t="str"/>
    </x:row>
    <x:row r="638">
      <x:c r="A638" s="30" t="str">
        <x:v>2022</x:v>
      </x:c>
      <x:c r="B638" s="30" t="str">
        <x:v>Base game</x:v>
      </x:c>
      <x:c r="C638" s="30" t="str">
        <x:v>France</x:v>
      </x:c>
      <x:c r="D638" s="30" t="str">
        <x:v>Ireland</x:v>
      </x:c>
      <x:c r="E638" s="30" t="str">
        <x:v>Starting claim</x:v>
      </x:c>
      <x:c r="F638" s="30" t="str"/>
      <x:c r="G638" s="30" t="str">
        <x:v>No</x:v>
      </x:c>
      <x:c r="H638" s="30" t="str">
        <x:v>Ordinary claim</x:v>
      </x:c>
      <x:c r="I638" s="31" t="n">
        <x:f>IF(G638="Yes",'Controls &amp; Summary'!$B$5,'Controls &amp; Summary'!$B$4)</x:f>
        <x:v>6</x:v>
      </x:c>
      <x:c r="J638" s="31" t="n">
        <x:v>7.99</x:v>
      </x:c>
      <x:c r="K638" s="31" t="n">
        <x:v>9</x:v>
      </x:c>
      <x:c r="L638" s="31" t="n">
        <x:f>ABS(J638-K638)</x:f>
        <x:v>1.0099999999999998</x:v>
      </x:c>
      <x:c r="M638" s="31" t="n">
        <x:v>3.24</x:v>
      </x:c>
      <x:c r="N638" s="31" t="n">
        <x:v>3.06</x:v>
      </x:c>
      <x:c r="O638" s="31" t="n">
        <x:f>ABS(M638-N638)</x:f>
        <x:v>0.18000000000000016</x:v>
      </x:c>
      <x:c r="P638" s="31" t="n">
        <x:v>8.17</x:v>
      </x:c>
      <x:c r="Q638" s="31" t="n">
        <x:v>9.22</x:v>
      </x:c>
      <x:c r="R638" s="31" t="n">
        <x:f>ABS(P638-Q638)</x:f>
        <x:v>1.0500000000000007</x:v>
      </x:c>
      <x:c r="S638" s="32" t="n">
        <x:v>47309.88580491521</x:v>
      </x:c>
      <x:c r="T638" s="32" t="n">
        <x:v>110806.47520673125</x:v>
      </x:c>
      <x:c r="U638" s="31" t="n">
        <x:f>MAX(S638/T638,T638/S638)</x:f>
        <x:v>2.3421420982423746</x:v>
      </x:c>
      <x:c r="V638" s="31" t="n">
        <x:f>L638*'Controls &amp; Summary'!$B$9+O638*'Controls &amp; Summary'!$B$10+R638*'Controls &amp; Summary'!$B$11+U638*'Controls &amp; Summary'!$B$12</x:f>
        <x:v>4.582142098242375</x:v>
      </x:c>
      <x:c r="W638" s="31" t="n">
        <x:v>4</x:v>
      </x:c>
      <x:c r="X638" s="31" t="n">
        <x:v>1</x:v>
      </x:c>
      <x:c r="Y638" s="31" t="n">
        <x:f>((10-MIN(10,MAX(0,X638)))/10)*'Controls &amp; Summary'!$B$15+((10-MIN(10,MAX(0,W638)))/10)*'Controls &amp; Summary'!$B$16</x:f>
        <x:v>1.5</x:v>
      </x:c>
      <x:c r="Z638" s="31" t="n">
        <x:f>V638*Y638</x:f>
        <x:v>6.873213147363563</x:v>
      </x:c>
      <x:c r="AA638" s="30" t="str">
        <x:f>IF(Z638&lt;=I638,"Peaceful","Hostile")</x:f>
        <x:v>Hostile</x:v>
      </x:c>
      <x:c r="AB638" s="30" t="str">
        <x:f>IF(Z638&lt;='Controls &amp; Summary'!$B$6,"Eligible","Blocked")</x:f>
        <x:v>Eligible</x:v>
      </x:c>
      <x:c r="AC638" s="30" t="str">
        <x:v>EUA</x:v>
      </x:c>
      <x:c r="AD638" s="30" t="str">
        <x:v>IRL</x:v>
      </x:c>
      <x:c r="AE638" s="30" t="str">
        <x:v>Ireland</x:v>
      </x:c>
      <x:c r="AF638" s="30" t="str">
        <x:v>Explicit capitalClaim</x:v>
      </x:c>
      <x:c r="AG638" s="30" t="str">
        <x:v>ClaimEUAIreland</x:v>
      </x:c>
      <x:c r="AH638" s="30" t="str"/>
    </x:row>
    <x:row r="639">
      <x:c r="A639" s="30" t="str">
        <x:v>2022</x:v>
      </x:c>
      <x:c r="B639" s="30" t="str">
        <x:v>Base game</x:v>
      </x:c>
      <x:c r="C639" s="30" t="str">
        <x:v>France</x:v>
      </x:c>
      <x:c r="D639" s="30" t="str">
        <x:v>Italy</x:v>
      </x:c>
      <x:c r="E639" s="30" t="str">
        <x:v>Starting claim</x:v>
      </x:c>
      <x:c r="F639" s="30" t="str"/>
      <x:c r="G639" s="30" t="str">
        <x:v>No</x:v>
      </x:c>
      <x:c r="H639" s="30" t="str">
        <x:v>Ordinary claim</x:v>
      </x:c>
      <x:c r="I639" s="31" t="n">
        <x:f>IF(G639="Yes",'Controls &amp; Summary'!$B$5,'Controls &amp; Summary'!$B$4)</x:f>
        <x:v>6</x:v>
      </x:c>
      <x:c r="J639" s="31" t="n">
        <x:v>7.99</x:v>
      </x:c>
      <x:c r="K639" s="31" t="n">
        <x:v>7.68</x:v>
      </x:c>
      <x:c r="L639" s="31" t="n">
        <x:f>ABS(J639-K639)</x:f>
        <x:v>0.3100000000000005</x:v>
      </x:c>
      <x:c r="M639" s="31" t="n">
        <x:v>3.24</x:v>
      </x:c>
      <x:c r="N639" s="31" t="n">
        <x:v>3.52</x:v>
      </x:c>
      <x:c r="O639" s="31" t="n">
        <x:f>ABS(M639-N639)</x:f>
        <x:v>0.2799999999999998</x:v>
      </x:c>
      <x:c r="P639" s="31" t="n">
        <x:v>8.17</x:v>
      </x:c>
      <x:c r="Q639" s="31" t="n">
        <x:v>7.93</x:v>
      </x:c>
      <x:c r="R639" s="31" t="n">
        <x:f>ABS(P639-Q639)</x:f>
        <x:v>0.2400000000000002</x:v>
      </x:c>
      <x:c r="S639" s="32" t="n">
        <x:v>47309.88580491521</x:v>
      </x:c>
      <x:c r="T639" s="32" t="n">
        <x:v>43589.37767217334</x:v>
      </x:c>
      <x:c r="U639" s="31" t="n">
        <x:f>MAX(S639/T639,T639/S639)</x:f>
        <x:v>1.0853535501406568</x:v>
      </x:c>
      <x:c r="V639" s="31" t="n">
        <x:f>L639*'Controls &amp; Summary'!$B$9+O639*'Controls &amp; Summary'!$B$10+R639*'Controls &amp; Summary'!$B$11+U639*'Controls &amp; Summary'!$B$12</x:f>
        <x:v>1.9153535501406573</x:v>
      </x:c>
      <x:c r="W639" s="31" t="n">
        <x:v>4</x:v>
      </x:c>
      <x:c r="X639" s="31" t="n">
        <x:v>2</x:v>
      </x:c>
      <x:c r="Y639" s="31" t="n">
        <x:f>((10-MIN(10,MAX(0,X639)))/10)*'Controls &amp; Summary'!$B$15+((10-MIN(10,MAX(0,W639)))/10)*'Controls &amp; Summary'!$B$16</x:f>
        <x:v>1.4</x:v>
      </x:c>
      <x:c r="Z639" s="31" t="n">
        <x:f>V639*Y639</x:f>
        <x:v>2.68149497019692</x:v>
      </x:c>
      <x:c r="AA639" s="30" t="str">
        <x:f>IF(Z639&lt;=I639,"Peaceful","Hostile")</x:f>
        <x:v>Peaceful</x:v>
      </x:c>
      <x:c r="AB639" s="30" t="str">
        <x:f>IF(Z639&lt;='Controls &amp; Summary'!$B$6,"Eligible","Blocked")</x:f>
        <x:v>Eligible</x:v>
      </x:c>
      <x:c r="AC639" s="30" t="str">
        <x:v>EUA</x:v>
      </x:c>
      <x:c r="AD639" s="30" t="str">
        <x:v>ITA</x:v>
      </x:c>
      <x:c r="AE639" s="30" t="str">
        <x:v>Italy</x:v>
      </x:c>
      <x:c r="AF639" s="30" t="str">
        <x:v>Explicit capitalClaim</x:v>
      </x:c>
      <x:c r="AG639" s="30" t="str">
        <x:v>ClaimEUAItaly</x:v>
      </x:c>
      <x:c r="AH639" s="30" t="str"/>
    </x:row>
    <x:row r="640">
      <x:c r="A640" s="30" t="str">
        <x:v>2022</x:v>
      </x:c>
      <x:c r="B640" s="30" t="str">
        <x:v>Base game</x:v>
      </x:c>
      <x:c r="C640" s="30" t="str">
        <x:v>France</x:v>
      </x:c>
      <x:c r="D640" s="30" t="str">
        <x:v>Kosovo</x:v>
      </x:c>
      <x:c r="E640" s="30" t="str">
        <x:v>Starting claim</x:v>
      </x:c>
      <x:c r="F640" s="30" t="str"/>
      <x:c r="G640" s="30" t="str">
        <x:v>No</x:v>
      </x:c>
      <x:c r="H640" s="30" t="str">
        <x:v>Ordinary claim</x:v>
      </x:c>
      <x:c r="I640" s="31" t="n">
        <x:f>IF(G640="Yes",'Controls &amp; Summary'!$B$5,'Controls &amp; Summary'!$B$4)</x:f>
        <x:v>6</x:v>
      </x:c>
      <x:c r="J640" s="31" t="n">
        <x:v>7.99</x:v>
      </x:c>
      <x:c r="K640" s="31" t="n">
        <x:v>5.6</x:v>
      </x:c>
      <x:c r="L640" s="31" t="n">
        <x:f>ABS(J640-K640)</x:f>
        <x:v>2.3900000000000006</x:v>
      </x:c>
      <x:c r="M640" s="31" t="n">
        <x:v>3.24</x:v>
      </x:c>
      <x:c r="N640" s="31" t="n">
        <x:v>2.9</x:v>
      </x:c>
      <x:c r="O640" s="31" t="n">
        <x:f>ABS(M640-N640)</x:f>
        <x:v>0.3400000000000003</x:v>
      </x:c>
      <x:c r="P640" s="31" t="n">
        <x:v>8.17</x:v>
      </x:c>
      <x:c r="Q640" s="31" t="n">
        <x:v>7.83</x:v>
      </x:c>
      <x:c r="R640" s="31" t="n">
        <x:f>ABS(P640-Q640)</x:f>
        <x:v>0.33999999999999986</x:v>
      </x:c>
      <x:c r="S640" s="32" t="n">
        <x:v>47309.88580491521</x:v>
      </x:c>
      <x:c r="T640" s="32" t="n">
        <x:v>12530.834815529708</x:v>
      </x:c>
      <x:c r="U640" s="31" t="n">
        <x:f>MAX(S640/T640,T640/S640)</x:f>
        <x:v>3.7754775720355953</x:v>
      </x:c>
      <x:c r="V640" s="31" t="n">
        <x:f>L640*'Controls &amp; Summary'!$B$9+O640*'Controls &amp; Summary'!$B$10+R640*'Controls &amp; Summary'!$B$11+U640*'Controls &amp; Summary'!$B$12</x:f>
        <x:v>6.8454775720355965</x:v>
      </x:c>
      <x:c r="W640" s="31" t="n">
        <x:v>4</x:v>
      </x:c>
      <x:c r="X640" s="31" t="n">
        <x:v>2</x:v>
      </x:c>
      <x:c r="Y640" s="31" t="n">
        <x:f>((10-MIN(10,MAX(0,X640)))/10)*'Controls &amp; Summary'!$B$15+((10-MIN(10,MAX(0,W640)))/10)*'Controls &amp; Summary'!$B$16</x:f>
        <x:v>1.4</x:v>
      </x:c>
      <x:c r="Z640" s="31" t="n">
        <x:f>V640*Y640</x:f>
        <x:v>9.583668600849835</x:v>
      </x:c>
      <x:c r="AA640" s="30" t="str">
        <x:f>IF(Z640&lt;=I640,"Peaceful","Hostile")</x:f>
        <x:v>Hostile</x:v>
      </x:c>
      <x:c r="AB640" s="30" t="str">
        <x:f>IF(Z640&lt;='Controls &amp; Summary'!$B$6,"Eligible","Blocked")</x:f>
        <x:v>Eligible</x:v>
      </x:c>
      <x:c r="AC640" s="30" t="str">
        <x:v>EUA</x:v>
      </x:c>
      <x:c r="AD640" s="30" t="str">
        <x:v>KOS</x:v>
      </x:c>
      <x:c r="AE640" s="30" t="str">
        <x:v>Kosovo</x:v>
      </x:c>
      <x:c r="AF640" s="30" t="str">
        <x:v>Explicit capitalClaim</x:v>
      </x:c>
      <x:c r="AG640" s="30" t="str">
        <x:v>ClaimEUAKosovo</x:v>
      </x:c>
      <x:c r="AH640" s="30" t="str"/>
    </x:row>
    <x:row r="641">
      <x:c r="A641" s="30" t="str">
        <x:v>2022</x:v>
      </x:c>
      <x:c r="B641" s="30" t="str">
        <x:v>Base game</x:v>
      </x:c>
      <x:c r="C641" s="30" t="str">
        <x:v>France</x:v>
      </x:c>
      <x:c r="D641" s="30" t="str">
        <x:v>Latvia</x:v>
      </x:c>
      <x:c r="E641" s="30" t="str">
        <x:v>Starting claim</x:v>
      </x:c>
      <x:c r="F641" s="30" t="str"/>
      <x:c r="G641" s="30" t="str">
        <x:v>No</x:v>
      </x:c>
      <x:c r="H641" s="30" t="str">
        <x:v>Ordinary claim</x:v>
      </x:c>
      <x:c r="I641" s="31" t="n">
        <x:f>IF(G641="Yes",'Controls &amp; Summary'!$B$5,'Controls &amp; Summary'!$B$4)</x:f>
        <x:v>6</x:v>
      </x:c>
      <x:c r="J641" s="31" t="n">
        <x:v>7.99</x:v>
      </x:c>
      <x:c r="K641" s="31" t="n">
        <x:v>7.31</x:v>
      </x:c>
      <x:c r="L641" s="31" t="n">
        <x:f>ABS(J641-K641)</x:f>
        <x:v>0.6800000000000006</x:v>
      </x:c>
      <x:c r="M641" s="31" t="n">
        <x:v>3.24</x:v>
      </x:c>
      <x:c r="N641" s="31" t="n">
        <x:v>3.45</x:v>
      </x:c>
      <x:c r="O641" s="31" t="n">
        <x:f>ABS(M641-N641)</x:f>
        <x:v>0.20999999999999996</x:v>
      </x:c>
      <x:c r="P641" s="31" t="n">
        <x:v>8.17</x:v>
      </x:c>
      <x:c r="Q641" s="31" t="n">
        <x:v>8.83</x:v>
      </x:c>
      <x:c r="R641" s="31" t="n">
        <x:f>ABS(P641-Q641)</x:f>
        <x:v>0.6600000000000001</x:v>
      </x:c>
      <x:c r="S641" s="32" t="n">
        <x:v>47309.88580491521</x:v>
      </x:c>
      <x:c r="T641" s="32" t="n">
        <x:v>33668.92597430283</x:v>
      </x:c>
      <x:c r="U641" s="31" t="n">
        <x:f>MAX(S641/T641,T641/S641)</x:f>
        <x:v>1.4051498358166692</x:v>
      </x:c>
      <x:c r="V641" s="31" t="n">
        <x:f>L641*'Controls &amp; Summary'!$B$9+O641*'Controls &amp; Summary'!$B$10+R641*'Controls &amp; Summary'!$B$11+U641*'Controls &amp; Summary'!$B$12</x:f>
        <x:v>2.9551498358166697</x:v>
      </x:c>
      <x:c r="W641" s="31" t="n">
        <x:v>4</x:v>
      </x:c>
      <x:c r="X641" s="31" t="n">
        <x:v>0</x:v>
      </x:c>
      <x:c r="Y641" s="31" t="n">
        <x:f>((10-MIN(10,MAX(0,X641)))/10)*'Controls &amp; Summary'!$B$15+((10-MIN(10,MAX(0,W641)))/10)*'Controls &amp; Summary'!$B$16</x:f>
        <x:v>1.6</x:v>
      </x:c>
      <x:c r="Z641" s="31" t="n">
        <x:f>V641*Y641</x:f>
        <x:v>4.728239737306672</x:v>
      </x:c>
      <x:c r="AA641" s="30" t="str">
        <x:f>IF(Z641&lt;=I641,"Peaceful","Hostile")</x:f>
        <x:v>Peaceful</x:v>
      </x:c>
      <x:c r="AB641" s="30" t="str">
        <x:f>IF(Z641&lt;='Controls &amp; Summary'!$B$6,"Eligible","Blocked")</x:f>
        <x:v>Eligible</x:v>
      </x:c>
      <x:c r="AC641" s="30" t="str">
        <x:v>EUA</x:v>
      </x:c>
      <x:c r="AD641" s="30" t="str">
        <x:v>LVA</x:v>
      </x:c>
      <x:c r="AE641" s="30" t="str">
        <x:v>Latvia</x:v>
      </x:c>
      <x:c r="AF641" s="30" t="str">
        <x:v>Explicit capitalClaim</x:v>
      </x:c>
      <x:c r="AG641" s="30" t="str">
        <x:v>ClaimEUALatvia</x:v>
      </x:c>
      <x:c r="AH641" s="30" t="str"/>
    </x:row>
    <x:row r="642">
      <x:c r="A642" s="30" t="str">
        <x:v>2022</x:v>
      </x:c>
      <x:c r="B642" s="30" t="str">
        <x:v>Base game</x:v>
      </x:c>
      <x:c r="C642" s="30" t="str">
        <x:v>France</x:v>
      </x:c>
      <x:c r="D642" s="30" t="str">
        <x:v>Lithuania</x:v>
      </x:c>
      <x:c r="E642" s="30" t="str">
        <x:v>Starting claim</x:v>
      </x:c>
      <x:c r="F642" s="30" t="str"/>
      <x:c r="G642" s="30" t="str">
        <x:v>No</x:v>
      </x:c>
      <x:c r="H642" s="30" t="str">
        <x:v>Ordinary claim</x:v>
      </x:c>
      <x:c r="I642" s="31" t="n">
        <x:f>IF(G642="Yes",'Controls &amp; Summary'!$B$5,'Controls &amp; Summary'!$B$4)</x:f>
        <x:v>6</x:v>
      </x:c>
      <x:c r="J642" s="31" t="n">
        <x:v>7.99</x:v>
      </x:c>
      <x:c r="K642" s="31" t="n">
        <x:v>7.18</x:v>
      </x:c>
      <x:c r="L642" s="31" t="n">
        <x:f>ABS(J642-K642)</x:f>
        <x:v>0.8100000000000005</x:v>
      </x:c>
      <x:c r="M642" s="31" t="n">
        <x:v>3.24</x:v>
      </x:c>
      <x:c r="N642" s="31" t="n">
        <x:v>3.53</x:v>
      </x:c>
      <x:c r="O642" s="31" t="n">
        <x:f>ABS(M642-N642)</x:f>
        <x:v>0.2899999999999996</x:v>
      </x:c>
      <x:c r="P642" s="31" t="n">
        <x:v>8.17</x:v>
      </x:c>
      <x:c r="Q642" s="31" t="n">
        <x:v>8.98</x:v>
      </x:c>
      <x:c r="R642" s="31" t="n">
        <x:f>ABS(P642-Q642)</x:f>
        <x:v>0.8100000000000005</x:v>
      </x:c>
      <x:c r="S642" s="32" t="n">
        <x:v>47309.88580491521</x:v>
      </x:c>
      <x:c r="T642" s="32" t="n">
        <x:v>42999.9035226075</x:v>
      </x:c>
      <x:c r="U642" s="31" t="n">
        <x:f>MAX(S642/T642,T642/S642)</x:f>
        <x:v>1.1002323709875699</x:v>
      </x:c>
      <x:c r="V642" s="31" t="n">
        <x:f>L642*'Controls &amp; Summary'!$B$9+O642*'Controls &amp; Summary'!$B$10+R642*'Controls &amp; Summary'!$B$11+U642*'Controls &amp; Summary'!$B$12</x:f>
        <x:v>3.0102323709875707</x:v>
      </x:c>
      <x:c r="W642" s="31" t="n">
        <x:v>4</x:v>
      </x:c>
      <x:c r="X642" s="31" t="n">
        <x:v>0</x:v>
      </x:c>
      <x:c r="Y642" s="31" t="n">
        <x:f>((10-MIN(10,MAX(0,X642)))/10)*'Controls &amp; Summary'!$B$15+((10-MIN(10,MAX(0,W642)))/10)*'Controls &amp; Summary'!$B$16</x:f>
        <x:v>1.6</x:v>
      </x:c>
      <x:c r="Z642" s="31" t="n">
        <x:f>V642*Y642</x:f>
        <x:v>4.816371793580114</x:v>
      </x:c>
      <x:c r="AA642" s="30" t="str">
        <x:f>IF(Z642&lt;=I642,"Peaceful","Hostile")</x:f>
        <x:v>Peaceful</x:v>
      </x:c>
      <x:c r="AB642" s="30" t="str">
        <x:f>IF(Z642&lt;='Controls &amp; Summary'!$B$6,"Eligible","Blocked")</x:f>
        <x:v>Eligible</x:v>
      </x:c>
      <x:c r="AC642" s="30" t="str">
        <x:v>EUA</x:v>
      </x:c>
      <x:c r="AD642" s="30" t="str">
        <x:v>LTU</x:v>
      </x:c>
      <x:c r="AE642" s="30" t="str">
        <x:v>Lithuania</x:v>
      </x:c>
      <x:c r="AF642" s="30" t="str">
        <x:v>Explicit capitalClaim</x:v>
      </x:c>
      <x:c r="AG642" s="30" t="str">
        <x:v>ClaimEUALithuania</x:v>
      </x:c>
      <x:c r="AH642" s="30" t="str"/>
    </x:row>
    <x:row r="643">
      <x:c r="A643" s="30" t="str">
        <x:v>2022</x:v>
      </x:c>
      <x:c r="B643" s="30" t="str">
        <x:v>Base game</x:v>
      </x:c>
      <x:c r="C643" s="30" t="str">
        <x:v>France</x:v>
      </x:c>
      <x:c r="D643" s="30" t="str">
        <x:v>Moldova</x:v>
      </x:c>
      <x:c r="E643" s="30" t="str">
        <x:v>Starting claim</x:v>
      </x:c>
      <x:c r="F643" s="30" t="str"/>
      <x:c r="G643" s="30" t="str">
        <x:v>No</x:v>
      </x:c>
      <x:c r="H643" s="30" t="str">
        <x:v>Ordinary claim</x:v>
      </x:c>
      <x:c r="I643" s="31" t="n">
        <x:f>IF(G643="Yes",'Controls &amp; Summary'!$B$5,'Controls &amp; Summary'!$B$4)</x:f>
        <x:v>6</x:v>
      </x:c>
      <x:c r="J643" s="31" t="n">
        <x:v>7.99</x:v>
      </x:c>
      <x:c r="K643" s="31" t="n">
        <x:v>6.1</x:v>
      </x:c>
      <x:c r="L643" s="31" t="n">
        <x:f>ABS(J643-K643)</x:f>
        <x:v>1.8900000000000006</x:v>
      </x:c>
      <x:c r="M643" s="31" t="n">
        <x:v>3.24</x:v>
      </x:c>
      <x:c r="N643" s="31" t="n">
        <x:v>2.6</x:v>
      </x:c>
      <x:c r="O643" s="31" t="n">
        <x:f>ABS(M643-N643)</x:f>
        <x:v>0.6400000000000001</x:v>
      </x:c>
      <x:c r="P643" s="31" t="n">
        <x:v>8.17</x:v>
      </x:c>
      <x:c r="Q643" s="31" t="n">
        <x:v>7.11</x:v>
      </x:c>
      <x:c r="R643" s="31" t="n">
        <x:f>ABS(P643-Q643)</x:f>
        <x:v>1.0599999999999996</x:v>
      </x:c>
      <x:c r="S643" s="32" t="n">
        <x:v>47309.88580491521</x:v>
      </x:c>
      <x:c r="T643" s="32" t="n">
        <x:v>9323.217667521385</x:v>
      </x:c>
      <x:c r="U643" s="31" t="n">
        <x:f>MAX(S643/T643,T643/S643)</x:f>
        <x:v>5.074416096679284</x:v>
      </x:c>
      <x:c r="V643" s="31" t="n">
        <x:f>L643*'Controls &amp; Summary'!$B$9+O643*'Controls &amp; Summary'!$B$10+R643*'Controls &amp; Summary'!$B$11+U643*'Controls &amp; Summary'!$B$12</x:f>
        <x:v>8.664416096679284</x:v>
      </x:c>
      <x:c r="W643" s="31" t="n">
        <x:v>4</x:v>
      </x:c>
      <x:c r="X643" s="31" t="n">
        <x:v>3</x:v>
      </x:c>
      <x:c r="Y643" s="31" t="n">
        <x:f>((10-MIN(10,MAX(0,X643)))/10)*'Controls &amp; Summary'!$B$15+((10-MIN(10,MAX(0,W643)))/10)*'Controls &amp; Summary'!$B$16</x:f>
        <x:v>1.2999999999999998</x:v>
      </x:c>
      <x:c r="Z643" s="31" t="n">
        <x:f>V643*Y643</x:f>
        <x:v>11.263740925683068</x:v>
      </x:c>
      <x:c r="AA643" s="30" t="str">
        <x:f>IF(Z643&lt;=I643,"Peaceful","Hostile")</x:f>
        <x:v>Hostile</x:v>
      </x:c>
      <x:c r="AB643" s="30" t="str">
        <x:f>IF(Z643&lt;='Controls &amp; Summary'!$B$6,"Eligible","Blocked")</x:f>
        <x:v>Eligible</x:v>
      </x:c>
      <x:c r="AC643" s="30" t="str">
        <x:v>EUA</x:v>
      </x:c>
      <x:c r="AD643" s="30" t="str">
        <x:v>MOL</x:v>
      </x:c>
      <x:c r="AE643" s="30" t="str">
        <x:v>Moldova</x:v>
      </x:c>
      <x:c r="AF643" s="30" t="str">
        <x:v>Explicit capitalClaim</x:v>
      </x:c>
      <x:c r="AG643" s="30" t="str">
        <x:v>ClaimEUAMoldova</x:v>
      </x:c>
      <x:c r="AH643" s="30" t="str"/>
    </x:row>
    <x:row r="644">
      <x:c r="A644" s="30" t="str">
        <x:v>2022</x:v>
      </x:c>
      <x:c r="B644" s="30" t="str">
        <x:v>Base game</x:v>
      </x:c>
      <x:c r="C644" s="30" t="str">
        <x:v>France</x:v>
      </x:c>
      <x:c r="D644" s="30" t="str">
        <x:v>Montenegro</x:v>
      </x:c>
      <x:c r="E644" s="30" t="str">
        <x:v>Starting claim</x:v>
      </x:c>
      <x:c r="F644" s="30" t="str"/>
      <x:c r="G644" s="30" t="str">
        <x:v>No</x:v>
      </x:c>
      <x:c r="H644" s="30" t="str">
        <x:v>Ordinary claim</x:v>
      </x:c>
      <x:c r="I644" s="31" t="n">
        <x:f>IF(G644="Yes",'Controls &amp; Summary'!$B$5,'Controls &amp; Summary'!$B$4)</x:f>
        <x:v>6</x:v>
      </x:c>
      <x:c r="J644" s="31" t="n">
        <x:v>7.99</x:v>
      </x:c>
      <x:c r="K644" s="31" t="n">
        <x:v>6.02</x:v>
      </x:c>
      <x:c r="L644" s="31" t="n">
        <x:f>ABS(J644-K644)</x:f>
        <x:v>1.9700000000000006</x:v>
      </x:c>
      <x:c r="M644" s="31" t="n">
        <x:v>3.24</x:v>
      </x:c>
      <x:c r="N644" s="31" t="n">
        <x:v>3.68</x:v>
      </x:c>
      <x:c r="O644" s="31" t="n">
        <x:f>ABS(M644-N644)</x:f>
        <x:v>0.43999999999999995</x:v>
      </x:c>
      <x:c r="P644" s="31" t="n">
        <x:v>8.17</x:v>
      </x:c>
      <x:c r="Q644" s="31" t="n">
        <x:v>8.03</x:v>
      </x:c>
      <x:c r="R644" s="31" t="n">
        <x:f>ABS(P644-Q644)</x:f>
        <x:v>0.14000000000000057</x:v>
      </x:c>
      <x:c r="S644" s="32" t="n">
        <x:v>47309.88580491521</x:v>
      </x:c>
      <x:c r="T644" s="32" t="n">
        <x:v>21690.01747178873</x:v>
      </x:c>
      <x:c r="U644" s="31" t="n">
        <x:f>MAX(S644/T644,T644/S644)</x:f>
        <x:v>2.181182466378791</x:v>
      </x:c>
      <x:c r="V644" s="31" t="n">
        <x:f>L644*'Controls &amp; Summary'!$B$9+O644*'Controls &amp; Summary'!$B$10+R644*'Controls &amp; Summary'!$B$11+U644*'Controls &amp; Summary'!$B$12</x:f>
        <x:v>4.731182466378792</x:v>
      </x:c>
      <x:c r="W644" s="31" t="n">
        <x:v>4</x:v>
      </x:c>
      <x:c r="X644" s="31" t="n">
        <x:v>2</x:v>
      </x:c>
      <x:c r="Y644" s="31" t="n">
        <x:f>((10-MIN(10,MAX(0,X644)))/10)*'Controls &amp; Summary'!$B$15+((10-MIN(10,MAX(0,W644)))/10)*'Controls &amp; Summary'!$B$16</x:f>
        <x:v>1.4</x:v>
      </x:c>
      <x:c r="Z644" s="31" t="n">
        <x:f>V644*Y644</x:f>
        <x:v>6.623655452930309</x:v>
      </x:c>
      <x:c r="AA644" s="30" t="str">
        <x:f>IF(Z644&lt;=I644,"Peaceful","Hostile")</x:f>
        <x:v>Hostile</x:v>
      </x:c>
      <x:c r="AB644" s="30" t="str">
        <x:f>IF(Z644&lt;='Controls &amp; Summary'!$B$6,"Eligible","Blocked")</x:f>
        <x:v>Eligible</x:v>
      </x:c>
      <x:c r="AC644" s="30" t="str">
        <x:v>EUA</x:v>
      </x:c>
      <x:c r="AD644" s="30" t="str">
        <x:v>MNE</x:v>
      </x:c>
      <x:c r="AE644" s="30" t="str">
        <x:v>Montenegro</x:v>
      </x:c>
      <x:c r="AF644" s="30" t="str">
        <x:v>Explicit capitalClaim</x:v>
      </x:c>
      <x:c r="AG644" s="30" t="str">
        <x:v>ClaimEUAMontenegro</x:v>
      </x:c>
      <x:c r="AH644" s="30" t="str"/>
    </x:row>
    <x:row r="645">
      <x:c r="A645" s="30" t="str">
        <x:v>2022</x:v>
      </x:c>
      <x:c r="B645" s="30" t="str">
        <x:v>Base game</x:v>
      </x:c>
      <x:c r="C645" s="30" t="str">
        <x:v>France</x:v>
      </x:c>
      <x:c r="D645" s="30" t="str">
        <x:v>Netherlands</x:v>
      </x:c>
      <x:c r="E645" s="30" t="str">
        <x:v>Starting claim</x:v>
      </x:c>
      <x:c r="F645" s="30" t="str"/>
      <x:c r="G645" s="30" t="str">
        <x:v>No</x:v>
      </x:c>
      <x:c r="H645" s="30" t="str">
        <x:v>Ordinary claim</x:v>
      </x:c>
      <x:c r="I645" s="31" t="n">
        <x:f>IF(G645="Yes",'Controls &amp; Summary'!$B$5,'Controls &amp; Summary'!$B$4)</x:f>
        <x:v>6</x:v>
      </x:c>
      <x:c r="J645" s="31" t="n">
        <x:v>7.99</x:v>
      </x:c>
      <x:c r="K645" s="31" t="n">
        <x:v>8.88</x:v>
      </x:c>
      <x:c r="L645" s="31" t="n">
        <x:f>ABS(J645-K645)</x:f>
        <x:v>0.8900000000000006</x:v>
      </x:c>
      <x:c r="M645" s="31" t="n">
        <x:v>3.24</x:v>
      </x:c>
      <x:c r="N645" s="31" t="n">
        <x:v>2.92</x:v>
      </x:c>
      <x:c r="O645" s="31" t="n">
        <x:f>ABS(M645-N645)</x:f>
        <x:v>0.3200000000000003</x:v>
      </x:c>
      <x:c r="P645" s="31" t="n">
        <x:v>8.17</x:v>
      </x:c>
      <x:c r="Q645" s="31" t="n">
        <x:v>9.14</x:v>
      </x:c>
      <x:c r="R645" s="31" t="n">
        <x:f>ABS(P645-Q645)</x:f>
        <x:v>0.9700000000000006</x:v>
      </x:c>
      <x:c r="S645" s="32" t="n">
        <x:v>47309.88580491521</x:v>
      </x:c>
      <x:c r="T645" s="32" t="n">
        <x:v>60201.43150999048</x:v>
      </x:c>
      <x:c r="U645" s="31" t="n">
        <x:f>MAX(S645/T645,T645/S645)</x:f>
        <x:v>1.2724915836456303</x:v>
      </x:c>
      <x:c r="V645" s="31" t="n">
        <x:f>L645*'Controls &amp; Summary'!$B$9+O645*'Controls &amp; Summary'!$B$10+R645*'Controls &amp; Summary'!$B$11+U645*'Controls &amp; Summary'!$B$12</x:f>
        <x:v>3.4524915836456316</x:v>
      </x:c>
      <x:c r="W645" s="31" t="n">
        <x:v>4</x:v>
      </x:c>
      <x:c r="X645" s="31" t="n">
        <x:v>1</x:v>
      </x:c>
      <x:c r="Y645" s="31" t="n">
        <x:f>((10-MIN(10,MAX(0,X645)))/10)*'Controls &amp; Summary'!$B$15+((10-MIN(10,MAX(0,W645)))/10)*'Controls &amp; Summary'!$B$16</x:f>
        <x:v>1.5</x:v>
      </x:c>
      <x:c r="Z645" s="31" t="n">
        <x:f>V645*Y645</x:f>
        <x:v>5.178737375468447</x:v>
      </x:c>
      <x:c r="AA645" s="30" t="str">
        <x:f>IF(Z645&lt;=I645,"Peaceful","Hostile")</x:f>
        <x:v>Peaceful</x:v>
      </x:c>
      <x:c r="AB645" s="30" t="str">
        <x:f>IF(Z645&lt;='Controls &amp; Summary'!$B$6,"Eligible","Blocked")</x:f>
        <x:v>Eligible</x:v>
      </x:c>
      <x:c r="AC645" s="30" t="str">
        <x:v>EUA</x:v>
      </x:c>
      <x:c r="AD645" s="30" t="str">
        <x:v>NET</x:v>
      </x:c>
      <x:c r="AE645" s="30" t="str">
        <x:v>Netherlands</x:v>
      </x:c>
      <x:c r="AF645" s="30" t="str">
        <x:v>Explicit capitalClaim</x:v>
      </x:c>
      <x:c r="AG645" s="30" t="str">
        <x:v>ClaimEUANetherlands</x:v>
      </x:c>
      <x:c r="AH645" s="30" t="str"/>
    </x:row>
    <x:row r="646">
      <x:c r="A646" s="30" t="str">
        <x:v>2022</x:v>
      </x:c>
      <x:c r="B646" s="30" t="str">
        <x:v>Base game</x:v>
      </x:c>
      <x:c r="C646" s="30" t="str">
        <x:v>France</x:v>
      </x:c>
      <x:c r="D646" s="30" t="str">
        <x:v>North Macedonia</x:v>
      </x:c>
      <x:c r="E646" s="30" t="str">
        <x:v>Starting claim</x:v>
      </x:c>
      <x:c r="F646" s="30" t="str"/>
      <x:c r="G646" s="30" t="str">
        <x:v>No</x:v>
      </x:c>
      <x:c r="H646" s="30" t="str">
        <x:v>Ordinary claim</x:v>
      </x:c>
      <x:c r="I646" s="31" t="n">
        <x:f>IF(G646="Yes",'Controls &amp; Summary'!$B$5,'Controls &amp; Summary'!$B$4)</x:f>
        <x:v>6</x:v>
      </x:c>
      <x:c r="J646" s="31" t="n">
        <x:v>7.99</x:v>
      </x:c>
      <x:c r="K646" s="31" t="n">
        <x:v>6.03</x:v>
      </x:c>
      <x:c r="L646" s="31" t="n">
        <x:f>ABS(J646-K646)</x:f>
        <x:v>1.96</x:v>
      </x:c>
      <x:c r="M646" s="31" t="n">
        <x:v>3.24</x:v>
      </x:c>
      <x:c r="N646" s="31" t="n">
        <x:v>3.3</x:v>
      </x:c>
      <x:c r="O646" s="31" t="n">
        <x:f>ABS(M646-N646)</x:f>
        <x:v>0.05999999999999961</x:v>
      </x:c>
      <x:c r="P646" s="31" t="n">
        <x:v>8.17</x:v>
      </x:c>
      <x:c r="Q646" s="31" t="n">
        <x:v>7.04</x:v>
      </x:c>
      <x:c r="R646" s="31" t="n">
        <x:f>ABS(P646-Q646)</x:f>
        <x:v>1.13</x:v>
      </x:c>
      <x:c r="S646" s="32" t="n">
        <x:v>47309.88580491521</x:v>
      </x:c>
      <x:c r="T646" s="32" t="n">
        <x:v>17258.633449677298</x:v>
      </x:c>
      <x:c r="U646" s="31" t="n">
        <x:f>MAX(S646/T646,T646/S646)</x:f>
        <x:v>2.741230117834145</x:v>
      </x:c>
      <x:c r="V646" s="31" t="n">
        <x:f>L646*'Controls &amp; Summary'!$B$9+O646*'Controls &amp; Summary'!$B$10+R646*'Controls &amp; Summary'!$B$11+U646*'Controls &amp; Summary'!$B$12</x:f>
        <x:v>5.891230117834144</x:v>
      </x:c>
      <x:c r="W646" s="31" t="n">
        <x:v>4</x:v>
      </x:c>
      <x:c r="X646" s="31" t="n">
        <x:v>2</x:v>
      </x:c>
      <x:c r="Y646" s="31" t="n">
        <x:f>((10-MIN(10,MAX(0,X646)))/10)*'Controls &amp; Summary'!$B$15+((10-MIN(10,MAX(0,W646)))/10)*'Controls &amp; Summary'!$B$16</x:f>
        <x:v>1.4</x:v>
      </x:c>
      <x:c r="Z646" s="31" t="n">
        <x:f>V646*Y646</x:f>
        <x:v>8.247722164967803</x:v>
      </x:c>
      <x:c r="AA646" s="30" t="str">
        <x:f>IF(Z646&lt;=I646,"Peaceful","Hostile")</x:f>
        <x:v>Hostile</x:v>
      </x:c>
      <x:c r="AB646" s="30" t="str">
        <x:f>IF(Z646&lt;='Controls &amp; Summary'!$B$6,"Eligible","Blocked")</x:f>
        <x:v>Eligible</x:v>
      </x:c>
      <x:c r="AC646" s="30" t="str">
        <x:v>EUA</x:v>
      </x:c>
      <x:c r="AD646" s="30" t="str">
        <x:v>MKD</x:v>
      </x:c>
      <x:c r="AE646" s="30" t="str">
        <x:v>NorthMacedonia</x:v>
      </x:c>
      <x:c r="AF646" s="30" t="str">
        <x:v>Explicit capitalClaim</x:v>
      </x:c>
      <x:c r="AG646" s="30" t="str">
        <x:v>ClaimEUANorthMacedonia</x:v>
      </x:c>
      <x:c r="AH646" s="30" t="str"/>
    </x:row>
    <x:row r="647">
      <x:c r="A647" s="30" t="str">
        <x:v>2022</x:v>
      </x:c>
      <x:c r="B647" s="30" t="str">
        <x:v>Base game</x:v>
      </x:c>
      <x:c r="C647" s="30" t="str">
        <x:v>France</x:v>
      </x:c>
      <x:c r="D647" s="30" t="str">
        <x:v>Norway</x:v>
      </x:c>
      <x:c r="E647" s="30" t="str">
        <x:v>Starting claim</x:v>
      </x:c>
      <x:c r="F647" s="30" t="str"/>
      <x:c r="G647" s="30" t="str">
        <x:v>No</x:v>
      </x:c>
      <x:c r="H647" s="30" t="str">
        <x:v>Ordinary claim</x:v>
      </x:c>
      <x:c r="I647" s="31" t="n">
        <x:f>IF(G647="Yes",'Controls &amp; Summary'!$B$5,'Controls &amp; Summary'!$B$4)</x:f>
        <x:v>6</x:v>
      </x:c>
      <x:c r="J647" s="31" t="n">
        <x:v>7.99</x:v>
      </x:c>
      <x:c r="K647" s="31" t="n">
        <x:v>9.75</x:v>
      </x:c>
      <x:c r="L647" s="31" t="n">
        <x:f>ABS(J647-K647)</x:f>
        <x:v>1.7599999999999998</x:v>
      </x:c>
      <x:c r="M647" s="31" t="n">
        <x:v>3.24</x:v>
      </x:c>
      <x:c r="N647" s="31" t="n">
        <x:v>2.77</x:v>
      </x:c>
      <x:c r="O647" s="31" t="n">
        <x:f>ABS(M647-N647)</x:f>
        <x:v>0.4700000000000002</x:v>
      </x:c>
      <x:c r="P647" s="31" t="n">
        <x:v>8.17</x:v>
      </x:c>
      <x:c r="Q647" s="31" t="n">
        <x:v>9.3</x:v>
      </x:c>
      <x:c r="R647" s="31" t="n">
        <x:f>ABS(P647-Q647)</x:f>
        <x:v>1.1300000000000008</x:v>
      </x:c>
      <x:c r="S647" s="32" t="n">
        <x:v>47309.88580491521</x:v>
      </x:c>
      <x:c r="T647" s="32" t="n">
        <x:v>102138.11993510484</x:v>
      </x:c>
      <x:c r="U647" s="31" t="n">
        <x:f>MAX(S647/T647,T647/S647)</x:f>
        <x:v>2.1589170676986353</x:v>
      </x:c>
      <x:c r="V647" s="31" t="n">
        <x:f>L647*'Controls &amp; Summary'!$B$9+O647*'Controls &amp; Summary'!$B$10+R647*'Controls &amp; Summary'!$B$11+U647*'Controls &amp; Summary'!$B$12</x:f>
        <x:v>5.518917067698636</x:v>
      </x:c>
      <x:c r="W647" s="31" t="n">
        <x:v>4</x:v>
      </x:c>
      <x:c r="X647" s="31" t="n">
        <x:v>0</x:v>
      </x:c>
      <x:c r="Y647" s="31" t="n">
        <x:f>((10-MIN(10,MAX(0,X647)))/10)*'Controls &amp; Summary'!$B$15+((10-MIN(10,MAX(0,W647)))/10)*'Controls &amp; Summary'!$B$16</x:f>
        <x:v>1.6</x:v>
      </x:c>
      <x:c r="Z647" s="31" t="n">
        <x:f>V647*Y647</x:f>
        <x:v>8.830267308317818</x:v>
      </x:c>
      <x:c r="AA647" s="30" t="str">
        <x:f>IF(Z647&lt;=I647,"Peaceful","Hostile")</x:f>
        <x:v>Hostile</x:v>
      </x:c>
      <x:c r="AB647" s="30" t="str">
        <x:f>IF(Z647&lt;='Controls &amp; Summary'!$B$6,"Eligible","Blocked")</x:f>
        <x:v>Eligible</x:v>
      </x:c>
      <x:c r="AC647" s="30" t="str">
        <x:v>EUA</x:v>
      </x:c>
      <x:c r="AD647" s="30" t="str">
        <x:v>NOR</x:v>
      </x:c>
      <x:c r="AE647" s="30" t="str">
        <x:v>Norway</x:v>
      </x:c>
      <x:c r="AF647" s="30" t="str">
        <x:v>Explicit capitalClaim</x:v>
      </x:c>
      <x:c r="AG647" s="30" t="str">
        <x:v>ClaimEUANorway</x:v>
      </x:c>
      <x:c r="AH647" s="30" t="str"/>
    </x:row>
    <x:row r="648">
      <x:c r="A648" s="30" t="str">
        <x:v>2022</x:v>
      </x:c>
      <x:c r="B648" s="30" t="str">
        <x:v>Base game</x:v>
      </x:c>
      <x:c r="C648" s="30" t="str">
        <x:v>France</x:v>
      </x:c>
      <x:c r="D648" s="30" t="str">
        <x:v>Poland</x:v>
      </x:c>
      <x:c r="E648" s="30" t="str">
        <x:v>Starting claim</x:v>
      </x:c>
      <x:c r="F648" s="30" t="str"/>
      <x:c r="G648" s="30" t="str">
        <x:v>No</x:v>
      </x:c>
      <x:c r="H648" s="30" t="str">
        <x:v>Ordinary claim</x:v>
      </x:c>
      <x:c r="I648" s="31" t="n">
        <x:f>IF(G648="Yes",'Controls &amp; Summary'!$B$5,'Controls &amp; Summary'!$B$4)</x:f>
        <x:v>6</x:v>
      </x:c>
      <x:c r="J648" s="31" t="n">
        <x:v>7.99</x:v>
      </x:c>
      <x:c r="K648" s="31" t="n">
        <x:v>6.8</x:v>
      </x:c>
      <x:c r="L648" s="31" t="n">
        <x:f>ABS(J648-K648)</x:f>
        <x:v>1.1900000000000004</x:v>
      </x:c>
      <x:c r="M648" s="31" t="n">
        <x:v>3.24</x:v>
      </x:c>
      <x:c r="N648" s="31" t="n">
        <x:v>3.02</x:v>
      </x:c>
      <x:c r="O648" s="31" t="n">
        <x:f>ABS(M648-N648)</x:f>
        <x:v>0.2200000000000002</x:v>
      </x:c>
      <x:c r="P648" s="31" t="n">
        <x:v>8.17</x:v>
      </x:c>
      <x:c r="Q648" s="31" t="n">
        <x:v>8.69</x:v>
      </x:c>
      <x:c r="R648" s="31" t="n">
        <x:f>ABS(P648-Q648)</x:f>
        <x:v>0.5199999999999996</x:v>
      </x:c>
      <x:c r="S648" s="32" t="n">
        <x:v>47309.88580491521</x:v>
      </x:c>
      <x:c r="T648" s="32" t="n">
        <x:v>36759.35175540062</x:v>
      </x:c>
      <x:c r="U648" s="31" t="n">
        <x:f>MAX(S648/T648,T648/S648)</x:f>
        <x:v>1.2870163249808813</x:v>
      </x:c>
      <x:c r="V648" s="31" t="n">
        <x:f>L648*'Controls &amp; Summary'!$B$9+O648*'Controls &amp; Summary'!$B$10+R648*'Controls &amp; Summary'!$B$11+U648*'Controls &amp; Summary'!$B$12</x:f>
        <x:v>3.2170163249808814</x:v>
      </x:c>
      <x:c r="W648" s="31" t="n">
        <x:v>4</x:v>
      </x:c>
      <x:c r="X648" s="31" t="n">
        <x:v>1</x:v>
      </x:c>
      <x:c r="Y648" s="31" t="n">
        <x:f>((10-MIN(10,MAX(0,X648)))/10)*'Controls &amp; Summary'!$B$15+((10-MIN(10,MAX(0,W648)))/10)*'Controls &amp; Summary'!$B$16</x:f>
        <x:v>1.5</x:v>
      </x:c>
      <x:c r="Z648" s="31" t="n">
        <x:f>V648*Y648</x:f>
        <x:v>4.825524487471322</x:v>
      </x:c>
      <x:c r="AA648" s="30" t="str">
        <x:f>IF(Z648&lt;=I648,"Peaceful","Hostile")</x:f>
        <x:v>Peaceful</x:v>
      </x:c>
      <x:c r="AB648" s="30" t="str">
        <x:f>IF(Z648&lt;='Controls &amp; Summary'!$B$6,"Eligible","Blocked")</x:f>
        <x:v>Eligible</x:v>
      </x:c>
      <x:c r="AC648" s="30" t="str">
        <x:v>EUA</x:v>
      </x:c>
      <x:c r="AD648" s="30" t="str">
        <x:v>POL</x:v>
      </x:c>
      <x:c r="AE648" s="30" t="str">
        <x:v>Poland</x:v>
      </x:c>
      <x:c r="AF648" s="30" t="str">
        <x:v>Explicit capitalClaim</x:v>
      </x:c>
      <x:c r="AG648" s="30" t="str">
        <x:v>ClaimEUAPoland</x:v>
      </x:c>
      <x:c r="AH648" s="30" t="str"/>
    </x:row>
    <x:row r="649">
      <x:c r="A649" s="30" t="str">
        <x:v>2022</x:v>
      </x:c>
      <x:c r="B649" s="30" t="str">
        <x:v>Base game</x:v>
      </x:c>
      <x:c r="C649" s="30" t="str">
        <x:v>France</x:v>
      </x:c>
      <x:c r="D649" s="30" t="str">
        <x:v>Portugal</x:v>
      </x:c>
      <x:c r="E649" s="30" t="str">
        <x:v>Starting claim</x:v>
      </x:c>
      <x:c r="F649" s="30" t="str"/>
      <x:c r="G649" s="30" t="str">
        <x:v>No</x:v>
      </x:c>
      <x:c r="H649" s="30" t="str">
        <x:v>Ordinary claim</x:v>
      </x:c>
      <x:c r="I649" s="31" t="n">
        <x:f>IF(G649="Yes",'Controls &amp; Summary'!$B$5,'Controls &amp; Summary'!$B$4)</x:f>
        <x:v>6</x:v>
      </x:c>
      <x:c r="J649" s="31" t="n">
        <x:v>7.99</x:v>
      </x:c>
      <x:c r="K649" s="31" t="n">
        <x:v>7.82</x:v>
      </x:c>
      <x:c r="L649" s="31" t="n">
        <x:f>ABS(J649-K649)</x:f>
        <x:v>0.16999999999999993</x:v>
      </x:c>
      <x:c r="M649" s="31" t="n">
        <x:v>3.24</x:v>
      </x:c>
      <x:c r="N649" s="31" t="n">
        <x:v>3.28</x:v>
      </x:c>
      <x:c r="O649" s="31" t="n">
        <x:f>ABS(M649-N649)</x:f>
        <x:v>0.03999999999999959</x:v>
      </x:c>
      <x:c r="P649" s="31" t="n">
        <x:v>8.17</x:v>
      </x:c>
      <x:c r="Q649" s="31" t="n">
        <x:v>7.68</x:v>
      </x:c>
      <x:c r="R649" s="31" t="n">
        <x:f>ABS(P649-Q649)</x:f>
        <x:v>0.4900000000000002</x:v>
      </x:c>
      <x:c r="S649" s="32" t="n">
        <x:v>47309.88580491521</x:v>
      </x:c>
      <x:c r="T649" s="32" t="n">
        <x:v>36446.46759363211</x:v>
      </x:c>
      <x:c r="U649" s="31" t="n">
        <x:f>MAX(S649/T649,T649/S649)</x:f>
        <x:v>1.2980650507041498</x:v>
      </x:c>
      <x:c r="V649" s="31" t="n">
        <x:f>L649*'Controls &amp; Summary'!$B$9+O649*'Controls &amp; Summary'!$B$10+R649*'Controls &amp; Summary'!$B$11+U649*'Controls &amp; Summary'!$B$12</x:f>
        <x:v>1.9980650507041495</x:v>
      </x:c>
      <x:c r="W649" s="31" t="n">
        <x:v>4</x:v>
      </x:c>
      <x:c r="X649" s="31" t="n">
        <x:v>0</x:v>
      </x:c>
      <x:c r="Y649" s="31" t="n">
        <x:f>((10-MIN(10,MAX(0,X649)))/10)*'Controls &amp; Summary'!$B$15+((10-MIN(10,MAX(0,W649)))/10)*'Controls &amp; Summary'!$B$16</x:f>
        <x:v>1.6</x:v>
      </x:c>
      <x:c r="Z649" s="31" t="n">
        <x:f>V649*Y649</x:f>
        <x:v>3.1969040811266396</x:v>
      </x:c>
      <x:c r="AA649" s="30" t="str">
        <x:f>IF(Z649&lt;=I649,"Peaceful","Hostile")</x:f>
        <x:v>Peaceful</x:v>
      </x:c>
      <x:c r="AB649" s="30" t="str">
        <x:f>IF(Z649&lt;='Controls &amp; Summary'!$B$6,"Eligible","Blocked")</x:f>
        <x:v>Eligible</x:v>
      </x:c>
      <x:c r="AC649" s="30" t="str">
        <x:v>EUA</x:v>
      </x:c>
      <x:c r="AD649" s="30" t="str">
        <x:v>PRT</x:v>
      </x:c>
      <x:c r="AE649" s="30" t="str">
        <x:v>Portugal</x:v>
      </x:c>
      <x:c r="AF649" s="30" t="str">
        <x:v>Explicit capitalClaim</x:v>
      </x:c>
      <x:c r="AG649" s="30" t="str">
        <x:v>ClaimEUAPortugal</x:v>
      </x:c>
      <x:c r="AH649" s="30" t="str"/>
    </x:row>
    <x:row r="650">
      <x:c r="A650" s="30" t="str">
        <x:v>2022</x:v>
      </x:c>
      <x:c r="B650" s="30" t="str">
        <x:v>Base game</x:v>
      </x:c>
      <x:c r="C650" s="30" t="str">
        <x:v>France</x:v>
      </x:c>
      <x:c r="D650" s="30" t="str">
        <x:v>Romania</x:v>
      </x:c>
      <x:c r="E650" s="30" t="str">
        <x:v>Starting claim</x:v>
      </x:c>
      <x:c r="F650" s="30" t="str"/>
      <x:c r="G650" s="30" t="str">
        <x:v>No</x:v>
      </x:c>
      <x:c r="H650" s="30" t="str">
        <x:v>Ordinary claim</x:v>
      </x:c>
      <x:c r="I650" s="31" t="n">
        <x:f>IF(G650="Yes",'Controls &amp; Summary'!$B$5,'Controls &amp; Summary'!$B$4)</x:f>
        <x:v>6</x:v>
      </x:c>
      <x:c r="J650" s="31" t="n">
        <x:v>7.99</x:v>
      </x:c>
      <x:c r="K650" s="31" t="n">
        <x:v>6.43</x:v>
      </x:c>
      <x:c r="L650" s="31" t="n">
        <x:f>ABS(J650-K650)</x:f>
        <x:v>1.5600000000000005</x:v>
      </x:c>
      <x:c r="M650" s="31" t="n">
        <x:v>3.24</x:v>
      </x:c>
      <x:c r="N650" s="31" t="n">
        <x:v>3.48</x:v>
      </x:c>
      <x:c r="O650" s="31" t="n">
        <x:f>ABS(M650-N650)</x:f>
        <x:v>0.23999999999999977</x:v>
      </x:c>
      <x:c r="P650" s="31" t="n">
        <x:v>8.17</x:v>
      </x:c>
      <x:c r="Q650" s="31" t="n">
        <x:v>7.65</x:v>
      </x:c>
      <x:c r="R650" s="31" t="n">
        <x:f>ABS(P650-Q650)</x:f>
        <x:v>0.5199999999999996</x:v>
      </x:c>
      <x:c r="S650" s="32" t="n">
        <x:v>47309.88580491521</x:v>
      </x:c>
      <x:c r="T650" s="32" t="n">
        <x:v>32773.8168708325</x:v>
      </x:c>
      <x:c r="U650" s="31" t="n">
        <x:f>MAX(S650/T650,T650/S650)</x:f>
        <x:v>1.4435268858482968</x:v>
      </x:c>
      <x:c r="V650" s="31" t="n">
        <x:f>L650*'Controls &amp; Summary'!$B$9+O650*'Controls &amp; Summary'!$B$10+R650*'Controls &amp; Summary'!$B$11+U650*'Controls &amp; Summary'!$B$12</x:f>
        <x:v>3.7635268858482966</x:v>
      </x:c>
      <x:c r="W650" s="31" t="n">
        <x:v>4</x:v>
      </x:c>
      <x:c r="X650" s="31" t="n">
        <x:v>1</x:v>
      </x:c>
      <x:c r="Y650" s="31" t="n">
        <x:f>((10-MIN(10,MAX(0,X650)))/10)*'Controls &amp; Summary'!$B$15+((10-MIN(10,MAX(0,W650)))/10)*'Controls &amp; Summary'!$B$16</x:f>
        <x:v>1.5</x:v>
      </x:c>
      <x:c r="Z650" s="31" t="n">
        <x:f>V650*Y650</x:f>
        <x:v>5.645290328772445</x:v>
      </x:c>
      <x:c r="AA650" s="30" t="str">
        <x:f>IF(Z650&lt;=I650,"Peaceful","Hostile")</x:f>
        <x:v>Peaceful</x:v>
      </x:c>
      <x:c r="AB650" s="30" t="str">
        <x:f>IF(Z650&lt;='Controls &amp; Summary'!$B$6,"Eligible","Blocked")</x:f>
        <x:v>Eligible</x:v>
      </x:c>
      <x:c r="AC650" s="30" t="str">
        <x:v>EUA</x:v>
      </x:c>
      <x:c r="AD650" s="30" t="str">
        <x:v>ROM</x:v>
      </x:c>
      <x:c r="AE650" s="30" t="str">
        <x:v>Romania</x:v>
      </x:c>
      <x:c r="AF650" s="30" t="str">
        <x:v>Explicit capitalClaim</x:v>
      </x:c>
      <x:c r="AG650" s="30" t="str">
        <x:v>ClaimEUARomania</x:v>
      </x:c>
      <x:c r="AH650" s="30" t="str"/>
    </x:row>
    <x:row r="651">
      <x:c r="A651" s="30" t="str">
        <x:v>2022</x:v>
      </x:c>
      <x:c r="B651" s="30" t="str">
        <x:v>Base game</x:v>
      </x:c>
      <x:c r="C651" s="30" t="str">
        <x:v>France</x:v>
      </x:c>
      <x:c r="D651" s="30" t="str">
        <x:v>Russia</x:v>
      </x:c>
      <x:c r="E651" s="30" t="str">
        <x:v>Project unlock</x:v>
      </x:c>
      <x:c r="F651" s="30" t="str">
        <x:v>Great Europa</x:v>
      </x:c>
      <x:c r="G651" s="30" t="str">
        <x:v>No</x:v>
      </x:c>
      <x:c r="H651" s="30" t="str">
        <x:v>Ordinary claim</x:v>
      </x:c>
      <x:c r="I651" s="31" t="n">
        <x:f>IF(G651="Yes",'Controls &amp; Summary'!$B$5,'Controls &amp; Summary'!$B$4)</x:f>
        <x:v>6</x:v>
      </x:c>
      <x:c r="J651" s="31" t="n">
        <x:v>7.99</x:v>
      </x:c>
      <x:c r="K651" s="31" t="n">
        <x:v>3.24</x:v>
      </x:c>
      <x:c r="L651" s="31" t="n">
        <x:f>ABS(J651-K651)</x:f>
        <x:v>4.75</x:v>
      </x:c>
      <x:c r="M651" s="31" t="n">
        <x:v>3.24</x:v>
      </x:c>
      <x:c r="N651" s="31" t="n">
        <x:v>3.53</x:v>
      </x:c>
      <x:c r="O651" s="31" t="n">
        <x:f>ABS(M651-N651)</x:f>
        <x:v>0.2899999999999996</x:v>
      </x:c>
      <x:c r="P651" s="31" t="n">
        <x:v>8.17</x:v>
      </x:c>
      <x:c r="Q651" s="31" t="n">
        <x:v>8.23</x:v>
      </x:c>
      <x:c r="R651" s="31" t="n">
        <x:f>ABS(P651-Q651)</x:f>
        <x:v>0.0600000000000005</x:v>
      </x:c>
      <x:c r="S651" s="32" t="n">
        <x:v>47309.88580491521</x:v>
      </x:c>
      <x:c r="T651" s="32" t="n">
        <x:v>25923.52106481404</x:v>
      </x:c>
      <x:c r="U651" s="31" t="n">
        <x:f>MAX(S651/T651,T651/S651)</x:f>
        <x:v>1.8249791641587167</x:v>
      </x:c>
      <x:c r="V651" s="31" t="n">
        <x:f>L651*'Controls &amp; Summary'!$B$9+O651*'Controls &amp; Summary'!$B$10+R651*'Controls &amp; Summary'!$B$11+U651*'Controls &amp; Summary'!$B$12</x:f>
        <x:v>6.924979164158716</x:v>
      </x:c>
      <x:c r="W651" s="31" t="n">
        <x:v>4</x:v>
      </x:c>
      <x:c r="X651" s="31" t="n">
        <x:v>4</x:v>
      </x:c>
      <x:c r="Y651" s="31" t="n">
        <x:f>((10-MIN(10,MAX(0,X651)))/10)*'Controls &amp; Summary'!$B$15+((10-MIN(10,MAX(0,W651)))/10)*'Controls &amp; Summary'!$B$16</x:f>
        <x:v>1.2</x:v>
      </x:c>
      <x:c r="Z651" s="31" t="n">
        <x:f>V651*Y651</x:f>
        <x:v>8.309974996990459</x:v>
      </x:c>
      <x:c r="AA651" s="30" t="str">
        <x:f>IF(Z651&lt;=I651,"Peaceful","Hostile")</x:f>
        <x:v>Hostile</x:v>
      </x:c>
      <x:c r="AB651" s="30" t="str">
        <x:f>IF(Z651&lt;='Controls &amp; Summary'!$B$6,"Eligible","Blocked")</x:f>
        <x:v>Eligible</x:v>
      </x:c>
      <x:c r="AC651" s="30" t="str">
        <x:v>EUA</x:v>
      </x:c>
      <x:c r="AD651" s="30" t="str">
        <x:v>RUS</x:v>
      </x:c>
      <x:c r="AE651" s="30" t="str">
        <x:v>Moskva</x:v>
      </x:c>
      <x:c r="AF651" s="30" t="str">
        <x:v>Explicit capitalClaim</x:v>
      </x:c>
      <x:c r="AG651" s="30" t="str">
        <x:v>ClaimEUAMoskva</x:v>
      </x:c>
      <x:c r="AH651" s="30" t="str">
        <x:v>Project_GreatEuropa</x:v>
      </x:c>
    </x:row>
    <x:row r="652">
      <x:c r="A652" s="30" t="str">
        <x:v>2022</x:v>
      </x:c>
      <x:c r="B652" s="30" t="str">
        <x:v>Base game</x:v>
      </x:c>
      <x:c r="C652" s="30" t="str">
        <x:v>France</x:v>
      </x:c>
      <x:c r="D652" s="30" t="str">
        <x:v>Serbia</x:v>
      </x:c>
      <x:c r="E652" s="30" t="str">
        <x:v>Starting claim</x:v>
      </x:c>
      <x:c r="F652" s="30" t="str"/>
      <x:c r="G652" s="30" t="str">
        <x:v>No</x:v>
      </x:c>
      <x:c r="H652" s="30" t="str">
        <x:v>Ordinary claim</x:v>
      </x:c>
      <x:c r="I652" s="31" t="n">
        <x:f>IF(G652="Yes",'Controls &amp; Summary'!$B$5,'Controls &amp; Summary'!$B$4)</x:f>
        <x:v>6</x:v>
      </x:c>
      <x:c r="J652" s="31" t="n">
        <x:v>7.99</x:v>
      </x:c>
      <x:c r="K652" s="31" t="n">
        <x:v>6.36</x:v>
      </x:c>
      <x:c r="L652" s="31" t="n">
        <x:f>ABS(J652-K652)</x:f>
        <x:v>1.63</x:v>
      </x:c>
      <x:c r="M652" s="31" t="n">
        <x:v>3.24</x:v>
      </x:c>
      <x:c r="N652" s="31" t="n">
        <x:v>3.45</x:v>
      </x:c>
      <x:c r="O652" s="31" t="n">
        <x:f>ABS(M652-N652)</x:f>
        <x:v>0.20999999999999996</x:v>
      </x:c>
      <x:c r="P652" s="31" t="n">
        <x:v>8.17</x:v>
      </x:c>
      <x:c r="Q652" s="31" t="n">
        <x:v>7.83</x:v>
      </x:c>
      <x:c r="R652" s="31" t="n">
        <x:f>ABS(P652-Q652)</x:f>
        <x:v>0.33999999999999986</x:v>
      </x:c>
      <x:c r="S652" s="32" t="n">
        <x:v>47309.88580491521</x:v>
      </x:c>
      <x:c r="T652" s="32" t="n">
        <x:v>20954.93659689366</x:v>
      </x:c>
      <x:c r="U652" s="31" t="n">
        <x:f>MAX(S652/T652,T652/S652)</x:f>
        <x:v>2.2576964423709294</x:v>
      </x:c>
      <x:c r="V652" s="31" t="n">
        <x:f>L652*'Controls &amp; Summary'!$B$9+O652*'Controls &amp; Summary'!$B$10+R652*'Controls &amp; Summary'!$B$11+U652*'Controls &amp; Summary'!$B$12</x:f>
        <x:v>4.437696442370929</x:v>
      </x:c>
      <x:c r="W652" s="31" t="n">
        <x:v>4</x:v>
      </x:c>
      <x:c r="X652" s="31" t="n">
        <x:v>1</x:v>
      </x:c>
      <x:c r="Y652" s="31" t="n">
        <x:f>((10-MIN(10,MAX(0,X652)))/10)*'Controls &amp; Summary'!$B$15+((10-MIN(10,MAX(0,W652)))/10)*'Controls &amp; Summary'!$B$16</x:f>
        <x:v>1.5</x:v>
      </x:c>
      <x:c r="Z652" s="31" t="n">
        <x:f>V652*Y652</x:f>
        <x:v>6.656544663556394</x:v>
      </x:c>
      <x:c r="AA652" s="30" t="str">
        <x:f>IF(Z652&lt;=I652,"Peaceful","Hostile")</x:f>
        <x:v>Hostile</x:v>
      </x:c>
      <x:c r="AB652" s="30" t="str">
        <x:f>IF(Z652&lt;='Controls &amp; Summary'!$B$6,"Eligible","Blocked")</x:f>
        <x:v>Eligible</x:v>
      </x:c>
      <x:c r="AC652" s="30" t="str">
        <x:v>EUA</x:v>
      </x:c>
      <x:c r="AD652" s="30" t="str">
        <x:v>SER</x:v>
      </x:c>
      <x:c r="AE652" s="30" t="str">
        <x:v>Belgrade</x:v>
      </x:c>
      <x:c r="AF652" s="30" t="str">
        <x:v>Explicit capitalClaim</x:v>
      </x:c>
      <x:c r="AG652" s="30" t="str">
        <x:v>ClaimEUABelgrade</x:v>
      </x:c>
      <x:c r="AH652" s="30" t="str"/>
    </x:row>
    <x:row r="653">
      <x:c r="A653" s="30" t="str">
        <x:v>2022</x:v>
      </x:c>
      <x:c r="B653" s="30" t="str">
        <x:v>Base game</x:v>
      </x:c>
      <x:c r="C653" s="30" t="str">
        <x:v>France</x:v>
      </x:c>
      <x:c r="D653" s="30" t="str">
        <x:v>Slovakia</x:v>
      </x:c>
      <x:c r="E653" s="30" t="str">
        <x:v>Starting claim</x:v>
      </x:c>
      <x:c r="F653" s="30" t="str"/>
      <x:c r="G653" s="30" t="str">
        <x:v>No</x:v>
      </x:c>
      <x:c r="H653" s="30" t="str">
        <x:v>Ordinary claim</x:v>
      </x:c>
      <x:c r="I653" s="31" t="n">
        <x:f>IF(G653="Yes",'Controls &amp; Summary'!$B$5,'Controls &amp; Summary'!$B$4)</x:f>
        <x:v>6</x:v>
      </x:c>
      <x:c r="J653" s="31" t="n">
        <x:v>7.99</x:v>
      </x:c>
      <x:c r="K653" s="31" t="n">
        <x:v>7.03</x:v>
      </x:c>
      <x:c r="L653" s="31" t="n">
        <x:f>ABS(J653-K653)</x:f>
        <x:v>0.96</x:v>
      </x:c>
      <x:c r="M653" s="31" t="n">
        <x:v>3.24</x:v>
      </x:c>
      <x:c r="N653" s="31" t="n">
        <x:v>2.32</x:v>
      </x:c>
      <x:c r="O653" s="31" t="n">
        <x:f>ABS(M653-N653)</x:f>
        <x:v>0.9200000000000004</x:v>
      </x:c>
      <x:c r="P653" s="31" t="n">
        <x:v>8.17</x:v>
      </x:c>
      <x:c r="Q653" s="31" t="n">
        <x:v>8.26</x:v>
      </x:c>
      <x:c r="R653" s="31" t="n">
        <x:f>ABS(P653-Q653)</x:f>
        <x:v>0.08999999999999986</x:v>
      </x:c>
      <x:c r="S653" s="32" t="n">
        <x:v>47309.88580491521</x:v>
      </x:c>
      <x:c r="T653" s="32" t="n">
        <x:v>34026.561582197755</x:v>
      </x:c>
      <x:c r="U653" s="31" t="n">
        <x:f>MAX(S653/T653,T653/S653)</x:f>
        <x:v>1.390381031907353</x:v>
      </x:c>
      <x:c r="V653" s="31" t="n">
        <x:f>L653*'Controls &amp; Summary'!$B$9+O653*'Controls &amp; Summary'!$B$10+R653*'Controls &amp; Summary'!$B$11+U653*'Controls &amp; Summary'!$B$12</x:f>
        <x:v>3.3603810319073535</x:v>
      </x:c>
      <x:c r="W653" s="31" t="n">
        <x:v>4</x:v>
      </x:c>
      <x:c r="X653" s="31" t="n">
        <x:v>1</x:v>
      </x:c>
      <x:c r="Y653" s="31" t="n">
        <x:f>((10-MIN(10,MAX(0,X653)))/10)*'Controls &amp; Summary'!$B$15+((10-MIN(10,MAX(0,W653)))/10)*'Controls &amp; Summary'!$B$16</x:f>
        <x:v>1.5</x:v>
      </x:c>
      <x:c r="Z653" s="31" t="n">
        <x:f>V653*Y653</x:f>
        <x:v>5.04057154786103</x:v>
      </x:c>
      <x:c r="AA653" s="30" t="str">
        <x:f>IF(Z653&lt;=I653,"Peaceful","Hostile")</x:f>
        <x:v>Peaceful</x:v>
      </x:c>
      <x:c r="AB653" s="30" t="str">
        <x:f>IF(Z653&lt;='Controls &amp; Summary'!$B$6,"Eligible","Blocked")</x:f>
        <x:v>Eligible</x:v>
      </x:c>
      <x:c r="AC653" s="30" t="str">
        <x:v>EUA</x:v>
      </x:c>
      <x:c r="AD653" s="30" t="str">
        <x:v>SLO</x:v>
      </x:c>
      <x:c r="AE653" s="30" t="str">
        <x:v>Slovakia</x:v>
      </x:c>
      <x:c r="AF653" s="30" t="str">
        <x:v>Explicit capitalClaim</x:v>
      </x:c>
      <x:c r="AG653" s="30" t="str">
        <x:v>ClaimEUASlovakia</x:v>
      </x:c>
      <x:c r="AH653" s="30" t="str"/>
    </x:row>
    <x:row r="654">
      <x:c r="A654" s="30" t="str">
        <x:v>2022</x:v>
      </x:c>
      <x:c r="B654" s="30" t="str">
        <x:v>Base game</x:v>
      </x:c>
      <x:c r="C654" s="30" t="str">
        <x:v>France</x:v>
      </x:c>
      <x:c r="D654" s="30" t="str">
        <x:v>Slovenia</x:v>
      </x:c>
      <x:c r="E654" s="30" t="str">
        <x:v>Starting claim</x:v>
      </x:c>
      <x:c r="F654" s="30" t="str"/>
      <x:c r="G654" s="30" t="str">
        <x:v>No</x:v>
      </x:c>
      <x:c r="H654" s="30" t="str">
        <x:v>Ordinary claim</x:v>
      </x:c>
      <x:c r="I654" s="31" t="n">
        <x:f>IF(G654="Yes",'Controls &amp; Summary'!$B$5,'Controls &amp; Summary'!$B$4)</x:f>
        <x:v>6</x:v>
      </x:c>
      <x:c r="J654" s="31" t="n">
        <x:v>7.99</x:v>
      </x:c>
      <x:c r="K654" s="31" t="n">
        <x:v>7.54</x:v>
      </x:c>
      <x:c r="L654" s="31" t="n">
        <x:f>ABS(J654-K654)</x:f>
        <x:v>0.4500000000000002</x:v>
      </x:c>
      <x:c r="M654" s="31" t="n">
        <x:v>3.24</x:v>
      </x:c>
      <x:c r="N654" s="31" t="n">
        <x:v>2.44</x:v>
      </x:c>
      <x:c r="O654" s="31" t="n">
        <x:f>ABS(M654-N654)</x:f>
        <x:v>0.8000000000000003</x:v>
      </x:c>
      <x:c r="P654" s="31" t="n">
        <x:v>8.17</x:v>
      </x:c>
      <x:c r="Q654" s="31" t="n">
        <x:v>9.1</x:v>
      </x:c>
      <x:c r="R654" s="31" t="n">
        <x:f>ABS(P654-Q654)</x:f>
        <x:v>0.9299999999999997</x:v>
      </x:c>
      <x:c r="S654" s="32" t="n">
        <x:v>47309.88580491521</x:v>
      </x:c>
      <x:c r="T654" s="32" t="n">
        <x:v>43377.776408973405</x:v>
      </x:c>
      <x:c r="U654" s="31" t="n">
        <x:f>MAX(S654/T654,T654/S654)</x:f>
        <x:v>1.0906480165988495</x:v>
      </x:c>
      <x:c r="V654" s="31" t="n">
        <x:f>L654*'Controls &amp; Summary'!$B$9+O654*'Controls &amp; Summary'!$B$10+R654*'Controls &amp; Summary'!$B$11+U654*'Controls &amp; Summary'!$B$12</x:f>
        <x:v>3.27064801659885</x:v>
      </x:c>
      <x:c r="W654" s="31" t="n">
        <x:v>4</x:v>
      </x:c>
      <x:c r="X654" s="31" t="n">
        <x:v>0</x:v>
      </x:c>
      <x:c r="Y654" s="31" t="n">
        <x:f>((10-MIN(10,MAX(0,X654)))/10)*'Controls &amp; Summary'!$B$15+((10-MIN(10,MAX(0,W654)))/10)*'Controls &amp; Summary'!$B$16</x:f>
        <x:v>1.6</x:v>
      </x:c>
      <x:c r="Z654" s="31" t="n">
        <x:f>V654*Y654</x:f>
        <x:v>5.23303682655816</x:v>
      </x:c>
      <x:c r="AA654" s="30" t="str">
        <x:f>IF(Z654&lt;=I654,"Peaceful","Hostile")</x:f>
        <x:v>Peaceful</x:v>
      </x:c>
      <x:c r="AB654" s="30" t="str">
        <x:f>IF(Z654&lt;='Controls &amp; Summary'!$B$6,"Eligible","Blocked")</x:f>
        <x:v>Eligible</x:v>
      </x:c>
      <x:c r="AC654" s="30" t="str">
        <x:v>EUA</x:v>
      </x:c>
      <x:c r="AD654" s="30" t="str">
        <x:v>SLV</x:v>
      </x:c>
      <x:c r="AE654" s="30" t="str">
        <x:v>Slovenia</x:v>
      </x:c>
      <x:c r="AF654" s="30" t="str">
        <x:v>Explicit capitalClaim</x:v>
      </x:c>
      <x:c r="AG654" s="30" t="str">
        <x:v>ClaimEUASlovenia</x:v>
      </x:c>
      <x:c r="AH654" s="30" t="str"/>
    </x:row>
    <x:row r="655">
      <x:c r="A655" s="30" t="str">
        <x:v>2022</x:v>
      </x:c>
      <x:c r="B655" s="30" t="str">
        <x:v>Base game</x:v>
      </x:c>
      <x:c r="C655" s="30" t="str">
        <x:v>France</x:v>
      </x:c>
      <x:c r="D655" s="30" t="str">
        <x:v>Spain</x:v>
      </x:c>
      <x:c r="E655" s="30" t="str">
        <x:v>Starting claim</x:v>
      </x:c>
      <x:c r="F655" s="30" t="str"/>
      <x:c r="G655" s="30" t="str">
        <x:v>No</x:v>
      </x:c>
      <x:c r="H655" s="30" t="str">
        <x:v>Ordinary claim</x:v>
      </x:c>
      <x:c r="I655" s="31" t="n">
        <x:f>IF(G655="Yes",'Controls &amp; Summary'!$B$5,'Controls &amp; Summary'!$B$4)</x:f>
        <x:v>6</x:v>
      </x:c>
      <x:c r="J655" s="31" t="n">
        <x:v>7.99</x:v>
      </x:c>
      <x:c r="K655" s="31" t="n">
        <x:v>7.94</x:v>
      </x:c>
      <x:c r="L655" s="31" t="n">
        <x:f>ABS(J655-K655)</x:f>
        <x:v>0.04999999999999982</x:v>
      </x:c>
      <x:c r="M655" s="31" t="n">
        <x:v>3.24</x:v>
      </x:c>
      <x:c r="N655" s="31" t="n">
        <x:v>3.43</x:v>
      </x:c>
      <x:c r="O655" s="31" t="n">
        <x:f>ABS(M655-N655)</x:f>
        <x:v>0.18999999999999995</x:v>
      </x:c>
      <x:c r="P655" s="31" t="n">
        <x:v>8.17</x:v>
      </x:c>
      <x:c r="Q655" s="31" t="n">
        <x:v>8.31</x:v>
      </x:c>
      <x:c r="R655" s="31" t="n">
        <x:f>ABS(P655-Q655)</x:f>
        <x:v>0.14000000000000057</x:v>
      </x:c>
      <x:c r="S655" s="32" t="n">
        <x:v>47309.88580491521</x:v>
      </x:c>
      <x:c r="T655" s="32" t="n">
        <x:v>41624.64347332511</x:v>
      </x:c>
      <x:c r="U655" s="31" t="n">
        <x:f>MAX(S655/T655,T655/S655)</x:f>
        <x:v>1.1365835682228356</x:v>
      </x:c>
      <x:c r="V655" s="31" t="n">
        <x:f>L655*'Controls &amp; Summary'!$B$9+O655*'Controls &amp; Summary'!$B$10+R655*'Controls &amp; Summary'!$B$11+U655*'Controls &amp; Summary'!$B$12</x:f>
        <x:v>1.516583568222836</x:v>
      </x:c>
      <x:c r="W655" s="31" t="n">
        <x:v>4</x:v>
      </x:c>
      <x:c r="X655" s="31" t="n">
        <x:v>3</x:v>
      </x:c>
      <x:c r="Y655" s="31" t="n">
        <x:f>((10-MIN(10,MAX(0,X655)))/10)*'Controls &amp; Summary'!$B$15+((10-MIN(10,MAX(0,W655)))/10)*'Controls &amp; Summary'!$B$16</x:f>
        <x:v>1.2999999999999998</x:v>
      </x:c>
      <x:c r="Z655" s="31" t="n">
        <x:f>V655*Y655</x:f>
        <x:v>1.9715586386896864</x:v>
      </x:c>
      <x:c r="AA655" s="30" t="str">
        <x:f>IF(Z655&lt;=I655,"Peaceful","Hostile")</x:f>
        <x:v>Peaceful</x:v>
      </x:c>
      <x:c r="AB655" s="30" t="str">
        <x:f>IF(Z655&lt;='Controls &amp; Summary'!$B$6,"Eligible","Blocked")</x:f>
        <x:v>Eligible</x:v>
      </x:c>
      <x:c r="AC655" s="30" t="str">
        <x:v>EUA</x:v>
      </x:c>
      <x:c r="AD655" s="30" t="str">
        <x:v>ESP</x:v>
      </x:c>
      <x:c r="AE655" s="30" t="str">
        <x:v>Spain</x:v>
      </x:c>
      <x:c r="AF655" s="30" t="str">
        <x:v>Explicit capitalClaim</x:v>
      </x:c>
      <x:c r="AG655" s="30" t="str">
        <x:v>ClaimEUASpain</x:v>
      </x:c>
      <x:c r="AH655" s="30" t="str"/>
    </x:row>
    <x:row r="656">
      <x:c r="A656" s="30" t="str">
        <x:v>2022</x:v>
      </x:c>
      <x:c r="B656" s="30" t="str">
        <x:v>Base game</x:v>
      </x:c>
      <x:c r="C656" s="30" t="str">
        <x:v>France</x:v>
      </x:c>
      <x:c r="D656" s="30" t="str">
        <x:v>Sweden</x:v>
      </x:c>
      <x:c r="E656" s="30" t="str">
        <x:v>Starting claim</x:v>
      </x:c>
      <x:c r="F656" s="30" t="str"/>
      <x:c r="G656" s="30" t="str">
        <x:v>No</x:v>
      </x:c>
      <x:c r="H656" s="30" t="str">
        <x:v>Ordinary claim</x:v>
      </x:c>
      <x:c r="I656" s="31" t="n">
        <x:f>IF(G656="Yes",'Controls &amp; Summary'!$B$5,'Controls &amp; Summary'!$B$4)</x:f>
        <x:v>6</x:v>
      </x:c>
      <x:c r="J656" s="31" t="n">
        <x:v>7.99</x:v>
      </x:c>
      <x:c r="K656" s="31" t="n">
        <x:v>9.26</x:v>
      </x:c>
      <x:c r="L656" s="31" t="n">
        <x:f>ABS(J656-K656)</x:f>
        <x:v>1.2699999999999996</x:v>
      </x:c>
      <x:c r="M656" s="31" t="n">
        <x:v>3.24</x:v>
      </x:c>
      <x:c r="N656" s="31" t="n">
        <x:v>2.93</x:v>
      </x:c>
      <x:c r="O656" s="31" t="n">
        <x:f>ABS(M656-N656)</x:f>
        <x:v>0.31000000000000005</x:v>
      </x:c>
      <x:c r="P656" s="31" t="n">
        <x:v>8.17</x:v>
      </x:c>
      <x:c r="Q656" s="31" t="n">
        <x:v>9.18</x:v>
      </x:c>
      <x:c r="R656" s="31" t="n">
        <x:f>ABS(P656-Q656)</x:f>
        <x:v>1.0099999999999998</x:v>
      </x:c>
      <x:c r="S656" s="32" t="n">
        <x:v>47309.88580491521</x:v>
      </x:c>
      <x:c r="T656" s="32" t="n">
        <x:v>57961.24796654785</x:v>
      </x:c>
      <x:c r="U656" s="31" t="n">
        <x:f>MAX(S656/T656,T656/S656)</x:f>
        <x:v>1.2251403058877397</x:v>
      </x:c>
      <x:c r="V656" s="31" t="n">
        <x:f>L656*'Controls &amp; Summary'!$B$9+O656*'Controls &amp; Summary'!$B$10+R656*'Controls &amp; Summary'!$B$11+U656*'Controls &amp; Summary'!$B$12</x:f>
        <x:v>3.815140305887739</x:v>
      </x:c>
      <x:c r="W656" s="31" t="n">
        <x:v>4</x:v>
      </x:c>
      <x:c r="X656" s="31" t="n">
        <x:v>1</x:v>
      </x:c>
      <x:c r="Y656" s="31" t="n">
        <x:f>((10-MIN(10,MAX(0,X656)))/10)*'Controls &amp; Summary'!$B$15+((10-MIN(10,MAX(0,W656)))/10)*'Controls &amp; Summary'!$B$16</x:f>
        <x:v>1.5</x:v>
      </x:c>
      <x:c r="Z656" s="31" t="n">
        <x:f>V656*Y656</x:f>
        <x:v>5.7227104588316084</x:v>
      </x:c>
      <x:c r="AA656" s="30" t="str">
        <x:f>IF(Z656&lt;=I656,"Peaceful","Hostile")</x:f>
        <x:v>Peaceful</x:v>
      </x:c>
      <x:c r="AB656" s="30" t="str">
        <x:f>IF(Z656&lt;='Controls &amp; Summary'!$B$6,"Eligible","Blocked")</x:f>
        <x:v>Eligible</x:v>
      </x:c>
      <x:c r="AC656" s="30" t="str">
        <x:v>EUA</x:v>
      </x:c>
      <x:c r="AD656" s="30" t="str">
        <x:v>SCA</x:v>
      </x:c>
      <x:c r="AE656" s="30" t="str">
        <x:v>Sweden</x:v>
      </x:c>
      <x:c r="AF656" s="30" t="str">
        <x:v>Explicit capitalClaim</x:v>
      </x:c>
      <x:c r="AG656" s="30" t="str">
        <x:v>ClaimEUASweden</x:v>
      </x:c>
      <x:c r="AH656" s="30" t="str"/>
    </x:row>
    <x:row r="657">
      <x:c r="A657" s="30" t="str">
        <x:v>2022</x:v>
      </x:c>
      <x:c r="B657" s="30" t="str">
        <x:v>Base game</x:v>
      </x:c>
      <x:c r="C657" s="30" t="str">
        <x:v>France</x:v>
      </x:c>
      <x:c r="D657" s="30" t="str">
        <x:v>Switzerland</x:v>
      </x:c>
      <x:c r="E657" s="30" t="str">
        <x:v>Project unlock</x:v>
      </x:c>
      <x:c r="F657" s="30" t="str">
        <x:v>Great Europa</x:v>
      </x:c>
      <x:c r="G657" s="30" t="str">
        <x:v>No</x:v>
      </x:c>
      <x:c r="H657" s="30" t="str">
        <x:v>Ordinary claim</x:v>
      </x:c>
      <x:c r="I657" s="31" t="n">
        <x:f>IF(G657="Yes",'Controls &amp; Summary'!$B$5,'Controls &amp; Summary'!$B$4)</x:f>
        <x:v>6</x:v>
      </x:c>
      <x:c r="J657" s="31" t="n">
        <x:v>7.99</x:v>
      </x:c>
      <x:c r="K657" s="31" t="n">
        <x:v>8.9</x:v>
      </x:c>
      <x:c r="L657" s="31" t="n">
        <x:f>ABS(J657-K657)</x:f>
        <x:v>0.9100000000000001</x:v>
      </x:c>
      <x:c r="M657" s="31" t="n">
        <x:v>3.24</x:v>
      </x:c>
      <x:c r="N657" s="31" t="n">
        <x:v>3.31</x:v>
      </x:c>
      <x:c r="O657" s="31" t="n">
        <x:f>ABS(M657-N657)</x:f>
        <x:v>0.06999999999999984</x:v>
      </x:c>
      <x:c r="P657" s="31" t="n">
        <x:v>8.17</x:v>
      </x:c>
      <x:c r="Q657" s="31" t="n">
        <x:v>9</x:v>
      </x:c>
      <x:c r="R657" s="31" t="n">
        <x:f>ABS(P657-Q657)</x:f>
        <x:v>0.8300000000000001</x:v>
      </x:c>
      <x:c r="S657" s="32" t="n">
        <x:v>47309.88580491521</x:v>
      </x:c>
      <x:c r="T657" s="32" t="n">
        <x:v>92586.1530163957</x:v>
      </x:c>
      <x:c r="U657" s="31" t="n">
        <x:f>MAX(S657/T657,T657/S657)</x:f>
        <x:v>1.9570149333731126</x:v>
      </x:c>
      <x:c r="V657" s="31" t="n">
        <x:f>L657*'Controls &amp; Summary'!$B$9+O657*'Controls &amp; Summary'!$B$10+R657*'Controls &amp; Summary'!$B$11+U657*'Controls &amp; Summary'!$B$12</x:f>
        <x:v>3.7670149333731127</x:v>
      </x:c>
      <x:c r="W657" s="31" t="n">
        <x:v>4</x:v>
      </x:c>
      <x:c r="X657" s="31" t="n">
        <x:v>0</x:v>
      </x:c>
      <x:c r="Y657" s="31" t="n">
        <x:f>((10-MIN(10,MAX(0,X657)))/10)*'Controls &amp; Summary'!$B$15+((10-MIN(10,MAX(0,W657)))/10)*'Controls &amp; Summary'!$B$16</x:f>
        <x:v>1.6</x:v>
      </x:c>
      <x:c r="Z657" s="31" t="n">
        <x:f>V657*Y657</x:f>
        <x:v>6.027223893396981</x:v>
      </x:c>
      <x:c r="AA657" s="30" t="str">
        <x:f>IF(Z657&lt;=I657,"Peaceful","Hostile")</x:f>
        <x:v>Hostile</x:v>
      </x:c>
      <x:c r="AB657" s="30" t="str">
        <x:f>IF(Z657&lt;='Controls &amp; Summary'!$B$6,"Eligible","Blocked")</x:f>
        <x:v>Eligible</x:v>
      </x:c>
      <x:c r="AC657" s="30" t="str">
        <x:v>EUA</x:v>
      </x:c>
      <x:c r="AD657" s="30" t="str">
        <x:v>SWI</x:v>
      </x:c>
      <x:c r="AE657" s="30" t="str">
        <x:v>Zurich</x:v>
      </x:c>
      <x:c r="AF657" s="30" t="str">
        <x:v>Explicit capitalClaim</x:v>
      </x:c>
      <x:c r="AG657" s="30" t="str">
        <x:v>ClaimEUAZurich</x:v>
      </x:c>
      <x:c r="AH657" s="30" t="str">
        <x:v>Project_GreatEuropa</x:v>
      </x:c>
    </x:row>
    <x:row r="658">
      <x:c r="A658" s="30" t="str">
        <x:v>2022</x:v>
      </x:c>
      <x:c r="B658" s="30" t="str">
        <x:v>Base game</x:v>
      </x:c>
      <x:c r="C658" s="30" t="str">
        <x:v>France</x:v>
      </x:c>
      <x:c r="D658" s="30" t="str">
        <x:v>Turkey</x:v>
      </x:c>
      <x:c r="E658" s="30" t="str">
        <x:v>Project unlock</x:v>
      </x:c>
      <x:c r="F658" s="30" t="str">
        <x:v>Europe Ascendant</x:v>
      </x:c>
      <x:c r="G658" s="30" t="str">
        <x:v>No</x:v>
      </x:c>
      <x:c r="H658" s="30" t="str">
        <x:v>Ordinary claim</x:v>
      </x:c>
      <x:c r="I658" s="31" t="n">
        <x:f>IF(G658="Yes",'Controls &amp; Summary'!$B$5,'Controls &amp; Summary'!$B$4)</x:f>
        <x:v>6</x:v>
      </x:c>
      <x:c r="J658" s="31" t="n">
        <x:v>7.99</x:v>
      </x:c>
      <x:c r="K658" s="31" t="n">
        <x:v>4.35</x:v>
      </x:c>
      <x:c r="L658" s="31" t="n">
        <x:f>ABS(J658-K658)</x:f>
        <x:v>3.6400000000000006</x:v>
      </x:c>
      <x:c r="M658" s="31" t="n">
        <x:v>3.24</x:v>
      </x:c>
      <x:c r="N658" s="31" t="n">
        <x:v>4.19</x:v>
      </x:c>
      <x:c r="O658" s="31" t="n">
        <x:f>ABS(M658-N658)</x:f>
        <x:v>0.9500000000000002</x:v>
      </x:c>
      <x:c r="P658" s="31" t="n">
        <x:v>8.17</x:v>
      </x:c>
      <x:c r="Q658" s="31" t="n">
        <x:v>7.31</x:v>
      </x:c>
      <x:c r="R658" s="31" t="n">
        <x:f>ABS(P658-Q658)</x:f>
        <x:v>0.8600000000000003</x:v>
      </x:c>
      <x:c r="S658" s="32" t="n">
        <x:v>47309.88580491521</x:v>
      </x:c>
      <x:c r="T658" s="32" t="n">
        <x:v>32981.473878378274</x:v>
      </x:c>
      <x:c r="U658" s="31" t="n">
        <x:f>MAX(S658/T658,T658/S658)</x:f>
        <x:v>1.434438193374076</x:v>
      </x:c>
      <x:c r="V658" s="31" t="n">
        <x:f>L658*'Controls &amp; Summary'!$B$9+O658*'Controls &amp; Summary'!$B$10+R658*'Controls &amp; Summary'!$B$11+U658*'Controls &amp; Summary'!$B$12</x:f>
        <x:v>6.884438193374077</x:v>
      </x:c>
      <x:c r="W658" s="31" t="n">
        <x:v>4</x:v>
      </x:c>
      <x:c r="X658" s="31" t="n">
        <x:v>5</x:v>
      </x:c>
      <x:c r="Y658" s="31" t="n">
        <x:f>((10-MIN(10,MAX(0,X658)))/10)*'Controls &amp; Summary'!$B$15+((10-MIN(10,MAX(0,W658)))/10)*'Controls &amp; Summary'!$B$16</x:f>
        <x:v>1.1</x:v>
      </x:c>
      <x:c r="Z658" s="31" t="n">
        <x:f>V658*Y658</x:f>
        <x:v>7.572882012711485</x:v>
      </x:c>
      <x:c r="AA658" s="30" t="str">
        <x:f>IF(Z658&lt;=I658,"Peaceful","Hostile")</x:f>
        <x:v>Hostile</x:v>
      </x:c>
      <x:c r="AB658" s="30" t="str">
        <x:f>IF(Z658&lt;='Controls &amp; Summary'!$B$6,"Eligible","Blocked")</x:f>
        <x:v>Eligible</x:v>
      </x:c>
      <x:c r="AC658" s="30" t="str">
        <x:v>EUA</x:v>
      </x:c>
      <x:c r="AD658" s="30" t="str">
        <x:v>TUR</x:v>
      </x:c>
      <x:c r="AE658" s="30" t="str">
        <x:v>Anatolia</x:v>
      </x:c>
      <x:c r="AF658" s="30" t="str">
        <x:v>Explicit capitalClaim</x:v>
      </x:c>
      <x:c r="AG658" s="30" t="str">
        <x:v>ClaimEUAAnatolia</x:v>
      </x:c>
      <x:c r="AH658" s="30" t="str">
        <x:v>Project_EuropeAscendant</x:v>
      </x:c>
    </x:row>
    <x:row r="659">
      <x:c r="A659" s="30" t="str">
        <x:v>2022</x:v>
      </x:c>
      <x:c r="B659" s="30" t="str">
        <x:v>Base game</x:v>
      </x:c>
      <x:c r="C659" s="30" t="str">
        <x:v>France</x:v>
      </x:c>
      <x:c r="D659" s="30" t="str">
        <x:v>Ukraine</x:v>
      </x:c>
      <x:c r="E659" s="30" t="str">
        <x:v>Starting claim</x:v>
      </x:c>
      <x:c r="F659" s="30" t="str"/>
      <x:c r="G659" s="30" t="str">
        <x:v>No</x:v>
      </x:c>
      <x:c r="H659" s="30" t="str">
        <x:v>Ordinary claim</x:v>
      </x:c>
      <x:c r="I659" s="31" t="n">
        <x:f>IF(G659="Yes",'Controls &amp; Summary'!$B$5,'Controls &amp; Summary'!$B$4)</x:f>
        <x:v>6</x:v>
      </x:c>
      <x:c r="J659" s="31" t="n">
        <x:v>7.99</x:v>
      </x:c>
      <x:c r="K659" s="31" t="n">
        <x:v>5.57</x:v>
      </x:c>
      <x:c r="L659" s="31" t="n">
        <x:f>ABS(J659-K659)</x:f>
        <x:v>2.42</x:v>
      </x:c>
      <x:c r="M659" s="31" t="n">
        <x:v>3.24</x:v>
      </x:c>
      <x:c r="N659" s="31" t="n">
        <x:v>2.56</x:v>
      </x:c>
      <x:c r="O659" s="31" t="n">
        <x:f>ABS(M659-N659)</x:f>
        <x:v>0.6800000000000002</x:v>
      </x:c>
      <x:c r="P659" s="31" t="n">
        <x:v>8.17</x:v>
      </x:c>
      <x:c r="Q659" s="31" t="n">
        <x:v>7.99</x:v>
      </x:c>
      <x:c r="R659" s="31" t="n">
        <x:f>ABS(P659-Q659)</x:f>
        <x:v>0.17999999999999972</x:v>
      </x:c>
      <x:c r="S659" s="32" t="n">
        <x:v>47309.88580491521</x:v>
      </x:c>
      <x:c r="T659" s="32" t="n">
        <x:v>12011.993225764689</x:v>
      </x:c>
      <x:c r="U659" s="31" t="n">
        <x:f>MAX(S659/T659,T659/S659)</x:f>
        <x:v>3.9385541529810046</x:v>
      </x:c>
      <x:c r="V659" s="31" t="n">
        <x:f>L659*'Controls &amp; Summary'!$B$9+O659*'Controls &amp; Summary'!$B$10+R659*'Controls &amp; Summary'!$B$11+U659*'Controls &amp; Summary'!$B$12</x:f>
        <x:v>7.218554152981005</x:v>
      </x:c>
      <x:c r="W659" s="31" t="n">
        <x:v>4</x:v>
      </x:c>
      <x:c r="X659" s="31" t="n">
        <x:v>3</x:v>
      </x:c>
      <x:c r="Y659" s="31" t="n">
        <x:f>((10-MIN(10,MAX(0,X659)))/10)*'Controls &amp; Summary'!$B$15+((10-MIN(10,MAX(0,W659)))/10)*'Controls &amp; Summary'!$B$16</x:f>
        <x:v>1.2999999999999998</x:v>
      </x:c>
      <x:c r="Z659" s="31" t="n">
        <x:f>V659*Y659</x:f>
        <x:v>9.384120398875305</x:v>
      </x:c>
      <x:c r="AA659" s="30" t="str">
        <x:f>IF(Z659&lt;=I659,"Peaceful","Hostile")</x:f>
        <x:v>Hostile</x:v>
      </x:c>
      <x:c r="AB659" s="30" t="str">
        <x:f>IF(Z659&lt;='Controls &amp; Summary'!$B$6,"Eligible","Blocked")</x:f>
        <x:v>Eligible</x:v>
      </x:c>
      <x:c r="AC659" s="30" t="str">
        <x:v>EUA</x:v>
      </x:c>
      <x:c r="AD659" s="30" t="str">
        <x:v>UKR</x:v>
      </x:c>
      <x:c r="AE659" s="30" t="str">
        <x:v>Kiev</x:v>
      </x:c>
      <x:c r="AF659" s="30" t="str">
        <x:v>Explicit capitalClaim</x:v>
      </x:c>
      <x:c r="AG659" s="30" t="str">
        <x:v>ClaimEUAKiev</x:v>
      </x:c>
      <x:c r="AH659" s="30" t="str"/>
    </x:row>
    <x:row r="660">
      <x:c r="A660" s="30" t="str">
        <x:v>2022</x:v>
      </x:c>
      <x:c r="B660" s="30" t="str">
        <x:v>Base game</x:v>
      </x:c>
      <x:c r="C660" s="30" t="str">
        <x:v>France</x:v>
      </x:c>
      <x:c r="D660" s="30" t="str">
        <x:v>United Kingdom</x:v>
      </x:c>
      <x:c r="E660" s="30" t="str">
        <x:v>Starting claim</x:v>
      </x:c>
      <x:c r="F660" s="30" t="str"/>
      <x:c r="G660" s="30" t="str">
        <x:v>No</x:v>
      </x:c>
      <x:c r="H660" s="30" t="str">
        <x:v>Ordinary claim</x:v>
      </x:c>
      <x:c r="I660" s="31" t="n">
        <x:f>IF(G660="Yes",'Controls &amp; Summary'!$B$5,'Controls &amp; Summary'!$B$4)</x:f>
        <x:v>6</x:v>
      </x:c>
      <x:c r="J660" s="31" t="n">
        <x:v>7.99</x:v>
      </x:c>
      <x:c r="K660" s="31" t="n">
        <x:v>8.1</x:v>
      </x:c>
      <x:c r="L660" s="31" t="n">
        <x:f>ABS(J660-K660)</x:f>
        <x:v>0.10999999999999943</x:v>
      </x:c>
      <x:c r="M660" s="31" t="n">
        <x:v>3.24</x:v>
      </x:c>
      <x:c r="N660" s="31" t="n">
        <x:v>3.51</x:v>
      </x:c>
      <x:c r="O660" s="31" t="n">
        <x:f>ABS(M660-N660)</x:f>
        <x:v>0.2699999999999996</x:v>
      </x:c>
      <x:c r="P660" s="31" t="n">
        <x:v>8.17</x:v>
      </x:c>
      <x:c r="Q660" s="31" t="n">
        <x:v>9.28</x:v>
      </x:c>
      <x:c r="R660" s="31" t="n">
        <x:f>ABS(P660-Q660)</x:f>
        <x:v>1.1099999999999994</x:v>
      </x:c>
      <x:c r="S660" s="32" t="n">
        <x:v>47309.88580491521</x:v>
      </x:c>
      <x:c r="T660" s="32" t="n">
        <x:v>48138.43755174104</x:v>
      </x:c>
      <x:c r="U660" s="31" t="n">
        <x:f>MAX(S660/T660,T660/S660)</x:f>
        <x:v>1.0175132899335755</x:v>
      </x:c>
      <x:c r="V660" s="31" t="n">
        <x:f>L660*'Controls &amp; Summary'!$B$9+O660*'Controls &amp; Summary'!$B$10+R660*'Controls &amp; Summary'!$B$11+U660*'Controls &amp; Summary'!$B$12</x:f>
        <x:v>2.507513289933574</x:v>
      </x:c>
      <x:c r="W660" s="31" t="n">
        <x:v>4</x:v>
      </x:c>
      <x:c r="X660" s="31" t="n">
        <x:v>1</x:v>
      </x:c>
      <x:c r="Y660" s="31" t="n">
        <x:f>((10-MIN(10,MAX(0,X660)))/10)*'Controls &amp; Summary'!$B$15+((10-MIN(10,MAX(0,W660)))/10)*'Controls &amp; Summary'!$B$16</x:f>
        <x:v>1.5</x:v>
      </x:c>
      <x:c r="Z660" s="31" t="n">
        <x:f>V660*Y660</x:f>
        <x:v>3.761269934900361</x:v>
      </x:c>
      <x:c r="AA660" s="30" t="str">
        <x:f>IF(Z660&lt;=I660,"Peaceful","Hostile")</x:f>
        <x:v>Peaceful</x:v>
      </x:c>
      <x:c r="AB660" s="30" t="str">
        <x:f>IF(Z660&lt;='Controls &amp; Summary'!$B$6,"Eligible","Blocked")</x:f>
        <x:v>Eligible</x:v>
      </x:c>
      <x:c r="AC660" s="30" t="str">
        <x:v>EUA</x:v>
      </x:c>
      <x:c r="AD660" s="30" t="str">
        <x:v>GBR</x:v>
      </x:c>
      <x:c r="AE660" s="30" t="str">
        <x:v>England</x:v>
      </x:c>
      <x:c r="AF660" s="30" t="str">
        <x:v>Explicit capitalClaim</x:v>
      </x:c>
      <x:c r="AG660" s="30" t="str">
        <x:v>ClaimEUAEngland</x:v>
      </x:c>
      <x:c r="AH660" s="30" t="str"/>
    </x:row>
    <x:row r="661">
      <x:c r="A661" s="30" t="str">
        <x:v>2022</x:v>
      </x:c>
      <x:c r="B661" s="30" t="str">
        <x:v>Base game</x:v>
      </x:c>
      <x:c r="C661" s="30" t="str">
        <x:v>Germany</x:v>
      </x:c>
      <x:c r="D661" s="30" t="str">
        <x:v>Austria</x:v>
      </x:c>
      <x:c r="E661" s="30" t="str">
        <x:v>Project unlock</x:v>
      </x:c>
      <x:c r="F661" s="30" t="str">
        <x:v>Freistaat Confederation</x:v>
      </x:c>
      <x:c r="G661" s="30" t="str">
        <x:v>No</x:v>
      </x:c>
      <x:c r="H661" s="30" t="str">
        <x:v>Ordinary claim</x:v>
      </x:c>
      <x:c r="I661" s="31" t="n">
        <x:f>IF(G661="Yes",'Controls &amp; Summary'!$B$5,'Controls &amp; Summary'!$B$4)</x:f>
        <x:v>6</x:v>
      </x:c>
      <x:c r="J661" s="31" t="n">
        <x:v>8.67</x:v>
      </x:c>
      <x:c r="K661" s="31" t="n">
        <x:v>8.07</x:v>
      </x:c>
      <x:c r="L661" s="31" t="n">
        <x:f>ABS(J661-K661)</x:f>
        <x:v>0.5999999999999996</x:v>
      </x:c>
      <x:c r="M661" s="31" t="n">
        <x:v>3.17</x:v>
      </x:c>
      <x:c r="N661" s="31" t="n">
        <x:v>3.02</x:v>
      </x:c>
      <x:c r="O661" s="31" t="n">
        <x:f>ABS(M661-N661)</x:f>
        <x:v>0.1499999999999999</x:v>
      </x:c>
      <x:c r="P661" s="31" t="n">
        <x:v>9.43</x:v>
      </x:c>
      <x:c r="Q661" s="31" t="n">
        <x:v>8.65</x:v>
      </x:c>
      <x:c r="R661" s="31" t="n">
        <x:f>ABS(P661-Q661)</x:f>
        <x:v>0.7799999999999994</x:v>
      </x:c>
      <x:c r="S661" s="32" t="n">
        <x:v>55295.97259086199</x:v>
      </x:c>
      <x:c r="T661" s="32" t="n">
        <x:v>56461.526507157185</x:v>
      </x:c>
      <x:c r="U661" s="31" t="n">
        <x:f>MAX(S661/T661,T661/S661)</x:f>
        <x:v>1.0210784594552518</x:v>
      </x:c>
      <x:c r="V661" s="31" t="n">
        <x:f>L661*'Controls &amp; Summary'!$B$9+O661*'Controls &amp; Summary'!$B$10+R661*'Controls &amp; Summary'!$B$11+U661*'Controls &amp; Summary'!$B$12</x:f>
        <x:v>2.5510784594552507</x:v>
      </x:c>
      <x:c r="W661" s="31" t="n">
        <x:v>4</x:v>
      </x:c>
      <x:c r="X661" s="31" t="n">
        <x:v>0</x:v>
      </x:c>
      <x:c r="Y661" s="31" t="n">
        <x:f>((10-MIN(10,MAX(0,X661)))/10)*'Controls &amp; Summary'!$B$15+((10-MIN(10,MAX(0,W661)))/10)*'Controls &amp; Summary'!$B$16</x:f>
        <x:v>1.6</x:v>
      </x:c>
      <x:c r="Z661" s="31" t="n">
        <x:f>V661*Y661</x:f>
        <x:v>4.081725535128402</x:v>
      </x:c>
      <x:c r="AA661" s="30" t="str">
        <x:f>IF(Z661&lt;=I661,"Peaceful","Hostile")</x:f>
        <x:v>Peaceful</x:v>
      </x:c>
      <x:c r="AB661" s="30" t="str">
        <x:f>IF(Z661&lt;='Controls &amp; Summary'!$B$6,"Eligible","Blocked")</x:f>
        <x:v>Eligible</x:v>
      </x:c>
      <x:c r="AC661" s="30" t="str">
        <x:v>DEU</x:v>
      </x:c>
      <x:c r="AD661" s="30" t="str">
        <x:v>ALP</x:v>
      </x:c>
      <x:c r="AE661" s="30" t="str">
        <x:v>Vienna</x:v>
      </x:c>
      <x:c r="AF661" s="30" t="str">
        <x:v>Explicit capitalClaim</x:v>
      </x:c>
      <x:c r="AG661" s="30" t="str">
        <x:v>ClaimDEUVienna</x:v>
      </x:c>
      <x:c r="AH661" s="30" t="str">
        <x:v>Project_FreistaatConfederation</x:v>
      </x:c>
    </x:row>
    <x:row r="662">
      <x:c r="A662" s="30" t="str">
        <x:v>2022</x:v>
      </x:c>
      <x:c r="B662" s="30" t="str">
        <x:v>Base game</x:v>
      </x:c>
      <x:c r="C662" s="30" t="str">
        <x:v>Germany</x:v>
      </x:c>
      <x:c r="D662" s="30" t="str">
        <x:v>Belgium</x:v>
      </x:c>
      <x:c r="E662" s="30" t="str">
        <x:v>Project unlock</x:v>
      </x:c>
      <x:c r="F662" s="30" t="str">
        <x:v>Freistaat Confederation</x:v>
      </x:c>
      <x:c r="G662" s="30" t="str">
        <x:v>No</x:v>
      </x:c>
      <x:c r="H662" s="30" t="str">
        <x:v>Ordinary claim</x:v>
      </x:c>
      <x:c r="I662" s="31" t="n">
        <x:f>IF(G662="Yes",'Controls &amp; Summary'!$B$5,'Controls &amp; Summary'!$B$4)</x:f>
        <x:v>6</x:v>
      </x:c>
      <x:c r="J662" s="31" t="n">
        <x:v>8.67</x:v>
      </x:c>
      <x:c r="K662" s="31" t="n">
        <x:v>7.51</x:v>
      </x:c>
      <x:c r="L662" s="31" t="n">
        <x:f>ABS(J662-K662)</x:f>
        <x:v>1.1600000000000001</x:v>
      </x:c>
      <x:c r="M662" s="31" t="n">
        <x:v>3.17</x:v>
      </x:c>
      <x:c r="N662" s="31" t="n">
        <x:v>2.72</x:v>
      </x:c>
      <x:c r="O662" s="31" t="n">
        <x:f>ABS(M662-N662)</x:f>
        <x:v>0.44999999999999973</x:v>
      </x:c>
      <x:c r="P662" s="31" t="n">
        <x:v>9.43</x:v>
      </x:c>
      <x:c r="Q662" s="31" t="n">
        <x:v>9.02</x:v>
      </x:c>
      <x:c r="R662" s="31" t="n">
        <x:f>ABS(P662-Q662)</x:f>
        <x:v>0.41000000000000014</x:v>
      </x:c>
      <x:c r="S662" s="32" t="n">
        <x:v>55295.97259086199</x:v>
      </x:c>
      <x:c r="T662" s="32" t="n">
        <x:v>54689.60278835536</x:v>
      </x:c>
      <x:c r="U662" s="31" t="n">
        <x:f>MAX(S662/T662,T662/S662)</x:f>
        <x:v>1.0110874786356234</x:v>
      </x:c>
      <x:c r="V662" s="31" t="n">
        <x:f>L662*'Controls &amp; Summary'!$B$9+O662*'Controls &amp; Summary'!$B$10+R662*'Controls &amp; Summary'!$B$11+U662*'Controls &amp; Summary'!$B$12</x:f>
        <x:v>3.0310874786356234</x:v>
      </x:c>
      <x:c r="W662" s="31" t="n">
        <x:v>4</x:v>
      </x:c>
      <x:c r="X662" s="31" t="n">
        <x:v>1</x:v>
      </x:c>
      <x:c r="Y662" s="31" t="n">
        <x:f>((10-MIN(10,MAX(0,X662)))/10)*'Controls &amp; Summary'!$B$15+((10-MIN(10,MAX(0,W662)))/10)*'Controls &amp; Summary'!$B$16</x:f>
        <x:v>1.5</x:v>
      </x:c>
      <x:c r="Z662" s="31" t="n">
        <x:f>V662*Y662</x:f>
        <x:v>4.546631217953435</x:v>
      </x:c>
      <x:c r="AA662" s="30" t="str">
        <x:f>IF(Z662&lt;=I662,"Peaceful","Hostile")</x:f>
        <x:v>Peaceful</x:v>
      </x:c>
      <x:c r="AB662" s="30" t="str">
        <x:f>IF(Z662&lt;='Controls &amp; Summary'!$B$6,"Eligible","Blocked")</x:f>
        <x:v>Eligible</x:v>
      </x:c>
      <x:c r="AC662" s="30" t="str">
        <x:v>DEU</x:v>
      </x:c>
      <x:c r="AD662" s="30" t="str">
        <x:v>BGM</x:v>
      </x:c>
      <x:c r="AE662" s="30" t="str">
        <x:v>Belgium</x:v>
      </x:c>
      <x:c r="AF662" s="30" t="str">
        <x:v>Explicit capitalClaim</x:v>
      </x:c>
      <x:c r="AG662" s="30" t="str">
        <x:v>ClaimDEUBelgium</x:v>
      </x:c>
      <x:c r="AH662" s="30" t="str">
        <x:v>Project_FreistaatConfederation</x:v>
      </x:c>
    </x:row>
    <x:row r="663">
      <x:c r="A663" s="30" t="str">
        <x:v>2022</x:v>
      </x:c>
      <x:c r="B663" s="30" t="str">
        <x:v>Base game</x:v>
      </x:c>
      <x:c r="C663" s="30" t="str">
        <x:v>Germany</x:v>
      </x:c>
      <x:c r="D663" s="30" t="str">
        <x:v>Czechia</x:v>
      </x:c>
      <x:c r="E663" s="30" t="str">
        <x:v>Project unlock</x:v>
      </x:c>
      <x:c r="F663" s="30" t="str">
        <x:v>Freistaat Confederation</x:v>
      </x:c>
      <x:c r="G663" s="30" t="str">
        <x:v>No</x:v>
      </x:c>
      <x:c r="H663" s="30" t="str">
        <x:v>Ordinary claim</x:v>
      </x:c>
      <x:c r="I663" s="31" t="n">
        <x:f>IF(G663="Yes",'Controls &amp; Summary'!$B$5,'Controls &amp; Summary'!$B$4)</x:f>
        <x:v>6</x:v>
      </x:c>
      <x:c r="J663" s="31" t="n">
        <x:v>8.67</x:v>
      </x:c>
      <x:c r="K663" s="31" t="n">
        <x:v>7.74</x:v>
      </x:c>
      <x:c r="L663" s="31" t="n">
        <x:f>ABS(J663-K663)</x:f>
        <x:v>0.9299999999999997</x:v>
      </x:c>
      <x:c r="M663" s="31" t="n">
        <x:v>3.17</x:v>
      </x:c>
      <x:c r="N663" s="31" t="n">
        <x:v>2.53</x:v>
      </x:c>
      <x:c r="O663" s="31" t="n">
        <x:f>ABS(M663-N663)</x:f>
        <x:v>0.6400000000000001</x:v>
      </x:c>
      <x:c r="P663" s="31" t="n">
        <x:v>9.43</x:v>
      </x:c>
      <x:c r="Q663" s="31" t="n">
        <x:v>8.9</x:v>
      </x:c>
      <x:c r="R663" s="31" t="n">
        <x:f>ABS(P663-Q663)</x:f>
        <x:v>0.5299999999999994</x:v>
      </x:c>
      <x:c r="S663" s="32" t="n">
        <x:v>55295.97259086199</x:v>
      </x:c>
      <x:c r="T663" s="32" t="n">
        <x:v>41782.2673233449</x:v>
      </x:c>
      <x:c r="U663" s="31" t="n">
        <x:f>MAX(S663/T663,T663/S663)</x:f>
        <x:v>1.3234315927122176</x:v>
      </x:c>
      <x:c r="V663" s="31" t="n">
        <x:f>L663*'Controls &amp; Summary'!$B$9+O663*'Controls &amp; Summary'!$B$10+R663*'Controls &amp; Summary'!$B$11+U663*'Controls &amp; Summary'!$B$12</x:f>
        <x:v>3.423431592712217</x:v>
      </x:c>
      <x:c r="W663" s="31" t="n">
        <x:v>4</x:v>
      </x:c>
      <x:c r="X663" s="31" t="n">
        <x:v>0</x:v>
      </x:c>
      <x:c r="Y663" s="31" t="n">
        <x:f>((10-MIN(10,MAX(0,X663)))/10)*'Controls &amp; Summary'!$B$15+((10-MIN(10,MAX(0,W663)))/10)*'Controls &amp; Summary'!$B$16</x:f>
        <x:v>1.6</x:v>
      </x:c>
      <x:c r="Z663" s="31" t="n">
        <x:f>V663*Y663</x:f>
        <x:v>5.4774905483395475</x:v>
      </x:c>
      <x:c r="AA663" s="30" t="str">
        <x:f>IF(Z663&lt;=I663,"Peaceful","Hostile")</x:f>
        <x:v>Peaceful</x:v>
      </x:c>
      <x:c r="AB663" s="30" t="str">
        <x:f>IF(Z663&lt;='Controls &amp; Summary'!$B$6,"Eligible","Blocked")</x:f>
        <x:v>Eligible</x:v>
      </x:c>
      <x:c r="AC663" s="30" t="str">
        <x:v>DEU</x:v>
      </x:c>
      <x:c r="AD663" s="30" t="str">
        <x:v>CZE</x:v>
      </x:c>
      <x:c r="AE663" s="30" t="str">
        <x:v>Czechia</x:v>
      </x:c>
      <x:c r="AF663" s="30" t="str">
        <x:v>Explicit capitalClaim</x:v>
      </x:c>
      <x:c r="AG663" s="30" t="str">
        <x:v>ClaimDEUCzechia</x:v>
      </x:c>
      <x:c r="AH663" s="30" t="str">
        <x:v>Project_FreistaatConfederation</x:v>
      </x:c>
    </x:row>
    <x:row r="664">
      <x:c r="A664" s="30" t="str">
        <x:v>2022</x:v>
      </x:c>
      <x:c r="B664" s="30" t="str">
        <x:v>Base game</x:v>
      </x:c>
      <x:c r="C664" s="30" t="str">
        <x:v>Germany</x:v>
      </x:c>
      <x:c r="D664" s="30" t="str">
        <x:v>Denmark</x:v>
      </x:c>
      <x:c r="E664" s="30" t="str">
        <x:v>Project unlock</x:v>
      </x:c>
      <x:c r="F664" s="30" t="str">
        <x:v>Freistaat Confederation</x:v>
      </x:c>
      <x:c r="G664" s="30" t="str">
        <x:v>No</x:v>
      </x:c>
      <x:c r="H664" s="30" t="str">
        <x:v>Ordinary claim</x:v>
      </x:c>
      <x:c r="I664" s="31" t="n">
        <x:f>IF(G664="Yes",'Controls &amp; Summary'!$B$5,'Controls &amp; Summary'!$B$4)</x:f>
        <x:v>6</x:v>
      </x:c>
      <x:c r="J664" s="31" t="n">
        <x:v>8.67</x:v>
      </x:c>
      <x:c r="K664" s="31" t="n">
        <x:v>9.09</x:v>
      </x:c>
      <x:c r="L664" s="31" t="n">
        <x:f>ABS(J664-K664)</x:f>
        <x:v>0.41999999999999993</x:v>
      </x:c>
      <x:c r="M664" s="31" t="n">
        <x:v>3.17</x:v>
      </x:c>
      <x:c r="N664" s="31" t="n">
        <x:v>2.77</x:v>
      </x:c>
      <x:c r="O664" s="31" t="n">
        <x:f>ABS(M664-N664)</x:f>
        <x:v>0.3999999999999999</x:v>
      </x:c>
      <x:c r="P664" s="31" t="n">
        <x:v>9.43</x:v>
      </x:c>
      <x:c r="Q664" s="31" t="n">
        <x:v>9.2</x:v>
      </x:c>
      <x:c r="R664" s="31" t="n">
        <x:f>ABS(P664-Q664)</x:f>
        <x:v>0.23000000000000043</x:v>
      </x:c>
      <x:c r="S664" s="32" t="n">
        <x:v>55295.97259086199</x:v>
      </x:c>
      <x:c r="T664" s="32" t="n">
        <x:v>67668.16082608988</x:v>
      </x:c>
      <x:c r="U664" s="31" t="n">
        <x:f>MAX(S664/T664,T664/S664)</x:f>
        <x:v>1.2237448344885875</x:v>
      </x:c>
      <x:c r="V664" s="31" t="n">
        <x:f>L664*'Controls &amp; Summary'!$B$9+O664*'Controls &amp; Summary'!$B$10+R664*'Controls &amp; Summary'!$B$11+U664*'Controls &amp; Summary'!$B$12</x:f>
        <x:v>2.2737448344885878</x:v>
      </x:c>
      <x:c r="W664" s="31" t="n">
        <x:v>4</x:v>
      </x:c>
      <x:c r="X664" s="31" t="n">
        <x:v>0</x:v>
      </x:c>
      <x:c r="Y664" s="31" t="n">
        <x:f>((10-MIN(10,MAX(0,X664)))/10)*'Controls &amp; Summary'!$B$15+((10-MIN(10,MAX(0,W664)))/10)*'Controls &amp; Summary'!$B$16</x:f>
        <x:v>1.6</x:v>
      </x:c>
      <x:c r="Z664" s="31" t="n">
        <x:f>V664*Y664</x:f>
        <x:v>3.637991735181741</x:v>
      </x:c>
      <x:c r="AA664" s="30" t="str">
        <x:f>IF(Z664&lt;=I664,"Peaceful","Hostile")</x:f>
        <x:v>Peaceful</x:v>
      </x:c>
      <x:c r="AB664" s="30" t="str">
        <x:f>IF(Z664&lt;='Controls &amp; Summary'!$B$6,"Eligible","Blocked")</x:f>
        <x:v>Eligible</x:v>
      </x:c>
      <x:c r="AC664" s="30" t="str">
        <x:v>DEU</x:v>
      </x:c>
      <x:c r="AD664" s="30" t="str">
        <x:v>DEN</x:v>
      </x:c>
      <x:c r="AE664" s="30" t="str">
        <x:v>Denmark</x:v>
      </x:c>
      <x:c r="AF664" s="30" t="str">
        <x:v>Explicit capitalClaim</x:v>
      </x:c>
      <x:c r="AG664" s="30" t="str">
        <x:v>ClaimDEUDenmark</x:v>
      </x:c>
      <x:c r="AH664" s="30" t="str">
        <x:v>Project_FreistaatConfederation</x:v>
      </x:c>
    </x:row>
    <x:row r="665">
      <x:c r="A665" s="30" t="str">
        <x:v>2022</x:v>
      </x:c>
      <x:c r="B665" s="30" t="str">
        <x:v>Base game</x:v>
      </x:c>
      <x:c r="C665" s="30" t="str">
        <x:v>Germany</x:v>
      </x:c>
      <x:c r="D665" s="30" t="str">
        <x:v>Netherlands</x:v>
      </x:c>
      <x:c r="E665" s="30" t="str">
        <x:v>Project unlock</x:v>
      </x:c>
      <x:c r="F665" s="30" t="str">
        <x:v>Freistaat Confederation</x:v>
      </x:c>
      <x:c r="G665" s="30" t="str">
        <x:v>No</x:v>
      </x:c>
      <x:c r="H665" s="30" t="str">
        <x:v>Ordinary claim</x:v>
      </x:c>
      <x:c r="I665" s="31" t="n">
        <x:f>IF(G665="Yes",'Controls &amp; Summary'!$B$5,'Controls &amp; Summary'!$B$4)</x:f>
        <x:v>6</x:v>
      </x:c>
      <x:c r="J665" s="31" t="n">
        <x:v>8.67</x:v>
      </x:c>
      <x:c r="K665" s="31" t="n">
        <x:v>8.88</x:v>
      </x:c>
      <x:c r="L665" s="31" t="n">
        <x:f>ABS(J665-K665)</x:f>
        <x:v>0.21000000000000085</x:v>
      </x:c>
      <x:c r="M665" s="31" t="n">
        <x:v>3.17</x:v>
      </x:c>
      <x:c r="N665" s="31" t="n">
        <x:v>2.92</x:v>
      </x:c>
      <x:c r="O665" s="31" t="n">
        <x:f>ABS(M665-N665)</x:f>
        <x:v>0.25</x:v>
      </x:c>
      <x:c r="P665" s="31" t="n">
        <x:v>9.43</x:v>
      </x:c>
      <x:c r="Q665" s="31" t="n">
        <x:v>9.14</x:v>
      </x:c>
      <x:c r="R665" s="31" t="n">
        <x:f>ABS(P665-Q665)</x:f>
        <x:v>0.28999999999999915</x:v>
      </x:c>
      <x:c r="S665" s="32" t="n">
        <x:v>55295.97259086199</x:v>
      </x:c>
      <x:c r="T665" s="32" t="n">
        <x:v>60201.43150999048</x:v>
      </x:c>
      <x:c r="U665" s="31" t="n">
        <x:f>MAX(S665/T665,T665/S665)</x:f>
        <x:v>1.0887127703752362</x:v>
      </x:c>
      <x:c r="V665" s="31" t="n">
        <x:f>L665*'Controls &amp; Summary'!$B$9+O665*'Controls &amp; Summary'!$B$10+R665*'Controls &amp; Summary'!$B$11+U665*'Controls &amp; Summary'!$B$12</x:f>
        <x:v>1.8387127703752362</x:v>
      </x:c>
      <x:c r="W665" s="31" t="n">
        <x:v>4</x:v>
      </x:c>
      <x:c r="X665" s="31" t="n">
        <x:v>1</x:v>
      </x:c>
      <x:c r="Y665" s="31" t="n">
        <x:f>((10-MIN(10,MAX(0,X665)))/10)*'Controls &amp; Summary'!$B$15+((10-MIN(10,MAX(0,W665)))/10)*'Controls &amp; Summary'!$B$16</x:f>
        <x:v>1.5</x:v>
      </x:c>
      <x:c r="Z665" s="31" t="n">
        <x:f>V665*Y665</x:f>
        <x:v>2.758069155562854</x:v>
      </x:c>
      <x:c r="AA665" s="30" t="str">
        <x:f>IF(Z665&lt;=I665,"Peaceful","Hostile")</x:f>
        <x:v>Peaceful</x:v>
      </x:c>
      <x:c r="AB665" s="30" t="str">
        <x:f>IF(Z665&lt;='Controls &amp; Summary'!$B$6,"Eligible","Blocked")</x:f>
        <x:v>Eligible</x:v>
      </x:c>
      <x:c r="AC665" s="30" t="str">
        <x:v>DEU</x:v>
      </x:c>
      <x:c r="AD665" s="30" t="str">
        <x:v>NET</x:v>
      </x:c>
      <x:c r="AE665" s="30" t="str">
        <x:v>Netherlands</x:v>
      </x:c>
      <x:c r="AF665" s="30" t="str">
        <x:v>Explicit capitalClaim</x:v>
      </x:c>
      <x:c r="AG665" s="30" t="str">
        <x:v>ClaimDEUNetherlands</x:v>
      </x:c>
      <x:c r="AH665" s="30" t="str">
        <x:v>Project_FreistaatConfederation</x:v>
      </x:c>
    </x:row>
    <x:row r="666">
      <x:c r="A666" s="30" t="str">
        <x:v>2022</x:v>
      </x:c>
      <x:c r="B666" s="30" t="str">
        <x:v>Base game</x:v>
      </x:c>
      <x:c r="C666" s="30" t="str">
        <x:v>Guatemala</x:v>
      </x:c>
      <x:c r="D666" s="30" t="str">
        <x:v>Belize</x:v>
      </x:c>
      <x:c r="E666" s="30" t="str">
        <x:v>Starting claim</x:v>
      </x:c>
      <x:c r="F666" s="30" t="str"/>
      <x:c r="G666" s="30" t="str">
        <x:v>Yes</x:v>
      </x:c>
      <x:c r="H666" s="30" t="str">
        <x:v>Approved bilateral grievance</x:v>
      </x:c>
      <x:c r="I666" s="31" t="n">
        <x:f>IF(G666="Yes",'Controls &amp; Summary'!$B$5,'Controls &amp; Summary'!$B$4)</x:f>
        <x:v>3</x:v>
      </x:c>
      <x:c r="J666" s="31" t="n">
        <x:v>4.62</x:v>
      </x:c>
      <x:c r="K666" s="31" t="n">
        <x:v>8.7</x:v>
      </x:c>
      <x:c r="L666" s="31" t="n">
        <x:f>ABS(J666-K666)</x:f>
        <x:v>4.079999999999999</x:v>
      </x:c>
      <x:c r="M666" s="31" t="n">
        <x:v>4.83</x:v>
      </x:c>
      <x:c r="N666" s="31" t="n">
        <x:v>5.33</x:v>
      </x:c>
      <x:c r="O666" s="31" t="n">
        <x:f>ABS(M666-N666)</x:f>
        <x:v>0.5</x:v>
      </x:c>
      <x:c r="P666" s="31" t="n">
        <x:v>5.19</x:v>
      </x:c>
      <x:c r="Q666" s="31" t="n">
        <x:v>6.95</x:v>
      </x:c>
      <x:c r="R666" s="31" t="n">
        <x:f>ABS(P666-Q666)</x:f>
        <x:v>1.7599999999999998</x:v>
      </x:c>
      <x:c r="S666" s="32" t="n">
        <x:v>8733.491490836697</x:v>
      </x:c>
      <x:c r="T666" s="32" t="n">
        <x:v>7068.216411369319</x:v>
      </x:c>
      <x:c r="U666" s="31" t="n">
        <x:f>MAX(S666/T666,T666/S666)</x:f>
        <x:v>1.2356004658811468</x:v>
      </x:c>
      <x:c r="V666" s="31" t="n">
        <x:f>L666*'Controls &amp; Summary'!$B$9+O666*'Controls &amp; Summary'!$B$10+R666*'Controls &amp; Summary'!$B$11+U666*'Controls &amp; Summary'!$B$12</x:f>
        <x:v>7.575600465881146</x:v>
      </x:c>
      <x:c r="W666" s="31" t="n">
        <x:v>3</x:v>
      </x:c>
      <x:c r="X666" s="31" t="n">
        <x:v>2</x:v>
      </x:c>
      <x:c r="Y666" s="31" t="n">
        <x:f>((10-MIN(10,MAX(0,X666)))/10)*'Controls &amp; Summary'!$B$15+((10-MIN(10,MAX(0,W666)))/10)*'Controls &amp; Summary'!$B$16</x:f>
        <x:v>1.5</x:v>
      </x:c>
      <x:c r="Z666" s="31" t="n">
        <x:f>V666*Y666</x:f>
        <x:v>11.363400698821719</x:v>
      </x:c>
      <x:c r="AA666" s="30" t="str">
        <x:f>IF(Z666&lt;=I666,"Peaceful","Hostile")</x:f>
        <x:v>Hostile</x:v>
      </x:c>
      <x:c r="AB666" s="30" t="str">
        <x:f>IF(Z666&lt;='Controls &amp; Summary'!$B$6,"Eligible","Blocked")</x:f>
        <x:v>Eligible</x:v>
      </x:c>
      <x:c r="AC666" s="30" t="str">
        <x:v>GTM</x:v>
      </x:c>
      <x:c r="AD666" s="30" t="str">
        <x:v>BEL</x:v>
      </x:c>
      <x:c r="AE666" s="30" t="str">
        <x:v>Belize</x:v>
      </x:c>
      <x:c r="AF666" s="30" t="str">
        <x:v>Explicit capitalClaim</x:v>
      </x:c>
      <x:c r="AG666" s="30" t="str">
        <x:v>ClaimGTMBelize</x:v>
      </x:c>
      <x:c r="AH666" s="30" t="str"/>
    </x:row>
    <x:row r="667">
      <x:c r="A667" s="30" t="str">
        <x:v>2022</x:v>
      </x:c>
      <x:c r="B667" s="30" t="str">
        <x:v>Base game</x:v>
      </x:c>
      <x:c r="C667" s="30" t="str">
        <x:v>Guatemala</x:v>
      </x:c>
      <x:c r="D667" s="30" t="str">
        <x:v>Costa Rica</x:v>
      </x:c>
      <x:c r="E667" s="30" t="str">
        <x:v>Project unlock</x:v>
      </x:c>
      <x:c r="F667" s="30" t="str">
        <x:v>Central American Confederation</x:v>
      </x:c>
      <x:c r="G667" s="30" t="str">
        <x:v>No</x:v>
      </x:c>
      <x:c r="H667" s="30" t="str">
        <x:v>Ordinary claim</x:v>
      </x:c>
      <x:c r="I667" s="31" t="n">
        <x:f>IF(G667="Yes",'Controls &amp; Summary'!$B$5,'Controls &amp; Summary'!$B$4)</x:f>
        <x:v>6</x:v>
      </x:c>
      <x:c r="J667" s="31" t="n">
        <x:v>4.62</x:v>
      </x:c>
      <x:c r="K667" s="31" t="n">
        <x:v>8.07</x:v>
      </x:c>
      <x:c r="L667" s="31" t="n">
        <x:f>ABS(J667-K667)</x:f>
        <x:v>3.45</x:v>
      </x:c>
      <x:c r="M667" s="31" t="n">
        <x:v>4.83</x:v>
      </x:c>
      <x:c r="N667" s="31" t="n">
        <x:v>4.93</x:v>
      </x:c>
      <x:c r="O667" s="31" t="n">
        <x:f>ABS(M667-N667)</x:f>
        <x:v>0.09999999999999964</x:v>
      </x:c>
      <x:c r="P667" s="31" t="n">
        <x:v>5.19</x:v>
      </x:c>
      <x:c r="Q667" s="31" t="n">
        <x:v>7.26</x:v>
      </x:c>
      <x:c r="R667" s="31" t="n">
        <x:f>ABS(P667-Q667)</x:f>
        <x:v>2.0699999999999994</x:v>
      </x:c>
      <x:c r="S667" s="32" t="n">
        <x:v>8733.491490836697</x:v>
      </x:c>
      <x:c r="T667" s="32" t="n">
        <x:v>21702.236588075208</x:v>
      </x:c>
      <x:c r="U667" s="31" t="n">
        <x:f>MAX(S667/T667,T667/S667)</x:f>
        <x:v>2.484943920864353</x:v>
      </x:c>
      <x:c r="V667" s="31" t="n">
        <x:f>L667*'Controls &amp; Summary'!$B$9+O667*'Controls &amp; Summary'!$B$10+R667*'Controls &amp; Summary'!$B$11+U667*'Controls &amp; Summary'!$B$12</x:f>
        <x:v>8.104943920864352</x:v>
      </x:c>
      <x:c r="W667" s="31" t="n">
        <x:v>3</x:v>
      </x:c>
      <x:c r="X667" s="31" t="n">
        <x:v>1</x:v>
      </x:c>
      <x:c r="Y667" s="31" t="n">
        <x:f>((10-MIN(10,MAX(0,X667)))/10)*'Controls &amp; Summary'!$B$15+((10-MIN(10,MAX(0,W667)))/10)*'Controls &amp; Summary'!$B$16</x:f>
        <x:v>1.6</x:v>
      </x:c>
      <x:c r="Z667" s="31" t="n">
        <x:f>V667*Y667</x:f>
        <x:v>12.967910273382964</x:v>
      </x:c>
      <x:c r="AA667" s="30" t="str">
        <x:f>IF(Z667&lt;=I667,"Peaceful","Hostile")</x:f>
        <x:v>Hostile</x:v>
      </x:c>
      <x:c r="AB667" s="30" t="str">
        <x:f>IF(Z667&lt;='Controls &amp; Summary'!$B$6,"Eligible","Blocked")</x:f>
        <x:v>Blocked</x:v>
      </x:c>
      <x:c r="AC667" s="30" t="str">
        <x:v>GTM</x:v>
      </x:c>
      <x:c r="AD667" s="30" t="str">
        <x:v>COS</x:v>
      </x:c>
      <x:c r="AE667" s="30" t="str">
        <x:v>CostaRica</x:v>
      </x:c>
      <x:c r="AF667" s="30" t="str">
        <x:v>Explicit capitalClaim</x:v>
      </x:c>
      <x:c r="AG667" s="30" t="str">
        <x:v>ClaimGTMCostaRica</x:v>
      </x:c>
      <x:c r="AH667" s="30" t="str">
        <x:v>Project_CentralAmericanConfederation</x:v>
      </x:c>
    </x:row>
    <x:row r="668">
      <x:c r="A668" s="30" t="str">
        <x:v>2022</x:v>
      </x:c>
      <x:c r="B668" s="30" t="str">
        <x:v>Base game</x:v>
      </x:c>
      <x:c r="C668" s="30" t="str">
        <x:v>Guatemala</x:v>
      </x:c>
      <x:c r="D668" s="30" t="str">
        <x:v>El Salvador</x:v>
      </x:c>
      <x:c r="E668" s="30" t="str">
        <x:v>Project unlock</x:v>
      </x:c>
      <x:c r="F668" s="30" t="str">
        <x:v>Central American Confederation</x:v>
      </x:c>
      <x:c r="G668" s="30" t="str">
        <x:v>No</x:v>
      </x:c>
      <x:c r="H668" s="30" t="str">
        <x:v>Ordinary claim</x:v>
      </x:c>
      <x:c r="I668" s="31" t="n">
        <x:f>IF(G668="Yes",'Controls &amp; Summary'!$B$5,'Controls &amp; Summary'!$B$4)</x:f>
        <x:v>6</x:v>
      </x:c>
      <x:c r="J668" s="31" t="n">
        <x:v>4.62</x:v>
      </x:c>
      <x:c r="K668" s="31" t="n">
        <x:v>5.72</x:v>
      </x:c>
      <x:c r="L668" s="31" t="n">
        <x:f>ABS(J668-K668)</x:f>
        <x:v>1.0999999999999996</x:v>
      </x:c>
      <x:c r="M668" s="31" t="n">
        <x:v>4.83</x:v>
      </x:c>
      <x:c r="N668" s="31" t="n">
        <x:v>3.88</x:v>
      </x:c>
      <x:c r="O668" s="31" t="n">
        <x:f>ABS(M668-N668)</x:f>
        <x:v>0.9500000000000002</x:v>
      </x:c>
      <x:c r="P668" s="31" t="n">
        <x:v>5.19</x:v>
      </x:c>
      <x:c r="Q668" s="31" t="n">
        <x:v>5.55</x:v>
      </x:c>
      <x:c r="R668" s="31" t="n">
        <x:f>ABS(P668-Q668)</x:f>
        <x:v>0.35999999999999943</x:v>
      </x:c>
      <x:c r="S668" s="32" t="n">
        <x:v>8733.491490836697</x:v>
      </x:c>
      <x:c r="T668" s="32" t="n">
        <x:v>9297.797142788448</x:v>
      </x:c>
      <x:c r="U668" s="31" t="n">
        <x:f>MAX(S668/T668,T668/S668)</x:f>
        <x:v>1.0646139808510522</x:v>
      </x:c>
      <x:c r="V668" s="31" t="n">
        <x:f>L668*'Controls &amp; Summary'!$B$9+O668*'Controls &amp; Summary'!$B$10+R668*'Controls &amp; Summary'!$B$11+U668*'Controls &amp; Summary'!$B$12</x:f>
        <x:v>3.4746139808510517</x:v>
      </x:c>
      <x:c r="W668" s="31" t="n">
        <x:v>3</x:v>
      </x:c>
      <x:c r="X668" s="31" t="n">
        <x:v>6</x:v>
      </x:c>
      <x:c r="Y668" s="31" t="n">
        <x:f>((10-MIN(10,MAX(0,X668)))/10)*'Controls &amp; Summary'!$B$15+((10-MIN(10,MAX(0,W668)))/10)*'Controls &amp; Summary'!$B$16</x:f>
        <x:v>1.1</x:v>
      </x:c>
      <x:c r="Z668" s="31" t="n">
        <x:f>V668*Y668</x:f>
        <x:v>3.822075378936157</x:v>
      </x:c>
      <x:c r="AA668" s="30" t="str">
        <x:f>IF(Z668&lt;=I668,"Peaceful","Hostile")</x:f>
        <x:v>Peaceful</x:v>
      </x:c>
      <x:c r="AB668" s="30" t="str">
        <x:f>IF(Z668&lt;='Controls &amp; Summary'!$B$6,"Eligible","Blocked")</x:f>
        <x:v>Eligible</x:v>
      </x:c>
      <x:c r="AC668" s="30" t="str">
        <x:v>GTM</x:v>
      </x:c>
      <x:c r="AD668" s="30" t="str">
        <x:v>ELS</x:v>
      </x:c>
      <x:c r="AE668" s="30" t="str">
        <x:v>ElSalvador</x:v>
      </x:c>
      <x:c r="AF668" s="30" t="str">
        <x:v>Explicit capitalClaim</x:v>
      </x:c>
      <x:c r="AG668" s="30" t="str">
        <x:v>ClaimGTMElSalvador</x:v>
      </x:c>
      <x:c r="AH668" s="30" t="str">
        <x:v>Project_CentralAmericanConfederation</x:v>
      </x:c>
    </x:row>
    <x:row r="669">
      <x:c r="A669" s="30" t="str">
        <x:v>2022</x:v>
      </x:c>
      <x:c r="B669" s="30" t="str">
        <x:v>Base game</x:v>
      </x:c>
      <x:c r="C669" s="30" t="str">
        <x:v>Guatemala</x:v>
      </x:c>
      <x:c r="D669" s="30" t="str">
        <x:v>Honduras</x:v>
      </x:c>
      <x:c r="E669" s="30" t="str">
        <x:v>Project unlock</x:v>
      </x:c>
      <x:c r="F669" s="30" t="str">
        <x:v>Central American Confederation</x:v>
      </x:c>
      <x:c r="G669" s="30" t="str">
        <x:v>No</x:v>
      </x:c>
      <x:c r="H669" s="30" t="str">
        <x:v>Ordinary claim</x:v>
      </x:c>
      <x:c r="I669" s="31" t="n">
        <x:f>IF(G669="Yes",'Controls &amp; Summary'!$B$5,'Controls &amp; Summary'!$B$4)</x:f>
        <x:v>6</x:v>
      </x:c>
      <x:c r="J669" s="31" t="n">
        <x:v>4.62</x:v>
      </x:c>
      <x:c r="K669" s="31" t="n">
        <x:v>5.1</x:v>
      </x:c>
      <x:c r="L669" s="31" t="n">
        <x:f>ABS(J669-K669)</x:f>
        <x:v>0.47999999999999954</x:v>
      </x:c>
      <x:c r="M669" s="31" t="n">
        <x:v>4.83</x:v>
      </x:c>
      <x:c r="N669" s="31" t="n">
        <x:v>4.82</x:v>
      </x:c>
      <x:c r="O669" s="31" t="n">
        <x:f>ABS(M669-N669)</x:f>
        <x:v>0.009999999999999787</x:v>
      </x:c>
      <x:c r="P669" s="31" t="n">
        <x:v>5.19</x:v>
      </x:c>
      <x:c r="Q669" s="31" t="n">
        <x:v>4.99</x:v>
      </x:c>
      <x:c r="R669" s="31" t="n">
        <x:f>ABS(P669-Q669)</x:f>
        <x:v>0.20000000000000018</x:v>
      </x:c>
      <x:c r="S669" s="32" t="n">
        <x:v>8733.491490836697</x:v>
      </x:c>
      <x:c r="T669" s="32" t="n">
        <x:v>5945.335747799667</x:v>
      </x:c>
      <x:c r="U669" s="31" t="n">
        <x:f>MAX(S669/T669,T669/S669)</x:f>
        <x:v>1.4689652294353452</x:v>
      </x:c>
      <x:c r="V669" s="31" t="n">
        <x:f>L669*'Controls &amp; Summary'!$B$9+O669*'Controls &amp; Summary'!$B$10+R669*'Controls &amp; Summary'!$B$11+U669*'Controls &amp; Summary'!$B$12</x:f>
        <x:v>2.1589652294353447</x:v>
      </x:c>
      <x:c r="W669" s="31" t="n">
        <x:v>3</x:v>
      </x:c>
      <x:c r="X669" s="31" t="n">
        <x:v>4</x:v>
      </x:c>
      <x:c r="Y669" s="31" t="n">
        <x:f>((10-MIN(10,MAX(0,X669)))/10)*'Controls &amp; Summary'!$B$15+((10-MIN(10,MAX(0,W669)))/10)*'Controls &amp; Summary'!$B$16</x:f>
        <x:v>1.2999999999999998</x:v>
      </x:c>
      <x:c r="Z669" s="31" t="n">
        <x:f>V669*Y669</x:f>
        <x:v>2.806654798265948</x:v>
      </x:c>
      <x:c r="AA669" s="30" t="str">
        <x:f>IF(Z669&lt;=I669,"Peaceful","Hostile")</x:f>
        <x:v>Peaceful</x:v>
      </x:c>
      <x:c r="AB669" s="30" t="str">
        <x:f>IF(Z669&lt;='Controls &amp; Summary'!$B$6,"Eligible","Blocked")</x:f>
        <x:v>Eligible</x:v>
      </x:c>
      <x:c r="AC669" s="30" t="str">
        <x:v>GTM</x:v>
      </x:c>
      <x:c r="AD669" s="30" t="str">
        <x:v>HON</x:v>
      </x:c>
      <x:c r="AE669" s="30" t="str">
        <x:v>Honduras</x:v>
      </x:c>
      <x:c r="AF669" s="30" t="str">
        <x:v>Explicit capitalClaim</x:v>
      </x:c>
      <x:c r="AG669" s="30" t="str">
        <x:v>ClaimGTMHonduras</x:v>
      </x:c>
      <x:c r="AH669" s="30" t="str">
        <x:v>Project_CentralAmericanConfederation</x:v>
      </x:c>
    </x:row>
    <x:row r="670">
      <x:c r="A670" s="30" t="str">
        <x:v>2022</x:v>
      </x:c>
      <x:c r="B670" s="30" t="str">
        <x:v>Base game</x:v>
      </x:c>
      <x:c r="C670" s="30" t="str">
        <x:v>Guatemala</x:v>
      </x:c>
      <x:c r="D670" s="30" t="str">
        <x:v>Nicaragua</x:v>
      </x:c>
      <x:c r="E670" s="30" t="str">
        <x:v>Project unlock</x:v>
      </x:c>
      <x:c r="F670" s="30" t="str">
        <x:v>Central American Confederation</x:v>
      </x:c>
      <x:c r="G670" s="30" t="str">
        <x:v>No</x:v>
      </x:c>
      <x:c r="H670" s="30" t="str">
        <x:v>Ordinary claim</x:v>
      </x:c>
      <x:c r="I670" s="31" t="n">
        <x:f>IF(G670="Yes",'Controls &amp; Summary'!$B$5,'Controls &amp; Summary'!$B$4)</x:f>
        <x:v>6</x:v>
      </x:c>
      <x:c r="J670" s="31" t="n">
        <x:v>4.62</x:v>
      </x:c>
      <x:c r="K670" s="31" t="n">
        <x:v>2.69</x:v>
      </x:c>
      <x:c r="L670" s="31" t="n">
        <x:f>ABS(J670-K670)</x:f>
        <x:v>1.9300000000000002</x:v>
      </x:c>
      <x:c r="M670" s="31" t="n">
        <x:v>4.83</x:v>
      </x:c>
      <x:c r="N670" s="31" t="n">
        <x:v>4.62</x:v>
      </x:c>
      <x:c r="O670" s="31" t="n">
        <x:f>ABS(M670-N670)</x:f>
        <x:v>0.20999999999999996</x:v>
      </x:c>
      <x:c r="P670" s="31" t="n">
        <x:v>5.19</x:v>
      </x:c>
      <x:c r="Q670" s="31" t="n">
        <x:v>5.73</x:v>
      </x:c>
      <x:c r="R670" s="31" t="n">
        <x:f>ABS(P670-Q670)</x:f>
        <x:v>0.54</x:v>
      </x:c>
      <x:c r="S670" s="32" t="n">
        <x:v>8733.491490836697</x:v>
      </x:c>
      <x:c r="T670" s="32" t="n">
        <x:v>6048.567399393878</x:v>
      </x:c>
      <x:c r="U670" s="31" t="n">
        <x:f>MAX(S670/T670,T670/S670)</x:f>
        <x:v>1.4438942172838933</x:v>
      </x:c>
      <x:c r="V670" s="31" t="n">
        <x:f>L670*'Controls &amp; Summary'!$B$9+O670*'Controls &amp; Summary'!$B$10+R670*'Controls &amp; Summary'!$B$11+U670*'Controls &amp; Summary'!$B$12</x:f>
        <x:v>4.123894217283894</x:v>
      </x:c>
      <x:c r="W670" s="31" t="n">
        <x:v>3</x:v>
      </x:c>
      <x:c r="X670" s="31" t="n">
        <x:v>4</x:v>
      </x:c>
      <x:c r="Y670" s="31" t="n">
        <x:f>((10-MIN(10,MAX(0,X670)))/10)*'Controls &amp; Summary'!$B$15+((10-MIN(10,MAX(0,W670)))/10)*'Controls &amp; Summary'!$B$16</x:f>
        <x:v>1.2999999999999998</x:v>
      </x:c>
      <x:c r="Z670" s="31" t="n">
        <x:f>V670*Y670</x:f>
        <x:v>5.361062482469062</x:v>
      </x:c>
      <x:c r="AA670" s="30" t="str">
        <x:f>IF(Z670&lt;=I670,"Peaceful","Hostile")</x:f>
        <x:v>Peaceful</x:v>
      </x:c>
      <x:c r="AB670" s="30" t="str">
        <x:f>IF(Z670&lt;='Controls &amp; Summary'!$B$6,"Eligible","Blocked")</x:f>
        <x:v>Eligible</x:v>
      </x:c>
      <x:c r="AC670" s="30" t="str">
        <x:v>GTM</x:v>
      </x:c>
      <x:c r="AD670" s="30" t="str">
        <x:v>NIC</x:v>
      </x:c>
      <x:c r="AE670" s="30" t="str">
        <x:v>Nicaragua</x:v>
      </x:c>
      <x:c r="AF670" s="30" t="str">
        <x:v>Explicit capitalClaim</x:v>
      </x:c>
      <x:c r="AG670" s="30" t="str">
        <x:v>ClaimGTMNicaragua</x:v>
      </x:c>
      <x:c r="AH670" s="30" t="str">
        <x:v>Project_CentralAmericanConfederation</x:v>
      </x:c>
    </x:row>
    <x:row r="671">
      <x:c r="A671" s="30" t="str">
        <x:v>2022</x:v>
      </x:c>
      <x:c r="B671" s="30" t="str">
        <x:v>Base game</x:v>
      </x:c>
      <x:c r="C671" s="30" t="str">
        <x:v>Guatemala</x:v>
      </x:c>
      <x:c r="D671" s="30" t="str">
        <x:v>Panama</x:v>
      </x:c>
      <x:c r="E671" s="30" t="str">
        <x:v>Project unlock</x:v>
      </x:c>
      <x:c r="F671" s="30" t="str">
        <x:v>Central American Confederation</x:v>
      </x:c>
      <x:c r="G671" s="30" t="str">
        <x:v>No</x:v>
      </x:c>
      <x:c r="H671" s="30" t="str">
        <x:v>Ordinary claim</x:v>
      </x:c>
      <x:c r="I671" s="31" t="n">
        <x:f>IF(G671="Yes",'Controls &amp; Summary'!$B$5,'Controls &amp; Summary'!$B$4)</x:f>
        <x:v>6</x:v>
      </x:c>
      <x:c r="J671" s="31" t="n">
        <x:v>4.62</x:v>
      </x:c>
      <x:c r="K671" s="31" t="n">
        <x:v>6.85</x:v>
      </x:c>
      <x:c r="L671" s="31" t="n">
        <x:f>ABS(J671-K671)</x:f>
        <x:v>2.2299999999999995</x:v>
      </x:c>
      <x:c r="M671" s="31" t="n">
        <x:v>4.83</x:v>
      </x:c>
      <x:c r="N671" s="31" t="n">
        <x:v>4.98</x:v>
      </x:c>
      <x:c r="O671" s="31" t="n">
        <x:f>ABS(M671-N671)</x:f>
        <x:v>0.15000000000000036</x:v>
      </x:c>
      <x:c r="P671" s="31" t="n">
        <x:v>5.19</x:v>
      </x:c>
      <x:c r="Q671" s="31" t="n">
        <x:v>7</x:v>
      </x:c>
      <x:c r="R671" s="31" t="n">
        <x:f>ABS(P671-Q671)</x:f>
        <x:v>1.8099999999999996</x:v>
      </x:c>
      <x:c r="S671" s="32" t="n">
        <x:v>8733.491490836697</x:v>
      </x:c>
      <x:c r="T671" s="32" t="n">
        <x:v>31244.04891413395</x:v>
      </x:c>
      <x:c r="U671" s="31" t="n">
        <x:f>MAX(S671/T671,T671/S671)</x:f>
        <x:v>3.577498065569268</x:v>
      </x:c>
      <x:c r="V671" s="31" t="n">
        <x:f>L671*'Controls &amp; Summary'!$B$9+O671*'Controls &amp; Summary'!$B$10+R671*'Controls &amp; Summary'!$B$11+U671*'Controls &amp; Summary'!$B$12</x:f>
        <x:v>7.767498065569267</x:v>
      </x:c>
      <x:c r="W671" s="31" t="n">
        <x:v>3</x:v>
      </x:c>
      <x:c r="X671" s="31" t="n">
        <x:v>2</x:v>
      </x:c>
      <x:c r="Y671" s="31" t="n">
        <x:f>((10-MIN(10,MAX(0,X671)))/10)*'Controls &amp; Summary'!$B$15+((10-MIN(10,MAX(0,W671)))/10)*'Controls &amp; Summary'!$B$16</x:f>
        <x:v>1.5</x:v>
      </x:c>
      <x:c r="Z671" s="31" t="n">
        <x:f>V671*Y671</x:f>
        <x:v>11.6512470983539</x:v>
      </x:c>
      <x:c r="AA671" s="30" t="str">
        <x:f>IF(Z671&lt;=I671,"Peaceful","Hostile")</x:f>
        <x:v>Hostile</x:v>
      </x:c>
      <x:c r="AB671" s="30" t="str">
        <x:f>IF(Z671&lt;='Controls &amp; Summary'!$B$6,"Eligible","Blocked")</x:f>
        <x:v>Eligible</x:v>
      </x:c>
      <x:c r="AC671" s="30" t="str">
        <x:v>GTM</x:v>
      </x:c>
      <x:c r="AD671" s="30" t="str">
        <x:v>PAN</x:v>
      </x:c>
      <x:c r="AE671" s="30" t="str">
        <x:v>Panama</x:v>
      </x:c>
      <x:c r="AF671" s="30" t="str">
        <x:v>Explicit capitalClaim</x:v>
      </x:c>
      <x:c r="AG671" s="30" t="str">
        <x:v>ClaimGTMPanama</x:v>
      </x:c>
      <x:c r="AH671" s="30" t="str">
        <x:v>Project_CentralAmericanConfederation</x:v>
      </x:c>
    </x:row>
    <x:row r="672">
      <x:c r="A672" s="30" t="str">
        <x:v>2022</x:v>
      </x:c>
      <x:c r="B672" s="30" t="str">
        <x:v>Base game</x:v>
      </x:c>
      <x:c r="C672" s="30" t="str">
        <x:v>Hungary</x:v>
      </x:c>
      <x:c r="D672" s="30" t="str">
        <x:v>Bosnia and Herzegovina</x:v>
      </x:c>
      <x:c r="E672" s="30" t="str">
        <x:v>Project unlock</x:v>
      </x:c>
      <x:c r="F672" s="30" t="str">
        <x:v>Hungarian Irredentism</x:v>
      </x:c>
      <x:c r="G672" s="30" t="str">
        <x:v>No</x:v>
      </x:c>
      <x:c r="H672" s="30" t="str">
        <x:v>Ordinary claim</x:v>
      </x:c>
      <x:c r="I672" s="31" t="n">
        <x:f>IF(G672="Yes",'Controls &amp; Summary'!$B$5,'Controls &amp; Summary'!$B$4)</x:f>
        <x:v>6</x:v>
      </x:c>
      <x:c r="J672" s="31" t="n">
        <x:v>6.5</x:v>
      </x:c>
      <x:c r="K672" s="31" t="n">
        <x:v>5.04</x:v>
      </x:c>
      <x:c r="L672" s="31" t="n">
        <x:f>ABS(J672-K672)</x:f>
        <x:v>1.46</x:v>
      </x:c>
      <x:c r="M672" s="31" t="n">
        <x:v>3</x:v>
      </x:c>
      <x:c r="N672" s="31" t="n">
        <x:v>3.3</x:v>
      </x:c>
      <x:c r="O672" s="31" t="n">
        <x:f>ABS(M672-N672)</x:f>
        <x:v>0.2999999999999998</x:v>
      </x:c>
      <x:c r="P672" s="31" t="n">
        <x:v>8.21</x:v>
      </x:c>
      <x:c r="Q672" s="31" t="n">
        <x:v>7.11</x:v>
      </x:c>
      <x:c r="R672" s="31" t="n">
        <x:f>ABS(P672-Q672)</x:f>
        <x:v>1.1000000000000005</x:v>
      </x:c>
      <x:c r="S672" s="32" t="n">
        <x:v>36516.892225214695</x:v>
      </x:c>
      <x:c r="T672" s="32" t="n">
        <x:v>16451.920111445263</x:v>
      </x:c>
      <x:c r="U672" s="31" t="n">
        <x:f>MAX(S672/T672,T672/S672)</x:f>
        <x:v>2.2196127854894363</x:v>
      </x:c>
      <x:c r="V672" s="31" t="n">
        <x:f>L672*'Controls &amp; Summary'!$B$9+O672*'Controls &amp; Summary'!$B$10+R672*'Controls &amp; Summary'!$B$11+U672*'Controls &amp; Summary'!$B$12</x:f>
        <x:v>5.079612785489436</x:v>
      </x:c>
      <x:c r="W672" s="31" t="n">
        <x:v>8</x:v>
      </x:c>
      <x:c r="X672" s="31" t="n">
        <x:v>2</x:v>
      </x:c>
      <x:c r="Y672" s="31" t="n">
        <x:f>((10-MIN(10,MAX(0,X672)))/10)*'Controls &amp; Summary'!$B$15+((10-MIN(10,MAX(0,W672)))/10)*'Controls &amp; Summary'!$B$16</x:f>
        <x:v>1</x:v>
      </x:c>
      <x:c r="Z672" s="31" t="n">
        <x:f>V672*Y672</x:f>
        <x:v>5.079612785489436</x:v>
      </x:c>
      <x:c r="AA672" s="30" t="str">
        <x:f>IF(Z672&lt;=I672,"Peaceful","Hostile")</x:f>
        <x:v>Peaceful</x:v>
      </x:c>
      <x:c r="AB672" s="30" t="str">
        <x:f>IF(Z672&lt;='Controls &amp; Summary'!$B$6,"Eligible","Blocked")</x:f>
        <x:v>Eligible</x:v>
      </x:c>
      <x:c r="AC672" s="30" t="str">
        <x:v>HUN</x:v>
      </x:c>
      <x:c r="AD672" s="30" t="str">
        <x:v>BSM</x:v>
      </x:c>
      <x:c r="AE672" s="30" t="str">
        <x:v>Sarajevo</x:v>
      </x:c>
      <x:c r="AF672" s="30" t="str">
        <x:v>Explicit capitalClaim</x:v>
      </x:c>
      <x:c r="AG672" s="30" t="str">
        <x:v>ClaimHUNSarajevo</x:v>
      </x:c>
      <x:c r="AH672" s="30" t="str">
        <x:v>Project_HungarianIrredentism</x:v>
      </x:c>
    </x:row>
    <x:row r="673">
      <x:c r="A673" s="30" t="str">
        <x:v>2022</x:v>
      </x:c>
      <x:c r="B673" s="30" t="str">
        <x:v>Base game</x:v>
      </x:c>
      <x:c r="C673" s="30" t="str">
        <x:v>Hungary</x:v>
      </x:c>
      <x:c r="D673" s="30" t="str">
        <x:v>Croatia</x:v>
      </x:c>
      <x:c r="E673" s="30" t="str">
        <x:v>Project unlock</x:v>
      </x:c>
      <x:c r="F673" s="30" t="str">
        <x:v>Hungarian Irredentism</x:v>
      </x:c>
      <x:c r="G673" s="30" t="str">
        <x:v>No</x:v>
      </x:c>
      <x:c r="H673" s="30" t="str">
        <x:v>Ordinary claim</x:v>
      </x:c>
      <x:c r="I673" s="31" t="n">
        <x:f>IF(G673="Yes",'Controls &amp; Summary'!$B$5,'Controls &amp; Summary'!$B$4)</x:f>
        <x:v>6</x:v>
      </x:c>
      <x:c r="J673" s="31" t="n">
        <x:v>6.5</x:v>
      </x:c>
      <x:c r="K673" s="31" t="n">
        <x:v>6.5</x:v>
      </x:c>
      <x:c r="L673" s="31" t="n">
        <x:f>ABS(J673-K673)</x:f>
        <x:v>0</x:v>
      </x:c>
      <x:c r="M673" s="31" t="n">
        <x:v>3</x:v>
      </x:c>
      <x:c r="N673" s="31" t="n">
        <x:v>2.89</x:v>
      </x:c>
      <x:c r="O673" s="31" t="n">
        <x:f>ABS(M673-N673)</x:f>
        <x:v>0.10999999999999988</x:v>
      </x:c>
      <x:c r="P673" s="31" t="n">
        <x:v>8.21</x:v>
      </x:c>
      <x:c r="Q673" s="31" t="n">
        <x:v>8.05</x:v>
      </x:c>
      <x:c r="R673" s="31" t="n">
        <x:f>ABS(P673-Q673)</x:f>
        <x:v>0.16000000000000014</x:v>
      </x:c>
      <x:c r="S673" s="32" t="n">
        <x:v>36516.892225214695</x:v>
      </x:c>
      <x:c r="T673" s="32" t="n">
        <x:v>31492.93156945166</x:v>
      </x:c>
      <x:c r="U673" s="31" t="n">
        <x:f>MAX(S673/T673,T673/S673)</x:f>
        <x:v>1.1595266113821017</x:v>
      </x:c>
      <x:c r="V673" s="31" t="n">
        <x:f>L673*'Controls &amp; Summary'!$B$9+O673*'Controls &amp; Summary'!$B$10+R673*'Controls &amp; Summary'!$B$11+U673*'Controls &amp; Summary'!$B$12</x:f>
        <x:v>1.4295266113821017</x:v>
      </x:c>
      <x:c r="W673" s="31" t="n">
        <x:v>8</x:v>
      </x:c>
      <x:c r="X673" s="31" t="n">
        <x:v>1</x:v>
      </x:c>
      <x:c r="Y673" s="31" t="n">
        <x:f>((10-MIN(10,MAX(0,X673)))/10)*'Controls &amp; Summary'!$B$15+((10-MIN(10,MAX(0,W673)))/10)*'Controls &amp; Summary'!$B$16</x:f>
        <x:v>1.1</x:v>
      </x:c>
      <x:c r="Z673" s="31" t="n">
        <x:f>V673*Y673</x:f>
        <x:v>1.572479272520312</x:v>
      </x:c>
      <x:c r="AA673" s="30" t="str">
        <x:f>IF(Z673&lt;=I673,"Peaceful","Hostile")</x:f>
        <x:v>Peaceful</x:v>
      </x:c>
      <x:c r="AB673" s="30" t="str">
        <x:f>IF(Z673&lt;='Controls &amp; Summary'!$B$6,"Eligible","Blocked")</x:f>
        <x:v>Eligible</x:v>
      </x:c>
      <x:c r="AC673" s="30" t="str">
        <x:v>HUN</x:v>
      </x:c>
      <x:c r="AD673" s="30" t="str">
        <x:v>CRS</x:v>
      </x:c>
      <x:c r="AE673" s="30" t="str">
        <x:v>Zagreb</x:v>
      </x:c>
      <x:c r="AF673" s="30" t="str">
        <x:v>Explicit capitalClaim</x:v>
      </x:c>
      <x:c r="AG673" s="30" t="str">
        <x:v>ClaimHUNZagreb</x:v>
      </x:c>
      <x:c r="AH673" s="30" t="str">
        <x:v>Project_HungarianIrredentism</x:v>
      </x:c>
    </x:row>
    <x:row r="674">
      <x:c r="A674" s="30" t="str">
        <x:v>2022</x:v>
      </x:c>
      <x:c r="B674" s="30" t="str">
        <x:v>Base game</x:v>
      </x:c>
      <x:c r="C674" s="30" t="str">
        <x:v>Hungary</x:v>
      </x:c>
      <x:c r="D674" s="30" t="str">
        <x:v>Slovakia</x:v>
      </x:c>
      <x:c r="E674" s="30" t="str">
        <x:v>Project unlock</x:v>
      </x:c>
      <x:c r="F674" s="30" t="str">
        <x:v>Hungarian Irredentism</x:v>
      </x:c>
      <x:c r="G674" s="30" t="str">
        <x:v>No</x:v>
      </x:c>
      <x:c r="H674" s="30" t="str">
        <x:v>Ordinary claim</x:v>
      </x:c>
      <x:c r="I674" s="31" t="n">
        <x:f>IF(G674="Yes",'Controls &amp; Summary'!$B$5,'Controls &amp; Summary'!$B$4)</x:f>
        <x:v>6</x:v>
      </x:c>
      <x:c r="J674" s="31" t="n">
        <x:v>6.5</x:v>
      </x:c>
      <x:c r="K674" s="31" t="n">
        <x:v>7.03</x:v>
      </x:c>
      <x:c r="L674" s="31" t="n">
        <x:f>ABS(J674-K674)</x:f>
        <x:v>0.5300000000000002</x:v>
      </x:c>
      <x:c r="M674" s="31" t="n">
        <x:v>3</x:v>
      </x:c>
      <x:c r="N674" s="31" t="n">
        <x:v>2.32</x:v>
      </x:c>
      <x:c r="O674" s="31" t="n">
        <x:f>ABS(M674-N674)</x:f>
        <x:v>0.6800000000000002</x:v>
      </x:c>
      <x:c r="P674" s="31" t="n">
        <x:v>8.21</x:v>
      </x:c>
      <x:c r="Q674" s="31" t="n">
        <x:v>8.26</x:v>
      </x:c>
      <x:c r="R674" s="31" t="n">
        <x:f>ABS(P674-Q674)</x:f>
        <x:v>0.049999999999998934</x:v>
      </x:c>
      <x:c r="S674" s="32" t="n">
        <x:v>36516.892225214695</x:v>
      </x:c>
      <x:c r="T674" s="32" t="n">
        <x:v>34026.561582197755</x:v>
      </x:c>
      <x:c r="U674" s="31" t="n">
        <x:f>MAX(S674/T674,T674/S674)</x:f>
        <x:v>1.0731878428856545</x:v>
      </x:c>
      <x:c r="V674" s="31" t="n">
        <x:f>L674*'Controls &amp; Summary'!$B$9+O674*'Controls &amp; Summary'!$B$10+R674*'Controls &amp; Summary'!$B$11+U674*'Controls &amp; Summary'!$B$12</x:f>
        <x:v>2.333187842885654</x:v>
      </x:c>
      <x:c r="W674" s="31" t="n">
        <x:v>8</x:v>
      </x:c>
      <x:c r="X674" s="31" t="n">
        <x:v>1</x:v>
      </x:c>
      <x:c r="Y674" s="31" t="n">
        <x:f>((10-MIN(10,MAX(0,X674)))/10)*'Controls &amp; Summary'!$B$15+((10-MIN(10,MAX(0,W674)))/10)*'Controls &amp; Summary'!$B$16</x:f>
        <x:v>1.1</x:v>
      </x:c>
      <x:c r="Z674" s="31" t="n">
        <x:f>V674*Y674</x:f>
        <x:v>2.5665066271742196</x:v>
      </x:c>
      <x:c r="AA674" s="30" t="str">
        <x:f>IF(Z674&lt;=I674,"Peaceful","Hostile")</x:f>
        <x:v>Peaceful</x:v>
      </x:c>
      <x:c r="AB674" s="30" t="str">
        <x:f>IF(Z674&lt;='Controls &amp; Summary'!$B$6,"Eligible","Blocked")</x:f>
        <x:v>Eligible</x:v>
      </x:c>
      <x:c r="AC674" s="30" t="str">
        <x:v>HUN</x:v>
      </x:c>
      <x:c r="AD674" s="30" t="str">
        <x:v>SLO</x:v>
      </x:c>
      <x:c r="AE674" s="30" t="str">
        <x:v>Slovakia</x:v>
      </x:c>
      <x:c r="AF674" s="30" t="str">
        <x:v>Explicit capitalClaim</x:v>
      </x:c>
      <x:c r="AG674" s="30" t="str">
        <x:v>ClaimHUNSlovakia</x:v>
      </x:c>
      <x:c r="AH674" s="30" t="str">
        <x:v>Project_HungarianIrredentism</x:v>
      </x:c>
    </x:row>
    <x:row r="675">
      <x:c r="A675" s="30" t="str">
        <x:v>2022</x:v>
      </x:c>
      <x:c r="B675" s="30" t="str">
        <x:v>Base game</x:v>
      </x:c>
      <x:c r="C675" s="30" t="str">
        <x:v>India</x:v>
      </x:c>
      <x:c r="D675" s="30" t="str">
        <x:v>Afghanistan</x:v>
      </x:c>
      <x:c r="E675" s="30" t="str">
        <x:v>Project unlock</x:v>
      </x:c>
      <x:c r="F675" s="30" t="str">
        <x:v>Greater India</x:v>
      </x:c>
      <x:c r="G675" s="30" t="str">
        <x:v>Yes</x:v>
      </x:c>
      <x:c r="H675" s="30" t="str">
        <x:v>Template hostileClaim</x:v>
      </x:c>
      <x:c r="I675" s="31" t="n">
        <x:f>IF(G675="Yes",'Controls &amp; Summary'!$B$5,'Controls &amp; Summary'!$B$4)</x:f>
        <x:v>3</x:v>
      </x:c>
      <x:c r="J675" s="31" t="n">
        <x:v>6.91</x:v>
      </x:c>
      <x:c r="K675" s="31" t="n">
        <x:v>0.32</x:v>
      </x:c>
      <x:c r="L675" s="31" t="n">
        <x:f>ABS(J675-K675)</x:f>
        <x:v>6.59</x:v>
      </x:c>
      <x:c r="M675" s="31" t="n">
        <x:v>3.57</x:v>
      </x:c>
      <x:c r="N675" s="31" t="n">
        <x:v>2.94</x:v>
      </x:c>
      <x:c r="O675" s="31" t="n">
        <x:f>ABS(M675-N675)</x:f>
        <x:v>0.6299999999999999</x:v>
      </x:c>
      <x:c r="P675" s="31" t="n">
        <x:v>5.55</x:v>
      </x:c>
      <x:c r="Q675" s="31" t="n">
        <x:v>4.14</x:v>
      </x:c>
      <x:c r="R675" s="31" t="n">
        <x:f>ABS(P675-Q675)</x:f>
        <x:v>1.4100000000000001</x:v>
      </x:c>
      <x:c r="S675" s="32" t="n">
        <x:v>7326.592097722203</x:v>
      </x:c>
      <x:c r="T675" s="32" t="n">
        <x:v>1734.776657845485</x:v>
      </x:c>
      <x:c r="U675" s="31" t="n">
        <x:f>MAX(S675/T675,T675/S675)</x:f>
        <x:v>4.2233633157259005</x:v>
      </x:c>
      <x:c r="V675" s="31" t="n">
        <x:f>L675*'Controls &amp; Summary'!$B$9+O675*'Controls &amp; Summary'!$B$10+R675*'Controls &amp; Summary'!$B$11+U675*'Controls &amp; Summary'!$B$12</x:f>
        <x:v>12.8533633157259</x:v>
      </x:c>
      <x:c r="W675" s="31" t="n">
        <x:v>3</x:v>
      </x:c>
      <x:c r="X675" s="31" t="n">
        <x:v>7</x:v>
      </x:c>
      <x:c r="Y675" s="31" t="n">
        <x:f>((10-MIN(10,MAX(0,X675)))/10)*'Controls &amp; Summary'!$B$15+((10-MIN(10,MAX(0,W675)))/10)*'Controls &amp; Summary'!$B$16</x:f>
        <x:v>1</x:v>
      </x:c>
      <x:c r="Z675" s="31" t="n">
        <x:f>V675*Y675</x:f>
        <x:v>12.8533633157259</x:v>
      </x:c>
      <x:c r="AA675" s="30" t="str">
        <x:f>IF(Z675&lt;=I675,"Peaceful","Hostile")</x:f>
        <x:v>Hostile</x:v>
      </x:c>
      <x:c r="AB675" s="30" t="str">
        <x:f>IF(Z675&lt;='Controls &amp; Summary'!$B$6,"Eligible","Blocked")</x:f>
        <x:v>Blocked</x:v>
      </x:c>
      <x:c r="AC675" s="30" t="str">
        <x:v>IND</x:v>
      </x:c>
      <x:c r="AD675" s="30" t="str">
        <x:v>AFG</x:v>
      </x:c>
      <x:c r="AE675" s="30" t="str">
        <x:v>Afghanistan</x:v>
      </x:c>
      <x:c r="AF675" s="30" t="str">
        <x:v>Explicit capitalClaim</x:v>
      </x:c>
      <x:c r="AG675" s="30" t="str">
        <x:v>ClaimINDAfghanistan</x:v>
      </x:c>
      <x:c r="AH675" s="30" t="str">
        <x:v>Project_GreaterIndia</x:v>
      </x:c>
    </x:row>
    <x:row r="676">
      <x:c r="A676" s="30" t="str">
        <x:v>2022</x:v>
      </x:c>
      <x:c r="B676" s="30" t="str">
        <x:v>Base game</x:v>
      </x:c>
      <x:c r="C676" s="30" t="str">
        <x:v>India</x:v>
      </x:c>
      <x:c r="D676" s="30" t="str">
        <x:v>Bangladesh</x:v>
      </x:c>
      <x:c r="E676" s="30" t="str">
        <x:v>Project unlock</x:v>
      </x:c>
      <x:c r="F676" s="30" t="str">
        <x:v>Greater India</x:v>
      </x:c>
      <x:c r="G676" s="30" t="str">
        <x:v>No</x:v>
      </x:c>
      <x:c r="H676" s="30" t="str">
        <x:v>Ordinary claim</x:v>
      </x:c>
      <x:c r="I676" s="31" t="n">
        <x:f>IF(G676="Yes",'Controls &amp; Summary'!$B$5,'Controls &amp; Summary'!$B$4)</x:f>
        <x:v>6</x:v>
      </x:c>
      <x:c r="J676" s="31" t="n">
        <x:v>6.91</x:v>
      </x:c>
      <x:c r="K676" s="31" t="n">
        <x:v>5.99</x:v>
      </x:c>
      <x:c r="L676" s="31" t="n">
        <x:f>ABS(J676-K676)</x:f>
        <x:v>0.9199999999999999</x:v>
      </x:c>
      <x:c r="M676" s="31" t="n">
        <x:v>3.57</x:v>
      </x:c>
      <x:c r="N676" s="31" t="n">
        <x:v>3.24</x:v>
      </x:c>
      <x:c r="O676" s="31" t="n">
        <x:f>ABS(M676-N676)</x:f>
        <x:v>0.3299999999999996</x:v>
      </x:c>
      <x:c r="P676" s="31" t="n">
        <x:v>5.55</x:v>
      </x:c>
      <x:c r="Q676" s="31" t="n">
        <x:v>5.29</x:v>
      </x:c>
      <x:c r="R676" s="31" t="n">
        <x:f>ABS(P676-Q676)</x:f>
        <x:v>0.2599999999999998</x:v>
      </x:c>
      <x:c r="S676" s="32" t="n">
        <x:v>7326.592097722203</x:v>
      </x:c>
      <x:c r="T676" s="32" t="n">
        <x:v>5820.137344523698</x:v>
      </x:c>
      <x:c r="U676" s="31" t="n">
        <x:f>MAX(S676/T676,T676/S676)</x:f>
        <x:v>1.25883491471485</x:v>
      </x:c>
      <x:c r="V676" s="31" t="n">
        <x:f>L676*'Controls &amp; Summary'!$B$9+O676*'Controls &amp; Summary'!$B$10+R676*'Controls &amp; Summary'!$B$11+U676*'Controls &amp; Summary'!$B$12</x:f>
        <x:v>2.7688349147148497</x:v>
      </x:c>
      <x:c r="W676" s="31" t="n">
        <x:v>3</x:v>
      </x:c>
      <x:c r="X676" s="31" t="n">
        <x:v>4</x:v>
      </x:c>
      <x:c r="Y676" s="31" t="n">
        <x:f>((10-MIN(10,MAX(0,X676)))/10)*'Controls &amp; Summary'!$B$15+((10-MIN(10,MAX(0,W676)))/10)*'Controls &amp; Summary'!$B$16</x:f>
        <x:v>1.2999999999999998</x:v>
      </x:c>
      <x:c r="Z676" s="31" t="n">
        <x:f>V676*Y676</x:f>
        <x:v>3.599485389129304</x:v>
      </x:c>
      <x:c r="AA676" s="30" t="str">
        <x:f>IF(Z676&lt;=I676,"Peaceful","Hostile")</x:f>
        <x:v>Peaceful</x:v>
      </x:c>
      <x:c r="AB676" s="30" t="str">
        <x:f>IF(Z676&lt;='Controls &amp; Summary'!$B$6,"Eligible","Blocked")</x:f>
        <x:v>Eligible</x:v>
      </x:c>
      <x:c r="AC676" s="30" t="str">
        <x:v>IND</x:v>
      </x:c>
      <x:c r="AD676" s="30" t="str">
        <x:v>BGD</x:v>
      </x:c>
      <x:c r="AE676" s="30" t="str">
        <x:v>Bangladesh</x:v>
      </x:c>
      <x:c r="AF676" s="30" t="str">
        <x:v>Explicit capitalClaim</x:v>
      </x:c>
      <x:c r="AG676" s="30" t="str">
        <x:v>ClaimINDBangladesh</x:v>
      </x:c>
      <x:c r="AH676" s="30" t="str">
        <x:v>Project_GreaterIndia</x:v>
      </x:c>
    </x:row>
    <x:row r="677">
      <x:c r="A677" s="30" t="str">
        <x:v>2022</x:v>
      </x:c>
      <x:c r="B677" s="30" t="str">
        <x:v>Base game</x:v>
      </x:c>
      <x:c r="C677" s="30" t="str">
        <x:v>India</x:v>
      </x:c>
      <x:c r="D677" s="30" t="str">
        <x:v>Bhutan</x:v>
      </x:c>
      <x:c r="E677" s="30" t="str">
        <x:v>Project unlock</x:v>
      </x:c>
      <x:c r="F677" s="30" t="str">
        <x:v>Greater India</x:v>
      </x:c>
      <x:c r="G677" s="30" t="str">
        <x:v>No</x:v>
      </x:c>
      <x:c r="H677" s="30" t="str">
        <x:v>Ordinary claim</x:v>
      </x:c>
      <x:c r="I677" s="31" t="n">
        <x:f>IF(G677="Yes",'Controls &amp; Summary'!$B$5,'Controls &amp; Summary'!$B$4)</x:f>
        <x:v>6</x:v>
      </x:c>
      <x:c r="J677" s="31" t="n">
        <x:v>6.91</x:v>
      </x:c>
      <x:c r="K677" s="31" t="n">
        <x:v>5.71</x:v>
      </x:c>
      <x:c r="L677" s="31" t="n">
        <x:f>ABS(J677-K677)</x:f>
        <x:v>1.2000000000000002</x:v>
      </x:c>
      <x:c r="M677" s="31" t="n">
        <x:v>3.57</x:v>
      </x:c>
      <x:c r="N677" s="31" t="n">
        <x:v>3.74</x:v>
      </x:c>
      <x:c r="O677" s="31" t="n">
        <x:f>ABS(M677-N677)</x:f>
        <x:v>0.17000000000000037</x:v>
      </x:c>
      <x:c r="P677" s="31" t="n">
        <x:v>5.55</x:v>
      </x:c>
      <x:c r="Q677" s="31" t="n">
        <x:v>4.96</x:v>
      </x:c>
      <x:c r="R677" s="31" t="n">
        <x:f>ABS(P677-Q677)</x:f>
        <x:v>0.5899999999999999</x:v>
      </x:c>
      <x:c r="S677" s="32" t="n">
        <x:v>7326.592097722203</x:v>
      </x:c>
      <x:c r="T677" s="32" t="n">
        <x:v>10969.606185828401</x:v>
      </x:c>
      <x:c r="U677" s="31" t="n">
        <x:f>MAX(S677/T677,T677/S677)</x:f>
        <x:v>1.4972317333237086</x:v>
      </x:c>
      <x:c r="V677" s="31" t="n">
        <x:f>L677*'Controls &amp; Summary'!$B$9+O677*'Controls &amp; Summary'!$B$10+R677*'Controls &amp; Summary'!$B$11+U677*'Controls &amp; Summary'!$B$12</x:f>
        <x:v>3.457231733323709</x:v>
      </x:c>
      <x:c r="W677" s="31" t="n">
        <x:v>3</x:v>
      </x:c>
      <x:c r="X677" s="31" t="n">
        <x:v>1</x:v>
      </x:c>
      <x:c r="Y677" s="31" t="n">
        <x:f>((10-MIN(10,MAX(0,X677)))/10)*'Controls &amp; Summary'!$B$15+((10-MIN(10,MAX(0,W677)))/10)*'Controls &amp; Summary'!$B$16</x:f>
        <x:v>1.6</x:v>
      </x:c>
      <x:c r="Z677" s="31" t="n">
        <x:f>V677*Y677</x:f>
        <x:v>5.5315707733179345</x:v>
      </x:c>
      <x:c r="AA677" s="30" t="str">
        <x:f>IF(Z677&lt;=I677,"Peaceful","Hostile")</x:f>
        <x:v>Peaceful</x:v>
      </x:c>
      <x:c r="AB677" s="30" t="str">
        <x:f>IF(Z677&lt;='Controls &amp; Summary'!$B$6,"Eligible","Blocked")</x:f>
        <x:v>Eligible</x:v>
      </x:c>
      <x:c r="AC677" s="30" t="str">
        <x:v>IND</x:v>
      </x:c>
      <x:c r="AD677" s="30" t="str">
        <x:v>BHU</x:v>
      </x:c>
      <x:c r="AE677" s="30" t="str">
        <x:v>Bhutan</x:v>
      </x:c>
      <x:c r="AF677" s="30" t="str">
        <x:v>Explicit capitalClaim</x:v>
      </x:c>
      <x:c r="AG677" s="30" t="str">
        <x:v>ClaimINDBhutan</x:v>
      </x:c>
      <x:c r="AH677" s="30" t="str">
        <x:v>Project_GreaterIndia</x:v>
      </x:c>
    </x:row>
    <x:row r="678">
      <x:c r="A678" s="30" t="str">
        <x:v>2022</x:v>
      </x:c>
      <x:c r="B678" s="30" t="str">
        <x:v>Base game</x:v>
      </x:c>
      <x:c r="C678" s="30" t="str">
        <x:v>India</x:v>
      </x:c>
      <x:c r="D678" s="30" t="str">
        <x:v>Brunei</x:v>
      </x:c>
      <x:c r="E678" s="30" t="str">
        <x:v>Project unlock</x:v>
      </x:c>
      <x:c r="F678" s="30" t="str">
        <x:v>United Indosphere</x:v>
      </x:c>
      <x:c r="G678" s="30" t="str">
        <x:v>No</x:v>
      </x:c>
      <x:c r="H678" s="30" t="str">
        <x:v>Ordinary claim</x:v>
      </x:c>
      <x:c r="I678" s="31" t="n">
        <x:f>IF(G678="Yes",'Controls &amp; Summary'!$B$5,'Controls &amp; Summary'!$B$4)</x:f>
        <x:v>6</x:v>
      </x:c>
      <x:c r="J678" s="31" t="n">
        <x:v>6.91</x:v>
      </x:c>
      <x:c r="K678" s="31" t="n">
        <x:v>2.8</x:v>
      </x:c>
      <x:c r="L678" s="31" t="n">
        <x:f>ABS(J678-K678)</x:f>
        <x:v>4.11</x:v>
      </x:c>
      <x:c r="M678" s="31" t="n">
        <x:v>3.57</x:v>
      </x:c>
      <x:c r="N678" s="31" t="n">
        <x:v>4.07</x:v>
      </x:c>
      <x:c r="O678" s="31" t="n">
        <x:f>ABS(M678-N678)</x:f>
        <x:v>0.5000000000000004</x:v>
      </x:c>
      <x:c r="P678" s="31" t="n">
        <x:v>5.55</x:v>
      </x:c>
      <x:c r="Q678" s="31" t="n">
        <x:v>7.02</x:v>
      </x:c>
      <x:c r="R678" s="31" t="n">
        <x:f>ABS(P678-Q678)</x:f>
        <x:v>1.4699999999999998</x:v>
      </x:c>
      <x:c r="S678" s="32" t="n">
        <x:v>7326.592097722203</x:v>
      </x:c>
      <x:c r="T678" s="32" t="n">
        <x:v>74761.98153150185</x:v>
      </x:c>
      <x:c r="U678" s="31" t="n">
        <x:f>MAX(S678/T678,T678/S678)</x:f>
        <x:v>10.204195966463717</x:v>
      </x:c>
      <x:c r="V678" s="31" t="n">
        <x:f>L678*'Controls &amp; Summary'!$B$9+O678*'Controls &amp; Summary'!$B$10+R678*'Controls &amp; Summary'!$B$11+U678*'Controls &amp; Summary'!$B$12</x:f>
        <x:v>16.284195966463717</x:v>
      </x:c>
      <x:c r="W678" s="31" t="n">
        <x:v>3</x:v>
      </x:c>
      <x:c r="X678" s="31" t="n">
        <x:v>0</x:v>
      </x:c>
      <x:c r="Y678" s="31" t="n">
        <x:f>((10-MIN(10,MAX(0,X678)))/10)*'Controls &amp; Summary'!$B$15+((10-MIN(10,MAX(0,W678)))/10)*'Controls &amp; Summary'!$B$16</x:f>
        <x:v>1.7</x:v>
      </x:c>
      <x:c r="Z678" s="31" t="n">
        <x:f>V678*Y678</x:f>
        <x:v>27.683133142988318</x:v>
      </x:c>
      <x:c r="AA678" s="30" t="str">
        <x:f>IF(Z678&lt;=I678,"Peaceful","Hostile")</x:f>
        <x:v>Hostile</x:v>
      </x:c>
      <x:c r="AB678" s="30" t="str">
        <x:f>IF(Z678&lt;='Controls &amp; Summary'!$B$6,"Eligible","Blocked")</x:f>
        <x:v>Blocked</x:v>
      </x:c>
      <x:c r="AC678" s="30" t="str">
        <x:v>IND</x:v>
      </x:c>
      <x:c r="AD678" s="30" t="str">
        <x:v>BRU</x:v>
      </x:c>
      <x:c r="AE678" s="30" t="str">
        <x:v>Brunei</x:v>
      </x:c>
      <x:c r="AF678" s="30" t="str">
        <x:v>Explicit capitalClaim</x:v>
      </x:c>
      <x:c r="AG678" s="30" t="str">
        <x:v>ClaimINDBrunei</x:v>
      </x:c>
      <x:c r="AH678" s="30" t="str">
        <x:v>Project_UnitedIndosphere</x:v>
      </x:c>
    </x:row>
    <x:row r="679">
      <x:c r="A679" s="30" t="str">
        <x:v>2022</x:v>
      </x:c>
      <x:c r="B679" s="30" t="str">
        <x:v>Base game</x:v>
      </x:c>
      <x:c r="C679" s="30" t="str">
        <x:v>India</x:v>
      </x:c>
      <x:c r="D679" s="30" t="str">
        <x:v>Cambodia</x:v>
      </x:c>
      <x:c r="E679" s="30" t="str">
        <x:v>Project unlock</x:v>
      </x:c>
      <x:c r="F679" s="30" t="str">
        <x:v>United Indosphere</x:v>
      </x:c>
      <x:c r="G679" s="30" t="str">
        <x:v>No</x:v>
      </x:c>
      <x:c r="H679" s="30" t="str">
        <x:v>Ordinary claim</x:v>
      </x:c>
      <x:c r="I679" s="31" t="n">
        <x:f>IF(G679="Yes",'Controls &amp; Summary'!$B$5,'Controls &amp; Summary'!$B$4)</x:f>
        <x:v>6</x:v>
      </x:c>
      <x:c r="J679" s="31" t="n">
        <x:v>6.91</x:v>
      </x:c>
      <x:c r="K679" s="31" t="n">
        <x:v>2.9</x:v>
      </x:c>
      <x:c r="L679" s="31" t="n">
        <x:f>ABS(J679-K679)</x:f>
        <x:v>4.01</x:v>
      </x:c>
      <x:c r="M679" s="31" t="n">
        <x:v>3.57</x:v>
      </x:c>
      <x:c r="N679" s="31" t="n">
        <x:v>3.79</x:v>
      </x:c>
      <x:c r="O679" s="31" t="n">
        <x:f>ABS(M679-N679)</x:f>
        <x:v>0.2200000000000002</x:v>
      </x:c>
      <x:c r="P679" s="31" t="n">
        <x:v>5.55</x:v>
      </x:c>
      <x:c r="Q679" s="31" t="n">
        <x:v>4.84</x:v>
      </x:c>
      <x:c r="R679" s="31" t="n">
        <x:f>ABS(P679-Q679)</x:f>
        <x:v>0.71</x:v>
      </x:c>
      <x:c r="S679" s="32" t="n">
        <x:v>7326.592097722203</x:v>
      </x:c>
      <x:c r="T679" s="32" t="n">
        <x:v>4485.15754874337</x:v>
      </x:c>
      <x:c r="U679" s="31" t="n">
        <x:f>MAX(S679/T679,T679/S679)</x:f>
        <x:v>1.6335194512342008</x:v>
      </x:c>
      <x:c r="V679" s="31" t="n">
        <x:f>L679*'Controls &amp; Summary'!$B$9+O679*'Controls &amp; Summary'!$B$10+R679*'Controls &amp; Summary'!$B$11+U679*'Controls &amp; Summary'!$B$12</x:f>
        <x:v>6.573519451234201</x:v>
      </x:c>
      <x:c r="W679" s="31" t="n">
        <x:v>3</x:v>
      </x:c>
      <x:c r="X679" s="31" t="n">
        <x:v>2</x:v>
      </x:c>
      <x:c r="Y679" s="31" t="n">
        <x:f>((10-MIN(10,MAX(0,X679)))/10)*'Controls &amp; Summary'!$B$15+((10-MIN(10,MAX(0,W679)))/10)*'Controls &amp; Summary'!$B$16</x:f>
        <x:v>1.5</x:v>
      </x:c>
      <x:c r="Z679" s="31" t="n">
        <x:f>V679*Y679</x:f>
        <x:v>9.860279176851302</x:v>
      </x:c>
      <x:c r="AA679" s="30" t="str">
        <x:f>IF(Z679&lt;=I679,"Peaceful","Hostile")</x:f>
        <x:v>Hostile</x:v>
      </x:c>
      <x:c r="AB679" s="30" t="str">
        <x:f>IF(Z679&lt;='Controls &amp; Summary'!$B$6,"Eligible","Blocked")</x:f>
        <x:v>Eligible</x:v>
      </x:c>
      <x:c r="AC679" s="30" t="str">
        <x:v>IND</x:v>
      </x:c>
      <x:c r="AD679" s="30" t="str">
        <x:v>KHM</x:v>
      </x:c>
      <x:c r="AE679" s="30" t="str">
        <x:v>Cambodia</x:v>
      </x:c>
      <x:c r="AF679" s="30" t="str">
        <x:v>Explicit capitalClaim</x:v>
      </x:c>
      <x:c r="AG679" s="30" t="str">
        <x:v>ClaimINDCambodia</x:v>
      </x:c>
      <x:c r="AH679" s="30" t="str">
        <x:v>Project_UnitedIndosphere</x:v>
      </x:c>
    </x:row>
    <x:row r="680">
      <x:c r="A680" s="30" t="str">
        <x:v>2022</x:v>
      </x:c>
      <x:c r="B680" s="30" t="str">
        <x:v>Base game</x:v>
      </x:c>
      <x:c r="C680" s="30" t="str">
        <x:v>India</x:v>
      </x:c>
      <x:c r="D680" s="30" t="str">
        <x:v>Guyana</x:v>
      </x:c>
      <x:c r="E680" s="30" t="str">
        <x:v>Project unlock</x:v>
      </x:c>
      <x:c r="F680" s="30" t="str">
        <x:v>United Indosphere</x:v>
      </x:c>
      <x:c r="G680" s="30" t="str">
        <x:v>No</x:v>
      </x:c>
      <x:c r="H680" s="30" t="str">
        <x:v>Ordinary claim</x:v>
      </x:c>
      <x:c r="I680" s="31" t="n">
        <x:f>IF(G680="Yes",'Controls &amp; Summary'!$B$5,'Controls &amp; Summary'!$B$4)</x:f>
        <x:v>6</x:v>
      </x:c>
      <x:c r="J680" s="31" t="n">
        <x:v>6.91</x:v>
      </x:c>
      <x:c r="K680" s="31" t="n">
        <x:v>6.25</x:v>
      </x:c>
      <x:c r="L680" s="31" t="n">
        <x:f>ABS(J680-K680)</x:f>
        <x:v>0.6600000000000001</x:v>
      </x:c>
      <x:c r="M680" s="31" t="n">
        <x:v>3.57</x:v>
      </x:c>
      <x:c r="N680" s="31" t="n">
        <x:v>4.51</x:v>
      </x:c>
      <x:c r="O680" s="31" t="n">
        <x:f>ABS(M680-N680)</x:f>
        <x:v>0.94</x:v>
      </x:c>
      <x:c r="P680" s="31" t="n">
        <x:v>5.55</x:v>
      </x:c>
      <x:c r="Q680" s="31" t="n">
        <x:v>6.01</x:v>
      </x:c>
      <x:c r="R680" s="31" t="n">
        <x:f>ABS(P680-Q680)</x:f>
        <x:v>0.45999999999999996</x:v>
      </x:c>
      <x:c r="S680" s="32" t="n">
        <x:v>7326.592097722203</x:v>
      </x:c>
      <x:c r="T680" s="32" t="n">
        <x:v>33516.92725254583</x:v>
      </x:c>
      <x:c r="U680" s="31" t="n">
        <x:f>MAX(S680/T680,T680/S680)</x:f>
        <x:v>4.574695411658861</x:v>
      </x:c>
      <x:c r="V680" s="31" t="n">
        <x:f>L680*'Controls &amp; Summary'!$B$9+O680*'Controls &amp; Summary'!$B$10+R680*'Controls &amp; Summary'!$B$11+U680*'Controls &amp; Summary'!$B$12</x:f>
        <x:v>6.634695411658861</x:v>
      </x:c>
      <x:c r="W680" s="31" t="n">
        <x:v>3</x:v>
      </x:c>
      <x:c r="X680" s="31" t="n">
        <x:v>2</x:v>
      </x:c>
      <x:c r="Y680" s="31" t="n">
        <x:f>((10-MIN(10,MAX(0,X680)))/10)*'Controls &amp; Summary'!$B$15+((10-MIN(10,MAX(0,W680)))/10)*'Controls &amp; Summary'!$B$16</x:f>
        <x:v>1.5</x:v>
      </x:c>
      <x:c r="Z680" s="31" t="n">
        <x:f>V680*Y680</x:f>
        <x:v>9.95204311748829</x:v>
      </x:c>
      <x:c r="AA680" s="30" t="str">
        <x:f>IF(Z680&lt;=I680,"Peaceful","Hostile")</x:f>
        <x:v>Hostile</x:v>
      </x:c>
      <x:c r="AB680" s="30" t="str">
        <x:f>IF(Z680&lt;='Controls &amp; Summary'!$B$6,"Eligible","Blocked")</x:f>
        <x:v>Eligible</x:v>
      </x:c>
      <x:c r="AC680" s="30" t="str">
        <x:v>IND</x:v>
      </x:c>
      <x:c r="AD680" s="30" t="str">
        <x:v>GUY</x:v>
      </x:c>
      <x:c r="AE680" s="30" t="str">
        <x:v>Guyana</x:v>
      </x:c>
      <x:c r="AF680" s="30" t="str">
        <x:v>Explicit capitalClaim</x:v>
      </x:c>
      <x:c r="AG680" s="30" t="str">
        <x:v>ClaimINDGuyana</x:v>
      </x:c>
      <x:c r="AH680" s="30" t="str">
        <x:v>Project_UnitedIndosphere</x:v>
      </x:c>
    </x:row>
    <x:row r="681">
      <x:c r="A681" s="30" t="str">
        <x:v>2022</x:v>
      </x:c>
      <x:c r="B681" s="30" t="str">
        <x:v>Base game</x:v>
      </x:c>
      <x:c r="C681" s="30" t="str">
        <x:v>India</x:v>
      </x:c>
      <x:c r="D681" s="30" t="str">
        <x:v>Indonesia</x:v>
      </x:c>
      <x:c r="E681" s="30" t="str">
        <x:v>Project unlock</x:v>
      </x:c>
      <x:c r="F681" s="30" t="str">
        <x:v>United Indosphere</x:v>
      </x:c>
      <x:c r="G681" s="30" t="str">
        <x:v>No</x:v>
      </x:c>
      <x:c r="H681" s="30" t="str">
        <x:v>Ordinary claim</x:v>
      </x:c>
      <x:c r="I681" s="31" t="n">
        <x:f>IF(G681="Yes",'Controls &amp; Summary'!$B$5,'Controls &amp; Summary'!$B$4)</x:f>
        <x:v>6</x:v>
      </x:c>
      <x:c r="J681" s="31" t="n">
        <x:v>6.91</x:v>
      </x:c>
      <x:c r="K681" s="31" t="n">
        <x:v>6.71</x:v>
      </x:c>
      <x:c r="L681" s="31" t="n">
        <x:f>ABS(J681-K681)</x:f>
        <x:v>0.20000000000000018</x:v>
      </x:c>
      <x:c r="M681" s="31" t="n">
        <x:v>3.57</x:v>
      </x:c>
      <x:c r="N681" s="31" t="n">
        <x:v>3.7</x:v>
      </x:c>
      <x:c r="O681" s="31" t="n">
        <x:f>ABS(M681-N681)</x:f>
        <x:v>0.13000000000000034</x:v>
      </x:c>
      <x:c r="P681" s="31" t="n">
        <x:v>5.55</x:v>
      </x:c>
      <x:c r="Q681" s="31" t="n">
        <x:v>6.5</x:v>
      </x:c>
      <x:c r="R681" s="31" t="n">
        <x:f>ABS(P681-Q681)</x:f>
        <x:v>0.9500000000000002</x:v>
      </x:c>
      <x:c r="S681" s="32" t="n">
        <x:v>7326.592097722203</x:v>
      </x:c>
      <x:c r="T681" s="32" t="n">
        <x:v>12557.55400997715</x:v>
      </x:c>
      <x:c r="U681" s="31" t="n">
        <x:f>MAX(S681/T681,T681/S681)</x:f>
        <x:v>1.7139693110363308</x:v>
      </x:c>
      <x:c r="V681" s="31" t="n">
        <x:f>L681*'Controls &amp; Summary'!$B$9+O681*'Controls &amp; Summary'!$B$10+R681*'Controls &amp; Summary'!$B$11+U681*'Controls &amp; Summary'!$B$12</x:f>
        <x:v>2.9939693110363317</x:v>
      </x:c>
      <x:c r="W681" s="31" t="n">
        <x:v>3</x:v>
      </x:c>
      <x:c r="X681" s="31" t="n">
        <x:v>3</x:v>
      </x:c>
      <x:c r="Y681" s="31" t="n">
        <x:f>((10-MIN(10,MAX(0,X681)))/10)*'Controls &amp; Summary'!$B$15+((10-MIN(10,MAX(0,W681)))/10)*'Controls &amp; Summary'!$B$16</x:f>
        <x:v>1.4</x:v>
      </x:c>
      <x:c r="Z681" s="31" t="n">
        <x:f>V681*Y681</x:f>
        <x:v>4.191557035450864</x:v>
      </x:c>
      <x:c r="AA681" s="30" t="str">
        <x:f>IF(Z681&lt;=I681,"Peaceful","Hostile")</x:f>
        <x:v>Peaceful</x:v>
      </x:c>
      <x:c r="AB681" s="30" t="str">
        <x:f>IF(Z681&lt;='Controls &amp; Summary'!$B$6,"Eligible","Blocked")</x:f>
        <x:v>Eligible</x:v>
      </x:c>
      <x:c r="AC681" s="30" t="str">
        <x:v>IND</x:v>
      </x:c>
      <x:c r="AD681" s="30" t="str">
        <x:v>IDN</x:v>
      </x:c>
      <x:c r="AE681" s="30" t="str">
        <x:v>Java</x:v>
      </x:c>
      <x:c r="AF681" s="30" t="str">
        <x:v>Explicit capitalClaim</x:v>
      </x:c>
      <x:c r="AG681" s="30" t="str">
        <x:v>ClaimINDJava</x:v>
      </x:c>
      <x:c r="AH681" s="30" t="str">
        <x:v>Project_UnitedIndosphere</x:v>
      </x:c>
    </x:row>
    <x:row r="682">
      <x:c r="A682" s="30" t="str">
        <x:v>2022</x:v>
      </x:c>
      <x:c r="B682" s="30" t="str">
        <x:v>Base game</x:v>
      </x:c>
      <x:c r="C682" s="30" t="str">
        <x:v>India</x:v>
      </x:c>
      <x:c r="D682" s="30" t="str">
        <x:v>Laos</x:v>
      </x:c>
      <x:c r="E682" s="30" t="str">
        <x:v>Project unlock</x:v>
      </x:c>
      <x:c r="F682" s="30" t="str">
        <x:v>United Indosphere</x:v>
      </x:c>
      <x:c r="G682" s="30" t="str">
        <x:v>No</x:v>
      </x:c>
      <x:c r="H682" s="30" t="str">
        <x:v>Ordinary claim</x:v>
      </x:c>
      <x:c r="I682" s="31" t="n">
        <x:f>IF(G682="Yes",'Controls &amp; Summary'!$B$5,'Controls &amp; Summary'!$B$4)</x:f>
        <x:v>6</x:v>
      </x:c>
      <x:c r="J682" s="31" t="n">
        <x:v>6.91</x:v>
      </x:c>
      <x:c r="K682" s="31" t="n">
        <x:v>1.77</x:v>
      </x:c>
      <x:c r="L682" s="31" t="n">
        <x:f>ABS(J682-K682)</x:f>
        <x:v>5.140000000000001</x:v>
      </x:c>
      <x:c r="M682" s="31" t="n">
        <x:v>3.57</x:v>
      </x:c>
      <x:c r="N682" s="31" t="n">
        <x:v>3.88</x:v>
      </x:c>
      <x:c r="O682" s="31" t="n">
        <x:f>ABS(M682-N682)</x:f>
        <x:v>0.31000000000000005</x:v>
      </x:c>
      <x:c r="P682" s="31" t="n">
        <x:v>5.55</x:v>
      </x:c>
      <x:c r="Q682" s="31" t="n">
        <x:v>4.81</x:v>
      </x:c>
      <x:c r="R682" s="31" t="n">
        <x:f>ABS(P682-Q682)</x:f>
        <x:v>0.7400000000000002</x:v>
      </x:c>
      <x:c r="S682" s="32" t="n">
        <x:v>7326.592097722203</x:v>
      </x:c>
      <x:c r="T682" s="32" t="n">
        <x:v>8047.439163636176</x:v>
      </x:c>
      <x:c r="U682" s="31" t="n">
        <x:f>MAX(S682/T682,T682/S682)</x:f>
        <x:v>1.0983877710536227</x:v>
      </x:c>
      <x:c r="V682" s="31" t="n">
        <x:f>L682*'Controls &amp; Summary'!$B$9+O682*'Controls &amp; Summary'!$B$10+R682*'Controls &amp; Summary'!$B$11+U682*'Controls &amp; Summary'!$B$12</x:f>
        <x:v>7.288387771053624</x:v>
      </x:c>
      <x:c r="W682" s="31" t="n">
        <x:v>3</x:v>
      </x:c>
      <x:c r="X682" s="31" t="n">
        <x:v>3</x:v>
      </x:c>
      <x:c r="Y682" s="31" t="n">
        <x:f>((10-MIN(10,MAX(0,X682)))/10)*'Controls &amp; Summary'!$B$15+((10-MIN(10,MAX(0,W682)))/10)*'Controls &amp; Summary'!$B$16</x:f>
        <x:v>1.4</x:v>
      </x:c>
      <x:c r="Z682" s="31" t="n">
        <x:f>V682*Y682</x:f>
        <x:v>10.203742879475072</x:v>
      </x:c>
      <x:c r="AA682" s="30" t="str">
        <x:f>IF(Z682&lt;=I682,"Peaceful","Hostile")</x:f>
        <x:v>Hostile</x:v>
      </x:c>
      <x:c r="AB682" s="30" t="str">
        <x:f>IF(Z682&lt;='Controls &amp; Summary'!$B$6,"Eligible","Blocked")</x:f>
        <x:v>Eligible</x:v>
      </x:c>
      <x:c r="AC682" s="30" t="str">
        <x:v>IND</x:v>
      </x:c>
      <x:c r="AD682" s="30" t="str">
        <x:v>LAO</x:v>
      </x:c>
      <x:c r="AE682" s="30" t="str">
        <x:v>Laos</x:v>
      </x:c>
      <x:c r="AF682" s="30" t="str">
        <x:v>Explicit capitalClaim</x:v>
      </x:c>
      <x:c r="AG682" s="30" t="str">
        <x:v>ClaimINDLaos</x:v>
      </x:c>
      <x:c r="AH682" s="30" t="str">
        <x:v>Project_UnitedIndosphere</x:v>
      </x:c>
    </x:row>
    <x:row r="683">
      <x:c r="A683" s="30" t="str">
        <x:v>2022</x:v>
      </x:c>
      <x:c r="B683" s="30" t="str">
        <x:v>Base game</x:v>
      </x:c>
      <x:c r="C683" s="30" t="str">
        <x:v>India</x:v>
      </x:c>
      <x:c r="D683" s="30" t="str">
        <x:v>Malaysia</x:v>
      </x:c>
      <x:c r="E683" s="30" t="str">
        <x:v>Project unlock</x:v>
      </x:c>
      <x:c r="F683" s="30" t="str">
        <x:v>United Indosphere</x:v>
      </x:c>
      <x:c r="G683" s="30" t="str">
        <x:v>No</x:v>
      </x:c>
      <x:c r="H683" s="30" t="str">
        <x:v>Ordinary claim</x:v>
      </x:c>
      <x:c r="I683" s="31" t="n">
        <x:f>IF(G683="Yes",'Controls &amp; Summary'!$B$5,'Controls &amp; Summary'!$B$4)</x:f>
        <x:v>6</x:v>
      </x:c>
      <x:c r="J683" s="31" t="n">
        <x:v>6.91</x:v>
      </x:c>
      <x:c r="K683" s="31" t="n">
        <x:v>7.24</x:v>
      </x:c>
      <x:c r="L683" s="31" t="n">
        <x:f>ABS(J683-K683)</x:f>
        <x:v>0.33000000000000007</x:v>
      </x:c>
      <x:c r="M683" s="31" t="n">
        <x:v>3.57</x:v>
      </x:c>
      <x:c r="N683" s="31" t="n">
        <x:v>4.11</x:v>
      </x:c>
      <x:c r="O683" s="31" t="n">
        <x:f>ABS(M683-N683)</x:f>
        <x:v>0.5400000000000005</x:v>
      </x:c>
      <x:c r="P683" s="31" t="n">
        <x:v>5.55</x:v>
      </x:c>
      <x:c r="Q683" s="31" t="n">
        <x:v>7.26</x:v>
      </x:c>
      <x:c r="R683" s="31" t="n">
        <x:f>ABS(P683-Q683)</x:f>
        <x:v>1.71</x:v>
      </x:c>
      <x:c r="S683" s="32" t="n">
        <x:v>7326.592097722203</x:v>
      </x:c>
      <x:c r="T683" s="32" t="n">
        <x:v>28784.60931677783</x:v>
      </x:c>
      <x:c r="U683" s="31" t="n">
        <x:f>MAX(S683/T683,T683/S683)</x:f>
        <x:v>3.9287855708149504</x:v>
      </x:c>
      <x:c r="V683" s="31" t="n">
        <x:f>L683*'Controls &amp; Summary'!$B$9+O683*'Controls &amp; Summary'!$B$10+R683*'Controls &amp; Summary'!$B$11+U683*'Controls &amp; Summary'!$B$12</x:f>
        <x:v>6.5087855708149505</x:v>
      </x:c>
      <x:c r="W683" s="31" t="n">
        <x:v>3</x:v>
      </x:c>
      <x:c r="X683" s="31" t="n">
        <x:v>1</x:v>
      </x:c>
      <x:c r="Y683" s="31" t="n">
        <x:f>((10-MIN(10,MAX(0,X683)))/10)*'Controls &amp; Summary'!$B$15+((10-MIN(10,MAX(0,W683)))/10)*'Controls &amp; Summary'!$B$16</x:f>
        <x:v>1.6</x:v>
      </x:c>
      <x:c r="Z683" s="31" t="n">
        <x:f>V683*Y683</x:f>
        <x:v>10.414056913303922</x:v>
      </x:c>
      <x:c r="AA683" s="30" t="str">
        <x:f>IF(Z683&lt;=I683,"Peaceful","Hostile")</x:f>
        <x:v>Hostile</x:v>
      </x:c>
      <x:c r="AB683" s="30" t="str">
        <x:f>IF(Z683&lt;='Controls &amp; Summary'!$B$6,"Eligible","Blocked")</x:f>
        <x:v>Eligible</x:v>
      </x:c>
      <x:c r="AC683" s="30" t="str">
        <x:v>IND</x:v>
      </x:c>
      <x:c r="AD683" s="30" t="str">
        <x:v>MYS</x:v>
      </x:c>
      <x:c r="AE683" s="30" t="str">
        <x:v>MalayPeninsula</x:v>
      </x:c>
      <x:c r="AF683" s="30" t="str">
        <x:v>Explicit capitalClaim</x:v>
      </x:c>
      <x:c r="AG683" s="30" t="str">
        <x:v>ClaimINDMalayPeninsula</x:v>
      </x:c>
      <x:c r="AH683" s="30" t="str">
        <x:v>Project_UnitedIndosphere</x:v>
      </x:c>
    </x:row>
    <x:row r="684">
      <x:c r="A684" s="30" t="str">
        <x:v>2022</x:v>
      </x:c>
      <x:c r="B684" s="30" t="str">
        <x:v>Base game</x:v>
      </x:c>
      <x:c r="C684" s="30" t="str">
        <x:v>India</x:v>
      </x:c>
      <x:c r="D684" s="30" t="str">
        <x:v>Maldives</x:v>
      </x:c>
      <x:c r="E684" s="30" t="str">
        <x:v>Project unlock</x:v>
      </x:c>
      <x:c r="F684" s="30" t="str">
        <x:v>Greater India</x:v>
      </x:c>
      <x:c r="G684" s="30" t="str">
        <x:v>No</x:v>
      </x:c>
      <x:c r="H684" s="30" t="str">
        <x:v>Ordinary claim</x:v>
      </x:c>
      <x:c r="I684" s="31" t="n">
        <x:f>IF(G684="Yes",'Controls &amp; Summary'!$B$5,'Controls &amp; Summary'!$B$4)</x:f>
        <x:v>6</x:v>
      </x:c>
      <x:c r="J684" s="31" t="n">
        <x:v>6.91</x:v>
      </x:c>
      <x:c r="K684" s="31" t="n">
        <x:v>4</x:v>
      </x:c>
      <x:c r="L684" s="31" t="n">
        <x:f>ABS(J684-K684)</x:f>
        <x:v>2.91</x:v>
      </x:c>
      <x:c r="M684" s="31" t="n">
        <x:v>3.57</x:v>
      </x:c>
      <x:c r="N684" s="31" t="n">
        <x:v>2.93</x:v>
      </x:c>
      <x:c r="O684" s="31" t="n">
        <x:f>ABS(M684-N684)</x:f>
        <x:v>0.6399999999999997</x:v>
      </x:c>
      <x:c r="P684" s="31" t="n">
        <x:v>5.55</x:v>
      </x:c>
      <x:c r="Q684" s="31" t="n">
        <x:v>5.73</x:v>
      </x:c>
      <x:c r="R684" s="31" t="n">
        <x:f>ABS(P684-Q684)</x:f>
        <x:v>0.1800000000000006</x:v>
      </x:c>
      <x:c r="S684" s="32" t="n">
        <x:v>7326.592097722203</x:v>
      </x:c>
      <x:c r="T684" s="32" t="n">
        <x:v>18566.53620260024</x:v>
      </x:c>
      <x:c r="U684" s="31" t="n">
        <x:f>MAX(S684/T684,T684/S684)</x:f>
        <x:v>2.5341299140117917</x:v>
      </x:c>
      <x:c r="V684" s="31" t="n">
        <x:f>L684*'Controls &amp; Summary'!$B$9+O684*'Controls &amp; Summary'!$B$10+R684*'Controls &amp; Summary'!$B$11+U684*'Controls &amp; Summary'!$B$12</x:f>
        <x:v>6.264129914011792</x:v>
      </x:c>
      <x:c r="W684" s="31" t="n">
        <x:v>3</x:v>
      </x:c>
      <x:c r="X684" s="31" t="n">
        <x:v>1</x:v>
      </x:c>
      <x:c r="Y684" s="31" t="n">
        <x:f>((10-MIN(10,MAX(0,X684)))/10)*'Controls &amp; Summary'!$B$15+((10-MIN(10,MAX(0,W684)))/10)*'Controls &amp; Summary'!$B$16</x:f>
        <x:v>1.6</x:v>
      </x:c>
      <x:c r="Z684" s="31" t="n">
        <x:f>V684*Y684</x:f>
        <x:v>10.022607862418868</x:v>
      </x:c>
      <x:c r="AA684" s="30" t="str">
        <x:f>IF(Z684&lt;=I684,"Peaceful","Hostile")</x:f>
        <x:v>Hostile</x:v>
      </x:c>
      <x:c r="AB684" s="30" t="str">
        <x:f>IF(Z684&lt;='Controls &amp; Summary'!$B$6,"Eligible","Blocked")</x:f>
        <x:v>Eligible</x:v>
      </x:c>
      <x:c r="AC684" s="30" t="str">
        <x:v>IND</x:v>
      </x:c>
      <x:c r="AD684" s="30" t="str">
        <x:v>MLD</x:v>
      </x:c>
      <x:c r="AE684" s="30" t="str">
        <x:v>Maldives</x:v>
      </x:c>
      <x:c r="AF684" s="30" t="str">
        <x:v>Explicit capitalClaim</x:v>
      </x:c>
      <x:c r="AG684" s="30" t="str">
        <x:v>ClaimINDMaldives</x:v>
      </x:c>
      <x:c r="AH684" s="30" t="str">
        <x:v>Project_GreaterIndia</x:v>
      </x:c>
    </x:row>
    <x:row r="685">
      <x:c r="A685" s="30" t="str">
        <x:v>2022</x:v>
      </x:c>
      <x:c r="B685" s="30" t="str">
        <x:v>Base game</x:v>
      </x:c>
      <x:c r="C685" s="30" t="str">
        <x:v>India</x:v>
      </x:c>
      <x:c r="D685" s="30" t="str">
        <x:v>Mauritius</x:v>
      </x:c>
      <x:c r="E685" s="30" t="str">
        <x:v>Project unlock</x:v>
      </x:c>
      <x:c r="F685" s="30" t="str">
        <x:v>United Indosphere</x:v>
      </x:c>
      <x:c r="G685" s="30" t="str">
        <x:v>No</x:v>
      </x:c>
      <x:c r="H685" s="30" t="str">
        <x:v>Ordinary claim</x:v>
      </x:c>
      <x:c r="I685" s="31" t="n">
        <x:f>IF(G685="Yes",'Controls &amp; Summary'!$B$5,'Controls &amp; Summary'!$B$4)</x:f>
        <x:v>6</x:v>
      </x:c>
      <x:c r="J685" s="31" t="n">
        <x:v>6.91</x:v>
      </x:c>
      <x:c r="K685" s="31" t="n">
        <x:v>8.08</x:v>
      </x:c>
      <x:c r="L685" s="31" t="n">
        <x:f>ABS(J685-K685)</x:f>
        <x:v>1.17</x:v>
      </x:c>
      <x:c r="M685" s="31" t="n">
        <x:v>3.57</x:v>
      </x:c>
      <x:c r="N685" s="31" t="n">
        <x:v>3.68</x:v>
      </x:c>
      <x:c r="O685" s="31" t="n">
        <x:f>ABS(M685-N685)</x:f>
        <x:v>0.11000000000000032</x:v>
      </x:c>
      <x:c r="P685" s="31" t="n">
        <x:v>5.55</x:v>
      </x:c>
      <x:c r="Q685" s="31" t="n">
        <x:v>7.36</x:v>
      </x:c>
      <x:c r="R685" s="31" t="n">
        <x:f>ABS(P685-Q685)</x:f>
        <x:v>1.8100000000000005</x:v>
      </x:c>
      <x:c r="S685" s="32" t="n">
        <x:v>7326.592097722203</x:v>
      </x:c>
      <x:c r="T685" s="32" t="n">
        <x:v>21891.66318321801</x:v>
      </x:c>
      <x:c r="U685" s="31" t="n">
        <x:f>MAX(S685/T685,T685/S685)</x:f>
        <x:v>2.9879735204617175</x:v>
      </x:c>
      <x:c r="V685" s="31" t="n">
        <x:f>L685*'Controls &amp; Summary'!$B$9+O685*'Controls &amp; Summary'!$B$10+R685*'Controls &amp; Summary'!$B$11+U685*'Controls &amp; Summary'!$B$12</x:f>
        <x:v>6.077973520461718</x:v>
      </x:c>
      <x:c r="W685" s="31" t="n">
        <x:v>3</x:v>
      </x:c>
      <x:c r="X685" s="31" t="n">
        <x:v>1</x:v>
      </x:c>
      <x:c r="Y685" s="31" t="n">
        <x:f>((10-MIN(10,MAX(0,X685)))/10)*'Controls &amp; Summary'!$B$15+((10-MIN(10,MAX(0,W685)))/10)*'Controls &amp; Summary'!$B$16</x:f>
        <x:v>1.6</x:v>
      </x:c>
      <x:c r="Z685" s="31" t="n">
        <x:f>V685*Y685</x:f>
        <x:v>9.72475763273875</x:v>
      </x:c>
      <x:c r="AA685" s="30" t="str">
        <x:f>IF(Z685&lt;=I685,"Peaceful","Hostile")</x:f>
        <x:v>Hostile</x:v>
      </x:c>
      <x:c r="AB685" s="30" t="str">
        <x:f>IF(Z685&lt;='Controls &amp; Summary'!$B$6,"Eligible","Blocked")</x:f>
        <x:v>Eligible</x:v>
      </x:c>
      <x:c r="AC685" s="30" t="str">
        <x:v>IND</x:v>
      </x:c>
      <x:c r="AD685" s="30" t="str">
        <x:v>MRS</x:v>
      </x:c>
      <x:c r="AE685" s="30" t="str">
        <x:v>Mauritius</x:v>
      </x:c>
      <x:c r="AF685" s="30" t="str">
        <x:v>Explicit capitalClaim</x:v>
      </x:c>
      <x:c r="AG685" s="30" t="str">
        <x:v>ClaimINDMauritius</x:v>
      </x:c>
      <x:c r="AH685" s="30" t="str">
        <x:v>Project_UnitedIndosphere</x:v>
      </x:c>
    </x:row>
    <x:row r="686">
      <x:c r="A686" s="30" t="str">
        <x:v>2022</x:v>
      </x:c>
      <x:c r="B686" s="30" t="str">
        <x:v>Base game</x:v>
      </x:c>
      <x:c r="C686" s="30" t="str">
        <x:v>India</x:v>
      </x:c>
      <x:c r="D686" s="30" t="str">
        <x:v>Myanmar</x:v>
      </x:c>
      <x:c r="E686" s="30" t="str">
        <x:v>Project unlock</x:v>
      </x:c>
      <x:c r="F686" s="30" t="str">
        <x:v>Greater India</x:v>
      </x:c>
      <x:c r="G686" s="30" t="str">
        <x:v>No</x:v>
      </x:c>
      <x:c r="H686" s="30" t="str">
        <x:v>Ordinary claim</x:v>
      </x:c>
      <x:c r="I686" s="31" t="n">
        <x:f>IF(G686="Yes",'Controls &amp; Summary'!$B$5,'Controls &amp; Summary'!$B$4)</x:f>
        <x:v>6</x:v>
      </x:c>
      <x:c r="J686" s="31" t="n">
        <x:v>6.91</x:v>
      </x:c>
      <x:c r="K686" s="31" t="n">
        <x:v>1.02</x:v>
      </x:c>
      <x:c r="L686" s="31" t="n">
        <x:f>ABS(J686-K686)</x:f>
        <x:v>5.890000000000001</x:v>
      </x:c>
      <x:c r="M686" s="31" t="n">
        <x:v>3.57</x:v>
      </x:c>
      <x:c r="N686" s="31" t="n">
        <x:v>3.07</x:v>
      </x:c>
      <x:c r="O686" s="31" t="n">
        <x:f>ABS(M686-N686)</x:f>
        <x:v>0.5</x:v>
      </x:c>
      <x:c r="P686" s="31" t="n">
        <x:v>5.55</x:v>
      </x:c>
      <x:c r="Q686" s="31" t="n">
        <x:v>4.64</x:v>
      </x:c>
      <x:c r="R686" s="31" t="n">
        <x:f>ABS(P686-Q686)</x:f>
        <x:v>0.9100000000000001</x:v>
      </x:c>
      <x:c r="S686" s="32" t="n">
        <x:v>7326.592097722203</x:v>
      </x:c>
      <x:c r="T686" s="32" t="n">
        <x:v>4090.7238072840923</x:v>
      </x:c>
      <x:c r="U686" s="31" t="n">
        <x:f>MAX(S686/T686,T686/S686)</x:f>
        <x:v>1.791025853340723</x:v>
      </x:c>
      <x:c r="V686" s="31" t="n">
        <x:f>L686*'Controls &amp; Summary'!$B$9+O686*'Controls &amp; Summary'!$B$10+R686*'Controls &amp; Summary'!$B$11+U686*'Controls &amp; Summary'!$B$12</x:f>
        <x:v>9.091025853340724</x:v>
      </x:c>
      <x:c r="W686" s="31" t="n">
        <x:v>3</x:v>
      </x:c>
      <x:c r="X686" s="31" t="n">
        <x:v>5</x:v>
      </x:c>
      <x:c r="Y686" s="31" t="n">
        <x:f>((10-MIN(10,MAX(0,X686)))/10)*'Controls &amp; Summary'!$B$15+((10-MIN(10,MAX(0,W686)))/10)*'Controls &amp; Summary'!$B$16</x:f>
        <x:v>1.2</x:v>
      </x:c>
      <x:c r="Z686" s="31" t="n">
        <x:f>V686*Y686</x:f>
        <x:v>10.90923102400887</x:v>
      </x:c>
      <x:c r="AA686" s="30" t="str">
        <x:f>IF(Z686&lt;=I686,"Peaceful","Hostile")</x:f>
        <x:v>Hostile</x:v>
      </x:c>
      <x:c r="AB686" s="30" t="str">
        <x:f>IF(Z686&lt;='Controls &amp; Summary'!$B$6,"Eligible","Blocked")</x:f>
        <x:v>Eligible</x:v>
      </x:c>
      <x:c r="AC686" s="30" t="str">
        <x:v>IND</x:v>
      </x:c>
      <x:c r="AD686" s="30" t="str">
        <x:v>MMR</x:v>
      </x:c>
      <x:c r="AE686" s="30" t="str">
        <x:v>Myanmar</x:v>
      </x:c>
      <x:c r="AF686" s="30" t="str">
        <x:v>Explicit capitalClaim</x:v>
      </x:c>
      <x:c r="AG686" s="30" t="str">
        <x:v>ClaimINDMyanmar</x:v>
      </x:c>
      <x:c r="AH686" s="30" t="str">
        <x:v>Project_GreaterIndia</x:v>
      </x:c>
    </x:row>
    <x:row r="687">
      <x:c r="A687" s="30" t="str">
        <x:v>2022</x:v>
      </x:c>
      <x:c r="B687" s="30" t="str">
        <x:v>Base game</x:v>
      </x:c>
      <x:c r="C687" s="30" t="str">
        <x:v>India</x:v>
      </x:c>
      <x:c r="D687" s="30" t="str">
        <x:v>Nepal</x:v>
      </x:c>
      <x:c r="E687" s="30" t="str">
        <x:v>Project unlock</x:v>
      </x:c>
      <x:c r="F687" s="30" t="str">
        <x:v>Greater India</x:v>
      </x:c>
      <x:c r="G687" s="30" t="str">
        <x:v>No</x:v>
      </x:c>
      <x:c r="H687" s="30" t="str">
        <x:v>Ordinary claim</x:v>
      </x:c>
      <x:c r="I687" s="31" t="n">
        <x:f>IF(G687="Yes",'Controls &amp; Summary'!$B$5,'Controls &amp; Summary'!$B$4)</x:f>
        <x:v>6</x:v>
      </x:c>
      <x:c r="J687" s="31" t="n">
        <x:v>6.91</x:v>
      </x:c>
      <x:c r="K687" s="31" t="n">
        <x:v>4.41</x:v>
      </x:c>
      <x:c r="L687" s="31" t="n">
        <x:f>ABS(J687-K687)</x:f>
        <x:v>2.5</x:v>
      </x:c>
      <x:c r="M687" s="31" t="n">
        <x:v>3.57</x:v>
      </x:c>
      <x:c r="N687" s="31" t="n">
        <x:v>3.28</x:v>
      </x:c>
      <x:c r="O687" s="31" t="n">
        <x:f>ABS(M687-N687)</x:f>
        <x:v>0.29000000000000004</x:v>
      </x:c>
      <x:c r="P687" s="31" t="n">
        <x:v>5.55</x:v>
      </x:c>
      <x:c r="Q687" s="31" t="n">
        <x:v>5.21</x:v>
      </x:c>
      <x:c r="R687" s="31" t="n">
        <x:f>ABS(P687-Q687)</x:f>
        <x:v>0.33999999999999986</x:v>
      </x:c>
      <x:c r="S687" s="32" t="n">
        <x:v>7326.592097722203</x:v>
      </x:c>
      <x:c r="T687" s="32" t="n">
        <x:v>3999.5499782671873</x:v>
      </x:c>
      <x:c r="U687" s="31" t="n">
        <x:f>MAX(S687/T687,T687/S687)</x:f>
        <x:v>1.8318541179716583</x:v>
      </x:c>
      <x:c r="V687" s="31" t="n">
        <x:f>L687*'Controls &amp; Summary'!$B$9+O687*'Controls &amp; Summary'!$B$10+R687*'Controls &amp; Summary'!$B$11+U687*'Controls &amp; Summary'!$B$12</x:f>
        <x:v>4.961854117971658</x:v>
      </x:c>
      <x:c r="W687" s="31" t="n">
        <x:v>3</x:v>
      </x:c>
      <x:c r="X687" s="31" t="n">
        <x:v>1</x:v>
      </x:c>
      <x:c r="Y687" s="31" t="n">
        <x:f>((10-MIN(10,MAX(0,X687)))/10)*'Controls &amp; Summary'!$B$15+((10-MIN(10,MAX(0,W687)))/10)*'Controls &amp; Summary'!$B$16</x:f>
        <x:v>1.6</x:v>
      </x:c>
      <x:c r="Z687" s="31" t="n">
        <x:f>V687*Y687</x:f>
        <x:v>7.938966588754653</x:v>
      </x:c>
      <x:c r="AA687" s="30" t="str">
        <x:f>IF(Z687&lt;=I687,"Peaceful","Hostile")</x:f>
        <x:v>Hostile</x:v>
      </x:c>
      <x:c r="AB687" s="30" t="str">
        <x:f>IF(Z687&lt;='Controls &amp; Summary'!$B$6,"Eligible","Blocked")</x:f>
        <x:v>Eligible</x:v>
      </x:c>
      <x:c r="AC687" s="30" t="str">
        <x:v>IND</x:v>
      </x:c>
      <x:c r="AD687" s="30" t="str">
        <x:v>HYS</x:v>
      </x:c>
      <x:c r="AE687" s="30" t="str">
        <x:v>Himalayas</x:v>
      </x:c>
      <x:c r="AF687" s="30" t="str">
        <x:v>Explicit capitalClaim</x:v>
      </x:c>
      <x:c r="AG687" s="30" t="str">
        <x:v>ClaimINDHimalayas</x:v>
      </x:c>
      <x:c r="AH687" s="30" t="str">
        <x:v>Project_GreaterIndia</x:v>
      </x:c>
    </x:row>
    <x:row r="688">
      <x:c r="A688" s="30" t="str">
        <x:v>2022</x:v>
      </x:c>
      <x:c r="B688" s="30" t="str">
        <x:v>Base game</x:v>
      </x:c>
      <x:c r="C688" s="30" t="str">
        <x:v>India</x:v>
      </x:c>
      <x:c r="D688" s="30" t="str">
        <x:v>Pakistan</x:v>
      </x:c>
      <x:c r="E688" s="30" t="str">
        <x:v>Project unlock</x:v>
      </x:c>
      <x:c r="F688" s="30" t="str">
        <x:v>Greater India</x:v>
      </x:c>
      <x:c r="G688" s="30" t="str">
        <x:v>Yes</x:v>
      </x:c>
      <x:c r="H688" s="30" t="str">
        <x:v>Template hostileClaim</x:v>
      </x:c>
      <x:c r="I688" s="31" t="n">
        <x:f>IF(G688="Yes",'Controls &amp; Summary'!$B$5,'Controls &amp; Summary'!$B$4)</x:f>
        <x:v>3</x:v>
      </x:c>
      <x:c r="J688" s="31" t="n">
        <x:v>6.91</x:v>
      </x:c>
      <x:c r="K688" s="31" t="n">
        <x:v>4.31</x:v>
      </x:c>
      <x:c r="L688" s="31" t="n">
        <x:f>ABS(J688-K688)</x:f>
        <x:v>2.6000000000000005</x:v>
      </x:c>
      <x:c r="M688" s="31" t="n">
        <x:v>3.57</x:v>
      </x:c>
      <x:c r="N688" s="31" t="n">
        <x:v>2.96</x:v>
      </x:c>
      <x:c r="O688" s="31" t="n">
        <x:f>ABS(M688-N688)</x:f>
        <x:v>0.6099999999999999</x:v>
      </x:c>
      <x:c r="P688" s="31" t="n">
        <x:v>5.55</x:v>
      </x:c>
      <x:c r="Q688" s="31" t="n">
        <x:v>4.02</x:v>
      </x:c>
      <x:c r="R688" s="31" t="n">
        <x:f>ABS(P688-Q688)</x:f>
        <x:v>1.5300000000000002</x:v>
      </x:c>
      <x:c r="S688" s="32" t="n">
        <x:v>7326.592097722203</x:v>
      </x:c>
      <x:c r="T688" s="32" t="n">
        <x:v>5599.836737242085</x:v>
      </x:c>
      <x:c r="U688" s="31" t="n">
        <x:f>MAX(S688/T688,T688/S688)</x:f>
        <x:v>1.3083581614078525</x:v>
      </x:c>
      <x:c r="V688" s="31" t="n">
        <x:f>L688*'Controls &amp; Summary'!$B$9+O688*'Controls &amp; Summary'!$B$10+R688*'Controls &amp; Summary'!$B$11+U688*'Controls &amp; Summary'!$B$12</x:f>
        <x:v>6.048358161407853</x:v>
      </x:c>
      <x:c r="W688" s="31" t="n">
        <x:v>3</x:v>
      </x:c>
      <x:c r="X688" s="31" t="n">
        <x:v>6</x:v>
      </x:c>
      <x:c r="Y688" s="31" t="n">
        <x:f>((10-MIN(10,MAX(0,X688)))/10)*'Controls &amp; Summary'!$B$15+((10-MIN(10,MAX(0,W688)))/10)*'Controls &amp; Summary'!$B$16</x:f>
        <x:v>1.1</x:v>
      </x:c>
      <x:c r="Z688" s="31" t="n">
        <x:f>V688*Y688</x:f>
        <x:v>6.653193977548638</x:v>
      </x:c>
      <x:c r="AA688" s="30" t="str">
        <x:f>IF(Z688&lt;=I688,"Peaceful","Hostile")</x:f>
        <x:v>Hostile</x:v>
      </x:c>
      <x:c r="AB688" s="30" t="str">
        <x:f>IF(Z688&lt;='Controls &amp; Summary'!$B$6,"Eligible","Blocked")</x:f>
        <x:v>Eligible</x:v>
      </x:c>
      <x:c r="AC688" s="30" t="str">
        <x:v>IND</x:v>
      </x:c>
      <x:c r="AD688" s="30" t="str">
        <x:v>PAK</x:v>
      </x:c>
      <x:c r="AE688" s="30" t="str">
        <x:v>Punjab</x:v>
      </x:c>
      <x:c r="AF688" s="30" t="str">
        <x:v>Explicit capitalClaim</x:v>
      </x:c>
      <x:c r="AG688" s="30" t="str">
        <x:v>ClaimINDPunjab</x:v>
      </x:c>
      <x:c r="AH688" s="30" t="str">
        <x:v>Project_GreaterIndia</x:v>
      </x:c>
    </x:row>
    <x:row r="689">
      <x:c r="A689" s="30" t="str">
        <x:v>2022</x:v>
      </x:c>
      <x:c r="B689" s="30" t="str">
        <x:v>Base game</x:v>
      </x:c>
      <x:c r="C689" s="30" t="str">
        <x:v>India</x:v>
      </x:c>
      <x:c r="D689" s="30" t="str">
        <x:v>Philippines</x:v>
      </x:c>
      <x:c r="E689" s="30" t="str">
        <x:v>Project unlock</x:v>
      </x:c>
      <x:c r="F689" s="30" t="str">
        <x:v>United Indosphere</x:v>
      </x:c>
      <x:c r="G689" s="30" t="str">
        <x:v>No</x:v>
      </x:c>
      <x:c r="H689" s="30" t="str">
        <x:v>Ordinary claim</x:v>
      </x:c>
      <x:c r="I689" s="31" t="n">
        <x:f>IF(G689="Yes",'Controls &amp; Summary'!$B$5,'Controls &amp; Summary'!$B$4)</x:f>
        <x:v>6</x:v>
      </x:c>
      <x:c r="J689" s="31" t="n">
        <x:v>6.91</x:v>
      </x:c>
      <x:c r="K689" s="31" t="n">
        <x:v>6.56</x:v>
      </x:c>
      <x:c r="L689" s="31" t="n">
        <x:f>ABS(J689-K689)</x:f>
        <x:v>0.35000000000000053</x:v>
      </x:c>
      <x:c r="M689" s="31" t="n">
        <x:v>3.57</x:v>
      </x:c>
      <x:c r="N689" s="31" t="n">
        <x:v>4.23</x:v>
      </x:c>
      <x:c r="O689" s="31" t="n">
        <x:f>ABS(M689-N689)</x:f>
        <x:v>0.6600000000000006</x:v>
      </x:c>
      <x:c r="P689" s="31" t="n">
        <x:v>5.55</x:v>
      </x:c>
      <x:c r="Q689" s="31" t="n">
        <x:v>6.78</x:v>
      </x:c>
      <x:c r="R689" s="31" t="n">
        <x:f>ABS(P689-Q689)</x:f>
        <x:v>1.2300000000000004</x:v>
      </x:c>
      <x:c r="S689" s="32" t="n">
        <x:v>7326.592097722203</x:v>
      </x:c>
      <x:c r="T689" s="32" t="n">
        <x:v>8910.697299448184</x:v>
      </x:c>
      <x:c r="U689" s="31" t="n">
        <x:f>MAX(S689/T689,T689/S689)</x:f>
        <x:v>1.2162131016162985</x:v>
      </x:c>
      <x:c r="V689" s="31" t="n">
        <x:f>L689*'Controls &amp; Summary'!$B$9+O689*'Controls &amp; Summary'!$B$10+R689*'Controls &amp; Summary'!$B$11+U689*'Controls &amp; Summary'!$B$12</x:f>
        <x:v>3.4562131016163002</x:v>
      </x:c>
      <x:c r="W689" s="31" t="n">
        <x:v>3</x:v>
      </x:c>
      <x:c r="X689" s="31" t="n">
        <x:v>6</x:v>
      </x:c>
      <x:c r="Y689" s="31" t="n">
        <x:f>((10-MIN(10,MAX(0,X689)))/10)*'Controls &amp; Summary'!$B$15+((10-MIN(10,MAX(0,W689)))/10)*'Controls &amp; Summary'!$B$16</x:f>
        <x:v>1.1</x:v>
      </x:c>
      <x:c r="Z689" s="31" t="n">
        <x:f>V689*Y689</x:f>
        <x:v>3.8018344117779304</x:v>
      </x:c>
      <x:c r="AA689" s="30" t="str">
        <x:f>IF(Z689&lt;=I689,"Peaceful","Hostile")</x:f>
        <x:v>Peaceful</x:v>
      </x:c>
      <x:c r="AB689" s="30" t="str">
        <x:f>IF(Z689&lt;='Controls &amp; Summary'!$B$6,"Eligible","Blocked")</x:f>
        <x:v>Eligible</x:v>
      </x:c>
      <x:c r="AC689" s="30" t="str">
        <x:v>IND</x:v>
      </x:c>
      <x:c r="AD689" s="30" t="str">
        <x:v>PHL</x:v>
      </x:c>
      <x:c r="AE689" s="30" t="str">
        <x:v>Luzon</x:v>
      </x:c>
      <x:c r="AF689" s="30" t="str">
        <x:v>Explicit capitalClaim</x:v>
      </x:c>
      <x:c r="AG689" s="30" t="str">
        <x:v>ClaimINDLuzon</x:v>
      </x:c>
      <x:c r="AH689" s="30" t="str">
        <x:v>Project_UnitedIndosphere</x:v>
      </x:c>
    </x:row>
    <x:row r="690">
      <x:c r="A690" s="30" t="str">
        <x:v>2022</x:v>
      </x:c>
      <x:c r="B690" s="30" t="str">
        <x:v>Base game</x:v>
      </x:c>
      <x:c r="C690" s="30" t="str">
        <x:v>India</x:v>
      </x:c>
      <x:c r="D690" s="30" t="str">
        <x:v>Singapore</x:v>
      </x:c>
      <x:c r="E690" s="30" t="str">
        <x:v>Project unlock</x:v>
      </x:c>
      <x:c r="F690" s="30" t="str">
        <x:v>United Indosphere</x:v>
      </x:c>
      <x:c r="G690" s="30" t="str">
        <x:v>No</x:v>
      </x:c>
      <x:c r="H690" s="30" t="str">
        <x:v>Ordinary claim</x:v>
      </x:c>
      <x:c r="I690" s="31" t="n">
        <x:f>IF(G690="Yes",'Controls &amp; Summary'!$B$5,'Controls &amp; Summary'!$B$4)</x:f>
        <x:v>6</x:v>
      </x:c>
      <x:c r="J690" s="31" t="n">
        <x:v>6.91</x:v>
      </x:c>
      <x:c r="K690" s="31" t="n">
        <x:v>6.23</x:v>
      </x:c>
      <x:c r="L690" s="31" t="n">
        <x:f>ABS(J690-K690)</x:f>
        <x:v>0.6799999999999997</x:v>
      </x:c>
      <x:c r="M690" s="31" t="n">
        <x:v>3.57</x:v>
      </x:c>
      <x:c r="N690" s="31" t="n">
        <x:v>3.5</x:v>
      </x:c>
      <x:c r="O690" s="31" t="n">
        <x:f>ABS(M690-N690)</x:f>
        <x:v>0.06999999999999984</x:v>
      </x:c>
      <x:c r="P690" s="31" t="n">
        <x:v>5.55</x:v>
      </x:c>
      <x:c r="Q690" s="31" t="n">
        <x:v>8.44</x:v>
      </x:c>
      <x:c r="R690" s="31" t="n">
        <x:f>ABS(P690-Q690)</x:f>
        <x:v>2.8899999999999997</x:v>
      </x:c>
      <x:c r="S690" s="32" t="n">
        <x:v>7326.592097722203</x:v>
      </x:c>
      <x:c r="T690" s="32" t="n">
        <x:v>103659.07827486754</x:v>
      </x:c>
      <x:c r="U690" s="31" t="n">
        <x:f>MAX(S690/T690,T690/S690)</x:f>
        <x:v>14.148334845486291</x:v>
      </x:c>
      <x:c r="V690" s="31" t="n">
        <x:f>L690*'Controls &amp; Summary'!$B$9+O690*'Controls &amp; Summary'!$B$10+R690*'Controls &amp; Summary'!$B$11+U690*'Controls &amp; Summary'!$B$12</x:f>
        <x:v>17.78833484548629</x:v>
      </x:c>
      <x:c r="W690" s="31" t="n">
        <x:v>3</x:v>
      </x:c>
      <x:c r="X690" s="31" t="n">
        <x:v>0</x:v>
      </x:c>
      <x:c r="Y690" s="31" t="n">
        <x:f>((10-MIN(10,MAX(0,X690)))/10)*'Controls &amp; Summary'!$B$15+((10-MIN(10,MAX(0,W690)))/10)*'Controls &amp; Summary'!$B$16</x:f>
        <x:v>1.7</x:v>
      </x:c>
      <x:c r="Z690" s="31" t="n">
        <x:f>V690*Y690</x:f>
        <x:v>30.240169237326693</x:v>
      </x:c>
      <x:c r="AA690" s="30" t="str">
        <x:f>IF(Z690&lt;=I690,"Peaceful","Hostile")</x:f>
        <x:v>Hostile</x:v>
      </x:c>
      <x:c r="AB690" s="30" t="str">
        <x:f>IF(Z690&lt;='Controls &amp; Summary'!$B$6,"Eligible","Blocked")</x:f>
        <x:v>Blocked</x:v>
      </x:c>
      <x:c r="AC690" s="30" t="str">
        <x:v>IND</x:v>
      </x:c>
      <x:c r="AD690" s="30" t="str">
        <x:v>SGP</x:v>
      </x:c>
      <x:c r="AE690" s="30" t="str">
        <x:v>Singapore</x:v>
      </x:c>
      <x:c r="AF690" s="30" t="str">
        <x:v>Explicit capitalClaim</x:v>
      </x:c>
      <x:c r="AG690" s="30" t="str">
        <x:v>ClaimINDSingapore</x:v>
      </x:c>
      <x:c r="AH690" s="30" t="str">
        <x:v>Project_UnitedIndosphere</x:v>
      </x:c>
    </x:row>
    <x:row r="691">
      <x:c r="A691" s="30" t="str">
        <x:v>2022</x:v>
      </x:c>
      <x:c r="B691" s="30" t="str">
        <x:v>Base game</x:v>
      </x:c>
      <x:c r="C691" s="30" t="str">
        <x:v>India</x:v>
      </x:c>
      <x:c r="D691" s="30" t="str">
        <x:v>Sri Lanka</x:v>
      </x:c>
      <x:c r="E691" s="30" t="str">
        <x:v>Project unlock</x:v>
      </x:c>
      <x:c r="F691" s="30" t="str">
        <x:v>Greater India</x:v>
      </x:c>
      <x:c r="G691" s="30" t="str">
        <x:v>No</x:v>
      </x:c>
      <x:c r="H691" s="30" t="str">
        <x:v>Ordinary claim</x:v>
      </x:c>
      <x:c r="I691" s="31" t="n">
        <x:f>IF(G691="Yes",'Controls &amp; Summary'!$B$5,'Controls &amp; Summary'!$B$4)</x:f>
        <x:v>6</x:v>
      </x:c>
      <x:c r="J691" s="31" t="n">
        <x:v>6.91</x:v>
      </x:c>
      <x:c r="K691" s="31" t="n">
        <x:v>6.14</x:v>
      </x:c>
      <x:c r="L691" s="31" t="n">
        <x:f>ABS(J691-K691)</x:f>
        <x:v>0.7700000000000005</x:v>
      </x:c>
      <x:c r="M691" s="31" t="n">
        <x:v>3.57</x:v>
      </x:c>
      <x:c r="N691" s="31" t="n">
        <x:v>3.93</x:v>
      </x:c>
      <x:c r="O691" s="31" t="n">
        <x:f>ABS(M691-N691)</x:f>
        <x:v>0.3600000000000003</x:v>
      </x:c>
      <x:c r="P691" s="31" t="n">
        <x:v>5.55</x:v>
      </x:c>
      <x:c r="Q691" s="31" t="n">
        <x:v>7.46</x:v>
      </x:c>
      <x:c r="R691" s="31" t="n">
        <x:f>ABS(P691-Q691)</x:f>
        <x:v>1.9100000000000001</x:v>
      </x:c>
      <x:c r="S691" s="32" t="n">
        <x:v>7326.592097722203</x:v>
      </x:c>
      <x:c r="T691" s="32" t="n">
        <x:v>13784.96888434031</x:v>
      </x:c>
      <x:c r="U691" s="31" t="n">
        <x:f>MAX(S691/T691,T691/S691)</x:f>
        <x:v>1.8814980690171055</x:v>
      </x:c>
      <x:c r="V691" s="31" t="n">
        <x:f>L691*'Controls &amp; Summary'!$B$9+O691*'Controls &amp; Summary'!$B$10+R691*'Controls &amp; Summary'!$B$11+U691*'Controls &amp; Summary'!$B$12</x:f>
        <x:v>4.921498069017106</x:v>
      </x:c>
      <x:c r="W691" s="31" t="n">
        <x:v>3</x:v>
      </x:c>
      <x:c r="X691" s="31" t="n">
        <x:v>3</x:v>
      </x:c>
      <x:c r="Y691" s="31" t="n">
        <x:f>((10-MIN(10,MAX(0,X691)))/10)*'Controls &amp; Summary'!$B$15+((10-MIN(10,MAX(0,W691)))/10)*'Controls &amp; Summary'!$B$16</x:f>
        <x:v>1.4</x:v>
      </x:c>
      <x:c r="Z691" s="31" t="n">
        <x:f>V691*Y691</x:f>
        <x:v>6.890097296623948</x:v>
      </x:c>
      <x:c r="AA691" s="30" t="str">
        <x:f>IF(Z691&lt;=I691,"Peaceful","Hostile")</x:f>
        <x:v>Hostile</x:v>
      </x:c>
      <x:c r="AB691" s="30" t="str">
        <x:f>IF(Z691&lt;='Controls &amp; Summary'!$B$6,"Eligible","Blocked")</x:f>
        <x:v>Eligible</x:v>
      </x:c>
      <x:c r="AC691" s="30" t="str">
        <x:v>IND</x:v>
      </x:c>
      <x:c r="AD691" s="30" t="str">
        <x:v>LKA</x:v>
      </x:c>
      <x:c r="AE691" s="30" t="str">
        <x:v>SriLanka</x:v>
      </x:c>
      <x:c r="AF691" s="30" t="str">
        <x:v>Explicit capitalClaim</x:v>
      </x:c>
      <x:c r="AG691" s="30" t="str">
        <x:v>ClaimINDSriLanka</x:v>
      </x:c>
      <x:c r="AH691" s="30" t="str">
        <x:v>Project_GreaterIndia</x:v>
      </x:c>
    </x:row>
    <x:row r="692">
      <x:c r="A692" s="30" t="str">
        <x:v>2022</x:v>
      </x:c>
      <x:c r="B692" s="30" t="str">
        <x:v>Base game</x:v>
      </x:c>
      <x:c r="C692" s="30" t="str">
        <x:v>India</x:v>
      </x:c>
      <x:c r="D692" s="30" t="str">
        <x:v>Suriname</x:v>
      </x:c>
      <x:c r="E692" s="30" t="str">
        <x:v>Project unlock</x:v>
      </x:c>
      <x:c r="F692" s="30" t="str">
        <x:v>United Indosphere</x:v>
      </x:c>
      <x:c r="G692" s="30" t="str">
        <x:v>No</x:v>
      </x:c>
      <x:c r="H692" s="30" t="str">
        <x:v>Ordinary claim</x:v>
      </x:c>
      <x:c r="I692" s="31" t="n">
        <x:f>IF(G692="Yes",'Controls &amp; Summary'!$B$5,'Controls &amp; Summary'!$B$4)</x:f>
        <x:v>6</x:v>
      </x:c>
      <x:c r="J692" s="31" t="n">
        <x:v>6.91</x:v>
      </x:c>
      <x:c r="K692" s="31" t="n">
        <x:v>6.82</x:v>
      </x:c>
      <x:c r="L692" s="31" t="n">
        <x:f>ABS(J692-K692)</x:f>
        <x:v>0.08999999999999986</x:v>
      </x:c>
      <x:c r="M692" s="31" t="n">
        <x:v>3.57</x:v>
      </x:c>
      <x:c r="N692" s="31" t="n">
        <x:v>5.79</x:v>
      </x:c>
      <x:c r="O692" s="31" t="n">
        <x:f>ABS(M692-N692)</x:f>
        <x:v>2.22</x:v>
      </x:c>
      <x:c r="P692" s="31" t="n">
        <x:v>5.55</x:v>
      </x:c>
      <x:c r="Q692" s="31" t="n">
        <x:v>6.75</x:v>
      </x:c>
      <x:c r="R692" s="31" t="n">
        <x:f>ABS(P692-Q692)</x:f>
        <x:v>1.2000000000000002</x:v>
      </x:c>
      <x:c r="S692" s="32" t="n">
        <x:v>7326.592097722203</x:v>
      </x:c>
      <x:c r="T692" s="32" t="n">
        <x:v>15700.892095820684</x:v>
      </x:c>
      <x:c r="U692" s="31" t="n">
        <x:f>MAX(S692/T692,T692/S692)</x:f>
        <x:v>2.1430007138928895</x:v>
      </x:c>
      <x:c r="V692" s="31" t="n">
        <x:f>L692*'Controls &amp; Summary'!$B$9+O692*'Controls &amp; Summary'!$B$10+R692*'Controls &amp; Summary'!$B$11+U692*'Controls &amp; Summary'!$B$12</x:f>
        <x:v>5.65300071389289</x:v>
      </x:c>
      <x:c r="W692" s="31" t="n">
        <x:v>3</x:v>
      </x:c>
      <x:c r="X692" s="31" t="n">
        <x:v>1</x:v>
      </x:c>
      <x:c r="Y692" s="31" t="n">
        <x:f>((10-MIN(10,MAX(0,X692)))/10)*'Controls &amp; Summary'!$B$15+((10-MIN(10,MAX(0,W692)))/10)*'Controls &amp; Summary'!$B$16</x:f>
        <x:v>1.6</x:v>
      </x:c>
      <x:c r="Z692" s="31" t="n">
        <x:f>V692*Y692</x:f>
        <x:v>9.044801142228625</x:v>
      </x:c>
      <x:c r="AA692" s="30" t="str">
        <x:f>IF(Z692&lt;=I692,"Peaceful","Hostile")</x:f>
        <x:v>Hostile</x:v>
      </x:c>
      <x:c r="AB692" s="30" t="str">
        <x:f>IF(Z692&lt;='Controls &amp; Summary'!$B$6,"Eligible","Blocked")</x:f>
        <x:v>Eligible</x:v>
      </x:c>
      <x:c r="AC692" s="30" t="str">
        <x:v>IND</x:v>
      </x:c>
      <x:c r="AD692" s="30" t="str">
        <x:v>SUR</x:v>
      </x:c>
      <x:c r="AE692" s="30" t="str">
        <x:v>Suriname</x:v>
      </x:c>
      <x:c r="AF692" s="30" t="str">
        <x:v>Explicit capitalClaim</x:v>
      </x:c>
      <x:c r="AG692" s="30" t="str">
        <x:v>ClaimINDSuriname</x:v>
      </x:c>
      <x:c r="AH692" s="30" t="str">
        <x:v>Project_UnitedIndosphere</x:v>
      </x:c>
    </x:row>
    <x:row r="693">
      <x:c r="A693" s="30" t="str">
        <x:v>2022</x:v>
      </x:c>
      <x:c r="B693" s="30" t="str">
        <x:v>Base game</x:v>
      </x:c>
      <x:c r="C693" s="30" t="str">
        <x:v>India</x:v>
      </x:c>
      <x:c r="D693" s="30" t="str">
        <x:v>Thailand</x:v>
      </x:c>
      <x:c r="E693" s="30" t="str">
        <x:v>Project unlock</x:v>
      </x:c>
      <x:c r="F693" s="30" t="str">
        <x:v>United Indosphere</x:v>
      </x:c>
      <x:c r="G693" s="30" t="str">
        <x:v>No</x:v>
      </x:c>
      <x:c r="H693" s="30" t="str">
        <x:v>Ordinary claim</x:v>
      </x:c>
      <x:c r="I693" s="31" t="n">
        <x:f>IF(G693="Yes",'Controls &amp; Summary'!$B$5,'Controls &amp; Summary'!$B$4)</x:f>
        <x:v>6</x:v>
      </x:c>
      <x:c r="J693" s="31" t="n">
        <x:v>6.91</x:v>
      </x:c>
      <x:c r="K693" s="31" t="n">
        <x:v>6.04</x:v>
      </x:c>
      <x:c r="L693" s="31" t="n">
        <x:f>ABS(J693-K693)</x:f>
        <x:v>0.8700000000000001</x:v>
      </x:c>
      <x:c r="M693" s="31" t="n">
        <x:v>3.57</x:v>
      </x:c>
      <x:c r="N693" s="31" t="n">
        <x:v>3.5</x:v>
      </x:c>
      <x:c r="O693" s="31" t="n">
        <x:f>ABS(M693-N693)</x:f>
        <x:v>0.06999999999999984</x:v>
      </x:c>
      <x:c r="P693" s="31" t="n">
        <x:v>5.55</x:v>
      </x:c>
      <x:c r="Q693" s="31" t="n">
        <x:v>6.82</x:v>
      </x:c>
      <x:c r="R693" s="31" t="n">
        <x:f>ABS(P693-Q693)</x:f>
        <x:v>1.2700000000000005</x:v>
      </x:c>
      <x:c r="S693" s="32" t="n">
        <x:v>7326.592097722203</x:v>
      </x:c>
      <x:c r="T693" s="32" t="n">
        <x:v>18520.345410348644</x:v>
      </x:c>
      <x:c r="U693" s="31" t="n">
        <x:f>MAX(S693/T693,T693/S693)</x:f>
        <x:v>2.5278253741062664</x:v>
      </x:c>
      <x:c r="V693" s="31" t="n">
        <x:f>L693*'Controls &amp; Summary'!$B$9+O693*'Controls &amp; Summary'!$B$10+R693*'Controls &amp; Summary'!$B$11+U693*'Controls &amp; Summary'!$B$12</x:f>
        <x:v>4.737825374106267</x:v>
      </x:c>
      <x:c r="W693" s="31" t="n">
        <x:v>3</x:v>
      </x:c>
      <x:c r="X693" s="31" t="n">
        <x:v>3</x:v>
      </x:c>
      <x:c r="Y693" s="31" t="n">
        <x:f>((10-MIN(10,MAX(0,X693)))/10)*'Controls &amp; Summary'!$B$15+((10-MIN(10,MAX(0,W693)))/10)*'Controls &amp; Summary'!$B$16</x:f>
        <x:v>1.4</x:v>
      </x:c>
      <x:c r="Z693" s="31" t="n">
        <x:f>V693*Y693</x:f>
        <x:v>6.632955523748773</x:v>
      </x:c>
      <x:c r="AA693" s="30" t="str">
        <x:f>IF(Z693&lt;=I693,"Peaceful","Hostile")</x:f>
        <x:v>Hostile</x:v>
      </x:c>
      <x:c r="AB693" s="30" t="str">
        <x:f>IF(Z693&lt;='Controls &amp; Summary'!$B$6,"Eligible","Blocked")</x:f>
        <x:v>Eligible</x:v>
      </x:c>
      <x:c r="AC693" s="30" t="str">
        <x:v>IND</x:v>
      </x:c>
      <x:c r="AD693" s="30" t="str">
        <x:v>THA</x:v>
      </x:c>
      <x:c r="AE693" s="30" t="str">
        <x:v>Bangkok</x:v>
      </x:c>
      <x:c r="AF693" s="30" t="str">
        <x:v>Explicit capitalClaim</x:v>
      </x:c>
      <x:c r="AG693" s="30" t="str">
        <x:v>ClaimINDBangkok</x:v>
      </x:c>
      <x:c r="AH693" s="30" t="str">
        <x:v>Project_UnitedIndosphere</x:v>
      </x:c>
    </x:row>
    <x:row r="694">
      <x:c r="A694" s="30" t="str">
        <x:v>2022</x:v>
      </x:c>
      <x:c r="B694" s="30" t="str">
        <x:v>Base game</x:v>
      </x:c>
      <x:c r="C694" s="30" t="str">
        <x:v>India</x:v>
      </x:c>
      <x:c r="D694" s="30" t="str">
        <x:v>Vietnam</x:v>
      </x:c>
      <x:c r="E694" s="30" t="str">
        <x:v>Project unlock</x:v>
      </x:c>
      <x:c r="F694" s="30" t="str">
        <x:v>United Indosphere</x:v>
      </x:c>
      <x:c r="G694" s="30" t="str">
        <x:v>No</x:v>
      </x:c>
      <x:c r="H694" s="30" t="str">
        <x:v>Ordinary claim</x:v>
      </x:c>
      <x:c r="I694" s="31" t="n">
        <x:f>IF(G694="Yes",'Controls &amp; Summary'!$B$5,'Controls &amp; Summary'!$B$4)</x:f>
        <x:v>6</x:v>
      </x:c>
      <x:c r="J694" s="31" t="n">
        <x:v>6.91</x:v>
      </x:c>
      <x:c r="K694" s="31" t="n">
        <x:v>2.94</x:v>
      </x:c>
      <x:c r="L694" s="31" t="n">
        <x:f>ABS(J694-K694)</x:f>
        <x:v>3.97</x:v>
      </x:c>
      <x:c r="M694" s="31" t="n">
        <x:v>3.57</x:v>
      </x:c>
      <x:c r="N694" s="31" t="n">
        <x:v>3.57</x:v>
      </x:c>
      <x:c r="O694" s="31" t="n">
        <x:f>ABS(M694-N694)</x:f>
        <x:v>0</x:v>
      </x:c>
      <x:c r="P694" s="31" t="n">
        <x:v>5.55</x:v>
      </x:c>
      <x:c r="Q694" s="31" t="n">
        <x:v>6.3</x:v>
      </x:c>
      <x:c r="R694" s="31" t="n">
        <x:f>ABS(P694-Q694)</x:f>
        <x:v>0.75</x:v>
      </x:c>
      <x:c r="S694" s="32" t="n">
        <x:v>7326.592097722203</x:v>
      </x:c>
      <x:c r="T694" s="32" t="n">
        <x:v>11338.234646401552</x:v>
      </x:c>
      <x:c r="U694" s="31" t="n">
        <x:f>MAX(S694/T694,T694/S694)</x:f>
        <x:v>1.5475455020795474</x:v>
      </x:c>
      <x:c r="V694" s="31" t="n">
        <x:f>L694*'Controls &amp; Summary'!$B$9+O694*'Controls &amp; Summary'!$B$10+R694*'Controls &amp; Summary'!$B$11+U694*'Controls &amp; Summary'!$B$12</x:f>
        <x:v>6.267545502079548</x:v>
      </x:c>
      <x:c r="W694" s="31" t="n">
        <x:v>3</x:v>
      </x:c>
      <x:c r="X694" s="31" t="n">
        <x:v>0</x:v>
      </x:c>
      <x:c r="Y694" s="31" t="n">
        <x:f>((10-MIN(10,MAX(0,X694)))/10)*'Controls &amp; Summary'!$B$15+((10-MIN(10,MAX(0,W694)))/10)*'Controls &amp; Summary'!$B$16</x:f>
        <x:v>1.7</x:v>
      </x:c>
      <x:c r="Z694" s="31" t="n">
        <x:f>V694*Y694</x:f>
        <x:v>10.65482735353523</x:v>
      </x:c>
      <x:c r="AA694" s="30" t="str">
        <x:f>IF(Z694&lt;=I694,"Peaceful","Hostile")</x:f>
        <x:v>Hostile</x:v>
      </x:c>
      <x:c r="AB694" s="30" t="str">
        <x:f>IF(Z694&lt;='Controls &amp; Summary'!$B$6,"Eligible","Blocked")</x:f>
        <x:v>Eligible</x:v>
      </x:c>
      <x:c r="AC694" s="30" t="str">
        <x:v>IND</x:v>
      </x:c>
      <x:c r="AD694" s="30" t="str">
        <x:v>VNM</x:v>
      </x:c>
      <x:c r="AE694" s="30" t="str">
        <x:v>Hanoi</x:v>
      </x:c>
      <x:c r="AF694" s="30" t="str">
        <x:v>Explicit capitalClaim</x:v>
      </x:c>
      <x:c r="AG694" s="30" t="str">
        <x:v>ClaimINDHanoi</x:v>
      </x:c>
      <x:c r="AH694" s="30" t="str">
        <x:v>Project_UnitedIndosphere</x:v>
      </x:c>
    </x:row>
    <x:row r="695">
      <x:c r="A695" s="30" t="str">
        <x:v>2022</x:v>
      </x:c>
      <x:c r="B695" s="30" t="str">
        <x:v>Base game</x:v>
      </x:c>
      <x:c r="C695" s="30" t="str">
        <x:v>Indonesia</x:v>
      </x:c>
      <x:c r="D695" s="30" t="str">
        <x:v>Brunei</x:v>
      </x:c>
      <x:c r="E695" s="30" t="str">
        <x:v>Project unlock</x:v>
      </x:c>
      <x:c r="F695" s="30" t="str">
        <x:v>Greater Indonesia</x:v>
      </x:c>
      <x:c r="G695" s="30" t="str">
        <x:v>No</x:v>
      </x:c>
      <x:c r="H695" s="30" t="str">
        <x:v>Ordinary claim</x:v>
      </x:c>
      <x:c r="I695" s="31" t="n">
        <x:f>IF(G695="Yes",'Controls &amp; Summary'!$B$5,'Controls &amp; Summary'!$B$4)</x:f>
        <x:v>6</x:v>
      </x:c>
      <x:c r="J695" s="31" t="n">
        <x:v>6.71</x:v>
      </x:c>
      <x:c r="K695" s="31" t="n">
        <x:v>2.8</x:v>
      </x:c>
      <x:c r="L695" s="31" t="n">
        <x:f>ABS(J695-K695)</x:f>
        <x:v>3.91</x:v>
      </x:c>
      <x:c r="M695" s="31" t="n">
        <x:v>3.7</x:v>
      </x:c>
      <x:c r="N695" s="31" t="n">
        <x:v>4.07</x:v>
      </x:c>
      <x:c r="O695" s="31" t="n">
        <x:f>ABS(M695-N695)</x:f>
        <x:v>0.3700000000000001</x:v>
      </x:c>
      <x:c r="P695" s="31" t="n">
        <x:v>6.5</x:v>
      </x:c>
      <x:c r="Q695" s="31" t="n">
        <x:v>7.02</x:v>
      </x:c>
      <x:c r="R695" s="31" t="n">
        <x:f>ABS(P695-Q695)</x:f>
        <x:v>0.5199999999999996</x:v>
      </x:c>
      <x:c r="S695" s="32" t="n">
        <x:v>12557.55400997715</x:v>
      </x:c>
      <x:c r="T695" s="32" t="n">
        <x:v>74761.98153150185</x:v>
      </x:c>
      <x:c r="U695" s="31" t="n">
        <x:f>MAX(S695/T695,T695/S695)</x:f>
        <x:v>5.953546484618137</x:v>
      </x:c>
      <x:c r="V695" s="31" t="n">
        <x:f>L695*'Controls &amp; Summary'!$B$9+O695*'Controls &amp; Summary'!$B$10+R695*'Controls &amp; Summary'!$B$11+U695*'Controls &amp; Summary'!$B$12</x:f>
        <x:v>10.753546484618138</x:v>
      </x:c>
      <x:c r="W695" s="31" t="n">
        <x:v>4</x:v>
      </x:c>
      <x:c r="X695" s="31" t="n">
        <x:v>0</x:v>
      </x:c>
      <x:c r="Y695" s="31" t="n">
        <x:f>((10-MIN(10,MAX(0,X695)))/10)*'Controls &amp; Summary'!$B$15+((10-MIN(10,MAX(0,W695)))/10)*'Controls &amp; Summary'!$B$16</x:f>
        <x:v>1.6</x:v>
      </x:c>
      <x:c r="Z695" s="31" t="n">
        <x:f>V695*Y695</x:f>
        <x:v>17.20567437538902</x:v>
      </x:c>
      <x:c r="AA695" s="30" t="str">
        <x:f>IF(Z695&lt;=I695,"Peaceful","Hostile")</x:f>
        <x:v>Hostile</x:v>
      </x:c>
      <x:c r="AB695" s="30" t="str">
        <x:f>IF(Z695&lt;='Controls &amp; Summary'!$B$6,"Eligible","Blocked")</x:f>
        <x:v>Blocked</x:v>
      </x:c>
      <x:c r="AC695" s="30" t="str">
        <x:v>IDN</x:v>
      </x:c>
      <x:c r="AD695" s="30" t="str">
        <x:v>BRU</x:v>
      </x:c>
      <x:c r="AE695" s="30" t="str">
        <x:v>Brunei</x:v>
      </x:c>
      <x:c r="AF695" s="30" t="str">
        <x:v>Explicit capitalClaim</x:v>
      </x:c>
      <x:c r="AG695" s="30" t="str">
        <x:v>ClaimIDNBrunei</x:v>
      </x:c>
      <x:c r="AH695" s="30" t="str">
        <x:v>Project_GreaterIndonesia</x:v>
      </x:c>
    </x:row>
    <x:row r="696">
      <x:c r="A696" s="30" t="str">
        <x:v>2022</x:v>
      </x:c>
      <x:c r="B696" s="30" t="str">
        <x:v>Base game</x:v>
      </x:c>
      <x:c r="C696" s="30" t="str">
        <x:v>Indonesia</x:v>
      </x:c>
      <x:c r="D696" s="30" t="str">
        <x:v>Madagascar</x:v>
      </x:c>
      <x:c r="E696" s="30" t="str">
        <x:v>Project unlock</x:v>
      </x:c>
      <x:c r="F696" s="30" t="str">
        <x:v>Greater Austronesia</x:v>
      </x:c>
      <x:c r="G696" s="30" t="str">
        <x:v>No</x:v>
      </x:c>
      <x:c r="H696" s="30" t="str">
        <x:v>Ordinary claim</x:v>
      </x:c>
      <x:c r="I696" s="31" t="n">
        <x:f>IF(G696="Yes",'Controls &amp; Summary'!$B$5,'Controls &amp; Summary'!$B$4)</x:f>
        <x:v>6</x:v>
      </x:c>
      <x:c r="J696" s="31" t="n">
        <x:v>6.71</x:v>
      </x:c>
      <x:c r="K696" s="31" t="n">
        <x:v>5.7</x:v>
      </x:c>
      <x:c r="L696" s="31" t="n">
        <x:f>ABS(J696-K696)</x:f>
        <x:v>1.0099999999999998</x:v>
      </x:c>
      <x:c r="M696" s="31" t="n">
        <x:v>3.7</x:v>
      </x:c>
      <x:c r="N696" s="31" t="n">
        <x:v>4.26</x:v>
      </x:c>
      <x:c r="O696" s="31" t="n">
        <x:f>ABS(M696-N696)</x:f>
        <x:v>0.5599999999999996</x:v>
      </x:c>
      <x:c r="P696" s="31" t="n">
        <x:v>6.5</x:v>
      </x:c>
      <x:c r="Q696" s="31" t="n">
        <x:v>4.86</x:v>
      </x:c>
      <x:c r="R696" s="31" t="n">
        <x:f>ABS(P696-Q696)</x:f>
        <x:v>1.6399999999999997</x:v>
      </x:c>
      <x:c r="S696" s="32" t="n">
        <x:v>12557.55400997715</x:v>
      </x:c>
      <x:c r="T696" s="32" t="n">
        <x:v>1541.3297600266988</x:v>
      </x:c>
      <x:c r="U696" s="31" t="n">
        <x:f>MAX(S696/T696,T696/S696)</x:f>
        <x:v>8.14722088397205</x:v>
      </x:c>
      <x:c r="V696" s="31" t="n">
        <x:f>L696*'Controls &amp; Summary'!$B$9+O696*'Controls &amp; Summary'!$B$10+R696*'Controls &amp; Summary'!$B$11+U696*'Controls &amp; Summary'!$B$12</x:f>
        <x:v>11.35722088397205</x:v>
      </x:c>
      <x:c r="W696" s="31" t="n">
        <x:v>4</x:v>
      </x:c>
      <x:c r="X696" s="31" t="n">
        <x:v>2</x:v>
      </x:c>
      <x:c r="Y696" s="31" t="n">
        <x:f>((10-MIN(10,MAX(0,X696)))/10)*'Controls &amp; Summary'!$B$15+((10-MIN(10,MAX(0,W696)))/10)*'Controls &amp; Summary'!$B$16</x:f>
        <x:v>1.4</x:v>
      </x:c>
      <x:c r="Z696" s="31" t="n">
        <x:f>V696*Y696</x:f>
        <x:v>15.900109237560867</x:v>
      </x:c>
      <x:c r="AA696" s="30" t="str">
        <x:f>IF(Z696&lt;=I696,"Peaceful","Hostile")</x:f>
        <x:v>Hostile</x:v>
      </x:c>
      <x:c r="AB696" s="30" t="str">
        <x:f>IF(Z696&lt;='Controls &amp; Summary'!$B$6,"Eligible","Blocked")</x:f>
        <x:v>Blocked</x:v>
      </x:c>
      <x:c r="AC696" s="30" t="str">
        <x:v>IDN</x:v>
      </x:c>
      <x:c r="AD696" s="30" t="str">
        <x:v>MDG</x:v>
      </x:c>
      <x:c r="AE696" s="30" t="str">
        <x:v>Madagascar</x:v>
      </x:c>
      <x:c r="AF696" s="30" t="str">
        <x:v>Explicit capitalClaim</x:v>
      </x:c>
      <x:c r="AG696" s="30" t="str">
        <x:v>ClaimIDNMadagascar</x:v>
      </x:c>
      <x:c r="AH696" s="30" t="str">
        <x:v>Project_GreaterAustronesia</x:v>
      </x:c>
    </x:row>
    <x:row r="697">
      <x:c r="A697" s="30" t="str">
        <x:v>2022</x:v>
      </x:c>
      <x:c r="B697" s="30" t="str">
        <x:v>Base game</x:v>
      </x:c>
      <x:c r="C697" s="30" t="str">
        <x:v>Indonesia</x:v>
      </x:c>
      <x:c r="D697" s="30" t="str">
        <x:v>Malaysia</x:v>
      </x:c>
      <x:c r="E697" s="30" t="str">
        <x:v>Project unlock</x:v>
      </x:c>
      <x:c r="F697" s="30" t="str">
        <x:v>Greater Indonesia</x:v>
      </x:c>
      <x:c r="G697" s="30" t="str">
        <x:v>No</x:v>
      </x:c>
      <x:c r="H697" s="30" t="str">
        <x:v>Ordinary claim</x:v>
      </x:c>
      <x:c r="I697" s="31" t="n">
        <x:f>IF(G697="Yes",'Controls &amp; Summary'!$B$5,'Controls &amp; Summary'!$B$4)</x:f>
        <x:v>6</x:v>
      </x:c>
      <x:c r="J697" s="31" t="n">
        <x:v>6.71</x:v>
      </x:c>
      <x:c r="K697" s="31" t="n">
        <x:v>7.24</x:v>
      </x:c>
      <x:c r="L697" s="31" t="n">
        <x:f>ABS(J697-K697)</x:f>
        <x:v>0.5300000000000002</x:v>
      </x:c>
      <x:c r="M697" s="31" t="n">
        <x:v>3.7</x:v>
      </x:c>
      <x:c r="N697" s="31" t="n">
        <x:v>4.11</x:v>
      </x:c>
      <x:c r="O697" s="31" t="n">
        <x:f>ABS(M697-N697)</x:f>
        <x:v>0.41000000000000014</x:v>
      </x:c>
      <x:c r="P697" s="31" t="n">
        <x:v>6.5</x:v>
      </x:c>
      <x:c r="Q697" s="31" t="n">
        <x:v>7.26</x:v>
      </x:c>
      <x:c r="R697" s="31" t="n">
        <x:f>ABS(P697-Q697)</x:f>
        <x:v>0.7599999999999998</x:v>
      </x:c>
      <x:c r="S697" s="32" t="n">
        <x:v>12557.55400997715</x:v>
      </x:c>
      <x:c r="T697" s="32" t="n">
        <x:v>28784.60931677783</x:v>
      </x:c>
      <x:c r="U697" s="31" t="n">
        <x:f>MAX(S697/T697,T697/S697)</x:f>
        <x:v>2.2922146537381454</x:v>
      </x:c>
      <x:c r="V697" s="31" t="n">
        <x:f>L697*'Controls &amp; Summary'!$B$9+O697*'Controls &amp; Summary'!$B$10+R697*'Controls &amp; Summary'!$B$11+U697*'Controls &amp; Summary'!$B$12</x:f>
        <x:v>3.9922146537381455</x:v>
      </x:c>
      <x:c r="W697" s="31" t="n">
        <x:v>4</x:v>
      </x:c>
      <x:c r="X697" s="31" t="n">
        <x:v>1</x:v>
      </x:c>
      <x:c r="Y697" s="31" t="n">
        <x:f>((10-MIN(10,MAX(0,X697)))/10)*'Controls &amp; Summary'!$B$15+((10-MIN(10,MAX(0,W697)))/10)*'Controls &amp; Summary'!$B$16</x:f>
        <x:v>1.5</x:v>
      </x:c>
      <x:c r="Z697" s="31" t="n">
        <x:f>V697*Y697</x:f>
        <x:v>5.9883219806072185</x:v>
      </x:c>
      <x:c r="AA697" s="30" t="str">
        <x:f>IF(Z697&lt;=I697,"Peaceful","Hostile")</x:f>
        <x:v>Peaceful</x:v>
      </x:c>
      <x:c r="AB697" s="30" t="str">
        <x:f>IF(Z697&lt;='Controls &amp; Summary'!$B$6,"Eligible","Blocked")</x:f>
        <x:v>Eligible</x:v>
      </x:c>
      <x:c r="AC697" s="30" t="str">
        <x:v>IDN</x:v>
      </x:c>
      <x:c r="AD697" s="30" t="str">
        <x:v>MYS</x:v>
      </x:c>
      <x:c r="AE697" s="30" t="str">
        <x:v>MalayPeninsula</x:v>
      </x:c>
      <x:c r="AF697" s="30" t="str">
        <x:v>Explicit capitalClaim</x:v>
      </x:c>
      <x:c r="AG697" s="30" t="str">
        <x:v>ClaimIDNMalayPeninsula</x:v>
      </x:c>
      <x:c r="AH697" s="30" t="str">
        <x:v>Project_GreaterIndonesia</x:v>
      </x:c>
    </x:row>
    <x:row r="698">
      <x:c r="A698" s="30" t="str">
        <x:v>2022</x:v>
      </x:c>
      <x:c r="B698" s="30" t="str">
        <x:v>Base game</x:v>
      </x:c>
      <x:c r="C698" s="30" t="str">
        <x:v>Indonesia</x:v>
      </x:c>
      <x:c r="D698" s="30" t="str">
        <x:v>Melanesian States</x:v>
      </x:c>
      <x:c r="E698" s="30" t="str">
        <x:v>Project unlock</x:v>
      </x:c>
      <x:c r="F698" s="30" t="str">
        <x:v>Greater Indonesia</x:v>
      </x:c>
      <x:c r="G698" s="30" t="str">
        <x:v>No</x:v>
      </x:c>
      <x:c r="H698" s="30" t="str">
        <x:v>Ordinary claim</x:v>
      </x:c>
      <x:c r="I698" s="31" t="n">
        <x:f>IF(G698="Yes",'Controls &amp; Summary'!$B$5,'Controls &amp; Summary'!$B$4)</x:f>
        <x:v>6</x:v>
      </x:c>
      <x:c r="J698" s="31" t="n">
        <x:v>6.71</x:v>
      </x:c>
      <x:c r="K698" s="31" t="n">
        <x:v>6.89</x:v>
      </x:c>
      <x:c r="L698" s="31" t="n">
        <x:f>ABS(J698-K698)</x:f>
        <x:v>0.17999999999999972</x:v>
      </x:c>
      <x:c r="M698" s="31" t="n">
        <x:v>3.7</x:v>
      </x:c>
      <x:c r="N698" s="31" t="n">
        <x:v>3.31</x:v>
      </x:c>
      <x:c r="O698" s="31" t="n">
        <x:f>ABS(M698-N698)</x:f>
        <x:v>0.3900000000000001</x:v>
      </x:c>
      <x:c r="P698" s="31" t="n">
        <x:v>6.5</x:v>
      </x:c>
      <x:c r="Q698" s="31" t="n">
        <x:v>6.23</x:v>
      </x:c>
      <x:c r="R698" s="31" t="n">
        <x:f>ABS(P698-Q698)</x:f>
        <x:v>0.2699999999999996</x:v>
      </x:c>
      <x:c r="S698" s="32" t="n">
        <x:v>12557.55400997715</x:v>
      </x:c>
      <x:c r="T698" s="32" t="n">
        <x:v>6725.308486472044</x:v>
      </x:c>
      <x:c r="U698" s="31" t="n">
        <x:f>MAX(S698/T698,T698/S698)</x:f>
        <x:v>1.8672086247399158</x:v>
      </x:c>
      <x:c r="V698" s="31" t="n">
        <x:f>L698*'Controls &amp; Summary'!$B$9+O698*'Controls &amp; Summary'!$B$10+R698*'Controls &amp; Summary'!$B$11+U698*'Controls &amp; Summary'!$B$12</x:f>
        <x:v>2.7072086247399154</x:v>
      </x:c>
      <x:c r="W698" s="31" t="n">
        <x:v>4</x:v>
      </x:c>
      <x:c r="X698" s="31" t="n">
        <x:v>2</x:v>
      </x:c>
      <x:c r="Y698" s="31" t="n">
        <x:f>((10-MIN(10,MAX(0,X698)))/10)*'Controls &amp; Summary'!$B$15+((10-MIN(10,MAX(0,W698)))/10)*'Controls &amp; Summary'!$B$16</x:f>
        <x:v>1.4</x:v>
      </x:c>
      <x:c r="Z698" s="31" t="n">
        <x:f>V698*Y698</x:f>
        <x:v>3.7900920746358815</x:v>
      </x:c>
      <x:c r="AA698" s="30" t="str">
        <x:f>IF(Z698&lt;=I698,"Peaceful","Hostile")</x:f>
        <x:v>Peaceful</x:v>
      </x:c>
      <x:c r="AB698" s="30" t="str">
        <x:f>IF(Z698&lt;='Controls &amp; Summary'!$B$6,"Eligible","Blocked")</x:f>
        <x:v>Eligible</x:v>
      </x:c>
      <x:c r="AC698" s="30" t="str">
        <x:v>IDN</x:v>
      </x:c>
      <x:c r="AD698" s="30" t="str">
        <x:v>PCS</x:v>
      </x:c>
      <x:c r="AE698" s="30" t="str">
        <x:v>Melanesia</x:v>
      </x:c>
      <x:c r="AF698" s="30" t="str">
        <x:v>Explicit capitalClaim</x:v>
      </x:c>
      <x:c r="AG698" s="30" t="str">
        <x:v>ClaimIDNMelanesia</x:v>
      </x:c>
      <x:c r="AH698" s="30" t="str">
        <x:v>Project_GreaterIndonesia</x:v>
      </x:c>
    </x:row>
    <x:row r="699">
      <x:c r="A699" s="30" t="str">
        <x:v>2022</x:v>
      </x:c>
      <x:c r="B699" s="30" t="str">
        <x:v>Base game</x:v>
      </x:c>
      <x:c r="C699" s="30" t="str">
        <x:v>Indonesia</x:v>
      </x:c>
      <x:c r="D699" s="30" t="str">
        <x:v>Micronesian States</x:v>
      </x:c>
      <x:c r="E699" s="30" t="str">
        <x:v>Project unlock</x:v>
      </x:c>
      <x:c r="F699" s="30" t="str">
        <x:v>Greater Austronesia</x:v>
      </x:c>
      <x:c r="G699" s="30" t="str">
        <x:v>No</x:v>
      </x:c>
      <x:c r="H699" s="30" t="str">
        <x:v>Ordinary claim</x:v>
      </x:c>
      <x:c r="I699" s="31" t="n">
        <x:f>IF(G699="Yes",'Controls &amp; Summary'!$B$5,'Controls &amp; Summary'!$B$4)</x:f>
        <x:v>6</x:v>
      </x:c>
      <x:c r="J699" s="31" t="n">
        <x:v>6.71</x:v>
      </x:c>
      <x:c r="K699" s="31" t="n">
        <x:v>9.21</x:v>
      </x:c>
      <x:c r="L699" s="31" t="n">
        <x:f>ABS(J699-K699)</x:f>
        <x:v>2.500000000000001</x:v>
      </x:c>
      <x:c r="M699" s="31" t="n">
        <x:v>3.7</x:v>
      </x:c>
      <x:c r="N699" s="31" t="n">
        <x:v>3.5</x:v>
      </x:c>
      <x:c r="O699" s="31" t="n">
        <x:f>ABS(M699-N699)</x:f>
        <x:v>0.20000000000000018</x:v>
      </x:c>
      <x:c r="P699" s="31" t="n">
        <x:v>6.5</x:v>
      </x:c>
      <x:c r="Q699" s="31" t="n">
        <x:v>6.3</x:v>
      </x:c>
      <x:c r="R699" s="31" t="n">
        <x:f>ABS(P699-Q699)</x:f>
        <x:v>0.20000000000000018</x:v>
      </x:c>
      <x:c r="S699" s="32" t="n">
        <x:v>12557.55400997715</x:v>
      </x:c>
      <x:c r="T699" s="32" t="n">
        <x:v>4400.046986099545</x:v>
      </x:c>
      <x:c r="U699" s="31" t="n">
        <x:f>MAX(S699/T699,T699/S699)</x:f>
        <x:v>2.853959071266393</x:v>
      </x:c>
      <x:c r="V699" s="31" t="n">
        <x:f>L699*'Controls &amp; Summary'!$B$9+O699*'Controls &amp; Summary'!$B$10+R699*'Controls &amp; Summary'!$B$11+U699*'Controls &amp; Summary'!$B$12</x:f>
        <x:v>5.753959071266394</x:v>
      </x:c>
      <x:c r="W699" s="31" t="n">
        <x:v>4</x:v>
      </x:c>
      <x:c r="X699" s="31" t="n">
        <x:v>0</x:v>
      </x:c>
      <x:c r="Y699" s="31" t="n">
        <x:f>((10-MIN(10,MAX(0,X699)))/10)*'Controls &amp; Summary'!$B$15+((10-MIN(10,MAX(0,W699)))/10)*'Controls &amp; Summary'!$B$16</x:f>
        <x:v>1.6</x:v>
      </x:c>
      <x:c r="Z699" s="31" t="n">
        <x:f>V699*Y699</x:f>
        <x:v>9.20633451402623</x:v>
      </x:c>
      <x:c r="AA699" s="30" t="str">
        <x:f>IF(Z699&lt;=I699,"Peaceful","Hostile")</x:f>
        <x:v>Hostile</x:v>
      </x:c>
      <x:c r="AB699" s="30" t="str">
        <x:f>IF(Z699&lt;='Controls &amp; Summary'!$B$6,"Eligible","Blocked")</x:f>
        <x:v>Eligible</x:v>
      </x:c>
      <x:c r="AC699" s="30" t="str">
        <x:v>IDN</x:v>
      </x:c>
      <x:c r="AD699" s="30" t="str">
        <x:v>MCS</x:v>
      </x:c>
      <x:c r="AE699" s="30" t="str">
        <x:v>Micronesia</x:v>
      </x:c>
      <x:c r="AF699" s="30" t="str">
        <x:v>Explicit capitalClaim</x:v>
      </x:c>
      <x:c r="AG699" s="30" t="str">
        <x:v>ClaimIDNMicronesia</x:v>
      </x:c>
      <x:c r="AH699" s="30" t="str">
        <x:v>Project_GreaterAustronesia</x:v>
      </x:c>
    </x:row>
    <x:row r="700">
      <x:c r="A700" s="30" t="str">
        <x:v>2022</x:v>
      </x:c>
      <x:c r="B700" s="30" t="str">
        <x:v>Base game</x:v>
      </x:c>
      <x:c r="C700" s="30" t="str">
        <x:v>Indonesia</x:v>
      </x:c>
      <x:c r="D700" s="30" t="str">
        <x:v>New Zealand</x:v>
      </x:c>
      <x:c r="E700" s="30" t="str">
        <x:v>Project unlock</x:v>
      </x:c>
      <x:c r="F700" s="30" t="str">
        <x:v>Greater Austronesia</x:v>
      </x:c>
      <x:c r="G700" s="30" t="str">
        <x:v>No</x:v>
      </x:c>
      <x:c r="H700" s="30" t="str">
        <x:v>Ordinary claim</x:v>
      </x:c>
      <x:c r="I700" s="31" t="n">
        <x:f>IF(G700="Yes",'Controls &amp; Summary'!$B$5,'Controls &amp; Summary'!$B$4)</x:f>
        <x:v>6</x:v>
      </x:c>
      <x:c r="J700" s="31" t="n">
        <x:v>6.71</x:v>
      </x:c>
      <x:c r="K700" s="31" t="n">
        <x:v>9.37</x:v>
      </x:c>
      <x:c r="L700" s="31" t="n">
        <x:f>ABS(J700-K700)</x:f>
        <x:v>2.6599999999999993</x:v>
      </x:c>
      <x:c r="M700" s="31" t="n">
        <x:v>3.7</x:v>
      </x:c>
      <x:c r="N700" s="31" t="n">
        <x:v>3.25</x:v>
      </x:c>
      <x:c r="O700" s="31" t="n">
        <x:f>ABS(M700-N700)</x:f>
        <x:v>0.4500000000000002</x:v>
      </x:c>
      <x:c r="P700" s="31" t="n">
        <x:v>6.5</x:v>
      </x:c>
      <x:c r="Q700" s="31" t="n">
        <x:v>9.26</x:v>
      </x:c>
      <x:c r="R700" s="31" t="n">
        <x:f>ABS(P700-Q700)</x:f>
        <x:v>2.76</x:v>
      </x:c>
      <x:c r="S700" s="32" t="n">
        <x:v>12557.55400997715</x:v>
      </x:c>
      <x:c r="T700" s="32" t="n">
        <x:v>47774.32657265556</x:v>
      </x:c>
      <x:c r="U700" s="31" t="n">
        <x:f>MAX(S700/T700,T700/S700)</x:f>
        <x:v>3.804429312802334</x:v>
      </x:c>
      <x:c r="V700" s="31" t="n">
        <x:f>L700*'Controls &amp; Summary'!$B$9+O700*'Controls &amp; Summary'!$B$10+R700*'Controls &amp; Summary'!$B$11+U700*'Controls &amp; Summary'!$B$12</x:f>
        <x:v>9.674429312802333</x:v>
      </x:c>
      <x:c r="W700" s="31" t="n">
        <x:v>4</x:v>
      </x:c>
      <x:c r="X700" s="31" t="n">
        <x:v>0</x:v>
      </x:c>
      <x:c r="Y700" s="31" t="n">
        <x:f>((10-MIN(10,MAX(0,X700)))/10)*'Controls &amp; Summary'!$B$15+((10-MIN(10,MAX(0,W700)))/10)*'Controls &amp; Summary'!$B$16</x:f>
        <x:v>1.6</x:v>
      </x:c>
      <x:c r="Z700" s="31" t="n">
        <x:f>V700*Y700</x:f>
        <x:v>15.479086900483734</x:v>
      </x:c>
      <x:c r="AA700" s="30" t="str">
        <x:f>IF(Z700&lt;=I700,"Peaceful","Hostile")</x:f>
        <x:v>Hostile</x:v>
      </x:c>
      <x:c r="AB700" s="30" t="str">
        <x:f>IF(Z700&lt;='Controls &amp; Summary'!$B$6,"Eligible","Blocked")</x:f>
        <x:v>Blocked</x:v>
      </x:c>
      <x:c r="AC700" s="30" t="str">
        <x:v>IDN</x:v>
      </x:c>
      <x:c r="AD700" s="30" t="str">
        <x:v>NZL</x:v>
      </x:c>
      <x:c r="AE700" s="30" t="str">
        <x:v>NewZealand</x:v>
      </x:c>
      <x:c r="AF700" s="30" t="str">
        <x:v>Explicit capitalClaim</x:v>
      </x:c>
      <x:c r="AG700" s="30" t="str">
        <x:v>ClaimIDNNewZealand</x:v>
      </x:c>
      <x:c r="AH700" s="30" t="str">
        <x:v>Project_GreaterAustronesia</x:v>
      </x:c>
    </x:row>
    <x:row r="701">
      <x:c r="A701" s="30" t="str">
        <x:v>2022</x:v>
      </x:c>
      <x:c r="B701" s="30" t="str">
        <x:v>Base game</x:v>
      </x:c>
      <x:c r="C701" s="30" t="str">
        <x:v>Indonesia</x:v>
      </x:c>
      <x:c r="D701" s="30" t="str">
        <x:v>Papua New Guinea</x:v>
      </x:c>
      <x:c r="E701" s="30" t="str">
        <x:v>Project unlock</x:v>
      </x:c>
      <x:c r="F701" s="30" t="str">
        <x:v>Greater Indonesia</x:v>
      </x:c>
      <x:c r="G701" s="30" t="str">
        <x:v>No</x:v>
      </x:c>
      <x:c r="H701" s="30" t="str">
        <x:v>Ordinary claim</x:v>
      </x:c>
      <x:c r="I701" s="31" t="n">
        <x:f>IF(G701="Yes",'Controls &amp; Summary'!$B$5,'Controls &amp; Summary'!$B$4)</x:f>
        <x:v>6</x:v>
      </x:c>
      <x:c r="J701" s="31" t="n">
        <x:v>6.71</x:v>
      </x:c>
      <x:c r="K701" s="31" t="n">
        <x:v>6.1</x:v>
      </x:c>
      <x:c r="L701" s="31" t="n">
        <x:f>ABS(J701-K701)</x:f>
        <x:v>0.6100000000000003</x:v>
      </x:c>
      <x:c r="M701" s="31" t="n">
        <x:v>3.7</x:v>
      </x:c>
      <x:c r="N701" s="31" t="n">
        <x:v>4.19</x:v>
      </x:c>
      <x:c r="O701" s="31" t="n">
        <x:f>ABS(M701-N701)</x:f>
        <x:v>0.4900000000000002</x:v>
      </x:c>
      <x:c r="P701" s="31" t="n">
        <x:v>6.5</x:v>
      </x:c>
      <x:c r="Q701" s="31" t="n">
        <x:v>4.39</x:v>
      </x:c>
      <x:c r="R701" s="31" t="n">
        <x:f>ABS(P701-Q701)</x:f>
        <x:v>2.1100000000000003</x:v>
      </x:c>
      <x:c r="S701" s="32" t="n">
        <x:v>12557.55400997715</x:v>
      </x:c>
      <x:c r="T701" s="32" t="n">
        <x:v>3703.932114816485</x:v>
      </x:c>
      <x:c r="U701" s="31" t="n">
        <x:f>MAX(S701/T701,T701/S701)</x:f>
        <x:v>3.390330497620183</x:v>
      </x:c>
      <x:c r="V701" s="31" t="n">
        <x:f>L701*'Controls &amp; Summary'!$B$9+O701*'Controls &amp; Summary'!$B$10+R701*'Controls &amp; Summary'!$B$11+U701*'Controls &amp; Summary'!$B$12</x:f>
        <x:v>6.600330497620184</x:v>
      </x:c>
      <x:c r="W701" s="31" t="n">
        <x:v>4</x:v>
      </x:c>
      <x:c r="X701" s="31" t="n">
        <x:v>4</x:v>
      </x:c>
      <x:c r="Y701" s="31" t="n">
        <x:f>((10-MIN(10,MAX(0,X701)))/10)*'Controls &amp; Summary'!$B$15+((10-MIN(10,MAX(0,W701)))/10)*'Controls &amp; Summary'!$B$16</x:f>
        <x:v>1.2</x:v>
      </x:c>
      <x:c r="Z701" s="31" t="n">
        <x:f>V701*Y701</x:f>
        <x:v>7.9203965971442205</x:v>
      </x:c>
      <x:c r="AA701" s="30" t="str">
        <x:f>IF(Z701&lt;=I701,"Peaceful","Hostile")</x:f>
        <x:v>Hostile</x:v>
      </x:c>
      <x:c r="AB701" s="30" t="str">
        <x:f>IF(Z701&lt;='Controls &amp; Summary'!$B$6,"Eligible","Blocked")</x:f>
        <x:v>Eligible</x:v>
      </x:c>
      <x:c r="AC701" s="30" t="str">
        <x:v>IDN</x:v>
      </x:c>
      <x:c r="AD701" s="30" t="str">
        <x:v>PNG</x:v>
      </x:c>
      <x:c r="AE701" s="30" t="str">
        <x:v>PortMorseby</x:v>
      </x:c>
      <x:c r="AF701" s="30" t="str">
        <x:v>Explicit capitalClaim</x:v>
      </x:c>
      <x:c r="AG701" s="30" t="str">
        <x:v>ClaimIDNPortMorseby</x:v>
      </x:c>
      <x:c r="AH701" s="30" t="str">
        <x:v>Project_GreaterIndonesia</x:v>
      </x:c>
    </x:row>
    <x:row r="702">
      <x:c r="A702" s="30" t="str">
        <x:v>2022</x:v>
      </x:c>
      <x:c r="B702" s="30" t="str">
        <x:v>Base game</x:v>
      </x:c>
      <x:c r="C702" s="30" t="str">
        <x:v>Indonesia</x:v>
      </x:c>
      <x:c r="D702" s="30" t="str">
        <x:v>Philippines</x:v>
      </x:c>
      <x:c r="E702" s="30" t="str">
        <x:v>Project unlock</x:v>
      </x:c>
      <x:c r="F702" s="30" t="str">
        <x:v>Greater Austronesia</x:v>
      </x:c>
      <x:c r="G702" s="30" t="str">
        <x:v>No</x:v>
      </x:c>
      <x:c r="H702" s="30" t="str">
        <x:v>Ordinary claim</x:v>
      </x:c>
      <x:c r="I702" s="31" t="n">
        <x:f>IF(G702="Yes",'Controls &amp; Summary'!$B$5,'Controls &amp; Summary'!$B$4)</x:f>
        <x:v>6</x:v>
      </x:c>
      <x:c r="J702" s="31" t="n">
        <x:v>6.71</x:v>
      </x:c>
      <x:c r="K702" s="31" t="n">
        <x:v>6.56</x:v>
      </x:c>
      <x:c r="L702" s="31" t="n">
        <x:f>ABS(J702-K702)</x:f>
        <x:v>0.15000000000000036</x:v>
      </x:c>
      <x:c r="M702" s="31" t="n">
        <x:v>3.7</x:v>
      </x:c>
      <x:c r="N702" s="31" t="n">
        <x:v>4.23</x:v>
      </x:c>
      <x:c r="O702" s="31" t="n">
        <x:f>ABS(M702-N702)</x:f>
        <x:v>0.5300000000000002</x:v>
      </x:c>
      <x:c r="P702" s="31" t="n">
        <x:v>6.5</x:v>
      </x:c>
      <x:c r="Q702" s="31" t="n">
        <x:v>6.78</x:v>
      </x:c>
      <x:c r="R702" s="31" t="n">
        <x:f>ABS(P702-Q702)</x:f>
        <x:v>0.28000000000000025</x:v>
      </x:c>
      <x:c r="S702" s="32" t="n">
        <x:v>12557.55400997715</x:v>
      </x:c>
      <x:c r="T702" s="32" t="n">
        <x:v>8910.697299448184</x:v>
      </x:c>
      <x:c r="U702" s="31" t="n">
        <x:f>MAX(S702/T702,T702/S702)</x:f>
        <x:v>1.4092672647240307</x:v>
      </x:c>
      <x:c r="V702" s="31" t="n">
        <x:f>L702*'Controls &amp; Summary'!$B$9+O702*'Controls &amp; Summary'!$B$10+R702*'Controls &amp; Summary'!$B$11+U702*'Controls &amp; Summary'!$B$12</x:f>
        <x:v>2.369267264724032</x:v>
      </x:c>
      <x:c r="W702" s="31" t="n">
        <x:v>4</x:v>
      </x:c>
      <x:c r="X702" s="31" t="n">
        <x:v>6</x:v>
      </x:c>
      <x:c r="Y702" s="31" t="n">
        <x:f>((10-MIN(10,MAX(0,X702)))/10)*'Controls &amp; Summary'!$B$15+((10-MIN(10,MAX(0,W702)))/10)*'Controls &amp; Summary'!$B$16</x:f>
        <x:v>1</x:v>
      </x:c>
      <x:c r="Z702" s="31" t="n">
        <x:f>V702*Y702</x:f>
        <x:v>2.369267264724032</x:v>
      </x:c>
      <x:c r="AA702" s="30" t="str">
        <x:f>IF(Z702&lt;=I702,"Peaceful","Hostile")</x:f>
        <x:v>Peaceful</x:v>
      </x:c>
      <x:c r="AB702" s="30" t="str">
        <x:f>IF(Z702&lt;='Controls &amp; Summary'!$B$6,"Eligible","Blocked")</x:f>
        <x:v>Eligible</x:v>
      </x:c>
      <x:c r="AC702" s="30" t="str">
        <x:v>IDN</x:v>
      </x:c>
      <x:c r="AD702" s="30" t="str">
        <x:v>PHL</x:v>
      </x:c>
      <x:c r="AE702" s="30" t="str">
        <x:v>Luzon</x:v>
      </x:c>
      <x:c r="AF702" s="30" t="str">
        <x:v>Explicit capitalClaim</x:v>
      </x:c>
      <x:c r="AG702" s="30" t="str">
        <x:v>ClaimIDNLuzon</x:v>
      </x:c>
      <x:c r="AH702" s="30" t="str">
        <x:v>Project_GreaterAustronesia</x:v>
      </x:c>
    </x:row>
    <x:row r="703">
      <x:c r="A703" s="30" t="str">
        <x:v>2022</x:v>
      </x:c>
      <x:c r="B703" s="30" t="str">
        <x:v>Base game</x:v>
      </x:c>
      <x:c r="C703" s="30" t="str">
        <x:v>Indonesia</x:v>
      </x:c>
      <x:c r="D703" s="30" t="str">
        <x:v>Polynesian States</x:v>
      </x:c>
      <x:c r="E703" s="30" t="str">
        <x:v>Project unlock</x:v>
      </x:c>
      <x:c r="F703" s="30" t="str">
        <x:v>Greater Austronesia</x:v>
      </x:c>
      <x:c r="G703" s="30" t="str">
        <x:v>No</x:v>
      </x:c>
      <x:c r="H703" s="30" t="str">
        <x:v>Ordinary claim</x:v>
      </x:c>
      <x:c r="I703" s="31" t="n">
        <x:f>IF(G703="Yes",'Controls &amp; Summary'!$B$5,'Controls &amp; Summary'!$B$4)</x:f>
        <x:v>6</x:v>
      </x:c>
      <x:c r="J703" s="31" t="n">
        <x:v>6.71</x:v>
      </x:c>
      <x:c r="K703" s="31" t="n">
        <x:v>8.19</x:v>
      </x:c>
      <x:c r="L703" s="31" t="n">
        <x:f>ABS(J703-K703)</x:f>
        <x:v>1.4799999999999995</x:v>
      </x:c>
      <x:c r="M703" s="31" t="n">
        <x:v>3.7</x:v>
      </x:c>
      <x:c r="N703" s="31" t="n">
        <x:v>3.79</x:v>
      </x:c>
      <x:c r="O703" s="31" t="n">
        <x:f>ABS(M703-N703)</x:f>
        <x:v>0.08999999999999986</x:v>
      </x:c>
      <x:c r="P703" s="31" t="n">
        <x:v>6.5</x:v>
      </x:c>
      <x:c r="Q703" s="31" t="n">
        <x:v>7.34</x:v>
      </x:c>
      <x:c r="R703" s="31" t="n">
        <x:f>ABS(P703-Q703)</x:f>
        <x:v>0.8399999999999999</x:v>
      </x:c>
      <x:c r="S703" s="32" t="n">
        <x:v>12557.55400997715</x:v>
      </x:c>
      <x:c r="T703" s="32" t="n">
        <x:v>5857.177245824855</x:v>
      </x:c>
      <x:c r="U703" s="31" t="n">
        <x:f>MAX(S703/T703,T703/S703)</x:f>
        <x:v>2.143960048149216</x:v>
      </x:c>
      <x:c r="V703" s="31" t="n">
        <x:f>L703*'Controls &amp; Summary'!$B$9+O703*'Controls &amp; Summary'!$B$10+R703*'Controls &amp; Summary'!$B$11+U703*'Controls &amp; Summary'!$B$12</x:f>
        <x:v>4.553960048149215</x:v>
      </x:c>
      <x:c r="W703" s="31" t="n">
        <x:v>4</x:v>
      </x:c>
      <x:c r="X703" s="31" t="n">
        <x:v>0</x:v>
      </x:c>
      <x:c r="Y703" s="31" t="n">
        <x:f>((10-MIN(10,MAX(0,X703)))/10)*'Controls &amp; Summary'!$B$15+((10-MIN(10,MAX(0,W703)))/10)*'Controls &amp; Summary'!$B$16</x:f>
        <x:v>1.6</x:v>
      </x:c>
      <x:c r="Z703" s="31" t="n">
        <x:f>V703*Y703</x:f>
        <x:v>7.286336077038745</x:v>
      </x:c>
      <x:c r="AA703" s="30" t="str">
        <x:f>IF(Z703&lt;=I703,"Peaceful","Hostile")</x:f>
        <x:v>Hostile</x:v>
      </x:c>
      <x:c r="AB703" s="30" t="str">
        <x:f>IF(Z703&lt;='Controls &amp; Summary'!$B$6,"Eligible","Blocked")</x:f>
        <x:v>Eligible</x:v>
      </x:c>
      <x:c r="AC703" s="30" t="str">
        <x:v>IDN</x:v>
      </x:c>
      <x:c r="AD703" s="30" t="str">
        <x:v>PLS</x:v>
      </x:c>
      <x:c r="AE703" s="30" t="str">
        <x:v>Polynesia</x:v>
      </x:c>
      <x:c r="AF703" s="30" t="str">
        <x:v>Explicit capitalClaim</x:v>
      </x:c>
      <x:c r="AG703" s="30" t="str">
        <x:v>ClaimIDNPolynesia</x:v>
      </x:c>
      <x:c r="AH703" s="30" t="str">
        <x:v>Project_GreaterAustronesia</x:v>
      </x:c>
    </x:row>
    <x:row r="704">
      <x:c r="A704" s="30" t="str">
        <x:v>2022</x:v>
      </x:c>
      <x:c r="B704" s="30" t="str">
        <x:v>Base game</x:v>
      </x:c>
      <x:c r="C704" s="30" t="str">
        <x:v>Indonesia</x:v>
      </x:c>
      <x:c r="D704" s="30" t="str">
        <x:v>Singapore</x:v>
      </x:c>
      <x:c r="E704" s="30" t="str">
        <x:v>Project unlock</x:v>
      </x:c>
      <x:c r="F704" s="30" t="str">
        <x:v>Greater Indonesia</x:v>
      </x:c>
      <x:c r="G704" s="30" t="str">
        <x:v>No</x:v>
      </x:c>
      <x:c r="H704" s="30" t="str">
        <x:v>Ordinary claim</x:v>
      </x:c>
      <x:c r="I704" s="31" t="n">
        <x:f>IF(G704="Yes",'Controls &amp; Summary'!$B$5,'Controls &amp; Summary'!$B$4)</x:f>
        <x:v>6</x:v>
      </x:c>
      <x:c r="J704" s="31" t="n">
        <x:v>6.71</x:v>
      </x:c>
      <x:c r="K704" s="31" t="n">
        <x:v>6.23</x:v>
      </x:c>
      <x:c r="L704" s="31" t="n">
        <x:f>ABS(J704-K704)</x:f>
        <x:v>0.47999999999999954</x:v>
      </x:c>
      <x:c r="M704" s="31" t="n">
        <x:v>3.7</x:v>
      </x:c>
      <x:c r="N704" s="31" t="n">
        <x:v>3.5</x:v>
      </x:c>
      <x:c r="O704" s="31" t="n">
        <x:f>ABS(M704-N704)</x:f>
        <x:v>0.20000000000000018</x:v>
      </x:c>
      <x:c r="P704" s="31" t="n">
        <x:v>6.5</x:v>
      </x:c>
      <x:c r="Q704" s="31" t="n">
        <x:v>8.44</x:v>
      </x:c>
      <x:c r="R704" s="31" t="n">
        <x:f>ABS(P704-Q704)</x:f>
        <x:v>1.9399999999999995</x:v>
      </x:c>
      <x:c r="S704" s="32" t="n">
        <x:v>12557.55400997715</x:v>
      </x:c>
      <x:c r="T704" s="32" t="n">
        <x:v>103659.07827486754</x:v>
      </x:c>
      <x:c r="U704" s="31" t="n">
        <x:f>MAX(S704/T704,T704/S704)</x:f>
        <x:v>8.254718888129725</x:v>
      </x:c>
      <x:c r="V704" s="31" t="n">
        <x:f>L704*'Controls &amp; Summary'!$B$9+O704*'Controls &amp; Summary'!$B$10+R704*'Controls &amp; Summary'!$B$11+U704*'Controls &amp; Summary'!$B$12</x:f>
        <x:v>10.874718888129724</x:v>
      </x:c>
      <x:c r="W704" s="31" t="n">
        <x:v>4</x:v>
      </x:c>
      <x:c r="X704" s="31" t="n">
        <x:v>0</x:v>
      </x:c>
      <x:c r="Y704" s="31" t="n">
        <x:f>((10-MIN(10,MAX(0,X704)))/10)*'Controls &amp; Summary'!$B$15+((10-MIN(10,MAX(0,W704)))/10)*'Controls &amp; Summary'!$B$16</x:f>
        <x:v>1.6</x:v>
      </x:c>
      <x:c r="Z704" s="31" t="n">
        <x:f>V704*Y704</x:f>
        <x:v>17.39955022100756</x:v>
      </x:c>
      <x:c r="AA704" s="30" t="str">
        <x:f>IF(Z704&lt;=I704,"Peaceful","Hostile")</x:f>
        <x:v>Hostile</x:v>
      </x:c>
      <x:c r="AB704" s="30" t="str">
        <x:f>IF(Z704&lt;='Controls &amp; Summary'!$B$6,"Eligible","Blocked")</x:f>
        <x:v>Blocked</x:v>
      </x:c>
      <x:c r="AC704" s="30" t="str">
        <x:v>IDN</x:v>
      </x:c>
      <x:c r="AD704" s="30" t="str">
        <x:v>SGP</x:v>
      </x:c>
      <x:c r="AE704" s="30" t="str">
        <x:v>Singapore</x:v>
      </x:c>
      <x:c r="AF704" s="30" t="str">
        <x:v>Explicit capitalClaim</x:v>
      </x:c>
      <x:c r="AG704" s="30" t="str">
        <x:v>ClaimIDNSingapore</x:v>
      </x:c>
      <x:c r="AH704" s="30" t="str">
        <x:v>Project_GreaterIndonesia</x:v>
      </x:c>
    </x:row>
    <x:row r="705">
      <x:c r="A705" s="30" t="str">
        <x:v>2022</x:v>
      </x:c>
      <x:c r="B705" s="30" t="str">
        <x:v>Base game</x:v>
      </x:c>
      <x:c r="C705" s="30" t="str">
        <x:v>Indonesia</x:v>
      </x:c>
      <x:c r="D705" s="30" t="str">
        <x:v>Taiwan</x:v>
      </x:c>
      <x:c r="E705" s="30" t="str">
        <x:v>Project unlock</x:v>
      </x:c>
      <x:c r="F705" s="30" t="str">
        <x:v>Greater Austronesia</x:v>
      </x:c>
      <x:c r="G705" s="30" t="str">
        <x:v>No</x:v>
      </x:c>
      <x:c r="H705" s="30" t="str">
        <x:v>Ordinary claim</x:v>
      </x:c>
      <x:c r="I705" s="31" t="n">
        <x:f>IF(G705="Yes",'Controls &amp; Summary'!$B$5,'Controls &amp; Summary'!$B$4)</x:f>
        <x:v>6</x:v>
      </x:c>
      <x:c r="J705" s="31" t="n">
        <x:v>6.71</x:v>
      </x:c>
      <x:c r="K705" s="31" t="n">
        <x:v>8.99</x:v>
      </x:c>
      <x:c r="L705" s="31" t="n">
        <x:f>ABS(J705-K705)</x:f>
        <x:v>2.2800000000000002</x:v>
      </x:c>
      <x:c r="M705" s="31" t="n">
        <x:v>3.7</x:v>
      </x:c>
      <x:c r="N705" s="31" t="n">
        <x:v>3.4</x:v>
      </x:c>
      <x:c r="O705" s="31" t="n">
        <x:f>ABS(M705-N705)</x:f>
        <x:v>0.30000000000000027</x:v>
      </x:c>
      <x:c r="P705" s="31" t="n">
        <x:v>6.5</x:v>
      </x:c>
      <x:c r="Q705" s="31" t="n">
        <x:v>8.87</x:v>
      </x:c>
      <x:c r="R705" s="31" t="n">
        <x:f>ABS(P705-Q705)</x:f>
        <x:v>2.369999999999999</x:v>
      </x:c>
      <x:c r="S705" s="32" t="n">
        <x:v>12557.55400997715</x:v>
      </x:c>
      <x:c r="T705" s="32" t="n">
        <x:v>67105.06170444709</x:v>
      </x:c>
      <x:c r="U705" s="31" t="n">
        <x:f>MAX(S705/T705,T705/S705)</x:f>
        <x:v>5.3438003651930295</x:v>
      </x:c>
      <x:c r="V705" s="31" t="n">
        <x:f>L705*'Controls &amp; Summary'!$B$9+O705*'Controls &amp; Summary'!$B$10+R705*'Controls &amp; Summary'!$B$11+U705*'Controls &amp; Summary'!$B$12</x:f>
        <x:v>10.293800365193029</x:v>
      </x:c>
      <x:c r="W705" s="31" t="n">
        <x:v>4</x:v>
      </x:c>
      <x:c r="X705" s="31" t="n">
        <x:v>0</x:v>
      </x:c>
      <x:c r="Y705" s="31" t="n">
        <x:f>((10-MIN(10,MAX(0,X705)))/10)*'Controls &amp; Summary'!$B$15+((10-MIN(10,MAX(0,W705)))/10)*'Controls &amp; Summary'!$B$16</x:f>
        <x:v>1.6</x:v>
      </x:c>
      <x:c r="Z705" s="31" t="n">
        <x:f>V705*Y705</x:f>
        <x:v>16.470080584308846</x:v>
      </x:c>
      <x:c r="AA705" s="30" t="str">
        <x:f>IF(Z705&lt;=I705,"Peaceful","Hostile")</x:f>
        <x:v>Hostile</x:v>
      </x:c>
      <x:c r="AB705" s="30" t="str">
        <x:f>IF(Z705&lt;='Controls &amp; Summary'!$B$6,"Eligible","Blocked")</x:f>
        <x:v>Blocked</x:v>
      </x:c>
      <x:c r="AC705" s="30" t="str">
        <x:v>IDN</x:v>
      </x:c>
      <x:c r="AD705" s="30" t="str">
        <x:v>TWN</x:v>
      </x:c>
      <x:c r="AE705" s="30" t="str">
        <x:v>Taiwan</x:v>
      </x:c>
      <x:c r="AF705" s="30" t="str">
        <x:v>Largest owned population fallback</x:v>
      </x:c>
      <x:c r="AG705" s="30" t="str">
        <x:v>ClaimIDNTaiwan</x:v>
      </x:c>
      <x:c r="AH705" s="30" t="str">
        <x:v>Project_GreaterAustronesia</x:v>
      </x:c>
    </x:row>
    <x:row r="706">
      <x:c r="A706" s="30" t="str">
        <x:v>2022</x:v>
      </x:c>
      <x:c r="B706" s="30" t="str">
        <x:v>Base game</x:v>
      </x:c>
      <x:c r="C706" s="30" t="str">
        <x:v>Indonesia</x:v>
      </x:c>
      <x:c r="D706" s="30" t="str">
        <x:v>Timor-Leste</x:v>
      </x:c>
      <x:c r="E706" s="30" t="str">
        <x:v>Starting claim</x:v>
      </x:c>
      <x:c r="F706" s="30" t="str"/>
      <x:c r="G706" s="30" t="str">
        <x:v>Yes</x:v>
      </x:c>
      <x:c r="H706" s="30" t="str">
        <x:v>Template hostileClaim</x:v>
      </x:c>
      <x:c r="I706" s="31" t="n">
        <x:f>IF(G706="Yes",'Controls &amp; Summary'!$B$5,'Controls &amp; Summary'!$B$4)</x:f>
        <x:v>3</x:v>
      </x:c>
      <x:c r="J706" s="31" t="n">
        <x:v>6.71</x:v>
      </x:c>
      <x:c r="K706" s="31" t="n">
        <x:v>7.06</x:v>
      </x:c>
      <x:c r="L706" s="31" t="n">
        <x:f>ABS(J706-K706)</x:f>
        <x:v>0.34999999999999964</x:v>
      </x:c>
      <x:c r="M706" s="31" t="n">
        <x:v>3.7</x:v>
      </x:c>
      <x:c r="N706" s="31" t="n">
        <x:v>2.87</x:v>
      </x:c>
      <x:c r="O706" s="31" t="n">
        <x:f>ABS(M706-N706)</x:f>
        <x:v>0.8300000000000001</x:v>
      </x:c>
      <x:c r="P706" s="31" t="n">
        <x:v>6.5</x:v>
      </x:c>
      <x:c r="Q706" s="31" t="n">
        <x:v>5.1</x:v>
      </x:c>
      <x:c r="R706" s="31" t="n">
        <x:f>ABS(P706-Q706)</x:f>
        <x:v>1.4000000000000004</x:v>
      </x:c>
      <x:c r="S706" s="32" t="n">
        <x:v>12557.55400997715</x:v>
      </x:c>
      <x:c r="T706" s="32" t="n">
        <x:v>2921.4550071387102</x:v>
      </x:c>
      <x:c r="U706" s="31" t="n">
        <x:f>MAX(S706/T706,T706/S706)</x:f>
        <x:v>4.298390349771667</x:v>
      </x:c>
      <x:c r="V706" s="31" t="n">
        <x:f>L706*'Controls &amp; Summary'!$B$9+O706*'Controls &amp; Summary'!$B$10+R706*'Controls &amp; Summary'!$B$11+U706*'Controls &amp; Summary'!$B$12</x:f>
        <x:v>6.878390349771667</x:v>
      </x:c>
      <x:c r="W706" s="31" t="n">
        <x:v>4</x:v>
      </x:c>
      <x:c r="X706" s="31" t="n">
        <x:v>2</x:v>
      </x:c>
      <x:c r="Y706" s="31" t="n">
        <x:f>((10-MIN(10,MAX(0,X706)))/10)*'Controls &amp; Summary'!$B$15+((10-MIN(10,MAX(0,W706)))/10)*'Controls &amp; Summary'!$B$16</x:f>
        <x:v>1.4</x:v>
      </x:c>
      <x:c r="Z706" s="31" t="n">
        <x:f>V706*Y706</x:f>
        <x:v>9.629746489680333</x:v>
      </x:c>
      <x:c r="AA706" s="30" t="str">
        <x:f>IF(Z706&lt;=I706,"Peaceful","Hostile")</x:f>
        <x:v>Hostile</x:v>
      </x:c>
      <x:c r="AB706" s="30" t="str">
        <x:f>IF(Z706&lt;='Controls &amp; Summary'!$B$6,"Eligible","Blocked")</x:f>
        <x:v>Eligible</x:v>
      </x:c>
      <x:c r="AC706" s="30" t="str">
        <x:v>IDN</x:v>
      </x:c>
      <x:c r="AD706" s="30" t="str">
        <x:v>TLS</x:v>
      </x:c>
      <x:c r="AE706" s="30" t="str">
        <x:v>TimorLeste</x:v>
      </x:c>
      <x:c r="AF706" s="30" t="str">
        <x:v>Explicit capitalClaim</x:v>
      </x:c>
      <x:c r="AG706" s="30" t="str">
        <x:v>ClaimIDNTimorLeste</x:v>
      </x:c>
      <x:c r="AH706" s="30" t="str"/>
    </x:row>
    <x:row r="707">
      <x:c r="A707" s="30" t="str">
        <x:v>2022</x:v>
      </x:c>
      <x:c r="B707" s="30" t="str">
        <x:v>Base game</x:v>
      </x:c>
      <x:c r="C707" s="30" t="str">
        <x:v>Iran</x:v>
      </x:c>
      <x:c r="D707" s="30" t="str">
        <x:v>Azerbaijan</x:v>
      </x:c>
      <x:c r="E707" s="30" t="str">
        <x:v>Project unlock</x:v>
      </x:c>
      <x:c r="F707" s="30" t="str">
        <x:v>The Shia Nation</x:v>
      </x:c>
      <x:c r="G707" s="30" t="str">
        <x:v>No</x:v>
      </x:c>
      <x:c r="H707" s="30" t="str">
        <x:v>Ordinary claim</x:v>
      </x:c>
      <x:c r="I707" s="31" t="n">
        <x:f>IF(G707="Yes",'Controls &amp; Summary'!$B$5,'Controls &amp; Summary'!$B$4)</x:f>
        <x:v>6</x:v>
      </x:c>
      <x:c r="J707" s="31" t="n">
        <x:v>1.95</x:v>
      </x:c>
      <x:c r="K707" s="31" t="n">
        <x:v>2.68</x:v>
      </x:c>
      <x:c r="L707" s="31" t="n">
        <x:f>ABS(J707-K707)</x:f>
        <x:v>0.7300000000000002</x:v>
      </x:c>
      <x:c r="M707" s="31" t="n">
        <x:v>4.09</x:v>
      </x:c>
      <x:c r="N707" s="31" t="n">
        <x:v>2.66</x:v>
      </x:c>
      <x:c r="O707" s="31" t="n">
        <x:f>ABS(M707-N707)</x:f>
        <x:v>1.4299999999999997</x:v>
      </x:c>
      <x:c r="P707" s="31" t="n">
        <x:v>7.56</x:v>
      </x:c>
      <x:c r="Q707" s="31" t="n">
        <x:v>7.11</x:v>
      </x:c>
      <x:c r="R707" s="31" t="n">
        <x:f>ABS(P707-Q707)</x:f>
        <x:v>0.4499999999999993</x:v>
      </x:c>
      <x:c r="S707" s="32" t="n">
        <x:v>16038.510653806568</x:v>
      </x:c>
      <x:c r="T707" s="32" t="n">
        <x:v>14973.357177699658</x:v>
      </x:c>
      <x:c r="U707" s="31" t="n">
        <x:f>MAX(S707/T707,T707/S707)</x:f>
        <x:v>1.0711365836976947</x:v>
      </x:c>
      <x:c r="V707" s="31" t="n">
        <x:f>L707*'Controls &amp; Summary'!$B$9+O707*'Controls &amp; Summary'!$B$10+R707*'Controls &amp; Summary'!$B$11+U707*'Controls &amp; Summary'!$B$12</x:f>
        <x:v>3.681136583697694</x:v>
      </x:c>
      <x:c r="W707" s="31" t="n">
        <x:v>4</x:v>
      </x:c>
      <x:c r="X707" s="31" t="n">
        <x:v>3</x:v>
      </x:c>
      <x:c r="Y707" s="31" t="n">
        <x:f>((10-MIN(10,MAX(0,X707)))/10)*'Controls &amp; Summary'!$B$15+((10-MIN(10,MAX(0,W707)))/10)*'Controls &amp; Summary'!$B$16</x:f>
        <x:v>1.2999999999999998</x:v>
      </x:c>
      <x:c r="Z707" s="31" t="n">
        <x:f>V707*Y707</x:f>
        <x:v>4.785477558807002</x:v>
      </x:c>
      <x:c r="AA707" s="30" t="str">
        <x:f>IF(Z707&lt;=I707,"Peaceful","Hostile")</x:f>
        <x:v>Peaceful</x:v>
      </x:c>
      <x:c r="AB707" s="30" t="str">
        <x:f>IF(Z707&lt;='Controls &amp; Summary'!$B$6,"Eligible","Blocked")</x:f>
        <x:v>Eligible</x:v>
      </x:c>
      <x:c r="AC707" s="30" t="str">
        <x:v>IRN</x:v>
      </x:c>
      <x:c r="AD707" s="30" t="str">
        <x:v>AZE</x:v>
      </x:c>
      <x:c r="AE707" s="30" t="str">
        <x:v>Azerbaijan</x:v>
      </x:c>
      <x:c r="AF707" s="30" t="str">
        <x:v>Explicit capitalClaim</x:v>
      </x:c>
      <x:c r="AG707" s="30" t="str">
        <x:v>ClaimIRNAzerbaijan</x:v>
      </x:c>
      <x:c r="AH707" s="30" t="str">
        <x:v>Project_TheShiaNation</x:v>
      </x:c>
    </x:row>
    <x:row r="708">
      <x:c r="A708" s="30" t="str">
        <x:v>2022</x:v>
      </x:c>
      <x:c r="B708" s="30" t="str">
        <x:v>Base game</x:v>
      </x:c>
      <x:c r="C708" s="30" t="str">
        <x:v>Iran</x:v>
      </x:c>
      <x:c r="D708" s="30" t="str">
        <x:v>Gulf States</x:v>
      </x:c>
      <x:c r="E708" s="30" t="str">
        <x:v>Project unlock</x:v>
      </x:c>
      <x:c r="F708" s="30" t="str">
        <x:v>The Shia Nation</x:v>
      </x:c>
      <x:c r="G708" s="30" t="str">
        <x:v>No</x:v>
      </x:c>
      <x:c r="H708" s="30" t="str">
        <x:v>Ordinary claim</x:v>
      </x:c>
      <x:c r="I708" s="31" t="n">
        <x:f>IF(G708="Yes",'Controls &amp; Summary'!$B$5,'Controls &amp; Summary'!$B$4)</x:f>
        <x:v>6</x:v>
      </x:c>
      <x:c r="J708" s="31" t="n">
        <x:v>1.95</x:v>
      </x:c>
      <x:c r="K708" s="31" t="n">
        <x:v>3.23</x:v>
      </x:c>
      <x:c r="L708" s="31" t="n">
        <x:f>ABS(J708-K708)</x:f>
        <x:v>1.28</x:v>
      </x:c>
      <x:c r="M708" s="31" t="n">
        <x:v>4.09</x:v>
      </x:c>
      <x:c r="N708" s="31" t="n">
        <x:v>4.24</x:v>
      </x:c>
      <x:c r="O708" s="31" t="n">
        <x:f>ABS(M708-N708)</x:f>
        <x:v>0.15000000000000036</x:v>
      </x:c>
      <x:c r="P708" s="31" t="n">
        <x:v>7.56</x:v>
      </x:c>
      <x:c r="Q708" s="31" t="n">
        <x:v>7</x:v>
      </x:c>
      <x:c r="R708" s="31" t="n">
        <x:f>ABS(P708-Q708)</x:f>
        <x:v>0.5599999999999996</x:v>
      </x:c>
      <x:c r="S708" s="32" t="n">
        <x:v>16038.510653806568</x:v>
      </x:c>
      <x:c r="T708" s="32" t="n">
        <x:v>71360.01182603187</x:v>
      </x:c>
      <x:c r="U708" s="31" t="n">
        <x:f>MAX(S708/T708,T708/S708)</x:f>
        <x:v>4.4492916684315285</x:v>
      </x:c>
      <x:c r="V708" s="31" t="n">
        <x:f>L708*'Controls &amp; Summary'!$B$9+O708*'Controls &amp; Summary'!$B$10+R708*'Controls &amp; Summary'!$B$11+U708*'Controls &amp; Summary'!$B$12</x:f>
        <x:v>6.439291668431529</x:v>
      </x:c>
      <x:c r="W708" s="31" t="n">
        <x:v>4</x:v>
      </x:c>
      <x:c r="X708" s="31" t="n">
        <x:v>2</x:v>
      </x:c>
      <x:c r="Y708" s="31" t="n">
        <x:f>((10-MIN(10,MAX(0,X708)))/10)*'Controls &amp; Summary'!$B$15+((10-MIN(10,MAX(0,W708)))/10)*'Controls &amp; Summary'!$B$16</x:f>
        <x:v>1.4</x:v>
      </x:c>
      <x:c r="Z708" s="31" t="n">
        <x:f>V708*Y708</x:f>
        <x:v>9.01500833580414</x:v>
      </x:c>
      <x:c r="AA708" s="30" t="str">
        <x:f>IF(Z708&lt;=I708,"Peaceful","Hostile")</x:f>
        <x:v>Hostile</x:v>
      </x:c>
      <x:c r="AB708" s="30" t="str">
        <x:f>IF(Z708&lt;='Controls &amp; Summary'!$B$6,"Eligible","Blocked")</x:f>
        <x:v>Eligible</x:v>
      </x:c>
      <x:c r="AC708" s="30" t="str">
        <x:v>IRN</x:v>
      </x:c>
      <x:c r="AD708" s="30" t="str">
        <x:v>GUS</x:v>
      </x:c>
      <x:c r="AE708" s="30" t="str">
        <x:v>GulfStates</x:v>
      </x:c>
      <x:c r="AF708" s="30" t="str">
        <x:v>Explicit capitalClaim</x:v>
      </x:c>
      <x:c r="AG708" s="30" t="str">
        <x:v>ClaimIRNGulfStates</x:v>
      </x:c>
      <x:c r="AH708" s="30" t="str">
        <x:v>Project_TheShiaNation</x:v>
      </x:c>
    </x:row>
    <x:row r="709">
      <x:c r="A709" s="30" t="str">
        <x:v>2022</x:v>
      </x:c>
      <x:c r="B709" s="30" t="str">
        <x:v>Base game</x:v>
      </x:c>
      <x:c r="C709" s="30" t="str">
        <x:v>Iran</x:v>
      </x:c>
      <x:c r="D709" s="30" t="str">
        <x:v>Iraq</x:v>
      </x:c>
      <x:c r="E709" s="30" t="str">
        <x:v>Project unlock</x:v>
      </x:c>
      <x:c r="F709" s="30" t="str">
        <x:v>The Shia Nation</x:v>
      </x:c>
      <x:c r="G709" s="30" t="str">
        <x:v>No</x:v>
      </x:c>
      <x:c r="H709" s="30" t="str">
        <x:v>Ordinary claim</x:v>
      </x:c>
      <x:c r="I709" s="31" t="n">
        <x:f>IF(G709="Yes",'Controls &amp; Summary'!$B$5,'Controls &amp; Summary'!$B$4)</x:f>
        <x:v>6</x:v>
      </x:c>
      <x:c r="J709" s="31" t="n">
        <x:v>1.95</x:v>
      </x:c>
      <x:c r="K709" s="31" t="n">
        <x:v>3.51</x:v>
      </x:c>
      <x:c r="L709" s="31" t="n">
        <x:f>ABS(J709-K709)</x:f>
        <x:v>1.5599999999999998</x:v>
      </x:c>
      <x:c r="M709" s="31" t="n">
        <x:v>4.09</x:v>
      </x:c>
      <x:c r="N709" s="31" t="n">
        <x:v>2.95</x:v>
      </x:c>
      <x:c r="O709" s="31" t="n">
        <x:f>ABS(M709-N709)</x:f>
        <x:v>1.1399999999999997</x:v>
      </x:c>
      <x:c r="P709" s="31" t="n">
        <x:v>7.56</x:v>
      </x:c>
      <x:c r="Q709" s="31" t="n">
        <x:v>5.57</x:v>
      </x:c>
      <x:c r="R709" s="31" t="n">
        <x:f>ABS(P709-Q709)</x:f>
        <x:v>1.9899999999999993</x:v>
      </x:c>
      <x:c r="S709" s="32" t="n">
        <x:v>16038.510653806568</x:v>
      </x:c>
      <x:c r="T709" s="32" t="n">
        <x:v>10626.731663327742</x:v>
      </x:c>
      <x:c r="U709" s="31" t="n">
        <x:f>MAX(S709/T709,T709/S709)</x:f>
        <x:v>1.509260905604173</x:v>
      </x:c>
      <x:c r="V709" s="31" t="n">
        <x:f>L709*'Controls &amp; Summary'!$B$9+O709*'Controls &amp; Summary'!$B$10+R709*'Controls &amp; Summary'!$B$11+U709*'Controls &amp; Summary'!$B$12</x:f>
        <x:v>6.199260905604172</x:v>
      </x:c>
      <x:c r="W709" s="31" t="n">
        <x:v>4</x:v>
      </x:c>
      <x:c r="X709" s="31" t="n">
        <x:v>6</x:v>
      </x:c>
      <x:c r="Y709" s="31" t="n">
        <x:f>((10-MIN(10,MAX(0,X709)))/10)*'Controls &amp; Summary'!$B$15+((10-MIN(10,MAX(0,W709)))/10)*'Controls &amp; Summary'!$B$16</x:f>
        <x:v>1</x:v>
      </x:c>
      <x:c r="Z709" s="31" t="n">
        <x:f>V709*Y709</x:f>
        <x:v>6.199260905604172</x:v>
      </x:c>
      <x:c r="AA709" s="30" t="str">
        <x:f>IF(Z709&lt;=I709,"Peaceful","Hostile")</x:f>
        <x:v>Hostile</x:v>
      </x:c>
      <x:c r="AB709" s="30" t="str">
        <x:f>IF(Z709&lt;='Controls &amp; Summary'!$B$6,"Eligible","Blocked")</x:f>
        <x:v>Eligible</x:v>
      </x:c>
      <x:c r="AC709" s="30" t="str">
        <x:v>IRN</x:v>
      </x:c>
      <x:c r="AD709" s="30" t="str">
        <x:v>IRQ</x:v>
      </x:c>
      <x:c r="AE709" s="30" t="str">
        <x:v>Baghdad</x:v>
      </x:c>
      <x:c r="AF709" s="30" t="str">
        <x:v>Explicit capitalClaim</x:v>
      </x:c>
      <x:c r="AG709" s="30" t="str">
        <x:v>ClaimIRNBaghdad</x:v>
      </x:c>
      <x:c r="AH709" s="30" t="str">
        <x:v>Project_TheShiaNation</x:v>
      </x:c>
    </x:row>
    <x:row r="710">
      <x:c r="A710" s="30" t="str">
        <x:v>2022</x:v>
      </x:c>
      <x:c r="B710" s="30" t="str">
        <x:v>Base game</x:v>
      </x:c>
      <x:c r="C710" s="30" t="str">
        <x:v>Iran</x:v>
      </x:c>
      <x:c r="D710" s="30" t="str">
        <x:v>Yemen</x:v>
      </x:c>
      <x:c r="E710" s="30" t="str">
        <x:v>Project unlock</x:v>
      </x:c>
      <x:c r="F710" s="30" t="str">
        <x:v>The Shia Nation</x:v>
      </x:c>
      <x:c r="G710" s="30" t="str">
        <x:v>No</x:v>
      </x:c>
      <x:c r="H710" s="30" t="str">
        <x:v>Ordinary claim</x:v>
      </x:c>
      <x:c r="I710" s="31" t="n">
        <x:f>IF(G710="Yes",'Controls &amp; Summary'!$B$5,'Controls &amp; Summary'!$B$4)</x:f>
        <x:v>6</x:v>
      </x:c>
      <x:c r="J710" s="31" t="n">
        <x:v>1.95</x:v>
      </x:c>
      <x:c r="K710" s="31" t="n">
        <x:v>0.9</x:v>
      </x:c>
      <x:c r="L710" s="31" t="n">
        <x:f>ABS(J710-K710)</x:f>
        <x:v>1.0499999999999998</x:v>
      </x:c>
      <x:c r="M710" s="31" t="n">
        <x:v>4.09</x:v>
      </x:c>
      <x:c r="N710" s="31" t="n">
        <x:v>3.67</x:v>
      </x:c>
      <x:c r="O710" s="31" t="n">
        <x:f>ABS(M710-N710)</x:f>
        <x:v>0.41999999999999993</x:v>
      </x:c>
      <x:c r="P710" s="31" t="n">
        <x:v>7.56</x:v>
      </x:c>
      <x:c r="Q710" s="31" t="n">
        <x:v>3.5</x:v>
      </x:c>
      <x:c r="R710" s="31" t="n">
        <x:f>ABS(P710-Q710)</x:f>
        <x:v>4.06</x:v>
      </x:c>
      <x:c r="S710" s="32" t="n">
        <x:v>16038.510653806568</x:v>
      </x:c>
      <x:c r="T710" s="32" t="n">
        <x:v>992.4398371362754</x:v>
      </x:c>
      <x:c r="U710" s="31" t="n">
        <x:f>MAX(S710/T710,T710/S710)</x:f>
        <x:v>16.160688087739736</x:v>
      </x:c>
      <x:c r="V710" s="31" t="n">
        <x:f>L710*'Controls &amp; Summary'!$B$9+O710*'Controls &amp; Summary'!$B$10+R710*'Controls &amp; Summary'!$B$11+U710*'Controls &amp; Summary'!$B$12</x:f>
        <x:v>21.690688087739737</x:v>
      </x:c>
      <x:c r="W710" s="31" t="n">
        <x:v>4</x:v>
      </x:c>
      <x:c r="X710" s="31" t="n">
        <x:v>9</x:v>
      </x:c>
      <x:c r="Y710" s="31" t="n">
        <x:f>((10-MIN(10,MAX(0,X710)))/10)*'Controls &amp; Summary'!$B$15+((10-MIN(10,MAX(0,W710)))/10)*'Controls &amp; Summary'!$B$16</x:f>
        <x:v>0.7</x:v>
      </x:c>
      <x:c r="Z710" s="31" t="n">
        <x:f>V710*Y710</x:f>
        <x:v>15.183481661417815</x:v>
      </x:c>
      <x:c r="AA710" s="30" t="str">
        <x:f>IF(Z710&lt;=I710,"Peaceful","Hostile")</x:f>
        <x:v>Hostile</x:v>
      </x:c>
      <x:c r="AB710" s="30" t="str">
        <x:f>IF(Z710&lt;='Controls &amp; Summary'!$B$6,"Eligible","Blocked")</x:f>
        <x:v>Blocked</x:v>
      </x:c>
      <x:c r="AC710" s="30" t="str">
        <x:v>IRN</x:v>
      </x:c>
      <x:c r="AD710" s="30" t="str">
        <x:v>YEM</x:v>
      </x:c>
      <x:c r="AE710" s="30" t="str">
        <x:v>Yemen</x:v>
      </x:c>
      <x:c r="AF710" s="30" t="str">
        <x:v>Explicit capitalClaim</x:v>
      </x:c>
      <x:c r="AG710" s="30" t="str">
        <x:v>ClaimIRNYemen</x:v>
      </x:c>
      <x:c r="AH710" s="30" t="str">
        <x:v>Project_TheShiaNation</x:v>
      </x:c>
    </x:row>
    <x:row r="711">
      <x:c r="A711" s="30" t="str">
        <x:v>2022</x:v>
      </x:c>
      <x:c r="B711" s="30" t="str">
        <x:v>Base game</x:v>
      </x:c>
      <x:c r="C711" s="30" t="str">
        <x:v>Israel</x:v>
      </x:c>
      <x:c r="D711" s="30" t="str">
        <x:v>Palestine</x:v>
      </x:c>
      <x:c r="E711" s="30" t="str">
        <x:v>Starting claim</x:v>
      </x:c>
      <x:c r="F711" s="30" t="str"/>
      <x:c r="G711" s="30" t="str">
        <x:v>Yes</x:v>
      </x:c>
      <x:c r="H711" s="30" t="str">
        <x:v>Template hostileClaim</x:v>
      </x:c>
      <x:c r="I711" s="31" t="n">
        <x:f>IF(G711="Yes",'Controls &amp; Summary'!$B$5,'Controls &amp; Summary'!$B$4)</x:f>
        <x:v>3</x:v>
      </x:c>
      <x:c r="J711" s="31" t="n">
        <x:v>7.97</x:v>
      </x:c>
      <x:c r="K711" s="31" t="n">
        <x:v>3.94</x:v>
      </x:c>
      <x:c r="L711" s="31" t="n">
        <x:f>ABS(J711-K711)</x:f>
        <x:v>4.029999999999999</x:v>
      </x:c>
      <x:c r="M711" s="31" t="n">
        <x:v>3.86</x:v>
      </x:c>
      <x:c r="N711" s="31" t="n">
        <x:v>3.37</x:v>
      </x:c>
      <x:c r="O711" s="31" t="n">
        <x:f>ABS(M711-N711)</x:f>
        <x:v>0.48999999999999977</x:v>
      </x:c>
      <x:c r="P711" s="31" t="n">
        <x:v>8.83</x:v>
      </x:c>
      <x:c r="Q711" s="31" t="n">
        <x:v>6.78</x:v>
      </x:c>
      <x:c r="R711" s="31" t="n">
        <x:f>ABS(P711-Q711)</x:f>
        <x:v>2.05</x:v>
      </x:c>
      <x:c r="S711" s="32" t="n">
        <x:v>54234.14760449431</x:v>
      </x:c>
      <x:c r="T711" s="32" t="n">
        <x:v>5032.169109018014</x:v>
      </x:c>
      <x:c r="U711" s="31" t="n">
        <x:f>MAX(S711/T711,T711/S711)</x:f>
        <x:v>10.77748907668917</x:v>
      </x:c>
      <x:c r="V711" s="31" t="n">
        <x:f>L711*'Controls &amp; Summary'!$B$9+O711*'Controls &amp; Summary'!$B$10+R711*'Controls &amp; Summary'!$B$11+U711*'Controls &amp; Summary'!$B$12</x:f>
        <x:v>17.34748907668917</x:v>
      </x:c>
      <x:c r="W711" s="31" t="n">
        <x:v>4</x:v>
      </x:c>
      <x:c r="X711" s="31" t="n">
        <x:v>4</x:v>
      </x:c>
      <x:c r="Y711" s="31" t="n">
        <x:f>((10-MIN(10,MAX(0,X711)))/10)*'Controls &amp; Summary'!$B$15+((10-MIN(10,MAX(0,W711)))/10)*'Controls &amp; Summary'!$B$16</x:f>
        <x:v>1.2</x:v>
      </x:c>
      <x:c r="Z711" s="31" t="n">
        <x:f>V711*Y711</x:f>
        <x:v>20.816986892027</x:v>
      </x:c>
      <x:c r="AA711" s="30" t="str">
        <x:f>IF(Z711&lt;=I711,"Peaceful","Hostile")</x:f>
        <x:v>Hostile</x:v>
      </x:c>
      <x:c r="AB711" s="30" t="str">
        <x:f>IF(Z711&lt;='Controls &amp; Summary'!$B$6,"Eligible","Blocked")</x:f>
        <x:v>Blocked</x:v>
      </x:c>
      <x:c r="AC711" s="30" t="str">
        <x:v>ISR</x:v>
      </x:c>
      <x:c r="AD711" s="30" t="str">
        <x:v>PAL</x:v>
      </x:c>
      <x:c r="AE711" s="30" t="str">
        <x:v>Palestine</x:v>
      </x:c>
      <x:c r="AF711" s="30" t="str">
        <x:v>Explicit capitalClaim</x:v>
      </x:c>
      <x:c r="AG711" s="30" t="str">
        <x:v>ClaimISRPalestine</x:v>
      </x:c>
      <x:c r="AH711" s="30" t="str"/>
    </x:row>
    <x:row r="712">
      <x:c r="A712" s="30" t="str">
        <x:v>2022</x:v>
      </x:c>
      <x:c r="B712" s="30" t="str">
        <x:v>Base game</x:v>
      </x:c>
      <x:c r="C712" s="30" t="str">
        <x:v>Jamaica</x:v>
      </x:c>
      <x:c r="D712" s="30" t="str">
        <x:v>Bahamas</x:v>
      </x:c>
      <x:c r="E712" s="30" t="str">
        <x:v>Project unlock</x:v>
      </x:c>
      <x:c r="F712" s="30" t="str">
        <x:v>Caribbean Community</x:v>
      </x:c>
      <x:c r="G712" s="30" t="str">
        <x:v>No</x:v>
      </x:c>
      <x:c r="H712" s="30" t="str">
        <x:v>Ordinary claim</x:v>
      </x:c>
      <x:c r="I712" s="31" t="n">
        <x:f>IF(G712="Yes",'Controls &amp; Summary'!$B$5,'Controls &amp; Summary'!$B$4)</x:f>
        <x:v>6</x:v>
      </x:c>
      <x:c r="J712" s="31" t="n">
        <x:v>7.13</x:v>
      </x:c>
      <x:c r="K712" s="31" t="n">
        <x:v>9.1</x:v>
      </x:c>
      <x:c r="L712" s="31" t="n">
        <x:f>ABS(J712-K712)</x:f>
        <x:v>1.9699999999999998</x:v>
      </x:c>
      <x:c r="M712" s="31" t="n">
        <x:v>4.55</x:v>
      </x:c>
      <x:c r="N712" s="31" t="n">
        <x:v>5.7</x:v>
      </x:c>
      <x:c r="O712" s="31" t="n">
        <x:f>ABS(M712-N712)</x:f>
        <x:v>1.1500000000000004</x:v>
      </x:c>
      <x:c r="P712" s="31" t="n">
        <x:v>6.89</x:v>
      </x:c>
      <x:c r="Q712" s="31" t="n">
        <x:v>7.4</x:v>
      </x:c>
      <x:c r="R712" s="31" t="n">
        <x:f>ABS(P712-Q712)</x:f>
        <x:v>0.5100000000000007</x:v>
      </x:c>
      <x:c r="S712" s="32" t="n">
        <x:v>9533.676121394335</x:v>
      </x:c>
      <x:c r="T712" s="32" t="n">
        <x:v>34957.18648280164</x:v>
      </x:c>
      <x:c r="U712" s="31" t="n">
        <x:f>MAX(S712/T712,T712/S712)</x:f>
        <x:v>3.6667058999785933</x:v>
      </x:c>
      <x:c r="V712" s="31" t="n">
        <x:f>L712*'Controls &amp; Summary'!$B$9+O712*'Controls &amp; Summary'!$B$10+R712*'Controls &amp; Summary'!$B$11+U712*'Controls &amp; Summary'!$B$12</x:f>
        <x:v>7.296705899978594</x:v>
      </x:c>
      <x:c r="W712" s="31" t="n">
        <x:v>3</x:v>
      </x:c>
      <x:c r="X712" s="31" t="n">
        <x:v>1</x:v>
      </x:c>
      <x:c r="Y712" s="31" t="n">
        <x:f>((10-MIN(10,MAX(0,X712)))/10)*'Controls &amp; Summary'!$B$15+((10-MIN(10,MAX(0,W712)))/10)*'Controls &amp; Summary'!$B$16</x:f>
        <x:v>1.6</x:v>
      </x:c>
      <x:c r="Z712" s="31" t="n">
        <x:f>V712*Y712</x:f>
        <x:v>11.674729439965752</x:v>
      </x:c>
      <x:c r="AA712" s="30" t="str">
        <x:f>IF(Z712&lt;=I712,"Peaceful","Hostile")</x:f>
        <x:v>Hostile</x:v>
      </x:c>
      <x:c r="AB712" s="30" t="str">
        <x:f>IF(Z712&lt;='Controls &amp; Summary'!$B$6,"Eligible","Blocked")</x:f>
        <x:v>Eligible</x:v>
      </x:c>
      <x:c r="AC712" s="30" t="str">
        <x:v>JAM</x:v>
      </x:c>
      <x:c r="AD712" s="30" t="str">
        <x:v>BAH</x:v>
      </x:c>
      <x:c r="AE712" s="30" t="str">
        <x:v>Bahamas</x:v>
      </x:c>
      <x:c r="AF712" s="30" t="str">
        <x:v>Explicit capitalClaim</x:v>
      </x:c>
      <x:c r="AG712" s="30" t="str">
        <x:v>ClaimJAMBahamas</x:v>
      </x:c>
      <x:c r="AH712" s="30" t="str">
        <x:v>Project_CaribbeanCommunity</x:v>
      </x:c>
    </x:row>
    <x:row r="713">
      <x:c r="A713" s="30" t="str">
        <x:v>2022</x:v>
      </x:c>
      <x:c r="B713" s="30" t="str">
        <x:v>Base game</x:v>
      </x:c>
      <x:c r="C713" s="30" t="str">
        <x:v>Jamaica</x:v>
      </x:c>
      <x:c r="D713" s="30" t="str">
        <x:v>Belize</x:v>
      </x:c>
      <x:c r="E713" s="30" t="str">
        <x:v>Project unlock</x:v>
      </x:c>
      <x:c r="F713" s="30" t="str">
        <x:v>Caribbean Community</x:v>
      </x:c>
      <x:c r="G713" s="30" t="str">
        <x:v>No</x:v>
      </x:c>
      <x:c r="H713" s="30" t="str">
        <x:v>Ordinary claim</x:v>
      </x:c>
      <x:c r="I713" s="31" t="n">
        <x:f>IF(G713="Yes",'Controls &amp; Summary'!$B$5,'Controls &amp; Summary'!$B$4)</x:f>
        <x:v>6</x:v>
      </x:c>
      <x:c r="J713" s="31" t="n">
        <x:v>7.13</x:v>
      </x:c>
      <x:c r="K713" s="31" t="n">
        <x:v>8.7</x:v>
      </x:c>
      <x:c r="L713" s="31" t="n">
        <x:f>ABS(J713-K713)</x:f>
        <x:v>1.5699999999999994</x:v>
      </x:c>
      <x:c r="M713" s="31" t="n">
        <x:v>4.55</x:v>
      </x:c>
      <x:c r="N713" s="31" t="n">
        <x:v>5.33</x:v>
      </x:c>
      <x:c r="O713" s="31" t="n">
        <x:f>ABS(M713-N713)</x:f>
        <x:v>0.7800000000000002</x:v>
      </x:c>
      <x:c r="P713" s="31" t="n">
        <x:v>6.89</x:v>
      </x:c>
      <x:c r="Q713" s="31" t="n">
        <x:v>6.95</x:v>
      </x:c>
      <x:c r="R713" s="31" t="n">
        <x:f>ABS(P713-Q713)</x:f>
        <x:v>0.0600000000000005</x:v>
      </x:c>
      <x:c r="S713" s="32" t="n">
        <x:v>9533.676121394335</x:v>
      </x:c>
      <x:c r="T713" s="32" t="n">
        <x:v>7068.216411369319</x:v>
      </x:c>
      <x:c r="U713" s="31" t="n">
        <x:f>MAX(S713/T713,T713/S713)</x:f>
        <x:v>1.3488093129207663</x:v>
      </x:c>
      <x:c r="V713" s="31" t="n">
        <x:f>L713*'Controls &amp; Summary'!$B$9+O713*'Controls &amp; Summary'!$B$10+R713*'Controls &amp; Summary'!$B$11+U713*'Controls &amp; Summary'!$B$12</x:f>
        <x:v>3.7588093129207665</x:v>
      </x:c>
      <x:c r="W713" s="31" t="n">
        <x:v>3</x:v>
      </x:c>
      <x:c r="X713" s="31" t="n">
        <x:v>2</x:v>
      </x:c>
      <x:c r="Y713" s="31" t="n">
        <x:f>((10-MIN(10,MAX(0,X713)))/10)*'Controls &amp; Summary'!$B$15+((10-MIN(10,MAX(0,W713)))/10)*'Controls &amp; Summary'!$B$16</x:f>
        <x:v>1.5</x:v>
      </x:c>
      <x:c r="Z713" s="31" t="n">
        <x:f>V713*Y713</x:f>
        <x:v>5.63821396938115</x:v>
      </x:c>
      <x:c r="AA713" s="30" t="str">
        <x:f>IF(Z713&lt;=I713,"Peaceful","Hostile")</x:f>
        <x:v>Peaceful</x:v>
      </x:c>
      <x:c r="AB713" s="30" t="str">
        <x:f>IF(Z713&lt;='Controls &amp; Summary'!$B$6,"Eligible","Blocked")</x:f>
        <x:v>Eligible</x:v>
      </x:c>
      <x:c r="AC713" s="30" t="str">
        <x:v>JAM</x:v>
      </x:c>
      <x:c r="AD713" s="30" t="str">
        <x:v>BEL</x:v>
      </x:c>
      <x:c r="AE713" s="30" t="str">
        <x:v>Belize</x:v>
      </x:c>
      <x:c r="AF713" s="30" t="str">
        <x:v>Explicit capitalClaim</x:v>
      </x:c>
      <x:c r="AG713" s="30" t="str">
        <x:v>ClaimJAMBelize</x:v>
      </x:c>
      <x:c r="AH713" s="30" t="str">
        <x:v>Project_CaribbeanCommunity</x:v>
      </x:c>
    </x:row>
    <x:row r="714">
      <x:c r="A714" s="30" t="str">
        <x:v>2022</x:v>
      </x:c>
      <x:c r="B714" s="30" t="str">
        <x:v>Base game</x:v>
      </x:c>
      <x:c r="C714" s="30" t="str">
        <x:v>Jamaica</x:v>
      </x:c>
      <x:c r="D714" s="30" t="str">
        <x:v>Cuba</x:v>
      </x:c>
      <x:c r="E714" s="30" t="str">
        <x:v>Project unlock</x:v>
      </x:c>
      <x:c r="F714" s="30" t="str">
        <x:v>Caribbean Community</x:v>
      </x:c>
      <x:c r="G714" s="30" t="str">
        <x:v>No</x:v>
      </x:c>
      <x:c r="H714" s="30" t="str">
        <x:v>Ordinary claim</x:v>
      </x:c>
      <x:c r="I714" s="31" t="n">
        <x:f>IF(G714="Yes",'Controls &amp; Summary'!$B$5,'Controls &amp; Summary'!$B$4)</x:f>
        <x:v>6</x:v>
      </x:c>
      <x:c r="J714" s="31" t="n">
        <x:v>7.13</x:v>
      </x:c>
      <x:c r="K714" s="31" t="n">
        <x:v>2.59</x:v>
      </x:c>
      <x:c r="L714" s="31" t="n">
        <x:f>ABS(J714-K714)</x:f>
        <x:v>4.54</x:v>
      </x:c>
      <x:c r="M714" s="31" t="n">
        <x:v>4.55</x:v>
      </x:c>
      <x:c r="N714" s="31" t="n">
        <x:v>3.8</x:v>
      </x:c>
      <x:c r="O714" s="31" t="n">
        <x:f>ABS(M714-N714)</x:f>
        <x:v>0.75</x:v>
      </x:c>
      <x:c r="P714" s="31" t="n">
        <x:v>6.89</x:v>
      </x:c>
      <x:c r="Q714" s="31" t="n">
        <x:v>7.9</x:v>
      </x:c>
      <x:c r="R714" s="31" t="n">
        <x:f>ABS(P714-Q714)</x:f>
        <x:v>1.0100000000000007</x:v>
      </x:c>
      <x:c r="S714" s="32" t="n">
        <x:v>9533.676121394335</x:v>
      </x:c>
      <x:c r="T714" s="32" t="n">
        <x:v>12300.000115372583</x:v>
      </x:c>
      <x:c r="U714" s="31" t="n">
        <x:f>MAX(S714/T714,T714/S714)</x:f>
        <x:v>1.290163412177428</x:v>
      </x:c>
      <x:c r="V714" s="31" t="n">
        <x:f>L714*'Controls &amp; Summary'!$B$9+O714*'Controls &amp; Summary'!$B$10+R714*'Controls &amp; Summary'!$B$11+U714*'Controls &amp; Summary'!$B$12</x:f>
        <x:v>7.590163412177429</x:v>
      </x:c>
      <x:c r="W714" s="31" t="n">
        <x:v>3</x:v>
      </x:c>
      <x:c r="X714" s="31" t="n">
        <x:v>1</x:v>
      </x:c>
      <x:c r="Y714" s="31" t="n">
        <x:f>((10-MIN(10,MAX(0,X714)))/10)*'Controls &amp; Summary'!$B$15+((10-MIN(10,MAX(0,W714)))/10)*'Controls &amp; Summary'!$B$16</x:f>
        <x:v>1.6</x:v>
      </x:c>
      <x:c r="Z714" s="31" t="n">
        <x:f>V714*Y714</x:f>
        <x:v>12.144261459483886</x:v>
      </x:c>
      <x:c r="AA714" s="30" t="str">
        <x:f>IF(Z714&lt;=I714,"Peaceful","Hostile")</x:f>
        <x:v>Hostile</x:v>
      </x:c>
      <x:c r="AB714" s="30" t="str">
        <x:f>IF(Z714&lt;='Controls &amp; Summary'!$B$6,"Eligible","Blocked")</x:f>
        <x:v>Blocked</x:v>
      </x:c>
      <x:c r="AC714" s="30" t="str">
        <x:v>JAM</x:v>
      </x:c>
      <x:c r="AD714" s="30" t="str">
        <x:v>CUB</x:v>
      </x:c>
      <x:c r="AE714" s="30" t="str">
        <x:v>Cuba</x:v>
      </x:c>
      <x:c r="AF714" s="30" t="str">
        <x:v>Explicit capitalClaim</x:v>
      </x:c>
      <x:c r="AG714" s="30" t="str">
        <x:v>ClaimJAMCuba</x:v>
      </x:c>
      <x:c r="AH714" s="30" t="str">
        <x:v>Project_CaribbeanCommunity</x:v>
      </x:c>
    </x:row>
    <x:row r="715">
      <x:c r="A715" s="30" t="str">
        <x:v>2022</x:v>
      </x:c>
      <x:c r="B715" s="30" t="str">
        <x:v>Base game</x:v>
      </x:c>
      <x:c r="C715" s="30" t="str">
        <x:v>Jamaica</x:v>
      </x:c>
      <x:c r="D715" s="30" t="str">
        <x:v>Dominican Republic</x:v>
      </x:c>
      <x:c r="E715" s="30" t="str">
        <x:v>Project unlock</x:v>
      </x:c>
      <x:c r="F715" s="30" t="str">
        <x:v>Caribbean Community</x:v>
      </x:c>
      <x:c r="G715" s="30" t="str">
        <x:v>No</x:v>
      </x:c>
      <x:c r="H715" s="30" t="str">
        <x:v>Ordinary claim</x:v>
      </x:c>
      <x:c r="I715" s="31" t="n">
        <x:f>IF(G715="Yes",'Controls &amp; Summary'!$B$5,'Controls &amp; Summary'!$B$4)</x:f>
        <x:v>6</x:v>
      </x:c>
      <x:c r="J715" s="31" t="n">
        <x:v>7.13</x:v>
      </x:c>
      <x:c r="K715" s="31" t="n">
        <x:v>6.45</x:v>
      </x:c>
      <x:c r="L715" s="31" t="n">
        <x:f>ABS(J715-K715)</x:f>
        <x:v>0.6799999999999997</x:v>
      </x:c>
      <x:c r="M715" s="31" t="n">
        <x:v>4.55</x:v>
      </x:c>
      <x:c r="N715" s="31" t="n">
        <x:v>3.96</x:v>
      </x:c>
      <x:c r="O715" s="31" t="n">
        <x:f>ABS(M715-N715)</x:f>
        <x:v>0.5899999999999999</x:v>
      </x:c>
      <x:c r="P715" s="31" t="n">
        <x:v>6.89</x:v>
      </x:c>
      <x:c r="Q715" s="31" t="n">
        <x:v>6.66</x:v>
      </x:c>
      <x:c r="R715" s="31" t="n">
        <x:f>ABS(P715-Q715)</x:f>
        <x:v>0.22999999999999954</x:v>
      </x:c>
      <x:c r="S715" s="32" t="n">
        <x:v>9533.676121394335</x:v>
      </x:c>
      <x:c r="T715" s="32" t="n">
        <x:v>20237.04053759977</x:v>
      </x:c>
      <x:c r="U715" s="31" t="n">
        <x:f>MAX(S715/T715,T715/S715)</x:f>
        <x:v>2.1226901648343417</x:v>
      </x:c>
      <x:c r="V715" s="31" t="n">
        <x:f>L715*'Controls &amp; Summary'!$B$9+O715*'Controls &amp; Summary'!$B$10+R715*'Controls &amp; Summary'!$B$11+U715*'Controls &amp; Summary'!$B$12</x:f>
        <x:v>3.622690164834341</x:v>
      </x:c>
      <x:c r="W715" s="31" t="n">
        <x:v>3</x:v>
      </x:c>
      <x:c r="X715" s="31" t="n">
        <x:v>1</x:v>
      </x:c>
      <x:c r="Y715" s="31" t="n">
        <x:f>((10-MIN(10,MAX(0,X715)))/10)*'Controls &amp; Summary'!$B$15+((10-MIN(10,MAX(0,W715)))/10)*'Controls &amp; Summary'!$B$16</x:f>
        <x:v>1.6</x:v>
      </x:c>
      <x:c r="Z715" s="31" t="n">
        <x:f>V715*Y715</x:f>
        <x:v>5.796304263734946</x:v>
      </x:c>
      <x:c r="AA715" s="30" t="str">
        <x:f>IF(Z715&lt;=I715,"Peaceful","Hostile")</x:f>
        <x:v>Peaceful</x:v>
      </x:c>
      <x:c r="AB715" s="30" t="str">
        <x:f>IF(Z715&lt;='Controls &amp; Summary'!$B$6,"Eligible","Blocked")</x:f>
        <x:v>Eligible</x:v>
      </x:c>
      <x:c r="AC715" s="30" t="str">
        <x:v>JAM</x:v>
      </x:c>
      <x:c r="AD715" s="30" t="str">
        <x:v>DOM</x:v>
      </x:c>
      <x:c r="AE715" s="30" t="str">
        <x:v>EastHispanola</x:v>
      </x:c>
      <x:c r="AF715" s="30" t="str">
        <x:v>Explicit capitalClaim</x:v>
      </x:c>
      <x:c r="AG715" s="30" t="str">
        <x:v>ClaimJAMEastHispanola</x:v>
      </x:c>
      <x:c r="AH715" s="30" t="str">
        <x:v>Project_CaribbeanCommunity</x:v>
      </x:c>
    </x:row>
    <x:row r="716">
      <x:c r="A716" s="30" t="str">
        <x:v>2022</x:v>
      </x:c>
      <x:c r="B716" s="30" t="str">
        <x:v>Base game</x:v>
      </x:c>
      <x:c r="C716" s="30" t="str">
        <x:v>Jamaica</x:v>
      </x:c>
      <x:c r="D716" s="30" t="str">
        <x:v>Guyana</x:v>
      </x:c>
      <x:c r="E716" s="30" t="str">
        <x:v>Project unlock</x:v>
      </x:c>
      <x:c r="F716" s="30" t="str">
        <x:v>Caribbean Community</x:v>
      </x:c>
      <x:c r="G716" s="30" t="str">
        <x:v>No</x:v>
      </x:c>
      <x:c r="H716" s="30" t="str">
        <x:v>Ordinary claim</x:v>
      </x:c>
      <x:c r="I716" s="31" t="n">
        <x:f>IF(G716="Yes",'Controls &amp; Summary'!$B$5,'Controls &amp; Summary'!$B$4)</x:f>
        <x:v>6</x:v>
      </x:c>
      <x:c r="J716" s="31" t="n">
        <x:v>7.13</x:v>
      </x:c>
      <x:c r="K716" s="31" t="n">
        <x:v>6.25</x:v>
      </x:c>
      <x:c r="L716" s="31" t="n">
        <x:f>ABS(J716-K716)</x:f>
        <x:v>0.8799999999999999</x:v>
      </x:c>
      <x:c r="M716" s="31" t="n">
        <x:v>4.55</x:v>
      </x:c>
      <x:c r="N716" s="31" t="n">
        <x:v>4.51</x:v>
      </x:c>
      <x:c r="O716" s="31" t="n">
        <x:f>ABS(M716-N716)</x:f>
        <x:v>0.040000000000000036</x:v>
      </x:c>
      <x:c r="P716" s="31" t="n">
        <x:v>6.89</x:v>
      </x:c>
      <x:c r="Q716" s="31" t="n">
        <x:v>6.01</x:v>
      </x:c>
      <x:c r="R716" s="31" t="n">
        <x:f>ABS(P716-Q716)</x:f>
        <x:v>0.8799999999999999</x:v>
      </x:c>
      <x:c r="S716" s="32" t="n">
        <x:v>9533.676121394335</x:v>
      </x:c>
      <x:c r="T716" s="32" t="n">
        <x:v>33516.92725254583</x:v>
      </x:c>
      <x:c r="U716" s="31" t="n">
        <x:f>MAX(S716/T716,T716/S716)</x:f>
        <x:v>3.51563518896254</x:v>
      </x:c>
      <x:c r="V716" s="31" t="n">
        <x:f>L716*'Controls &amp; Summary'!$B$9+O716*'Controls &amp; Summary'!$B$10+R716*'Controls &amp; Summary'!$B$11+U716*'Controls &amp; Summary'!$B$12</x:f>
        <x:v>5.31563518896254</x:v>
      </x:c>
      <x:c r="W716" s="31" t="n">
        <x:v>3</x:v>
      </x:c>
      <x:c r="X716" s="31" t="n">
        <x:v>2</x:v>
      </x:c>
      <x:c r="Y716" s="31" t="n">
        <x:f>((10-MIN(10,MAX(0,X716)))/10)*'Controls &amp; Summary'!$B$15+((10-MIN(10,MAX(0,W716)))/10)*'Controls &amp; Summary'!$B$16</x:f>
        <x:v>1.5</x:v>
      </x:c>
      <x:c r="Z716" s="31" t="n">
        <x:f>V716*Y716</x:f>
        <x:v>7.97345278344381</x:v>
      </x:c>
      <x:c r="AA716" s="30" t="str">
        <x:f>IF(Z716&lt;=I716,"Peaceful","Hostile")</x:f>
        <x:v>Hostile</x:v>
      </x:c>
      <x:c r="AB716" s="30" t="str">
        <x:f>IF(Z716&lt;='Controls &amp; Summary'!$B$6,"Eligible","Blocked")</x:f>
        <x:v>Eligible</x:v>
      </x:c>
      <x:c r="AC716" s="30" t="str">
        <x:v>JAM</x:v>
      </x:c>
      <x:c r="AD716" s="30" t="str">
        <x:v>GUY</x:v>
      </x:c>
      <x:c r="AE716" s="30" t="str">
        <x:v>Guyana</x:v>
      </x:c>
      <x:c r="AF716" s="30" t="str">
        <x:v>Explicit capitalClaim</x:v>
      </x:c>
      <x:c r="AG716" s="30" t="str">
        <x:v>ClaimJAMGuyana</x:v>
      </x:c>
      <x:c r="AH716" s="30" t="str">
        <x:v>Project_CaribbeanCommunity</x:v>
      </x:c>
    </x:row>
    <x:row r="717">
      <x:c r="A717" s="30" t="str">
        <x:v>2022</x:v>
      </x:c>
      <x:c r="B717" s="30" t="str">
        <x:v>Base game</x:v>
      </x:c>
      <x:c r="C717" s="30" t="str">
        <x:v>Jamaica</x:v>
      </x:c>
      <x:c r="D717" s="30" t="str">
        <x:v>Haiti</x:v>
      </x:c>
      <x:c r="E717" s="30" t="str">
        <x:v>Project unlock</x:v>
      </x:c>
      <x:c r="F717" s="30" t="str">
        <x:v>Caribbean Community</x:v>
      </x:c>
      <x:c r="G717" s="30" t="str">
        <x:v>No</x:v>
      </x:c>
      <x:c r="H717" s="30" t="str">
        <x:v>Ordinary claim</x:v>
      </x:c>
      <x:c r="I717" s="31" t="n">
        <x:f>IF(G717="Yes",'Controls &amp; Summary'!$B$5,'Controls &amp; Summary'!$B$4)</x:f>
        <x:v>6</x:v>
      </x:c>
      <x:c r="J717" s="31" t="n">
        <x:v>7.13</x:v>
      </x:c>
      <x:c r="K717" s="31" t="n">
        <x:v>3.48</x:v>
      </x:c>
      <x:c r="L717" s="31" t="n">
        <x:f>ABS(J717-K717)</x:f>
        <x:v>3.65</x:v>
      </x:c>
      <x:c r="M717" s="31" t="n">
        <x:v>4.55</x:v>
      </x:c>
      <x:c r="N717" s="31" t="n">
        <x:v>4.11</x:v>
      </x:c>
      <x:c r="O717" s="31" t="n">
        <x:f>ABS(M717-N717)</x:f>
        <x:v>0.4399999999999995</x:v>
      </x:c>
      <x:c r="P717" s="31" t="n">
        <x:v>6.89</x:v>
      </x:c>
      <x:c r="Q717" s="31" t="n">
        <x:v>4.56</x:v>
      </x:c>
      <x:c r="R717" s="31" t="n">
        <x:f>ABS(P717-Q717)</x:f>
        <x:v>2.33</x:v>
      </x:c>
      <x:c r="S717" s="32" t="n">
        <x:v>9533.676121394335</x:v>
      </x:c>
      <x:c r="T717" s="32" t="n">
        <x:v>2888.1734087554805</x:v>
      </x:c>
      <x:c r="U717" s="31" t="n">
        <x:f>MAX(S717/T717,T717/S717)</x:f>
        <x:v>3.3009361877278742</x:v>
      </x:c>
      <x:c r="V717" s="31" t="n">
        <x:f>L717*'Controls &amp; Summary'!$B$9+O717*'Controls &amp; Summary'!$B$10+R717*'Controls &amp; Summary'!$B$11+U717*'Controls &amp; Summary'!$B$12</x:f>
        <x:v>9.720936187727874</x:v>
      </x:c>
      <x:c r="W717" s="31" t="n">
        <x:v>3</x:v>
      </x:c>
      <x:c r="X717" s="31" t="n">
        <x:v>5</x:v>
      </x:c>
      <x:c r="Y717" s="31" t="n">
        <x:f>((10-MIN(10,MAX(0,X717)))/10)*'Controls &amp; Summary'!$B$15+((10-MIN(10,MAX(0,W717)))/10)*'Controls &amp; Summary'!$B$16</x:f>
        <x:v>1.2</x:v>
      </x:c>
      <x:c r="Z717" s="31" t="n">
        <x:f>V717*Y717</x:f>
        <x:v>11.665123425273448</x:v>
      </x:c>
      <x:c r="AA717" s="30" t="str">
        <x:f>IF(Z717&lt;=I717,"Peaceful","Hostile")</x:f>
        <x:v>Hostile</x:v>
      </x:c>
      <x:c r="AB717" s="30" t="str">
        <x:f>IF(Z717&lt;='Controls &amp; Summary'!$B$6,"Eligible","Blocked")</x:f>
        <x:v>Eligible</x:v>
      </x:c>
      <x:c r="AC717" s="30" t="str">
        <x:v>JAM</x:v>
      </x:c>
      <x:c r="AD717" s="30" t="str">
        <x:v>HTI</x:v>
      </x:c>
      <x:c r="AE717" s="30" t="str">
        <x:v>WestHispanola</x:v>
      </x:c>
      <x:c r="AF717" s="30" t="str">
        <x:v>Explicit capitalClaim</x:v>
      </x:c>
      <x:c r="AG717" s="30" t="str">
        <x:v>ClaimJAMWestHispanola</x:v>
      </x:c>
      <x:c r="AH717" s="30" t="str">
        <x:v>Project_CaribbeanCommunity</x:v>
      </x:c>
    </x:row>
    <x:row r="718">
      <x:c r="A718" s="30" t="str">
        <x:v>2022</x:v>
      </x:c>
      <x:c r="B718" s="30" t="str">
        <x:v>Base game</x:v>
      </x:c>
      <x:c r="C718" s="30" t="str">
        <x:v>Jamaica</x:v>
      </x:c>
      <x:c r="D718" s="30" t="str">
        <x:v>Lesser Antilles States</x:v>
      </x:c>
      <x:c r="E718" s="30" t="str">
        <x:v>Project unlock</x:v>
      </x:c>
      <x:c r="F718" s="30" t="str">
        <x:v>Caribbean Community</x:v>
      </x:c>
      <x:c r="G718" s="30" t="str">
        <x:v>No</x:v>
      </x:c>
      <x:c r="H718" s="30" t="str">
        <x:v>Ordinary claim</x:v>
      </x:c>
      <x:c r="I718" s="31" t="n">
        <x:f>IF(G718="Yes",'Controls &amp; Summary'!$B$5,'Controls &amp; Summary'!$B$4)</x:f>
        <x:v>6</x:v>
      </x:c>
      <x:c r="J718" s="31" t="n">
        <x:v>7.13</x:v>
      </x:c>
      <x:c r="K718" s="31" t="n">
        <x:v>7.95</x:v>
      </x:c>
      <x:c r="L718" s="31" t="n">
        <x:f>ABS(J718-K718)</x:f>
        <x:v>0.8200000000000003</x:v>
      </x:c>
      <x:c r="M718" s="31" t="n">
        <x:v>4.55</x:v>
      </x:c>
      <x:c r="N718" s="31" t="n">
        <x:v>4.15</x:v>
      </x:c>
      <x:c r="O718" s="31" t="n">
        <x:f>ABS(M718-N718)</x:f>
        <x:v>0.39999999999999947</x:v>
      </x:c>
      <x:c r="P718" s="31" t="n">
        <x:v>6.89</x:v>
      </x:c>
      <x:c r="Q718" s="31" t="n">
        <x:v>7.23</x:v>
      </x:c>
      <x:c r="R718" s="31" t="n">
        <x:f>ABS(P718-Q718)</x:f>
        <x:v>0.34000000000000075</x:v>
      </x:c>
      <x:c r="S718" s="32" t="n">
        <x:v>9533.676121394335</x:v>
      </x:c>
      <x:c r="T718" s="32" t="n">
        <x:v>22262.965266706797</x:v>
      </x:c>
      <x:c r="U718" s="31" t="n">
        <x:f>MAX(S718/T718,T718/S718)</x:f>
        <x:v>2.335192110915842</x:v>
      </x:c>
      <x:c r="V718" s="31" t="n">
        <x:f>L718*'Controls &amp; Summary'!$B$9+O718*'Controls &amp; Summary'!$B$10+R718*'Controls &amp; Summary'!$B$11+U718*'Controls &amp; Summary'!$B$12</x:f>
        <x:v>3.8951921109158425</x:v>
      </x:c>
      <x:c r="W718" s="31" t="n">
        <x:v>3</x:v>
      </x:c>
      <x:c r="X718" s="31" t="n">
        <x:v>2</x:v>
      </x:c>
      <x:c r="Y718" s="31" t="n">
        <x:f>((10-MIN(10,MAX(0,X718)))/10)*'Controls &amp; Summary'!$B$15+((10-MIN(10,MAX(0,W718)))/10)*'Controls &amp; Summary'!$B$16</x:f>
        <x:v>1.5</x:v>
      </x:c>
      <x:c r="Z718" s="31" t="n">
        <x:f>V718*Y718</x:f>
        <x:v>5.842788166373763</x:v>
      </x:c>
      <x:c r="AA718" s="30" t="str">
        <x:f>IF(Z718&lt;=I718,"Peaceful","Hostile")</x:f>
        <x:v>Peaceful</x:v>
      </x:c>
      <x:c r="AB718" s="30" t="str">
        <x:f>IF(Z718&lt;='Controls &amp; Summary'!$B$6,"Eligible","Blocked")</x:f>
        <x:v>Eligible</x:v>
      </x:c>
      <x:c r="AC718" s="30" t="str">
        <x:v>JAM</x:v>
      </x:c>
      <x:c r="AD718" s="30" t="str">
        <x:v>CAB</x:v>
      </x:c>
      <x:c r="AE718" s="30" t="str">
        <x:v>WestIndies</x:v>
      </x:c>
      <x:c r="AF718" s="30" t="str">
        <x:v>Explicit capitalClaim</x:v>
      </x:c>
      <x:c r="AG718" s="30" t="str">
        <x:v>ClaimJAMWestIndies</x:v>
      </x:c>
      <x:c r="AH718" s="30" t="str">
        <x:v>Project_CaribbeanCommunity</x:v>
      </x:c>
    </x:row>
    <x:row r="719">
      <x:c r="A719" s="30" t="str">
        <x:v>2022</x:v>
      </x:c>
      <x:c r="B719" s="30" t="str">
        <x:v>Base game</x:v>
      </x:c>
      <x:c r="C719" s="30" t="str">
        <x:v>Jamaica</x:v>
      </x:c>
      <x:c r="D719" s="30" t="str">
        <x:v>Suriname</x:v>
      </x:c>
      <x:c r="E719" s="30" t="str">
        <x:v>Project unlock</x:v>
      </x:c>
      <x:c r="F719" s="30" t="str">
        <x:v>Caribbean Community</x:v>
      </x:c>
      <x:c r="G719" s="30" t="str">
        <x:v>No</x:v>
      </x:c>
      <x:c r="H719" s="30" t="str">
        <x:v>Ordinary claim</x:v>
      </x:c>
      <x:c r="I719" s="31" t="n">
        <x:f>IF(G719="Yes",'Controls &amp; Summary'!$B$5,'Controls &amp; Summary'!$B$4)</x:f>
        <x:v>6</x:v>
      </x:c>
      <x:c r="J719" s="31" t="n">
        <x:v>7.13</x:v>
      </x:c>
      <x:c r="K719" s="31" t="n">
        <x:v>6.82</x:v>
      </x:c>
      <x:c r="L719" s="31" t="n">
        <x:f>ABS(J719-K719)</x:f>
        <x:v>0.3099999999999996</x:v>
      </x:c>
      <x:c r="M719" s="31" t="n">
        <x:v>4.55</x:v>
      </x:c>
      <x:c r="N719" s="31" t="n">
        <x:v>5.79</x:v>
      </x:c>
      <x:c r="O719" s="31" t="n">
        <x:f>ABS(M719-N719)</x:f>
        <x:v>1.2400000000000002</x:v>
      </x:c>
      <x:c r="P719" s="31" t="n">
        <x:v>6.89</x:v>
      </x:c>
      <x:c r="Q719" s="31" t="n">
        <x:v>6.75</x:v>
      </x:c>
      <x:c r="R719" s="31" t="n">
        <x:f>ABS(P719-Q719)</x:f>
        <x:v>0.13999999999999968</x:v>
      </x:c>
      <x:c r="S719" s="32" t="n">
        <x:v>9533.676121394335</x:v>
      </x:c>
      <x:c r="T719" s="32" t="n">
        <x:v>15700.892095820684</x:v>
      </x:c>
      <x:c r="U719" s="31" t="n">
        <x:f>MAX(S719/T719,T719/S719)</x:f>
        <x:v>1.6468875065502404</x:v>
      </x:c>
      <x:c r="V719" s="31" t="n">
        <x:f>L719*'Controls &amp; Summary'!$B$9+O719*'Controls &amp; Summary'!$B$10+R719*'Controls &amp; Summary'!$B$11+U719*'Controls &amp; Summary'!$B$12</x:f>
        <x:v>3.33688750655024</x:v>
      </x:c>
      <x:c r="W719" s="31" t="n">
        <x:v>3</x:v>
      </x:c>
      <x:c r="X719" s="31" t="n">
        <x:v>1</x:v>
      </x:c>
      <x:c r="Y719" s="31" t="n">
        <x:f>((10-MIN(10,MAX(0,X719)))/10)*'Controls &amp; Summary'!$B$15+((10-MIN(10,MAX(0,W719)))/10)*'Controls &amp; Summary'!$B$16</x:f>
        <x:v>1.6</x:v>
      </x:c>
      <x:c r="Z719" s="31" t="n">
        <x:f>V719*Y719</x:f>
        <x:v>5.339020010480384</x:v>
      </x:c>
      <x:c r="AA719" s="30" t="str">
        <x:f>IF(Z719&lt;=I719,"Peaceful","Hostile")</x:f>
        <x:v>Peaceful</x:v>
      </x:c>
      <x:c r="AB719" s="30" t="str">
        <x:f>IF(Z719&lt;='Controls &amp; Summary'!$B$6,"Eligible","Blocked")</x:f>
        <x:v>Eligible</x:v>
      </x:c>
      <x:c r="AC719" s="30" t="str">
        <x:v>JAM</x:v>
      </x:c>
      <x:c r="AD719" s="30" t="str">
        <x:v>SUR</x:v>
      </x:c>
      <x:c r="AE719" s="30" t="str">
        <x:v>Suriname</x:v>
      </x:c>
      <x:c r="AF719" s="30" t="str">
        <x:v>Explicit capitalClaim</x:v>
      </x:c>
      <x:c r="AG719" s="30" t="str">
        <x:v>ClaimJAMSuriname</x:v>
      </x:c>
      <x:c r="AH719" s="30" t="str">
        <x:v>Project_CaribbeanCommunity</x:v>
      </x:c>
    </x:row>
    <x:row r="720">
      <x:c r="A720" s="30" t="str">
        <x:v>2022</x:v>
      </x:c>
      <x:c r="B720" s="30" t="str">
        <x:v>Base game</x:v>
      </x:c>
      <x:c r="C720" s="30" t="str">
        <x:v>Japan</x:v>
      </x:c>
      <x:c r="D720" s="30" t="str">
        <x:v>Melanesian States</x:v>
      </x:c>
      <x:c r="E720" s="30" t="str">
        <x:v>Project unlock</x:v>
      </x:c>
      <x:c r="F720" s="30" t="str">
        <x:v>Pacific League</x:v>
      </x:c>
      <x:c r="G720" s="30" t="str">
        <x:v>No</x:v>
      </x:c>
      <x:c r="H720" s="30" t="str">
        <x:v>Ordinary claim</x:v>
      </x:c>
      <x:c r="I720" s="31" t="n">
        <x:f>IF(G720="Yes",'Controls &amp; Summary'!$B$5,'Controls &amp; Summary'!$B$4)</x:f>
        <x:v>6</x:v>
      </x:c>
      <x:c r="J720" s="31" t="n">
        <x:v>8.15</x:v>
      </x:c>
      <x:c r="K720" s="31" t="n">
        <x:v>6.89</x:v>
      </x:c>
      <x:c r="L720" s="31" t="n">
        <x:f>ABS(J720-K720)</x:f>
        <x:v>1.2600000000000007</x:v>
      </x:c>
      <x:c r="M720" s="31" t="n">
        <x:v>3.29</x:v>
      </x:c>
      <x:c r="N720" s="31" t="n">
        <x:v>3.31</x:v>
      </x:c>
      <x:c r="O720" s="31" t="n">
        <x:f>ABS(M720-N720)</x:f>
        <x:v>0.020000000000000018</x:v>
      </x:c>
      <x:c r="P720" s="31" t="n">
        <x:v>8.51</x:v>
      </x:c>
      <x:c r="Q720" s="31" t="n">
        <x:v>6.23</x:v>
      </x:c>
      <x:c r="R720" s="31" t="n">
        <x:f>ABS(P720-Q720)</x:f>
        <x:v>2.2799999999999994</x:v>
      </x:c>
      <x:c r="S720" s="32" t="n">
        <x:v>42559.709011929815</x:v>
      </x:c>
      <x:c r="T720" s="32" t="n">
        <x:v>6725.308486472044</x:v>
      </x:c>
      <x:c r="U720" s="31" t="n">
        <x:f>MAX(S720/T720,T720/S720)</x:f>
        <x:v>6.328290976917811</x:v>
      </x:c>
      <x:c r="V720" s="31" t="n">
        <x:f>L720*'Controls &amp; Summary'!$B$9+O720*'Controls &amp; Summary'!$B$10+R720*'Controls &amp; Summary'!$B$11+U720*'Controls &amp; Summary'!$B$12</x:f>
        <x:v>9.88829097691781</x:v>
      </x:c>
      <x:c r="W720" s="31" t="n">
        <x:v>7</x:v>
      </x:c>
      <x:c r="X720" s="31" t="n">
        <x:v>2</x:v>
      </x:c>
      <x:c r="Y720" s="31" t="n">
        <x:f>((10-MIN(10,MAX(0,X720)))/10)*'Controls &amp; Summary'!$B$15+((10-MIN(10,MAX(0,W720)))/10)*'Controls &amp; Summary'!$B$16</x:f>
        <x:v>1.1</x:v>
      </x:c>
      <x:c r="Z720" s="31" t="n">
        <x:f>V720*Y720</x:f>
        <x:v>10.877120074609593</x:v>
      </x:c>
      <x:c r="AA720" s="30" t="str">
        <x:f>IF(Z720&lt;=I720,"Peaceful","Hostile")</x:f>
        <x:v>Hostile</x:v>
      </x:c>
      <x:c r="AB720" s="30" t="str">
        <x:f>IF(Z720&lt;='Controls &amp; Summary'!$B$6,"Eligible","Blocked")</x:f>
        <x:v>Eligible</x:v>
      </x:c>
      <x:c r="AC720" s="30" t="str">
        <x:v>JPN</x:v>
      </x:c>
      <x:c r="AD720" s="30" t="str">
        <x:v>PCS</x:v>
      </x:c>
      <x:c r="AE720" s="30" t="str">
        <x:v>Melanesia</x:v>
      </x:c>
      <x:c r="AF720" s="30" t="str">
        <x:v>Explicit capitalClaim</x:v>
      </x:c>
      <x:c r="AG720" s="30" t="str">
        <x:v>ClaimJPNMelanesia</x:v>
      </x:c>
      <x:c r="AH720" s="30" t="str">
        <x:v>Project_PacificLeague</x:v>
      </x:c>
    </x:row>
    <x:row r="721">
      <x:c r="A721" s="30" t="str">
        <x:v>2022</x:v>
      </x:c>
      <x:c r="B721" s="30" t="str">
        <x:v>Base game</x:v>
      </x:c>
      <x:c r="C721" s="30" t="str">
        <x:v>Japan</x:v>
      </x:c>
      <x:c r="D721" s="30" t="str">
        <x:v>Micronesian States</x:v>
      </x:c>
      <x:c r="E721" s="30" t="str">
        <x:v>Project unlock</x:v>
      </x:c>
      <x:c r="F721" s="30" t="str">
        <x:v>Pacific League</x:v>
      </x:c>
      <x:c r="G721" s="30" t="str">
        <x:v>No</x:v>
      </x:c>
      <x:c r="H721" s="30" t="str">
        <x:v>Ordinary claim</x:v>
      </x:c>
      <x:c r="I721" s="31" t="n">
        <x:f>IF(G721="Yes",'Controls &amp; Summary'!$B$5,'Controls &amp; Summary'!$B$4)</x:f>
        <x:v>6</x:v>
      </x:c>
      <x:c r="J721" s="31" t="n">
        <x:v>8.15</x:v>
      </x:c>
      <x:c r="K721" s="31" t="n">
        <x:v>9.21</x:v>
      </x:c>
      <x:c r="L721" s="31" t="n">
        <x:f>ABS(J721-K721)</x:f>
        <x:v>1.0600000000000005</x:v>
      </x:c>
      <x:c r="M721" s="31" t="n">
        <x:v>3.29</x:v>
      </x:c>
      <x:c r="N721" s="31" t="n">
        <x:v>3.5</x:v>
      </x:c>
      <x:c r="O721" s="31" t="n">
        <x:f>ABS(M721-N721)</x:f>
        <x:v>0.20999999999999996</x:v>
      </x:c>
      <x:c r="P721" s="31" t="n">
        <x:v>8.51</x:v>
      </x:c>
      <x:c r="Q721" s="31" t="n">
        <x:v>6.3</x:v>
      </x:c>
      <x:c r="R721" s="31" t="n">
        <x:f>ABS(P721-Q721)</x:f>
        <x:v>2.21</x:v>
      </x:c>
      <x:c r="S721" s="32" t="n">
        <x:v>42559.709011929815</x:v>
      </x:c>
      <x:c r="T721" s="32" t="n">
        <x:v>4400.046986099545</x:v>
      </x:c>
      <x:c r="U721" s="31" t="n">
        <x:f>MAX(S721/T721,T721/S721)</x:f>
        <x:v>9.67255784912815</x:v>
      </x:c>
      <x:c r="V721" s="31" t="n">
        <x:f>L721*'Controls &amp; Summary'!$B$9+O721*'Controls &amp; Summary'!$B$10+R721*'Controls &amp; Summary'!$B$11+U721*'Controls &amp; Summary'!$B$12</x:f>
        <x:v>13.15255784912815</x:v>
      </x:c>
      <x:c r="W721" s="31" t="n">
        <x:v>7</x:v>
      </x:c>
      <x:c r="X721" s="31" t="n">
        <x:v>0</x:v>
      </x:c>
      <x:c r="Y721" s="31" t="n">
        <x:f>((10-MIN(10,MAX(0,X721)))/10)*'Controls &amp; Summary'!$B$15+((10-MIN(10,MAX(0,W721)))/10)*'Controls &amp; Summary'!$B$16</x:f>
        <x:v>1.3</x:v>
      </x:c>
      <x:c r="Z721" s="31" t="n">
        <x:f>V721*Y721</x:f>
        <x:v>17.098325203866597</x:v>
      </x:c>
      <x:c r="AA721" s="30" t="str">
        <x:f>IF(Z721&lt;=I721,"Peaceful","Hostile")</x:f>
        <x:v>Hostile</x:v>
      </x:c>
      <x:c r="AB721" s="30" t="str">
        <x:f>IF(Z721&lt;='Controls &amp; Summary'!$B$6,"Eligible","Blocked")</x:f>
        <x:v>Blocked</x:v>
      </x:c>
      <x:c r="AC721" s="30" t="str">
        <x:v>JPN</x:v>
      </x:c>
      <x:c r="AD721" s="30" t="str">
        <x:v>MCS</x:v>
      </x:c>
      <x:c r="AE721" s="30" t="str">
        <x:v>Micronesia</x:v>
      </x:c>
      <x:c r="AF721" s="30" t="str">
        <x:v>Explicit capitalClaim</x:v>
      </x:c>
      <x:c r="AG721" s="30" t="str">
        <x:v>ClaimJPNMicronesia</x:v>
      </x:c>
      <x:c r="AH721" s="30" t="str">
        <x:v>Project_PacificLeague</x:v>
      </x:c>
    </x:row>
    <x:row r="722">
      <x:c r="A722" s="30" t="str">
        <x:v>2022</x:v>
      </x:c>
      <x:c r="B722" s="30" t="str">
        <x:v>Base game</x:v>
      </x:c>
      <x:c r="C722" s="30" t="str">
        <x:v>Japan</x:v>
      </x:c>
      <x:c r="D722" s="30" t="str">
        <x:v>North Korea</x:v>
      </x:c>
      <x:c r="E722" s="30" t="str">
        <x:v>Project unlock</x:v>
      </x:c>
      <x:c r="F722" s="30" t="str">
        <x:v>Pacific League</x:v>
      </x:c>
      <x:c r="G722" s="30" t="str">
        <x:v>No</x:v>
      </x:c>
      <x:c r="H722" s="30" t="str">
        <x:v>Ordinary claim</x:v>
      </x:c>
      <x:c r="I722" s="31" t="n">
        <x:f>IF(G722="Yes",'Controls &amp; Summary'!$B$5,'Controls &amp; Summary'!$B$4)</x:f>
        <x:v>6</x:v>
      </x:c>
      <x:c r="J722" s="31" t="n">
        <x:v>8.15</x:v>
      </x:c>
      <x:c r="K722" s="31" t="n">
        <x:v>1.08</x:v>
      </x:c>
      <x:c r="L722" s="31" t="n">
        <x:f>ABS(J722-K722)</x:f>
        <x:v>7.07</x:v>
      </x:c>
      <x:c r="M722" s="31" t="n">
        <x:v>3.29</x:v>
      </x:c>
      <x:c r="N722" s="31" t="n">
        <x:v>8.6</x:v>
      </x:c>
      <x:c r="O722" s="31" t="n">
        <x:f>ABS(M722-N722)</x:f>
        <x:v>5.31</x:v>
      </x:c>
      <x:c r="P722" s="31" t="n">
        <x:v>8.51</x:v>
      </x:c>
      <x:c r="Q722" s="31" t="n">
        <x:v>4.85</x:v>
      </x:c>
      <x:c r="R722" s="31" t="n">
        <x:f>ABS(P722-Q722)</x:f>
        <x:v>3.66</x:v>
      </x:c>
      <x:c r="S722" s="32" t="n">
        <x:v>42559.709011929815</x:v>
      </x:c>
      <x:c r="T722" s="32" t="n">
        <x:v>6682.835129911699</x:v>
      </x:c>
      <x:c r="U722" s="31" t="n">
        <x:f>MAX(S722/T722,T722/S722)</x:f>
        <x:v>6.368510996393855</x:v>
      </x:c>
      <x:c r="V722" s="31" t="n">
        <x:f>L722*'Controls &amp; Summary'!$B$9+O722*'Controls &amp; Summary'!$B$10+R722*'Controls &amp; Summary'!$B$11+U722*'Controls &amp; Summary'!$B$12</x:f>
        <x:v>22.408510996393854</x:v>
      </x:c>
      <x:c r="W722" s="31" t="n">
        <x:v>7</x:v>
      </x:c>
      <x:c r="X722" s="31" t="n">
        <x:v>0</x:v>
      </x:c>
      <x:c r="Y722" s="31" t="n">
        <x:f>((10-MIN(10,MAX(0,X722)))/10)*'Controls &amp; Summary'!$B$15+((10-MIN(10,MAX(0,W722)))/10)*'Controls &amp; Summary'!$B$16</x:f>
        <x:v>1.3</x:v>
      </x:c>
      <x:c r="Z722" s="31" t="n">
        <x:f>V722*Y722</x:f>
        <x:v>29.13106429531201</x:v>
      </x:c>
      <x:c r="AA722" s="30" t="str">
        <x:f>IF(Z722&lt;=I722,"Peaceful","Hostile")</x:f>
        <x:v>Hostile</x:v>
      </x:c>
      <x:c r="AB722" s="30" t="str">
        <x:f>IF(Z722&lt;='Controls &amp; Summary'!$B$6,"Eligible","Blocked")</x:f>
        <x:v>Blocked</x:v>
      </x:c>
      <x:c r="AC722" s="30" t="str">
        <x:v>JPN</x:v>
      </x:c>
      <x:c r="AD722" s="30" t="str">
        <x:v>PRK</x:v>
      </x:c>
      <x:c r="AE722" s="30" t="str">
        <x:v>NorthKorea</x:v>
      </x:c>
      <x:c r="AF722" s="30" t="str">
        <x:v>Explicit capitalClaim</x:v>
      </x:c>
      <x:c r="AG722" s="30" t="str">
        <x:v>ClaimJPNNorthKorea</x:v>
      </x:c>
      <x:c r="AH722" s="30" t="str">
        <x:v>Project_PacificLeague</x:v>
      </x:c>
    </x:row>
    <x:row r="723">
      <x:c r="A723" s="30" t="str">
        <x:v>2022</x:v>
      </x:c>
      <x:c r="B723" s="30" t="str">
        <x:v>Base game</x:v>
      </x:c>
      <x:c r="C723" s="30" t="str">
        <x:v>Japan</x:v>
      </x:c>
      <x:c r="D723" s="30" t="str">
        <x:v>Papua New Guinea</x:v>
      </x:c>
      <x:c r="E723" s="30" t="str">
        <x:v>Project unlock</x:v>
      </x:c>
      <x:c r="F723" s="30" t="str">
        <x:v>Pacific League</x:v>
      </x:c>
      <x:c r="G723" s="30" t="str">
        <x:v>No</x:v>
      </x:c>
      <x:c r="H723" s="30" t="str">
        <x:v>Ordinary claim</x:v>
      </x:c>
      <x:c r="I723" s="31" t="n">
        <x:f>IF(G723="Yes",'Controls &amp; Summary'!$B$5,'Controls &amp; Summary'!$B$4)</x:f>
        <x:v>6</x:v>
      </x:c>
      <x:c r="J723" s="31" t="n">
        <x:v>8.15</x:v>
      </x:c>
      <x:c r="K723" s="31" t="n">
        <x:v>6.1</x:v>
      </x:c>
      <x:c r="L723" s="31" t="n">
        <x:f>ABS(J723-K723)</x:f>
        <x:v>2.0500000000000007</x:v>
      </x:c>
      <x:c r="M723" s="31" t="n">
        <x:v>3.29</x:v>
      </x:c>
      <x:c r="N723" s="31" t="n">
        <x:v>4.19</x:v>
      </x:c>
      <x:c r="O723" s="31" t="n">
        <x:f>ABS(M723-N723)</x:f>
        <x:v>0.9000000000000004</x:v>
      </x:c>
      <x:c r="P723" s="31" t="n">
        <x:v>8.51</x:v>
      </x:c>
      <x:c r="Q723" s="31" t="n">
        <x:v>4.39</x:v>
      </x:c>
      <x:c r="R723" s="31" t="n">
        <x:f>ABS(P723-Q723)</x:f>
        <x:v>4.12</x:v>
      </x:c>
      <x:c r="S723" s="32" t="n">
        <x:v>42559.709011929815</x:v>
      </x:c>
      <x:c r="T723" s="32" t="n">
        <x:v>3703.932114816485</x:v>
      </x:c>
      <x:c r="U723" s="31" t="n">
        <x:f>MAX(S723/T723,T723/S723)</x:f>
        <x:v>11.490412807967589</x:v>
      </x:c>
      <x:c r="V723" s="31" t="n">
        <x:f>L723*'Controls &amp; Summary'!$B$9+O723*'Controls &amp; Summary'!$B$10+R723*'Controls &amp; Summary'!$B$11+U723*'Controls &amp; Summary'!$B$12</x:f>
        <x:v>18.56041280796759</x:v>
      </x:c>
      <x:c r="W723" s="31" t="n">
        <x:v>7</x:v>
      </x:c>
      <x:c r="X723" s="31" t="n">
        <x:v>4</x:v>
      </x:c>
      <x:c r="Y723" s="31" t="n">
        <x:f>((10-MIN(10,MAX(0,X723)))/10)*'Controls &amp; Summary'!$B$15+((10-MIN(10,MAX(0,W723)))/10)*'Controls &amp; Summary'!$B$16</x:f>
        <x:v>0.8999999999999999</x:v>
      </x:c>
      <x:c r="Z723" s="31" t="n">
        <x:f>V723*Y723</x:f>
        <x:v>16.70437152717083</x:v>
      </x:c>
      <x:c r="AA723" s="30" t="str">
        <x:f>IF(Z723&lt;=I723,"Peaceful","Hostile")</x:f>
        <x:v>Hostile</x:v>
      </x:c>
      <x:c r="AB723" s="30" t="str">
        <x:f>IF(Z723&lt;='Controls &amp; Summary'!$B$6,"Eligible","Blocked")</x:f>
        <x:v>Blocked</x:v>
      </x:c>
      <x:c r="AC723" s="30" t="str">
        <x:v>JPN</x:v>
      </x:c>
      <x:c r="AD723" s="30" t="str">
        <x:v>PNG</x:v>
      </x:c>
      <x:c r="AE723" s="30" t="str">
        <x:v>PortMorseby</x:v>
      </x:c>
      <x:c r="AF723" s="30" t="str">
        <x:v>Explicit capitalClaim</x:v>
      </x:c>
      <x:c r="AG723" s="30" t="str">
        <x:v>ClaimJPNPortMorseby</x:v>
      </x:c>
      <x:c r="AH723" s="30" t="str">
        <x:v>Project_PacificLeague</x:v>
      </x:c>
    </x:row>
    <x:row r="724">
      <x:c r="A724" s="30" t="str">
        <x:v>2022</x:v>
      </x:c>
      <x:c r="B724" s="30" t="str">
        <x:v>Base game</x:v>
      </x:c>
      <x:c r="C724" s="30" t="str">
        <x:v>Japan</x:v>
      </x:c>
      <x:c r="D724" s="30" t="str">
        <x:v>Philippines</x:v>
      </x:c>
      <x:c r="E724" s="30" t="str">
        <x:v>Project unlock</x:v>
      </x:c>
      <x:c r="F724" s="30" t="str">
        <x:v>Pacific League</x:v>
      </x:c>
      <x:c r="G724" s="30" t="str">
        <x:v>No</x:v>
      </x:c>
      <x:c r="H724" s="30" t="str">
        <x:v>Ordinary claim</x:v>
      </x:c>
      <x:c r="I724" s="31" t="n">
        <x:f>IF(G724="Yes",'Controls &amp; Summary'!$B$5,'Controls &amp; Summary'!$B$4)</x:f>
        <x:v>6</x:v>
      </x:c>
      <x:c r="J724" s="31" t="n">
        <x:v>8.15</x:v>
      </x:c>
      <x:c r="K724" s="31" t="n">
        <x:v>6.56</x:v>
      </x:c>
      <x:c r="L724" s="31" t="n">
        <x:f>ABS(J724-K724)</x:f>
        <x:v>1.5900000000000007</x:v>
      </x:c>
      <x:c r="M724" s="31" t="n">
        <x:v>3.29</x:v>
      </x:c>
      <x:c r="N724" s="31" t="n">
        <x:v>4.23</x:v>
      </x:c>
      <x:c r="O724" s="31" t="n">
        <x:f>ABS(M724-N724)</x:f>
        <x:v>0.9400000000000004</x:v>
      </x:c>
      <x:c r="P724" s="31" t="n">
        <x:v>8.51</x:v>
      </x:c>
      <x:c r="Q724" s="31" t="n">
        <x:v>6.78</x:v>
      </x:c>
      <x:c r="R724" s="31" t="n">
        <x:f>ABS(P724-Q724)</x:f>
        <x:v>1.7299999999999995</x:v>
      </x:c>
      <x:c r="S724" s="32" t="n">
        <x:v>42559.709011929815</x:v>
      </x:c>
      <x:c r="T724" s="32" t="n">
        <x:v>8910.697299448184</x:v>
      </x:c>
      <x:c r="U724" s="31" t="n">
        <x:f>MAX(S724/T724,T724/S724)</x:f>
        <x:v>4.776248993955324</x:v>
      </x:c>
      <x:c r="V724" s="31" t="n">
        <x:f>L724*'Controls &amp; Summary'!$B$9+O724*'Controls &amp; Summary'!$B$10+R724*'Controls &amp; Summary'!$B$11+U724*'Controls &amp; Summary'!$B$12</x:f>
        <x:v>9.036248993955326</x:v>
      </x:c>
      <x:c r="W724" s="31" t="n">
        <x:v>7</x:v>
      </x:c>
      <x:c r="X724" s="31" t="n">
        <x:v>6</x:v>
      </x:c>
      <x:c r="Y724" s="31" t="n">
        <x:f>((10-MIN(10,MAX(0,X724)))/10)*'Controls &amp; Summary'!$B$15+((10-MIN(10,MAX(0,W724)))/10)*'Controls &amp; Summary'!$B$16</x:f>
        <x:v>0.7</x:v>
      </x:c>
      <x:c r="Z724" s="31" t="n">
        <x:f>V724*Y724</x:f>
        <x:v>6.325374295768728</x:v>
      </x:c>
      <x:c r="AA724" s="30" t="str">
        <x:f>IF(Z724&lt;=I724,"Peaceful","Hostile")</x:f>
        <x:v>Hostile</x:v>
      </x:c>
      <x:c r="AB724" s="30" t="str">
        <x:f>IF(Z724&lt;='Controls &amp; Summary'!$B$6,"Eligible","Blocked")</x:f>
        <x:v>Eligible</x:v>
      </x:c>
      <x:c r="AC724" s="30" t="str">
        <x:v>JPN</x:v>
      </x:c>
      <x:c r="AD724" s="30" t="str">
        <x:v>PHL</x:v>
      </x:c>
      <x:c r="AE724" s="30" t="str">
        <x:v>Luzon</x:v>
      </x:c>
      <x:c r="AF724" s="30" t="str">
        <x:v>Explicit capitalClaim</x:v>
      </x:c>
      <x:c r="AG724" s="30" t="str">
        <x:v>ClaimJPNLuzon</x:v>
      </x:c>
      <x:c r="AH724" s="30" t="str">
        <x:v>Project_PacificLeague</x:v>
      </x:c>
    </x:row>
    <x:row r="725">
      <x:c r="A725" s="30" t="str">
        <x:v>2022</x:v>
      </x:c>
      <x:c r="B725" s="30" t="str">
        <x:v>Base game</x:v>
      </x:c>
      <x:c r="C725" s="30" t="str">
        <x:v>Japan</x:v>
      </x:c>
      <x:c r="D725" s="30" t="str">
        <x:v>South Korea</x:v>
      </x:c>
      <x:c r="E725" s="30" t="str">
        <x:v>Project unlock</x:v>
      </x:c>
      <x:c r="F725" s="30" t="str">
        <x:v>Pacific League</x:v>
      </x:c>
      <x:c r="G725" s="30" t="str">
        <x:v>No</x:v>
      </x:c>
      <x:c r="H725" s="30" t="str">
        <x:v>Ordinary claim</x:v>
      </x:c>
      <x:c r="I725" s="31" t="n">
        <x:f>IF(G725="Yes",'Controls &amp; Summary'!$B$5,'Controls &amp; Summary'!$B$4)</x:f>
        <x:v>6</x:v>
      </x:c>
      <x:c r="J725" s="31" t="n">
        <x:v>8.15</x:v>
      </x:c>
      <x:c r="K725" s="31" t="n">
        <x:v>8.16</x:v>
      </x:c>
      <x:c r="L725" s="31" t="n">
        <x:f>ABS(J725-K725)</x:f>
        <x:v>0.009999999999999787</x:v>
      </x:c>
      <x:c r="M725" s="31" t="n">
        <x:v>3.29</x:v>
      </x:c>
      <x:c r="N725" s="31" t="n">
        <x:v>3.14</x:v>
      </x:c>
      <x:c r="O725" s="31" t="n">
        <x:f>ABS(M725-N725)</x:f>
        <x:v>0.1499999999999999</x:v>
      </x:c>
      <x:c r="P725" s="31" t="n">
        <x:v>8.51</x:v>
      </x:c>
      <x:c r="Q725" s="31" t="n">
        <x:v>8.65</x:v>
      </x:c>
      <x:c r="R725" s="31" t="n">
        <x:f>ABS(P725-Q725)</x:f>
        <x:v>0.14000000000000057</x:v>
      </x:c>
      <x:c r="S725" s="32" t="n">
        <x:v>42559.709011929815</x:v>
      </x:c>
      <x:c r="T725" s="32" t="n">
        <x:v>53292.32797696257</x:v>
      </x:c>
      <x:c r="U725" s="31" t="n">
        <x:f>MAX(S725/T725,T725/S725)</x:f>
        <x:v>1.2521779216588234</x:v>
      </x:c>
      <x:c r="V725" s="31" t="n">
        <x:f>L725*'Controls &amp; Summary'!$B$9+O725*'Controls &amp; Summary'!$B$10+R725*'Controls &amp; Summary'!$B$11+U725*'Controls &amp; Summary'!$B$12</x:f>
        <x:v>1.5521779216588236</x:v>
      </x:c>
      <x:c r="W725" s="31" t="n">
        <x:v>7</x:v>
      </x:c>
      <x:c r="X725" s="31" t="n">
        <x:v>1</x:v>
      </x:c>
      <x:c r="Y725" s="31" t="n">
        <x:f>((10-MIN(10,MAX(0,X725)))/10)*'Controls &amp; Summary'!$B$15+((10-MIN(10,MAX(0,W725)))/10)*'Controls &amp; Summary'!$B$16</x:f>
        <x:v>1.2</x:v>
      </x:c>
      <x:c r="Z725" s="31" t="n">
        <x:f>V725*Y725</x:f>
        <x:v>1.8626135059905882</x:v>
      </x:c>
      <x:c r="AA725" s="30" t="str">
        <x:f>IF(Z725&lt;=I725,"Peaceful","Hostile")</x:f>
        <x:v>Peaceful</x:v>
      </x:c>
      <x:c r="AB725" s="30" t="str">
        <x:f>IF(Z725&lt;='Controls &amp; Summary'!$B$6,"Eligible","Blocked")</x:f>
        <x:v>Eligible</x:v>
      </x:c>
      <x:c r="AC725" s="30" t="str">
        <x:v>JPN</x:v>
      </x:c>
      <x:c r="AD725" s="30" t="str">
        <x:v>KOR</x:v>
      </x:c>
      <x:c r="AE725" s="30" t="str">
        <x:v>SouthKorea</x:v>
      </x:c>
      <x:c r="AF725" s="30" t="str">
        <x:v>Explicit capitalClaim</x:v>
      </x:c>
      <x:c r="AG725" s="30" t="str">
        <x:v>ClaimJPNSouthKorea</x:v>
      </x:c>
      <x:c r="AH725" s="30" t="str">
        <x:v>Project_PacificLeague</x:v>
      </x:c>
    </x:row>
    <x:row r="726">
      <x:c r="A726" s="30" t="str">
        <x:v>2022</x:v>
      </x:c>
      <x:c r="B726" s="30" t="str">
        <x:v>Base game</x:v>
      </x:c>
      <x:c r="C726" s="30" t="str">
        <x:v>Japan</x:v>
      </x:c>
      <x:c r="D726" s="30" t="str">
        <x:v>Taiwan</x:v>
      </x:c>
      <x:c r="E726" s="30" t="str">
        <x:v>Project unlock</x:v>
      </x:c>
      <x:c r="F726" s="30" t="str">
        <x:v>Pacific League</x:v>
      </x:c>
      <x:c r="G726" s="30" t="str">
        <x:v>No</x:v>
      </x:c>
      <x:c r="H726" s="30" t="str">
        <x:v>Ordinary claim</x:v>
      </x:c>
      <x:c r="I726" s="31" t="n">
        <x:f>IF(G726="Yes",'Controls &amp; Summary'!$B$5,'Controls &amp; Summary'!$B$4)</x:f>
        <x:v>6</x:v>
      </x:c>
      <x:c r="J726" s="31" t="n">
        <x:v>8.15</x:v>
      </x:c>
      <x:c r="K726" s="31" t="n">
        <x:v>8.99</x:v>
      </x:c>
      <x:c r="L726" s="31" t="n">
        <x:f>ABS(J726-K726)</x:f>
        <x:v>0.8399999999999999</x:v>
      </x:c>
      <x:c r="M726" s="31" t="n">
        <x:v>3.29</x:v>
      </x:c>
      <x:c r="N726" s="31" t="n">
        <x:v>3.4</x:v>
      </x:c>
      <x:c r="O726" s="31" t="n">
        <x:f>ABS(M726-N726)</x:f>
        <x:v>0.10999999999999988</x:v>
      </x:c>
      <x:c r="P726" s="31" t="n">
        <x:v>8.51</x:v>
      </x:c>
      <x:c r="Q726" s="31" t="n">
        <x:v>8.87</x:v>
      </x:c>
      <x:c r="R726" s="31" t="n">
        <x:f>ABS(P726-Q726)</x:f>
        <x:v>0.35999999999999943</x:v>
      </x:c>
      <x:c r="S726" s="32" t="n">
        <x:v>42559.709011929815</x:v>
      </x:c>
      <x:c r="T726" s="32" t="n">
        <x:v>67105.06170444709</x:v>
      </x:c>
      <x:c r="U726" s="31" t="n">
        <x:f>MAX(S726/T726,T726/S726)</x:f>
        <x:v>1.5767274556702682</x:v>
      </x:c>
      <x:c r="V726" s="31" t="n">
        <x:f>L726*'Controls &amp; Summary'!$B$9+O726*'Controls &amp; Summary'!$B$10+R726*'Controls &amp; Summary'!$B$11+U726*'Controls &amp; Summary'!$B$12</x:f>
        <x:v>2.8867274556702673</x:v>
      </x:c>
      <x:c r="W726" s="31" t="n">
        <x:v>7</x:v>
      </x:c>
      <x:c r="X726" s="31" t="n">
        <x:v>0</x:v>
      </x:c>
      <x:c r="Y726" s="31" t="n">
        <x:f>((10-MIN(10,MAX(0,X726)))/10)*'Controls &amp; Summary'!$B$15+((10-MIN(10,MAX(0,W726)))/10)*'Controls &amp; Summary'!$B$16</x:f>
        <x:v>1.3</x:v>
      </x:c>
      <x:c r="Z726" s="31" t="n">
        <x:f>V726*Y726</x:f>
        <x:v>3.752745692371348</x:v>
      </x:c>
      <x:c r="AA726" s="30" t="str">
        <x:f>IF(Z726&lt;=I726,"Peaceful","Hostile")</x:f>
        <x:v>Peaceful</x:v>
      </x:c>
      <x:c r="AB726" s="30" t="str">
        <x:f>IF(Z726&lt;='Controls &amp; Summary'!$B$6,"Eligible","Blocked")</x:f>
        <x:v>Eligible</x:v>
      </x:c>
      <x:c r="AC726" s="30" t="str">
        <x:v>JPN</x:v>
      </x:c>
      <x:c r="AD726" s="30" t="str">
        <x:v>TWN</x:v>
      </x:c>
      <x:c r="AE726" s="30" t="str">
        <x:v>Taiwan</x:v>
      </x:c>
      <x:c r="AF726" s="30" t="str">
        <x:v>Largest owned population fallback</x:v>
      </x:c>
      <x:c r="AG726" s="30" t="str">
        <x:v>ClaimJPNTaiwan</x:v>
      </x:c>
      <x:c r="AH726" s="30" t="str">
        <x:v>Project_PacificLeague</x:v>
      </x:c>
    </x:row>
    <x:row r="727">
      <x:c r="A727" s="30" t="str">
        <x:v>2022</x:v>
      </x:c>
      <x:c r="B727" s="30" t="str">
        <x:v>Base game</x:v>
      </x:c>
      <x:c r="C727" s="30" t="str">
        <x:v>Japan</x:v>
      </x:c>
      <x:c r="D727" s="30" t="str">
        <x:v>Vietnam</x:v>
      </x:c>
      <x:c r="E727" s="30" t="str">
        <x:v>Project unlock</x:v>
      </x:c>
      <x:c r="F727" s="30" t="str">
        <x:v>Pacific League</x:v>
      </x:c>
      <x:c r="G727" s="30" t="str">
        <x:v>No</x:v>
      </x:c>
      <x:c r="H727" s="30" t="str">
        <x:v>Ordinary claim</x:v>
      </x:c>
      <x:c r="I727" s="31" t="n">
        <x:f>IF(G727="Yes",'Controls &amp; Summary'!$B$5,'Controls &amp; Summary'!$B$4)</x:f>
        <x:v>6</x:v>
      </x:c>
      <x:c r="J727" s="31" t="n">
        <x:v>8.15</x:v>
      </x:c>
      <x:c r="K727" s="31" t="n">
        <x:v>2.94</x:v>
      </x:c>
      <x:c r="L727" s="31" t="n">
        <x:f>ABS(J727-K727)</x:f>
        <x:v>5.210000000000001</x:v>
      </x:c>
      <x:c r="M727" s="31" t="n">
        <x:v>3.29</x:v>
      </x:c>
      <x:c r="N727" s="31" t="n">
        <x:v>3.57</x:v>
      </x:c>
      <x:c r="O727" s="31" t="n">
        <x:f>ABS(M727-N727)</x:f>
        <x:v>0.2799999999999998</x:v>
      </x:c>
      <x:c r="P727" s="31" t="n">
        <x:v>8.51</x:v>
      </x:c>
      <x:c r="Q727" s="31" t="n">
        <x:v>6.3</x:v>
      </x:c>
      <x:c r="R727" s="31" t="n">
        <x:f>ABS(P727-Q727)</x:f>
        <x:v>2.21</x:v>
      </x:c>
      <x:c r="S727" s="32" t="n">
        <x:v>42559.709011929815</x:v>
      </x:c>
      <x:c r="T727" s="32" t="n">
        <x:v>11338.234646401552</x:v>
      </x:c>
      <x:c r="U727" s="31" t="n">
        <x:f>MAX(S727/T727,T727/S727)</x:f>
        <x:v>3.7536451078331767</x:v>
      </x:c>
      <x:c r="V727" s="31" t="n">
        <x:f>L727*'Controls &amp; Summary'!$B$9+O727*'Controls &amp; Summary'!$B$10+R727*'Controls &amp; Summary'!$B$11+U727*'Controls &amp; Summary'!$B$12</x:f>
        <x:v>11.453645107833177</x:v>
      </x:c>
      <x:c r="W727" s="31" t="n">
        <x:v>7</x:v>
      </x:c>
      <x:c r="X727" s="31" t="n">
        <x:v>0</x:v>
      </x:c>
      <x:c r="Y727" s="31" t="n">
        <x:f>((10-MIN(10,MAX(0,X727)))/10)*'Controls &amp; Summary'!$B$15+((10-MIN(10,MAX(0,W727)))/10)*'Controls &amp; Summary'!$B$16</x:f>
        <x:v>1.3</x:v>
      </x:c>
      <x:c r="Z727" s="31" t="n">
        <x:f>V727*Y727</x:f>
        <x:v>14.88973864018313</x:v>
      </x:c>
      <x:c r="AA727" s="30" t="str">
        <x:f>IF(Z727&lt;=I727,"Peaceful","Hostile")</x:f>
        <x:v>Hostile</x:v>
      </x:c>
      <x:c r="AB727" s="30" t="str">
        <x:f>IF(Z727&lt;='Controls &amp; Summary'!$B$6,"Eligible","Blocked")</x:f>
        <x:v>Blocked</x:v>
      </x:c>
      <x:c r="AC727" s="30" t="str">
        <x:v>JPN</x:v>
      </x:c>
      <x:c r="AD727" s="30" t="str">
        <x:v>VNM</x:v>
      </x:c>
      <x:c r="AE727" s="30" t="str">
        <x:v>Hanoi</x:v>
      </x:c>
      <x:c r="AF727" s="30" t="str">
        <x:v>Explicit capitalClaim</x:v>
      </x:c>
      <x:c r="AG727" s="30" t="str">
        <x:v>ClaimJPNHanoi</x:v>
      </x:c>
      <x:c r="AH727" s="30" t="str">
        <x:v>Project_PacificLeague</x:v>
      </x:c>
    </x:row>
    <x:row r="728">
      <x:c r="A728" s="30" t="str">
        <x:v>2022</x:v>
      </x:c>
      <x:c r="B728" s="30" t="str">
        <x:v>Base game</x:v>
      </x:c>
      <x:c r="C728" s="30" t="str">
        <x:v>Jordan</x:v>
      </x:c>
      <x:c r="D728" s="30" t="str">
        <x:v>Palestine</x:v>
      </x:c>
      <x:c r="E728" s="30" t="str">
        <x:v>Starting claim</x:v>
      </x:c>
      <x:c r="F728" s="30" t="str"/>
      <x:c r="G728" s="30" t="str">
        <x:v>No</x:v>
      </x:c>
      <x:c r="H728" s="30" t="str">
        <x:v>Ordinary claim</x:v>
      </x:c>
      <x:c r="I728" s="31" t="n">
        <x:f>IF(G728="Yes",'Controls &amp; Summary'!$B$5,'Controls &amp; Summary'!$B$4)</x:f>
        <x:v>6</x:v>
      </x:c>
      <x:c r="J728" s="31" t="n">
        <x:v>3.49</x:v>
      </x:c>
      <x:c r="K728" s="31" t="n">
        <x:v>3.94</x:v>
      </x:c>
      <x:c r="L728" s="31" t="n">
        <x:f>ABS(J728-K728)</x:f>
        <x:v>0.44999999999999973</x:v>
      </x:c>
      <x:c r="M728" s="31" t="n">
        <x:v>3.37</x:v>
      </x:c>
      <x:c r="N728" s="31" t="n">
        <x:v>3.37</x:v>
      </x:c>
      <x:c r="O728" s="31" t="n">
        <x:f>ABS(M728-N728)</x:f>
        <x:v>0</x:v>
      </x:c>
      <x:c r="P728" s="31" t="n">
        <x:v>6.67</x:v>
      </x:c>
      <x:c r="Q728" s="31" t="n">
        <x:v>6.78</x:v>
      </x:c>
      <x:c r="R728" s="31" t="n">
        <x:f>ABS(P728-Q728)</x:f>
        <x:v>0.11000000000000032</x:v>
      </x:c>
      <x:c r="S728" s="32" t="n">
        <x:v>10433.33025081237</x:v>
      </x:c>
      <x:c r="T728" s="32" t="n">
        <x:v>5032.169109018014</x:v>
      </x:c>
      <x:c r="U728" s="31" t="n">
        <x:f>MAX(S728/T728,T728/S728)</x:f>
        <x:v>2.0733266360454943</x:v>
      </x:c>
      <x:c r="V728" s="31" t="n">
        <x:f>L728*'Controls &amp; Summary'!$B$9+O728*'Controls &amp; Summary'!$B$10+R728*'Controls &amp; Summary'!$B$11+U728*'Controls &amp; Summary'!$B$12</x:f>
        <x:v>2.6333266360454943</x:v>
      </x:c>
      <x:c r="W728" s="31" t="n">
        <x:v>8</x:v>
      </x:c>
      <x:c r="X728" s="31" t="n">
        <x:v>4</x:v>
      </x:c>
      <x:c r="Y728" s="31" t="n">
        <x:f>((10-MIN(10,MAX(0,X728)))/10)*'Controls &amp; Summary'!$B$15+((10-MIN(10,MAX(0,W728)))/10)*'Controls &amp; Summary'!$B$16</x:f>
        <x:v>0.8</x:v>
      </x:c>
      <x:c r="Z728" s="31" t="n">
        <x:f>V728*Y728</x:f>
        <x:v>2.1066613088363955</x:v>
      </x:c>
      <x:c r="AA728" s="30" t="str">
        <x:f>IF(Z728&lt;=I728,"Peaceful","Hostile")</x:f>
        <x:v>Peaceful</x:v>
      </x:c>
      <x:c r="AB728" s="30" t="str">
        <x:f>IF(Z728&lt;='Controls &amp; Summary'!$B$6,"Eligible","Blocked")</x:f>
        <x:v>Eligible</x:v>
      </x:c>
      <x:c r="AC728" s="30" t="str">
        <x:v>JOR</x:v>
      </x:c>
      <x:c r="AD728" s="30" t="str">
        <x:v>PAL</x:v>
      </x:c>
      <x:c r="AE728" s="30" t="str">
        <x:v>Palestine</x:v>
      </x:c>
      <x:c r="AF728" s="30" t="str">
        <x:v>Explicit capitalClaim</x:v>
      </x:c>
      <x:c r="AG728" s="30" t="str">
        <x:v>ClaimJORPalestine</x:v>
      </x:c>
      <x:c r="AH728" s="30" t="str"/>
    </x:row>
    <x:row r="729">
      <x:c r="A729" s="30" t="str">
        <x:v>2022</x:v>
      </x:c>
      <x:c r="B729" s="30" t="str">
        <x:v>Base game</x:v>
      </x:c>
      <x:c r="C729" s="30" t="str">
        <x:v>Kazakhstan</x:v>
      </x:c>
      <x:c r="D729" s="30" t="str">
        <x:v>Kyrgyzstan</x:v>
      </x:c>
      <x:c r="E729" s="30" t="str">
        <x:v>Project unlock</x:v>
      </x:c>
      <x:c r="F729" s="30" t="str">
        <x:v>Central Asian Union</x:v>
      </x:c>
      <x:c r="G729" s="30" t="str">
        <x:v>No</x:v>
      </x:c>
      <x:c r="H729" s="30" t="str">
        <x:v>Ordinary claim</x:v>
      </x:c>
      <x:c r="I729" s="31" t="n">
        <x:f>IF(G729="Yes",'Controls &amp; Summary'!$B$5,'Controls &amp; Summary'!$B$4)</x:f>
        <x:v>6</x:v>
      </x:c>
      <x:c r="J729" s="31" t="n">
        <x:v>3.08</x:v>
      </x:c>
      <x:c r="K729" s="31" t="n">
        <x:v>3.62</x:v>
      </x:c>
      <x:c r="L729" s="31" t="n">
        <x:f>ABS(J729-K729)</x:f>
        <x:v>0.54</x:v>
      </x:c>
      <x:c r="M729" s="31" t="n">
        <x:v>2.78</x:v>
      </x:c>
      <x:c r="N729" s="31" t="n">
        <x:v>2.9</x:v>
      </x:c>
      <x:c r="O729" s="31" t="n">
        <x:f>ABS(M729-N729)</x:f>
        <x:v>0.1200000000000001</x:v>
      </x:c>
      <x:c r="P729" s="31" t="n">
        <x:v>8.3</x:v>
      </x:c>
      <x:c r="Q729" s="31" t="n">
        <x:v>7.3</x:v>
      </x:c>
      <x:c r="R729" s="31" t="n">
        <x:f>ABS(P729-Q729)</x:f>
        <x:v>1.0000000000000009</x:v>
      </x:c>
      <x:c r="S729" s="32" t="n">
        <x:v>26959.694155648358</x:v>
      </x:c>
      <x:c r="T729" s="32" t="n">
        <x:v>4920.098055892446</x:v>
      </x:c>
      <x:c r="U729" s="31" t="n">
        <x:f>MAX(S729/T729,T729/S729)</x:f>
        <x:v>5.47950342643287</x:v>
      </x:c>
      <x:c r="V729" s="31" t="n">
        <x:f>L729*'Controls &amp; Summary'!$B$9+O729*'Controls &amp; Summary'!$B$10+R729*'Controls &amp; Summary'!$B$11+U729*'Controls &amp; Summary'!$B$12</x:f>
        <x:v>7.139503426432871</x:v>
      </x:c>
      <x:c r="W729" s="31" t="n">
        <x:v>3</x:v>
      </x:c>
      <x:c r="X729" s="31" t="n">
        <x:v>2</x:v>
      </x:c>
      <x:c r="Y729" s="31" t="n">
        <x:f>((10-MIN(10,MAX(0,X729)))/10)*'Controls &amp; Summary'!$B$15+((10-MIN(10,MAX(0,W729)))/10)*'Controls &amp; Summary'!$B$16</x:f>
        <x:v>1.5</x:v>
      </x:c>
      <x:c r="Z729" s="31" t="n">
        <x:f>V729*Y729</x:f>
        <x:v>10.709255139649306</x:v>
      </x:c>
      <x:c r="AA729" s="30" t="str">
        <x:f>IF(Z729&lt;=I729,"Peaceful","Hostile")</x:f>
        <x:v>Hostile</x:v>
      </x:c>
      <x:c r="AB729" s="30" t="str">
        <x:f>IF(Z729&lt;='Controls &amp; Summary'!$B$6,"Eligible","Blocked")</x:f>
        <x:v>Eligible</x:v>
      </x:c>
      <x:c r="AC729" s="30" t="str">
        <x:v>KAZ</x:v>
      </x:c>
      <x:c r="AD729" s="30" t="str">
        <x:v>KGZ</x:v>
      </x:c>
      <x:c r="AE729" s="30" t="str">
        <x:v>Kyrgyzstan</x:v>
      </x:c>
      <x:c r="AF729" s="30" t="str">
        <x:v>Explicit capitalClaim</x:v>
      </x:c>
      <x:c r="AG729" s="30" t="str">
        <x:v>ClaimKAZKyrgyzstan</x:v>
      </x:c>
      <x:c r="AH729" s="30" t="str">
        <x:v>Project_CentralAsianUnion</x:v>
      </x:c>
    </x:row>
    <x:row r="730">
      <x:c r="A730" s="30" t="str">
        <x:v>2022</x:v>
      </x:c>
      <x:c r="B730" s="30" t="str">
        <x:v>Base game</x:v>
      </x:c>
      <x:c r="C730" s="30" t="str">
        <x:v>Kazakhstan</x:v>
      </x:c>
      <x:c r="D730" s="30" t="str">
        <x:v>Tajikistan</x:v>
      </x:c>
      <x:c r="E730" s="30" t="str">
        <x:v>Project unlock</x:v>
      </x:c>
      <x:c r="F730" s="30" t="str">
        <x:v>Central Asian Union</x:v>
      </x:c>
      <x:c r="G730" s="30" t="str">
        <x:v>No</x:v>
      </x:c>
      <x:c r="H730" s="30" t="str">
        <x:v>Ordinary claim</x:v>
      </x:c>
      <x:c r="I730" s="31" t="n">
        <x:f>IF(G730="Yes",'Controls &amp; Summary'!$B$5,'Controls &amp; Summary'!$B$4)</x:f>
        <x:v>6</x:v>
      </x:c>
      <x:c r="J730" s="31" t="n">
        <x:v>3.08</x:v>
      </x:c>
      <x:c r="K730" s="31" t="n">
        <x:v>1.94</x:v>
      </x:c>
      <x:c r="L730" s="31" t="n">
        <x:f>ABS(J730-K730)</x:f>
        <x:v>1.1400000000000001</x:v>
      </x:c>
      <x:c r="M730" s="31" t="n">
        <x:v>2.78</x:v>
      </x:c>
      <x:c r="N730" s="31" t="n">
        <x:v>3.4</x:v>
      </x:c>
      <x:c r="O730" s="31" t="n">
        <x:f>ABS(M730-N730)</x:f>
        <x:v>0.6200000000000001</x:v>
      </x:c>
      <x:c r="P730" s="31" t="n">
        <x:v>8.3</x:v>
      </x:c>
      <x:c r="Q730" s="31" t="n">
        <x:v>6.82</x:v>
      </x:c>
      <x:c r="R730" s="31" t="n">
        <x:f>ABS(P730-Q730)</x:f>
        <x:v>1.4800000000000004</x:v>
      </x:c>
      <x:c r="S730" s="32" t="n">
        <x:v>26959.694155648358</x:v>
      </x:c>
      <x:c r="T730" s="32" t="n">
        <x:v>3998.4706612171685</x:v>
      </x:c>
      <x:c r="U730" s="31" t="n">
        <x:f>MAX(S730/T730,T730/S730)</x:f>
        <x:v>6.742501431145076</x:v>
      </x:c>
      <x:c r="V730" s="31" t="n">
        <x:f>L730*'Controls &amp; Summary'!$B$9+O730*'Controls &amp; Summary'!$B$10+R730*'Controls &amp; Summary'!$B$11+U730*'Controls &amp; Summary'!$B$12</x:f>
        <x:v>9.982501431145076</x:v>
      </x:c>
      <x:c r="W730" s="31" t="n">
        <x:v>3</x:v>
      </x:c>
      <x:c r="X730" s="31" t="n">
        <x:v>1</x:v>
      </x:c>
      <x:c r="Y730" s="31" t="n">
        <x:f>((10-MIN(10,MAX(0,X730)))/10)*'Controls &amp; Summary'!$B$15+((10-MIN(10,MAX(0,W730)))/10)*'Controls &amp; Summary'!$B$16</x:f>
        <x:v>1.6</x:v>
      </x:c>
      <x:c r="Z730" s="31" t="n">
        <x:f>V730*Y730</x:f>
        <x:v>15.972002289832123</x:v>
      </x:c>
      <x:c r="AA730" s="30" t="str">
        <x:f>IF(Z730&lt;=I730,"Peaceful","Hostile")</x:f>
        <x:v>Hostile</x:v>
      </x:c>
      <x:c r="AB730" s="30" t="str">
        <x:f>IF(Z730&lt;='Controls &amp; Summary'!$B$6,"Eligible","Blocked")</x:f>
        <x:v>Blocked</x:v>
      </x:c>
      <x:c r="AC730" s="30" t="str">
        <x:v>KAZ</x:v>
      </x:c>
      <x:c r="AD730" s="30" t="str">
        <x:v>TJK</x:v>
      </x:c>
      <x:c r="AE730" s="30" t="str">
        <x:v>Tajikistan</x:v>
      </x:c>
      <x:c r="AF730" s="30" t="str">
        <x:v>Explicit capitalClaim</x:v>
      </x:c>
      <x:c r="AG730" s="30" t="str">
        <x:v>ClaimKAZTajikistan</x:v>
      </x:c>
      <x:c r="AH730" s="30" t="str">
        <x:v>Project_CentralAsianUnion</x:v>
      </x:c>
    </x:row>
    <x:row r="731">
      <x:c r="A731" s="30" t="str">
        <x:v>2022</x:v>
      </x:c>
      <x:c r="B731" s="30" t="str">
        <x:v>Base game</x:v>
      </x:c>
      <x:c r="C731" s="30" t="str">
        <x:v>Kazakhstan</x:v>
      </x:c>
      <x:c r="D731" s="30" t="str">
        <x:v>Turkmenistan</x:v>
      </x:c>
      <x:c r="E731" s="30" t="str">
        <x:v>Project unlock</x:v>
      </x:c>
      <x:c r="F731" s="30" t="str">
        <x:v>Central Asian Union</x:v>
      </x:c>
      <x:c r="G731" s="30" t="str">
        <x:v>No</x:v>
      </x:c>
      <x:c r="H731" s="30" t="str">
        <x:v>Ordinary claim</x:v>
      </x:c>
      <x:c r="I731" s="31" t="n">
        <x:f>IF(G731="Yes",'Controls &amp; Summary'!$B$5,'Controls &amp; Summary'!$B$4)</x:f>
        <x:v>6</x:v>
      </x:c>
      <x:c r="J731" s="31" t="n">
        <x:v>3.08</x:v>
      </x:c>
      <x:c r="K731" s="31" t="n">
        <x:v>1.66</x:v>
      </x:c>
      <x:c r="L731" s="31" t="n">
        <x:f>ABS(J731-K731)</x:f>
        <x:v>1.4200000000000002</x:v>
      </x:c>
      <x:c r="M731" s="31" t="n">
        <x:v>2.78</x:v>
      </x:c>
      <x:c r="N731" s="31" t="n">
        <x:v>4.08</x:v>
      </x:c>
      <x:c r="O731" s="31" t="n">
        <x:f>ABS(M731-N731)</x:f>
        <x:v>1.3000000000000003</x:v>
      </x:c>
      <x:c r="P731" s="31" t="n">
        <x:v>8.3</x:v>
      </x:c>
      <x:c r="Q731" s="31" t="n">
        <x:v>6.53</x:v>
      </x:c>
      <x:c r="R731" s="31" t="n">
        <x:f>ABS(P731-Q731)</x:f>
        <x:v>1.7700000000000005</x:v>
      </x:c>
      <x:c r="S731" s="32" t="n">
        <x:v>26959.694155648358</x:v>
      </x:c>
      <x:c r="T731" s="32" t="n">
        <x:v>16626.7250502165</x:v>
      </x:c>
      <x:c r="U731" s="31" t="n">
        <x:f>MAX(S731/T731,T731/S731)</x:f>
        <x:v>1.6214674912963278</x:v>
      </x:c>
      <x:c r="V731" s="31" t="n">
        <x:f>L731*'Controls &amp; Summary'!$B$9+O731*'Controls &amp; Summary'!$B$10+R731*'Controls &amp; Summary'!$B$11+U731*'Controls &amp; Summary'!$B$12</x:f>
        <x:v>6.111467491296329</x:v>
      </x:c>
      <x:c r="W731" s="31" t="n">
        <x:v>3</x:v>
      </x:c>
      <x:c r="X731" s="31" t="n">
        <x:v>1</x:v>
      </x:c>
      <x:c r="Y731" s="31" t="n">
        <x:f>((10-MIN(10,MAX(0,X731)))/10)*'Controls &amp; Summary'!$B$15+((10-MIN(10,MAX(0,W731)))/10)*'Controls &amp; Summary'!$B$16</x:f>
        <x:v>1.6</x:v>
      </x:c>
      <x:c r="Z731" s="31" t="n">
        <x:f>V731*Y731</x:f>
        <x:v>9.778347986074127</x:v>
      </x:c>
      <x:c r="AA731" s="30" t="str">
        <x:f>IF(Z731&lt;=I731,"Peaceful","Hostile")</x:f>
        <x:v>Hostile</x:v>
      </x:c>
      <x:c r="AB731" s="30" t="str">
        <x:f>IF(Z731&lt;='Controls &amp; Summary'!$B$6,"Eligible","Blocked")</x:f>
        <x:v>Eligible</x:v>
      </x:c>
      <x:c r="AC731" s="30" t="str">
        <x:v>KAZ</x:v>
      </x:c>
      <x:c r="AD731" s="30" t="str">
        <x:v>TKM</x:v>
      </x:c>
      <x:c r="AE731" s="30" t="str">
        <x:v>Turkmenistan</x:v>
      </x:c>
      <x:c r="AF731" s="30" t="str">
        <x:v>Explicit capitalClaim</x:v>
      </x:c>
      <x:c r="AG731" s="30" t="str">
        <x:v>ClaimKAZTurkmenistan</x:v>
      </x:c>
      <x:c r="AH731" s="30" t="str">
        <x:v>Project_CentralAsianUnion</x:v>
      </x:c>
    </x:row>
    <x:row r="732">
      <x:c r="A732" s="30" t="str">
        <x:v>2022</x:v>
      </x:c>
      <x:c r="B732" s="30" t="str">
        <x:v>Base game</x:v>
      </x:c>
      <x:c r="C732" s="30" t="str">
        <x:v>Kazakhstan</x:v>
      </x:c>
      <x:c r="D732" s="30" t="str">
        <x:v>Uzbekistan</x:v>
      </x:c>
      <x:c r="E732" s="30" t="str">
        <x:v>Project unlock</x:v>
      </x:c>
      <x:c r="F732" s="30" t="str">
        <x:v>Central Asian Union</x:v>
      </x:c>
      <x:c r="G732" s="30" t="str">
        <x:v>No</x:v>
      </x:c>
      <x:c r="H732" s="30" t="str">
        <x:v>Ordinary claim</x:v>
      </x:c>
      <x:c r="I732" s="31" t="n">
        <x:f>IF(G732="Yes",'Controls &amp; Summary'!$B$5,'Controls &amp; Summary'!$B$4)</x:f>
        <x:v>6</x:v>
      </x:c>
      <x:c r="J732" s="31" t="n">
        <x:v>3.08</x:v>
      </x:c>
      <x:c r="K732" s="31" t="n">
        <x:v>2.12</x:v>
      </x:c>
      <x:c r="L732" s="31" t="n">
        <x:f>ABS(J732-K732)</x:f>
        <x:v>0.96</x:v>
      </x:c>
      <x:c r="M732" s="31" t="n">
        <x:v>2.78</x:v>
      </x:c>
      <x:c r="N732" s="31" t="n">
        <x:v>3.53</x:v>
      </x:c>
      <x:c r="O732" s="31" t="n">
        <x:f>ABS(M732-N732)</x:f>
        <x:v>0.75</x:v>
      </x:c>
      <x:c r="P732" s="31" t="n">
        <x:v>8.3</x:v>
      </x:c>
      <x:c r="Q732" s="31" t="n">
        <x:v>7.29</x:v>
      </x:c>
      <x:c r="R732" s="31" t="n">
        <x:f>ABS(P732-Q732)</x:f>
        <x:v>1.0100000000000007</x:v>
      </x:c>
      <x:c r="S732" s="32" t="n">
        <x:v>26959.694155648358</x:v>
      </x:c>
      <x:c r="T732" s="32" t="n">
        <x:v>8310.553120234992</x:v>
      </x:c>
      <x:c r="U732" s="31" t="n">
        <x:f>MAX(S732/T732,T732/S732)</x:f>
        <x:v>3.244031265500898</x:v>
      </x:c>
      <x:c r="V732" s="31" t="n">
        <x:f>L732*'Controls &amp; Summary'!$B$9+O732*'Controls &amp; Summary'!$B$10+R732*'Controls &amp; Summary'!$B$11+U732*'Controls &amp; Summary'!$B$12</x:f>
        <x:v>5.964031265500898</x:v>
      </x:c>
      <x:c r="W732" s="31" t="n">
        <x:v>3</x:v>
      </x:c>
      <x:c r="X732" s="31" t="n">
        <x:v>3</x:v>
      </x:c>
      <x:c r="Y732" s="31" t="n">
        <x:f>((10-MIN(10,MAX(0,X732)))/10)*'Controls &amp; Summary'!$B$15+((10-MIN(10,MAX(0,W732)))/10)*'Controls &amp; Summary'!$B$16</x:f>
        <x:v>1.4</x:v>
      </x:c>
      <x:c r="Z732" s="31" t="n">
        <x:f>V732*Y732</x:f>
        <x:v>8.349643771701256</x:v>
      </x:c>
      <x:c r="AA732" s="30" t="str">
        <x:f>IF(Z732&lt;=I732,"Peaceful","Hostile")</x:f>
        <x:v>Hostile</x:v>
      </x:c>
      <x:c r="AB732" s="30" t="str">
        <x:f>IF(Z732&lt;='Controls &amp; Summary'!$B$6,"Eligible","Blocked")</x:f>
        <x:v>Eligible</x:v>
      </x:c>
      <x:c r="AC732" s="30" t="str">
        <x:v>KAZ</x:v>
      </x:c>
      <x:c r="AD732" s="30" t="str">
        <x:v>UZB</x:v>
      </x:c>
      <x:c r="AE732" s="30" t="str">
        <x:v>Uzbekistan</x:v>
      </x:c>
      <x:c r="AF732" s="30" t="str">
        <x:v>Explicit capitalClaim</x:v>
      </x:c>
      <x:c r="AG732" s="30" t="str">
        <x:v>ClaimKAZUzbekistan</x:v>
      </x:c>
      <x:c r="AH732" s="30" t="str">
        <x:v>Project_CentralAsianUnion</x:v>
      </x:c>
    </x:row>
    <x:row r="733">
      <x:c r="A733" s="30" t="str">
        <x:v>2022</x:v>
      </x:c>
      <x:c r="B733" s="30" t="str">
        <x:v>Base game</x:v>
      </x:c>
      <x:c r="C733" s="30" t="str">
        <x:v>Malaysia</x:v>
      </x:c>
      <x:c r="D733" s="30" t="str">
        <x:v>Brunei</x:v>
      </x:c>
      <x:c r="E733" s="30" t="str">
        <x:v>Project unlock</x:v>
      </x:c>
      <x:c r="F733" s="30" t="str">
        <x:v>United Malay Nation</x:v>
      </x:c>
      <x:c r="G733" s="30" t="str">
        <x:v>No</x:v>
      </x:c>
      <x:c r="H733" s="30" t="str">
        <x:v>Ordinary claim</x:v>
      </x:c>
      <x:c r="I733" s="31" t="n">
        <x:f>IF(G733="Yes",'Controls &amp; Summary'!$B$5,'Controls &amp; Summary'!$B$4)</x:f>
        <x:v>6</x:v>
      </x:c>
      <x:c r="J733" s="31" t="n">
        <x:v>7.24</x:v>
      </x:c>
      <x:c r="K733" s="31" t="n">
        <x:v>2.8</x:v>
      </x:c>
      <x:c r="L733" s="31" t="n">
        <x:f>ABS(J733-K733)</x:f>
        <x:v>4.44</x:v>
      </x:c>
      <x:c r="M733" s="31" t="n">
        <x:v>4.11</x:v>
      </x:c>
      <x:c r="N733" s="31" t="n">
        <x:v>4.07</x:v>
      </x:c>
      <x:c r="O733" s="31" t="n">
        <x:f>ABS(M733-N733)</x:f>
        <x:v>0.040000000000000036</x:v>
      </x:c>
      <x:c r="P733" s="31" t="n">
        <x:v>7.26</x:v>
      </x:c>
      <x:c r="Q733" s="31" t="n">
        <x:v>7.02</x:v>
      </x:c>
      <x:c r="R733" s="31" t="n">
        <x:f>ABS(P733-Q733)</x:f>
        <x:v>0.2400000000000002</x:v>
      </x:c>
      <x:c r="S733" s="32" t="n">
        <x:v>28784.60931677783</x:v>
      </x:c>
      <x:c r="T733" s="32" t="n">
        <x:v>74761.98153150185</x:v>
      </x:c>
      <x:c r="U733" s="31" t="n">
        <x:f>MAX(S733/T733,T733/S733)</x:f>
        <x:v>2.59729012503654</x:v>
      </x:c>
      <x:c r="V733" s="31" t="n">
        <x:f>L733*'Controls &amp; Summary'!$B$9+O733*'Controls &amp; Summary'!$B$10+R733*'Controls &amp; Summary'!$B$11+U733*'Controls &amp; Summary'!$B$12</x:f>
        <x:v>7.317290125036541</x:v>
      </x:c>
      <x:c r="W733" s="31" t="n">
        <x:v>4</x:v>
      </x:c>
      <x:c r="X733" s="31" t="n">
        <x:v>0</x:v>
      </x:c>
      <x:c r="Y733" s="31" t="n">
        <x:f>((10-MIN(10,MAX(0,X733)))/10)*'Controls &amp; Summary'!$B$15+((10-MIN(10,MAX(0,W733)))/10)*'Controls &amp; Summary'!$B$16</x:f>
        <x:v>1.6</x:v>
      </x:c>
      <x:c r="Z733" s="31" t="n">
        <x:f>V733*Y733</x:f>
        <x:v>11.707664200058467</x:v>
      </x:c>
      <x:c r="AA733" s="30" t="str">
        <x:f>IF(Z733&lt;=I733,"Peaceful","Hostile")</x:f>
        <x:v>Hostile</x:v>
      </x:c>
      <x:c r="AB733" s="30" t="str">
        <x:f>IF(Z733&lt;='Controls &amp; Summary'!$B$6,"Eligible","Blocked")</x:f>
        <x:v>Eligible</x:v>
      </x:c>
      <x:c r="AC733" s="30" t="str">
        <x:v>MYS</x:v>
      </x:c>
      <x:c r="AD733" s="30" t="str">
        <x:v>BRU</x:v>
      </x:c>
      <x:c r="AE733" s="30" t="str">
        <x:v>Brunei</x:v>
      </x:c>
      <x:c r="AF733" s="30" t="str">
        <x:v>Explicit capitalClaim</x:v>
      </x:c>
      <x:c r="AG733" s="30" t="str">
        <x:v>ClaimMYSBrunei</x:v>
      </x:c>
      <x:c r="AH733" s="30" t="str">
        <x:v>Project_UnitedMalayNation</x:v>
      </x:c>
    </x:row>
    <x:row r="734">
      <x:c r="A734" s="30" t="str">
        <x:v>2022</x:v>
      </x:c>
      <x:c r="B734" s="30" t="str">
        <x:v>Base game</x:v>
      </x:c>
      <x:c r="C734" s="30" t="str">
        <x:v>Malaysia</x:v>
      </x:c>
      <x:c r="D734" s="30" t="str">
        <x:v>Indonesia</x:v>
      </x:c>
      <x:c r="E734" s="30" t="str">
        <x:v>Project unlock</x:v>
      </x:c>
      <x:c r="F734" s="30" t="str">
        <x:v>United Malay Nation</x:v>
      </x:c>
      <x:c r="G734" s="30" t="str">
        <x:v>No</x:v>
      </x:c>
      <x:c r="H734" s="30" t="str">
        <x:v>Ordinary claim</x:v>
      </x:c>
      <x:c r="I734" s="31" t="n">
        <x:f>IF(G734="Yes",'Controls &amp; Summary'!$B$5,'Controls &amp; Summary'!$B$4)</x:f>
        <x:v>6</x:v>
      </x:c>
      <x:c r="J734" s="31" t="n">
        <x:v>7.24</x:v>
      </x:c>
      <x:c r="K734" s="31" t="n">
        <x:v>6.71</x:v>
      </x:c>
      <x:c r="L734" s="31" t="n">
        <x:f>ABS(J734-K734)</x:f>
        <x:v>0.5300000000000002</x:v>
      </x:c>
      <x:c r="M734" s="31" t="n">
        <x:v>4.11</x:v>
      </x:c>
      <x:c r="N734" s="31" t="n">
        <x:v>3.7</x:v>
      </x:c>
      <x:c r="O734" s="31" t="n">
        <x:f>ABS(M734-N734)</x:f>
        <x:v>0.41000000000000014</x:v>
      </x:c>
      <x:c r="P734" s="31" t="n">
        <x:v>7.26</x:v>
      </x:c>
      <x:c r="Q734" s="31" t="n">
        <x:v>6.5</x:v>
      </x:c>
      <x:c r="R734" s="31" t="n">
        <x:f>ABS(P734-Q734)</x:f>
        <x:v>0.7599999999999998</x:v>
      </x:c>
      <x:c r="S734" s="32" t="n">
        <x:v>28784.60931677783</x:v>
      </x:c>
      <x:c r="T734" s="32" t="n">
        <x:v>12557.55400997715</x:v>
      </x:c>
      <x:c r="U734" s="31" t="n">
        <x:f>MAX(S734/T734,T734/S734)</x:f>
        <x:v>2.2922146537381454</x:v>
      </x:c>
      <x:c r="V734" s="31" t="n">
        <x:f>L734*'Controls &amp; Summary'!$B$9+O734*'Controls &amp; Summary'!$B$10+R734*'Controls &amp; Summary'!$B$11+U734*'Controls &amp; Summary'!$B$12</x:f>
        <x:v>3.9922146537381455</x:v>
      </x:c>
      <x:c r="W734" s="31" t="n">
        <x:v>4</x:v>
      </x:c>
      <x:c r="X734" s="31" t="n">
        <x:v>3</x:v>
      </x:c>
      <x:c r="Y734" s="31" t="n">
        <x:f>((10-MIN(10,MAX(0,X734)))/10)*'Controls &amp; Summary'!$B$15+((10-MIN(10,MAX(0,W734)))/10)*'Controls &amp; Summary'!$B$16</x:f>
        <x:v>1.2999999999999998</x:v>
      </x:c>
      <x:c r="Z734" s="31" t="n">
        <x:f>V734*Y734</x:f>
        <x:v>5.189879049859589</x:v>
      </x:c>
      <x:c r="AA734" s="30" t="str">
        <x:f>IF(Z734&lt;=I734,"Peaceful","Hostile")</x:f>
        <x:v>Peaceful</x:v>
      </x:c>
      <x:c r="AB734" s="30" t="str">
        <x:f>IF(Z734&lt;='Controls &amp; Summary'!$B$6,"Eligible","Blocked")</x:f>
        <x:v>Eligible</x:v>
      </x:c>
      <x:c r="AC734" s="30" t="str">
        <x:v>MYS</x:v>
      </x:c>
      <x:c r="AD734" s="30" t="str">
        <x:v>IDN</x:v>
      </x:c>
      <x:c r="AE734" s="30" t="str">
        <x:v>Java</x:v>
      </x:c>
      <x:c r="AF734" s="30" t="str">
        <x:v>Explicit capitalClaim</x:v>
      </x:c>
      <x:c r="AG734" s="30" t="str">
        <x:v>ClaimMYSJava</x:v>
      </x:c>
      <x:c r="AH734" s="30" t="str">
        <x:v>Project_UnitedMalayNation</x:v>
      </x:c>
    </x:row>
    <x:row r="735">
      <x:c r="A735" s="30" t="str">
        <x:v>2022</x:v>
      </x:c>
      <x:c r="B735" s="30" t="str">
        <x:v>Base game</x:v>
      </x:c>
      <x:c r="C735" s="30" t="str">
        <x:v>Malaysia</x:v>
      </x:c>
      <x:c r="D735" s="30" t="str">
        <x:v>Philippines</x:v>
      </x:c>
      <x:c r="E735" s="30" t="str">
        <x:v>Project unlock</x:v>
      </x:c>
      <x:c r="F735" s="30" t="str">
        <x:v>Greater Malaysia</x:v>
      </x:c>
      <x:c r="G735" s="30" t="str">
        <x:v>No</x:v>
      </x:c>
      <x:c r="H735" s="30" t="str">
        <x:v>Ordinary claim</x:v>
      </x:c>
      <x:c r="I735" s="31" t="n">
        <x:f>IF(G735="Yes",'Controls &amp; Summary'!$B$5,'Controls &amp; Summary'!$B$4)</x:f>
        <x:v>6</x:v>
      </x:c>
      <x:c r="J735" s="31" t="n">
        <x:v>7.24</x:v>
      </x:c>
      <x:c r="K735" s="31" t="n">
        <x:v>6.56</x:v>
      </x:c>
      <x:c r="L735" s="31" t="n">
        <x:f>ABS(J735-K735)</x:f>
        <x:v>0.6800000000000006</x:v>
      </x:c>
      <x:c r="M735" s="31" t="n">
        <x:v>4.11</x:v>
      </x:c>
      <x:c r="N735" s="31" t="n">
        <x:v>4.23</x:v>
      </x:c>
      <x:c r="O735" s="31" t="n">
        <x:f>ABS(M735-N735)</x:f>
        <x:v>0.1200000000000001</x:v>
      </x:c>
      <x:c r="P735" s="31" t="n">
        <x:v>7.26</x:v>
      </x:c>
      <x:c r="Q735" s="31" t="n">
        <x:v>6.78</x:v>
      </x:c>
      <x:c r="R735" s="31" t="n">
        <x:f>ABS(P735-Q735)</x:f>
        <x:v>0.47999999999999954</x:v>
      </x:c>
      <x:c r="S735" s="32" t="n">
        <x:v>28784.60931677783</x:v>
      </x:c>
      <x:c r="T735" s="32" t="n">
        <x:v>8910.697299448184</x:v>
      </x:c>
      <x:c r="U735" s="31" t="n">
        <x:f>MAX(S735/T735,T735/S735)</x:f>
        <x:v>3.2303430752338973</x:v>
      </x:c>
      <x:c r="V735" s="31" t="n">
        <x:f>L735*'Controls &amp; Summary'!$B$9+O735*'Controls &amp; Summary'!$B$10+R735*'Controls &amp; Summary'!$B$11+U735*'Controls &amp; Summary'!$B$12</x:f>
        <x:v>4.510343075233898</x:v>
      </x:c>
      <x:c r="W735" s="31" t="n">
        <x:v>4</x:v>
      </x:c>
      <x:c r="X735" s="31" t="n">
        <x:v>6</x:v>
      </x:c>
      <x:c r="Y735" s="31" t="n">
        <x:f>((10-MIN(10,MAX(0,X735)))/10)*'Controls &amp; Summary'!$B$15+((10-MIN(10,MAX(0,W735)))/10)*'Controls &amp; Summary'!$B$16</x:f>
        <x:v>1</x:v>
      </x:c>
      <x:c r="Z735" s="31" t="n">
        <x:f>V735*Y735</x:f>
        <x:v>4.510343075233898</x:v>
      </x:c>
      <x:c r="AA735" s="30" t="str">
        <x:f>IF(Z735&lt;=I735,"Peaceful","Hostile")</x:f>
        <x:v>Peaceful</x:v>
      </x:c>
      <x:c r="AB735" s="30" t="str">
        <x:f>IF(Z735&lt;='Controls &amp; Summary'!$B$6,"Eligible","Blocked")</x:f>
        <x:v>Eligible</x:v>
      </x:c>
      <x:c r="AC735" s="30" t="str">
        <x:v>MYS</x:v>
      </x:c>
      <x:c r="AD735" s="30" t="str">
        <x:v>PHL</x:v>
      </x:c>
      <x:c r="AE735" s="30" t="str">
        <x:v>Luzon</x:v>
      </x:c>
      <x:c r="AF735" s="30" t="str">
        <x:v>Explicit capitalClaim</x:v>
      </x:c>
      <x:c r="AG735" s="30" t="str">
        <x:v>ClaimMYSLuzon</x:v>
      </x:c>
      <x:c r="AH735" s="30" t="str">
        <x:v>Project_GreaterMalaysia</x:v>
      </x:c>
    </x:row>
    <x:row r="736">
      <x:c r="A736" s="30" t="str">
        <x:v>2022</x:v>
      </x:c>
      <x:c r="B736" s="30" t="str">
        <x:v>Base game</x:v>
      </x:c>
      <x:c r="C736" s="30" t="str">
        <x:v>Malaysia</x:v>
      </x:c>
      <x:c r="D736" s="30" t="str">
        <x:v>Singapore</x:v>
      </x:c>
      <x:c r="E736" s="30" t="str">
        <x:v>Project unlock</x:v>
      </x:c>
      <x:c r="F736" s="30" t="str">
        <x:v>United Malay Nation</x:v>
      </x:c>
      <x:c r="G736" s="30" t="str">
        <x:v>No</x:v>
      </x:c>
      <x:c r="H736" s="30" t="str">
        <x:v>Ordinary claim</x:v>
      </x:c>
      <x:c r="I736" s="31" t="n">
        <x:f>IF(G736="Yes",'Controls &amp; Summary'!$B$5,'Controls &amp; Summary'!$B$4)</x:f>
        <x:v>6</x:v>
      </x:c>
      <x:c r="J736" s="31" t="n">
        <x:v>7.24</x:v>
      </x:c>
      <x:c r="K736" s="31" t="n">
        <x:v>6.23</x:v>
      </x:c>
      <x:c r="L736" s="31" t="n">
        <x:f>ABS(J736-K736)</x:f>
        <x:v>1.0099999999999998</x:v>
      </x:c>
      <x:c r="M736" s="31" t="n">
        <x:v>4.11</x:v>
      </x:c>
      <x:c r="N736" s="31" t="n">
        <x:v>3.5</x:v>
      </x:c>
      <x:c r="O736" s="31" t="n">
        <x:f>ABS(M736-N736)</x:f>
        <x:v>0.6100000000000003</x:v>
      </x:c>
      <x:c r="P736" s="31" t="n">
        <x:v>7.26</x:v>
      </x:c>
      <x:c r="Q736" s="31" t="n">
        <x:v>8.44</x:v>
      </x:c>
      <x:c r="R736" s="31" t="n">
        <x:f>ABS(P736-Q736)</x:f>
        <x:v>1.1799999999999997</x:v>
      </x:c>
      <x:c r="S736" s="32" t="n">
        <x:v>28784.60931677783</x:v>
      </x:c>
      <x:c r="T736" s="32" t="n">
        <x:v>103659.07827486754</x:v>
      </x:c>
      <x:c r="U736" s="31" t="n">
        <x:f>MAX(S736/T736,T736/S736)</x:f>
        <x:v>3.6011980268374617</x:v>
      </x:c>
      <x:c r="V736" s="31" t="n">
        <x:f>L736*'Controls &amp; Summary'!$B$9+O736*'Controls &amp; Summary'!$B$10+R736*'Controls &amp; Summary'!$B$11+U736*'Controls &amp; Summary'!$B$12</x:f>
        <x:v>6.401198026837461</x:v>
      </x:c>
      <x:c r="W736" s="31" t="n">
        <x:v>4</x:v>
      </x:c>
      <x:c r="X736" s="31" t="n">
        <x:v>0</x:v>
      </x:c>
      <x:c r="Y736" s="31" t="n">
        <x:f>((10-MIN(10,MAX(0,X736)))/10)*'Controls &amp; Summary'!$B$15+((10-MIN(10,MAX(0,W736)))/10)*'Controls &amp; Summary'!$B$16</x:f>
        <x:v>1.6</x:v>
      </x:c>
      <x:c r="Z736" s="31" t="n">
        <x:f>V736*Y736</x:f>
        <x:v>10.241916842939938</x:v>
      </x:c>
      <x:c r="AA736" s="30" t="str">
        <x:f>IF(Z736&lt;=I736,"Peaceful","Hostile")</x:f>
        <x:v>Hostile</x:v>
      </x:c>
      <x:c r="AB736" s="30" t="str">
        <x:f>IF(Z736&lt;='Controls &amp; Summary'!$B$6,"Eligible","Blocked")</x:f>
        <x:v>Eligible</x:v>
      </x:c>
      <x:c r="AC736" s="30" t="str">
        <x:v>MYS</x:v>
      </x:c>
      <x:c r="AD736" s="30" t="str">
        <x:v>SGP</x:v>
      </x:c>
      <x:c r="AE736" s="30" t="str">
        <x:v>Singapore</x:v>
      </x:c>
      <x:c r="AF736" s="30" t="str">
        <x:v>Explicit capitalClaim</x:v>
      </x:c>
      <x:c r="AG736" s="30" t="str">
        <x:v>ClaimMYSSingapore</x:v>
      </x:c>
      <x:c r="AH736" s="30" t="str">
        <x:v>Project_UnitedMalayNation</x:v>
      </x:c>
    </x:row>
    <x:row r="737">
      <x:c r="A737" s="30" t="str">
        <x:v>2022</x:v>
      </x:c>
      <x:c r="B737" s="30" t="str">
        <x:v>Base game</x:v>
      </x:c>
      <x:c r="C737" s="30" t="str">
        <x:v>Malaysia</x:v>
      </x:c>
      <x:c r="D737" s="30" t="str">
        <x:v>Sri Lanka</x:v>
      </x:c>
      <x:c r="E737" s="30" t="str">
        <x:v>Project unlock</x:v>
      </x:c>
      <x:c r="F737" s="30" t="str">
        <x:v>Greater Malaysia</x:v>
      </x:c>
      <x:c r="G737" s="30" t="str">
        <x:v>No</x:v>
      </x:c>
      <x:c r="H737" s="30" t="str">
        <x:v>Ordinary claim</x:v>
      </x:c>
      <x:c r="I737" s="31" t="n">
        <x:f>IF(G737="Yes",'Controls &amp; Summary'!$B$5,'Controls &amp; Summary'!$B$4)</x:f>
        <x:v>6</x:v>
      </x:c>
      <x:c r="J737" s="31" t="n">
        <x:v>7.24</x:v>
      </x:c>
      <x:c r="K737" s="31" t="n">
        <x:v>6.14</x:v>
      </x:c>
      <x:c r="L737" s="31" t="n">
        <x:f>ABS(J737-K737)</x:f>
        <x:v>1.1000000000000005</x:v>
      </x:c>
      <x:c r="M737" s="31" t="n">
        <x:v>4.11</x:v>
      </x:c>
      <x:c r="N737" s="31" t="n">
        <x:v>3.93</x:v>
      </x:c>
      <x:c r="O737" s="31" t="n">
        <x:f>ABS(M737-N737)</x:f>
        <x:v>0.18000000000000016</x:v>
      </x:c>
      <x:c r="P737" s="31" t="n">
        <x:v>7.26</x:v>
      </x:c>
      <x:c r="Q737" s="31" t="n">
        <x:v>7.46</x:v>
      </x:c>
      <x:c r="R737" s="31" t="n">
        <x:f>ABS(P737-Q737)</x:f>
        <x:v>0.20000000000000018</x:v>
      </x:c>
      <x:c r="S737" s="32" t="n">
        <x:v>28784.60931677783</x:v>
      </x:c>
      <x:c r="T737" s="32" t="n">
        <x:v>13784.96888434031</x:v>
      </x:c>
      <x:c r="U737" s="31" t="n">
        <x:f>MAX(S737/T737,T737/S737)</x:f>
        <x:v>2.0881156539625616</x:v>
      </x:c>
      <x:c r="V737" s="31" t="n">
        <x:f>L737*'Controls &amp; Summary'!$B$9+O737*'Controls &amp; Summary'!$B$10+R737*'Controls &amp; Summary'!$B$11+U737*'Controls &amp; Summary'!$B$12</x:f>
        <x:v>3.5681156539625625</x:v>
      </x:c>
      <x:c r="W737" s="31" t="n">
        <x:v>4</x:v>
      </x:c>
      <x:c r="X737" s="31" t="n">
        <x:v>3</x:v>
      </x:c>
      <x:c r="Y737" s="31" t="n">
        <x:f>((10-MIN(10,MAX(0,X737)))/10)*'Controls &amp; Summary'!$B$15+((10-MIN(10,MAX(0,W737)))/10)*'Controls &amp; Summary'!$B$16</x:f>
        <x:v>1.2999999999999998</x:v>
      </x:c>
      <x:c r="Z737" s="31" t="n">
        <x:f>V737*Y737</x:f>
        <x:v>4.6385503501513305</x:v>
      </x:c>
      <x:c r="AA737" s="30" t="str">
        <x:f>IF(Z737&lt;=I737,"Peaceful","Hostile")</x:f>
        <x:v>Peaceful</x:v>
      </x:c>
      <x:c r="AB737" s="30" t="str">
        <x:f>IF(Z737&lt;='Controls &amp; Summary'!$B$6,"Eligible","Blocked")</x:f>
        <x:v>Eligible</x:v>
      </x:c>
      <x:c r="AC737" s="30" t="str">
        <x:v>MYS</x:v>
      </x:c>
      <x:c r="AD737" s="30" t="str">
        <x:v>LKA</x:v>
      </x:c>
      <x:c r="AE737" s="30" t="str">
        <x:v>SriLanka</x:v>
      </x:c>
      <x:c r="AF737" s="30" t="str">
        <x:v>Explicit capitalClaim</x:v>
      </x:c>
      <x:c r="AG737" s="30" t="str">
        <x:v>ClaimMYSSriLanka</x:v>
      </x:c>
      <x:c r="AH737" s="30" t="str">
        <x:v>Project_GreaterMalaysia</x:v>
      </x:c>
    </x:row>
    <x:row r="738">
      <x:c r="A738" s="30" t="str">
        <x:v>2022</x:v>
      </x:c>
      <x:c r="B738" s="30" t="str">
        <x:v>Base game</x:v>
      </x:c>
      <x:c r="C738" s="30" t="str">
        <x:v>Malaysia</x:v>
      </x:c>
      <x:c r="D738" s="30" t="str">
        <x:v>Thailand</x:v>
      </x:c>
      <x:c r="E738" s="30" t="str">
        <x:v>Project unlock</x:v>
      </x:c>
      <x:c r="F738" s="30" t="str">
        <x:v>Greater Malaysia</x:v>
      </x:c>
      <x:c r="G738" s="30" t="str">
        <x:v>No</x:v>
      </x:c>
      <x:c r="H738" s="30" t="str">
        <x:v>Ordinary claim</x:v>
      </x:c>
      <x:c r="I738" s="31" t="n">
        <x:f>IF(G738="Yes",'Controls &amp; Summary'!$B$5,'Controls &amp; Summary'!$B$4)</x:f>
        <x:v>6</x:v>
      </x:c>
      <x:c r="J738" s="31" t="n">
        <x:v>7.24</x:v>
      </x:c>
      <x:c r="K738" s="31" t="n">
        <x:v>6.04</x:v>
      </x:c>
      <x:c r="L738" s="31" t="n">
        <x:f>ABS(J738-K738)</x:f>
        <x:v>1.2000000000000002</x:v>
      </x:c>
      <x:c r="M738" s="31" t="n">
        <x:v>4.11</x:v>
      </x:c>
      <x:c r="N738" s="31" t="n">
        <x:v>3.5</x:v>
      </x:c>
      <x:c r="O738" s="31" t="n">
        <x:f>ABS(M738-N738)</x:f>
        <x:v>0.6100000000000003</x:v>
      </x:c>
      <x:c r="P738" s="31" t="n">
        <x:v>7.26</x:v>
      </x:c>
      <x:c r="Q738" s="31" t="n">
        <x:v>6.82</x:v>
      </x:c>
      <x:c r="R738" s="31" t="n">
        <x:f>ABS(P738-Q738)</x:f>
        <x:v>0.4399999999999995</x:v>
      </x:c>
      <x:c r="S738" s="32" t="n">
        <x:v>28784.60931677783</x:v>
      </x:c>
      <x:c r="T738" s="32" t="n">
        <x:v>18520.345410348644</x:v>
      </x:c>
      <x:c r="U738" s="31" t="n">
        <x:f>MAX(S738/T738,T738/S738)</x:f>
        <x:v>1.5542155763841103</x:v>
      </x:c>
      <x:c r="V738" s="31" t="n">
        <x:f>L738*'Controls &amp; Summary'!$B$9+O738*'Controls &amp; Summary'!$B$10+R738*'Controls &amp; Summary'!$B$11+U738*'Controls &amp; Summary'!$B$12</x:f>
        <x:v>3.8042155763841103</x:v>
      </x:c>
      <x:c r="W738" s="31" t="n">
        <x:v>4</x:v>
      </x:c>
      <x:c r="X738" s="31" t="n">
        <x:v>3</x:v>
      </x:c>
      <x:c r="Y738" s="31" t="n">
        <x:f>((10-MIN(10,MAX(0,X738)))/10)*'Controls &amp; Summary'!$B$15+((10-MIN(10,MAX(0,W738)))/10)*'Controls &amp; Summary'!$B$16</x:f>
        <x:v>1.2999999999999998</x:v>
      </x:c>
      <x:c r="Z738" s="31" t="n">
        <x:f>V738*Y738</x:f>
        <x:v>4.945480249299343</x:v>
      </x:c>
      <x:c r="AA738" s="30" t="str">
        <x:f>IF(Z738&lt;=I738,"Peaceful","Hostile")</x:f>
        <x:v>Peaceful</x:v>
      </x:c>
      <x:c r="AB738" s="30" t="str">
        <x:f>IF(Z738&lt;='Controls &amp; Summary'!$B$6,"Eligible","Blocked")</x:f>
        <x:v>Eligible</x:v>
      </x:c>
      <x:c r="AC738" s="30" t="str">
        <x:v>MYS</x:v>
      </x:c>
      <x:c r="AD738" s="30" t="str">
        <x:v>THA</x:v>
      </x:c>
      <x:c r="AE738" s="30" t="str">
        <x:v>Bangkok</x:v>
      </x:c>
      <x:c r="AF738" s="30" t="str">
        <x:v>Explicit capitalClaim</x:v>
      </x:c>
      <x:c r="AG738" s="30" t="str">
        <x:v>ClaimMYSBangkok</x:v>
      </x:c>
      <x:c r="AH738" s="30" t="str">
        <x:v>Project_GreaterMalaysia</x:v>
      </x:c>
    </x:row>
    <x:row r="739">
      <x:c r="A739" s="30" t="str">
        <x:v>2022</x:v>
      </x:c>
      <x:c r="B739" s="30" t="str">
        <x:v>Base game</x:v>
      </x:c>
      <x:c r="C739" s="30" t="str">
        <x:v>Mali</x:v>
      </x:c>
      <x:c r="D739" s="30" t="str">
        <x:v>Burkina Faso</x:v>
      </x:c>
      <x:c r="E739" s="30" t="str">
        <x:v>Project unlock</x:v>
      </x:c>
      <x:c r="F739" s="30" t="str">
        <x:v>African Confederations</x:v>
      </x:c>
      <x:c r="G739" s="30" t="str">
        <x:v>No</x:v>
      </x:c>
      <x:c r="H739" s="30" t="str">
        <x:v>Ordinary claim</x:v>
      </x:c>
      <x:c r="I739" s="31" t="n">
        <x:f>IF(G739="Yes",'Controls &amp; Summary'!$B$5,'Controls &amp; Summary'!$B$4)</x:f>
        <x:v>6</x:v>
      </x:c>
      <x:c r="J739" s="31" t="n">
        <x:v>3.48</x:v>
      </x:c>
      <x:c r="K739" s="31" t="n">
        <x:v>3.84</x:v>
      </x:c>
      <x:c r="L739" s="31" t="n">
        <x:f>ABS(J739-K739)</x:f>
        <x:v>0.3599999999999999</x:v>
      </x:c>
      <x:c r="M739" s="31" t="n">
        <x:v>3.61</x:v>
      </x:c>
      <x:c r="N739" s="31" t="n">
        <x:v>4.73</x:v>
      </x:c>
      <x:c r="O739" s="31" t="n">
        <x:f>ABS(M739-N739)</x:f>
        <x:v>1.1200000000000006</x:v>
      </x:c>
      <x:c r="P739" s="31" t="n">
        <x:v>2.86</x:v>
      </x:c>
      <x:c r="Q739" s="31" t="n">
        <x:v>3.12</x:v>
      </x:c>
      <x:c r="R739" s="31" t="n">
        <x:f>ABS(P739-Q739)</x:f>
        <x:v>0.26000000000000023</x:v>
      </x:c>
      <x:c r="S739" s="32" t="n">
        <x:v>2553.6295666642395</x:v>
      </x:c>
      <x:c r="T739" s="32" t="n">
        <x:v>2328.229556856228</x:v>
      </x:c>
      <x:c r="U739" s="31" t="n">
        <x:f>MAX(S739/T739,T739/S739)</x:f>
        <x:v>1.096811763747371</x:v>
      </x:c>
      <x:c r="V739" s="31" t="n">
        <x:f>L739*'Controls &amp; Summary'!$B$9+O739*'Controls &amp; Summary'!$B$10+R739*'Controls &amp; Summary'!$B$11+U739*'Controls &amp; Summary'!$B$12</x:f>
        <x:v>2.836811763747372</x:v>
      </x:c>
      <x:c r="W739" s="31" t="n">
        <x:v>2</x:v>
      </x:c>
      <x:c r="X739" s="31" t="n">
        <x:v>4</x:v>
      </x:c>
      <x:c r="Y739" s="31" t="n">
        <x:f>((10-MIN(10,MAX(0,X739)))/10)*'Controls &amp; Summary'!$B$15+((10-MIN(10,MAX(0,W739)))/10)*'Controls &amp; Summary'!$B$16</x:f>
        <x:v>1.4</x:v>
      </x:c>
      <x:c r="Z739" s="31" t="n">
        <x:f>V739*Y739</x:f>
        <x:v>3.9715364692463204</x:v>
      </x:c>
      <x:c r="AA739" s="30" t="str">
        <x:f>IF(Z739&lt;=I739,"Peaceful","Hostile")</x:f>
        <x:v>Peaceful</x:v>
      </x:c>
      <x:c r="AB739" s="30" t="str">
        <x:f>IF(Z739&lt;='Controls &amp; Summary'!$B$6,"Eligible","Blocked")</x:f>
        <x:v>Eligible</x:v>
      </x:c>
      <x:c r="AC739" s="30" t="str">
        <x:v>MLI</x:v>
      </x:c>
      <x:c r="AD739" s="30" t="str">
        <x:v>BKF</x:v>
      </x:c>
      <x:c r="AE739" s="30" t="str">
        <x:v>BurkinaFaso</x:v>
      </x:c>
      <x:c r="AF739" s="30" t="str">
        <x:v>Explicit capitalClaim</x:v>
      </x:c>
      <x:c r="AG739" s="30" t="str">
        <x:v>ClaimMLIBurkinaFaso</x:v>
      </x:c>
      <x:c r="AH739" s="30" t="str">
        <x:v>Project_EastAfricanFederation</x:v>
      </x:c>
    </x:row>
    <x:row r="740">
      <x:c r="A740" s="30" t="str">
        <x:v>2022</x:v>
      </x:c>
      <x:c r="B740" s="30" t="str">
        <x:v>Base game</x:v>
      </x:c>
      <x:c r="C740" s="30" t="str">
        <x:v>Mali</x:v>
      </x:c>
      <x:c r="D740" s="30" t="str">
        <x:v>Chad</x:v>
      </x:c>
      <x:c r="E740" s="30" t="str">
        <x:v>Project unlock</x:v>
      </x:c>
      <x:c r="F740" s="30" t="str">
        <x:v>Regional African Unions</x:v>
      </x:c>
      <x:c r="G740" s="30" t="str">
        <x:v>No</x:v>
      </x:c>
      <x:c r="H740" s="30" t="str">
        <x:v>Ordinary claim</x:v>
      </x:c>
      <x:c r="I740" s="31" t="n">
        <x:f>IF(G740="Yes",'Controls &amp; Summary'!$B$5,'Controls &amp; Summary'!$B$4)</x:f>
        <x:v>6</x:v>
      </x:c>
      <x:c r="J740" s="31" t="n">
        <x:v>3.48</x:v>
      </x:c>
      <x:c r="K740" s="31" t="n">
        <x:v>1.67</x:v>
      </x:c>
      <x:c r="L740" s="31" t="n">
        <x:f>ABS(J740-K740)</x:f>
        <x:v>1.81</x:v>
      </x:c>
      <x:c r="M740" s="31" t="n">
        <x:v>3.61</x:v>
      </x:c>
      <x:c r="N740" s="31" t="n">
        <x:v>3.75</x:v>
      </x:c>
      <x:c r="O740" s="31" t="n">
        <x:f>ABS(M740-N740)</x:f>
        <x:v>0.14000000000000012</x:v>
      </x:c>
      <x:c r="P740" s="31" t="n">
        <x:v>2.86</x:v>
      </x:c>
      <x:c r="Q740" s="31" t="n">
        <x:v>2.88</x:v>
      </x:c>
      <x:c r="R740" s="31" t="n">
        <x:f>ABS(P740-Q740)</x:f>
        <x:v>0.020000000000000018</x:v>
      </x:c>
      <x:c r="S740" s="32" t="n">
        <x:v>2553.6295666642395</x:v>
      </x:c>
      <x:c r="T740" s="32" t="n">
        <x:v>1486.5764952493905</x:v>
      </x:c>
      <x:c r="U740" s="31" t="n">
        <x:f>MAX(S740/T740,T740/S740)</x:f>
        <x:v>1.7177922392993563</x:v>
      </x:c>
      <x:c r="V740" s="31" t="n">
        <x:f>L740*'Controls &amp; Summary'!$B$9+O740*'Controls &amp; Summary'!$B$10+R740*'Controls &amp; Summary'!$B$11+U740*'Controls &amp; Summary'!$B$12</x:f>
        <x:v>3.6877922392993563</x:v>
      </x:c>
      <x:c r="W740" s="31" t="n">
        <x:v>2</x:v>
      </x:c>
      <x:c r="X740" s="31" t="n">
        <x:v>5</x:v>
      </x:c>
      <x:c r="Y740" s="31" t="n">
        <x:f>((10-MIN(10,MAX(0,X740)))/10)*'Controls &amp; Summary'!$B$15+((10-MIN(10,MAX(0,W740)))/10)*'Controls &amp; Summary'!$B$16</x:f>
        <x:v>1.3</x:v>
      </x:c>
      <x:c r="Z740" s="31" t="n">
        <x:f>V740*Y740</x:f>
        <x:v>4.794129911089163</x:v>
      </x:c>
      <x:c r="AA740" s="30" t="str">
        <x:f>IF(Z740&lt;=I740,"Peaceful","Hostile")</x:f>
        <x:v>Peaceful</x:v>
      </x:c>
      <x:c r="AB740" s="30" t="str">
        <x:f>IF(Z740&lt;='Controls &amp; Summary'!$B$6,"Eligible","Blocked")</x:f>
        <x:v>Eligible</x:v>
      </x:c>
      <x:c r="AC740" s="30" t="str">
        <x:v>MLI</x:v>
      </x:c>
      <x:c r="AD740" s="30" t="str">
        <x:v>TCD</x:v>
      </x:c>
      <x:c r="AE740" s="30" t="str">
        <x:v>Chad</x:v>
      </x:c>
      <x:c r="AF740" s="30" t="str">
        <x:v>Explicit capitalClaim</x:v>
      </x:c>
      <x:c r="AG740" s="30" t="str">
        <x:v>ClaimMLIChad</x:v>
      </x:c>
      <x:c r="AH740" s="30" t="str">
        <x:v>Project_RegionalAfricanUnions</x:v>
      </x:c>
    </x:row>
    <x:row r="741">
      <x:c r="A741" s="30" t="str">
        <x:v>2022</x:v>
      </x:c>
      <x:c r="B741" s="30" t="str">
        <x:v>Base game</x:v>
      </x:c>
      <x:c r="C741" s="30" t="str">
        <x:v>Mali</x:v>
      </x:c>
      <x:c r="D741" s="30" t="str">
        <x:v>Ghana</x:v>
      </x:c>
      <x:c r="E741" s="30" t="str">
        <x:v>Project unlock</x:v>
      </x:c>
      <x:c r="F741" s="30" t="str">
        <x:v>Regional African Unions</x:v>
      </x:c>
      <x:c r="G741" s="30" t="str">
        <x:v>No</x:v>
      </x:c>
      <x:c r="H741" s="30" t="str">
        <x:v>Ordinary claim</x:v>
      </x:c>
      <x:c r="I741" s="31" t="n">
        <x:f>IF(G741="Yes",'Controls &amp; Summary'!$B$5,'Controls &amp; Summary'!$B$4)</x:f>
        <x:v>6</x:v>
      </x:c>
      <x:c r="J741" s="31" t="n">
        <x:v>3.48</x:v>
      </x:c>
      <x:c r="K741" s="31" t="n">
        <x:v>6.5</x:v>
      </x:c>
      <x:c r="L741" s="31" t="n">
        <x:f>ABS(J741-K741)</x:f>
        <x:v>3.02</x:v>
      </x:c>
      <x:c r="M741" s="31" t="n">
        <x:v>3.61</x:v>
      </x:c>
      <x:c r="N741" s="31" t="n">
        <x:v>4.35</x:v>
      </x:c>
      <x:c r="O741" s="31" t="n">
        <x:f>ABS(M741-N741)</x:f>
        <x:v>0.7399999999999998</x:v>
      </x:c>
      <x:c r="P741" s="31" t="n">
        <x:v>2.86</x:v>
      </x:c>
      <x:c r="Q741" s="31" t="n">
        <x:v>5.63</x:v>
      </x:c>
      <x:c r="R741" s="31" t="n">
        <x:f>ABS(P741-Q741)</x:f>
        <x:v>2.77</x:v>
      </x:c>
      <x:c r="S741" s="32" t="n">
        <x:v>2553.6295666642395</x:v>
      </x:c>
      <x:c r="T741" s="32" t="n">
        <x:v>5848.315981446523</x:v>
      </x:c>
      <x:c r="U741" s="31" t="n">
        <x:f>MAX(S741/T741,T741/S741)</x:f>
        <x:v>2.290197473350089</x:v>
      </x:c>
      <x:c r="V741" s="31" t="n">
        <x:f>L741*'Controls &amp; Summary'!$B$9+O741*'Controls &amp; Summary'!$B$10+R741*'Controls &amp; Summary'!$B$11+U741*'Controls &amp; Summary'!$B$12</x:f>
        <x:v>8.820197473350088</x:v>
      </x:c>
      <x:c r="W741" s="31" t="n">
        <x:v>2</x:v>
      </x:c>
      <x:c r="X741" s="31" t="n">
        <x:v>2</x:v>
      </x:c>
      <x:c r="Y741" s="31" t="n">
        <x:f>((10-MIN(10,MAX(0,X741)))/10)*'Controls &amp; Summary'!$B$15+((10-MIN(10,MAX(0,W741)))/10)*'Controls &amp; Summary'!$B$16</x:f>
        <x:v>1.6</x:v>
      </x:c>
      <x:c r="Z741" s="31" t="n">
        <x:f>V741*Y741</x:f>
        <x:v>14.112315957360142</x:v>
      </x:c>
      <x:c r="AA741" s="30" t="str">
        <x:f>IF(Z741&lt;=I741,"Peaceful","Hostile")</x:f>
        <x:v>Hostile</x:v>
      </x:c>
      <x:c r="AB741" s="30" t="str">
        <x:f>IF(Z741&lt;='Controls &amp; Summary'!$B$6,"Eligible","Blocked")</x:f>
        <x:v>Blocked</x:v>
      </x:c>
      <x:c r="AC741" s="30" t="str">
        <x:v>MLI</x:v>
      </x:c>
      <x:c r="AD741" s="30" t="str">
        <x:v>GHA</x:v>
      </x:c>
      <x:c r="AE741" s="30" t="str">
        <x:v>Accra</x:v>
      </x:c>
      <x:c r="AF741" s="30" t="str">
        <x:v>Explicit capitalClaim</x:v>
      </x:c>
      <x:c r="AG741" s="30" t="str">
        <x:v>ClaimMLIAccra</x:v>
      </x:c>
      <x:c r="AH741" s="30" t="str">
        <x:v>Project_RegionalAfricanUnions</x:v>
      </x:c>
    </x:row>
    <x:row r="742">
      <x:c r="A742" s="30" t="str">
        <x:v>2022</x:v>
      </x:c>
      <x:c r="B742" s="30" t="str">
        <x:v>Base game</x:v>
      </x:c>
      <x:c r="C742" s="30" t="str">
        <x:v>Mali</x:v>
      </x:c>
      <x:c r="D742" s="30" t="str">
        <x:v>Guinea</x:v>
      </x:c>
      <x:c r="E742" s="30" t="str">
        <x:v>Project unlock</x:v>
      </x:c>
      <x:c r="F742" s="30" t="str">
        <x:v>Regional African Unions</x:v>
      </x:c>
      <x:c r="G742" s="30" t="str">
        <x:v>No</x:v>
      </x:c>
      <x:c r="H742" s="30" t="str">
        <x:v>Ordinary claim</x:v>
      </x:c>
      <x:c r="I742" s="31" t="n">
        <x:f>IF(G742="Yes",'Controls &amp; Summary'!$B$5,'Controls &amp; Summary'!$B$4)</x:f>
        <x:v>6</x:v>
      </x:c>
      <x:c r="J742" s="31" t="n">
        <x:v>3.48</x:v>
      </x:c>
      <x:c r="K742" s="31" t="n">
        <x:v>2.28</x:v>
      </x:c>
      <x:c r="L742" s="31" t="n">
        <x:f>ABS(J742-K742)</x:f>
        <x:v>1.2000000000000002</x:v>
      </x:c>
      <x:c r="M742" s="31" t="n">
        <x:v>3.61</x:v>
      </x:c>
      <x:c r="N742" s="31" t="n">
        <x:v>2.96</x:v>
      </x:c>
      <x:c r="O742" s="31" t="n">
        <x:f>ABS(M742-N742)</x:f>
        <x:v>0.6499999999999999</x:v>
      </x:c>
      <x:c r="P742" s="31" t="n">
        <x:v>2.86</x:v>
      </x:c>
      <x:c r="Q742" s="31" t="n">
        <x:v>3.54</x:v>
      </x:c>
      <x:c r="R742" s="31" t="n">
        <x:f>ABS(P742-Q742)</x:f>
        <x:v>0.6800000000000002</x:v>
      </x:c>
      <x:c r="S742" s="32" t="n">
        <x:v>2553.6295666642395</x:v>
      </x:c>
      <x:c r="T742" s="32" t="n">
        <x:v>2797.843365454211</x:v>
      </x:c>
      <x:c r="U742" s="31" t="n">
        <x:f>MAX(S742/T742,T742/S742)</x:f>
        <x:v>1.0956339956186298</x:v>
      </x:c>
      <x:c r="V742" s="31" t="n">
        <x:f>L742*'Controls &amp; Summary'!$B$9+O742*'Controls &amp; Summary'!$B$10+R742*'Controls &amp; Summary'!$B$11+U742*'Controls &amp; Summary'!$B$12</x:f>
        <x:v>3.62563399561863</x:v>
      </x:c>
      <x:c r="W742" s="31" t="n">
        <x:v>2</x:v>
      </x:c>
      <x:c r="X742" s="31" t="n">
        <x:v>3</x:v>
      </x:c>
      <x:c r="Y742" s="31" t="n">
        <x:f>((10-MIN(10,MAX(0,X742)))/10)*'Controls &amp; Summary'!$B$15+((10-MIN(10,MAX(0,W742)))/10)*'Controls &amp; Summary'!$B$16</x:f>
        <x:v>1.5</x:v>
      </x:c>
      <x:c r="Z742" s="31" t="n">
        <x:f>V742*Y742</x:f>
        <x:v>5.438450993427945</x:v>
      </x:c>
      <x:c r="AA742" s="30" t="str">
        <x:f>IF(Z742&lt;=I742,"Peaceful","Hostile")</x:f>
        <x:v>Peaceful</x:v>
      </x:c>
      <x:c r="AB742" s="30" t="str">
        <x:f>IF(Z742&lt;='Controls &amp; Summary'!$B$6,"Eligible","Blocked")</x:f>
        <x:v>Eligible</x:v>
      </x:c>
      <x:c r="AC742" s="30" t="str">
        <x:v>MLI</x:v>
      </x:c>
      <x:c r="AD742" s="30" t="str">
        <x:v>GIN</x:v>
      </x:c>
      <x:c r="AE742" s="30" t="str">
        <x:v>Guinea</x:v>
      </x:c>
      <x:c r="AF742" s="30" t="str">
        <x:v>Explicit capitalClaim</x:v>
      </x:c>
      <x:c r="AG742" s="30" t="str">
        <x:v>ClaimMLIGuinea</x:v>
      </x:c>
      <x:c r="AH742" s="30" t="str">
        <x:v>Project_RegionalAfricanUnions</x:v>
      </x:c>
    </x:row>
    <x:row r="743">
      <x:c r="A743" s="30" t="str">
        <x:v>2022</x:v>
      </x:c>
      <x:c r="B743" s="30" t="str">
        <x:v>Base game</x:v>
      </x:c>
      <x:c r="C743" s="30" t="str">
        <x:v>Mali</x:v>
      </x:c>
      <x:c r="D743" s="30" t="str">
        <x:v>Niger</x:v>
      </x:c>
      <x:c r="E743" s="30" t="str">
        <x:v>Project unlock</x:v>
      </x:c>
      <x:c r="F743" s="30" t="str">
        <x:v>African Confederations</x:v>
      </x:c>
      <x:c r="G743" s="30" t="str">
        <x:v>No</x:v>
      </x:c>
      <x:c r="H743" s="30" t="str">
        <x:v>Ordinary claim</x:v>
      </x:c>
      <x:c r="I743" s="31" t="n">
        <x:f>IF(G743="Yes",'Controls &amp; Summary'!$B$5,'Controls &amp; Summary'!$B$4)</x:f>
        <x:v>6</x:v>
      </x:c>
      <x:c r="J743" s="31" t="n">
        <x:v>3.48</x:v>
      </x:c>
      <x:c r="K743" s="31" t="n">
        <x:v>3.22</x:v>
      </x:c>
      <x:c r="L743" s="31" t="n">
        <x:f>ABS(J743-K743)</x:f>
        <x:v>0.2599999999999998</x:v>
      </x:c>
      <x:c r="M743" s="31" t="n">
        <x:v>3.61</x:v>
      </x:c>
      <x:c r="N743" s="31" t="n">
        <x:v>3.73</x:v>
      </x:c>
      <x:c r="O743" s="31" t="n">
        <x:f>ABS(M743-N743)</x:f>
        <x:v>0.1200000000000001</x:v>
      </x:c>
      <x:c r="P743" s="31" t="n">
        <x:v>2.86</x:v>
      </x:c>
      <x:c r="Q743" s="31" t="n">
        <x:v>2.49</x:v>
      </x:c>
      <x:c r="R743" s="31" t="n">
        <x:f>ABS(P743-Q743)</x:f>
        <x:v>0.36999999999999966</x:v>
      </x:c>
      <x:c r="S743" s="32" t="n">
        <x:v>2553.6295666642395</x:v>
      </x:c>
      <x:c r="T743" s="32" t="n">
        <x:v>1247.9912421287745</x:v>
      </x:c>
      <x:c r="U743" s="31" t="n">
        <x:f>MAX(S743/T743,T743/S743)</x:f>
        <x:v>2.0461918965940487</x:v>
      </x:c>
      <x:c r="V743" s="31" t="n">
        <x:f>L743*'Controls &amp; Summary'!$B$9+O743*'Controls &amp; Summary'!$B$10+R743*'Controls &amp; Summary'!$B$11+U743*'Controls &amp; Summary'!$B$12</x:f>
        <x:v>2.796191896594048</x:v>
      </x:c>
      <x:c r="W743" s="31" t="n">
        <x:v>2</x:v>
      </x:c>
      <x:c r="X743" s="31" t="n">
        <x:v>6</x:v>
      </x:c>
      <x:c r="Y743" s="31" t="n">
        <x:f>((10-MIN(10,MAX(0,X743)))/10)*'Controls &amp; Summary'!$B$15+((10-MIN(10,MAX(0,W743)))/10)*'Controls &amp; Summary'!$B$16</x:f>
        <x:v>1.2000000000000002</x:v>
      </x:c>
      <x:c r="Z743" s="31" t="n">
        <x:f>V743*Y743</x:f>
        <x:v>3.3554302759128585</x:v>
      </x:c>
      <x:c r="AA743" s="30" t="str">
        <x:f>IF(Z743&lt;=I743,"Peaceful","Hostile")</x:f>
        <x:v>Peaceful</x:v>
      </x:c>
      <x:c r="AB743" s="30" t="str">
        <x:f>IF(Z743&lt;='Controls &amp; Summary'!$B$6,"Eligible","Blocked")</x:f>
        <x:v>Eligible</x:v>
      </x:c>
      <x:c r="AC743" s="30" t="str">
        <x:v>MLI</x:v>
      </x:c>
      <x:c r="AD743" s="30" t="str">
        <x:v>NER</x:v>
      </x:c>
      <x:c r="AE743" s="30" t="str">
        <x:v>Niger</x:v>
      </x:c>
      <x:c r="AF743" s="30" t="str">
        <x:v>Explicit capitalClaim</x:v>
      </x:c>
      <x:c r="AG743" s="30" t="str">
        <x:v>ClaimMLINiger</x:v>
      </x:c>
      <x:c r="AH743" s="30" t="str">
        <x:v>Project_EastAfricanFederation</x:v>
      </x:c>
    </x:row>
    <x:row r="744">
      <x:c r="A744" s="30" t="str">
        <x:v>2022</x:v>
      </x:c>
      <x:c r="B744" s="30" t="str">
        <x:v>Base game</x:v>
      </x:c>
      <x:c r="C744" s="30" t="str">
        <x:v>Mali</x:v>
      </x:c>
      <x:c r="D744" s="30" t="str">
        <x:v>Senegal</x:v>
      </x:c>
      <x:c r="E744" s="30" t="str">
        <x:v>Project unlock</x:v>
      </x:c>
      <x:c r="F744" s="30" t="str">
        <x:v>Regional African Unions</x:v>
      </x:c>
      <x:c r="G744" s="30" t="str">
        <x:v>No</x:v>
      </x:c>
      <x:c r="H744" s="30" t="str">
        <x:v>Ordinary claim</x:v>
      </x:c>
      <x:c r="I744" s="31" t="n">
        <x:f>IF(G744="Yes",'Controls &amp; Summary'!$B$5,'Controls &amp; Summary'!$B$4)</x:f>
        <x:v>6</x:v>
      </x:c>
      <x:c r="J744" s="31" t="n">
        <x:v>3.48</x:v>
      </x:c>
      <x:c r="K744" s="31" t="n">
        <x:v>5.53</x:v>
      </x:c>
      <x:c r="L744" s="31" t="n">
        <x:f>ABS(J744-K744)</x:f>
        <x:v>2.0500000000000003</x:v>
      </x:c>
      <x:c r="M744" s="31" t="n">
        <x:v>3.61</x:v>
      </x:c>
      <x:c r="N744" s="31" t="n">
        <x:v>3.81</x:v>
      </x:c>
      <x:c r="O744" s="31" t="n">
        <x:f>ABS(M744-N744)</x:f>
        <x:v>0.20000000000000018</x:v>
      </x:c>
      <x:c r="P744" s="31" t="n">
        <x:v>2.86</x:v>
      </x:c>
      <x:c r="Q744" s="31" t="n">
        <x:v>3.45</x:v>
      </x:c>
      <x:c r="R744" s="31" t="n">
        <x:f>ABS(P744-Q744)</x:f>
        <x:v>0.5900000000000003</x:v>
      </x:c>
      <x:c r="S744" s="32" t="n">
        <x:v>2553.6295666642395</x:v>
      </x:c>
      <x:c r="T744" s="32" t="n">
        <x:v>3576.8010302812236</x:v>
      </x:c>
      <x:c r="U744" s="31" t="n">
        <x:f>MAX(S744/T744,T744/S744)</x:f>
        <x:v>1.4006734089288975</x:v>
      </x:c>
      <x:c r="V744" s="31" t="n">
        <x:f>L744*'Controls &amp; Summary'!$B$9+O744*'Controls &amp; Summary'!$B$10+R744*'Controls &amp; Summary'!$B$11+U744*'Controls &amp; Summary'!$B$12</x:f>
        <x:v>4.240673408928898</x:v>
      </x:c>
      <x:c r="W744" s="31" t="n">
        <x:v>2</x:v>
      </x:c>
      <x:c r="X744" s="31" t="n">
        <x:v>2</x:v>
      </x:c>
      <x:c r="Y744" s="31" t="n">
        <x:f>((10-MIN(10,MAX(0,X744)))/10)*'Controls &amp; Summary'!$B$15+((10-MIN(10,MAX(0,W744)))/10)*'Controls &amp; Summary'!$B$16</x:f>
        <x:v>1.6</x:v>
      </x:c>
      <x:c r="Z744" s="31" t="n">
        <x:f>V744*Y744</x:f>
        <x:v>6.785077454286237</x:v>
      </x:c>
      <x:c r="AA744" s="30" t="str">
        <x:f>IF(Z744&lt;=I744,"Peaceful","Hostile")</x:f>
        <x:v>Hostile</x:v>
      </x:c>
      <x:c r="AB744" s="30" t="str">
        <x:f>IF(Z744&lt;='Controls &amp; Summary'!$B$6,"Eligible","Blocked")</x:f>
        <x:v>Eligible</x:v>
      </x:c>
      <x:c r="AC744" s="30" t="str">
        <x:v>MLI</x:v>
      </x:c>
      <x:c r="AD744" s="30" t="str">
        <x:v>SEG</x:v>
      </x:c>
      <x:c r="AE744" s="30" t="str">
        <x:v>Senegambia</x:v>
      </x:c>
      <x:c r="AF744" s="30" t="str">
        <x:v>Explicit capitalClaim</x:v>
      </x:c>
      <x:c r="AG744" s="30" t="str">
        <x:v>ClaimMLISenegambia</x:v>
      </x:c>
      <x:c r="AH744" s="30" t="str">
        <x:v>Project_RegionalAfricanUnions</x:v>
      </x:c>
    </x:row>
    <x:row r="745">
      <x:c r="A745" s="30" t="str">
        <x:v>2022</x:v>
      </x:c>
      <x:c r="B745" s="30" t="str">
        <x:v>Base game</x:v>
      </x:c>
      <x:c r="C745" s="30" t="str">
        <x:v>Mali</x:v>
      </x:c>
      <x:c r="D745" s="30" t="str">
        <x:v>Togo</x:v>
      </x:c>
      <x:c r="E745" s="30" t="str">
        <x:v>Project unlock</x:v>
      </x:c>
      <x:c r="F745" s="30" t="str">
        <x:v>Regional African Unions</x:v>
      </x:c>
      <x:c r="G745" s="30" t="str">
        <x:v>No</x:v>
      </x:c>
      <x:c r="H745" s="30" t="str">
        <x:v>Ordinary claim</x:v>
      </x:c>
      <x:c r="I745" s="31" t="n">
        <x:f>IF(G745="Yes",'Controls &amp; Summary'!$B$5,'Controls &amp; Summary'!$B$4)</x:f>
        <x:v>6</x:v>
      </x:c>
      <x:c r="J745" s="31" t="n">
        <x:v>3.48</x:v>
      </x:c>
      <x:c r="K745" s="31" t="n">
        <x:v>2.8</x:v>
      </x:c>
      <x:c r="L745" s="31" t="n">
        <x:f>ABS(J745-K745)</x:f>
        <x:v>0.6800000000000002</x:v>
      </x:c>
      <x:c r="M745" s="31" t="n">
        <x:v>3.61</x:v>
      </x:c>
      <x:c r="N745" s="31" t="n">
        <x:v>4.24</x:v>
      </x:c>
      <x:c r="O745" s="31" t="n">
        <x:f>ABS(M745-N745)</x:f>
        <x:v>0.6300000000000003</x:v>
      </x:c>
      <x:c r="P745" s="31" t="n">
        <x:v>2.86</x:v>
      </x:c>
      <x:c r="Q745" s="31" t="n">
        <x:v>5.17</x:v>
      </x:c>
      <x:c r="R745" s="31" t="n">
        <x:f>ABS(P745-Q745)</x:f>
        <x:v>2.31</x:v>
      </x:c>
      <x:c r="S745" s="32" t="n">
        <x:v>2553.6295666642395</x:v>
      </x:c>
      <x:c r="T745" s="32" t="n">
        <x:v>2275.549928171747</x:v>
      </x:c>
      <x:c r="U745" s="31" t="n">
        <x:f>MAX(S745/T745,T745/S745)</x:f>
        <x:v>1.1222032683395837</x:v>
      </x:c>
      <x:c r="V745" s="31" t="n">
        <x:f>L745*'Controls &amp; Summary'!$B$9+O745*'Controls &amp; Summary'!$B$10+R745*'Controls &amp; Summary'!$B$11+U745*'Controls &amp; Summary'!$B$12</x:f>
        <x:v>4.742203268339584</x:v>
      </x:c>
      <x:c r="W745" s="31" t="n">
        <x:v>2</x:v>
      </x:c>
      <x:c r="X745" s="31" t="n">
        <x:v>3</x:v>
      </x:c>
      <x:c r="Y745" s="31" t="n">
        <x:f>((10-MIN(10,MAX(0,X745)))/10)*'Controls &amp; Summary'!$B$15+((10-MIN(10,MAX(0,W745)))/10)*'Controls &amp; Summary'!$B$16</x:f>
        <x:v>1.5</x:v>
      </x:c>
      <x:c r="Z745" s="31" t="n">
        <x:f>V745*Y745</x:f>
        <x:v>7.113304902509377</x:v>
      </x:c>
      <x:c r="AA745" s="30" t="str">
        <x:f>IF(Z745&lt;=I745,"Peaceful","Hostile")</x:f>
        <x:v>Hostile</x:v>
      </x:c>
      <x:c r="AB745" s="30" t="str">
        <x:f>IF(Z745&lt;='Controls &amp; Summary'!$B$6,"Eligible","Blocked")</x:f>
        <x:v>Eligible</x:v>
      </x:c>
      <x:c r="AC745" s="30" t="str">
        <x:v>MLI</x:v>
      </x:c>
      <x:c r="AD745" s="30" t="str">
        <x:v>TGO</x:v>
      </x:c>
      <x:c r="AE745" s="30" t="str">
        <x:v>Togo</x:v>
      </x:c>
      <x:c r="AF745" s="30" t="str">
        <x:v>Explicit capitalClaim</x:v>
      </x:c>
      <x:c r="AG745" s="30" t="str">
        <x:v>ClaimMLITogo</x:v>
      </x:c>
      <x:c r="AH745" s="30" t="str">
        <x:v>Project_RegionalAfricanUnions</x:v>
      </x:c>
    </x:row>
    <x:row r="746">
      <x:c r="A746" s="30" t="str">
        <x:v>2022</x:v>
      </x:c>
      <x:c r="B746" s="30" t="str">
        <x:v>Base game</x:v>
      </x:c>
      <x:c r="C746" s="30" t="str">
        <x:v>Morocco</x:v>
      </x:c>
      <x:c r="D746" s="30" t="str">
        <x:v>Algeria</x:v>
      </x:c>
      <x:c r="E746" s="30" t="str">
        <x:v>Project unlock</x:v>
      </x:c>
      <x:c r="F746" s="30" t="str">
        <x:v>African Independence Movements</x:v>
      </x:c>
      <x:c r="G746" s="30" t="str">
        <x:v>No</x:v>
      </x:c>
      <x:c r="H746" s="30" t="str">
        <x:v>Ordinary claim</x:v>
      </x:c>
      <x:c r="I746" s="31" t="n">
        <x:f>IF(G746="Yes",'Controls &amp; Summary'!$B$5,'Controls &amp; Summary'!$B$4)</x:f>
        <x:v>6</x:v>
      </x:c>
      <x:c r="J746" s="31" t="n">
        <x:v>5.04</x:v>
      </x:c>
      <x:c r="K746" s="31" t="n">
        <x:v>3.77</x:v>
      </x:c>
      <x:c r="L746" s="31" t="n">
        <x:f>ABS(J746-K746)</x:f>
        <x:v>1.27</x:v>
      </x:c>
      <x:c r="M746" s="31" t="n">
        <x:v>3.95</x:v>
      </x:c>
      <x:c r="N746" s="31" t="n">
        <x:v>2.76</x:v>
      </x:c>
      <x:c r="O746" s="31" t="n">
        <x:f>ABS(M746-N746)</x:f>
        <x:v>1.1900000000000004</x:v>
      </x:c>
      <x:c r="P746" s="31" t="n">
        <x:v>5.69</x:v>
      </x:c>
      <x:c r="Q746" s="31" t="n">
        <x:v>6.72</x:v>
      </x:c>
      <x:c r="R746" s="31" t="n">
        <x:f>ABS(P746-Q746)</x:f>
        <x:v>1.0299999999999994</x:v>
      </x:c>
      <x:c r="S746" s="32" t="n">
        <x:v>7570.810298699158</x:v>
      </x:c>
      <x:c r="T746" s="32" t="n">
        <x:v>11317.538852483374</x:v>
      </x:c>
      <x:c r="U746" s="31" t="n">
        <x:f>MAX(S746/T746,T746/S746)</x:f>
        <x:v>1.494891353231766</x:v>
      </x:c>
      <x:c r="V746" s="31" t="n">
        <x:f>L746*'Controls &amp; Summary'!$B$9+O746*'Controls &amp; Summary'!$B$10+R746*'Controls &amp; Summary'!$B$11+U746*'Controls &amp; Summary'!$B$12</x:f>
        <x:v>4.984891353231766</x:v>
      </x:c>
      <x:c r="W746" s="31" t="n">
        <x:v>8</x:v>
      </x:c>
      <x:c r="X746" s="31" t="n">
        <x:v>3</x:v>
      </x:c>
      <x:c r="Y746" s="31" t="n">
        <x:f>((10-MIN(10,MAX(0,X746)))/10)*'Controls &amp; Summary'!$B$15+((10-MIN(10,MAX(0,W746)))/10)*'Controls &amp; Summary'!$B$16</x:f>
        <x:v>0.8999999999999999</x:v>
      </x:c>
      <x:c r="Z746" s="31" t="n">
        <x:f>V746*Y746</x:f>
        <x:v>4.486402217908589</x:v>
      </x:c>
      <x:c r="AA746" s="30" t="str">
        <x:f>IF(Z746&lt;=I746,"Peaceful","Hostile")</x:f>
        <x:v>Peaceful</x:v>
      </x:c>
      <x:c r="AB746" s="30" t="str">
        <x:f>IF(Z746&lt;='Controls &amp; Summary'!$B$6,"Eligible","Blocked")</x:f>
        <x:v>Eligible</x:v>
      </x:c>
      <x:c r="AC746" s="30" t="str">
        <x:v>MAR</x:v>
      </x:c>
      <x:c r="AD746" s="30" t="str">
        <x:v>DZA</x:v>
      </x:c>
      <x:c r="AE746" s="30" t="str">
        <x:v>Algeria</x:v>
      </x:c>
      <x:c r="AF746" s="30" t="str">
        <x:v>Explicit capitalClaim</x:v>
      </x:c>
      <x:c r="AG746" s="30" t="str">
        <x:v>ClaimMARAlgeria</x:v>
      </x:c>
      <x:c r="AH746" s="30" t="str">
        <x:v>Project_AfricanIndependenceMovements</x:v>
      </x:c>
    </x:row>
    <x:row r="747">
      <x:c r="A747" s="30" t="str">
        <x:v>2022</x:v>
      </x:c>
      <x:c r="B747" s="30" t="str">
        <x:v>Base game</x:v>
      </x:c>
      <x:c r="C747" s="30" t="str">
        <x:v>Morocco</x:v>
      </x:c>
      <x:c r="D747" s="30" t="str">
        <x:v>Libya</x:v>
      </x:c>
      <x:c r="E747" s="30" t="str">
        <x:v>Project unlock</x:v>
      </x:c>
      <x:c r="F747" s="30" t="str">
        <x:v>African Independence Movements</x:v>
      </x:c>
      <x:c r="G747" s="30" t="str">
        <x:v>No</x:v>
      </x:c>
      <x:c r="H747" s="30" t="str">
        <x:v>Ordinary claim</x:v>
      </x:c>
      <x:c r="I747" s="31" t="n">
        <x:f>IF(G747="Yes",'Controls &amp; Summary'!$B$5,'Controls &amp; Summary'!$B$4)</x:f>
        <x:v>6</x:v>
      </x:c>
      <x:c r="J747" s="31" t="n">
        <x:v>5.04</x:v>
      </x:c>
      <x:c r="K747" s="31" t="n">
        <x:v>1.95</x:v>
      </x:c>
      <x:c r="L747" s="31" t="n">
        <x:f>ABS(J747-K747)</x:f>
        <x:v>3.09</x:v>
      </x:c>
      <x:c r="M747" s="31" t="n">
        <x:v>3.95</x:v>
      </x:c>
      <x:c r="N747" s="31" t="n">
        <x:v>3.07</x:v>
      </x:c>
      <x:c r="O747" s="31" t="n">
        <x:f>ABS(M747-N747)</x:f>
        <x:v>0.8800000000000003</x:v>
      </x:c>
      <x:c r="P747" s="31" t="n">
        <x:v>5.69</x:v>
      </x:c>
      <x:c r="Q747" s="31" t="n">
        <x:v>6.1</x:v>
      </x:c>
      <x:c r="R747" s="31" t="n">
        <x:f>ABS(P747-Q747)</x:f>
        <x:v>0.40999999999999925</x:v>
      </x:c>
      <x:c r="S747" s="32" t="n">
        <x:v>7570.810298699158</x:v>
      </x:c>
      <x:c r="T747" s="32" t="n">
        <x:v>12220.883315648745</x:v>
      </x:c>
      <x:c r="U747" s="31" t="n">
        <x:f>MAX(S747/T747,T747/S747)</x:f>
        <x:v>1.6142107427719565</x:v>
      </x:c>
      <x:c r="V747" s="31" t="n">
        <x:f>L747*'Controls &amp; Summary'!$B$9+O747*'Controls &amp; Summary'!$B$10+R747*'Controls &amp; Summary'!$B$11+U747*'Controls &amp; Summary'!$B$12</x:f>
        <x:v>5.994210742771956</x:v>
      </x:c>
      <x:c r="W747" s="31" t="n">
        <x:v>8</x:v>
      </x:c>
      <x:c r="X747" s="31" t="n">
        <x:v>8</x:v>
      </x:c>
      <x:c r="Y747" s="31" t="n">
        <x:f>((10-MIN(10,MAX(0,X747)))/10)*'Controls &amp; Summary'!$B$15+((10-MIN(10,MAX(0,W747)))/10)*'Controls &amp; Summary'!$B$16</x:f>
        <x:v>0.4</x:v>
      </x:c>
      <x:c r="Z747" s="31" t="n">
        <x:f>V747*Y747</x:f>
        <x:v>2.3976842971087824</x:v>
      </x:c>
      <x:c r="AA747" s="30" t="str">
        <x:f>IF(Z747&lt;=I747,"Peaceful","Hostile")</x:f>
        <x:v>Peaceful</x:v>
      </x:c>
      <x:c r="AB747" s="30" t="str">
        <x:f>IF(Z747&lt;='Controls &amp; Summary'!$B$6,"Eligible","Blocked")</x:f>
        <x:v>Eligible</x:v>
      </x:c>
      <x:c r="AC747" s="30" t="str">
        <x:v>MAR</x:v>
      </x:c>
      <x:c r="AD747" s="30" t="str">
        <x:v>LBY</x:v>
      </x:c>
      <x:c r="AE747" s="30" t="str">
        <x:v>Libya</x:v>
      </x:c>
      <x:c r="AF747" s="30" t="str">
        <x:v>Explicit capitalClaim</x:v>
      </x:c>
      <x:c r="AG747" s="30" t="str">
        <x:v>ClaimMARLibya</x:v>
      </x:c>
      <x:c r="AH747" s="30" t="str">
        <x:v>Project_AfricanIndependenceMovements</x:v>
      </x:c>
    </x:row>
    <x:row r="748">
      <x:c r="A748" s="30" t="str">
        <x:v>2022</x:v>
      </x:c>
      <x:c r="B748" s="30" t="str">
        <x:v>Base game</x:v>
      </x:c>
      <x:c r="C748" s="30" t="str">
        <x:v>Morocco</x:v>
      </x:c>
      <x:c r="D748" s="30" t="str">
        <x:v>Niger</x:v>
      </x:c>
      <x:c r="E748" s="30" t="str">
        <x:v>Project unlock</x:v>
      </x:c>
      <x:c r="F748" s="30" t="str">
        <x:v>African Independence Movements</x:v>
      </x:c>
      <x:c r="G748" s="30" t="str">
        <x:v>No</x:v>
      </x:c>
      <x:c r="H748" s="30" t="str">
        <x:v>Ordinary claim</x:v>
      </x:c>
      <x:c r="I748" s="31" t="n">
        <x:f>IF(G748="Yes",'Controls &amp; Summary'!$B$5,'Controls &amp; Summary'!$B$4)</x:f>
        <x:v>6</x:v>
      </x:c>
      <x:c r="J748" s="31" t="n">
        <x:v>5.04</x:v>
      </x:c>
      <x:c r="K748" s="31" t="n">
        <x:v>3.22</x:v>
      </x:c>
      <x:c r="L748" s="31" t="n">
        <x:f>ABS(J748-K748)</x:f>
        <x:v>1.8199999999999998</x:v>
      </x:c>
      <x:c r="M748" s="31" t="n">
        <x:v>3.95</x:v>
      </x:c>
      <x:c r="N748" s="31" t="n">
        <x:v>3.73</x:v>
      </x:c>
      <x:c r="O748" s="31" t="n">
        <x:f>ABS(M748-N748)</x:f>
        <x:v>0.2200000000000002</x:v>
      </x:c>
      <x:c r="P748" s="31" t="n">
        <x:v>5.69</x:v>
      </x:c>
      <x:c r="Q748" s="31" t="n">
        <x:v>2.49</x:v>
      </x:c>
      <x:c r="R748" s="31" t="n">
        <x:f>ABS(P748-Q748)</x:f>
        <x:v>3.2</x:v>
      </x:c>
      <x:c r="S748" s="32" t="n">
        <x:v>7570.810298699158</x:v>
      </x:c>
      <x:c r="T748" s="32" t="n">
        <x:v>1247.9912421287745</x:v>
      </x:c>
      <x:c r="U748" s="31" t="n">
        <x:f>MAX(S748/T748,T748/S748)</x:f>
        <x:v>6.066396977101512</x:v>
      </x:c>
      <x:c r="V748" s="31" t="n">
        <x:f>L748*'Controls &amp; Summary'!$B$9+O748*'Controls &amp; Summary'!$B$10+R748*'Controls &amp; Summary'!$B$11+U748*'Controls &amp; Summary'!$B$12</x:f>
        <x:v>11.306396977101512</x:v>
      </x:c>
      <x:c r="W748" s="31" t="n">
        <x:v>8</x:v>
      </x:c>
      <x:c r="X748" s="31" t="n">
        <x:v>6</x:v>
      </x:c>
      <x:c r="Y748" s="31" t="n">
        <x:f>((10-MIN(10,MAX(0,X748)))/10)*'Controls &amp; Summary'!$B$15+((10-MIN(10,MAX(0,W748)))/10)*'Controls &amp; Summary'!$B$16</x:f>
        <x:v>0.6000000000000001</x:v>
      </x:c>
      <x:c r="Z748" s="31" t="n">
        <x:f>V748*Y748</x:f>
        <x:v>6.783838186260908</x:v>
      </x:c>
      <x:c r="AA748" s="30" t="str">
        <x:f>IF(Z748&lt;=I748,"Peaceful","Hostile")</x:f>
        <x:v>Hostile</x:v>
      </x:c>
      <x:c r="AB748" s="30" t="str">
        <x:f>IF(Z748&lt;='Controls &amp; Summary'!$B$6,"Eligible","Blocked")</x:f>
        <x:v>Eligible</x:v>
      </x:c>
      <x:c r="AC748" s="30" t="str">
        <x:v>MAR</x:v>
      </x:c>
      <x:c r="AD748" s="30" t="str">
        <x:v>NER</x:v>
      </x:c>
      <x:c r="AE748" s="30" t="str">
        <x:v>Niger</x:v>
      </x:c>
      <x:c r="AF748" s="30" t="str">
        <x:v>Explicit capitalClaim</x:v>
      </x:c>
      <x:c r="AG748" s="30" t="str">
        <x:v>ClaimMARNiger</x:v>
      </x:c>
      <x:c r="AH748" s="30" t="str">
        <x:v>Project_AfricanIndependenceMovements</x:v>
      </x:c>
    </x:row>
    <x:row r="749">
      <x:c r="A749" s="30" t="str">
        <x:v>2022</x:v>
      </x:c>
      <x:c r="B749" s="30" t="str">
        <x:v>Base game</x:v>
      </x:c>
      <x:c r="C749" s="30" t="str">
        <x:v>Nigeria</x:v>
      </x:c>
      <x:c r="D749" s="30" t="str">
        <x:v>Benin</x:v>
      </x:c>
      <x:c r="E749" s="30" t="str">
        <x:v>Project unlock</x:v>
      </x:c>
      <x:c r="F749" s="30" t="str">
        <x:v>African Confederations</x:v>
      </x:c>
      <x:c r="G749" s="30" t="str">
        <x:v>No</x:v>
      </x:c>
      <x:c r="H749" s="30" t="str">
        <x:v>Ordinary claim</x:v>
      </x:c>
      <x:c r="I749" s="31" t="n">
        <x:f>IF(G749="Yes",'Controls &amp; Summary'!$B$5,'Controls &amp; Summary'!$B$4)</x:f>
        <x:v>6</x:v>
      </x:c>
      <x:c r="J749" s="31" t="n">
        <x:v>4.11</x:v>
      </x:c>
      <x:c r="K749" s="31" t="n">
        <x:v>4.19</x:v>
      </x:c>
      <x:c r="L749" s="31" t="n">
        <x:f>ABS(J749-K749)</x:f>
        <x:v>0.08000000000000007</x:v>
      </x:c>
      <x:c r="M749" s="31" t="n">
        <x:v>3.51</x:v>
      </x:c>
      <x:c r="N749" s="31" t="n">
        <x:v>3.78</x:v>
      </x:c>
      <x:c r="O749" s="31" t="n">
        <x:f>ABS(M749-N749)</x:f>
        <x:v>0.27</x:v>
      </x:c>
      <x:c r="P749" s="31" t="n">
        <x:v>4.99</x:v>
      </x:c>
      <x:c r="Q749" s="31" t="n">
        <x:v>4.78</x:v>
      </x:c>
      <x:c r="R749" s="31" t="n">
        <x:f>ABS(P749-Q749)</x:f>
        <x:v>0.20999999999999996</x:v>
      </x:c>
      <x:c r="S749" s="32" t="n">
        <x:v>5110.572485897615</x:v>
      </x:c>
      <x:c r="T749" s="32" t="n">
        <x:v>3625.659140545867</x:v>
      </x:c>
      <x:c r="U749" s="31" t="n">
        <x:f>MAX(S749/T749,T749/S749)</x:f>
        <x:v>1.409556797203</x:v>
      </x:c>
      <x:c r="V749" s="31" t="n">
        <x:f>L749*'Controls &amp; Summary'!$B$9+O749*'Controls &amp; Summary'!$B$10+R749*'Controls &amp; Summary'!$B$11+U749*'Controls &amp; Summary'!$B$12</x:f>
        <x:v>1.9695567972030001</x:v>
      </x:c>
      <x:c r="W749" s="31" t="n">
        <x:v>3</x:v>
      </x:c>
      <x:c r="X749" s="31" t="n">
        <x:v>3</x:v>
      </x:c>
      <x:c r="Y749" s="31" t="n">
        <x:f>((10-MIN(10,MAX(0,X749)))/10)*'Controls &amp; Summary'!$B$15+((10-MIN(10,MAX(0,W749)))/10)*'Controls &amp; Summary'!$B$16</x:f>
        <x:v>1.4</x:v>
      </x:c>
      <x:c r="Z749" s="31" t="n">
        <x:f>V749*Y749</x:f>
        <x:v>2.7573795160842</x:v>
      </x:c>
      <x:c r="AA749" s="30" t="str">
        <x:f>IF(Z749&lt;=I749,"Peaceful","Hostile")</x:f>
        <x:v>Peaceful</x:v>
      </x:c>
      <x:c r="AB749" s="30" t="str">
        <x:f>IF(Z749&lt;='Controls &amp; Summary'!$B$6,"Eligible","Blocked")</x:f>
        <x:v>Eligible</x:v>
      </x:c>
      <x:c r="AC749" s="30" t="str">
        <x:v>NGA</x:v>
      </x:c>
      <x:c r="AD749" s="30" t="str">
        <x:v>BEN</x:v>
      </x:c>
      <x:c r="AE749" s="30" t="str">
        <x:v>TogoBenin</x:v>
      </x:c>
      <x:c r="AF749" s="30" t="str">
        <x:v>Explicit capitalClaim</x:v>
      </x:c>
      <x:c r="AG749" s="30" t="str">
        <x:v>ClaimNGATogoBenin</x:v>
      </x:c>
      <x:c r="AH749" s="30" t="str">
        <x:v>Project_EastAfricanFederation</x:v>
      </x:c>
    </x:row>
    <x:row r="750">
      <x:c r="A750" s="30" t="str">
        <x:v>2022</x:v>
      </x:c>
      <x:c r="B750" s="30" t="str">
        <x:v>Base game</x:v>
      </x:c>
      <x:c r="C750" s="30" t="str">
        <x:v>Nigeria</x:v>
      </x:c>
      <x:c r="D750" s="30" t="str">
        <x:v>Burkina Faso</x:v>
      </x:c>
      <x:c r="E750" s="30" t="str">
        <x:v>Project unlock</x:v>
      </x:c>
      <x:c r="F750" s="30" t="str">
        <x:v>Regional African Unions</x:v>
      </x:c>
      <x:c r="G750" s="30" t="str">
        <x:v>No</x:v>
      </x:c>
      <x:c r="H750" s="30" t="str">
        <x:v>Ordinary claim</x:v>
      </x:c>
      <x:c r="I750" s="31" t="n">
        <x:f>IF(G750="Yes",'Controls &amp; Summary'!$B$5,'Controls &amp; Summary'!$B$4)</x:f>
        <x:v>6</x:v>
      </x:c>
      <x:c r="J750" s="31" t="n">
        <x:v>4.11</x:v>
      </x:c>
      <x:c r="K750" s="31" t="n">
        <x:v>3.84</x:v>
      </x:c>
      <x:c r="L750" s="31" t="n">
        <x:f>ABS(J750-K750)</x:f>
        <x:v>0.27000000000000046</x:v>
      </x:c>
      <x:c r="M750" s="31" t="n">
        <x:v>3.51</x:v>
      </x:c>
      <x:c r="N750" s="31" t="n">
        <x:v>4.73</x:v>
      </x:c>
      <x:c r="O750" s="31" t="n">
        <x:f>ABS(M750-N750)</x:f>
        <x:v>1.2200000000000006</x:v>
      </x:c>
      <x:c r="P750" s="31" t="n">
        <x:v>4.99</x:v>
      </x:c>
      <x:c r="Q750" s="31" t="n">
        <x:v>3.12</x:v>
      </x:c>
      <x:c r="R750" s="31" t="n">
        <x:f>ABS(P750-Q750)</x:f>
        <x:v>1.87</x:v>
      </x:c>
      <x:c r="S750" s="32" t="n">
        <x:v>5110.572485897615</x:v>
      </x:c>
      <x:c r="T750" s="32" t="n">
        <x:v>2328.229556856228</x:v>
      </x:c>
      <x:c r="U750" s="31" t="n">
        <x:f>MAX(S750/T750,T750/S750)</x:f>
        <x:v>2.195046648578047</x:v>
      </x:c>
      <x:c r="V750" s="31" t="n">
        <x:f>L750*'Controls &amp; Summary'!$B$9+O750*'Controls &amp; Summary'!$B$10+R750*'Controls &amp; Summary'!$B$11+U750*'Controls &amp; Summary'!$B$12</x:f>
        <x:v>5.555046648578048</x:v>
      </x:c>
      <x:c r="W750" s="31" t="n">
        <x:v>3</x:v>
      </x:c>
      <x:c r="X750" s="31" t="n">
        <x:v>4</x:v>
      </x:c>
      <x:c r="Y750" s="31" t="n">
        <x:f>((10-MIN(10,MAX(0,X750)))/10)*'Controls &amp; Summary'!$B$15+((10-MIN(10,MAX(0,W750)))/10)*'Controls &amp; Summary'!$B$16</x:f>
        <x:v>1.2999999999999998</x:v>
      </x:c>
      <x:c r="Z750" s="31" t="n">
        <x:f>V750*Y750</x:f>
        <x:v>7.221560643151461</x:v>
      </x:c>
      <x:c r="AA750" s="30" t="str">
        <x:f>IF(Z750&lt;=I750,"Peaceful","Hostile")</x:f>
        <x:v>Hostile</x:v>
      </x:c>
      <x:c r="AB750" s="30" t="str">
        <x:f>IF(Z750&lt;='Controls &amp; Summary'!$B$6,"Eligible","Blocked")</x:f>
        <x:v>Eligible</x:v>
      </x:c>
      <x:c r="AC750" s="30" t="str">
        <x:v>NGA</x:v>
      </x:c>
      <x:c r="AD750" s="30" t="str">
        <x:v>BKF</x:v>
      </x:c>
      <x:c r="AE750" s="30" t="str">
        <x:v>BurkinaFaso</x:v>
      </x:c>
      <x:c r="AF750" s="30" t="str">
        <x:v>Explicit capitalClaim</x:v>
      </x:c>
      <x:c r="AG750" s="30" t="str">
        <x:v>ClaimNGABurkinaFaso</x:v>
      </x:c>
      <x:c r="AH750" s="30" t="str">
        <x:v>Project_RegionalAfricanUnions</x:v>
      </x:c>
    </x:row>
    <x:row r="751">
      <x:c r="A751" s="30" t="str">
        <x:v>2022</x:v>
      </x:c>
      <x:c r="B751" s="30" t="str">
        <x:v>Base game</x:v>
      </x:c>
      <x:c r="C751" s="30" t="str">
        <x:v>Nigeria</x:v>
      </x:c>
      <x:c r="D751" s="30" t="str">
        <x:v>Cabo Verde</x:v>
      </x:c>
      <x:c r="E751" s="30" t="str">
        <x:v>Project unlock</x:v>
      </x:c>
      <x:c r="F751" s="30" t="str">
        <x:v>African Confederations</x:v>
      </x:c>
      <x:c r="G751" s="30" t="str">
        <x:v>No</x:v>
      </x:c>
      <x:c r="H751" s="30" t="str">
        <x:v>Ordinary claim</x:v>
      </x:c>
      <x:c r="I751" s="31" t="n">
        <x:f>IF(G751="Yes",'Controls &amp; Summary'!$B$5,'Controls &amp; Summary'!$B$4)</x:f>
        <x:v>6</x:v>
      </x:c>
      <x:c r="J751" s="31" t="n">
        <x:v>4.11</x:v>
      </x:c>
      <x:c r="K751" s="31" t="n">
        <x:v>7.65</x:v>
      </x:c>
      <x:c r="L751" s="31" t="n">
        <x:f>ABS(J751-K751)</x:f>
        <x:v>3.54</x:v>
      </x:c>
      <x:c r="M751" s="31" t="n">
        <x:v>3.51</x:v>
      </x:c>
      <x:c r="N751" s="31" t="n">
        <x:v>4.24</x:v>
      </x:c>
      <x:c r="O751" s="31" t="n">
        <x:f>ABS(M751-N751)</x:f>
        <x:v>0.7300000000000004</x:v>
      </x:c>
      <x:c r="P751" s="31" t="n">
        <x:v>4.99</x:v>
      </x:c>
      <x:c r="Q751" s="31" t="n">
        <x:v>5.62</x:v>
      </x:c>
      <x:c r="R751" s="31" t="n">
        <x:f>ABS(P751-Q751)</x:f>
        <x:v>0.6299999999999999</x:v>
      </x:c>
      <x:c r="S751" s="32" t="n">
        <x:v>5110.572485897615</x:v>
      </x:c>
      <x:c r="T751" s="32" t="n">
        <x:v>6819.549148518205</x:v>
      </x:c>
      <x:c r="U751" s="31" t="n">
        <x:f>MAX(S751/T751,T751/S751)</x:f>
        <x:v>1.3344002393736576</x:v>
      </x:c>
      <x:c r="V751" s="31" t="n">
        <x:f>L751*'Controls &amp; Summary'!$B$9+O751*'Controls &amp; Summary'!$B$10+R751*'Controls &amp; Summary'!$B$11+U751*'Controls &amp; Summary'!$B$12</x:f>
        <x:v>6.234400239373658</x:v>
      </x:c>
      <x:c r="W751" s="31" t="n">
        <x:v>3</x:v>
      </x:c>
      <x:c r="X751" s="31" t="n">
        <x:v>0</x:v>
      </x:c>
      <x:c r="Y751" s="31" t="n">
        <x:f>((10-MIN(10,MAX(0,X751)))/10)*'Controls &amp; Summary'!$B$15+((10-MIN(10,MAX(0,W751)))/10)*'Controls &amp; Summary'!$B$16</x:f>
        <x:v>1.7</x:v>
      </x:c>
      <x:c r="Z751" s="31" t="n">
        <x:f>V751*Y751</x:f>
        <x:v>10.598480406935218</x:v>
      </x:c>
      <x:c r="AA751" s="30" t="str">
        <x:f>IF(Z751&lt;=I751,"Peaceful","Hostile")</x:f>
        <x:v>Hostile</x:v>
      </x:c>
      <x:c r="AB751" s="30" t="str">
        <x:f>IF(Z751&lt;='Controls &amp; Summary'!$B$6,"Eligible","Blocked")</x:f>
        <x:v>Eligible</x:v>
      </x:c>
      <x:c r="AC751" s="30" t="str">
        <x:v>NGA</x:v>
      </x:c>
      <x:c r="AD751" s="30" t="str">
        <x:v>CPV</x:v>
      </x:c>
      <x:c r="AE751" s="30" t="str">
        <x:v>CaboVerde</x:v>
      </x:c>
      <x:c r="AF751" s="30" t="str">
        <x:v>Explicit capitalClaim</x:v>
      </x:c>
      <x:c r="AG751" s="30" t="str">
        <x:v>ClaimNGACaboVerde</x:v>
      </x:c>
      <x:c r="AH751" s="30" t="str">
        <x:v>Project_EastAfricanFederation</x:v>
      </x:c>
    </x:row>
    <x:row r="752">
      <x:c r="A752" s="30" t="str">
        <x:v>2022</x:v>
      </x:c>
      <x:c r="B752" s="30" t="str">
        <x:v>Base game</x:v>
      </x:c>
      <x:c r="C752" s="30" t="str">
        <x:v>Nigeria</x:v>
      </x:c>
      <x:c r="D752" s="30" t="str">
        <x:v>Cameroon</x:v>
      </x:c>
      <x:c r="E752" s="30" t="str">
        <x:v>Project unlock</x:v>
      </x:c>
      <x:c r="F752" s="30" t="str">
        <x:v>Nigerian Confederation</x:v>
      </x:c>
      <x:c r="G752" s="30" t="str">
        <x:v>No</x:v>
      </x:c>
      <x:c r="H752" s="30" t="str">
        <x:v>Ordinary claim</x:v>
      </x:c>
      <x:c r="I752" s="31" t="n">
        <x:f>IF(G752="Yes",'Controls &amp; Summary'!$B$5,'Controls &amp; Summary'!$B$4)</x:f>
        <x:v>6</x:v>
      </x:c>
      <x:c r="J752" s="31" t="n">
        <x:v>4.11</x:v>
      </x:c>
      <x:c r="K752" s="31" t="n">
        <x:v>2.56</x:v>
      </x:c>
      <x:c r="L752" s="31" t="n">
        <x:f>ABS(J752-K752)</x:f>
        <x:v>1.5500000000000003</x:v>
      </x:c>
      <x:c r="M752" s="31" t="n">
        <x:v>3.51</x:v>
      </x:c>
      <x:c r="N752" s="31" t="n">
        <x:v>4.66</x:v>
      </x:c>
      <x:c r="O752" s="31" t="n">
        <x:f>ABS(M752-N752)</x:f>
        <x:v>1.1500000000000004</x:v>
      </x:c>
      <x:c r="P752" s="31" t="n">
        <x:v>4.99</x:v>
      </x:c>
      <x:c r="Q752" s="31" t="n">
        <x:v>5.47</x:v>
      </x:c>
      <x:c r="R752" s="31" t="n">
        <x:f>ABS(P752-Q752)</x:f>
        <x:v>0.47999999999999954</x:v>
      </x:c>
      <x:c r="S752" s="32" t="n">
        <x:v>5110.572485897615</x:v>
      </x:c>
      <x:c r="T752" s="32" t="n">
        <x:v>3840.8143048339234</x:v>
      </x:c>
      <x:c r="U752" s="31" t="n">
        <x:f>MAX(S752/T752,T752/S752)</x:f>
        <x:v>1.330596087258271</x:v>
      </x:c>
      <x:c r="V752" s="31" t="n">
        <x:f>L752*'Controls &amp; Summary'!$B$9+O752*'Controls &amp; Summary'!$B$10+R752*'Controls &amp; Summary'!$B$11+U752*'Controls &amp; Summary'!$B$12</x:f>
        <x:v>4.510596087258271</x:v>
      </x:c>
      <x:c r="W752" s="31" t="n">
        <x:v>3</x:v>
      </x:c>
      <x:c r="X752" s="31" t="n">
        <x:v>5</x:v>
      </x:c>
      <x:c r="Y752" s="31" t="n">
        <x:f>((10-MIN(10,MAX(0,X752)))/10)*'Controls &amp; Summary'!$B$15+((10-MIN(10,MAX(0,W752)))/10)*'Controls &amp; Summary'!$B$16</x:f>
        <x:v>1.2</x:v>
      </x:c>
      <x:c r="Z752" s="31" t="n">
        <x:f>V752*Y752</x:f>
        <x:v>5.412715304709925</x:v>
      </x:c>
      <x:c r="AA752" s="30" t="str">
        <x:f>IF(Z752&lt;=I752,"Peaceful","Hostile")</x:f>
        <x:v>Peaceful</x:v>
      </x:c>
      <x:c r="AB752" s="30" t="str">
        <x:f>IF(Z752&lt;='Controls &amp; Summary'!$B$6,"Eligible","Blocked")</x:f>
        <x:v>Eligible</x:v>
      </x:c>
      <x:c r="AC752" s="30" t="str">
        <x:v>NGA</x:v>
      </x:c>
      <x:c r="AD752" s="30" t="str">
        <x:v>CMR</x:v>
      </x:c>
      <x:c r="AE752" s="30" t="str">
        <x:v>Cameroon</x:v>
      </x:c>
      <x:c r="AF752" s="30" t="str">
        <x:v>Explicit capitalClaim</x:v>
      </x:c>
      <x:c r="AG752" s="30" t="str">
        <x:v>ClaimNGACameroon</x:v>
      </x:c>
      <x:c r="AH752" s="30" t="str">
        <x:v>Project_NigerianConfederation</x:v>
      </x:c>
    </x:row>
    <x:row r="753">
      <x:c r="A753" s="30" t="str">
        <x:v>2022</x:v>
      </x:c>
      <x:c r="B753" s="30" t="str">
        <x:v>Base game</x:v>
      </x:c>
      <x:c r="C753" s="30" t="str">
        <x:v>Nigeria</x:v>
      </x:c>
      <x:c r="D753" s="30" t="str">
        <x:v>Central African Republic</x:v>
      </x:c>
      <x:c r="E753" s="30" t="str">
        <x:v>Project unlock</x:v>
      </x:c>
      <x:c r="F753" s="30" t="str">
        <x:v>Nigerian Confederation</x:v>
      </x:c>
      <x:c r="G753" s="30" t="str">
        <x:v>No</x:v>
      </x:c>
      <x:c r="H753" s="30" t="str">
        <x:v>Ordinary claim</x:v>
      </x:c>
      <x:c r="I753" s="31" t="n">
        <x:f>IF(G753="Yes",'Controls &amp; Summary'!$B$5,'Controls &amp; Summary'!$B$4)</x:f>
        <x:v>6</x:v>
      </x:c>
      <x:c r="J753" s="31" t="n">
        <x:v>4.11</x:v>
      </x:c>
      <x:c r="K753" s="31" t="n">
        <x:v>1.43</x:v>
      </x:c>
      <x:c r="L753" s="31" t="n">
        <x:f>ABS(J753-K753)</x:f>
        <x:v>2.6800000000000006</x:v>
      </x:c>
      <x:c r="M753" s="31" t="n">
        <x:v>3.51</x:v>
      </x:c>
      <x:c r="N753" s="31" t="n">
        <x:v>5.62</x:v>
      </x:c>
      <x:c r="O753" s="31" t="n">
        <x:f>ABS(M753-N753)</x:f>
        <x:v>2.1100000000000003</x:v>
      </x:c>
      <x:c r="P753" s="31" t="n">
        <x:v>4.99</x:v>
      </x:c>
      <x:c r="Q753" s="31" t="n">
        <x:v>3.53</x:v>
      </x:c>
      <x:c r="R753" s="31" t="n">
        <x:f>ABS(P753-Q753)</x:f>
        <x:v>1.4600000000000004</x:v>
      </x:c>
      <x:c r="S753" s="32" t="n">
        <x:v>5110.572485897615</x:v>
      </x:c>
      <x:c r="T753" s="32" t="n">
        <x:v>963.7922136335168</x:v>
      </x:c>
      <x:c r="U753" s="31" t="n">
        <x:f>MAX(S753/T753,T753/S753)</x:f>
        <x:v>5.302566687720634</x:v>
      </x:c>
      <x:c r="V753" s="31" t="n">
        <x:f>L753*'Controls &amp; Summary'!$B$9+O753*'Controls &amp; Summary'!$B$10+R753*'Controls &amp; Summary'!$B$11+U753*'Controls &amp; Summary'!$B$12</x:f>
        <x:v>11.552566687720635</x:v>
      </x:c>
      <x:c r="W753" s="31" t="n">
        <x:v>3</x:v>
      </x:c>
      <x:c r="X753" s="31" t="n">
        <x:v>6</x:v>
      </x:c>
      <x:c r="Y753" s="31" t="n">
        <x:f>((10-MIN(10,MAX(0,X753)))/10)*'Controls &amp; Summary'!$B$15+((10-MIN(10,MAX(0,W753)))/10)*'Controls &amp; Summary'!$B$16</x:f>
        <x:v>1.1</x:v>
      </x:c>
      <x:c r="Z753" s="31" t="n">
        <x:f>V753*Y753</x:f>
        <x:v>12.7078233564927</x:v>
      </x:c>
      <x:c r="AA753" s="30" t="str">
        <x:f>IF(Z753&lt;=I753,"Peaceful","Hostile")</x:f>
        <x:v>Hostile</x:v>
      </x:c>
      <x:c r="AB753" s="30" t="str">
        <x:f>IF(Z753&lt;='Controls &amp; Summary'!$B$6,"Eligible","Blocked")</x:f>
        <x:v>Blocked</x:v>
      </x:c>
      <x:c r="AC753" s="30" t="str">
        <x:v>NGA</x:v>
      </x:c>
      <x:c r="AD753" s="30" t="str">
        <x:v>CAF</x:v>
      </x:c>
      <x:c r="AE753" s="30" t="str">
        <x:v>CentralAfricanRepublic</x:v>
      </x:c>
      <x:c r="AF753" s="30" t="str">
        <x:v>Explicit capitalClaim</x:v>
      </x:c>
      <x:c r="AG753" s="30" t="str">
        <x:v>ClaimNGACentralAfricanRepublic</x:v>
      </x:c>
      <x:c r="AH753" s="30" t="str">
        <x:v>Project_NigerianConfederation</x:v>
      </x:c>
    </x:row>
    <x:row r="754">
      <x:c r="A754" s="30" t="str">
        <x:v>2022</x:v>
      </x:c>
      <x:c r="B754" s="30" t="str">
        <x:v>Base game</x:v>
      </x:c>
      <x:c r="C754" s="30" t="str">
        <x:v>Nigeria</x:v>
      </x:c>
      <x:c r="D754" s="30" t="str">
        <x:v>Chad</x:v>
      </x:c>
      <x:c r="E754" s="30" t="str">
        <x:v>Project unlock</x:v>
      </x:c>
      <x:c r="F754" s="30" t="str">
        <x:v>Nigerian Confederation</x:v>
      </x:c>
      <x:c r="G754" s="30" t="str">
        <x:v>No</x:v>
      </x:c>
      <x:c r="H754" s="30" t="str">
        <x:v>Ordinary claim</x:v>
      </x:c>
      <x:c r="I754" s="31" t="n">
        <x:f>IF(G754="Yes",'Controls &amp; Summary'!$B$5,'Controls &amp; Summary'!$B$4)</x:f>
        <x:v>6</x:v>
      </x:c>
      <x:c r="J754" s="31" t="n">
        <x:v>4.11</x:v>
      </x:c>
      <x:c r="K754" s="31" t="n">
        <x:v>1.67</x:v>
      </x:c>
      <x:c r="L754" s="31" t="n">
        <x:f>ABS(J754-K754)</x:f>
        <x:v>2.4400000000000004</x:v>
      </x:c>
      <x:c r="M754" s="31" t="n">
        <x:v>3.51</x:v>
      </x:c>
      <x:c r="N754" s="31" t="n">
        <x:v>3.75</x:v>
      </x:c>
      <x:c r="O754" s="31" t="n">
        <x:f>ABS(M754-N754)</x:f>
        <x:v>0.2400000000000002</x:v>
      </x:c>
      <x:c r="P754" s="31" t="n">
        <x:v>4.99</x:v>
      </x:c>
      <x:c r="Q754" s="31" t="n">
        <x:v>2.88</x:v>
      </x:c>
      <x:c r="R754" s="31" t="n">
        <x:f>ABS(P754-Q754)</x:f>
        <x:v>2.1100000000000003</x:v>
      </x:c>
      <x:c r="S754" s="32" t="n">
        <x:v>5110.572485897615</x:v>
      </x:c>
      <x:c r="T754" s="32" t="n">
        <x:v>1486.5764952493905</x:v>
      </x:c>
      <x:c r="U754" s="31" t="n">
        <x:f>MAX(S754/T754,T754/S754)</x:f>
        <x:v>3.4378133262763964</x:v>
      </x:c>
      <x:c r="V754" s="31" t="n">
        <x:f>L754*'Controls &amp; Summary'!$B$9+O754*'Controls &amp; Summary'!$B$10+R754*'Controls &amp; Summary'!$B$11+U754*'Controls &amp; Summary'!$B$12</x:f>
        <x:v>8.227813326276397</x:v>
      </x:c>
      <x:c r="W754" s="31" t="n">
        <x:v>3</x:v>
      </x:c>
      <x:c r="X754" s="31" t="n">
        <x:v>5</x:v>
      </x:c>
      <x:c r="Y754" s="31" t="n">
        <x:f>((10-MIN(10,MAX(0,X754)))/10)*'Controls &amp; Summary'!$B$15+((10-MIN(10,MAX(0,W754)))/10)*'Controls &amp; Summary'!$B$16</x:f>
        <x:v>1.2</x:v>
      </x:c>
      <x:c r="Z754" s="31" t="n">
        <x:f>V754*Y754</x:f>
        <x:v>9.873375991531676</x:v>
      </x:c>
      <x:c r="AA754" s="30" t="str">
        <x:f>IF(Z754&lt;=I754,"Peaceful","Hostile")</x:f>
        <x:v>Hostile</x:v>
      </x:c>
      <x:c r="AB754" s="30" t="str">
        <x:f>IF(Z754&lt;='Controls &amp; Summary'!$B$6,"Eligible","Blocked")</x:f>
        <x:v>Eligible</x:v>
      </x:c>
      <x:c r="AC754" s="30" t="str">
        <x:v>NGA</x:v>
      </x:c>
      <x:c r="AD754" s="30" t="str">
        <x:v>TCD</x:v>
      </x:c>
      <x:c r="AE754" s="30" t="str">
        <x:v>Chad</x:v>
      </x:c>
      <x:c r="AF754" s="30" t="str">
        <x:v>Explicit capitalClaim</x:v>
      </x:c>
      <x:c r="AG754" s="30" t="str">
        <x:v>ClaimNGAChad</x:v>
      </x:c>
      <x:c r="AH754" s="30" t="str">
        <x:v>Project_NigerianConfederation</x:v>
      </x:c>
    </x:row>
    <x:row r="755">
      <x:c r="A755" s="30" t="str">
        <x:v>2022</x:v>
      </x:c>
      <x:c r="B755" s="30" t="str">
        <x:v>Base game</x:v>
      </x:c>
      <x:c r="C755" s="30" t="str">
        <x:v>Nigeria</x:v>
      </x:c>
      <x:c r="D755" s="30" t="str">
        <x:v>Gambia</x:v>
      </x:c>
      <x:c r="E755" s="30" t="str">
        <x:v>Project unlock</x:v>
      </x:c>
      <x:c r="F755" s="30" t="str">
        <x:v>African Confederations</x:v>
      </x:c>
      <x:c r="G755" s="30" t="str">
        <x:v>No</x:v>
      </x:c>
      <x:c r="H755" s="30" t="str">
        <x:v>Ordinary claim</x:v>
      </x:c>
      <x:c r="I755" s="31" t="n">
        <x:f>IF(G755="Yes",'Controls &amp; Summary'!$B$5,'Controls &amp; Summary'!$B$4)</x:f>
        <x:v>6</x:v>
      </x:c>
      <x:c r="J755" s="31" t="n">
        <x:v>4.11</x:v>
      </x:c>
      <x:c r="K755" s="31" t="n">
        <x:v>4.41</x:v>
      </x:c>
      <x:c r="L755" s="31" t="n">
        <x:f>ABS(J755-K755)</x:f>
        <x:v>0.2999999999999998</x:v>
      </x:c>
      <x:c r="M755" s="31" t="n">
        <x:v>3.51</x:v>
      </x:c>
      <x:c r="N755" s="31" t="n">
        <x:v>3.59</x:v>
      </x:c>
      <x:c r="O755" s="31" t="n">
        <x:f>ABS(M755-N755)</x:f>
        <x:v>0.08000000000000007</x:v>
      </x:c>
      <x:c r="P755" s="31" t="n">
        <x:v>4.99</x:v>
      </x:c>
      <x:c r="Q755" s="31" t="n">
        <x:v>4.06</x:v>
      </x:c>
      <x:c r="R755" s="31" t="n">
        <x:f>ABS(P755-Q755)</x:f>
        <x:v>0.9300000000000006</x:v>
      </x:c>
      <x:c r="S755" s="32" t="n">
        <x:v>5110.572485897615</x:v>
      </x:c>
      <x:c r="T755" s="32" t="n">
        <x:v>2315.605550224353</x:v>
      </x:c>
      <x:c r="U755" s="31" t="n">
        <x:f>MAX(S755/T755,T755/S755)</x:f>
        <x:v>2.2070134032121596</x:v>
      </x:c>
      <x:c r="V755" s="31" t="n">
        <x:f>L755*'Controls &amp; Summary'!$B$9+O755*'Controls &amp; Summary'!$B$10+R755*'Controls &amp; Summary'!$B$11+U755*'Controls &amp; Summary'!$B$12</x:f>
        <x:v>3.51701340321216</x:v>
      </x:c>
      <x:c r="W755" s="31" t="n">
        <x:v>3</x:v>
      </x:c>
      <x:c r="X755" s="31" t="n">
        <x:v>2</x:v>
      </x:c>
      <x:c r="Y755" s="31" t="n">
        <x:f>((10-MIN(10,MAX(0,X755)))/10)*'Controls &amp; Summary'!$B$15+((10-MIN(10,MAX(0,W755)))/10)*'Controls &amp; Summary'!$B$16</x:f>
        <x:v>1.5</x:v>
      </x:c>
      <x:c r="Z755" s="31" t="n">
        <x:f>V755*Y755</x:f>
        <x:v>5.27552010481824</x:v>
      </x:c>
      <x:c r="AA755" s="30" t="str">
        <x:f>IF(Z755&lt;=I755,"Peaceful","Hostile")</x:f>
        <x:v>Peaceful</x:v>
      </x:c>
      <x:c r="AB755" s="30" t="str">
        <x:f>IF(Z755&lt;='Controls &amp; Summary'!$B$6,"Eligible","Blocked")</x:f>
        <x:v>Eligible</x:v>
      </x:c>
      <x:c r="AC755" s="30" t="str">
        <x:v>NGA</x:v>
      </x:c>
      <x:c r="AD755" s="30" t="str">
        <x:v>GAM</x:v>
      </x:c>
      <x:c r="AE755" s="30" t="str">
        <x:v>Gambia</x:v>
      </x:c>
      <x:c r="AF755" s="30" t="str">
        <x:v>Explicit capitalClaim</x:v>
      </x:c>
      <x:c r="AG755" s="30" t="str">
        <x:v>ClaimNGAGambia</x:v>
      </x:c>
      <x:c r="AH755" s="30" t="str">
        <x:v>Project_EastAfricanFederation</x:v>
      </x:c>
    </x:row>
    <x:row r="756">
      <x:c r="A756" s="30" t="str">
        <x:v>2022</x:v>
      </x:c>
      <x:c r="B756" s="30" t="str">
        <x:v>Base game</x:v>
      </x:c>
      <x:c r="C756" s="30" t="str">
        <x:v>Nigeria</x:v>
      </x:c>
      <x:c r="D756" s="30" t="str">
        <x:v>Ghana</x:v>
      </x:c>
      <x:c r="E756" s="30" t="str">
        <x:v>Project unlock</x:v>
      </x:c>
      <x:c r="F756" s="30" t="str">
        <x:v>African Confederations</x:v>
      </x:c>
      <x:c r="G756" s="30" t="str">
        <x:v>No</x:v>
      </x:c>
      <x:c r="H756" s="30" t="str">
        <x:v>Ordinary claim</x:v>
      </x:c>
      <x:c r="I756" s="31" t="n">
        <x:f>IF(G756="Yes",'Controls &amp; Summary'!$B$5,'Controls &amp; Summary'!$B$4)</x:f>
        <x:v>6</x:v>
      </x:c>
      <x:c r="J756" s="31" t="n">
        <x:v>4.11</x:v>
      </x:c>
      <x:c r="K756" s="31" t="n">
        <x:v>6.5</x:v>
      </x:c>
      <x:c r="L756" s="31" t="n">
        <x:f>ABS(J756-K756)</x:f>
        <x:v>2.3899999999999997</x:v>
      </x:c>
      <x:c r="M756" s="31" t="n">
        <x:v>3.51</x:v>
      </x:c>
      <x:c r="N756" s="31" t="n">
        <x:v>4.35</x:v>
      </x:c>
      <x:c r="O756" s="31" t="n">
        <x:f>ABS(M756-N756)</x:f>
        <x:v>0.8399999999999999</x:v>
      </x:c>
      <x:c r="P756" s="31" t="n">
        <x:v>4.99</x:v>
      </x:c>
      <x:c r="Q756" s="31" t="n">
        <x:v>5.63</x:v>
      </x:c>
      <x:c r="R756" s="31" t="n">
        <x:f>ABS(P756-Q756)</x:f>
        <x:v>0.6399999999999997</x:v>
      </x:c>
      <x:c r="S756" s="32" t="n">
        <x:v>5110.572485897615</x:v>
      </x:c>
      <x:c r="T756" s="32" t="n">
        <x:v>5848.315981446523</x:v>
      </x:c>
      <x:c r="U756" s="31" t="n">
        <x:f>MAX(S756/T756,T756/S756)</x:f>
        <x:v>1.1443563314256235</x:v>
      </x:c>
      <x:c r="V756" s="31" t="n">
        <x:f>L756*'Controls &amp; Summary'!$B$9+O756*'Controls &amp; Summary'!$B$10+R756*'Controls &amp; Summary'!$B$11+U756*'Controls &amp; Summary'!$B$12</x:f>
        <x:v>5.014356331425622</x:v>
      </x:c>
      <x:c r="W756" s="31" t="n">
        <x:v>3</x:v>
      </x:c>
      <x:c r="X756" s="31" t="n">
        <x:v>2</x:v>
      </x:c>
      <x:c r="Y756" s="31" t="n">
        <x:f>((10-MIN(10,MAX(0,X756)))/10)*'Controls &amp; Summary'!$B$15+((10-MIN(10,MAX(0,W756)))/10)*'Controls &amp; Summary'!$B$16</x:f>
        <x:v>1.5</x:v>
      </x:c>
      <x:c r="Z756" s="31" t="n">
        <x:f>V756*Y756</x:f>
        <x:v>7.5215344971384335</x:v>
      </x:c>
      <x:c r="AA756" s="30" t="str">
        <x:f>IF(Z756&lt;=I756,"Peaceful","Hostile")</x:f>
        <x:v>Hostile</x:v>
      </x:c>
      <x:c r="AB756" s="30" t="str">
        <x:f>IF(Z756&lt;='Controls &amp; Summary'!$B$6,"Eligible","Blocked")</x:f>
        <x:v>Eligible</x:v>
      </x:c>
      <x:c r="AC756" s="30" t="str">
        <x:v>NGA</x:v>
      </x:c>
      <x:c r="AD756" s="30" t="str">
        <x:v>GHA</x:v>
      </x:c>
      <x:c r="AE756" s="30" t="str">
        <x:v>Accra</x:v>
      </x:c>
      <x:c r="AF756" s="30" t="str">
        <x:v>Explicit capitalClaim</x:v>
      </x:c>
      <x:c r="AG756" s="30" t="str">
        <x:v>ClaimNGAAccra</x:v>
      </x:c>
      <x:c r="AH756" s="30" t="str">
        <x:v>Project_EastAfricanFederation</x:v>
      </x:c>
    </x:row>
    <x:row r="757">
      <x:c r="A757" s="30" t="str">
        <x:v>2022</x:v>
      </x:c>
      <x:c r="B757" s="30" t="str">
        <x:v>Base game</x:v>
      </x:c>
      <x:c r="C757" s="30" t="str">
        <x:v>Nigeria</x:v>
      </x:c>
      <x:c r="D757" s="30" t="str">
        <x:v>Guinea</x:v>
      </x:c>
      <x:c r="E757" s="30" t="str">
        <x:v>Project unlock</x:v>
      </x:c>
      <x:c r="F757" s="30" t="str">
        <x:v>African Confederations</x:v>
      </x:c>
      <x:c r="G757" s="30" t="str">
        <x:v>No</x:v>
      </x:c>
      <x:c r="H757" s="30" t="str">
        <x:v>Ordinary claim</x:v>
      </x:c>
      <x:c r="I757" s="31" t="n">
        <x:f>IF(G757="Yes",'Controls &amp; Summary'!$B$5,'Controls &amp; Summary'!$B$4)</x:f>
        <x:v>6</x:v>
      </x:c>
      <x:c r="J757" s="31" t="n">
        <x:v>4.11</x:v>
      </x:c>
      <x:c r="K757" s="31" t="n">
        <x:v>2.28</x:v>
      </x:c>
      <x:c r="L757" s="31" t="n">
        <x:f>ABS(J757-K757)</x:f>
        <x:v>1.8300000000000005</x:v>
      </x:c>
      <x:c r="M757" s="31" t="n">
        <x:v>3.51</x:v>
      </x:c>
      <x:c r="N757" s="31" t="n">
        <x:v>2.96</x:v>
      </x:c>
      <x:c r="O757" s="31" t="n">
        <x:f>ABS(M757-N757)</x:f>
        <x:v>0.5499999999999998</x:v>
      </x:c>
      <x:c r="P757" s="31" t="n">
        <x:v>4.99</x:v>
      </x:c>
      <x:c r="Q757" s="31" t="n">
        <x:v>3.54</x:v>
      </x:c>
      <x:c r="R757" s="31" t="n">
        <x:f>ABS(P757-Q757)</x:f>
        <x:v>1.4500000000000002</x:v>
      </x:c>
      <x:c r="S757" s="32" t="n">
        <x:v>5110.572485897615</x:v>
      </x:c>
      <x:c r="T757" s="32" t="n">
        <x:v>2797.843365454211</x:v>
      </x:c>
      <x:c r="U757" s="31" t="n">
        <x:f>MAX(S757/T757,T757/S757)</x:f>
        <x:v>1.8266113639524448</x:v>
      </x:c>
      <x:c r="V757" s="31" t="n">
        <x:f>L757*'Controls &amp; Summary'!$B$9+O757*'Controls &amp; Summary'!$B$10+R757*'Controls &amp; Summary'!$B$11+U757*'Controls &amp; Summary'!$B$12</x:f>
        <x:v>5.656611363952445</x:v>
      </x:c>
      <x:c r="W757" s="31" t="n">
        <x:v>3</x:v>
      </x:c>
      <x:c r="X757" s="31" t="n">
        <x:v>3</x:v>
      </x:c>
      <x:c r="Y757" s="31" t="n">
        <x:f>((10-MIN(10,MAX(0,X757)))/10)*'Controls &amp; Summary'!$B$15+((10-MIN(10,MAX(0,W757)))/10)*'Controls &amp; Summary'!$B$16</x:f>
        <x:v>1.4</x:v>
      </x:c>
      <x:c r="Z757" s="31" t="n">
        <x:f>V757*Y757</x:f>
        <x:v>7.9192559095334225</x:v>
      </x:c>
      <x:c r="AA757" s="30" t="str">
        <x:f>IF(Z757&lt;=I757,"Peaceful","Hostile")</x:f>
        <x:v>Hostile</x:v>
      </x:c>
      <x:c r="AB757" s="30" t="str">
        <x:f>IF(Z757&lt;='Controls &amp; Summary'!$B$6,"Eligible","Blocked")</x:f>
        <x:v>Eligible</x:v>
      </x:c>
      <x:c r="AC757" s="30" t="str">
        <x:v>NGA</x:v>
      </x:c>
      <x:c r="AD757" s="30" t="str">
        <x:v>GIN</x:v>
      </x:c>
      <x:c r="AE757" s="30" t="str">
        <x:v>Guinea</x:v>
      </x:c>
      <x:c r="AF757" s="30" t="str">
        <x:v>Explicit capitalClaim</x:v>
      </x:c>
      <x:c r="AG757" s="30" t="str">
        <x:v>ClaimNGAGuinea</x:v>
      </x:c>
      <x:c r="AH757" s="30" t="str">
        <x:v>Project_EastAfricanFederation</x:v>
      </x:c>
    </x:row>
    <x:row r="758">
      <x:c r="A758" s="30" t="str">
        <x:v>2022</x:v>
      </x:c>
      <x:c r="B758" s="30" t="str">
        <x:v>Base game</x:v>
      </x:c>
      <x:c r="C758" s="30" t="str">
        <x:v>Nigeria</x:v>
      </x:c>
      <x:c r="D758" s="30" t="str">
        <x:v>Guinea-Bissau</x:v>
      </x:c>
      <x:c r="E758" s="30" t="str">
        <x:v>Project unlock</x:v>
      </x:c>
      <x:c r="F758" s="30" t="str">
        <x:v>African Confederations</x:v>
      </x:c>
      <x:c r="G758" s="30" t="str">
        <x:v>No</x:v>
      </x:c>
      <x:c r="H758" s="30" t="str">
        <x:v>Ordinary claim</x:v>
      </x:c>
      <x:c r="I758" s="31" t="n">
        <x:f>IF(G758="Yes",'Controls &amp; Summary'!$B$5,'Controls &amp; Summary'!$B$4)</x:f>
        <x:v>6</x:v>
      </x:c>
      <x:c r="J758" s="31" t="n">
        <x:v>4.11</x:v>
      </x:c>
      <x:c r="K758" s="31" t="n">
        <x:v>2.75</x:v>
      </x:c>
      <x:c r="L758" s="31" t="n">
        <x:f>ABS(J758-K758)</x:f>
        <x:v>1.3600000000000003</x:v>
      </x:c>
      <x:c r="M758" s="31" t="n">
        <x:v>3.51</x:v>
      </x:c>
      <x:c r="N758" s="31" t="n">
        <x:v>3.48</x:v>
      </x:c>
      <x:c r="O758" s="31" t="n">
        <x:f>ABS(M758-N758)</x:f>
        <x:v>0.029999999999999805</x:v>
      </x:c>
      <x:c r="P758" s="31" t="n">
        <x:v>4.99</x:v>
      </x:c>
      <x:c r="Q758" s="31" t="n">
        <x:v>4.14</x:v>
      </x:c>
      <x:c r="R758" s="31" t="n">
        <x:f>ABS(P758-Q758)</x:f>
        <x:v>0.8500000000000005</x:v>
      </x:c>
      <x:c r="S758" s="32" t="n">
        <x:v>5110.572485897615</x:v>
      </x:c>
      <x:c r="T758" s="32" t="n">
        <x:v>2235.0553119904785</x:v>
      </x:c>
      <x:c r="U758" s="31" t="n">
        <x:f>MAX(S758/T758,T758/S758)</x:f>
        <x:v>2.286553025547399</x:v>
      </x:c>
      <x:c r="V758" s="31" t="n">
        <x:f>L758*'Controls &amp; Summary'!$B$9+O758*'Controls &amp; Summary'!$B$10+R758*'Controls &amp; Summary'!$B$11+U758*'Controls &amp; Summary'!$B$12</x:f>
        <x:v>4.5265530255474</x:v>
      </x:c>
      <x:c r="W758" s="31" t="n">
        <x:v>3</x:v>
      </x:c>
      <x:c r="X758" s="31" t="n">
        <x:v>3</x:v>
      </x:c>
      <x:c r="Y758" s="31" t="n">
        <x:f>((10-MIN(10,MAX(0,X758)))/10)*'Controls &amp; Summary'!$B$15+((10-MIN(10,MAX(0,W758)))/10)*'Controls &amp; Summary'!$B$16</x:f>
        <x:v>1.4</x:v>
      </x:c>
      <x:c r="Z758" s="31" t="n">
        <x:f>V758*Y758</x:f>
        <x:v>6.337174235766359</x:v>
      </x:c>
      <x:c r="AA758" s="30" t="str">
        <x:f>IF(Z758&lt;=I758,"Peaceful","Hostile")</x:f>
        <x:v>Hostile</x:v>
      </x:c>
      <x:c r="AB758" s="30" t="str">
        <x:f>IF(Z758&lt;='Controls &amp; Summary'!$B$6,"Eligible","Blocked")</x:f>
        <x:v>Eligible</x:v>
      </x:c>
      <x:c r="AC758" s="30" t="str">
        <x:v>NGA</x:v>
      </x:c>
      <x:c r="AD758" s="30" t="str">
        <x:v>GNB</x:v>
      </x:c>
      <x:c r="AE758" s="30" t="str">
        <x:v>GuineaBissau</x:v>
      </x:c>
      <x:c r="AF758" s="30" t="str">
        <x:v>Explicit capitalClaim</x:v>
      </x:c>
      <x:c r="AG758" s="30" t="str">
        <x:v>ClaimNGAGuineaBissau</x:v>
      </x:c>
      <x:c r="AH758" s="30" t="str">
        <x:v>Project_EastAfricanFederation</x:v>
      </x:c>
    </x:row>
    <x:row r="759">
      <x:c r="A759" s="30" t="str">
        <x:v>2022</x:v>
      </x:c>
      <x:c r="B759" s="30" t="str">
        <x:v>Base game</x:v>
      </x:c>
      <x:c r="C759" s="30" t="str">
        <x:v>Nigeria</x:v>
      </x:c>
      <x:c r="D759" s="30" t="str">
        <x:v>Ivory Coast</x:v>
      </x:c>
      <x:c r="E759" s="30" t="str">
        <x:v>Project unlock</x:v>
      </x:c>
      <x:c r="F759" s="30" t="str">
        <x:v>African Confederations</x:v>
      </x:c>
      <x:c r="G759" s="30" t="str">
        <x:v>No</x:v>
      </x:c>
      <x:c r="H759" s="30" t="str">
        <x:v>Ordinary claim</x:v>
      </x:c>
      <x:c r="I759" s="31" t="n">
        <x:f>IF(G759="Yes",'Controls &amp; Summary'!$B$5,'Controls &amp; Summary'!$B$4)</x:f>
        <x:v>6</x:v>
      </x:c>
      <x:c r="J759" s="31" t="n">
        <x:v>4.11</x:v>
      </x:c>
      <x:c r="K759" s="31" t="n">
        <x:v>4.22</x:v>
      </x:c>
      <x:c r="L759" s="31" t="n">
        <x:f>ABS(J759-K759)</x:f>
        <x:v>0.10999999999999943</x:v>
      </x:c>
      <x:c r="M759" s="31" t="n">
        <x:v>3.51</x:v>
      </x:c>
      <x:c r="N759" s="31" t="n">
        <x:v>3.72</x:v>
      </x:c>
      <x:c r="O759" s="31" t="n">
        <x:f>ABS(M759-N759)</x:f>
        <x:v>0.2100000000000004</x:v>
      </x:c>
      <x:c r="P759" s="31" t="n">
        <x:v>4.99</x:v>
      </x:c>
      <x:c r="Q759" s="31" t="n">
        <x:v>4.53</x:v>
      </x:c>
      <x:c r="R759" s="31" t="n">
        <x:f>ABS(P759-Q759)</x:f>
        <x:v>0.45999999999999996</x:v>
      </x:c>
      <x:c r="S759" s="32" t="n">
        <x:v>5110.572485897615</x:v>
      </x:c>
      <x:c r="T759" s="32" t="n">
        <x:v>5667.050223619001</x:v>
      </x:c>
      <x:c r="U759" s="31" t="n">
        <x:f>MAX(S759/T759,T759/S759)</x:f>
        <x:v>1.108887554037627</x:v>
      </x:c>
      <x:c r="V759" s="31" t="n">
        <x:f>L759*'Controls &amp; Summary'!$B$9+O759*'Controls &amp; Summary'!$B$10+R759*'Controls &amp; Summary'!$B$11+U759*'Controls &amp; Summary'!$B$12</x:f>
        <x:v>1.8888875540376269</x:v>
      </x:c>
      <x:c r="W759" s="31" t="n">
        <x:v>3</x:v>
      </x:c>
      <x:c r="X759" s="31" t="n">
        <x:v>3</x:v>
      </x:c>
      <x:c r="Y759" s="31" t="n">
        <x:f>((10-MIN(10,MAX(0,X759)))/10)*'Controls &amp; Summary'!$B$15+((10-MIN(10,MAX(0,W759)))/10)*'Controls &amp; Summary'!$B$16</x:f>
        <x:v>1.4</x:v>
      </x:c>
      <x:c r="Z759" s="31" t="n">
        <x:f>V759*Y759</x:f>
        <x:v>2.6444425756526773</x:v>
      </x:c>
      <x:c r="AA759" s="30" t="str">
        <x:f>IF(Z759&lt;=I759,"Peaceful","Hostile")</x:f>
        <x:v>Peaceful</x:v>
      </x:c>
      <x:c r="AB759" s="30" t="str">
        <x:f>IF(Z759&lt;='Controls &amp; Summary'!$B$6,"Eligible","Blocked")</x:f>
        <x:v>Eligible</x:v>
      </x:c>
      <x:c r="AC759" s="30" t="str">
        <x:v>NGA</x:v>
      </x:c>
      <x:c r="AD759" s="30" t="str">
        <x:v>IVO</x:v>
      </x:c>
      <x:c r="AE759" s="30" t="str">
        <x:v>IvoryCoast</x:v>
      </x:c>
      <x:c r="AF759" s="30" t="str">
        <x:v>Explicit capitalClaim</x:v>
      </x:c>
      <x:c r="AG759" s="30" t="str">
        <x:v>ClaimNGAIvoryCoast</x:v>
      </x:c>
      <x:c r="AH759" s="30" t="str">
        <x:v>Project_EastAfricanFederation</x:v>
      </x:c>
    </x:row>
    <x:row r="760">
      <x:c r="A760" s="30" t="str">
        <x:v>2022</x:v>
      </x:c>
      <x:c r="B760" s="30" t="str">
        <x:v>Base game</x:v>
      </x:c>
      <x:c r="C760" s="30" t="str">
        <x:v>Nigeria</x:v>
      </x:c>
      <x:c r="D760" s="30" t="str">
        <x:v>Liberia</x:v>
      </x:c>
      <x:c r="E760" s="30" t="str">
        <x:v>Project unlock</x:v>
      </x:c>
      <x:c r="F760" s="30" t="str">
        <x:v>African Confederations</x:v>
      </x:c>
      <x:c r="G760" s="30" t="str">
        <x:v>No</x:v>
      </x:c>
      <x:c r="H760" s="30" t="str">
        <x:v>Ordinary claim</x:v>
      </x:c>
      <x:c r="I760" s="31" t="n">
        <x:f>IF(G760="Yes",'Controls &amp; Summary'!$B$5,'Controls &amp; Summary'!$B$4)</x:f>
        <x:v>6</x:v>
      </x:c>
      <x:c r="J760" s="31" t="n">
        <x:v>4.11</x:v>
      </x:c>
      <x:c r="K760" s="31" t="n">
        <x:v>5.43</x:v>
      </x:c>
      <x:c r="L760" s="31" t="n">
        <x:f>ABS(J760-K760)</x:f>
        <x:v>1.3199999999999994</x:v>
      </x:c>
      <x:c r="M760" s="31" t="n">
        <x:v>3.51</x:v>
      </x:c>
      <x:c r="N760" s="31" t="n">
        <x:v>3.53</x:v>
      </x:c>
      <x:c r="O760" s="31" t="n">
        <x:f>ABS(M760-N760)</x:f>
        <x:v>0.020000000000000018</x:v>
      </x:c>
      <x:c r="P760" s="31" t="n">
        <x:v>4.99</x:v>
      </x:c>
      <x:c r="Q760" s="31" t="n">
        <x:v>4.26</x:v>
      </x:c>
      <x:c r="R760" s="31" t="n">
        <x:f>ABS(P760-Q760)</x:f>
        <x:v>0.7300000000000004</x:v>
      </x:c>
      <x:c r="S760" s="32" t="n">
        <x:v>5110.572485897615</x:v>
      </x:c>
      <x:c r="T760" s="32" t="n">
        <x:v>1445.0426204112412</x:v>
      </x:c>
      <x:c r="U760" s="31" t="n">
        <x:f>MAX(S760/T760,T760/S760)</x:f>
        <x:v>3.536624050883156</x:v>
      </x:c>
      <x:c r="V760" s="31" t="n">
        <x:f>L760*'Controls &amp; Summary'!$B$9+O760*'Controls &amp; Summary'!$B$10+R760*'Controls &amp; Summary'!$B$11+U760*'Controls &amp; Summary'!$B$12</x:f>
        <x:v>5.6066240508831555</x:v>
      </x:c>
      <x:c r="W760" s="31" t="n">
        <x:v>3</x:v>
      </x:c>
      <x:c r="X760" s="31" t="n">
        <x:v>2</x:v>
      </x:c>
      <x:c r="Y760" s="31" t="n">
        <x:f>((10-MIN(10,MAX(0,X760)))/10)*'Controls &amp; Summary'!$B$15+((10-MIN(10,MAX(0,W760)))/10)*'Controls &amp; Summary'!$B$16</x:f>
        <x:v>1.5</x:v>
      </x:c>
      <x:c r="Z760" s="31" t="n">
        <x:f>V760*Y760</x:f>
        <x:v>8.409936076324733</x:v>
      </x:c>
      <x:c r="AA760" s="30" t="str">
        <x:f>IF(Z760&lt;=I760,"Peaceful","Hostile")</x:f>
        <x:v>Hostile</x:v>
      </x:c>
      <x:c r="AB760" s="30" t="str">
        <x:f>IF(Z760&lt;='Controls &amp; Summary'!$B$6,"Eligible","Blocked")</x:f>
        <x:v>Eligible</x:v>
      </x:c>
      <x:c r="AC760" s="30" t="str">
        <x:v>NGA</x:v>
      </x:c>
      <x:c r="AD760" s="30" t="str">
        <x:v>LBR</x:v>
      </x:c>
      <x:c r="AE760" s="30" t="str">
        <x:v>Liberia</x:v>
      </x:c>
      <x:c r="AF760" s="30" t="str">
        <x:v>Explicit capitalClaim</x:v>
      </x:c>
      <x:c r="AG760" s="30" t="str">
        <x:v>ClaimNGALiberia</x:v>
      </x:c>
      <x:c r="AH760" s="30" t="str">
        <x:v>Project_EastAfricanFederation</x:v>
      </x:c>
    </x:row>
    <x:row r="761">
      <x:c r="A761" s="30" t="str">
        <x:v>2022</x:v>
      </x:c>
      <x:c r="B761" s="30" t="str">
        <x:v>Base game</x:v>
      </x:c>
      <x:c r="C761" s="30" t="str">
        <x:v>Nigeria</x:v>
      </x:c>
      <x:c r="D761" s="30" t="str">
        <x:v>Mali</x:v>
      </x:c>
      <x:c r="E761" s="30" t="str">
        <x:v>Project unlock</x:v>
      </x:c>
      <x:c r="F761" s="30" t="str">
        <x:v>Regional African Unions</x:v>
      </x:c>
      <x:c r="G761" s="30" t="str">
        <x:v>No</x:v>
      </x:c>
      <x:c r="H761" s="30" t="str">
        <x:v>Ordinary claim</x:v>
      </x:c>
      <x:c r="I761" s="31" t="n">
        <x:f>IF(G761="Yes",'Controls &amp; Summary'!$B$5,'Controls &amp; Summary'!$B$4)</x:f>
        <x:v>6</x:v>
      </x:c>
      <x:c r="J761" s="31" t="n">
        <x:v>4.11</x:v>
      </x:c>
      <x:c r="K761" s="31" t="n">
        <x:v>3.48</x:v>
      </x:c>
      <x:c r="L761" s="31" t="n">
        <x:f>ABS(J761-K761)</x:f>
        <x:v>0.6300000000000003</x:v>
      </x:c>
      <x:c r="M761" s="31" t="n">
        <x:v>3.51</x:v>
      </x:c>
      <x:c r="N761" s="31" t="n">
        <x:v>3.61</x:v>
      </x:c>
      <x:c r="O761" s="31" t="n">
        <x:f>ABS(M761-N761)</x:f>
        <x:v>0.10000000000000009</x:v>
      </x:c>
      <x:c r="P761" s="31" t="n">
        <x:v>4.99</x:v>
      </x:c>
      <x:c r="Q761" s="31" t="n">
        <x:v>2.86</x:v>
      </x:c>
      <x:c r="R761" s="31" t="n">
        <x:f>ABS(P761-Q761)</x:f>
        <x:v>2.1300000000000003</x:v>
      </x:c>
      <x:c r="S761" s="32" t="n">
        <x:v>5110.572485897615</x:v>
      </x:c>
      <x:c r="T761" s="32" t="n">
        <x:v>2553.6295666642395</x:v>
      </x:c>
      <x:c r="U761" s="31" t="n">
        <x:f>MAX(S761/T761,T761/S761)</x:f>
        <x:v>2.001297507129612</x:v>
      </x:c>
      <x:c r="V761" s="31" t="n">
        <x:f>L761*'Controls &amp; Summary'!$B$9+O761*'Controls &amp; Summary'!$B$10+R761*'Controls &amp; Summary'!$B$11+U761*'Controls &amp; Summary'!$B$12</x:f>
        <x:v>4.861297507129613</x:v>
      </x:c>
      <x:c r="W761" s="31" t="n">
        <x:v>3</x:v>
      </x:c>
      <x:c r="X761" s="31" t="n">
        <x:v>6</x:v>
      </x:c>
      <x:c r="Y761" s="31" t="n">
        <x:f>((10-MIN(10,MAX(0,X761)))/10)*'Controls &amp; Summary'!$B$15+((10-MIN(10,MAX(0,W761)))/10)*'Controls &amp; Summary'!$B$16</x:f>
        <x:v>1.1</x:v>
      </x:c>
      <x:c r="Z761" s="31" t="n">
        <x:f>V761*Y761</x:f>
        <x:v>5.347427257842575</x:v>
      </x:c>
      <x:c r="AA761" s="30" t="str">
        <x:f>IF(Z761&lt;=I761,"Peaceful","Hostile")</x:f>
        <x:v>Peaceful</x:v>
      </x:c>
      <x:c r="AB761" s="30" t="str">
        <x:f>IF(Z761&lt;='Controls &amp; Summary'!$B$6,"Eligible","Blocked")</x:f>
        <x:v>Eligible</x:v>
      </x:c>
      <x:c r="AC761" s="30" t="str">
        <x:v>NGA</x:v>
      </x:c>
      <x:c r="AD761" s="30" t="str">
        <x:v>MLI</x:v>
      </x:c>
      <x:c r="AE761" s="30" t="str">
        <x:v>Mali</x:v>
      </x:c>
      <x:c r="AF761" s="30" t="str">
        <x:v>Explicit capitalClaim</x:v>
      </x:c>
      <x:c r="AG761" s="30" t="str">
        <x:v>ClaimNGAMali</x:v>
      </x:c>
      <x:c r="AH761" s="30" t="str">
        <x:v>Project_RegionalAfricanUnions</x:v>
      </x:c>
    </x:row>
    <x:row r="762">
      <x:c r="A762" s="30" t="str">
        <x:v>2022</x:v>
      </x:c>
      <x:c r="B762" s="30" t="str">
        <x:v>Base game</x:v>
      </x:c>
      <x:c r="C762" s="30" t="str">
        <x:v>Nigeria</x:v>
      </x:c>
      <x:c r="D762" s="30" t="str">
        <x:v>Mauritania</x:v>
      </x:c>
      <x:c r="E762" s="30" t="str">
        <x:v>Project unlock</x:v>
      </x:c>
      <x:c r="F762" s="30" t="str">
        <x:v>Nigerian Confederation</x:v>
      </x:c>
      <x:c r="G762" s="30" t="str">
        <x:v>No</x:v>
      </x:c>
      <x:c r="H762" s="30" t="str">
        <x:v>Ordinary claim</x:v>
      </x:c>
      <x:c r="I762" s="31" t="n">
        <x:f>IF(G762="Yes",'Controls &amp; Summary'!$B$5,'Controls &amp; Summary'!$B$4)</x:f>
        <x:v>6</x:v>
      </x:c>
      <x:c r="J762" s="31" t="n">
        <x:v>4.11</x:v>
      </x:c>
      <x:c r="K762" s="31" t="n">
        <x:v>4.03</x:v>
      </x:c>
      <x:c r="L762" s="31" t="n">
        <x:f>ABS(J762-K762)</x:f>
        <x:v>0.08000000000000007</x:v>
      </x:c>
      <x:c r="M762" s="31" t="n">
        <x:v>3.51</x:v>
      </x:c>
      <x:c r="N762" s="31" t="n">
        <x:v>3.26</x:v>
      </x:c>
      <x:c r="O762" s="31" t="n">
        <x:f>ABS(M762-N762)</x:f>
        <x:v>0.25</x:v>
      </x:c>
      <x:c r="P762" s="31" t="n">
        <x:v>4.99</x:v>
      </x:c>
      <x:c r="Q762" s="31" t="n">
        <x:v>3.96</x:v>
      </x:c>
      <x:c r="R762" s="31" t="n">
        <x:f>ABS(P762-Q762)</x:f>
        <x:v>1.0300000000000002</x:v>
      </x:c>
      <x:c r="S762" s="32" t="n">
        <x:v>5110.572485897615</x:v>
      </x:c>
      <x:c r="T762" s="32" t="n">
        <x:v>5340.571226487944</x:v>
      </x:c>
      <x:c r="U762" s="31" t="n">
        <x:f>MAX(S762/T762,T762/S762)</x:f>
        <x:v>1.0450044963113232</x:v>
      </x:c>
      <x:c r="V762" s="31" t="n">
        <x:f>L762*'Controls &amp; Summary'!$B$9+O762*'Controls &amp; Summary'!$B$10+R762*'Controls &amp; Summary'!$B$11+U762*'Controls &amp; Summary'!$B$12</x:f>
        <x:v>2.4050044963113235</x:v>
      </x:c>
      <x:c r="W762" s="31" t="n">
        <x:v>3</x:v>
      </x:c>
      <x:c r="X762" s="31" t="n">
        <x:v>3</x:v>
      </x:c>
      <x:c r="Y762" s="31" t="n">
        <x:f>((10-MIN(10,MAX(0,X762)))/10)*'Controls &amp; Summary'!$B$15+((10-MIN(10,MAX(0,W762)))/10)*'Controls &amp; Summary'!$B$16</x:f>
        <x:v>1.4</x:v>
      </x:c>
      <x:c r="Z762" s="31" t="n">
        <x:f>V762*Y762</x:f>
        <x:v>3.3670062948358526</x:v>
      </x:c>
      <x:c r="AA762" s="30" t="str">
        <x:f>IF(Z762&lt;=I762,"Peaceful","Hostile")</x:f>
        <x:v>Peaceful</x:v>
      </x:c>
      <x:c r="AB762" s="30" t="str">
        <x:f>IF(Z762&lt;='Controls &amp; Summary'!$B$6,"Eligible","Blocked")</x:f>
        <x:v>Eligible</x:v>
      </x:c>
      <x:c r="AC762" s="30" t="str">
        <x:v>NGA</x:v>
      </x:c>
      <x:c r="AD762" s="30" t="str">
        <x:v>MRT</x:v>
      </x:c>
      <x:c r="AE762" s="30" t="str">
        <x:v>Mauritania</x:v>
      </x:c>
      <x:c r="AF762" s="30" t="str">
        <x:v>Explicit capitalClaim</x:v>
      </x:c>
      <x:c r="AG762" s="30" t="str">
        <x:v>ClaimNGAMauritania</x:v>
      </x:c>
      <x:c r="AH762" s="30" t="str">
        <x:v>Project_NigerianConfederation</x:v>
      </x:c>
    </x:row>
    <x:row r="763">
      <x:c r="A763" s="30" t="str">
        <x:v>2022</x:v>
      </x:c>
      <x:c r="B763" s="30" t="str">
        <x:v>Base game</x:v>
      </x:c>
      <x:c r="C763" s="30" t="str">
        <x:v>Nigeria</x:v>
      </x:c>
      <x:c r="D763" s="30" t="str">
        <x:v>Morocco</x:v>
      </x:c>
      <x:c r="E763" s="30" t="str">
        <x:v>Project unlock</x:v>
      </x:c>
      <x:c r="F763" s="30" t="str">
        <x:v>Nigerian Confederation</x:v>
      </x:c>
      <x:c r="G763" s="30" t="str">
        <x:v>No</x:v>
      </x:c>
      <x:c r="H763" s="30" t="str">
        <x:v>Ordinary claim</x:v>
      </x:c>
      <x:c r="I763" s="31" t="n">
        <x:f>IF(G763="Yes",'Controls &amp; Summary'!$B$5,'Controls &amp; Summary'!$B$4)</x:f>
        <x:v>6</x:v>
      </x:c>
      <x:c r="J763" s="31" t="n">
        <x:v>4.11</x:v>
      </x:c>
      <x:c r="K763" s="31" t="n">
        <x:v>5.04</x:v>
      </x:c>
      <x:c r="L763" s="31" t="n">
        <x:f>ABS(J763-K763)</x:f>
        <x:v>0.9299999999999997</x:v>
      </x:c>
      <x:c r="M763" s="31" t="n">
        <x:v>3.51</x:v>
      </x:c>
      <x:c r="N763" s="31" t="n">
        <x:v>3.95</x:v>
      </x:c>
      <x:c r="O763" s="31" t="n">
        <x:f>ABS(M763-N763)</x:f>
        <x:v>0.4400000000000004</x:v>
      </x:c>
      <x:c r="P763" s="31" t="n">
        <x:v>4.99</x:v>
      </x:c>
      <x:c r="Q763" s="31" t="n">
        <x:v>5.69</x:v>
      </x:c>
      <x:c r="R763" s="31" t="n">
        <x:f>ABS(P763-Q763)</x:f>
        <x:v>0.7000000000000002</x:v>
      </x:c>
      <x:c r="S763" s="32" t="n">
        <x:v>5110.572485897615</x:v>
      </x:c>
      <x:c r="T763" s="32" t="n">
        <x:v>7570.810298699158</x:v>
      </x:c>
      <x:c r="U763" s="31" t="n">
        <x:f>MAX(S763/T763,T763/S763)</x:f>
        <x:v>1.4814016080567205</x:v>
      </x:c>
      <x:c r="V763" s="31" t="n">
        <x:f>L763*'Controls &amp; Summary'!$B$9+O763*'Controls &amp; Summary'!$B$10+R763*'Controls &amp; Summary'!$B$11+U763*'Controls &amp; Summary'!$B$12</x:f>
        <x:v>3.551401608056721</x:v>
      </x:c>
      <x:c r="W763" s="31" t="n">
        <x:v>3</x:v>
      </x:c>
      <x:c r="X763" s="31" t="n">
        <x:v>2</x:v>
      </x:c>
      <x:c r="Y763" s="31" t="n">
        <x:f>((10-MIN(10,MAX(0,X763)))/10)*'Controls &amp; Summary'!$B$15+((10-MIN(10,MAX(0,W763)))/10)*'Controls &amp; Summary'!$B$16</x:f>
        <x:v>1.5</x:v>
      </x:c>
      <x:c r="Z763" s="31" t="n">
        <x:f>V763*Y763</x:f>
        <x:v>5.327102412085081</x:v>
      </x:c>
      <x:c r="AA763" s="30" t="str">
        <x:f>IF(Z763&lt;=I763,"Peaceful","Hostile")</x:f>
        <x:v>Peaceful</x:v>
      </x:c>
      <x:c r="AB763" s="30" t="str">
        <x:f>IF(Z763&lt;='Controls &amp; Summary'!$B$6,"Eligible","Blocked")</x:f>
        <x:v>Eligible</x:v>
      </x:c>
      <x:c r="AC763" s="30" t="str">
        <x:v>NGA</x:v>
      </x:c>
      <x:c r="AD763" s="30" t="str">
        <x:v>MAR</x:v>
      </x:c>
      <x:c r="AE763" s="30" t="str">
        <x:v>Rabat</x:v>
      </x:c>
      <x:c r="AF763" s="30" t="str">
        <x:v>Explicit capitalClaim</x:v>
      </x:c>
      <x:c r="AG763" s="30" t="str">
        <x:v>ClaimNGARabat</x:v>
      </x:c>
      <x:c r="AH763" s="30" t="str">
        <x:v>Project_NigerianConfederation</x:v>
      </x:c>
    </x:row>
    <x:row r="764">
      <x:c r="A764" s="30" t="str">
        <x:v>2022</x:v>
      </x:c>
      <x:c r="B764" s="30" t="str">
        <x:v>Base game</x:v>
      </x:c>
      <x:c r="C764" s="30" t="str">
        <x:v>Nigeria</x:v>
      </x:c>
      <x:c r="D764" s="30" t="str">
        <x:v>Niger</x:v>
      </x:c>
      <x:c r="E764" s="30" t="str">
        <x:v>Project unlock</x:v>
      </x:c>
      <x:c r="F764" s="30" t="str">
        <x:v>Regional African Unions</x:v>
      </x:c>
      <x:c r="G764" s="30" t="str">
        <x:v>No</x:v>
      </x:c>
      <x:c r="H764" s="30" t="str">
        <x:v>Ordinary claim</x:v>
      </x:c>
      <x:c r="I764" s="31" t="n">
        <x:f>IF(G764="Yes",'Controls &amp; Summary'!$B$5,'Controls &amp; Summary'!$B$4)</x:f>
        <x:v>6</x:v>
      </x:c>
      <x:c r="J764" s="31" t="n">
        <x:v>4.11</x:v>
      </x:c>
      <x:c r="K764" s="31" t="n">
        <x:v>3.22</x:v>
      </x:c>
      <x:c r="L764" s="31" t="n">
        <x:f>ABS(J764-K764)</x:f>
        <x:v>0.8900000000000001</x:v>
      </x:c>
      <x:c r="M764" s="31" t="n">
        <x:v>3.51</x:v>
      </x:c>
      <x:c r="N764" s="31" t="n">
        <x:v>3.73</x:v>
      </x:c>
      <x:c r="O764" s="31" t="n">
        <x:f>ABS(M764-N764)</x:f>
        <x:v>0.2200000000000002</x:v>
      </x:c>
      <x:c r="P764" s="31" t="n">
        <x:v>4.99</x:v>
      </x:c>
      <x:c r="Q764" s="31" t="n">
        <x:v>2.49</x:v>
      </x:c>
      <x:c r="R764" s="31" t="n">
        <x:f>ABS(P764-Q764)</x:f>
        <x:v>2.5</x:v>
      </x:c>
      <x:c r="S764" s="32" t="n">
        <x:v>5110.572485897615</x:v>
      </x:c>
      <x:c r="T764" s="32" t="n">
        <x:v>1247.9912421287745</x:v>
      </x:c>
      <x:c r="U764" s="31" t="n">
        <x:f>MAX(S764/T764,T764/S764)</x:f>
        <x:v>4.095038741762482</x:v>
      </x:c>
      <x:c r="V764" s="31" t="n">
        <x:f>L764*'Controls &amp; Summary'!$B$9+O764*'Controls &amp; Summary'!$B$10+R764*'Controls &amp; Summary'!$B$11+U764*'Controls &amp; Summary'!$B$12</x:f>
        <x:v>7.705038741762483</x:v>
      </x:c>
      <x:c r="W764" s="31" t="n">
        <x:v>3</x:v>
      </x:c>
      <x:c r="X764" s="31" t="n">
        <x:v>6</x:v>
      </x:c>
      <x:c r="Y764" s="31" t="n">
        <x:f>((10-MIN(10,MAX(0,X764)))/10)*'Controls &amp; Summary'!$B$15+((10-MIN(10,MAX(0,W764)))/10)*'Controls &amp; Summary'!$B$16</x:f>
        <x:v>1.1</x:v>
      </x:c>
      <x:c r="Z764" s="31" t="n">
        <x:f>V764*Y764</x:f>
        <x:v>8.475542615938732</x:v>
      </x:c>
      <x:c r="AA764" s="30" t="str">
        <x:f>IF(Z764&lt;=I764,"Peaceful","Hostile")</x:f>
        <x:v>Hostile</x:v>
      </x:c>
      <x:c r="AB764" s="30" t="str">
        <x:f>IF(Z764&lt;='Controls &amp; Summary'!$B$6,"Eligible","Blocked")</x:f>
        <x:v>Eligible</x:v>
      </x:c>
      <x:c r="AC764" s="30" t="str">
        <x:v>NGA</x:v>
      </x:c>
      <x:c r="AD764" s="30" t="str">
        <x:v>NER</x:v>
      </x:c>
      <x:c r="AE764" s="30" t="str">
        <x:v>Niger</x:v>
      </x:c>
      <x:c r="AF764" s="30" t="str">
        <x:v>Explicit capitalClaim</x:v>
      </x:c>
      <x:c r="AG764" s="30" t="str">
        <x:v>ClaimNGANiger</x:v>
      </x:c>
      <x:c r="AH764" s="30" t="str">
        <x:v>Project_RegionalAfricanUnions</x:v>
      </x:c>
    </x:row>
    <x:row r="765">
      <x:c r="A765" s="30" t="str">
        <x:v>2022</x:v>
      </x:c>
      <x:c r="B765" s="30" t="str">
        <x:v>Base game</x:v>
      </x:c>
      <x:c r="C765" s="30" t="str">
        <x:v>Nigeria</x:v>
      </x:c>
      <x:c r="D765" s="30" t="str">
        <x:v>Senegal</x:v>
      </x:c>
      <x:c r="E765" s="30" t="str">
        <x:v>Project unlock</x:v>
      </x:c>
      <x:c r="F765" s="30" t="str">
        <x:v>African Confederations</x:v>
      </x:c>
      <x:c r="G765" s="30" t="str">
        <x:v>No</x:v>
      </x:c>
      <x:c r="H765" s="30" t="str">
        <x:v>Ordinary claim</x:v>
      </x:c>
      <x:c r="I765" s="31" t="n">
        <x:f>IF(G765="Yes",'Controls &amp; Summary'!$B$5,'Controls &amp; Summary'!$B$4)</x:f>
        <x:v>6</x:v>
      </x:c>
      <x:c r="J765" s="31" t="n">
        <x:v>4.11</x:v>
      </x:c>
      <x:c r="K765" s="31" t="n">
        <x:v>5.53</x:v>
      </x:c>
      <x:c r="L765" s="31" t="n">
        <x:f>ABS(J765-K765)</x:f>
        <x:v>1.42</x:v>
      </x:c>
      <x:c r="M765" s="31" t="n">
        <x:v>3.51</x:v>
      </x:c>
      <x:c r="N765" s="31" t="n">
        <x:v>3.81</x:v>
      </x:c>
      <x:c r="O765" s="31" t="n">
        <x:f>ABS(M765-N765)</x:f>
        <x:v>0.30000000000000027</x:v>
      </x:c>
      <x:c r="P765" s="31" t="n">
        <x:v>4.99</x:v>
      </x:c>
      <x:c r="Q765" s="31" t="n">
        <x:v>3.45</x:v>
      </x:c>
      <x:c r="R765" s="31" t="n">
        <x:f>ABS(P765-Q765)</x:f>
        <x:v>1.54</x:v>
      </x:c>
      <x:c r="S765" s="32" t="n">
        <x:v>5110.572485897615</x:v>
      </x:c>
      <x:c r="T765" s="32" t="n">
        <x:v>3576.8010302812236</x:v>
      </x:c>
      <x:c r="U765" s="31" t="n">
        <x:f>MAX(S765/T765,T765/S765)</x:f>
        <x:v>1.42881095219764</x:v>
      </x:c>
      <x:c r="V765" s="31" t="n">
        <x:f>L765*'Controls &amp; Summary'!$B$9+O765*'Controls &amp; Summary'!$B$10+R765*'Controls &amp; Summary'!$B$11+U765*'Controls &amp; Summary'!$B$12</x:f>
        <x:v>4.68881095219764</x:v>
      </x:c>
      <x:c r="W765" s="31" t="n">
        <x:v>3</x:v>
      </x:c>
      <x:c r="X765" s="31" t="n">
        <x:v>2</x:v>
      </x:c>
      <x:c r="Y765" s="31" t="n">
        <x:f>((10-MIN(10,MAX(0,X765)))/10)*'Controls &amp; Summary'!$B$15+((10-MIN(10,MAX(0,W765)))/10)*'Controls &amp; Summary'!$B$16</x:f>
        <x:v>1.5</x:v>
      </x:c>
      <x:c r="Z765" s="31" t="n">
        <x:f>V765*Y765</x:f>
        <x:v>7.03321642829646</x:v>
      </x:c>
      <x:c r="AA765" s="30" t="str">
        <x:f>IF(Z765&lt;=I765,"Peaceful","Hostile")</x:f>
        <x:v>Hostile</x:v>
      </x:c>
      <x:c r="AB765" s="30" t="str">
        <x:f>IF(Z765&lt;='Controls &amp; Summary'!$B$6,"Eligible","Blocked")</x:f>
        <x:v>Eligible</x:v>
      </x:c>
      <x:c r="AC765" s="30" t="str">
        <x:v>NGA</x:v>
      </x:c>
      <x:c r="AD765" s="30" t="str">
        <x:v>SEG</x:v>
      </x:c>
      <x:c r="AE765" s="30" t="str">
        <x:v>Senegambia</x:v>
      </x:c>
      <x:c r="AF765" s="30" t="str">
        <x:v>Explicit capitalClaim</x:v>
      </x:c>
      <x:c r="AG765" s="30" t="str">
        <x:v>ClaimNGASenegambia</x:v>
      </x:c>
      <x:c r="AH765" s="30" t="str">
        <x:v>Project_EastAfricanFederation</x:v>
      </x:c>
    </x:row>
    <x:row r="766">
      <x:c r="A766" s="30" t="str">
        <x:v>2022</x:v>
      </x:c>
      <x:c r="B766" s="30" t="str">
        <x:v>Base game</x:v>
      </x:c>
      <x:c r="C766" s="30" t="str">
        <x:v>Nigeria</x:v>
      </x:c>
      <x:c r="D766" s="30" t="str">
        <x:v>Sierra Leone</x:v>
      </x:c>
      <x:c r="E766" s="30" t="str">
        <x:v>Project unlock</x:v>
      </x:c>
      <x:c r="F766" s="30" t="str">
        <x:v>African Confederations</x:v>
      </x:c>
      <x:c r="G766" s="30" t="str">
        <x:v>No</x:v>
      </x:c>
      <x:c r="H766" s="30" t="str">
        <x:v>Ordinary claim</x:v>
      </x:c>
      <x:c r="I766" s="31" t="n">
        <x:f>IF(G766="Yes",'Controls &amp; Summary'!$B$5,'Controls &amp; Summary'!$B$4)</x:f>
        <x:v>6</x:v>
      </x:c>
      <x:c r="J766" s="31" t="n">
        <x:v>4.11</x:v>
      </x:c>
      <x:c r="K766" s="31" t="n">
        <x:v>4.97</x:v>
      </x:c>
      <x:c r="L766" s="31" t="n">
        <x:f>ABS(J766-K766)</x:f>
        <x:v>0.8599999999999994</x:v>
      </x:c>
      <x:c r="M766" s="31" t="n">
        <x:v>3.51</x:v>
      </x:c>
      <x:c r="N766" s="31" t="n">
        <x:v>3.57</x:v>
      </x:c>
      <x:c r="O766" s="31" t="n">
        <x:f>ABS(M766-N766)</x:f>
        <x:v>0.06000000000000005</x:v>
      </x:c>
      <x:c r="P766" s="31" t="n">
        <x:v>4.99</x:v>
      </x:c>
      <x:c r="Q766" s="31" t="n">
        <x:v>4.06</x:v>
      </x:c>
      <x:c r="R766" s="31" t="n">
        <x:f>ABS(P766-Q766)</x:f>
        <x:v>0.9300000000000006</x:v>
      </x:c>
      <x:c r="S766" s="32" t="n">
        <x:v>5110.572485897615</x:v>
      </x:c>
      <x:c r="T766" s="32" t="n">
        <x:v>1713.7162890230495</x:v>
      </x:c>
      <x:c r="U766" s="31" t="n">
        <x:f>MAX(S766/T766,T766/S766)</x:f>
        <x:v>2.9821578511172553</x:v>
      </x:c>
      <x:c r="V766" s="31" t="n">
        <x:f>L766*'Controls &amp; Summary'!$B$9+O766*'Controls &amp; Summary'!$B$10+R766*'Controls &amp; Summary'!$B$11+U766*'Controls &amp; Summary'!$B$12</x:f>
        <x:v>4.832157851117255</x:v>
      </x:c>
      <x:c r="W766" s="31" t="n">
        <x:v>3</x:v>
      </x:c>
      <x:c r="X766" s="31" t="n">
        <x:v>2</x:v>
      </x:c>
      <x:c r="Y766" s="31" t="n">
        <x:f>((10-MIN(10,MAX(0,X766)))/10)*'Controls &amp; Summary'!$B$15+((10-MIN(10,MAX(0,W766)))/10)*'Controls &amp; Summary'!$B$16</x:f>
        <x:v>1.5</x:v>
      </x:c>
      <x:c r="Z766" s="31" t="n">
        <x:f>V766*Y766</x:f>
        <x:v>7.248236776675883</x:v>
      </x:c>
      <x:c r="AA766" s="30" t="str">
        <x:f>IF(Z766&lt;=I766,"Peaceful","Hostile")</x:f>
        <x:v>Hostile</x:v>
      </x:c>
      <x:c r="AB766" s="30" t="str">
        <x:f>IF(Z766&lt;='Controls &amp; Summary'!$B$6,"Eligible","Blocked")</x:f>
        <x:v>Eligible</x:v>
      </x:c>
      <x:c r="AC766" s="30" t="str">
        <x:v>NGA</x:v>
      </x:c>
      <x:c r="AD766" s="30" t="str">
        <x:v>SLE</x:v>
      </x:c>
      <x:c r="AE766" s="30" t="str">
        <x:v>SierraLeone</x:v>
      </x:c>
      <x:c r="AF766" s="30" t="str">
        <x:v>Explicit capitalClaim</x:v>
      </x:c>
      <x:c r="AG766" s="30" t="str">
        <x:v>ClaimNGASierraLeone</x:v>
      </x:c>
      <x:c r="AH766" s="30" t="str">
        <x:v>Project_EastAfricanFederation</x:v>
      </x:c>
    </x:row>
    <x:row r="767">
      <x:c r="A767" s="30" t="str">
        <x:v>2022</x:v>
      </x:c>
      <x:c r="B767" s="30" t="str">
        <x:v>Base game</x:v>
      </x:c>
      <x:c r="C767" s="30" t="str">
        <x:v>Nigeria</x:v>
      </x:c>
      <x:c r="D767" s="30" t="str">
        <x:v>Togo</x:v>
      </x:c>
      <x:c r="E767" s="30" t="str">
        <x:v>Project unlock</x:v>
      </x:c>
      <x:c r="F767" s="30" t="str">
        <x:v>African Confederations</x:v>
      </x:c>
      <x:c r="G767" s="30" t="str">
        <x:v>No</x:v>
      </x:c>
      <x:c r="H767" s="30" t="str">
        <x:v>Ordinary claim</x:v>
      </x:c>
      <x:c r="I767" s="31" t="n">
        <x:f>IF(G767="Yes",'Controls &amp; Summary'!$B$5,'Controls &amp; Summary'!$B$4)</x:f>
        <x:v>6</x:v>
      </x:c>
      <x:c r="J767" s="31" t="n">
        <x:v>4.11</x:v>
      </x:c>
      <x:c r="K767" s="31" t="n">
        <x:v>2.8</x:v>
      </x:c>
      <x:c r="L767" s="31" t="n">
        <x:f>ABS(J767-K767)</x:f>
        <x:v>1.3100000000000005</x:v>
      </x:c>
      <x:c r="M767" s="31" t="n">
        <x:v>3.51</x:v>
      </x:c>
      <x:c r="N767" s="31" t="n">
        <x:v>4.24</x:v>
      </x:c>
      <x:c r="O767" s="31" t="n">
        <x:f>ABS(M767-N767)</x:f>
        <x:v>0.7300000000000004</x:v>
      </x:c>
      <x:c r="P767" s="31" t="n">
        <x:v>4.99</x:v>
      </x:c>
      <x:c r="Q767" s="31" t="n">
        <x:v>5.17</x:v>
      </x:c>
      <x:c r="R767" s="31" t="n">
        <x:f>ABS(P767-Q767)</x:f>
        <x:v>0.17999999999999972</x:v>
      </x:c>
      <x:c r="S767" s="32" t="n">
        <x:v>5110.572485897615</x:v>
      </x:c>
      <x:c r="T767" s="32" t="n">
        <x:v>2275.549928171747</x:v>
      </x:c>
      <x:c r="U767" s="31" t="n">
        <x:f>MAX(S767/T767,T767/S767)</x:f>
        <x:v>2.2458626034207123</x:v>
      </x:c>
      <x:c r="V767" s="31" t="n">
        <x:f>L767*'Controls &amp; Summary'!$B$9+O767*'Controls &amp; Summary'!$B$10+R767*'Controls &amp; Summary'!$B$11+U767*'Controls &amp; Summary'!$B$12</x:f>
        <x:v>4.465862603420713</x:v>
      </x:c>
      <x:c r="W767" s="31" t="n">
        <x:v>3</x:v>
      </x:c>
      <x:c r="X767" s="31" t="n">
        <x:v>3</x:v>
      </x:c>
      <x:c r="Y767" s="31" t="n">
        <x:f>((10-MIN(10,MAX(0,X767)))/10)*'Controls &amp; Summary'!$B$15+((10-MIN(10,MAX(0,W767)))/10)*'Controls &amp; Summary'!$B$16</x:f>
        <x:v>1.4</x:v>
      </x:c>
      <x:c r="Z767" s="31" t="n">
        <x:f>V767*Y767</x:f>
        <x:v>6.252207644788998</x:v>
      </x:c>
      <x:c r="AA767" s="30" t="str">
        <x:f>IF(Z767&lt;=I767,"Peaceful","Hostile")</x:f>
        <x:v>Hostile</x:v>
      </x:c>
      <x:c r="AB767" s="30" t="str">
        <x:f>IF(Z767&lt;='Controls &amp; Summary'!$B$6,"Eligible","Blocked")</x:f>
        <x:v>Eligible</x:v>
      </x:c>
      <x:c r="AC767" s="30" t="str">
        <x:v>NGA</x:v>
      </x:c>
      <x:c r="AD767" s="30" t="str">
        <x:v>TGO</x:v>
      </x:c>
      <x:c r="AE767" s="30" t="str">
        <x:v>Togo</x:v>
      </x:c>
      <x:c r="AF767" s="30" t="str">
        <x:v>Explicit capitalClaim</x:v>
      </x:c>
      <x:c r="AG767" s="30" t="str">
        <x:v>ClaimNGATogo</x:v>
      </x:c>
      <x:c r="AH767" s="30" t="str">
        <x:v>Project_EastAfricanFederation</x:v>
      </x:c>
    </x:row>
    <x:row r="768">
      <x:c r="A768" s="30" t="str">
        <x:v>2022</x:v>
      </x:c>
      <x:c r="B768" s="30" t="str">
        <x:v>Base game</x:v>
      </x:c>
      <x:c r="C768" s="30" t="str">
        <x:v>North Korea</x:v>
      </x:c>
      <x:c r="D768" s="30" t="str">
        <x:v>South Korea</x:v>
      </x:c>
      <x:c r="E768" s="30" t="str">
        <x:v>Starting claim</x:v>
      </x:c>
      <x:c r="F768" s="30" t="str"/>
      <x:c r="G768" s="30" t="str">
        <x:v>Yes</x:v>
      </x:c>
      <x:c r="H768" s="30" t="str">
        <x:v>Approved bilateral grievance</x:v>
      </x:c>
      <x:c r="I768" s="31" t="n">
        <x:f>IF(G768="Yes",'Controls &amp; Summary'!$B$5,'Controls &amp; Summary'!$B$4)</x:f>
        <x:v>3</x:v>
      </x:c>
      <x:c r="J768" s="31" t="n">
        <x:v>1.08</x:v>
      </x:c>
      <x:c r="K768" s="31" t="n">
        <x:v>8.16</x:v>
      </x:c>
      <x:c r="L768" s="31" t="n">
        <x:f>ABS(J768-K768)</x:f>
        <x:v>7.08</x:v>
      </x:c>
      <x:c r="M768" s="31" t="n">
        <x:v>8.6</x:v>
      </x:c>
      <x:c r="N768" s="31" t="n">
        <x:v>3.14</x:v>
      </x:c>
      <x:c r="O768" s="31" t="n">
        <x:f>ABS(M768-N768)</x:f>
        <x:v>5.459999999999999</x:v>
      </x:c>
      <x:c r="P768" s="31" t="n">
        <x:v>4.85</x:v>
      </x:c>
      <x:c r="Q768" s="31" t="n">
        <x:v>8.65</x:v>
      </x:c>
      <x:c r="R768" s="31" t="n">
        <x:f>ABS(P768-Q768)</x:f>
        <x:v>3.8000000000000007</x:v>
      </x:c>
      <x:c r="S768" s="32" t="n">
        <x:v>6682.835129911699</x:v>
      </x:c>
      <x:c r="T768" s="32" t="n">
        <x:v>53292.32797696257</x:v>
      </x:c>
      <x:c r="U768" s="31" t="n">
        <x:f>MAX(S768/T768,T768/S768)</x:f>
        <x:v>7.97450886352582</x:v>
      </x:c>
      <x:c r="V768" s="31" t="n">
        <x:f>L768*'Controls &amp; Summary'!$B$9+O768*'Controls &amp; Summary'!$B$10+R768*'Controls &amp; Summary'!$B$11+U768*'Controls &amp; Summary'!$B$12</x:f>
        <x:v>24.31450886352582</x:v>
      </x:c>
      <x:c r="W768" s="31" t="n">
        <x:v>10</x:v>
      </x:c>
      <x:c r="X768" s="31" t="n">
        <x:v>1</x:v>
      </x:c>
      <x:c r="Y768" s="31" t="n">
        <x:f>((10-MIN(10,MAX(0,X768)))/10)*'Controls &amp; Summary'!$B$15+((10-MIN(10,MAX(0,W768)))/10)*'Controls &amp; Summary'!$B$16</x:f>
        <x:v>0.9</x:v>
      </x:c>
      <x:c r="Z768" s="31" t="n">
        <x:f>V768*Y768</x:f>
        <x:v>21.883057977173237</x:v>
      </x:c>
      <x:c r="AA768" s="30" t="str">
        <x:f>IF(Z768&lt;=I768,"Peaceful","Hostile")</x:f>
        <x:v>Hostile</x:v>
      </x:c>
      <x:c r="AB768" s="30" t="str">
        <x:f>IF(Z768&lt;='Controls &amp; Summary'!$B$6,"Eligible","Blocked")</x:f>
        <x:v>Blocked</x:v>
      </x:c>
      <x:c r="AC768" s="30" t="str">
        <x:v>PRK</x:v>
      </x:c>
      <x:c r="AD768" s="30" t="str">
        <x:v>KOR</x:v>
      </x:c>
      <x:c r="AE768" s="30" t="str">
        <x:v>SouthKorea</x:v>
      </x:c>
      <x:c r="AF768" s="30" t="str">
        <x:v>Explicit capitalClaim</x:v>
      </x:c>
      <x:c r="AG768" s="30" t="str">
        <x:v>ClaimPRKSouthKorea</x:v>
      </x:c>
      <x:c r="AH768" s="30" t="str"/>
    </x:row>
    <x:row r="769">
      <x:c r="A769" s="30" t="str">
        <x:v>2022</x:v>
      </x:c>
      <x:c r="B769" s="30" t="str">
        <x:v>Base game</x:v>
      </x:c>
      <x:c r="C769" s="30" t="str">
        <x:v>Palestine</x:v>
      </x:c>
      <x:c r="D769" s="30" t="str">
        <x:v>Israel</x:v>
      </x:c>
      <x:c r="E769" s="30" t="str">
        <x:v>Starting claim</x:v>
      </x:c>
      <x:c r="F769" s="30" t="str"/>
      <x:c r="G769" s="30" t="str">
        <x:v>Yes</x:v>
      </x:c>
      <x:c r="H769" s="30" t="str">
        <x:v>Template hostileClaim</x:v>
      </x:c>
      <x:c r="I769" s="31" t="n">
        <x:f>IF(G769="Yes",'Controls &amp; Summary'!$B$5,'Controls &amp; Summary'!$B$4)</x:f>
        <x:v>3</x:v>
      </x:c>
      <x:c r="J769" s="31" t="n">
        <x:v>3.94</x:v>
      </x:c>
      <x:c r="K769" s="31" t="n">
        <x:v>7.97</x:v>
      </x:c>
      <x:c r="L769" s="31" t="n">
        <x:f>ABS(J769-K769)</x:f>
        <x:v>4.029999999999999</x:v>
      </x:c>
      <x:c r="M769" s="31" t="n">
        <x:v>3.37</x:v>
      </x:c>
      <x:c r="N769" s="31" t="n">
        <x:v>3.86</x:v>
      </x:c>
      <x:c r="O769" s="31" t="n">
        <x:f>ABS(M769-N769)</x:f>
        <x:v>0.48999999999999977</x:v>
      </x:c>
      <x:c r="P769" s="31" t="n">
        <x:v>6.78</x:v>
      </x:c>
      <x:c r="Q769" s="31" t="n">
        <x:v>8.83</x:v>
      </x:c>
      <x:c r="R769" s="31" t="n">
        <x:f>ABS(P769-Q769)</x:f>
        <x:v>2.05</x:v>
      </x:c>
      <x:c r="S769" s="32" t="n">
        <x:v>5032.169109018014</x:v>
      </x:c>
      <x:c r="T769" s="32" t="n">
        <x:v>54234.14760449431</x:v>
      </x:c>
      <x:c r="U769" s="31" t="n">
        <x:f>MAX(S769/T769,T769/S769)</x:f>
        <x:v>10.77748907668917</x:v>
      </x:c>
      <x:c r="V769" s="31" t="n">
        <x:f>L769*'Controls &amp; Summary'!$B$9+O769*'Controls &amp; Summary'!$B$10+R769*'Controls &amp; Summary'!$B$11+U769*'Controls &amp; Summary'!$B$12</x:f>
        <x:v>17.34748907668917</x:v>
      </x:c>
      <x:c r="W769" s="31" t="n">
        <x:v>3</x:v>
      </x:c>
      <x:c r="X769" s="31" t="n">
        <x:v>3</x:v>
      </x:c>
      <x:c r="Y769" s="31" t="n">
        <x:f>((10-MIN(10,MAX(0,X769)))/10)*'Controls &amp; Summary'!$B$15+((10-MIN(10,MAX(0,W769)))/10)*'Controls &amp; Summary'!$B$16</x:f>
        <x:v>1.4</x:v>
      </x:c>
      <x:c r="Z769" s="31" t="n">
        <x:f>V769*Y769</x:f>
        <x:v>24.286484707364835</x:v>
      </x:c>
      <x:c r="AA769" s="30" t="str">
        <x:f>IF(Z769&lt;=I769,"Peaceful","Hostile")</x:f>
        <x:v>Hostile</x:v>
      </x:c>
      <x:c r="AB769" s="30" t="str">
        <x:f>IF(Z769&lt;='Controls &amp; Summary'!$B$6,"Eligible","Blocked")</x:f>
        <x:v>Blocked</x:v>
      </x:c>
      <x:c r="AC769" s="30" t="str">
        <x:v>PAL</x:v>
      </x:c>
      <x:c r="AD769" s="30" t="str">
        <x:v>ISR</x:v>
      </x:c>
      <x:c r="AE769" s="30" t="str">
        <x:v>Israel</x:v>
      </x:c>
      <x:c r="AF769" s="30" t="str">
        <x:v>Explicit capitalClaim</x:v>
      </x:c>
      <x:c r="AG769" s="30" t="str">
        <x:v>ClaimPALIsrael</x:v>
      </x:c>
      <x:c r="AH769" s="30" t="str"/>
    </x:row>
    <x:row r="770">
      <x:c r="A770" s="30" t="str">
        <x:v>2022</x:v>
      </x:c>
      <x:c r="B770" s="30" t="str">
        <x:v>Base game</x:v>
      </x:c>
      <x:c r="C770" s="30" t="str">
        <x:v>Peru</x:v>
      </x:c>
      <x:c r="D770" s="30" t="str">
        <x:v>Bolivia</x:v>
      </x:c>
      <x:c r="E770" s="30" t="str">
        <x:v>Project unlock</x:v>
      </x:c>
      <x:c r="F770" s="30" t="str">
        <x:v>South American Confederations</x:v>
      </x:c>
      <x:c r="G770" s="30" t="str">
        <x:v>No</x:v>
      </x:c>
      <x:c r="H770" s="30" t="str">
        <x:v>Ordinary claim</x:v>
      </x:c>
      <x:c r="I770" s="31" t="n">
        <x:f>IF(G770="Yes",'Controls &amp; Summary'!$B$5,'Controls &amp; Summary'!$B$4)</x:f>
        <x:v>6</x:v>
      </x:c>
      <x:c r="J770" s="31" t="n">
        <x:v>6.09</x:v>
      </x:c>
      <x:c r="K770" s="31" t="n">
        <x:v>4.65</x:v>
      </x:c>
      <x:c r="L770" s="31" t="n">
        <x:f>ABS(J770-K770)</x:f>
        <x:v>1.4399999999999995</x:v>
      </x:c>
      <x:c r="M770" s="31" t="n">
        <x:v>4.38</x:v>
      </x:c>
      <x:c r="N770" s="31" t="n">
        <x:v>4.36</x:v>
      </x:c>
      <x:c r="O770" s="31" t="n">
        <x:f>ABS(M770-N770)</x:f>
        <x:v>0.019999999999999574</x:v>
      </x:c>
      <x:c r="P770" s="31" t="n">
        <x:v>7.4</x:v>
      </x:c>
      <x:c r="Q770" s="31" t="n">
        <x:v>6.95</x:v>
      </x:c>
      <x:c r="R770" s="31" t="n">
        <x:f>ABS(P770-Q770)</x:f>
        <x:v>0.4500000000000002</x:v>
      </x:c>
      <x:c r="S770" s="32" t="n">
        <x:v>13382.935372824697</x:v>
      </x:c>
      <x:c r="T770" s="32" t="n">
        <x:v>8613.914112629514</x:v>
      </x:c>
      <x:c r="U770" s="31" t="n">
        <x:f>MAX(S770/T770,T770/S770)</x:f>
        <x:v>1.553641607965763</x:v>
      </x:c>
      <x:c r="V770" s="31" t="n">
        <x:f>L770*'Controls &amp; Summary'!$B$9+O770*'Controls &amp; Summary'!$B$10+R770*'Controls &amp; Summary'!$B$11+U770*'Controls &amp; Summary'!$B$12</x:f>
        <x:v>3.463641607965762</x:v>
      </x:c>
      <x:c r="W770" s="31" t="n">
        <x:v>4</x:v>
      </x:c>
      <x:c r="X770" s="31" t="n">
        <x:v>3</x:v>
      </x:c>
      <x:c r="Y770" s="31" t="n">
        <x:f>((10-MIN(10,MAX(0,X770)))/10)*'Controls &amp; Summary'!$B$15+((10-MIN(10,MAX(0,W770)))/10)*'Controls &amp; Summary'!$B$16</x:f>
        <x:v>1.2999999999999998</x:v>
      </x:c>
      <x:c r="Z770" s="31" t="n">
        <x:f>V770*Y770</x:f>
        <x:v>4.50273409035549</x:v>
      </x:c>
      <x:c r="AA770" s="30" t="str">
        <x:f>IF(Z770&lt;=I770,"Peaceful","Hostile")</x:f>
        <x:v>Peaceful</x:v>
      </x:c>
      <x:c r="AB770" s="30" t="str">
        <x:f>IF(Z770&lt;='Controls &amp; Summary'!$B$6,"Eligible","Blocked")</x:f>
        <x:v>Eligible</x:v>
      </x:c>
      <x:c r="AC770" s="30" t="str">
        <x:v>PER</x:v>
      </x:c>
      <x:c r="AD770" s="30" t="str">
        <x:v>BOL</x:v>
      </x:c>
      <x:c r="AE770" s="30" t="str">
        <x:v>Bolivia</x:v>
      </x:c>
      <x:c r="AF770" s="30" t="str">
        <x:v>Explicit capitalClaim</x:v>
      </x:c>
      <x:c r="AG770" s="30" t="str">
        <x:v>ClaimPERBolivia</x:v>
      </x:c>
      <x:c r="AH770" s="30" t="str">
        <x:v>Project_GranColombia</x:v>
      </x:c>
    </x:row>
    <x:row r="771">
      <x:c r="A771" s="30" t="str">
        <x:v>2022</x:v>
      </x:c>
      <x:c r="B771" s="30" t="str">
        <x:v>Base game</x:v>
      </x:c>
      <x:c r="C771" s="30" t="str">
        <x:v>Peru</x:v>
      </x:c>
      <x:c r="D771" s="30" t="str">
        <x:v>Paraguay</x:v>
      </x:c>
      <x:c r="E771" s="30" t="str">
        <x:v>Project unlock</x:v>
      </x:c>
      <x:c r="F771" s="30" t="str">
        <x:v>South American Confederations</x:v>
      </x:c>
      <x:c r="G771" s="30" t="str">
        <x:v>No</x:v>
      </x:c>
      <x:c r="H771" s="30" t="str">
        <x:v>Ordinary claim</x:v>
      </x:c>
      <x:c r="I771" s="31" t="n">
        <x:f>IF(G771="Yes",'Controls &amp; Summary'!$B$5,'Controls &amp; Summary'!$B$4)</x:f>
        <x:v>6</x:v>
      </x:c>
      <x:c r="J771" s="31" t="n">
        <x:v>6.09</x:v>
      </x:c>
      <x:c r="K771" s="31" t="n">
        <x:v>5.86</x:v>
      </x:c>
      <x:c r="L771" s="31" t="n">
        <x:f>ABS(J771-K771)</x:f>
        <x:v>0.22999999999999954</x:v>
      </x:c>
      <x:c r="M771" s="31" t="n">
        <x:v>4.38</x:v>
      </x:c>
      <x:c r="N771" s="31" t="n">
        <x:v>4.35</x:v>
      </x:c>
      <x:c r="O771" s="31" t="n">
        <x:f>ABS(M771-N771)</x:f>
        <x:v>0.03000000000000025</x:v>
      </x:c>
      <x:c r="P771" s="31" t="n">
        <x:v>7.4</x:v>
      </x:c>
      <x:c r="Q771" s="31" t="n">
        <x:v>6.38</x:v>
      </x:c>
      <x:c r="R771" s="31" t="n">
        <x:f>ABS(P771-Q771)</x:f>
        <x:v>1.0200000000000005</x:v>
      </x:c>
      <x:c r="S771" s="32" t="n">
        <x:v>13382.935372824697</x:v>
      </x:c>
      <x:c r="T771" s="32" t="n">
        <x:v>12907.985540489528</x:v>
      </x:c>
      <x:c r="U771" s="31" t="n">
        <x:f>MAX(S771/T771,T771/S771)</x:f>
        <x:v>1.0367950390744827</x:v>
      </x:c>
      <x:c r="V771" s="31" t="n">
        <x:f>L771*'Controls &amp; Summary'!$B$9+O771*'Controls &amp; Summary'!$B$10+R771*'Controls &amp; Summary'!$B$11+U771*'Controls &amp; Summary'!$B$12</x:f>
        <x:v>2.316795039074483</x:v>
      </x:c>
      <x:c r="W771" s="31" t="n">
        <x:v>4</x:v>
      </x:c>
      <x:c r="X771" s="31" t="n">
        <x:v>0</x:v>
      </x:c>
      <x:c r="Y771" s="31" t="n">
        <x:f>((10-MIN(10,MAX(0,X771)))/10)*'Controls &amp; Summary'!$B$15+((10-MIN(10,MAX(0,W771)))/10)*'Controls &amp; Summary'!$B$16</x:f>
        <x:v>1.6</x:v>
      </x:c>
      <x:c r="Z771" s="31" t="n">
        <x:f>V771*Y771</x:f>
        <x:v>3.706872062519173</x:v>
      </x:c>
      <x:c r="AA771" s="30" t="str">
        <x:f>IF(Z771&lt;=I771,"Peaceful","Hostile")</x:f>
        <x:v>Peaceful</x:v>
      </x:c>
      <x:c r="AB771" s="30" t="str">
        <x:f>IF(Z771&lt;='Controls &amp; Summary'!$B$6,"Eligible","Blocked")</x:f>
        <x:v>Eligible</x:v>
      </x:c>
      <x:c r="AC771" s="30" t="str">
        <x:v>PER</x:v>
      </x:c>
      <x:c r="AD771" s="30" t="str">
        <x:v>PRY</x:v>
      </x:c>
      <x:c r="AE771" s="30" t="str">
        <x:v>Paraguay</x:v>
      </x:c>
      <x:c r="AF771" s="30" t="str">
        <x:v>Explicit capitalClaim</x:v>
      </x:c>
      <x:c r="AG771" s="30" t="str">
        <x:v>ClaimPERParaguay</x:v>
      </x:c>
      <x:c r="AH771" s="30" t="str">
        <x:v>Project_GranColombia</x:v>
      </x:c>
    </x:row>
    <x:row r="772">
      <x:c r="A772" s="30" t="str">
        <x:v>2022</x:v>
      </x:c>
      <x:c r="B772" s="30" t="str">
        <x:v>Base game</x:v>
      </x:c>
      <x:c r="C772" s="30" t="str">
        <x:v>Poland</x:v>
      </x:c>
      <x:c r="D772" s="30" t="str">
        <x:v>Albania</x:v>
      </x:c>
      <x:c r="E772" s="30" t="str">
        <x:v>Project unlock</x:v>
      </x:c>
      <x:c r="F772" s="30" t="str">
        <x:v>Slavic Commonwealth</x:v>
      </x:c>
      <x:c r="G772" s="30" t="str">
        <x:v>No</x:v>
      </x:c>
      <x:c r="H772" s="30" t="str">
        <x:v>Ordinary claim</x:v>
      </x:c>
      <x:c r="I772" s="31" t="n">
        <x:f>IF(G772="Yes",'Controls &amp; Summary'!$B$5,'Controls &amp; Summary'!$B$4)</x:f>
        <x:v>6</x:v>
      </x:c>
      <x:c r="J772" s="31" t="n">
        <x:v>6.8</x:v>
      </x:c>
      <x:c r="K772" s="31" t="n">
        <x:v>6.11</x:v>
      </x:c>
      <x:c r="L772" s="31" t="n">
        <x:f>ABS(J772-K772)</x:f>
        <x:v>0.6899999999999995</x:v>
      </x:c>
      <x:c r="M772" s="31" t="n">
        <x:v>3.02</x:v>
      </x:c>
      <x:c r="N772" s="31" t="n">
        <x:v>3.08</x:v>
      </x:c>
      <x:c r="O772" s="31" t="n">
        <x:f>ABS(M772-N772)</x:f>
        <x:v>0.06000000000000005</x:v>
      </x:c>
      <x:c r="P772" s="31" t="n">
        <x:v>8.69</x:v>
      </x:c>
      <x:c r="Q772" s="31" t="n">
        <x:v>7.46</x:v>
      </x:c>
      <x:c r="R772" s="31" t="n">
        <x:f>ABS(P772-Q772)</x:f>
        <x:v>1.2299999999999995</x:v>
      </x:c>
      <x:c r="S772" s="32" t="n">
        <x:v>36759.35175540062</x:v>
      </x:c>
      <x:c r="T772" s="32" t="n">
        <x:v>15308.058559743784</x:v>
      </x:c>
      <x:c r="U772" s="31" t="n">
        <x:f>MAX(S772/T772,T772/S772)</x:f>
        <x:v>2.4013072338296486</x:v>
      </x:c>
      <x:c r="V772" s="31" t="n">
        <x:f>L772*'Controls &amp; Summary'!$B$9+O772*'Controls &amp; Summary'!$B$10+R772*'Controls &amp; Summary'!$B$11+U772*'Controls &amp; Summary'!$B$12</x:f>
        <x:v>4.381307233829648</x:v>
      </x:c>
      <x:c r="W772" s="31" t="n">
        <x:v>7</x:v>
      </x:c>
      <x:c r="X772" s="31" t="n">
        <x:v>2</x:v>
      </x:c>
      <x:c r="Y772" s="31" t="n">
        <x:f>((10-MIN(10,MAX(0,X772)))/10)*'Controls &amp; Summary'!$B$15+((10-MIN(10,MAX(0,W772)))/10)*'Controls &amp; Summary'!$B$16</x:f>
        <x:v>1.1</x:v>
      </x:c>
      <x:c r="Z772" s="31" t="n">
        <x:f>V772*Y772</x:f>
        <x:v>4.819437957212613</x:v>
      </x:c>
      <x:c r="AA772" s="30" t="str">
        <x:f>IF(Z772&lt;=I772,"Peaceful","Hostile")</x:f>
        <x:v>Peaceful</x:v>
      </x:c>
      <x:c r="AB772" s="30" t="str">
        <x:f>IF(Z772&lt;='Controls &amp; Summary'!$B$6,"Eligible","Blocked")</x:f>
        <x:v>Eligible</x:v>
      </x:c>
      <x:c r="AC772" s="30" t="str">
        <x:v>POL</x:v>
      </x:c>
      <x:c r="AD772" s="30" t="str">
        <x:v>SBK</x:v>
      </x:c>
      <x:c r="AE772" s="30" t="str">
        <x:v>Tirana</x:v>
      </x:c>
      <x:c r="AF772" s="30" t="str">
        <x:v>Explicit capitalClaim</x:v>
      </x:c>
      <x:c r="AG772" s="30" t="str">
        <x:v>ClaimPOLTirana</x:v>
      </x:c>
      <x:c r="AH772" s="30" t="str">
        <x:v>Project_SlavicCommonwealth</x:v>
      </x:c>
    </x:row>
    <x:row r="773">
      <x:c r="A773" s="30" t="str">
        <x:v>2022</x:v>
      </x:c>
      <x:c r="B773" s="30" t="str">
        <x:v>Base game</x:v>
      </x:c>
      <x:c r="C773" s="30" t="str">
        <x:v>Poland</x:v>
      </x:c>
      <x:c r="D773" s="30" t="str">
        <x:v>Belarus</x:v>
      </x:c>
      <x:c r="E773" s="30" t="str">
        <x:v>Project unlock</x:v>
      </x:c>
      <x:c r="F773" s="30" t="str">
        <x:v>Slavic Commonwealth</x:v>
      </x:c>
      <x:c r="G773" s="30" t="str">
        <x:v>No</x:v>
      </x:c>
      <x:c r="H773" s="30" t="str">
        <x:v>Ordinary claim</x:v>
      </x:c>
      <x:c r="I773" s="31" t="n">
        <x:f>IF(G773="Yes",'Controls &amp; Summary'!$B$5,'Controls &amp; Summary'!$B$4)</x:f>
        <x:v>6</x:v>
      </x:c>
      <x:c r="J773" s="31" t="n">
        <x:v>6.8</x:v>
      </x:c>
      <x:c r="K773" s="31" t="n">
        <x:v>2.41</x:v>
      </x:c>
      <x:c r="L773" s="31" t="n">
        <x:f>ABS(J773-K773)</x:f>
        <x:v>4.39</x:v>
      </x:c>
      <x:c r="M773" s="31" t="n">
        <x:v>3.02</x:v>
      </x:c>
      <x:c r="N773" s="31" t="n">
        <x:v>2.44</x:v>
      </x:c>
      <x:c r="O773" s="31" t="n">
        <x:f>ABS(M773-N773)</x:f>
        <x:v>0.5800000000000001</x:v>
      </x:c>
      <x:c r="P773" s="31" t="n">
        <x:v>8.69</x:v>
      </x:c>
      <x:c r="Q773" s="31" t="n">
        <x:v>8.38</x:v>
      </x:c>
      <x:c r="R773" s="31" t="n">
        <x:f>ABS(P773-Q773)</x:f>
        <x:v>0.3099999999999987</x:v>
      </x:c>
      <x:c r="S773" s="32" t="n">
        <x:v>36759.35175540062</x:v>
      </x:c>
      <x:c r="T773" s="32" t="n">
        <x:v>18827.984500563976</x:v>
      </x:c>
      <x:c r="U773" s="31" t="n">
        <x:f>MAX(S773/T773,T773/S773)</x:f>
        <x:v>1.952378479719883</x:v>
      </x:c>
      <x:c r="V773" s="31" t="n">
        <x:f>L773*'Controls &amp; Summary'!$B$9+O773*'Controls &amp; Summary'!$B$10+R773*'Controls &amp; Summary'!$B$11+U773*'Controls &amp; Summary'!$B$12</x:f>
        <x:v>7.232378479719881</x:v>
      </x:c>
      <x:c r="W773" s="31" t="n">
        <x:v>7</x:v>
      </x:c>
      <x:c r="X773" s="31" t="n">
        <x:v>3</x:v>
      </x:c>
      <x:c r="Y773" s="31" t="n">
        <x:f>((10-MIN(10,MAX(0,X773)))/10)*'Controls &amp; Summary'!$B$15+((10-MIN(10,MAX(0,W773)))/10)*'Controls &amp; Summary'!$B$16</x:f>
        <x:v>1</x:v>
      </x:c>
      <x:c r="Z773" s="31" t="n">
        <x:f>V773*Y773</x:f>
        <x:v>7.232378479719881</x:v>
      </x:c>
      <x:c r="AA773" s="30" t="str">
        <x:f>IF(Z773&lt;=I773,"Peaceful","Hostile")</x:f>
        <x:v>Hostile</x:v>
      </x:c>
      <x:c r="AB773" s="30" t="str">
        <x:f>IF(Z773&lt;='Controls &amp; Summary'!$B$6,"Eligible","Blocked")</x:f>
        <x:v>Eligible</x:v>
      </x:c>
      <x:c r="AC773" s="30" t="str">
        <x:v>POL</x:v>
      </x:c>
      <x:c r="AD773" s="30" t="str">
        <x:v>BLR</x:v>
      </x:c>
      <x:c r="AE773" s="30" t="str">
        <x:v>Belarus</x:v>
      </x:c>
      <x:c r="AF773" s="30" t="str">
        <x:v>Explicit capitalClaim</x:v>
      </x:c>
      <x:c r="AG773" s="30" t="str">
        <x:v>ClaimPOLBelarus</x:v>
      </x:c>
      <x:c r="AH773" s="30" t="str">
        <x:v>Project_SlavicCommonwealth</x:v>
      </x:c>
    </x:row>
    <x:row r="774">
      <x:c r="A774" s="30" t="str">
        <x:v>2022</x:v>
      </x:c>
      <x:c r="B774" s="30" t="str">
        <x:v>Base game</x:v>
      </x:c>
      <x:c r="C774" s="30" t="str">
        <x:v>Poland</x:v>
      </x:c>
      <x:c r="D774" s="30" t="str">
        <x:v>Bosnia and Herzegovina</x:v>
      </x:c>
      <x:c r="E774" s="30" t="str">
        <x:v>Project unlock</x:v>
      </x:c>
      <x:c r="F774" s="30" t="str">
        <x:v>Slavic Commonwealth</x:v>
      </x:c>
      <x:c r="G774" s="30" t="str">
        <x:v>No</x:v>
      </x:c>
      <x:c r="H774" s="30" t="str">
        <x:v>Ordinary claim</x:v>
      </x:c>
      <x:c r="I774" s="31" t="n">
        <x:f>IF(G774="Yes",'Controls &amp; Summary'!$B$5,'Controls &amp; Summary'!$B$4)</x:f>
        <x:v>6</x:v>
      </x:c>
      <x:c r="J774" s="31" t="n">
        <x:v>6.8</x:v>
      </x:c>
      <x:c r="K774" s="31" t="n">
        <x:v>5.04</x:v>
      </x:c>
      <x:c r="L774" s="31" t="n">
        <x:f>ABS(J774-K774)</x:f>
        <x:v>1.7599999999999998</x:v>
      </x:c>
      <x:c r="M774" s="31" t="n">
        <x:v>3.02</x:v>
      </x:c>
      <x:c r="N774" s="31" t="n">
        <x:v>3.3</x:v>
      </x:c>
      <x:c r="O774" s="31" t="n">
        <x:f>ABS(M774-N774)</x:f>
        <x:v>0.2799999999999998</x:v>
      </x:c>
      <x:c r="P774" s="31" t="n">
        <x:v>8.69</x:v>
      </x:c>
      <x:c r="Q774" s="31" t="n">
        <x:v>7.11</x:v>
      </x:c>
      <x:c r="R774" s="31" t="n">
        <x:f>ABS(P774-Q774)</x:f>
        <x:v>1.5799999999999992</x:v>
      </x:c>
      <x:c r="S774" s="32" t="n">
        <x:v>36759.35175540062</x:v>
      </x:c>
      <x:c r="T774" s="32" t="n">
        <x:v>16451.920111445263</x:v>
      </x:c>
      <x:c r="U774" s="31" t="n">
        <x:f>MAX(S774/T774,T774/S774)</x:f>
        <x:v>2.234350246438888</x:v>
      </x:c>
      <x:c r="V774" s="31" t="n">
        <x:f>L774*'Controls &amp; Summary'!$B$9+O774*'Controls &amp; Summary'!$B$10+R774*'Controls &amp; Summary'!$B$11+U774*'Controls &amp; Summary'!$B$12</x:f>
        <x:v>5.854350246438887</x:v>
      </x:c>
      <x:c r="W774" s="31" t="n">
        <x:v>7</x:v>
      </x:c>
      <x:c r="X774" s="31" t="n">
        <x:v>2</x:v>
      </x:c>
      <x:c r="Y774" s="31" t="n">
        <x:f>((10-MIN(10,MAX(0,X774)))/10)*'Controls &amp; Summary'!$B$15+((10-MIN(10,MAX(0,W774)))/10)*'Controls &amp; Summary'!$B$16</x:f>
        <x:v>1.1</x:v>
      </x:c>
      <x:c r="Z774" s="31" t="n">
        <x:f>V774*Y774</x:f>
        <x:v>6.439785271082776</x:v>
      </x:c>
      <x:c r="AA774" s="30" t="str">
        <x:f>IF(Z774&lt;=I774,"Peaceful","Hostile")</x:f>
        <x:v>Hostile</x:v>
      </x:c>
      <x:c r="AB774" s="30" t="str">
        <x:f>IF(Z774&lt;='Controls &amp; Summary'!$B$6,"Eligible","Blocked")</x:f>
        <x:v>Eligible</x:v>
      </x:c>
      <x:c r="AC774" s="30" t="str">
        <x:v>POL</x:v>
      </x:c>
      <x:c r="AD774" s="30" t="str">
        <x:v>BSM</x:v>
      </x:c>
      <x:c r="AE774" s="30" t="str">
        <x:v>Sarajevo</x:v>
      </x:c>
      <x:c r="AF774" s="30" t="str">
        <x:v>Explicit capitalClaim</x:v>
      </x:c>
      <x:c r="AG774" s="30" t="str">
        <x:v>ClaimPOLSarajevo</x:v>
      </x:c>
      <x:c r="AH774" s="30" t="str">
        <x:v>Project_SlavicCommonwealth</x:v>
      </x:c>
    </x:row>
    <x:row r="775">
      <x:c r="A775" s="30" t="str">
        <x:v>2022</x:v>
      </x:c>
      <x:c r="B775" s="30" t="str">
        <x:v>Base game</x:v>
      </x:c>
      <x:c r="C775" s="30" t="str">
        <x:v>Poland</x:v>
      </x:c>
      <x:c r="D775" s="30" t="str">
        <x:v>Bulgaria</x:v>
      </x:c>
      <x:c r="E775" s="30" t="str">
        <x:v>Project unlock</x:v>
      </x:c>
      <x:c r="F775" s="30" t="str">
        <x:v>Slavic Commonwealth</x:v>
      </x:c>
      <x:c r="G775" s="30" t="str">
        <x:v>No</x:v>
      </x:c>
      <x:c r="H775" s="30" t="str">
        <x:v>Ordinary claim</x:v>
      </x:c>
      <x:c r="I775" s="31" t="n">
        <x:f>IF(G775="Yes",'Controls &amp; Summary'!$B$5,'Controls &amp; Summary'!$B$4)</x:f>
        <x:v>6</x:v>
      </x:c>
      <x:c r="J775" s="31" t="n">
        <x:v>6.8</x:v>
      </x:c>
      <x:c r="K775" s="31" t="n">
        <x:v>6.64</x:v>
      </x:c>
      <x:c r="L775" s="31" t="n">
        <x:f>ABS(J775-K775)</x:f>
        <x:v>0.16000000000000014</x:v>
      </x:c>
      <x:c r="M775" s="31" t="n">
        <x:v>3.02</x:v>
      </x:c>
      <x:c r="N775" s="31" t="n">
        <x:v>4.03</x:v>
      </x:c>
      <x:c r="O775" s="31" t="n">
        <x:f>ABS(M775-N775)</x:f>
        <x:v>1.0100000000000002</x:v>
      </x:c>
      <x:c r="P775" s="31" t="n">
        <x:v>8.69</x:v>
      </x:c>
      <x:c r="Q775" s="31" t="n">
        <x:v>7.79</x:v>
      </x:c>
      <x:c r="R775" s="31" t="n">
        <x:f>ABS(P775-Q775)</x:f>
        <x:v>0.8999999999999995</x:v>
      </x:c>
      <x:c r="S775" s="32" t="n">
        <x:v>36759.35175540062</x:v>
      </x:c>
      <x:c r="T775" s="32" t="n">
        <x:v>28613.103755656426</x:v>
      </x:c>
      <x:c r="U775" s="31" t="n">
        <x:f>MAX(S775/T775,T775/S775)</x:f>
        <x:v>1.2847034026545892</x:v>
      </x:c>
      <x:c r="V775" s="31" t="n">
        <x:f>L775*'Controls &amp; Summary'!$B$9+O775*'Controls &amp; Summary'!$B$10+R775*'Controls &amp; Summary'!$B$11+U775*'Controls &amp; Summary'!$B$12</x:f>
        <x:v>3.354703402654589</x:v>
      </x:c>
      <x:c r="W775" s="31" t="n">
        <x:v>7</x:v>
      </x:c>
      <x:c r="X775" s="31" t="n">
        <x:v>1</x:v>
      </x:c>
      <x:c r="Y775" s="31" t="n">
        <x:f>((10-MIN(10,MAX(0,X775)))/10)*'Controls &amp; Summary'!$B$15+((10-MIN(10,MAX(0,W775)))/10)*'Controls &amp; Summary'!$B$16</x:f>
        <x:v>1.2</x:v>
      </x:c>
      <x:c r="Z775" s="31" t="n">
        <x:f>V775*Y775</x:f>
        <x:v>4.025644083185506</x:v>
      </x:c>
      <x:c r="AA775" s="30" t="str">
        <x:f>IF(Z775&lt;=I775,"Peaceful","Hostile")</x:f>
        <x:v>Peaceful</x:v>
      </x:c>
      <x:c r="AB775" s="30" t="str">
        <x:f>IF(Z775&lt;='Controls &amp; Summary'!$B$6,"Eligible","Blocked")</x:f>
        <x:v>Eligible</x:v>
      </x:c>
      <x:c r="AC775" s="30" t="str">
        <x:v>POL</x:v>
      </x:c>
      <x:c r="AD775" s="30" t="str">
        <x:v>BUL</x:v>
      </x:c>
      <x:c r="AE775" s="30" t="str">
        <x:v>Bulgaria</x:v>
      </x:c>
      <x:c r="AF775" s="30" t="str">
        <x:v>Explicit capitalClaim</x:v>
      </x:c>
      <x:c r="AG775" s="30" t="str">
        <x:v>ClaimPOLBulgaria</x:v>
      </x:c>
      <x:c r="AH775" s="30" t="str">
        <x:v>Project_SlavicCommonwealth</x:v>
      </x:c>
    </x:row>
    <x:row r="776">
      <x:c r="A776" s="30" t="str">
        <x:v>2022</x:v>
      </x:c>
      <x:c r="B776" s="30" t="str">
        <x:v>Base game</x:v>
      </x:c>
      <x:c r="C776" s="30" t="str">
        <x:v>Poland</x:v>
      </x:c>
      <x:c r="D776" s="30" t="str">
        <x:v>Croatia</x:v>
      </x:c>
      <x:c r="E776" s="30" t="str">
        <x:v>Project unlock</x:v>
      </x:c>
      <x:c r="F776" s="30" t="str">
        <x:v>Slavic Commonwealth</x:v>
      </x:c>
      <x:c r="G776" s="30" t="str">
        <x:v>No</x:v>
      </x:c>
      <x:c r="H776" s="30" t="str">
        <x:v>Ordinary claim</x:v>
      </x:c>
      <x:c r="I776" s="31" t="n">
        <x:f>IF(G776="Yes",'Controls &amp; Summary'!$B$5,'Controls &amp; Summary'!$B$4)</x:f>
        <x:v>6</x:v>
      </x:c>
      <x:c r="J776" s="31" t="n">
        <x:v>6.8</x:v>
      </x:c>
      <x:c r="K776" s="31" t="n">
        <x:v>6.5</x:v>
      </x:c>
      <x:c r="L776" s="31" t="n">
        <x:f>ABS(J776-K776)</x:f>
        <x:v>0.2999999999999998</x:v>
      </x:c>
      <x:c r="M776" s="31" t="n">
        <x:v>3.02</x:v>
      </x:c>
      <x:c r="N776" s="31" t="n">
        <x:v>2.89</x:v>
      </x:c>
      <x:c r="O776" s="31" t="n">
        <x:f>ABS(M776-N776)</x:f>
        <x:v>0.1299999999999999</x:v>
      </x:c>
      <x:c r="P776" s="31" t="n">
        <x:v>8.69</x:v>
      </x:c>
      <x:c r="Q776" s="31" t="n">
        <x:v>8.05</x:v>
      </x:c>
      <x:c r="R776" s="31" t="n">
        <x:f>ABS(P776-Q776)</x:f>
        <x:v>0.6399999999999988</x:v>
      </x:c>
      <x:c r="S776" s="32" t="n">
        <x:v>36759.35175540062</x:v>
      </x:c>
      <x:c r="T776" s="32" t="n">
        <x:v>31492.93156945166</x:v>
      </x:c>
      <x:c r="U776" s="31" t="n">
        <x:f>MAX(S776/T776,T776/S776)</x:f>
        <x:v>1.1672254669062763</x:v>
      </x:c>
      <x:c r="V776" s="31" t="n">
        <x:f>L776*'Controls &amp; Summary'!$B$9+O776*'Controls &amp; Summary'!$B$10+R776*'Controls &amp; Summary'!$B$11+U776*'Controls &amp; Summary'!$B$12</x:f>
        <x:v>2.237225466906275</x:v>
      </x:c>
      <x:c r="W776" s="31" t="n">
        <x:v>7</x:v>
      </x:c>
      <x:c r="X776" s="31" t="n">
        <x:v>1</x:v>
      </x:c>
      <x:c r="Y776" s="31" t="n">
        <x:f>((10-MIN(10,MAX(0,X776)))/10)*'Controls &amp; Summary'!$B$15+((10-MIN(10,MAX(0,W776)))/10)*'Controls &amp; Summary'!$B$16</x:f>
        <x:v>1.2</x:v>
      </x:c>
      <x:c r="Z776" s="31" t="n">
        <x:f>V776*Y776</x:f>
        <x:v>2.68467056028753</x:v>
      </x:c>
      <x:c r="AA776" s="30" t="str">
        <x:f>IF(Z776&lt;=I776,"Peaceful","Hostile")</x:f>
        <x:v>Peaceful</x:v>
      </x:c>
      <x:c r="AB776" s="30" t="str">
        <x:f>IF(Z776&lt;='Controls &amp; Summary'!$B$6,"Eligible","Blocked")</x:f>
        <x:v>Eligible</x:v>
      </x:c>
      <x:c r="AC776" s="30" t="str">
        <x:v>POL</x:v>
      </x:c>
      <x:c r="AD776" s="30" t="str">
        <x:v>CRS</x:v>
      </x:c>
      <x:c r="AE776" s="30" t="str">
        <x:v>Zagreb</x:v>
      </x:c>
      <x:c r="AF776" s="30" t="str">
        <x:v>Explicit capitalClaim</x:v>
      </x:c>
      <x:c r="AG776" s="30" t="str">
        <x:v>ClaimPOLZagreb</x:v>
      </x:c>
      <x:c r="AH776" s="30" t="str">
        <x:v>Project_SlavicCommonwealth</x:v>
      </x:c>
    </x:row>
    <x:row r="777">
      <x:c r="A777" s="30" t="str">
        <x:v>2022</x:v>
      </x:c>
      <x:c r="B777" s="30" t="str">
        <x:v>Base game</x:v>
      </x:c>
      <x:c r="C777" s="30" t="str">
        <x:v>Poland</x:v>
      </x:c>
      <x:c r="D777" s="30" t="str">
        <x:v>Czechia</x:v>
      </x:c>
      <x:c r="E777" s="30" t="str">
        <x:v>Project unlock</x:v>
      </x:c>
      <x:c r="F777" s="30" t="str">
        <x:v>Slavic Commonwealth</x:v>
      </x:c>
      <x:c r="G777" s="30" t="str">
        <x:v>No</x:v>
      </x:c>
      <x:c r="H777" s="30" t="str">
        <x:v>Ordinary claim</x:v>
      </x:c>
      <x:c r="I777" s="31" t="n">
        <x:f>IF(G777="Yes",'Controls &amp; Summary'!$B$5,'Controls &amp; Summary'!$B$4)</x:f>
        <x:v>6</x:v>
      </x:c>
      <x:c r="J777" s="31" t="n">
        <x:v>6.8</x:v>
      </x:c>
      <x:c r="K777" s="31" t="n">
        <x:v>7.74</x:v>
      </x:c>
      <x:c r="L777" s="31" t="n">
        <x:f>ABS(J777-K777)</x:f>
        <x:v>0.9400000000000004</x:v>
      </x:c>
      <x:c r="M777" s="31" t="n">
        <x:v>3.02</x:v>
      </x:c>
      <x:c r="N777" s="31" t="n">
        <x:v>2.53</x:v>
      </x:c>
      <x:c r="O777" s="31" t="n">
        <x:f>ABS(M777-N777)</x:f>
        <x:v>0.4900000000000002</x:v>
      </x:c>
      <x:c r="P777" s="31" t="n">
        <x:v>8.69</x:v>
      </x:c>
      <x:c r="Q777" s="31" t="n">
        <x:v>8.9</x:v>
      </x:c>
      <x:c r="R777" s="31" t="n">
        <x:f>ABS(P777-Q777)</x:f>
        <x:v>0.21000000000000085</x:v>
      </x:c>
      <x:c r="S777" s="32" t="n">
        <x:v>36759.35175540062</x:v>
      </x:c>
      <x:c r="T777" s="32" t="n">
        <x:v>41782.2673233449</x:v>
      </x:c>
      <x:c r="U777" s="31" t="n">
        <x:f>MAX(S777/T777,T777/S777)</x:f>
        <x:v>1.136643203105624</x:v>
      </x:c>
      <x:c r="V777" s="31" t="n">
        <x:f>L777*'Controls &amp; Summary'!$B$9+O777*'Controls &amp; Summary'!$B$10+R777*'Controls &amp; Summary'!$B$11+U777*'Controls &amp; Summary'!$B$12</x:f>
        <x:v>2.7766432031056256</x:v>
      </x:c>
      <x:c r="W777" s="31" t="n">
        <x:v>7</x:v>
      </x:c>
      <x:c r="X777" s="31" t="n">
        <x:v>0</x:v>
      </x:c>
      <x:c r="Y777" s="31" t="n">
        <x:f>((10-MIN(10,MAX(0,X777)))/10)*'Controls &amp; Summary'!$B$15+((10-MIN(10,MAX(0,W777)))/10)*'Controls &amp; Summary'!$B$16</x:f>
        <x:v>1.3</x:v>
      </x:c>
      <x:c r="Z777" s="31" t="n">
        <x:f>V777*Y777</x:f>
        <x:v>3.6096361640373136</x:v>
      </x:c>
      <x:c r="AA777" s="30" t="str">
        <x:f>IF(Z777&lt;=I777,"Peaceful","Hostile")</x:f>
        <x:v>Peaceful</x:v>
      </x:c>
      <x:c r="AB777" s="30" t="str">
        <x:f>IF(Z777&lt;='Controls &amp; Summary'!$B$6,"Eligible","Blocked")</x:f>
        <x:v>Eligible</x:v>
      </x:c>
      <x:c r="AC777" s="30" t="str">
        <x:v>POL</x:v>
      </x:c>
      <x:c r="AD777" s="30" t="str">
        <x:v>CZE</x:v>
      </x:c>
      <x:c r="AE777" s="30" t="str">
        <x:v>Czechia</x:v>
      </x:c>
      <x:c r="AF777" s="30" t="str">
        <x:v>Explicit capitalClaim</x:v>
      </x:c>
      <x:c r="AG777" s="30" t="str">
        <x:v>ClaimPOLCzechia</x:v>
      </x:c>
      <x:c r="AH777" s="30" t="str">
        <x:v>Project_SlavicCommonwealth</x:v>
      </x:c>
    </x:row>
    <x:row r="778">
      <x:c r="A778" s="30" t="str">
        <x:v>2022</x:v>
      </x:c>
      <x:c r="B778" s="30" t="str">
        <x:v>Base game</x:v>
      </x:c>
      <x:c r="C778" s="30" t="str">
        <x:v>Poland</x:v>
      </x:c>
      <x:c r="D778" s="30" t="str">
        <x:v>Estonia</x:v>
      </x:c>
      <x:c r="E778" s="30" t="str">
        <x:v>Project unlock</x:v>
      </x:c>
      <x:c r="F778" s="30" t="str">
        <x:v>Slavic Commonwealth</x:v>
      </x:c>
      <x:c r="G778" s="30" t="str">
        <x:v>No</x:v>
      </x:c>
      <x:c r="H778" s="30" t="str">
        <x:v>Ordinary claim</x:v>
      </x:c>
      <x:c r="I778" s="31" t="n">
        <x:f>IF(G778="Yes",'Controls &amp; Summary'!$B$5,'Controls &amp; Summary'!$B$4)</x:f>
        <x:v>6</x:v>
      </x:c>
      <x:c r="J778" s="31" t="n">
        <x:v>6.8</x:v>
      </x:c>
      <x:c r="K778" s="31" t="n">
        <x:v>7.84</x:v>
      </x:c>
      <x:c r="L778" s="31" t="n">
        <x:f>ABS(J778-K778)</x:f>
        <x:v>1.04</x:v>
      </x:c>
      <x:c r="M778" s="31" t="n">
        <x:v>3.02</x:v>
      </x:c>
      <x:c r="N778" s="31" t="n">
        <x:v>3.08</x:v>
      </x:c>
      <x:c r="O778" s="31" t="n">
        <x:f>ABS(M778-N778)</x:f>
        <x:v>0.06000000000000005</x:v>
      </x:c>
      <x:c r="P778" s="31" t="n">
        <x:v>8.69</x:v>
      </x:c>
      <x:c r="Q778" s="31" t="n">
        <x:v>8.82</x:v>
      </x:c>
      <x:c r="R778" s="31" t="n">
        <x:f>ABS(P778-Q778)</x:f>
        <x:v>0.13000000000000078</x:v>
      </x:c>
      <x:c r="S778" s="32" t="n">
        <x:v>36759.35175540062</x:v>
      </x:c>
      <x:c r="T778" s="32" t="n">
        <x:v>39681.9697827776</x:v>
      </x:c>
      <x:c r="U778" s="31" t="n">
        <x:f>MAX(S778/T778,T778/S778)</x:f>
        <x:v>1.0795067890974872</x:v>
      </x:c>
      <x:c r="V778" s="31" t="n">
        <x:f>L778*'Controls &amp; Summary'!$B$9+O778*'Controls &amp; Summary'!$B$10+R778*'Controls &amp; Summary'!$B$11+U778*'Controls &amp; Summary'!$B$12</x:f>
        <x:v>2.309506789097488</x:v>
      </x:c>
      <x:c r="W778" s="31" t="n">
        <x:v>7</x:v>
      </x:c>
      <x:c r="X778" s="31" t="n">
        <x:v>0</x:v>
      </x:c>
      <x:c r="Y778" s="31" t="n">
        <x:f>((10-MIN(10,MAX(0,X778)))/10)*'Controls &amp; Summary'!$B$15+((10-MIN(10,MAX(0,W778)))/10)*'Controls &amp; Summary'!$B$16</x:f>
        <x:v>1.3</x:v>
      </x:c>
      <x:c r="Z778" s="31" t="n">
        <x:f>V778*Y778</x:f>
        <x:v>3.0023588258267346</x:v>
      </x:c>
      <x:c r="AA778" s="30" t="str">
        <x:f>IF(Z778&lt;=I778,"Peaceful","Hostile")</x:f>
        <x:v>Peaceful</x:v>
      </x:c>
      <x:c r="AB778" s="30" t="str">
        <x:f>IF(Z778&lt;='Controls &amp; Summary'!$B$6,"Eligible","Blocked")</x:f>
        <x:v>Eligible</x:v>
      </x:c>
      <x:c r="AC778" s="30" t="str">
        <x:v>POL</x:v>
      </x:c>
      <x:c r="AD778" s="30" t="str">
        <x:v>EST</x:v>
      </x:c>
      <x:c r="AE778" s="30" t="str">
        <x:v>Estonia</x:v>
      </x:c>
      <x:c r="AF778" s="30" t="str">
        <x:v>Explicit capitalClaim</x:v>
      </x:c>
      <x:c r="AG778" s="30" t="str">
        <x:v>ClaimPOLEstonia</x:v>
      </x:c>
      <x:c r="AH778" s="30" t="str">
        <x:v>Project_SlavicCommonwealth</x:v>
      </x:c>
    </x:row>
    <x:row r="779">
      <x:c r="A779" s="30" t="str">
        <x:v>2022</x:v>
      </x:c>
      <x:c r="B779" s="30" t="str">
        <x:v>Base game</x:v>
      </x:c>
      <x:c r="C779" s="30" t="str">
        <x:v>Poland</x:v>
      </x:c>
      <x:c r="D779" s="30" t="str">
        <x:v>Finland</x:v>
      </x:c>
      <x:c r="E779" s="30" t="str">
        <x:v>Project unlock</x:v>
      </x:c>
      <x:c r="F779" s="30" t="str">
        <x:v>Slavic Commonwealth</x:v>
      </x:c>
      <x:c r="G779" s="30" t="str">
        <x:v>No</x:v>
      </x:c>
      <x:c r="H779" s="30" t="str">
        <x:v>Ordinary claim</x:v>
      </x:c>
      <x:c r="I779" s="31" t="n">
        <x:f>IF(G779="Yes",'Controls &amp; Summary'!$B$5,'Controls &amp; Summary'!$B$4)</x:f>
        <x:v>6</x:v>
      </x:c>
      <x:c r="J779" s="31" t="n">
        <x:v>6.8</x:v>
      </x:c>
      <x:c r="K779" s="31" t="n">
        <x:v>9.27</x:v>
      </x:c>
      <x:c r="L779" s="31" t="n">
        <x:f>ABS(J779-K779)</x:f>
        <x:v>2.4699999999999998</x:v>
      </x:c>
      <x:c r="M779" s="31" t="n">
        <x:v>3.02</x:v>
      </x:c>
      <x:c r="N779" s="31" t="n">
        <x:v>2.77</x:v>
      </x:c>
      <x:c r="O779" s="31" t="n">
        <x:f>ABS(M779-N779)</x:f>
        <x:v>0.25</x:v>
      </x:c>
      <x:c r="P779" s="31" t="n">
        <x:v>8.69</x:v>
      </x:c>
      <x:c r="Q779" s="31" t="n">
        <x:v>9.27</x:v>
      </x:c>
      <x:c r="R779" s="31" t="n">
        <x:f>ABS(P779-Q779)</x:f>
        <x:v>0.5800000000000001</x:v>
      </x:c>
      <x:c r="S779" s="32" t="n">
        <x:v>36759.35175540062</x:v>
      </x:c>
      <x:c r="T779" s="32" t="n">
        <x:v>50870.63939339583</x:v>
      </x:c>
      <x:c r="U779" s="31" t="n">
        <x:f>MAX(S779/T779,T779/S779)</x:f>
        <x:v>1.3838829294894193</x:v>
      </x:c>
      <x:c r="V779" s="31" t="n">
        <x:f>L779*'Controls &amp; Summary'!$B$9+O779*'Controls &amp; Summary'!$B$10+R779*'Controls &amp; Summary'!$B$11+U779*'Controls &amp; Summary'!$B$12</x:f>
        <x:v>4.683882929489419</x:v>
      </x:c>
      <x:c r="W779" s="31" t="n">
        <x:v>7</x:v>
      </x:c>
      <x:c r="X779" s="31" t="n">
        <x:v>0</x:v>
      </x:c>
      <x:c r="Y779" s="31" t="n">
        <x:f>((10-MIN(10,MAX(0,X779)))/10)*'Controls &amp; Summary'!$B$15+((10-MIN(10,MAX(0,W779)))/10)*'Controls &amp; Summary'!$B$16</x:f>
        <x:v>1.3</x:v>
      </x:c>
      <x:c r="Z779" s="31" t="n">
        <x:f>V779*Y779</x:f>
        <x:v>6.089047808336245</x:v>
      </x:c>
      <x:c r="AA779" s="30" t="str">
        <x:f>IF(Z779&lt;=I779,"Peaceful","Hostile")</x:f>
        <x:v>Hostile</x:v>
      </x:c>
      <x:c r="AB779" s="30" t="str">
        <x:f>IF(Z779&lt;='Controls &amp; Summary'!$B$6,"Eligible","Blocked")</x:f>
        <x:v>Eligible</x:v>
      </x:c>
      <x:c r="AC779" s="30" t="str">
        <x:v>POL</x:v>
      </x:c>
      <x:c r="AD779" s="30" t="str">
        <x:v>FIN</x:v>
      </x:c>
      <x:c r="AE779" s="30" t="str">
        <x:v>Finland</x:v>
      </x:c>
      <x:c r="AF779" s="30" t="str">
        <x:v>Explicit capitalClaim</x:v>
      </x:c>
      <x:c r="AG779" s="30" t="str">
        <x:v>ClaimPOLFinland</x:v>
      </x:c>
      <x:c r="AH779" s="30" t="str">
        <x:v>Project_SlavicCommonwealth</x:v>
      </x:c>
    </x:row>
    <x:row r="780">
      <x:c r="A780" s="30" t="str">
        <x:v>2022</x:v>
      </x:c>
      <x:c r="B780" s="30" t="str">
        <x:v>Base game</x:v>
      </x:c>
      <x:c r="C780" s="30" t="str">
        <x:v>Poland</x:v>
      </x:c>
      <x:c r="D780" s="30" t="str">
        <x:v>Hungary</x:v>
      </x:c>
      <x:c r="E780" s="30" t="str">
        <x:v>Project unlock</x:v>
      </x:c>
      <x:c r="F780" s="30" t="str">
        <x:v>Slavic Commonwealth</x:v>
      </x:c>
      <x:c r="G780" s="30" t="str">
        <x:v>No</x:v>
      </x:c>
      <x:c r="H780" s="30" t="str">
        <x:v>Ordinary claim</x:v>
      </x:c>
      <x:c r="I780" s="31" t="n">
        <x:f>IF(G780="Yes",'Controls &amp; Summary'!$B$5,'Controls &amp; Summary'!$B$4)</x:f>
        <x:v>6</x:v>
      </x:c>
      <x:c r="J780" s="31" t="n">
        <x:v>6.8</x:v>
      </x:c>
      <x:c r="K780" s="31" t="n">
        <x:v>6.5</x:v>
      </x:c>
      <x:c r="L780" s="31" t="n">
        <x:f>ABS(J780-K780)</x:f>
        <x:v>0.2999999999999998</x:v>
      </x:c>
      <x:c r="M780" s="31" t="n">
        <x:v>3.02</x:v>
      </x:c>
      <x:c r="N780" s="31" t="n">
        <x:v>3</x:v>
      </x:c>
      <x:c r="O780" s="31" t="n">
        <x:f>ABS(M780-N780)</x:f>
        <x:v>0.020000000000000018</x:v>
      </x:c>
      <x:c r="P780" s="31" t="n">
        <x:v>8.69</x:v>
      </x:c>
      <x:c r="Q780" s="31" t="n">
        <x:v>8.21</x:v>
      </x:c>
      <x:c r="R780" s="31" t="n">
        <x:f>ABS(P780-Q780)</x:f>
        <x:v>0.47999999999999865</x:v>
      </x:c>
      <x:c r="S780" s="32" t="n">
        <x:v>36759.35175540062</x:v>
      </x:c>
      <x:c r="T780" s="32" t="n">
        <x:v>36516.892225214695</x:v>
      </x:c>
      <x:c r="U780" s="31" t="n">
        <x:f>MAX(S780/T780,T780/S780)</x:f>
        <x:v>1.0066396540179425</x:v>
      </x:c>
      <x:c r="V780" s="31" t="n">
        <x:f>L780*'Controls &amp; Summary'!$B$9+O780*'Controls &amp; Summary'!$B$10+R780*'Controls &amp; Summary'!$B$11+U780*'Controls &amp; Summary'!$B$12</x:f>
        <x:v>1.806639654017941</x:v>
      </x:c>
      <x:c r="W780" s="31" t="n">
        <x:v>7</x:v>
      </x:c>
      <x:c r="X780" s="31" t="n">
        <x:v>1</x:v>
      </x:c>
      <x:c r="Y780" s="31" t="n">
        <x:f>((10-MIN(10,MAX(0,X780)))/10)*'Controls &amp; Summary'!$B$15+((10-MIN(10,MAX(0,W780)))/10)*'Controls &amp; Summary'!$B$16</x:f>
        <x:v>1.2</x:v>
      </x:c>
      <x:c r="Z780" s="31" t="n">
        <x:f>V780*Y780</x:f>
        <x:v>2.167967584821529</x:v>
      </x:c>
      <x:c r="AA780" s="30" t="str">
        <x:f>IF(Z780&lt;=I780,"Peaceful","Hostile")</x:f>
        <x:v>Peaceful</x:v>
      </x:c>
      <x:c r="AB780" s="30" t="str">
        <x:f>IF(Z780&lt;='Controls &amp; Summary'!$B$6,"Eligible","Blocked")</x:f>
        <x:v>Eligible</x:v>
      </x:c>
      <x:c r="AC780" s="30" t="str">
        <x:v>POL</x:v>
      </x:c>
      <x:c r="AD780" s="30" t="str">
        <x:v>HUN</x:v>
      </x:c>
      <x:c r="AE780" s="30" t="str">
        <x:v>Hungary</x:v>
      </x:c>
      <x:c r="AF780" s="30" t="str">
        <x:v>Explicit capitalClaim</x:v>
      </x:c>
      <x:c r="AG780" s="30" t="str">
        <x:v>ClaimPOLHungary</x:v>
      </x:c>
      <x:c r="AH780" s="30" t="str">
        <x:v>Project_SlavicCommonwealth</x:v>
      </x:c>
    </x:row>
    <x:row r="781">
      <x:c r="A781" s="30" t="str">
        <x:v>2022</x:v>
      </x:c>
      <x:c r="B781" s="30" t="str">
        <x:v>Base game</x:v>
      </x:c>
      <x:c r="C781" s="30" t="str">
        <x:v>Poland</x:v>
      </x:c>
      <x:c r="D781" s="30" t="str">
        <x:v>Kosovo</x:v>
      </x:c>
      <x:c r="E781" s="30" t="str">
        <x:v>Project unlock</x:v>
      </x:c>
      <x:c r="F781" s="30" t="str">
        <x:v>Slavic Commonwealth</x:v>
      </x:c>
      <x:c r="G781" s="30" t="str">
        <x:v>No</x:v>
      </x:c>
      <x:c r="H781" s="30" t="str">
        <x:v>Ordinary claim</x:v>
      </x:c>
      <x:c r="I781" s="31" t="n">
        <x:f>IF(G781="Yes",'Controls &amp; Summary'!$B$5,'Controls &amp; Summary'!$B$4)</x:f>
        <x:v>6</x:v>
      </x:c>
      <x:c r="J781" s="31" t="n">
        <x:v>6.8</x:v>
      </x:c>
      <x:c r="K781" s="31" t="n">
        <x:v>5.6</x:v>
      </x:c>
      <x:c r="L781" s="31" t="n">
        <x:f>ABS(J781-K781)</x:f>
        <x:v>1.2000000000000002</x:v>
      </x:c>
      <x:c r="M781" s="31" t="n">
        <x:v>3.02</x:v>
      </x:c>
      <x:c r="N781" s="31" t="n">
        <x:v>2.9</x:v>
      </x:c>
      <x:c r="O781" s="31" t="n">
        <x:f>ABS(M781-N781)</x:f>
        <x:v>0.1200000000000001</x:v>
      </x:c>
      <x:c r="P781" s="31" t="n">
        <x:v>8.69</x:v>
      </x:c>
      <x:c r="Q781" s="31" t="n">
        <x:v>7.83</x:v>
      </x:c>
      <x:c r="R781" s="31" t="n">
        <x:f>ABS(P781-Q781)</x:f>
        <x:v>0.8599999999999994</x:v>
      </x:c>
      <x:c r="S781" s="32" t="n">
        <x:v>36759.35175540062</x:v>
      </x:c>
      <x:c r="T781" s="32" t="n">
        <x:v>12530.834815529708</x:v>
      </x:c>
      <x:c r="U781" s="31" t="n">
        <x:f>MAX(S781/T781,T781/S781)</x:f>
        <x:v>2.933511796823308</x:v>
      </x:c>
      <x:c r="V781" s="31" t="n">
        <x:f>L781*'Controls &amp; Summary'!$B$9+O781*'Controls &amp; Summary'!$B$10+R781*'Controls &amp; Summary'!$B$11+U781*'Controls &amp; Summary'!$B$12</x:f>
        <x:v>5.113511796823308</x:v>
      </x:c>
      <x:c r="W781" s="31" t="n">
        <x:v>7</x:v>
      </x:c>
      <x:c r="X781" s="31" t="n">
        <x:v>2</x:v>
      </x:c>
      <x:c r="Y781" s="31" t="n">
        <x:f>((10-MIN(10,MAX(0,X781)))/10)*'Controls &amp; Summary'!$B$15+((10-MIN(10,MAX(0,W781)))/10)*'Controls &amp; Summary'!$B$16</x:f>
        <x:v>1.1</x:v>
      </x:c>
      <x:c r="Z781" s="31" t="n">
        <x:f>V781*Y781</x:f>
        <x:v>5.624862976505639</x:v>
      </x:c>
      <x:c r="AA781" s="30" t="str">
        <x:f>IF(Z781&lt;=I781,"Peaceful","Hostile")</x:f>
        <x:v>Peaceful</x:v>
      </x:c>
      <x:c r="AB781" s="30" t="str">
        <x:f>IF(Z781&lt;='Controls &amp; Summary'!$B$6,"Eligible","Blocked")</x:f>
        <x:v>Eligible</x:v>
      </x:c>
      <x:c r="AC781" s="30" t="str">
        <x:v>POL</x:v>
      </x:c>
      <x:c r="AD781" s="30" t="str">
        <x:v>KOS</x:v>
      </x:c>
      <x:c r="AE781" s="30" t="str">
        <x:v>Kosovo</x:v>
      </x:c>
      <x:c r="AF781" s="30" t="str">
        <x:v>Explicit capitalClaim</x:v>
      </x:c>
      <x:c r="AG781" s="30" t="str">
        <x:v>ClaimPOLKosovo</x:v>
      </x:c>
      <x:c r="AH781" s="30" t="str">
        <x:v>Project_SlavicCommonwealth</x:v>
      </x:c>
    </x:row>
    <x:row r="782">
      <x:c r="A782" s="30" t="str">
        <x:v>2022</x:v>
      </x:c>
      <x:c r="B782" s="30" t="str">
        <x:v>Base game</x:v>
      </x:c>
      <x:c r="C782" s="30" t="str">
        <x:v>Poland</x:v>
      </x:c>
      <x:c r="D782" s="30" t="str">
        <x:v>Latvia</x:v>
      </x:c>
      <x:c r="E782" s="30" t="str">
        <x:v>Project unlock</x:v>
      </x:c>
      <x:c r="F782" s="30" t="str">
        <x:v>Slavic Commonwealth</x:v>
      </x:c>
      <x:c r="G782" s="30" t="str">
        <x:v>No</x:v>
      </x:c>
      <x:c r="H782" s="30" t="str">
        <x:v>Ordinary claim</x:v>
      </x:c>
      <x:c r="I782" s="31" t="n">
        <x:f>IF(G782="Yes",'Controls &amp; Summary'!$B$5,'Controls &amp; Summary'!$B$4)</x:f>
        <x:v>6</x:v>
      </x:c>
      <x:c r="J782" s="31" t="n">
        <x:v>6.8</x:v>
      </x:c>
      <x:c r="K782" s="31" t="n">
        <x:v>7.31</x:v>
      </x:c>
      <x:c r="L782" s="31" t="n">
        <x:f>ABS(J782-K782)</x:f>
        <x:v>0.5099999999999998</x:v>
      </x:c>
      <x:c r="M782" s="31" t="n">
        <x:v>3.02</x:v>
      </x:c>
      <x:c r="N782" s="31" t="n">
        <x:v>3.45</x:v>
      </x:c>
      <x:c r="O782" s="31" t="n">
        <x:f>ABS(M782-N782)</x:f>
        <x:v>0.43000000000000016</x:v>
      </x:c>
      <x:c r="P782" s="31" t="n">
        <x:v>8.69</x:v>
      </x:c>
      <x:c r="Q782" s="31" t="n">
        <x:v>8.83</x:v>
      </x:c>
      <x:c r="R782" s="31" t="n">
        <x:f>ABS(P782-Q782)</x:f>
        <x:v>0.14000000000000057</x:v>
      </x:c>
      <x:c r="S782" s="32" t="n">
        <x:v>36759.35175540062</x:v>
      </x:c>
      <x:c r="T782" s="32" t="n">
        <x:v>33668.92597430283</x:v>
      </x:c>
      <x:c r="U782" s="31" t="n">
        <x:f>MAX(S782/T782,T782/S782)</x:f>
        <x:v>1.091788665413815</x:v>
      </x:c>
      <x:c r="V782" s="31" t="n">
        <x:f>L782*'Controls &amp; Summary'!$B$9+O782*'Controls &amp; Summary'!$B$10+R782*'Controls &amp; Summary'!$B$11+U782*'Controls &amp; Summary'!$B$12</x:f>
        <x:v>2.1717886654138154</x:v>
      </x:c>
      <x:c r="W782" s="31" t="n">
        <x:v>7</x:v>
      </x:c>
      <x:c r="X782" s="31" t="n">
        <x:v>0</x:v>
      </x:c>
      <x:c r="Y782" s="31" t="n">
        <x:f>((10-MIN(10,MAX(0,X782)))/10)*'Controls &amp; Summary'!$B$15+((10-MIN(10,MAX(0,W782)))/10)*'Controls &amp; Summary'!$B$16</x:f>
        <x:v>1.3</x:v>
      </x:c>
      <x:c r="Z782" s="31" t="n">
        <x:f>V782*Y782</x:f>
        <x:v>2.82332526503796</x:v>
      </x:c>
      <x:c r="AA782" s="30" t="str">
        <x:f>IF(Z782&lt;=I782,"Peaceful","Hostile")</x:f>
        <x:v>Peaceful</x:v>
      </x:c>
      <x:c r="AB782" s="30" t="str">
        <x:f>IF(Z782&lt;='Controls &amp; Summary'!$B$6,"Eligible","Blocked")</x:f>
        <x:v>Eligible</x:v>
      </x:c>
      <x:c r="AC782" s="30" t="str">
        <x:v>POL</x:v>
      </x:c>
      <x:c r="AD782" s="30" t="str">
        <x:v>LVA</x:v>
      </x:c>
      <x:c r="AE782" s="30" t="str">
        <x:v>Latvia</x:v>
      </x:c>
      <x:c r="AF782" s="30" t="str">
        <x:v>Explicit capitalClaim</x:v>
      </x:c>
      <x:c r="AG782" s="30" t="str">
        <x:v>ClaimPOLLatvia</x:v>
      </x:c>
      <x:c r="AH782" s="30" t="str">
        <x:v>Project_SlavicCommonwealth</x:v>
      </x:c>
    </x:row>
    <x:row r="783">
      <x:c r="A783" s="30" t="str">
        <x:v>2022</x:v>
      </x:c>
      <x:c r="B783" s="30" t="str">
        <x:v>Base game</x:v>
      </x:c>
      <x:c r="C783" s="30" t="str">
        <x:v>Poland</x:v>
      </x:c>
      <x:c r="D783" s="30" t="str">
        <x:v>Lithuania</x:v>
      </x:c>
      <x:c r="E783" s="30" t="str">
        <x:v>Project unlock</x:v>
      </x:c>
      <x:c r="F783" s="30" t="str">
        <x:v>Slavic Commonwealth</x:v>
      </x:c>
      <x:c r="G783" s="30" t="str">
        <x:v>No</x:v>
      </x:c>
      <x:c r="H783" s="30" t="str">
        <x:v>Ordinary claim</x:v>
      </x:c>
      <x:c r="I783" s="31" t="n">
        <x:f>IF(G783="Yes",'Controls &amp; Summary'!$B$5,'Controls &amp; Summary'!$B$4)</x:f>
        <x:v>6</x:v>
      </x:c>
      <x:c r="J783" s="31" t="n">
        <x:v>6.8</x:v>
      </x:c>
      <x:c r="K783" s="31" t="n">
        <x:v>7.18</x:v>
      </x:c>
      <x:c r="L783" s="31" t="n">
        <x:f>ABS(J783-K783)</x:f>
        <x:v>0.3799999999999999</x:v>
      </x:c>
      <x:c r="M783" s="31" t="n">
        <x:v>3.02</x:v>
      </x:c>
      <x:c r="N783" s="31" t="n">
        <x:v>3.53</x:v>
      </x:c>
      <x:c r="O783" s="31" t="n">
        <x:f>ABS(M783-N783)</x:f>
        <x:v>0.5099999999999998</x:v>
      </x:c>
      <x:c r="P783" s="31" t="n">
        <x:v>8.69</x:v>
      </x:c>
      <x:c r="Q783" s="31" t="n">
        <x:v>8.98</x:v>
      </x:c>
      <x:c r="R783" s="31" t="n">
        <x:f>ABS(P783-Q783)</x:f>
        <x:v>0.2900000000000009</x:v>
      </x:c>
      <x:c r="S783" s="32" t="n">
        <x:v>36759.35175540062</x:v>
      </x:c>
      <x:c r="T783" s="32" t="n">
        <x:v>42999.9035226075</x:v>
      </x:c>
      <x:c r="U783" s="31" t="n">
        <x:f>MAX(S783/T783,T783/S783)</x:f>
        <x:v>1.1697677317253026</x:v>
      </x:c>
      <x:c r="V783" s="31" t="n">
        <x:f>L783*'Controls &amp; Summary'!$B$9+O783*'Controls &amp; Summary'!$B$10+R783*'Controls &amp; Summary'!$B$11+U783*'Controls &amp; Summary'!$B$12</x:f>
        <x:v>2.3497677317253034</x:v>
      </x:c>
      <x:c r="W783" s="31" t="n">
        <x:v>7</x:v>
      </x:c>
      <x:c r="X783" s="31" t="n">
        <x:v>0</x:v>
      </x:c>
      <x:c r="Y783" s="31" t="n">
        <x:f>((10-MIN(10,MAX(0,X783)))/10)*'Controls &amp; Summary'!$B$15+((10-MIN(10,MAX(0,W783)))/10)*'Controls &amp; Summary'!$B$16</x:f>
        <x:v>1.3</x:v>
      </x:c>
      <x:c r="Z783" s="31" t="n">
        <x:f>V783*Y783</x:f>
        <x:v>3.0546980512428945</x:v>
      </x:c>
      <x:c r="AA783" s="30" t="str">
        <x:f>IF(Z783&lt;=I783,"Peaceful","Hostile")</x:f>
        <x:v>Peaceful</x:v>
      </x:c>
      <x:c r="AB783" s="30" t="str">
        <x:f>IF(Z783&lt;='Controls &amp; Summary'!$B$6,"Eligible","Blocked")</x:f>
        <x:v>Eligible</x:v>
      </x:c>
      <x:c r="AC783" s="30" t="str">
        <x:v>POL</x:v>
      </x:c>
      <x:c r="AD783" s="30" t="str">
        <x:v>LTU</x:v>
      </x:c>
      <x:c r="AE783" s="30" t="str">
        <x:v>Lithuania</x:v>
      </x:c>
      <x:c r="AF783" s="30" t="str">
        <x:v>Explicit capitalClaim</x:v>
      </x:c>
      <x:c r="AG783" s="30" t="str">
        <x:v>ClaimPOLLithuania</x:v>
      </x:c>
      <x:c r="AH783" s="30" t="str">
        <x:v>Project_SlavicCommonwealth</x:v>
      </x:c>
    </x:row>
    <x:row r="784">
      <x:c r="A784" s="30" t="str">
        <x:v>2022</x:v>
      </x:c>
      <x:c r="B784" s="30" t="str">
        <x:v>Base game</x:v>
      </x:c>
      <x:c r="C784" s="30" t="str">
        <x:v>Poland</x:v>
      </x:c>
      <x:c r="D784" s="30" t="str">
        <x:v>Moldova</x:v>
      </x:c>
      <x:c r="E784" s="30" t="str">
        <x:v>Project unlock</x:v>
      </x:c>
      <x:c r="F784" s="30" t="str">
        <x:v>Slavic Commonwealth</x:v>
      </x:c>
      <x:c r="G784" s="30" t="str">
        <x:v>No</x:v>
      </x:c>
      <x:c r="H784" s="30" t="str">
        <x:v>Ordinary claim</x:v>
      </x:c>
      <x:c r="I784" s="31" t="n">
        <x:f>IF(G784="Yes",'Controls &amp; Summary'!$B$5,'Controls &amp; Summary'!$B$4)</x:f>
        <x:v>6</x:v>
      </x:c>
      <x:c r="J784" s="31" t="n">
        <x:v>6.8</x:v>
      </x:c>
      <x:c r="K784" s="31" t="n">
        <x:v>6.1</x:v>
      </x:c>
      <x:c r="L784" s="31" t="n">
        <x:f>ABS(J784-K784)</x:f>
        <x:v>0.7000000000000002</x:v>
      </x:c>
      <x:c r="M784" s="31" t="n">
        <x:v>3.02</x:v>
      </x:c>
      <x:c r="N784" s="31" t="n">
        <x:v>2.6</x:v>
      </x:c>
      <x:c r="O784" s="31" t="n">
        <x:f>ABS(M784-N784)</x:f>
        <x:v>0.41999999999999993</x:v>
      </x:c>
      <x:c r="P784" s="31" t="n">
        <x:v>8.69</x:v>
      </x:c>
      <x:c r="Q784" s="31" t="n">
        <x:v>7.11</x:v>
      </x:c>
      <x:c r="R784" s="31" t="n">
        <x:f>ABS(P784-Q784)</x:f>
        <x:v>1.5799999999999992</x:v>
      </x:c>
      <x:c r="S784" s="32" t="n">
        <x:v>36759.35175540062</x:v>
      </x:c>
      <x:c r="T784" s="32" t="n">
        <x:v>9323.217667521385</x:v>
      </x:c>
      <x:c r="U784" s="31" t="n">
        <x:f>MAX(S784/T784,T784/S784)</x:f>
        <x:v>3.9427752377225405</x:v>
      </x:c>
      <x:c r="V784" s="31" t="n">
        <x:f>L784*'Controls &amp; Summary'!$B$9+O784*'Controls &amp; Summary'!$B$10+R784*'Controls &amp; Summary'!$B$11+U784*'Controls &amp; Summary'!$B$12</x:f>
        <x:v>6.64277523772254</x:v>
      </x:c>
      <x:c r="W784" s="31" t="n">
        <x:v>7</x:v>
      </x:c>
      <x:c r="X784" s="31" t="n">
        <x:v>3</x:v>
      </x:c>
      <x:c r="Y784" s="31" t="n">
        <x:f>((10-MIN(10,MAX(0,X784)))/10)*'Controls &amp; Summary'!$B$15+((10-MIN(10,MAX(0,W784)))/10)*'Controls &amp; Summary'!$B$16</x:f>
        <x:v>1</x:v>
      </x:c>
      <x:c r="Z784" s="31" t="n">
        <x:f>V784*Y784</x:f>
        <x:v>6.64277523772254</x:v>
      </x:c>
      <x:c r="AA784" s="30" t="str">
        <x:f>IF(Z784&lt;=I784,"Peaceful","Hostile")</x:f>
        <x:v>Hostile</x:v>
      </x:c>
      <x:c r="AB784" s="30" t="str">
        <x:f>IF(Z784&lt;='Controls &amp; Summary'!$B$6,"Eligible","Blocked")</x:f>
        <x:v>Eligible</x:v>
      </x:c>
      <x:c r="AC784" s="30" t="str">
        <x:v>POL</x:v>
      </x:c>
      <x:c r="AD784" s="30" t="str">
        <x:v>MOL</x:v>
      </x:c>
      <x:c r="AE784" s="30" t="str">
        <x:v>Moldova</x:v>
      </x:c>
      <x:c r="AF784" s="30" t="str">
        <x:v>Explicit capitalClaim</x:v>
      </x:c>
      <x:c r="AG784" s="30" t="str">
        <x:v>ClaimPOLMoldova</x:v>
      </x:c>
      <x:c r="AH784" s="30" t="str">
        <x:v>Project_SlavicCommonwealth</x:v>
      </x:c>
    </x:row>
    <x:row r="785">
      <x:c r="A785" s="30" t="str">
        <x:v>2022</x:v>
      </x:c>
      <x:c r="B785" s="30" t="str">
        <x:v>Base game</x:v>
      </x:c>
      <x:c r="C785" s="30" t="str">
        <x:v>Poland</x:v>
      </x:c>
      <x:c r="D785" s="30" t="str">
        <x:v>Montenegro</x:v>
      </x:c>
      <x:c r="E785" s="30" t="str">
        <x:v>Project unlock</x:v>
      </x:c>
      <x:c r="F785" s="30" t="str">
        <x:v>Slavic Commonwealth</x:v>
      </x:c>
      <x:c r="G785" s="30" t="str">
        <x:v>No</x:v>
      </x:c>
      <x:c r="H785" s="30" t="str">
        <x:v>Ordinary claim</x:v>
      </x:c>
      <x:c r="I785" s="31" t="n">
        <x:f>IF(G785="Yes",'Controls &amp; Summary'!$B$5,'Controls &amp; Summary'!$B$4)</x:f>
        <x:v>6</x:v>
      </x:c>
      <x:c r="J785" s="31" t="n">
        <x:v>6.8</x:v>
      </x:c>
      <x:c r="K785" s="31" t="n">
        <x:v>6.02</x:v>
      </x:c>
      <x:c r="L785" s="31" t="n">
        <x:f>ABS(J785-K785)</x:f>
        <x:v>0.7800000000000002</x:v>
      </x:c>
      <x:c r="M785" s="31" t="n">
        <x:v>3.02</x:v>
      </x:c>
      <x:c r="N785" s="31" t="n">
        <x:v>3.68</x:v>
      </x:c>
      <x:c r="O785" s="31" t="n">
        <x:f>ABS(M785-N785)</x:f>
        <x:v>0.6600000000000001</x:v>
      </x:c>
      <x:c r="P785" s="31" t="n">
        <x:v>8.69</x:v>
      </x:c>
      <x:c r="Q785" s="31" t="n">
        <x:v>8.03</x:v>
      </x:c>
      <x:c r="R785" s="31" t="n">
        <x:f>ABS(P785-Q785)</x:f>
        <x:v>0.6600000000000001</x:v>
      </x:c>
      <x:c r="S785" s="32" t="n">
        <x:v>36759.35175540062</x:v>
      </x:c>
      <x:c r="T785" s="32" t="n">
        <x:v>21690.01747178873</x:v>
      </x:c>
      <x:c r="U785" s="31" t="n">
        <x:f>MAX(S785/T785,T785/S785)</x:f>
        <x:v>1.6947589739478965</x:v>
      </x:c>
      <x:c r="V785" s="31" t="n">
        <x:f>L785*'Controls &amp; Summary'!$B$9+O785*'Controls &amp; Summary'!$B$10+R785*'Controls &amp; Summary'!$B$11+U785*'Controls &amp; Summary'!$B$12</x:f>
        <x:v>3.7947589739478973</x:v>
      </x:c>
      <x:c r="W785" s="31" t="n">
        <x:v>7</x:v>
      </x:c>
      <x:c r="X785" s="31" t="n">
        <x:v>2</x:v>
      </x:c>
      <x:c r="Y785" s="31" t="n">
        <x:f>((10-MIN(10,MAX(0,X785)))/10)*'Controls &amp; Summary'!$B$15+((10-MIN(10,MAX(0,W785)))/10)*'Controls &amp; Summary'!$B$16</x:f>
        <x:v>1.1</x:v>
      </x:c>
      <x:c r="Z785" s="31" t="n">
        <x:f>V785*Y785</x:f>
        <x:v>4.174234871342687</x:v>
      </x:c>
      <x:c r="AA785" s="30" t="str">
        <x:f>IF(Z785&lt;=I785,"Peaceful","Hostile")</x:f>
        <x:v>Peaceful</x:v>
      </x:c>
      <x:c r="AB785" s="30" t="str">
        <x:f>IF(Z785&lt;='Controls &amp; Summary'!$B$6,"Eligible","Blocked")</x:f>
        <x:v>Eligible</x:v>
      </x:c>
      <x:c r="AC785" s="30" t="str">
        <x:v>POL</x:v>
      </x:c>
      <x:c r="AD785" s="30" t="str">
        <x:v>MNE</x:v>
      </x:c>
      <x:c r="AE785" s="30" t="str">
        <x:v>Montenegro</x:v>
      </x:c>
      <x:c r="AF785" s="30" t="str">
        <x:v>Explicit capitalClaim</x:v>
      </x:c>
      <x:c r="AG785" s="30" t="str">
        <x:v>ClaimPOLMontenegro</x:v>
      </x:c>
      <x:c r="AH785" s="30" t="str">
        <x:v>Project_SlavicCommonwealth</x:v>
      </x:c>
    </x:row>
    <x:row r="786">
      <x:c r="A786" s="30" t="str">
        <x:v>2022</x:v>
      </x:c>
      <x:c r="B786" s="30" t="str">
        <x:v>Base game</x:v>
      </x:c>
      <x:c r="C786" s="30" t="str">
        <x:v>Poland</x:v>
      </x:c>
      <x:c r="D786" s="30" t="str">
        <x:v>North Macedonia</x:v>
      </x:c>
      <x:c r="E786" s="30" t="str">
        <x:v>Project unlock</x:v>
      </x:c>
      <x:c r="F786" s="30" t="str">
        <x:v>Slavic Commonwealth</x:v>
      </x:c>
      <x:c r="G786" s="30" t="str">
        <x:v>No</x:v>
      </x:c>
      <x:c r="H786" s="30" t="str">
        <x:v>Ordinary claim</x:v>
      </x:c>
      <x:c r="I786" s="31" t="n">
        <x:f>IF(G786="Yes",'Controls &amp; Summary'!$B$5,'Controls &amp; Summary'!$B$4)</x:f>
        <x:v>6</x:v>
      </x:c>
      <x:c r="J786" s="31" t="n">
        <x:v>6.8</x:v>
      </x:c>
      <x:c r="K786" s="31" t="n">
        <x:v>6.03</x:v>
      </x:c>
      <x:c r="L786" s="31" t="n">
        <x:f>ABS(J786-K786)</x:f>
        <x:v>0.7699999999999996</x:v>
      </x:c>
      <x:c r="M786" s="31" t="n">
        <x:v>3.02</x:v>
      </x:c>
      <x:c r="N786" s="31" t="n">
        <x:v>3.3</x:v>
      </x:c>
      <x:c r="O786" s="31" t="n">
        <x:f>ABS(M786-N786)</x:f>
        <x:v>0.2799999999999998</x:v>
      </x:c>
      <x:c r="P786" s="31" t="n">
        <x:v>8.69</x:v>
      </x:c>
      <x:c r="Q786" s="31" t="n">
        <x:v>7.04</x:v>
      </x:c>
      <x:c r="R786" s="31" t="n">
        <x:f>ABS(P786-Q786)</x:f>
        <x:v>1.6499999999999995</x:v>
      </x:c>
      <x:c r="S786" s="32" t="n">
        <x:v>36759.35175540062</x:v>
      </x:c>
      <x:c r="T786" s="32" t="n">
        <x:v>17258.633449677298</x:v>
      </x:c>
      <x:c r="U786" s="31" t="n">
        <x:f>MAX(S786/T786,T786/S786)</x:f>
        <x:v>2.1299109145914414</x:v>
      </x:c>
      <x:c r="V786" s="31" t="n">
        <x:f>L786*'Controls &amp; Summary'!$B$9+O786*'Controls &amp; Summary'!$B$10+R786*'Controls &amp; Summary'!$B$11+U786*'Controls &amp; Summary'!$B$12</x:f>
        <x:v>4.829910914591441</x:v>
      </x:c>
      <x:c r="W786" s="31" t="n">
        <x:v>7</x:v>
      </x:c>
      <x:c r="X786" s="31" t="n">
        <x:v>2</x:v>
      </x:c>
      <x:c r="Y786" s="31" t="n">
        <x:f>((10-MIN(10,MAX(0,X786)))/10)*'Controls &amp; Summary'!$B$15+((10-MIN(10,MAX(0,W786)))/10)*'Controls &amp; Summary'!$B$16</x:f>
        <x:v>1.1</x:v>
      </x:c>
      <x:c r="Z786" s="31" t="n">
        <x:f>V786*Y786</x:f>
        <x:v>5.312902006050585</x:v>
      </x:c>
      <x:c r="AA786" s="30" t="str">
        <x:f>IF(Z786&lt;=I786,"Peaceful","Hostile")</x:f>
        <x:v>Peaceful</x:v>
      </x:c>
      <x:c r="AB786" s="30" t="str">
        <x:f>IF(Z786&lt;='Controls &amp; Summary'!$B$6,"Eligible","Blocked")</x:f>
        <x:v>Eligible</x:v>
      </x:c>
      <x:c r="AC786" s="30" t="str">
        <x:v>POL</x:v>
      </x:c>
      <x:c r="AD786" s="30" t="str">
        <x:v>MKD</x:v>
      </x:c>
      <x:c r="AE786" s="30" t="str">
        <x:v>NorthMacedonia</x:v>
      </x:c>
      <x:c r="AF786" s="30" t="str">
        <x:v>Explicit capitalClaim</x:v>
      </x:c>
      <x:c r="AG786" s="30" t="str">
        <x:v>ClaimPOLNorthMacedonia</x:v>
      </x:c>
      <x:c r="AH786" s="30" t="str">
        <x:v>Project_SlavicCommonwealth</x:v>
      </x:c>
    </x:row>
    <x:row r="787">
      <x:c r="A787" s="30" t="str">
        <x:v>2022</x:v>
      </x:c>
      <x:c r="B787" s="30" t="str">
        <x:v>Base game</x:v>
      </x:c>
      <x:c r="C787" s="30" t="str">
        <x:v>Poland</x:v>
      </x:c>
      <x:c r="D787" s="30" t="str">
        <x:v>Romania</x:v>
      </x:c>
      <x:c r="E787" s="30" t="str">
        <x:v>Project unlock</x:v>
      </x:c>
      <x:c r="F787" s="30" t="str">
        <x:v>Slavic Commonwealth</x:v>
      </x:c>
      <x:c r="G787" s="30" t="str">
        <x:v>No</x:v>
      </x:c>
      <x:c r="H787" s="30" t="str">
        <x:v>Ordinary claim</x:v>
      </x:c>
      <x:c r="I787" s="31" t="n">
        <x:f>IF(G787="Yes",'Controls &amp; Summary'!$B$5,'Controls &amp; Summary'!$B$4)</x:f>
        <x:v>6</x:v>
      </x:c>
      <x:c r="J787" s="31" t="n">
        <x:v>6.8</x:v>
      </x:c>
      <x:c r="K787" s="31" t="n">
        <x:v>6.43</x:v>
      </x:c>
      <x:c r="L787" s="31" t="n">
        <x:f>ABS(J787-K787)</x:f>
        <x:v>0.3700000000000001</x:v>
      </x:c>
      <x:c r="M787" s="31" t="n">
        <x:v>3.02</x:v>
      </x:c>
      <x:c r="N787" s="31" t="n">
        <x:v>3.48</x:v>
      </x:c>
      <x:c r="O787" s="31" t="n">
        <x:f>ABS(M787-N787)</x:f>
        <x:v>0.45999999999999996</x:v>
      </x:c>
      <x:c r="P787" s="31" t="n">
        <x:v>8.69</x:v>
      </x:c>
      <x:c r="Q787" s="31" t="n">
        <x:v>7.65</x:v>
      </x:c>
      <x:c r="R787" s="31" t="n">
        <x:f>ABS(P787-Q787)</x:f>
        <x:v>1.0399999999999991</x:v>
      </x:c>
      <x:c r="S787" s="32" t="n">
        <x:v>36759.35175540062</x:v>
      </x:c>
      <x:c r="T787" s="32" t="n">
        <x:v>32773.8168708325</x:v>
      </x:c>
      <x:c r="U787" s="31" t="n">
        <x:f>MAX(S787/T787,T787/S787)</x:f>
        <x:v>1.121607284872428</x:v>
      </x:c>
      <x:c r="V787" s="31" t="n">
        <x:f>L787*'Controls &amp; Summary'!$B$9+O787*'Controls &amp; Summary'!$B$10+R787*'Controls &amp; Summary'!$B$11+U787*'Controls &amp; Summary'!$B$12</x:f>
        <x:v>2.991607284872427</x:v>
      </x:c>
      <x:c r="W787" s="31" t="n">
        <x:v>7</x:v>
      </x:c>
      <x:c r="X787" s="31" t="n">
        <x:v>1</x:v>
      </x:c>
      <x:c r="Y787" s="31" t="n">
        <x:f>((10-MIN(10,MAX(0,X787)))/10)*'Controls &amp; Summary'!$B$15+((10-MIN(10,MAX(0,W787)))/10)*'Controls &amp; Summary'!$B$16</x:f>
        <x:v>1.2</x:v>
      </x:c>
      <x:c r="Z787" s="31" t="n">
        <x:f>V787*Y787</x:f>
        <x:v>3.5899287418469124</x:v>
      </x:c>
      <x:c r="AA787" s="30" t="str">
        <x:f>IF(Z787&lt;=I787,"Peaceful","Hostile")</x:f>
        <x:v>Peaceful</x:v>
      </x:c>
      <x:c r="AB787" s="30" t="str">
        <x:f>IF(Z787&lt;='Controls &amp; Summary'!$B$6,"Eligible","Blocked")</x:f>
        <x:v>Eligible</x:v>
      </x:c>
      <x:c r="AC787" s="30" t="str">
        <x:v>POL</x:v>
      </x:c>
      <x:c r="AD787" s="30" t="str">
        <x:v>ROM</x:v>
      </x:c>
      <x:c r="AE787" s="30" t="str">
        <x:v>Romania</x:v>
      </x:c>
      <x:c r="AF787" s="30" t="str">
        <x:v>Explicit capitalClaim</x:v>
      </x:c>
      <x:c r="AG787" s="30" t="str">
        <x:v>ClaimPOLRomania</x:v>
      </x:c>
      <x:c r="AH787" s="30" t="str">
        <x:v>Project_SlavicCommonwealth</x:v>
      </x:c>
    </x:row>
    <x:row r="788">
      <x:c r="A788" s="30" t="str">
        <x:v>2022</x:v>
      </x:c>
      <x:c r="B788" s="30" t="str">
        <x:v>Base game</x:v>
      </x:c>
      <x:c r="C788" s="30" t="str">
        <x:v>Poland</x:v>
      </x:c>
      <x:c r="D788" s="30" t="str">
        <x:v>Russia</x:v>
      </x:c>
      <x:c r="E788" s="30" t="str">
        <x:v>Project unlock</x:v>
      </x:c>
      <x:c r="F788" s="30" t="str">
        <x:v>Greater Intermarium</x:v>
      </x:c>
      <x:c r="G788" s="30" t="str">
        <x:v>No</x:v>
      </x:c>
      <x:c r="H788" s="30" t="str">
        <x:v>Ordinary claim</x:v>
      </x:c>
      <x:c r="I788" s="31" t="n">
        <x:f>IF(G788="Yes",'Controls &amp; Summary'!$B$5,'Controls &amp; Summary'!$B$4)</x:f>
        <x:v>6</x:v>
      </x:c>
      <x:c r="J788" s="31" t="n">
        <x:v>6.8</x:v>
      </x:c>
      <x:c r="K788" s="31" t="n">
        <x:v>3.24</x:v>
      </x:c>
      <x:c r="L788" s="31" t="n">
        <x:f>ABS(J788-K788)</x:f>
        <x:v>3.5599999999999996</x:v>
      </x:c>
      <x:c r="M788" s="31" t="n">
        <x:v>3.02</x:v>
      </x:c>
      <x:c r="N788" s="31" t="n">
        <x:v>3.53</x:v>
      </x:c>
      <x:c r="O788" s="31" t="n">
        <x:f>ABS(M788-N788)</x:f>
        <x:v>0.5099999999999998</x:v>
      </x:c>
      <x:c r="P788" s="31" t="n">
        <x:v>8.69</x:v>
      </x:c>
      <x:c r="Q788" s="31" t="n">
        <x:v>8.23</x:v>
      </x:c>
      <x:c r="R788" s="31" t="n">
        <x:f>ABS(P788-Q788)</x:f>
        <x:v>0.4599999999999991</x:v>
      </x:c>
      <x:c r="S788" s="32" t="n">
        <x:v>36759.35175540062</x:v>
      </x:c>
      <x:c r="T788" s="32" t="n">
        <x:v>25923.52106481404</x:v>
      </x:c>
      <x:c r="U788" s="31" t="n">
        <x:f>MAX(S788/T788,T788/S788)</x:f>
        <x:v>1.417992242006586</x:v>
      </x:c>
      <x:c r="V788" s="31" t="n">
        <x:f>L788*'Controls &amp; Summary'!$B$9+O788*'Controls &amp; Summary'!$B$10+R788*'Controls &amp; Summary'!$B$11+U788*'Controls &amp; Summary'!$B$12</x:f>
        <x:v>5.947992242006585</x:v>
      </x:c>
      <x:c r="W788" s="31" t="n">
        <x:v>7</x:v>
      </x:c>
      <x:c r="X788" s="31" t="n">
        <x:v>4</x:v>
      </x:c>
      <x:c r="Y788" s="31" t="n">
        <x:f>((10-MIN(10,MAX(0,X788)))/10)*'Controls &amp; Summary'!$B$15+((10-MIN(10,MAX(0,W788)))/10)*'Controls &amp; Summary'!$B$16</x:f>
        <x:v>0.8999999999999999</x:v>
      </x:c>
      <x:c r="Z788" s="31" t="n">
        <x:f>V788*Y788</x:f>
        <x:v>5.353193017805926</x:v>
      </x:c>
      <x:c r="AA788" s="30" t="str">
        <x:f>IF(Z788&lt;=I788,"Peaceful","Hostile")</x:f>
        <x:v>Peaceful</x:v>
      </x:c>
      <x:c r="AB788" s="30" t="str">
        <x:f>IF(Z788&lt;='Controls &amp; Summary'!$B$6,"Eligible","Blocked")</x:f>
        <x:v>Eligible</x:v>
      </x:c>
      <x:c r="AC788" s="30" t="str">
        <x:v>POL</x:v>
      </x:c>
      <x:c r="AD788" s="30" t="str">
        <x:v>RUS</x:v>
      </x:c>
      <x:c r="AE788" s="30" t="str">
        <x:v>Moskva</x:v>
      </x:c>
      <x:c r="AF788" s="30" t="str">
        <x:v>Explicit capitalClaim</x:v>
      </x:c>
      <x:c r="AG788" s="30" t="str">
        <x:v>ClaimPOLMoskva</x:v>
      </x:c>
      <x:c r="AH788" s="30" t="str">
        <x:v>Project_GreaterIntermarium</x:v>
      </x:c>
    </x:row>
    <x:row r="789">
      <x:c r="A789" s="30" t="str">
        <x:v>2022</x:v>
      </x:c>
      <x:c r="B789" s="30" t="str">
        <x:v>Base game</x:v>
      </x:c>
      <x:c r="C789" s="30" t="str">
        <x:v>Poland</x:v>
      </x:c>
      <x:c r="D789" s="30" t="str">
        <x:v>Serbia</x:v>
      </x:c>
      <x:c r="E789" s="30" t="str">
        <x:v>Project unlock</x:v>
      </x:c>
      <x:c r="F789" s="30" t="str">
        <x:v>Slavic Commonwealth</x:v>
      </x:c>
      <x:c r="G789" s="30" t="str">
        <x:v>No</x:v>
      </x:c>
      <x:c r="H789" s="30" t="str">
        <x:v>Ordinary claim</x:v>
      </x:c>
      <x:c r="I789" s="31" t="n">
        <x:f>IF(G789="Yes",'Controls &amp; Summary'!$B$5,'Controls &amp; Summary'!$B$4)</x:f>
        <x:v>6</x:v>
      </x:c>
      <x:c r="J789" s="31" t="n">
        <x:v>6.8</x:v>
      </x:c>
      <x:c r="K789" s="31" t="n">
        <x:v>6.36</x:v>
      </x:c>
      <x:c r="L789" s="31" t="n">
        <x:f>ABS(J789-K789)</x:f>
        <x:v>0.4399999999999995</x:v>
      </x:c>
      <x:c r="M789" s="31" t="n">
        <x:v>3.02</x:v>
      </x:c>
      <x:c r="N789" s="31" t="n">
        <x:v>3.45</x:v>
      </x:c>
      <x:c r="O789" s="31" t="n">
        <x:f>ABS(M789-N789)</x:f>
        <x:v>0.43000000000000016</x:v>
      </x:c>
      <x:c r="P789" s="31" t="n">
        <x:v>8.69</x:v>
      </x:c>
      <x:c r="Q789" s="31" t="n">
        <x:v>7.83</x:v>
      </x:c>
      <x:c r="R789" s="31" t="n">
        <x:f>ABS(P789-Q789)</x:f>
        <x:v>0.8599999999999994</x:v>
      </x:c>
      <x:c r="S789" s="32" t="n">
        <x:v>36759.35175540062</x:v>
      </x:c>
      <x:c r="T789" s="32" t="n">
        <x:v>20954.93659689366</x:v>
      </x:c>
      <x:c r="U789" s="31" t="n">
        <x:f>MAX(S789/T789,T789/S789)</x:f>
        <x:v>1.7542096386418933</x:v>
      </x:c>
      <x:c r="V789" s="31" t="n">
        <x:f>L789*'Controls &amp; Summary'!$B$9+O789*'Controls &amp; Summary'!$B$10+R789*'Controls &amp; Summary'!$B$11+U789*'Controls &amp; Summary'!$B$12</x:f>
        <x:v>3.484209638641892</x:v>
      </x:c>
      <x:c r="W789" s="31" t="n">
        <x:v>7</x:v>
      </x:c>
      <x:c r="X789" s="31" t="n">
        <x:v>1</x:v>
      </x:c>
      <x:c r="Y789" s="31" t="n">
        <x:f>((10-MIN(10,MAX(0,X789)))/10)*'Controls &amp; Summary'!$B$15+((10-MIN(10,MAX(0,W789)))/10)*'Controls &amp; Summary'!$B$16</x:f>
        <x:v>1.2</x:v>
      </x:c>
      <x:c r="Z789" s="31" t="n">
        <x:f>V789*Y789</x:f>
        <x:v>4.181051566370271</x:v>
      </x:c>
      <x:c r="AA789" s="30" t="str">
        <x:f>IF(Z789&lt;=I789,"Peaceful","Hostile")</x:f>
        <x:v>Peaceful</x:v>
      </x:c>
      <x:c r="AB789" s="30" t="str">
        <x:f>IF(Z789&lt;='Controls &amp; Summary'!$B$6,"Eligible","Blocked")</x:f>
        <x:v>Eligible</x:v>
      </x:c>
      <x:c r="AC789" s="30" t="str">
        <x:v>POL</x:v>
      </x:c>
      <x:c r="AD789" s="30" t="str">
        <x:v>SER</x:v>
      </x:c>
      <x:c r="AE789" s="30" t="str">
        <x:v>Belgrade</x:v>
      </x:c>
      <x:c r="AF789" s="30" t="str">
        <x:v>Explicit capitalClaim</x:v>
      </x:c>
      <x:c r="AG789" s="30" t="str">
        <x:v>ClaimPOLBelgrade</x:v>
      </x:c>
      <x:c r="AH789" s="30" t="str">
        <x:v>Project_SlavicCommonwealth</x:v>
      </x:c>
    </x:row>
    <x:row r="790">
      <x:c r="A790" s="30" t="str">
        <x:v>2022</x:v>
      </x:c>
      <x:c r="B790" s="30" t="str">
        <x:v>Base game</x:v>
      </x:c>
      <x:c r="C790" s="30" t="str">
        <x:v>Poland</x:v>
      </x:c>
      <x:c r="D790" s="30" t="str">
        <x:v>Slovakia</x:v>
      </x:c>
      <x:c r="E790" s="30" t="str">
        <x:v>Project unlock</x:v>
      </x:c>
      <x:c r="F790" s="30" t="str">
        <x:v>Slavic Commonwealth</x:v>
      </x:c>
      <x:c r="G790" s="30" t="str">
        <x:v>No</x:v>
      </x:c>
      <x:c r="H790" s="30" t="str">
        <x:v>Ordinary claim</x:v>
      </x:c>
      <x:c r="I790" s="31" t="n">
        <x:f>IF(G790="Yes",'Controls &amp; Summary'!$B$5,'Controls &amp; Summary'!$B$4)</x:f>
        <x:v>6</x:v>
      </x:c>
      <x:c r="J790" s="31" t="n">
        <x:v>6.8</x:v>
      </x:c>
      <x:c r="K790" s="31" t="n">
        <x:v>7.03</x:v>
      </x:c>
      <x:c r="L790" s="31" t="n">
        <x:f>ABS(J790-K790)</x:f>
        <x:v>0.23000000000000043</x:v>
      </x:c>
      <x:c r="M790" s="31" t="n">
        <x:v>3.02</x:v>
      </x:c>
      <x:c r="N790" s="31" t="n">
        <x:v>2.32</x:v>
      </x:c>
      <x:c r="O790" s="31" t="n">
        <x:f>ABS(M790-N790)</x:f>
        <x:v>0.7000000000000002</x:v>
      </x:c>
      <x:c r="P790" s="31" t="n">
        <x:v>8.69</x:v>
      </x:c>
      <x:c r="Q790" s="31" t="n">
        <x:v>8.26</x:v>
      </x:c>
      <x:c r="R790" s="31" t="n">
        <x:f>ABS(P790-Q790)</x:f>
        <x:v>0.4299999999999997</x:v>
      </x:c>
      <x:c r="S790" s="32" t="n">
        <x:v>36759.35175540062</x:v>
      </x:c>
      <x:c r="T790" s="32" t="n">
        <x:v>34026.561582197755</x:v>
      </x:c>
      <x:c r="U790" s="31" t="n">
        <x:f>MAX(S790/T790,T790/S790)</x:f>
        <x:v>1.0803134388586775</x:v>
      </x:c>
      <x:c r="V790" s="31" t="n">
        <x:f>L790*'Controls &amp; Summary'!$B$9+O790*'Controls &amp; Summary'!$B$10+R790*'Controls &amp; Summary'!$B$11+U790*'Controls &amp; Summary'!$B$12</x:f>
        <x:v>2.440313438858678</x:v>
      </x:c>
      <x:c r="W790" s="31" t="n">
        <x:v>7</x:v>
      </x:c>
      <x:c r="X790" s="31" t="n">
        <x:v>1</x:v>
      </x:c>
      <x:c r="Y790" s="31" t="n">
        <x:f>((10-MIN(10,MAX(0,X790)))/10)*'Controls &amp; Summary'!$B$15+((10-MIN(10,MAX(0,W790)))/10)*'Controls &amp; Summary'!$B$16</x:f>
        <x:v>1.2</x:v>
      </x:c>
      <x:c r="Z790" s="31" t="n">
        <x:f>V790*Y790</x:f>
        <x:v>2.9283761266304134</x:v>
      </x:c>
      <x:c r="AA790" s="30" t="str">
        <x:f>IF(Z790&lt;=I790,"Peaceful","Hostile")</x:f>
        <x:v>Peaceful</x:v>
      </x:c>
      <x:c r="AB790" s="30" t="str">
        <x:f>IF(Z790&lt;='Controls &amp; Summary'!$B$6,"Eligible","Blocked")</x:f>
        <x:v>Eligible</x:v>
      </x:c>
      <x:c r="AC790" s="30" t="str">
        <x:v>POL</x:v>
      </x:c>
      <x:c r="AD790" s="30" t="str">
        <x:v>SLO</x:v>
      </x:c>
      <x:c r="AE790" s="30" t="str">
        <x:v>Slovakia</x:v>
      </x:c>
      <x:c r="AF790" s="30" t="str">
        <x:v>Explicit capitalClaim</x:v>
      </x:c>
      <x:c r="AG790" s="30" t="str">
        <x:v>ClaimPOLSlovakia</x:v>
      </x:c>
      <x:c r="AH790" s="30" t="str">
        <x:v>Project_SlavicCommonwealth</x:v>
      </x:c>
    </x:row>
    <x:row r="791">
      <x:c r="A791" s="30" t="str">
        <x:v>2022</x:v>
      </x:c>
      <x:c r="B791" s="30" t="str">
        <x:v>Base game</x:v>
      </x:c>
      <x:c r="C791" s="30" t="str">
        <x:v>Poland</x:v>
      </x:c>
      <x:c r="D791" s="30" t="str">
        <x:v>Slovenia</x:v>
      </x:c>
      <x:c r="E791" s="30" t="str">
        <x:v>Project unlock</x:v>
      </x:c>
      <x:c r="F791" s="30" t="str">
        <x:v>Slavic Commonwealth</x:v>
      </x:c>
      <x:c r="G791" s="30" t="str">
        <x:v>No</x:v>
      </x:c>
      <x:c r="H791" s="30" t="str">
        <x:v>Ordinary claim</x:v>
      </x:c>
      <x:c r="I791" s="31" t="n">
        <x:f>IF(G791="Yes",'Controls &amp; Summary'!$B$5,'Controls &amp; Summary'!$B$4)</x:f>
        <x:v>6</x:v>
      </x:c>
      <x:c r="J791" s="31" t="n">
        <x:v>6.8</x:v>
      </x:c>
      <x:c r="K791" s="31" t="n">
        <x:v>7.54</x:v>
      </x:c>
      <x:c r="L791" s="31" t="n">
        <x:f>ABS(J791-K791)</x:f>
        <x:v>0.7400000000000002</x:v>
      </x:c>
      <x:c r="M791" s="31" t="n">
        <x:v>3.02</x:v>
      </x:c>
      <x:c r="N791" s="31" t="n">
        <x:v>2.44</x:v>
      </x:c>
      <x:c r="O791" s="31" t="n">
        <x:f>ABS(M791-N791)</x:f>
        <x:v>0.5800000000000001</x:v>
      </x:c>
      <x:c r="P791" s="31" t="n">
        <x:v>8.69</x:v>
      </x:c>
      <x:c r="Q791" s="31" t="n">
        <x:v>9.1</x:v>
      </x:c>
      <x:c r="R791" s="31" t="n">
        <x:f>ABS(P791-Q791)</x:f>
        <x:v>0.41000000000000014</x:v>
      </x:c>
      <x:c r="S791" s="32" t="n">
        <x:v>36759.35175540062</x:v>
      </x:c>
      <x:c r="T791" s="32" t="n">
        <x:v>43377.776408973405</x:v>
      </x:c>
      <x:c r="U791" s="31" t="n">
        <x:f>MAX(S791/T791,T791/S791)</x:f>
        <x:v>1.180047371281525</x:v>
      </x:c>
      <x:c r="V791" s="31" t="n">
        <x:f>L791*'Controls &amp; Summary'!$B$9+O791*'Controls &amp; Summary'!$B$10+R791*'Controls &amp; Summary'!$B$11+U791*'Controls &amp; Summary'!$B$12</x:f>
        <x:v>2.910047371281525</x:v>
      </x:c>
      <x:c r="W791" s="31" t="n">
        <x:v>7</x:v>
      </x:c>
      <x:c r="X791" s="31" t="n">
        <x:v>0</x:v>
      </x:c>
      <x:c r="Y791" s="31" t="n">
        <x:f>((10-MIN(10,MAX(0,X791)))/10)*'Controls &amp; Summary'!$B$15+((10-MIN(10,MAX(0,W791)))/10)*'Controls &amp; Summary'!$B$16</x:f>
        <x:v>1.3</x:v>
      </x:c>
      <x:c r="Z791" s="31" t="n">
        <x:f>V791*Y791</x:f>
        <x:v>3.7830615826659826</x:v>
      </x:c>
      <x:c r="AA791" s="30" t="str">
        <x:f>IF(Z791&lt;=I791,"Peaceful","Hostile")</x:f>
        <x:v>Peaceful</x:v>
      </x:c>
      <x:c r="AB791" s="30" t="str">
        <x:f>IF(Z791&lt;='Controls &amp; Summary'!$B$6,"Eligible","Blocked")</x:f>
        <x:v>Eligible</x:v>
      </x:c>
      <x:c r="AC791" s="30" t="str">
        <x:v>POL</x:v>
      </x:c>
      <x:c r="AD791" s="30" t="str">
        <x:v>SLV</x:v>
      </x:c>
      <x:c r="AE791" s="30" t="str">
        <x:v>Slovenia</x:v>
      </x:c>
      <x:c r="AF791" s="30" t="str">
        <x:v>Explicit capitalClaim</x:v>
      </x:c>
      <x:c r="AG791" s="30" t="str">
        <x:v>ClaimPOLSlovenia</x:v>
      </x:c>
      <x:c r="AH791" s="30" t="str">
        <x:v>Project_SlavicCommonwealth</x:v>
      </x:c>
    </x:row>
    <x:row r="792">
      <x:c r="A792" s="30" t="str">
        <x:v>2022</x:v>
      </x:c>
      <x:c r="B792" s="30" t="str">
        <x:v>Base game</x:v>
      </x:c>
      <x:c r="C792" s="30" t="str">
        <x:v>Poland</x:v>
      </x:c>
      <x:c r="D792" s="30" t="str">
        <x:v>Ukraine</x:v>
      </x:c>
      <x:c r="E792" s="30" t="str">
        <x:v>Project unlock</x:v>
      </x:c>
      <x:c r="F792" s="30" t="str">
        <x:v>Slavic Commonwealth</x:v>
      </x:c>
      <x:c r="G792" s="30" t="str">
        <x:v>No</x:v>
      </x:c>
      <x:c r="H792" s="30" t="str">
        <x:v>Ordinary claim</x:v>
      </x:c>
      <x:c r="I792" s="31" t="n">
        <x:f>IF(G792="Yes",'Controls &amp; Summary'!$B$5,'Controls &amp; Summary'!$B$4)</x:f>
        <x:v>6</x:v>
      </x:c>
      <x:c r="J792" s="31" t="n">
        <x:v>6.8</x:v>
      </x:c>
      <x:c r="K792" s="31" t="n">
        <x:v>5.57</x:v>
      </x:c>
      <x:c r="L792" s="31" t="n">
        <x:f>ABS(J792-K792)</x:f>
        <x:v>1.2299999999999995</x:v>
      </x:c>
      <x:c r="M792" s="31" t="n">
        <x:v>3.02</x:v>
      </x:c>
      <x:c r="N792" s="31" t="n">
        <x:v>2.56</x:v>
      </x:c>
      <x:c r="O792" s="31" t="n">
        <x:f>ABS(M792-N792)</x:f>
        <x:v>0.45999999999999996</x:v>
      </x:c>
      <x:c r="P792" s="31" t="n">
        <x:v>8.69</x:v>
      </x:c>
      <x:c r="Q792" s="31" t="n">
        <x:v>7.99</x:v>
      </x:c>
      <x:c r="R792" s="31" t="n">
        <x:f>ABS(P792-Q792)</x:f>
        <x:v>0.6999999999999993</x:v>
      </x:c>
      <x:c r="S792" s="32" t="n">
        <x:v>36759.35175540062</x:v>
      </x:c>
      <x:c r="T792" s="32" t="n">
        <x:v>12011.993225764689</x:v>
      </x:c>
      <x:c r="U792" s="31" t="n">
        <x:f>MAX(S792/T792,T792/S792)</x:f>
        <x:v>3.060220819685028</x:v>
      </x:c>
      <x:c r="V792" s="31" t="n">
        <x:f>L792*'Controls &amp; Summary'!$B$9+O792*'Controls &amp; Summary'!$B$10+R792*'Controls &amp; Summary'!$B$11+U792*'Controls &amp; Summary'!$B$12</x:f>
        <x:v>5.450220819685027</x:v>
      </x:c>
      <x:c r="W792" s="31" t="n">
        <x:v>7</x:v>
      </x:c>
      <x:c r="X792" s="31" t="n">
        <x:v>3</x:v>
      </x:c>
      <x:c r="Y792" s="31" t="n">
        <x:f>((10-MIN(10,MAX(0,X792)))/10)*'Controls &amp; Summary'!$B$15+((10-MIN(10,MAX(0,W792)))/10)*'Controls &amp; Summary'!$B$16</x:f>
        <x:v>1</x:v>
      </x:c>
      <x:c r="Z792" s="31" t="n">
        <x:f>V792*Y792</x:f>
        <x:v>5.450220819685027</x:v>
      </x:c>
      <x:c r="AA792" s="30" t="str">
        <x:f>IF(Z792&lt;=I792,"Peaceful","Hostile")</x:f>
        <x:v>Peaceful</x:v>
      </x:c>
      <x:c r="AB792" s="30" t="str">
        <x:f>IF(Z792&lt;='Controls &amp; Summary'!$B$6,"Eligible","Blocked")</x:f>
        <x:v>Eligible</x:v>
      </x:c>
      <x:c r="AC792" s="30" t="str">
        <x:v>POL</x:v>
      </x:c>
      <x:c r="AD792" s="30" t="str">
        <x:v>UKR</x:v>
      </x:c>
      <x:c r="AE792" s="30" t="str">
        <x:v>Kiev</x:v>
      </x:c>
      <x:c r="AF792" s="30" t="str">
        <x:v>Explicit capitalClaim</x:v>
      </x:c>
      <x:c r="AG792" s="30" t="str">
        <x:v>ClaimPOLKiev</x:v>
      </x:c>
      <x:c r="AH792" s="30" t="str">
        <x:v>Project_SlavicCommonwealth</x:v>
      </x:c>
    </x:row>
    <x:row r="793">
      <x:c r="A793" s="30" t="str">
        <x:v>2022</x:v>
      </x:c>
      <x:c r="B793" s="30" t="str">
        <x:v>Base game</x:v>
      </x:c>
      <x:c r="C793" s="30" t="str">
        <x:v>Romania</x:v>
      </x:c>
      <x:c r="D793" s="30" t="str">
        <x:v>Moldova</x:v>
      </x:c>
      <x:c r="E793" s="30" t="str">
        <x:v>Starting claim</x:v>
      </x:c>
      <x:c r="F793" s="30" t="str"/>
      <x:c r="G793" s="30" t="str">
        <x:v>No</x:v>
      </x:c>
      <x:c r="H793" s="30" t="str">
        <x:v>Ordinary claim</x:v>
      </x:c>
      <x:c r="I793" s="31" t="n">
        <x:f>IF(G793="Yes",'Controls &amp; Summary'!$B$5,'Controls &amp; Summary'!$B$4)</x:f>
        <x:v>6</x:v>
      </x:c>
      <x:c r="J793" s="31" t="n">
        <x:v>6.43</x:v>
      </x:c>
      <x:c r="K793" s="31" t="n">
        <x:v>6.1</x:v>
      </x:c>
      <x:c r="L793" s="31" t="n">
        <x:f>ABS(J793-K793)</x:f>
        <x:v>0.33000000000000007</x:v>
      </x:c>
      <x:c r="M793" s="31" t="n">
        <x:v>3.48</x:v>
      </x:c>
      <x:c r="N793" s="31" t="n">
        <x:v>2.6</x:v>
      </x:c>
      <x:c r="O793" s="31" t="n">
        <x:f>ABS(M793-N793)</x:f>
        <x:v>0.8799999999999999</x:v>
      </x:c>
      <x:c r="P793" s="31" t="n">
        <x:v>7.65</x:v>
      </x:c>
      <x:c r="Q793" s="31" t="n">
        <x:v>7.11</x:v>
      </x:c>
      <x:c r="R793" s="31" t="n">
        <x:f>ABS(P793-Q793)</x:f>
        <x:v>0.54</x:v>
      </x:c>
      <x:c r="S793" s="32" t="n">
        <x:v>32773.8168708325</x:v>
      </x:c>
      <x:c r="T793" s="32" t="n">
        <x:v>9323.217667521385</x:v>
      </x:c>
      <x:c r="U793" s="31" t="n">
        <x:f>MAX(S793/T793,T793/S793)</x:f>
        <x:v>3.515290325678469</x:v>
      </x:c>
      <x:c r="V793" s="31" t="n">
        <x:f>L793*'Controls &amp; Summary'!$B$9+O793*'Controls &amp; Summary'!$B$10+R793*'Controls &amp; Summary'!$B$11+U793*'Controls &amp; Summary'!$B$12</x:f>
        <x:v>5.265290325678469</x:v>
      </x:c>
      <x:c r="W793" s="31" t="n">
        <x:v>6</x:v>
      </x:c>
      <x:c r="X793" s="31" t="n">
        <x:v>3</x:v>
      </x:c>
      <x:c r="Y793" s="31" t="n">
        <x:f>((10-MIN(10,MAX(0,X793)))/10)*'Controls &amp; Summary'!$B$15+((10-MIN(10,MAX(0,W793)))/10)*'Controls &amp; Summary'!$B$16</x:f>
        <x:v>1.1</x:v>
      </x:c>
      <x:c r="Z793" s="31" t="n">
        <x:f>V793*Y793</x:f>
        <x:v>5.791819358246316</x:v>
      </x:c>
      <x:c r="AA793" s="30" t="str">
        <x:f>IF(Z793&lt;=I793,"Peaceful","Hostile")</x:f>
        <x:v>Peaceful</x:v>
      </x:c>
      <x:c r="AB793" s="30" t="str">
        <x:f>IF(Z793&lt;='Controls &amp; Summary'!$B$6,"Eligible","Blocked")</x:f>
        <x:v>Eligible</x:v>
      </x:c>
      <x:c r="AC793" s="30" t="str">
        <x:v>ROM</x:v>
      </x:c>
      <x:c r="AD793" s="30" t="str">
        <x:v>MOL</x:v>
      </x:c>
      <x:c r="AE793" s="30" t="str">
        <x:v>Moldova</x:v>
      </x:c>
      <x:c r="AF793" s="30" t="str">
        <x:v>Explicit capitalClaim</x:v>
      </x:c>
      <x:c r="AG793" s="30" t="str">
        <x:v>ClaimROMMoldova</x:v>
      </x:c>
      <x:c r="AH793" s="30" t="str"/>
    </x:row>
    <x:row r="794">
      <x:c r="A794" s="30" t="str">
        <x:v>2022</x:v>
      </x:c>
      <x:c r="B794" s="30" t="str">
        <x:v>Base game</x:v>
      </x:c>
      <x:c r="C794" s="30" t="str">
        <x:v>Russia</x:v>
      </x:c>
      <x:c r="D794" s="30" t="str">
        <x:v>Albania</x:v>
      </x:c>
      <x:c r="E794" s="30" t="str">
        <x:v>Project unlock</x:v>
      </x:c>
      <x:c r="F794" s="30" t="str">
        <x:v>Forward Russia</x:v>
      </x:c>
      <x:c r="G794" s="30" t="str">
        <x:v>Yes</x:v>
      </x:c>
      <x:c r="H794" s="30" t="str">
        <x:v>Approved expansion-project family</x:v>
      </x:c>
      <x:c r="I794" s="31" t="n">
        <x:f>IF(G794="Yes",'Controls &amp; Summary'!$B$5,'Controls &amp; Summary'!$B$4)</x:f>
        <x:v>3</x:v>
      </x:c>
      <x:c r="J794" s="31" t="n">
        <x:v>3.24</x:v>
      </x:c>
      <x:c r="K794" s="31" t="n">
        <x:v>6.11</x:v>
      </x:c>
      <x:c r="L794" s="31" t="n">
        <x:f>ABS(J794-K794)</x:f>
        <x:v>2.87</x:v>
      </x:c>
      <x:c r="M794" s="31" t="n">
        <x:v>3.53</x:v>
      </x:c>
      <x:c r="N794" s="31" t="n">
        <x:v>3.08</x:v>
      </x:c>
      <x:c r="O794" s="31" t="n">
        <x:f>ABS(M794-N794)</x:f>
        <x:v>0.44999999999999973</x:v>
      </x:c>
      <x:c r="P794" s="31" t="n">
        <x:v>8.23</x:v>
      </x:c>
      <x:c r="Q794" s="31" t="n">
        <x:v>7.46</x:v>
      </x:c>
      <x:c r="R794" s="31" t="n">
        <x:f>ABS(P794-Q794)</x:f>
        <x:v>0.7700000000000005</x:v>
      </x:c>
      <x:c r="S794" s="32" t="n">
        <x:v>25923.52106481404</x:v>
      </x:c>
      <x:c r="T794" s="32" t="n">
        <x:v>15308.058559743784</x:v>
      </x:c>
      <x:c r="U794" s="31" t="n">
        <x:f>MAX(S794/T794,T794/S794)</x:f>
        <x:v>1.6934558333207688</x:v>
      </x:c>
      <x:c r="V794" s="31" t="n">
        <x:f>L794*'Controls &amp; Summary'!$B$9+O794*'Controls &amp; Summary'!$B$10+R794*'Controls &amp; Summary'!$B$11+U794*'Controls &amp; Summary'!$B$12</x:f>
        <x:v>5.783455833320769</x:v>
      </x:c>
      <x:c r="W794" s="31" t="n">
        <x:v>8</x:v>
      </x:c>
      <x:c r="X794" s="31" t="n">
        <x:v>2</x:v>
      </x:c>
      <x:c r="Y794" s="31" t="n">
        <x:f>((10-MIN(10,MAX(0,X794)))/10)*'Controls &amp; Summary'!$B$15+((10-MIN(10,MAX(0,W794)))/10)*'Controls &amp; Summary'!$B$16</x:f>
        <x:v>1</x:v>
      </x:c>
      <x:c r="Z794" s="31" t="n">
        <x:f>V794*Y794</x:f>
        <x:v>5.783455833320769</x:v>
      </x:c>
      <x:c r="AA794" s="30" t="str">
        <x:f>IF(Z794&lt;=I794,"Peaceful","Hostile")</x:f>
        <x:v>Hostile</x:v>
      </x:c>
      <x:c r="AB794" s="30" t="str">
        <x:f>IF(Z794&lt;='Controls &amp; Summary'!$B$6,"Eligible","Blocked")</x:f>
        <x:v>Eligible</x:v>
      </x:c>
      <x:c r="AC794" s="30" t="str">
        <x:v>RUS</x:v>
      </x:c>
      <x:c r="AD794" s="30" t="str">
        <x:v>SBK</x:v>
      </x:c>
      <x:c r="AE794" s="30" t="str">
        <x:v>Tirana</x:v>
      </x:c>
      <x:c r="AF794" s="30" t="str">
        <x:v>Explicit capitalClaim</x:v>
      </x:c>
      <x:c r="AG794" s="30" t="str">
        <x:v>ClaimRUSTirana</x:v>
      </x:c>
      <x:c r="AH794" s="30" t="str">
        <x:v>Project_ForwardRussia</x:v>
      </x:c>
    </x:row>
    <x:row r="795">
      <x:c r="A795" s="30" t="str">
        <x:v>2022</x:v>
      </x:c>
      <x:c r="B795" s="30" t="str">
        <x:v>Base game</x:v>
      </x:c>
      <x:c r="C795" s="30" t="str">
        <x:v>Russia</x:v>
      </x:c>
      <x:c r="D795" s="30" t="str">
        <x:v>Armenia</x:v>
      </x:c>
      <x:c r="E795" s="30" t="str">
        <x:v>Starting claim</x:v>
      </x:c>
      <x:c r="F795" s="30" t="str"/>
      <x:c r="G795" s="30" t="str">
        <x:v>No</x:v>
      </x:c>
      <x:c r="H795" s="30" t="str">
        <x:v>Ordinary claim</x:v>
      </x:c>
      <x:c r="I795" s="31" t="n">
        <x:f>IF(G795="Yes",'Controls &amp; Summary'!$B$5,'Controls &amp; Summary'!$B$4)</x:f>
        <x:v>6</x:v>
      </x:c>
      <x:c r="J795" s="31" t="n">
        <x:v>3.24</x:v>
      </x:c>
      <x:c r="K795" s="31" t="n">
        <x:v>5.49</x:v>
      </x:c>
      <x:c r="L795" s="31" t="n">
        <x:f>ABS(J795-K795)</x:f>
        <x:v>2.25</x:v>
      </x:c>
      <x:c r="M795" s="31" t="n">
        <x:v>3.53</x:v>
      </x:c>
      <x:c r="N795" s="31" t="n">
        <x:v>2.52</x:v>
      </x:c>
      <x:c r="O795" s="31" t="n">
        <x:f>ABS(M795-N795)</x:f>
        <x:v>1.0099999999999998</x:v>
      </x:c>
      <x:c r="P795" s="31" t="n">
        <x:v>8.23</x:v>
      </x:c>
      <x:c r="Q795" s="31" t="n">
        <x:v>7.4</x:v>
      </x:c>
      <x:c r="R795" s="31" t="n">
        <x:f>ABS(P795-Q795)</x:f>
        <x:v>0.8300000000000001</x:v>
      </x:c>
      <x:c r="S795" s="32" t="n">
        <x:v>25923.52106481404</x:v>
      </x:c>
      <x:c r="T795" s="32" t="n">
        <x:v>13870.754762964294</x:v>
      </x:c>
      <x:c r="U795" s="31" t="n">
        <x:f>MAX(S795/T795,T795/S795)</x:f>
        <x:v>1.8689337031630981</x:v>
      </x:c>
      <x:c r="V795" s="31" t="n">
        <x:f>L795*'Controls &amp; Summary'!$B$9+O795*'Controls &amp; Summary'!$B$10+R795*'Controls &amp; Summary'!$B$11+U795*'Controls &amp; Summary'!$B$12</x:f>
        <x:v>5.958933703163098</x:v>
      </x:c>
      <x:c r="W795" s="31" t="n">
        <x:v>8</x:v>
      </x:c>
      <x:c r="X795" s="31" t="n">
        <x:v>3</x:v>
      </x:c>
      <x:c r="Y795" s="31" t="n">
        <x:f>((10-MIN(10,MAX(0,X795)))/10)*'Controls &amp; Summary'!$B$15+((10-MIN(10,MAX(0,W795)))/10)*'Controls &amp; Summary'!$B$16</x:f>
        <x:v>0.8999999999999999</x:v>
      </x:c>
      <x:c r="Z795" s="31" t="n">
        <x:f>V795*Y795</x:f>
        <x:v>5.363040332846787</x:v>
      </x:c>
      <x:c r="AA795" s="30" t="str">
        <x:f>IF(Z795&lt;=I795,"Peaceful","Hostile")</x:f>
        <x:v>Peaceful</x:v>
      </x:c>
      <x:c r="AB795" s="30" t="str">
        <x:f>IF(Z795&lt;='Controls &amp; Summary'!$B$6,"Eligible","Blocked")</x:f>
        <x:v>Eligible</x:v>
      </x:c>
      <x:c r="AC795" s="30" t="str">
        <x:v>RUS</x:v>
      </x:c>
      <x:c r="AD795" s="30" t="str">
        <x:v>ARM</x:v>
      </x:c>
      <x:c r="AE795" s="30" t="str">
        <x:v>Armenia</x:v>
      </x:c>
      <x:c r="AF795" s="30" t="str">
        <x:v>Explicit capitalClaim</x:v>
      </x:c>
      <x:c r="AG795" s="30" t="str">
        <x:v>ClaimRUSArmenia</x:v>
      </x:c>
      <x:c r="AH795" s="30" t="str"/>
    </x:row>
    <x:row r="796">
      <x:c r="A796" s="30" t="str">
        <x:v>2022</x:v>
      </x:c>
      <x:c r="B796" s="30" t="str">
        <x:v>Base game</x:v>
      </x:c>
      <x:c r="C796" s="30" t="str">
        <x:v>Russia</x:v>
      </x:c>
      <x:c r="D796" s="30" t="str">
        <x:v>Austria</x:v>
      </x:c>
      <x:c r="E796" s="30" t="str">
        <x:v>Project unlock</x:v>
      </x:c>
      <x:c r="F796" s="30" t="str">
        <x:v>Forward Russia</x:v>
      </x:c>
      <x:c r="G796" s="30" t="str">
        <x:v>Yes</x:v>
      </x:c>
      <x:c r="H796" s="30" t="str">
        <x:v>Template hostileClaim</x:v>
      </x:c>
      <x:c r="I796" s="31" t="n">
        <x:f>IF(G796="Yes",'Controls &amp; Summary'!$B$5,'Controls &amp; Summary'!$B$4)</x:f>
        <x:v>3</x:v>
      </x:c>
      <x:c r="J796" s="31" t="n">
        <x:v>3.24</x:v>
      </x:c>
      <x:c r="K796" s="31" t="n">
        <x:v>8.07</x:v>
      </x:c>
      <x:c r="L796" s="31" t="n">
        <x:f>ABS(J796-K796)</x:f>
        <x:v>4.83</x:v>
      </x:c>
      <x:c r="M796" s="31" t="n">
        <x:v>3.53</x:v>
      </x:c>
      <x:c r="N796" s="31" t="n">
        <x:v>3.02</x:v>
      </x:c>
      <x:c r="O796" s="31" t="n">
        <x:f>ABS(M796-N796)</x:f>
        <x:v>0.5099999999999998</x:v>
      </x:c>
      <x:c r="P796" s="31" t="n">
        <x:v>8.23</x:v>
      </x:c>
      <x:c r="Q796" s="31" t="n">
        <x:v>8.65</x:v>
      </x:c>
      <x:c r="R796" s="31" t="n">
        <x:f>ABS(P796-Q796)</x:f>
        <x:v>0.41999999999999993</x:v>
      </x:c>
      <x:c r="S796" s="32" t="n">
        <x:v>25923.52106481404</x:v>
      </x:c>
      <x:c r="T796" s="32" t="n">
        <x:v>56461.526507157185</x:v>
      </x:c>
      <x:c r="U796" s="31" t="n">
        <x:f>MAX(S796/T796,T796/S796)</x:f>
        <x:v>2.178003766000458</x:v>
      </x:c>
      <x:c r="V796" s="31" t="n">
        <x:f>L796*'Controls &amp; Summary'!$B$9+O796*'Controls &amp; Summary'!$B$10+R796*'Controls &amp; Summary'!$B$11+U796*'Controls &amp; Summary'!$B$12</x:f>
        <x:v>7.938003766000458</x:v>
      </x:c>
      <x:c r="W796" s="31" t="n">
        <x:v>8</x:v>
      </x:c>
      <x:c r="X796" s="31" t="n">
        <x:v>0</x:v>
      </x:c>
      <x:c r="Y796" s="31" t="n">
        <x:f>((10-MIN(10,MAX(0,X796)))/10)*'Controls &amp; Summary'!$B$15+((10-MIN(10,MAX(0,W796)))/10)*'Controls &amp; Summary'!$B$16</x:f>
        <x:v>1.2</x:v>
      </x:c>
      <x:c r="Z796" s="31" t="n">
        <x:f>V796*Y796</x:f>
        <x:v>9.525604519200549</x:v>
      </x:c>
      <x:c r="AA796" s="30" t="str">
        <x:f>IF(Z796&lt;=I796,"Peaceful","Hostile")</x:f>
        <x:v>Hostile</x:v>
      </x:c>
      <x:c r="AB796" s="30" t="str">
        <x:f>IF(Z796&lt;='Controls &amp; Summary'!$B$6,"Eligible","Blocked")</x:f>
        <x:v>Eligible</x:v>
      </x:c>
      <x:c r="AC796" s="30" t="str">
        <x:v>RUS</x:v>
      </x:c>
      <x:c r="AD796" s="30" t="str">
        <x:v>ALP</x:v>
      </x:c>
      <x:c r="AE796" s="30" t="str">
        <x:v>Vienna</x:v>
      </x:c>
      <x:c r="AF796" s="30" t="str">
        <x:v>Explicit capitalClaim</x:v>
      </x:c>
      <x:c r="AG796" s="30" t="str">
        <x:v>ClaimRUSVienna</x:v>
      </x:c>
      <x:c r="AH796" s="30" t="str">
        <x:v>Project_ForwardRussia</x:v>
      </x:c>
    </x:row>
    <x:row r="797">
      <x:c r="A797" s="30" t="str">
        <x:v>2022</x:v>
      </x:c>
      <x:c r="B797" s="30" t="str">
        <x:v>Base game</x:v>
      </x:c>
      <x:c r="C797" s="30" t="str">
        <x:v>Russia</x:v>
      </x:c>
      <x:c r="D797" s="30" t="str">
        <x:v>Azerbaijan</x:v>
      </x:c>
      <x:c r="E797" s="30" t="str">
        <x:v>Starting claim</x:v>
      </x:c>
      <x:c r="F797" s="30" t="str"/>
      <x:c r="G797" s="30" t="str">
        <x:v>No</x:v>
      </x:c>
      <x:c r="H797" s="30" t="str">
        <x:v>Ordinary claim</x:v>
      </x:c>
      <x:c r="I797" s="31" t="n">
        <x:f>IF(G797="Yes",'Controls &amp; Summary'!$B$5,'Controls &amp; Summary'!$B$4)</x:f>
        <x:v>6</x:v>
      </x:c>
      <x:c r="J797" s="31" t="n">
        <x:v>3.24</x:v>
      </x:c>
      <x:c r="K797" s="31" t="n">
        <x:v>2.68</x:v>
      </x:c>
      <x:c r="L797" s="31" t="n">
        <x:f>ABS(J797-K797)</x:f>
        <x:v>0.56</x:v>
      </x:c>
      <x:c r="M797" s="31" t="n">
        <x:v>3.53</x:v>
      </x:c>
      <x:c r="N797" s="31" t="n">
        <x:v>2.66</x:v>
      </x:c>
      <x:c r="O797" s="31" t="n">
        <x:f>ABS(M797-N797)</x:f>
        <x:v>0.8699999999999997</x:v>
      </x:c>
      <x:c r="P797" s="31" t="n">
        <x:v>8.23</x:v>
      </x:c>
      <x:c r="Q797" s="31" t="n">
        <x:v>7.11</x:v>
      </x:c>
      <x:c r="R797" s="31" t="n">
        <x:f>ABS(P797-Q797)</x:f>
        <x:v>1.12</x:v>
      </x:c>
      <x:c r="S797" s="32" t="n">
        <x:v>25923.52106481404</x:v>
      </x:c>
      <x:c r="T797" s="32" t="n">
        <x:v>14973.357177699658</x:v>
      </x:c>
      <x:c r="U797" s="31" t="n">
        <x:f>MAX(S797/T797,T797/S797)</x:f>
        <x:v>1.7313098697346805</x:v>
      </x:c>
      <x:c r="V797" s="31" t="n">
        <x:f>L797*'Controls &amp; Summary'!$B$9+O797*'Controls &amp; Summary'!$B$10+R797*'Controls &amp; Summary'!$B$11+U797*'Controls &amp; Summary'!$B$12</x:f>
        <x:v>4.28130986973468</x:v>
      </x:c>
      <x:c r="W797" s="31" t="n">
        <x:v>8</x:v>
      </x:c>
      <x:c r="X797" s="31" t="n">
        <x:v>3</x:v>
      </x:c>
      <x:c r="Y797" s="31" t="n">
        <x:f>((10-MIN(10,MAX(0,X797)))/10)*'Controls &amp; Summary'!$B$15+((10-MIN(10,MAX(0,W797)))/10)*'Controls &amp; Summary'!$B$16</x:f>
        <x:v>0.8999999999999999</x:v>
      </x:c>
      <x:c r="Z797" s="31" t="n">
        <x:f>V797*Y797</x:f>
        <x:v>3.853178882761212</x:v>
      </x:c>
      <x:c r="AA797" s="30" t="str">
        <x:f>IF(Z797&lt;=I797,"Peaceful","Hostile")</x:f>
        <x:v>Peaceful</x:v>
      </x:c>
      <x:c r="AB797" s="30" t="str">
        <x:f>IF(Z797&lt;='Controls &amp; Summary'!$B$6,"Eligible","Blocked")</x:f>
        <x:v>Eligible</x:v>
      </x:c>
      <x:c r="AC797" s="30" t="str">
        <x:v>RUS</x:v>
      </x:c>
      <x:c r="AD797" s="30" t="str">
        <x:v>AZE</x:v>
      </x:c>
      <x:c r="AE797" s="30" t="str">
        <x:v>Azerbaijan</x:v>
      </x:c>
      <x:c r="AF797" s="30" t="str">
        <x:v>Explicit capitalClaim</x:v>
      </x:c>
      <x:c r="AG797" s="30" t="str">
        <x:v>ClaimRUSAzerbaijan</x:v>
      </x:c>
      <x:c r="AH797" s="30" t="str"/>
    </x:row>
    <x:row r="798">
      <x:c r="A798" s="30" t="str">
        <x:v>2022</x:v>
      </x:c>
      <x:c r="B798" s="30" t="str">
        <x:v>Base game</x:v>
      </x:c>
      <x:c r="C798" s="30" t="str">
        <x:v>Russia</x:v>
      </x:c>
      <x:c r="D798" s="30" t="str">
        <x:v>Belarus</x:v>
      </x:c>
      <x:c r="E798" s="30" t="str">
        <x:v>Starting claim</x:v>
      </x:c>
      <x:c r="F798" s="30" t="str"/>
      <x:c r="G798" s="30" t="str">
        <x:v>No</x:v>
      </x:c>
      <x:c r="H798" s="30" t="str">
        <x:v>Ordinary claim</x:v>
      </x:c>
      <x:c r="I798" s="31" t="n">
        <x:f>IF(G798="Yes",'Controls &amp; Summary'!$B$5,'Controls &amp; Summary'!$B$4)</x:f>
        <x:v>6</x:v>
      </x:c>
      <x:c r="J798" s="31" t="n">
        <x:v>3.24</x:v>
      </x:c>
      <x:c r="K798" s="31" t="n">
        <x:v>2.41</x:v>
      </x:c>
      <x:c r="L798" s="31" t="n">
        <x:f>ABS(J798-K798)</x:f>
        <x:v>0.8300000000000001</x:v>
      </x:c>
      <x:c r="M798" s="31" t="n">
        <x:v>3.53</x:v>
      </x:c>
      <x:c r="N798" s="31" t="n">
        <x:v>2.44</x:v>
      </x:c>
      <x:c r="O798" s="31" t="n">
        <x:f>ABS(M798-N798)</x:f>
        <x:v>1.0899999999999999</x:v>
      </x:c>
      <x:c r="P798" s="31" t="n">
        <x:v>8.23</x:v>
      </x:c>
      <x:c r="Q798" s="31" t="n">
        <x:v>8.38</x:v>
      </x:c>
      <x:c r="R798" s="31" t="n">
        <x:f>ABS(P798-Q798)</x:f>
        <x:v>0.15000000000000036</x:v>
      </x:c>
      <x:c r="S798" s="32" t="n">
        <x:v>25923.52106481404</x:v>
      </x:c>
      <x:c r="T798" s="32" t="n">
        <x:v>18827.984500563976</x:v>
      </x:c>
      <x:c r="U798" s="31" t="n">
        <x:f>MAX(S798/T798,T798/S798)</x:f>
        <x:v>1.3768611857545092</x:v>
      </x:c>
      <x:c r="V798" s="31" t="n">
        <x:f>L798*'Controls &amp; Summary'!$B$9+O798*'Controls &amp; Summary'!$B$10+R798*'Controls &amp; Summary'!$B$11+U798*'Controls &amp; Summary'!$B$12</x:f>
        <x:v>3.4468611857545097</x:v>
      </x:c>
      <x:c r="W798" s="31" t="n">
        <x:v>8</x:v>
      </x:c>
      <x:c r="X798" s="31" t="n">
        <x:v>3</x:v>
      </x:c>
      <x:c r="Y798" s="31" t="n">
        <x:f>((10-MIN(10,MAX(0,X798)))/10)*'Controls &amp; Summary'!$B$15+((10-MIN(10,MAX(0,W798)))/10)*'Controls &amp; Summary'!$B$16</x:f>
        <x:v>0.8999999999999999</x:v>
      </x:c>
      <x:c r="Z798" s="31" t="n">
        <x:f>V798*Y798</x:f>
        <x:v>3.1021750671790587</x:v>
      </x:c>
      <x:c r="AA798" s="30" t="str">
        <x:f>IF(Z798&lt;=I798,"Peaceful","Hostile")</x:f>
        <x:v>Peaceful</x:v>
      </x:c>
      <x:c r="AB798" s="30" t="str">
        <x:f>IF(Z798&lt;='Controls &amp; Summary'!$B$6,"Eligible","Blocked")</x:f>
        <x:v>Eligible</x:v>
      </x:c>
      <x:c r="AC798" s="30" t="str">
        <x:v>RUS</x:v>
      </x:c>
      <x:c r="AD798" s="30" t="str">
        <x:v>BLR</x:v>
      </x:c>
      <x:c r="AE798" s="30" t="str">
        <x:v>Belarus</x:v>
      </x:c>
      <x:c r="AF798" s="30" t="str">
        <x:v>Explicit capitalClaim</x:v>
      </x:c>
      <x:c r="AG798" s="30" t="str">
        <x:v>ClaimRUSBelarus</x:v>
      </x:c>
      <x:c r="AH798" s="30" t="str"/>
    </x:row>
    <x:row r="799">
      <x:c r="A799" s="30" t="str">
        <x:v>2022</x:v>
      </x:c>
      <x:c r="B799" s="30" t="str">
        <x:v>Base game</x:v>
      </x:c>
      <x:c r="C799" s="30" t="str">
        <x:v>Russia</x:v>
      </x:c>
      <x:c r="D799" s="30" t="str">
        <x:v>Belgium</x:v>
      </x:c>
      <x:c r="E799" s="30" t="str">
        <x:v>Project unlock</x:v>
      </x:c>
      <x:c r="F799" s="30" t="str">
        <x:v>Forward Russia</x:v>
      </x:c>
      <x:c r="G799" s="30" t="str">
        <x:v>Yes</x:v>
      </x:c>
      <x:c r="H799" s="30" t="str">
        <x:v>Template hostileClaim</x:v>
      </x:c>
      <x:c r="I799" s="31" t="n">
        <x:f>IF(G799="Yes",'Controls &amp; Summary'!$B$5,'Controls &amp; Summary'!$B$4)</x:f>
        <x:v>3</x:v>
      </x:c>
      <x:c r="J799" s="31" t="n">
        <x:v>3.24</x:v>
      </x:c>
      <x:c r="K799" s="31" t="n">
        <x:v>7.51</x:v>
      </x:c>
      <x:c r="L799" s="31" t="n">
        <x:f>ABS(J799-K799)</x:f>
        <x:v>4.27</x:v>
      </x:c>
      <x:c r="M799" s="31" t="n">
        <x:v>3.53</x:v>
      </x:c>
      <x:c r="N799" s="31" t="n">
        <x:v>2.72</x:v>
      </x:c>
      <x:c r="O799" s="31" t="n">
        <x:f>ABS(M799-N799)</x:f>
        <x:v>0.8099999999999996</x:v>
      </x:c>
      <x:c r="P799" s="31" t="n">
        <x:v>8.23</x:v>
      </x:c>
      <x:c r="Q799" s="31" t="n">
        <x:v>9.02</x:v>
      </x:c>
      <x:c r="R799" s="31" t="n">
        <x:f>ABS(P799-Q799)</x:f>
        <x:v>0.7899999999999991</x:v>
      </x:c>
      <x:c r="S799" s="32" t="n">
        <x:v>25923.52106481404</x:v>
      </x:c>
      <x:c r="T799" s="32" t="n">
        <x:v>54689.60278835536</x:v>
      </x:c>
      <x:c r="U799" s="31" t="n">
        <x:f>MAX(S799/T799,T799/S799)</x:f>
        <x:v>2.1096517965912236</x:v>
      </x:c>
      <x:c r="V799" s="31" t="n">
        <x:f>L799*'Controls &amp; Summary'!$B$9+O799*'Controls &amp; Summary'!$B$10+R799*'Controls &amp; Summary'!$B$11+U799*'Controls &amp; Summary'!$B$12</x:f>
        <x:v>7.979651796591222</x:v>
      </x:c>
      <x:c r="W799" s="31" t="n">
        <x:v>8</x:v>
      </x:c>
      <x:c r="X799" s="31" t="n">
        <x:v>1</x:v>
      </x:c>
      <x:c r="Y799" s="31" t="n">
        <x:f>((10-MIN(10,MAX(0,X799)))/10)*'Controls &amp; Summary'!$B$15+((10-MIN(10,MAX(0,W799)))/10)*'Controls &amp; Summary'!$B$16</x:f>
        <x:v>1.1</x:v>
      </x:c>
      <x:c r="Z799" s="31" t="n">
        <x:f>V799*Y799</x:f>
        <x:v>8.777616976250345</x:v>
      </x:c>
      <x:c r="AA799" s="30" t="str">
        <x:f>IF(Z799&lt;=I799,"Peaceful","Hostile")</x:f>
        <x:v>Hostile</x:v>
      </x:c>
      <x:c r="AB799" s="30" t="str">
        <x:f>IF(Z799&lt;='Controls &amp; Summary'!$B$6,"Eligible","Blocked")</x:f>
        <x:v>Eligible</x:v>
      </x:c>
      <x:c r="AC799" s="30" t="str">
        <x:v>RUS</x:v>
      </x:c>
      <x:c r="AD799" s="30" t="str">
        <x:v>BGM</x:v>
      </x:c>
      <x:c r="AE799" s="30" t="str">
        <x:v>Belgium</x:v>
      </x:c>
      <x:c r="AF799" s="30" t="str">
        <x:v>Explicit capitalClaim</x:v>
      </x:c>
      <x:c r="AG799" s="30" t="str">
        <x:v>ClaimRUSBelgium</x:v>
      </x:c>
      <x:c r="AH799" s="30" t="str">
        <x:v>Project_ForwardRussia</x:v>
      </x:c>
    </x:row>
    <x:row r="800">
      <x:c r="A800" s="30" t="str">
        <x:v>2022</x:v>
      </x:c>
      <x:c r="B800" s="30" t="str">
        <x:v>Base game</x:v>
      </x:c>
      <x:c r="C800" s="30" t="str">
        <x:v>Russia</x:v>
      </x:c>
      <x:c r="D800" s="30" t="str">
        <x:v>Bosnia and Herzegovina</x:v>
      </x:c>
      <x:c r="E800" s="30" t="str">
        <x:v>Project unlock</x:v>
      </x:c>
      <x:c r="F800" s="30" t="str">
        <x:v>Forward Russia</x:v>
      </x:c>
      <x:c r="G800" s="30" t="str">
        <x:v>Yes</x:v>
      </x:c>
      <x:c r="H800" s="30" t="str">
        <x:v>Template hostileClaim</x:v>
      </x:c>
      <x:c r="I800" s="31" t="n">
        <x:f>IF(G800="Yes",'Controls &amp; Summary'!$B$5,'Controls &amp; Summary'!$B$4)</x:f>
        <x:v>3</x:v>
      </x:c>
      <x:c r="J800" s="31" t="n">
        <x:v>3.24</x:v>
      </x:c>
      <x:c r="K800" s="31" t="n">
        <x:v>5.04</x:v>
      </x:c>
      <x:c r="L800" s="31" t="n">
        <x:f>ABS(J800-K800)</x:f>
        <x:v>1.7999999999999998</x:v>
      </x:c>
      <x:c r="M800" s="31" t="n">
        <x:v>3.53</x:v>
      </x:c>
      <x:c r="N800" s="31" t="n">
        <x:v>3.3</x:v>
      </x:c>
      <x:c r="O800" s="31" t="n">
        <x:f>ABS(M800-N800)</x:f>
        <x:v>0.22999999999999998</x:v>
      </x:c>
      <x:c r="P800" s="31" t="n">
        <x:v>8.23</x:v>
      </x:c>
      <x:c r="Q800" s="31" t="n">
        <x:v>7.11</x:v>
      </x:c>
      <x:c r="R800" s="31" t="n">
        <x:f>ABS(P800-Q800)</x:f>
        <x:v>1.12</x:v>
      </x:c>
      <x:c r="S800" s="32" t="n">
        <x:v>25923.52106481404</x:v>
      </x:c>
      <x:c r="T800" s="32" t="n">
        <x:v>16451.920111445263</x:v>
      </x:c>
      <x:c r="U800" s="31" t="n">
        <x:f>MAX(S800/T800,T800/S800)</x:f>
        <x:v>1.5757140132706806</x:v>
      </x:c>
      <x:c r="V800" s="31" t="n">
        <x:f>L800*'Controls &amp; Summary'!$B$9+O800*'Controls &amp; Summary'!$B$10+R800*'Controls &amp; Summary'!$B$11+U800*'Controls &amp; Summary'!$B$12</x:f>
        <x:v>4.7257140132706805</x:v>
      </x:c>
      <x:c r="W800" s="31" t="n">
        <x:v>8</x:v>
      </x:c>
      <x:c r="X800" s="31" t="n">
        <x:v>2</x:v>
      </x:c>
      <x:c r="Y800" s="31" t="n">
        <x:f>((10-MIN(10,MAX(0,X800)))/10)*'Controls &amp; Summary'!$B$15+((10-MIN(10,MAX(0,W800)))/10)*'Controls &amp; Summary'!$B$16</x:f>
        <x:v>1</x:v>
      </x:c>
      <x:c r="Z800" s="31" t="n">
        <x:f>V800*Y800</x:f>
        <x:v>4.7257140132706805</x:v>
      </x:c>
      <x:c r="AA800" s="30" t="str">
        <x:f>IF(Z800&lt;=I800,"Peaceful","Hostile")</x:f>
        <x:v>Hostile</x:v>
      </x:c>
      <x:c r="AB800" s="30" t="str">
        <x:f>IF(Z800&lt;='Controls &amp; Summary'!$B$6,"Eligible","Blocked")</x:f>
        <x:v>Eligible</x:v>
      </x:c>
      <x:c r="AC800" s="30" t="str">
        <x:v>RUS</x:v>
      </x:c>
      <x:c r="AD800" s="30" t="str">
        <x:v>BSM</x:v>
      </x:c>
      <x:c r="AE800" s="30" t="str">
        <x:v>Sarajevo</x:v>
      </x:c>
      <x:c r="AF800" s="30" t="str">
        <x:v>Explicit capitalClaim</x:v>
      </x:c>
      <x:c r="AG800" s="30" t="str">
        <x:v>ClaimRUSSarajevo</x:v>
      </x:c>
      <x:c r="AH800" s="30" t="str">
        <x:v>Project_ForwardRussia</x:v>
      </x:c>
    </x:row>
    <x:row r="801">
      <x:c r="A801" s="30" t="str">
        <x:v>2022</x:v>
      </x:c>
      <x:c r="B801" s="30" t="str">
        <x:v>Base game</x:v>
      </x:c>
      <x:c r="C801" s="30" t="str">
        <x:v>Russia</x:v>
      </x:c>
      <x:c r="D801" s="30" t="str">
        <x:v>Bulgaria</x:v>
      </x:c>
      <x:c r="E801" s="30" t="str">
        <x:v>Project unlock</x:v>
      </x:c>
      <x:c r="F801" s="30" t="str">
        <x:v>Restored Warsaw Pact</x:v>
      </x:c>
      <x:c r="G801" s="30" t="str">
        <x:v>Yes</x:v>
      </x:c>
      <x:c r="H801" s="30" t="str">
        <x:v>Approved expansion-project family</x:v>
      </x:c>
      <x:c r="I801" s="31" t="n">
        <x:f>IF(G801="Yes",'Controls &amp; Summary'!$B$5,'Controls &amp; Summary'!$B$4)</x:f>
        <x:v>3</x:v>
      </x:c>
      <x:c r="J801" s="31" t="n">
        <x:v>3.24</x:v>
      </x:c>
      <x:c r="K801" s="31" t="n">
        <x:v>6.64</x:v>
      </x:c>
      <x:c r="L801" s="31" t="n">
        <x:f>ABS(J801-K801)</x:f>
        <x:v>3.3999999999999995</x:v>
      </x:c>
      <x:c r="M801" s="31" t="n">
        <x:v>3.53</x:v>
      </x:c>
      <x:c r="N801" s="31" t="n">
        <x:v>4.03</x:v>
      </x:c>
      <x:c r="O801" s="31" t="n">
        <x:f>ABS(M801-N801)</x:f>
        <x:v>0.5000000000000004</x:v>
      </x:c>
      <x:c r="P801" s="31" t="n">
        <x:v>8.23</x:v>
      </x:c>
      <x:c r="Q801" s="31" t="n">
        <x:v>7.79</x:v>
      </x:c>
      <x:c r="R801" s="31" t="n">
        <x:f>ABS(P801-Q801)</x:f>
        <x:v>0.4400000000000004</x:v>
      </x:c>
      <x:c r="S801" s="32" t="n">
        <x:v>25923.52106481404</x:v>
      </x:c>
      <x:c r="T801" s="32" t="n">
        <x:v>28613.103755656426</x:v>
      </x:c>
      <x:c r="U801" s="31" t="n">
        <x:f>MAX(S801/T801,T801/S801)</x:f>
        <x:v>1.1037506704478102</x:v>
      </x:c>
      <x:c r="V801" s="31" t="n">
        <x:f>L801*'Controls &amp; Summary'!$B$9+O801*'Controls &amp; Summary'!$B$10+R801*'Controls &amp; Summary'!$B$11+U801*'Controls &amp; Summary'!$B$12</x:f>
        <x:v>5.44375067044781</x:v>
      </x:c>
      <x:c r="W801" s="31" t="n">
        <x:v>8</x:v>
      </x:c>
      <x:c r="X801" s="31" t="n">
        <x:v>1</x:v>
      </x:c>
      <x:c r="Y801" s="31" t="n">
        <x:f>((10-MIN(10,MAX(0,X801)))/10)*'Controls &amp; Summary'!$B$15+((10-MIN(10,MAX(0,W801)))/10)*'Controls &amp; Summary'!$B$16</x:f>
        <x:v>1.1</x:v>
      </x:c>
      <x:c r="Z801" s="31" t="n">
        <x:f>V801*Y801</x:f>
        <x:v>5.988125737492592</x:v>
      </x:c>
      <x:c r="AA801" s="30" t="str">
        <x:f>IF(Z801&lt;=I801,"Peaceful","Hostile")</x:f>
        <x:v>Hostile</x:v>
      </x:c>
      <x:c r="AB801" s="30" t="str">
        <x:f>IF(Z801&lt;='Controls &amp; Summary'!$B$6,"Eligible","Blocked")</x:f>
        <x:v>Eligible</x:v>
      </x:c>
      <x:c r="AC801" s="30" t="str">
        <x:v>RUS</x:v>
      </x:c>
      <x:c r="AD801" s="30" t="str">
        <x:v>BUL</x:v>
      </x:c>
      <x:c r="AE801" s="30" t="str">
        <x:v>Bulgaria</x:v>
      </x:c>
      <x:c r="AF801" s="30" t="str">
        <x:v>Explicit capitalClaim</x:v>
      </x:c>
      <x:c r="AG801" s="30" t="str">
        <x:v>ClaimRUSBulgaria</x:v>
      </x:c>
      <x:c r="AH801" s="30" t="str">
        <x:v>Project_RestoredWarsawPact</x:v>
      </x:c>
    </x:row>
    <x:row r="802">
      <x:c r="A802" s="30" t="str">
        <x:v>2022</x:v>
      </x:c>
      <x:c r="B802" s="30" t="str">
        <x:v>Base game</x:v>
      </x:c>
      <x:c r="C802" s="30" t="str">
        <x:v>Russia</x:v>
      </x:c>
      <x:c r="D802" s="30" t="str">
        <x:v>Croatia</x:v>
      </x:c>
      <x:c r="E802" s="30" t="str">
        <x:v>Project unlock</x:v>
      </x:c>
      <x:c r="F802" s="30" t="str">
        <x:v>Forward Russia</x:v>
      </x:c>
      <x:c r="G802" s="30" t="str">
        <x:v>Yes</x:v>
      </x:c>
      <x:c r="H802" s="30" t="str">
        <x:v>Template hostileClaim</x:v>
      </x:c>
      <x:c r="I802" s="31" t="n">
        <x:f>IF(G802="Yes",'Controls &amp; Summary'!$B$5,'Controls &amp; Summary'!$B$4)</x:f>
        <x:v>3</x:v>
      </x:c>
      <x:c r="J802" s="31" t="n">
        <x:v>3.24</x:v>
      </x:c>
      <x:c r="K802" s="31" t="n">
        <x:v>6.5</x:v>
      </x:c>
      <x:c r="L802" s="31" t="n">
        <x:f>ABS(J802-K802)</x:f>
        <x:v>3.26</x:v>
      </x:c>
      <x:c r="M802" s="31" t="n">
        <x:v>3.53</x:v>
      </x:c>
      <x:c r="N802" s="31" t="n">
        <x:v>2.89</x:v>
      </x:c>
      <x:c r="O802" s="31" t="n">
        <x:f>ABS(M802-N802)</x:f>
        <x:v>0.6399999999999997</x:v>
      </x:c>
      <x:c r="P802" s="31" t="n">
        <x:v>8.23</x:v>
      </x:c>
      <x:c r="Q802" s="31" t="n">
        <x:v>8.05</x:v>
      </x:c>
      <x:c r="R802" s="31" t="n">
        <x:f>ABS(P802-Q802)</x:f>
        <x:v>0.17999999999999972</x:v>
      </x:c>
      <x:c r="S802" s="32" t="n">
        <x:v>25923.52106481404</x:v>
      </x:c>
      <x:c r="T802" s="32" t="n">
        <x:v>31492.93156945166</x:v>
      </x:c>
      <x:c r="U802" s="31" t="n">
        <x:f>MAX(S802/T802,T802/S802)</x:f>
        <x:v>1.2148400477972483</x:v>
      </x:c>
      <x:c r="V802" s="31" t="n">
        <x:f>L802*'Controls &amp; Summary'!$B$9+O802*'Controls &amp; Summary'!$B$10+R802*'Controls &amp; Summary'!$B$11+U802*'Controls &amp; Summary'!$B$12</x:f>
        <x:v>5.294840047797248</x:v>
      </x:c>
      <x:c r="W802" s="31" t="n">
        <x:v>8</x:v>
      </x:c>
      <x:c r="X802" s="31" t="n">
        <x:v>1</x:v>
      </x:c>
      <x:c r="Y802" s="31" t="n">
        <x:f>((10-MIN(10,MAX(0,X802)))/10)*'Controls &amp; Summary'!$B$15+((10-MIN(10,MAX(0,W802)))/10)*'Controls &amp; Summary'!$B$16</x:f>
        <x:v>1.1</x:v>
      </x:c>
      <x:c r="Z802" s="31" t="n">
        <x:f>V802*Y802</x:f>
        <x:v>5.824324052576973</x:v>
      </x:c>
      <x:c r="AA802" s="30" t="str">
        <x:f>IF(Z802&lt;=I802,"Peaceful","Hostile")</x:f>
        <x:v>Hostile</x:v>
      </x:c>
      <x:c r="AB802" s="30" t="str">
        <x:f>IF(Z802&lt;='Controls &amp; Summary'!$B$6,"Eligible","Blocked")</x:f>
        <x:v>Eligible</x:v>
      </x:c>
      <x:c r="AC802" s="30" t="str">
        <x:v>RUS</x:v>
      </x:c>
      <x:c r="AD802" s="30" t="str">
        <x:v>CRS</x:v>
      </x:c>
      <x:c r="AE802" s="30" t="str">
        <x:v>Zagreb</x:v>
      </x:c>
      <x:c r="AF802" s="30" t="str">
        <x:v>Explicit capitalClaim</x:v>
      </x:c>
      <x:c r="AG802" s="30" t="str">
        <x:v>ClaimRUSZagreb</x:v>
      </x:c>
      <x:c r="AH802" s="30" t="str">
        <x:v>Project_ForwardRussia</x:v>
      </x:c>
    </x:row>
    <x:row r="803">
      <x:c r="A803" s="30" t="str">
        <x:v>2022</x:v>
      </x:c>
      <x:c r="B803" s="30" t="str">
        <x:v>Base game</x:v>
      </x:c>
      <x:c r="C803" s="30" t="str">
        <x:v>Russia</x:v>
      </x:c>
      <x:c r="D803" s="30" t="str">
        <x:v>Czechia</x:v>
      </x:c>
      <x:c r="E803" s="30" t="str">
        <x:v>Project unlock</x:v>
      </x:c>
      <x:c r="F803" s="30" t="str">
        <x:v>Restored Warsaw Pact</x:v>
      </x:c>
      <x:c r="G803" s="30" t="str">
        <x:v>Yes</x:v>
      </x:c>
      <x:c r="H803" s="30" t="str">
        <x:v>Approved expansion-project family</x:v>
      </x:c>
      <x:c r="I803" s="31" t="n">
        <x:f>IF(G803="Yes",'Controls &amp; Summary'!$B$5,'Controls &amp; Summary'!$B$4)</x:f>
        <x:v>3</x:v>
      </x:c>
      <x:c r="J803" s="31" t="n">
        <x:v>3.24</x:v>
      </x:c>
      <x:c r="K803" s="31" t="n">
        <x:v>7.74</x:v>
      </x:c>
      <x:c r="L803" s="31" t="n">
        <x:f>ABS(J803-K803)</x:f>
        <x:v>4.5</x:v>
      </x:c>
      <x:c r="M803" s="31" t="n">
        <x:v>3.53</x:v>
      </x:c>
      <x:c r="N803" s="31" t="n">
        <x:v>2.53</x:v>
      </x:c>
      <x:c r="O803" s="31" t="n">
        <x:f>ABS(M803-N803)</x:f>
        <x:v>1</x:v>
      </x:c>
      <x:c r="P803" s="31" t="n">
        <x:v>8.23</x:v>
      </x:c>
      <x:c r="Q803" s="31" t="n">
        <x:v>8.9</x:v>
      </x:c>
      <x:c r="R803" s="31" t="n">
        <x:f>ABS(P803-Q803)</x:f>
        <x:v>0.6699999999999999</x:v>
      </x:c>
      <x:c r="S803" s="32" t="n">
        <x:v>25923.52106481404</x:v>
      </x:c>
      <x:c r="T803" s="32" t="n">
        <x:v>41782.2673233449</x:v>
      </x:c>
      <x:c r="U803" s="31" t="n">
        <x:f>MAX(S803/T803,T803/S803)</x:f>
        <x:v>1.611751243933291</x:v>
      </x:c>
      <x:c r="V803" s="31" t="n">
        <x:f>L803*'Controls &amp; Summary'!$B$9+O803*'Controls &amp; Summary'!$B$10+R803*'Controls &amp; Summary'!$B$11+U803*'Controls &amp; Summary'!$B$12</x:f>
        <x:v>7.781751243933291</x:v>
      </x:c>
      <x:c r="W803" s="31" t="n">
        <x:v>8</x:v>
      </x:c>
      <x:c r="X803" s="31" t="n">
        <x:v>0</x:v>
      </x:c>
      <x:c r="Y803" s="31" t="n">
        <x:f>((10-MIN(10,MAX(0,X803)))/10)*'Controls &amp; Summary'!$B$15+((10-MIN(10,MAX(0,W803)))/10)*'Controls &amp; Summary'!$B$16</x:f>
        <x:v>1.2</x:v>
      </x:c>
      <x:c r="Z803" s="31" t="n">
        <x:f>V803*Y803</x:f>
        <x:v>9.338101492719948</x:v>
      </x:c>
      <x:c r="AA803" s="30" t="str">
        <x:f>IF(Z803&lt;=I803,"Peaceful","Hostile")</x:f>
        <x:v>Hostile</x:v>
      </x:c>
      <x:c r="AB803" s="30" t="str">
        <x:f>IF(Z803&lt;='Controls &amp; Summary'!$B$6,"Eligible","Blocked")</x:f>
        <x:v>Eligible</x:v>
      </x:c>
      <x:c r="AC803" s="30" t="str">
        <x:v>RUS</x:v>
      </x:c>
      <x:c r="AD803" s="30" t="str">
        <x:v>CZE</x:v>
      </x:c>
      <x:c r="AE803" s="30" t="str">
        <x:v>Czechia</x:v>
      </x:c>
      <x:c r="AF803" s="30" t="str">
        <x:v>Explicit capitalClaim</x:v>
      </x:c>
      <x:c r="AG803" s="30" t="str">
        <x:v>ClaimRUSCzechia</x:v>
      </x:c>
      <x:c r="AH803" s="30" t="str">
        <x:v>Project_RestoredWarsawPact</x:v>
      </x:c>
    </x:row>
    <x:row r="804">
      <x:c r="A804" s="30" t="str">
        <x:v>2022</x:v>
      </x:c>
      <x:c r="B804" s="30" t="str">
        <x:v>Base game</x:v>
      </x:c>
      <x:c r="C804" s="30" t="str">
        <x:v>Russia</x:v>
      </x:c>
      <x:c r="D804" s="30" t="str">
        <x:v>Denmark</x:v>
      </x:c>
      <x:c r="E804" s="30" t="str">
        <x:v>Project unlock</x:v>
      </x:c>
      <x:c r="F804" s="30" t="str">
        <x:v>Forward Russia</x:v>
      </x:c>
      <x:c r="G804" s="30" t="str">
        <x:v>Yes</x:v>
      </x:c>
      <x:c r="H804" s="30" t="str">
        <x:v>Template hostileClaim</x:v>
      </x:c>
      <x:c r="I804" s="31" t="n">
        <x:f>IF(G804="Yes",'Controls &amp; Summary'!$B$5,'Controls &amp; Summary'!$B$4)</x:f>
        <x:v>3</x:v>
      </x:c>
      <x:c r="J804" s="31" t="n">
        <x:v>3.24</x:v>
      </x:c>
      <x:c r="K804" s="31" t="n">
        <x:v>9.09</x:v>
      </x:c>
      <x:c r="L804" s="31" t="n">
        <x:f>ABS(J804-K804)</x:f>
        <x:v>5.85</x:v>
      </x:c>
      <x:c r="M804" s="31" t="n">
        <x:v>3.53</x:v>
      </x:c>
      <x:c r="N804" s="31" t="n">
        <x:v>2.77</x:v>
      </x:c>
      <x:c r="O804" s="31" t="n">
        <x:f>ABS(M804-N804)</x:f>
        <x:v>0.7599999999999998</x:v>
      </x:c>
      <x:c r="P804" s="31" t="n">
        <x:v>8.23</x:v>
      </x:c>
      <x:c r="Q804" s="31" t="n">
        <x:v>9.2</x:v>
      </x:c>
      <x:c r="R804" s="31" t="n">
        <x:f>ABS(P804-Q804)</x:f>
        <x:v>0.9699999999999989</x:v>
      </x:c>
      <x:c r="S804" s="32" t="n">
        <x:v>25923.52106481404</x:v>
      </x:c>
      <x:c r="T804" s="32" t="n">
        <x:v>67668.16082608988</x:v>
      </x:c>
      <x:c r="U804" s="31" t="n">
        <x:f>MAX(S804/T804,T804/S804)</x:f>
        <x:v>2.610299760472577</x:v>
      </x:c>
      <x:c r="V804" s="31" t="n">
        <x:f>L804*'Controls &amp; Summary'!$B$9+O804*'Controls &amp; Summary'!$B$10+R804*'Controls &amp; Summary'!$B$11+U804*'Controls &amp; Summary'!$B$12</x:f>
        <x:v>10.190299760472575</x:v>
      </x:c>
      <x:c r="W804" s="31" t="n">
        <x:v>8</x:v>
      </x:c>
      <x:c r="X804" s="31" t="n">
        <x:v>0</x:v>
      </x:c>
      <x:c r="Y804" s="31" t="n">
        <x:f>((10-MIN(10,MAX(0,X804)))/10)*'Controls &amp; Summary'!$B$15+((10-MIN(10,MAX(0,W804)))/10)*'Controls &amp; Summary'!$B$16</x:f>
        <x:v>1.2</x:v>
      </x:c>
      <x:c r="Z804" s="31" t="n">
        <x:f>V804*Y804</x:f>
        <x:v>12.228359712567089</x:v>
      </x:c>
      <x:c r="AA804" s="30" t="str">
        <x:f>IF(Z804&lt;=I804,"Peaceful","Hostile")</x:f>
        <x:v>Hostile</x:v>
      </x:c>
      <x:c r="AB804" s="30" t="str">
        <x:f>IF(Z804&lt;='Controls &amp; Summary'!$B$6,"Eligible","Blocked")</x:f>
        <x:v>Blocked</x:v>
      </x:c>
      <x:c r="AC804" s="30" t="str">
        <x:v>RUS</x:v>
      </x:c>
      <x:c r="AD804" s="30" t="str">
        <x:v>DEN</x:v>
      </x:c>
      <x:c r="AE804" s="30" t="str">
        <x:v>Denmark</x:v>
      </x:c>
      <x:c r="AF804" s="30" t="str">
        <x:v>Explicit capitalClaim</x:v>
      </x:c>
      <x:c r="AG804" s="30" t="str">
        <x:v>ClaimRUSDenmark</x:v>
      </x:c>
      <x:c r="AH804" s="30" t="str">
        <x:v>Project_ForwardRussia</x:v>
      </x:c>
    </x:row>
    <x:row r="805">
      <x:c r="A805" s="30" t="str">
        <x:v>2022</x:v>
      </x:c>
      <x:c r="B805" s="30" t="str">
        <x:v>Base game</x:v>
      </x:c>
      <x:c r="C805" s="30" t="str">
        <x:v>Russia</x:v>
      </x:c>
      <x:c r="D805" s="30" t="str">
        <x:v>Estonia</x:v>
      </x:c>
      <x:c r="E805" s="30" t="str">
        <x:v>Starting claim</x:v>
      </x:c>
      <x:c r="F805" s="30" t="str"/>
      <x:c r="G805" s="30" t="str">
        <x:v>Yes</x:v>
      </x:c>
      <x:c r="H805" s="30" t="str">
        <x:v>Approved Russia-neighbor grievance</x:v>
      </x:c>
      <x:c r="I805" s="31" t="n">
        <x:f>IF(G805="Yes",'Controls &amp; Summary'!$B$5,'Controls &amp; Summary'!$B$4)</x:f>
        <x:v>3</x:v>
      </x:c>
      <x:c r="J805" s="31" t="n">
        <x:v>3.24</x:v>
      </x:c>
      <x:c r="K805" s="31" t="n">
        <x:v>7.84</x:v>
      </x:c>
      <x:c r="L805" s="31" t="n">
        <x:f>ABS(J805-K805)</x:f>
        <x:v>4.6</x:v>
      </x:c>
      <x:c r="M805" s="31" t="n">
        <x:v>3.53</x:v>
      </x:c>
      <x:c r="N805" s="31" t="n">
        <x:v>3.08</x:v>
      </x:c>
      <x:c r="O805" s="31" t="n">
        <x:f>ABS(M805-N805)</x:f>
        <x:v>0.44999999999999973</x:v>
      </x:c>
      <x:c r="P805" s="31" t="n">
        <x:v>8.23</x:v>
      </x:c>
      <x:c r="Q805" s="31" t="n">
        <x:v>8.82</x:v>
      </x:c>
      <x:c r="R805" s="31" t="n">
        <x:f>ABS(P805-Q805)</x:f>
        <x:v>0.5899999999999999</x:v>
      </x:c>
      <x:c r="S805" s="32" t="n">
        <x:v>25923.52106481404</x:v>
      </x:c>
      <x:c r="T805" s="32" t="n">
        <x:v>39681.9697827776</x:v>
      </x:c>
      <x:c r="U805" s="31" t="n">
        <x:f>MAX(S805/T805,T805/S805)</x:f>
        <x:v>1.5307322521336768</x:v>
      </x:c>
      <x:c r="V805" s="31" t="n">
        <x:f>L805*'Controls &amp; Summary'!$B$9+O805*'Controls &amp; Summary'!$B$10+R805*'Controls &amp; Summary'!$B$11+U805*'Controls &amp; Summary'!$B$12</x:f>
        <x:v>7.170732252133676</x:v>
      </x:c>
      <x:c r="W805" s="31" t="n">
        <x:v>8</x:v>
      </x:c>
      <x:c r="X805" s="31" t="n">
        <x:v>0</x:v>
      </x:c>
      <x:c r="Y805" s="31" t="n">
        <x:f>((10-MIN(10,MAX(0,X805)))/10)*'Controls &amp; Summary'!$B$15+((10-MIN(10,MAX(0,W805)))/10)*'Controls &amp; Summary'!$B$16</x:f>
        <x:v>1.2</x:v>
      </x:c>
      <x:c r="Z805" s="31" t="n">
        <x:f>V805*Y805</x:f>
        <x:v>8.604878702560411</x:v>
      </x:c>
      <x:c r="AA805" s="30" t="str">
        <x:f>IF(Z805&lt;=I805,"Peaceful","Hostile")</x:f>
        <x:v>Hostile</x:v>
      </x:c>
      <x:c r="AB805" s="30" t="str">
        <x:f>IF(Z805&lt;='Controls &amp; Summary'!$B$6,"Eligible","Blocked")</x:f>
        <x:v>Eligible</x:v>
      </x:c>
      <x:c r="AC805" s="30" t="str">
        <x:v>RUS</x:v>
      </x:c>
      <x:c r="AD805" s="30" t="str">
        <x:v>EST</x:v>
      </x:c>
      <x:c r="AE805" s="30" t="str">
        <x:v>Estonia</x:v>
      </x:c>
      <x:c r="AF805" s="30" t="str">
        <x:v>Explicit capitalClaim</x:v>
      </x:c>
      <x:c r="AG805" s="30" t="str">
        <x:v>ClaimRUSEstonia</x:v>
      </x:c>
      <x:c r="AH805" s="30" t="str"/>
    </x:row>
    <x:row r="806">
      <x:c r="A806" s="30" t="str">
        <x:v>2022</x:v>
      </x:c>
      <x:c r="B806" s="30" t="str">
        <x:v>Base game</x:v>
      </x:c>
      <x:c r="C806" s="30" t="str">
        <x:v>Russia</x:v>
      </x:c>
      <x:c r="D806" s="30" t="str">
        <x:v>Finland</x:v>
      </x:c>
      <x:c r="E806" s="30" t="str">
        <x:v>Project unlock</x:v>
      </x:c>
      <x:c r="F806" s="30" t="str">
        <x:v>Forward Russia</x:v>
      </x:c>
      <x:c r="G806" s="30" t="str">
        <x:v>Yes</x:v>
      </x:c>
      <x:c r="H806" s="30" t="str">
        <x:v>Template hostileClaim</x:v>
      </x:c>
      <x:c r="I806" s="31" t="n">
        <x:f>IF(G806="Yes",'Controls &amp; Summary'!$B$5,'Controls &amp; Summary'!$B$4)</x:f>
        <x:v>3</x:v>
      </x:c>
      <x:c r="J806" s="31" t="n">
        <x:v>3.24</x:v>
      </x:c>
      <x:c r="K806" s="31" t="n">
        <x:v>9.27</x:v>
      </x:c>
      <x:c r="L806" s="31" t="n">
        <x:f>ABS(J806-K806)</x:f>
        <x:v>6.029999999999999</x:v>
      </x:c>
      <x:c r="M806" s="31" t="n">
        <x:v>3.53</x:v>
      </x:c>
      <x:c r="N806" s="31" t="n">
        <x:v>2.77</x:v>
      </x:c>
      <x:c r="O806" s="31" t="n">
        <x:f>ABS(M806-N806)</x:f>
        <x:v>0.7599999999999998</x:v>
      </x:c>
      <x:c r="P806" s="31" t="n">
        <x:v>8.23</x:v>
      </x:c>
      <x:c r="Q806" s="31" t="n">
        <x:v>9.27</x:v>
      </x:c>
      <x:c r="R806" s="31" t="n">
        <x:f>ABS(P806-Q806)</x:f>
        <x:v>1.0399999999999991</x:v>
      </x:c>
      <x:c r="S806" s="32" t="n">
        <x:v>25923.52106481404</x:v>
      </x:c>
      <x:c r="T806" s="32" t="n">
        <x:v>50870.63939339583</x:v>
      </x:c>
      <x:c r="U806" s="31" t="n">
        <x:f>MAX(S806/T806,T806/S806)</x:f>
        <x:v>1.9623352578613438</x:v>
      </x:c>
      <x:c r="V806" s="31" t="n">
        <x:f>L806*'Controls &amp; Summary'!$B$9+O806*'Controls &amp; Summary'!$B$10+R806*'Controls &amp; Summary'!$B$11+U806*'Controls &amp; Summary'!$B$12</x:f>
        <x:v>9.792335257861343</x:v>
      </x:c>
      <x:c r="W806" s="31" t="n">
        <x:v>8</x:v>
      </x:c>
      <x:c r="X806" s="31" t="n">
        <x:v>0</x:v>
      </x:c>
      <x:c r="Y806" s="31" t="n">
        <x:f>((10-MIN(10,MAX(0,X806)))/10)*'Controls &amp; Summary'!$B$15+((10-MIN(10,MAX(0,W806)))/10)*'Controls &amp; Summary'!$B$16</x:f>
        <x:v>1.2</x:v>
      </x:c>
      <x:c r="Z806" s="31" t="n">
        <x:f>V806*Y806</x:f>
        <x:v>11.750802309433611</x:v>
      </x:c>
      <x:c r="AA806" s="30" t="str">
        <x:f>IF(Z806&lt;=I806,"Peaceful","Hostile")</x:f>
        <x:v>Hostile</x:v>
      </x:c>
      <x:c r="AB806" s="30" t="str">
        <x:f>IF(Z806&lt;='Controls &amp; Summary'!$B$6,"Eligible","Blocked")</x:f>
        <x:v>Eligible</x:v>
      </x:c>
      <x:c r="AC806" s="30" t="str">
        <x:v>RUS</x:v>
      </x:c>
      <x:c r="AD806" s="30" t="str">
        <x:v>FIN</x:v>
      </x:c>
      <x:c r="AE806" s="30" t="str">
        <x:v>Finland</x:v>
      </x:c>
      <x:c r="AF806" s="30" t="str">
        <x:v>Explicit capitalClaim</x:v>
      </x:c>
      <x:c r="AG806" s="30" t="str">
        <x:v>ClaimRUSFinland</x:v>
      </x:c>
      <x:c r="AH806" s="30" t="str">
        <x:v>Project_ForwardRussia</x:v>
      </x:c>
    </x:row>
    <x:row r="807">
      <x:c r="A807" s="30" t="str">
        <x:v>2022</x:v>
      </x:c>
      <x:c r="B807" s="30" t="str">
        <x:v>Base game</x:v>
      </x:c>
      <x:c r="C807" s="30" t="str">
        <x:v>Russia</x:v>
      </x:c>
      <x:c r="D807" s="30" t="str">
        <x:v>France</x:v>
      </x:c>
      <x:c r="E807" s="30" t="str">
        <x:v>Project unlock</x:v>
      </x:c>
      <x:c r="F807" s="30" t="str">
        <x:v>Forward Russia</x:v>
      </x:c>
      <x:c r="G807" s="30" t="str">
        <x:v>Yes</x:v>
      </x:c>
      <x:c r="H807" s="30" t="str">
        <x:v>Template hostileClaim</x:v>
      </x:c>
      <x:c r="I807" s="31" t="n">
        <x:f>IF(G807="Yes",'Controls &amp; Summary'!$B$5,'Controls &amp; Summary'!$B$4)</x:f>
        <x:v>3</x:v>
      </x:c>
      <x:c r="J807" s="31" t="n">
        <x:v>3.24</x:v>
      </x:c>
      <x:c r="K807" s="31" t="n">
        <x:v>7.99</x:v>
      </x:c>
      <x:c r="L807" s="31" t="n">
        <x:f>ABS(J807-K807)</x:f>
        <x:v>4.75</x:v>
      </x:c>
      <x:c r="M807" s="31" t="n">
        <x:v>3.53</x:v>
      </x:c>
      <x:c r="N807" s="31" t="n">
        <x:v>3.24</x:v>
      </x:c>
      <x:c r="O807" s="31" t="n">
        <x:f>ABS(M807-N807)</x:f>
        <x:v>0.2899999999999996</x:v>
      </x:c>
      <x:c r="P807" s="31" t="n">
        <x:v>8.23</x:v>
      </x:c>
      <x:c r="Q807" s="31" t="n">
        <x:v>8.17</x:v>
      </x:c>
      <x:c r="R807" s="31" t="n">
        <x:f>ABS(P807-Q807)</x:f>
        <x:v>0.0600000000000005</x:v>
      </x:c>
      <x:c r="S807" s="32" t="n">
        <x:v>25923.52106481404</x:v>
      </x:c>
      <x:c r="T807" s="32" t="n">
        <x:v>47309.88580491521</x:v>
      </x:c>
      <x:c r="U807" s="31" t="n">
        <x:f>MAX(S807/T807,T807/S807)</x:f>
        <x:v>1.8249791641587167</x:v>
      </x:c>
      <x:c r="V807" s="31" t="n">
        <x:f>L807*'Controls &amp; Summary'!$B$9+O807*'Controls &amp; Summary'!$B$10+R807*'Controls &amp; Summary'!$B$11+U807*'Controls &amp; Summary'!$B$12</x:f>
        <x:v>6.924979164158716</x:v>
      </x:c>
      <x:c r="W807" s="31" t="n">
        <x:v>8</x:v>
      </x:c>
      <x:c r="X807" s="31" t="n">
        <x:v>2</x:v>
      </x:c>
      <x:c r="Y807" s="31" t="n">
        <x:f>((10-MIN(10,MAX(0,X807)))/10)*'Controls &amp; Summary'!$B$15+((10-MIN(10,MAX(0,W807)))/10)*'Controls &amp; Summary'!$B$16</x:f>
        <x:v>1</x:v>
      </x:c>
      <x:c r="Z807" s="31" t="n">
        <x:f>V807*Y807</x:f>
        <x:v>6.924979164158716</x:v>
      </x:c>
      <x:c r="AA807" s="30" t="str">
        <x:f>IF(Z807&lt;=I807,"Peaceful","Hostile")</x:f>
        <x:v>Hostile</x:v>
      </x:c>
      <x:c r="AB807" s="30" t="str">
        <x:f>IF(Z807&lt;='Controls &amp; Summary'!$B$6,"Eligible","Blocked")</x:f>
        <x:v>Eligible</x:v>
      </x:c>
      <x:c r="AC807" s="30" t="str">
        <x:v>RUS</x:v>
      </x:c>
      <x:c r="AD807" s="30" t="str">
        <x:v>EUA</x:v>
      </x:c>
      <x:c r="AE807" s="30" t="str">
        <x:v>Paris</x:v>
      </x:c>
      <x:c r="AF807" s="30" t="str">
        <x:v>Explicit capitalClaim</x:v>
      </x:c>
      <x:c r="AG807" s="30" t="str">
        <x:v>ClaimRUSParis</x:v>
      </x:c>
      <x:c r="AH807" s="30" t="str">
        <x:v>Project_ForwardRussia</x:v>
      </x:c>
    </x:row>
    <x:row r="808">
      <x:c r="A808" s="30" t="str">
        <x:v>2022</x:v>
      </x:c>
      <x:c r="B808" s="30" t="str">
        <x:v>Base game</x:v>
      </x:c>
      <x:c r="C808" s="30" t="str">
        <x:v>Russia</x:v>
      </x:c>
      <x:c r="D808" s="30" t="str">
        <x:v>Georgia</x:v>
      </x:c>
      <x:c r="E808" s="30" t="str">
        <x:v>Starting claim</x:v>
      </x:c>
      <x:c r="F808" s="30" t="str"/>
      <x:c r="G808" s="30" t="str">
        <x:v>Yes</x:v>
      </x:c>
      <x:c r="H808" s="30" t="str">
        <x:v>Approved Russia-neighbor grievance</x:v>
      </x:c>
      <x:c r="I808" s="31" t="n">
        <x:f>IF(G808="Yes",'Controls &amp; Summary'!$B$5,'Controls &amp; Summary'!$B$4)</x:f>
        <x:v>3</x:v>
      </x:c>
      <x:c r="J808" s="31" t="n">
        <x:v>3.24</x:v>
      </x:c>
      <x:c r="K808" s="31" t="n">
        <x:v>5.12</x:v>
      </x:c>
      <x:c r="L808" s="31" t="n">
        <x:f>ABS(J808-K808)</x:f>
        <x:v>1.88</x:v>
      </x:c>
      <x:c r="M808" s="31" t="n">
        <x:v>3.53</x:v>
      </x:c>
      <x:c r="N808" s="31" t="n">
        <x:v>3.45</x:v>
      </x:c>
      <x:c r="O808" s="31" t="n">
        <x:f>ABS(M808-N808)</x:f>
        <x:v>0.07999999999999963</x:v>
      </x:c>
      <x:c r="P808" s="31" t="n">
        <x:v>8.23</x:v>
      </x:c>
      <x:c r="Q808" s="31" t="n">
        <x:v>8.62</x:v>
      </x:c>
      <x:c r="R808" s="31" t="n">
        <x:f>ABS(P808-Q808)</x:f>
        <x:v>0.3899999999999988</x:v>
      </x:c>
      <x:c r="S808" s="32" t="n">
        <x:v>25923.52106481404</x:v>
      </x:c>
      <x:c r="T808" s="32" t="n">
        <x:v>15343.237389796099</x:v>
      </x:c>
      <x:c r="U808" s="31" t="n">
        <x:f>MAX(S808/T808,T808/S808)</x:f>
        <x:v>1.689573093749711</x:v>
      </x:c>
      <x:c r="V808" s="31" t="n">
        <x:f>L808*'Controls &amp; Summary'!$B$9+O808*'Controls &amp; Summary'!$B$10+R808*'Controls &amp; Summary'!$B$11+U808*'Controls &amp; Summary'!$B$12</x:f>
        <x:v>4.039573093749709</x:v>
      </x:c>
      <x:c r="W808" s="31" t="n">
        <x:v>8</x:v>
      </x:c>
      <x:c r="X808" s="31" t="n">
        <x:v>3</x:v>
      </x:c>
      <x:c r="Y808" s="31" t="n">
        <x:f>((10-MIN(10,MAX(0,X808)))/10)*'Controls &amp; Summary'!$B$15+((10-MIN(10,MAX(0,W808)))/10)*'Controls &amp; Summary'!$B$16</x:f>
        <x:v>0.8999999999999999</x:v>
      </x:c>
      <x:c r="Z808" s="31" t="n">
        <x:f>V808*Y808</x:f>
        <x:v>3.635615784374738</x:v>
      </x:c>
      <x:c r="AA808" s="30" t="str">
        <x:f>IF(Z808&lt;=I808,"Peaceful","Hostile")</x:f>
        <x:v>Hostile</x:v>
      </x:c>
      <x:c r="AB808" s="30" t="str">
        <x:f>IF(Z808&lt;='Controls &amp; Summary'!$B$6,"Eligible","Blocked")</x:f>
        <x:v>Eligible</x:v>
      </x:c>
      <x:c r="AC808" s="30" t="str">
        <x:v>RUS</x:v>
      </x:c>
      <x:c r="AD808" s="30" t="str">
        <x:v>GEO</x:v>
      </x:c>
      <x:c r="AE808" s="30" t="str">
        <x:v>Georgia</x:v>
      </x:c>
      <x:c r="AF808" s="30" t="str">
        <x:v>Explicit capitalClaim</x:v>
      </x:c>
      <x:c r="AG808" s="30" t="str">
        <x:v>ClaimRUSGeorgia</x:v>
      </x:c>
      <x:c r="AH808" s="30" t="str"/>
    </x:row>
    <x:row r="809">
      <x:c r="A809" s="30" t="str">
        <x:v>2022</x:v>
      </x:c>
      <x:c r="B809" s="30" t="str">
        <x:v>Base game</x:v>
      </x:c>
      <x:c r="C809" s="30" t="str">
        <x:v>Russia</x:v>
      </x:c>
      <x:c r="D809" s="30" t="str">
        <x:v>Germany</x:v>
      </x:c>
      <x:c r="E809" s="30" t="str">
        <x:v>Project unlock</x:v>
      </x:c>
      <x:c r="F809" s="30" t="str">
        <x:v>Restored Warsaw Pact</x:v>
      </x:c>
      <x:c r="G809" s="30" t="str">
        <x:v>Yes</x:v>
      </x:c>
      <x:c r="H809" s="30" t="str">
        <x:v>Approved expansion-project family</x:v>
      </x:c>
      <x:c r="I809" s="31" t="n">
        <x:f>IF(G809="Yes",'Controls &amp; Summary'!$B$5,'Controls &amp; Summary'!$B$4)</x:f>
        <x:v>3</x:v>
      </x:c>
      <x:c r="J809" s="31" t="n">
        <x:v>3.24</x:v>
      </x:c>
      <x:c r="K809" s="31" t="n">
        <x:v>8.67</x:v>
      </x:c>
      <x:c r="L809" s="31" t="n">
        <x:f>ABS(J809-K809)</x:f>
        <x:v>5.43</x:v>
      </x:c>
      <x:c r="M809" s="31" t="n">
        <x:v>3.53</x:v>
      </x:c>
      <x:c r="N809" s="31" t="n">
        <x:v>3.17</x:v>
      </x:c>
      <x:c r="O809" s="31" t="n">
        <x:f>ABS(M809-N809)</x:f>
        <x:v>0.3599999999999999</x:v>
      </x:c>
      <x:c r="P809" s="31" t="n">
        <x:v>8.23</x:v>
      </x:c>
      <x:c r="Q809" s="31" t="n">
        <x:v>9.43</x:v>
      </x:c>
      <x:c r="R809" s="31" t="n">
        <x:f>ABS(P809-Q809)</x:f>
        <x:v>1.1999999999999993</x:v>
      </x:c>
      <x:c r="S809" s="32" t="n">
        <x:v>25923.52106481404</x:v>
      </x:c>
      <x:c r="T809" s="32" t="n">
        <x:v>55295.97259086199</x:v>
      </x:c>
      <x:c r="U809" s="31" t="n">
        <x:f>MAX(S809/T809,T809/S809)</x:f>
        <x:v>2.1330425158145334</x:v>
      </x:c>
      <x:c r="V809" s="31" t="n">
        <x:f>L809*'Controls &amp; Summary'!$B$9+O809*'Controls &amp; Summary'!$B$10+R809*'Controls &amp; Summary'!$B$11+U809*'Controls &amp; Summary'!$B$12</x:f>
        <x:v>9.123042515814532</x:v>
      </x:c>
      <x:c r="W809" s="31" t="n">
        <x:v>8</x:v>
      </x:c>
      <x:c r="X809" s="31" t="n">
        <x:v>1</x:v>
      </x:c>
      <x:c r="Y809" s="31" t="n">
        <x:f>((10-MIN(10,MAX(0,X809)))/10)*'Controls &amp; Summary'!$B$15+((10-MIN(10,MAX(0,W809)))/10)*'Controls &amp; Summary'!$B$16</x:f>
        <x:v>1.1</x:v>
      </x:c>
      <x:c r="Z809" s="31" t="n">
        <x:f>V809*Y809</x:f>
        <x:v>10.035346767395986</x:v>
      </x:c>
      <x:c r="AA809" s="30" t="str">
        <x:f>IF(Z809&lt;=I809,"Peaceful","Hostile")</x:f>
        <x:v>Hostile</x:v>
      </x:c>
      <x:c r="AB809" s="30" t="str">
        <x:f>IF(Z809&lt;='Controls &amp; Summary'!$B$6,"Eligible","Blocked")</x:f>
        <x:v>Eligible</x:v>
      </x:c>
      <x:c r="AC809" s="30" t="str">
        <x:v>RUS</x:v>
      </x:c>
      <x:c r="AD809" s="30" t="str">
        <x:v>DEU</x:v>
      </x:c>
      <x:c r="AE809" s="30" t="str">
        <x:v>EastGermany</x:v>
      </x:c>
      <x:c r="AF809" s="30" t="str">
        <x:v>Explicit capitalClaim</x:v>
      </x:c>
      <x:c r="AG809" s="30" t="str">
        <x:v>ClaimRUSEastGermany</x:v>
      </x:c>
      <x:c r="AH809" s="30" t="str">
        <x:v>Project_RestoredWarsawPact</x:v>
      </x:c>
    </x:row>
    <x:row r="810">
      <x:c r="A810" s="30" t="str">
        <x:v>2022</x:v>
      </x:c>
      <x:c r="B810" s="30" t="str">
        <x:v>Base game</x:v>
      </x:c>
      <x:c r="C810" s="30" t="str">
        <x:v>Russia</x:v>
      </x:c>
      <x:c r="D810" s="30" t="str">
        <x:v>Greece</x:v>
      </x:c>
      <x:c r="E810" s="30" t="str">
        <x:v>Project unlock</x:v>
      </x:c>
      <x:c r="F810" s="30" t="str">
        <x:v>Forward Russia</x:v>
      </x:c>
      <x:c r="G810" s="30" t="str">
        <x:v>Yes</x:v>
      </x:c>
      <x:c r="H810" s="30" t="str">
        <x:v>Template hostileClaim</x:v>
      </x:c>
      <x:c r="I810" s="31" t="n">
        <x:f>IF(G810="Yes",'Controls &amp; Summary'!$B$5,'Controls &amp; Summary'!$B$4)</x:f>
        <x:v>3</x:v>
      </x:c>
      <x:c r="J810" s="31" t="n">
        <x:v>3.24</x:v>
      </x:c>
      <x:c r="K810" s="31" t="n">
        <x:v>7.55</x:v>
      </x:c>
      <x:c r="L810" s="31" t="n">
        <x:f>ABS(J810-K810)</x:f>
        <x:v>4.31</x:v>
      </x:c>
      <x:c r="M810" s="31" t="n">
        <x:v>3.53</x:v>
      </x:c>
      <x:c r="N810" s="31" t="n">
        <x:v>3.3</x:v>
      </x:c>
      <x:c r="O810" s="31" t="n">
        <x:f>ABS(M810-N810)</x:f>
        <x:v>0.22999999999999998</x:v>
      </x:c>
      <x:c r="P810" s="31" t="n">
        <x:v>8.23</x:v>
      </x:c>
      <x:c r="Q810" s="31" t="n">
        <x:v>8.47</x:v>
      </x:c>
      <x:c r="R810" s="31" t="n">
        <x:f>ABS(P810-Q810)</x:f>
        <x:v>0.2400000000000002</x:v>
      </x:c>
      <x:c r="S810" s="32" t="n">
        <x:v>25923.52106481404</x:v>
      </x:c>
      <x:c r="T810" s="32" t="n">
        <x:v>33373.4843182602</x:v>
      </x:c>
      <x:c r="U810" s="31" t="n">
        <x:f>MAX(S810/T810,T810/S810)</x:f>
        <x:v>1.287382382771991</x:v>
      </x:c>
      <x:c r="V810" s="31" t="n">
        <x:f>L810*'Controls &amp; Summary'!$B$9+O810*'Controls &amp; Summary'!$B$10+R810*'Controls &amp; Summary'!$B$11+U810*'Controls &amp; Summary'!$B$12</x:f>
        <x:v>6.06738238277199</x:v>
      </x:c>
      <x:c r="W810" s="31" t="n">
        <x:v>8</x:v>
      </x:c>
      <x:c r="X810" s="31" t="n">
        <x:v>2</x:v>
      </x:c>
      <x:c r="Y810" s="31" t="n">
        <x:f>((10-MIN(10,MAX(0,X810)))/10)*'Controls &amp; Summary'!$B$15+((10-MIN(10,MAX(0,W810)))/10)*'Controls &amp; Summary'!$B$16</x:f>
        <x:v>1</x:v>
      </x:c>
      <x:c r="Z810" s="31" t="n">
        <x:f>V810*Y810</x:f>
        <x:v>6.06738238277199</x:v>
      </x:c>
      <x:c r="AA810" s="30" t="str">
        <x:f>IF(Z810&lt;=I810,"Peaceful","Hostile")</x:f>
        <x:v>Hostile</x:v>
      </x:c>
      <x:c r="AB810" s="30" t="str">
        <x:f>IF(Z810&lt;='Controls &amp; Summary'!$B$6,"Eligible","Blocked")</x:f>
        <x:v>Eligible</x:v>
      </x:c>
      <x:c r="AC810" s="30" t="str">
        <x:v>RUS</x:v>
      </x:c>
      <x:c r="AD810" s="30" t="str">
        <x:v>GRE</x:v>
      </x:c>
      <x:c r="AE810" s="30" t="str">
        <x:v>Greece</x:v>
      </x:c>
      <x:c r="AF810" s="30" t="str">
        <x:v>Explicit capitalClaim</x:v>
      </x:c>
      <x:c r="AG810" s="30" t="str">
        <x:v>ClaimRUSGreece</x:v>
      </x:c>
      <x:c r="AH810" s="30" t="str">
        <x:v>Project_ForwardRussia</x:v>
      </x:c>
    </x:row>
    <x:row r="811">
      <x:c r="A811" s="30" t="str">
        <x:v>2022</x:v>
      </x:c>
      <x:c r="B811" s="30" t="str">
        <x:v>Base game</x:v>
      </x:c>
      <x:c r="C811" s="30" t="str">
        <x:v>Russia</x:v>
      </x:c>
      <x:c r="D811" s="30" t="str">
        <x:v>Hungary</x:v>
      </x:c>
      <x:c r="E811" s="30" t="str">
        <x:v>Project unlock</x:v>
      </x:c>
      <x:c r="F811" s="30" t="str">
        <x:v>Restored Warsaw Pact</x:v>
      </x:c>
      <x:c r="G811" s="30" t="str">
        <x:v>Yes</x:v>
      </x:c>
      <x:c r="H811" s="30" t="str">
        <x:v>Approved expansion-project family</x:v>
      </x:c>
      <x:c r="I811" s="31" t="n">
        <x:f>IF(G811="Yes",'Controls &amp; Summary'!$B$5,'Controls &amp; Summary'!$B$4)</x:f>
        <x:v>3</x:v>
      </x:c>
      <x:c r="J811" s="31" t="n">
        <x:v>3.24</x:v>
      </x:c>
      <x:c r="K811" s="31" t="n">
        <x:v>6.5</x:v>
      </x:c>
      <x:c r="L811" s="31" t="n">
        <x:f>ABS(J811-K811)</x:f>
        <x:v>3.26</x:v>
      </x:c>
      <x:c r="M811" s="31" t="n">
        <x:v>3.53</x:v>
      </x:c>
      <x:c r="N811" s="31" t="n">
        <x:v>3</x:v>
      </x:c>
      <x:c r="O811" s="31" t="n">
        <x:f>ABS(M811-N811)</x:f>
        <x:v>0.5299999999999998</x:v>
      </x:c>
      <x:c r="P811" s="31" t="n">
        <x:v>8.23</x:v>
      </x:c>
      <x:c r="Q811" s="31" t="n">
        <x:v>8.21</x:v>
      </x:c>
      <x:c r="R811" s="31" t="n">
        <x:f>ABS(P811-Q811)</x:f>
        <x:v>0.019999999999999574</x:v>
      </x:c>
      <x:c r="S811" s="32" t="n">
        <x:v>25923.52106481404</x:v>
      </x:c>
      <x:c r="T811" s="32" t="n">
        <x:v>36516.892225214695</x:v>
      </x:c>
      <x:c r="U811" s="31" t="n">
        <x:f>MAX(S811/T811,T811/S811)</x:f>
        <x:v>1.4086393639936137</x:v>
      </x:c>
      <x:c r="V811" s="31" t="n">
        <x:f>L811*'Controls &amp; Summary'!$B$9+O811*'Controls &amp; Summary'!$B$10+R811*'Controls &amp; Summary'!$B$11+U811*'Controls &amp; Summary'!$B$12</x:f>
        <x:v>5.218639363993613</x:v>
      </x:c>
      <x:c r="W811" s="31" t="n">
        <x:v>8</x:v>
      </x:c>
      <x:c r="X811" s="31" t="n">
        <x:v>1</x:v>
      </x:c>
      <x:c r="Y811" s="31" t="n">
        <x:f>((10-MIN(10,MAX(0,X811)))/10)*'Controls &amp; Summary'!$B$15+((10-MIN(10,MAX(0,W811)))/10)*'Controls &amp; Summary'!$B$16</x:f>
        <x:v>1.1</x:v>
      </x:c>
      <x:c r="Z811" s="31" t="n">
        <x:f>V811*Y811</x:f>
        <x:v>5.740503300392974</x:v>
      </x:c>
      <x:c r="AA811" s="30" t="str">
        <x:f>IF(Z811&lt;=I811,"Peaceful","Hostile")</x:f>
        <x:v>Hostile</x:v>
      </x:c>
      <x:c r="AB811" s="30" t="str">
        <x:f>IF(Z811&lt;='Controls &amp; Summary'!$B$6,"Eligible","Blocked")</x:f>
        <x:v>Eligible</x:v>
      </x:c>
      <x:c r="AC811" s="30" t="str">
        <x:v>RUS</x:v>
      </x:c>
      <x:c r="AD811" s="30" t="str">
        <x:v>HUN</x:v>
      </x:c>
      <x:c r="AE811" s="30" t="str">
        <x:v>Hungary</x:v>
      </x:c>
      <x:c r="AF811" s="30" t="str">
        <x:v>Explicit capitalClaim</x:v>
      </x:c>
      <x:c r="AG811" s="30" t="str">
        <x:v>ClaimRUSHungary</x:v>
      </x:c>
      <x:c r="AH811" s="30" t="str">
        <x:v>Project_RestoredWarsawPact</x:v>
      </x:c>
    </x:row>
    <x:row r="812">
      <x:c r="A812" s="30" t="str">
        <x:v>2022</x:v>
      </x:c>
      <x:c r="B812" s="30" t="str">
        <x:v>Base game</x:v>
      </x:c>
      <x:c r="C812" s="30" t="str">
        <x:v>Russia</x:v>
      </x:c>
      <x:c r="D812" s="30" t="str">
        <x:v>Italy</x:v>
      </x:c>
      <x:c r="E812" s="30" t="str">
        <x:v>Project unlock</x:v>
      </x:c>
      <x:c r="F812" s="30" t="str">
        <x:v>Forward Russia</x:v>
      </x:c>
      <x:c r="G812" s="30" t="str">
        <x:v>Yes</x:v>
      </x:c>
      <x:c r="H812" s="30" t="str">
        <x:v>Template hostileClaim</x:v>
      </x:c>
      <x:c r="I812" s="31" t="n">
        <x:f>IF(G812="Yes",'Controls &amp; Summary'!$B$5,'Controls &amp; Summary'!$B$4)</x:f>
        <x:v>3</x:v>
      </x:c>
      <x:c r="J812" s="31" t="n">
        <x:v>3.24</x:v>
      </x:c>
      <x:c r="K812" s="31" t="n">
        <x:v>7.68</x:v>
      </x:c>
      <x:c r="L812" s="31" t="n">
        <x:f>ABS(J812-K812)</x:f>
        <x:v>4.4399999999999995</x:v>
      </x:c>
      <x:c r="M812" s="31" t="n">
        <x:v>3.53</x:v>
      </x:c>
      <x:c r="N812" s="31" t="n">
        <x:v>3.52</x:v>
      </x:c>
      <x:c r="O812" s="31" t="n">
        <x:f>ABS(M812-N812)</x:f>
        <x:v>0.009999999999999787</x:v>
      </x:c>
      <x:c r="P812" s="31" t="n">
        <x:v>8.23</x:v>
      </x:c>
      <x:c r="Q812" s="31" t="n">
        <x:v>7.93</x:v>
      </x:c>
      <x:c r="R812" s="31" t="n">
        <x:f>ABS(P812-Q812)</x:f>
        <x:v>0.3000000000000007</x:v>
      </x:c>
      <x:c r="S812" s="32" t="n">
        <x:v>25923.52106481404</x:v>
      </x:c>
      <x:c r="T812" s="32" t="n">
        <x:v>43589.37767217334</x:v>
      </x:c>
      <x:c r="U812" s="31" t="n">
        <x:f>MAX(S812/T812,T812/S812)</x:f>
        <x:v>1.6814605378332321</x:v>
      </x:c>
      <x:c r="V812" s="31" t="n">
        <x:f>L812*'Controls &amp; Summary'!$B$9+O812*'Controls &amp; Summary'!$B$10+R812*'Controls &amp; Summary'!$B$11+U812*'Controls &amp; Summary'!$B$12</x:f>
        <x:v>6.431460537833232</x:v>
      </x:c>
      <x:c r="W812" s="31" t="n">
        <x:v>8</x:v>
      </x:c>
      <x:c r="X812" s="31" t="n">
        <x:v>2</x:v>
      </x:c>
      <x:c r="Y812" s="31" t="n">
        <x:f>((10-MIN(10,MAX(0,X812)))/10)*'Controls &amp; Summary'!$B$15+((10-MIN(10,MAX(0,W812)))/10)*'Controls &amp; Summary'!$B$16</x:f>
        <x:v>1</x:v>
      </x:c>
      <x:c r="Z812" s="31" t="n">
        <x:f>V812*Y812</x:f>
        <x:v>6.431460537833232</x:v>
      </x:c>
      <x:c r="AA812" s="30" t="str">
        <x:f>IF(Z812&lt;=I812,"Peaceful","Hostile")</x:f>
        <x:v>Hostile</x:v>
      </x:c>
      <x:c r="AB812" s="30" t="str">
        <x:f>IF(Z812&lt;='Controls &amp; Summary'!$B$6,"Eligible","Blocked")</x:f>
        <x:v>Eligible</x:v>
      </x:c>
      <x:c r="AC812" s="30" t="str">
        <x:v>RUS</x:v>
      </x:c>
      <x:c r="AD812" s="30" t="str">
        <x:v>ITA</x:v>
      </x:c>
      <x:c r="AE812" s="30" t="str">
        <x:v>Italy</x:v>
      </x:c>
      <x:c r="AF812" s="30" t="str">
        <x:v>Explicit capitalClaim</x:v>
      </x:c>
      <x:c r="AG812" s="30" t="str">
        <x:v>ClaimRUSItaly</x:v>
      </x:c>
      <x:c r="AH812" s="30" t="str">
        <x:v>Project_ForwardRussia</x:v>
      </x:c>
    </x:row>
    <x:row r="813">
      <x:c r="A813" s="30" t="str">
        <x:v>2022</x:v>
      </x:c>
      <x:c r="B813" s="30" t="str">
        <x:v>Base game</x:v>
      </x:c>
      <x:c r="C813" s="30" t="str">
        <x:v>Russia</x:v>
      </x:c>
      <x:c r="D813" s="30" t="str">
        <x:v>Kazakhstan</x:v>
      </x:c>
      <x:c r="E813" s="30" t="str">
        <x:v>Starting claim</x:v>
      </x:c>
      <x:c r="F813" s="30" t="str"/>
      <x:c r="G813" s="30" t="str">
        <x:v>No</x:v>
      </x:c>
      <x:c r="H813" s="30" t="str">
        <x:v>Ordinary claim</x:v>
      </x:c>
      <x:c r="I813" s="31" t="n">
        <x:f>IF(G813="Yes",'Controls &amp; Summary'!$B$5,'Controls &amp; Summary'!$B$4)</x:f>
        <x:v>6</x:v>
      </x:c>
      <x:c r="J813" s="31" t="n">
        <x:v>3.24</x:v>
      </x:c>
      <x:c r="K813" s="31" t="n">
        <x:v>3.08</x:v>
      </x:c>
      <x:c r="L813" s="31" t="n">
        <x:f>ABS(J813-K813)</x:f>
        <x:v>0.16000000000000014</x:v>
      </x:c>
      <x:c r="M813" s="31" t="n">
        <x:v>3.53</x:v>
      </x:c>
      <x:c r="N813" s="31" t="n">
        <x:v>2.78</x:v>
      </x:c>
      <x:c r="O813" s="31" t="n">
        <x:f>ABS(M813-N813)</x:f>
        <x:v>0.75</x:v>
      </x:c>
      <x:c r="P813" s="31" t="n">
        <x:v>8.23</x:v>
      </x:c>
      <x:c r="Q813" s="31" t="n">
        <x:v>8.3</x:v>
      </x:c>
      <x:c r="R813" s="31" t="n">
        <x:f>ABS(P813-Q813)</x:f>
        <x:v>0.07000000000000028</x:v>
      </x:c>
      <x:c r="S813" s="32" t="n">
        <x:v>25923.52106481404</x:v>
      </x:c>
      <x:c r="T813" s="32" t="n">
        <x:v>26959.694155648358</x:v>
      </x:c>
      <x:c r="U813" s="31" t="n">
        <x:f>MAX(S813/T813,T813/S813)</x:f>
        <x:v>1.0399703839707453</x:v>
      </x:c>
      <x:c r="V813" s="31" t="n">
        <x:f>L813*'Controls &amp; Summary'!$B$9+O813*'Controls &amp; Summary'!$B$10+R813*'Controls &amp; Summary'!$B$11+U813*'Controls &amp; Summary'!$B$12</x:f>
        <x:v>2.0199703839707457</x:v>
      </x:c>
      <x:c r="W813" s="31" t="n">
        <x:v>8</x:v>
      </x:c>
      <x:c r="X813" s="31" t="n">
        <x:v>4</x:v>
      </x:c>
      <x:c r="Y813" s="31" t="n">
        <x:f>((10-MIN(10,MAX(0,X813)))/10)*'Controls &amp; Summary'!$B$15+((10-MIN(10,MAX(0,W813)))/10)*'Controls &amp; Summary'!$B$16</x:f>
        <x:v>0.8</x:v>
      </x:c>
      <x:c r="Z813" s="31" t="n">
        <x:f>V813*Y813</x:f>
        <x:v>1.6159763071765967</x:v>
      </x:c>
      <x:c r="AA813" s="30" t="str">
        <x:f>IF(Z813&lt;=I813,"Peaceful","Hostile")</x:f>
        <x:v>Peaceful</x:v>
      </x:c>
      <x:c r="AB813" s="30" t="str">
        <x:f>IF(Z813&lt;='Controls &amp; Summary'!$B$6,"Eligible","Blocked")</x:f>
        <x:v>Eligible</x:v>
      </x:c>
      <x:c r="AC813" s="30" t="str">
        <x:v>RUS</x:v>
      </x:c>
      <x:c r="AD813" s="30" t="str">
        <x:v>KAZ</x:v>
      </x:c>
      <x:c r="AE813" s="30" t="str">
        <x:v>Astana</x:v>
      </x:c>
      <x:c r="AF813" s="30" t="str">
        <x:v>Explicit capitalClaim</x:v>
      </x:c>
      <x:c r="AG813" s="30" t="str">
        <x:v>ClaimRUSAstana</x:v>
      </x:c>
      <x:c r="AH813" s="30" t="str"/>
    </x:row>
    <x:row r="814">
      <x:c r="A814" s="30" t="str">
        <x:v>2022</x:v>
      </x:c>
      <x:c r="B814" s="30" t="str">
        <x:v>Base game</x:v>
      </x:c>
      <x:c r="C814" s="30" t="str">
        <x:v>Russia</x:v>
      </x:c>
      <x:c r="D814" s="30" t="str">
        <x:v>Kosovo</x:v>
      </x:c>
      <x:c r="E814" s="30" t="str">
        <x:v>Project unlock</x:v>
      </x:c>
      <x:c r="F814" s="30" t="str">
        <x:v>Forward Russia</x:v>
      </x:c>
      <x:c r="G814" s="30" t="str">
        <x:v>Yes</x:v>
      </x:c>
      <x:c r="H814" s="30" t="str">
        <x:v>Template hostileClaim</x:v>
      </x:c>
      <x:c r="I814" s="31" t="n">
        <x:f>IF(G814="Yes",'Controls &amp; Summary'!$B$5,'Controls &amp; Summary'!$B$4)</x:f>
        <x:v>3</x:v>
      </x:c>
      <x:c r="J814" s="31" t="n">
        <x:v>3.24</x:v>
      </x:c>
      <x:c r="K814" s="31" t="n">
        <x:v>5.6</x:v>
      </x:c>
      <x:c r="L814" s="31" t="n">
        <x:f>ABS(J814-K814)</x:f>
        <x:v>2.3599999999999994</x:v>
      </x:c>
      <x:c r="M814" s="31" t="n">
        <x:v>3.53</x:v>
      </x:c>
      <x:c r="N814" s="31" t="n">
        <x:v>2.9</x:v>
      </x:c>
      <x:c r="O814" s="31" t="n">
        <x:f>ABS(M814-N814)</x:f>
        <x:v>0.6299999999999999</x:v>
      </x:c>
      <x:c r="P814" s="31" t="n">
        <x:v>8.23</x:v>
      </x:c>
      <x:c r="Q814" s="31" t="n">
        <x:v>7.83</x:v>
      </x:c>
      <x:c r="R814" s="31" t="n">
        <x:f>ABS(P814-Q814)</x:f>
        <x:v>0.40000000000000036</x:v>
      </x:c>
      <x:c r="S814" s="32" t="n">
        <x:v>25923.52106481404</x:v>
      </x:c>
      <x:c r="T814" s="32" t="n">
        <x:v>12530.834815529708</x:v>
      </x:c>
      <x:c r="U814" s="31" t="n">
        <x:f>MAX(S814/T814,T814/S814)</x:f>
        <x:v>2.068778453027448</x:v>
      </x:c>
      <x:c r="V814" s="31" t="n">
        <x:f>L814*'Controls &amp; Summary'!$B$9+O814*'Controls &amp; Summary'!$B$10+R814*'Controls &amp; Summary'!$B$11+U814*'Controls &amp; Summary'!$B$12</x:f>
        <x:v>5.458778453027447</x:v>
      </x:c>
      <x:c r="W814" s="31" t="n">
        <x:v>8</x:v>
      </x:c>
      <x:c r="X814" s="31" t="n">
        <x:v>2</x:v>
      </x:c>
      <x:c r="Y814" s="31" t="n">
        <x:f>((10-MIN(10,MAX(0,X814)))/10)*'Controls &amp; Summary'!$B$15+((10-MIN(10,MAX(0,W814)))/10)*'Controls &amp; Summary'!$B$16</x:f>
        <x:v>1</x:v>
      </x:c>
      <x:c r="Z814" s="31" t="n">
        <x:f>V814*Y814</x:f>
        <x:v>5.458778453027447</x:v>
      </x:c>
      <x:c r="AA814" s="30" t="str">
        <x:f>IF(Z814&lt;=I814,"Peaceful","Hostile")</x:f>
        <x:v>Hostile</x:v>
      </x:c>
      <x:c r="AB814" s="30" t="str">
        <x:f>IF(Z814&lt;='Controls &amp; Summary'!$B$6,"Eligible","Blocked")</x:f>
        <x:v>Eligible</x:v>
      </x:c>
      <x:c r="AC814" s="30" t="str">
        <x:v>RUS</x:v>
      </x:c>
      <x:c r="AD814" s="30" t="str">
        <x:v>KOS</x:v>
      </x:c>
      <x:c r="AE814" s="30" t="str">
        <x:v>Kosovo</x:v>
      </x:c>
      <x:c r="AF814" s="30" t="str">
        <x:v>Explicit capitalClaim</x:v>
      </x:c>
      <x:c r="AG814" s="30" t="str">
        <x:v>ClaimRUSKosovo</x:v>
      </x:c>
      <x:c r="AH814" s="30" t="str">
        <x:v>Project_ForwardRussia</x:v>
      </x:c>
    </x:row>
    <x:row r="815">
      <x:c r="A815" s="30" t="str">
        <x:v>2022</x:v>
      </x:c>
      <x:c r="B815" s="30" t="str">
        <x:v>Base game</x:v>
      </x:c>
      <x:c r="C815" s="30" t="str">
        <x:v>Russia</x:v>
      </x:c>
      <x:c r="D815" s="30" t="str">
        <x:v>Kyrgyzstan</x:v>
      </x:c>
      <x:c r="E815" s="30" t="str">
        <x:v>Starting claim</x:v>
      </x:c>
      <x:c r="F815" s="30" t="str"/>
      <x:c r="G815" s="30" t="str">
        <x:v>No</x:v>
      </x:c>
      <x:c r="H815" s="30" t="str">
        <x:v>Ordinary claim</x:v>
      </x:c>
      <x:c r="I815" s="31" t="n">
        <x:f>IF(G815="Yes",'Controls &amp; Summary'!$B$5,'Controls &amp; Summary'!$B$4)</x:f>
        <x:v>6</x:v>
      </x:c>
      <x:c r="J815" s="31" t="n">
        <x:v>3.24</x:v>
      </x:c>
      <x:c r="K815" s="31" t="n">
        <x:v>3.62</x:v>
      </x:c>
      <x:c r="L815" s="31" t="n">
        <x:f>ABS(J815-K815)</x:f>
        <x:v>0.3799999999999999</x:v>
      </x:c>
      <x:c r="M815" s="31" t="n">
        <x:v>3.53</x:v>
      </x:c>
      <x:c r="N815" s="31" t="n">
        <x:v>2.9</x:v>
      </x:c>
      <x:c r="O815" s="31" t="n">
        <x:f>ABS(M815-N815)</x:f>
        <x:v>0.6299999999999999</x:v>
      </x:c>
      <x:c r="P815" s="31" t="n">
        <x:v>8.23</x:v>
      </x:c>
      <x:c r="Q815" s="31" t="n">
        <x:v>7.3</x:v>
      </x:c>
      <x:c r="R815" s="31" t="n">
        <x:f>ABS(P815-Q815)</x:f>
        <x:v>0.9300000000000006</x:v>
      </x:c>
      <x:c r="S815" s="32" t="n">
        <x:v>25923.52106481404</x:v>
      </x:c>
      <x:c r="T815" s="32" t="n">
        <x:v>4920.098055892446</x:v>
      </x:c>
      <x:c r="U815" s="31" t="n">
        <x:f>MAX(S815/T815,T815/S815)</x:f>
        <x:v>5.2689033369502285</x:v>
      </x:c>
      <x:c r="V815" s="31" t="n">
        <x:f>L815*'Controls &amp; Summary'!$B$9+O815*'Controls &amp; Summary'!$B$10+R815*'Controls &amp; Summary'!$B$11+U815*'Controls &amp; Summary'!$B$12</x:f>
        <x:v>7.208903336950229</x:v>
      </x:c>
      <x:c r="W815" s="31" t="n">
        <x:v>8</x:v>
      </x:c>
      <x:c r="X815" s="31" t="n">
        <x:v>2</x:v>
      </x:c>
      <x:c r="Y815" s="31" t="n">
        <x:f>((10-MIN(10,MAX(0,X815)))/10)*'Controls &amp; Summary'!$B$15+((10-MIN(10,MAX(0,W815)))/10)*'Controls &amp; Summary'!$B$16</x:f>
        <x:v>1</x:v>
      </x:c>
      <x:c r="Z815" s="31" t="n">
        <x:f>V815*Y815</x:f>
        <x:v>7.208903336950229</x:v>
      </x:c>
      <x:c r="AA815" s="30" t="str">
        <x:f>IF(Z815&lt;=I815,"Peaceful","Hostile")</x:f>
        <x:v>Hostile</x:v>
      </x:c>
      <x:c r="AB815" s="30" t="str">
        <x:f>IF(Z815&lt;='Controls &amp; Summary'!$B$6,"Eligible","Blocked")</x:f>
        <x:v>Eligible</x:v>
      </x:c>
      <x:c r="AC815" s="30" t="str">
        <x:v>RUS</x:v>
      </x:c>
      <x:c r="AD815" s="30" t="str">
        <x:v>KGZ</x:v>
      </x:c>
      <x:c r="AE815" s="30" t="str">
        <x:v>Kyrgyzstan</x:v>
      </x:c>
      <x:c r="AF815" s="30" t="str">
        <x:v>Explicit capitalClaim</x:v>
      </x:c>
      <x:c r="AG815" s="30" t="str">
        <x:v>ClaimRUSKyrgyzstan</x:v>
      </x:c>
      <x:c r="AH815" s="30" t="str"/>
    </x:row>
    <x:row r="816">
      <x:c r="A816" s="30" t="str">
        <x:v>2022</x:v>
      </x:c>
      <x:c r="B816" s="30" t="str">
        <x:v>Base game</x:v>
      </x:c>
      <x:c r="C816" s="30" t="str">
        <x:v>Russia</x:v>
      </x:c>
      <x:c r="D816" s="30" t="str">
        <x:v>Latvia</x:v>
      </x:c>
      <x:c r="E816" s="30" t="str">
        <x:v>Starting claim</x:v>
      </x:c>
      <x:c r="F816" s="30" t="str"/>
      <x:c r="G816" s="30" t="str">
        <x:v>Yes</x:v>
      </x:c>
      <x:c r="H816" s="30" t="str">
        <x:v>Approved Russia-neighbor grievance</x:v>
      </x:c>
      <x:c r="I816" s="31" t="n">
        <x:f>IF(G816="Yes",'Controls &amp; Summary'!$B$5,'Controls &amp; Summary'!$B$4)</x:f>
        <x:v>3</x:v>
      </x:c>
      <x:c r="J816" s="31" t="n">
        <x:v>3.24</x:v>
      </x:c>
      <x:c r="K816" s="31" t="n">
        <x:v>7.31</x:v>
      </x:c>
      <x:c r="L816" s="31" t="n">
        <x:f>ABS(J816-K816)</x:f>
        <x:v>4.069999999999999</x:v>
      </x:c>
      <x:c r="M816" s="31" t="n">
        <x:v>3.53</x:v>
      </x:c>
      <x:c r="N816" s="31" t="n">
        <x:v>3.45</x:v>
      </x:c>
      <x:c r="O816" s="31" t="n">
        <x:f>ABS(M816-N816)</x:f>
        <x:v>0.07999999999999963</x:v>
      </x:c>
      <x:c r="P816" s="31" t="n">
        <x:v>8.23</x:v>
      </x:c>
      <x:c r="Q816" s="31" t="n">
        <x:v>8.83</x:v>
      </x:c>
      <x:c r="R816" s="31" t="n">
        <x:f>ABS(P816-Q816)</x:f>
        <x:v>0.5999999999999996</x:v>
      </x:c>
      <x:c r="S816" s="32" t="n">
        <x:v>25923.52106481404</x:v>
      </x:c>
      <x:c r="T816" s="32" t="n">
        <x:v>33668.92597430283</x:v>
      </x:c>
      <x:c r="U816" s="31" t="n">
        <x:f>MAX(S816/T816,T816/S816)</x:f>
        <x:v>1.2987790466473947</x:v>
      </x:c>
      <x:c r="V816" s="31" t="n">
        <x:f>L816*'Controls &amp; Summary'!$B$9+O816*'Controls &amp; Summary'!$B$10+R816*'Controls &amp; Summary'!$B$11+U816*'Controls &amp; Summary'!$B$12</x:f>
        <x:v>6.048779046647393</x:v>
      </x:c>
      <x:c r="W816" s="31" t="n">
        <x:v>8</x:v>
      </x:c>
      <x:c r="X816" s="31" t="n">
        <x:v>0</x:v>
      </x:c>
      <x:c r="Y816" s="31" t="n">
        <x:f>((10-MIN(10,MAX(0,X816)))/10)*'Controls &amp; Summary'!$B$15+((10-MIN(10,MAX(0,W816)))/10)*'Controls &amp; Summary'!$B$16</x:f>
        <x:v>1.2</x:v>
      </x:c>
      <x:c r="Z816" s="31" t="n">
        <x:f>V816*Y816</x:f>
        <x:v>7.258534855976872</x:v>
      </x:c>
      <x:c r="AA816" s="30" t="str">
        <x:f>IF(Z816&lt;=I816,"Peaceful","Hostile")</x:f>
        <x:v>Hostile</x:v>
      </x:c>
      <x:c r="AB816" s="30" t="str">
        <x:f>IF(Z816&lt;='Controls &amp; Summary'!$B$6,"Eligible","Blocked")</x:f>
        <x:v>Eligible</x:v>
      </x:c>
      <x:c r="AC816" s="30" t="str">
        <x:v>RUS</x:v>
      </x:c>
      <x:c r="AD816" s="30" t="str">
        <x:v>LVA</x:v>
      </x:c>
      <x:c r="AE816" s="30" t="str">
        <x:v>Latvia</x:v>
      </x:c>
      <x:c r="AF816" s="30" t="str">
        <x:v>Explicit capitalClaim</x:v>
      </x:c>
      <x:c r="AG816" s="30" t="str">
        <x:v>ClaimRUSLatvia</x:v>
      </x:c>
      <x:c r="AH816" s="30" t="str"/>
    </x:row>
    <x:row r="817">
      <x:c r="A817" s="30" t="str">
        <x:v>2022</x:v>
      </x:c>
      <x:c r="B817" s="30" t="str">
        <x:v>Base game</x:v>
      </x:c>
      <x:c r="C817" s="30" t="str">
        <x:v>Russia</x:v>
      </x:c>
      <x:c r="D817" s="30" t="str">
        <x:v>Lithuania</x:v>
      </x:c>
      <x:c r="E817" s="30" t="str">
        <x:v>Starting claim</x:v>
      </x:c>
      <x:c r="F817" s="30" t="str"/>
      <x:c r="G817" s="30" t="str">
        <x:v>Yes</x:v>
      </x:c>
      <x:c r="H817" s="30" t="str">
        <x:v>Approved Russia-neighbor grievance</x:v>
      </x:c>
      <x:c r="I817" s="31" t="n">
        <x:f>IF(G817="Yes",'Controls &amp; Summary'!$B$5,'Controls &amp; Summary'!$B$4)</x:f>
        <x:v>3</x:v>
      </x:c>
      <x:c r="J817" s="31" t="n">
        <x:v>3.24</x:v>
      </x:c>
      <x:c r="K817" s="31" t="n">
        <x:v>7.18</x:v>
      </x:c>
      <x:c r="L817" s="31" t="n">
        <x:f>ABS(J817-K817)</x:f>
        <x:v>3.9399999999999995</x:v>
      </x:c>
      <x:c r="M817" s="31" t="n">
        <x:v>3.53</x:v>
      </x:c>
      <x:c r="N817" s="31" t="n">
        <x:v>3.53</x:v>
      </x:c>
      <x:c r="O817" s="31" t="n">
        <x:f>ABS(M817-N817)</x:f>
        <x:v>0</x:v>
      </x:c>
      <x:c r="P817" s="31" t="n">
        <x:v>8.23</x:v>
      </x:c>
      <x:c r="Q817" s="31" t="n">
        <x:v>8.98</x:v>
      </x:c>
      <x:c r="R817" s="31" t="n">
        <x:f>ABS(P817-Q817)</x:f>
        <x:v>0.75</x:v>
      </x:c>
      <x:c r="S817" s="32" t="n">
        <x:v>25923.52106481404</x:v>
      </x:c>
      <x:c r="T817" s="32" t="n">
        <x:v>42999.9035226075</x:v>
      </x:c>
      <x:c r="U817" s="31" t="n">
        <x:f>MAX(S817/T817,T817/S817)</x:f>
        <x:v>1.6587215685361203</x:v>
      </x:c>
      <x:c r="V817" s="31" t="n">
        <x:f>L817*'Controls &amp; Summary'!$B$9+O817*'Controls &amp; Summary'!$B$10+R817*'Controls &amp; Summary'!$B$11+U817*'Controls &amp; Summary'!$B$12</x:f>
        <x:v>6.34872156853612</x:v>
      </x:c>
      <x:c r="W817" s="31" t="n">
        <x:v>8</x:v>
      </x:c>
      <x:c r="X817" s="31" t="n">
        <x:v>0</x:v>
      </x:c>
      <x:c r="Y817" s="31" t="n">
        <x:f>((10-MIN(10,MAX(0,X817)))/10)*'Controls &amp; Summary'!$B$15+((10-MIN(10,MAX(0,W817)))/10)*'Controls &amp; Summary'!$B$16</x:f>
        <x:v>1.2</x:v>
      </x:c>
      <x:c r="Z817" s="31" t="n">
        <x:f>V817*Y817</x:f>
        <x:v>7.618465882243344</x:v>
      </x:c>
      <x:c r="AA817" s="30" t="str">
        <x:f>IF(Z817&lt;=I817,"Peaceful","Hostile")</x:f>
        <x:v>Hostile</x:v>
      </x:c>
      <x:c r="AB817" s="30" t="str">
        <x:f>IF(Z817&lt;='Controls &amp; Summary'!$B$6,"Eligible","Blocked")</x:f>
        <x:v>Eligible</x:v>
      </x:c>
      <x:c r="AC817" s="30" t="str">
        <x:v>RUS</x:v>
      </x:c>
      <x:c r="AD817" s="30" t="str">
        <x:v>LTU</x:v>
      </x:c>
      <x:c r="AE817" s="30" t="str">
        <x:v>Lithuania</x:v>
      </x:c>
      <x:c r="AF817" s="30" t="str">
        <x:v>Explicit capitalClaim</x:v>
      </x:c>
      <x:c r="AG817" s="30" t="str">
        <x:v>ClaimRUSLithuania</x:v>
      </x:c>
      <x:c r="AH817" s="30" t="str"/>
    </x:row>
    <x:row r="818">
      <x:c r="A818" s="30" t="str">
        <x:v>2022</x:v>
      </x:c>
      <x:c r="B818" s="30" t="str">
        <x:v>Base game</x:v>
      </x:c>
      <x:c r="C818" s="30" t="str">
        <x:v>Russia</x:v>
      </x:c>
      <x:c r="D818" s="30" t="str">
        <x:v>Moldova</x:v>
      </x:c>
      <x:c r="E818" s="30" t="str">
        <x:v>Starting claim</x:v>
      </x:c>
      <x:c r="F818" s="30" t="str"/>
      <x:c r="G818" s="30" t="str">
        <x:v>Yes</x:v>
      </x:c>
      <x:c r="H818" s="30" t="str">
        <x:v>Approved Russia-neighbor grievance</x:v>
      </x:c>
      <x:c r="I818" s="31" t="n">
        <x:f>IF(G818="Yes",'Controls &amp; Summary'!$B$5,'Controls &amp; Summary'!$B$4)</x:f>
        <x:v>3</x:v>
      </x:c>
      <x:c r="J818" s="31" t="n">
        <x:v>3.24</x:v>
      </x:c>
      <x:c r="K818" s="31" t="n">
        <x:v>6.1</x:v>
      </x:c>
      <x:c r="L818" s="31" t="n">
        <x:f>ABS(J818-K818)</x:f>
        <x:v>2.8599999999999994</x:v>
      </x:c>
      <x:c r="M818" s="31" t="n">
        <x:v>3.53</x:v>
      </x:c>
      <x:c r="N818" s="31" t="n">
        <x:v>2.6</x:v>
      </x:c>
      <x:c r="O818" s="31" t="n">
        <x:f>ABS(M818-N818)</x:f>
        <x:v>0.9299999999999997</x:v>
      </x:c>
      <x:c r="P818" s="31" t="n">
        <x:v>8.23</x:v>
      </x:c>
      <x:c r="Q818" s="31" t="n">
        <x:v>7.11</x:v>
      </x:c>
      <x:c r="R818" s="31" t="n">
        <x:f>ABS(P818-Q818)</x:f>
        <x:v>1.12</x:v>
      </x:c>
      <x:c r="S818" s="32" t="n">
        <x:v>25923.52106481404</x:v>
      </x:c>
      <x:c r="T818" s="32" t="n">
        <x:v>9323.217667521385</x:v>
      </x:c>
      <x:c r="U818" s="31" t="n">
        <x:f>MAX(S818/T818,T818/S818)</x:f>
        <x:v>2.7805337158566963</x:v>
      </x:c>
      <x:c r="V818" s="31" t="n">
        <x:f>L818*'Controls &amp; Summary'!$B$9+O818*'Controls &amp; Summary'!$B$10+R818*'Controls &amp; Summary'!$B$11+U818*'Controls &amp; Summary'!$B$12</x:f>
        <x:v>7.690533715856695</x:v>
      </x:c>
      <x:c r="W818" s="31" t="n">
        <x:v>8</x:v>
      </x:c>
      <x:c r="X818" s="31" t="n">
        <x:v>3</x:v>
      </x:c>
      <x:c r="Y818" s="31" t="n">
        <x:f>((10-MIN(10,MAX(0,X818)))/10)*'Controls &amp; Summary'!$B$15+((10-MIN(10,MAX(0,W818)))/10)*'Controls &amp; Summary'!$B$16</x:f>
        <x:v>0.8999999999999999</x:v>
      </x:c>
      <x:c r="Z818" s="31" t="n">
        <x:f>V818*Y818</x:f>
        <x:v>6.921480344271025</x:v>
      </x:c>
      <x:c r="AA818" s="30" t="str">
        <x:f>IF(Z818&lt;=I818,"Peaceful","Hostile")</x:f>
        <x:v>Hostile</x:v>
      </x:c>
      <x:c r="AB818" s="30" t="str">
        <x:f>IF(Z818&lt;='Controls &amp; Summary'!$B$6,"Eligible","Blocked")</x:f>
        <x:v>Eligible</x:v>
      </x:c>
      <x:c r="AC818" s="30" t="str">
        <x:v>RUS</x:v>
      </x:c>
      <x:c r="AD818" s="30" t="str">
        <x:v>MOL</x:v>
      </x:c>
      <x:c r="AE818" s="30" t="str">
        <x:v>Moldova</x:v>
      </x:c>
      <x:c r="AF818" s="30" t="str">
        <x:v>Explicit capitalClaim</x:v>
      </x:c>
      <x:c r="AG818" s="30" t="str">
        <x:v>ClaimRUSMoldova</x:v>
      </x:c>
      <x:c r="AH818" s="30" t="str"/>
    </x:row>
    <x:row r="819">
      <x:c r="A819" s="30" t="str">
        <x:v>2022</x:v>
      </x:c>
      <x:c r="B819" s="30" t="str">
        <x:v>Base game</x:v>
      </x:c>
      <x:c r="C819" s="30" t="str">
        <x:v>Russia</x:v>
      </x:c>
      <x:c r="D819" s="30" t="str">
        <x:v>Mongolia</x:v>
      </x:c>
      <x:c r="E819" s="30" t="str">
        <x:v>Project unlock</x:v>
      </x:c>
      <x:c r="F819" s="30" t="str">
        <x:v>Forward Russia</x:v>
      </x:c>
      <x:c r="G819" s="30" t="str">
        <x:v>Yes</x:v>
      </x:c>
      <x:c r="H819" s="30" t="str">
        <x:v>Approved expansion-project family</x:v>
      </x:c>
      <x:c r="I819" s="31" t="n">
        <x:f>IF(G819="Yes",'Controls &amp; Summary'!$B$5,'Controls &amp; Summary'!$B$4)</x:f>
        <x:v>3</x:v>
      </x:c>
      <x:c r="J819" s="31" t="n">
        <x:v>3.24</x:v>
      </x:c>
      <x:c r="K819" s="31" t="n">
        <x:v>6.42</x:v>
      </x:c>
      <x:c r="L819" s="31" t="n">
        <x:f>ABS(J819-K819)</x:f>
        <x:v>3.1799999999999997</x:v>
      </x:c>
      <x:c r="M819" s="31" t="n">
        <x:v>3.53</x:v>
      </x:c>
      <x:c r="N819" s="31" t="n">
        <x:v>3.27</x:v>
      </x:c>
      <x:c r="O819" s="31" t="n">
        <x:f>ABS(M819-N819)</x:f>
        <x:v>0.2599999999999998</x:v>
      </x:c>
      <x:c r="P819" s="31" t="n">
        <x:v>8.23</x:v>
      </x:c>
      <x:c r="Q819" s="31" t="n">
        <x:v>7.36</x:v>
      </x:c>
      <x:c r="R819" s="31" t="n">
        <x:f>ABS(P819-Q819)</x:f>
        <x:v>0.8700000000000001</x:v>
      </x:c>
      <x:c r="S819" s="32" t="n">
        <x:v>25923.52106481404</x:v>
      </x:c>
      <x:c r="T819" s="32" t="n">
        <x:v>12038.587862132921</x:v>
      </x:c>
      <x:c r="U819" s="31" t="n">
        <x:f>MAX(S819/T819,T819/S819)</x:f>
        <x:v>2.1533689301181105</x:v>
      </x:c>
      <x:c r="V819" s="31" t="n">
        <x:f>L819*'Controls &amp; Summary'!$B$9+O819*'Controls &amp; Summary'!$B$10+R819*'Controls &amp; Summary'!$B$11+U819*'Controls &amp; Summary'!$B$12</x:f>
        <x:v>6.46336893011811</x:v>
      </x:c>
      <x:c r="W819" s="31" t="n">
        <x:v>8</x:v>
      </x:c>
      <x:c r="X819" s="31" t="n">
        <x:v>1</x:v>
      </x:c>
      <x:c r="Y819" s="31" t="n">
        <x:f>((10-MIN(10,MAX(0,X819)))/10)*'Controls &amp; Summary'!$B$15+((10-MIN(10,MAX(0,W819)))/10)*'Controls &amp; Summary'!$B$16</x:f>
        <x:v>1.1</x:v>
      </x:c>
      <x:c r="Z819" s="31" t="n">
        <x:f>V819*Y819</x:f>
        <x:v>7.1097058231299215</x:v>
      </x:c>
      <x:c r="AA819" s="30" t="str">
        <x:f>IF(Z819&lt;=I819,"Peaceful","Hostile")</x:f>
        <x:v>Hostile</x:v>
      </x:c>
      <x:c r="AB819" s="30" t="str">
        <x:f>IF(Z819&lt;='Controls &amp; Summary'!$B$6,"Eligible","Blocked")</x:f>
        <x:v>Eligible</x:v>
      </x:c>
      <x:c r="AC819" s="30" t="str">
        <x:v>RUS</x:v>
      </x:c>
      <x:c r="AD819" s="30" t="str">
        <x:v>MNG</x:v>
      </x:c>
      <x:c r="AE819" s="30" t="str">
        <x:v>Mongolia</x:v>
      </x:c>
      <x:c r="AF819" s="30" t="str">
        <x:v>Explicit capitalClaim</x:v>
      </x:c>
      <x:c r="AG819" s="30" t="str">
        <x:v>ClaimRUSMongolia</x:v>
      </x:c>
      <x:c r="AH819" s="30" t="str">
        <x:v>Project_ForwardRussia</x:v>
      </x:c>
    </x:row>
    <x:row r="820">
      <x:c r="A820" s="30" t="str">
        <x:v>2022</x:v>
      </x:c>
      <x:c r="B820" s="30" t="str">
        <x:v>Base game</x:v>
      </x:c>
      <x:c r="C820" s="30" t="str">
        <x:v>Russia</x:v>
      </x:c>
      <x:c r="D820" s="30" t="str">
        <x:v>Montenegro</x:v>
      </x:c>
      <x:c r="E820" s="30" t="str">
        <x:v>Project unlock</x:v>
      </x:c>
      <x:c r="F820" s="30" t="str">
        <x:v>Forward Russia</x:v>
      </x:c>
      <x:c r="G820" s="30" t="str">
        <x:v>Yes</x:v>
      </x:c>
      <x:c r="H820" s="30" t="str">
        <x:v>Template hostileClaim</x:v>
      </x:c>
      <x:c r="I820" s="31" t="n">
        <x:f>IF(G820="Yes",'Controls &amp; Summary'!$B$5,'Controls &amp; Summary'!$B$4)</x:f>
        <x:v>3</x:v>
      </x:c>
      <x:c r="J820" s="31" t="n">
        <x:v>3.24</x:v>
      </x:c>
      <x:c r="K820" s="31" t="n">
        <x:v>6.02</x:v>
      </x:c>
      <x:c r="L820" s="31" t="n">
        <x:f>ABS(J820-K820)</x:f>
        <x:v>2.7799999999999994</x:v>
      </x:c>
      <x:c r="M820" s="31" t="n">
        <x:v>3.53</x:v>
      </x:c>
      <x:c r="N820" s="31" t="n">
        <x:v>3.68</x:v>
      </x:c>
      <x:c r="O820" s="31" t="n">
        <x:f>ABS(M820-N820)</x:f>
        <x:v>0.15000000000000036</x:v>
      </x:c>
      <x:c r="P820" s="31" t="n">
        <x:v>8.23</x:v>
      </x:c>
      <x:c r="Q820" s="31" t="n">
        <x:v>8.03</x:v>
      </x:c>
      <x:c r="R820" s="31" t="n">
        <x:f>ABS(P820-Q820)</x:f>
        <x:v>0.20000000000000107</x:v>
      </x:c>
      <x:c r="S820" s="32" t="n">
        <x:v>25923.52106481404</x:v>
      </x:c>
      <x:c r="T820" s="32" t="n">
        <x:v>21690.01747178873</x:v>
      </x:c>
      <x:c r="U820" s="31" t="n">
        <x:f>MAX(S820/T820,T820/S820)</x:f>
        <x:v>1.1951821200020536</x:v>
      </x:c>
      <x:c r="V820" s="31" t="n">
        <x:f>L820*'Controls &amp; Summary'!$B$9+O820*'Controls &amp; Summary'!$B$10+R820*'Controls &amp; Summary'!$B$11+U820*'Controls &amp; Summary'!$B$12</x:f>
        <x:v>4.325182120002054</x:v>
      </x:c>
      <x:c r="W820" s="31" t="n">
        <x:v>8</x:v>
      </x:c>
      <x:c r="X820" s="31" t="n">
        <x:v>2</x:v>
      </x:c>
      <x:c r="Y820" s="31" t="n">
        <x:f>((10-MIN(10,MAX(0,X820)))/10)*'Controls &amp; Summary'!$B$15+((10-MIN(10,MAX(0,W820)))/10)*'Controls &amp; Summary'!$B$16</x:f>
        <x:v>1</x:v>
      </x:c>
      <x:c r="Z820" s="31" t="n">
        <x:f>V820*Y820</x:f>
        <x:v>4.325182120002054</x:v>
      </x:c>
      <x:c r="AA820" s="30" t="str">
        <x:f>IF(Z820&lt;=I820,"Peaceful","Hostile")</x:f>
        <x:v>Hostile</x:v>
      </x:c>
      <x:c r="AB820" s="30" t="str">
        <x:f>IF(Z820&lt;='Controls &amp; Summary'!$B$6,"Eligible","Blocked")</x:f>
        <x:v>Eligible</x:v>
      </x:c>
      <x:c r="AC820" s="30" t="str">
        <x:v>RUS</x:v>
      </x:c>
      <x:c r="AD820" s="30" t="str">
        <x:v>MNE</x:v>
      </x:c>
      <x:c r="AE820" s="30" t="str">
        <x:v>Montenegro</x:v>
      </x:c>
      <x:c r="AF820" s="30" t="str">
        <x:v>Explicit capitalClaim</x:v>
      </x:c>
      <x:c r="AG820" s="30" t="str">
        <x:v>ClaimRUSMontenegro</x:v>
      </x:c>
      <x:c r="AH820" s="30" t="str">
        <x:v>Project_ForwardRussia</x:v>
      </x:c>
    </x:row>
    <x:row r="821">
      <x:c r="A821" s="30" t="str">
        <x:v>2022</x:v>
      </x:c>
      <x:c r="B821" s="30" t="str">
        <x:v>Base game</x:v>
      </x:c>
      <x:c r="C821" s="30" t="str">
        <x:v>Russia</x:v>
      </x:c>
      <x:c r="D821" s="30" t="str">
        <x:v>Netherlands</x:v>
      </x:c>
      <x:c r="E821" s="30" t="str">
        <x:v>Project unlock</x:v>
      </x:c>
      <x:c r="F821" s="30" t="str">
        <x:v>Forward Russia</x:v>
      </x:c>
      <x:c r="G821" s="30" t="str">
        <x:v>Yes</x:v>
      </x:c>
      <x:c r="H821" s="30" t="str">
        <x:v>Template hostileClaim</x:v>
      </x:c>
      <x:c r="I821" s="31" t="n">
        <x:f>IF(G821="Yes",'Controls &amp; Summary'!$B$5,'Controls &amp; Summary'!$B$4)</x:f>
        <x:v>3</x:v>
      </x:c>
      <x:c r="J821" s="31" t="n">
        <x:v>3.24</x:v>
      </x:c>
      <x:c r="K821" s="31" t="n">
        <x:v>8.88</x:v>
      </x:c>
      <x:c r="L821" s="31" t="n">
        <x:f>ABS(J821-K821)</x:f>
        <x:v>5.640000000000001</x:v>
      </x:c>
      <x:c r="M821" s="31" t="n">
        <x:v>3.53</x:v>
      </x:c>
      <x:c r="N821" s="31" t="n">
        <x:v>2.92</x:v>
      </x:c>
      <x:c r="O821" s="31" t="n">
        <x:f>ABS(M821-N821)</x:f>
        <x:v>0.6099999999999999</x:v>
      </x:c>
      <x:c r="P821" s="31" t="n">
        <x:v>8.23</x:v>
      </x:c>
      <x:c r="Q821" s="31" t="n">
        <x:v>9.14</x:v>
      </x:c>
      <x:c r="R821" s="31" t="n">
        <x:f>ABS(P821-Q821)</x:f>
        <x:v>0.9100000000000001</x:v>
      </x:c>
      <x:c r="S821" s="32" t="n">
        <x:v>25923.52106481404</x:v>
      </x:c>
      <x:c r="T821" s="32" t="n">
        <x:v>60201.43150999048</x:v>
      </x:c>
      <x:c r="U821" s="31" t="n">
        <x:f>MAX(S821/T821,T821/S821)</x:f>
        <x:v>2.322270626720604</x:v>
      </x:c>
      <x:c r="V821" s="31" t="n">
        <x:f>L821*'Controls &amp; Summary'!$B$9+O821*'Controls &amp; Summary'!$B$10+R821*'Controls &amp; Summary'!$B$11+U821*'Controls &amp; Summary'!$B$12</x:f>
        <x:v>9.482270626720604</x:v>
      </x:c>
      <x:c r="W821" s="31" t="n">
        <x:v>8</x:v>
      </x:c>
      <x:c r="X821" s="31" t="n">
        <x:v>1</x:v>
      </x:c>
      <x:c r="Y821" s="31" t="n">
        <x:f>((10-MIN(10,MAX(0,X821)))/10)*'Controls &amp; Summary'!$B$15+((10-MIN(10,MAX(0,W821)))/10)*'Controls &amp; Summary'!$B$16</x:f>
        <x:v>1.1</x:v>
      </x:c>
      <x:c r="Z821" s="31" t="n">
        <x:f>V821*Y821</x:f>
        <x:v>10.430497689392665</x:v>
      </x:c>
      <x:c r="AA821" s="30" t="str">
        <x:f>IF(Z821&lt;=I821,"Peaceful","Hostile")</x:f>
        <x:v>Hostile</x:v>
      </x:c>
      <x:c r="AB821" s="30" t="str">
        <x:f>IF(Z821&lt;='Controls &amp; Summary'!$B$6,"Eligible","Blocked")</x:f>
        <x:v>Eligible</x:v>
      </x:c>
      <x:c r="AC821" s="30" t="str">
        <x:v>RUS</x:v>
      </x:c>
      <x:c r="AD821" s="30" t="str">
        <x:v>NET</x:v>
      </x:c>
      <x:c r="AE821" s="30" t="str">
        <x:v>Netherlands</x:v>
      </x:c>
      <x:c r="AF821" s="30" t="str">
        <x:v>Explicit capitalClaim</x:v>
      </x:c>
      <x:c r="AG821" s="30" t="str">
        <x:v>ClaimRUSNetherlands</x:v>
      </x:c>
      <x:c r="AH821" s="30" t="str">
        <x:v>Project_ForwardRussia</x:v>
      </x:c>
    </x:row>
    <x:row r="822">
      <x:c r="A822" s="30" t="str">
        <x:v>2022</x:v>
      </x:c>
      <x:c r="B822" s="30" t="str">
        <x:v>Base game</x:v>
      </x:c>
      <x:c r="C822" s="30" t="str">
        <x:v>Russia</x:v>
      </x:c>
      <x:c r="D822" s="30" t="str">
        <x:v>North Macedonia</x:v>
      </x:c>
      <x:c r="E822" s="30" t="str">
        <x:v>Project unlock</x:v>
      </x:c>
      <x:c r="F822" s="30" t="str">
        <x:v>Forward Russia</x:v>
      </x:c>
      <x:c r="G822" s="30" t="str">
        <x:v>Yes</x:v>
      </x:c>
      <x:c r="H822" s="30" t="str">
        <x:v>Template hostileClaim</x:v>
      </x:c>
      <x:c r="I822" s="31" t="n">
        <x:f>IF(G822="Yes",'Controls &amp; Summary'!$B$5,'Controls &amp; Summary'!$B$4)</x:f>
        <x:v>3</x:v>
      </x:c>
      <x:c r="J822" s="31" t="n">
        <x:v>3.24</x:v>
      </x:c>
      <x:c r="K822" s="31" t="n">
        <x:v>6.03</x:v>
      </x:c>
      <x:c r="L822" s="31" t="n">
        <x:f>ABS(J822-K822)</x:f>
        <x:v>2.79</x:v>
      </x:c>
      <x:c r="M822" s="31" t="n">
        <x:v>3.53</x:v>
      </x:c>
      <x:c r="N822" s="31" t="n">
        <x:v>3.3</x:v>
      </x:c>
      <x:c r="O822" s="31" t="n">
        <x:f>ABS(M822-N822)</x:f>
        <x:v>0.22999999999999998</x:v>
      </x:c>
      <x:c r="P822" s="31" t="n">
        <x:v>8.23</x:v>
      </x:c>
      <x:c r="Q822" s="31" t="n">
        <x:v>7.04</x:v>
      </x:c>
      <x:c r="R822" s="31" t="n">
        <x:f>ABS(P822-Q822)</x:f>
        <x:v>1.1900000000000004</x:v>
      </x:c>
      <x:c r="S822" s="32" t="n">
        <x:v>25923.52106481404</x:v>
      </x:c>
      <x:c r="T822" s="32" t="n">
        <x:v>17258.633449677298</x:v>
      </x:c>
      <x:c r="U822" s="31" t="n">
        <x:f>MAX(S822/T822,T822/S822)</x:f>
        <x:v>1.5020610490628825</x:v>
      </x:c>
      <x:c r="V822" s="31" t="n">
        <x:f>L822*'Controls &amp; Summary'!$B$9+O822*'Controls &amp; Summary'!$B$10+R822*'Controls &amp; Summary'!$B$11+U822*'Controls &amp; Summary'!$B$12</x:f>
        <x:v>5.712061049062884</x:v>
      </x:c>
      <x:c r="W822" s="31" t="n">
        <x:v>8</x:v>
      </x:c>
      <x:c r="X822" s="31" t="n">
        <x:v>2</x:v>
      </x:c>
      <x:c r="Y822" s="31" t="n">
        <x:f>((10-MIN(10,MAX(0,X822)))/10)*'Controls &amp; Summary'!$B$15+((10-MIN(10,MAX(0,W822)))/10)*'Controls &amp; Summary'!$B$16</x:f>
        <x:v>1</x:v>
      </x:c>
      <x:c r="Z822" s="31" t="n">
        <x:f>V822*Y822</x:f>
        <x:v>5.712061049062884</x:v>
      </x:c>
      <x:c r="AA822" s="30" t="str">
        <x:f>IF(Z822&lt;=I822,"Peaceful","Hostile")</x:f>
        <x:v>Hostile</x:v>
      </x:c>
      <x:c r="AB822" s="30" t="str">
        <x:f>IF(Z822&lt;='Controls &amp; Summary'!$B$6,"Eligible","Blocked")</x:f>
        <x:v>Eligible</x:v>
      </x:c>
      <x:c r="AC822" s="30" t="str">
        <x:v>RUS</x:v>
      </x:c>
      <x:c r="AD822" s="30" t="str">
        <x:v>MKD</x:v>
      </x:c>
      <x:c r="AE822" s="30" t="str">
        <x:v>NorthMacedonia</x:v>
      </x:c>
      <x:c r="AF822" s="30" t="str">
        <x:v>Explicit capitalClaim</x:v>
      </x:c>
      <x:c r="AG822" s="30" t="str">
        <x:v>ClaimRUSNorthMacedonia</x:v>
      </x:c>
      <x:c r="AH822" s="30" t="str">
        <x:v>Project_ForwardRussia</x:v>
      </x:c>
    </x:row>
    <x:row r="823">
      <x:c r="A823" s="30" t="str">
        <x:v>2022</x:v>
      </x:c>
      <x:c r="B823" s="30" t="str">
        <x:v>Base game</x:v>
      </x:c>
      <x:c r="C823" s="30" t="str">
        <x:v>Russia</x:v>
      </x:c>
      <x:c r="D823" s="30" t="str">
        <x:v>Norway</x:v>
      </x:c>
      <x:c r="E823" s="30" t="str">
        <x:v>Project unlock</x:v>
      </x:c>
      <x:c r="F823" s="30" t="str">
        <x:v>Forward Russia</x:v>
      </x:c>
      <x:c r="G823" s="30" t="str">
        <x:v>Yes</x:v>
      </x:c>
      <x:c r="H823" s="30" t="str">
        <x:v>Template hostileClaim</x:v>
      </x:c>
      <x:c r="I823" s="31" t="n">
        <x:f>IF(G823="Yes",'Controls &amp; Summary'!$B$5,'Controls &amp; Summary'!$B$4)</x:f>
        <x:v>3</x:v>
      </x:c>
      <x:c r="J823" s="31" t="n">
        <x:v>3.24</x:v>
      </x:c>
      <x:c r="K823" s="31" t="n">
        <x:v>9.75</x:v>
      </x:c>
      <x:c r="L823" s="31" t="n">
        <x:f>ABS(J823-K823)</x:f>
        <x:v>6.51</x:v>
      </x:c>
      <x:c r="M823" s="31" t="n">
        <x:v>3.53</x:v>
      </x:c>
      <x:c r="N823" s="31" t="n">
        <x:v>2.77</x:v>
      </x:c>
      <x:c r="O823" s="31" t="n">
        <x:f>ABS(M823-N823)</x:f>
        <x:v>0.7599999999999998</x:v>
      </x:c>
      <x:c r="P823" s="31" t="n">
        <x:v>8.23</x:v>
      </x:c>
      <x:c r="Q823" s="31" t="n">
        <x:v>9.3</x:v>
      </x:c>
      <x:c r="R823" s="31" t="n">
        <x:f>ABS(P823-Q823)</x:f>
        <x:v>1.0700000000000003</x:v>
      </x:c>
      <x:c r="S823" s="32" t="n">
        <x:v>25923.52106481404</x:v>
      </x:c>
      <x:c r="T823" s="32" t="n">
        <x:v>102138.11993510484</x:v>
      </x:c>
      <x:c r="U823" s="31" t="n">
        <x:f>MAX(S823/T823,T823/S823)</x:f>
        <x:v>3.9399786656966436</x:v>
      </x:c>
      <x:c r="V823" s="31" t="n">
        <x:f>L823*'Controls &amp; Summary'!$B$9+O823*'Controls &amp; Summary'!$B$10+R823*'Controls &amp; Summary'!$B$11+U823*'Controls &amp; Summary'!$B$12</x:f>
        <x:v>12.279978665696643</x:v>
      </x:c>
      <x:c r="W823" s="31" t="n">
        <x:v>8</x:v>
      </x:c>
      <x:c r="X823" s="31" t="n">
        <x:v>0</x:v>
      </x:c>
      <x:c r="Y823" s="31" t="n">
        <x:f>((10-MIN(10,MAX(0,X823)))/10)*'Controls &amp; Summary'!$B$15+((10-MIN(10,MAX(0,W823)))/10)*'Controls &amp; Summary'!$B$16</x:f>
        <x:v>1.2</x:v>
      </x:c>
      <x:c r="Z823" s="31" t="n">
        <x:f>V823*Y823</x:f>
        <x:v>14.735974398835971</x:v>
      </x:c>
      <x:c r="AA823" s="30" t="str">
        <x:f>IF(Z823&lt;=I823,"Peaceful","Hostile")</x:f>
        <x:v>Hostile</x:v>
      </x:c>
      <x:c r="AB823" s="30" t="str">
        <x:f>IF(Z823&lt;='Controls &amp; Summary'!$B$6,"Eligible","Blocked")</x:f>
        <x:v>Blocked</x:v>
      </x:c>
      <x:c r="AC823" s="30" t="str">
        <x:v>RUS</x:v>
      </x:c>
      <x:c r="AD823" s="30" t="str">
        <x:v>NOR</x:v>
      </x:c>
      <x:c r="AE823" s="30" t="str">
        <x:v>Norway</x:v>
      </x:c>
      <x:c r="AF823" s="30" t="str">
        <x:v>Explicit capitalClaim</x:v>
      </x:c>
      <x:c r="AG823" s="30" t="str">
        <x:v>ClaimRUSNorway</x:v>
      </x:c>
      <x:c r="AH823" s="30" t="str">
        <x:v>Project_ForwardRussia</x:v>
      </x:c>
    </x:row>
    <x:row r="824">
      <x:c r="A824" s="30" t="str">
        <x:v>2022</x:v>
      </x:c>
      <x:c r="B824" s="30" t="str">
        <x:v>Base game</x:v>
      </x:c>
      <x:c r="C824" s="30" t="str">
        <x:v>Russia</x:v>
      </x:c>
      <x:c r="D824" s="30" t="str">
        <x:v>Poland</x:v>
      </x:c>
      <x:c r="E824" s="30" t="str">
        <x:v>Project unlock</x:v>
      </x:c>
      <x:c r="F824" s="30" t="str">
        <x:v>Restored Warsaw Pact</x:v>
      </x:c>
      <x:c r="G824" s="30" t="str">
        <x:v>Yes</x:v>
      </x:c>
      <x:c r="H824" s="30" t="str">
        <x:v>Template hostileClaim</x:v>
      </x:c>
      <x:c r="I824" s="31" t="n">
        <x:f>IF(G824="Yes",'Controls &amp; Summary'!$B$5,'Controls &amp; Summary'!$B$4)</x:f>
        <x:v>3</x:v>
      </x:c>
      <x:c r="J824" s="31" t="n">
        <x:v>3.24</x:v>
      </x:c>
      <x:c r="K824" s="31" t="n">
        <x:v>6.8</x:v>
      </x:c>
      <x:c r="L824" s="31" t="n">
        <x:f>ABS(J824-K824)</x:f>
        <x:v>3.5599999999999996</x:v>
      </x:c>
      <x:c r="M824" s="31" t="n">
        <x:v>3.53</x:v>
      </x:c>
      <x:c r="N824" s="31" t="n">
        <x:v>3.02</x:v>
      </x:c>
      <x:c r="O824" s="31" t="n">
        <x:f>ABS(M824-N824)</x:f>
        <x:v>0.5099999999999998</x:v>
      </x:c>
      <x:c r="P824" s="31" t="n">
        <x:v>8.23</x:v>
      </x:c>
      <x:c r="Q824" s="31" t="n">
        <x:v>8.69</x:v>
      </x:c>
      <x:c r="R824" s="31" t="n">
        <x:f>ABS(P824-Q824)</x:f>
        <x:v>0.4599999999999991</x:v>
      </x:c>
      <x:c r="S824" s="32" t="n">
        <x:v>25923.52106481404</x:v>
      </x:c>
      <x:c r="T824" s="32" t="n">
        <x:v>36759.35175540062</x:v>
      </x:c>
      <x:c r="U824" s="31" t="n">
        <x:f>MAX(S824/T824,T824/S824)</x:f>
        <x:v>1.417992242006586</x:v>
      </x:c>
      <x:c r="V824" s="31" t="n">
        <x:f>L824*'Controls &amp; Summary'!$B$9+O824*'Controls &amp; Summary'!$B$10+R824*'Controls &amp; Summary'!$B$11+U824*'Controls &amp; Summary'!$B$12</x:f>
        <x:v>5.947992242006585</x:v>
      </x:c>
      <x:c r="W824" s="31" t="n">
        <x:v>8</x:v>
      </x:c>
      <x:c r="X824" s="31" t="n">
        <x:v>1</x:v>
      </x:c>
      <x:c r="Y824" s="31" t="n">
        <x:f>((10-MIN(10,MAX(0,X824)))/10)*'Controls &amp; Summary'!$B$15+((10-MIN(10,MAX(0,W824)))/10)*'Controls &amp; Summary'!$B$16</x:f>
        <x:v>1.1</x:v>
      </x:c>
      <x:c r="Z824" s="31" t="n">
        <x:f>V824*Y824</x:f>
        <x:v>6.542791466207244</x:v>
      </x:c>
      <x:c r="AA824" s="30" t="str">
        <x:f>IF(Z824&lt;=I824,"Peaceful","Hostile")</x:f>
        <x:v>Hostile</x:v>
      </x:c>
      <x:c r="AB824" s="30" t="str">
        <x:f>IF(Z824&lt;='Controls &amp; Summary'!$B$6,"Eligible","Blocked")</x:f>
        <x:v>Eligible</x:v>
      </x:c>
      <x:c r="AC824" s="30" t="str">
        <x:v>RUS</x:v>
      </x:c>
      <x:c r="AD824" s="30" t="str">
        <x:v>POL</x:v>
      </x:c>
      <x:c r="AE824" s="30" t="str">
        <x:v>Poland</x:v>
      </x:c>
      <x:c r="AF824" s="30" t="str">
        <x:v>Explicit capitalClaim</x:v>
      </x:c>
      <x:c r="AG824" s="30" t="str">
        <x:v>ClaimRUSPoland</x:v>
      </x:c>
      <x:c r="AH824" s="30" t="str">
        <x:v>Project_RestoredWarsawPact</x:v>
      </x:c>
    </x:row>
    <x:row r="825">
      <x:c r="A825" s="30" t="str">
        <x:v>2022</x:v>
      </x:c>
      <x:c r="B825" s="30" t="str">
        <x:v>Base game</x:v>
      </x:c>
      <x:c r="C825" s="30" t="str">
        <x:v>Russia</x:v>
      </x:c>
      <x:c r="D825" s="30" t="str">
        <x:v>Portugal</x:v>
      </x:c>
      <x:c r="E825" s="30" t="str">
        <x:v>Project unlock</x:v>
      </x:c>
      <x:c r="F825" s="30" t="str">
        <x:v>Forward Russia</x:v>
      </x:c>
      <x:c r="G825" s="30" t="str">
        <x:v>Yes</x:v>
      </x:c>
      <x:c r="H825" s="30" t="str">
        <x:v>Template hostileClaim</x:v>
      </x:c>
      <x:c r="I825" s="31" t="n">
        <x:f>IF(G825="Yes",'Controls &amp; Summary'!$B$5,'Controls &amp; Summary'!$B$4)</x:f>
        <x:v>3</x:v>
      </x:c>
      <x:c r="J825" s="31" t="n">
        <x:v>3.24</x:v>
      </x:c>
      <x:c r="K825" s="31" t="n">
        <x:v>7.82</x:v>
      </x:c>
      <x:c r="L825" s="31" t="n">
        <x:f>ABS(J825-K825)</x:f>
        <x:v>4.58</x:v>
      </x:c>
      <x:c r="M825" s="31" t="n">
        <x:v>3.53</x:v>
      </x:c>
      <x:c r="N825" s="31" t="n">
        <x:v>3.28</x:v>
      </x:c>
      <x:c r="O825" s="31" t="n">
        <x:f>ABS(M825-N825)</x:f>
        <x:v>0.25</x:v>
      </x:c>
      <x:c r="P825" s="31" t="n">
        <x:v>8.23</x:v>
      </x:c>
      <x:c r="Q825" s="31" t="n">
        <x:v>7.68</x:v>
      </x:c>
      <x:c r="R825" s="31" t="n">
        <x:f>ABS(P825-Q825)</x:f>
        <x:v>0.5500000000000007</x:v>
      </x:c>
      <x:c r="S825" s="32" t="n">
        <x:v>25923.52106481404</x:v>
      </x:c>
      <x:c r="T825" s="32" t="n">
        <x:v>36446.46759363211</x:v>
      </x:c>
      <x:c r="U825" s="31" t="n">
        <x:f>MAX(S825/T825,T825/S825)</x:f>
        <x:v>1.4059227333551094</x:v>
      </x:c>
      <x:c r="V825" s="31" t="n">
        <x:f>L825*'Controls &amp; Summary'!$B$9+O825*'Controls &amp; Summary'!$B$10+R825*'Controls &amp; Summary'!$B$11+U825*'Controls &amp; Summary'!$B$12</x:f>
        <x:v>6.78592273335511</x:v>
      </x:c>
      <x:c r="W825" s="31" t="n">
        <x:v>8</x:v>
      </x:c>
      <x:c r="X825" s="31" t="n">
        <x:v>0</x:v>
      </x:c>
      <x:c r="Y825" s="31" t="n">
        <x:f>((10-MIN(10,MAX(0,X825)))/10)*'Controls &amp; Summary'!$B$15+((10-MIN(10,MAX(0,W825)))/10)*'Controls &amp; Summary'!$B$16</x:f>
        <x:v>1.2</x:v>
      </x:c>
      <x:c r="Z825" s="31" t="n">
        <x:f>V825*Y825</x:f>
        <x:v>8.143107280026133</x:v>
      </x:c>
      <x:c r="AA825" s="30" t="str">
        <x:f>IF(Z825&lt;=I825,"Peaceful","Hostile")</x:f>
        <x:v>Hostile</x:v>
      </x:c>
      <x:c r="AB825" s="30" t="str">
        <x:f>IF(Z825&lt;='Controls &amp; Summary'!$B$6,"Eligible","Blocked")</x:f>
        <x:v>Eligible</x:v>
      </x:c>
      <x:c r="AC825" s="30" t="str">
        <x:v>RUS</x:v>
      </x:c>
      <x:c r="AD825" s="30" t="str">
        <x:v>PRT</x:v>
      </x:c>
      <x:c r="AE825" s="30" t="str">
        <x:v>Portugal</x:v>
      </x:c>
      <x:c r="AF825" s="30" t="str">
        <x:v>Explicit capitalClaim</x:v>
      </x:c>
      <x:c r="AG825" s="30" t="str">
        <x:v>ClaimRUSPortugal</x:v>
      </x:c>
      <x:c r="AH825" s="30" t="str">
        <x:v>Project_ForwardRussia</x:v>
      </x:c>
    </x:row>
    <x:row r="826">
      <x:c r="A826" s="30" t="str">
        <x:v>2022</x:v>
      </x:c>
      <x:c r="B826" s="30" t="str">
        <x:v>Base game</x:v>
      </x:c>
      <x:c r="C826" s="30" t="str">
        <x:v>Russia</x:v>
      </x:c>
      <x:c r="D826" s="30" t="str">
        <x:v>Romania</x:v>
      </x:c>
      <x:c r="E826" s="30" t="str">
        <x:v>Project unlock</x:v>
      </x:c>
      <x:c r="F826" s="30" t="str">
        <x:v>Restored Warsaw Pact</x:v>
      </x:c>
      <x:c r="G826" s="30" t="str">
        <x:v>Yes</x:v>
      </x:c>
      <x:c r="H826" s="30" t="str">
        <x:v>Approved expansion-project family</x:v>
      </x:c>
      <x:c r="I826" s="31" t="n">
        <x:f>IF(G826="Yes",'Controls &amp; Summary'!$B$5,'Controls &amp; Summary'!$B$4)</x:f>
        <x:v>3</x:v>
      </x:c>
      <x:c r="J826" s="31" t="n">
        <x:v>3.24</x:v>
      </x:c>
      <x:c r="K826" s="31" t="n">
        <x:v>6.43</x:v>
      </x:c>
      <x:c r="L826" s="31" t="n">
        <x:f>ABS(J826-K826)</x:f>
        <x:v>3.1899999999999995</x:v>
      </x:c>
      <x:c r="M826" s="31" t="n">
        <x:v>3.53</x:v>
      </x:c>
      <x:c r="N826" s="31" t="n">
        <x:v>3.48</x:v>
      </x:c>
      <x:c r="O826" s="31" t="n">
        <x:f>ABS(M826-N826)</x:f>
        <x:v>0.04999999999999982</x:v>
      </x:c>
      <x:c r="P826" s="31" t="n">
        <x:v>8.23</x:v>
      </x:c>
      <x:c r="Q826" s="31" t="n">
        <x:v>7.65</x:v>
      </x:c>
      <x:c r="R826" s="31" t="n">
        <x:f>ABS(P826-Q826)</x:f>
        <x:v>0.5800000000000001</x:v>
      </x:c>
      <x:c r="S826" s="32" t="n">
        <x:v>25923.52106481404</x:v>
      </x:c>
      <x:c r="T826" s="32" t="n">
        <x:v>32773.8168708325</x:v>
      </x:c>
      <x:c r="U826" s="31" t="n">
        <x:f>MAX(S826/T826,T826/S826)</x:f>
        <x:v>1.2642502069410764</x:v>
      </x:c>
      <x:c r="V826" s="31" t="n">
        <x:f>L826*'Controls &amp; Summary'!$B$9+O826*'Controls &amp; Summary'!$B$10+R826*'Controls &amp; Summary'!$B$11+U826*'Controls &amp; Summary'!$B$12</x:f>
        <x:v>5.084250206941076</x:v>
      </x:c>
      <x:c r="W826" s="31" t="n">
        <x:v>8</x:v>
      </x:c>
      <x:c r="X826" s="31" t="n">
        <x:v>1</x:v>
      </x:c>
      <x:c r="Y826" s="31" t="n">
        <x:f>((10-MIN(10,MAX(0,X826)))/10)*'Controls &amp; Summary'!$B$15+((10-MIN(10,MAX(0,W826)))/10)*'Controls &amp; Summary'!$B$16</x:f>
        <x:v>1.1</x:v>
      </x:c>
      <x:c r="Z826" s="31" t="n">
        <x:f>V826*Y826</x:f>
        <x:v>5.592675227635183</x:v>
      </x:c>
      <x:c r="AA826" s="30" t="str">
        <x:f>IF(Z826&lt;=I826,"Peaceful","Hostile")</x:f>
        <x:v>Hostile</x:v>
      </x:c>
      <x:c r="AB826" s="30" t="str">
        <x:f>IF(Z826&lt;='Controls &amp; Summary'!$B$6,"Eligible","Blocked")</x:f>
        <x:v>Eligible</x:v>
      </x:c>
      <x:c r="AC826" s="30" t="str">
        <x:v>RUS</x:v>
      </x:c>
      <x:c r="AD826" s="30" t="str">
        <x:v>ROM</x:v>
      </x:c>
      <x:c r="AE826" s="30" t="str">
        <x:v>Romania</x:v>
      </x:c>
      <x:c r="AF826" s="30" t="str">
        <x:v>Explicit capitalClaim</x:v>
      </x:c>
      <x:c r="AG826" s="30" t="str">
        <x:v>ClaimRUSRomania</x:v>
      </x:c>
      <x:c r="AH826" s="30" t="str">
        <x:v>Project_RestoredWarsawPact</x:v>
      </x:c>
    </x:row>
    <x:row r="827">
      <x:c r="A827" s="30" t="str">
        <x:v>2022</x:v>
      </x:c>
      <x:c r="B827" s="30" t="str">
        <x:v>Base game</x:v>
      </x:c>
      <x:c r="C827" s="30" t="str">
        <x:v>Russia</x:v>
      </x:c>
      <x:c r="D827" s="30" t="str">
        <x:v>Serbia</x:v>
      </x:c>
      <x:c r="E827" s="30" t="str">
        <x:v>Project unlock</x:v>
      </x:c>
      <x:c r="F827" s="30" t="str">
        <x:v>Forward Russia</x:v>
      </x:c>
      <x:c r="G827" s="30" t="str">
        <x:v>Yes</x:v>
      </x:c>
      <x:c r="H827" s="30" t="str">
        <x:v>Approved expansion-project family</x:v>
      </x:c>
      <x:c r="I827" s="31" t="n">
        <x:f>IF(G827="Yes",'Controls &amp; Summary'!$B$5,'Controls &amp; Summary'!$B$4)</x:f>
        <x:v>3</x:v>
      </x:c>
      <x:c r="J827" s="31" t="n">
        <x:v>3.24</x:v>
      </x:c>
      <x:c r="K827" s="31" t="n">
        <x:v>6.36</x:v>
      </x:c>
      <x:c r="L827" s="31" t="n">
        <x:f>ABS(J827-K827)</x:f>
        <x:v>3.12</x:v>
      </x:c>
      <x:c r="M827" s="31" t="n">
        <x:v>3.53</x:v>
      </x:c>
      <x:c r="N827" s="31" t="n">
        <x:v>3.45</x:v>
      </x:c>
      <x:c r="O827" s="31" t="n">
        <x:f>ABS(M827-N827)</x:f>
        <x:v>0.07999999999999963</x:v>
      </x:c>
      <x:c r="P827" s="31" t="n">
        <x:v>8.23</x:v>
      </x:c>
      <x:c r="Q827" s="31" t="n">
        <x:v>7.83</x:v>
      </x:c>
      <x:c r="R827" s="31" t="n">
        <x:f>ABS(P827-Q827)</x:f>
        <x:v>0.40000000000000036</x:v>
      </x:c>
      <x:c r="S827" s="32" t="n">
        <x:v>25923.52106481404</x:v>
      </x:c>
      <x:c r="T827" s="32" t="n">
        <x:v>20954.93659689366</x:v>
      </x:c>
      <x:c r="U827" s="31" t="n">
        <x:f>MAX(S827/T827,T827/S827)</x:f>
        <x:v>1.237108064963409</x:v>
      </x:c>
      <x:c r="V827" s="31" t="n">
        <x:f>L827*'Controls &amp; Summary'!$B$9+O827*'Controls &amp; Summary'!$B$10+R827*'Controls &amp; Summary'!$B$11+U827*'Controls &amp; Summary'!$B$12</x:f>
        <x:v>4.8371080649634095</x:v>
      </x:c>
      <x:c r="W827" s="31" t="n">
        <x:v>8</x:v>
      </x:c>
      <x:c r="X827" s="31" t="n">
        <x:v>1</x:v>
      </x:c>
      <x:c r="Y827" s="31" t="n">
        <x:f>((10-MIN(10,MAX(0,X827)))/10)*'Controls &amp; Summary'!$B$15+((10-MIN(10,MAX(0,W827)))/10)*'Controls &amp; Summary'!$B$16</x:f>
        <x:v>1.1</x:v>
      </x:c>
      <x:c r="Z827" s="31" t="n">
        <x:f>V827*Y827</x:f>
        <x:v>5.320818871459751</x:v>
      </x:c>
      <x:c r="AA827" s="30" t="str">
        <x:f>IF(Z827&lt;=I827,"Peaceful","Hostile")</x:f>
        <x:v>Hostile</x:v>
      </x:c>
      <x:c r="AB827" s="30" t="str">
        <x:f>IF(Z827&lt;='Controls &amp; Summary'!$B$6,"Eligible","Blocked")</x:f>
        <x:v>Eligible</x:v>
      </x:c>
      <x:c r="AC827" s="30" t="str">
        <x:v>RUS</x:v>
      </x:c>
      <x:c r="AD827" s="30" t="str">
        <x:v>SER</x:v>
      </x:c>
      <x:c r="AE827" s="30" t="str">
        <x:v>Belgrade</x:v>
      </x:c>
      <x:c r="AF827" s="30" t="str">
        <x:v>Explicit capitalClaim</x:v>
      </x:c>
      <x:c r="AG827" s="30" t="str">
        <x:v>ClaimRUSBelgrade</x:v>
      </x:c>
      <x:c r="AH827" s="30" t="str">
        <x:v>Project_ForwardRussia</x:v>
      </x:c>
    </x:row>
    <x:row r="828">
      <x:c r="A828" s="30" t="str">
        <x:v>2022</x:v>
      </x:c>
      <x:c r="B828" s="30" t="str">
        <x:v>Base game</x:v>
      </x:c>
      <x:c r="C828" s="30" t="str">
        <x:v>Russia</x:v>
      </x:c>
      <x:c r="D828" s="30" t="str">
        <x:v>Slovakia</x:v>
      </x:c>
      <x:c r="E828" s="30" t="str">
        <x:v>Project unlock</x:v>
      </x:c>
      <x:c r="F828" s="30" t="str">
        <x:v>Restored Warsaw Pact</x:v>
      </x:c>
      <x:c r="G828" s="30" t="str">
        <x:v>Yes</x:v>
      </x:c>
      <x:c r="H828" s="30" t="str">
        <x:v>Approved expansion-project family</x:v>
      </x:c>
      <x:c r="I828" s="31" t="n">
        <x:f>IF(G828="Yes",'Controls &amp; Summary'!$B$5,'Controls &amp; Summary'!$B$4)</x:f>
        <x:v>3</x:v>
      </x:c>
      <x:c r="J828" s="31" t="n">
        <x:v>3.24</x:v>
      </x:c>
      <x:c r="K828" s="31" t="n">
        <x:v>7.03</x:v>
      </x:c>
      <x:c r="L828" s="31" t="n">
        <x:f>ABS(J828-K828)</x:f>
        <x:v>3.79</x:v>
      </x:c>
      <x:c r="M828" s="31" t="n">
        <x:v>3.53</x:v>
      </x:c>
      <x:c r="N828" s="31" t="n">
        <x:v>2.32</x:v>
      </x:c>
      <x:c r="O828" s="31" t="n">
        <x:f>ABS(M828-N828)</x:f>
        <x:v>1.21</x:v>
      </x:c>
      <x:c r="P828" s="31" t="n">
        <x:v>8.23</x:v>
      </x:c>
      <x:c r="Q828" s="31" t="n">
        <x:v>8.26</x:v>
      </x:c>
      <x:c r="R828" s="31" t="n">
        <x:f>ABS(P828-Q828)</x:f>
        <x:v>0.02999999999999936</x:v>
      </x:c>
      <x:c r="S828" s="32" t="n">
        <x:v>25923.52106481404</x:v>
      </x:c>
      <x:c r="T828" s="32" t="n">
        <x:v>34026.561582197755</x:v>
      </x:c>
      <x:c r="U828" s="31" t="n">
        <x:f>MAX(S828/T828,T828/S828)</x:f>
        <x:v>1.3125748426351682</x:v>
      </x:c>
      <x:c r="V828" s="31" t="n">
        <x:f>L828*'Controls &amp; Summary'!$B$9+O828*'Controls &amp; Summary'!$B$10+R828*'Controls &amp; Summary'!$B$11+U828*'Controls &amp; Summary'!$B$12</x:f>
        <x:v>6.342574842635168</x:v>
      </x:c>
      <x:c r="W828" s="31" t="n">
        <x:v>8</x:v>
      </x:c>
      <x:c r="X828" s="31" t="n">
        <x:v>1</x:v>
      </x:c>
      <x:c r="Y828" s="31" t="n">
        <x:f>((10-MIN(10,MAX(0,X828)))/10)*'Controls &amp; Summary'!$B$15+((10-MIN(10,MAX(0,W828)))/10)*'Controls &amp; Summary'!$B$16</x:f>
        <x:v>1.1</x:v>
      </x:c>
      <x:c r="Z828" s="31" t="n">
        <x:f>V828*Y828</x:f>
        <x:v>6.976832326898685</x:v>
      </x:c>
      <x:c r="AA828" s="30" t="str">
        <x:f>IF(Z828&lt;=I828,"Peaceful","Hostile")</x:f>
        <x:v>Hostile</x:v>
      </x:c>
      <x:c r="AB828" s="30" t="str">
        <x:f>IF(Z828&lt;='Controls &amp; Summary'!$B$6,"Eligible","Blocked")</x:f>
        <x:v>Eligible</x:v>
      </x:c>
      <x:c r="AC828" s="30" t="str">
        <x:v>RUS</x:v>
      </x:c>
      <x:c r="AD828" s="30" t="str">
        <x:v>SLO</x:v>
      </x:c>
      <x:c r="AE828" s="30" t="str">
        <x:v>Slovakia</x:v>
      </x:c>
      <x:c r="AF828" s="30" t="str">
        <x:v>Explicit capitalClaim</x:v>
      </x:c>
      <x:c r="AG828" s="30" t="str">
        <x:v>ClaimRUSSlovakia</x:v>
      </x:c>
      <x:c r="AH828" s="30" t="str">
        <x:v>Project_RestoredWarsawPact</x:v>
      </x:c>
    </x:row>
    <x:row r="829">
      <x:c r="A829" s="30" t="str">
        <x:v>2022</x:v>
      </x:c>
      <x:c r="B829" s="30" t="str">
        <x:v>Base game</x:v>
      </x:c>
      <x:c r="C829" s="30" t="str">
        <x:v>Russia</x:v>
      </x:c>
      <x:c r="D829" s="30" t="str">
        <x:v>Slovenia</x:v>
      </x:c>
      <x:c r="E829" s="30" t="str">
        <x:v>Project unlock</x:v>
      </x:c>
      <x:c r="F829" s="30" t="str">
        <x:v>Forward Russia</x:v>
      </x:c>
      <x:c r="G829" s="30" t="str">
        <x:v>Yes</x:v>
      </x:c>
      <x:c r="H829" s="30" t="str">
        <x:v>Template hostileClaim</x:v>
      </x:c>
      <x:c r="I829" s="31" t="n">
        <x:f>IF(G829="Yes",'Controls &amp; Summary'!$B$5,'Controls &amp; Summary'!$B$4)</x:f>
        <x:v>3</x:v>
      </x:c>
      <x:c r="J829" s="31" t="n">
        <x:v>3.24</x:v>
      </x:c>
      <x:c r="K829" s="31" t="n">
        <x:v>7.54</x:v>
      </x:c>
      <x:c r="L829" s="31" t="n">
        <x:f>ABS(J829-K829)</x:f>
        <x:v>4.3</x:v>
      </x:c>
      <x:c r="M829" s="31" t="n">
        <x:v>3.53</x:v>
      </x:c>
      <x:c r="N829" s="31" t="n">
        <x:v>2.44</x:v>
      </x:c>
      <x:c r="O829" s="31" t="n">
        <x:f>ABS(M829-N829)</x:f>
        <x:v>1.0899999999999999</x:v>
      </x:c>
      <x:c r="P829" s="31" t="n">
        <x:v>8.23</x:v>
      </x:c>
      <x:c r="Q829" s="31" t="n">
        <x:v>9.1</x:v>
      </x:c>
      <x:c r="R829" s="31" t="n">
        <x:f>ABS(P829-Q829)</x:f>
        <x:v>0.8699999999999992</x:v>
      </x:c>
      <x:c r="S829" s="32" t="n">
        <x:v>25923.52106481404</x:v>
      </x:c>
      <x:c r="T829" s="32" t="n">
        <x:v>43377.776408973405</x:v>
      </x:c>
      <x:c r="U829" s="31" t="n">
        <x:f>MAX(S829/T829,T829/S829)</x:f>
        <x:v>1.6732980176774677</x:v>
      </x:c>
      <x:c r="V829" s="31" t="n">
        <x:f>L829*'Controls &amp; Summary'!$B$9+O829*'Controls &amp; Summary'!$B$10+R829*'Controls &amp; Summary'!$B$11+U829*'Controls &amp; Summary'!$B$12</x:f>
        <x:v>7.933298017677466</x:v>
      </x:c>
      <x:c r="W829" s="31" t="n">
        <x:v>8</x:v>
      </x:c>
      <x:c r="X829" s="31" t="n">
        <x:v>0</x:v>
      </x:c>
      <x:c r="Y829" s="31" t="n">
        <x:f>((10-MIN(10,MAX(0,X829)))/10)*'Controls &amp; Summary'!$B$15+((10-MIN(10,MAX(0,W829)))/10)*'Controls &amp; Summary'!$B$16</x:f>
        <x:v>1.2</x:v>
      </x:c>
      <x:c r="Z829" s="31" t="n">
        <x:f>V829*Y829</x:f>
        <x:v>9.51995762121296</x:v>
      </x:c>
      <x:c r="AA829" s="30" t="str">
        <x:f>IF(Z829&lt;=I829,"Peaceful","Hostile")</x:f>
        <x:v>Hostile</x:v>
      </x:c>
      <x:c r="AB829" s="30" t="str">
        <x:f>IF(Z829&lt;='Controls &amp; Summary'!$B$6,"Eligible","Blocked")</x:f>
        <x:v>Eligible</x:v>
      </x:c>
      <x:c r="AC829" s="30" t="str">
        <x:v>RUS</x:v>
      </x:c>
      <x:c r="AD829" s="30" t="str">
        <x:v>SLV</x:v>
      </x:c>
      <x:c r="AE829" s="30" t="str">
        <x:v>Slovenia</x:v>
      </x:c>
      <x:c r="AF829" s="30" t="str">
        <x:v>Explicit capitalClaim</x:v>
      </x:c>
      <x:c r="AG829" s="30" t="str">
        <x:v>ClaimRUSSlovenia</x:v>
      </x:c>
      <x:c r="AH829" s="30" t="str">
        <x:v>Project_ForwardRussia</x:v>
      </x:c>
    </x:row>
    <x:row r="830">
      <x:c r="A830" s="30" t="str">
        <x:v>2022</x:v>
      </x:c>
      <x:c r="B830" s="30" t="str">
        <x:v>Base game</x:v>
      </x:c>
      <x:c r="C830" s="30" t="str">
        <x:v>Russia</x:v>
      </x:c>
      <x:c r="D830" s="30" t="str">
        <x:v>Spain</x:v>
      </x:c>
      <x:c r="E830" s="30" t="str">
        <x:v>Project unlock</x:v>
      </x:c>
      <x:c r="F830" s="30" t="str">
        <x:v>Forward Russia</x:v>
      </x:c>
      <x:c r="G830" s="30" t="str">
        <x:v>Yes</x:v>
      </x:c>
      <x:c r="H830" s="30" t="str">
        <x:v>Template hostileClaim</x:v>
      </x:c>
      <x:c r="I830" s="31" t="n">
        <x:f>IF(G830="Yes",'Controls &amp; Summary'!$B$5,'Controls &amp; Summary'!$B$4)</x:f>
        <x:v>3</x:v>
      </x:c>
      <x:c r="J830" s="31" t="n">
        <x:v>3.24</x:v>
      </x:c>
      <x:c r="K830" s="31" t="n">
        <x:v>7.94</x:v>
      </x:c>
      <x:c r="L830" s="31" t="n">
        <x:f>ABS(J830-K830)</x:f>
        <x:v>4.7</x:v>
      </x:c>
      <x:c r="M830" s="31" t="n">
        <x:v>3.53</x:v>
      </x:c>
      <x:c r="N830" s="31" t="n">
        <x:v>3.43</x:v>
      </x:c>
      <x:c r="O830" s="31" t="n">
        <x:f>ABS(M830-N830)</x:f>
        <x:v>0.09999999999999964</x:v>
      </x:c>
      <x:c r="P830" s="31" t="n">
        <x:v>8.23</x:v>
      </x:c>
      <x:c r="Q830" s="31" t="n">
        <x:v>8.31</x:v>
      </x:c>
      <x:c r="R830" s="31" t="n">
        <x:f>ABS(P830-Q830)</x:f>
        <x:v>0.08000000000000007</x:v>
      </x:c>
      <x:c r="S830" s="32" t="n">
        <x:v>25923.52106481404</x:v>
      </x:c>
      <x:c r="T830" s="32" t="n">
        <x:v>41624.64347332511</x:v>
      </x:c>
      <x:c r="U830" s="31" t="n">
        <x:f>MAX(S830/T830,T830/S830)</x:f>
        <x:v>1.6056709028551752</x:v>
      </x:c>
      <x:c r="V830" s="31" t="n">
        <x:f>L830*'Controls &amp; Summary'!$B$9+O830*'Controls &amp; Summary'!$B$10+R830*'Controls &amp; Summary'!$B$11+U830*'Controls &amp; Summary'!$B$12</x:f>
        <x:v>6.485670902855175</x:v>
      </x:c>
      <x:c r="W830" s="31" t="n">
        <x:v>8</x:v>
      </x:c>
      <x:c r="X830" s="31" t="n">
        <x:v>3</x:v>
      </x:c>
      <x:c r="Y830" s="31" t="n">
        <x:f>((10-MIN(10,MAX(0,X830)))/10)*'Controls &amp; Summary'!$B$15+((10-MIN(10,MAX(0,W830)))/10)*'Controls &amp; Summary'!$B$16</x:f>
        <x:v>0.8999999999999999</x:v>
      </x:c>
      <x:c r="Z830" s="31" t="n">
        <x:f>V830*Y830</x:f>
        <x:v>5.837103812569657</x:v>
      </x:c>
      <x:c r="AA830" s="30" t="str">
        <x:f>IF(Z830&lt;=I830,"Peaceful","Hostile")</x:f>
        <x:v>Hostile</x:v>
      </x:c>
      <x:c r="AB830" s="30" t="str">
        <x:f>IF(Z830&lt;='Controls &amp; Summary'!$B$6,"Eligible","Blocked")</x:f>
        <x:v>Eligible</x:v>
      </x:c>
      <x:c r="AC830" s="30" t="str">
        <x:v>RUS</x:v>
      </x:c>
      <x:c r="AD830" s="30" t="str">
        <x:v>ESP</x:v>
      </x:c>
      <x:c r="AE830" s="30" t="str">
        <x:v>Spain</x:v>
      </x:c>
      <x:c r="AF830" s="30" t="str">
        <x:v>Explicit capitalClaim</x:v>
      </x:c>
      <x:c r="AG830" s="30" t="str">
        <x:v>ClaimRUSSpain</x:v>
      </x:c>
      <x:c r="AH830" s="30" t="str">
        <x:v>Project_ForwardRussia</x:v>
      </x:c>
    </x:row>
    <x:row r="831">
      <x:c r="A831" s="30" t="str">
        <x:v>2022</x:v>
      </x:c>
      <x:c r="B831" s="30" t="str">
        <x:v>Base game</x:v>
      </x:c>
      <x:c r="C831" s="30" t="str">
        <x:v>Russia</x:v>
      </x:c>
      <x:c r="D831" s="30" t="str">
        <x:v>Sweden</x:v>
      </x:c>
      <x:c r="E831" s="30" t="str">
        <x:v>Project unlock</x:v>
      </x:c>
      <x:c r="F831" s="30" t="str">
        <x:v>Forward Russia</x:v>
      </x:c>
      <x:c r="G831" s="30" t="str">
        <x:v>Yes</x:v>
      </x:c>
      <x:c r="H831" s="30" t="str">
        <x:v>Template hostileClaim</x:v>
      </x:c>
      <x:c r="I831" s="31" t="n">
        <x:f>IF(G831="Yes",'Controls &amp; Summary'!$B$5,'Controls &amp; Summary'!$B$4)</x:f>
        <x:v>3</x:v>
      </x:c>
      <x:c r="J831" s="31" t="n">
        <x:v>3.24</x:v>
      </x:c>
      <x:c r="K831" s="31" t="n">
        <x:v>9.26</x:v>
      </x:c>
      <x:c r="L831" s="31" t="n">
        <x:f>ABS(J831-K831)</x:f>
        <x:v>6.02</x:v>
      </x:c>
      <x:c r="M831" s="31" t="n">
        <x:v>3.53</x:v>
      </x:c>
      <x:c r="N831" s="31" t="n">
        <x:v>2.93</x:v>
      </x:c>
      <x:c r="O831" s="31" t="n">
        <x:f>ABS(M831-N831)</x:f>
        <x:v>0.5999999999999996</x:v>
      </x:c>
      <x:c r="P831" s="31" t="n">
        <x:v>8.23</x:v>
      </x:c>
      <x:c r="Q831" s="31" t="n">
        <x:v>9.18</x:v>
      </x:c>
      <x:c r="R831" s="31" t="n">
        <x:f>ABS(P831-Q831)</x:f>
        <x:v>0.9499999999999993</x:v>
      </x:c>
      <x:c r="S831" s="32" t="n">
        <x:v>25923.52106481404</x:v>
      </x:c>
      <x:c r="T831" s="32" t="n">
        <x:v>57961.24796654785</x:v>
      </x:c>
      <x:c r="U831" s="31" t="n">
        <x:f>MAX(S831/T831,T831/S831)</x:f>
        <x:v>2.2358555314161617</x:v>
      </x:c>
      <x:c r="V831" s="31" t="n">
        <x:f>L831*'Controls &amp; Summary'!$B$9+O831*'Controls &amp; Summary'!$B$10+R831*'Controls &amp; Summary'!$B$11+U831*'Controls &amp; Summary'!$B$12</x:f>
        <x:v>9.80585553141616</x:v>
      </x:c>
      <x:c r="W831" s="31" t="n">
        <x:v>8</x:v>
      </x:c>
      <x:c r="X831" s="31" t="n">
        <x:v>1</x:v>
      </x:c>
      <x:c r="Y831" s="31" t="n">
        <x:f>((10-MIN(10,MAX(0,X831)))/10)*'Controls &amp; Summary'!$B$15+((10-MIN(10,MAX(0,W831)))/10)*'Controls &amp; Summary'!$B$16</x:f>
        <x:v>1.1</x:v>
      </x:c>
      <x:c r="Z831" s="31" t="n">
        <x:f>V831*Y831</x:f>
        <x:v>10.786441084557778</x:v>
      </x:c>
      <x:c r="AA831" s="30" t="str">
        <x:f>IF(Z831&lt;=I831,"Peaceful","Hostile")</x:f>
        <x:v>Hostile</x:v>
      </x:c>
      <x:c r="AB831" s="30" t="str">
        <x:f>IF(Z831&lt;='Controls &amp; Summary'!$B$6,"Eligible","Blocked")</x:f>
        <x:v>Eligible</x:v>
      </x:c>
      <x:c r="AC831" s="30" t="str">
        <x:v>RUS</x:v>
      </x:c>
      <x:c r="AD831" s="30" t="str">
        <x:v>SCA</x:v>
      </x:c>
      <x:c r="AE831" s="30" t="str">
        <x:v>Sweden</x:v>
      </x:c>
      <x:c r="AF831" s="30" t="str">
        <x:v>Explicit capitalClaim</x:v>
      </x:c>
      <x:c r="AG831" s="30" t="str">
        <x:v>ClaimRUSSweden</x:v>
      </x:c>
      <x:c r="AH831" s="30" t="str">
        <x:v>Project_ForwardRussia</x:v>
      </x:c>
    </x:row>
    <x:row r="832">
      <x:c r="A832" s="30" t="str">
        <x:v>2022</x:v>
      </x:c>
      <x:c r="B832" s="30" t="str">
        <x:v>Base game</x:v>
      </x:c>
      <x:c r="C832" s="30" t="str">
        <x:v>Russia</x:v>
      </x:c>
      <x:c r="D832" s="30" t="str">
        <x:v>Switzerland</x:v>
      </x:c>
      <x:c r="E832" s="30" t="str">
        <x:v>Project unlock</x:v>
      </x:c>
      <x:c r="F832" s="30" t="str">
        <x:v>Forward Russia</x:v>
      </x:c>
      <x:c r="G832" s="30" t="str">
        <x:v>Yes</x:v>
      </x:c>
      <x:c r="H832" s="30" t="str">
        <x:v>Template hostileClaim</x:v>
      </x:c>
      <x:c r="I832" s="31" t="n">
        <x:f>IF(G832="Yes",'Controls &amp; Summary'!$B$5,'Controls &amp; Summary'!$B$4)</x:f>
        <x:v>3</x:v>
      </x:c>
      <x:c r="J832" s="31" t="n">
        <x:v>3.24</x:v>
      </x:c>
      <x:c r="K832" s="31" t="n">
        <x:v>8.9</x:v>
      </x:c>
      <x:c r="L832" s="31" t="n">
        <x:f>ABS(J832-K832)</x:f>
        <x:v>5.66</x:v>
      </x:c>
      <x:c r="M832" s="31" t="n">
        <x:v>3.53</x:v>
      </x:c>
      <x:c r="N832" s="31" t="n">
        <x:v>3.31</x:v>
      </x:c>
      <x:c r="O832" s="31" t="n">
        <x:f>ABS(M832-N832)</x:f>
        <x:v>0.21999999999999975</x:v>
      </x:c>
      <x:c r="P832" s="31" t="n">
        <x:v>8.23</x:v>
      </x:c>
      <x:c r="Q832" s="31" t="n">
        <x:v>9</x:v>
      </x:c>
      <x:c r="R832" s="31" t="n">
        <x:f>ABS(P832-Q832)</x:f>
        <x:v>0.7699999999999996</x:v>
      </x:c>
      <x:c r="S832" s="32" t="n">
        <x:v>25923.52106481404</x:v>
      </x:c>
      <x:c r="T832" s="32" t="n">
        <x:v>92586.1530163957</x:v>
      </x:c>
      <x:c r="U832" s="31" t="n">
        <x:f>MAX(S832/T832,T832/S832)</x:f>
        <x:v>3.57151147735339</x:v>
      </x:c>
      <x:c r="V832" s="31" t="n">
        <x:f>L832*'Controls &amp; Summary'!$B$9+O832*'Controls &amp; Summary'!$B$10+R832*'Controls &amp; Summary'!$B$11+U832*'Controls &amp; Summary'!$B$12</x:f>
        <x:v>10.221511477353388</x:v>
      </x:c>
      <x:c r="W832" s="31" t="n">
        <x:v>8</x:v>
      </x:c>
      <x:c r="X832" s="31" t="n">
        <x:v>0</x:v>
      </x:c>
      <x:c r="Y832" s="31" t="n">
        <x:f>((10-MIN(10,MAX(0,X832)))/10)*'Controls &amp; Summary'!$B$15+((10-MIN(10,MAX(0,W832)))/10)*'Controls &amp; Summary'!$B$16</x:f>
        <x:v>1.2</x:v>
      </x:c>
      <x:c r="Z832" s="31" t="n">
        <x:f>V832*Y832</x:f>
        <x:v>12.265813772824066</x:v>
      </x:c>
      <x:c r="AA832" s="30" t="str">
        <x:f>IF(Z832&lt;=I832,"Peaceful","Hostile")</x:f>
        <x:v>Hostile</x:v>
      </x:c>
      <x:c r="AB832" s="30" t="str">
        <x:f>IF(Z832&lt;='Controls &amp; Summary'!$B$6,"Eligible","Blocked")</x:f>
        <x:v>Blocked</x:v>
      </x:c>
      <x:c r="AC832" s="30" t="str">
        <x:v>RUS</x:v>
      </x:c>
      <x:c r="AD832" s="30" t="str">
        <x:v>SWI</x:v>
      </x:c>
      <x:c r="AE832" s="30" t="str">
        <x:v>Zurich</x:v>
      </x:c>
      <x:c r="AF832" s="30" t="str">
        <x:v>Explicit capitalClaim</x:v>
      </x:c>
      <x:c r="AG832" s="30" t="str">
        <x:v>ClaimRUSZurich</x:v>
      </x:c>
      <x:c r="AH832" s="30" t="str">
        <x:v>Project_ForwardRussia</x:v>
      </x:c>
    </x:row>
    <x:row r="833">
      <x:c r="A833" s="30" t="str">
        <x:v>2022</x:v>
      </x:c>
      <x:c r="B833" s="30" t="str">
        <x:v>Base game</x:v>
      </x:c>
      <x:c r="C833" s="30" t="str">
        <x:v>Russia</x:v>
      </x:c>
      <x:c r="D833" s="30" t="str">
        <x:v>Tajikistan</x:v>
      </x:c>
      <x:c r="E833" s="30" t="str">
        <x:v>Starting claim</x:v>
      </x:c>
      <x:c r="F833" s="30" t="str"/>
      <x:c r="G833" s="30" t="str">
        <x:v>No</x:v>
      </x:c>
      <x:c r="H833" s="30" t="str">
        <x:v>Ordinary claim</x:v>
      </x:c>
      <x:c r="I833" s="31" t="n">
        <x:f>IF(G833="Yes",'Controls &amp; Summary'!$B$5,'Controls &amp; Summary'!$B$4)</x:f>
        <x:v>6</x:v>
      </x:c>
      <x:c r="J833" s="31" t="n">
        <x:v>3.24</x:v>
      </x:c>
      <x:c r="K833" s="31" t="n">
        <x:v>1.94</x:v>
      </x:c>
      <x:c r="L833" s="31" t="n">
        <x:f>ABS(J833-K833)</x:f>
        <x:v>1.3000000000000003</x:v>
      </x:c>
      <x:c r="M833" s="31" t="n">
        <x:v>3.53</x:v>
      </x:c>
      <x:c r="N833" s="31" t="n">
        <x:v>3.4</x:v>
      </x:c>
      <x:c r="O833" s="31" t="n">
        <x:f>ABS(M833-N833)</x:f>
        <x:v>0.1299999999999999</x:v>
      </x:c>
      <x:c r="P833" s="31" t="n">
        <x:v>8.23</x:v>
      </x:c>
      <x:c r="Q833" s="31" t="n">
        <x:v>6.82</x:v>
      </x:c>
      <x:c r="R833" s="31" t="n">
        <x:f>ABS(P833-Q833)</x:f>
        <x:v>1.4100000000000001</x:v>
      </x:c>
      <x:c r="S833" s="32" t="n">
        <x:v>25923.52106481404</x:v>
      </x:c>
      <x:c r="T833" s="32" t="n">
        <x:v>3998.4706612171685</x:v>
      </x:c>
      <x:c r="U833" s="31" t="n">
        <x:f>MAX(S833/T833,T833/S833)</x:f>
        <x:v>6.483359079324268</x:v>
      </x:c>
      <x:c r="V833" s="31" t="n">
        <x:f>L833*'Controls &amp; Summary'!$B$9+O833*'Controls &amp; Summary'!$B$10+R833*'Controls &amp; Summary'!$B$11+U833*'Controls &amp; Summary'!$B$12</x:f>
        <x:v>9.323359079324268</x:v>
      </x:c>
      <x:c r="W833" s="31" t="n">
        <x:v>8</x:v>
      </x:c>
      <x:c r="X833" s="31" t="n">
        <x:v>1</x:v>
      </x:c>
      <x:c r="Y833" s="31" t="n">
        <x:f>((10-MIN(10,MAX(0,X833)))/10)*'Controls &amp; Summary'!$B$15+((10-MIN(10,MAX(0,W833)))/10)*'Controls &amp; Summary'!$B$16</x:f>
        <x:v>1.1</x:v>
      </x:c>
      <x:c r="Z833" s="31" t="n">
        <x:f>V833*Y833</x:f>
        <x:v>10.255694987256696</x:v>
      </x:c>
      <x:c r="AA833" s="30" t="str">
        <x:f>IF(Z833&lt;=I833,"Peaceful","Hostile")</x:f>
        <x:v>Hostile</x:v>
      </x:c>
      <x:c r="AB833" s="30" t="str">
        <x:f>IF(Z833&lt;='Controls &amp; Summary'!$B$6,"Eligible","Blocked")</x:f>
        <x:v>Eligible</x:v>
      </x:c>
      <x:c r="AC833" s="30" t="str">
        <x:v>RUS</x:v>
      </x:c>
      <x:c r="AD833" s="30" t="str">
        <x:v>TJK</x:v>
      </x:c>
      <x:c r="AE833" s="30" t="str">
        <x:v>Tajikistan</x:v>
      </x:c>
      <x:c r="AF833" s="30" t="str">
        <x:v>Explicit capitalClaim</x:v>
      </x:c>
      <x:c r="AG833" s="30" t="str">
        <x:v>ClaimRUSTajikistan</x:v>
      </x:c>
      <x:c r="AH833" s="30" t="str"/>
    </x:row>
    <x:row r="834">
      <x:c r="A834" s="30" t="str">
        <x:v>2022</x:v>
      </x:c>
      <x:c r="B834" s="30" t="str">
        <x:v>Base game</x:v>
      </x:c>
      <x:c r="C834" s="30" t="str">
        <x:v>Russia</x:v>
      </x:c>
      <x:c r="D834" s="30" t="str">
        <x:v>Turkmenistan</x:v>
      </x:c>
      <x:c r="E834" s="30" t="str">
        <x:v>Starting claim</x:v>
      </x:c>
      <x:c r="F834" s="30" t="str"/>
      <x:c r="G834" s="30" t="str">
        <x:v>No</x:v>
      </x:c>
      <x:c r="H834" s="30" t="str">
        <x:v>Ordinary claim</x:v>
      </x:c>
      <x:c r="I834" s="31" t="n">
        <x:f>IF(G834="Yes",'Controls &amp; Summary'!$B$5,'Controls &amp; Summary'!$B$4)</x:f>
        <x:v>6</x:v>
      </x:c>
      <x:c r="J834" s="31" t="n">
        <x:v>3.24</x:v>
      </x:c>
      <x:c r="K834" s="31" t="n">
        <x:v>1.66</x:v>
      </x:c>
      <x:c r="L834" s="31" t="n">
        <x:f>ABS(J834-K834)</x:f>
        <x:v>1.5800000000000003</x:v>
      </x:c>
      <x:c r="M834" s="31" t="n">
        <x:v>3.53</x:v>
      </x:c>
      <x:c r="N834" s="31" t="n">
        <x:v>4.08</x:v>
      </x:c>
      <x:c r="O834" s="31" t="n">
        <x:f>ABS(M834-N834)</x:f>
        <x:v>0.5500000000000003</x:v>
      </x:c>
      <x:c r="P834" s="31" t="n">
        <x:v>8.23</x:v>
      </x:c>
      <x:c r="Q834" s="31" t="n">
        <x:v>6.53</x:v>
      </x:c>
      <x:c r="R834" s="31" t="n">
        <x:f>ABS(P834-Q834)</x:f>
        <x:v>1.7000000000000002</x:v>
      </x:c>
      <x:c r="S834" s="32" t="n">
        <x:v>25923.52106481404</x:v>
      </x:c>
      <x:c r="T834" s="32" t="n">
        <x:v>16626.7250502165</x:v>
      </x:c>
      <x:c r="U834" s="31" t="n">
        <x:f>MAX(S834/T834,T834/S834)</x:f>
        <x:v>1.5591477567902936</x:v>
      </x:c>
      <x:c r="V834" s="31" t="n">
        <x:f>L834*'Controls &amp; Summary'!$B$9+O834*'Controls &amp; Summary'!$B$10+R834*'Controls &amp; Summary'!$B$11+U834*'Controls &amp; Summary'!$B$12</x:f>
        <x:v>5.389147756790295</x:v>
      </x:c>
      <x:c r="W834" s="31" t="n">
        <x:v>8</x:v>
      </x:c>
      <x:c r="X834" s="31" t="n">
        <x:v>1</x:v>
      </x:c>
      <x:c r="Y834" s="31" t="n">
        <x:f>((10-MIN(10,MAX(0,X834)))/10)*'Controls &amp; Summary'!$B$15+((10-MIN(10,MAX(0,W834)))/10)*'Controls &amp; Summary'!$B$16</x:f>
        <x:v>1.1</x:v>
      </x:c>
      <x:c r="Z834" s="31" t="n">
        <x:f>V834*Y834</x:f>
        <x:v>5.928062532469324</x:v>
      </x:c>
      <x:c r="AA834" s="30" t="str">
        <x:f>IF(Z834&lt;=I834,"Peaceful","Hostile")</x:f>
        <x:v>Peaceful</x:v>
      </x:c>
      <x:c r="AB834" s="30" t="str">
        <x:f>IF(Z834&lt;='Controls &amp; Summary'!$B$6,"Eligible","Blocked")</x:f>
        <x:v>Eligible</x:v>
      </x:c>
      <x:c r="AC834" s="30" t="str">
        <x:v>RUS</x:v>
      </x:c>
      <x:c r="AD834" s="30" t="str">
        <x:v>TKM</x:v>
      </x:c>
      <x:c r="AE834" s="30" t="str">
        <x:v>Turkmenistan</x:v>
      </x:c>
      <x:c r="AF834" s="30" t="str">
        <x:v>Explicit capitalClaim</x:v>
      </x:c>
      <x:c r="AG834" s="30" t="str">
        <x:v>ClaimRUSTurkmenistan</x:v>
      </x:c>
      <x:c r="AH834" s="30" t="str"/>
    </x:row>
    <x:row r="835">
      <x:c r="A835" s="30" t="str">
        <x:v>2022</x:v>
      </x:c>
      <x:c r="B835" s="30" t="str">
        <x:v>Base game</x:v>
      </x:c>
      <x:c r="C835" s="30" t="str">
        <x:v>Russia</x:v>
      </x:c>
      <x:c r="D835" s="30" t="str">
        <x:v>Ukraine</x:v>
      </x:c>
      <x:c r="E835" s="30" t="str">
        <x:v>Starting claim</x:v>
      </x:c>
      <x:c r="F835" s="30" t="str"/>
      <x:c r="G835" s="30" t="str">
        <x:v>Yes</x:v>
      </x:c>
      <x:c r="H835" s="30" t="str">
        <x:v>Approved post-2014 Ukraine grievance</x:v>
      </x:c>
      <x:c r="I835" s="31" t="n">
        <x:f>IF(G835="Yes",'Controls &amp; Summary'!$B$5,'Controls &amp; Summary'!$B$4)</x:f>
        <x:v>3</x:v>
      </x:c>
      <x:c r="J835" s="31" t="n">
        <x:v>3.24</x:v>
      </x:c>
      <x:c r="K835" s="31" t="n">
        <x:v>5.57</x:v>
      </x:c>
      <x:c r="L835" s="31" t="n">
        <x:f>ABS(J835-K835)</x:f>
        <x:v>2.33</x:v>
      </x:c>
      <x:c r="M835" s="31" t="n">
        <x:v>3.53</x:v>
      </x:c>
      <x:c r="N835" s="31" t="n">
        <x:v>2.56</x:v>
      </x:c>
      <x:c r="O835" s="31" t="n">
        <x:f>ABS(M835-N835)</x:f>
        <x:v>0.9699999999999998</x:v>
      </x:c>
      <x:c r="P835" s="31" t="n">
        <x:v>8.23</x:v>
      </x:c>
      <x:c r="Q835" s="31" t="n">
        <x:v>7.99</x:v>
      </x:c>
      <x:c r="R835" s="31" t="n">
        <x:f>ABS(P835-Q835)</x:f>
        <x:v>0.2400000000000002</x:v>
      </x:c>
      <x:c r="S835" s="32" t="n">
        <x:v>25923.52106481404</x:v>
      </x:c>
      <x:c r="T835" s="32" t="n">
        <x:v>12011.993225764689</x:v>
      </x:c>
      <x:c r="U835" s="31" t="n">
        <x:f>MAX(S835/T835,T835/S835)</x:f>
        <x:v>2.158136503874338</x:v>
      </x:c>
      <x:c r="V835" s="31" t="n">
        <x:f>L835*'Controls &amp; Summary'!$B$9+O835*'Controls &amp; Summary'!$B$10+R835*'Controls &amp; Summary'!$B$11+U835*'Controls &amp; Summary'!$B$12</x:f>
        <x:v>5.698136503874338</x:v>
      </x:c>
      <x:c r="W835" s="31" t="n">
        <x:v>8</x:v>
      </x:c>
      <x:c r="X835" s="31" t="n">
        <x:v>3</x:v>
      </x:c>
      <x:c r="Y835" s="31" t="n">
        <x:f>((10-MIN(10,MAX(0,X835)))/10)*'Controls &amp; Summary'!$B$15+((10-MIN(10,MAX(0,W835)))/10)*'Controls &amp; Summary'!$B$16</x:f>
        <x:v>0.8999999999999999</x:v>
      </x:c>
      <x:c r="Z835" s="31" t="n">
        <x:f>V835*Y835</x:f>
        <x:v>5.128322853486903</x:v>
      </x:c>
      <x:c r="AA835" s="30" t="str">
        <x:f>IF(Z835&lt;=I835,"Peaceful","Hostile")</x:f>
        <x:v>Hostile</x:v>
      </x:c>
      <x:c r="AB835" s="30" t="str">
        <x:f>IF(Z835&lt;='Controls &amp; Summary'!$B$6,"Eligible","Blocked")</x:f>
        <x:v>Eligible</x:v>
      </x:c>
      <x:c r="AC835" s="30" t="str">
        <x:v>RUS</x:v>
      </x:c>
      <x:c r="AD835" s="30" t="str">
        <x:v>UKR</x:v>
      </x:c>
      <x:c r="AE835" s="30" t="str">
        <x:v>Kiev</x:v>
      </x:c>
      <x:c r="AF835" s="30" t="str">
        <x:v>Explicit capitalClaim</x:v>
      </x:c>
      <x:c r="AG835" s="30" t="str">
        <x:v>ClaimRUSKiev</x:v>
      </x:c>
      <x:c r="AH835" s="30" t="str"/>
    </x:row>
    <x:row r="836">
      <x:c r="A836" s="30" t="str">
        <x:v>2022</x:v>
      </x:c>
      <x:c r="B836" s="30" t="str">
        <x:v>Base game</x:v>
      </x:c>
      <x:c r="C836" s="30" t="str">
        <x:v>Russia</x:v>
      </x:c>
      <x:c r="D836" s="30" t="str">
        <x:v>Uzbekistan</x:v>
      </x:c>
      <x:c r="E836" s="30" t="str">
        <x:v>Starting claim</x:v>
      </x:c>
      <x:c r="F836" s="30" t="str"/>
      <x:c r="G836" s="30" t="str">
        <x:v>No</x:v>
      </x:c>
      <x:c r="H836" s="30" t="str">
        <x:v>Ordinary claim</x:v>
      </x:c>
      <x:c r="I836" s="31" t="n">
        <x:f>IF(G836="Yes",'Controls &amp; Summary'!$B$5,'Controls &amp; Summary'!$B$4)</x:f>
        <x:v>6</x:v>
      </x:c>
      <x:c r="J836" s="31" t="n">
        <x:v>3.24</x:v>
      </x:c>
      <x:c r="K836" s="31" t="n">
        <x:v>2.12</x:v>
      </x:c>
      <x:c r="L836" s="31" t="n">
        <x:f>ABS(J836-K836)</x:f>
        <x:v>1.12</x:v>
      </x:c>
      <x:c r="M836" s="31" t="n">
        <x:v>3.53</x:v>
      </x:c>
      <x:c r="N836" s="31" t="n">
        <x:v>3.53</x:v>
      </x:c>
      <x:c r="O836" s="31" t="n">
        <x:f>ABS(M836-N836)</x:f>
        <x:v>0</x:v>
      </x:c>
      <x:c r="P836" s="31" t="n">
        <x:v>8.23</x:v>
      </x:c>
      <x:c r="Q836" s="31" t="n">
        <x:v>7.29</x:v>
      </x:c>
      <x:c r="R836" s="31" t="n">
        <x:f>ABS(P836-Q836)</x:f>
        <x:v>0.9400000000000004</x:v>
      </x:c>
      <x:c r="S836" s="32" t="n">
        <x:v>25923.52106481404</x:v>
      </x:c>
      <x:c r="T836" s="32" t="n">
        <x:v>8310.553120234992</x:v>
      </x:c>
      <x:c r="U836" s="31" t="n">
        <x:f>MAX(S836/T836,T836/S836)</x:f>
        <x:v>3.1193496617805163</x:v>
      </x:c>
      <x:c r="V836" s="31" t="n">
        <x:f>L836*'Controls &amp; Summary'!$B$9+O836*'Controls &amp; Summary'!$B$10+R836*'Controls &amp; Summary'!$B$11+U836*'Controls &amp; Summary'!$B$12</x:f>
        <x:v>5.179349661780517</x:v>
      </x:c>
      <x:c r="W836" s="31" t="n">
        <x:v>8</x:v>
      </x:c>
      <x:c r="X836" s="31" t="n">
        <x:v>3</x:v>
      </x:c>
      <x:c r="Y836" s="31" t="n">
        <x:f>((10-MIN(10,MAX(0,X836)))/10)*'Controls &amp; Summary'!$B$15+((10-MIN(10,MAX(0,W836)))/10)*'Controls &amp; Summary'!$B$16</x:f>
        <x:v>0.8999999999999999</x:v>
      </x:c>
      <x:c r="Z836" s="31" t="n">
        <x:f>V836*Y836</x:f>
        <x:v>4.661414695602464</x:v>
      </x:c>
      <x:c r="AA836" s="30" t="str">
        <x:f>IF(Z836&lt;=I836,"Peaceful","Hostile")</x:f>
        <x:v>Peaceful</x:v>
      </x:c>
      <x:c r="AB836" s="30" t="str">
        <x:f>IF(Z836&lt;='Controls &amp; Summary'!$B$6,"Eligible","Blocked")</x:f>
        <x:v>Eligible</x:v>
      </x:c>
      <x:c r="AC836" s="30" t="str">
        <x:v>RUS</x:v>
      </x:c>
      <x:c r="AD836" s="30" t="str">
        <x:v>UZB</x:v>
      </x:c>
      <x:c r="AE836" s="30" t="str">
        <x:v>Uzbekistan</x:v>
      </x:c>
      <x:c r="AF836" s="30" t="str">
        <x:v>Explicit capitalClaim</x:v>
      </x:c>
      <x:c r="AG836" s="30" t="str">
        <x:v>ClaimRUSUzbekistan</x:v>
      </x:c>
      <x:c r="AH836" s="30" t="str"/>
    </x:row>
    <x:row r="837">
      <x:c r="A837" s="30" t="str">
        <x:v>2022</x:v>
      </x:c>
      <x:c r="B837" s="30" t="str">
        <x:v>Base game</x:v>
      </x:c>
      <x:c r="C837" s="30" t="str">
        <x:v>Saudi Arabia</x:v>
      </x:c>
      <x:c r="D837" s="30" t="str">
        <x:v>Gulf States</x:v>
      </x:c>
      <x:c r="E837" s="30" t="str">
        <x:v>Project unlock</x:v>
      </x:c>
      <x:c r="F837" s="30" t="str">
        <x:v>Gulf Cooperation Council</x:v>
      </x:c>
      <x:c r="G837" s="30" t="str">
        <x:v>No</x:v>
      </x:c>
      <x:c r="H837" s="30" t="str">
        <x:v>Ordinary claim</x:v>
      </x:c>
      <x:c r="I837" s="31" t="n">
        <x:f>IF(G837="Yes",'Controls &amp; Summary'!$B$5,'Controls &amp; Summary'!$B$4)</x:f>
        <x:v>6</x:v>
      </x:c>
      <x:c r="J837" s="31" t="n">
        <x:v>2.08</x:v>
      </x:c>
      <x:c r="K837" s="31" t="n">
        <x:v>3.23</x:v>
      </x:c>
      <x:c r="L837" s="31" t="n">
        <x:f>ABS(J837-K837)</x:f>
        <x:v>1.15</x:v>
      </x:c>
      <x:c r="M837" s="31" t="n">
        <x:v>4.59</x:v>
      </x:c>
      <x:c r="N837" s="31" t="n">
        <x:v>4.24</x:v>
      </x:c>
      <x:c r="O837" s="31" t="n">
        <x:f>ABS(M837-N837)</x:f>
        <x:v>0.34999999999999964</x:v>
      </x:c>
      <x:c r="P837" s="31" t="n">
        <x:v>7.89</x:v>
      </x:c>
      <x:c r="Q837" s="31" t="n">
        <x:v>7</x:v>
      </x:c>
      <x:c r="R837" s="31" t="n">
        <x:f>ABS(P837-Q837)</x:f>
        <x:v>0.8899999999999997</x:v>
      </x:c>
      <x:c r="S837" s="32" t="n">
        <x:v>48950.633701847306</x:v>
      </x:c>
      <x:c r="T837" s="32" t="n">
        <x:v>71360.01182603187</x:v>
      </x:c>
      <x:c r="U837" s="31" t="n">
        <x:f>MAX(S837/T837,T837/S837)</x:f>
        <x:v>1.457795465134885</x:v>
      </x:c>
      <x:c r="V837" s="31" t="n">
        <x:f>L837*'Controls &amp; Summary'!$B$9+O837*'Controls &amp; Summary'!$B$10+R837*'Controls &amp; Summary'!$B$11+U837*'Controls &amp; Summary'!$B$12</x:f>
        <x:v>3.847795465134884</x:v>
      </x:c>
      <x:c r="W837" s="31" t="n">
        <x:v>9</x:v>
      </x:c>
      <x:c r="X837" s="31" t="n">
        <x:v>2</x:v>
      </x:c>
      <x:c r="Y837" s="31" t="n">
        <x:f>((10-MIN(10,MAX(0,X837)))/10)*'Controls &amp; Summary'!$B$15+((10-MIN(10,MAX(0,W837)))/10)*'Controls &amp; Summary'!$B$16</x:f>
        <x:v>0.9</x:v>
      </x:c>
      <x:c r="Z837" s="31" t="n">
        <x:f>V837*Y837</x:f>
        <x:v>3.463015918621396</x:v>
      </x:c>
      <x:c r="AA837" s="30" t="str">
        <x:f>IF(Z837&lt;=I837,"Peaceful","Hostile")</x:f>
        <x:v>Peaceful</x:v>
      </x:c>
      <x:c r="AB837" s="30" t="str">
        <x:f>IF(Z837&lt;='Controls &amp; Summary'!$B$6,"Eligible","Blocked")</x:f>
        <x:v>Eligible</x:v>
      </x:c>
      <x:c r="AC837" s="30" t="str">
        <x:v>SAU</x:v>
      </x:c>
      <x:c r="AD837" s="30" t="str">
        <x:v>GUS</x:v>
      </x:c>
      <x:c r="AE837" s="30" t="str">
        <x:v>GulfStates</x:v>
      </x:c>
      <x:c r="AF837" s="30" t="str">
        <x:v>Explicit capitalClaim</x:v>
      </x:c>
      <x:c r="AG837" s="30" t="str">
        <x:v>ClaimSAUGulfStates</x:v>
      </x:c>
      <x:c r="AH837" s="30" t="str">
        <x:v>Project_GulfCooperationCouncil</x:v>
      </x:c>
    </x:row>
    <x:row r="838">
      <x:c r="A838" s="30" t="str">
        <x:v>2022</x:v>
      </x:c>
      <x:c r="B838" s="30" t="str">
        <x:v>Base game</x:v>
      </x:c>
      <x:c r="C838" s="30" t="str">
        <x:v>Saudi Arabia</x:v>
      </x:c>
      <x:c r="D838" s="30" t="str">
        <x:v>Kuwait</x:v>
      </x:c>
      <x:c r="E838" s="30" t="str">
        <x:v>Project unlock</x:v>
      </x:c>
      <x:c r="F838" s="30" t="str">
        <x:v>Gulf Cooperation Council</x:v>
      </x:c>
      <x:c r="G838" s="30" t="str">
        <x:v>No</x:v>
      </x:c>
      <x:c r="H838" s="30" t="str">
        <x:v>Ordinary claim</x:v>
      </x:c>
      <x:c r="I838" s="31" t="n">
        <x:f>IF(G838="Yes",'Controls &amp; Summary'!$B$5,'Controls &amp; Summary'!$B$4)</x:f>
        <x:v>6</x:v>
      </x:c>
      <x:c r="J838" s="31" t="n">
        <x:v>2.08</x:v>
      </x:c>
      <x:c r="K838" s="31" t="n">
        <x:v>3.91</x:v>
      </x:c>
      <x:c r="L838" s="31" t="n">
        <x:f>ABS(J838-K838)</x:f>
        <x:v>1.83</x:v>
      </x:c>
      <x:c r="M838" s="31" t="n">
        <x:v>4.59</x:v>
      </x:c>
      <x:c r="N838" s="31" t="n">
        <x:v>4.7</x:v>
      </x:c>
      <x:c r="O838" s="31" t="n">
        <x:f>ABS(M838-N838)</x:f>
        <x:v>0.11000000000000032</x:v>
      </x:c>
      <x:c r="P838" s="31" t="n">
        <x:v>7.89</x:v>
      </x:c>
      <x:c r="Q838" s="31" t="n">
        <x:v>6.38</x:v>
      </x:c>
      <x:c r="R838" s="31" t="n">
        <x:f>ABS(P838-Q838)</x:f>
        <x:v>1.5099999999999998</x:v>
      </x:c>
      <x:c r="S838" s="32" t="n">
        <x:v>48950.633701847306</x:v>
      </x:c>
      <x:c r="T838" s="32" t="n">
        <x:v>49087.36160628006</x:v>
      </x:c>
      <x:c r="U838" s="31" t="n">
        <x:f>MAX(S838/T838,T838/S838)</x:f>
        <x:v>1.0027931794563794</x:v>
      </x:c>
      <x:c r="V838" s="31" t="n">
        <x:f>L838*'Controls &amp; Summary'!$B$9+O838*'Controls &amp; Summary'!$B$10+R838*'Controls &amp; Summary'!$B$11+U838*'Controls &amp; Summary'!$B$12</x:f>
        <x:v>4.452793179456379</x:v>
      </x:c>
      <x:c r="W838" s="31" t="n">
        <x:v>9</x:v>
      </x:c>
      <x:c r="X838" s="31" t="n">
        <x:v>1</x:v>
      </x:c>
      <x:c r="Y838" s="31" t="n">
        <x:f>((10-MIN(10,MAX(0,X838)))/10)*'Controls &amp; Summary'!$B$15+((10-MIN(10,MAX(0,W838)))/10)*'Controls &amp; Summary'!$B$16</x:f>
        <x:v>1</x:v>
      </x:c>
      <x:c r="Z838" s="31" t="n">
        <x:f>V838*Y838</x:f>
        <x:v>4.452793179456379</x:v>
      </x:c>
      <x:c r="AA838" s="30" t="str">
        <x:f>IF(Z838&lt;=I838,"Peaceful","Hostile")</x:f>
        <x:v>Peaceful</x:v>
      </x:c>
      <x:c r="AB838" s="30" t="str">
        <x:f>IF(Z838&lt;='Controls &amp; Summary'!$B$6,"Eligible","Blocked")</x:f>
        <x:v>Eligible</x:v>
      </x:c>
      <x:c r="AC838" s="30" t="str">
        <x:v>SAU</x:v>
      </x:c>
      <x:c r="AD838" s="30" t="str">
        <x:v>KUW</x:v>
      </x:c>
      <x:c r="AE838" s="30" t="str">
        <x:v>Kuwait</x:v>
      </x:c>
      <x:c r="AF838" s="30" t="str">
        <x:v>Explicit capitalClaim</x:v>
      </x:c>
      <x:c r="AG838" s="30" t="str">
        <x:v>ClaimSAUKuwait</x:v>
      </x:c>
      <x:c r="AH838" s="30" t="str">
        <x:v>Project_GulfCooperationCouncil</x:v>
      </x:c>
    </x:row>
    <x:row r="839">
      <x:c r="A839" s="30" t="str">
        <x:v>2022</x:v>
      </x:c>
      <x:c r="B839" s="30" t="str">
        <x:v>Base game</x:v>
      </x:c>
      <x:c r="C839" s="30" t="str">
        <x:v>Saudi Arabia</x:v>
      </x:c>
      <x:c r="D839" s="30" t="str">
        <x:v>Oman</x:v>
      </x:c>
      <x:c r="E839" s="30" t="str">
        <x:v>Project unlock</x:v>
      </x:c>
      <x:c r="F839" s="30" t="str">
        <x:v>Gulf Cooperation Council</x:v>
      </x:c>
      <x:c r="G839" s="30" t="str">
        <x:v>No</x:v>
      </x:c>
      <x:c r="H839" s="30" t="str">
        <x:v>Ordinary claim</x:v>
      </x:c>
      <x:c r="I839" s="31" t="n">
        <x:f>IF(G839="Yes",'Controls &amp; Summary'!$B$5,'Controls &amp; Summary'!$B$4)</x:f>
        <x:v>6</x:v>
      </x:c>
      <x:c r="J839" s="31" t="n">
        <x:v>2.08</x:v>
      </x:c>
      <x:c r="K839" s="31" t="n">
        <x:v>3</x:v>
      </x:c>
      <x:c r="L839" s="31" t="n">
        <x:f>ABS(J839-K839)</x:f>
        <x:v>0.9199999999999999</x:v>
      </x:c>
      <x:c r="M839" s="31" t="n">
        <x:v>4.59</x:v>
      </x:c>
      <x:c r="N839" s="31" t="n">
        <x:v>3.07</x:v>
      </x:c>
      <x:c r="O839" s="31" t="n">
        <x:f>ABS(M839-N839)</x:f>
        <x:v>1.52</x:v>
      </x:c>
      <x:c r="P839" s="31" t="n">
        <x:v>7.89</x:v>
      </x:c>
      <x:c r="Q839" s="31" t="n">
        <x:v>7.18</x:v>
      </x:c>
      <x:c r="R839" s="31" t="n">
        <x:f>ABS(P839-Q839)</x:f>
        <x:v>0.71</x:v>
      </x:c>
      <x:c r="S839" s="32" t="n">
        <x:v>48950.633701847306</x:v>
      </x:c>
      <x:c r="T839" s="32" t="n">
        <x:v>27275.118988606464</x:v>
      </x:c>
      <x:c r="U839" s="31" t="n">
        <x:f>MAX(S839/T839,T839/S839)</x:f>
        <x:v>1.7946991806816783</x:v>
      </x:c>
      <x:c r="V839" s="31" t="n">
        <x:f>L839*'Controls &amp; Summary'!$B$9+O839*'Controls &amp; Summary'!$B$10+R839*'Controls &amp; Summary'!$B$11+U839*'Controls &amp; Summary'!$B$12</x:f>
        <x:v>4.9446991806816785</x:v>
      </x:c>
      <x:c r="W839" s="31" t="n">
        <x:v>9</x:v>
      </x:c>
      <x:c r="X839" s="31" t="n">
        <x:v>2</x:v>
      </x:c>
      <x:c r="Y839" s="31" t="n">
        <x:f>((10-MIN(10,MAX(0,X839)))/10)*'Controls &amp; Summary'!$B$15+((10-MIN(10,MAX(0,W839)))/10)*'Controls &amp; Summary'!$B$16</x:f>
        <x:v>0.9</x:v>
      </x:c>
      <x:c r="Z839" s="31" t="n">
        <x:f>V839*Y839</x:f>
        <x:v>4.450229262613511</x:v>
      </x:c>
      <x:c r="AA839" s="30" t="str">
        <x:f>IF(Z839&lt;=I839,"Peaceful","Hostile")</x:f>
        <x:v>Peaceful</x:v>
      </x:c>
      <x:c r="AB839" s="30" t="str">
        <x:f>IF(Z839&lt;='Controls &amp; Summary'!$B$6,"Eligible","Blocked")</x:f>
        <x:v>Eligible</x:v>
      </x:c>
      <x:c r="AC839" s="30" t="str">
        <x:v>SAU</x:v>
      </x:c>
      <x:c r="AD839" s="30" t="str">
        <x:v>OMN</x:v>
      </x:c>
      <x:c r="AE839" s="30" t="str">
        <x:v>Oman</x:v>
      </x:c>
      <x:c r="AF839" s="30" t="str">
        <x:v>Explicit capitalClaim</x:v>
      </x:c>
      <x:c r="AG839" s="30" t="str">
        <x:v>ClaimSAUOman</x:v>
      </x:c>
      <x:c r="AH839" s="30" t="str">
        <x:v>Project_GulfCooperationCouncil</x:v>
      </x:c>
    </x:row>
    <x:row r="840">
      <x:c r="A840" s="30" t="str">
        <x:v>2022</x:v>
      </x:c>
      <x:c r="B840" s="30" t="str">
        <x:v>Base game</x:v>
      </x:c>
      <x:c r="C840" s="30" t="str">
        <x:v>Saudi Arabia</x:v>
      </x:c>
      <x:c r="D840" s="30" t="str">
        <x:v>South Yemen</x:v>
      </x:c>
      <x:c r="E840" s="30" t="str">
        <x:v>Starting claim</x:v>
      </x:c>
      <x:c r="F840" s="30" t="str"/>
      <x:c r="G840" s="30" t="str">
        <x:v>No</x:v>
      </x:c>
      <x:c r="H840" s="30" t="str">
        <x:v>Ordinary claim</x:v>
      </x:c>
      <x:c r="I840" s="31" t="n">
        <x:f>IF(G840="Yes",'Controls &amp; Summary'!$B$5,'Controls &amp; Summary'!$B$4)</x:f>
        <x:v>6</x:v>
      </x:c>
      <x:c r="J840" s="31" t="n">
        <x:v>2.08</x:v>
      </x:c>
      <x:c r="K840" s="31" t="n">
        <x:v>2</x:v>
      </x:c>
      <x:c r="L840" s="31" t="n">
        <x:f>ABS(J840-K840)</x:f>
        <x:v>0.08000000000000007</x:v>
      </x:c>
      <x:c r="M840" s="31" t="n">
        <x:v>4.59</x:v>
      </x:c>
      <x:c r="N840" s="31" t="n">
        <x:v>3.67</x:v>
      </x:c>
      <x:c r="O840" s="31" t="n">
        <x:f>ABS(M840-N840)</x:f>
        <x:v>0.9199999999999999</x:v>
      </x:c>
      <x:c r="P840" s="31" t="n">
        <x:v>7.89</x:v>
      </x:c>
      <x:c r="Q840" s="31" t="n">
        <x:v>3.5</x:v>
      </x:c>
      <x:c r="R840" s="31" t="n">
        <x:f>ABS(P840-Q840)</x:f>
        <x:v>4.39</x:v>
      </x:c>
      <x:c r="S840" s="32" t="n">
        <x:v>48950.633701847306</x:v>
      </x:c>
      <x:c r="T840" s="32" t="n">
        <x:v>1510.3687364684947</x:v>
      </x:c>
      <x:c r="U840" s="31" t="n">
        <x:f>MAX(S840/T840,T840/S840)</x:f>
        <x:v>32.40972387729795</x:v>
      </x:c>
      <x:c r="V840" s="31" t="n">
        <x:f>L840*'Controls &amp; Summary'!$B$9+O840*'Controls &amp; Summary'!$B$10+R840*'Controls &amp; Summary'!$B$11+U840*'Controls &amp; Summary'!$B$12</x:f>
        <x:v>37.79972387729795</x:v>
      </x:c>
      <x:c r="W840" s="31" t="n">
        <x:v>9</x:v>
      </x:c>
      <x:c r="X840" s="31" t="n">
        <x:v>6</x:v>
      </x:c>
      <x:c r="Y840" s="31" t="n">
        <x:f>((10-MIN(10,MAX(0,X840)))/10)*'Controls &amp; Summary'!$B$15+((10-MIN(10,MAX(0,W840)))/10)*'Controls &amp; Summary'!$B$16</x:f>
        <x:v>0.5</x:v>
      </x:c>
      <x:c r="Z840" s="31" t="n">
        <x:f>V840*Y840</x:f>
        <x:v>18.899861938648975</x:v>
      </x:c>
      <x:c r="AA840" s="30" t="str">
        <x:f>IF(Z840&lt;=I840,"Peaceful","Hostile")</x:f>
        <x:v>Hostile</x:v>
      </x:c>
      <x:c r="AB840" s="30" t="str">
        <x:f>IF(Z840&lt;='Controls &amp; Summary'!$B$6,"Eligible","Blocked")</x:f>
        <x:v>Blocked</x:v>
      </x:c>
      <x:c r="AC840" s="30" t="str">
        <x:v>SAU</x:v>
      </x:c>
      <x:c r="AD840" s="30" t="str">
        <x:v>YMS</x:v>
      </x:c>
      <x:c r="AE840" s="30" t="str">
        <x:v>Aden</x:v>
      </x:c>
      <x:c r="AF840" s="30" t="str">
        <x:v>Largest owned population fallback</x:v>
      </x:c>
      <x:c r="AG840" s="30" t="str">
        <x:v>ClaimSAUAden</x:v>
      </x:c>
      <x:c r="AH840" s="30" t="str"/>
    </x:row>
    <x:row r="841">
      <x:c r="A841" s="30" t="str">
        <x:v>2022</x:v>
      </x:c>
      <x:c r="B841" s="30" t="str">
        <x:v>Base game</x:v>
      </x:c>
      <x:c r="C841" s="30" t="str">
        <x:v>Saudi Arabia</x:v>
      </x:c>
      <x:c r="D841" s="30" t="str">
        <x:v>United Arab Emirates</x:v>
      </x:c>
      <x:c r="E841" s="30" t="str">
        <x:v>Project unlock</x:v>
      </x:c>
      <x:c r="F841" s="30" t="str">
        <x:v>Gulf Cooperation Council</x:v>
      </x:c>
      <x:c r="G841" s="30" t="str">
        <x:v>No</x:v>
      </x:c>
      <x:c r="H841" s="30" t="str">
        <x:v>Ordinary claim</x:v>
      </x:c>
      <x:c r="I841" s="31" t="n">
        <x:f>IF(G841="Yes",'Controls &amp; Summary'!$B$5,'Controls &amp; Summary'!$B$4)</x:f>
        <x:v>6</x:v>
      </x:c>
      <x:c r="J841" s="31" t="n">
        <x:v>2.08</x:v>
      </x:c>
      <x:c r="K841" s="31" t="n">
        <x:v>2.9</x:v>
      </x:c>
      <x:c r="L841" s="31" t="n">
        <x:f>ABS(J841-K841)</x:f>
        <x:v>0.8199999999999998</x:v>
      </x:c>
      <x:c r="M841" s="31" t="n">
        <x:v>4.59</x:v>
      </x:c>
      <x:c r="N841" s="31" t="n">
        <x:v>2.6</x:v>
      </x:c>
      <x:c r="O841" s="31" t="n">
        <x:f>ABS(M841-N841)</x:f>
        <x:v>1.9899999999999998</x:v>
      </x:c>
      <x:c r="P841" s="31" t="n">
        <x:v>7.89</x:v>
      </x:c>
      <x:c r="Q841" s="31" t="n">
        <x:v>8.02</x:v>
      </x:c>
      <x:c r="R841" s="31" t="n">
        <x:f>ABS(P841-Q841)</x:f>
        <x:v>0.1299999999999999</x:v>
      </x:c>
      <x:c r="S841" s="32" t="n">
        <x:v>48950.633701847306</x:v>
      </x:c>
      <x:c r="T841" s="32" t="n">
        <x:v>67831.86129153769</x:v>
      </x:c>
      <x:c r="U841" s="31" t="n">
        <x:f>MAX(S841/T841,T841/S841)</x:f>
        <x:v>1.385719778515918</x:v>
      </x:c>
      <x:c r="V841" s="31" t="n">
        <x:f>L841*'Controls &amp; Summary'!$B$9+O841*'Controls &amp; Summary'!$B$10+R841*'Controls &amp; Summary'!$B$11+U841*'Controls &amp; Summary'!$B$12</x:f>
        <x:v>4.325719778515918</x:v>
      </x:c>
      <x:c r="W841" s="31" t="n">
        <x:v>9</x:v>
      </x:c>
      <x:c r="X841" s="31" t="n">
        <x:v>1</x:v>
      </x:c>
      <x:c r="Y841" s="31" t="n">
        <x:f>((10-MIN(10,MAX(0,X841)))/10)*'Controls &amp; Summary'!$B$15+((10-MIN(10,MAX(0,W841)))/10)*'Controls &amp; Summary'!$B$16</x:f>
        <x:v>1</x:v>
      </x:c>
      <x:c r="Z841" s="31" t="n">
        <x:f>V841*Y841</x:f>
        <x:v>4.325719778515918</x:v>
      </x:c>
      <x:c r="AA841" s="30" t="str">
        <x:f>IF(Z841&lt;=I841,"Peaceful","Hostile")</x:f>
        <x:v>Peaceful</x:v>
      </x:c>
      <x:c r="AB841" s="30" t="str">
        <x:f>IF(Z841&lt;='Controls &amp; Summary'!$B$6,"Eligible","Blocked")</x:f>
        <x:v>Eligible</x:v>
      </x:c>
      <x:c r="AC841" s="30" t="str">
        <x:v>SAU</x:v>
      </x:c>
      <x:c r="AD841" s="30" t="str">
        <x:v>UAE</x:v>
      </x:c>
      <x:c r="AE841" s="30" t="str">
        <x:v>Dubai</x:v>
      </x:c>
      <x:c r="AF841" s="30" t="str">
        <x:v>Explicit capitalClaim</x:v>
      </x:c>
      <x:c r="AG841" s="30" t="str">
        <x:v>ClaimSAUDubai</x:v>
      </x:c>
      <x:c r="AH841" s="30" t="str">
        <x:v>Project_GulfCooperationCouncil</x:v>
      </x:c>
    </x:row>
    <x:row r="842">
      <x:c r="A842" s="30" t="str">
        <x:v>2022</x:v>
      </x:c>
      <x:c r="B842" s="30" t="str">
        <x:v>Base game</x:v>
      </x:c>
      <x:c r="C842" s="30" t="str">
        <x:v>Saudi Arabia</x:v>
      </x:c>
      <x:c r="D842" s="30" t="str">
        <x:v>Yemen</x:v>
      </x:c>
      <x:c r="E842" s="30" t="str">
        <x:v>Project unlock</x:v>
      </x:c>
      <x:c r="F842" s="30" t="str">
        <x:v>Gulf Cooperation Council</x:v>
      </x:c>
      <x:c r="G842" s="30" t="str">
        <x:v>No</x:v>
      </x:c>
      <x:c r="H842" s="30" t="str">
        <x:v>Ordinary claim</x:v>
      </x:c>
      <x:c r="I842" s="31" t="n">
        <x:f>IF(G842="Yes",'Controls &amp; Summary'!$B$5,'Controls &amp; Summary'!$B$4)</x:f>
        <x:v>6</x:v>
      </x:c>
      <x:c r="J842" s="31" t="n">
        <x:v>2.08</x:v>
      </x:c>
      <x:c r="K842" s="31" t="n">
        <x:v>0.9</x:v>
      </x:c>
      <x:c r="L842" s="31" t="n">
        <x:f>ABS(J842-K842)</x:f>
        <x:v>1.1800000000000002</x:v>
      </x:c>
      <x:c r="M842" s="31" t="n">
        <x:v>4.59</x:v>
      </x:c>
      <x:c r="N842" s="31" t="n">
        <x:v>3.67</x:v>
      </x:c>
      <x:c r="O842" s="31" t="n">
        <x:f>ABS(M842-N842)</x:f>
        <x:v>0.9199999999999999</x:v>
      </x:c>
      <x:c r="P842" s="31" t="n">
        <x:v>7.89</x:v>
      </x:c>
      <x:c r="Q842" s="31" t="n">
        <x:v>3.5</x:v>
      </x:c>
      <x:c r="R842" s="31" t="n">
        <x:f>ABS(P842-Q842)</x:f>
        <x:v>4.39</x:v>
      </x:c>
      <x:c r="S842" s="32" t="n">
        <x:v>48950.633701847306</x:v>
      </x:c>
      <x:c r="T842" s="32" t="n">
        <x:v>992.4398371362754</x:v>
      </x:c>
      <x:c r="U842" s="31" t="n">
        <x:f>MAX(S842/T842,T842/S842)</x:f>
        <x:v>49.32352760354351</x:v>
      </x:c>
      <x:c r="V842" s="31" t="n">
        <x:f>L842*'Controls &amp; Summary'!$B$9+O842*'Controls &amp; Summary'!$B$10+R842*'Controls &amp; Summary'!$B$11+U842*'Controls &amp; Summary'!$B$12</x:f>
        <x:v>55.81352760354351</x:v>
      </x:c>
      <x:c r="W842" s="31" t="n">
        <x:v>9</x:v>
      </x:c>
      <x:c r="X842" s="31" t="n">
        <x:v>9</x:v>
      </x:c>
      <x:c r="Y842" s="31" t="n">
        <x:f>((10-MIN(10,MAX(0,X842)))/10)*'Controls &amp; Summary'!$B$15+((10-MIN(10,MAX(0,W842)))/10)*'Controls &amp; Summary'!$B$16</x:f>
        <x:v>0.2</x:v>
      </x:c>
      <x:c r="Z842" s="31" t="n">
        <x:f>V842*Y842</x:f>
        <x:v>11.162705520708704</x:v>
      </x:c>
      <x:c r="AA842" s="30" t="str">
        <x:f>IF(Z842&lt;=I842,"Peaceful","Hostile")</x:f>
        <x:v>Hostile</x:v>
      </x:c>
      <x:c r="AB842" s="30" t="str">
        <x:f>IF(Z842&lt;='Controls &amp; Summary'!$B$6,"Eligible","Blocked")</x:f>
        <x:v>Eligible</x:v>
      </x:c>
      <x:c r="AC842" s="30" t="str">
        <x:v>SAU</x:v>
      </x:c>
      <x:c r="AD842" s="30" t="str">
        <x:v>YEM</x:v>
      </x:c>
      <x:c r="AE842" s="30" t="str">
        <x:v>Yemen</x:v>
      </x:c>
      <x:c r="AF842" s="30" t="str">
        <x:v>Explicit capitalClaim</x:v>
      </x:c>
      <x:c r="AG842" s="30" t="str">
        <x:v>ClaimSAUYemen</x:v>
      </x:c>
      <x:c r="AH842" s="30" t="str">
        <x:v>Project_GulfCooperationCouncil</x:v>
      </x:c>
    </x:row>
    <x:row r="843">
      <x:c r="A843" s="30" t="str">
        <x:v>2022</x:v>
      </x:c>
      <x:c r="B843" s="30" t="str">
        <x:v>Base game</x:v>
      </x:c>
      <x:c r="C843" s="30" t="str">
        <x:v>Senegal</x:v>
      </x:c>
      <x:c r="D843" s="30" t="str">
        <x:v>Gambia</x:v>
      </x:c>
      <x:c r="E843" s="30" t="str">
        <x:v>Starting claim</x:v>
      </x:c>
      <x:c r="F843" s="30" t="str"/>
      <x:c r="G843" s="30" t="str">
        <x:v>No</x:v>
      </x:c>
      <x:c r="H843" s="30" t="str">
        <x:v>Ordinary claim</x:v>
      </x:c>
      <x:c r="I843" s="31" t="n">
        <x:f>IF(G843="Yes",'Controls &amp; Summary'!$B$5,'Controls &amp; Summary'!$B$4)</x:f>
        <x:v>6</x:v>
      </x:c>
      <x:c r="J843" s="31" t="n">
        <x:v>5.53</x:v>
      </x:c>
      <x:c r="K843" s="31" t="n">
        <x:v>4.41</x:v>
      </x:c>
      <x:c r="L843" s="31" t="n">
        <x:f>ABS(J843-K843)</x:f>
        <x:v>1.12</x:v>
      </x:c>
      <x:c r="M843" s="31" t="n">
        <x:v>3.81</x:v>
      </x:c>
      <x:c r="N843" s="31" t="n">
        <x:v>3.59</x:v>
      </x:c>
      <x:c r="O843" s="31" t="n">
        <x:f>ABS(M843-N843)</x:f>
        <x:v>0.2200000000000002</x:v>
      </x:c>
      <x:c r="P843" s="31" t="n">
        <x:v>3.45</x:v>
      </x:c>
      <x:c r="Q843" s="31" t="n">
        <x:v>4.06</x:v>
      </x:c>
      <x:c r="R843" s="31" t="n">
        <x:f>ABS(P843-Q843)</x:f>
        <x:v>0.6099999999999994</x:v>
      </x:c>
      <x:c r="S843" s="32" t="n">
        <x:v>3576.8010302812236</x:v>
      </x:c>
      <x:c r="T843" s="32" t="n">
        <x:v>2315.605550224353</x:v>
      </x:c>
      <x:c r="U843" s="31" t="n">
        <x:f>MAX(S843/T843,T843/S843)</x:f>
        <x:v>1.544650396063646</x:v>
      </x:c>
      <x:c r="V843" s="31" t="n">
        <x:f>L843*'Controls &amp; Summary'!$B$9+O843*'Controls &amp; Summary'!$B$10+R843*'Controls &amp; Summary'!$B$11+U843*'Controls &amp; Summary'!$B$12</x:f>
        <x:v>3.494650396063646</x:v>
      </x:c>
      <x:c r="W843" s="31" t="n">
        <x:v>5</x:v>
      </x:c>
      <x:c r="X843" s="31" t="n">
        <x:v>2</x:v>
      </x:c>
      <x:c r="Y843" s="31" t="n">
        <x:f>((10-MIN(10,MAX(0,X843)))/10)*'Controls &amp; Summary'!$B$15+((10-MIN(10,MAX(0,W843)))/10)*'Controls &amp; Summary'!$B$16</x:f>
        <x:v>1.3</x:v>
      </x:c>
      <x:c r="Z843" s="31" t="n">
        <x:f>V843*Y843</x:f>
        <x:v>4.54304551488274</x:v>
      </x:c>
      <x:c r="AA843" s="30" t="str">
        <x:f>IF(Z843&lt;=I843,"Peaceful","Hostile")</x:f>
        <x:v>Peaceful</x:v>
      </x:c>
      <x:c r="AB843" s="30" t="str">
        <x:f>IF(Z843&lt;='Controls &amp; Summary'!$B$6,"Eligible","Blocked")</x:f>
        <x:v>Eligible</x:v>
      </x:c>
      <x:c r="AC843" s="30" t="str">
        <x:v>SEG</x:v>
      </x:c>
      <x:c r="AD843" s="30" t="str">
        <x:v>GAM</x:v>
      </x:c>
      <x:c r="AE843" s="30" t="str">
        <x:v>Gambia</x:v>
      </x:c>
      <x:c r="AF843" s="30" t="str">
        <x:v>Explicit capitalClaim</x:v>
      </x:c>
      <x:c r="AG843" s="30" t="str">
        <x:v>ClaimSEGGambia</x:v>
      </x:c>
      <x:c r="AH843" s="30" t="str"/>
    </x:row>
    <x:row r="844">
      <x:c r="A844" s="30" t="str">
        <x:v>2022</x:v>
      </x:c>
      <x:c r="B844" s="30" t="str">
        <x:v>Base game</x:v>
      </x:c>
      <x:c r="C844" s="30" t="str">
        <x:v>Serbia</x:v>
      </x:c>
      <x:c r="D844" s="30" t="str">
        <x:v>Bosnia and Herzegovina</x:v>
      </x:c>
      <x:c r="E844" s="30" t="str">
        <x:v>Starting claim</x:v>
      </x:c>
      <x:c r="F844" s="30" t="str"/>
      <x:c r="G844" s="30" t="str">
        <x:v>Yes</x:v>
      </x:c>
      <x:c r="H844" s="30" t="str">
        <x:v>Template hostileClaim</x:v>
      </x:c>
      <x:c r="I844" s="31" t="n">
        <x:f>IF(G844="Yes",'Controls &amp; Summary'!$B$5,'Controls &amp; Summary'!$B$4)</x:f>
        <x:v>3</x:v>
      </x:c>
      <x:c r="J844" s="31" t="n">
        <x:v>6.36</x:v>
      </x:c>
      <x:c r="K844" s="31" t="n">
        <x:v>5.04</x:v>
      </x:c>
      <x:c r="L844" s="31" t="n">
        <x:f>ABS(J844-K844)</x:f>
        <x:v>1.3200000000000003</x:v>
      </x:c>
      <x:c r="M844" s="31" t="n">
        <x:v>3.45</x:v>
      </x:c>
      <x:c r="N844" s="31" t="n">
        <x:v>3.3</x:v>
      </x:c>
      <x:c r="O844" s="31" t="n">
        <x:f>ABS(M844-N844)</x:f>
        <x:v>0.15000000000000036</x:v>
      </x:c>
      <x:c r="P844" s="31" t="n">
        <x:v>7.83</x:v>
      </x:c>
      <x:c r="Q844" s="31" t="n">
        <x:v>7.11</x:v>
      </x:c>
      <x:c r="R844" s="31" t="n">
        <x:f>ABS(P844-Q844)</x:f>
        <x:v>0.7199999999999998</x:v>
      </x:c>
      <x:c r="S844" s="32" t="n">
        <x:v>20954.93659689366</x:v>
      </x:c>
      <x:c r="T844" s="32" t="n">
        <x:v>16451.920111445263</x:v>
      </x:c>
      <x:c r="U844" s="31" t="n">
        <x:f>MAX(S844/T844,T844/S844)</x:f>
        <x:v>1.2737076556988471</x:v>
      </x:c>
      <x:c r="V844" s="31" t="n">
        <x:f>L844*'Controls &amp; Summary'!$B$9+O844*'Controls &amp; Summary'!$B$10+R844*'Controls &amp; Summary'!$B$11+U844*'Controls &amp; Summary'!$B$12</x:f>
        <x:v>3.4637076556988475</x:v>
      </x:c>
      <x:c r="W844" s="31" t="n">
        <x:v>7</x:v>
      </x:c>
      <x:c r="X844" s="31" t="n">
        <x:v>2</x:v>
      </x:c>
      <x:c r="Y844" s="31" t="n">
        <x:f>((10-MIN(10,MAX(0,X844)))/10)*'Controls &amp; Summary'!$B$15+((10-MIN(10,MAX(0,W844)))/10)*'Controls &amp; Summary'!$B$16</x:f>
        <x:v>1.1</x:v>
      </x:c>
      <x:c r="Z844" s="31" t="n">
        <x:f>V844*Y844</x:f>
        <x:v>3.8100784212687326</x:v>
      </x:c>
      <x:c r="AA844" s="30" t="str">
        <x:f>IF(Z844&lt;=I844,"Peaceful","Hostile")</x:f>
        <x:v>Hostile</x:v>
      </x:c>
      <x:c r="AB844" s="30" t="str">
        <x:f>IF(Z844&lt;='Controls &amp; Summary'!$B$6,"Eligible","Blocked")</x:f>
        <x:v>Eligible</x:v>
      </x:c>
      <x:c r="AC844" s="30" t="str">
        <x:v>SER</x:v>
      </x:c>
      <x:c r="AD844" s="30" t="str">
        <x:v>BSM</x:v>
      </x:c>
      <x:c r="AE844" s="30" t="str">
        <x:v>Sarajevo</x:v>
      </x:c>
      <x:c r="AF844" s="30" t="str">
        <x:v>Explicit capitalClaim</x:v>
      </x:c>
      <x:c r="AG844" s="30" t="str">
        <x:v>ClaimSERSarajevo</x:v>
      </x:c>
      <x:c r="AH844" s="30" t="str"/>
    </x:row>
    <x:row r="845">
      <x:c r="A845" s="30" t="str">
        <x:v>2022</x:v>
      </x:c>
      <x:c r="B845" s="30" t="str">
        <x:v>Base game</x:v>
      </x:c>
      <x:c r="C845" s="30" t="str">
        <x:v>Serbia</x:v>
      </x:c>
      <x:c r="D845" s="30" t="str">
        <x:v>Croatia</x:v>
      </x:c>
      <x:c r="E845" s="30" t="str">
        <x:v>Starting claim</x:v>
      </x:c>
      <x:c r="F845" s="30" t="str"/>
      <x:c r="G845" s="30" t="str">
        <x:v>Yes</x:v>
      </x:c>
      <x:c r="H845" s="30" t="str">
        <x:v>Template hostileClaim</x:v>
      </x:c>
      <x:c r="I845" s="31" t="n">
        <x:f>IF(G845="Yes",'Controls &amp; Summary'!$B$5,'Controls &amp; Summary'!$B$4)</x:f>
        <x:v>3</x:v>
      </x:c>
      <x:c r="J845" s="31" t="n">
        <x:v>6.36</x:v>
      </x:c>
      <x:c r="K845" s="31" t="n">
        <x:v>6.5</x:v>
      </x:c>
      <x:c r="L845" s="31" t="n">
        <x:f>ABS(J845-K845)</x:f>
        <x:v>0.13999999999999968</x:v>
      </x:c>
      <x:c r="M845" s="31" t="n">
        <x:v>3.45</x:v>
      </x:c>
      <x:c r="N845" s="31" t="n">
        <x:v>2.89</x:v>
      </x:c>
      <x:c r="O845" s="31" t="n">
        <x:f>ABS(M845-N845)</x:f>
        <x:v>0.56</x:v>
      </x:c>
      <x:c r="P845" s="31" t="n">
        <x:v>7.83</x:v>
      </x:c>
      <x:c r="Q845" s="31" t="n">
        <x:v>8.05</x:v>
      </x:c>
      <x:c r="R845" s="31" t="n">
        <x:f>ABS(P845-Q845)</x:f>
        <x:v>0.22000000000000064</x:v>
      </x:c>
      <x:c r="S845" s="32" t="n">
        <x:v>20954.93659689366</x:v>
      </x:c>
      <x:c r="T845" s="32" t="n">
        <x:v>31492.93156945166</x:v>
      </x:c>
      <x:c r="U845" s="31" t="n">
        <x:f>MAX(S845/T845,T845/S845)</x:f>
        <x:v>1.5028884207705089</x:v>
      </x:c>
      <x:c r="V845" s="31" t="n">
        <x:f>L845*'Controls &amp; Summary'!$B$9+O845*'Controls &amp; Summary'!$B$10+R845*'Controls &amp; Summary'!$B$11+U845*'Controls &amp; Summary'!$B$12</x:f>
        <x:v>2.4228884207705095</x:v>
      </x:c>
      <x:c r="W845" s="31" t="n">
        <x:v>7</x:v>
      </x:c>
      <x:c r="X845" s="31" t="n">
        <x:v>1</x:v>
      </x:c>
      <x:c r="Y845" s="31" t="n">
        <x:f>((10-MIN(10,MAX(0,X845)))/10)*'Controls &amp; Summary'!$B$15+((10-MIN(10,MAX(0,W845)))/10)*'Controls &amp; Summary'!$B$16</x:f>
        <x:v>1.2</x:v>
      </x:c>
      <x:c r="Z845" s="31" t="n">
        <x:f>V845*Y845</x:f>
        <x:v>2.907466104924611</x:v>
      </x:c>
      <x:c r="AA845" s="30" t="str">
        <x:f>IF(Z845&lt;=I845,"Peaceful","Hostile")</x:f>
        <x:v>Peaceful</x:v>
      </x:c>
      <x:c r="AB845" s="30" t="str">
        <x:f>IF(Z845&lt;='Controls &amp; Summary'!$B$6,"Eligible","Blocked")</x:f>
        <x:v>Eligible</x:v>
      </x:c>
      <x:c r="AC845" s="30" t="str">
        <x:v>SER</x:v>
      </x:c>
      <x:c r="AD845" s="30" t="str">
        <x:v>CRS</x:v>
      </x:c>
      <x:c r="AE845" s="30" t="str">
        <x:v>Zagreb</x:v>
      </x:c>
      <x:c r="AF845" s="30" t="str">
        <x:v>Explicit capitalClaim</x:v>
      </x:c>
      <x:c r="AG845" s="30" t="str">
        <x:v>ClaimSERZagreb</x:v>
      </x:c>
      <x:c r="AH845" s="30" t="str"/>
    </x:row>
    <x:row r="846">
      <x:c r="A846" s="30" t="str">
        <x:v>2022</x:v>
      </x:c>
      <x:c r="B846" s="30" t="str">
        <x:v>Base game</x:v>
      </x:c>
      <x:c r="C846" s="30" t="str">
        <x:v>Serbia</x:v>
      </x:c>
      <x:c r="D846" s="30" t="str">
        <x:v>Kosovo</x:v>
      </x:c>
      <x:c r="E846" s="30" t="str">
        <x:v>Starting claim</x:v>
      </x:c>
      <x:c r="F846" s="30" t="str"/>
      <x:c r="G846" s="30" t="str">
        <x:v>Yes</x:v>
      </x:c>
      <x:c r="H846" s="30" t="str">
        <x:v>Template hostileClaim</x:v>
      </x:c>
      <x:c r="I846" s="31" t="n">
        <x:f>IF(G846="Yes",'Controls &amp; Summary'!$B$5,'Controls &amp; Summary'!$B$4)</x:f>
        <x:v>3</x:v>
      </x:c>
      <x:c r="J846" s="31" t="n">
        <x:v>6.36</x:v>
      </x:c>
      <x:c r="K846" s="31" t="n">
        <x:v>5.6</x:v>
      </x:c>
      <x:c r="L846" s="31" t="n">
        <x:f>ABS(J846-K846)</x:f>
        <x:v>0.7600000000000007</x:v>
      </x:c>
      <x:c r="M846" s="31" t="n">
        <x:v>3.45</x:v>
      </x:c>
      <x:c r="N846" s="31" t="n">
        <x:v>2.9</x:v>
      </x:c>
      <x:c r="O846" s="31" t="n">
        <x:f>ABS(M846-N846)</x:f>
        <x:v>0.5500000000000003</x:v>
      </x:c>
      <x:c r="P846" s="31" t="n">
        <x:v>7.83</x:v>
      </x:c>
      <x:c r="Q846" s="31" t="n">
        <x:v>7.83</x:v>
      </x:c>
      <x:c r="R846" s="31" t="n">
        <x:f>ABS(P846-Q846)</x:f>
        <x:v>0</x:v>
      </x:c>
      <x:c r="S846" s="32" t="n">
        <x:v>20954.93659689366</x:v>
      </x:c>
      <x:c r="T846" s="32" t="n">
        <x:v>12530.834815529708</x:v>
      </x:c>
      <x:c r="U846" s="31" t="n">
        <x:f>MAX(S846/T846,T846/S846)</x:f>
        <x:v>1.6722697972942553</x:v>
      </x:c>
      <x:c r="V846" s="31" t="n">
        <x:f>L846*'Controls &amp; Summary'!$B$9+O846*'Controls &amp; Summary'!$B$10+R846*'Controls &amp; Summary'!$B$11+U846*'Controls &amp; Summary'!$B$12</x:f>
        <x:v>2.982269797294256</x:v>
      </x:c>
      <x:c r="W846" s="31" t="n">
        <x:v>7</x:v>
      </x:c>
      <x:c r="X846" s="31" t="n">
        <x:v>2</x:v>
      </x:c>
      <x:c r="Y846" s="31" t="n">
        <x:f>((10-MIN(10,MAX(0,X846)))/10)*'Controls &amp; Summary'!$B$15+((10-MIN(10,MAX(0,W846)))/10)*'Controls &amp; Summary'!$B$16</x:f>
        <x:v>1.1</x:v>
      </x:c>
      <x:c r="Z846" s="31" t="n">
        <x:f>V846*Y846</x:f>
        <x:v>3.2804967770236817</x:v>
      </x:c>
      <x:c r="AA846" s="30" t="str">
        <x:f>IF(Z846&lt;=I846,"Peaceful","Hostile")</x:f>
        <x:v>Hostile</x:v>
      </x:c>
      <x:c r="AB846" s="30" t="str">
        <x:f>IF(Z846&lt;='Controls &amp; Summary'!$B$6,"Eligible","Blocked")</x:f>
        <x:v>Eligible</x:v>
      </x:c>
      <x:c r="AC846" s="30" t="str">
        <x:v>SER</x:v>
      </x:c>
      <x:c r="AD846" s="30" t="str">
        <x:v>KOS</x:v>
      </x:c>
      <x:c r="AE846" s="30" t="str">
        <x:v>Kosovo</x:v>
      </x:c>
      <x:c r="AF846" s="30" t="str">
        <x:v>Explicit capitalClaim</x:v>
      </x:c>
      <x:c r="AG846" s="30" t="str">
        <x:v>ClaimSERKosovo</x:v>
      </x:c>
      <x:c r="AH846" s="30" t="str"/>
    </x:row>
    <x:row r="847">
      <x:c r="A847" s="30" t="str">
        <x:v>2022</x:v>
      </x:c>
      <x:c r="B847" s="30" t="str">
        <x:v>Base game</x:v>
      </x:c>
      <x:c r="C847" s="30" t="str">
        <x:v>Serbia</x:v>
      </x:c>
      <x:c r="D847" s="30" t="str">
        <x:v>Montenegro</x:v>
      </x:c>
      <x:c r="E847" s="30" t="str">
        <x:v>Starting claim</x:v>
      </x:c>
      <x:c r="F847" s="30" t="str"/>
      <x:c r="G847" s="30" t="str">
        <x:v>No</x:v>
      </x:c>
      <x:c r="H847" s="30" t="str">
        <x:v>Ordinary claim</x:v>
      </x:c>
      <x:c r="I847" s="31" t="n">
        <x:f>IF(G847="Yes",'Controls &amp; Summary'!$B$5,'Controls &amp; Summary'!$B$4)</x:f>
        <x:v>6</x:v>
      </x:c>
      <x:c r="J847" s="31" t="n">
        <x:v>6.36</x:v>
      </x:c>
      <x:c r="K847" s="31" t="n">
        <x:v>6.02</x:v>
      </x:c>
      <x:c r="L847" s="31" t="n">
        <x:f>ABS(J847-K847)</x:f>
        <x:v>0.34000000000000075</x:v>
      </x:c>
      <x:c r="M847" s="31" t="n">
        <x:v>3.45</x:v>
      </x:c>
      <x:c r="N847" s="31" t="n">
        <x:v>3.68</x:v>
      </x:c>
      <x:c r="O847" s="31" t="n">
        <x:f>ABS(M847-N847)</x:f>
        <x:v>0.22999999999999998</x:v>
      </x:c>
      <x:c r="P847" s="31" t="n">
        <x:v>7.83</x:v>
      </x:c>
      <x:c r="Q847" s="31" t="n">
        <x:v>8.03</x:v>
      </x:c>
      <x:c r="R847" s="31" t="n">
        <x:f>ABS(P847-Q847)</x:f>
        <x:v>0.1999999999999993</x:v>
      </x:c>
      <x:c r="S847" s="32" t="n">
        <x:v>20954.93659689366</x:v>
      </x:c>
      <x:c r="T847" s="32" t="n">
        <x:v>21690.01747178873</x:v>
      </x:c>
      <x:c r="U847" s="31" t="n">
        <x:f>MAX(S847/T847,T847/S847)</x:f>
        <x:v>1.0350791266533366</x:v>
      </x:c>
      <x:c r="V847" s="31" t="n">
        <x:f>L847*'Controls &amp; Summary'!$B$9+O847*'Controls &amp; Summary'!$B$10+R847*'Controls &amp; Summary'!$B$11+U847*'Controls &amp; Summary'!$B$12</x:f>
        <x:v>1.8050791266533366</x:v>
      </x:c>
      <x:c r="W847" s="31" t="n">
        <x:v>7</x:v>
      </x:c>
      <x:c r="X847" s="31" t="n">
        <x:v>2</x:v>
      </x:c>
      <x:c r="Y847" s="31" t="n">
        <x:f>((10-MIN(10,MAX(0,X847)))/10)*'Controls &amp; Summary'!$B$15+((10-MIN(10,MAX(0,W847)))/10)*'Controls &amp; Summary'!$B$16</x:f>
        <x:v>1.1</x:v>
      </x:c>
      <x:c r="Z847" s="31" t="n">
        <x:f>V847*Y847</x:f>
        <x:v>1.9855870393186703</x:v>
      </x:c>
      <x:c r="AA847" s="30" t="str">
        <x:f>IF(Z847&lt;=I847,"Peaceful","Hostile")</x:f>
        <x:v>Peaceful</x:v>
      </x:c>
      <x:c r="AB847" s="30" t="str">
        <x:f>IF(Z847&lt;='Controls &amp; Summary'!$B$6,"Eligible","Blocked")</x:f>
        <x:v>Eligible</x:v>
      </x:c>
      <x:c r="AC847" s="30" t="str">
        <x:v>SER</x:v>
      </x:c>
      <x:c r="AD847" s="30" t="str">
        <x:v>MNE</x:v>
      </x:c>
      <x:c r="AE847" s="30" t="str">
        <x:v>Montenegro</x:v>
      </x:c>
      <x:c r="AF847" s="30" t="str">
        <x:v>Explicit capitalClaim</x:v>
      </x:c>
      <x:c r="AG847" s="30" t="str">
        <x:v>ClaimSERMontenegro</x:v>
      </x:c>
      <x:c r="AH847" s="30" t="str"/>
    </x:row>
    <x:row r="848">
      <x:c r="A848" s="30" t="str">
        <x:v>2022</x:v>
      </x:c>
      <x:c r="B848" s="30" t="str">
        <x:v>Base game</x:v>
      </x:c>
      <x:c r="C848" s="30" t="str">
        <x:v>Serbia</x:v>
      </x:c>
      <x:c r="D848" s="30" t="str">
        <x:v>North Macedonia</x:v>
      </x:c>
      <x:c r="E848" s="30" t="str">
        <x:v>Starting claim</x:v>
      </x:c>
      <x:c r="F848" s="30" t="str"/>
      <x:c r="G848" s="30" t="str">
        <x:v>Yes</x:v>
      </x:c>
      <x:c r="H848" s="30" t="str">
        <x:v>Template hostileClaim</x:v>
      </x:c>
      <x:c r="I848" s="31" t="n">
        <x:f>IF(G848="Yes",'Controls &amp; Summary'!$B$5,'Controls &amp; Summary'!$B$4)</x:f>
        <x:v>3</x:v>
      </x:c>
      <x:c r="J848" s="31" t="n">
        <x:v>6.36</x:v>
      </x:c>
      <x:c r="K848" s="31" t="n">
        <x:v>6.03</x:v>
      </x:c>
      <x:c r="L848" s="31" t="n">
        <x:f>ABS(J848-K848)</x:f>
        <x:v>0.33000000000000007</x:v>
      </x:c>
      <x:c r="M848" s="31" t="n">
        <x:v>3.45</x:v>
      </x:c>
      <x:c r="N848" s="31" t="n">
        <x:v>3.3</x:v>
      </x:c>
      <x:c r="O848" s="31" t="n">
        <x:f>ABS(M848-N848)</x:f>
        <x:v>0.15000000000000036</x:v>
      </x:c>
      <x:c r="P848" s="31" t="n">
        <x:v>7.83</x:v>
      </x:c>
      <x:c r="Q848" s="31" t="n">
        <x:v>7.04</x:v>
      </x:c>
      <x:c r="R848" s="31" t="n">
        <x:f>ABS(P848-Q848)</x:f>
        <x:v>0.79</x:v>
      </x:c>
      <x:c r="S848" s="32" t="n">
        <x:v>20954.93659689366</x:v>
      </x:c>
      <x:c r="T848" s="32" t="n">
        <x:v>17258.633449677298</x:v>
      </x:c>
      <x:c r="U848" s="31" t="n">
        <x:f>MAX(S848/T848,T848/S848)</x:f>
        <x:v>1.214171252781632</x:v>
      </x:c>
      <x:c r="V848" s="31" t="n">
        <x:f>L848*'Controls &amp; Summary'!$B$9+O848*'Controls &amp; Summary'!$B$10+R848*'Controls &amp; Summary'!$B$11+U848*'Controls &amp; Summary'!$B$12</x:f>
        <x:v>2.4841712527816324</x:v>
      </x:c>
      <x:c r="W848" s="31" t="n">
        <x:v>7</x:v>
      </x:c>
      <x:c r="X848" s="31" t="n">
        <x:v>2</x:v>
      </x:c>
      <x:c r="Y848" s="31" t="n">
        <x:f>((10-MIN(10,MAX(0,X848)))/10)*'Controls &amp; Summary'!$B$15+((10-MIN(10,MAX(0,W848)))/10)*'Controls &amp; Summary'!$B$16</x:f>
        <x:v>1.1</x:v>
      </x:c>
      <x:c r="Z848" s="31" t="n">
        <x:f>V848*Y848</x:f>
        <x:v>2.7325883780597957</x:v>
      </x:c>
      <x:c r="AA848" s="30" t="str">
        <x:f>IF(Z848&lt;=I848,"Peaceful","Hostile")</x:f>
        <x:v>Peaceful</x:v>
      </x:c>
      <x:c r="AB848" s="30" t="str">
        <x:f>IF(Z848&lt;='Controls &amp; Summary'!$B$6,"Eligible","Blocked")</x:f>
        <x:v>Eligible</x:v>
      </x:c>
      <x:c r="AC848" s="30" t="str">
        <x:v>SER</x:v>
      </x:c>
      <x:c r="AD848" s="30" t="str">
        <x:v>MKD</x:v>
      </x:c>
      <x:c r="AE848" s="30" t="str">
        <x:v>NorthMacedonia</x:v>
      </x:c>
      <x:c r="AF848" s="30" t="str">
        <x:v>Explicit capitalClaim</x:v>
      </x:c>
      <x:c r="AG848" s="30" t="str">
        <x:v>ClaimSERNorthMacedonia</x:v>
      </x:c>
      <x:c r="AH848" s="30" t="str"/>
    </x:row>
    <x:row r="849">
      <x:c r="A849" s="30" t="str">
        <x:v>2022</x:v>
      </x:c>
      <x:c r="B849" s="30" t="str">
        <x:v>Base game</x:v>
      </x:c>
      <x:c r="C849" s="30" t="str">
        <x:v>Serbia</x:v>
      </x:c>
      <x:c r="D849" s="30" t="str">
        <x:v>Slovenia</x:v>
      </x:c>
      <x:c r="E849" s="30" t="str">
        <x:v>Starting claim</x:v>
      </x:c>
      <x:c r="F849" s="30" t="str"/>
      <x:c r="G849" s="30" t="str">
        <x:v>Yes</x:v>
      </x:c>
      <x:c r="H849" s="30" t="str">
        <x:v>Template hostileClaim</x:v>
      </x:c>
      <x:c r="I849" s="31" t="n">
        <x:f>IF(G849="Yes",'Controls &amp; Summary'!$B$5,'Controls &amp; Summary'!$B$4)</x:f>
        <x:v>3</x:v>
      </x:c>
      <x:c r="J849" s="31" t="n">
        <x:v>6.36</x:v>
      </x:c>
      <x:c r="K849" s="31" t="n">
        <x:v>7.54</x:v>
      </x:c>
      <x:c r="L849" s="31" t="n">
        <x:f>ABS(J849-K849)</x:f>
        <x:v>1.1799999999999997</x:v>
      </x:c>
      <x:c r="M849" s="31" t="n">
        <x:v>3.45</x:v>
      </x:c>
      <x:c r="N849" s="31" t="n">
        <x:v>2.44</x:v>
      </x:c>
      <x:c r="O849" s="31" t="n">
        <x:f>ABS(M849-N849)</x:f>
        <x:v>1.0100000000000002</x:v>
      </x:c>
      <x:c r="P849" s="31" t="n">
        <x:v>7.83</x:v>
      </x:c>
      <x:c r="Q849" s="31" t="n">
        <x:v>9.1</x:v>
      </x:c>
      <x:c r="R849" s="31" t="n">
        <x:f>ABS(P849-Q849)</x:f>
        <x:v>1.2699999999999996</x:v>
      </x:c>
      <x:c r="S849" s="32" t="n">
        <x:v>20954.93659689366</x:v>
      </x:c>
      <x:c r="T849" s="32" t="n">
        <x:v>43377.776408973405</x:v>
      </x:c>
      <x:c r="U849" s="31" t="n">
        <x:f>MAX(S849/T849,T849/S849)</x:f>
        <x:v>2.07005047275608</x:v>
      </x:c>
      <x:c r="V849" s="31" t="n">
        <x:f>L849*'Controls &amp; Summary'!$B$9+O849*'Controls &amp; Summary'!$B$10+R849*'Controls &amp; Summary'!$B$11+U849*'Controls &amp; Summary'!$B$12</x:f>
        <x:v>5.530050472756079</x:v>
      </x:c>
      <x:c r="W849" s="31" t="n">
        <x:v>7</x:v>
      </x:c>
      <x:c r="X849" s="31" t="n">
        <x:v>0</x:v>
      </x:c>
      <x:c r="Y849" s="31" t="n">
        <x:f>((10-MIN(10,MAX(0,X849)))/10)*'Controls &amp; Summary'!$B$15+((10-MIN(10,MAX(0,W849)))/10)*'Controls &amp; Summary'!$B$16</x:f>
        <x:v>1.3</x:v>
      </x:c>
      <x:c r="Z849" s="31" t="n">
        <x:f>V849*Y849</x:f>
        <x:v>7.189065614582903</x:v>
      </x:c>
      <x:c r="AA849" s="30" t="str">
        <x:f>IF(Z849&lt;=I849,"Peaceful","Hostile")</x:f>
        <x:v>Hostile</x:v>
      </x:c>
      <x:c r="AB849" s="30" t="str">
        <x:f>IF(Z849&lt;='Controls &amp; Summary'!$B$6,"Eligible","Blocked")</x:f>
        <x:v>Eligible</x:v>
      </x:c>
      <x:c r="AC849" s="30" t="str">
        <x:v>SER</x:v>
      </x:c>
      <x:c r="AD849" s="30" t="str">
        <x:v>SLV</x:v>
      </x:c>
      <x:c r="AE849" s="30" t="str">
        <x:v>Slovenia</x:v>
      </x:c>
      <x:c r="AF849" s="30" t="str">
        <x:v>Explicit capitalClaim</x:v>
      </x:c>
      <x:c r="AG849" s="30" t="str">
        <x:v>ClaimSERSlovenia</x:v>
      </x:c>
      <x:c r="AH849" s="30" t="str"/>
    </x:row>
    <x:row r="850">
      <x:c r="A850" s="30" t="str">
        <x:v>2022</x:v>
      </x:c>
      <x:c r="B850" s="30" t="str">
        <x:v>Base game</x:v>
      </x:c>
      <x:c r="C850" s="30" t="str">
        <x:v>Somalia</x:v>
      </x:c>
      <x:c r="D850" s="30" t="str">
        <x:v>Somaliland</x:v>
      </x:c>
      <x:c r="E850" s="30" t="str">
        <x:v>Starting claim</x:v>
      </x:c>
      <x:c r="F850" s="30" t="str"/>
      <x:c r="G850" s="30" t="str">
        <x:v>Yes</x:v>
      </x:c>
      <x:c r="H850" s="30" t="str">
        <x:v>Template hostileClaim</x:v>
      </x:c>
      <x:c r="I850" s="31" t="n">
        <x:f>IF(G850="Yes",'Controls &amp; Summary'!$B$5,'Controls &amp; Summary'!$B$4)</x:f>
        <x:v>3</x:v>
      </x:c>
      <x:c r="J850" s="31" t="n">
        <x:v>0.7</x:v>
      </x:c>
      <x:c r="K850" s="31" t="n">
        <x:v>4.4</x:v>
      </x:c>
      <x:c r="L850" s="31" t="n">
        <x:f>ABS(J850-K850)</x:f>
        <x:v>3.7</x:v>
      </x:c>
      <x:c r="M850" s="31" t="n">
        <x:v>3.68</x:v>
      </x:c>
      <x:c r="N850" s="31" t="n">
        <x:v>4.3</x:v>
      </x:c>
      <x:c r="O850" s="31" t="n">
        <x:f>ABS(M850-N850)</x:f>
        <x:v>0.6199999999999997</x:v>
      </x:c>
      <x:c r="P850" s="31" t="n">
        <x:v>3.05</x:v>
      </x:c>
      <x:c r="Q850" s="31" t="n">
        <x:v>3.25</x:v>
      </x:c>
      <x:c r="R850" s="31" t="n">
        <x:f>ABS(P850-Q850)</x:f>
        <x:v>0.20000000000000018</x:v>
      </x:c>
      <x:c r="S850" s="32" t="n">
        <x:v>1437.3080972992434</x:v>
      </x:c>
      <x:c r="T850" s="32" t="n">
        <x:v>1300.941181819337</x:v>
      </x:c>
      <x:c r="U850" s="31" t="n">
        <x:f>MAX(S850/T850,T850/S850)</x:f>
        <x:v>1.1048217378199992</x:v>
      </x:c>
      <x:c r="V850" s="31" t="n">
        <x:f>L850*'Controls &amp; Summary'!$B$9+O850*'Controls &amp; Summary'!$B$10+R850*'Controls &amp; Summary'!$B$11+U850*'Controls &amp; Summary'!$B$12</x:f>
        <x:v>5.62482173782</x:v>
      </x:c>
      <x:c r="W850" s="31" t="n">
        <x:v>0</x:v>
      </x:c>
      <x:c r="X850" s="31" t="n">
        <x:v>3</x:v>
      </x:c>
      <x:c r="Y850" s="31" t="n">
        <x:f>((10-MIN(10,MAX(0,X850)))/10)*'Controls &amp; Summary'!$B$15+((10-MIN(10,MAX(0,W850)))/10)*'Controls &amp; Summary'!$B$16</x:f>
        <x:v>1.7</x:v>
      </x:c>
      <x:c r="Z850" s="31" t="n">
        <x:f>V850*Y850</x:f>
        <x:v>9.562196954293999</x:v>
      </x:c>
      <x:c r="AA850" s="30" t="str">
        <x:f>IF(Z850&lt;=I850,"Peaceful","Hostile")</x:f>
        <x:v>Hostile</x:v>
      </x:c>
      <x:c r="AB850" s="30" t="str">
        <x:f>IF(Z850&lt;='Controls &amp; Summary'!$B$6,"Eligible","Blocked")</x:f>
        <x:v>Eligible</x:v>
      </x:c>
      <x:c r="AC850" s="30" t="str">
        <x:v>SOM</x:v>
      </x:c>
      <x:c r="AD850" s="30" t="str">
        <x:v>SOL</x:v>
      </x:c>
      <x:c r="AE850" s="30" t="str">
        <x:v>Somaliland</x:v>
      </x:c>
      <x:c r="AF850" s="30" t="str">
        <x:v>Explicit capitalClaim</x:v>
      </x:c>
      <x:c r="AG850" s="30" t="str">
        <x:v>ClaimSOMSomaliland</x:v>
      </x:c>
      <x:c r="AH850" s="30" t="str"/>
    </x:row>
    <x:row r="851">
      <x:c r="A851" s="30" t="str">
        <x:v>2022</x:v>
      </x:c>
      <x:c r="B851" s="30" t="str">
        <x:v>Base game</x:v>
      </x:c>
      <x:c r="C851" s="30" t="str">
        <x:v>South Africa</x:v>
      </x:c>
      <x:c r="D851" s="30" t="str">
        <x:v>Angola</x:v>
      </x:c>
      <x:c r="E851" s="30" t="str">
        <x:v>Project unlock</x:v>
      </x:c>
      <x:c r="F851" s="30" t="str">
        <x:v>Regional African Unions</x:v>
      </x:c>
      <x:c r="G851" s="30" t="str">
        <x:v>No</x:v>
      </x:c>
      <x:c r="H851" s="30" t="str">
        <x:v>Ordinary claim</x:v>
      </x:c>
      <x:c r="I851" s="31" t="n">
        <x:f>IF(G851="Yes",'Controls &amp; Summary'!$B$5,'Controls &amp; Summary'!$B$4)</x:f>
        <x:v>6</x:v>
      </x:c>
      <x:c r="J851" s="31" t="n">
        <x:v>7.05</x:v>
      </x:c>
      <x:c r="K851" s="31" t="n">
        <x:v>3.37</x:v>
      </x:c>
      <x:c r="L851" s="31" t="n">
        <x:f>ABS(J851-K851)</x:f>
        <x:v>3.6799999999999997</x:v>
      </x:c>
      <x:c r="M851" s="31" t="n">
        <x:v>6.3</x:v>
      </x:c>
      <x:c r="N851" s="31" t="n">
        <x:v>5.13</x:v>
      </x:c>
      <x:c r="O851" s="31" t="n">
        <x:f>ABS(M851-N851)</x:f>
        <x:v>1.17</x:v>
      </x:c>
      <x:c r="P851" s="31" t="n">
        <x:v>7.24</x:v>
      </x:c>
      <x:c r="Q851" s="31" t="n">
        <x:v>5</x:v>
      </x:c>
      <x:c r="R851" s="31" t="n">
        <x:f>ABS(P851-Q851)</x:f>
        <x:v>2.24</x:v>
      </x:c>
      <x:c r="S851" s="32" t="n">
        <x:v>12827.520326696369</x:v>
      </x:c>
      <x:c r="T851" s="32" t="n">
        <x:v>6027.369656918198</x:v>
      </x:c>
      <x:c r="U851" s="31" t="n">
        <x:f>MAX(S851/T851,T851/S851)</x:f>
        <x:v>2.1282119824811105</x:v>
      </x:c>
      <x:c r="V851" s="31" t="n">
        <x:f>L851*'Controls &amp; Summary'!$B$9+O851*'Controls &amp; Summary'!$B$10+R851*'Controls &amp; Summary'!$B$11+U851*'Controls &amp; Summary'!$B$12</x:f>
        <x:v>9.21821198248111</x:v>
      </x:c>
      <x:c r="W851" s="31" t="n">
        <x:v>3</x:v>
      </x:c>
      <x:c r="X851" s="31" t="n">
        <x:v>3</x:v>
      </x:c>
      <x:c r="Y851" s="31" t="n">
        <x:f>((10-MIN(10,MAX(0,X851)))/10)*'Controls &amp; Summary'!$B$15+((10-MIN(10,MAX(0,W851)))/10)*'Controls &amp; Summary'!$B$16</x:f>
        <x:v>1.4</x:v>
      </x:c>
      <x:c r="Z851" s="31" t="n">
        <x:f>V851*Y851</x:f>
        <x:v>12.905496775473553</x:v>
      </x:c>
      <x:c r="AA851" s="30" t="str">
        <x:f>IF(Z851&lt;=I851,"Peaceful","Hostile")</x:f>
        <x:v>Hostile</x:v>
      </x:c>
      <x:c r="AB851" s="30" t="str">
        <x:f>IF(Z851&lt;='Controls &amp; Summary'!$B$6,"Eligible","Blocked")</x:f>
        <x:v>Blocked</x:v>
      </x:c>
      <x:c r="AC851" s="30" t="str">
        <x:v>ZAF</x:v>
      </x:c>
      <x:c r="AD851" s="30" t="str">
        <x:v>AGO</x:v>
      </x:c>
      <x:c r="AE851" s="30" t="str">
        <x:v>Angola</x:v>
      </x:c>
      <x:c r="AF851" s="30" t="str">
        <x:v>Explicit capitalClaim</x:v>
      </x:c>
      <x:c r="AG851" s="30" t="str">
        <x:v>ClaimZAFAngola</x:v>
      </x:c>
      <x:c r="AH851" s="30" t="str">
        <x:v>Project_RegionalAfricanUnions</x:v>
      </x:c>
    </x:row>
    <x:row r="852">
      <x:c r="A852" s="30" t="str">
        <x:v>2022</x:v>
      </x:c>
      <x:c r="B852" s="30" t="str">
        <x:v>Base game</x:v>
      </x:c>
      <x:c r="C852" s="30" t="str">
        <x:v>South Africa</x:v>
      </x:c>
      <x:c r="D852" s="30" t="str">
        <x:v>Botswana</x:v>
      </x:c>
      <x:c r="E852" s="30" t="str">
        <x:v>Project unlock</x:v>
      </x:c>
      <x:c r="F852" s="30" t="str">
        <x:v>Regional African Unions</x:v>
      </x:c>
      <x:c r="G852" s="30" t="str">
        <x:v>No</x:v>
      </x:c>
      <x:c r="H852" s="30" t="str">
        <x:v>Ordinary claim</x:v>
      </x:c>
      <x:c r="I852" s="31" t="n">
        <x:f>IF(G852="Yes",'Controls &amp; Summary'!$B$5,'Controls &amp; Summary'!$B$4)</x:f>
        <x:v>6</x:v>
      </x:c>
      <x:c r="J852" s="31" t="n">
        <x:v>7.05</x:v>
      </x:c>
      <x:c r="K852" s="31" t="n">
        <x:v>7.73</x:v>
      </x:c>
      <x:c r="L852" s="31" t="n">
        <x:f>ABS(J852-K852)</x:f>
        <x:v>0.6800000000000006</x:v>
      </x:c>
      <x:c r="M852" s="31" t="n">
        <x:v>6.3</x:v>
      </x:c>
      <x:c r="N852" s="31" t="n">
        <x:v>5.33</x:v>
      </x:c>
      <x:c r="O852" s="31" t="n">
        <x:f>ABS(M852-N852)</x:f>
        <x:v>0.9699999999999998</x:v>
      </x:c>
      <x:c r="P852" s="31" t="n">
        <x:v>7.24</x:v>
      </x:c>
      <x:c r="Q852" s="31" t="n">
        <x:v>6.76</x:v>
      </x:c>
      <x:c r="R852" s="31" t="n">
        <x:f>ABS(P852-Q852)</x:f>
        <x:v>0.4800000000000004</x:v>
      </x:c>
      <x:c r="S852" s="32" t="n">
        <x:v>12827.520326696369</x:v>
      </x:c>
      <x:c r="T852" s="32" t="n">
        <x:v>16942.02759794286</x:v>
      </x:c>
      <x:c r="U852" s="31" t="n">
        <x:f>MAX(S852/T852,T852/S852)</x:f>
        <x:v>1.3207562464495544</x:v>
      </x:c>
      <x:c r="V852" s="31" t="n">
        <x:f>L852*'Controls &amp; Summary'!$B$9+O852*'Controls &amp; Summary'!$B$10+R852*'Controls &amp; Summary'!$B$11+U852*'Controls &amp; Summary'!$B$12</x:f>
        <x:v>3.450756246449555</x:v>
      </x:c>
      <x:c r="W852" s="31" t="n">
        <x:v>3</x:v>
      </x:c>
      <x:c r="X852" s="31" t="n">
        <x:v>2</x:v>
      </x:c>
      <x:c r="Y852" s="31" t="n">
        <x:f>((10-MIN(10,MAX(0,X852)))/10)*'Controls &amp; Summary'!$B$15+((10-MIN(10,MAX(0,W852)))/10)*'Controls &amp; Summary'!$B$16</x:f>
        <x:v>1.5</x:v>
      </x:c>
      <x:c r="Z852" s="31" t="n">
        <x:f>V852*Y852</x:f>
        <x:v>5.176134369674333</x:v>
      </x:c>
      <x:c r="AA852" s="30" t="str">
        <x:f>IF(Z852&lt;=I852,"Peaceful","Hostile")</x:f>
        <x:v>Peaceful</x:v>
      </x:c>
      <x:c r="AB852" s="30" t="str">
        <x:f>IF(Z852&lt;='Controls &amp; Summary'!$B$6,"Eligible","Blocked")</x:f>
        <x:v>Eligible</x:v>
      </x:c>
      <x:c r="AC852" s="30" t="str">
        <x:v>ZAF</x:v>
      </x:c>
      <x:c r="AD852" s="30" t="str">
        <x:v>BWA</x:v>
      </x:c>
      <x:c r="AE852" s="30" t="str">
        <x:v>Botswana</x:v>
      </x:c>
      <x:c r="AF852" s="30" t="str">
        <x:v>Explicit capitalClaim</x:v>
      </x:c>
      <x:c r="AG852" s="30" t="str">
        <x:v>ClaimZAFBotswana</x:v>
      </x:c>
      <x:c r="AH852" s="30" t="str">
        <x:v>Project_RegionalAfricanUnions</x:v>
      </x:c>
    </x:row>
    <x:row r="853">
      <x:c r="A853" s="30" t="str">
        <x:v>2022</x:v>
      </x:c>
      <x:c r="B853" s="30" t="str">
        <x:v>Base game</x:v>
      </x:c>
      <x:c r="C853" s="30" t="str">
        <x:v>South Africa</x:v>
      </x:c>
      <x:c r="D853" s="30" t="str">
        <x:v>Congo</x:v>
      </x:c>
      <x:c r="E853" s="30" t="str">
        <x:v>Project unlock</x:v>
      </x:c>
      <x:c r="F853" s="30" t="str">
        <x:v>Regional African Unions</x:v>
      </x:c>
      <x:c r="G853" s="30" t="str">
        <x:v>No</x:v>
      </x:c>
      <x:c r="H853" s="30" t="str">
        <x:v>Ordinary claim</x:v>
      </x:c>
      <x:c r="I853" s="31" t="n">
        <x:f>IF(G853="Yes",'Controls &amp; Summary'!$B$5,'Controls &amp; Summary'!$B$4)</x:f>
        <x:v>6</x:v>
      </x:c>
      <x:c r="J853" s="31" t="n">
        <x:v>7.05</x:v>
      </x:c>
      <x:c r="K853" s="31" t="n">
        <x:v>1.4</x:v>
      </x:c>
      <x:c r="L853" s="31" t="n">
        <x:f>ABS(J853-K853)</x:f>
        <x:v>5.65</x:v>
      </x:c>
      <x:c r="M853" s="31" t="n">
        <x:v>6.3</x:v>
      </x:c>
      <x:c r="N853" s="31" t="n">
        <x:v>4.89</x:v>
      </x:c>
      <x:c r="O853" s="31" t="n">
        <x:f>ABS(M853-N853)</x:f>
        <x:v>1.4100000000000001</x:v>
      </x:c>
      <x:c r="P853" s="31" t="n">
        <x:v>7.24</x:v>
      </x:c>
      <x:c r="Q853" s="31" t="n">
        <x:v>4.96</x:v>
      </x:c>
      <x:c r="R853" s="31" t="n">
        <x:f>ABS(P853-Q853)</x:f>
        <x:v>2.2800000000000002</x:v>
      </x:c>
      <x:c r="S853" s="32" t="n">
        <x:v>12827.520326696369</x:v>
      </x:c>
      <x:c r="T853" s="32" t="n">
        <x:v>1165.8667971692287</x:v>
      </x:c>
      <x:c r="U853" s="31" t="n">
        <x:f>MAX(S853/T853,T853/S853)</x:f>
        <x:v>11.002560805267036</x:v>
      </x:c>
      <x:c r="V853" s="31" t="n">
        <x:f>L853*'Controls &amp; Summary'!$B$9+O853*'Controls &amp; Summary'!$B$10+R853*'Controls &amp; Summary'!$B$11+U853*'Controls &amp; Summary'!$B$12</x:f>
        <x:v>20.342560805267034</x:v>
      </x:c>
      <x:c r="W853" s="31" t="n">
        <x:v>3</x:v>
      </x:c>
      <x:c r="X853" s="31" t="n">
        <x:v>8</x:v>
      </x:c>
      <x:c r="Y853" s="31" t="n">
        <x:f>((10-MIN(10,MAX(0,X853)))/10)*'Controls &amp; Summary'!$B$15+((10-MIN(10,MAX(0,W853)))/10)*'Controls &amp; Summary'!$B$16</x:f>
        <x:v>0.8999999999999999</x:v>
      </x:c>
      <x:c r="Z853" s="31" t="n">
        <x:f>V853*Y853</x:f>
        <x:v>18.308304724740328</x:v>
      </x:c>
      <x:c r="AA853" s="30" t="str">
        <x:f>IF(Z853&lt;=I853,"Peaceful","Hostile")</x:f>
        <x:v>Hostile</x:v>
      </x:c>
      <x:c r="AB853" s="30" t="str">
        <x:f>IF(Z853&lt;='Controls &amp; Summary'!$B$6,"Eligible","Blocked")</x:f>
        <x:v>Blocked</x:v>
      </x:c>
      <x:c r="AC853" s="30" t="str">
        <x:v>ZAF</x:v>
      </x:c>
      <x:c r="AD853" s="30" t="str">
        <x:v>COD</x:v>
      </x:c>
      <x:c r="AE853" s="30" t="str">
        <x:v>Kinshasa</x:v>
      </x:c>
      <x:c r="AF853" s="30" t="str">
        <x:v>Explicit capitalClaim</x:v>
      </x:c>
      <x:c r="AG853" s="30" t="str">
        <x:v>ClaimZAFKinshasa</x:v>
      </x:c>
      <x:c r="AH853" s="30" t="str">
        <x:v>Project_RegionalAfricanUnions</x:v>
      </x:c>
    </x:row>
    <x:row r="854">
      <x:c r="A854" s="30" t="str">
        <x:v>2022</x:v>
      </x:c>
      <x:c r="B854" s="30" t="str">
        <x:v>Base game</x:v>
      </x:c>
      <x:c r="C854" s="30" t="str">
        <x:v>South Africa</x:v>
      </x:c>
      <x:c r="D854" s="30" t="str">
        <x:v>Eswatini</x:v>
      </x:c>
      <x:c r="E854" s="30" t="str">
        <x:v>Project unlock</x:v>
      </x:c>
      <x:c r="F854" s="30" t="str">
        <x:v>Regional African Unions</x:v>
      </x:c>
      <x:c r="G854" s="30" t="str">
        <x:v>No</x:v>
      </x:c>
      <x:c r="H854" s="30" t="str">
        <x:v>Ordinary claim</x:v>
      </x:c>
      <x:c r="I854" s="31" t="n">
        <x:f>IF(G854="Yes",'Controls &amp; Summary'!$B$5,'Controls &amp; Summary'!$B$4)</x:f>
        <x:v>6</x:v>
      </x:c>
      <x:c r="J854" s="31" t="n">
        <x:v>7.05</x:v>
      </x:c>
      <x:c r="K854" s="31" t="n">
        <x:v>3.08</x:v>
      </x:c>
      <x:c r="L854" s="31" t="n">
        <x:f>ABS(J854-K854)</x:f>
        <x:v>3.9699999999999998</x:v>
      </x:c>
      <x:c r="M854" s="31" t="n">
        <x:v>6.3</x:v>
      </x:c>
      <x:c r="N854" s="31" t="n">
        <x:v>5.46</x:v>
      </x:c>
      <x:c r="O854" s="31" t="n">
        <x:f>ABS(M854-N854)</x:f>
        <x:v>0.8399999999999999</x:v>
      </x:c>
      <x:c r="P854" s="31" t="n">
        <x:v>7.24</x:v>
      </x:c>
      <x:c r="Q854" s="31" t="n">
        <x:v>5.57</x:v>
      </x:c>
      <x:c r="R854" s="31" t="n">
        <x:f>ABS(P854-Q854)</x:f>
        <x:v>1.67</x:v>
      </x:c>
      <x:c r="S854" s="32" t="n">
        <x:v>12827.520326696369</x:v>
      </x:c>
      <x:c r="T854" s="32" t="n">
        <x:v>8872.826024249394</x:v>
      </x:c>
      <x:c r="U854" s="31" t="n">
        <x:f>MAX(S854/T854,T854/S854)</x:f>
        <x:v>1.4457085365630762</x:v>
      </x:c>
      <x:c r="V854" s="31" t="n">
        <x:f>L854*'Controls &amp; Summary'!$B$9+O854*'Controls &amp; Summary'!$B$10+R854*'Controls &amp; Summary'!$B$11+U854*'Controls &amp; Summary'!$B$12</x:f>
        <x:v>7.925708536563076</x:v>
      </x:c>
      <x:c r="W854" s="31" t="n">
        <x:v>3</x:v>
      </x:c>
      <x:c r="X854" s="31" t="n">
        <x:v>2</x:v>
      </x:c>
      <x:c r="Y854" s="31" t="n">
        <x:f>((10-MIN(10,MAX(0,X854)))/10)*'Controls &amp; Summary'!$B$15+((10-MIN(10,MAX(0,W854)))/10)*'Controls &amp; Summary'!$B$16</x:f>
        <x:v>1.5</x:v>
      </x:c>
      <x:c r="Z854" s="31" t="n">
        <x:f>V854*Y854</x:f>
        <x:v>11.888562804844614</x:v>
      </x:c>
      <x:c r="AA854" s="30" t="str">
        <x:f>IF(Z854&lt;=I854,"Peaceful","Hostile")</x:f>
        <x:v>Hostile</x:v>
      </x:c>
      <x:c r="AB854" s="30" t="str">
        <x:f>IF(Z854&lt;='Controls &amp; Summary'!$B$6,"Eligible","Blocked")</x:f>
        <x:v>Eligible</x:v>
      </x:c>
      <x:c r="AC854" s="30" t="str">
        <x:v>ZAF</x:v>
      </x:c>
      <x:c r="AD854" s="30" t="str">
        <x:v>ESW</x:v>
      </x:c>
      <x:c r="AE854" s="30" t="str">
        <x:v>Eswatini</x:v>
      </x:c>
      <x:c r="AF854" s="30" t="str">
        <x:v>Explicit capitalClaim</x:v>
      </x:c>
      <x:c r="AG854" s="30" t="str">
        <x:v>ClaimZAFEswatini</x:v>
      </x:c>
      <x:c r="AH854" s="30" t="str">
        <x:v>Project_RegionalAfricanUnions</x:v>
      </x:c>
    </x:row>
    <x:row r="855">
      <x:c r="A855" s="30" t="str">
        <x:v>2022</x:v>
      </x:c>
      <x:c r="B855" s="30" t="str">
        <x:v>Base game</x:v>
      </x:c>
      <x:c r="C855" s="30" t="str">
        <x:v>South Africa</x:v>
      </x:c>
      <x:c r="D855" s="30" t="str">
        <x:v>Lesotho</x:v>
      </x:c>
      <x:c r="E855" s="30" t="str">
        <x:v>Starting claim</x:v>
      </x:c>
      <x:c r="F855" s="30" t="str"/>
      <x:c r="G855" s="30" t="str">
        <x:v>No</x:v>
      </x:c>
      <x:c r="H855" s="30" t="str">
        <x:v>Ordinary claim</x:v>
      </x:c>
      <x:c r="I855" s="31" t="n">
        <x:f>IF(G855="Yes",'Controls &amp; Summary'!$B$5,'Controls &amp; Summary'!$B$4)</x:f>
        <x:v>6</x:v>
      </x:c>
      <x:c r="J855" s="31" t="n">
        <x:v>7.05</x:v>
      </x:c>
      <x:c r="K855" s="31" t="n">
        <x:v>6.3</x:v>
      </x:c>
      <x:c r="L855" s="31" t="n">
        <x:f>ABS(J855-K855)</x:f>
        <x:v>0.75</x:v>
      </x:c>
      <x:c r="M855" s="31" t="n">
        <x:v>6.3</x:v>
      </x:c>
      <x:c r="N855" s="31" t="n">
        <x:v>4.49</x:v>
      </x:c>
      <x:c r="O855" s="31" t="n">
        <x:f>ABS(M855-N855)</x:f>
        <x:v>1.8099999999999996</x:v>
      </x:c>
      <x:c r="P855" s="31" t="n">
        <x:v>7.24</x:v>
      </x:c>
      <x:c r="Q855" s="31" t="n">
        <x:v>5.32</x:v>
      </x:c>
      <x:c r="R855" s="31" t="n">
        <x:f>ABS(P855-Q855)</x:f>
        <x:v>1.92</x:v>
      </x:c>
      <x:c r="S855" s="32" t="n">
        <x:v>12827.520326696369</x:v>
      </x:c>
      <x:c r="T855" s="32" t="n">
        <x:v>2585.7821054105007</x:v>
      </x:c>
      <x:c r="U855" s="31" t="n">
        <x:f>MAX(S855/T855,T855/S855)</x:f>
        <x:v>4.960789348745207</x:v>
      </x:c>
      <x:c r="V855" s="31" t="n">
        <x:f>L855*'Controls &amp; Summary'!$B$9+O855*'Controls &amp; Summary'!$B$10+R855*'Controls &amp; Summary'!$B$11+U855*'Controls &amp; Summary'!$B$12</x:f>
        <x:v>9.440789348745206</x:v>
      </x:c>
      <x:c r="W855" s="31" t="n">
        <x:v>3</x:v>
      </x:c>
      <x:c r="X855" s="31" t="n">
        <x:v>3</x:v>
      </x:c>
      <x:c r="Y855" s="31" t="n">
        <x:f>((10-MIN(10,MAX(0,X855)))/10)*'Controls &amp; Summary'!$B$15+((10-MIN(10,MAX(0,W855)))/10)*'Controls &amp; Summary'!$B$16</x:f>
        <x:v>1.4</x:v>
      </x:c>
      <x:c r="Z855" s="31" t="n">
        <x:f>V855*Y855</x:f>
        <x:v>13.217105088243287</x:v>
      </x:c>
      <x:c r="AA855" s="30" t="str">
        <x:f>IF(Z855&lt;=I855,"Peaceful","Hostile")</x:f>
        <x:v>Hostile</x:v>
      </x:c>
      <x:c r="AB855" s="30" t="str">
        <x:f>IF(Z855&lt;='Controls &amp; Summary'!$B$6,"Eligible","Blocked")</x:f>
        <x:v>Blocked</x:v>
      </x:c>
      <x:c r="AC855" s="30" t="str">
        <x:v>ZAF</x:v>
      </x:c>
      <x:c r="AD855" s="30" t="str">
        <x:v>LES</x:v>
      </x:c>
      <x:c r="AE855" s="30" t="str">
        <x:v>Lesotho</x:v>
      </x:c>
      <x:c r="AF855" s="30" t="str">
        <x:v>Explicit capitalClaim</x:v>
      </x:c>
      <x:c r="AG855" s="30" t="str">
        <x:v>ClaimZAFLesotho</x:v>
      </x:c>
      <x:c r="AH855" s="30" t="str"/>
    </x:row>
    <x:row r="856">
      <x:c r="A856" s="30" t="str">
        <x:v>2022</x:v>
      </x:c>
      <x:c r="B856" s="30" t="str">
        <x:v>Base game</x:v>
      </x:c>
      <x:c r="C856" s="30" t="str">
        <x:v>South Africa</x:v>
      </x:c>
      <x:c r="D856" s="30" t="str">
        <x:v>Malawi</x:v>
      </x:c>
      <x:c r="E856" s="30" t="str">
        <x:v>Project unlock</x:v>
      </x:c>
      <x:c r="F856" s="30" t="str">
        <x:v>Regional African Unions</x:v>
      </x:c>
      <x:c r="G856" s="30" t="str">
        <x:v>No</x:v>
      </x:c>
      <x:c r="H856" s="30" t="str">
        <x:v>Ordinary claim</x:v>
      </x:c>
      <x:c r="I856" s="31" t="n">
        <x:f>IF(G856="Yes",'Controls &amp; Summary'!$B$5,'Controls &amp; Summary'!$B$4)</x:f>
        <x:v>6</x:v>
      </x:c>
      <x:c r="J856" s="31" t="n">
        <x:v>7.05</x:v>
      </x:c>
      <x:c r="K856" s="31" t="n">
        <x:v>5.74</x:v>
      </x:c>
      <x:c r="L856" s="31" t="n">
        <x:f>ABS(J856-K856)</x:f>
        <x:v>1.3099999999999996</x:v>
      </x:c>
      <x:c r="M856" s="31" t="n">
        <x:v>6.3</x:v>
      </x:c>
      <x:c r="N856" s="31" t="n">
        <x:v>3.85</x:v>
      </x:c>
      <x:c r="O856" s="31" t="n">
        <x:f>ABS(M856-N856)</x:f>
        <x:v>2.4499999999999997</x:v>
      </x:c>
      <x:c r="P856" s="31" t="n">
        <x:v>7.24</x:v>
      </x:c>
      <x:c r="Q856" s="31" t="n">
        <x:v>4.7</x:v>
      </x:c>
      <x:c r="R856" s="31" t="n">
        <x:f>ABS(P856-Q856)</x:f>
        <x:v>2.54</x:v>
      </x:c>
      <x:c r="S856" s="32" t="n">
        <x:v>12827.520326696369</x:v>
      </x:c>
      <x:c r="T856" s="32" t="n">
        <x:v>1531.2656901778273</x:v>
      </x:c>
      <x:c r="U856" s="31" t="n">
        <x:f>MAX(S856/T856,T856/S856)</x:f>
        <x:v>8.377070294840014</x:v>
      </x:c>
      <x:c r="V856" s="31" t="n">
        <x:f>L856*'Controls &amp; Summary'!$B$9+O856*'Controls &amp; Summary'!$B$10+R856*'Controls &amp; Summary'!$B$11+U856*'Controls &amp; Summary'!$B$12</x:f>
        <x:v>14.677070294840012</x:v>
      </x:c>
      <x:c r="W856" s="31" t="n">
        <x:v>3</x:v>
      </x:c>
      <x:c r="X856" s="31" t="n">
        <x:v>2</x:v>
      </x:c>
      <x:c r="Y856" s="31" t="n">
        <x:f>((10-MIN(10,MAX(0,X856)))/10)*'Controls &amp; Summary'!$B$15+((10-MIN(10,MAX(0,W856)))/10)*'Controls &amp; Summary'!$B$16</x:f>
        <x:v>1.5</x:v>
      </x:c>
      <x:c r="Z856" s="31" t="n">
        <x:f>V856*Y856</x:f>
        <x:v>22.015605442260018</x:v>
      </x:c>
      <x:c r="AA856" s="30" t="str">
        <x:f>IF(Z856&lt;=I856,"Peaceful","Hostile")</x:f>
        <x:v>Hostile</x:v>
      </x:c>
      <x:c r="AB856" s="30" t="str">
        <x:f>IF(Z856&lt;='Controls &amp; Summary'!$B$6,"Eligible","Blocked")</x:f>
        <x:v>Blocked</x:v>
      </x:c>
      <x:c r="AC856" s="30" t="str">
        <x:v>ZAF</x:v>
      </x:c>
      <x:c r="AD856" s="30" t="str">
        <x:v>MAL</x:v>
      </x:c>
      <x:c r="AE856" s="30" t="str">
        <x:v>Malawi</x:v>
      </x:c>
      <x:c r="AF856" s="30" t="str">
        <x:v>Explicit capitalClaim</x:v>
      </x:c>
      <x:c r="AG856" s="30" t="str">
        <x:v>ClaimZAFMalawi</x:v>
      </x:c>
      <x:c r="AH856" s="30" t="str">
        <x:v>Project_RegionalAfricanUnions</x:v>
      </x:c>
    </x:row>
    <x:row r="857">
      <x:c r="A857" s="30" t="str">
        <x:v>2022</x:v>
      </x:c>
      <x:c r="B857" s="30" t="str">
        <x:v>Base game</x:v>
      </x:c>
      <x:c r="C857" s="30" t="str">
        <x:v>South Africa</x:v>
      </x:c>
      <x:c r="D857" s="30" t="str">
        <x:v>Mozambique</x:v>
      </x:c>
      <x:c r="E857" s="30" t="str">
        <x:v>Project unlock</x:v>
      </x:c>
      <x:c r="F857" s="30" t="str">
        <x:v>Regional African Unions</x:v>
      </x:c>
      <x:c r="G857" s="30" t="str">
        <x:v>No</x:v>
      </x:c>
      <x:c r="H857" s="30" t="str">
        <x:v>Ordinary claim</x:v>
      </x:c>
      <x:c r="I857" s="31" t="n">
        <x:f>IF(G857="Yes",'Controls &amp; Summary'!$B$5,'Controls &amp; Summary'!$B$4)</x:f>
        <x:v>6</x:v>
      </x:c>
      <x:c r="J857" s="31" t="n">
        <x:v>7.05</x:v>
      </x:c>
      <x:c r="K857" s="31" t="n">
        <x:v>3.51</x:v>
      </x:c>
      <x:c r="L857" s="31" t="n">
        <x:f>ABS(J857-K857)</x:f>
        <x:v>3.54</x:v>
      </x:c>
      <x:c r="M857" s="31" t="n">
        <x:v>6.3</x:v>
      </x:c>
      <x:c r="N857" s="31" t="n">
        <x:v>5.4</x:v>
      </x:c>
      <x:c r="O857" s="31" t="n">
        <x:f>ABS(M857-N857)</x:f>
        <x:v>0.8999999999999995</x:v>
      </x:c>
      <x:c r="P857" s="31" t="n">
        <x:v>7.24</x:v>
      </x:c>
      <x:c r="Q857" s="31" t="n">
        <x:v>3.95</x:v>
      </x:c>
      <x:c r="R857" s="31" t="n">
        <x:f>ABS(P857-Q857)</x:f>
        <x:v>3.29</x:v>
      </x:c>
      <x:c r="S857" s="32" t="n">
        <x:v>12827.520326696369</x:v>
      </x:c>
      <x:c r="T857" s="32" t="n">
        <x:v>1254.9296090248706</x:v>
      </x:c>
      <x:c r="U857" s="31" t="n">
        <x:f>MAX(S857/T857,T857/S857)</x:f>
        <x:v>10.221705053770988</x:v>
      </x:c>
      <x:c r="V857" s="31" t="n">
        <x:f>L857*'Controls &amp; Summary'!$B$9+O857*'Controls &amp; Summary'!$B$10+R857*'Controls &amp; Summary'!$B$11+U857*'Controls &amp; Summary'!$B$12</x:f>
        <x:v>17.951705053770986</x:v>
      </x:c>
      <x:c r="W857" s="31" t="n">
        <x:v>3</x:v>
      </x:c>
      <x:c r="X857" s="31" t="n">
        <x:v>4</x:v>
      </x:c>
      <x:c r="Y857" s="31" t="n">
        <x:f>((10-MIN(10,MAX(0,X857)))/10)*'Controls &amp; Summary'!$B$15+((10-MIN(10,MAX(0,W857)))/10)*'Controls &amp; Summary'!$B$16</x:f>
        <x:v>1.2999999999999998</x:v>
      </x:c>
      <x:c r="Z857" s="31" t="n">
        <x:f>V857*Y857</x:f>
        <x:v>23.337216569902278</x:v>
      </x:c>
      <x:c r="AA857" s="30" t="str">
        <x:f>IF(Z857&lt;=I857,"Peaceful","Hostile")</x:f>
        <x:v>Hostile</x:v>
      </x:c>
      <x:c r="AB857" s="30" t="str">
        <x:f>IF(Z857&lt;='Controls &amp; Summary'!$B$6,"Eligible","Blocked")</x:f>
        <x:v>Blocked</x:v>
      </x:c>
      <x:c r="AC857" s="30" t="str">
        <x:v>ZAF</x:v>
      </x:c>
      <x:c r="AD857" s="30" t="str">
        <x:v>MOZ</x:v>
      </x:c>
      <x:c r="AE857" s="30" t="str">
        <x:v>Mozambique</x:v>
      </x:c>
      <x:c r="AF857" s="30" t="str">
        <x:v>Explicit capitalClaim</x:v>
      </x:c>
      <x:c r="AG857" s="30" t="str">
        <x:v>ClaimZAFMozambique</x:v>
      </x:c>
      <x:c r="AH857" s="30" t="str">
        <x:v>Project_RegionalAfricanUnions</x:v>
      </x:c>
    </x:row>
    <x:row r="858">
      <x:c r="A858" s="30" t="str">
        <x:v>2022</x:v>
      </x:c>
      <x:c r="B858" s="30" t="str">
        <x:v>Base game</x:v>
      </x:c>
      <x:c r="C858" s="30" t="str">
        <x:v>South Africa</x:v>
      </x:c>
      <x:c r="D858" s="30" t="str">
        <x:v>Namibia</x:v>
      </x:c>
      <x:c r="E858" s="30" t="str">
        <x:v>Project unlock</x:v>
      </x:c>
      <x:c r="F858" s="30" t="str">
        <x:v>Regional African Unions</x:v>
      </x:c>
      <x:c r="G858" s="30" t="str">
        <x:v>No</x:v>
      </x:c>
      <x:c r="H858" s="30" t="str">
        <x:v>Ordinary claim</x:v>
      </x:c>
      <x:c r="I858" s="31" t="n">
        <x:f>IF(G858="Yes",'Controls &amp; Summary'!$B$5,'Controls &amp; Summary'!$B$4)</x:f>
        <x:v>6</x:v>
      </x:c>
      <x:c r="J858" s="31" t="n">
        <x:v>7.05</x:v>
      </x:c>
      <x:c r="K858" s="31" t="n">
        <x:v>6.52</x:v>
      </x:c>
      <x:c r="L858" s="31" t="n">
        <x:f>ABS(J858-K858)</x:f>
        <x:v>0.5300000000000002</x:v>
      </x:c>
      <x:c r="M858" s="31" t="n">
        <x:v>6.3</x:v>
      </x:c>
      <x:c r="N858" s="31" t="n">
        <x:v>5.91</x:v>
      </x:c>
      <x:c r="O858" s="31" t="n">
        <x:f>ABS(M858-N858)</x:f>
        <x:v>0.3899999999999997</x:v>
      </x:c>
      <x:c r="P858" s="31" t="n">
        <x:v>7.24</x:v>
      </x:c>
      <x:c r="Q858" s="31" t="n">
        <x:v>5.84</x:v>
      </x:c>
      <x:c r="R858" s="31" t="n">
        <x:f>ABS(P858-Q858)</x:f>
        <x:v>1.4000000000000004</x:v>
      </x:c>
      <x:c r="S858" s="32" t="n">
        <x:v>12827.520326696369</x:v>
      </x:c>
      <x:c r="T858" s="32" t="n">
        <x:v>9010.482723238913</x:v>
      </x:c>
      <x:c r="U858" s="31" t="n">
        <x:f>MAX(S858/T858,T858/S858)</x:f>
        <x:v>1.4236218769514917</x:v>
      </x:c>
      <x:c r="V858" s="31" t="n">
        <x:f>L858*'Controls &amp; Summary'!$B$9+O858*'Controls &amp; Summary'!$B$10+R858*'Controls &amp; Summary'!$B$11+U858*'Controls &amp; Summary'!$B$12</x:f>
        <x:v>3.743621876951492</x:v>
      </x:c>
      <x:c r="W858" s="31" t="n">
        <x:v>3</x:v>
      </x:c>
      <x:c r="X858" s="31" t="n">
        <x:v>1</x:v>
      </x:c>
      <x:c r="Y858" s="31" t="n">
        <x:f>((10-MIN(10,MAX(0,X858)))/10)*'Controls &amp; Summary'!$B$15+((10-MIN(10,MAX(0,W858)))/10)*'Controls &amp; Summary'!$B$16</x:f>
        <x:v>1.6</x:v>
      </x:c>
      <x:c r="Z858" s="31" t="n">
        <x:f>V858*Y858</x:f>
        <x:v>5.989795003122388</x:v>
      </x:c>
      <x:c r="AA858" s="30" t="str">
        <x:f>IF(Z858&lt;=I858,"Peaceful","Hostile")</x:f>
        <x:v>Peaceful</x:v>
      </x:c>
      <x:c r="AB858" s="30" t="str">
        <x:f>IF(Z858&lt;='Controls &amp; Summary'!$B$6,"Eligible","Blocked")</x:f>
        <x:v>Eligible</x:v>
      </x:c>
      <x:c r="AC858" s="30" t="str">
        <x:v>ZAF</x:v>
      </x:c>
      <x:c r="AD858" s="30" t="str">
        <x:v>SWA</x:v>
      </x:c>
      <x:c r="AE858" s="30" t="str">
        <x:v>Namibia</x:v>
      </x:c>
      <x:c r="AF858" s="30" t="str">
        <x:v>Explicit capitalClaim</x:v>
      </x:c>
      <x:c r="AG858" s="30" t="str">
        <x:v>ClaimZAFNamibia</x:v>
      </x:c>
      <x:c r="AH858" s="30" t="str">
        <x:v>Project_RegionalAfricanUnions</x:v>
      </x:c>
    </x:row>
    <x:row r="859">
      <x:c r="A859" s="30" t="str">
        <x:v>2022</x:v>
      </x:c>
      <x:c r="B859" s="30" t="str">
        <x:v>Base game</x:v>
      </x:c>
      <x:c r="C859" s="30" t="str">
        <x:v>South Africa</x:v>
      </x:c>
      <x:c r="D859" s="30" t="str">
        <x:v>Zambia</x:v>
      </x:c>
      <x:c r="E859" s="30" t="str">
        <x:v>Project unlock</x:v>
      </x:c>
      <x:c r="F859" s="30" t="str">
        <x:v>Regional African Unions</x:v>
      </x:c>
      <x:c r="G859" s="30" t="str">
        <x:v>No</x:v>
      </x:c>
      <x:c r="H859" s="30" t="str">
        <x:v>Ordinary claim</x:v>
      </x:c>
      <x:c r="I859" s="31" t="n">
        <x:f>IF(G859="Yes",'Controls &amp; Summary'!$B$5,'Controls &amp; Summary'!$B$4)</x:f>
        <x:v>6</x:v>
      </x:c>
      <x:c r="J859" s="31" t="n">
        <x:v>7.05</x:v>
      </x:c>
      <x:c r="K859" s="31" t="n">
        <x:v>5.72</x:v>
      </x:c>
      <x:c r="L859" s="31" t="n">
        <x:f>ABS(J859-K859)</x:f>
        <x:v>1.33</x:v>
      </x:c>
      <x:c r="M859" s="31" t="n">
        <x:v>6.3</x:v>
      </x:c>
      <x:c r="N859" s="31" t="n">
        <x:v>5.71</x:v>
      </x:c>
      <x:c r="O859" s="31" t="n">
        <x:f>ABS(M859-N859)</x:f>
        <x:v>0.5899999999999999</x:v>
      </x:c>
      <x:c r="P859" s="31" t="n">
        <x:v>7.24</x:v>
      </x:c>
      <x:c r="Q859" s="31" t="n">
        <x:v>5.57</x:v>
      </x:c>
      <x:c r="R859" s="31" t="n">
        <x:f>ABS(P859-Q859)</x:f>
        <x:v>1.67</x:v>
      </x:c>
      <x:c r="S859" s="32" t="n">
        <x:v>12827.520326696369</x:v>
      </x:c>
      <x:c r="T859" s="32" t="n">
        <x:v>3390.769957561523</x:v>
      </x:c>
      <x:c r="U859" s="31" t="n">
        <x:f>MAX(S859/T859,T859/S859)</x:f>
        <x:v>3.7830700658682543</x:v>
      </x:c>
      <x:c r="V859" s="31" t="n">
        <x:f>L859*'Controls &amp; Summary'!$B$9+O859*'Controls &amp; Summary'!$B$10+R859*'Controls &amp; Summary'!$B$11+U859*'Controls &amp; Summary'!$B$12</x:f>
        <x:v>7.373070065868254</x:v>
      </x:c>
      <x:c r="W859" s="31" t="n">
        <x:v>3</x:v>
      </x:c>
      <x:c r="X859" s="31" t="n">
        <x:v>1</x:v>
      </x:c>
      <x:c r="Y859" s="31" t="n">
        <x:f>((10-MIN(10,MAX(0,X859)))/10)*'Controls &amp; Summary'!$B$15+((10-MIN(10,MAX(0,W859)))/10)*'Controls &amp; Summary'!$B$16</x:f>
        <x:v>1.6</x:v>
      </x:c>
      <x:c r="Z859" s="31" t="n">
        <x:f>V859*Y859</x:f>
        <x:v>11.796912105389207</x:v>
      </x:c>
      <x:c r="AA859" s="30" t="str">
        <x:f>IF(Z859&lt;=I859,"Peaceful","Hostile")</x:f>
        <x:v>Hostile</x:v>
      </x:c>
      <x:c r="AB859" s="30" t="str">
        <x:f>IF(Z859&lt;='Controls &amp; Summary'!$B$6,"Eligible","Blocked")</x:f>
        <x:v>Eligible</x:v>
      </x:c>
      <x:c r="AC859" s="30" t="str">
        <x:v>ZAF</x:v>
      </x:c>
      <x:c r="AD859" s="30" t="str">
        <x:v>ZMB</x:v>
      </x:c>
      <x:c r="AE859" s="30" t="str">
        <x:v>Zambia</x:v>
      </x:c>
      <x:c r="AF859" s="30" t="str">
        <x:v>Explicit capitalClaim</x:v>
      </x:c>
      <x:c r="AG859" s="30" t="str">
        <x:v>ClaimZAFZambia</x:v>
      </x:c>
      <x:c r="AH859" s="30" t="str">
        <x:v>Project_RegionalAfricanUnions</x:v>
      </x:c>
    </x:row>
    <x:row r="860">
      <x:c r="A860" s="30" t="str">
        <x:v>2022</x:v>
      </x:c>
      <x:c r="B860" s="30" t="str">
        <x:v>Base game</x:v>
      </x:c>
      <x:c r="C860" s="30" t="str">
        <x:v>South Africa</x:v>
      </x:c>
      <x:c r="D860" s="30" t="str">
        <x:v>Zimbabwe</x:v>
      </x:c>
      <x:c r="E860" s="30" t="str">
        <x:v>Project unlock</x:v>
      </x:c>
      <x:c r="F860" s="30" t="str">
        <x:v>Regional African Unions</x:v>
      </x:c>
      <x:c r="G860" s="30" t="str">
        <x:v>No</x:v>
      </x:c>
      <x:c r="H860" s="30" t="str">
        <x:v>Ordinary claim</x:v>
      </x:c>
      <x:c r="I860" s="31" t="n">
        <x:f>IF(G860="Yes",'Controls &amp; Summary'!$B$5,'Controls &amp; Summary'!$B$4)</x:f>
        <x:v>6</x:v>
      </x:c>
      <x:c r="J860" s="31" t="n">
        <x:v>7.05</x:v>
      </x:c>
      <x:c r="K860" s="31" t="n">
        <x:v>2.92</x:v>
      </x:c>
      <x:c r="L860" s="31" t="n">
        <x:f>ABS(J860-K860)</x:f>
        <x:v>4.13</x:v>
      </x:c>
      <x:c r="M860" s="31" t="n">
        <x:v>6.3</x:v>
      </x:c>
      <x:c r="N860" s="31" t="n">
        <x:v>5.03</x:v>
      </x:c>
      <x:c r="O860" s="31" t="n">
        <x:f>ABS(M860-N860)</x:f>
        <x:v>1.2699999999999996</x:v>
      </x:c>
      <x:c r="P860" s="31" t="n">
        <x:v>7.24</x:v>
      </x:c>
      <x:c r="Q860" s="31" t="n">
        <x:v>5.87</x:v>
      </x:c>
      <x:c r="R860" s="31" t="n">
        <x:f>ABS(P860-Q860)</x:f>
        <x:v>1.37</x:v>
      </x:c>
      <x:c r="S860" s="32" t="n">
        <x:v>12827.520326696369</x:v>
      </x:c>
      <x:c r="T860" s="32" t="n">
        <x:v>3022.6033813062822</x:v>
      </x:c>
      <x:c r="U860" s="31" t="n">
        <x:f>MAX(S860/T860,T860/S860)</x:f>
        <x:v>4.243864876890558</x:v>
      </x:c>
      <x:c r="V860" s="31" t="n">
        <x:f>L860*'Controls &amp; Summary'!$B$9+O860*'Controls &amp; Summary'!$B$10+R860*'Controls &amp; Summary'!$B$11+U860*'Controls &amp; Summary'!$B$12</x:f>
        <x:v>11.013864876890558</x:v>
      </x:c>
      <x:c r="W860" s="31" t="n">
        <x:v>3</x:v>
      </x:c>
      <x:c r="X860" s="31" t="n">
        <x:v>3</x:v>
      </x:c>
      <x:c r="Y860" s="31" t="n">
        <x:f>((10-MIN(10,MAX(0,X860)))/10)*'Controls &amp; Summary'!$B$15+((10-MIN(10,MAX(0,W860)))/10)*'Controls &amp; Summary'!$B$16</x:f>
        <x:v>1.4</x:v>
      </x:c>
      <x:c r="Z860" s="31" t="n">
        <x:f>V860*Y860</x:f>
        <x:v>15.41941082764678</x:v>
      </x:c>
      <x:c r="AA860" s="30" t="str">
        <x:f>IF(Z860&lt;=I860,"Peaceful","Hostile")</x:f>
        <x:v>Hostile</x:v>
      </x:c>
      <x:c r="AB860" s="30" t="str">
        <x:f>IF(Z860&lt;='Controls &amp; Summary'!$B$6,"Eligible","Blocked")</x:f>
        <x:v>Blocked</x:v>
      </x:c>
      <x:c r="AC860" s="30" t="str">
        <x:v>ZAF</x:v>
      </x:c>
      <x:c r="AD860" s="30" t="str">
        <x:v>ZWE</x:v>
      </x:c>
      <x:c r="AE860" s="30" t="str">
        <x:v>Zimbabwe</x:v>
      </x:c>
      <x:c r="AF860" s="30" t="str">
        <x:v>Explicit capitalClaim</x:v>
      </x:c>
      <x:c r="AG860" s="30" t="str">
        <x:v>ClaimZAFZimbabwe</x:v>
      </x:c>
      <x:c r="AH860" s="30" t="str">
        <x:v>Project_RegionalAfricanUnions</x:v>
      </x:c>
    </x:row>
    <x:row r="861">
      <x:c r="A861" s="30" t="str">
        <x:v>2022</x:v>
      </x:c>
      <x:c r="B861" s="30" t="str">
        <x:v>Base game</x:v>
      </x:c>
      <x:c r="C861" s="30" t="str">
        <x:v>South Korea</x:v>
      </x:c>
      <x:c r="D861" s="30" t="str">
        <x:v>North Korea</x:v>
      </x:c>
      <x:c r="E861" s="30" t="str">
        <x:v>Starting claim</x:v>
      </x:c>
      <x:c r="F861" s="30" t="str"/>
      <x:c r="G861" s="30" t="str">
        <x:v>Yes</x:v>
      </x:c>
      <x:c r="H861" s="30" t="str">
        <x:v>Approved bilateral grievance</x:v>
      </x:c>
      <x:c r="I861" s="31" t="n">
        <x:f>IF(G861="Yes",'Controls &amp; Summary'!$B$5,'Controls &amp; Summary'!$B$4)</x:f>
        <x:v>3</x:v>
      </x:c>
      <x:c r="J861" s="31" t="n">
        <x:v>8.16</x:v>
      </x:c>
      <x:c r="K861" s="31" t="n">
        <x:v>1.08</x:v>
      </x:c>
      <x:c r="L861" s="31" t="n">
        <x:f>ABS(J861-K861)</x:f>
        <x:v>7.08</x:v>
      </x:c>
      <x:c r="M861" s="31" t="n">
        <x:v>3.14</x:v>
      </x:c>
      <x:c r="N861" s="31" t="n">
        <x:v>8.6</x:v>
      </x:c>
      <x:c r="O861" s="31" t="n">
        <x:f>ABS(M861-N861)</x:f>
        <x:v>5.459999999999999</x:v>
      </x:c>
      <x:c r="P861" s="31" t="n">
        <x:v>8.65</x:v>
      </x:c>
      <x:c r="Q861" s="31" t="n">
        <x:v>4.85</x:v>
      </x:c>
      <x:c r="R861" s="31" t="n">
        <x:f>ABS(P861-Q861)</x:f>
        <x:v>3.8000000000000007</x:v>
      </x:c>
      <x:c r="S861" s="32" t="n">
        <x:v>53292.32797696257</x:v>
      </x:c>
      <x:c r="T861" s="32" t="n">
        <x:v>6682.835129911699</x:v>
      </x:c>
      <x:c r="U861" s="31" t="n">
        <x:f>MAX(S861/T861,T861/S861)</x:f>
        <x:v>7.97450886352582</x:v>
      </x:c>
      <x:c r="V861" s="31" t="n">
        <x:f>L861*'Controls &amp; Summary'!$B$9+O861*'Controls &amp; Summary'!$B$10+R861*'Controls &amp; Summary'!$B$11+U861*'Controls &amp; Summary'!$B$12</x:f>
        <x:v>24.31450886352582</x:v>
      </x:c>
      <x:c r="W861" s="31" t="n">
        <x:v>4</x:v>
      </x:c>
      <x:c r="X861" s="31" t="n">
        <x:v>0</x:v>
      </x:c>
      <x:c r="Y861" s="31" t="n">
        <x:f>((10-MIN(10,MAX(0,X861)))/10)*'Controls &amp; Summary'!$B$15+((10-MIN(10,MAX(0,W861)))/10)*'Controls &amp; Summary'!$B$16</x:f>
        <x:v>1.6</x:v>
      </x:c>
      <x:c r="Z861" s="31" t="n">
        <x:f>V861*Y861</x:f>
        <x:v>38.90321418164132</x:v>
      </x:c>
      <x:c r="AA861" s="30" t="str">
        <x:f>IF(Z861&lt;=I861,"Peaceful","Hostile")</x:f>
        <x:v>Hostile</x:v>
      </x:c>
      <x:c r="AB861" s="30" t="str">
        <x:f>IF(Z861&lt;='Controls &amp; Summary'!$B$6,"Eligible","Blocked")</x:f>
        <x:v>Blocked</x:v>
      </x:c>
      <x:c r="AC861" s="30" t="str">
        <x:v>KOR</x:v>
      </x:c>
      <x:c r="AD861" s="30" t="str">
        <x:v>PRK</x:v>
      </x:c>
      <x:c r="AE861" s="30" t="str">
        <x:v>NorthKorea</x:v>
      </x:c>
      <x:c r="AF861" s="30" t="str">
        <x:v>Explicit capitalClaim</x:v>
      </x:c>
      <x:c r="AG861" s="30" t="str">
        <x:v>ClaimKORNorthKorea</x:v>
      </x:c>
      <x:c r="AH861" s="30" t="str"/>
    </x:row>
    <x:row r="862">
      <x:c r="A862" s="30" t="str">
        <x:v>2022</x:v>
      </x:c>
      <x:c r="B862" s="30" t="str">
        <x:v>Base game</x:v>
      </x:c>
      <x:c r="C862" s="30" t="str">
        <x:v>South Yemen</x:v>
      </x:c>
      <x:c r="D862" s="30" t="str">
        <x:v>Yemen</x:v>
      </x:c>
      <x:c r="E862" s="30" t="str">
        <x:v>Starting claim</x:v>
      </x:c>
      <x:c r="F862" s="30" t="str"/>
      <x:c r="G862" s="30" t="str">
        <x:v>No</x:v>
      </x:c>
      <x:c r="H862" s="30" t="str">
        <x:v>Ordinary claim</x:v>
      </x:c>
      <x:c r="I862" s="31" t="n">
        <x:f>IF(G862="Yes",'Controls &amp; Summary'!$B$5,'Controls &amp; Summary'!$B$4)</x:f>
        <x:v>6</x:v>
      </x:c>
      <x:c r="J862" s="31" t="n">
        <x:v>2</x:v>
      </x:c>
      <x:c r="K862" s="31" t="n">
        <x:v>0.9</x:v>
      </x:c>
      <x:c r="L862" s="31" t="n">
        <x:f>ABS(J862-K862)</x:f>
        <x:v>1.1</x:v>
      </x:c>
      <x:c r="M862" s="31" t="n">
        <x:v>3.67</x:v>
      </x:c>
      <x:c r="N862" s="31" t="n">
        <x:v>3.67</x:v>
      </x:c>
      <x:c r="O862" s="31" t="n">
        <x:f>ABS(M862-N862)</x:f>
        <x:v>0</x:v>
      </x:c>
      <x:c r="P862" s="31" t="n">
        <x:v>3.5</x:v>
      </x:c>
      <x:c r="Q862" s="31" t="n">
        <x:v>3.5</x:v>
      </x:c>
      <x:c r="R862" s="31" t="n">
        <x:f>ABS(P862-Q862)</x:f>
        <x:v>0</x:v>
      </x:c>
      <x:c r="S862" s="32" t="n">
        <x:v>1510.3687364684947</x:v>
      </x:c>
      <x:c r="T862" s="32" t="n">
        <x:v>992.4398371362754</x:v>
      </x:c>
      <x:c r="U862" s="31" t="n">
        <x:f>MAX(S862/T862,T862/S862)</x:f>
        <x:v>1.521874354446234</x:v>
      </x:c>
      <x:c r="V862" s="31" t="n">
        <x:f>L862*'Controls &amp; Summary'!$B$9+O862*'Controls &amp; Summary'!$B$10+R862*'Controls &amp; Summary'!$B$11+U862*'Controls &amp; Summary'!$B$12</x:f>
        <x:v>2.621874354446234</x:v>
      </x:c>
      <x:c r="W862" s="31" t="n">
        <x:v>3</x:v>
      </x:c>
      <x:c r="X862" s="31" t="n">
        <x:v>9</x:v>
      </x:c>
      <x:c r="Y862" s="31" t="n">
        <x:f>((10-MIN(10,MAX(0,X862)))/10)*'Controls &amp; Summary'!$B$15+((10-MIN(10,MAX(0,W862)))/10)*'Controls &amp; Summary'!$B$16</x:f>
        <x:v>0.7999999999999999</x:v>
      </x:c>
      <x:c r="Z862" s="31" t="n">
        <x:f>V862*Y862</x:f>
        <x:v>2.0974994835569873</x:v>
      </x:c>
      <x:c r="AA862" s="30" t="str">
        <x:f>IF(Z862&lt;=I862,"Peaceful","Hostile")</x:f>
        <x:v>Peaceful</x:v>
      </x:c>
      <x:c r="AB862" s="30" t="str">
        <x:f>IF(Z862&lt;='Controls &amp; Summary'!$B$6,"Eligible","Blocked")</x:f>
        <x:v>Eligible</x:v>
      </x:c>
      <x:c r="AC862" s="30" t="str">
        <x:v>YMS</x:v>
      </x:c>
      <x:c r="AD862" s="30" t="str">
        <x:v>YEM</x:v>
      </x:c>
      <x:c r="AE862" s="30" t="str">
        <x:v>Yemen</x:v>
      </x:c>
      <x:c r="AF862" s="30" t="str">
        <x:v>Explicit capitalClaim</x:v>
      </x:c>
      <x:c r="AG862" s="30" t="str">
        <x:v>ClaimYMSYemen</x:v>
      </x:c>
      <x:c r="AH862" s="30" t="str"/>
    </x:row>
    <x:row r="863">
      <x:c r="A863" s="30" t="str">
        <x:v>2022</x:v>
      </x:c>
      <x:c r="B863" s="30" t="str">
        <x:v>Base game</x:v>
      </x:c>
      <x:c r="C863" s="30" t="str">
        <x:v>Sudan</x:v>
      </x:c>
      <x:c r="D863" s="30" t="str">
        <x:v>South Sudan</x:v>
      </x:c>
      <x:c r="E863" s="30" t="str">
        <x:v>Starting claim</x:v>
      </x:c>
      <x:c r="F863" s="30" t="str"/>
      <x:c r="G863" s="30" t="str">
        <x:v>Yes</x:v>
      </x:c>
      <x:c r="H863" s="30" t="str">
        <x:v>Template hostileClaim</x:v>
      </x:c>
      <x:c r="I863" s="31" t="n">
        <x:f>IF(G863="Yes",'Controls &amp; Summary'!$B$5,'Controls &amp; Summary'!$B$4)</x:f>
        <x:v>3</x:v>
      </x:c>
      <x:c r="J863" s="31" t="n">
        <x:v>2.47</x:v>
      </x:c>
      <x:c r="K863" s="31" t="n">
        <x:v>0.1</x:v>
      </x:c>
      <x:c r="L863" s="31" t="n">
        <x:f>ABS(J863-K863)</x:f>
        <x:v>2.37</x:v>
      </x:c>
      <x:c r="M863" s="31" t="n">
        <x:v>3.42</x:v>
      </x:c>
      <x:c r="N863" s="31" t="n">
        <x:v>4.41</x:v>
      </x:c>
      <x:c r="O863" s="31" t="n">
        <x:f>ABS(M863-N863)</x:f>
        <x:v>0.9900000000000002</x:v>
      </x:c>
      <x:c r="P863" s="31" t="n">
        <x:v>3.45</x:v>
      </x:c>
      <x:c r="Q863" s="31" t="n">
        <x:v>3.07</x:v>
      </x:c>
      <x:c r="R863" s="31" t="n">
        <x:f>ABS(P863-Q863)</x:f>
        <x:v>0.38000000000000034</x:v>
      </x:c>
      <x:c r="S863" s="32" t="n">
        <x:v>3617.2570607103053</x:v>
      </x:c>
      <x:c r="T863" s="32" t="n">
        <x:v>1018.2436778757841</x:v>
      </x:c>
      <x:c r="U863" s="31" t="n">
        <x:f>MAX(S863/T863,T863/S863)</x:f>
        <x:v>3.552447355486135</x:v>
      </x:c>
      <x:c r="V863" s="31" t="n">
        <x:f>L863*'Controls &amp; Summary'!$B$9+O863*'Controls &amp; Summary'!$B$10+R863*'Controls &amp; Summary'!$B$11+U863*'Controls &amp; Summary'!$B$12</x:f>
        <x:v>7.292447355486136</x:v>
      </x:c>
      <x:c r="W863" s="31" t="n">
        <x:v>2</x:v>
      </x:c>
      <x:c r="X863" s="31" t="n">
        <x:v>8</x:v>
      </x:c>
      <x:c r="Y863" s="31" t="n">
        <x:f>((10-MIN(10,MAX(0,X863)))/10)*'Controls &amp; Summary'!$B$15+((10-MIN(10,MAX(0,W863)))/10)*'Controls &amp; Summary'!$B$16</x:f>
        <x:v>1</x:v>
      </x:c>
      <x:c r="Z863" s="31" t="n">
        <x:f>V863*Y863</x:f>
        <x:v>7.292447355486136</x:v>
      </x:c>
      <x:c r="AA863" s="30" t="str">
        <x:f>IF(Z863&lt;=I863,"Peaceful","Hostile")</x:f>
        <x:v>Hostile</x:v>
      </x:c>
      <x:c r="AB863" s="30" t="str">
        <x:f>IF(Z863&lt;='Controls &amp; Summary'!$B$6,"Eligible","Blocked")</x:f>
        <x:v>Eligible</x:v>
      </x:c>
      <x:c r="AC863" s="30" t="str">
        <x:v>SDN</x:v>
      </x:c>
      <x:c r="AD863" s="30" t="str">
        <x:v>SSD</x:v>
      </x:c>
      <x:c r="AE863" s="30" t="str">
        <x:v>SouthSudan</x:v>
      </x:c>
      <x:c r="AF863" s="30" t="str">
        <x:v>Explicit capitalClaim</x:v>
      </x:c>
      <x:c r="AG863" s="30" t="str">
        <x:v>ClaimSDNSouthSudan</x:v>
      </x:c>
      <x:c r="AH863" s="30" t="str"/>
    </x:row>
    <x:row r="864">
      <x:c r="A864" s="30" t="str">
        <x:v>2022</x:v>
      </x:c>
      <x:c r="B864" s="30" t="str">
        <x:v>Base game</x:v>
      </x:c>
      <x:c r="C864" s="30" t="str">
        <x:v>Sweden</x:v>
      </x:c>
      <x:c r="D864" s="30" t="str">
        <x:v>Denmark</x:v>
      </x:c>
      <x:c r="E864" s="30" t="str">
        <x:v>Project unlock</x:v>
      </x:c>
      <x:c r="F864" s="30" t="str">
        <x:v>Nordic Federation</x:v>
      </x:c>
      <x:c r="G864" s="30" t="str">
        <x:v>No</x:v>
      </x:c>
      <x:c r="H864" s="30" t="str">
        <x:v>Ordinary claim</x:v>
      </x:c>
      <x:c r="I864" s="31" t="n">
        <x:f>IF(G864="Yes",'Controls &amp; Summary'!$B$5,'Controls &amp; Summary'!$B$4)</x:f>
        <x:v>6</x:v>
      </x:c>
      <x:c r="J864" s="31" t="n">
        <x:v>9.26</x:v>
      </x:c>
      <x:c r="K864" s="31" t="n">
        <x:v>9.09</x:v>
      </x:c>
      <x:c r="L864" s="31" t="n">
        <x:f>ABS(J864-K864)</x:f>
        <x:v>0.16999999999999993</x:v>
      </x:c>
      <x:c r="M864" s="31" t="n">
        <x:v>2.93</x:v>
      </x:c>
      <x:c r="N864" s="31" t="n">
        <x:v>2.77</x:v>
      </x:c>
      <x:c r="O864" s="31" t="n">
        <x:f>ABS(M864-N864)</x:f>
        <x:v>0.16000000000000014</x:v>
      </x:c>
      <x:c r="P864" s="31" t="n">
        <x:v>9.18</x:v>
      </x:c>
      <x:c r="Q864" s="31" t="n">
        <x:v>9.2</x:v>
      </x:c>
      <x:c r="R864" s="31" t="n">
        <x:f>ABS(P864-Q864)</x:f>
        <x:v>0.019999999999999574</x:v>
      </x:c>
      <x:c r="S864" s="32" t="n">
        <x:v>57961.24796654785</x:v>
      </x:c>
      <x:c r="T864" s="32" t="n">
        <x:v>67668.16082608988</x:v>
      </x:c>
      <x:c r="U864" s="31" t="n">
        <x:f>MAX(S864/T864,T864/S864)</x:f>
        <x:v>1.1674724613442475</x:v>
      </x:c>
      <x:c r="V864" s="31" t="n">
        <x:f>L864*'Controls &amp; Summary'!$B$9+O864*'Controls &amp; Summary'!$B$10+R864*'Controls &amp; Summary'!$B$11+U864*'Controls &amp; Summary'!$B$12</x:f>
        <x:v>1.5174724613442472</x:v>
      </x:c>
      <x:c r="W864" s="31" t="n">
        <x:v>5</x:v>
      </x:c>
      <x:c r="X864" s="31" t="n">
        <x:v>0</x:v>
      </x:c>
      <x:c r="Y864" s="31" t="n">
        <x:f>((10-MIN(10,MAX(0,X864)))/10)*'Controls &amp; Summary'!$B$15+((10-MIN(10,MAX(0,W864)))/10)*'Controls &amp; Summary'!$B$16</x:f>
        <x:v>1.5</x:v>
      </x:c>
      <x:c r="Z864" s="31" t="n">
        <x:f>V864*Y864</x:f>
        <x:v>2.276208692016371</x:v>
      </x:c>
      <x:c r="AA864" s="30" t="str">
        <x:f>IF(Z864&lt;=I864,"Peaceful","Hostile")</x:f>
        <x:v>Peaceful</x:v>
      </x:c>
      <x:c r="AB864" s="30" t="str">
        <x:f>IF(Z864&lt;='Controls &amp; Summary'!$B$6,"Eligible","Blocked")</x:f>
        <x:v>Eligible</x:v>
      </x:c>
      <x:c r="AC864" s="30" t="str">
        <x:v>SCA</x:v>
      </x:c>
      <x:c r="AD864" s="30" t="str">
        <x:v>DEN</x:v>
      </x:c>
      <x:c r="AE864" s="30" t="str">
        <x:v>Denmark</x:v>
      </x:c>
      <x:c r="AF864" s="30" t="str">
        <x:v>Explicit capitalClaim</x:v>
      </x:c>
      <x:c r="AG864" s="30" t="str">
        <x:v>ClaimSCADenmark</x:v>
      </x:c>
      <x:c r="AH864" s="30" t="str">
        <x:v>Project_NordicFederation</x:v>
      </x:c>
    </x:row>
    <x:row r="865">
      <x:c r="A865" s="30" t="str">
        <x:v>2022</x:v>
      </x:c>
      <x:c r="B865" s="30" t="str">
        <x:v>Base game</x:v>
      </x:c>
      <x:c r="C865" s="30" t="str">
        <x:v>Sweden</x:v>
      </x:c>
      <x:c r="D865" s="30" t="str">
        <x:v>Estonia</x:v>
      </x:c>
      <x:c r="E865" s="30" t="str">
        <x:v>Project unlock</x:v>
      </x:c>
      <x:c r="F865" s="30" t="str">
        <x:v>Nordic Federation</x:v>
      </x:c>
      <x:c r="G865" s="30" t="str">
        <x:v>No</x:v>
      </x:c>
      <x:c r="H865" s="30" t="str">
        <x:v>Ordinary claim</x:v>
      </x:c>
      <x:c r="I865" s="31" t="n">
        <x:f>IF(G865="Yes",'Controls &amp; Summary'!$B$5,'Controls &amp; Summary'!$B$4)</x:f>
        <x:v>6</x:v>
      </x:c>
      <x:c r="J865" s="31" t="n">
        <x:v>9.26</x:v>
      </x:c>
      <x:c r="K865" s="31" t="n">
        <x:v>7.84</x:v>
      </x:c>
      <x:c r="L865" s="31" t="n">
        <x:f>ABS(J865-K865)</x:f>
        <x:v>1.42</x:v>
      </x:c>
      <x:c r="M865" s="31" t="n">
        <x:v>2.93</x:v>
      </x:c>
      <x:c r="N865" s="31" t="n">
        <x:v>3.08</x:v>
      </x:c>
      <x:c r="O865" s="31" t="n">
        <x:f>ABS(M865-N865)</x:f>
        <x:v>0.1499999999999999</x:v>
      </x:c>
      <x:c r="P865" s="31" t="n">
        <x:v>9.18</x:v>
      </x:c>
      <x:c r="Q865" s="31" t="n">
        <x:v>8.82</x:v>
      </x:c>
      <x:c r="R865" s="31" t="n">
        <x:f>ABS(P865-Q865)</x:f>
        <x:v>0.35999999999999943</x:v>
      </x:c>
      <x:c r="S865" s="32" t="n">
        <x:v>57961.24796654785</x:v>
      </x:c>
      <x:c r="T865" s="32" t="n">
        <x:v>39681.9697827776</x:v>
      </x:c>
      <x:c r="U865" s="31" t="n">
        <x:f>MAX(S865/T865,T865/S865)</x:f>
        <x:v>1.4606444257639561</x:v>
      </x:c>
      <x:c r="V865" s="31" t="n">
        <x:f>L865*'Controls &amp; Summary'!$B$9+O865*'Controls &amp; Summary'!$B$10+R865*'Controls &amp; Summary'!$B$11+U865*'Controls &amp; Summary'!$B$12</x:f>
        <x:v>3.3906444257639556</x:v>
      </x:c>
      <x:c r="W865" s="31" t="n">
        <x:v>5</x:v>
      </x:c>
      <x:c r="X865" s="31" t="n">
        <x:v>0</x:v>
      </x:c>
      <x:c r="Y865" s="31" t="n">
        <x:f>((10-MIN(10,MAX(0,X865)))/10)*'Controls &amp; Summary'!$B$15+((10-MIN(10,MAX(0,W865)))/10)*'Controls &amp; Summary'!$B$16</x:f>
        <x:v>1.5</x:v>
      </x:c>
      <x:c r="Z865" s="31" t="n">
        <x:f>V865*Y865</x:f>
        <x:v>5.0859666386459335</x:v>
      </x:c>
      <x:c r="AA865" s="30" t="str">
        <x:f>IF(Z865&lt;=I865,"Peaceful","Hostile")</x:f>
        <x:v>Peaceful</x:v>
      </x:c>
      <x:c r="AB865" s="30" t="str">
        <x:f>IF(Z865&lt;='Controls &amp; Summary'!$B$6,"Eligible","Blocked")</x:f>
        <x:v>Eligible</x:v>
      </x:c>
      <x:c r="AC865" s="30" t="str">
        <x:v>SCA</x:v>
      </x:c>
      <x:c r="AD865" s="30" t="str">
        <x:v>EST</x:v>
      </x:c>
      <x:c r="AE865" s="30" t="str">
        <x:v>Estonia</x:v>
      </x:c>
      <x:c r="AF865" s="30" t="str">
        <x:v>Explicit capitalClaim</x:v>
      </x:c>
      <x:c r="AG865" s="30" t="str">
        <x:v>ClaimSCAEstonia</x:v>
      </x:c>
      <x:c r="AH865" s="30" t="str">
        <x:v>Project_NordicFederation</x:v>
      </x:c>
    </x:row>
    <x:row r="866">
      <x:c r="A866" s="30" t="str">
        <x:v>2022</x:v>
      </x:c>
      <x:c r="B866" s="30" t="str">
        <x:v>Base game</x:v>
      </x:c>
      <x:c r="C866" s="30" t="str">
        <x:v>Sweden</x:v>
      </x:c>
      <x:c r="D866" s="30" t="str">
        <x:v>Finland</x:v>
      </x:c>
      <x:c r="E866" s="30" t="str">
        <x:v>Project unlock</x:v>
      </x:c>
      <x:c r="F866" s="30" t="str">
        <x:v>Nordic Federation</x:v>
      </x:c>
      <x:c r="G866" s="30" t="str">
        <x:v>No</x:v>
      </x:c>
      <x:c r="H866" s="30" t="str">
        <x:v>Ordinary claim</x:v>
      </x:c>
      <x:c r="I866" s="31" t="n">
        <x:f>IF(G866="Yes",'Controls &amp; Summary'!$B$5,'Controls &amp; Summary'!$B$4)</x:f>
        <x:v>6</x:v>
      </x:c>
      <x:c r="J866" s="31" t="n">
        <x:v>9.26</x:v>
      </x:c>
      <x:c r="K866" s="31" t="n">
        <x:v>9.27</x:v>
      </x:c>
      <x:c r="L866" s="31" t="n">
        <x:f>ABS(J866-K866)</x:f>
        <x:v>0.009999999999999787</x:v>
      </x:c>
      <x:c r="M866" s="31" t="n">
        <x:v>2.93</x:v>
      </x:c>
      <x:c r="N866" s="31" t="n">
        <x:v>2.77</x:v>
      </x:c>
      <x:c r="O866" s="31" t="n">
        <x:f>ABS(M866-N866)</x:f>
        <x:v>0.16000000000000014</x:v>
      </x:c>
      <x:c r="P866" s="31" t="n">
        <x:v>9.18</x:v>
      </x:c>
      <x:c r="Q866" s="31" t="n">
        <x:v>9.27</x:v>
      </x:c>
      <x:c r="R866" s="31" t="n">
        <x:f>ABS(P866-Q866)</x:f>
        <x:v>0.08999999999999986</x:v>
      </x:c>
      <x:c r="S866" s="32" t="n">
        <x:v>57961.24796654785</x:v>
      </x:c>
      <x:c r="T866" s="32" t="n">
        <x:v>50870.63939339583</x:v>
      </x:c>
      <x:c r="U866" s="31" t="n">
        <x:f>MAX(S866/T866,T866/S866)</x:f>
        <x:v>1.1393850884852952</x:v>
      </x:c>
      <x:c r="V866" s="31" t="n">
        <x:f>L866*'Controls &amp; Summary'!$B$9+O866*'Controls &amp; Summary'!$B$10+R866*'Controls &amp; Summary'!$B$11+U866*'Controls &amp; Summary'!$B$12</x:f>
        <x:v>1.399385088485295</x:v>
      </x:c>
      <x:c r="W866" s="31" t="n">
        <x:v>5</x:v>
      </x:c>
      <x:c r="X866" s="31" t="n">
        <x:v>0</x:v>
      </x:c>
      <x:c r="Y866" s="31" t="n">
        <x:f>((10-MIN(10,MAX(0,X866)))/10)*'Controls &amp; Summary'!$B$15+((10-MIN(10,MAX(0,W866)))/10)*'Controls &amp; Summary'!$B$16</x:f>
        <x:v>1.5</x:v>
      </x:c>
      <x:c r="Z866" s="31" t="n">
        <x:f>V866*Y866</x:f>
        <x:v>2.0990776327279423</x:v>
      </x:c>
      <x:c r="AA866" s="30" t="str">
        <x:f>IF(Z866&lt;=I866,"Peaceful","Hostile")</x:f>
        <x:v>Peaceful</x:v>
      </x:c>
      <x:c r="AB866" s="30" t="str">
        <x:f>IF(Z866&lt;='Controls &amp; Summary'!$B$6,"Eligible","Blocked")</x:f>
        <x:v>Eligible</x:v>
      </x:c>
      <x:c r="AC866" s="30" t="str">
        <x:v>SCA</x:v>
      </x:c>
      <x:c r="AD866" s="30" t="str">
        <x:v>FIN</x:v>
      </x:c>
      <x:c r="AE866" s="30" t="str">
        <x:v>Finland</x:v>
      </x:c>
      <x:c r="AF866" s="30" t="str">
        <x:v>Explicit capitalClaim</x:v>
      </x:c>
      <x:c r="AG866" s="30" t="str">
        <x:v>ClaimSCAFinland</x:v>
      </x:c>
      <x:c r="AH866" s="30" t="str">
        <x:v>Project_NordicFederation</x:v>
      </x:c>
    </x:row>
    <x:row r="867">
      <x:c r="A867" s="30" t="str">
        <x:v>2022</x:v>
      </x:c>
      <x:c r="B867" s="30" t="str">
        <x:v>Base game</x:v>
      </x:c>
      <x:c r="C867" s="30" t="str">
        <x:v>Sweden</x:v>
      </x:c>
      <x:c r="D867" s="30" t="str">
        <x:v>Iceland</x:v>
      </x:c>
      <x:c r="E867" s="30" t="str">
        <x:v>Project unlock</x:v>
      </x:c>
      <x:c r="F867" s="30" t="str">
        <x:v>Nordic Federation</x:v>
      </x:c>
      <x:c r="G867" s="30" t="str">
        <x:v>No</x:v>
      </x:c>
      <x:c r="H867" s="30" t="str">
        <x:v>Ordinary claim</x:v>
      </x:c>
      <x:c r="I867" s="31" t="n">
        <x:f>IF(G867="Yes",'Controls &amp; Summary'!$B$5,'Controls &amp; Summary'!$B$4)</x:f>
        <x:v>6</x:v>
      </x:c>
      <x:c r="J867" s="31" t="n">
        <x:v>9.26</x:v>
      </x:c>
      <x:c r="K867" s="31" t="n">
        <x:v>9.18</x:v>
      </x:c>
      <x:c r="L867" s="31" t="n">
        <x:f>ABS(J867-K867)</x:f>
        <x:v>0.08000000000000007</x:v>
      </x:c>
      <x:c r="M867" s="31" t="n">
        <x:v>2.93</x:v>
      </x:c>
      <x:c r="N867" s="31" t="n">
        <x:v>2.61</x:v>
      </x:c>
      <x:c r="O867" s="31" t="n">
        <x:f>ABS(M867-N867)</x:f>
        <x:v>0.3200000000000003</x:v>
      </x:c>
      <x:c r="P867" s="31" t="n">
        <x:v>9.18</x:v>
      </x:c>
      <x:c r="Q867" s="31" t="n">
        <x:v>9.26</x:v>
      </x:c>
      <x:c r="R867" s="31" t="n">
        <x:f>ABS(P867-Q867)</x:f>
        <x:v>0.08000000000000007</x:v>
      </x:c>
      <x:c r="S867" s="32" t="n">
        <x:v>57961.24796654785</x:v>
      </x:c>
      <x:c r="T867" s="32" t="n">
        <x:v>71962.78749382158</x:v>
      </x:c>
      <x:c r="U867" s="31" t="n">
        <x:f>MAX(S867/T867,T867/S867)</x:f>
        <x:v>1.2415672543033351</x:v>
      </x:c>
      <x:c r="V867" s="31" t="n">
        <x:f>L867*'Controls &amp; Summary'!$B$9+O867*'Controls &amp; Summary'!$B$10+R867*'Controls &amp; Summary'!$B$11+U867*'Controls &amp; Summary'!$B$12</x:f>
        <x:v>1.7215672543033356</x:v>
      </x:c>
      <x:c r="W867" s="31" t="n">
        <x:v>5</x:v>
      </x:c>
      <x:c r="X867" s="31" t="n">
        <x:v>0</x:v>
      </x:c>
      <x:c r="Y867" s="31" t="n">
        <x:f>((10-MIN(10,MAX(0,X867)))/10)*'Controls &amp; Summary'!$B$15+((10-MIN(10,MAX(0,W867)))/10)*'Controls &amp; Summary'!$B$16</x:f>
        <x:v>1.5</x:v>
      </x:c>
      <x:c r="Z867" s="31" t="n">
        <x:f>V867*Y867</x:f>
        <x:v>2.582350881455003</x:v>
      </x:c>
      <x:c r="AA867" s="30" t="str">
        <x:f>IF(Z867&lt;=I867,"Peaceful","Hostile")</x:f>
        <x:v>Peaceful</x:v>
      </x:c>
      <x:c r="AB867" s="30" t="str">
        <x:f>IF(Z867&lt;='Controls &amp; Summary'!$B$6,"Eligible","Blocked")</x:f>
        <x:v>Eligible</x:v>
      </x:c>
      <x:c r="AC867" s="30" t="str">
        <x:v>SCA</x:v>
      </x:c>
      <x:c r="AD867" s="30" t="str">
        <x:v>ISL</x:v>
      </x:c>
      <x:c r="AE867" s="30" t="str">
        <x:v>Iceland</x:v>
      </x:c>
      <x:c r="AF867" s="30" t="str">
        <x:v>Explicit capitalClaim</x:v>
      </x:c>
      <x:c r="AG867" s="30" t="str">
        <x:v>ClaimSCAIceland</x:v>
      </x:c>
      <x:c r="AH867" s="30" t="str">
        <x:v>Project_NordicFederation</x:v>
      </x:c>
    </x:row>
    <x:row r="868">
      <x:c r="A868" s="30" t="str">
        <x:v>2022</x:v>
      </x:c>
      <x:c r="B868" s="30" t="str">
        <x:v>Base game</x:v>
      </x:c>
      <x:c r="C868" s="30" t="str">
        <x:v>Sweden</x:v>
      </x:c>
      <x:c r="D868" s="30" t="str">
        <x:v>Norway</x:v>
      </x:c>
      <x:c r="E868" s="30" t="str">
        <x:v>Project unlock</x:v>
      </x:c>
      <x:c r="F868" s="30" t="str">
        <x:v>Nordic Federation</x:v>
      </x:c>
      <x:c r="G868" s="30" t="str">
        <x:v>No</x:v>
      </x:c>
      <x:c r="H868" s="30" t="str">
        <x:v>Ordinary claim</x:v>
      </x:c>
      <x:c r="I868" s="31" t="n">
        <x:f>IF(G868="Yes",'Controls &amp; Summary'!$B$5,'Controls &amp; Summary'!$B$4)</x:f>
        <x:v>6</x:v>
      </x:c>
      <x:c r="J868" s="31" t="n">
        <x:v>9.26</x:v>
      </x:c>
      <x:c r="K868" s="31" t="n">
        <x:v>9.75</x:v>
      </x:c>
      <x:c r="L868" s="31" t="n">
        <x:f>ABS(J868-K868)</x:f>
        <x:v>0.4900000000000002</x:v>
      </x:c>
      <x:c r="M868" s="31" t="n">
        <x:v>2.93</x:v>
      </x:c>
      <x:c r="N868" s="31" t="n">
        <x:v>2.77</x:v>
      </x:c>
      <x:c r="O868" s="31" t="n">
        <x:f>ABS(M868-N868)</x:f>
        <x:v>0.16000000000000014</x:v>
      </x:c>
      <x:c r="P868" s="31" t="n">
        <x:v>9.18</x:v>
      </x:c>
      <x:c r="Q868" s="31" t="n">
        <x:v>9.3</x:v>
      </x:c>
      <x:c r="R868" s="31" t="n">
        <x:f>ABS(P868-Q868)</x:f>
        <x:v>0.120000000000001</x:v>
      </x:c>
      <x:c r="S868" s="32" t="n">
        <x:v>57961.24796654785</x:v>
      </x:c>
      <x:c r="T868" s="32" t="n">
        <x:v>102138.11993510484</x:v>
      </x:c>
      <x:c r="U868" s="31" t="n">
        <x:f>MAX(S868/T868,T868/S868)</x:f>
        <x:v>1.762179447793352</x:v>
      </x:c>
      <x:c r="V868" s="31" t="n">
        <x:f>L868*'Controls &amp; Summary'!$B$9+O868*'Controls &amp; Summary'!$B$10+R868*'Controls &amp; Summary'!$B$11+U868*'Controls &amp; Summary'!$B$12</x:f>
        <x:v>2.5321794477933532</x:v>
      </x:c>
      <x:c r="W868" s="31" t="n">
        <x:v>5</x:v>
      </x:c>
      <x:c r="X868" s="31" t="n">
        <x:v>0</x:v>
      </x:c>
      <x:c r="Y868" s="31" t="n">
        <x:f>((10-MIN(10,MAX(0,X868)))/10)*'Controls &amp; Summary'!$B$15+((10-MIN(10,MAX(0,W868)))/10)*'Controls &amp; Summary'!$B$16</x:f>
        <x:v>1.5</x:v>
      </x:c>
      <x:c r="Z868" s="31" t="n">
        <x:f>V868*Y868</x:f>
        <x:v>3.7982691716900296</x:v>
      </x:c>
      <x:c r="AA868" s="30" t="str">
        <x:f>IF(Z868&lt;=I868,"Peaceful","Hostile")</x:f>
        <x:v>Peaceful</x:v>
      </x:c>
      <x:c r="AB868" s="30" t="str">
        <x:f>IF(Z868&lt;='Controls &amp; Summary'!$B$6,"Eligible","Blocked")</x:f>
        <x:v>Eligible</x:v>
      </x:c>
      <x:c r="AC868" s="30" t="str">
        <x:v>SCA</x:v>
      </x:c>
      <x:c r="AD868" s="30" t="str">
        <x:v>NOR</x:v>
      </x:c>
      <x:c r="AE868" s="30" t="str">
        <x:v>Norway</x:v>
      </x:c>
      <x:c r="AF868" s="30" t="str">
        <x:v>Explicit capitalClaim</x:v>
      </x:c>
      <x:c r="AG868" s="30" t="str">
        <x:v>ClaimSCANorway</x:v>
      </x:c>
      <x:c r="AH868" s="30" t="str">
        <x:v>Project_NordicFederation</x:v>
      </x:c>
    </x:row>
    <x:row r="869">
      <x:c r="A869" s="30" t="str">
        <x:v>2022</x:v>
      </x:c>
      <x:c r="B869" s="30" t="str">
        <x:v>Base game</x:v>
      </x:c>
      <x:c r="C869" s="30" t="str">
        <x:v>Syria</x:v>
      </x:c>
      <x:c r="D869" s="30" t="str">
        <x:v>Lebanon</x:v>
      </x:c>
      <x:c r="E869" s="30" t="str">
        <x:v>Starting claim</x:v>
      </x:c>
      <x:c r="F869" s="30" t="str"/>
      <x:c r="G869" s="30" t="str">
        <x:v>Yes</x:v>
      </x:c>
      <x:c r="H869" s="30" t="str">
        <x:v>Approved bilateral grievance</x:v>
      </x:c>
      <x:c r="I869" s="31" t="n">
        <x:f>IF(G869="Yes",'Controls &amp; Summary'!$B$5,'Controls &amp; Summary'!$B$4)</x:f>
        <x:v>3</x:v>
      </x:c>
      <x:c r="J869" s="31" t="n">
        <x:v>1.43</x:v>
      </x:c>
      <x:c r="K869" s="31" t="n">
        <x:v>3.84</x:v>
      </x:c>
      <x:c r="L869" s="31" t="n">
        <x:f>ABS(J869-K869)</x:f>
        <x:v>2.41</x:v>
      </x:c>
      <x:c r="M869" s="31" t="n">
        <x:v>3.75</x:v>
      </x:c>
      <x:c r="N869" s="31" t="n">
        <x:v>3.18</x:v>
      </x:c>
      <x:c r="O869" s="31" t="n">
        <x:f>ABS(M869-N869)</x:f>
        <x:v>0.5699999999999998</x:v>
      </x:c>
      <x:c r="P869" s="31" t="n">
        <x:v>4.16</x:v>
      </x:c>
      <x:c r="Q869" s="31" t="n">
        <x:v>6.04</x:v>
      </x:c>
      <x:c r="R869" s="31" t="n">
        <x:f>ABS(P869-Q869)</x:f>
        <x:v>1.88</x:v>
      </x:c>
      <x:c r="S869" s="32" t="n">
        <x:v>2238.3831741034137</x:v>
      </x:c>
      <x:c r="T869" s="32" t="n">
        <x:v>10863.586892585225</x:v>
      </x:c>
      <x:c r="U869" s="31" t="n">
        <x:f>MAX(S869/T869,T869/S869)</x:f>
        <x:v>4.853318689252855</x:v>
      </x:c>
      <x:c r="V869" s="31" t="n">
        <x:f>L869*'Controls &amp; Summary'!$B$9+O869*'Controls &amp; Summary'!$B$10+R869*'Controls &amp; Summary'!$B$11+U869*'Controls &amp; Summary'!$B$12</x:f>
        <x:v>9.713318689252855</x:v>
      </x:c>
      <x:c r="W869" s="31" t="n">
        <x:v>1</x:v>
      </x:c>
      <x:c r="X869" s="31" t="n">
        <x:v>5</x:v>
      </x:c>
      <x:c r="Y869" s="31" t="n">
        <x:f>((10-MIN(10,MAX(0,X869)))/10)*'Controls &amp; Summary'!$B$15+((10-MIN(10,MAX(0,W869)))/10)*'Controls &amp; Summary'!$B$16</x:f>
        <x:v>1.4</x:v>
      </x:c>
      <x:c r="Z869" s="31" t="n">
        <x:f>V869*Y869</x:f>
        <x:v>13.598646164953996</x:v>
      </x:c>
      <x:c r="AA869" s="30" t="str">
        <x:f>IF(Z869&lt;=I869,"Peaceful","Hostile")</x:f>
        <x:v>Hostile</x:v>
      </x:c>
      <x:c r="AB869" s="30" t="str">
        <x:f>IF(Z869&lt;='Controls &amp; Summary'!$B$6,"Eligible","Blocked")</x:f>
        <x:v>Blocked</x:v>
      </x:c>
      <x:c r="AC869" s="30" t="str">
        <x:v>SYR</x:v>
      </x:c>
      <x:c r="AD869" s="30" t="str">
        <x:v>LEB</x:v>
      </x:c>
      <x:c r="AE869" s="30" t="str">
        <x:v>Lebanon</x:v>
      </x:c>
      <x:c r="AF869" s="30" t="str">
        <x:v>Explicit capitalClaim</x:v>
      </x:c>
      <x:c r="AG869" s="30" t="str">
        <x:v>ClaimSYRLebanon</x:v>
      </x:c>
      <x:c r="AH869" s="30" t="str"/>
    </x:row>
    <x:row r="870">
      <x:c r="A870" s="30" t="str">
        <x:v>2022</x:v>
      </x:c>
      <x:c r="B870" s="30" t="str">
        <x:v>Base game</x:v>
      </x:c>
      <x:c r="C870" s="30" t="str">
        <x:v>Taiwan</x:v>
      </x:c>
      <x:c r="D870" s="30" t="str">
        <x:v>China</x:v>
      </x:c>
      <x:c r="E870" s="30" t="str">
        <x:v>Project unlock</x:v>
      </x:c>
      <x:c r="F870" s="30" t="str">
        <x:v>Liberating Mainland China</x:v>
      </x:c>
      <x:c r="G870" s="30" t="str">
        <x:v>Yes</x:v>
      </x:c>
      <x:c r="H870" s="30" t="str">
        <x:v>Approved expansion-project family</x:v>
      </x:c>
      <x:c r="I870" s="31" t="n">
        <x:f>IF(G870="Yes",'Controls &amp; Summary'!$B$5,'Controls &amp; Summary'!$B$4)</x:f>
        <x:v>3</x:v>
      </x:c>
      <x:c r="J870" s="31" t="n">
        <x:v>8.99</x:v>
      </x:c>
      <x:c r="K870" s="31" t="n">
        <x:v>2.21</x:v>
      </x:c>
      <x:c r="L870" s="31" t="n">
        <x:f>ABS(J870-K870)</x:f>
        <x:v>6.78</x:v>
      </x:c>
      <x:c r="M870" s="31" t="n">
        <x:v>3.4</x:v>
      </x:c>
      <x:c r="N870" s="31" t="n">
        <x:v>3.82</x:v>
      </x:c>
      <x:c r="O870" s="31" t="n">
        <x:f>ABS(M870-N870)</x:f>
        <x:v>0.41999999999999993</x:v>
      </x:c>
      <x:c r="P870" s="31" t="n">
        <x:v>8.87</x:v>
      </x:c>
      <x:c r="Q870" s="31" t="n">
        <x:v>6.57</x:v>
      </x:c>
      <x:c r="R870" s="31" t="n">
        <x:f>ABS(P870-Q870)</x:f>
        <x:v>2.299999999999999</x:v>
      </x:c>
      <x:c r="S870" s="32" t="n">
        <x:v>67105.06170444709</x:v>
      </x:c>
      <x:c r="T870" s="32" t="n">
        <x:v>18318.198017637314</x:v>
      </x:c>
      <x:c r="U870" s="31" t="n">
        <x:f>MAX(S870/T870,T870/S870)</x:f>
        <x:v>3.6633003770259664</x:v>
      </x:c>
      <x:c r="V870" s="31" t="n">
        <x:f>L870*'Controls &amp; Summary'!$B$9+O870*'Controls &amp; Summary'!$B$10+R870*'Controls &amp; Summary'!$B$11+U870*'Controls &amp; Summary'!$B$12</x:f>
        <x:v>13.163300377025966</x:v>
      </x:c>
      <x:c r="W870" s="31" t="n">
        <x:v>7</x:v>
      </x:c>
      <x:c r="X870" s="31" t="n">
        <x:v>2</x:v>
      </x:c>
      <x:c r="Y870" s="31" t="n">
        <x:f>((10-MIN(10,MAX(0,X870)))/10)*'Controls &amp; Summary'!$B$15+((10-MIN(10,MAX(0,W870)))/10)*'Controls &amp; Summary'!$B$16</x:f>
        <x:v>1.1</x:v>
      </x:c>
      <x:c r="Z870" s="31" t="n">
        <x:f>V870*Y870</x:f>
        <x:v>14.479630414728563</x:v>
      </x:c>
      <x:c r="AA870" s="30" t="str">
        <x:f>IF(Z870&lt;=I870,"Peaceful","Hostile")</x:f>
        <x:v>Hostile</x:v>
      </x:c>
      <x:c r="AB870" s="30" t="str">
        <x:f>IF(Z870&lt;='Controls &amp; Summary'!$B$6,"Eligible","Blocked")</x:f>
        <x:v>Blocked</x:v>
      </x:c>
      <x:c r="AC870" s="30" t="str">
        <x:v>TWN</x:v>
      </x:c>
      <x:c r="AD870" s="30" t="str">
        <x:v>CHN</x:v>
      </x:c>
      <x:c r="AE870" s="30" t="str">
        <x:v>Beijing</x:v>
      </x:c>
      <x:c r="AF870" s="30" t="str">
        <x:v>Explicit capitalClaim</x:v>
      </x:c>
      <x:c r="AG870" s="30" t="str">
        <x:v>ClaimTWNBeijing</x:v>
      </x:c>
      <x:c r="AH870" s="30" t="str">
        <x:v>Project_LiberatingMainlandChina</x:v>
      </x:c>
    </x:row>
    <x:row r="871">
      <x:c r="A871" s="30" t="str">
        <x:v>2022</x:v>
      </x:c>
      <x:c r="B871" s="30" t="str">
        <x:v>Base game</x:v>
      </x:c>
      <x:c r="C871" s="30" t="str">
        <x:v>Tanzania</x:v>
      </x:c>
      <x:c r="D871" s="30" t="str">
        <x:v>Comoros</x:v>
      </x:c>
      <x:c r="E871" s="30" t="str">
        <x:v>Project unlock</x:v>
      </x:c>
      <x:c r="F871" s="30" t="str">
        <x:v>Regional African Unions</x:v>
      </x:c>
      <x:c r="G871" s="30" t="str">
        <x:v>No</x:v>
      </x:c>
      <x:c r="H871" s="30" t="str">
        <x:v>Ordinary claim</x:v>
      </x:c>
      <x:c r="I871" s="31" t="n">
        <x:f>IF(G871="Yes",'Controls &amp; Summary'!$B$5,'Controls &amp; Summary'!$B$4)</x:f>
        <x:v>6</x:v>
      </x:c>
      <x:c r="J871" s="31" t="n">
        <x:v>5.1</x:v>
      </x:c>
      <x:c r="K871" s="31" t="n">
        <x:v>3.2</x:v>
      </x:c>
      <x:c r="L871" s="31" t="n">
        <x:f>ABS(J871-K871)</x:f>
        <x:v>1.8999999999999995</x:v>
      </x:c>
      <x:c r="M871" s="31" t="n">
        <x:v>4.05</x:v>
      </x:c>
      <x:c r="N871" s="31" t="n">
        <x:v>4.53</x:v>
      </x:c>
      <x:c r="O871" s="31" t="n">
        <x:f>ABS(M871-N871)</x:f>
        <x:v>0.4800000000000004</x:v>
      </x:c>
      <x:c r="P871" s="31" t="n">
        <x:v>4.29</x:v>
      </x:c>
      <x:c r="Q871" s="31" t="n">
        <x:v>4.82</x:v>
      </x:c>
      <x:c r="R871" s="31" t="n">
        <x:f>ABS(P871-Q871)</x:f>
        <x:v>0.5300000000000002</x:v>
      </x:c>
      <x:c r="S871" s="32" t="n">
        <x:v>2846.1193743566573</x:v>
      </x:c>
      <x:c r="T871" s="32" t="n">
        <x:v>3089.2102979184547</x:v>
      </x:c>
      <x:c r="U871" s="31" t="n">
        <x:f>MAX(S871/T871,T871/S871)</x:f>
        <x:v>1.0854113589725118</x:v>
      </x:c>
      <x:c r="V871" s="31" t="n">
        <x:f>L871*'Controls &amp; Summary'!$B$9+O871*'Controls &amp; Summary'!$B$10+R871*'Controls &amp; Summary'!$B$11+U871*'Controls &amp; Summary'!$B$12</x:f>
        <x:v>3.995411358972512</x:v>
      </x:c>
      <x:c r="W871" s="31" t="n">
        <x:v>3</x:v>
      </x:c>
      <x:c r="X871" s="31" t="n">
        <x:v>1</x:v>
      </x:c>
      <x:c r="Y871" s="31" t="n">
        <x:f>((10-MIN(10,MAX(0,X871)))/10)*'Controls &amp; Summary'!$B$15+((10-MIN(10,MAX(0,W871)))/10)*'Controls &amp; Summary'!$B$16</x:f>
        <x:v>1.6</x:v>
      </x:c>
      <x:c r="Z871" s="31" t="n">
        <x:f>V871*Y871</x:f>
        <x:v>6.392658174356019</x:v>
      </x:c>
      <x:c r="AA871" s="30" t="str">
        <x:f>IF(Z871&lt;=I871,"Peaceful","Hostile")</x:f>
        <x:v>Hostile</x:v>
      </x:c>
      <x:c r="AB871" s="30" t="str">
        <x:f>IF(Z871&lt;='Controls &amp; Summary'!$B$6,"Eligible","Blocked")</x:f>
        <x:v>Eligible</x:v>
      </x:c>
      <x:c r="AC871" s="30" t="str">
        <x:v>TZA</x:v>
      </x:c>
      <x:c r="AD871" s="30" t="str">
        <x:v>RTK</x:v>
      </x:c>
      <x:c r="AE871" s="30" t="str">
        <x:v>Ratnakara</x:v>
      </x:c>
      <x:c r="AF871" s="30" t="str">
        <x:v>Explicit capitalClaim</x:v>
      </x:c>
      <x:c r="AG871" s="30" t="str">
        <x:v>ClaimTZARatnakara</x:v>
      </x:c>
      <x:c r="AH871" s="30" t="str">
        <x:v>Project_RegionalAfricanUnions</x:v>
      </x:c>
    </x:row>
    <x:row r="872">
      <x:c r="A872" s="30" t="str">
        <x:v>2022</x:v>
      </x:c>
      <x:c r="B872" s="30" t="str">
        <x:v>Base game</x:v>
      </x:c>
      <x:c r="C872" s="30" t="str">
        <x:v>Tanzania</x:v>
      </x:c>
      <x:c r="D872" s="30" t="str">
        <x:v>Congo</x:v>
      </x:c>
      <x:c r="E872" s="30" t="str">
        <x:v>Project unlock</x:v>
      </x:c>
      <x:c r="F872" s="30" t="str">
        <x:v>African Confederations</x:v>
      </x:c>
      <x:c r="G872" s="30" t="str">
        <x:v>No</x:v>
      </x:c>
      <x:c r="H872" s="30" t="str">
        <x:v>Ordinary claim</x:v>
      </x:c>
      <x:c r="I872" s="31" t="n">
        <x:f>IF(G872="Yes",'Controls &amp; Summary'!$B$5,'Controls &amp; Summary'!$B$4)</x:f>
        <x:v>6</x:v>
      </x:c>
      <x:c r="J872" s="31" t="n">
        <x:v>5.1</x:v>
      </x:c>
      <x:c r="K872" s="31" t="n">
        <x:v>1.4</x:v>
      </x:c>
      <x:c r="L872" s="31" t="n">
        <x:f>ABS(J872-K872)</x:f>
        <x:v>3.6999999999999997</x:v>
      </x:c>
      <x:c r="M872" s="31" t="n">
        <x:v>4.05</x:v>
      </x:c>
      <x:c r="N872" s="31" t="n">
        <x:v>4.89</x:v>
      </x:c>
      <x:c r="O872" s="31" t="n">
        <x:f>ABS(M872-N872)</x:f>
        <x:v>0.8399999999999999</x:v>
      </x:c>
      <x:c r="P872" s="31" t="n">
        <x:v>4.29</x:v>
      </x:c>
      <x:c r="Q872" s="31" t="n">
        <x:v>4.96</x:v>
      </x:c>
      <x:c r="R872" s="31" t="n">
        <x:f>ABS(P872-Q872)</x:f>
        <x:v>0.6699999999999999</x:v>
      </x:c>
      <x:c r="S872" s="32" t="n">
        <x:v>2846.1193743566573</x:v>
      </x:c>
      <x:c r="T872" s="32" t="n">
        <x:v>1165.8667971692287</x:v>
      </x:c>
      <x:c r="U872" s="31" t="n">
        <x:f>MAX(S872/T872,T872/S872)</x:f>
        <x:v>2.4412045880945827</x:v>
      </x:c>
      <x:c r="V872" s="31" t="n">
        <x:f>L872*'Controls &amp; Summary'!$B$9+O872*'Controls &amp; Summary'!$B$10+R872*'Controls &amp; Summary'!$B$11+U872*'Controls &amp; Summary'!$B$12</x:f>
        <x:v>7.651204588094582</x:v>
      </x:c>
      <x:c r="W872" s="31" t="n">
        <x:v>3</x:v>
      </x:c>
      <x:c r="X872" s="31" t="n">
        <x:v>8</x:v>
      </x:c>
      <x:c r="Y872" s="31" t="n">
        <x:f>((10-MIN(10,MAX(0,X872)))/10)*'Controls &amp; Summary'!$B$15+((10-MIN(10,MAX(0,W872)))/10)*'Controls &amp; Summary'!$B$16</x:f>
        <x:v>0.8999999999999999</x:v>
      </x:c>
      <x:c r="Z872" s="31" t="n">
        <x:f>V872*Y872</x:f>
        <x:v>6.886084129285123</x:v>
      </x:c>
      <x:c r="AA872" s="30" t="str">
        <x:f>IF(Z872&lt;=I872,"Peaceful","Hostile")</x:f>
        <x:v>Hostile</x:v>
      </x:c>
      <x:c r="AB872" s="30" t="str">
        <x:f>IF(Z872&lt;='Controls &amp; Summary'!$B$6,"Eligible","Blocked")</x:f>
        <x:v>Eligible</x:v>
      </x:c>
      <x:c r="AC872" s="30" t="str">
        <x:v>TZA</x:v>
      </x:c>
      <x:c r="AD872" s="30" t="str">
        <x:v>COD</x:v>
      </x:c>
      <x:c r="AE872" s="30" t="str">
        <x:v>Kinshasa</x:v>
      </x:c>
      <x:c r="AF872" s="30" t="str">
        <x:v>Explicit capitalClaim</x:v>
      </x:c>
      <x:c r="AG872" s="30" t="str">
        <x:v>ClaimTZAKinshasa</x:v>
      </x:c>
      <x:c r="AH872" s="30" t="str">
        <x:v>Project_EastAfricanFederation</x:v>
      </x:c>
    </x:row>
    <x:row r="873">
      <x:c r="A873" s="30" t="str">
        <x:v>2022</x:v>
      </x:c>
      <x:c r="B873" s="30" t="str">
        <x:v>Base game</x:v>
      </x:c>
      <x:c r="C873" s="30" t="str">
        <x:v>Tanzania</x:v>
      </x:c>
      <x:c r="D873" s="30" t="str">
        <x:v>Djibouti</x:v>
      </x:c>
      <x:c r="E873" s="30" t="str">
        <x:v>Project unlock</x:v>
      </x:c>
      <x:c r="F873" s="30" t="str">
        <x:v>Regional African Unions</x:v>
      </x:c>
      <x:c r="G873" s="30" t="str">
        <x:v>No</x:v>
      </x:c>
      <x:c r="H873" s="30" t="str">
        <x:v>Ordinary claim</x:v>
      </x:c>
      <x:c r="I873" s="31" t="n">
        <x:f>IF(G873="Yes",'Controls &amp; Summary'!$B$5,'Controls &amp; Summary'!$B$4)</x:f>
        <x:v>6</x:v>
      </x:c>
      <x:c r="J873" s="31" t="n">
        <x:v>5.1</x:v>
      </x:c>
      <x:c r="K873" s="31" t="n">
        <x:v>2.74</x:v>
      </x:c>
      <x:c r="L873" s="31" t="n">
        <x:f>ABS(J873-K873)</x:f>
        <x:v>2.3599999999999994</x:v>
      </x:c>
      <x:c r="M873" s="31" t="n">
        <x:v>4.05</x:v>
      </x:c>
      <x:c r="N873" s="31" t="n">
        <x:v>4.16</x:v>
      </x:c>
      <x:c r="O873" s="31" t="n">
        <x:f>ABS(M873-N873)</x:f>
        <x:v>0.11000000000000032</x:v>
      </x:c>
      <x:c r="P873" s="31" t="n">
        <x:v>4.29</x:v>
      </x:c>
      <x:c r="Q873" s="31" t="n">
        <x:v>3.25</x:v>
      </x:c>
      <x:c r="R873" s="31" t="n">
        <x:f>ABS(P873-Q873)</x:f>
        <x:v>1.04</x:v>
      </x:c>
      <x:c r="S873" s="32" t="n">
        <x:v>2846.1193743566573</x:v>
      </x:c>
      <x:c r="T873" s="32" t="n">
        <x:v>5841.749686921773</x:v>
      </x:c>
      <x:c r="U873" s="31" t="n">
        <x:f>MAX(S873/T873,T873/S873)</x:f>
        <x:v>2.0525315064278544</x:v>
      </x:c>
      <x:c r="V873" s="31" t="n">
        <x:f>L873*'Controls &amp; Summary'!$B$9+O873*'Controls &amp; Summary'!$B$10+R873*'Controls &amp; Summary'!$B$11+U873*'Controls &amp; Summary'!$B$12</x:f>
        <x:v>5.562531506427854</x:v>
      </x:c>
      <x:c r="W873" s="31" t="n">
        <x:v>3</x:v>
      </x:c>
      <x:c r="X873" s="31" t="n">
        <x:v>3</x:v>
      </x:c>
      <x:c r="Y873" s="31" t="n">
        <x:f>((10-MIN(10,MAX(0,X873)))/10)*'Controls &amp; Summary'!$B$15+((10-MIN(10,MAX(0,W873)))/10)*'Controls &amp; Summary'!$B$16</x:f>
        <x:v>1.4</x:v>
      </x:c>
      <x:c r="Z873" s="31" t="n">
        <x:f>V873*Y873</x:f>
        <x:v>7.787544108998995</x:v>
      </x:c>
      <x:c r="AA873" s="30" t="str">
        <x:f>IF(Z873&lt;=I873,"Peaceful","Hostile")</x:f>
        <x:v>Hostile</x:v>
      </x:c>
      <x:c r="AB873" s="30" t="str">
        <x:f>IF(Z873&lt;='Controls &amp; Summary'!$B$6,"Eligible","Blocked")</x:f>
        <x:v>Eligible</x:v>
      </x:c>
      <x:c r="AC873" s="30" t="str">
        <x:v>TZA</x:v>
      </x:c>
      <x:c r="AD873" s="30" t="str">
        <x:v>DJI</x:v>
      </x:c>
      <x:c r="AE873" s="30" t="str">
        <x:v>Djibouti</x:v>
      </x:c>
      <x:c r="AF873" s="30" t="str">
        <x:v>Explicit capitalClaim</x:v>
      </x:c>
      <x:c r="AG873" s="30" t="str">
        <x:v>ClaimTZADjibouti</x:v>
      </x:c>
      <x:c r="AH873" s="30" t="str">
        <x:v>Project_RegionalAfricanUnions</x:v>
      </x:c>
    </x:row>
    <x:row r="874">
      <x:c r="A874" s="30" t="str">
        <x:v>2022</x:v>
      </x:c>
      <x:c r="B874" s="30" t="str">
        <x:v>Base game</x:v>
      </x:c>
      <x:c r="C874" s="30" t="str">
        <x:v>Tanzania</x:v>
      </x:c>
      <x:c r="D874" s="30" t="str">
        <x:v>Kenya</x:v>
      </x:c>
      <x:c r="E874" s="30" t="str">
        <x:v>Project unlock</x:v>
      </x:c>
      <x:c r="F874" s="30" t="str">
        <x:v>African Confederations</x:v>
      </x:c>
      <x:c r="G874" s="30" t="str">
        <x:v>No</x:v>
      </x:c>
      <x:c r="H874" s="30" t="str">
        <x:v>Ordinary claim</x:v>
      </x:c>
      <x:c r="I874" s="31" t="n">
        <x:f>IF(G874="Yes",'Controls &amp; Summary'!$B$5,'Controls &amp; Summary'!$B$4)</x:f>
        <x:v>6</x:v>
      </x:c>
      <x:c r="J874" s="31" t="n">
        <x:v>5.1</x:v>
      </x:c>
      <x:c r="K874" s="31" t="n">
        <x:v>5.05</x:v>
      </x:c>
      <x:c r="L874" s="31" t="n">
        <x:f>ABS(J874-K874)</x:f>
        <x:v>0.04999999999999982</x:v>
      </x:c>
      <x:c r="M874" s="31" t="n">
        <x:v>4.05</x:v>
      </x:c>
      <x:c r="N874" s="31" t="n">
        <x:v>4.08</x:v>
      </x:c>
      <x:c r="O874" s="31" t="n">
        <x:f>ABS(M874-N874)</x:f>
        <x:v>0.03000000000000025</x:v>
      </x:c>
      <x:c r="P874" s="31" t="n">
        <x:v>4.29</x:v>
      </x:c>
      <x:c r="Q874" s="31" t="n">
        <x:v>5.34</x:v>
      </x:c>
      <x:c r="R874" s="31" t="n">
        <x:f>ABS(P874-Q874)</x:f>
        <x:v>1.0499999999999998</x:v>
      </x:c>
      <x:c r="S874" s="32" t="n">
        <x:v>2846.1193743566573</x:v>
      </x:c>
      <x:c r="T874" s="32" t="n">
        <x:v>4798.923720068662</x:v>
      </x:c>
      <x:c r="U874" s="31" t="n">
        <x:f>MAX(S874/T874,T874/S874)</x:f>
        <x:v>1.6861287559849525</x:v>
      </x:c>
      <x:c r="V874" s="31" t="n">
        <x:f>L874*'Controls &amp; Summary'!$B$9+O874*'Controls &amp; Summary'!$B$10+R874*'Controls &amp; Summary'!$B$11+U874*'Controls &amp; Summary'!$B$12</x:f>
        <x:v>2.8161287559849524</x:v>
      </x:c>
      <x:c r="W874" s="31" t="n">
        <x:v>3</x:v>
      </x:c>
      <x:c r="X874" s="31" t="n">
        <x:v>4</x:v>
      </x:c>
      <x:c r="Y874" s="31" t="n">
        <x:f>((10-MIN(10,MAX(0,X874)))/10)*'Controls &amp; Summary'!$B$15+((10-MIN(10,MAX(0,W874)))/10)*'Controls &amp; Summary'!$B$16</x:f>
        <x:v>1.2999999999999998</x:v>
      </x:c>
      <x:c r="Z874" s="31" t="n">
        <x:f>V874*Y874</x:f>
        <x:v>3.6609673827804374</x:v>
      </x:c>
      <x:c r="AA874" s="30" t="str">
        <x:f>IF(Z874&lt;=I874,"Peaceful","Hostile")</x:f>
        <x:v>Peaceful</x:v>
      </x:c>
      <x:c r="AB874" s="30" t="str">
        <x:f>IF(Z874&lt;='Controls &amp; Summary'!$B$6,"Eligible","Blocked")</x:f>
        <x:v>Eligible</x:v>
      </x:c>
      <x:c r="AC874" s="30" t="str">
        <x:v>TZA</x:v>
      </x:c>
      <x:c r="AD874" s="30" t="str">
        <x:v>KEN</x:v>
      </x:c>
      <x:c r="AE874" s="30" t="str">
        <x:v>Kenya</x:v>
      </x:c>
      <x:c r="AF874" s="30" t="str">
        <x:v>Explicit capitalClaim</x:v>
      </x:c>
      <x:c r="AG874" s="30" t="str">
        <x:v>ClaimTZAKenya</x:v>
      </x:c>
      <x:c r="AH874" s="30" t="str">
        <x:v>Project_EastAfricanFederation</x:v>
      </x:c>
    </x:row>
    <x:row r="875">
      <x:c r="A875" s="30" t="str">
        <x:v>2022</x:v>
      </x:c>
      <x:c r="B875" s="30" t="str">
        <x:v>Base game</x:v>
      </x:c>
      <x:c r="C875" s="30" t="str">
        <x:v>Tanzania</x:v>
      </x:c>
      <x:c r="D875" s="30" t="str">
        <x:v>Rwanda-Burundi</x:v>
      </x:c>
      <x:c r="E875" s="30" t="str">
        <x:v>Project unlock</x:v>
      </x:c>
      <x:c r="F875" s="30" t="str">
        <x:v>African Confederations</x:v>
      </x:c>
      <x:c r="G875" s="30" t="str">
        <x:v>No</x:v>
      </x:c>
      <x:c r="H875" s="30" t="str">
        <x:v>Ordinary claim</x:v>
      </x:c>
      <x:c r="I875" s="31" t="n">
        <x:f>IF(G875="Yes",'Controls &amp; Summary'!$B$5,'Controls &amp; Summary'!$B$4)</x:f>
        <x:v>6</x:v>
      </x:c>
      <x:c r="J875" s="31" t="n">
        <x:v>5.1</x:v>
      </x:c>
      <x:c r="K875" s="31" t="n">
        <x:v>2.63</x:v>
      </x:c>
      <x:c r="L875" s="31" t="n">
        <x:f>ABS(J875-K875)</x:f>
        <x:v>2.4699999999999998</x:v>
      </x:c>
      <x:c r="M875" s="31" t="n">
        <x:v>4.05</x:v>
      </x:c>
      <x:c r="N875" s="31" t="n">
        <x:v>4.12</x:v>
      </x:c>
      <x:c r="O875" s="31" t="n">
        <x:f>ABS(M875-N875)</x:f>
        <x:v>0.07000000000000028</x:v>
      </x:c>
      <x:c r="P875" s="31" t="n">
        <x:v>4.29</x:v>
      </x:c>
      <x:c r="Q875" s="31" t="n">
        <x:v>4.38</x:v>
      </x:c>
      <x:c r="R875" s="31" t="n">
        <x:f>ABS(P875-Q875)</x:f>
        <x:v>0.08999999999999986</x:v>
      </x:c>
      <x:c r="S875" s="32" t="n">
        <x:v>2846.1193743566573</x:v>
      </x:c>
      <x:c r="T875" s="32" t="n">
        <x:v>1596.978721626218</x:v>
      </x:c>
      <x:c r="U875" s="31" t="n">
        <x:f>MAX(S875/T875,T875/S875)</x:f>
        <x:v>1.782189916380619</x:v>
      </x:c>
      <x:c r="V875" s="31" t="n">
        <x:f>L875*'Controls &amp; Summary'!$B$9+O875*'Controls &amp; Summary'!$B$10+R875*'Controls &amp; Summary'!$B$11+U875*'Controls &amp; Summary'!$B$12</x:f>
        <x:v>4.412189916380619</x:v>
      </x:c>
      <x:c r="W875" s="31" t="n">
        <x:v>3</x:v>
      </x:c>
      <x:c r="X875" s="31" t="n">
        <x:v>3</x:v>
      </x:c>
      <x:c r="Y875" s="31" t="n">
        <x:f>((10-MIN(10,MAX(0,X875)))/10)*'Controls &amp; Summary'!$B$15+((10-MIN(10,MAX(0,W875)))/10)*'Controls &amp; Summary'!$B$16</x:f>
        <x:v>1.4</x:v>
      </x:c>
      <x:c r="Z875" s="31" t="n">
        <x:f>V875*Y875</x:f>
        <x:v>6.177065882932866</x:v>
      </x:c>
      <x:c r="AA875" s="30" t="str">
        <x:f>IF(Z875&lt;=I875,"Peaceful","Hostile")</x:f>
        <x:v>Hostile</x:v>
      </x:c>
      <x:c r="AB875" s="30" t="str">
        <x:f>IF(Z875&lt;='Controls &amp; Summary'!$B$6,"Eligible","Blocked")</x:f>
        <x:v>Eligible</x:v>
      </x:c>
      <x:c r="AC875" s="30" t="str">
        <x:v>TZA</x:v>
      </x:c>
      <x:c r="AD875" s="30" t="str">
        <x:v>RWB</x:v>
      </x:c>
      <x:c r="AE875" s="30" t="str">
        <x:v>Kigali</x:v>
      </x:c>
      <x:c r="AF875" s="30" t="str">
        <x:v>Explicit capitalClaim</x:v>
      </x:c>
      <x:c r="AG875" s="30" t="str">
        <x:v>ClaimTZAKigali</x:v>
      </x:c>
      <x:c r="AH875" s="30" t="str">
        <x:v>Project_EastAfricanFederation</x:v>
      </x:c>
    </x:row>
    <x:row r="876">
      <x:c r="A876" s="30" t="str">
        <x:v>2022</x:v>
      </x:c>
      <x:c r="B876" s="30" t="str">
        <x:v>Base game</x:v>
      </x:c>
      <x:c r="C876" s="30" t="str">
        <x:v>Tanzania</x:v>
      </x:c>
      <x:c r="D876" s="30" t="str">
        <x:v>Seychelles</x:v>
      </x:c>
      <x:c r="E876" s="30" t="str">
        <x:v>Project unlock</x:v>
      </x:c>
      <x:c r="F876" s="30" t="str">
        <x:v>Regional African Unions</x:v>
      </x:c>
      <x:c r="G876" s="30" t="str">
        <x:v>No</x:v>
      </x:c>
      <x:c r="H876" s="30" t="str">
        <x:v>Ordinary claim</x:v>
      </x:c>
      <x:c r="I876" s="31" t="n">
        <x:f>IF(G876="Yes",'Controls &amp; Summary'!$B$5,'Controls &amp; Summary'!$B$4)</x:f>
        <x:v>6</x:v>
      </x:c>
      <x:c r="J876" s="31" t="n">
        <x:v>5.1</x:v>
      </x:c>
      <x:c r="K876" s="31" t="n">
        <x:v>7.9</x:v>
      </x:c>
      <x:c r="L876" s="31" t="n">
        <x:f>ABS(J876-K876)</x:f>
        <x:v>2.8000000000000007</x:v>
      </x:c>
      <x:c r="M876" s="31" t="n">
        <x:v>4.05</x:v>
      </x:c>
      <x:c r="N876" s="31" t="n">
        <x:v>3.21</x:v>
      </x:c>
      <x:c r="O876" s="31" t="n">
        <x:f>ABS(M876-N876)</x:f>
        <x:v>0.8399999999999999</x:v>
      </x:c>
      <x:c r="P876" s="31" t="n">
        <x:v>4.29</x:v>
      </x:c>
      <x:c r="Q876" s="31" t="n">
        <x:v>7.26</x:v>
      </x:c>
      <x:c r="R876" s="31" t="n">
        <x:f>ABS(P876-Q876)</x:f>
        <x:v>2.9699999999999998</x:v>
      </x:c>
      <x:c r="S876" s="32" t="n">
        <x:v>2846.1193743566573</x:v>
      </x:c>
      <x:c r="T876" s="32" t="n">
        <x:v>27900.965567788913</x:v>
      </x:c>
      <x:c r="U876" s="31" t="n">
        <x:f>MAX(S876/T876,T876/S876)</x:f>
        <x:v>9.803160689314272</x:v>
      </x:c>
      <x:c r="V876" s="31" t="n">
        <x:f>L876*'Controls &amp; Summary'!$B$9+O876*'Controls &amp; Summary'!$B$10+R876*'Controls &amp; Summary'!$B$11+U876*'Controls &amp; Summary'!$B$12</x:f>
        <x:v>16.41316068931427</x:v>
      </x:c>
      <x:c r="W876" s="31" t="n">
        <x:v>3</x:v>
      </x:c>
      <x:c r="X876" s="31" t="n">
        <x:v>0</x:v>
      </x:c>
      <x:c r="Y876" s="31" t="n">
        <x:f>((10-MIN(10,MAX(0,X876)))/10)*'Controls &amp; Summary'!$B$15+((10-MIN(10,MAX(0,W876)))/10)*'Controls &amp; Summary'!$B$16</x:f>
        <x:v>1.7</x:v>
      </x:c>
      <x:c r="Z876" s="31" t="n">
        <x:f>V876*Y876</x:f>
        <x:v>27.90237317183426</x:v>
      </x:c>
      <x:c r="AA876" s="30" t="str">
        <x:f>IF(Z876&lt;=I876,"Peaceful","Hostile")</x:f>
        <x:v>Hostile</x:v>
      </x:c>
      <x:c r="AB876" s="30" t="str">
        <x:f>IF(Z876&lt;='Controls &amp; Summary'!$B$6,"Eligible","Blocked")</x:f>
        <x:v>Blocked</x:v>
      </x:c>
      <x:c r="AC876" s="30" t="str">
        <x:v>TZA</x:v>
      </x:c>
      <x:c r="AD876" s="30" t="str">
        <x:v>SYC</x:v>
      </x:c>
      <x:c r="AE876" s="30" t="str">
        <x:v>Seychelles</x:v>
      </x:c>
      <x:c r="AF876" s="30" t="str">
        <x:v>Explicit capitalClaim</x:v>
      </x:c>
      <x:c r="AG876" s="30" t="str">
        <x:v>ClaimTZASeychelles</x:v>
      </x:c>
      <x:c r="AH876" s="30" t="str">
        <x:v>Project_RegionalAfricanUnions</x:v>
      </x:c>
    </x:row>
    <x:row r="877">
      <x:c r="A877" s="30" t="str">
        <x:v>2022</x:v>
      </x:c>
      <x:c r="B877" s="30" t="str">
        <x:v>Base game</x:v>
      </x:c>
      <x:c r="C877" s="30" t="str">
        <x:v>Tanzania</x:v>
      </x:c>
      <x:c r="D877" s="30" t="str">
        <x:v>Somalia</x:v>
      </x:c>
      <x:c r="E877" s="30" t="str">
        <x:v>Project unlock</x:v>
      </x:c>
      <x:c r="F877" s="30" t="str">
        <x:v>African Confederations</x:v>
      </x:c>
      <x:c r="G877" s="30" t="str">
        <x:v>No</x:v>
      </x:c>
      <x:c r="H877" s="30" t="str">
        <x:v>Ordinary claim</x:v>
      </x:c>
      <x:c r="I877" s="31" t="n">
        <x:f>IF(G877="Yes",'Controls &amp; Summary'!$B$5,'Controls &amp; Summary'!$B$4)</x:f>
        <x:v>6</x:v>
      </x:c>
      <x:c r="J877" s="31" t="n">
        <x:v>5.1</x:v>
      </x:c>
      <x:c r="K877" s="31" t="n">
        <x:v>0.7</x:v>
      </x:c>
      <x:c r="L877" s="31" t="n">
        <x:f>ABS(J877-K877)</x:f>
        <x:v>4.3999999999999995</x:v>
      </x:c>
      <x:c r="M877" s="31" t="n">
        <x:v>4.05</x:v>
      </x:c>
      <x:c r="N877" s="31" t="n">
        <x:v>3.68</x:v>
      </x:c>
      <x:c r="O877" s="31" t="n">
        <x:f>ABS(M877-N877)</x:f>
        <x:v>0.36999999999999966</x:v>
      </x:c>
      <x:c r="P877" s="31" t="n">
        <x:v>4.29</x:v>
      </x:c>
      <x:c r="Q877" s="31" t="n">
        <x:v>3.05</x:v>
      </x:c>
      <x:c r="R877" s="31" t="n">
        <x:f>ABS(P877-Q877)</x:f>
        <x:v>1.2400000000000002</x:v>
      </x:c>
      <x:c r="S877" s="32" t="n">
        <x:v>2846.1193743566573</x:v>
      </x:c>
      <x:c r="T877" s="32" t="n">
        <x:v>1437.3080972992434</x:v>
      </x:c>
      <x:c r="U877" s="31" t="n">
        <x:f>MAX(S877/T877,T877/S877)</x:f>
        <x:v>1.9801734782574618</x:v>
      </x:c>
      <x:c r="V877" s="31" t="n">
        <x:f>L877*'Controls &amp; Summary'!$B$9+O877*'Controls &amp; Summary'!$B$10+R877*'Controls &amp; Summary'!$B$11+U877*'Controls &amp; Summary'!$B$12</x:f>
        <x:v>7.990173478257462</x:v>
      </x:c>
      <x:c r="W877" s="31" t="n">
        <x:v>3</x:v>
      </x:c>
      <x:c r="X877" s="31" t="n">
        <x:v>8</x:v>
      </x:c>
      <x:c r="Y877" s="31" t="n">
        <x:f>((10-MIN(10,MAX(0,X877)))/10)*'Controls &amp; Summary'!$B$15+((10-MIN(10,MAX(0,W877)))/10)*'Controls &amp; Summary'!$B$16</x:f>
        <x:v>0.8999999999999999</x:v>
      </x:c>
      <x:c r="Z877" s="31" t="n">
        <x:f>V877*Y877</x:f>
        <x:v>7.191156130431715</x:v>
      </x:c>
      <x:c r="AA877" s="30" t="str">
        <x:f>IF(Z877&lt;=I877,"Peaceful","Hostile")</x:f>
        <x:v>Hostile</x:v>
      </x:c>
      <x:c r="AB877" s="30" t="str">
        <x:f>IF(Z877&lt;='Controls &amp; Summary'!$B$6,"Eligible","Blocked")</x:f>
        <x:v>Eligible</x:v>
      </x:c>
      <x:c r="AC877" s="30" t="str">
        <x:v>TZA</x:v>
      </x:c>
      <x:c r="AD877" s="30" t="str">
        <x:v>SOM</x:v>
      </x:c>
      <x:c r="AE877" s="30" t="str">
        <x:v>Somalia</x:v>
      </x:c>
      <x:c r="AF877" s="30" t="str">
        <x:v>Explicit capitalClaim</x:v>
      </x:c>
      <x:c r="AG877" s="30" t="str">
        <x:v>ClaimTZASomalia</x:v>
      </x:c>
      <x:c r="AH877" s="30" t="str">
        <x:v>Project_EastAfricanFederation</x:v>
      </x:c>
    </x:row>
    <x:row r="878">
      <x:c r="A878" s="30" t="str">
        <x:v>2022</x:v>
      </x:c>
      <x:c r="B878" s="30" t="str">
        <x:v>Base game</x:v>
      </x:c>
      <x:c r="C878" s="30" t="str">
        <x:v>Tanzania</x:v>
      </x:c>
      <x:c r="D878" s="30" t="str">
        <x:v>Somaliland</x:v>
      </x:c>
      <x:c r="E878" s="30" t="str">
        <x:v>Project unlock</x:v>
      </x:c>
      <x:c r="F878" s="30" t="str">
        <x:v>African Confederations</x:v>
      </x:c>
      <x:c r="G878" s="30" t="str">
        <x:v>No</x:v>
      </x:c>
      <x:c r="H878" s="30" t="str">
        <x:v>Ordinary claim</x:v>
      </x:c>
      <x:c r="I878" s="31" t="n">
        <x:f>IF(G878="Yes",'Controls &amp; Summary'!$B$5,'Controls &amp; Summary'!$B$4)</x:f>
        <x:v>6</x:v>
      </x:c>
      <x:c r="J878" s="31" t="n">
        <x:v>5.1</x:v>
      </x:c>
      <x:c r="K878" s="31" t="n">
        <x:v>4.4</x:v>
      </x:c>
      <x:c r="L878" s="31" t="n">
        <x:f>ABS(J878-K878)</x:f>
        <x:v>0.6999999999999993</x:v>
      </x:c>
      <x:c r="M878" s="31" t="n">
        <x:v>4.05</x:v>
      </x:c>
      <x:c r="N878" s="31" t="n">
        <x:v>4.3</x:v>
      </x:c>
      <x:c r="O878" s="31" t="n">
        <x:f>ABS(M878-N878)</x:f>
        <x:v>0.25</x:v>
      </x:c>
      <x:c r="P878" s="31" t="n">
        <x:v>4.29</x:v>
      </x:c>
      <x:c r="Q878" s="31" t="n">
        <x:v>3.25</x:v>
      </x:c>
      <x:c r="R878" s="31" t="n">
        <x:f>ABS(P878-Q878)</x:f>
        <x:v>1.04</x:v>
      </x:c>
      <x:c r="S878" s="32" t="n">
        <x:v>2846.1193743566573</x:v>
      </x:c>
      <x:c r="T878" s="32" t="n">
        <x:v>1300.941181819337</x:v>
      </x:c>
      <x:c r="U878" s="31" t="n">
        <x:f>MAX(S878/T878,T878/S878)</x:f>
        <x:v>2.187738703433481</x:v>
      </x:c>
      <x:c r="V878" s="31" t="n">
        <x:f>L878*'Controls &amp; Summary'!$B$9+O878*'Controls &amp; Summary'!$B$10+R878*'Controls &amp; Summary'!$B$11+U878*'Controls &amp; Summary'!$B$12</x:f>
        <x:v>4.17773870343348</x:v>
      </x:c>
      <x:c r="W878" s="31" t="n">
        <x:v>3</x:v>
      </x:c>
      <x:c r="X878" s="31" t="n">
        <x:v>3</x:v>
      </x:c>
      <x:c r="Y878" s="31" t="n">
        <x:f>((10-MIN(10,MAX(0,X878)))/10)*'Controls &amp; Summary'!$B$15+((10-MIN(10,MAX(0,W878)))/10)*'Controls &amp; Summary'!$B$16</x:f>
        <x:v>1.4</x:v>
      </x:c>
      <x:c r="Z878" s="31" t="n">
        <x:f>V878*Y878</x:f>
        <x:v>5.848834184806872</x:v>
      </x:c>
      <x:c r="AA878" s="30" t="str">
        <x:f>IF(Z878&lt;=I878,"Peaceful","Hostile")</x:f>
        <x:v>Peaceful</x:v>
      </x:c>
      <x:c r="AB878" s="30" t="str">
        <x:f>IF(Z878&lt;='Controls &amp; Summary'!$B$6,"Eligible","Blocked")</x:f>
        <x:v>Eligible</x:v>
      </x:c>
      <x:c r="AC878" s="30" t="str">
        <x:v>TZA</x:v>
      </x:c>
      <x:c r="AD878" s="30" t="str">
        <x:v>SOL</x:v>
      </x:c>
      <x:c r="AE878" s="30" t="str">
        <x:v>Somaliland</x:v>
      </x:c>
      <x:c r="AF878" s="30" t="str">
        <x:v>Explicit capitalClaim</x:v>
      </x:c>
      <x:c r="AG878" s="30" t="str">
        <x:v>ClaimTZASomaliland</x:v>
      </x:c>
      <x:c r="AH878" s="30" t="str">
        <x:v>Project_EastAfricanFederation</x:v>
      </x:c>
    </x:row>
    <x:row r="879">
      <x:c r="A879" s="30" t="str">
        <x:v>2022</x:v>
      </x:c>
      <x:c r="B879" s="30" t="str">
        <x:v>Base game</x:v>
      </x:c>
      <x:c r="C879" s="30" t="str">
        <x:v>Tanzania</x:v>
      </x:c>
      <x:c r="D879" s="30" t="str">
        <x:v>South Sudan</x:v>
      </x:c>
      <x:c r="E879" s="30" t="str">
        <x:v>Project unlock</x:v>
      </x:c>
      <x:c r="F879" s="30" t="str">
        <x:v>African Confederations</x:v>
      </x:c>
      <x:c r="G879" s="30" t="str">
        <x:v>No</x:v>
      </x:c>
      <x:c r="H879" s="30" t="str">
        <x:v>Ordinary claim</x:v>
      </x:c>
      <x:c r="I879" s="31" t="n">
        <x:f>IF(G879="Yes",'Controls &amp; Summary'!$B$5,'Controls &amp; Summary'!$B$4)</x:f>
        <x:v>6</x:v>
      </x:c>
      <x:c r="J879" s="31" t="n">
        <x:v>5.1</x:v>
      </x:c>
      <x:c r="K879" s="31" t="n">
        <x:v>0.1</x:v>
      </x:c>
      <x:c r="L879" s="31" t="n">
        <x:f>ABS(J879-K879)</x:f>
        <x:v>5</x:v>
      </x:c>
      <x:c r="M879" s="31" t="n">
        <x:v>4.05</x:v>
      </x:c>
      <x:c r="N879" s="31" t="n">
        <x:v>4.41</x:v>
      </x:c>
      <x:c r="O879" s="31" t="n">
        <x:f>ABS(M879-N879)</x:f>
        <x:v>0.3600000000000003</x:v>
      </x:c>
      <x:c r="P879" s="31" t="n">
        <x:v>4.29</x:v>
      </x:c>
      <x:c r="Q879" s="31" t="n">
        <x:v>3.07</x:v>
      </x:c>
      <x:c r="R879" s="31" t="n">
        <x:f>ABS(P879-Q879)</x:f>
        <x:v>1.2200000000000002</x:v>
      </x:c>
      <x:c r="S879" s="32" t="n">
        <x:v>2846.1193743566573</x:v>
      </x:c>
      <x:c r="T879" s="32" t="n">
        <x:v>1018.2436778757841</x:v>
      </x:c>
      <x:c r="U879" s="31" t="n">
        <x:f>MAX(S879/T879,T879/S879)</x:f>
        <x:v>2.795125996062267</x:v>
      </x:c>
      <x:c r="V879" s="31" t="n">
        <x:f>L879*'Controls &amp; Summary'!$B$9+O879*'Controls &amp; Summary'!$B$10+R879*'Controls &amp; Summary'!$B$11+U879*'Controls &amp; Summary'!$B$12</x:f>
        <x:v>9.375125996062266</x:v>
      </x:c>
      <x:c r="W879" s="31" t="n">
        <x:v>3</x:v>
      </x:c>
      <x:c r="X879" s="31" t="n">
        <x:v>8</x:v>
      </x:c>
      <x:c r="Y879" s="31" t="n">
        <x:f>((10-MIN(10,MAX(0,X879)))/10)*'Controls &amp; Summary'!$B$15+((10-MIN(10,MAX(0,W879)))/10)*'Controls &amp; Summary'!$B$16</x:f>
        <x:v>0.8999999999999999</x:v>
      </x:c>
      <x:c r="Z879" s="31" t="n">
        <x:f>V879*Y879</x:f>
        <x:v>8.437613396456038</x:v>
      </x:c>
      <x:c r="AA879" s="30" t="str">
        <x:f>IF(Z879&lt;=I879,"Peaceful","Hostile")</x:f>
        <x:v>Hostile</x:v>
      </x:c>
      <x:c r="AB879" s="30" t="str">
        <x:f>IF(Z879&lt;='Controls &amp; Summary'!$B$6,"Eligible","Blocked")</x:f>
        <x:v>Eligible</x:v>
      </x:c>
      <x:c r="AC879" s="30" t="str">
        <x:v>TZA</x:v>
      </x:c>
      <x:c r="AD879" s="30" t="str">
        <x:v>SSD</x:v>
      </x:c>
      <x:c r="AE879" s="30" t="str">
        <x:v>SouthSudan</x:v>
      </x:c>
      <x:c r="AF879" s="30" t="str">
        <x:v>Explicit capitalClaim</x:v>
      </x:c>
      <x:c r="AG879" s="30" t="str">
        <x:v>ClaimTZASouthSudan</x:v>
      </x:c>
      <x:c r="AH879" s="30" t="str">
        <x:v>Project_EastAfricanFederation</x:v>
      </x:c>
    </x:row>
    <x:row r="880">
      <x:c r="A880" s="30" t="str">
        <x:v>2022</x:v>
      </x:c>
      <x:c r="B880" s="30" t="str">
        <x:v>Base game</x:v>
      </x:c>
      <x:c r="C880" s="30" t="str">
        <x:v>Tanzania</x:v>
      </x:c>
      <x:c r="D880" s="30" t="str">
        <x:v>Uganda</x:v>
      </x:c>
      <x:c r="E880" s="30" t="str">
        <x:v>Project unlock</x:v>
      </x:c>
      <x:c r="F880" s="30" t="str">
        <x:v>African Confederations</x:v>
      </x:c>
      <x:c r="G880" s="30" t="str">
        <x:v>No</x:v>
      </x:c>
      <x:c r="H880" s="30" t="str">
        <x:v>Ordinary claim</x:v>
      </x:c>
      <x:c r="I880" s="31" t="n">
        <x:f>IF(G880="Yes",'Controls &amp; Summary'!$B$5,'Controls &amp; Summary'!$B$4)</x:f>
        <x:v>6</x:v>
      </x:c>
      <x:c r="J880" s="31" t="n">
        <x:v>5.1</x:v>
      </x:c>
      <x:c r="K880" s="31" t="n">
        <x:v>4.48</x:v>
      </x:c>
      <x:c r="L880" s="31" t="n">
        <x:f>ABS(J880-K880)</x:f>
        <x:v>0.6199999999999992</x:v>
      </x:c>
      <x:c r="M880" s="31" t="n">
        <x:v>4.05</x:v>
      </x:c>
      <x:c r="N880" s="31" t="n">
        <x:v>4.27</x:v>
      </x:c>
      <x:c r="O880" s="31" t="n">
        <x:f>ABS(M880-N880)</x:f>
        <x:v>0.21999999999999975</x:v>
      </x:c>
      <x:c r="P880" s="31" t="n">
        <x:v>4.29</x:v>
      </x:c>
      <x:c r="Q880" s="31" t="n">
        <x:v>5.23</x:v>
      </x:c>
      <x:c r="R880" s="31" t="n">
        <x:f>ABS(P880-Q880)</x:f>
        <x:v>0.9400000000000004</x:v>
      </x:c>
      <x:c r="S880" s="32" t="n">
        <x:v>2846.1193743566573</x:v>
      </x:c>
      <x:c r="T880" s="32" t="n">
        <x:v>2332.9311850582926</x:v>
      </x:c>
      <x:c r="U880" s="31" t="n">
        <x:f>MAX(S880/T880,T880/S880)</x:f>
        <x:v>1.2199757080642486</x:v>
      </x:c>
      <x:c r="V880" s="31" t="n">
        <x:f>L880*'Controls &amp; Summary'!$B$9+O880*'Controls &amp; Summary'!$B$10+R880*'Controls &amp; Summary'!$B$11+U880*'Controls &amp; Summary'!$B$12</x:f>
        <x:v>2.999975708064248</x:v>
      </x:c>
      <x:c r="W880" s="31" t="n">
        <x:v>3</x:v>
      </x:c>
      <x:c r="X880" s="31" t="n">
        <x:v>5</x:v>
      </x:c>
      <x:c r="Y880" s="31" t="n">
        <x:f>((10-MIN(10,MAX(0,X880)))/10)*'Controls &amp; Summary'!$B$15+((10-MIN(10,MAX(0,W880)))/10)*'Controls &amp; Summary'!$B$16</x:f>
        <x:v>1.2</x:v>
      </x:c>
      <x:c r="Z880" s="31" t="n">
        <x:f>V880*Y880</x:f>
        <x:v>3.599970849677098</x:v>
      </x:c>
      <x:c r="AA880" s="30" t="str">
        <x:f>IF(Z880&lt;=I880,"Peaceful","Hostile")</x:f>
        <x:v>Peaceful</x:v>
      </x:c>
      <x:c r="AB880" s="30" t="str">
        <x:f>IF(Z880&lt;='Controls &amp; Summary'!$B$6,"Eligible","Blocked")</x:f>
        <x:v>Eligible</x:v>
      </x:c>
      <x:c r="AC880" s="30" t="str">
        <x:v>TZA</x:v>
      </x:c>
      <x:c r="AD880" s="30" t="str">
        <x:v>UGA</x:v>
      </x:c>
      <x:c r="AE880" s="30" t="str">
        <x:v>Uganda</x:v>
      </x:c>
      <x:c r="AF880" s="30" t="str">
        <x:v>Explicit capitalClaim</x:v>
      </x:c>
      <x:c r="AG880" s="30" t="str">
        <x:v>ClaimTZAUganda</x:v>
      </x:c>
      <x:c r="AH880" s="30" t="str">
        <x:v>Project_EastAfricanFederation</x:v>
      </x:c>
    </x:row>
    <x:row r="881">
      <x:c r="A881" s="30" t="str">
        <x:v>2022</x:v>
      </x:c>
      <x:c r="B881" s="30" t="str">
        <x:v>Base game</x:v>
      </x:c>
      <x:c r="C881" s="30" t="str">
        <x:v>Thailand</x:v>
      </x:c>
      <x:c r="D881" s="30" t="str">
        <x:v>Brunei</x:v>
      </x:c>
      <x:c r="E881" s="30" t="str">
        <x:v>Project unlock</x:v>
      </x:c>
      <x:c r="F881" s="30" t="str">
        <x:v>Southeast Asian Alliance</x:v>
      </x:c>
      <x:c r="G881" s="30" t="str">
        <x:v>No</x:v>
      </x:c>
      <x:c r="H881" s="30" t="str">
        <x:v>Ordinary claim</x:v>
      </x:c>
      <x:c r="I881" s="31" t="n">
        <x:f>IF(G881="Yes",'Controls &amp; Summary'!$B$5,'Controls &amp; Summary'!$B$4)</x:f>
        <x:v>6</x:v>
      </x:c>
      <x:c r="J881" s="31" t="n">
        <x:v>6.04</x:v>
      </x:c>
      <x:c r="K881" s="31" t="n">
        <x:v>2.8</x:v>
      </x:c>
      <x:c r="L881" s="31" t="n">
        <x:f>ABS(J881-K881)</x:f>
        <x:v>3.24</x:v>
      </x:c>
      <x:c r="M881" s="31" t="n">
        <x:v>3.5</x:v>
      </x:c>
      <x:c r="N881" s="31" t="n">
        <x:v>4.07</x:v>
      </x:c>
      <x:c r="O881" s="31" t="n">
        <x:f>ABS(M881-N881)</x:f>
        <x:v>0.5700000000000003</x:v>
      </x:c>
      <x:c r="P881" s="31" t="n">
        <x:v>6.82</x:v>
      </x:c>
      <x:c r="Q881" s="31" t="n">
        <x:v>7.02</x:v>
      </x:c>
      <x:c r="R881" s="31" t="n">
        <x:f>ABS(P881-Q881)</x:f>
        <x:v>0.1999999999999993</x:v>
      </x:c>
      <x:c r="S881" s="32" t="n">
        <x:v>18520.345410348644</x:v>
      </x:c>
      <x:c r="T881" s="32" t="n">
        <x:v>74761.98153150185</x:v>
      </x:c>
      <x:c r="U881" s="31" t="n">
        <x:f>MAX(S881/T881,T881/S881)</x:f>
        <x:v>4.036748768720424</x:v>
      </x:c>
      <x:c r="V881" s="31" t="n">
        <x:f>L881*'Controls &amp; Summary'!$B$9+O881*'Controls &amp; Summary'!$B$10+R881*'Controls &amp; Summary'!$B$11+U881*'Controls &amp; Summary'!$B$12</x:f>
        <x:v>8.046748768720423</x:v>
      </x:c>
      <x:c r="W881" s="31" t="n">
        <x:v>4</x:v>
      </x:c>
      <x:c r="X881" s="31" t="n">
        <x:v>0</x:v>
      </x:c>
      <x:c r="Y881" s="31" t="n">
        <x:f>((10-MIN(10,MAX(0,X881)))/10)*'Controls &amp; Summary'!$B$15+((10-MIN(10,MAX(0,W881)))/10)*'Controls &amp; Summary'!$B$16</x:f>
        <x:v>1.6</x:v>
      </x:c>
      <x:c r="Z881" s="31" t="n">
        <x:f>V881*Y881</x:f>
        <x:v>12.874798029952679</x:v>
      </x:c>
      <x:c r="AA881" s="30" t="str">
        <x:f>IF(Z881&lt;=I881,"Peaceful","Hostile")</x:f>
        <x:v>Hostile</x:v>
      </x:c>
      <x:c r="AB881" s="30" t="str">
        <x:f>IF(Z881&lt;='Controls &amp; Summary'!$B$6,"Eligible","Blocked")</x:f>
        <x:v>Blocked</x:v>
      </x:c>
      <x:c r="AC881" s="30" t="str">
        <x:v>THA</x:v>
      </x:c>
      <x:c r="AD881" s="30" t="str">
        <x:v>BRU</x:v>
      </x:c>
      <x:c r="AE881" s="30" t="str">
        <x:v>Brunei</x:v>
      </x:c>
      <x:c r="AF881" s="30" t="str">
        <x:v>Explicit capitalClaim</x:v>
      </x:c>
      <x:c r="AG881" s="30" t="str">
        <x:v>ClaimTHABrunei</x:v>
      </x:c>
      <x:c r="AH881" s="30" t="str">
        <x:v>Project_SoutheastAsianAlliance</x:v>
      </x:c>
    </x:row>
    <x:row r="882">
      <x:c r="A882" s="30" t="str">
        <x:v>2022</x:v>
      </x:c>
      <x:c r="B882" s="30" t="str">
        <x:v>Base game</x:v>
      </x:c>
      <x:c r="C882" s="30" t="str">
        <x:v>Thailand</x:v>
      </x:c>
      <x:c r="D882" s="30" t="str">
        <x:v>Cambodia</x:v>
      </x:c>
      <x:c r="E882" s="30" t="str">
        <x:v>Project unlock</x:v>
      </x:c>
      <x:c r="F882" s="30" t="str">
        <x:v>Southeast Asian Alliance</x:v>
      </x:c>
      <x:c r="G882" s="30" t="str">
        <x:v>No</x:v>
      </x:c>
      <x:c r="H882" s="30" t="str">
        <x:v>Ordinary claim</x:v>
      </x:c>
      <x:c r="I882" s="31" t="n">
        <x:f>IF(G882="Yes",'Controls &amp; Summary'!$B$5,'Controls &amp; Summary'!$B$4)</x:f>
        <x:v>6</x:v>
      </x:c>
      <x:c r="J882" s="31" t="n">
        <x:v>6.04</x:v>
      </x:c>
      <x:c r="K882" s="31" t="n">
        <x:v>2.9</x:v>
      </x:c>
      <x:c r="L882" s="31" t="n">
        <x:f>ABS(J882-K882)</x:f>
        <x:v>3.14</x:v>
      </x:c>
      <x:c r="M882" s="31" t="n">
        <x:v>3.5</x:v>
      </x:c>
      <x:c r="N882" s="31" t="n">
        <x:v>3.79</x:v>
      </x:c>
      <x:c r="O882" s="31" t="n">
        <x:f>ABS(M882-N882)</x:f>
        <x:v>0.29000000000000004</x:v>
      </x:c>
      <x:c r="P882" s="31" t="n">
        <x:v>6.82</x:v>
      </x:c>
      <x:c r="Q882" s="31" t="n">
        <x:v>4.84</x:v>
      </x:c>
      <x:c r="R882" s="31" t="n">
        <x:f>ABS(P882-Q882)</x:f>
        <x:v>1.9800000000000004</x:v>
      </x:c>
      <x:c r="S882" s="32" t="n">
        <x:v>18520.345410348644</x:v>
      </x:c>
      <x:c r="T882" s="32" t="n">
        <x:v>4485.15754874337</x:v>
      </x:c>
      <x:c r="U882" s="31" t="n">
        <x:f>MAX(S882/T882,T882/S882)</x:f>
        <x:v>4.129251917925957</x:v>
      </x:c>
      <x:c r="V882" s="31" t="n">
        <x:f>L882*'Controls &amp; Summary'!$B$9+O882*'Controls &amp; Summary'!$B$10+R882*'Controls &amp; Summary'!$B$11+U882*'Controls &amp; Summary'!$B$12</x:f>
        <x:v>9.539251917925956</x:v>
      </x:c>
      <x:c r="W882" s="31" t="n">
        <x:v>4</x:v>
      </x:c>
      <x:c r="X882" s="31" t="n">
        <x:v>2</x:v>
      </x:c>
      <x:c r="Y882" s="31" t="n">
        <x:f>((10-MIN(10,MAX(0,X882)))/10)*'Controls &amp; Summary'!$B$15+((10-MIN(10,MAX(0,W882)))/10)*'Controls &amp; Summary'!$B$16</x:f>
        <x:v>1.4</x:v>
      </x:c>
      <x:c r="Z882" s="31" t="n">
        <x:f>V882*Y882</x:f>
        <x:v>13.354952685096338</x:v>
      </x:c>
      <x:c r="AA882" s="30" t="str">
        <x:f>IF(Z882&lt;=I882,"Peaceful","Hostile")</x:f>
        <x:v>Hostile</x:v>
      </x:c>
      <x:c r="AB882" s="30" t="str">
        <x:f>IF(Z882&lt;='Controls &amp; Summary'!$B$6,"Eligible","Blocked")</x:f>
        <x:v>Blocked</x:v>
      </x:c>
      <x:c r="AC882" s="30" t="str">
        <x:v>THA</x:v>
      </x:c>
      <x:c r="AD882" s="30" t="str">
        <x:v>KHM</x:v>
      </x:c>
      <x:c r="AE882" s="30" t="str">
        <x:v>Cambodia</x:v>
      </x:c>
      <x:c r="AF882" s="30" t="str">
        <x:v>Explicit capitalClaim</x:v>
      </x:c>
      <x:c r="AG882" s="30" t="str">
        <x:v>ClaimTHACambodia</x:v>
      </x:c>
      <x:c r="AH882" s="30" t="str">
        <x:v>Project_SoutheastAsianAlliance</x:v>
      </x:c>
    </x:row>
    <x:row r="883">
      <x:c r="A883" s="30" t="str">
        <x:v>2022</x:v>
      </x:c>
      <x:c r="B883" s="30" t="str">
        <x:v>Base game</x:v>
      </x:c>
      <x:c r="C883" s="30" t="str">
        <x:v>Thailand</x:v>
      </x:c>
      <x:c r="D883" s="30" t="str">
        <x:v>Indonesia</x:v>
      </x:c>
      <x:c r="E883" s="30" t="str">
        <x:v>Project unlock</x:v>
      </x:c>
      <x:c r="F883" s="30" t="str">
        <x:v>Southeast Asian Alliance</x:v>
      </x:c>
      <x:c r="G883" s="30" t="str">
        <x:v>No</x:v>
      </x:c>
      <x:c r="H883" s="30" t="str">
        <x:v>Ordinary claim</x:v>
      </x:c>
      <x:c r="I883" s="31" t="n">
        <x:f>IF(G883="Yes",'Controls &amp; Summary'!$B$5,'Controls &amp; Summary'!$B$4)</x:f>
        <x:v>6</x:v>
      </x:c>
      <x:c r="J883" s="31" t="n">
        <x:v>6.04</x:v>
      </x:c>
      <x:c r="K883" s="31" t="n">
        <x:v>6.71</x:v>
      </x:c>
      <x:c r="L883" s="31" t="n">
        <x:f>ABS(J883-K883)</x:f>
        <x:v>0.6699999999999999</x:v>
      </x:c>
      <x:c r="M883" s="31" t="n">
        <x:v>3.5</x:v>
      </x:c>
      <x:c r="N883" s="31" t="n">
        <x:v>3.7</x:v>
      </x:c>
      <x:c r="O883" s="31" t="n">
        <x:f>ABS(M883-N883)</x:f>
        <x:v>0.20000000000000018</x:v>
      </x:c>
      <x:c r="P883" s="31" t="n">
        <x:v>6.82</x:v>
      </x:c>
      <x:c r="Q883" s="31" t="n">
        <x:v>6.5</x:v>
      </x:c>
      <x:c r="R883" s="31" t="n">
        <x:f>ABS(P883-Q883)</x:f>
        <x:v>0.3200000000000003</x:v>
      </x:c>
      <x:c r="S883" s="32" t="n">
        <x:v>18520.345410348644</x:v>
      </x:c>
      <x:c r="T883" s="32" t="n">
        <x:v>12557.55400997715</x:v>
      </x:c>
      <x:c r="U883" s="31" t="n">
        <x:f>MAX(S883/T883,T883/S883)</x:f>
        <x:v>1.474837010108336</x:v>
      </x:c>
      <x:c r="V883" s="31" t="n">
        <x:f>L883*'Controls &amp; Summary'!$B$9+O883*'Controls &amp; Summary'!$B$10+R883*'Controls &amp; Summary'!$B$11+U883*'Controls &amp; Summary'!$B$12</x:f>
        <x:v>2.6648370101083363</x:v>
      </x:c>
      <x:c r="W883" s="31" t="n">
        <x:v>4</x:v>
      </x:c>
      <x:c r="X883" s="31" t="n">
        <x:v>3</x:v>
      </x:c>
      <x:c r="Y883" s="31" t="n">
        <x:f>((10-MIN(10,MAX(0,X883)))/10)*'Controls &amp; Summary'!$B$15+((10-MIN(10,MAX(0,W883)))/10)*'Controls &amp; Summary'!$B$16</x:f>
        <x:v>1.2999999999999998</x:v>
      </x:c>
      <x:c r="Z883" s="31" t="n">
        <x:f>V883*Y883</x:f>
        <x:v>3.4642881131408365</x:v>
      </x:c>
      <x:c r="AA883" s="30" t="str">
        <x:f>IF(Z883&lt;=I883,"Peaceful","Hostile")</x:f>
        <x:v>Peaceful</x:v>
      </x:c>
      <x:c r="AB883" s="30" t="str">
        <x:f>IF(Z883&lt;='Controls &amp; Summary'!$B$6,"Eligible","Blocked")</x:f>
        <x:v>Eligible</x:v>
      </x:c>
      <x:c r="AC883" s="30" t="str">
        <x:v>THA</x:v>
      </x:c>
      <x:c r="AD883" s="30" t="str">
        <x:v>IDN</x:v>
      </x:c>
      <x:c r="AE883" s="30" t="str">
        <x:v>Java</x:v>
      </x:c>
      <x:c r="AF883" s="30" t="str">
        <x:v>Explicit capitalClaim</x:v>
      </x:c>
      <x:c r="AG883" s="30" t="str">
        <x:v>ClaimTHAJava</x:v>
      </x:c>
      <x:c r="AH883" s="30" t="str">
        <x:v>Project_SoutheastAsianAlliance</x:v>
      </x:c>
    </x:row>
    <x:row r="884">
      <x:c r="A884" s="30" t="str">
        <x:v>2022</x:v>
      </x:c>
      <x:c r="B884" s="30" t="str">
        <x:v>Base game</x:v>
      </x:c>
      <x:c r="C884" s="30" t="str">
        <x:v>Thailand</x:v>
      </x:c>
      <x:c r="D884" s="30" t="str">
        <x:v>Laos</x:v>
      </x:c>
      <x:c r="E884" s="30" t="str">
        <x:v>Project unlock</x:v>
      </x:c>
      <x:c r="F884" s="30" t="str">
        <x:v>Southeast Asian Alliance</x:v>
      </x:c>
      <x:c r="G884" s="30" t="str">
        <x:v>No</x:v>
      </x:c>
      <x:c r="H884" s="30" t="str">
        <x:v>Ordinary claim</x:v>
      </x:c>
      <x:c r="I884" s="31" t="n">
        <x:f>IF(G884="Yes",'Controls &amp; Summary'!$B$5,'Controls &amp; Summary'!$B$4)</x:f>
        <x:v>6</x:v>
      </x:c>
      <x:c r="J884" s="31" t="n">
        <x:v>6.04</x:v>
      </x:c>
      <x:c r="K884" s="31" t="n">
        <x:v>1.77</x:v>
      </x:c>
      <x:c r="L884" s="31" t="n">
        <x:f>ABS(J884-K884)</x:f>
        <x:v>4.27</x:v>
      </x:c>
      <x:c r="M884" s="31" t="n">
        <x:v>3.5</x:v>
      </x:c>
      <x:c r="N884" s="31" t="n">
        <x:v>3.88</x:v>
      </x:c>
      <x:c r="O884" s="31" t="n">
        <x:f>ABS(M884-N884)</x:f>
        <x:v>0.3799999999999999</x:v>
      </x:c>
      <x:c r="P884" s="31" t="n">
        <x:v>6.82</x:v>
      </x:c>
      <x:c r="Q884" s="31" t="n">
        <x:v>4.81</x:v>
      </x:c>
      <x:c r="R884" s="31" t="n">
        <x:f>ABS(P884-Q884)</x:f>
        <x:v>2.0100000000000007</x:v>
      </x:c>
      <x:c r="S884" s="32" t="n">
        <x:v>18520.345410348644</x:v>
      </x:c>
      <x:c r="T884" s="32" t="n">
        <x:v>8047.439163636176</x:v>
      </x:c>
      <x:c r="U884" s="31" t="n">
        <x:f>MAX(S884/T884,T884/S884)</x:f>
        <x:v>2.3013961377970036</x:v>
      </x:c>
      <x:c r="V884" s="31" t="n">
        <x:f>L884*'Controls &amp; Summary'!$B$9+O884*'Controls &amp; Summary'!$B$10+R884*'Controls &amp; Summary'!$B$11+U884*'Controls &amp; Summary'!$B$12</x:f>
        <x:v>8.961396137797003</x:v>
      </x:c>
      <x:c r="W884" s="31" t="n">
        <x:v>4</x:v>
      </x:c>
      <x:c r="X884" s="31" t="n">
        <x:v>3</x:v>
      </x:c>
      <x:c r="Y884" s="31" t="n">
        <x:f>((10-MIN(10,MAX(0,X884)))/10)*'Controls &amp; Summary'!$B$15+((10-MIN(10,MAX(0,W884)))/10)*'Controls &amp; Summary'!$B$16</x:f>
        <x:v>1.2999999999999998</x:v>
      </x:c>
      <x:c r="Z884" s="31" t="n">
        <x:f>V884*Y884</x:f>
        <x:v>11.649814979136103</x:v>
      </x:c>
      <x:c r="AA884" s="30" t="str">
        <x:f>IF(Z884&lt;=I884,"Peaceful","Hostile")</x:f>
        <x:v>Hostile</x:v>
      </x:c>
      <x:c r="AB884" s="30" t="str">
        <x:f>IF(Z884&lt;='Controls &amp; Summary'!$B$6,"Eligible","Blocked")</x:f>
        <x:v>Eligible</x:v>
      </x:c>
      <x:c r="AC884" s="30" t="str">
        <x:v>THA</x:v>
      </x:c>
      <x:c r="AD884" s="30" t="str">
        <x:v>LAO</x:v>
      </x:c>
      <x:c r="AE884" s="30" t="str">
        <x:v>Laos</x:v>
      </x:c>
      <x:c r="AF884" s="30" t="str">
        <x:v>Explicit capitalClaim</x:v>
      </x:c>
      <x:c r="AG884" s="30" t="str">
        <x:v>ClaimTHALaos</x:v>
      </x:c>
      <x:c r="AH884" s="30" t="str">
        <x:v>Project_SoutheastAsianAlliance</x:v>
      </x:c>
    </x:row>
    <x:row r="885">
      <x:c r="A885" s="30" t="str">
        <x:v>2022</x:v>
      </x:c>
      <x:c r="B885" s="30" t="str">
        <x:v>Base game</x:v>
      </x:c>
      <x:c r="C885" s="30" t="str">
        <x:v>Thailand</x:v>
      </x:c>
      <x:c r="D885" s="30" t="str">
        <x:v>Malaysia</x:v>
      </x:c>
      <x:c r="E885" s="30" t="str">
        <x:v>Project unlock</x:v>
      </x:c>
      <x:c r="F885" s="30" t="str">
        <x:v>Southeast Asian Alliance</x:v>
      </x:c>
      <x:c r="G885" s="30" t="str">
        <x:v>No</x:v>
      </x:c>
      <x:c r="H885" s="30" t="str">
        <x:v>Ordinary claim</x:v>
      </x:c>
      <x:c r="I885" s="31" t="n">
        <x:f>IF(G885="Yes",'Controls &amp; Summary'!$B$5,'Controls &amp; Summary'!$B$4)</x:f>
        <x:v>6</x:v>
      </x:c>
      <x:c r="J885" s="31" t="n">
        <x:v>6.04</x:v>
      </x:c>
      <x:c r="K885" s="31" t="n">
        <x:v>7.24</x:v>
      </x:c>
      <x:c r="L885" s="31" t="n">
        <x:f>ABS(J885-K885)</x:f>
        <x:v>1.2000000000000002</x:v>
      </x:c>
      <x:c r="M885" s="31" t="n">
        <x:v>3.5</x:v>
      </x:c>
      <x:c r="N885" s="31" t="n">
        <x:v>4.11</x:v>
      </x:c>
      <x:c r="O885" s="31" t="n">
        <x:f>ABS(M885-N885)</x:f>
        <x:v>0.6100000000000003</x:v>
      </x:c>
      <x:c r="P885" s="31" t="n">
        <x:v>6.82</x:v>
      </x:c>
      <x:c r="Q885" s="31" t="n">
        <x:v>7.26</x:v>
      </x:c>
      <x:c r="R885" s="31" t="n">
        <x:f>ABS(P885-Q885)</x:f>
        <x:v>0.4399999999999995</x:v>
      </x:c>
      <x:c r="S885" s="32" t="n">
        <x:v>18520.345410348644</x:v>
      </x:c>
      <x:c r="T885" s="32" t="n">
        <x:v>28784.60931677783</x:v>
      </x:c>
      <x:c r="U885" s="31" t="n">
        <x:f>MAX(S885/T885,T885/S885)</x:f>
        <x:v>1.5542155763841103</x:v>
      </x:c>
      <x:c r="V885" s="31" t="n">
        <x:f>L885*'Controls &amp; Summary'!$B$9+O885*'Controls &amp; Summary'!$B$10+R885*'Controls &amp; Summary'!$B$11+U885*'Controls &amp; Summary'!$B$12</x:f>
        <x:v>3.8042155763841103</x:v>
      </x:c>
      <x:c r="W885" s="31" t="n">
        <x:v>4</x:v>
      </x:c>
      <x:c r="X885" s="31" t="n">
        <x:v>1</x:v>
      </x:c>
      <x:c r="Y885" s="31" t="n">
        <x:f>((10-MIN(10,MAX(0,X885)))/10)*'Controls &amp; Summary'!$B$15+((10-MIN(10,MAX(0,W885)))/10)*'Controls &amp; Summary'!$B$16</x:f>
        <x:v>1.5</x:v>
      </x:c>
      <x:c r="Z885" s="31" t="n">
        <x:f>V885*Y885</x:f>
        <x:v>5.706323364576166</x:v>
      </x:c>
      <x:c r="AA885" s="30" t="str">
        <x:f>IF(Z885&lt;=I885,"Peaceful","Hostile")</x:f>
        <x:v>Peaceful</x:v>
      </x:c>
      <x:c r="AB885" s="30" t="str">
        <x:f>IF(Z885&lt;='Controls &amp; Summary'!$B$6,"Eligible","Blocked")</x:f>
        <x:v>Eligible</x:v>
      </x:c>
      <x:c r="AC885" s="30" t="str">
        <x:v>THA</x:v>
      </x:c>
      <x:c r="AD885" s="30" t="str">
        <x:v>MYS</x:v>
      </x:c>
      <x:c r="AE885" s="30" t="str">
        <x:v>MalayPeninsula</x:v>
      </x:c>
      <x:c r="AF885" s="30" t="str">
        <x:v>Explicit capitalClaim</x:v>
      </x:c>
      <x:c r="AG885" s="30" t="str">
        <x:v>ClaimTHAMalayPeninsula</x:v>
      </x:c>
      <x:c r="AH885" s="30" t="str">
        <x:v>Project_SoutheastAsianAlliance</x:v>
      </x:c>
    </x:row>
    <x:row r="886">
      <x:c r="A886" s="30" t="str">
        <x:v>2022</x:v>
      </x:c>
      <x:c r="B886" s="30" t="str">
        <x:v>Base game</x:v>
      </x:c>
      <x:c r="C886" s="30" t="str">
        <x:v>Thailand</x:v>
      </x:c>
      <x:c r="D886" s="30" t="str">
        <x:v>Myanmar</x:v>
      </x:c>
      <x:c r="E886" s="30" t="str">
        <x:v>Project unlock</x:v>
      </x:c>
      <x:c r="F886" s="30" t="str">
        <x:v>Southeast Asian Alliance</x:v>
      </x:c>
      <x:c r="G886" s="30" t="str">
        <x:v>No</x:v>
      </x:c>
      <x:c r="H886" s="30" t="str">
        <x:v>Ordinary claim</x:v>
      </x:c>
      <x:c r="I886" s="31" t="n">
        <x:f>IF(G886="Yes",'Controls &amp; Summary'!$B$5,'Controls &amp; Summary'!$B$4)</x:f>
        <x:v>6</x:v>
      </x:c>
      <x:c r="J886" s="31" t="n">
        <x:v>6.04</x:v>
      </x:c>
      <x:c r="K886" s="31" t="n">
        <x:v>1.02</x:v>
      </x:c>
      <x:c r="L886" s="31" t="n">
        <x:f>ABS(J886-K886)</x:f>
        <x:v>5.02</x:v>
      </x:c>
      <x:c r="M886" s="31" t="n">
        <x:v>3.5</x:v>
      </x:c>
      <x:c r="N886" s="31" t="n">
        <x:v>3.07</x:v>
      </x:c>
      <x:c r="O886" s="31" t="n">
        <x:f>ABS(M886-N886)</x:f>
        <x:v>0.43000000000000016</x:v>
      </x:c>
      <x:c r="P886" s="31" t="n">
        <x:v>6.82</x:v>
      </x:c>
      <x:c r="Q886" s="31" t="n">
        <x:v>4.64</x:v>
      </x:c>
      <x:c r="R886" s="31" t="n">
        <x:f>ABS(P886-Q886)</x:f>
        <x:v>2.1800000000000006</x:v>
      </x:c>
      <x:c r="S886" s="32" t="n">
        <x:v>18520.345410348644</x:v>
      </x:c>
      <x:c r="T886" s="32" t="n">
        <x:v>4090.7238072840923</x:v>
      </x:c>
      <x:c r="U886" s="31" t="n">
        <x:f>MAX(S886/T886,T886/S886)</x:f>
        <x:v>4.527400597755008</x:v>
      </x:c>
      <x:c r="V886" s="31" t="n">
        <x:f>L886*'Controls &amp; Summary'!$B$9+O886*'Controls &amp; Summary'!$B$10+R886*'Controls &amp; Summary'!$B$11+U886*'Controls &amp; Summary'!$B$12</x:f>
        <x:v>12.157400597755007</x:v>
      </x:c>
      <x:c r="W886" s="31" t="n">
        <x:v>4</x:v>
      </x:c>
      <x:c r="X886" s="31" t="n">
        <x:v>5</x:v>
      </x:c>
      <x:c r="Y886" s="31" t="n">
        <x:f>((10-MIN(10,MAX(0,X886)))/10)*'Controls &amp; Summary'!$B$15+((10-MIN(10,MAX(0,W886)))/10)*'Controls &amp; Summary'!$B$16</x:f>
        <x:v>1.1</x:v>
      </x:c>
      <x:c r="Z886" s="31" t="n">
        <x:f>V886*Y886</x:f>
        <x:v>13.37314065753051</x:v>
      </x:c>
      <x:c r="AA886" s="30" t="str">
        <x:f>IF(Z886&lt;=I886,"Peaceful","Hostile")</x:f>
        <x:v>Hostile</x:v>
      </x:c>
      <x:c r="AB886" s="30" t="str">
        <x:f>IF(Z886&lt;='Controls &amp; Summary'!$B$6,"Eligible","Blocked")</x:f>
        <x:v>Blocked</x:v>
      </x:c>
      <x:c r="AC886" s="30" t="str">
        <x:v>THA</x:v>
      </x:c>
      <x:c r="AD886" s="30" t="str">
        <x:v>MMR</x:v>
      </x:c>
      <x:c r="AE886" s="30" t="str">
        <x:v>Myanmar</x:v>
      </x:c>
      <x:c r="AF886" s="30" t="str">
        <x:v>Explicit capitalClaim</x:v>
      </x:c>
      <x:c r="AG886" s="30" t="str">
        <x:v>ClaimTHAMyanmar</x:v>
      </x:c>
      <x:c r="AH886" s="30" t="str">
        <x:v>Project_SoutheastAsianAlliance</x:v>
      </x:c>
    </x:row>
    <x:row r="887">
      <x:c r="A887" s="30" t="str">
        <x:v>2022</x:v>
      </x:c>
      <x:c r="B887" s="30" t="str">
        <x:v>Base game</x:v>
      </x:c>
      <x:c r="C887" s="30" t="str">
        <x:v>Thailand</x:v>
      </x:c>
      <x:c r="D887" s="30" t="str">
        <x:v>Philippines</x:v>
      </x:c>
      <x:c r="E887" s="30" t="str">
        <x:v>Project unlock</x:v>
      </x:c>
      <x:c r="F887" s="30" t="str">
        <x:v>Southeast Asian Alliance</x:v>
      </x:c>
      <x:c r="G887" s="30" t="str">
        <x:v>No</x:v>
      </x:c>
      <x:c r="H887" s="30" t="str">
        <x:v>Ordinary claim</x:v>
      </x:c>
      <x:c r="I887" s="31" t="n">
        <x:f>IF(G887="Yes",'Controls &amp; Summary'!$B$5,'Controls &amp; Summary'!$B$4)</x:f>
        <x:v>6</x:v>
      </x:c>
      <x:c r="J887" s="31" t="n">
        <x:v>6.04</x:v>
      </x:c>
      <x:c r="K887" s="31" t="n">
        <x:v>6.56</x:v>
      </x:c>
      <x:c r="L887" s="31" t="n">
        <x:f>ABS(J887-K887)</x:f>
        <x:v>0.5199999999999996</x:v>
      </x:c>
      <x:c r="M887" s="31" t="n">
        <x:v>3.5</x:v>
      </x:c>
      <x:c r="N887" s="31" t="n">
        <x:v>4.23</x:v>
      </x:c>
      <x:c r="O887" s="31" t="n">
        <x:f>ABS(M887-N887)</x:f>
        <x:v>0.7300000000000004</x:v>
      </x:c>
      <x:c r="P887" s="31" t="n">
        <x:v>6.82</x:v>
      </x:c>
      <x:c r="Q887" s="31" t="n">
        <x:v>6.78</x:v>
      </x:c>
      <x:c r="R887" s="31" t="n">
        <x:f>ABS(P887-Q887)</x:f>
        <x:v>0.040000000000000036</x:v>
      </x:c>
      <x:c r="S887" s="32" t="n">
        <x:v>18520.345410348644</x:v>
      </x:c>
      <x:c r="T887" s="32" t="n">
        <x:v>8910.697299448184</x:v>
      </x:c>
      <x:c r="U887" s="31" t="n">
        <x:f>MAX(S887/T887,T887/S887)</x:f>
        <x:v>2.0784395191491423</x:v>
      </x:c>
      <x:c r="V887" s="31" t="n">
        <x:f>L887*'Controls &amp; Summary'!$B$9+O887*'Controls &amp; Summary'!$B$10+R887*'Controls &amp; Summary'!$B$11+U887*'Controls &amp; Summary'!$B$12</x:f>
        <x:v>3.3684395191491423</x:v>
      </x:c>
      <x:c r="W887" s="31" t="n">
        <x:v>4</x:v>
      </x:c>
      <x:c r="X887" s="31" t="n">
        <x:v>6</x:v>
      </x:c>
      <x:c r="Y887" s="31" t="n">
        <x:f>((10-MIN(10,MAX(0,X887)))/10)*'Controls &amp; Summary'!$B$15+((10-MIN(10,MAX(0,W887)))/10)*'Controls &amp; Summary'!$B$16</x:f>
        <x:v>1</x:v>
      </x:c>
      <x:c r="Z887" s="31" t="n">
        <x:f>V887*Y887</x:f>
        <x:v>3.3684395191491423</x:v>
      </x:c>
      <x:c r="AA887" s="30" t="str">
        <x:f>IF(Z887&lt;=I887,"Peaceful","Hostile")</x:f>
        <x:v>Peaceful</x:v>
      </x:c>
      <x:c r="AB887" s="30" t="str">
        <x:f>IF(Z887&lt;='Controls &amp; Summary'!$B$6,"Eligible","Blocked")</x:f>
        <x:v>Eligible</x:v>
      </x:c>
      <x:c r="AC887" s="30" t="str">
        <x:v>THA</x:v>
      </x:c>
      <x:c r="AD887" s="30" t="str">
        <x:v>PHL</x:v>
      </x:c>
      <x:c r="AE887" s="30" t="str">
        <x:v>Luzon</x:v>
      </x:c>
      <x:c r="AF887" s="30" t="str">
        <x:v>Explicit capitalClaim</x:v>
      </x:c>
      <x:c r="AG887" s="30" t="str">
        <x:v>ClaimTHALuzon</x:v>
      </x:c>
      <x:c r="AH887" s="30" t="str">
        <x:v>Project_SoutheastAsianAlliance</x:v>
      </x:c>
    </x:row>
    <x:row r="888">
      <x:c r="A888" s="30" t="str">
        <x:v>2022</x:v>
      </x:c>
      <x:c r="B888" s="30" t="str">
        <x:v>Base game</x:v>
      </x:c>
      <x:c r="C888" s="30" t="str">
        <x:v>Thailand</x:v>
      </x:c>
      <x:c r="D888" s="30" t="str">
        <x:v>Singapore</x:v>
      </x:c>
      <x:c r="E888" s="30" t="str">
        <x:v>Project unlock</x:v>
      </x:c>
      <x:c r="F888" s="30" t="str">
        <x:v>Southeast Asian Alliance</x:v>
      </x:c>
      <x:c r="G888" s="30" t="str">
        <x:v>No</x:v>
      </x:c>
      <x:c r="H888" s="30" t="str">
        <x:v>Ordinary claim</x:v>
      </x:c>
      <x:c r="I888" s="31" t="n">
        <x:f>IF(G888="Yes",'Controls &amp; Summary'!$B$5,'Controls &amp; Summary'!$B$4)</x:f>
        <x:v>6</x:v>
      </x:c>
      <x:c r="J888" s="31" t="n">
        <x:v>6.04</x:v>
      </x:c>
      <x:c r="K888" s="31" t="n">
        <x:v>6.23</x:v>
      </x:c>
      <x:c r="L888" s="31" t="n">
        <x:f>ABS(J888-K888)</x:f>
        <x:v>0.1900000000000004</x:v>
      </x:c>
      <x:c r="M888" s="31" t="n">
        <x:v>3.5</x:v>
      </x:c>
      <x:c r="N888" s="31" t="n">
        <x:v>3.5</x:v>
      </x:c>
      <x:c r="O888" s="31" t="n">
        <x:f>ABS(M888-N888)</x:f>
        <x:v>0</x:v>
      </x:c>
      <x:c r="P888" s="31" t="n">
        <x:v>6.82</x:v>
      </x:c>
      <x:c r="Q888" s="31" t="n">
        <x:v>8.44</x:v>
      </x:c>
      <x:c r="R888" s="31" t="n">
        <x:f>ABS(P888-Q888)</x:f>
        <x:v>1.6199999999999992</x:v>
      </x:c>
      <x:c r="S888" s="32" t="n">
        <x:v>18520.345410348644</x:v>
      </x:c>
      <x:c r="T888" s="32" t="n">
        <x:v>103659.07827486754</x:v>
      </x:c>
      <x:c r="U888" s="31" t="n">
        <x:f>MAX(S888/T888,T888/S888)</x:f>
        <x:v>5.597038066954506</x:v>
      </x:c>
      <x:c r="V888" s="31" t="n">
        <x:f>L888*'Controls &amp; Summary'!$B$9+O888*'Controls &amp; Summary'!$B$10+R888*'Controls &amp; Summary'!$B$11+U888*'Controls &amp; Summary'!$B$12</x:f>
        <x:v>7.407038066954506</x:v>
      </x:c>
      <x:c r="W888" s="31" t="n">
        <x:v>4</x:v>
      </x:c>
      <x:c r="X888" s="31" t="n">
        <x:v>0</x:v>
      </x:c>
      <x:c r="Y888" s="31" t="n">
        <x:f>((10-MIN(10,MAX(0,X888)))/10)*'Controls &amp; Summary'!$B$15+((10-MIN(10,MAX(0,W888)))/10)*'Controls &amp; Summary'!$B$16</x:f>
        <x:v>1.6</x:v>
      </x:c>
      <x:c r="Z888" s="31" t="n">
        <x:f>V888*Y888</x:f>
        <x:v>11.85126090712721</x:v>
      </x:c>
      <x:c r="AA888" s="30" t="str">
        <x:f>IF(Z888&lt;=I888,"Peaceful","Hostile")</x:f>
        <x:v>Hostile</x:v>
      </x:c>
      <x:c r="AB888" s="30" t="str">
        <x:f>IF(Z888&lt;='Controls &amp; Summary'!$B$6,"Eligible","Blocked")</x:f>
        <x:v>Eligible</x:v>
      </x:c>
      <x:c r="AC888" s="30" t="str">
        <x:v>THA</x:v>
      </x:c>
      <x:c r="AD888" s="30" t="str">
        <x:v>SGP</x:v>
      </x:c>
      <x:c r="AE888" s="30" t="str">
        <x:v>Singapore</x:v>
      </x:c>
      <x:c r="AF888" s="30" t="str">
        <x:v>Explicit capitalClaim</x:v>
      </x:c>
      <x:c r="AG888" s="30" t="str">
        <x:v>ClaimTHASingapore</x:v>
      </x:c>
      <x:c r="AH888" s="30" t="str">
        <x:v>Project_SoutheastAsianAlliance</x:v>
      </x:c>
    </x:row>
    <x:row r="889">
      <x:c r="A889" s="30" t="str">
        <x:v>2022</x:v>
      </x:c>
      <x:c r="B889" s="30" t="str">
        <x:v>Base game</x:v>
      </x:c>
      <x:c r="C889" s="30" t="str">
        <x:v>Thailand</x:v>
      </x:c>
      <x:c r="D889" s="30" t="str">
        <x:v>Timor-Leste</x:v>
      </x:c>
      <x:c r="E889" s="30" t="str">
        <x:v>Project unlock</x:v>
      </x:c>
      <x:c r="F889" s="30" t="str">
        <x:v>Southeast Asian Alliance</x:v>
      </x:c>
      <x:c r="G889" s="30" t="str">
        <x:v>No</x:v>
      </x:c>
      <x:c r="H889" s="30" t="str">
        <x:v>Ordinary claim</x:v>
      </x:c>
      <x:c r="I889" s="31" t="n">
        <x:f>IF(G889="Yes",'Controls &amp; Summary'!$B$5,'Controls &amp; Summary'!$B$4)</x:f>
        <x:v>6</x:v>
      </x:c>
      <x:c r="J889" s="31" t="n">
        <x:v>6.04</x:v>
      </x:c>
      <x:c r="K889" s="31" t="n">
        <x:v>7.06</x:v>
      </x:c>
      <x:c r="L889" s="31" t="n">
        <x:f>ABS(J889-K889)</x:f>
        <x:v>1.0199999999999996</x:v>
      </x:c>
      <x:c r="M889" s="31" t="n">
        <x:v>3.5</x:v>
      </x:c>
      <x:c r="N889" s="31" t="n">
        <x:v>2.87</x:v>
      </x:c>
      <x:c r="O889" s="31" t="n">
        <x:f>ABS(M889-N889)</x:f>
        <x:v>0.6299999999999999</x:v>
      </x:c>
      <x:c r="P889" s="31" t="n">
        <x:v>6.82</x:v>
      </x:c>
      <x:c r="Q889" s="31" t="n">
        <x:v>5.1</x:v>
      </x:c>
      <x:c r="R889" s="31" t="n">
        <x:f>ABS(P889-Q889)</x:f>
        <x:v>1.7200000000000006</x:v>
      </x:c>
      <x:c r="S889" s="32" t="n">
        <x:v>18520.345410348644</x:v>
      </x:c>
      <x:c r="T889" s="32" t="n">
        <x:v>2921.4550071387102</x:v>
      </x:c>
      <x:c r="U889" s="31" t="n">
        <x:f>MAX(S889/T889,T889/S889)</x:f>
        <x:v>6.33942517173577</x:v>
      </x:c>
      <x:c r="V889" s="31" t="n">
        <x:f>L889*'Controls &amp; Summary'!$B$9+O889*'Controls &amp; Summary'!$B$10+R889*'Controls &amp; Summary'!$B$11+U889*'Controls &amp; Summary'!$B$12</x:f>
        <x:v>9.70942517173577</x:v>
      </x:c>
      <x:c r="W889" s="31" t="n">
        <x:v>4</x:v>
      </x:c>
      <x:c r="X889" s="31" t="n">
        <x:v>2</x:v>
      </x:c>
      <x:c r="Y889" s="31" t="n">
        <x:f>((10-MIN(10,MAX(0,X889)))/10)*'Controls &amp; Summary'!$B$15+((10-MIN(10,MAX(0,W889)))/10)*'Controls &amp; Summary'!$B$16</x:f>
        <x:v>1.4</x:v>
      </x:c>
      <x:c r="Z889" s="31" t="n">
        <x:f>V889*Y889</x:f>
        <x:v>13.593195240430077</x:v>
      </x:c>
      <x:c r="AA889" s="30" t="str">
        <x:f>IF(Z889&lt;=I889,"Peaceful","Hostile")</x:f>
        <x:v>Hostile</x:v>
      </x:c>
      <x:c r="AB889" s="30" t="str">
        <x:f>IF(Z889&lt;='Controls &amp; Summary'!$B$6,"Eligible","Blocked")</x:f>
        <x:v>Blocked</x:v>
      </x:c>
      <x:c r="AC889" s="30" t="str">
        <x:v>THA</x:v>
      </x:c>
      <x:c r="AD889" s="30" t="str">
        <x:v>TLS</x:v>
      </x:c>
      <x:c r="AE889" s="30" t="str">
        <x:v>TimorLeste</x:v>
      </x:c>
      <x:c r="AF889" s="30" t="str">
        <x:v>Explicit capitalClaim</x:v>
      </x:c>
      <x:c r="AG889" s="30" t="str">
        <x:v>ClaimTHATimorLeste</x:v>
      </x:c>
      <x:c r="AH889" s="30" t="str">
        <x:v>Project_SoutheastAsianAlliance</x:v>
      </x:c>
    </x:row>
    <x:row r="890">
      <x:c r="A890" s="30" t="str">
        <x:v>2022</x:v>
      </x:c>
      <x:c r="B890" s="30" t="str">
        <x:v>Base game</x:v>
      </x:c>
      <x:c r="C890" s="30" t="str">
        <x:v>Thailand</x:v>
      </x:c>
      <x:c r="D890" s="30" t="str">
        <x:v>Vietnam</x:v>
      </x:c>
      <x:c r="E890" s="30" t="str">
        <x:v>Project unlock</x:v>
      </x:c>
      <x:c r="F890" s="30" t="str">
        <x:v>Southeast Asian Alliance</x:v>
      </x:c>
      <x:c r="G890" s="30" t="str">
        <x:v>No</x:v>
      </x:c>
      <x:c r="H890" s="30" t="str">
        <x:v>Ordinary claim</x:v>
      </x:c>
      <x:c r="I890" s="31" t="n">
        <x:f>IF(G890="Yes",'Controls &amp; Summary'!$B$5,'Controls &amp; Summary'!$B$4)</x:f>
        <x:v>6</x:v>
      </x:c>
      <x:c r="J890" s="31" t="n">
        <x:v>6.04</x:v>
      </x:c>
      <x:c r="K890" s="31" t="n">
        <x:v>2.94</x:v>
      </x:c>
      <x:c r="L890" s="31" t="n">
        <x:f>ABS(J890-K890)</x:f>
        <x:v>3.1</x:v>
      </x:c>
      <x:c r="M890" s="31" t="n">
        <x:v>3.5</x:v>
      </x:c>
      <x:c r="N890" s="31" t="n">
        <x:v>3.57</x:v>
      </x:c>
      <x:c r="O890" s="31" t="n">
        <x:f>ABS(M890-N890)</x:f>
        <x:v>0.06999999999999984</x:v>
      </x:c>
      <x:c r="P890" s="31" t="n">
        <x:v>6.82</x:v>
      </x:c>
      <x:c r="Q890" s="31" t="n">
        <x:v>6.3</x:v>
      </x:c>
      <x:c r="R890" s="31" t="n">
        <x:f>ABS(P890-Q890)</x:f>
        <x:v>0.5200000000000005</x:v>
      </x:c>
      <x:c r="S890" s="32" t="n">
        <x:v>18520.345410348644</x:v>
      </x:c>
      <x:c r="T890" s="32" t="n">
        <x:v>11338.234646401552</x:v>
      </x:c>
      <x:c r="U890" s="31" t="n">
        <x:f>MAX(S890/T890,T890/S890)</x:f>
        <x:v>1.6334417118653033</x:v>
      </x:c>
      <x:c r="V890" s="31" t="n">
        <x:f>L890*'Controls &amp; Summary'!$B$9+O890*'Controls &amp; Summary'!$B$10+R890*'Controls &amp; Summary'!$B$11+U890*'Controls &amp; Summary'!$B$12</x:f>
        <x:v>5.3234417118653035</x:v>
      </x:c>
      <x:c r="W890" s="31" t="n">
        <x:v>4</x:v>
      </x:c>
      <x:c r="X890" s="31" t="n">
        <x:v>0</x:v>
      </x:c>
      <x:c r="Y890" s="31" t="n">
        <x:f>((10-MIN(10,MAX(0,X890)))/10)*'Controls &amp; Summary'!$B$15+((10-MIN(10,MAX(0,W890)))/10)*'Controls &amp; Summary'!$B$16</x:f>
        <x:v>1.6</x:v>
      </x:c>
      <x:c r="Z890" s="31" t="n">
        <x:f>V890*Y890</x:f>
        <x:v>8.517506738984485</x:v>
      </x:c>
      <x:c r="AA890" s="30" t="str">
        <x:f>IF(Z890&lt;=I890,"Peaceful","Hostile")</x:f>
        <x:v>Hostile</x:v>
      </x:c>
      <x:c r="AB890" s="30" t="str">
        <x:f>IF(Z890&lt;='Controls &amp; Summary'!$B$6,"Eligible","Blocked")</x:f>
        <x:v>Eligible</x:v>
      </x:c>
      <x:c r="AC890" s="30" t="str">
        <x:v>THA</x:v>
      </x:c>
      <x:c r="AD890" s="30" t="str">
        <x:v>VNM</x:v>
      </x:c>
      <x:c r="AE890" s="30" t="str">
        <x:v>Hanoi</x:v>
      </x:c>
      <x:c r="AF890" s="30" t="str">
        <x:v>Explicit capitalClaim</x:v>
      </x:c>
      <x:c r="AG890" s="30" t="str">
        <x:v>ClaimTHAHanoi</x:v>
      </x:c>
      <x:c r="AH890" s="30" t="str">
        <x:v>Project_SoutheastAsianAlliance</x:v>
      </x:c>
    </x:row>
    <x:row r="891">
      <x:c r="A891" s="30" t="str">
        <x:v>2022</x:v>
      </x:c>
      <x:c r="B891" s="30" t="str">
        <x:v>Base game</x:v>
      </x:c>
      <x:c r="C891" s="30" t="str">
        <x:v>Turkey</x:v>
      </x:c>
      <x:c r="D891" s="30" t="str">
        <x:v>Armenia</x:v>
      </x:c>
      <x:c r="E891" s="30" t="str">
        <x:v>Project unlock</x:v>
      </x:c>
      <x:c r="F891" s="30" t="str">
        <x:v>United Turkestan</x:v>
      </x:c>
      <x:c r="G891" s="30" t="str">
        <x:v>No</x:v>
      </x:c>
      <x:c r="H891" s="30" t="str">
        <x:v>Ordinary claim</x:v>
      </x:c>
      <x:c r="I891" s="31" t="n">
        <x:f>IF(G891="Yes",'Controls &amp; Summary'!$B$5,'Controls &amp; Summary'!$B$4)</x:f>
        <x:v>6</x:v>
      </x:c>
      <x:c r="J891" s="31" t="n">
        <x:v>4.35</x:v>
      </x:c>
      <x:c r="K891" s="31" t="n">
        <x:v>5.49</x:v>
      </x:c>
      <x:c r="L891" s="31" t="n">
        <x:f>ABS(J891-K891)</x:f>
        <x:v>1.1400000000000006</x:v>
      </x:c>
      <x:c r="M891" s="31" t="n">
        <x:v>4.19</x:v>
      </x:c>
      <x:c r="N891" s="31" t="n">
        <x:v>2.52</x:v>
      </x:c>
      <x:c r="O891" s="31" t="n">
        <x:f>ABS(M891-N891)</x:f>
        <x:v>1.6700000000000004</x:v>
      </x:c>
      <x:c r="P891" s="31" t="n">
        <x:v>7.31</x:v>
      </x:c>
      <x:c r="Q891" s="31" t="n">
        <x:v>7.4</x:v>
      </x:c>
      <x:c r="R891" s="31" t="n">
        <x:f>ABS(P891-Q891)</x:f>
        <x:v>0.09000000000000075</x:v>
      </x:c>
      <x:c r="S891" s="32" t="n">
        <x:v>32981.473878378274</x:v>
      </x:c>
      <x:c r="T891" s="32" t="n">
        <x:v>13870.754762964294</x:v>
      </x:c>
      <x:c r="U891" s="31" t="n">
        <x:f>MAX(S891/T891,T891/S891)</x:f>
        <x:v>2.3777706723242407</x:v>
      </x:c>
      <x:c r="V891" s="31" t="n">
        <x:f>L891*'Controls &amp; Summary'!$B$9+O891*'Controls &amp; Summary'!$B$10+R891*'Controls &amp; Summary'!$B$11+U891*'Controls &amp; Summary'!$B$12</x:f>
        <x:v>5.277770672324243</x:v>
      </x:c>
      <x:c r="W891" s="31" t="n">
        <x:v>7</x:v>
      </x:c>
      <x:c r="X891" s="31" t="n">
        <x:v>3</x:v>
      </x:c>
      <x:c r="Y891" s="31" t="n">
        <x:f>((10-MIN(10,MAX(0,X891)))/10)*'Controls &amp; Summary'!$B$15+((10-MIN(10,MAX(0,W891)))/10)*'Controls &amp; Summary'!$B$16</x:f>
        <x:v>1</x:v>
      </x:c>
      <x:c r="Z891" s="31" t="n">
        <x:f>V891*Y891</x:f>
        <x:v>5.277770672324243</x:v>
      </x:c>
      <x:c r="AA891" s="30" t="str">
        <x:f>IF(Z891&lt;=I891,"Peaceful","Hostile")</x:f>
        <x:v>Peaceful</x:v>
      </x:c>
      <x:c r="AB891" s="30" t="str">
        <x:f>IF(Z891&lt;='Controls &amp; Summary'!$B$6,"Eligible","Blocked")</x:f>
        <x:v>Eligible</x:v>
      </x:c>
      <x:c r="AC891" s="30" t="str">
        <x:v>TUR</x:v>
      </x:c>
      <x:c r="AD891" s="30" t="str">
        <x:v>ARM</x:v>
      </x:c>
      <x:c r="AE891" s="30" t="str">
        <x:v>Armenia</x:v>
      </x:c>
      <x:c r="AF891" s="30" t="str">
        <x:v>Explicit capitalClaim</x:v>
      </x:c>
      <x:c r="AG891" s="30" t="str">
        <x:v>ClaimTURArmenia</x:v>
      </x:c>
      <x:c r="AH891" s="30" t="str">
        <x:v>Project_UnitedTurkestan</x:v>
      </x:c>
    </x:row>
    <x:row r="892">
      <x:c r="A892" s="30" t="str">
        <x:v>2022</x:v>
      </x:c>
      <x:c r="B892" s="30" t="str">
        <x:v>Base game</x:v>
      </x:c>
      <x:c r="C892" s="30" t="str">
        <x:v>Turkey</x:v>
      </x:c>
      <x:c r="D892" s="30" t="str">
        <x:v>Azerbaijan</x:v>
      </x:c>
      <x:c r="E892" s="30" t="str">
        <x:v>Project unlock</x:v>
      </x:c>
      <x:c r="F892" s="30" t="str">
        <x:v>United Turkestan</x:v>
      </x:c>
      <x:c r="G892" s="30" t="str">
        <x:v>No</x:v>
      </x:c>
      <x:c r="H892" s="30" t="str">
        <x:v>Ordinary claim</x:v>
      </x:c>
      <x:c r="I892" s="31" t="n">
        <x:f>IF(G892="Yes",'Controls &amp; Summary'!$B$5,'Controls &amp; Summary'!$B$4)</x:f>
        <x:v>6</x:v>
      </x:c>
      <x:c r="J892" s="31" t="n">
        <x:v>4.35</x:v>
      </x:c>
      <x:c r="K892" s="31" t="n">
        <x:v>2.68</x:v>
      </x:c>
      <x:c r="L892" s="31" t="n">
        <x:f>ABS(J892-K892)</x:f>
        <x:v>1.6699999999999995</x:v>
      </x:c>
      <x:c r="M892" s="31" t="n">
        <x:v>4.19</x:v>
      </x:c>
      <x:c r="N892" s="31" t="n">
        <x:v>2.66</x:v>
      </x:c>
      <x:c r="O892" s="31" t="n">
        <x:f>ABS(M892-N892)</x:f>
        <x:v>1.5300000000000002</x:v>
      </x:c>
      <x:c r="P892" s="31" t="n">
        <x:v>7.31</x:v>
      </x:c>
      <x:c r="Q892" s="31" t="n">
        <x:v>7.11</x:v>
      </x:c>
      <x:c r="R892" s="31" t="n">
        <x:f>ABS(P892-Q892)</x:f>
        <x:v>0.1999999999999993</x:v>
      </x:c>
      <x:c r="S892" s="32" t="n">
        <x:v>32981.473878378274</x:v>
      </x:c>
      <x:c r="T892" s="32" t="n">
        <x:v>14973.357177699658</x:v>
      </x:c>
      <x:c r="U892" s="31" t="n">
        <x:f>MAX(S892/T892,T892/S892)</x:f>
        <x:v>2.2026772945414494</x:v>
      </x:c>
      <x:c r="V892" s="31" t="n">
        <x:f>L892*'Controls &amp; Summary'!$B$9+O892*'Controls &amp; Summary'!$B$10+R892*'Controls &amp; Summary'!$B$11+U892*'Controls &amp; Summary'!$B$12</x:f>
        <x:v>5.602677294541449</x:v>
      </x:c>
      <x:c r="W892" s="31" t="n">
        <x:v>7</x:v>
      </x:c>
      <x:c r="X892" s="31" t="n">
        <x:v>3</x:v>
      </x:c>
      <x:c r="Y892" s="31" t="n">
        <x:f>((10-MIN(10,MAX(0,X892)))/10)*'Controls &amp; Summary'!$B$15+((10-MIN(10,MAX(0,W892)))/10)*'Controls &amp; Summary'!$B$16</x:f>
        <x:v>1</x:v>
      </x:c>
      <x:c r="Z892" s="31" t="n">
        <x:f>V892*Y892</x:f>
        <x:v>5.602677294541449</x:v>
      </x:c>
      <x:c r="AA892" s="30" t="str">
        <x:f>IF(Z892&lt;=I892,"Peaceful","Hostile")</x:f>
        <x:v>Peaceful</x:v>
      </x:c>
      <x:c r="AB892" s="30" t="str">
        <x:f>IF(Z892&lt;='Controls &amp; Summary'!$B$6,"Eligible","Blocked")</x:f>
        <x:v>Eligible</x:v>
      </x:c>
      <x:c r="AC892" s="30" t="str">
        <x:v>TUR</x:v>
      </x:c>
      <x:c r="AD892" s="30" t="str">
        <x:v>AZE</x:v>
      </x:c>
      <x:c r="AE892" s="30" t="str">
        <x:v>Azerbaijan</x:v>
      </x:c>
      <x:c r="AF892" s="30" t="str">
        <x:v>Explicit capitalClaim</x:v>
      </x:c>
      <x:c r="AG892" s="30" t="str">
        <x:v>ClaimTURAzerbaijan</x:v>
      </x:c>
      <x:c r="AH892" s="30" t="str">
        <x:v>Project_UnitedTurkestan</x:v>
      </x:c>
    </x:row>
    <x:row r="893">
      <x:c r="A893" s="30" t="str">
        <x:v>2022</x:v>
      </x:c>
      <x:c r="B893" s="30" t="str">
        <x:v>Base game</x:v>
      </x:c>
      <x:c r="C893" s="30" t="str">
        <x:v>Turkey</x:v>
      </x:c>
      <x:c r="D893" s="30" t="str">
        <x:v>Kazakhstan</x:v>
      </x:c>
      <x:c r="E893" s="30" t="str">
        <x:v>Project unlock</x:v>
      </x:c>
      <x:c r="F893" s="30" t="str">
        <x:v>United Turkestan</x:v>
      </x:c>
      <x:c r="G893" s="30" t="str">
        <x:v>No</x:v>
      </x:c>
      <x:c r="H893" s="30" t="str">
        <x:v>Ordinary claim</x:v>
      </x:c>
      <x:c r="I893" s="31" t="n">
        <x:f>IF(G893="Yes",'Controls &amp; Summary'!$B$5,'Controls &amp; Summary'!$B$4)</x:f>
        <x:v>6</x:v>
      </x:c>
      <x:c r="J893" s="31" t="n">
        <x:v>4.35</x:v>
      </x:c>
      <x:c r="K893" s="31" t="n">
        <x:v>3.08</x:v>
      </x:c>
      <x:c r="L893" s="31" t="n">
        <x:f>ABS(J893-K893)</x:f>
        <x:v>1.2699999999999996</x:v>
      </x:c>
      <x:c r="M893" s="31" t="n">
        <x:v>4.19</x:v>
      </x:c>
      <x:c r="N893" s="31" t="n">
        <x:v>2.78</x:v>
      </x:c>
      <x:c r="O893" s="31" t="n">
        <x:f>ABS(M893-N893)</x:f>
        <x:v>1.4100000000000006</x:v>
      </x:c>
      <x:c r="P893" s="31" t="n">
        <x:v>7.31</x:v>
      </x:c>
      <x:c r="Q893" s="31" t="n">
        <x:v>8.3</x:v>
      </x:c>
      <x:c r="R893" s="31" t="n">
        <x:f>ABS(P893-Q893)</x:f>
        <x:v>0.9900000000000011</x:v>
      </x:c>
      <x:c r="S893" s="32" t="n">
        <x:v>32981.473878378274</x:v>
      </x:c>
      <x:c r="T893" s="32" t="n">
        <x:v>26959.694155648358</x:v>
      </x:c>
      <x:c r="U893" s="31" t="n">
        <x:f>MAX(S893/T893,T893/S893)</x:f>
        <x:v>1.2233623159062539</x:v>
      </x:c>
      <x:c r="V893" s="31" t="n">
        <x:f>L893*'Controls &amp; Summary'!$B$9+O893*'Controls &amp; Summary'!$B$10+R893*'Controls &amp; Summary'!$B$11+U893*'Controls &amp; Summary'!$B$12</x:f>
        <x:v>4.893362315906256</x:v>
      </x:c>
      <x:c r="W893" s="31" t="n">
        <x:v>7</x:v>
      </x:c>
      <x:c r="X893" s="31" t="n">
        <x:v>4</x:v>
      </x:c>
      <x:c r="Y893" s="31" t="n">
        <x:f>((10-MIN(10,MAX(0,X893)))/10)*'Controls &amp; Summary'!$B$15+((10-MIN(10,MAX(0,W893)))/10)*'Controls &amp; Summary'!$B$16</x:f>
        <x:v>0.8999999999999999</x:v>
      </x:c>
      <x:c r="Z893" s="31" t="n">
        <x:f>V893*Y893</x:f>
        <x:v>4.40402608431563</x:v>
      </x:c>
      <x:c r="AA893" s="30" t="str">
        <x:f>IF(Z893&lt;=I893,"Peaceful","Hostile")</x:f>
        <x:v>Peaceful</x:v>
      </x:c>
      <x:c r="AB893" s="30" t="str">
        <x:f>IF(Z893&lt;='Controls &amp; Summary'!$B$6,"Eligible","Blocked")</x:f>
        <x:v>Eligible</x:v>
      </x:c>
      <x:c r="AC893" s="30" t="str">
        <x:v>TUR</x:v>
      </x:c>
      <x:c r="AD893" s="30" t="str">
        <x:v>KAZ</x:v>
      </x:c>
      <x:c r="AE893" s="30" t="str">
        <x:v>Astana</x:v>
      </x:c>
      <x:c r="AF893" s="30" t="str">
        <x:v>Explicit capitalClaim</x:v>
      </x:c>
      <x:c r="AG893" s="30" t="str">
        <x:v>ClaimTURAstana</x:v>
      </x:c>
      <x:c r="AH893" s="30" t="str">
        <x:v>Project_UnitedTurkestan</x:v>
      </x:c>
    </x:row>
    <x:row r="894">
      <x:c r="A894" s="30" t="str">
        <x:v>2022</x:v>
      </x:c>
      <x:c r="B894" s="30" t="str">
        <x:v>Base game</x:v>
      </x:c>
      <x:c r="C894" s="30" t="str">
        <x:v>Turkey</x:v>
      </x:c>
      <x:c r="D894" s="30" t="str">
        <x:v>Kyrgyzstan</x:v>
      </x:c>
      <x:c r="E894" s="30" t="str">
        <x:v>Project unlock</x:v>
      </x:c>
      <x:c r="F894" s="30" t="str">
        <x:v>United Turkestan</x:v>
      </x:c>
      <x:c r="G894" s="30" t="str">
        <x:v>No</x:v>
      </x:c>
      <x:c r="H894" s="30" t="str">
        <x:v>Ordinary claim</x:v>
      </x:c>
      <x:c r="I894" s="31" t="n">
        <x:f>IF(G894="Yes",'Controls &amp; Summary'!$B$5,'Controls &amp; Summary'!$B$4)</x:f>
        <x:v>6</x:v>
      </x:c>
      <x:c r="J894" s="31" t="n">
        <x:v>4.35</x:v>
      </x:c>
      <x:c r="K894" s="31" t="n">
        <x:v>3.62</x:v>
      </x:c>
      <x:c r="L894" s="31" t="n">
        <x:f>ABS(J894-K894)</x:f>
        <x:v>0.7299999999999995</x:v>
      </x:c>
      <x:c r="M894" s="31" t="n">
        <x:v>4.19</x:v>
      </x:c>
      <x:c r="N894" s="31" t="n">
        <x:v>2.9</x:v>
      </x:c>
      <x:c r="O894" s="31" t="n">
        <x:f>ABS(M894-N894)</x:f>
        <x:v>1.2900000000000005</x:v>
      </x:c>
      <x:c r="P894" s="31" t="n">
        <x:v>7.31</x:v>
      </x:c>
      <x:c r="Q894" s="31" t="n">
        <x:v>7.3</x:v>
      </x:c>
      <x:c r="R894" s="31" t="n">
        <x:f>ABS(P894-Q894)</x:f>
        <x:v>0.009999999999999787</x:v>
      </x:c>
      <x:c r="S894" s="32" t="n">
        <x:v>32981.473878378274</x:v>
      </x:c>
      <x:c r="T894" s="32" t="n">
        <x:v>4920.098055892446</x:v>
      </x:c>
      <x:c r="U894" s="31" t="n">
        <x:f>MAX(S894/T894,T894/S894)</x:f>
        <x:v>6.70341800177717</x:v>
      </x:c>
      <x:c r="V894" s="31" t="n">
        <x:f>L894*'Controls &amp; Summary'!$B$9+O894*'Controls &amp; Summary'!$B$10+R894*'Controls &amp; Summary'!$B$11+U894*'Controls &amp; Summary'!$B$12</x:f>
        <x:v>8.733418001777169</x:v>
      </x:c>
      <x:c r="W894" s="31" t="n">
        <x:v>7</x:v>
      </x:c>
      <x:c r="X894" s="31" t="n">
        <x:v>2</x:v>
      </x:c>
      <x:c r="Y894" s="31" t="n">
        <x:f>((10-MIN(10,MAX(0,X894)))/10)*'Controls &amp; Summary'!$B$15+((10-MIN(10,MAX(0,W894)))/10)*'Controls &amp; Summary'!$B$16</x:f>
        <x:v>1.1</x:v>
      </x:c>
      <x:c r="Z894" s="31" t="n">
        <x:f>V894*Y894</x:f>
        <x:v>9.606759801954887</x:v>
      </x:c>
      <x:c r="AA894" s="30" t="str">
        <x:f>IF(Z894&lt;=I894,"Peaceful","Hostile")</x:f>
        <x:v>Hostile</x:v>
      </x:c>
      <x:c r="AB894" s="30" t="str">
        <x:f>IF(Z894&lt;='Controls &amp; Summary'!$B$6,"Eligible","Blocked")</x:f>
        <x:v>Eligible</x:v>
      </x:c>
      <x:c r="AC894" s="30" t="str">
        <x:v>TUR</x:v>
      </x:c>
      <x:c r="AD894" s="30" t="str">
        <x:v>KGZ</x:v>
      </x:c>
      <x:c r="AE894" s="30" t="str">
        <x:v>Kyrgyzstan</x:v>
      </x:c>
      <x:c r="AF894" s="30" t="str">
        <x:v>Explicit capitalClaim</x:v>
      </x:c>
      <x:c r="AG894" s="30" t="str">
        <x:v>ClaimTURKyrgyzstan</x:v>
      </x:c>
      <x:c r="AH894" s="30" t="str">
        <x:v>Project_UnitedTurkestan</x:v>
      </x:c>
    </x:row>
    <x:row r="895">
      <x:c r="A895" s="30" t="str">
        <x:v>2022</x:v>
      </x:c>
      <x:c r="B895" s="30" t="str">
        <x:v>Base game</x:v>
      </x:c>
      <x:c r="C895" s="30" t="str">
        <x:v>Turkey</x:v>
      </x:c>
      <x:c r="D895" s="30" t="str">
        <x:v>Turkmenistan</x:v>
      </x:c>
      <x:c r="E895" s="30" t="str">
        <x:v>Project unlock</x:v>
      </x:c>
      <x:c r="F895" s="30" t="str">
        <x:v>United Turkestan</x:v>
      </x:c>
      <x:c r="G895" s="30" t="str">
        <x:v>No</x:v>
      </x:c>
      <x:c r="H895" s="30" t="str">
        <x:v>Ordinary claim</x:v>
      </x:c>
      <x:c r="I895" s="31" t="n">
        <x:f>IF(G895="Yes",'Controls &amp; Summary'!$B$5,'Controls &amp; Summary'!$B$4)</x:f>
        <x:v>6</x:v>
      </x:c>
      <x:c r="J895" s="31" t="n">
        <x:v>4.35</x:v>
      </x:c>
      <x:c r="K895" s="31" t="n">
        <x:v>1.66</x:v>
      </x:c>
      <x:c r="L895" s="31" t="n">
        <x:f>ABS(J895-K895)</x:f>
        <x:v>2.6899999999999995</x:v>
      </x:c>
      <x:c r="M895" s="31" t="n">
        <x:v>4.19</x:v>
      </x:c>
      <x:c r="N895" s="31" t="n">
        <x:v>4.08</x:v>
      </x:c>
      <x:c r="O895" s="31" t="n">
        <x:f>ABS(M895-N895)</x:f>
        <x:v>0.11000000000000032</x:v>
      </x:c>
      <x:c r="P895" s="31" t="n">
        <x:v>7.31</x:v>
      </x:c>
      <x:c r="Q895" s="31" t="n">
        <x:v>6.53</x:v>
      </x:c>
      <x:c r="R895" s="31" t="n">
        <x:f>ABS(P895-Q895)</x:f>
        <x:v>0.7799999999999994</x:v>
      </x:c>
      <x:c r="S895" s="32" t="n">
        <x:v>32981.473878378274</x:v>
      </x:c>
      <x:c r="T895" s="32" t="n">
        <x:v>16626.7250502165</x:v>
      </x:c>
      <x:c r="U895" s="31" t="n">
        <x:f>MAX(S895/T895,T895/S895)</x:f>
        <x:v>1.9836422253189792</x:v>
      </x:c>
      <x:c r="V895" s="31" t="n">
        <x:f>L895*'Controls &amp; Summary'!$B$9+O895*'Controls &amp; Summary'!$B$10+R895*'Controls &amp; Summary'!$B$11+U895*'Controls &amp; Summary'!$B$12</x:f>
        <x:v>5.563642225318978</x:v>
      </x:c>
      <x:c r="W895" s="31" t="n">
        <x:v>7</x:v>
      </x:c>
      <x:c r="X895" s="31" t="n">
        <x:v>1</x:v>
      </x:c>
      <x:c r="Y895" s="31" t="n">
        <x:f>((10-MIN(10,MAX(0,X895)))/10)*'Controls &amp; Summary'!$B$15+((10-MIN(10,MAX(0,W895)))/10)*'Controls &amp; Summary'!$B$16</x:f>
        <x:v>1.2</x:v>
      </x:c>
      <x:c r="Z895" s="31" t="n">
        <x:f>V895*Y895</x:f>
        <x:v>6.676370670382774</x:v>
      </x:c>
      <x:c r="AA895" s="30" t="str">
        <x:f>IF(Z895&lt;=I895,"Peaceful","Hostile")</x:f>
        <x:v>Hostile</x:v>
      </x:c>
      <x:c r="AB895" s="30" t="str">
        <x:f>IF(Z895&lt;='Controls &amp; Summary'!$B$6,"Eligible","Blocked")</x:f>
        <x:v>Eligible</x:v>
      </x:c>
      <x:c r="AC895" s="30" t="str">
        <x:v>TUR</x:v>
      </x:c>
      <x:c r="AD895" s="30" t="str">
        <x:v>TKM</x:v>
      </x:c>
      <x:c r="AE895" s="30" t="str">
        <x:v>Turkmenistan</x:v>
      </x:c>
      <x:c r="AF895" s="30" t="str">
        <x:v>Explicit capitalClaim</x:v>
      </x:c>
      <x:c r="AG895" s="30" t="str">
        <x:v>ClaimTURTurkmenistan</x:v>
      </x:c>
      <x:c r="AH895" s="30" t="str">
        <x:v>Project_UnitedTurkestan</x:v>
      </x:c>
    </x:row>
    <x:row r="896">
      <x:c r="A896" s="30" t="str">
        <x:v>2022</x:v>
      </x:c>
      <x:c r="B896" s="30" t="str">
        <x:v>Base game</x:v>
      </x:c>
      <x:c r="C896" s="30" t="str">
        <x:v>Turkey</x:v>
      </x:c>
      <x:c r="D896" s="30" t="str">
        <x:v>Uzbekistan</x:v>
      </x:c>
      <x:c r="E896" s="30" t="str">
        <x:v>Project unlock</x:v>
      </x:c>
      <x:c r="F896" s="30" t="str">
        <x:v>United Turkestan</x:v>
      </x:c>
      <x:c r="G896" s="30" t="str">
        <x:v>No</x:v>
      </x:c>
      <x:c r="H896" s="30" t="str">
        <x:v>Ordinary claim</x:v>
      </x:c>
      <x:c r="I896" s="31" t="n">
        <x:f>IF(G896="Yes",'Controls &amp; Summary'!$B$5,'Controls &amp; Summary'!$B$4)</x:f>
        <x:v>6</x:v>
      </x:c>
      <x:c r="J896" s="31" t="n">
        <x:v>4.35</x:v>
      </x:c>
      <x:c r="K896" s="31" t="n">
        <x:v>2.12</x:v>
      </x:c>
      <x:c r="L896" s="31" t="n">
        <x:f>ABS(J896-K896)</x:f>
        <x:v>2.2299999999999995</x:v>
      </x:c>
      <x:c r="M896" s="31" t="n">
        <x:v>4.19</x:v>
      </x:c>
      <x:c r="N896" s="31" t="n">
        <x:v>3.53</x:v>
      </x:c>
      <x:c r="O896" s="31" t="n">
        <x:f>ABS(M896-N896)</x:f>
        <x:v>0.6600000000000006</x:v>
      </x:c>
      <x:c r="P896" s="31" t="n">
        <x:v>7.31</x:v>
      </x:c>
      <x:c r="Q896" s="31" t="n">
        <x:v>7.29</x:v>
      </x:c>
      <x:c r="R896" s="31" t="n">
        <x:f>ABS(P896-Q896)</x:f>
        <x:v>0.019999999999999574</x:v>
      </x:c>
      <x:c r="S896" s="32" t="n">
        <x:v>32981.473878378274</x:v>
      </x:c>
      <x:c r="T896" s="32" t="n">
        <x:v>8310.553120234992</x:v>
      </x:c>
      <x:c r="U896" s="31" t="n">
        <x:f>MAX(S896/T896,T896/S896)</x:f>
        <x:v>3.968625601835474</x:v>
      </x:c>
      <x:c r="V896" s="31" t="n">
        <x:f>L896*'Controls &amp; Summary'!$B$9+O896*'Controls &amp; Summary'!$B$10+R896*'Controls &amp; Summary'!$B$11+U896*'Controls &amp; Summary'!$B$12</x:f>
        <x:v>6.8786256018354734</x:v>
      </x:c>
      <x:c r="W896" s="31" t="n">
        <x:v>7</x:v>
      </x:c>
      <x:c r="X896" s="31" t="n">
        <x:v>3</x:v>
      </x:c>
      <x:c r="Y896" s="31" t="n">
        <x:f>((10-MIN(10,MAX(0,X896)))/10)*'Controls &amp; Summary'!$B$15+((10-MIN(10,MAX(0,W896)))/10)*'Controls &amp; Summary'!$B$16</x:f>
        <x:v>1</x:v>
      </x:c>
      <x:c r="Z896" s="31" t="n">
        <x:f>V896*Y896</x:f>
        <x:v>6.8786256018354734</x:v>
      </x:c>
      <x:c r="AA896" s="30" t="str">
        <x:f>IF(Z896&lt;=I896,"Peaceful","Hostile")</x:f>
        <x:v>Hostile</x:v>
      </x:c>
      <x:c r="AB896" s="30" t="str">
        <x:f>IF(Z896&lt;='Controls &amp; Summary'!$B$6,"Eligible","Blocked")</x:f>
        <x:v>Eligible</x:v>
      </x:c>
      <x:c r="AC896" s="30" t="str">
        <x:v>TUR</x:v>
      </x:c>
      <x:c r="AD896" s="30" t="str">
        <x:v>UZB</x:v>
      </x:c>
      <x:c r="AE896" s="30" t="str">
        <x:v>Uzbekistan</x:v>
      </x:c>
      <x:c r="AF896" s="30" t="str">
        <x:v>Explicit capitalClaim</x:v>
      </x:c>
      <x:c r="AG896" s="30" t="str">
        <x:v>ClaimTURUzbekistan</x:v>
      </x:c>
      <x:c r="AH896" s="30" t="str">
        <x:v>Project_UnitedTurkestan</x:v>
      </x:c>
    </x:row>
    <x:row r="897">
      <x:c r="A897" s="30" t="str">
        <x:v>2022</x:v>
      </x:c>
      <x:c r="B897" s="30" t="str">
        <x:v>Base game</x:v>
      </x:c>
      <x:c r="C897" s="30" t="str">
        <x:v>United Kingdom</x:v>
      </x:c>
      <x:c r="D897" s="30" t="str">
        <x:v>Australia</x:v>
      </x:c>
      <x:c r="E897" s="30" t="str">
        <x:v>Project unlock</x:v>
      </x:c>
      <x:c r="F897" s="30" t="str">
        <x:v>Commonwealth Restored</x:v>
      </x:c>
      <x:c r="G897" s="30" t="str">
        <x:v>No</x:v>
      </x:c>
      <x:c r="H897" s="30" t="str">
        <x:v>Ordinary claim</x:v>
      </x:c>
      <x:c r="I897" s="31" t="n">
        <x:f>IF(G897="Yes",'Controls &amp; Summary'!$B$5,'Controls &amp; Summary'!$B$4)</x:f>
        <x:v>6</x:v>
      </x:c>
      <x:c r="J897" s="31" t="n">
        <x:v>8.1</x:v>
      </x:c>
      <x:c r="K897" s="31" t="n">
        <x:v>8.9</x:v>
      </x:c>
      <x:c r="L897" s="31" t="n">
        <x:f>ABS(J897-K897)</x:f>
        <x:v>0.8000000000000007</x:v>
      </x:c>
      <x:c r="M897" s="31" t="n">
        <x:v>3.51</x:v>
      </x:c>
      <x:c r="N897" s="31" t="n">
        <x:v>3.43</x:v>
      </x:c>
      <x:c r="O897" s="31" t="n">
        <x:f>ABS(M897-N897)</x:f>
        <x:v>0.07999999999999963</x:v>
      </x:c>
      <x:c r="P897" s="31" t="n">
        <x:v>9.28</x:v>
      </x:c>
      <x:c r="Q897" s="31" t="n">
        <x:v>9.24</x:v>
      </x:c>
      <x:c r="R897" s="31" t="n">
        <x:f>ABS(P897-Q897)</x:f>
        <x:v>0.03999999999999915</x:v>
      </x:c>
      <x:c r="S897" s="32" t="n">
        <x:v>48138.43755174104</x:v>
      </x:c>
      <x:c r="T897" s="32" t="n">
        <x:v>66075.11389648572</x:v>
      </x:c>
      <x:c r="U897" s="31" t="n">
        <x:f>MAX(S897/T897,T897/S897)</x:f>
        <x:v>1.3726061180416513</x:v>
      </x:c>
      <x:c r="V897" s="31" t="n">
        <x:f>L897*'Controls &amp; Summary'!$B$9+O897*'Controls &amp; Summary'!$B$10+R897*'Controls &amp; Summary'!$B$11+U897*'Controls &amp; Summary'!$B$12</x:f>
        <x:v>2.292606118041651</x:v>
      </x:c>
      <x:c r="W897" s="31" t="n">
        <x:v>3</x:v>
      </x:c>
      <x:c r="X897" s="31" t="n">
        <x:v>1</x:v>
      </x:c>
      <x:c r="Y897" s="31" t="n">
        <x:f>((10-MIN(10,MAX(0,X897)))/10)*'Controls &amp; Summary'!$B$15+((10-MIN(10,MAX(0,W897)))/10)*'Controls &amp; Summary'!$B$16</x:f>
        <x:v>1.6</x:v>
      </x:c>
      <x:c r="Z897" s="31" t="n">
        <x:f>V897*Y897</x:f>
        <x:v>3.6681697888666416</x:v>
      </x:c>
      <x:c r="AA897" s="30" t="str">
        <x:f>IF(Z897&lt;=I897,"Peaceful","Hostile")</x:f>
        <x:v>Peaceful</x:v>
      </x:c>
      <x:c r="AB897" s="30" t="str">
        <x:f>IF(Z897&lt;='Controls &amp; Summary'!$B$6,"Eligible","Blocked")</x:f>
        <x:v>Eligible</x:v>
      </x:c>
      <x:c r="AC897" s="30" t="str">
        <x:v>GBR</x:v>
      </x:c>
      <x:c r="AD897" s="30" t="str">
        <x:v>AUS</x:v>
      </x:c>
      <x:c r="AE897" s="30" t="str">
        <x:v>Sydney</x:v>
      </x:c>
      <x:c r="AF897" s="30" t="str">
        <x:v>Explicit capitalClaim</x:v>
      </x:c>
      <x:c r="AG897" s="30" t="str">
        <x:v>ClaimGBRSydney</x:v>
      </x:c>
      <x:c r="AH897" s="30" t="str">
        <x:v>Project_CommonwealthRestored</x:v>
      </x:c>
    </x:row>
    <x:row r="898">
      <x:c r="A898" s="30" t="str">
        <x:v>2022</x:v>
      </x:c>
      <x:c r="B898" s="30" t="str">
        <x:v>Base game</x:v>
      </x:c>
      <x:c r="C898" s="30" t="str">
        <x:v>United Kingdom</x:v>
      </x:c>
      <x:c r="D898" s="30" t="str">
        <x:v>Belize</x:v>
      </x:c>
      <x:c r="E898" s="30" t="str">
        <x:v>Project unlock</x:v>
      </x:c>
      <x:c r="F898" s="30" t="str">
        <x:v>Commonwealth Restored</x:v>
      </x:c>
      <x:c r="G898" s="30" t="str">
        <x:v>No</x:v>
      </x:c>
      <x:c r="H898" s="30" t="str">
        <x:v>Ordinary claim</x:v>
      </x:c>
      <x:c r="I898" s="31" t="n">
        <x:f>IF(G898="Yes",'Controls &amp; Summary'!$B$5,'Controls &amp; Summary'!$B$4)</x:f>
        <x:v>6</x:v>
      </x:c>
      <x:c r="J898" s="31" t="n">
        <x:v>8.1</x:v>
      </x:c>
      <x:c r="K898" s="31" t="n">
        <x:v>8.7</x:v>
      </x:c>
      <x:c r="L898" s="31" t="n">
        <x:f>ABS(J898-K898)</x:f>
        <x:v>0.5999999999999996</x:v>
      </x:c>
      <x:c r="M898" s="31" t="n">
        <x:v>3.51</x:v>
      </x:c>
      <x:c r="N898" s="31" t="n">
        <x:v>5.33</x:v>
      </x:c>
      <x:c r="O898" s="31" t="n">
        <x:f>ABS(M898-N898)</x:f>
        <x:v>1.8200000000000003</x:v>
      </x:c>
      <x:c r="P898" s="31" t="n">
        <x:v>9.28</x:v>
      </x:c>
      <x:c r="Q898" s="31" t="n">
        <x:v>6.95</x:v>
      </x:c>
      <x:c r="R898" s="31" t="n">
        <x:f>ABS(P898-Q898)</x:f>
        <x:v>2.329999999999999</x:v>
      </x:c>
      <x:c r="S898" s="32" t="n">
        <x:v>48138.43755174104</x:v>
      </x:c>
      <x:c r="T898" s="32" t="n">
        <x:v>7068.216411369319</x:v>
      </x:c>
      <x:c r="U898" s="31" t="n">
        <x:f>MAX(S898/T898,T898/S898)</x:f>
        <x:v>6.810549472468009</x:v>
      </x:c>
      <x:c r="V898" s="31" t="n">
        <x:f>L898*'Controls &amp; Summary'!$B$9+O898*'Controls &amp; Summary'!$B$10+R898*'Controls &amp; Summary'!$B$11+U898*'Controls &amp; Summary'!$B$12</x:f>
        <x:v>11.560549472468008</x:v>
      </x:c>
      <x:c r="W898" s="31" t="n">
        <x:v>3</x:v>
      </x:c>
      <x:c r="X898" s="31" t="n">
        <x:v>2</x:v>
      </x:c>
      <x:c r="Y898" s="31" t="n">
        <x:f>((10-MIN(10,MAX(0,X898)))/10)*'Controls &amp; Summary'!$B$15+((10-MIN(10,MAX(0,W898)))/10)*'Controls &amp; Summary'!$B$16</x:f>
        <x:v>1.5</x:v>
      </x:c>
      <x:c r="Z898" s="31" t="n">
        <x:f>V898*Y898</x:f>
        <x:v>17.34082420870201</x:v>
      </x:c>
      <x:c r="AA898" s="30" t="str">
        <x:f>IF(Z898&lt;=I898,"Peaceful","Hostile")</x:f>
        <x:v>Hostile</x:v>
      </x:c>
      <x:c r="AB898" s="30" t="str">
        <x:f>IF(Z898&lt;='Controls &amp; Summary'!$B$6,"Eligible","Blocked")</x:f>
        <x:v>Blocked</x:v>
      </x:c>
      <x:c r="AC898" s="30" t="str">
        <x:v>GBR</x:v>
      </x:c>
      <x:c r="AD898" s="30" t="str">
        <x:v>BEL</x:v>
      </x:c>
      <x:c r="AE898" s="30" t="str">
        <x:v>Belize</x:v>
      </x:c>
      <x:c r="AF898" s="30" t="str">
        <x:v>Explicit capitalClaim</x:v>
      </x:c>
      <x:c r="AG898" s="30" t="str">
        <x:v>ClaimGBRBelize</x:v>
      </x:c>
      <x:c r="AH898" s="30" t="str">
        <x:v>Project_CommonwealthRestored</x:v>
      </x:c>
    </x:row>
    <x:row r="899">
      <x:c r="A899" s="30" t="str">
        <x:v>2022</x:v>
      </x:c>
      <x:c r="B899" s="30" t="str">
        <x:v>Base game</x:v>
      </x:c>
      <x:c r="C899" s="30" t="str">
        <x:v>United Kingdom</x:v>
      </x:c>
      <x:c r="D899" s="30" t="str">
        <x:v>Canada</x:v>
      </x:c>
      <x:c r="E899" s="30" t="str">
        <x:v>Project unlock</x:v>
      </x:c>
      <x:c r="F899" s="30" t="str">
        <x:v>Commonwealth Restored</x:v>
      </x:c>
      <x:c r="G899" s="30" t="str">
        <x:v>No</x:v>
      </x:c>
      <x:c r="H899" s="30" t="str">
        <x:v>Ordinary claim</x:v>
      </x:c>
      <x:c r="I899" s="31" t="n">
        <x:f>IF(G899="Yes",'Controls &amp; Summary'!$B$5,'Controls &amp; Summary'!$B$4)</x:f>
        <x:v>6</x:v>
      </x:c>
      <x:c r="J899" s="31" t="n">
        <x:v>8.1</x:v>
      </x:c>
      <x:c r="K899" s="31" t="n">
        <x:v>8.87</x:v>
      </x:c>
      <x:c r="L899" s="31" t="n">
        <x:f>ABS(J899-K899)</x:f>
        <x:v>0.7699999999999996</x:v>
      </x:c>
      <x:c r="M899" s="31" t="n">
        <x:v>3.51</x:v>
      </x:c>
      <x:c r="N899" s="31" t="n">
        <x:v>3.33</x:v>
      </x:c>
      <x:c r="O899" s="31" t="n">
        <x:f>ABS(M899-N899)</x:f>
        <x:v>0.17999999999999972</x:v>
      </x:c>
      <x:c r="P899" s="31" t="n">
        <x:v>9.28</x:v>
      </x:c>
      <x:c r="Q899" s="31" t="n">
        <x:v>8.94</x:v>
      </x:c>
      <x:c r="R899" s="31" t="n">
        <x:f>ABS(P899-Q899)</x:f>
        <x:v>0.33999999999999986</x:v>
      </x:c>
      <x:c r="S899" s="32" t="n">
        <x:v>48138.43755174104</x:v>
      </x:c>
      <x:c r="T899" s="32" t="n">
        <x:v>56684.59631873351</x:v>
      </x:c>
      <x:c r="U899" s="31" t="n">
        <x:f>MAX(S899/T899,T899/S899)</x:f>
        <x:v>1.1775329487544486</x:v>
      </x:c>
      <x:c r="V899" s="31" t="n">
        <x:f>L899*'Controls &amp; Summary'!$B$9+O899*'Controls &amp; Summary'!$B$10+R899*'Controls &amp; Summary'!$B$11+U899*'Controls &amp; Summary'!$B$12</x:f>
        <x:v>2.4675329487544477</x:v>
      </x:c>
      <x:c r="W899" s="31" t="n">
        <x:v>3</x:v>
      </x:c>
      <x:c r="X899" s="31" t="n">
        <x:v>0</x:v>
      </x:c>
      <x:c r="Y899" s="31" t="n">
        <x:f>((10-MIN(10,MAX(0,X899)))/10)*'Controls &amp; Summary'!$B$15+((10-MIN(10,MAX(0,W899)))/10)*'Controls &amp; Summary'!$B$16</x:f>
        <x:v>1.7</x:v>
      </x:c>
      <x:c r="Z899" s="31" t="n">
        <x:f>V899*Y899</x:f>
        <x:v>4.194806012882561</x:v>
      </x:c>
      <x:c r="AA899" s="30" t="str">
        <x:f>IF(Z899&lt;=I899,"Peaceful","Hostile")</x:f>
        <x:v>Peaceful</x:v>
      </x:c>
      <x:c r="AB899" s="30" t="str">
        <x:f>IF(Z899&lt;='Controls &amp; Summary'!$B$6,"Eligible","Blocked")</x:f>
        <x:v>Eligible</x:v>
      </x:c>
      <x:c r="AC899" s="30" t="str">
        <x:v>GBR</x:v>
      </x:c>
      <x:c r="AD899" s="30" t="str">
        <x:v>CAN</x:v>
      </x:c>
      <x:c r="AE899" s="30" t="str">
        <x:v>Ontario</x:v>
      </x:c>
      <x:c r="AF899" s="30" t="str">
        <x:v>Explicit capitalClaim</x:v>
      </x:c>
      <x:c r="AG899" s="30" t="str">
        <x:v>ClaimGBROntario</x:v>
      </x:c>
      <x:c r="AH899" s="30" t="str">
        <x:v>Project_CommonwealthRestored</x:v>
      </x:c>
    </x:row>
    <x:row r="900">
      <x:c r="A900" s="30" t="str">
        <x:v>2022</x:v>
      </x:c>
      <x:c r="B900" s="30" t="str">
        <x:v>Base game</x:v>
      </x:c>
      <x:c r="C900" s="30" t="str">
        <x:v>United Kingdom</x:v>
      </x:c>
      <x:c r="D900" s="30" t="str">
        <x:v>New Zealand</x:v>
      </x:c>
      <x:c r="E900" s="30" t="str">
        <x:v>Project unlock</x:v>
      </x:c>
      <x:c r="F900" s="30" t="str">
        <x:v>Commonwealth Restored</x:v>
      </x:c>
      <x:c r="G900" s="30" t="str">
        <x:v>No</x:v>
      </x:c>
      <x:c r="H900" s="30" t="str">
        <x:v>Ordinary claim</x:v>
      </x:c>
      <x:c r="I900" s="31" t="n">
        <x:f>IF(G900="Yes",'Controls &amp; Summary'!$B$5,'Controls &amp; Summary'!$B$4)</x:f>
        <x:v>6</x:v>
      </x:c>
      <x:c r="J900" s="31" t="n">
        <x:v>8.1</x:v>
      </x:c>
      <x:c r="K900" s="31" t="n">
        <x:v>9.37</x:v>
      </x:c>
      <x:c r="L900" s="31" t="n">
        <x:f>ABS(J900-K900)</x:f>
        <x:v>1.2699999999999996</x:v>
      </x:c>
      <x:c r="M900" s="31" t="n">
        <x:v>3.51</x:v>
      </x:c>
      <x:c r="N900" s="31" t="n">
        <x:v>3.25</x:v>
      </x:c>
      <x:c r="O900" s="31" t="n">
        <x:f>ABS(M900-N900)</x:f>
        <x:v>0.2599999999999998</x:v>
      </x:c>
      <x:c r="P900" s="31" t="n">
        <x:v>9.28</x:v>
      </x:c>
      <x:c r="Q900" s="31" t="n">
        <x:v>9.26</x:v>
      </x:c>
      <x:c r="R900" s="31" t="n">
        <x:f>ABS(P900-Q900)</x:f>
        <x:v>0.019999999999999574</x:v>
      </x:c>
      <x:c r="S900" s="32" t="n">
        <x:v>48138.43755174104</x:v>
      </x:c>
      <x:c r="T900" s="32" t="n">
        <x:v>47774.32657265556</x:v>
      </x:c>
      <x:c r="U900" s="31" t="n">
        <x:f>MAX(S900/T900,T900/S900)</x:f>
        <x:v>1.0076214780030803</x:v>
      </x:c>
      <x:c r="V900" s="31" t="n">
        <x:f>L900*'Controls &amp; Summary'!$B$9+O900*'Controls &amp; Summary'!$B$10+R900*'Controls &amp; Summary'!$B$11+U900*'Controls &amp; Summary'!$B$12</x:f>
        <x:v>2.557621478003079</x:v>
      </x:c>
      <x:c r="W900" s="31" t="n">
        <x:v>3</x:v>
      </x:c>
      <x:c r="X900" s="31" t="n">
        <x:v>0</x:v>
      </x:c>
      <x:c r="Y900" s="31" t="n">
        <x:f>((10-MIN(10,MAX(0,X900)))/10)*'Controls &amp; Summary'!$B$15+((10-MIN(10,MAX(0,W900)))/10)*'Controls &amp; Summary'!$B$16</x:f>
        <x:v>1.7</x:v>
      </x:c>
      <x:c r="Z900" s="31" t="n">
        <x:f>V900*Y900</x:f>
        <x:v>4.347956512605235</x:v>
      </x:c>
      <x:c r="AA900" s="30" t="str">
        <x:f>IF(Z900&lt;=I900,"Peaceful","Hostile")</x:f>
        <x:v>Peaceful</x:v>
      </x:c>
      <x:c r="AB900" s="30" t="str">
        <x:f>IF(Z900&lt;='Controls &amp; Summary'!$B$6,"Eligible","Blocked")</x:f>
        <x:v>Eligible</x:v>
      </x:c>
      <x:c r="AC900" s="30" t="str">
        <x:v>GBR</x:v>
      </x:c>
      <x:c r="AD900" s="30" t="str">
        <x:v>NZL</x:v>
      </x:c>
      <x:c r="AE900" s="30" t="str">
        <x:v>NewZealand</x:v>
      </x:c>
      <x:c r="AF900" s="30" t="str">
        <x:v>Explicit capitalClaim</x:v>
      </x:c>
      <x:c r="AG900" s="30" t="str">
        <x:v>ClaimGBRNewZealand</x:v>
      </x:c>
      <x:c r="AH900" s="30" t="str">
        <x:v>Project_CommonwealthRestored</x:v>
      </x:c>
    </x:row>
    <x:row r="901">
      <x:c r="A901" s="30" t="str">
        <x:v>2022</x:v>
      </x:c>
      <x:c r="B901" s="30" t="str">
        <x:v>Base game</x:v>
      </x:c>
      <x:c r="C901" s="30" t="str">
        <x:v>United States of America</x:v>
      </x:c>
      <x:c r="D901" s="30" t="str">
        <x:v>Bahamas</x:v>
      </x:c>
      <x:c r="E901" s="30" t="str">
        <x:v>Project unlock</x:v>
      </x:c>
      <x:c r="F901" s="30" t="str">
        <x:v>Greater United North America</x:v>
      </x:c>
      <x:c r="G901" s="30" t="str">
        <x:v>No</x:v>
      </x:c>
      <x:c r="H901" s="30" t="str">
        <x:v>Ordinary claim</x:v>
      </x:c>
      <x:c r="I901" s="31" t="n">
        <x:f>IF(G901="Yes",'Controls &amp; Summary'!$B$5,'Controls &amp; Summary'!$B$4)</x:f>
        <x:v>6</x:v>
      </x:c>
      <x:c r="J901" s="31" t="n">
        <x:v>7.85</x:v>
      </x:c>
      <x:c r="K901" s="31" t="n">
        <x:v>9.1</x:v>
      </x:c>
      <x:c r="L901" s="31" t="n">
        <x:f>ABS(J901-K901)</x:f>
        <x:v>1.25</x:v>
      </x:c>
      <x:c r="M901" s="31" t="n">
        <x:v>4.17</x:v>
      </x:c>
      <x:c r="N901" s="31" t="n">
        <x:v>5.7</x:v>
      </x:c>
      <x:c r="O901" s="31" t="n">
        <x:f>ABS(M901-N901)</x:f>
        <x:v>1.5300000000000002</x:v>
      </x:c>
      <x:c r="P901" s="31" t="n">
        <x:v>9</x:v>
      </x:c>
      <x:c r="Q901" s="31" t="n">
        <x:v>7.4</x:v>
      </x:c>
      <x:c r="R901" s="31" t="n">
        <x:f>ABS(P901-Q901)</x:f>
        <x:v>1.5999999999999996</x:v>
      </x:c>
      <x:c r="S901" s="32" t="n">
        <x:v>75863.2002125422</x:v>
      </x:c>
      <x:c r="T901" s="32" t="n">
        <x:v>34957.18648280164</x:v>
      </x:c>
      <x:c r="U901" s="31" t="n">
        <x:f>MAX(S901/T901,T901/S901)</x:f>
        <x:v>2.1701746577879097</x:v>
      </x:c>
      <x:c r="V901" s="31" t="n">
        <x:f>L901*'Controls &amp; Summary'!$B$9+O901*'Controls &amp; Summary'!$B$10+R901*'Controls &amp; Summary'!$B$11+U901*'Controls &amp; Summary'!$B$12</x:f>
        <x:v>6.55017465778791</x:v>
      </x:c>
      <x:c r="W901" s="31" t="n">
        <x:v>3</x:v>
      </x:c>
      <x:c r="X901" s="31" t="n">
        <x:v>1</x:v>
      </x:c>
      <x:c r="Y901" s="31" t="n">
        <x:f>((10-MIN(10,MAX(0,X901)))/10)*'Controls &amp; Summary'!$B$15+((10-MIN(10,MAX(0,W901)))/10)*'Controls &amp; Summary'!$B$16</x:f>
        <x:v>1.6</x:v>
      </x:c>
      <x:c r="Z901" s="31" t="n">
        <x:f>V901*Y901</x:f>
        <x:v>10.480279452460657</x:v>
      </x:c>
      <x:c r="AA901" s="30" t="str">
        <x:f>IF(Z901&lt;=I901,"Peaceful","Hostile")</x:f>
        <x:v>Hostile</x:v>
      </x:c>
      <x:c r="AB901" s="30" t="str">
        <x:f>IF(Z901&lt;='Controls &amp; Summary'!$B$6,"Eligible","Blocked")</x:f>
        <x:v>Eligible</x:v>
      </x:c>
      <x:c r="AC901" s="30" t="str">
        <x:v>USA</x:v>
      </x:c>
      <x:c r="AD901" s="30" t="str">
        <x:v>BAH</x:v>
      </x:c>
      <x:c r="AE901" s="30" t="str">
        <x:v>Bahamas</x:v>
      </x:c>
      <x:c r="AF901" s="30" t="str">
        <x:v>Explicit capitalClaim</x:v>
      </x:c>
      <x:c r="AG901" s="30" t="str">
        <x:v>ClaimUSABahamas</x:v>
      </x:c>
      <x:c r="AH901" s="30" t="str">
        <x:v>Project_GreaterUnitedNorthAmerica</x:v>
      </x:c>
    </x:row>
    <x:row r="902">
      <x:c r="A902" s="30" t="str">
        <x:v>2022</x:v>
      </x:c>
      <x:c r="B902" s="30" t="str">
        <x:v>Base game</x:v>
      </x:c>
      <x:c r="C902" s="30" t="str">
        <x:v>United States of America</x:v>
      </x:c>
      <x:c r="D902" s="30" t="str">
        <x:v>Belize</x:v>
      </x:c>
      <x:c r="E902" s="30" t="str">
        <x:v>Project unlock</x:v>
      </x:c>
      <x:c r="F902" s="30" t="str">
        <x:v>Greater United North America</x:v>
      </x:c>
      <x:c r="G902" s="30" t="str">
        <x:v>No</x:v>
      </x:c>
      <x:c r="H902" s="30" t="str">
        <x:v>Ordinary claim</x:v>
      </x:c>
      <x:c r="I902" s="31" t="n">
        <x:f>IF(G902="Yes",'Controls &amp; Summary'!$B$5,'Controls &amp; Summary'!$B$4)</x:f>
        <x:v>6</x:v>
      </x:c>
      <x:c r="J902" s="31" t="n">
        <x:v>7.85</x:v>
      </x:c>
      <x:c r="K902" s="31" t="n">
        <x:v>8.7</x:v>
      </x:c>
      <x:c r="L902" s="31" t="n">
        <x:f>ABS(J902-K902)</x:f>
        <x:v>0.8499999999999996</x:v>
      </x:c>
      <x:c r="M902" s="31" t="n">
        <x:v>4.17</x:v>
      </x:c>
      <x:c r="N902" s="31" t="n">
        <x:v>5.33</x:v>
      </x:c>
      <x:c r="O902" s="31" t="n">
        <x:f>ABS(M902-N902)</x:f>
        <x:v>1.1600000000000001</x:v>
      </x:c>
      <x:c r="P902" s="31" t="n">
        <x:v>9</x:v>
      </x:c>
      <x:c r="Q902" s="31" t="n">
        <x:v>6.95</x:v>
      </x:c>
      <x:c r="R902" s="31" t="n">
        <x:f>ABS(P902-Q902)</x:f>
        <x:v>2.05</x:v>
      </x:c>
      <x:c r="S902" s="32" t="n">
        <x:v>75863.2002125422</x:v>
      </x:c>
      <x:c r="T902" s="32" t="n">
        <x:v>7068.216411369319</x:v>
      </x:c>
      <x:c r="U902" s="31" t="n">
        <x:f>MAX(S902/T902,T902/S902)</x:f>
        <x:v>10.733004735185421</x:v>
      </x:c>
      <x:c r="V902" s="31" t="n">
        <x:f>L902*'Controls &amp; Summary'!$B$9+O902*'Controls &amp; Summary'!$B$10+R902*'Controls &amp; Summary'!$B$11+U902*'Controls &amp; Summary'!$B$12</x:f>
        <x:v>14.79300473518542</x:v>
      </x:c>
      <x:c r="W902" s="31" t="n">
        <x:v>3</x:v>
      </x:c>
      <x:c r="X902" s="31" t="n">
        <x:v>2</x:v>
      </x:c>
      <x:c r="Y902" s="31" t="n">
        <x:f>((10-MIN(10,MAX(0,X902)))/10)*'Controls &amp; Summary'!$B$15+((10-MIN(10,MAX(0,W902)))/10)*'Controls &amp; Summary'!$B$16</x:f>
        <x:v>1.5</x:v>
      </x:c>
      <x:c r="Z902" s="31" t="n">
        <x:f>V902*Y902</x:f>
        <x:v>22.18950710277813</x:v>
      </x:c>
      <x:c r="AA902" s="30" t="str">
        <x:f>IF(Z902&lt;=I902,"Peaceful","Hostile")</x:f>
        <x:v>Hostile</x:v>
      </x:c>
      <x:c r="AB902" s="30" t="str">
        <x:f>IF(Z902&lt;='Controls &amp; Summary'!$B$6,"Eligible","Blocked")</x:f>
        <x:v>Blocked</x:v>
      </x:c>
      <x:c r="AC902" s="30" t="str">
        <x:v>USA</x:v>
      </x:c>
      <x:c r="AD902" s="30" t="str">
        <x:v>BEL</x:v>
      </x:c>
      <x:c r="AE902" s="30" t="str">
        <x:v>Belize</x:v>
      </x:c>
      <x:c r="AF902" s="30" t="str">
        <x:v>Explicit capitalClaim</x:v>
      </x:c>
      <x:c r="AG902" s="30" t="str">
        <x:v>ClaimUSABelize</x:v>
      </x:c>
      <x:c r="AH902" s="30" t="str">
        <x:v>Project_GreaterUnitedNorthAmerica</x:v>
      </x:c>
    </x:row>
    <x:row r="903">
      <x:c r="A903" s="30" t="str">
        <x:v>2022</x:v>
      </x:c>
      <x:c r="B903" s="30" t="str">
        <x:v>Base game</x:v>
      </x:c>
      <x:c r="C903" s="30" t="str">
        <x:v>United States of America</x:v>
      </x:c>
      <x:c r="D903" s="30" t="str">
        <x:v>Canada</x:v>
      </x:c>
      <x:c r="E903" s="30" t="str">
        <x:v>Project unlock</x:v>
      </x:c>
      <x:c r="F903" s="30" t="str">
        <x:v>United North America</x:v>
      </x:c>
      <x:c r="G903" s="30" t="str">
        <x:v>No</x:v>
      </x:c>
      <x:c r="H903" s="30" t="str">
        <x:v>Ordinary claim</x:v>
      </x:c>
      <x:c r="I903" s="31" t="n">
        <x:f>IF(G903="Yes",'Controls &amp; Summary'!$B$5,'Controls &amp; Summary'!$B$4)</x:f>
        <x:v>6</x:v>
      </x:c>
      <x:c r="J903" s="31" t="n">
        <x:v>7.85</x:v>
      </x:c>
      <x:c r="K903" s="31" t="n">
        <x:v>8.87</x:v>
      </x:c>
      <x:c r="L903" s="31" t="n">
        <x:f>ABS(J903-K903)</x:f>
        <x:v>1.0199999999999996</x:v>
      </x:c>
      <x:c r="M903" s="31" t="n">
        <x:v>4.17</x:v>
      </x:c>
      <x:c r="N903" s="31" t="n">
        <x:v>3.33</x:v>
      </x:c>
      <x:c r="O903" s="31" t="n">
        <x:f>ABS(M903-N903)</x:f>
        <x:v>0.8399999999999999</x:v>
      </x:c>
      <x:c r="P903" s="31" t="n">
        <x:v>9</x:v>
      </x:c>
      <x:c r="Q903" s="31" t="n">
        <x:v>8.94</x:v>
      </x:c>
      <x:c r="R903" s="31" t="n">
        <x:f>ABS(P903-Q903)</x:f>
        <x:v>0.0600000000000005</x:v>
      </x:c>
      <x:c r="S903" s="32" t="n">
        <x:v>75863.2002125422</x:v>
      </x:c>
      <x:c r="T903" s="32" t="n">
        <x:v>56684.59631873351</x:v>
      </x:c>
      <x:c r="U903" s="31" t="n">
        <x:f>MAX(S903/T903,T903/S903)</x:f>
        <x:v>1.338338898736594</x:v>
      </x:c>
      <x:c r="V903" s="31" t="n">
        <x:f>L903*'Controls &amp; Summary'!$B$9+O903*'Controls &amp; Summary'!$B$10+R903*'Controls &amp; Summary'!$B$11+U903*'Controls &amp; Summary'!$B$12</x:f>
        <x:v>3.2583388987365938</x:v>
      </x:c>
      <x:c r="W903" s="31" t="n">
        <x:v>3</x:v>
      </x:c>
      <x:c r="X903" s="31" t="n">
        <x:v>0</x:v>
      </x:c>
      <x:c r="Y903" s="31" t="n">
        <x:f>((10-MIN(10,MAX(0,X903)))/10)*'Controls &amp; Summary'!$B$15+((10-MIN(10,MAX(0,W903)))/10)*'Controls &amp; Summary'!$B$16</x:f>
        <x:v>1.7</x:v>
      </x:c>
      <x:c r="Z903" s="31" t="n">
        <x:f>V903*Y903</x:f>
        <x:v>5.539176127852209</x:v>
      </x:c>
      <x:c r="AA903" s="30" t="str">
        <x:f>IF(Z903&lt;=I903,"Peaceful","Hostile")</x:f>
        <x:v>Peaceful</x:v>
      </x:c>
      <x:c r="AB903" s="30" t="str">
        <x:f>IF(Z903&lt;='Controls &amp; Summary'!$B$6,"Eligible","Blocked")</x:f>
        <x:v>Eligible</x:v>
      </x:c>
      <x:c r="AC903" s="30" t="str">
        <x:v>USA</x:v>
      </x:c>
      <x:c r="AD903" s="30" t="str">
        <x:v>CAN</x:v>
      </x:c>
      <x:c r="AE903" s="30" t="str">
        <x:v>Ontario</x:v>
      </x:c>
      <x:c r="AF903" s="30" t="str">
        <x:v>Explicit capitalClaim</x:v>
      </x:c>
      <x:c r="AG903" s="30" t="str">
        <x:v>ClaimUSAOntario</x:v>
      </x:c>
      <x:c r="AH903" s="30" t="str">
        <x:v>Project_UnitedNorthAmerica</x:v>
      </x:c>
    </x:row>
    <x:row r="904">
      <x:c r="A904" s="30" t="str">
        <x:v>2022</x:v>
      </x:c>
      <x:c r="B904" s="30" t="str">
        <x:v>Base game</x:v>
      </x:c>
      <x:c r="C904" s="30" t="str">
        <x:v>United States of America</x:v>
      </x:c>
      <x:c r="D904" s="30" t="str">
        <x:v>Costa Rica</x:v>
      </x:c>
      <x:c r="E904" s="30" t="str">
        <x:v>Project unlock</x:v>
      </x:c>
      <x:c r="F904" s="30" t="str">
        <x:v>Greater United North America</x:v>
      </x:c>
      <x:c r="G904" s="30" t="str">
        <x:v>No</x:v>
      </x:c>
      <x:c r="H904" s="30" t="str">
        <x:v>Ordinary claim</x:v>
      </x:c>
      <x:c r="I904" s="31" t="n">
        <x:f>IF(G904="Yes",'Controls &amp; Summary'!$B$5,'Controls &amp; Summary'!$B$4)</x:f>
        <x:v>6</x:v>
      </x:c>
      <x:c r="J904" s="31" t="n">
        <x:v>7.85</x:v>
      </x:c>
      <x:c r="K904" s="31" t="n">
        <x:v>8.07</x:v>
      </x:c>
      <x:c r="L904" s="31" t="n">
        <x:f>ABS(J904-K904)</x:f>
        <x:v>0.22000000000000064</x:v>
      </x:c>
      <x:c r="M904" s="31" t="n">
        <x:v>4.17</x:v>
      </x:c>
      <x:c r="N904" s="31" t="n">
        <x:v>4.93</x:v>
      </x:c>
      <x:c r="O904" s="31" t="n">
        <x:f>ABS(M904-N904)</x:f>
        <x:v>0.7599999999999998</x:v>
      </x:c>
      <x:c r="P904" s="31" t="n">
        <x:v>9</x:v>
      </x:c>
      <x:c r="Q904" s="31" t="n">
        <x:v>7.26</x:v>
      </x:c>
      <x:c r="R904" s="31" t="n">
        <x:f>ABS(P904-Q904)</x:f>
        <x:v>1.7400000000000002</x:v>
      </x:c>
      <x:c r="S904" s="32" t="n">
        <x:v>75863.2002125422</x:v>
      </x:c>
      <x:c r="T904" s="32" t="n">
        <x:v>21702.236588075208</x:v>
      </x:c>
      <x:c r="U904" s="31" t="n">
        <x:f>MAX(S904/T904,T904/S904)</x:f>
        <x:v>3.4956397191903705</x:v>
      </x:c>
      <x:c r="V904" s="31" t="n">
        <x:f>L904*'Controls &amp; Summary'!$B$9+O904*'Controls &amp; Summary'!$B$10+R904*'Controls &amp; Summary'!$B$11+U904*'Controls &amp; Summary'!$B$12</x:f>
        <x:v>6.215639719190371</x:v>
      </x:c>
      <x:c r="W904" s="31" t="n">
        <x:v>3</x:v>
      </x:c>
      <x:c r="X904" s="31" t="n">
        <x:v>1</x:v>
      </x:c>
      <x:c r="Y904" s="31" t="n">
        <x:f>((10-MIN(10,MAX(0,X904)))/10)*'Controls &amp; Summary'!$B$15+((10-MIN(10,MAX(0,W904)))/10)*'Controls &amp; Summary'!$B$16</x:f>
        <x:v>1.6</x:v>
      </x:c>
      <x:c r="Z904" s="31" t="n">
        <x:f>V904*Y904</x:f>
        <x:v>9.945023550704594</x:v>
      </x:c>
      <x:c r="AA904" s="30" t="str">
        <x:f>IF(Z904&lt;=I904,"Peaceful","Hostile")</x:f>
        <x:v>Hostile</x:v>
      </x:c>
      <x:c r="AB904" s="30" t="str">
        <x:f>IF(Z904&lt;='Controls &amp; Summary'!$B$6,"Eligible","Blocked")</x:f>
        <x:v>Eligible</x:v>
      </x:c>
      <x:c r="AC904" s="30" t="str">
        <x:v>USA</x:v>
      </x:c>
      <x:c r="AD904" s="30" t="str">
        <x:v>COS</x:v>
      </x:c>
      <x:c r="AE904" s="30" t="str">
        <x:v>CostaRica</x:v>
      </x:c>
      <x:c r="AF904" s="30" t="str">
        <x:v>Explicit capitalClaim</x:v>
      </x:c>
      <x:c r="AG904" s="30" t="str">
        <x:v>ClaimUSACostaRica</x:v>
      </x:c>
      <x:c r="AH904" s="30" t="str">
        <x:v>Project_GreaterUnitedNorthAmerica</x:v>
      </x:c>
    </x:row>
    <x:row r="905">
      <x:c r="A905" s="30" t="str">
        <x:v>2022</x:v>
      </x:c>
      <x:c r="B905" s="30" t="str">
        <x:v>Base game</x:v>
      </x:c>
      <x:c r="C905" s="30" t="str">
        <x:v>United States of America</x:v>
      </x:c>
      <x:c r="D905" s="30" t="str">
        <x:v>Cuba</x:v>
      </x:c>
      <x:c r="E905" s="30" t="str">
        <x:v>Project unlock</x:v>
      </x:c>
      <x:c r="F905" s="30" t="str">
        <x:v>Greater United North America</x:v>
      </x:c>
      <x:c r="G905" s="30" t="str">
        <x:v>No</x:v>
      </x:c>
      <x:c r="H905" s="30" t="str">
        <x:v>Ordinary claim</x:v>
      </x:c>
      <x:c r="I905" s="31" t="n">
        <x:f>IF(G905="Yes",'Controls &amp; Summary'!$B$5,'Controls &amp; Summary'!$B$4)</x:f>
        <x:v>6</x:v>
      </x:c>
      <x:c r="J905" s="31" t="n">
        <x:v>7.85</x:v>
      </x:c>
      <x:c r="K905" s="31" t="n">
        <x:v>2.59</x:v>
      </x:c>
      <x:c r="L905" s="31" t="n">
        <x:f>ABS(J905-K905)</x:f>
        <x:v>5.26</x:v>
      </x:c>
      <x:c r="M905" s="31" t="n">
        <x:v>4.17</x:v>
      </x:c>
      <x:c r="N905" s="31" t="n">
        <x:v>3.8</x:v>
      </x:c>
      <x:c r="O905" s="31" t="n">
        <x:f>ABS(M905-N905)</x:f>
        <x:v>0.3700000000000001</x:v>
      </x:c>
      <x:c r="P905" s="31" t="n">
        <x:v>9</x:v>
      </x:c>
      <x:c r="Q905" s="31" t="n">
        <x:v>7.9</x:v>
      </x:c>
      <x:c r="R905" s="31" t="n">
        <x:f>ABS(P905-Q905)</x:f>
        <x:v>1.0999999999999996</x:v>
      </x:c>
      <x:c r="S905" s="32" t="n">
        <x:v>75863.2002125422</x:v>
      </x:c>
      <x:c r="T905" s="32" t="n">
        <x:v>12300.000115372583</x:v>
      </x:c>
      <x:c r="U905" s="31" t="n">
        <x:f>MAX(S905/T905,T905/S905)</x:f>
        <x:v>6.167739796825539</x:v>
      </x:c>
      <x:c r="V905" s="31" t="n">
        <x:f>L905*'Controls &amp; Summary'!$B$9+O905*'Controls &amp; Summary'!$B$10+R905*'Controls &amp; Summary'!$B$11+U905*'Controls &amp; Summary'!$B$12</x:f>
        <x:v>12.897739796825539</x:v>
      </x:c>
      <x:c r="W905" s="31" t="n">
        <x:v>3</x:v>
      </x:c>
      <x:c r="X905" s="31" t="n">
        <x:v>1</x:v>
      </x:c>
      <x:c r="Y905" s="31" t="n">
        <x:f>((10-MIN(10,MAX(0,X905)))/10)*'Controls &amp; Summary'!$B$15+((10-MIN(10,MAX(0,W905)))/10)*'Controls &amp; Summary'!$B$16</x:f>
        <x:v>1.6</x:v>
      </x:c>
      <x:c r="Z905" s="31" t="n">
        <x:f>V905*Y905</x:f>
        <x:v>20.636383674920864</x:v>
      </x:c>
      <x:c r="AA905" s="30" t="str">
        <x:f>IF(Z905&lt;=I905,"Peaceful","Hostile")</x:f>
        <x:v>Hostile</x:v>
      </x:c>
      <x:c r="AB905" s="30" t="str">
        <x:f>IF(Z905&lt;='Controls &amp; Summary'!$B$6,"Eligible","Blocked")</x:f>
        <x:v>Blocked</x:v>
      </x:c>
      <x:c r="AC905" s="30" t="str">
        <x:v>USA</x:v>
      </x:c>
      <x:c r="AD905" s="30" t="str">
        <x:v>CUB</x:v>
      </x:c>
      <x:c r="AE905" s="30" t="str">
        <x:v>Cuba</x:v>
      </x:c>
      <x:c r="AF905" s="30" t="str">
        <x:v>Explicit capitalClaim</x:v>
      </x:c>
      <x:c r="AG905" s="30" t="str">
        <x:v>ClaimUSACuba</x:v>
      </x:c>
      <x:c r="AH905" s="30" t="str">
        <x:v>Project_GreaterUnitedNorthAmerica</x:v>
      </x:c>
    </x:row>
    <x:row r="906">
      <x:c r="A906" s="30" t="str">
        <x:v>2022</x:v>
      </x:c>
      <x:c r="B906" s="30" t="str">
        <x:v>Base game</x:v>
      </x:c>
      <x:c r="C906" s="30" t="str">
        <x:v>United States of America</x:v>
      </x:c>
      <x:c r="D906" s="30" t="str">
        <x:v>Dominican Republic</x:v>
      </x:c>
      <x:c r="E906" s="30" t="str">
        <x:v>Project unlock</x:v>
      </x:c>
      <x:c r="F906" s="30" t="str">
        <x:v>Greater United North America</x:v>
      </x:c>
      <x:c r="G906" s="30" t="str">
        <x:v>No</x:v>
      </x:c>
      <x:c r="H906" s="30" t="str">
        <x:v>Ordinary claim</x:v>
      </x:c>
      <x:c r="I906" s="31" t="n">
        <x:f>IF(G906="Yes",'Controls &amp; Summary'!$B$5,'Controls &amp; Summary'!$B$4)</x:f>
        <x:v>6</x:v>
      </x:c>
      <x:c r="J906" s="31" t="n">
        <x:v>7.85</x:v>
      </x:c>
      <x:c r="K906" s="31" t="n">
        <x:v>6.45</x:v>
      </x:c>
      <x:c r="L906" s="31" t="n">
        <x:f>ABS(J906-K906)</x:f>
        <x:v>1.3999999999999995</x:v>
      </x:c>
      <x:c r="M906" s="31" t="n">
        <x:v>4.17</x:v>
      </x:c>
      <x:c r="N906" s="31" t="n">
        <x:v>3.96</x:v>
      </x:c>
      <x:c r="O906" s="31" t="n">
        <x:f>ABS(M906-N906)</x:f>
        <x:v>0.20999999999999996</x:v>
      </x:c>
      <x:c r="P906" s="31" t="n">
        <x:v>9</x:v>
      </x:c>
      <x:c r="Q906" s="31" t="n">
        <x:v>6.66</x:v>
      </x:c>
      <x:c r="R906" s="31" t="n">
        <x:f>ABS(P906-Q906)</x:f>
        <x:v>2.34</x:v>
      </x:c>
      <x:c r="S906" s="32" t="n">
        <x:v>75863.2002125422</x:v>
      </x:c>
      <x:c r="T906" s="32" t="n">
        <x:v>20237.04053759977</x:v>
      </x:c>
      <x:c r="U906" s="31" t="n">
        <x:f>MAX(S906/T906,T906/S906)</x:f>
        <x:v>3.7487299623475487</x:v>
      </x:c>
      <x:c r="V906" s="31" t="n">
        <x:f>L906*'Controls &amp; Summary'!$B$9+O906*'Controls &amp; Summary'!$B$10+R906*'Controls &amp; Summary'!$B$11+U906*'Controls &amp; Summary'!$B$12</x:f>
        <x:v>7.698729962347548</x:v>
      </x:c>
      <x:c r="W906" s="31" t="n">
        <x:v>3</x:v>
      </x:c>
      <x:c r="X906" s="31" t="n">
        <x:v>1</x:v>
      </x:c>
      <x:c r="Y906" s="31" t="n">
        <x:f>((10-MIN(10,MAX(0,X906)))/10)*'Controls &amp; Summary'!$B$15+((10-MIN(10,MAX(0,W906)))/10)*'Controls &amp; Summary'!$B$16</x:f>
        <x:v>1.6</x:v>
      </x:c>
      <x:c r="Z906" s="31" t="n">
        <x:f>V906*Y906</x:f>
        <x:v>12.317967939756077</x:v>
      </x:c>
      <x:c r="AA906" s="30" t="str">
        <x:f>IF(Z906&lt;=I906,"Peaceful","Hostile")</x:f>
        <x:v>Hostile</x:v>
      </x:c>
      <x:c r="AB906" s="30" t="str">
        <x:f>IF(Z906&lt;='Controls &amp; Summary'!$B$6,"Eligible","Blocked")</x:f>
        <x:v>Blocked</x:v>
      </x:c>
      <x:c r="AC906" s="30" t="str">
        <x:v>USA</x:v>
      </x:c>
      <x:c r="AD906" s="30" t="str">
        <x:v>DOM</x:v>
      </x:c>
      <x:c r="AE906" s="30" t="str">
        <x:v>EastHispanola</x:v>
      </x:c>
      <x:c r="AF906" s="30" t="str">
        <x:v>Explicit capitalClaim</x:v>
      </x:c>
      <x:c r="AG906" s="30" t="str">
        <x:v>ClaimUSAEastHispanola</x:v>
      </x:c>
      <x:c r="AH906" s="30" t="str">
        <x:v>Project_GreaterUnitedNorthAmerica</x:v>
      </x:c>
    </x:row>
    <x:row r="907">
      <x:c r="A907" s="30" t="str">
        <x:v>2022</x:v>
      </x:c>
      <x:c r="B907" s="30" t="str">
        <x:v>Base game</x:v>
      </x:c>
      <x:c r="C907" s="30" t="str">
        <x:v>United States of America</x:v>
      </x:c>
      <x:c r="D907" s="30" t="str">
        <x:v>El Salvador</x:v>
      </x:c>
      <x:c r="E907" s="30" t="str">
        <x:v>Project unlock</x:v>
      </x:c>
      <x:c r="F907" s="30" t="str">
        <x:v>Greater United North America</x:v>
      </x:c>
      <x:c r="G907" s="30" t="str">
        <x:v>No</x:v>
      </x:c>
      <x:c r="H907" s="30" t="str">
        <x:v>Ordinary claim</x:v>
      </x:c>
      <x:c r="I907" s="31" t="n">
        <x:f>IF(G907="Yes",'Controls &amp; Summary'!$B$5,'Controls &amp; Summary'!$B$4)</x:f>
        <x:v>6</x:v>
      </x:c>
      <x:c r="J907" s="31" t="n">
        <x:v>7.85</x:v>
      </x:c>
      <x:c r="K907" s="31" t="n">
        <x:v>5.72</x:v>
      </x:c>
      <x:c r="L907" s="31" t="n">
        <x:f>ABS(J907-K907)</x:f>
        <x:v>2.13</x:v>
      </x:c>
      <x:c r="M907" s="31" t="n">
        <x:v>4.17</x:v>
      </x:c>
      <x:c r="N907" s="31" t="n">
        <x:v>3.88</x:v>
      </x:c>
      <x:c r="O907" s="31" t="n">
        <x:f>ABS(M907-N907)</x:f>
        <x:v>0.29000000000000004</x:v>
      </x:c>
      <x:c r="P907" s="31" t="n">
        <x:v>9</x:v>
      </x:c>
      <x:c r="Q907" s="31" t="n">
        <x:v>5.55</x:v>
      </x:c>
      <x:c r="R907" s="31" t="n">
        <x:f>ABS(P907-Q907)</x:f>
        <x:v>3.45</x:v>
      </x:c>
      <x:c r="S907" s="32" t="n">
        <x:v>75863.2002125422</x:v>
      </x:c>
      <x:c r="T907" s="32" t="n">
        <x:v>9297.797142788448</x:v>
      </x:c>
      <x:c r="U907" s="31" t="n">
        <x:f>MAX(S907/T907,T907/S907)</x:f>
        <x:v>8.159266011883597</x:v>
      </x:c>
      <x:c r="V907" s="31" t="n">
        <x:f>L907*'Controls &amp; Summary'!$B$9+O907*'Controls &amp; Summary'!$B$10+R907*'Controls &amp; Summary'!$B$11+U907*'Controls &amp; Summary'!$B$12</x:f>
        <x:v>14.029266011883596</x:v>
      </x:c>
      <x:c r="W907" s="31" t="n">
        <x:v>3</x:v>
      </x:c>
      <x:c r="X907" s="31" t="n">
        <x:v>6</x:v>
      </x:c>
      <x:c r="Y907" s="31" t="n">
        <x:f>((10-MIN(10,MAX(0,X907)))/10)*'Controls &amp; Summary'!$B$15+((10-MIN(10,MAX(0,W907)))/10)*'Controls &amp; Summary'!$B$16</x:f>
        <x:v>1.1</x:v>
      </x:c>
      <x:c r="Z907" s="31" t="n">
        <x:f>V907*Y907</x:f>
        <x:v>15.432192613071956</x:v>
      </x:c>
      <x:c r="AA907" s="30" t="str">
        <x:f>IF(Z907&lt;=I907,"Peaceful","Hostile")</x:f>
        <x:v>Hostile</x:v>
      </x:c>
      <x:c r="AB907" s="30" t="str">
        <x:f>IF(Z907&lt;='Controls &amp; Summary'!$B$6,"Eligible","Blocked")</x:f>
        <x:v>Blocked</x:v>
      </x:c>
      <x:c r="AC907" s="30" t="str">
        <x:v>USA</x:v>
      </x:c>
      <x:c r="AD907" s="30" t="str">
        <x:v>ELS</x:v>
      </x:c>
      <x:c r="AE907" s="30" t="str">
        <x:v>ElSalvador</x:v>
      </x:c>
      <x:c r="AF907" s="30" t="str">
        <x:v>Explicit capitalClaim</x:v>
      </x:c>
      <x:c r="AG907" s="30" t="str">
        <x:v>ClaimUSAElSalvador</x:v>
      </x:c>
      <x:c r="AH907" s="30" t="str">
        <x:v>Project_GreaterUnitedNorthAmerica</x:v>
      </x:c>
    </x:row>
    <x:row r="908">
      <x:c r="A908" s="30" t="str">
        <x:v>2022</x:v>
      </x:c>
      <x:c r="B908" s="30" t="str">
        <x:v>Base game</x:v>
      </x:c>
      <x:c r="C908" s="30" t="str">
        <x:v>United States of America</x:v>
      </x:c>
      <x:c r="D908" s="30" t="str">
        <x:v>Guatemala</x:v>
      </x:c>
      <x:c r="E908" s="30" t="str">
        <x:v>Project unlock</x:v>
      </x:c>
      <x:c r="F908" s="30" t="str">
        <x:v>Greater United North America</x:v>
      </x:c>
      <x:c r="G908" s="30" t="str">
        <x:v>No</x:v>
      </x:c>
      <x:c r="H908" s="30" t="str">
        <x:v>Ordinary claim</x:v>
      </x:c>
      <x:c r="I908" s="31" t="n">
        <x:f>IF(G908="Yes",'Controls &amp; Summary'!$B$5,'Controls &amp; Summary'!$B$4)</x:f>
        <x:v>6</x:v>
      </x:c>
      <x:c r="J908" s="31" t="n">
        <x:v>7.85</x:v>
      </x:c>
      <x:c r="K908" s="31" t="n">
        <x:v>4.62</x:v>
      </x:c>
      <x:c r="L908" s="31" t="n">
        <x:f>ABS(J908-K908)</x:f>
        <x:v>3.2299999999999995</x:v>
      </x:c>
      <x:c r="M908" s="31" t="n">
        <x:v>4.17</x:v>
      </x:c>
      <x:c r="N908" s="31" t="n">
        <x:v>4.83</x:v>
      </x:c>
      <x:c r="O908" s="31" t="n">
        <x:f>ABS(M908-N908)</x:f>
        <x:v>0.6600000000000001</x:v>
      </x:c>
      <x:c r="P908" s="31" t="n">
        <x:v>9</x:v>
      </x:c>
      <x:c r="Q908" s="31" t="n">
        <x:v>5.19</x:v>
      </x:c>
      <x:c r="R908" s="31" t="n">
        <x:f>ABS(P908-Q908)</x:f>
        <x:v>3.8099999999999996</x:v>
      </x:c>
      <x:c r="S908" s="32" t="n">
        <x:v>75863.2002125422</x:v>
      </x:c>
      <x:c r="T908" s="32" t="n">
        <x:v>8733.491490836697</x:v>
      </x:c>
      <x:c r="U908" s="31" t="n">
        <x:f>MAX(S908/T908,T908/S908)</x:f>
        <x:v>8.686468669734085</x:v>
      </x:c>
      <x:c r="V908" s="31" t="n">
        <x:f>L908*'Controls &amp; Summary'!$B$9+O908*'Controls &amp; Summary'!$B$10+R908*'Controls &amp; Summary'!$B$11+U908*'Controls &amp; Summary'!$B$12</x:f>
        <x:v>16.386468669734086</x:v>
      </x:c>
      <x:c r="W908" s="31" t="n">
        <x:v>3</x:v>
      </x:c>
      <x:c r="X908" s="31" t="n">
        <x:v>4</x:v>
      </x:c>
      <x:c r="Y908" s="31" t="n">
        <x:f>((10-MIN(10,MAX(0,X908)))/10)*'Controls &amp; Summary'!$B$15+((10-MIN(10,MAX(0,W908)))/10)*'Controls &amp; Summary'!$B$16</x:f>
        <x:v>1.2999999999999998</x:v>
      </x:c>
      <x:c r="Z908" s="31" t="n">
        <x:f>V908*Y908</x:f>
        <x:v>21.30240927065431</x:v>
      </x:c>
      <x:c r="AA908" s="30" t="str">
        <x:f>IF(Z908&lt;=I908,"Peaceful","Hostile")</x:f>
        <x:v>Hostile</x:v>
      </x:c>
      <x:c r="AB908" s="30" t="str">
        <x:f>IF(Z908&lt;='Controls &amp; Summary'!$B$6,"Eligible","Blocked")</x:f>
        <x:v>Blocked</x:v>
      </x:c>
      <x:c r="AC908" s="30" t="str">
        <x:v>USA</x:v>
      </x:c>
      <x:c r="AD908" s="30" t="str">
        <x:v>GTM</x:v>
      </x:c>
      <x:c r="AE908" s="30" t="str">
        <x:v>Guatemala</x:v>
      </x:c>
      <x:c r="AF908" s="30" t="str">
        <x:v>Explicit capitalClaim</x:v>
      </x:c>
      <x:c r="AG908" s="30" t="str">
        <x:v>ClaimUSAGuatemala</x:v>
      </x:c>
      <x:c r="AH908" s="30" t="str">
        <x:v>Project_GreaterUnitedNorthAmerica</x:v>
      </x:c>
    </x:row>
    <x:row r="909">
      <x:c r="A909" s="30" t="str">
        <x:v>2022</x:v>
      </x:c>
      <x:c r="B909" s="30" t="str">
        <x:v>Base game</x:v>
      </x:c>
      <x:c r="C909" s="30" t="str">
        <x:v>United States of America</x:v>
      </x:c>
      <x:c r="D909" s="30" t="str">
        <x:v>Haiti</x:v>
      </x:c>
      <x:c r="E909" s="30" t="str">
        <x:v>Project unlock</x:v>
      </x:c>
      <x:c r="F909" s="30" t="str">
        <x:v>Greater United North America</x:v>
      </x:c>
      <x:c r="G909" s="30" t="str">
        <x:v>No</x:v>
      </x:c>
      <x:c r="H909" s="30" t="str">
        <x:v>Ordinary claim</x:v>
      </x:c>
      <x:c r="I909" s="31" t="n">
        <x:f>IF(G909="Yes",'Controls &amp; Summary'!$B$5,'Controls &amp; Summary'!$B$4)</x:f>
        <x:v>6</x:v>
      </x:c>
      <x:c r="J909" s="31" t="n">
        <x:v>7.85</x:v>
      </x:c>
      <x:c r="K909" s="31" t="n">
        <x:v>3.48</x:v>
      </x:c>
      <x:c r="L909" s="31" t="n">
        <x:f>ABS(J909-K909)</x:f>
        <x:v>4.369999999999999</x:v>
      </x:c>
      <x:c r="M909" s="31" t="n">
        <x:v>4.17</x:v>
      </x:c>
      <x:c r="N909" s="31" t="n">
        <x:v>4.11</x:v>
      </x:c>
      <x:c r="O909" s="31" t="n">
        <x:f>ABS(M909-N909)</x:f>
        <x:v>0.05999999999999961</x:v>
      </x:c>
      <x:c r="P909" s="31" t="n">
        <x:v>9</x:v>
      </x:c>
      <x:c r="Q909" s="31" t="n">
        <x:v>4.56</x:v>
      </x:c>
      <x:c r="R909" s="31" t="n">
        <x:f>ABS(P909-Q909)</x:f>
        <x:v>4.44</x:v>
      </x:c>
      <x:c r="S909" s="32" t="n">
        <x:v>75863.2002125422</x:v>
      </x:c>
      <x:c r="T909" s="32" t="n">
        <x:v>2888.1734087554805</x:v>
      </x:c>
      <x:c r="U909" s="31" t="n">
        <x:f>MAX(S909/T909,T909/S909)</x:f>
        <x:v>26.26684394453718</x:v>
      </x:c>
      <x:c r="V909" s="31" t="n">
        <x:f>L909*'Controls &amp; Summary'!$B$9+O909*'Controls &amp; Summary'!$B$10+R909*'Controls &amp; Summary'!$B$11+U909*'Controls &amp; Summary'!$B$12</x:f>
        <x:v>35.136843944537176</x:v>
      </x:c>
      <x:c r="W909" s="31" t="n">
        <x:v>3</x:v>
      </x:c>
      <x:c r="X909" s="31" t="n">
        <x:v>5</x:v>
      </x:c>
      <x:c r="Y909" s="31" t="n">
        <x:f>((10-MIN(10,MAX(0,X909)))/10)*'Controls &amp; Summary'!$B$15+((10-MIN(10,MAX(0,W909)))/10)*'Controls &amp; Summary'!$B$16</x:f>
        <x:v>1.2</x:v>
      </x:c>
      <x:c r="Z909" s="31" t="n">
        <x:f>V909*Y909</x:f>
        <x:v>42.16421273344461</x:v>
      </x:c>
      <x:c r="AA909" s="30" t="str">
        <x:f>IF(Z909&lt;=I909,"Peaceful","Hostile")</x:f>
        <x:v>Hostile</x:v>
      </x:c>
      <x:c r="AB909" s="30" t="str">
        <x:f>IF(Z909&lt;='Controls &amp; Summary'!$B$6,"Eligible","Blocked")</x:f>
        <x:v>Blocked</x:v>
      </x:c>
      <x:c r="AC909" s="30" t="str">
        <x:v>USA</x:v>
      </x:c>
      <x:c r="AD909" s="30" t="str">
        <x:v>HTI</x:v>
      </x:c>
      <x:c r="AE909" s="30" t="str">
        <x:v>WestHispanola</x:v>
      </x:c>
      <x:c r="AF909" s="30" t="str">
        <x:v>Explicit capitalClaim</x:v>
      </x:c>
      <x:c r="AG909" s="30" t="str">
        <x:v>ClaimUSAWestHispanola</x:v>
      </x:c>
      <x:c r="AH909" s="30" t="str">
        <x:v>Project_GreaterUnitedNorthAmerica</x:v>
      </x:c>
    </x:row>
    <x:row r="910">
      <x:c r="A910" s="30" t="str">
        <x:v>2022</x:v>
      </x:c>
      <x:c r="B910" s="30" t="str">
        <x:v>Base game</x:v>
      </x:c>
      <x:c r="C910" s="30" t="str">
        <x:v>United States of America</x:v>
      </x:c>
      <x:c r="D910" s="30" t="str">
        <x:v>Honduras</x:v>
      </x:c>
      <x:c r="E910" s="30" t="str">
        <x:v>Project unlock</x:v>
      </x:c>
      <x:c r="F910" s="30" t="str">
        <x:v>Greater United North America</x:v>
      </x:c>
      <x:c r="G910" s="30" t="str">
        <x:v>No</x:v>
      </x:c>
      <x:c r="H910" s="30" t="str">
        <x:v>Ordinary claim</x:v>
      </x:c>
      <x:c r="I910" s="31" t="n">
        <x:f>IF(G910="Yes",'Controls &amp; Summary'!$B$5,'Controls &amp; Summary'!$B$4)</x:f>
        <x:v>6</x:v>
      </x:c>
      <x:c r="J910" s="31" t="n">
        <x:v>7.85</x:v>
      </x:c>
      <x:c r="K910" s="31" t="n">
        <x:v>5.1</x:v>
      </x:c>
      <x:c r="L910" s="31" t="n">
        <x:f>ABS(J910-K910)</x:f>
        <x:v>2.75</x:v>
      </x:c>
      <x:c r="M910" s="31" t="n">
        <x:v>4.17</x:v>
      </x:c>
      <x:c r="N910" s="31" t="n">
        <x:v>4.82</x:v>
      </x:c>
      <x:c r="O910" s="31" t="n">
        <x:f>ABS(M910-N910)</x:f>
        <x:v>0.6500000000000004</x:v>
      </x:c>
      <x:c r="P910" s="31" t="n">
        <x:v>9</x:v>
      </x:c>
      <x:c r="Q910" s="31" t="n">
        <x:v>4.99</x:v>
      </x:c>
      <x:c r="R910" s="31" t="n">
        <x:f>ABS(P910-Q910)</x:f>
        <x:v>4.01</x:v>
      </x:c>
      <x:c r="S910" s="32" t="n">
        <x:v>75863.2002125422</x:v>
      </x:c>
      <x:c r="T910" s="32" t="n">
        <x:v>5945.335747799667</x:v>
      </x:c>
      <x:c r="U910" s="31" t="n">
        <x:f>MAX(S910/T910,T910/S910)</x:f>
        <x:v>12.760120442418868</x:v>
      </x:c>
      <x:c r="V910" s="31" t="n">
        <x:f>L910*'Controls &amp; Summary'!$B$9+O910*'Controls &amp; Summary'!$B$10+R910*'Controls &amp; Summary'!$B$11+U910*'Controls &amp; Summary'!$B$12</x:f>
        <x:v>20.17012044241887</x:v>
      </x:c>
      <x:c r="W910" s="31" t="n">
        <x:v>3</x:v>
      </x:c>
      <x:c r="X910" s="31" t="n">
        <x:v>4</x:v>
      </x:c>
      <x:c r="Y910" s="31" t="n">
        <x:f>((10-MIN(10,MAX(0,X910)))/10)*'Controls &amp; Summary'!$B$15+((10-MIN(10,MAX(0,W910)))/10)*'Controls &amp; Summary'!$B$16</x:f>
        <x:v>1.2999999999999998</x:v>
      </x:c>
      <x:c r="Z910" s="31" t="n">
        <x:f>V910*Y910</x:f>
        <x:v>26.221156575144526</x:v>
      </x:c>
      <x:c r="AA910" s="30" t="str">
        <x:f>IF(Z910&lt;=I910,"Peaceful","Hostile")</x:f>
        <x:v>Hostile</x:v>
      </x:c>
      <x:c r="AB910" s="30" t="str">
        <x:f>IF(Z910&lt;='Controls &amp; Summary'!$B$6,"Eligible","Blocked")</x:f>
        <x:v>Blocked</x:v>
      </x:c>
      <x:c r="AC910" s="30" t="str">
        <x:v>USA</x:v>
      </x:c>
      <x:c r="AD910" s="30" t="str">
        <x:v>HON</x:v>
      </x:c>
      <x:c r="AE910" s="30" t="str">
        <x:v>Honduras</x:v>
      </x:c>
      <x:c r="AF910" s="30" t="str">
        <x:v>Explicit capitalClaim</x:v>
      </x:c>
      <x:c r="AG910" s="30" t="str">
        <x:v>ClaimUSAHonduras</x:v>
      </x:c>
      <x:c r="AH910" s="30" t="str">
        <x:v>Project_GreaterUnitedNorthAmerica</x:v>
      </x:c>
    </x:row>
    <x:row r="911">
      <x:c r="A911" s="30" t="str">
        <x:v>2022</x:v>
      </x:c>
      <x:c r="B911" s="30" t="str">
        <x:v>Base game</x:v>
      </x:c>
      <x:c r="C911" s="30" t="str">
        <x:v>United States of America</x:v>
      </x:c>
      <x:c r="D911" s="30" t="str">
        <x:v>Jamaica</x:v>
      </x:c>
      <x:c r="E911" s="30" t="str">
        <x:v>Project unlock</x:v>
      </x:c>
      <x:c r="F911" s="30" t="str">
        <x:v>Greater United North America</x:v>
      </x:c>
      <x:c r="G911" s="30" t="str">
        <x:v>No</x:v>
      </x:c>
      <x:c r="H911" s="30" t="str">
        <x:v>Ordinary claim</x:v>
      </x:c>
      <x:c r="I911" s="31" t="n">
        <x:f>IF(G911="Yes",'Controls &amp; Summary'!$B$5,'Controls &amp; Summary'!$B$4)</x:f>
        <x:v>6</x:v>
      </x:c>
      <x:c r="J911" s="31" t="n">
        <x:v>7.85</x:v>
      </x:c>
      <x:c r="K911" s="31" t="n">
        <x:v>7.13</x:v>
      </x:c>
      <x:c r="L911" s="31" t="n">
        <x:f>ABS(J911-K911)</x:f>
        <x:v>0.7199999999999998</x:v>
      </x:c>
      <x:c r="M911" s="31" t="n">
        <x:v>4.17</x:v>
      </x:c>
      <x:c r="N911" s="31" t="n">
        <x:v>4.55</x:v>
      </x:c>
      <x:c r="O911" s="31" t="n">
        <x:f>ABS(M911-N911)</x:f>
        <x:v>0.3799999999999999</x:v>
      </x:c>
      <x:c r="P911" s="31" t="n">
        <x:v>9</x:v>
      </x:c>
      <x:c r="Q911" s="31" t="n">
        <x:v>6.89</x:v>
      </x:c>
      <x:c r="R911" s="31" t="n">
        <x:f>ABS(P911-Q911)</x:f>
        <x:v>2.1100000000000003</x:v>
      </x:c>
      <x:c r="S911" s="32" t="n">
        <x:v>75863.2002125422</x:v>
      </x:c>
      <x:c r="T911" s="32" t="n">
        <x:v>9533.676121394335</x:v>
      </x:c>
      <x:c r="U911" s="31" t="n">
        <x:f>MAX(S911/T911,T911/S911)</x:f>
        <x:v>7.9573922216949535</x:v>
      </x:c>
      <x:c r="V911" s="31" t="n">
        <x:f>L911*'Controls &amp; Summary'!$B$9+O911*'Controls &amp; Summary'!$B$10+R911*'Controls &amp; Summary'!$B$11+U911*'Controls &amp; Summary'!$B$12</x:f>
        <x:v>11.167392221694953</x:v>
      </x:c>
      <x:c r="W911" s="31" t="n">
        <x:v>3</x:v>
      </x:c>
      <x:c r="X911" s="31" t="n">
        <x:v>2</x:v>
      </x:c>
      <x:c r="Y911" s="31" t="n">
        <x:f>((10-MIN(10,MAX(0,X911)))/10)*'Controls &amp; Summary'!$B$15+((10-MIN(10,MAX(0,W911)))/10)*'Controls &amp; Summary'!$B$16</x:f>
        <x:v>1.5</x:v>
      </x:c>
      <x:c r="Z911" s="31" t="n">
        <x:f>V911*Y911</x:f>
        <x:v>16.75108833254243</x:v>
      </x:c>
      <x:c r="AA911" s="30" t="str">
        <x:f>IF(Z911&lt;=I911,"Peaceful","Hostile")</x:f>
        <x:v>Hostile</x:v>
      </x:c>
      <x:c r="AB911" s="30" t="str">
        <x:f>IF(Z911&lt;='Controls &amp; Summary'!$B$6,"Eligible","Blocked")</x:f>
        <x:v>Blocked</x:v>
      </x:c>
      <x:c r="AC911" s="30" t="str">
        <x:v>USA</x:v>
      </x:c>
      <x:c r="AD911" s="30" t="str">
        <x:v>JAM</x:v>
      </x:c>
      <x:c r="AE911" s="30" t="str">
        <x:v>Jamaica</x:v>
      </x:c>
      <x:c r="AF911" s="30" t="str">
        <x:v>Explicit capitalClaim</x:v>
      </x:c>
      <x:c r="AG911" s="30" t="str">
        <x:v>ClaimUSAJamaica</x:v>
      </x:c>
      <x:c r="AH911" s="30" t="str">
        <x:v>Project_GreaterUnitedNorthAmerica</x:v>
      </x:c>
    </x:row>
    <x:row r="912">
      <x:c r="A912" s="30" t="str">
        <x:v>2022</x:v>
      </x:c>
      <x:c r="B912" s="30" t="str">
        <x:v>Base game</x:v>
      </x:c>
      <x:c r="C912" s="30" t="str">
        <x:v>United States of America</x:v>
      </x:c>
      <x:c r="D912" s="30" t="str">
        <x:v>Lesser Antilles States</x:v>
      </x:c>
      <x:c r="E912" s="30" t="str">
        <x:v>Project unlock</x:v>
      </x:c>
      <x:c r="F912" s="30" t="str">
        <x:v>Greater United North America</x:v>
      </x:c>
      <x:c r="G912" s="30" t="str">
        <x:v>No</x:v>
      </x:c>
      <x:c r="H912" s="30" t="str">
        <x:v>Ordinary claim</x:v>
      </x:c>
      <x:c r="I912" s="31" t="n">
        <x:f>IF(G912="Yes",'Controls &amp; Summary'!$B$5,'Controls &amp; Summary'!$B$4)</x:f>
        <x:v>6</x:v>
      </x:c>
      <x:c r="J912" s="31" t="n">
        <x:v>7.85</x:v>
      </x:c>
      <x:c r="K912" s="31" t="n">
        <x:v>7.95</x:v>
      </x:c>
      <x:c r="L912" s="31" t="n">
        <x:f>ABS(J912-K912)</x:f>
        <x:v>0.10000000000000053</x:v>
      </x:c>
      <x:c r="M912" s="31" t="n">
        <x:v>4.17</x:v>
      </x:c>
      <x:c r="N912" s="31" t="n">
        <x:v>4.15</x:v>
      </x:c>
      <x:c r="O912" s="31" t="n">
        <x:f>ABS(M912-N912)</x:f>
        <x:v>0.019999999999999574</x:v>
      </x:c>
      <x:c r="P912" s="31" t="n">
        <x:v>9</x:v>
      </x:c>
      <x:c r="Q912" s="31" t="n">
        <x:v>7.23</x:v>
      </x:c>
      <x:c r="R912" s="31" t="n">
        <x:f>ABS(P912-Q912)</x:f>
        <x:v>1.7699999999999996</x:v>
      </x:c>
      <x:c r="S912" s="32" t="n">
        <x:v>75863.2002125422</x:v>
      </x:c>
      <x:c r="T912" s="32" t="n">
        <x:v>22262.965266706797</x:v>
      </x:c>
      <x:c r="U912" s="31" t="n">
        <x:f>MAX(S912/T912,T912/S912)</x:f>
        <x:v>3.4075963962443043</x:v>
      </x:c>
      <x:c r="V912" s="31" t="n">
        <x:f>L912*'Controls &amp; Summary'!$B$9+O912*'Controls &amp; Summary'!$B$10+R912*'Controls &amp; Summary'!$B$11+U912*'Controls &amp; Summary'!$B$12</x:f>
        <x:v>5.297596396244304</x:v>
      </x:c>
      <x:c r="W912" s="31" t="n">
        <x:v>3</x:v>
      </x:c>
      <x:c r="X912" s="31" t="n">
        <x:v>2</x:v>
      </x:c>
      <x:c r="Y912" s="31" t="n">
        <x:f>((10-MIN(10,MAX(0,X912)))/10)*'Controls &amp; Summary'!$B$15+((10-MIN(10,MAX(0,W912)))/10)*'Controls &amp; Summary'!$B$16</x:f>
        <x:v>1.5</x:v>
      </x:c>
      <x:c r="Z912" s="31" t="n">
        <x:f>V912*Y912</x:f>
        <x:v>7.946394594366455</x:v>
      </x:c>
      <x:c r="AA912" s="30" t="str">
        <x:f>IF(Z912&lt;=I912,"Peaceful","Hostile")</x:f>
        <x:v>Hostile</x:v>
      </x:c>
      <x:c r="AB912" s="30" t="str">
        <x:f>IF(Z912&lt;='Controls &amp; Summary'!$B$6,"Eligible","Blocked")</x:f>
        <x:v>Eligible</x:v>
      </x:c>
      <x:c r="AC912" s="30" t="str">
        <x:v>USA</x:v>
      </x:c>
      <x:c r="AD912" s="30" t="str">
        <x:v>CAB</x:v>
      </x:c>
      <x:c r="AE912" s="30" t="str">
        <x:v>WestIndies</x:v>
      </x:c>
      <x:c r="AF912" s="30" t="str">
        <x:v>Explicit capitalClaim</x:v>
      </x:c>
      <x:c r="AG912" s="30" t="str">
        <x:v>ClaimUSAWestIndies</x:v>
      </x:c>
      <x:c r="AH912" s="30" t="str">
        <x:v>Project_GreaterUnitedNorthAmerica</x:v>
      </x:c>
    </x:row>
    <x:row r="913">
      <x:c r="A913" s="30" t="str">
        <x:v>2022</x:v>
      </x:c>
      <x:c r="B913" s="30" t="str">
        <x:v>Base game</x:v>
      </x:c>
      <x:c r="C913" s="30" t="str">
        <x:v>United States of America</x:v>
      </x:c>
      <x:c r="D913" s="30" t="str">
        <x:v>Mexico</x:v>
      </x:c>
      <x:c r="E913" s="30" t="str">
        <x:v>Project unlock</x:v>
      </x:c>
      <x:c r="F913" s="30" t="str">
        <x:v>Greater United North America</x:v>
      </x:c>
      <x:c r="G913" s="30" t="str">
        <x:v>No</x:v>
      </x:c>
      <x:c r="H913" s="30" t="str">
        <x:v>Ordinary claim</x:v>
      </x:c>
      <x:c r="I913" s="31" t="n">
        <x:f>IF(G913="Yes",'Controls &amp; Summary'!$B$5,'Controls &amp; Summary'!$B$4)</x:f>
        <x:v>6</x:v>
      </x:c>
      <x:c r="J913" s="31" t="n">
        <x:v>7.85</x:v>
      </x:c>
      <x:c r="K913" s="31" t="n">
        <x:v>5.57</x:v>
      </x:c>
      <x:c r="L913" s="31" t="n">
        <x:f>ABS(J913-K913)</x:f>
        <x:v>2.2799999999999994</x:v>
      </x:c>
      <x:c r="M913" s="31" t="n">
        <x:v>4.17</x:v>
      </x:c>
      <x:c r="N913" s="31" t="n">
        <x:v>4.54</x:v>
      </x:c>
      <x:c r="O913" s="31" t="n">
        <x:f>ABS(M913-N913)</x:f>
        <x:v>0.3700000000000001</x:v>
      </x:c>
      <x:c r="P913" s="31" t="n">
        <x:v>9</x:v>
      </x:c>
      <x:c r="Q913" s="31" t="n">
        <x:v>7.03</x:v>
      </x:c>
      <x:c r="R913" s="31" t="n">
        <x:f>ABS(P913-Q913)</x:f>
        <x:v>1.9699999999999998</x:v>
      </x:c>
      <x:c r="S913" s="32" t="n">
        <x:v>75863.2002125422</x:v>
      </x:c>
      <x:c r="T913" s="32" t="n">
        <x:v>19276.2061564296</x:v>
      </x:c>
      <x:c r="U913" s="31" t="n">
        <x:f>MAX(S913/T913,T913/S913)</x:f>
        <x:v>3.9355877187087436</x:v>
      </x:c>
      <x:c r="V913" s="31" t="n">
        <x:f>L913*'Controls &amp; Summary'!$B$9+O913*'Controls &amp; Summary'!$B$10+R913*'Controls &amp; Summary'!$B$11+U913*'Controls &amp; Summary'!$B$12</x:f>
        <x:v>8.555587718708743</x:v>
      </x:c>
      <x:c r="W913" s="31" t="n">
        <x:v>3</x:v>
      </x:c>
      <x:c r="X913" s="31" t="n">
        <x:v>6</x:v>
      </x:c>
      <x:c r="Y913" s="31" t="n">
        <x:f>((10-MIN(10,MAX(0,X913)))/10)*'Controls &amp; Summary'!$B$15+((10-MIN(10,MAX(0,W913)))/10)*'Controls &amp; Summary'!$B$16</x:f>
        <x:v>1.1</x:v>
      </x:c>
      <x:c r="Z913" s="31" t="n">
        <x:f>V913*Y913</x:f>
        <x:v>9.411146490579618</x:v>
      </x:c>
      <x:c r="AA913" s="30" t="str">
        <x:f>IF(Z913&lt;=I913,"Peaceful","Hostile")</x:f>
        <x:v>Hostile</x:v>
      </x:c>
      <x:c r="AB913" s="30" t="str">
        <x:f>IF(Z913&lt;='Controls &amp; Summary'!$B$6,"Eligible","Blocked")</x:f>
        <x:v>Eligible</x:v>
      </x:c>
      <x:c r="AC913" s="30" t="str">
        <x:v>USA</x:v>
      </x:c>
      <x:c r="AD913" s="30" t="str">
        <x:v>MEX</x:v>
      </x:c>
      <x:c r="AE913" s="30" t="str">
        <x:v>MexicoCity</x:v>
      </x:c>
      <x:c r="AF913" s="30" t="str">
        <x:v>Explicit capitalClaim</x:v>
      </x:c>
      <x:c r="AG913" s="30" t="str">
        <x:v>ClaimUSAMexicoCity</x:v>
      </x:c>
      <x:c r="AH913" s="30" t="str">
        <x:v>Project_GreaterUnitedNorthAmerica</x:v>
      </x:c>
    </x:row>
    <x:row r="914">
      <x:c r="A914" s="30" t="str">
        <x:v>2022</x:v>
      </x:c>
      <x:c r="B914" s="30" t="str">
        <x:v>Base game</x:v>
      </x:c>
      <x:c r="C914" s="30" t="str">
        <x:v>United States of America</x:v>
      </x:c>
      <x:c r="D914" s="30" t="str">
        <x:v>Micronesian States</x:v>
      </x:c>
      <x:c r="E914" s="30" t="str">
        <x:v>Project unlock</x:v>
      </x:c>
      <x:c r="F914" s="30" t="str">
        <x:v>United North America</x:v>
      </x:c>
      <x:c r="G914" s="30" t="str">
        <x:v>No</x:v>
      </x:c>
      <x:c r="H914" s="30" t="str">
        <x:v>Ordinary claim</x:v>
      </x:c>
      <x:c r="I914" s="31" t="n">
        <x:f>IF(G914="Yes",'Controls &amp; Summary'!$B$5,'Controls &amp; Summary'!$B$4)</x:f>
        <x:v>6</x:v>
      </x:c>
      <x:c r="J914" s="31" t="n">
        <x:v>7.85</x:v>
      </x:c>
      <x:c r="K914" s="31" t="n">
        <x:v>9.21</x:v>
      </x:c>
      <x:c r="L914" s="31" t="n">
        <x:f>ABS(J914-K914)</x:f>
        <x:v>1.3600000000000012</x:v>
      </x:c>
      <x:c r="M914" s="31" t="n">
        <x:v>4.17</x:v>
      </x:c>
      <x:c r="N914" s="31" t="n">
        <x:v>3.5</x:v>
      </x:c>
      <x:c r="O914" s="31" t="n">
        <x:f>ABS(M914-N914)</x:f>
        <x:v>0.6699999999999999</x:v>
      </x:c>
      <x:c r="P914" s="31" t="n">
        <x:v>9</x:v>
      </x:c>
      <x:c r="Q914" s="31" t="n">
        <x:v>6.3</x:v>
      </x:c>
      <x:c r="R914" s="31" t="n">
        <x:f>ABS(P914-Q914)</x:f>
        <x:v>2.7</x:v>
      </x:c>
      <x:c r="S914" s="32" t="n">
        <x:v>75863.2002125422</x:v>
      </x:c>
      <x:c r="T914" s="32" t="n">
        <x:v>4400.046986099545</x:v>
      </x:c>
      <x:c r="U914" s="31" t="n">
        <x:f>MAX(S914/T914,T914/S914)</x:f>
        <x:v>17.241452296351884</x:v>
      </x:c>
      <x:c r="V914" s="31" t="n">
        <x:f>L914*'Controls &amp; Summary'!$B$9+O914*'Controls &amp; Summary'!$B$10+R914*'Controls &amp; Summary'!$B$11+U914*'Controls &amp; Summary'!$B$12</x:f>
        <x:v>21.971452296351885</x:v>
      </x:c>
      <x:c r="W914" s="31" t="n">
        <x:v>3</x:v>
      </x:c>
      <x:c r="X914" s="31" t="n">
        <x:v>0</x:v>
      </x:c>
      <x:c r="Y914" s="31" t="n">
        <x:f>((10-MIN(10,MAX(0,X914)))/10)*'Controls &amp; Summary'!$B$15+((10-MIN(10,MAX(0,W914)))/10)*'Controls &amp; Summary'!$B$16</x:f>
        <x:v>1.7</x:v>
      </x:c>
      <x:c r="Z914" s="31" t="n">
        <x:f>V914*Y914</x:f>
        <x:v>37.3514689037982</x:v>
      </x:c>
      <x:c r="AA914" s="30" t="str">
        <x:f>IF(Z914&lt;=I914,"Peaceful","Hostile")</x:f>
        <x:v>Hostile</x:v>
      </x:c>
      <x:c r="AB914" s="30" t="str">
        <x:f>IF(Z914&lt;='Controls &amp; Summary'!$B$6,"Eligible","Blocked")</x:f>
        <x:v>Blocked</x:v>
      </x:c>
      <x:c r="AC914" s="30" t="str">
        <x:v>USA</x:v>
      </x:c>
      <x:c r="AD914" s="30" t="str">
        <x:v>MCS</x:v>
      </x:c>
      <x:c r="AE914" s="30" t="str">
        <x:v>Micronesia</x:v>
      </x:c>
      <x:c r="AF914" s="30" t="str">
        <x:v>Explicit capitalClaim</x:v>
      </x:c>
      <x:c r="AG914" s="30" t="str">
        <x:v>ClaimUSAMicronesia</x:v>
      </x:c>
      <x:c r="AH914" s="30" t="str">
        <x:v>Project_UnitedNorthAmerica</x:v>
      </x:c>
    </x:row>
    <x:row r="915">
      <x:c r="A915" s="30" t="str">
        <x:v>2022</x:v>
      </x:c>
      <x:c r="B915" s="30" t="str">
        <x:v>Base game</x:v>
      </x:c>
      <x:c r="C915" s="30" t="str">
        <x:v>United States of America</x:v>
      </x:c>
      <x:c r="D915" s="30" t="str">
        <x:v>Nicaragua</x:v>
      </x:c>
      <x:c r="E915" s="30" t="str">
        <x:v>Project unlock</x:v>
      </x:c>
      <x:c r="F915" s="30" t="str">
        <x:v>Greater United North America</x:v>
      </x:c>
      <x:c r="G915" s="30" t="str">
        <x:v>No</x:v>
      </x:c>
      <x:c r="H915" s="30" t="str">
        <x:v>Ordinary claim</x:v>
      </x:c>
      <x:c r="I915" s="31" t="n">
        <x:f>IF(G915="Yes",'Controls &amp; Summary'!$B$5,'Controls &amp; Summary'!$B$4)</x:f>
        <x:v>6</x:v>
      </x:c>
      <x:c r="J915" s="31" t="n">
        <x:v>7.85</x:v>
      </x:c>
      <x:c r="K915" s="31" t="n">
        <x:v>2.69</x:v>
      </x:c>
      <x:c r="L915" s="31" t="n">
        <x:f>ABS(J915-K915)</x:f>
        <x:v>5.16</x:v>
      </x:c>
      <x:c r="M915" s="31" t="n">
        <x:v>4.17</x:v>
      </x:c>
      <x:c r="N915" s="31" t="n">
        <x:v>4.62</x:v>
      </x:c>
      <x:c r="O915" s="31" t="n">
        <x:f>ABS(M915-N915)</x:f>
        <x:v>0.4500000000000002</x:v>
      </x:c>
      <x:c r="P915" s="31" t="n">
        <x:v>9</x:v>
      </x:c>
      <x:c r="Q915" s="31" t="n">
        <x:v>5.73</x:v>
      </x:c>
      <x:c r="R915" s="31" t="n">
        <x:f>ABS(P915-Q915)</x:f>
        <x:v>3.2699999999999996</x:v>
      </x:c>
      <x:c r="S915" s="32" t="n">
        <x:v>75863.2002125422</x:v>
      </x:c>
      <x:c r="T915" s="32" t="n">
        <x:v>6048.567399393878</x:v>
      </x:c>
      <x:c r="U915" s="31" t="n">
        <x:f>MAX(S915/T915,T915/S915)</x:f>
        <x:v>12.54234188084676</x:v>
      </x:c>
      <x:c r="V915" s="31" t="n">
        <x:f>L915*'Controls &amp; Summary'!$B$9+O915*'Controls &amp; Summary'!$B$10+R915*'Controls &amp; Summary'!$B$11+U915*'Controls &amp; Summary'!$B$12</x:f>
        <x:v>21.42234188084676</x:v>
      </x:c>
      <x:c r="W915" s="31" t="n">
        <x:v>3</x:v>
      </x:c>
      <x:c r="X915" s="31" t="n">
        <x:v>4</x:v>
      </x:c>
      <x:c r="Y915" s="31" t="n">
        <x:f>((10-MIN(10,MAX(0,X915)))/10)*'Controls &amp; Summary'!$B$15+((10-MIN(10,MAX(0,W915)))/10)*'Controls &amp; Summary'!$B$16</x:f>
        <x:v>1.2999999999999998</x:v>
      </x:c>
      <x:c r="Z915" s="31" t="n">
        <x:f>V915*Y915</x:f>
        <x:v>27.849044445100784</x:v>
      </x:c>
      <x:c r="AA915" s="30" t="str">
        <x:f>IF(Z915&lt;=I915,"Peaceful","Hostile")</x:f>
        <x:v>Hostile</x:v>
      </x:c>
      <x:c r="AB915" s="30" t="str">
        <x:f>IF(Z915&lt;='Controls &amp; Summary'!$B$6,"Eligible","Blocked")</x:f>
        <x:v>Blocked</x:v>
      </x:c>
      <x:c r="AC915" s="30" t="str">
        <x:v>USA</x:v>
      </x:c>
      <x:c r="AD915" s="30" t="str">
        <x:v>NIC</x:v>
      </x:c>
      <x:c r="AE915" s="30" t="str">
        <x:v>Nicaragua</x:v>
      </x:c>
      <x:c r="AF915" s="30" t="str">
        <x:v>Explicit capitalClaim</x:v>
      </x:c>
      <x:c r="AG915" s="30" t="str">
        <x:v>ClaimUSANicaragua</x:v>
      </x:c>
      <x:c r="AH915" s="30" t="str">
        <x:v>Project_GreaterUnitedNorthAmerica</x:v>
      </x:c>
    </x:row>
    <x:row r="916">
      <x:c r="A916" s="30" t="str">
        <x:v>2022</x:v>
      </x:c>
      <x:c r="B916" s="30" t="str">
        <x:v>Base game</x:v>
      </x:c>
      <x:c r="C916" s="30" t="str">
        <x:v>United States of America</x:v>
      </x:c>
      <x:c r="D916" s="30" t="str">
        <x:v>Panama</x:v>
      </x:c>
      <x:c r="E916" s="30" t="str">
        <x:v>Project unlock</x:v>
      </x:c>
      <x:c r="F916" s="30" t="str">
        <x:v>Greater United North America</x:v>
      </x:c>
      <x:c r="G916" s="30" t="str">
        <x:v>No</x:v>
      </x:c>
      <x:c r="H916" s="30" t="str">
        <x:v>Ordinary claim</x:v>
      </x:c>
      <x:c r="I916" s="31" t="n">
        <x:f>IF(G916="Yes",'Controls &amp; Summary'!$B$5,'Controls &amp; Summary'!$B$4)</x:f>
        <x:v>6</x:v>
      </x:c>
      <x:c r="J916" s="31" t="n">
        <x:v>7.85</x:v>
      </x:c>
      <x:c r="K916" s="31" t="n">
        <x:v>6.85</x:v>
      </x:c>
      <x:c r="L916" s="31" t="n">
        <x:f>ABS(J916-K916)</x:f>
        <x:v>1</x:v>
      </x:c>
      <x:c r="M916" s="31" t="n">
        <x:v>4.17</x:v>
      </x:c>
      <x:c r="N916" s="31" t="n">
        <x:v>4.98</x:v>
      </x:c>
      <x:c r="O916" s="31" t="n">
        <x:f>ABS(M916-N916)</x:f>
        <x:v>0.8100000000000005</x:v>
      </x:c>
      <x:c r="P916" s="31" t="n">
        <x:v>9</x:v>
      </x:c>
      <x:c r="Q916" s="31" t="n">
        <x:v>7</x:v>
      </x:c>
      <x:c r="R916" s="31" t="n">
        <x:f>ABS(P916-Q916)</x:f>
        <x:v>2</x:v>
      </x:c>
      <x:c r="S916" s="32" t="n">
        <x:v>75863.2002125422</x:v>
      </x:c>
      <x:c r="T916" s="32" t="n">
        <x:v>31244.04891413395</x:v>
      </x:c>
      <x:c r="U916" s="31" t="n">
        <x:f>MAX(S916/T916,T916/S916)</x:f>
        <x:v>2.4280847985173835</x:v>
      </x:c>
      <x:c r="V916" s="31" t="n">
        <x:f>L916*'Controls &amp; Summary'!$B$9+O916*'Controls &amp; Summary'!$B$10+R916*'Controls &amp; Summary'!$B$11+U916*'Controls &amp; Summary'!$B$12</x:f>
        <x:v>6.238084798517384</x:v>
      </x:c>
      <x:c r="W916" s="31" t="n">
        <x:v>3</x:v>
      </x:c>
      <x:c r="X916" s="31" t="n">
        <x:v>2</x:v>
      </x:c>
      <x:c r="Y916" s="31" t="n">
        <x:f>((10-MIN(10,MAX(0,X916)))/10)*'Controls &amp; Summary'!$B$15+((10-MIN(10,MAX(0,W916)))/10)*'Controls &amp; Summary'!$B$16</x:f>
        <x:v>1.5</x:v>
      </x:c>
      <x:c r="Z916" s="31" t="n">
        <x:f>V916*Y916</x:f>
        <x:v>9.357127197776077</x:v>
      </x:c>
      <x:c r="AA916" s="30" t="str">
        <x:f>IF(Z916&lt;=I916,"Peaceful","Hostile")</x:f>
        <x:v>Hostile</x:v>
      </x:c>
      <x:c r="AB916" s="30" t="str">
        <x:f>IF(Z916&lt;='Controls &amp; Summary'!$B$6,"Eligible","Blocked")</x:f>
        <x:v>Eligible</x:v>
      </x:c>
      <x:c r="AC916" s="30" t="str">
        <x:v>USA</x:v>
      </x:c>
      <x:c r="AD916" s="30" t="str">
        <x:v>PAN</x:v>
      </x:c>
      <x:c r="AE916" s="30" t="str">
        <x:v>Panama</x:v>
      </x:c>
      <x:c r="AF916" s="30" t="str">
        <x:v>Explicit capitalClaim</x:v>
      </x:c>
      <x:c r="AG916" s="30" t="str">
        <x:v>ClaimUSAPanama</x:v>
      </x:c>
      <x:c r="AH916" s="30" t="str">
        <x:v>Project_GreaterUnitedNorthAmerica</x:v>
      </x:c>
    </x:row>
    <x:row r="917">
      <x:c r="A917" s="30" t="str">
        <x:v>2022</x:v>
      </x:c>
      <x:c r="B917" s="30" t="str">
        <x:v>Base game</x:v>
      </x:c>
      <x:c r="C917" s="30" t="str">
        <x:v>Venezuela</x:v>
      </x:c>
      <x:c r="D917" s="30" t="str">
        <x:v>Guyana</x:v>
      </x:c>
      <x:c r="E917" s="30" t="str">
        <x:v>Starting claim</x:v>
      </x:c>
      <x:c r="F917" s="30" t="str"/>
      <x:c r="G917" s="30" t="str">
        <x:v>Yes</x:v>
      </x:c>
      <x:c r="H917" s="30" t="str">
        <x:v>Approved bilateral grievance</x:v>
      </x:c>
      <x:c r="I917" s="31" t="n">
        <x:f>IF(G917="Yes",'Controls &amp; Summary'!$B$5,'Controls &amp; Summary'!$B$4)</x:f>
        <x:v>3</x:v>
      </x:c>
      <x:c r="J917" s="31" t="n">
        <x:v>2.11</x:v>
      </x:c>
      <x:c r="K917" s="31" t="n">
        <x:v>6.25</x:v>
      </x:c>
      <x:c r="L917" s="31" t="n">
        <x:f>ABS(J917-K917)</x:f>
        <x:v>4.140000000000001</x:v>
      </x:c>
      <x:c r="M917" s="31" t="n">
        <x:v>4.48</x:v>
      </x:c>
      <x:c r="N917" s="31" t="n">
        <x:v>4.51</x:v>
      </x:c>
      <x:c r="O917" s="31" t="n">
        <x:f>ABS(M917-N917)</x:f>
        <x:v>0.02999999999999936</x:v>
      </x:c>
      <x:c r="P917" s="31" t="n">
        <x:v>7</x:v>
      </x:c>
      <x:c r="Q917" s="31" t="n">
        <x:v>6.01</x:v>
      </x:c>
      <x:c r="R917" s="31" t="n">
        <x:f>ABS(P917-Q917)</x:f>
        <x:v>0.9900000000000002</x:v>
      </x:c>
      <x:c r="S917" s="32" t="n">
        <x:v>4781.536333352792</x:v>
      </x:c>
      <x:c r="T917" s="32" t="n">
        <x:v>33516.92725254583</x:v>
      </x:c>
      <x:c r="U917" s="31" t="n">
        <x:f>MAX(S917/T917,T917/S917)</x:f>
        <x:v>7.009656502817768</x:v>
      </x:c>
      <x:c r="V917" s="31" t="n">
        <x:f>L917*'Controls &amp; Summary'!$B$9+O917*'Controls &amp; Summary'!$B$10+R917*'Controls &amp; Summary'!$B$11+U917*'Controls &amp; Summary'!$B$12</x:f>
        <x:v>12.16965650281777</x:v>
      </x:c>
      <x:c r="W917" s="31" t="n">
        <x:v>2</x:v>
      </x:c>
      <x:c r="X917" s="31" t="n">
        <x:v>2</x:v>
      </x:c>
      <x:c r="Y917" s="31" t="n">
        <x:f>((10-MIN(10,MAX(0,X917)))/10)*'Controls &amp; Summary'!$B$15+((10-MIN(10,MAX(0,W917)))/10)*'Controls &amp; Summary'!$B$16</x:f>
        <x:v>1.6</x:v>
      </x:c>
      <x:c r="Z917" s="31" t="n">
        <x:f>V917*Y917</x:f>
        <x:v>19.47145040450843</x:v>
      </x:c>
      <x:c r="AA917" s="30" t="str">
        <x:f>IF(Z917&lt;=I917,"Peaceful","Hostile")</x:f>
        <x:v>Hostile</x:v>
      </x:c>
      <x:c r="AB917" s="30" t="str">
        <x:f>IF(Z917&lt;='Controls &amp; Summary'!$B$6,"Eligible","Blocked")</x:f>
        <x:v>Blocked</x:v>
      </x:c>
      <x:c r="AC917" s="30" t="str">
        <x:v>VEN</x:v>
      </x:c>
      <x:c r="AD917" s="30" t="str">
        <x:v>GUY</x:v>
      </x:c>
      <x:c r="AE917" s="30" t="str">
        <x:v>Guyana</x:v>
      </x:c>
      <x:c r="AF917" s="30" t="str">
        <x:v>Explicit capitalClaim</x:v>
      </x:c>
      <x:c r="AG917" s="30" t="str">
        <x:v>ClaimVENGuyana</x:v>
      </x:c>
      <x:c r="AH917" s="30" t="str"/>
    </x:row>
    <x:row r="918">
      <x:c r="A918" s="30" t="str">
        <x:v>2022</x:v>
      </x:c>
      <x:c r="B918" s="30" t="str">
        <x:v>Base game</x:v>
      </x:c>
      <x:c r="C918" s="30" t="str">
        <x:v>Vietnam</x:v>
      </x:c>
      <x:c r="D918" s="30" t="str">
        <x:v>Cambodia</x:v>
      </x:c>
      <x:c r="E918" s="30" t="str">
        <x:v>Project unlock</x:v>
      </x:c>
      <x:c r="F918" s="30" t="str">
        <x:v>A Period of Unity</x:v>
      </x:c>
      <x:c r="G918" s="30" t="str">
        <x:v>No</x:v>
      </x:c>
      <x:c r="H918" s="30" t="str">
        <x:v>Ordinary claim</x:v>
      </x:c>
      <x:c r="I918" s="31" t="n">
        <x:f>IF(G918="Yes",'Controls &amp; Summary'!$B$5,'Controls &amp; Summary'!$B$4)</x:f>
        <x:v>6</x:v>
      </x:c>
      <x:c r="J918" s="31" t="n">
        <x:v>2.94</x:v>
      </x:c>
      <x:c r="K918" s="31" t="n">
        <x:v>2.9</x:v>
      </x:c>
      <x:c r="L918" s="31" t="n">
        <x:f>ABS(J918-K918)</x:f>
        <x:v>0.040000000000000036</x:v>
      </x:c>
      <x:c r="M918" s="31" t="n">
        <x:v>3.57</x:v>
      </x:c>
      <x:c r="N918" s="31" t="n">
        <x:v>3.79</x:v>
      </x:c>
      <x:c r="O918" s="31" t="n">
        <x:f>ABS(M918-N918)</x:f>
        <x:v>0.2200000000000002</x:v>
      </x:c>
      <x:c r="P918" s="31" t="n">
        <x:v>6.3</x:v>
      </x:c>
      <x:c r="Q918" s="31" t="n">
        <x:v>4.84</x:v>
      </x:c>
      <x:c r="R918" s="31" t="n">
        <x:f>ABS(P918-Q918)</x:f>
        <x:v>1.46</x:v>
      </x:c>
      <x:c r="S918" s="32" t="n">
        <x:v>11338.234646401552</x:v>
      </x:c>
      <x:c r="T918" s="32" t="n">
        <x:v>4485.15754874337</x:v>
      </x:c>
      <x:c r="U918" s="31" t="n">
        <x:f>MAX(S918/T918,T918/S918)</x:f>
        <x:v>2.527945679316938</x:v>
      </x:c>
      <x:c r="V918" s="31" t="n">
        <x:f>L918*'Controls &amp; Summary'!$B$9+O918*'Controls &amp; Summary'!$B$10+R918*'Controls &amp; Summary'!$B$11+U918*'Controls &amp; Summary'!$B$12</x:f>
        <x:v>4.247945679316938</x:v>
      </x:c>
      <x:c r="W918" s="31" t="n">
        <x:v>8</x:v>
      </x:c>
      <x:c r="X918" s="31" t="n">
        <x:v>2</x:v>
      </x:c>
      <x:c r="Y918" s="31" t="n">
        <x:f>((10-MIN(10,MAX(0,X918)))/10)*'Controls &amp; Summary'!$B$15+((10-MIN(10,MAX(0,W918)))/10)*'Controls &amp; Summary'!$B$16</x:f>
        <x:v>1</x:v>
      </x:c>
      <x:c r="Z918" s="31" t="n">
        <x:f>V918*Y918</x:f>
        <x:v>4.247945679316938</x:v>
      </x:c>
      <x:c r="AA918" s="30" t="str">
        <x:f>IF(Z918&lt;=I918,"Peaceful","Hostile")</x:f>
        <x:v>Peaceful</x:v>
      </x:c>
      <x:c r="AB918" s="30" t="str">
        <x:f>IF(Z918&lt;='Controls &amp; Summary'!$B$6,"Eligible","Blocked")</x:f>
        <x:v>Eligible</x:v>
      </x:c>
      <x:c r="AC918" s="30" t="str">
        <x:v>VNM</x:v>
      </x:c>
      <x:c r="AD918" s="30" t="str">
        <x:v>KHM</x:v>
      </x:c>
      <x:c r="AE918" s="30" t="str">
        <x:v>Cambodia</x:v>
      </x:c>
      <x:c r="AF918" s="30" t="str">
        <x:v>Explicit capitalClaim</x:v>
      </x:c>
      <x:c r="AG918" s="30" t="str">
        <x:v>ClaimVNMCambodia</x:v>
      </x:c>
      <x:c r="AH918" s="30" t="str">
        <x:v>Project_APeriodofUnity</x:v>
      </x:c>
    </x:row>
    <x:row r="919">
      <x:c r="A919" s="30" t="str">
        <x:v>2022</x:v>
      </x:c>
      <x:c r="B919" s="30" t="str">
        <x:v>Base game</x:v>
      </x:c>
      <x:c r="C919" s="30" t="str">
        <x:v>Vietnam</x:v>
      </x:c>
      <x:c r="D919" s="30" t="str">
        <x:v>Laos</x:v>
      </x:c>
      <x:c r="E919" s="30" t="str">
        <x:v>Project unlock</x:v>
      </x:c>
      <x:c r="F919" s="30" t="str">
        <x:v>A Period of Unity</x:v>
      </x:c>
      <x:c r="G919" s="30" t="str">
        <x:v>No</x:v>
      </x:c>
      <x:c r="H919" s="30" t="str">
        <x:v>Ordinary claim</x:v>
      </x:c>
      <x:c r="I919" s="31" t="n">
        <x:f>IF(G919="Yes",'Controls &amp; Summary'!$B$5,'Controls &amp; Summary'!$B$4)</x:f>
        <x:v>6</x:v>
      </x:c>
      <x:c r="J919" s="31" t="n">
        <x:v>2.94</x:v>
      </x:c>
      <x:c r="K919" s="31" t="n">
        <x:v>1.77</x:v>
      </x:c>
      <x:c r="L919" s="31" t="n">
        <x:f>ABS(J919-K919)</x:f>
        <x:v>1.17</x:v>
      </x:c>
      <x:c r="M919" s="31" t="n">
        <x:v>3.57</x:v>
      </x:c>
      <x:c r="N919" s="31" t="n">
        <x:v>3.88</x:v>
      </x:c>
      <x:c r="O919" s="31" t="n">
        <x:f>ABS(M919-N919)</x:f>
        <x:v>0.31000000000000005</x:v>
      </x:c>
      <x:c r="P919" s="31" t="n">
        <x:v>6.3</x:v>
      </x:c>
      <x:c r="Q919" s="31" t="n">
        <x:v>4.81</x:v>
      </x:c>
      <x:c r="R919" s="31" t="n">
        <x:f>ABS(P919-Q919)</x:f>
        <x:v>1.4900000000000002</x:v>
      </x:c>
      <x:c r="S919" s="32" t="n">
        <x:v>11338.234646401552</x:v>
      </x:c>
      <x:c r="T919" s="32" t="n">
        <x:v>8047.439163636176</x:v>
      </x:c>
      <x:c r="U919" s="31" t="n">
        <x:f>MAX(S919/T919,T919/S919)</x:f>
        <x:v>1.4089245554828715</x:v>
      </x:c>
      <x:c r="V919" s="31" t="n">
        <x:f>L919*'Controls &amp; Summary'!$B$9+O919*'Controls &amp; Summary'!$B$10+R919*'Controls &amp; Summary'!$B$11+U919*'Controls &amp; Summary'!$B$12</x:f>
        <x:v>4.378924555482872</x:v>
      </x:c>
      <x:c r="W919" s="31" t="n">
        <x:v>8</x:v>
      </x:c>
      <x:c r="X919" s="31" t="n">
        <x:v>3</x:v>
      </x:c>
      <x:c r="Y919" s="31" t="n">
        <x:f>((10-MIN(10,MAX(0,X919)))/10)*'Controls &amp; Summary'!$B$15+((10-MIN(10,MAX(0,W919)))/10)*'Controls &amp; Summary'!$B$16</x:f>
        <x:v>0.8999999999999999</x:v>
      </x:c>
      <x:c r="Z919" s="31" t="n">
        <x:f>V919*Y919</x:f>
        <x:v>3.941032099934584</x:v>
      </x:c>
      <x:c r="AA919" s="30" t="str">
        <x:f>IF(Z919&lt;=I919,"Peaceful","Hostile")</x:f>
        <x:v>Peaceful</x:v>
      </x:c>
      <x:c r="AB919" s="30" t="str">
        <x:f>IF(Z919&lt;='Controls &amp; Summary'!$B$6,"Eligible","Blocked")</x:f>
        <x:v>Eligible</x:v>
      </x:c>
      <x:c r="AC919" s="30" t="str">
        <x:v>VNM</x:v>
      </x:c>
      <x:c r="AD919" s="30" t="str">
        <x:v>LAO</x:v>
      </x:c>
      <x:c r="AE919" s="30" t="str">
        <x:v>Laos</x:v>
      </x:c>
      <x:c r="AF919" s="30" t="str">
        <x:v>Explicit capitalClaim</x:v>
      </x:c>
      <x:c r="AG919" s="30" t="str">
        <x:v>ClaimVNMLaos</x:v>
      </x:c>
      <x:c r="AH919" s="30" t="str">
        <x:v>Project_APeriodofUnity</x:v>
      </x:c>
    </x:row>
    <x:row r="920">
      <x:c r="A920" s="30" t="str">
        <x:v>2022</x:v>
      </x:c>
      <x:c r="B920" s="30" t="str">
        <x:v>Base game</x:v>
      </x:c>
      <x:c r="C920" s="30" t="str">
        <x:v>Yemen</x:v>
      </x:c>
      <x:c r="D920" s="30" t="str">
        <x:v>South Yemen</x:v>
      </x:c>
      <x:c r="E920" s="30" t="str">
        <x:v>Starting claim</x:v>
      </x:c>
      <x:c r="F920" s="30" t="str"/>
      <x:c r="G920" s="30" t="str">
        <x:v>Yes</x:v>
      </x:c>
      <x:c r="H920" s="30" t="str">
        <x:v>Template hostileClaim</x:v>
      </x:c>
      <x:c r="I920" s="31" t="n">
        <x:f>IF(G920="Yes",'Controls &amp; Summary'!$B$5,'Controls &amp; Summary'!$B$4)</x:f>
        <x:v>3</x:v>
      </x:c>
      <x:c r="J920" s="31" t="n">
        <x:v>0.9</x:v>
      </x:c>
      <x:c r="K920" s="31" t="n">
        <x:v>2</x:v>
      </x:c>
      <x:c r="L920" s="31" t="n">
        <x:f>ABS(J920-K920)</x:f>
        <x:v>1.1</x:v>
      </x:c>
      <x:c r="M920" s="31" t="n">
        <x:v>3.67</x:v>
      </x:c>
      <x:c r="N920" s="31" t="n">
        <x:v>3.67</x:v>
      </x:c>
      <x:c r="O920" s="31" t="n">
        <x:f>ABS(M920-N920)</x:f>
        <x:v>0</x:v>
      </x:c>
      <x:c r="P920" s="31" t="n">
        <x:v>3.5</x:v>
      </x:c>
      <x:c r="Q920" s="31" t="n">
        <x:v>3.5</x:v>
      </x:c>
      <x:c r="R920" s="31" t="n">
        <x:f>ABS(P920-Q920)</x:f>
        <x:v>0</x:v>
      </x:c>
      <x:c r="S920" s="32" t="n">
        <x:v>992.4398371362754</x:v>
      </x:c>
      <x:c r="T920" s="32" t="n">
        <x:v>1510.3687364684947</x:v>
      </x:c>
      <x:c r="U920" s="31" t="n">
        <x:f>MAX(S920/T920,T920/S920)</x:f>
        <x:v>1.521874354446234</x:v>
      </x:c>
      <x:c r="V920" s="31" t="n">
        <x:f>L920*'Controls &amp; Summary'!$B$9+O920*'Controls &amp; Summary'!$B$10+R920*'Controls &amp; Summary'!$B$11+U920*'Controls &amp; Summary'!$B$12</x:f>
        <x:v>2.621874354446234</x:v>
      </x:c>
      <x:c r="W920" s="31" t="n">
        <x:v>1</x:v>
      </x:c>
      <x:c r="X920" s="31" t="n">
        <x:v>6</x:v>
      </x:c>
      <x:c r="Y920" s="31" t="n">
        <x:f>((10-MIN(10,MAX(0,X920)))/10)*'Controls &amp; Summary'!$B$15+((10-MIN(10,MAX(0,W920)))/10)*'Controls &amp; Summary'!$B$16</x:f>
        <x:v>1.3</x:v>
      </x:c>
      <x:c r="Z920" s="31" t="n">
        <x:f>V920*Y920</x:f>
        <x:v>3.4084366607801044</x:v>
      </x:c>
      <x:c r="AA920" s="30" t="str">
        <x:f>IF(Z920&lt;=I920,"Peaceful","Hostile")</x:f>
        <x:v>Hostile</x:v>
      </x:c>
      <x:c r="AB920" s="30" t="str">
        <x:f>IF(Z920&lt;='Controls &amp; Summary'!$B$6,"Eligible","Blocked")</x:f>
        <x:v>Eligible</x:v>
      </x:c>
      <x:c r="AC920" s="30" t="str">
        <x:v>YEM</x:v>
      </x:c>
      <x:c r="AD920" s="30" t="str">
        <x:v>YMS</x:v>
      </x:c>
      <x:c r="AE920" s="30" t="str">
        <x:v>Aden</x:v>
      </x:c>
      <x:c r="AF920" s="30" t="str">
        <x:v>Largest owned population fallback</x:v>
      </x:c>
      <x:c r="AG920" s="30" t="str">
        <x:v>ClaimYEMAden</x:v>
      </x:c>
      <x:c r="AH920" s="30" t="str"/>
    </x:row>
    <x:row r="921">
      <x:c r="A921" s="30" t="str">
        <x:v>2026</x:v>
      </x:c>
      <x:c r="B921" s="30" t="str">
        <x:v>Base game</x:v>
      </x:c>
      <x:c r="C921" s="30" t="str">
        <x:v>Albania</x:v>
      </x:c>
      <x:c r="D921" s="30" t="str">
        <x:v>Kosovo</x:v>
      </x:c>
      <x:c r="E921" s="30" t="str">
        <x:v>Starting claim</x:v>
      </x:c>
      <x:c r="F921" s="30" t="str"/>
      <x:c r="G921" s="30" t="str">
        <x:v>No</x:v>
      </x:c>
      <x:c r="H921" s="30" t="str">
        <x:v>Ordinary claim</x:v>
      </x:c>
      <x:c r="I921" s="31" t="n">
        <x:f>IF(G921="Yes",'Controls &amp; Summary'!$B$5,'Controls &amp; Summary'!$B$4)</x:f>
        <x:v>6</x:v>
      </x:c>
      <x:c r="J921" s="31" t="n">
        <x:v>6.2</x:v>
      </x:c>
      <x:c r="K921" s="31" t="n">
        <x:v>6</x:v>
      </x:c>
      <x:c r="L921" s="31" t="n">
        <x:f>ABS(J921-K921)</x:f>
        <x:v>0.20000000000000018</x:v>
      </x:c>
      <x:c r="M921" s="31" t="n">
        <x:v>2.94</x:v>
      </x:c>
      <x:c r="N921" s="31" t="n">
        <x:v>2.9</x:v>
      </x:c>
      <x:c r="O921" s="31" t="n">
        <x:f>ABS(M921-N921)</x:f>
        <x:v>0.040000000000000036</x:v>
      </x:c>
      <x:c r="P921" s="31" t="n">
        <x:v>7.27</x:v>
      </x:c>
      <x:c r="Q921" s="31" t="n">
        <x:v>7.62</x:v>
      </x:c>
      <x:c r="R921" s="31" t="n">
        <x:f>ABS(P921-Q921)</x:f>
        <x:v>0.35000000000000053</x:v>
      </x:c>
      <x:c r="S921" s="32" t="n">
        <x:v>20178.079079615778</x:v>
      </x:c>
      <x:c r="T921" s="32" t="n">
        <x:v>16973.99867545855</x:v>
      </x:c>
      <x:c r="U921" s="31" t="n">
        <x:f>MAX(S921/T921,T921/S921)</x:f>
        <x:v>1.1887640305280434</x:v>
      </x:c>
      <x:c r="V921" s="31" t="n">
        <x:f>L921*'Controls &amp; Summary'!$B$9+O921*'Controls &amp; Summary'!$B$10+R921*'Controls &amp; Summary'!$B$11+U921*'Controls &amp; Summary'!$B$12</x:f>
        <x:v>1.778764030528044</x:v>
      </x:c>
      <x:c r="W921" s="31" t="n">
        <x:v>4.8</x:v>
      </x:c>
      <x:c r="X921" s="31" t="n">
        <x:v>1</x:v>
      </x:c>
      <x:c r="Y921" s="31" t="n">
        <x:f>((10-MIN(10,MAX(0,X921)))/10)*'Controls &amp; Summary'!$B$15+((10-MIN(10,MAX(0,W921)))/10)*'Controls &amp; Summary'!$B$16</x:f>
        <x:v>1.42</x:v>
      </x:c>
      <x:c r="Z921" s="31" t="n">
        <x:f>V921*Y921</x:f>
        <x:v>2.5258449233498226</x:v>
      </x:c>
      <x:c r="AA921" s="30" t="str">
        <x:f>IF(Z921&lt;=I921,"Peaceful","Hostile")</x:f>
        <x:v>Peaceful</x:v>
      </x:c>
      <x:c r="AB921" s="30" t="str">
        <x:f>IF(Z921&lt;='Controls &amp; Summary'!$B$6,"Eligible","Blocked")</x:f>
        <x:v>Eligible</x:v>
      </x:c>
      <x:c r="AC921" s="30" t="str">
        <x:v>2026_SBK</x:v>
      </x:c>
      <x:c r="AD921" s="30" t="str">
        <x:v>2026_KOS</x:v>
      </x:c>
      <x:c r="AE921" s="30" t="str">
        <x:v>2026_Kosovo</x:v>
      </x:c>
      <x:c r="AF921" s="30" t="str">
        <x:v>Explicit capitalClaim</x:v>
      </x:c>
      <x:c r="AG921" s="30" t="str">
        <x:v>Claim2026_SBK2026_Kosovo</x:v>
      </x:c>
      <x:c r="AH921" s="30" t="str"/>
    </x:row>
    <x:row r="922">
      <x:c r="A922" s="30" t="str">
        <x:v>2026</x:v>
      </x:c>
      <x:c r="B922" s="30" t="str">
        <x:v>Base game</x:v>
      </x:c>
      <x:c r="C922" s="30" t="str">
        <x:v>Algeria</x:v>
      </x:c>
      <x:c r="D922" s="30" t="str">
        <x:v>Libya</x:v>
      </x:c>
      <x:c r="E922" s="30" t="str">
        <x:v>Project unlock</x:v>
      </x:c>
      <x:c r="F922" s="30" t="str">
        <x:v>Regional African Unions</x:v>
      </x:c>
      <x:c r="G922" s="30" t="str">
        <x:v>No</x:v>
      </x:c>
      <x:c r="H922" s="30" t="str">
        <x:v>Ordinary claim</x:v>
      </x:c>
      <x:c r="I922" s="31" t="n">
        <x:f>IF(G922="Yes",'Controls &amp; Summary'!$B$5,'Controls &amp; Summary'!$B$4)</x:f>
        <x:v>6</x:v>
      </x:c>
      <x:c r="J922" s="31" t="n">
        <x:v>3.55</x:v>
      </x:c>
      <x:c r="K922" s="31" t="n">
        <x:v>2.31</x:v>
      </x:c>
      <x:c r="L922" s="31" t="n">
        <x:f>ABS(J922-K922)</x:f>
        <x:v>1.2399999999999998</x:v>
      </x:c>
      <x:c r="M922" s="31" t="n">
        <x:v>2.76</x:v>
      </x:c>
      <x:c r="N922" s="31" t="n">
        <x:v>5.59</x:v>
      </x:c>
      <x:c r="O922" s="31" t="n">
        <x:f>ABS(M922-N922)</x:f>
        <x:v>2.83</x:v>
      </x:c>
      <x:c r="P922" s="31" t="n">
        <x:v>6.64</x:v>
      </x:c>
      <x:c r="Q922" s="31" t="n">
        <x:v>6.07</x:v>
      </x:c>
      <x:c r="R922" s="31" t="n">
        <x:f>ABS(P922-Q922)</x:f>
        <x:v>0.5699999999999994</x:v>
      </x:c>
      <x:c r="S922" s="32" t="n">
        <x:v>16038.32271175594</x:v>
      </x:c>
      <x:c r="T922" s="32" t="n">
        <x:v>14470.917263484384</x:v>
      </x:c>
      <x:c r="U922" s="31" t="n">
        <x:f>MAX(S922/T922,T922/S922)</x:f>
        <x:v>1.108314173851765</x:v>
      </x:c>
      <x:c r="V922" s="31" t="n">
        <x:f>L922*'Controls &amp; Summary'!$B$9+O922*'Controls &amp; Summary'!$B$10+R922*'Controls &amp; Summary'!$B$11+U922*'Controls &amp; Summary'!$B$12</x:f>
        <x:v>5.748314173851765</x:v>
      </x:c>
      <x:c r="W922" s="31" t="n">
        <x:v>2.63</x:v>
      </x:c>
      <x:c r="X922" s="31" t="n">
        <x:v>4</x:v>
      </x:c>
      <x:c r="Y922" s="31" t="n">
        <x:f>((10-MIN(10,MAX(0,X922)))/10)*'Controls &amp; Summary'!$B$15+((10-MIN(10,MAX(0,W922)))/10)*'Controls &amp; Summary'!$B$16</x:f>
        <x:v>1.337</x:v>
      </x:c>
      <x:c r="Z922" s="31" t="n">
        <x:f>V922*Y922</x:f>
        <x:v>7.685496050439809</x:v>
      </x:c>
      <x:c r="AA922" s="30" t="str">
        <x:f>IF(Z922&lt;=I922,"Peaceful","Hostile")</x:f>
        <x:v>Hostile</x:v>
      </x:c>
      <x:c r="AB922" s="30" t="str">
        <x:f>IF(Z922&lt;='Controls &amp; Summary'!$B$6,"Eligible","Blocked")</x:f>
        <x:v>Eligible</x:v>
      </x:c>
      <x:c r="AC922" s="30" t="str">
        <x:v>2026_DZA</x:v>
      </x:c>
      <x:c r="AD922" s="30" t="str">
        <x:v>2026_LBY</x:v>
      </x:c>
      <x:c r="AE922" s="30" t="str">
        <x:v>2026_Libya</x:v>
      </x:c>
      <x:c r="AF922" s="30" t="str">
        <x:v>Explicit capitalClaim</x:v>
      </x:c>
      <x:c r="AG922" s="30" t="str">
        <x:v>Claim2026_DZA2026_Libya</x:v>
      </x:c>
      <x:c r="AH922" s="30" t="str">
        <x:v>Project_RegionalAfricanUnions</x:v>
      </x:c>
    </x:row>
    <x:row r="923">
      <x:c r="A923" s="30" t="str">
        <x:v>2026</x:v>
      </x:c>
      <x:c r="B923" s="30" t="str">
        <x:v>Base game</x:v>
      </x:c>
      <x:c r="C923" s="30" t="str">
        <x:v>Algeria</x:v>
      </x:c>
      <x:c r="D923" s="30" t="str">
        <x:v>Mauritania</x:v>
      </x:c>
      <x:c r="E923" s="30" t="str">
        <x:v>Project unlock</x:v>
      </x:c>
      <x:c r="F923" s="30" t="str">
        <x:v>Regional African Unions</x:v>
      </x:c>
      <x:c r="G923" s="30" t="str">
        <x:v>No</x:v>
      </x:c>
      <x:c r="H923" s="30" t="str">
        <x:v>Ordinary claim</x:v>
      </x:c>
      <x:c r="I923" s="31" t="n">
        <x:f>IF(G923="Yes",'Controls &amp; Summary'!$B$5,'Controls &amp; Summary'!$B$4)</x:f>
        <x:v>6</x:v>
      </x:c>
      <x:c r="J923" s="31" t="n">
        <x:v>3.55</x:v>
      </x:c>
      <x:c r="K923" s="31" t="n">
        <x:v>3.84</x:v>
      </x:c>
      <x:c r="L923" s="31" t="n">
        <x:f>ABS(J923-K923)</x:f>
        <x:v>0.29000000000000004</x:v>
      </x:c>
      <x:c r="M923" s="31" t="n">
        <x:v>2.76</x:v>
      </x:c>
      <x:c r="N923" s="31" t="n">
        <x:v>3.2</x:v>
      </x:c>
      <x:c r="O923" s="31" t="n">
        <x:f>ABS(M923-N923)</x:f>
        <x:v>0.4400000000000004</x:v>
      </x:c>
      <x:c r="P923" s="31" t="n">
        <x:v>6.64</x:v>
      </x:c>
      <x:c r="Q923" s="31" t="n">
        <x:v>3.79</x:v>
      </x:c>
      <x:c r="R923" s="31" t="n">
        <x:f>ABS(P923-Q923)</x:f>
        <x:v>2.8499999999999996</x:v>
      </x:c>
      <x:c r="S923" s="32" t="n">
        <x:v>16038.32271175594</x:v>
      </x:c>
      <x:c r="T923" s="32" t="n">
        <x:v>6454.997409966347</x:v>
      </x:c>
      <x:c r="U923" s="31" t="n">
        <x:f>MAX(S923/T923,T923/S923)</x:f>
        <x:v>2.484636583586105</x:v>
      </x:c>
      <x:c r="V923" s="31" t="n">
        <x:f>L923*'Controls &amp; Summary'!$B$9+O923*'Controls &amp; Summary'!$B$10+R923*'Controls &amp; Summary'!$B$11+U923*'Controls &amp; Summary'!$B$12</x:f>
        <x:v>6.064636583586105</x:v>
      </x:c>
      <x:c r="W923" s="31" t="n">
        <x:v>2.63</x:v>
      </x:c>
      <x:c r="X923" s="31" t="n">
        <x:v>1</x:v>
      </x:c>
      <x:c r="Y923" s="31" t="n">
        <x:f>((10-MIN(10,MAX(0,X923)))/10)*'Controls &amp; Summary'!$B$15+((10-MIN(10,MAX(0,W923)))/10)*'Controls &amp; Summary'!$B$16</x:f>
        <x:v>1.637</x:v>
      </x:c>
      <x:c r="Z923" s="31" t="n">
        <x:f>V923*Y923</x:f>
        <x:v>9.927810087330453</x:v>
      </x:c>
      <x:c r="AA923" s="30" t="str">
        <x:f>IF(Z923&lt;=I923,"Peaceful","Hostile")</x:f>
        <x:v>Hostile</x:v>
      </x:c>
      <x:c r="AB923" s="30" t="str">
        <x:f>IF(Z923&lt;='Controls &amp; Summary'!$B$6,"Eligible","Blocked")</x:f>
        <x:v>Eligible</x:v>
      </x:c>
      <x:c r="AC923" s="30" t="str">
        <x:v>2026_DZA</x:v>
      </x:c>
      <x:c r="AD923" s="30" t="str">
        <x:v>2026_MRT</x:v>
      </x:c>
      <x:c r="AE923" s="30" t="str">
        <x:v>2026_Mauritania</x:v>
      </x:c>
      <x:c r="AF923" s="30" t="str">
        <x:v>Explicit capitalClaim</x:v>
      </x:c>
      <x:c r="AG923" s="30" t="str">
        <x:v>Claim2026_DZA2026_Mauritania</x:v>
      </x:c>
      <x:c r="AH923" s="30" t="str">
        <x:v>Project_RegionalAfricanUnions</x:v>
      </x:c>
    </x:row>
    <x:row r="924">
      <x:c r="A924" s="30" t="str">
        <x:v>2026</x:v>
      </x:c>
      <x:c r="B924" s="30" t="str">
        <x:v>Base game</x:v>
      </x:c>
      <x:c r="C924" s="30" t="str">
        <x:v>Algeria</x:v>
      </x:c>
      <x:c r="D924" s="30" t="str">
        <x:v>Morocco</x:v>
      </x:c>
      <x:c r="E924" s="30" t="str">
        <x:v>Project unlock</x:v>
      </x:c>
      <x:c r="F924" s="30" t="str">
        <x:v>Regional African Unions</x:v>
      </x:c>
      <x:c r="G924" s="30" t="str">
        <x:v>No</x:v>
      </x:c>
      <x:c r="H924" s="30" t="str">
        <x:v>Ordinary claim</x:v>
      </x:c>
      <x:c r="I924" s="31" t="n">
        <x:f>IF(G924="Yes",'Controls &amp; Summary'!$B$5,'Controls &amp; Summary'!$B$4)</x:f>
        <x:v>6</x:v>
      </x:c>
      <x:c r="J924" s="31" t="n">
        <x:v>3.55</x:v>
      </x:c>
      <x:c r="K924" s="31" t="n">
        <x:v>4.97</x:v>
      </x:c>
      <x:c r="L924" s="31" t="n">
        <x:f>ABS(J924-K924)</x:f>
        <x:v>1.42</x:v>
      </x:c>
      <x:c r="M924" s="31" t="n">
        <x:v>2.76</x:v>
      </x:c>
      <x:c r="N924" s="31" t="n">
        <x:v>3.95</x:v>
      </x:c>
      <x:c r="O924" s="31" t="n">
        <x:f>ABS(M924-N924)</x:f>
        <x:v>1.1900000000000004</x:v>
      </x:c>
      <x:c r="P924" s="31" t="n">
        <x:v>6.64</x:v>
      </x:c>
      <x:c r="Q924" s="31" t="n">
        <x:v>6.14</x:v>
      </x:c>
      <x:c r="R924" s="31" t="n">
        <x:f>ABS(P924-Q924)</x:f>
        <x:v>0.5</x:v>
      </x:c>
      <x:c r="S924" s="32" t="n">
        <x:v>16038.32271175594</x:v>
      </x:c>
      <x:c r="T924" s="32" t="n">
        <x:v>9645.586561486156</x:v>
      </x:c>
      <x:c r="U924" s="31" t="n">
        <x:f>MAX(S924/T924,T924/S924)</x:f>
        <x:v>1.6627628200233389</x:v>
      </x:c>
      <x:c r="V924" s="31" t="n">
        <x:f>L924*'Controls &amp; Summary'!$B$9+O924*'Controls &amp; Summary'!$B$10+R924*'Controls &amp; Summary'!$B$11+U924*'Controls &amp; Summary'!$B$12</x:f>
        <x:v>4.772762820023339</x:v>
      </x:c>
      <x:c r="W924" s="31" t="n">
        <x:v>2.63</x:v>
      </x:c>
      <x:c r="X924" s="31" t="n">
        <x:v>1</x:v>
      </x:c>
      <x:c r="Y924" s="31" t="n">
        <x:f>((10-MIN(10,MAX(0,X924)))/10)*'Controls &amp; Summary'!$B$15+((10-MIN(10,MAX(0,W924)))/10)*'Controls &amp; Summary'!$B$16</x:f>
        <x:v>1.637</x:v>
      </x:c>
      <x:c r="Z924" s="31" t="n">
        <x:f>V924*Y924</x:f>
        <x:v>7.813012736378206</x:v>
      </x:c>
      <x:c r="AA924" s="30" t="str">
        <x:f>IF(Z924&lt;=I924,"Peaceful","Hostile")</x:f>
        <x:v>Hostile</x:v>
      </x:c>
      <x:c r="AB924" s="30" t="str">
        <x:f>IF(Z924&lt;='Controls &amp; Summary'!$B$6,"Eligible","Blocked")</x:f>
        <x:v>Eligible</x:v>
      </x:c>
      <x:c r="AC924" s="30" t="str">
        <x:v>2026_DZA</x:v>
      </x:c>
      <x:c r="AD924" s="30" t="str">
        <x:v>2026_MAR</x:v>
      </x:c>
      <x:c r="AE924" s="30" t="str">
        <x:v>2026_Rabat</x:v>
      </x:c>
      <x:c r="AF924" s="30" t="str">
        <x:v>Explicit capitalClaim</x:v>
      </x:c>
      <x:c r="AG924" s="30" t="str">
        <x:v>Claim2026_DZA2026_Rabat</x:v>
      </x:c>
      <x:c r="AH924" s="30" t="str">
        <x:v>Project_RegionalAfricanUnions</x:v>
      </x:c>
    </x:row>
    <x:row r="925">
      <x:c r="A925" s="30" t="str">
        <x:v>2026</x:v>
      </x:c>
      <x:c r="B925" s="30" t="str">
        <x:v>Base game</x:v>
      </x:c>
      <x:c r="C925" s="30" t="str">
        <x:v>Algeria</x:v>
      </x:c>
      <x:c r="D925" s="30" t="str">
        <x:v>Tunisia</x:v>
      </x:c>
      <x:c r="E925" s="30" t="str">
        <x:v>Project unlock</x:v>
      </x:c>
      <x:c r="F925" s="30" t="str">
        <x:v>Regional African Unions</x:v>
      </x:c>
      <x:c r="G925" s="30" t="str">
        <x:v>No</x:v>
      </x:c>
      <x:c r="H925" s="30" t="str">
        <x:v>Ordinary claim</x:v>
      </x:c>
      <x:c r="I925" s="31" t="n">
        <x:f>IF(G925="Yes",'Controls &amp; Summary'!$B$5,'Controls &amp; Summary'!$B$4)</x:f>
        <x:v>6</x:v>
      </x:c>
      <x:c r="J925" s="31" t="n">
        <x:v>3.55</x:v>
      </x:c>
      <x:c r="K925" s="31" t="n">
        <x:v>4.65</x:v>
      </x:c>
      <x:c r="L925" s="31" t="n">
        <x:f>ABS(J925-K925)</x:f>
        <x:v>1.1000000000000005</x:v>
      </x:c>
      <x:c r="M925" s="31" t="n">
        <x:v>2.76</x:v>
      </x:c>
      <x:c r="N925" s="31" t="n">
        <x:v>3.37</x:v>
      </x:c>
      <x:c r="O925" s="31" t="n">
        <x:f>ABS(M925-N925)</x:f>
        <x:v>0.6100000000000003</x:v>
      </x:c>
      <x:c r="P925" s="31" t="n">
        <x:v>6.64</x:v>
      </x:c>
      <x:c r="Q925" s="31" t="n">
        <x:v>6.49</x:v>
      </x:c>
      <x:c r="R925" s="31" t="n">
        <x:f>ABS(P925-Q925)</x:f>
        <x:v>0.14999999999999947</x:v>
      </x:c>
      <x:c r="S925" s="32" t="n">
        <x:v>16038.32271175594</x:v>
      </x:c>
      <x:c r="T925" s="32" t="n">
        <x:v>13022.649202691102</x:v>
      </x:c>
      <x:c r="U925" s="31" t="n">
        <x:f>MAX(S925/T925,T925/S925)</x:f>
        <x:v>1.2315714308300385</x:v>
      </x:c>
      <x:c r="V925" s="31" t="n">
        <x:f>L925*'Controls &amp; Summary'!$B$9+O925*'Controls &amp; Summary'!$B$10+R925*'Controls &amp; Summary'!$B$11+U925*'Controls &amp; Summary'!$B$12</x:f>
        <x:v>3.091571430830039</x:v>
      </x:c>
      <x:c r="W925" s="31" t="n">
        <x:v>2.63</x:v>
      </x:c>
      <x:c r="X925" s="31" t="n">
        <x:v>1</x:v>
      </x:c>
      <x:c r="Y925" s="31" t="n">
        <x:f>((10-MIN(10,MAX(0,X925)))/10)*'Controls &amp; Summary'!$B$15+((10-MIN(10,MAX(0,W925)))/10)*'Controls &amp; Summary'!$B$16</x:f>
        <x:v>1.637</x:v>
      </x:c>
      <x:c r="Z925" s="31" t="n">
        <x:f>V925*Y925</x:f>
        <x:v>5.060902432268773</x:v>
      </x:c>
      <x:c r="AA925" s="30" t="str">
        <x:f>IF(Z925&lt;=I925,"Peaceful","Hostile")</x:f>
        <x:v>Peaceful</x:v>
      </x:c>
      <x:c r="AB925" s="30" t="str">
        <x:f>IF(Z925&lt;='Controls &amp; Summary'!$B$6,"Eligible","Blocked")</x:f>
        <x:v>Eligible</x:v>
      </x:c>
      <x:c r="AC925" s="30" t="str">
        <x:v>2026_DZA</x:v>
      </x:c>
      <x:c r="AD925" s="30" t="str">
        <x:v>2026_TUN</x:v>
      </x:c>
      <x:c r="AE925" s="30" t="str">
        <x:v>2026_Tunisia</x:v>
      </x:c>
      <x:c r="AF925" s="30" t="str">
        <x:v>Explicit capitalClaim</x:v>
      </x:c>
      <x:c r="AG925" s="30" t="str">
        <x:v>Claim2026_DZA2026_Tunisia</x:v>
      </x:c>
      <x:c r="AH925" s="30" t="str">
        <x:v>Project_RegionalAfricanUnions</x:v>
      </x:c>
    </x:row>
    <x:row r="926">
      <x:c r="A926" s="30" t="str">
        <x:v>2026</x:v>
      </x:c>
      <x:c r="B926" s="30" t="str">
        <x:v>Base game</x:v>
      </x:c>
      <x:c r="C926" s="30" t="str">
        <x:v>Angola</x:v>
      </x:c>
      <x:c r="D926" s="30" t="str">
        <x:v>Cameroon</x:v>
      </x:c>
      <x:c r="E926" s="30" t="str">
        <x:v>Project unlock</x:v>
      </x:c>
      <x:c r="F926" s="30" t="str">
        <x:v>Regional African Unions</x:v>
      </x:c>
      <x:c r="G926" s="30" t="str">
        <x:v>No</x:v>
      </x:c>
      <x:c r="H926" s="30" t="str">
        <x:v>Ordinary claim</x:v>
      </x:c>
      <x:c r="I926" s="31" t="n">
        <x:f>IF(G926="Yes",'Controls &amp; Summary'!$B$5,'Controls &amp; Summary'!$B$4)</x:f>
        <x:v>6</x:v>
      </x:c>
      <x:c r="J926" s="31" t="n">
        <x:v>3.94</x:v>
      </x:c>
      <x:c r="K926" s="31" t="n">
        <x:v>2.56</x:v>
      </x:c>
      <x:c r="L926" s="31" t="n">
        <x:f>ABS(J926-K926)</x:f>
        <x:v>1.38</x:v>
      </x:c>
      <x:c r="M926" s="31" t="n">
        <x:v>5.13</x:v>
      </x:c>
      <x:c r="N926" s="31" t="n">
        <x:v>4.22</x:v>
      </x:c>
      <x:c r="O926" s="31" t="n">
        <x:f>ABS(M926-N926)</x:f>
        <x:v>0.9100000000000001</x:v>
      </x:c>
      <x:c r="P926" s="31" t="n">
        <x:v>5.3</x:v>
      </x:c>
      <x:c r="Q926" s="31" t="n">
        <x:v>5.12</x:v>
      </x:c>
      <x:c r="R926" s="31" t="n">
        <x:f>ABS(P926-Q926)</x:f>
        <x:v>0.17999999999999972</x:v>
      </x:c>
      <x:c r="S926" s="32" t="n">
        <x:v>8800.070023311348</x:v>
      </x:c>
      <x:c r="T926" s="32" t="n">
        <x:v>4967.7892074483525</x:v>
      </x:c>
      <x:c r="U926" s="31" t="n">
        <x:f>MAX(S926/T926,T926/S926)</x:f>
        <x:v>1.7714258105229472</x:v>
      </x:c>
      <x:c r="V926" s="31" t="n">
        <x:f>L926*'Controls &amp; Summary'!$B$9+O926*'Controls &amp; Summary'!$B$10+R926*'Controls &amp; Summary'!$B$11+U926*'Controls &amp; Summary'!$B$12</x:f>
        <x:v>4.241425810522947</x:v>
      </x:c>
      <x:c r="W926" s="31" t="n">
        <x:v>0.77</x:v>
      </x:c>
      <x:c r="X926" s="31" t="n">
        <x:v>6</x:v>
      </x:c>
      <x:c r="Y926" s="31" t="n">
        <x:f>((10-MIN(10,MAX(0,X926)))/10)*'Controls &amp; Summary'!$B$15+((10-MIN(10,MAX(0,W926)))/10)*'Controls &amp; Summary'!$B$16</x:f>
        <x:v>1.323</x:v>
      </x:c>
      <x:c r="Z926" s="31" t="n">
        <x:f>V926*Y926</x:f>
        <x:v>5.611406347321859</x:v>
      </x:c>
      <x:c r="AA926" s="30" t="str">
        <x:f>IF(Z926&lt;=I926,"Peaceful","Hostile")</x:f>
        <x:v>Peaceful</x:v>
      </x:c>
      <x:c r="AB926" s="30" t="str">
        <x:f>IF(Z926&lt;='Controls &amp; Summary'!$B$6,"Eligible","Blocked")</x:f>
        <x:v>Eligible</x:v>
      </x:c>
      <x:c r="AC926" s="30" t="str">
        <x:v>2026_AGO</x:v>
      </x:c>
      <x:c r="AD926" s="30" t="str">
        <x:v>2026_CMR</x:v>
      </x:c>
      <x:c r="AE926" s="30" t="str">
        <x:v>2026_Cameroon</x:v>
      </x:c>
      <x:c r="AF926" s="30" t="str">
        <x:v>Explicit capitalClaim</x:v>
      </x:c>
      <x:c r="AG926" s="30" t="str">
        <x:v>Claim2026_AGO2026_Cameroon</x:v>
      </x:c>
      <x:c r="AH926" s="30" t="str">
        <x:v>Project_RegionalAfricanUnions</x:v>
      </x:c>
    </x:row>
    <x:row r="927">
      <x:c r="A927" s="30" t="str">
        <x:v>2026</x:v>
      </x:c>
      <x:c r="B927" s="30" t="str">
        <x:v>Base game</x:v>
      </x:c>
      <x:c r="C927" s="30" t="str">
        <x:v>Angola</x:v>
      </x:c>
      <x:c r="D927" s="30" t="str">
        <x:v>Congo</x:v>
      </x:c>
      <x:c r="E927" s="30" t="str">
        <x:v>Project unlock</x:v>
      </x:c>
      <x:c r="F927" s="30" t="str">
        <x:v>Regional African Unions</x:v>
      </x:c>
      <x:c r="G927" s="30" t="str">
        <x:v>No</x:v>
      </x:c>
      <x:c r="H927" s="30" t="str">
        <x:v>Ordinary claim</x:v>
      </x:c>
      <x:c r="I927" s="31" t="n">
        <x:f>IF(G927="Yes",'Controls &amp; Summary'!$B$5,'Controls &amp; Summary'!$B$4)</x:f>
        <x:v>6</x:v>
      </x:c>
      <x:c r="J927" s="31" t="n">
        <x:v>3.94</x:v>
      </x:c>
      <x:c r="K927" s="31" t="n">
        <x:v>1.92</x:v>
      </x:c>
      <x:c r="L927" s="31" t="n">
        <x:f>ABS(J927-K927)</x:f>
        <x:v>2.02</x:v>
      </x:c>
      <x:c r="M927" s="31" t="n">
        <x:v>5.13</x:v>
      </x:c>
      <x:c r="N927" s="31" t="n">
        <x:v>4.47</x:v>
      </x:c>
      <x:c r="O927" s="31" t="n">
        <x:f>ABS(M927-N927)</x:f>
        <x:v>0.6600000000000001</x:v>
      </x:c>
      <x:c r="P927" s="31" t="n">
        <x:v>5.3</x:v>
      </x:c>
      <x:c r="Q927" s="31" t="n">
        <x:v>5.4</x:v>
      </x:c>
      <x:c r="R927" s="31" t="n">
        <x:f>ABS(P927-Q927)</x:f>
        <x:v>0.10000000000000053</x:v>
      </x:c>
      <x:c r="S927" s="32" t="n">
        <x:v>8800.070023311348</x:v>
      </x:c>
      <x:c r="T927" s="32" t="n">
        <x:v>1517.0933451626258</x:v>
      </x:c>
      <x:c r="U927" s="31" t="n">
        <x:f>MAX(S927/T927,T927/S927)</x:f>
        <x:v>5.800612105623611</x:v>
      </x:c>
      <x:c r="V927" s="31" t="n">
        <x:f>L927*'Controls &amp; Summary'!$B$9+O927*'Controls &amp; Summary'!$B$10+R927*'Controls &amp; Summary'!$B$11+U927*'Controls &amp; Summary'!$B$12</x:f>
        <x:v>8.580612105623612</x:v>
      </x:c>
      <x:c r="W927" s="31" t="n">
        <x:v>0.77</x:v>
      </x:c>
      <x:c r="X927" s="31" t="n">
        <x:v>5.5</x:v>
      </x:c>
      <x:c r="Y927" s="31" t="n">
        <x:f>((10-MIN(10,MAX(0,X927)))/10)*'Controls &amp; Summary'!$B$15+((10-MIN(10,MAX(0,W927)))/10)*'Controls &amp; Summary'!$B$16</x:f>
        <x:v>1.373</x:v>
      </x:c>
      <x:c r="Z927" s="31" t="n">
        <x:f>V927*Y927</x:f>
        <x:v>11.781180421021219</x:v>
      </x:c>
      <x:c r="AA927" s="30" t="str">
        <x:f>IF(Z927&lt;=I927,"Peaceful","Hostile")</x:f>
        <x:v>Hostile</x:v>
      </x:c>
      <x:c r="AB927" s="30" t="str">
        <x:f>IF(Z927&lt;='Controls &amp; Summary'!$B$6,"Eligible","Blocked")</x:f>
        <x:v>Eligible</x:v>
      </x:c>
      <x:c r="AC927" s="30" t="str">
        <x:v>2026_AGO</x:v>
      </x:c>
      <x:c r="AD927" s="30" t="str">
        <x:v>2026_COD</x:v>
      </x:c>
      <x:c r="AE927" s="30" t="str">
        <x:v>2026_Kinshasa</x:v>
      </x:c>
      <x:c r="AF927" s="30" t="str">
        <x:v>Explicit capitalClaim</x:v>
      </x:c>
      <x:c r="AG927" s="30" t="str">
        <x:v>Claim2026_AGO2026_Kinshasa</x:v>
      </x:c>
      <x:c r="AH927" s="30" t="str">
        <x:v>Project_RegionalAfricanUnions</x:v>
      </x:c>
    </x:row>
    <x:row r="928">
      <x:c r="A928" s="30" t="str">
        <x:v>2026</x:v>
      </x:c>
      <x:c r="B928" s="30" t="str">
        <x:v>Base game</x:v>
      </x:c>
      <x:c r="C928" s="30" t="str">
        <x:v>Angola</x:v>
      </x:c>
      <x:c r="D928" s="30" t="str">
        <x:v>Equatorial Guinea</x:v>
      </x:c>
      <x:c r="E928" s="30" t="str">
        <x:v>Project unlock</x:v>
      </x:c>
      <x:c r="F928" s="30" t="str">
        <x:v>Regional African Unions</x:v>
      </x:c>
      <x:c r="G928" s="30" t="str">
        <x:v>No</x:v>
      </x:c>
      <x:c r="H928" s="30" t="str">
        <x:v>Ordinary claim</x:v>
      </x:c>
      <x:c r="I928" s="31" t="n">
        <x:f>IF(G928="Yes",'Controls &amp; Summary'!$B$5,'Controls &amp; Summary'!$B$4)</x:f>
        <x:v>6</x:v>
      </x:c>
      <x:c r="J928" s="31" t="n">
        <x:v>3.94</x:v>
      </x:c>
      <x:c r="K928" s="31" t="n">
        <x:v>1.92</x:v>
      </x:c>
      <x:c r="L928" s="31" t="n">
        <x:f>ABS(J928-K928)</x:f>
        <x:v>2.02</x:v>
      </x:c>
      <x:c r="M928" s="31" t="n">
        <x:v>5.13</x:v>
      </x:c>
      <x:c r="N928" s="31" t="n">
        <x:v>3.85</x:v>
      </x:c>
      <x:c r="O928" s="31" t="n">
        <x:f>ABS(M928-N928)</x:f>
        <x:v>1.2799999999999998</x:v>
      </x:c>
      <x:c r="P928" s="31" t="n">
        <x:v>5.3</x:v>
      </x:c>
      <x:c r="Q928" s="31" t="n">
        <x:v>6.12</x:v>
      </x:c>
      <x:c r="R928" s="31" t="n">
        <x:f>ABS(P928-Q928)</x:f>
        <x:v>0.8200000000000003</x:v>
      </x:c>
      <x:c r="S928" s="32" t="n">
        <x:v>8800.070023311348</x:v>
      </x:c>
      <x:c r="T928" s="32" t="n">
        <x:v>14634.975217539411</x:v>
      </x:c>
      <x:c r="U928" s="31" t="n">
        <x:f>MAX(S928/T928,T928/S928)</x:f>
        <x:v>1.6630521324002452</x:v>
      </x:c>
      <x:c r="V928" s="31" t="n">
        <x:f>L928*'Controls &amp; Summary'!$B$9+O928*'Controls &amp; Summary'!$B$10+R928*'Controls &amp; Summary'!$B$11+U928*'Controls &amp; Summary'!$B$12</x:f>
        <x:v>5.783052132400245</x:v>
      </x:c>
      <x:c r="W928" s="31" t="n">
        <x:v>0.77</x:v>
      </x:c>
      <x:c r="X928" s="31" t="n">
        <x:v>0</x:v>
      </x:c>
      <x:c r="Y928" s="31" t="n">
        <x:f>((10-MIN(10,MAX(0,X928)))/10)*'Controls &amp; Summary'!$B$15+((10-MIN(10,MAX(0,W928)))/10)*'Controls &amp; Summary'!$B$16</x:f>
        <x:v>1.923</x:v>
      </x:c>
      <x:c r="Z928" s="31" t="n">
        <x:f>V928*Y928</x:f>
        <x:v>11.12080925060567</x:v>
      </x:c>
      <x:c r="AA928" s="30" t="str">
        <x:f>IF(Z928&lt;=I928,"Peaceful","Hostile")</x:f>
        <x:v>Hostile</x:v>
      </x:c>
      <x:c r="AB928" s="30" t="str">
        <x:f>IF(Z928&lt;='Controls &amp; Summary'!$B$6,"Eligible","Blocked")</x:f>
        <x:v>Eligible</x:v>
      </x:c>
      <x:c r="AC928" s="30" t="str">
        <x:v>2026_AGO</x:v>
      </x:c>
      <x:c r="AD928" s="30" t="str">
        <x:v>2026_EQG</x:v>
      </x:c>
      <x:c r="AE928" s="30" t="str">
        <x:v>2026_EquatorialGuinea</x:v>
      </x:c>
      <x:c r="AF928" s="30" t="str">
        <x:v>Explicit capitalClaim</x:v>
      </x:c>
      <x:c r="AG928" s="30" t="str">
        <x:v>Claim2026_AGO2026_EquatorialGuinea</x:v>
      </x:c>
      <x:c r="AH928" s="30" t="str">
        <x:v>Project_RegionalAfricanUnions</x:v>
      </x:c>
    </x:row>
    <x:row r="929">
      <x:c r="A929" s="30" t="str">
        <x:v>2026</x:v>
      </x:c>
      <x:c r="B929" s="30" t="str">
        <x:v>Base game</x:v>
      </x:c>
      <x:c r="C929" s="30" t="str">
        <x:v>Angola</x:v>
      </x:c>
      <x:c r="D929" s="30" t="str">
        <x:v>Eswatini</x:v>
      </x:c>
      <x:c r="E929" s="30" t="str">
        <x:v>Project unlock</x:v>
      </x:c>
      <x:c r="F929" s="30" t="str">
        <x:v>Regional African Unions</x:v>
      </x:c>
      <x:c r="G929" s="30" t="str">
        <x:v>No</x:v>
      </x:c>
      <x:c r="H929" s="30" t="str">
        <x:v>Ordinary claim</x:v>
      </x:c>
      <x:c r="I929" s="31" t="n">
        <x:f>IF(G929="Yes",'Controls &amp; Summary'!$B$5,'Controls &amp; Summary'!$B$4)</x:f>
        <x:v>6</x:v>
      </x:c>
      <x:c r="J929" s="31" t="n">
        <x:v>3.94</x:v>
      </x:c>
      <x:c r="K929" s="31" t="n">
        <x:v>2.6</x:v>
      </x:c>
      <x:c r="L929" s="31" t="n">
        <x:f>ABS(J929-K929)</x:f>
        <x:v>1.3399999999999999</x:v>
      </x:c>
      <x:c r="M929" s="31" t="n">
        <x:v>5.13</x:v>
      </x:c>
      <x:c r="N929" s="31" t="n">
        <x:v>5.46</x:v>
      </x:c>
      <x:c r="O929" s="31" t="n">
        <x:f>ABS(M929-N929)</x:f>
        <x:v>0.33000000000000007</x:v>
      </x:c>
      <x:c r="P929" s="31" t="n">
        <x:v>5.3</x:v>
      </x:c>
      <x:c r="Q929" s="31" t="n">
        <x:v>6.97</x:v>
      </x:c>
      <x:c r="R929" s="31" t="n">
        <x:f>ABS(P929-Q929)</x:f>
        <x:v>1.67</x:v>
      </x:c>
      <x:c r="S929" s="32" t="n">
        <x:v>8800.070023311348</x:v>
      </x:c>
      <x:c r="T929" s="32" t="n">
        <x:v>11310.988070329067</x:v>
      </x:c>
      <x:c r="U929" s="31" t="n">
        <x:f>MAX(S929/T929,T929/S929)</x:f>
        <x:v>1.2853293258310796</x:v>
      </x:c>
      <x:c r="V929" s="31" t="n">
        <x:f>L929*'Controls &amp; Summary'!$B$9+O929*'Controls &amp; Summary'!$B$10+R929*'Controls &amp; Summary'!$B$11+U929*'Controls &amp; Summary'!$B$12</x:f>
        <x:v>4.625329325831079</x:v>
      </x:c>
      <x:c r="W929" s="31" t="n">
        <x:v>0.77</x:v>
      </x:c>
      <x:c r="X929" s="31" t="n">
        <x:v>1</x:v>
      </x:c>
      <x:c r="Y929" s="31" t="n">
        <x:f>((10-MIN(10,MAX(0,X929)))/10)*'Controls &amp; Summary'!$B$15+((10-MIN(10,MAX(0,W929)))/10)*'Controls &amp; Summary'!$B$16</x:f>
        <x:v>1.823</x:v>
      </x:c>
      <x:c r="Z929" s="31" t="n">
        <x:f>V929*Y929</x:f>
        <x:v>8.431975360990057</x:v>
      </x:c>
      <x:c r="AA929" s="30" t="str">
        <x:f>IF(Z929&lt;=I929,"Peaceful","Hostile")</x:f>
        <x:v>Hostile</x:v>
      </x:c>
      <x:c r="AB929" s="30" t="str">
        <x:f>IF(Z929&lt;='Controls &amp; Summary'!$B$6,"Eligible","Blocked")</x:f>
        <x:v>Eligible</x:v>
      </x:c>
      <x:c r="AC929" s="30" t="str">
        <x:v>2026_AGO</x:v>
      </x:c>
      <x:c r="AD929" s="30" t="str">
        <x:v>2026_ESW</x:v>
      </x:c>
      <x:c r="AE929" s="30" t="str">
        <x:v>2026_Eswatini</x:v>
      </x:c>
      <x:c r="AF929" s="30" t="str">
        <x:v>Explicit capitalClaim</x:v>
      </x:c>
      <x:c r="AG929" s="30" t="str">
        <x:v>Claim2026_AGO2026_Eswatini</x:v>
      </x:c>
      <x:c r="AH929" s="30" t="str">
        <x:v>Project_RegionalAfricanUnions</x:v>
      </x:c>
    </x:row>
    <x:row r="930">
      <x:c r="A930" s="30" t="str">
        <x:v>2026</x:v>
      </x:c>
      <x:c r="B930" s="30" t="str">
        <x:v>Base game</x:v>
      </x:c>
      <x:c r="C930" s="30" t="str">
        <x:v>Angola</x:v>
      </x:c>
      <x:c r="D930" s="30" t="str">
        <x:v>Gabon</x:v>
      </x:c>
      <x:c r="E930" s="30" t="str">
        <x:v>Project unlock</x:v>
      </x:c>
      <x:c r="F930" s="30" t="str">
        <x:v>Regional African Unions</x:v>
      </x:c>
      <x:c r="G930" s="30" t="str">
        <x:v>No</x:v>
      </x:c>
      <x:c r="H930" s="30" t="str">
        <x:v>Ordinary claim</x:v>
      </x:c>
      <x:c r="I930" s="31" t="n">
        <x:f>IF(G930="Yes",'Controls &amp; Summary'!$B$5,'Controls &amp; Summary'!$B$4)</x:f>
        <x:v>6</x:v>
      </x:c>
      <x:c r="J930" s="31" t="n">
        <x:v>3.94</x:v>
      </x:c>
      <x:c r="K930" s="31" t="n">
        <x:v>3.49</x:v>
      </x:c>
      <x:c r="L930" s="31" t="n">
        <x:f>ABS(J930-K930)</x:f>
        <x:v>0.44999999999999973</x:v>
      </x:c>
      <x:c r="M930" s="31" t="n">
        <x:v>5.13</x:v>
      </x:c>
      <x:c r="N930" s="31" t="n">
        <x:v>3.8</x:v>
      </x:c>
      <x:c r="O930" s="31" t="n">
        <x:f>ABS(M930-N930)</x:f>
        <x:v>1.33</x:v>
      </x:c>
      <x:c r="P930" s="31" t="n">
        <x:v>5.3</x:v>
      </x:c>
      <x:c r="Q930" s="31" t="n">
        <x:v>6.57</x:v>
      </x:c>
      <x:c r="R930" s="31" t="n">
        <x:f>ABS(P930-Q930)</x:f>
        <x:v>1.2700000000000005</x:v>
      </x:c>
      <x:c r="S930" s="32" t="n">
        <x:v>8800.070023311348</x:v>
      </x:c>
      <x:c r="T930" s="32" t="n">
        <x:v>19094.81000219461</x:v>
      </x:c>
      <x:c r="U930" s="31" t="n">
        <x:f>MAX(S930/T930,T930/S930)</x:f>
        <x:v>2.169847507078073</x:v>
      </x:c>
      <x:c r="V930" s="31" t="n">
        <x:f>L930*'Controls &amp; Summary'!$B$9+O930*'Controls &amp; Summary'!$B$10+R930*'Controls &amp; Summary'!$B$11+U930*'Controls &amp; Summary'!$B$12</x:f>
        <x:v>5.219847507078073</x:v>
      </x:c>
      <x:c r="W930" s="31" t="n">
        <x:v>0.77</x:v>
      </x:c>
      <x:c r="X930" s="31" t="n">
        <x:v>0.5</x:v>
      </x:c>
      <x:c r="Y930" s="31" t="n">
        <x:f>((10-MIN(10,MAX(0,X930)))/10)*'Controls &amp; Summary'!$B$15+((10-MIN(10,MAX(0,W930)))/10)*'Controls &amp; Summary'!$B$16</x:f>
        <x:v>1.873</x:v>
      </x:c>
      <x:c r="Z930" s="31" t="n">
        <x:f>V930*Y930</x:f>
        <x:v>9.776774380757232</x:v>
      </x:c>
      <x:c r="AA930" s="30" t="str">
        <x:f>IF(Z930&lt;=I930,"Peaceful","Hostile")</x:f>
        <x:v>Hostile</x:v>
      </x:c>
      <x:c r="AB930" s="30" t="str">
        <x:f>IF(Z930&lt;='Controls &amp; Summary'!$B$6,"Eligible","Blocked")</x:f>
        <x:v>Eligible</x:v>
      </x:c>
      <x:c r="AC930" s="30" t="str">
        <x:v>2026_AGO</x:v>
      </x:c>
      <x:c r="AD930" s="30" t="str">
        <x:v>2026_LWG</x:v>
      </x:c>
      <x:c r="AE930" s="30" t="str">
        <x:v>2026_Libreville</x:v>
      </x:c>
      <x:c r="AF930" s="30" t="str">
        <x:v>Explicit capitalClaim</x:v>
      </x:c>
      <x:c r="AG930" s="30" t="str">
        <x:v>Claim2026_AGO2026_Libreville</x:v>
      </x:c>
      <x:c r="AH930" s="30" t="str">
        <x:v>Project_RegionalAfricanUnions</x:v>
      </x:c>
    </x:row>
    <x:row r="931">
      <x:c r="A931" s="30" t="str">
        <x:v>2026</x:v>
      </x:c>
      <x:c r="B931" s="30" t="str">
        <x:v>Base game</x:v>
      </x:c>
      <x:c r="C931" s="30" t="str">
        <x:v>Angola</x:v>
      </x:c>
      <x:c r="D931" s="30" t="str">
        <x:v>Lesotho</x:v>
      </x:c>
      <x:c r="E931" s="30" t="str">
        <x:v>Project unlock</x:v>
      </x:c>
      <x:c r="F931" s="30" t="str">
        <x:v>Regional African Unions</x:v>
      </x:c>
      <x:c r="G931" s="30" t="str">
        <x:v>No</x:v>
      </x:c>
      <x:c r="H931" s="30" t="str">
        <x:v>Ordinary claim</x:v>
      </x:c>
      <x:c r="I931" s="31" t="n">
        <x:f>IF(G931="Yes",'Controls &amp; Summary'!$B$5,'Controls &amp; Summary'!$B$4)</x:f>
        <x:v>6</x:v>
      </x:c>
      <x:c r="J931" s="31" t="n">
        <x:v>3.94</x:v>
      </x:c>
      <x:c r="K931" s="31" t="n">
        <x:v>6.23</x:v>
      </x:c>
      <x:c r="L931" s="31" t="n">
        <x:f>ABS(J931-K931)</x:f>
        <x:v>2.2900000000000005</x:v>
      </x:c>
      <x:c r="M931" s="31" t="n">
        <x:v>5.13</x:v>
      </x:c>
      <x:c r="N931" s="31" t="n">
        <x:v>4.49</x:v>
      </x:c>
      <x:c r="O931" s="31" t="n">
        <x:f>ABS(M931-N931)</x:f>
        <x:v>0.6399999999999997</x:v>
      </x:c>
      <x:c r="P931" s="31" t="n">
        <x:v>5.3</x:v>
      </x:c>
      <x:c r="Q931" s="31" t="n">
        <x:v>5.53</x:v>
      </x:c>
      <x:c r="R931" s="31" t="n">
        <x:f>ABS(P931-Q931)</x:f>
        <x:v>0.23000000000000043</x:v>
      </x:c>
      <x:c r="S931" s="32" t="n">
        <x:v>8800.070023311348</x:v>
      </x:c>
      <x:c r="T931" s="32" t="n">
        <x:v>2729.126418385694</x:v>
      </x:c>
      <x:c r="U931" s="31" t="n">
        <x:f>MAX(S931/T931,T931/S931)</x:f>
        <x:v>3.224500691513103</x:v>
      </x:c>
      <x:c r="V931" s="31" t="n">
        <x:f>L931*'Controls &amp; Summary'!$B$9+O931*'Controls &amp; Summary'!$B$10+R931*'Controls &amp; Summary'!$B$11+U931*'Controls &amp; Summary'!$B$12</x:f>
        <x:v>6.384500691513104</x:v>
      </x:c>
      <x:c r="W931" s="31" t="n">
        <x:v>0.77</x:v>
      </x:c>
      <x:c r="X931" s="31" t="n">
        <x:v>1</x:v>
      </x:c>
      <x:c r="Y931" s="31" t="n">
        <x:f>((10-MIN(10,MAX(0,X931)))/10)*'Controls &amp; Summary'!$B$15+((10-MIN(10,MAX(0,W931)))/10)*'Controls &amp; Summary'!$B$16</x:f>
        <x:v>1.823</x:v>
      </x:c>
      <x:c r="Z931" s="31" t="n">
        <x:f>V931*Y931</x:f>
        <x:v>11.638944760628387</x:v>
      </x:c>
      <x:c r="AA931" s="30" t="str">
        <x:f>IF(Z931&lt;=I931,"Peaceful","Hostile")</x:f>
        <x:v>Hostile</x:v>
      </x:c>
      <x:c r="AB931" s="30" t="str">
        <x:f>IF(Z931&lt;='Controls &amp; Summary'!$B$6,"Eligible","Blocked")</x:f>
        <x:v>Eligible</x:v>
      </x:c>
      <x:c r="AC931" s="30" t="str">
        <x:v>2026_AGO</x:v>
      </x:c>
      <x:c r="AD931" s="30" t="str">
        <x:v>2026_LES</x:v>
      </x:c>
      <x:c r="AE931" s="30" t="str">
        <x:v>2026_Lesotho</x:v>
      </x:c>
      <x:c r="AF931" s="30" t="str">
        <x:v>Explicit capitalClaim</x:v>
      </x:c>
      <x:c r="AG931" s="30" t="str">
        <x:v>Claim2026_AGO2026_Lesotho</x:v>
      </x:c>
      <x:c r="AH931" s="30" t="str">
        <x:v>Project_RegionalAfricanUnions</x:v>
      </x:c>
    </x:row>
    <x:row r="932">
      <x:c r="A932" s="30" t="str">
        <x:v>2026</x:v>
      </x:c>
      <x:c r="B932" s="30" t="str">
        <x:v>Base game</x:v>
      </x:c>
      <x:c r="C932" s="30" t="str">
        <x:v>Angola</x:v>
      </x:c>
      <x:c r="D932" s="30" t="str">
        <x:v>Malawi</x:v>
      </x:c>
      <x:c r="E932" s="30" t="str">
        <x:v>Project unlock</x:v>
      </x:c>
      <x:c r="F932" s="30" t="str">
        <x:v>Regional African Unions</x:v>
      </x:c>
      <x:c r="G932" s="30" t="str">
        <x:v>No</x:v>
      </x:c>
      <x:c r="H932" s="30" t="str">
        <x:v>Ordinary claim</x:v>
      </x:c>
      <x:c r="I932" s="31" t="n">
        <x:f>IF(G932="Yes",'Controls &amp; Summary'!$B$5,'Controls &amp; Summary'!$B$4)</x:f>
        <x:v>6</x:v>
      </x:c>
      <x:c r="J932" s="31" t="n">
        <x:v>3.94</x:v>
      </x:c>
      <x:c r="K932" s="31" t="n">
        <x:v>6.1</x:v>
      </x:c>
      <x:c r="L932" s="31" t="n">
        <x:f>ABS(J932-K932)</x:f>
        <x:v>2.1599999999999997</x:v>
      </x:c>
      <x:c r="M932" s="31" t="n">
        <x:v>5.13</x:v>
      </x:c>
      <x:c r="N932" s="31" t="n">
        <x:v>3.85</x:v>
      </x:c>
      <x:c r="O932" s="31" t="n">
        <x:f>ABS(M932-N932)</x:f>
        <x:v>1.2799999999999998</x:v>
      </x:c>
      <x:c r="P932" s="31" t="n">
        <x:v>5.3</x:v>
      </x:c>
      <x:c r="Q932" s="31" t="n">
        <x:v>4.43</x:v>
      </x:c>
      <x:c r="R932" s="31" t="n">
        <x:f>ABS(P932-Q932)</x:f>
        <x:v>0.8700000000000001</x:v>
      </x:c>
      <x:c r="S932" s="32" t="n">
        <x:v>8800.070023311348</x:v>
      </x:c>
      <x:c r="T932" s="32" t="n">
        <x:v>1651.8971356169604</x:v>
      </x:c>
      <x:c r="U932" s="31" t="n">
        <x:f>MAX(S932/T932,T932/S932)</x:f>
        <x:v>5.3272506099628565</x:v>
      </x:c>
      <x:c r="V932" s="31" t="n">
        <x:f>L932*'Controls &amp; Summary'!$B$9+O932*'Controls &amp; Summary'!$B$10+R932*'Controls &amp; Summary'!$B$11+U932*'Controls &amp; Summary'!$B$12</x:f>
        <x:v>9.637250609962855</x:v>
      </x:c>
      <x:c r="W932" s="31" t="n">
        <x:v>0.77</x:v>
      </x:c>
      <x:c r="X932" s="31" t="n">
        <x:v>2.5</x:v>
      </x:c>
      <x:c r="Y932" s="31" t="n">
        <x:f>((10-MIN(10,MAX(0,X932)))/10)*'Controls &amp; Summary'!$B$15+((10-MIN(10,MAX(0,W932)))/10)*'Controls &amp; Summary'!$B$16</x:f>
        <x:v>1.673</x:v>
      </x:c>
      <x:c r="Z932" s="31" t="n">
        <x:f>V932*Y932</x:f>
        <x:v>16.123120270467858</x:v>
      </x:c>
      <x:c r="AA932" s="30" t="str">
        <x:f>IF(Z932&lt;=I932,"Peaceful","Hostile")</x:f>
        <x:v>Hostile</x:v>
      </x:c>
      <x:c r="AB932" s="30" t="str">
        <x:f>IF(Z932&lt;='Controls &amp; Summary'!$B$6,"Eligible","Blocked")</x:f>
        <x:v>Blocked</x:v>
      </x:c>
      <x:c r="AC932" s="30" t="str">
        <x:v>2026_AGO</x:v>
      </x:c>
      <x:c r="AD932" s="30" t="str">
        <x:v>2026_MAL</x:v>
      </x:c>
      <x:c r="AE932" s="30" t="str">
        <x:v>2026_Malawi</x:v>
      </x:c>
      <x:c r="AF932" s="30" t="str">
        <x:v>Explicit capitalClaim</x:v>
      </x:c>
      <x:c r="AG932" s="30" t="str">
        <x:v>Claim2026_AGO2026_Malawi</x:v>
      </x:c>
      <x:c r="AH932" s="30" t="str">
        <x:v>Project_RegionalAfricanUnions</x:v>
      </x:c>
    </x:row>
    <x:row r="933">
      <x:c r="A933" s="30" t="str">
        <x:v>2026</x:v>
      </x:c>
      <x:c r="B933" s="30" t="str">
        <x:v>Base game</x:v>
      </x:c>
      <x:c r="C933" s="30" t="str">
        <x:v>Angola</x:v>
      </x:c>
      <x:c r="D933" s="30" t="str">
        <x:v>Mozambique</x:v>
      </x:c>
      <x:c r="E933" s="30" t="str">
        <x:v>Project unlock</x:v>
      </x:c>
      <x:c r="F933" s="30" t="str">
        <x:v>Regional African Unions</x:v>
      </x:c>
      <x:c r="G933" s="30" t="str">
        <x:v>No</x:v>
      </x:c>
      <x:c r="H933" s="30" t="str">
        <x:v>Ordinary claim</x:v>
      </x:c>
      <x:c r="I933" s="31" t="n">
        <x:f>IF(G933="Yes",'Controls &amp; Summary'!$B$5,'Controls &amp; Summary'!$B$4)</x:f>
        <x:v>6</x:v>
      </x:c>
      <x:c r="J933" s="31" t="n">
        <x:v>3.94</x:v>
      </x:c>
      <x:c r="K933" s="31" t="n">
        <x:v>3.38</x:v>
      </x:c>
      <x:c r="L933" s="31" t="n">
        <x:f>ABS(J933-K933)</x:f>
        <x:v>0.56</x:v>
      </x:c>
      <x:c r="M933" s="31" t="n">
        <x:v>5.13</x:v>
      </x:c>
      <x:c r="N933" s="31" t="n">
        <x:v>5.03</x:v>
      </x:c>
      <x:c r="O933" s="31" t="n">
        <x:f>ABS(M933-N933)</x:f>
        <x:v>0.09999999999999964</x:v>
      </x:c>
      <x:c r="P933" s="31" t="n">
        <x:v>5.3</x:v>
      </x:c>
      <x:c r="Q933" s="31" t="n">
        <x:v>4.47</x:v>
      </x:c>
      <x:c r="R933" s="31" t="n">
        <x:f>ABS(P933-Q933)</x:f>
        <x:v>0.8300000000000001</x:v>
      </x:c>
      <x:c r="S933" s="32" t="n">
        <x:v>8800.070023311348</x:v>
      </x:c>
      <x:c r="T933" s="32" t="n">
        <x:v>1487.9601994014658</x:v>
      </x:c>
      <x:c r="U933" s="31" t="n">
        <x:f>MAX(S933/T933,T933/S933)</x:f>
        <x:v>5.914183744196376</x:v>
      </x:c>
      <x:c r="V933" s="31" t="n">
        <x:f>L933*'Controls &amp; Summary'!$B$9+O933*'Controls &amp; Summary'!$B$10+R933*'Controls &amp; Summary'!$B$11+U933*'Controls &amp; Summary'!$B$12</x:f>
        <x:v>7.404183744196375</x:v>
      </x:c>
      <x:c r="W933" s="31" t="n">
        <x:v>0.77</x:v>
      </x:c>
      <x:c r="X933" s="31" t="n">
        <x:v>4</x:v>
      </x:c>
      <x:c r="Y933" s="31" t="n">
        <x:f>((10-MIN(10,MAX(0,X933)))/10)*'Controls &amp; Summary'!$B$15+((10-MIN(10,MAX(0,W933)))/10)*'Controls &amp; Summary'!$B$16</x:f>
        <x:v>1.5230000000000001</x:v>
      </x:c>
      <x:c r="Z933" s="31" t="n">
        <x:f>V933*Y933</x:f>
        <x:v>11.27657184241108</x:v>
      </x:c>
      <x:c r="AA933" s="30" t="str">
        <x:f>IF(Z933&lt;=I933,"Peaceful","Hostile")</x:f>
        <x:v>Hostile</x:v>
      </x:c>
      <x:c r="AB933" s="30" t="str">
        <x:f>IF(Z933&lt;='Controls &amp; Summary'!$B$6,"Eligible","Blocked")</x:f>
        <x:v>Eligible</x:v>
      </x:c>
      <x:c r="AC933" s="30" t="str">
        <x:v>2026_AGO</x:v>
      </x:c>
      <x:c r="AD933" s="30" t="str">
        <x:v>2026_MOZ</x:v>
      </x:c>
      <x:c r="AE933" s="30" t="str">
        <x:v>2026_Mozambique</x:v>
      </x:c>
      <x:c r="AF933" s="30" t="str">
        <x:v>Explicit capitalClaim</x:v>
      </x:c>
      <x:c r="AG933" s="30" t="str">
        <x:v>Claim2026_AGO2026_Mozambique</x:v>
      </x:c>
      <x:c r="AH933" s="30" t="str">
        <x:v>Project_RegionalAfricanUnions</x:v>
      </x:c>
    </x:row>
    <x:row r="934">
      <x:c r="A934" s="30" t="str">
        <x:v>2026</x:v>
      </x:c>
      <x:c r="B934" s="30" t="str">
        <x:v>Base game</x:v>
      </x:c>
      <x:c r="C934" s="30" t="str">
        <x:v>Angola</x:v>
      </x:c>
      <x:c r="D934" s="30" t="str">
        <x:v>Republic of the Congo</x:v>
      </x:c>
      <x:c r="E934" s="30" t="str">
        <x:v>Project unlock</x:v>
      </x:c>
      <x:c r="F934" s="30" t="str">
        <x:v>Regional African Unions</x:v>
      </x:c>
      <x:c r="G934" s="30" t="str">
        <x:v>No</x:v>
      </x:c>
      <x:c r="H934" s="30" t="str">
        <x:v>Ordinary claim</x:v>
      </x:c>
      <x:c r="I934" s="31" t="n">
        <x:f>IF(G934="Yes",'Controls &amp; Summary'!$B$5,'Controls &amp; Summary'!$B$4)</x:f>
        <x:v>6</x:v>
      </x:c>
      <x:c r="J934" s="31" t="n">
        <x:v>3.94</x:v>
      </x:c>
      <x:c r="K934" s="31" t="n">
        <x:v>2.79</x:v>
      </x:c>
      <x:c r="L934" s="31" t="n">
        <x:f>ABS(J934-K934)</x:f>
        <x:v>1.15</x:v>
      </x:c>
      <x:c r="M934" s="31" t="n">
        <x:v>5.13</x:v>
      </x:c>
      <x:c r="N934" s="31" t="n">
        <x:v>4.89</x:v>
      </x:c>
      <x:c r="O934" s="31" t="n">
        <x:f>ABS(M934-N934)</x:f>
        <x:v>0.2400000000000002</x:v>
      </x:c>
      <x:c r="P934" s="31" t="n">
        <x:v>5.3</x:v>
      </x:c>
      <x:c r="Q934" s="31" t="n">
        <x:v>6.17</x:v>
      </x:c>
      <x:c r="R934" s="31" t="n">
        <x:f>ABS(P934-Q934)</x:f>
        <x:v>0.8700000000000001</x:v>
      </x:c>
      <x:c r="S934" s="32" t="n">
        <x:v>8800.070023311348</x:v>
      </x:c>
      <x:c r="T934" s="32" t="n">
        <x:v>5669.275870037972</x:v>
      </x:c>
      <x:c r="U934" s="31" t="n">
        <x:f>MAX(S934/T934,T934/S934)</x:f>
        <x:v>1.5522388088079415</x:v>
      </x:c>
      <x:c r="V934" s="31" t="n">
        <x:f>L934*'Controls &amp; Summary'!$B$9+O934*'Controls &amp; Summary'!$B$10+R934*'Controls &amp; Summary'!$B$11+U934*'Controls &amp; Summary'!$B$12</x:f>
        <x:v>3.8122388088079417</x:v>
      </x:c>
      <x:c r="W934" s="31" t="n">
        <x:v>0.77</x:v>
      </x:c>
      <x:c r="X934" s="31" t="n">
        <x:v>0.5</x:v>
      </x:c>
      <x:c r="Y934" s="31" t="n">
        <x:f>((10-MIN(10,MAX(0,X934)))/10)*'Controls &amp; Summary'!$B$15+((10-MIN(10,MAX(0,W934)))/10)*'Controls &amp; Summary'!$B$16</x:f>
        <x:v>1.873</x:v>
      </x:c>
      <x:c r="Z934" s="31" t="n">
        <x:f>V934*Y934</x:f>
        <x:v>7.1403232888972745</x:v>
      </x:c>
      <x:c r="AA934" s="30" t="str">
        <x:f>IF(Z934&lt;=I934,"Peaceful","Hostile")</x:f>
        <x:v>Hostile</x:v>
      </x:c>
      <x:c r="AB934" s="30" t="str">
        <x:f>IF(Z934&lt;='Controls &amp; Summary'!$B$6,"Eligible","Blocked")</x:f>
        <x:v>Eligible</x:v>
      </x:c>
      <x:c r="AC934" s="30" t="str">
        <x:v>2026_AGO</x:v>
      </x:c>
      <x:c r="AD934" s="30" t="str">
        <x:v>2026_COR</x:v>
      </x:c>
      <x:c r="AE934" s="30" t="str">
        <x:v>2026_Brazzaville</x:v>
      </x:c>
      <x:c r="AF934" s="30" t="str">
        <x:v>Explicit capitalClaim</x:v>
      </x:c>
      <x:c r="AG934" s="30" t="str">
        <x:v>Claim2026_AGO2026_Brazzaville</x:v>
      </x:c>
      <x:c r="AH934" s="30" t="str">
        <x:v>Project_RegionalAfricanUnions</x:v>
      </x:c>
    </x:row>
    <x:row r="935">
      <x:c r="A935" s="30" t="str">
        <x:v>2026</x:v>
      </x:c>
      <x:c r="B935" s="30" t="str">
        <x:v>Base game</x:v>
      </x:c>
      <x:c r="C935" s="30" t="str">
        <x:v>Angola</x:v>
      </x:c>
      <x:c r="D935" s="30" t="str">
        <x:v>Rwanda-Burundi</x:v>
      </x:c>
      <x:c r="E935" s="30" t="str">
        <x:v>Project unlock</x:v>
      </x:c>
      <x:c r="F935" s="30" t="str">
        <x:v>Regional African Unions</x:v>
      </x:c>
      <x:c r="G935" s="30" t="str">
        <x:v>No</x:v>
      </x:c>
      <x:c r="H935" s="30" t="str">
        <x:v>Ordinary claim</x:v>
      </x:c>
      <x:c r="I935" s="31" t="n">
        <x:f>IF(G935="Yes",'Controls &amp; Summary'!$B$5,'Controls &amp; Summary'!$B$4)</x:f>
        <x:v>6</x:v>
      </x:c>
      <x:c r="J935" s="31" t="n">
        <x:v>3.94</x:v>
      </x:c>
      <x:c r="K935" s="31" t="n">
        <x:v>2.74</x:v>
      </x:c>
      <x:c r="L935" s="31" t="n">
        <x:f>ABS(J935-K935)</x:f>
        <x:v>1.1999999999999997</x:v>
      </x:c>
      <x:c r="M935" s="31" t="n">
        <x:v>5.13</x:v>
      </x:c>
      <x:c r="N935" s="31" t="n">
        <x:v>4.06</x:v>
      </x:c>
      <x:c r="O935" s="31" t="n">
        <x:f>ABS(M935-N935)</x:f>
        <x:v>1.0700000000000003</x:v>
      </x:c>
      <x:c r="P935" s="31" t="n">
        <x:v>5.3</x:v>
      </x:c>
      <x:c r="Q935" s="31" t="n">
        <x:v>4.46</x:v>
      </x:c>
      <x:c r="R935" s="31" t="n">
        <x:f>ABS(P935-Q935)</x:f>
        <x:v>0.8399999999999999</x:v>
      </x:c>
      <x:c r="S935" s="32" t="n">
        <x:v>8800.070023311348</x:v>
      </x:c>
      <x:c r="T935" s="32" t="n">
        <x:v>2141.911654233706</x:v>
      </x:c>
      <x:c r="U935" s="31" t="n">
        <x:f>MAX(S935/T935,T935/S935)</x:f>
        <x:v>4.108512134903937</x:v>
      </x:c>
      <x:c r="V935" s="31" t="n">
        <x:f>L935*'Controls &amp; Summary'!$B$9+O935*'Controls &amp; Summary'!$B$10+R935*'Controls &amp; Summary'!$B$11+U935*'Controls &amp; Summary'!$B$12</x:f>
        <x:v>7.218512134903937</x:v>
      </x:c>
      <x:c r="W935" s="31" t="n">
        <x:v>0.77</x:v>
      </x:c>
      <x:c r="X935" s="31" t="n">
        <x:v>2.49</x:v>
      </x:c>
      <x:c r="Y935" s="31" t="n">
        <x:f>((10-MIN(10,MAX(0,X935)))/10)*'Controls &amp; Summary'!$B$15+((10-MIN(10,MAX(0,W935)))/10)*'Controls &amp; Summary'!$B$16</x:f>
        <x:v>1.674</x:v>
      </x:c>
      <x:c r="Z935" s="31" t="n">
        <x:f>V935*Y935</x:f>
        <x:v>12.083789313829191</x:v>
      </x:c>
      <x:c r="AA935" s="30" t="str">
        <x:f>IF(Z935&lt;=I935,"Peaceful","Hostile")</x:f>
        <x:v>Hostile</x:v>
      </x:c>
      <x:c r="AB935" s="30" t="str">
        <x:f>IF(Z935&lt;='Controls &amp; Summary'!$B$6,"Eligible","Blocked")</x:f>
        <x:v>Blocked</x:v>
      </x:c>
      <x:c r="AC935" s="30" t="str">
        <x:v>2026_AGO</x:v>
      </x:c>
      <x:c r="AD935" s="30" t="str">
        <x:v>2026_RWB</x:v>
      </x:c>
      <x:c r="AE935" s="30" t="str">
        <x:v>2026_Kigali</x:v>
      </x:c>
      <x:c r="AF935" s="30" t="str">
        <x:v>Explicit capitalClaim</x:v>
      </x:c>
      <x:c r="AG935" s="30" t="str">
        <x:v>Claim2026_AGO2026_Kigali</x:v>
      </x:c>
      <x:c r="AH935" s="30" t="str">
        <x:v>Project_RegionalAfricanUnions</x:v>
      </x:c>
    </x:row>
    <x:row r="936">
      <x:c r="A936" s="30" t="str">
        <x:v>2026</x:v>
      </x:c>
      <x:c r="B936" s="30" t="str">
        <x:v>Base game</x:v>
      </x:c>
      <x:c r="C936" s="30" t="str">
        <x:v>Angola</x:v>
      </x:c>
      <x:c r="D936" s="30" t="str">
        <x:v>Sao Tome and Principe</x:v>
      </x:c>
      <x:c r="E936" s="30" t="str">
        <x:v>Project unlock</x:v>
      </x:c>
      <x:c r="F936" s="30" t="str">
        <x:v>Regional African Unions</x:v>
      </x:c>
      <x:c r="G936" s="30" t="str">
        <x:v>No</x:v>
      </x:c>
      <x:c r="H936" s="30" t="str">
        <x:v>Ordinary claim</x:v>
      </x:c>
      <x:c r="I936" s="31" t="n">
        <x:f>IF(G936="Yes",'Controls &amp; Summary'!$B$5,'Controls &amp; Summary'!$B$4)</x:f>
        <x:v>6</x:v>
      </x:c>
      <x:c r="J936" s="31" t="n">
        <x:v>3.94</x:v>
      </x:c>
      <x:c r="K936" s="31" t="n">
        <x:v>7.8</x:v>
      </x:c>
      <x:c r="L936" s="31" t="n">
        <x:f>ABS(J936-K936)</x:f>
        <x:v>3.86</x:v>
      </x:c>
      <x:c r="M936" s="31" t="n">
        <x:v>5.13</x:v>
      </x:c>
      <x:c r="N936" s="31" t="n">
        <x:v>4.07</x:v>
      </x:c>
      <x:c r="O936" s="31" t="n">
        <x:f>ABS(M936-N936)</x:f>
        <x:v>1.0599999999999996</x:v>
      </x:c>
      <x:c r="P936" s="31" t="n">
        <x:v>5.3</x:v>
      </x:c>
      <x:c r="Q936" s="31" t="n">
        <x:v>5.49</x:v>
      </x:c>
      <x:c r="R936" s="31" t="n">
        <x:f>ABS(P936-Q936)</x:f>
        <x:v>0.1900000000000004</x:v>
      </x:c>
      <x:c r="S936" s="32" t="n">
        <x:v>8800.070023311348</x:v>
      </x:c>
      <x:c r="T936" s="32" t="n">
        <x:v>5581.850984105733</x:v>
      </x:c>
      <x:c r="U936" s="31" t="n">
        <x:f>MAX(S936/T936,T936/S936)</x:f>
        <x:v>1.5765505113571578</x:v>
      </x:c>
      <x:c r="V936" s="31" t="n">
        <x:f>L936*'Controls &amp; Summary'!$B$9+O936*'Controls &amp; Summary'!$B$10+R936*'Controls &amp; Summary'!$B$11+U936*'Controls &amp; Summary'!$B$12</x:f>
        <x:v>6.686550511357158</x:v>
      </x:c>
      <x:c r="W936" s="31" t="n">
        <x:v>0.77</x:v>
      </x:c>
      <x:c r="X936" s="31" t="n">
        <x:v>0.5</x:v>
      </x:c>
      <x:c r="Y936" s="31" t="n">
        <x:f>((10-MIN(10,MAX(0,X936)))/10)*'Controls &amp; Summary'!$B$15+((10-MIN(10,MAX(0,W936)))/10)*'Controls &amp; Summary'!$B$16</x:f>
        <x:v>1.873</x:v>
      </x:c>
      <x:c r="Z936" s="31" t="n">
        <x:f>V936*Y936</x:f>
        <x:v>12.523909107771956</x:v>
      </x:c>
      <x:c r="AA936" s="30" t="str">
        <x:f>IF(Z936&lt;=I936,"Peaceful","Hostile")</x:f>
        <x:v>Hostile</x:v>
      </x:c>
      <x:c r="AB936" s="30" t="str">
        <x:f>IF(Z936&lt;='Controls &amp; Summary'!$B$6,"Eligible","Blocked")</x:f>
        <x:v>Blocked</x:v>
      </x:c>
      <x:c r="AC936" s="30" t="str">
        <x:v>2026_AGO</x:v>
      </x:c>
      <x:c r="AD936" s="30" t="str">
        <x:v>2026_STP</x:v>
      </x:c>
      <x:c r="AE936" s="30" t="str">
        <x:v>2026_SaoTomePrincipe</x:v>
      </x:c>
      <x:c r="AF936" s="30" t="str">
        <x:v>Explicit capitalClaim</x:v>
      </x:c>
      <x:c r="AG936" s="30" t="str">
        <x:v>Claim2026_AGO2026_SaoTomePrincipe</x:v>
      </x:c>
      <x:c r="AH936" s="30" t="str">
        <x:v>Project_RegionalAfricanUnions</x:v>
      </x:c>
    </x:row>
    <x:row r="937">
      <x:c r="A937" s="30" t="str">
        <x:v>2026</x:v>
      </x:c>
      <x:c r="B937" s="30" t="str">
        <x:v>Base game</x:v>
      </x:c>
      <x:c r="C937" s="30" t="str">
        <x:v>Angola</x:v>
      </x:c>
      <x:c r="D937" s="30" t="str">
        <x:v>South Africa</x:v>
      </x:c>
      <x:c r="E937" s="30" t="str">
        <x:v>Project unlock</x:v>
      </x:c>
      <x:c r="F937" s="30" t="str">
        <x:v>Regional African Unions</x:v>
      </x:c>
      <x:c r="G937" s="30" t="str">
        <x:v>No</x:v>
      </x:c>
      <x:c r="H937" s="30" t="str">
        <x:v>Ordinary claim</x:v>
      </x:c>
      <x:c r="I937" s="31" t="n">
        <x:f>IF(G937="Yes",'Controls &amp; Summary'!$B$5,'Controls &amp; Summary'!$B$4)</x:f>
        <x:v>6</x:v>
      </x:c>
      <x:c r="J937" s="31" t="n">
        <x:v>3.94</x:v>
      </x:c>
      <x:c r="K937" s="31" t="n">
        <x:v>7.16</x:v>
      </x:c>
      <x:c r="L937" s="31" t="n">
        <x:f>ABS(J937-K937)</x:f>
        <x:v>3.22</x:v>
      </x:c>
      <x:c r="M937" s="31" t="n">
        <x:v>5.13</x:v>
      </x:c>
      <x:c r="N937" s="31" t="n">
        <x:v>6.3</x:v>
      </x:c>
      <x:c r="O937" s="31" t="n">
        <x:f>ABS(M937-N937)</x:f>
        <x:v>1.17</x:v>
      </x:c>
      <x:c r="P937" s="31" t="n">
        <x:v>5.3</x:v>
      </x:c>
      <x:c r="Q937" s="31" t="n">
        <x:v>7.53</x:v>
      </x:c>
      <x:c r="R937" s="31" t="n">
        <x:f>ABS(P937-Q937)</x:f>
        <x:v>2.2300000000000004</x:v>
      </x:c>
      <x:c r="S937" s="32" t="n">
        <x:v>8800.070023311348</x:v>
      </x:c>
      <x:c r="T937" s="32" t="n">
        <x:v>13070.325752106652</x:v>
      </x:c>
      <x:c r="U937" s="31" t="n">
        <x:f>MAX(S937/T937,T937/S937)</x:f>
        <x:v>1.4852524715693642</x:v>
      </x:c>
      <x:c r="V937" s="31" t="n">
        <x:f>L937*'Controls &amp; Summary'!$B$9+O937*'Controls &amp; Summary'!$B$10+R937*'Controls &amp; Summary'!$B$11+U937*'Controls &amp; Summary'!$B$12</x:f>
        <x:v>8.105252471569365</x:v>
      </x:c>
      <x:c r="W937" s="31" t="n">
        <x:v>0.77</x:v>
      </x:c>
      <x:c r="X937" s="31" t="n">
        <x:v>4</x:v>
      </x:c>
      <x:c r="Y937" s="31" t="n">
        <x:f>((10-MIN(10,MAX(0,X937)))/10)*'Controls &amp; Summary'!$B$15+((10-MIN(10,MAX(0,W937)))/10)*'Controls &amp; Summary'!$B$16</x:f>
        <x:v>1.5230000000000001</x:v>
      </x:c>
      <x:c r="Z937" s="31" t="n">
        <x:f>V937*Y937</x:f>
        <x:v>12.344299514200143</x:v>
      </x:c>
      <x:c r="AA937" s="30" t="str">
        <x:f>IF(Z937&lt;=I937,"Peaceful","Hostile")</x:f>
        <x:v>Hostile</x:v>
      </x:c>
      <x:c r="AB937" s="30" t="str">
        <x:f>IF(Z937&lt;='Controls &amp; Summary'!$B$6,"Eligible","Blocked")</x:f>
        <x:v>Blocked</x:v>
      </x:c>
      <x:c r="AC937" s="30" t="str">
        <x:v>2026_AGO</x:v>
      </x:c>
      <x:c r="AD937" s="30" t="str">
        <x:v>2026_ZAF</x:v>
      </x:c>
      <x:c r="AE937" s="30" t="str">
        <x:v>2026_Johannesburg</x:v>
      </x:c>
      <x:c r="AF937" s="30" t="str">
        <x:v>Explicit capitalClaim</x:v>
      </x:c>
      <x:c r="AG937" s="30" t="str">
        <x:v>Claim2026_AGO2026_Johannesburg</x:v>
      </x:c>
      <x:c r="AH937" s="30" t="str">
        <x:v>Project_RegionalAfricanUnions</x:v>
      </x:c>
    </x:row>
    <x:row r="938">
      <x:c r="A938" s="30" t="str">
        <x:v>2026</x:v>
      </x:c>
      <x:c r="B938" s="30" t="str">
        <x:v>Base game</x:v>
      </x:c>
      <x:c r="C938" s="30" t="str">
        <x:v>Angola</x:v>
      </x:c>
      <x:c r="D938" s="30" t="str">
        <x:v>Tanzania</x:v>
      </x:c>
      <x:c r="E938" s="30" t="str">
        <x:v>Project unlock</x:v>
      </x:c>
      <x:c r="F938" s="30" t="str">
        <x:v>Regional African Unions</x:v>
      </x:c>
      <x:c r="G938" s="30" t="str">
        <x:v>No</x:v>
      </x:c>
      <x:c r="H938" s="30" t="str">
        <x:v>Ordinary claim</x:v>
      </x:c>
      <x:c r="I938" s="31" t="n">
        <x:f>IF(G938="Yes",'Controls &amp; Summary'!$B$5,'Controls &amp; Summary'!$B$4)</x:f>
        <x:v>6</x:v>
      </x:c>
      <x:c r="J938" s="31" t="n">
        <x:v>3.94</x:v>
      </x:c>
      <x:c r="K938" s="31" t="n">
        <x:v>5.13</x:v>
      </x:c>
      <x:c r="L938" s="31" t="n">
        <x:f>ABS(J938-K938)</x:f>
        <x:v>1.19</x:v>
      </x:c>
      <x:c r="M938" s="31" t="n">
        <x:v>5.13</x:v>
      </x:c>
      <x:c r="N938" s="31" t="n">
        <x:v>4.05</x:v>
      </x:c>
      <x:c r="O938" s="31" t="n">
        <x:f>ABS(M938-N938)</x:f>
        <x:v>1.08</x:v>
      </x:c>
      <x:c r="P938" s="31" t="n">
        <x:v>5.3</x:v>
      </x:c>
      <x:c r="Q938" s="31" t="n">
        <x:v>4.37</x:v>
      </x:c>
      <x:c r="R938" s="31" t="n">
        <x:f>ABS(P938-Q938)</x:f>
        <x:v>0.9299999999999997</x:v>
      </x:c>
      <x:c r="S938" s="32" t="n">
        <x:v>8800.070023311348</x:v>
      </x:c>
      <x:c r="T938" s="32" t="n">
        <x:v>3560.467170260424</x:v>
      </x:c>
      <x:c r="U938" s="31" t="n">
        <x:f>MAX(S938/T938,T938/S938)</x:f>
        <x:v>2.471605438976055</x:v>
      </x:c>
      <x:c r="V938" s="31" t="n">
        <x:f>L938*'Controls &amp; Summary'!$B$9+O938*'Controls &amp; Summary'!$B$10+R938*'Controls &amp; Summary'!$B$11+U938*'Controls &amp; Summary'!$B$12</x:f>
        <x:v>5.671605438976055</x:v>
      </x:c>
      <x:c r="W938" s="31" t="n">
        <x:v>0.77</x:v>
      </x:c>
      <x:c r="X938" s="31" t="n">
        <x:v>2</x:v>
      </x:c>
      <x:c r="Y938" s="31" t="n">
        <x:f>((10-MIN(10,MAX(0,X938)))/10)*'Controls &amp; Summary'!$B$15+((10-MIN(10,MAX(0,W938)))/10)*'Controls &amp; Summary'!$B$16</x:f>
        <x:v>1.723</x:v>
      </x:c>
      <x:c r="Z938" s="31" t="n">
        <x:f>V938*Y938</x:f>
        <x:v>9.772176171355744</x:v>
      </x:c>
      <x:c r="AA938" s="30" t="str">
        <x:f>IF(Z938&lt;=I938,"Peaceful","Hostile")</x:f>
        <x:v>Hostile</x:v>
      </x:c>
      <x:c r="AB938" s="30" t="str">
        <x:f>IF(Z938&lt;='Controls &amp; Summary'!$B$6,"Eligible","Blocked")</x:f>
        <x:v>Eligible</x:v>
      </x:c>
      <x:c r="AC938" s="30" t="str">
        <x:v>2026_AGO</x:v>
      </x:c>
      <x:c r="AD938" s="30" t="str">
        <x:v>2026_TZA</x:v>
      </x:c>
      <x:c r="AE938" s="30" t="str">
        <x:v>2026_WestTanzania</x:v>
      </x:c>
      <x:c r="AF938" s="30" t="str">
        <x:v>Explicit capitalClaim</x:v>
      </x:c>
      <x:c r="AG938" s="30" t="str">
        <x:v>Claim2026_AGO2026_WestTanzania</x:v>
      </x:c>
      <x:c r="AH938" s="30" t="str">
        <x:v>Project_RegionalAfricanUnions</x:v>
      </x:c>
    </x:row>
    <x:row r="939">
      <x:c r="A939" s="30" t="str">
        <x:v>2026</x:v>
      </x:c>
      <x:c r="B939" s="30" t="str">
        <x:v>Base game</x:v>
      </x:c>
      <x:c r="C939" s="30" t="str">
        <x:v>Angola</x:v>
      </x:c>
      <x:c r="D939" s="30" t="str">
        <x:v>Uganda</x:v>
      </x:c>
      <x:c r="E939" s="30" t="str">
        <x:v>Project unlock</x:v>
      </x:c>
      <x:c r="F939" s="30" t="str">
        <x:v>Regional African Unions</x:v>
      </x:c>
      <x:c r="G939" s="30" t="str">
        <x:v>No</x:v>
      </x:c>
      <x:c r="H939" s="30" t="str">
        <x:v>Ordinary claim</x:v>
      </x:c>
      <x:c r="I939" s="31" t="n">
        <x:f>IF(G939="Yes",'Controls &amp; Summary'!$B$5,'Controls &amp; Summary'!$B$4)</x:f>
        <x:v>6</x:v>
      </x:c>
      <x:c r="J939" s="31" t="n">
        <x:v>3.94</x:v>
      </x:c>
      <x:c r="K939" s="31" t="n">
        <x:v>4.31</x:v>
      </x:c>
      <x:c r="L939" s="31" t="n">
        <x:f>ABS(J939-K939)</x:f>
        <x:v>0.36999999999999966</x:v>
      </x:c>
      <x:c r="M939" s="31" t="n">
        <x:v>5.13</x:v>
      </x:c>
      <x:c r="N939" s="31" t="n">
        <x:v>4.27</x:v>
      </x:c>
      <x:c r="O939" s="31" t="n">
        <x:f>ABS(M939-N939)</x:f>
        <x:v>0.8600000000000003</x:v>
      </x:c>
      <x:c r="P939" s="31" t="n">
        <x:v>5.3</x:v>
      </x:c>
      <x:c r="Q939" s="31" t="n">
        <x:v>5.24</x:v>
      </x:c>
      <x:c r="R939" s="31" t="n">
        <x:f>ABS(P939-Q939)</x:f>
        <x:v>0.05999999999999961</x:v>
      </x:c>
      <x:c r="S939" s="32" t="n">
        <x:v>8800.070023311348</x:v>
      </x:c>
      <x:c r="T939" s="32" t="n">
        <x:v>3120.760661137013</x:v>
      </x:c>
      <x:c r="U939" s="31" t="n">
        <x:f>MAX(S939/T939,T939/S939)</x:f>
        <x:v>2.819847780350174</x:v>
      </x:c>
      <x:c r="V939" s="31" t="n">
        <x:f>L939*'Controls &amp; Summary'!$B$9+O939*'Controls &amp; Summary'!$B$10+R939*'Controls &amp; Summary'!$B$11+U939*'Controls &amp; Summary'!$B$12</x:f>
        <x:v>4.109847780350174</x:v>
      </x:c>
      <x:c r="W939" s="31" t="n">
        <x:v>0.77</x:v>
      </x:c>
      <x:c r="X939" s="31" t="n">
        <x:v>3</x:v>
      </x:c>
      <x:c r="Y939" s="31" t="n">
        <x:f>((10-MIN(10,MAX(0,X939)))/10)*'Controls &amp; Summary'!$B$15+((10-MIN(10,MAX(0,W939)))/10)*'Controls &amp; Summary'!$B$16</x:f>
        <x:v>1.623</x:v>
      </x:c>
      <x:c r="Z939" s="31" t="n">
        <x:f>V939*Y939</x:f>
        <x:v>6.6702829475083325</x:v>
      </x:c>
      <x:c r="AA939" s="30" t="str">
        <x:f>IF(Z939&lt;=I939,"Peaceful","Hostile")</x:f>
        <x:v>Hostile</x:v>
      </x:c>
      <x:c r="AB939" s="30" t="str">
        <x:f>IF(Z939&lt;='Controls &amp; Summary'!$B$6,"Eligible","Blocked")</x:f>
        <x:v>Eligible</x:v>
      </x:c>
      <x:c r="AC939" s="30" t="str">
        <x:v>2026_AGO</x:v>
      </x:c>
      <x:c r="AD939" s="30" t="str">
        <x:v>2026_UGA</x:v>
      </x:c>
      <x:c r="AE939" s="30" t="str">
        <x:v>2026_Uganda</x:v>
      </x:c>
      <x:c r="AF939" s="30" t="str">
        <x:v>Explicit capitalClaim</x:v>
      </x:c>
      <x:c r="AG939" s="30" t="str">
        <x:v>Claim2026_AGO2026_Uganda</x:v>
      </x:c>
      <x:c r="AH939" s="30" t="str">
        <x:v>Project_RegionalAfricanUnions</x:v>
      </x:c>
    </x:row>
    <x:row r="940">
      <x:c r="A940" s="30" t="str">
        <x:v>2026</x:v>
      </x:c>
      <x:c r="B940" s="30" t="str">
        <x:v>Base game</x:v>
      </x:c>
      <x:c r="C940" s="30" t="str">
        <x:v>Angola</x:v>
      </x:c>
      <x:c r="D940" s="30" t="str">
        <x:v>Zambia</x:v>
      </x:c>
      <x:c r="E940" s="30" t="str">
        <x:v>Project unlock</x:v>
      </x:c>
      <x:c r="F940" s="30" t="str">
        <x:v>Regional African Unions</x:v>
      </x:c>
      <x:c r="G940" s="30" t="str">
        <x:v>No</x:v>
      </x:c>
      <x:c r="H940" s="30" t="str">
        <x:v>Ordinary claim</x:v>
      </x:c>
      <x:c r="I940" s="31" t="n">
        <x:f>IF(G940="Yes",'Controls &amp; Summary'!$B$5,'Controls &amp; Summary'!$B$4)</x:f>
        <x:v>6</x:v>
      </x:c>
      <x:c r="J940" s="31" t="n">
        <x:v>3.94</x:v>
      </x:c>
      <x:c r="K940" s="31" t="n">
        <x:v>5.82</x:v>
      </x:c>
      <x:c r="L940" s="31" t="n">
        <x:f>ABS(J940-K940)</x:f>
        <x:v>1.8800000000000003</x:v>
      </x:c>
      <x:c r="M940" s="31" t="n">
        <x:v>5.13</x:v>
      </x:c>
      <x:c r="N940" s="31" t="n">
        <x:v>5.15</x:v>
      </x:c>
      <x:c r="O940" s="31" t="n">
        <x:f>ABS(M940-N940)</x:f>
        <x:v>0.020000000000000462</x:v>
      </x:c>
      <x:c r="P940" s="31" t="n">
        <x:v>5.3</x:v>
      </x:c>
      <x:c r="Q940" s="31" t="n">
        <x:v>5.43</x:v>
      </x:c>
      <x:c r="R940" s="31" t="n">
        <x:f>ABS(P940-Q940)</x:f>
        <x:v>0.1299999999999999</x:v>
      </x:c>
      <x:c r="S940" s="32" t="n">
        <x:v>8800.070023311348</x:v>
      </x:c>
      <x:c r="T940" s="32" t="n">
        <x:v>3835.215440827301</x:v>
      </x:c>
      <x:c r="U940" s="31" t="n">
        <x:f>MAX(S940/T940,T940/S940)</x:f>
        <x:v>2.2945438552502986</x:v>
      </x:c>
      <x:c r="V940" s="31" t="n">
        <x:f>L940*'Controls &amp; Summary'!$B$9+O940*'Controls &amp; Summary'!$B$10+R940*'Controls &amp; Summary'!$B$11+U940*'Controls &amp; Summary'!$B$12</x:f>
        <x:v>4.324543855250299</x:v>
      </x:c>
      <x:c r="W940" s="31" t="n">
        <x:v>0.77</x:v>
      </x:c>
      <x:c r="X940" s="31" t="n">
        <x:v>1</x:v>
      </x:c>
      <x:c r="Y940" s="31" t="n">
        <x:f>((10-MIN(10,MAX(0,X940)))/10)*'Controls &amp; Summary'!$B$15+((10-MIN(10,MAX(0,W940)))/10)*'Controls &amp; Summary'!$B$16</x:f>
        <x:v>1.823</x:v>
      </x:c>
      <x:c r="Z940" s="31" t="n">
        <x:f>V940*Y940</x:f>
        <x:v>7.883643448121296</x:v>
      </x:c>
      <x:c r="AA940" s="30" t="str">
        <x:f>IF(Z940&lt;=I940,"Peaceful","Hostile")</x:f>
        <x:v>Hostile</x:v>
      </x:c>
      <x:c r="AB940" s="30" t="str">
        <x:f>IF(Z940&lt;='Controls &amp; Summary'!$B$6,"Eligible","Blocked")</x:f>
        <x:v>Eligible</x:v>
      </x:c>
      <x:c r="AC940" s="30" t="str">
        <x:v>2026_AGO</x:v>
      </x:c>
      <x:c r="AD940" s="30" t="str">
        <x:v>2026_ZMB</x:v>
      </x:c>
      <x:c r="AE940" s="30" t="str">
        <x:v>2026_Zambia</x:v>
      </x:c>
      <x:c r="AF940" s="30" t="str">
        <x:v>Explicit capitalClaim</x:v>
      </x:c>
      <x:c r="AG940" s="30" t="str">
        <x:v>Claim2026_AGO2026_Zambia</x:v>
      </x:c>
      <x:c r="AH940" s="30" t="str">
        <x:v>Project_RegionalAfricanUnions</x:v>
      </x:c>
    </x:row>
    <x:row r="941">
      <x:c r="A941" s="30" t="str">
        <x:v>2026</x:v>
      </x:c>
      <x:c r="B941" s="30" t="str">
        <x:v>Base game</x:v>
      </x:c>
      <x:c r="C941" s="30" t="str">
        <x:v>Angola</x:v>
      </x:c>
      <x:c r="D941" s="30" t="str">
        <x:v>Zimbabwe</x:v>
      </x:c>
      <x:c r="E941" s="30" t="str">
        <x:v>Project unlock</x:v>
      </x:c>
      <x:c r="F941" s="30" t="str">
        <x:v>Regional African Unions</x:v>
      </x:c>
      <x:c r="G941" s="30" t="str">
        <x:v>No</x:v>
      </x:c>
      <x:c r="H941" s="30" t="str">
        <x:v>Ordinary claim</x:v>
      </x:c>
      <x:c r="I941" s="31" t="n">
        <x:f>IF(G941="Yes",'Controls &amp; Summary'!$B$5,'Controls &amp; Summary'!$B$4)</x:f>
        <x:v>6</x:v>
      </x:c>
      <x:c r="J941" s="31" t="n">
        <x:v>3.94</x:v>
      </x:c>
      <x:c r="K941" s="31" t="n">
        <x:v>2.98</x:v>
      </x:c>
      <x:c r="L941" s="31" t="n">
        <x:f>ABS(J941-K941)</x:f>
        <x:v>0.96</x:v>
      </x:c>
      <x:c r="M941" s="31" t="n">
        <x:v>5.13</x:v>
      </x:c>
      <x:c r="N941" s="31" t="n">
        <x:v>5.03</x:v>
      </x:c>
      <x:c r="O941" s="31" t="n">
        <x:f>ABS(M941-N941)</x:f>
        <x:v>0.09999999999999964</x:v>
      </x:c>
      <x:c r="P941" s="31" t="n">
        <x:v>5.3</x:v>
      </x:c>
      <x:c r="Q941" s="31" t="n">
        <x:v>5.94</x:v>
      </x:c>
      <x:c r="R941" s="31" t="n">
        <x:f>ABS(P941-Q941)</x:f>
        <x:v>0.6400000000000006</x:v>
      </x:c>
      <x:c r="S941" s="32" t="n">
        <x:v>8800.070023311348</x:v>
      </x:c>
      <x:c r="T941" s="32" t="n">
        <x:v>4782.244329201011</x:v>
      </x:c>
      <x:c r="U941" s="31" t="n">
        <x:f>MAX(S941/T941,T941/S941)</x:f>
        <x:v>1.8401548347450518</x:v>
      </x:c>
      <x:c r="V941" s="31" t="n">
        <x:f>L941*'Controls &amp; Summary'!$B$9+O941*'Controls &amp; Summary'!$B$10+R941*'Controls &amp; Summary'!$B$11+U941*'Controls &amp; Summary'!$B$12</x:f>
        <x:v>3.540154834745052</x:v>
      </x:c>
      <x:c r="W941" s="31" t="n">
        <x:v>0.77</x:v>
      </x:c>
      <x:c r="X941" s="31" t="n">
        <x:v>1.25</x:v>
      </x:c>
      <x:c r="Y941" s="31" t="n">
        <x:f>((10-MIN(10,MAX(0,X941)))/10)*'Controls &amp; Summary'!$B$15+((10-MIN(10,MAX(0,W941)))/10)*'Controls &amp; Summary'!$B$16</x:f>
        <x:v>1.798</x:v>
      </x:c>
      <x:c r="Z941" s="31" t="n">
        <x:f>V941*Y941</x:f>
        <x:v>6.365198392871604</x:v>
      </x:c>
      <x:c r="AA941" s="30" t="str">
        <x:f>IF(Z941&lt;=I941,"Peaceful","Hostile")</x:f>
        <x:v>Hostile</x:v>
      </x:c>
      <x:c r="AB941" s="30" t="str">
        <x:f>IF(Z941&lt;='Controls &amp; Summary'!$B$6,"Eligible","Blocked")</x:f>
        <x:v>Eligible</x:v>
      </x:c>
      <x:c r="AC941" s="30" t="str">
        <x:v>2026_AGO</x:v>
      </x:c>
      <x:c r="AD941" s="30" t="str">
        <x:v>2026_ZWE</x:v>
      </x:c>
      <x:c r="AE941" s="30" t="str">
        <x:v>2026_Zimbabwe</x:v>
      </x:c>
      <x:c r="AF941" s="30" t="str">
        <x:v>Explicit capitalClaim</x:v>
      </x:c>
      <x:c r="AG941" s="30" t="str">
        <x:v>Claim2026_AGO2026_Zimbabwe</x:v>
      </x:c>
      <x:c r="AH941" s="30" t="str">
        <x:v>Project_RegionalAfricanUnions</x:v>
      </x:c>
    </x:row>
    <x:row r="942">
      <x:c r="A942" s="30" t="str">
        <x:v>2026</x:v>
      </x:c>
      <x:c r="B942" s="30" t="str">
        <x:v>Base game</x:v>
      </x:c>
      <x:c r="C942" s="30" t="str">
        <x:v>Argentina</x:v>
      </x:c>
      <x:c r="D942" s="30" t="str">
        <x:v>Bolivia</x:v>
      </x:c>
      <x:c r="E942" s="30" t="str">
        <x:v>Project unlock</x:v>
      </x:c>
      <x:c r="F942" s="30" t="str">
        <x:v>South American Confederations</x:v>
      </x:c>
      <x:c r="G942" s="30" t="str">
        <x:v>Yes</x:v>
      </x:c>
      <x:c r="H942" s="30" t="str">
        <x:v>Template hostileClaim</x:v>
      </x:c>
      <x:c r="I942" s="31" t="n">
        <x:f>IF(G942="Yes",'Controls &amp; Summary'!$B$5,'Controls &amp; Summary'!$B$4)</x:f>
        <x:v>3</x:v>
      </x:c>
      <x:c r="J942" s="31" t="n">
        <x:v>6.89</x:v>
      </x:c>
      <x:c r="K942" s="31" t="n">
        <x:v>5.38</x:v>
      </x:c>
      <x:c r="L942" s="31" t="n">
        <x:f>ABS(J942-K942)</x:f>
        <x:v>1.5099999999999998</x:v>
      </x:c>
      <x:c r="M942" s="31" t="n">
        <x:v>4.07</x:v>
      </x:c>
      <x:c r="N942" s="31" t="n">
        <x:v>4.09</x:v>
      </x:c>
      <x:c r="O942" s="31" t="n">
        <x:f>ABS(M942-N942)</x:f>
        <x:v>0.019999999999999574</x:v>
      </x:c>
      <x:c r="P942" s="31" t="n">
        <x:v>8.74</x:v>
      </x:c>
      <x:c r="Q942" s="31" t="n">
        <x:v>7.5</x:v>
      </x:c>
      <x:c r="R942" s="31" t="n">
        <x:f>ABS(P942-Q942)</x:f>
        <x:v>1.2400000000000002</x:v>
      </x:c>
      <x:c r="S942" s="32" t="n">
        <x:v>28505.172580338804</x:v>
      </x:c>
      <x:c r="T942" s="32" t="n">
        <x:v>9946.14053440305</x:v>
      </x:c>
      <x:c r="U942" s="31" t="n">
        <x:f>MAX(S942/T942,T942/S942)</x:f>
        <x:v>2.8659531284261743</x:v>
      </x:c>
      <x:c r="V942" s="31" t="n">
        <x:f>L942*'Controls &amp; Summary'!$B$9+O942*'Controls &amp; Summary'!$B$10+R942*'Controls &amp; Summary'!$B$11+U942*'Controls &amp; Summary'!$B$12</x:f>
        <x:v>5.6359531284261735</x:v>
      </x:c>
      <x:c r="W942" s="31" t="n">
        <x:v>5.23</x:v>
      </x:c>
      <x:c r="X942" s="31" t="n">
        <x:v>2.5</x:v>
      </x:c>
      <x:c r="Y942" s="31" t="n">
        <x:f>((10-MIN(10,MAX(0,X942)))/10)*'Controls &amp; Summary'!$B$15+((10-MIN(10,MAX(0,W942)))/10)*'Controls &amp; Summary'!$B$16</x:f>
        <x:v>1.2269999999999999</x:v>
      </x:c>
      <x:c r="Z942" s="31" t="n">
        <x:f>V942*Y942</x:f>
        <x:v>6.915314488578914</x:v>
      </x:c>
      <x:c r="AA942" s="30" t="str">
        <x:f>IF(Z942&lt;=I942,"Peaceful","Hostile")</x:f>
        <x:v>Hostile</x:v>
      </x:c>
      <x:c r="AB942" s="30" t="str">
        <x:f>IF(Z942&lt;='Controls &amp; Summary'!$B$6,"Eligible","Blocked")</x:f>
        <x:v>Eligible</x:v>
      </x:c>
      <x:c r="AC942" s="30" t="str">
        <x:v>2026_ARG</x:v>
      </x:c>
      <x:c r="AD942" s="30" t="str">
        <x:v>2026_BOL</x:v>
      </x:c>
      <x:c r="AE942" s="30" t="str">
        <x:v>2026_Bolivia</x:v>
      </x:c>
      <x:c r="AF942" s="30" t="str">
        <x:v>Explicit capitalClaim</x:v>
      </x:c>
      <x:c r="AG942" s="30" t="str">
        <x:v>Claim2026_ARG2026_Bolivia</x:v>
      </x:c>
      <x:c r="AH942" s="30" t="str">
        <x:v>Project_GranColombia</x:v>
      </x:c>
    </x:row>
    <x:row r="943">
      <x:c r="A943" s="30" t="str">
        <x:v>2026</x:v>
      </x:c>
      <x:c r="B943" s="30" t="str">
        <x:v>Base game</x:v>
      </x:c>
      <x:c r="C943" s="30" t="str">
        <x:v>Argentina</x:v>
      </x:c>
      <x:c r="D943" s="30" t="str">
        <x:v>Paraguay</x:v>
      </x:c>
      <x:c r="E943" s="30" t="str">
        <x:v>Project unlock</x:v>
      </x:c>
      <x:c r="F943" s="30" t="str">
        <x:v>South American Confederations</x:v>
      </x:c>
      <x:c r="G943" s="30" t="str">
        <x:v>No</x:v>
      </x:c>
      <x:c r="H943" s="30" t="str">
        <x:v>Ordinary claim</x:v>
      </x:c>
      <x:c r="I943" s="31" t="n">
        <x:f>IF(G943="Yes",'Controls &amp; Summary'!$B$5,'Controls &amp; Summary'!$B$4)</x:f>
        <x:v>6</x:v>
      </x:c>
      <x:c r="J943" s="31" t="n">
        <x:v>6.89</x:v>
      </x:c>
      <x:c r="K943" s="31" t="n">
        <x:v>6.04</x:v>
      </x:c>
      <x:c r="L943" s="31" t="n">
        <x:f>ABS(J943-K943)</x:f>
        <x:v>0.8499999999999996</x:v>
      </x:c>
      <x:c r="M943" s="31" t="n">
        <x:v>4.07</x:v>
      </x:c>
      <x:c r="N943" s="31" t="n">
        <x:v>4.51</x:v>
      </x:c>
      <x:c r="O943" s="31" t="n">
        <x:f>ABS(M943-N943)</x:f>
        <x:v>0.4399999999999995</x:v>
      </x:c>
      <x:c r="P943" s="31" t="n">
        <x:v>8.74</x:v>
      </x:c>
      <x:c r="Q943" s="31" t="n">
        <x:v>6.72</x:v>
      </x:c>
      <x:c r="R943" s="31" t="n">
        <x:f>ABS(P943-Q943)</x:f>
        <x:v>2.0200000000000005</x:v>
      </x:c>
      <x:c r="S943" s="32" t="n">
        <x:v>28505.172580338804</x:v>
      </x:c>
      <x:c r="T943" s="32" t="n">
        <x:v>16922.37092833136</x:v>
      </x:c>
      <x:c r="U943" s="31" t="n">
        <x:f>MAX(S943/T943,T943/S943)</x:f>
        <x:v>1.6844668339361106</x:v>
      </x:c>
      <x:c r="V943" s="31" t="n">
        <x:f>L943*'Controls &amp; Summary'!$B$9+O943*'Controls &amp; Summary'!$B$10+R943*'Controls &amp; Summary'!$B$11+U943*'Controls &amp; Summary'!$B$12</x:f>
        <x:v>4.9944668339361105</x:v>
      </x:c>
      <x:c r="W943" s="31" t="n">
        <x:v>5.23</x:v>
      </x:c>
      <x:c r="X943" s="31" t="n">
        <x:v>1</x:v>
      </x:c>
      <x:c r="Y943" s="31" t="n">
        <x:f>((10-MIN(10,MAX(0,X943)))/10)*'Controls &amp; Summary'!$B$15+((10-MIN(10,MAX(0,W943)))/10)*'Controls &amp; Summary'!$B$16</x:f>
        <x:v>1.377</x:v>
      </x:c>
      <x:c r="Z943" s="31" t="n">
        <x:f>V943*Y943</x:f>
        <x:v>6.877380830330024</x:v>
      </x:c>
      <x:c r="AA943" s="30" t="str">
        <x:f>IF(Z943&lt;=I943,"Peaceful","Hostile")</x:f>
        <x:v>Hostile</x:v>
      </x:c>
      <x:c r="AB943" s="30" t="str">
        <x:f>IF(Z943&lt;='Controls &amp; Summary'!$B$6,"Eligible","Blocked")</x:f>
        <x:v>Eligible</x:v>
      </x:c>
      <x:c r="AC943" s="30" t="str">
        <x:v>2026_ARG</x:v>
      </x:c>
      <x:c r="AD943" s="30" t="str">
        <x:v>2026_PRY</x:v>
      </x:c>
      <x:c r="AE943" s="30" t="str">
        <x:v>2026_Paraguay</x:v>
      </x:c>
      <x:c r="AF943" s="30" t="str">
        <x:v>Explicit capitalClaim</x:v>
      </x:c>
      <x:c r="AG943" s="30" t="str">
        <x:v>Claim2026_ARG2026_Paraguay</x:v>
      </x:c>
      <x:c r="AH943" s="30" t="str">
        <x:v>Project_GranColombia</x:v>
      </x:c>
    </x:row>
    <x:row r="944">
      <x:c r="A944" s="30" t="str">
        <x:v>2026</x:v>
      </x:c>
      <x:c r="B944" s="30" t="str">
        <x:v>Base game</x:v>
      </x:c>
      <x:c r="C944" s="30" t="str">
        <x:v>Argentina</x:v>
      </x:c>
      <x:c r="D944" s="30" t="str">
        <x:v>Uruguay</x:v>
      </x:c>
      <x:c r="E944" s="30" t="str">
        <x:v>Project unlock</x:v>
      </x:c>
      <x:c r="F944" s="30" t="str">
        <x:v>South American Confederations</x:v>
      </x:c>
      <x:c r="G944" s="30" t="str">
        <x:v>No</x:v>
      </x:c>
      <x:c r="H944" s="30" t="str">
        <x:v>Ordinary claim</x:v>
      </x:c>
      <x:c r="I944" s="31" t="n">
        <x:f>IF(G944="Yes",'Controls &amp; Summary'!$B$5,'Controls &amp; Summary'!$B$4)</x:f>
        <x:v>6</x:v>
      </x:c>
      <x:c r="J944" s="31" t="n">
        <x:v>6.89</x:v>
      </x:c>
      <x:c r="K944" s="31" t="n">
        <x:v>8.92</x:v>
      </x:c>
      <x:c r="L944" s="31" t="n">
        <x:f>ABS(J944-K944)</x:f>
        <x:v>2.0300000000000002</x:v>
      </x:c>
      <x:c r="M944" s="31" t="n">
        <x:v>4.07</x:v>
      </x:c>
      <x:c r="N944" s="31" t="n">
        <x:v>4.06</x:v>
      </x:c>
      <x:c r="O944" s="31" t="n">
        <x:f>ABS(M944-N944)</x:f>
        <x:v>0.010000000000000675</x:v>
      </x:c>
      <x:c r="P944" s="31" t="n">
        <x:v>8.74</x:v>
      </x:c>
      <x:c r="Q944" s="31" t="n">
        <x:v>8.17</x:v>
      </x:c>
      <x:c r="R944" s="31" t="n">
        <x:f>ABS(P944-Q944)</x:f>
        <x:v>0.5700000000000003</x:v>
      </x:c>
      <x:c r="S944" s="32" t="n">
        <x:v>28505.172580338804</x:v>
      </x:c>
      <x:c r="T944" s="32" t="n">
        <x:v>33875.141646639786</x:v>
      </x:c>
      <x:c r="U944" s="31" t="n">
        <x:f>MAX(S944/T944,T944/S944)</x:f>
        <x:v>1.18838577634169</x:v>
      </x:c>
      <x:c r="V944" s="31" t="n">
        <x:f>L944*'Controls &amp; Summary'!$B$9+O944*'Controls &amp; Summary'!$B$10+R944*'Controls &amp; Summary'!$B$11+U944*'Controls &amp; Summary'!$B$12</x:f>
        <x:v>3.798385776341691</x:v>
      </x:c>
      <x:c r="W944" s="31" t="n">
        <x:v>5.23</x:v>
      </x:c>
      <x:c r="X944" s="31" t="n">
        <x:v>0</x:v>
      </x:c>
      <x:c r="Y944" s="31" t="n">
        <x:f>((10-MIN(10,MAX(0,X944)))/10)*'Controls &amp; Summary'!$B$15+((10-MIN(10,MAX(0,W944)))/10)*'Controls &amp; Summary'!$B$16</x:f>
        <x:v>1.4769999999999999</x:v>
      </x:c>
      <x:c r="Z944" s="31" t="n">
        <x:f>V944*Y944</x:f>
        <x:v>5.610215791656677</x:v>
      </x:c>
      <x:c r="AA944" s="30" t="str">
        <x:f>IF(Z944&lt;=I944,"Peaceful","Hostile")</x:f>
        <x:v>Peaceful</x:v>
      </x:c>
      <x:c r="AB944" s="30" t="str">
        <x:f>IF(Z944&lt;='Controls &amp; Summary'!$B$6,"Eligible","Blocked")</x:f>
        <x:v>Eligible</x:v>
      </x:c>
      <x:c r="AC944" s="30" t="str">
        <x:v>2026_ARG</x:v>
      </x:c>
      <x:c r="AD944" s="30" t="str">
        <x:v>2026_URY</x:v>
      </x:c>
      <x:c r="AE944" s="30" t="str">
        <x:v>2026_Uruguay</x:v>
      </x:c>
      <x:c r="AF944" s="30" t="str">
        <x:v>Explicit capitalClaim</x:v>
      </x:c>
      <x:c r="AG944" s="30" t="str">
        <x:v>Claim2026_ARG2026_Uruguay</x:v>
      </x:c>
      <x:c r="AH944" s="30" t="str">
        <x:v>Project_GranColombia</x:v>
      </x:c>
    </x:row>
    <x:row r="945">
      <x:c r="A945" s="30" t="str">
        <x:v>2026</x:v>
      </x:c>
      <x:c r="B945" s="30" t="str">
        <x:v>Base game</x:v>
      </x:c>
      <x:c r="C945" s="30" t="str">
        <x:v>Australia</x:v>
      </x:c>
      <x:c r="D945" s="30" t="str">
        <x:v>Melanesian States</x:v>
      </x:c>
      <x:c r="E945" s="30" t="str">
        <x:v>Project unlock</x:v>
      </x:c>
      <x:c r="F945" s="30" t="str">
        <x:v>Southern Cross</x:v>
      </x:c>
      <x:c r="G945" s="30" t="str">
        <x:v>No</x:v>
      </x:c>
      <x:c r="H945" s="30" t="str">
        <x:v>Ordinary claim</x:v>
      </x:c>
      <x:c r="I945" s="31" t="n">
        <x:f>IF(G945="Yes",'Controls &amp; Summary'!$B$5,'Controls &amp; Summary'!$B$4)</x:f>
        <x:v>6</x:v>
      </x:c>
      <x:c r="J945" s="31" t="n">
        <x:v>8.85</x:v>
      </x:c>
      <x:c r="K945" s="31" t="n">
        <x:v>6.59</x:v>
      </x:c>
      <x:c r="L945" s="31" t="n">
        <x:f>ABS(J945-K945)</x:f>
        <x:v>2.26</x:v>
      </x:c>
      <x:c r="M945" s="31" t="n">
        <x:v>3.43</x:v>
      </x:c>
      <x:c r="N945" s="31" t="n">
        <x:v>3.35</x:v>
      </x:c>
      <x:c r="O945" s="31" t="n">
        <x:f>ABS(M945-N945)</x:f>
        <x:v>0.08000000000000007</x:v>
      </x:c>
      <x:c r="P945" s="31" t="n">
        <x:v>9.8</x:v>
      </x:c>
      <x:c r="Q945" s="31" t="n">
        <x:v>6.04</x:v>
      </x:c>
      <x:c r="R945" s="31" t="n">
        <x:f>ABS(P945-Q945)</x:f>
        <x:v>3.7600000000000007</x:v>
      </x:c>
      <x:c r="S945" s="32" t="n">
        <x:v>77088.21653253067</x:v>
      </x:c>
      <x:c r="T945" s="32" t="n">
        <x:v>7773.8101419274935</x:v>
      </x:c>
      <x:c r="U945" s="31" t="n">
        <x:f>MAX(S945/T945,T945/S945)</x:f>
        <x:v>9.916400725657144</x:v>
      </x:c>
      <x:c r="V945" s="31" t="n">
        <x:f>L945*'Controls &amp; Summary'!$B$9+O945*'Controls &amp; Summary'!$B$10+R945*'Controls &amp; Summary'!$B$11+U945*'Controls &amp; Summary'!$B$12</x:f>
        <x:v>16.016400725657146</x:v>
      </x:c>
      <x:c r="W945" s="31" t="n">
        <x:v>6.6</x:v>
      </x:c>
      <x:c r="X945" s="31" t="n">
        <x:v>0.22</x:v>
      </x:c>
      <x:c r="Y945" s="31" t="n">
        <x:f>((10-MIN(10,MAX(0,X945)))/10)*'Controls &amp; Summary'!$B$15+((10-MIN(10,MAX(0,W945)))/10)*'Controls &amp; Summary'!$B$16</x:f>
        <x:v>1.318</x:v>
      </x:c>
      <x:c r="Z945" s="31" t="n">
        <x:f>V945*Y945</x:f>
        <x:v>21.10961615641612</x:v>
      </x:c>
      <x:c r="AA945" s="30" t="str">
        <x:f>IF(Z945&lt;=I945,"Peaceful","Hostile")</x:f>
        <x:v>Hostile</x:v>
      </x:c>
      <x:c r="AB945" s="30" t="str">
        <x:f>IF(Z945&lt;='Controls &amp; Summary'!$B$6,"Eligible","Blocked")</x:f>
        <x:v>Blocked</x:v>
      </x:c>
      <x:c r="AC945" s="30" t="str">
        <x:v>2026_AUS</x:v>
      </x:c>
      <x:c r="AD945" s="30" t="str">
        <x:v>2026_PCS</x:v>
      </x:c>
      <x:c r="AE945" s="30" t="str">
        <x:v>2026_Melanesia</x:v>
      </x:c>
      <x:c r="AF945" s="30" t="str">
        <x:v>Explicit capitalClaim</x:v>
      </x:c>
      <x:c r="AG945" s="30" t="str">
        <x:v>Claim2026_AUS2026_Melanesia</x:v>
      </x:c>
      <x:c r="AH945" s="30" t="str">
        <x:v>Project_SouthernCross</x:v>
      </x:c>
    </x:row>
    <x:row r="946">
      <x:c r="A946" s="30" t="str">
        <x:v>2026</x:v>
      </x:c>
      <x:c r="B946" s="30" t="str">
        <x:v>Base game</x:v>
      </x:c>
      <x:c r="C946" s="30" t="str">
        <x:v>Australia</x:v>
      </x:c>
      <x:c r="D946" s="30" t="str">
        <x:v>New Zealand</x:v>
      </x:c>
      <x:c r="E946" s="30" t="str">
        <x:v>Starting claim</x:v>
      </x:c>
      <x:c r="F946" s="30" t="str"/>
      <x:c r="G946" s="30" t="str">
        <x:v>No</x:v>
      </x:c>
      <x:c r="H946" s="30" t="str">
        <x:v>Ordinary claim</x:v>
      </x:c>
      <x:c r="I946" s="31" t="n">
        <x:f>IF(G946="Yes",'Controls &amp; Summary'!$B$5,'Controls &amp; Summary'!$B$4)</x:f>
        <x:v>6</x:v>
      </x:c>
      <x:c r="J946" s="31" t="n">
        <x:v>8.85</x:v>
      </x:c>
      <x:c r="K946" s="31" t="n">
        <x:v>9.62</x:v>
      </x:c>
      <x:c r="L946" s="31" t="n">
        <x:f>ABS(J946-K946)</x:f>
        <x:v>0.7699999999999996</x:v>
      </x:c>
      <x:c r="M946" s="31" t="n">
        <x:v>3.43</x:v>
      </x:c>
      <x:c r="N946" s="31" t="n">
        <x:v>3.45</x:v>
      </x:c>
      <x:c r="O946" s="31" t="n">
        <x:f>ABS(M946-N946)</x:f>
        <x:v>0.020000000000000018</x:v>
      </x:c>
      <x:c r="P946" s="31" t="n">
        <x:v>9.8</x:v>
      </x:c>
      <x:c r="Q946" s="31" t="n">
        <x:v>9.42</x:v>
      </x:c>
      <x:c r="R946" s="31" t="n">
        <x:f>ABS(P946-Q946)</x:f>
        <x:v>0.3800000000000008</x:v>
      </x:c>
      <x:c r="S946" s="32" t="n">
        <x:v>77088.21653253067</x:v>
      </x:c>
      <x:c r="T946" s="32" t="n">
        <x:v>52697.412698944056</x:v>
      </x:c>
      <x:c r="U946" s="31" t="n">
        <x:f>MAX(S946/T946,T946/S946)</x:f>
        <x:v>1.4628463255478832</x:v>
      </x:c>
      <x:c r="V946" s="31" t="n">
        <x:f>L946*'Controls &amp; Summary'!$B$9+O946*'Controls &amp; Summary'!$B$10+R946*'Controls &amp; Summary'!$B$11+U946*'Controls &amp; Summary'!$B$12</x:f>
        <x:v>2.6328463255478836</x:v>
      </x:c>
      <x:c r="W946" s="31" t="n">
        <x:v>6.6</x:v>
      </x:c>
      <x:c r="X946" s="31" t="n">
        <x:v>0</x:v>
      </x:c>
      <x:c r="Y946" s="31" t="n">
        <x:f>((10-MIN(10,MAX(0,X946)))/10)*'Controls &amp; Summary'!$B$15+((10-MIN(10,MAX(0,W946)))/10)*'Controls &amp; Summary'!$B$16</x:f>
        <x:v>1.34</x:v>
      </x:c>
      <x:c r="Z946" s="31" t="n">
        <x:f>V946*Y946</x:f>
        <x:v>3.528014076234164</x:v>
      </x:c>
      <x:c r="AA946" s="30" t="str">
        <x:f>IF(Z946&lt;=I946,"Peaceful","Hostile")</x:f>
        <x:v>Peaceful</x:v>
      </x:c>
      <x:c r="AB946" s="30" t="str">
        <x:f>IF(Z946&lt;='Controls &amp; Summary'!$B$6,"Eligible","Blocked")</x:f>
        <x:v>Eligible</x:v>
      </x:c>
      <x:c r="AC946" s="30" t="str">
        <x:v>2026_AUS</x:v>
      </x:c>
      <x:c r="AD946" s="30" t="str">
        <x:v>2026_NZL</x:v>
      </x:c>
      <x:c r="AE946" s="30" t="str">
        <x:v>2026_NewZealand</x:v>
      </x:c>
      <x:c r="AF946" s="30" t="str">
        <x:v>Explicit capitalClaim</x:v>
      </x:c>
      <x:c r="AG946" s="30" t="str">
        <x:v>Claim2026_AUS2026_NewZealand</x:v>
      </x:c>
      <x:c r="AH946" s="30" t="str"/>
    </x:row>
    <x:row r="947">
      <x:c r="A947" s="30" t="str">
        <x:v>2026</x:v>
      </x:c>
      <x:c r="B947" s="30" t="str">
        <x:v>Base game</x:v>
      </x:c>
      <x:c r="C947" s="30" t="str">
        <x:v>Australia</x:v>
      </x:c>
      <x:c r="D947" s="30" t="str">
        <x:v>Papua New Guinea</x:v>
      </x:c>
      <x:c r="E947" s="30" t="str">
        <x:v>Project unlock</x:v>
      </x:c>
      <x:c r="F947" s="30" t="str">
        <x:v>Southern Cross</x:v>
      </x:c>
      <x:c r="G947" s="30" t="str">
        <x:v>No</x:v>
      </x:c>
      <x:c r="H947" s="30" t="str">
        <x:v>Ordinary claim</x:v>
      </x:c>
      <x:c r="I947" s="31" t="n">
        <x:f>IF(G947="Yes",'Controls &amp; Summary'!$B$5,'Controls &amp; Summary'!$B$4)</x:f>
        <x:v>6</x:v>
      </x:c>
      <x:c r="J947" s="31" t="n">
        <x:v>8.85</x:v>
      </x:c>
      <x:c r="K947" s="31" t="n">
        <x:v>5.9</x:v>
      </x:c>
      <x:c r="L947" s="31" t="n">
        <x:f>ABS(J947-K947)</x:f>
        <x:v>2.9499999999999993</x:v>
      </x:c>
      <x:c r="M947" s="31" t="n">
        <x:v>3.43</x:v>
      </x:c>
      <x:c r="N947" s="31" t="n">
        <x:v>3.88</x:v>
      </x:c>
      <x:c r="O947" s="31" t="n">
        <x:f>ABS(M947-N947)</x:f>
        <x:v>0.44999999999999973</x:v>
      </x:c>
      <x:c r="P947" s="31" t="n">
        <x:v>9.8</x:v>
      </x:c>
      <x:c r="Q947" s="31" t="n">
        <x:v>4.39</x:v>
      </x:c>
      <x:c r="R947" s="31" t="n">
        <x:f>ABS(P947-Q947)</x:f>
        <x:v>5.410000000000001</x:v>
      </x:c>
      <x:c r="S947" s="32" t="n">
        <x:v>77088.21653253067</x:v>
      </x:c>
      <x:c r="T947" s="32" t="n">
        <x:v>3866.49138716577</x:v>
      </x:c>
      <x:c r="U947" s="31" t="n">
        <x:f>MAX(S947/T947,T947/S947)</x:f>
        <x:v>19.937511509378574</x:v>
      </x:c>
      <x:c r="V947" s="31" t="n">
        <x:f>L947*'Controls &amp; Summary'!$B$9+O947*'Controls &amp; Summary'!$B$10+R947*'Controls &amp; Summary'!$B$11+U947*'Controls &amp; Summary'!$B$12</x:f>
        <x:v>28.747511509378576</x:v>
      </x:c>
      <x:c r="W947" s="31" t="n">
        <x:v>6.6</x:v>
      </x:c>
      <x:c r="X947" s="31" t="n">
        <x:v>3</x:v>
      </x:c>
      <x:c r="Y947" s="31" t="n">
        <x:f>((10-MIN(10,MAX(0,X947)))/10)*'Controls &amp; Summary'!$B$15+((10-MIN(10,MAX(0,W947)))/10)*'Controls &amp; Summary'!$B$16</x:f>
        <x:v>1.04</x:v>
      </x:c>
      <x:c r="Z947" s="31" t="n">
        <x:f>V947*Y947</x:f>
        <x:v>29.89741196975372</x:v>
      </x:c>
      <x:c r="AA947" s="30" t="str">
        <x:f>IF(Z947&lt;=I947,"Peaceful","Hostile")</x:f>
        <x:v>Hostile</x:v>
      </x:c>
      <x:c r="AB947" s="30" t="str">
        <x:f>IF(Z947&lt;='Controls &amp; Summary'!$B$6,"Eligible","Blocked")</x:f>
        <x:v>Blocked</x:v>
      </x:c>
      <x:c r="AC947" s="30" t="str">
        <x:v>2026_AUS</x:v>
      </x:c>
      <x:c r="AD947" s="30" t="str">
        <x:v>2026_PNG</x:v>
      </x:c>
      <x:c r="AE947" s="30" t="str">
        <x:v>2026_PortMorseby</x:v>
      </x:c>
      <x:c r="AF947" s="30" t="str">
        <x:v>Explicit capitalClaim</x:v>
      </x:c>
      <x:c r="AG947" s="30" t="str">
        <x:v>Claim2026_AUS2026_PortMorseby</x:v>
      </x:c>
      <x:c r="AH947" s="30" t="str">
        <x:v>Project_SouthernCross</x:v>
      </x:c>
    </x:row>
    <x:row r="948">
      <x:c r="A948" s="30" t="str">
        <x:v>2026</x:v>
      </x:c>
      <x:c r="B948" s="30" t="str">
        <x:v>Base game</x:v>
      </x:c>
      <x:c r="C948" s="30" t="str">
        <x:v>Australia</x:v>
      </x:c>
      <x:c r="D948" s="30" t="str">
        <x:v>Polynesian States</x:v>
      </x:c>
      <x:c r="E948" s="30" t="str">
        <x:v>Project unlock</x:v>
      </x:c>
      <x:c r="F948" s="30" t="str">
        <x:v>Southern Cross</x:v>
      </x:c>
      <x:c r="G948" s="30" t="str">
        <x:v>No</x:v>
      </x:c>
      <x:c r="H948" s="30" t="str">
        <x:v>Ordinary claim</x:v>
      </x:c>
      <x:c r="I948" s="31" t="n">
        <x:f>IF(G948="Yes",'Controls &amp; Summary'!$B$5,'Controls &amp; Summary'!$B$4)</x:f>
        <x:v>6</x:v>
      </x:c>
      <x:c r="J948" s="31" t="n">
        <x:v>8.85</x:v>
      </x:c>
      <x:c r="K948" s="31" t="n">
        <x:v>7.91</x:v>
      </x:c>
      <x:c r="L948" s="31" t="n">
        <x:f>ABS(J948-K948)</x:f>
        <x:v>0.9399999999999995</x:v>
      </x:c>
      <x:c r="M948" s="31" t="n">
        <x:v>3.43</x:v>
      </x:c>
      <x:c r="N948" s="31" t="n">
        <x:v>3.5</x:v>
      </x:c>
      <x:c r="O948" s="31" t="n">
        <x:f>ABS(M948-N948)</x:f>
        <x:v>0.06999999999999984</x:v>
      </x:c>
      <x:c r="P948" s="31" t="n">
        <x:v>9.8</x:v>
      </x:c>
      <x:c r="Q948" s="31" t="n">
        <x:v>7.45</x:v>
      </x:c>
      <x:c r="R948" s="31" t="n">
        <x:f>ABS(P948-Q948)</x:f>
        <x:v>2.3500000000000005</x:v>
      </x:c>
      <x:c r="S948" s="32" t="n">
        <x:v>77088.21653253067</x:v>
      </x:c>
      <x:c r="T948" s="32" t="n">
        <x:v>7173.380061675053</x:v>
      </x:c>
      <x:c r="U948" s="31" t="n">
        <x:f>MAX(S948/T948,T948/S948)</x:f>
        <x:v>10.746428583142691</x:v>
      </x:c>
      <x:c r="V948" s="31" t="n">
        <x:f>L948*'Controls &amp; Summary'!$B$9+O948*'Controls &amp; Summary'!$B$10+R948*'Controls &amp; Summary'!$B$11+U948*'Controls &amp; Summary'!$B$12</x:f>
        <x:v>14.10642858314269</x:v>
      </x:c>
      <x:c r="W948" s="31" t="n">
        <x:v>6.6</x:v>
      </x:c>
      <x:c r="X948" s="31" t="n">
        <x:v>0</x:v>
      </x:c>
      <x:c r="Y948" s="31" t="n">
        <x:f>((10-MIN(10,MAX(0,X948)))/10)*'Controls &amp; Summary'!$B$15+((10-MIN(10,MAX(0,W948)))/10)*'Controls &amp; Summary'!$B$16</x:f>
        <x:v>1.34</x:v>
      </x:c>
      <x:c r="Z948" s="31" t="n">
        <x:f>V948*Y948</x:f>
        <x:v>18.902614301411205</x:v>
      </x:c>
      <x:c r="AA948" s="30" t="str">
        <x:f>IF(Z948&lt;=I948,"Peaceful","Hostile")</x:f>
        <x:v>Hostile</x:v>
      </x:c>
      <x:c r="AB948" s="30" t="str">
        <x:f>IF(Z948&lt;='Controls &amp; Summary'!$B$6,"Eligible","Blocked")</x:f>
        <x:v>Blocked</x:v>
      </x:c>
      <x:c r="AC948" s="30" t="str">
        <x:v>2026_AUS</x:v>
      </x:c>
      <x:c r="AD948" s="30" t="str">
        <x:v>2026_PLS</x:v>
      </x:c>
      <x:c r="AE948" s="30" t="str">
        <x:v>2026_Polynesia</x:v>
      </x:c>
      <x:c r="AF948" s="30" t="str">
        <x:v>Explicit capitalClaim</x:v>
      </x:c>
      <x:c r="AG948" s="30" t="str">
        <x:v>Claim2026_AUS2026_Polynesia</x:v>
      </x:c>
      <x:c r="AH948" s="30" t="str">
        <x:v>Project_SouthernCross</x:v>
      </x:c>
    </x:row>
    <x:row r="949">
      <x:c r="A949" s="30" t="str">
        <x:v>2026</x:v>
      </x:c>
      <x:c r="B949" s="30" t="str">
        <x:v>Base game</x:v>
      </x:c>
      <x:c r="C949" s="30" t="str">
        <x:v>Australia</x:v>
      </x:c>
      <x:c r="D949" s="30" t="str">
        <x:v>Timor-Leste</x:v>
      </x:c>
      <x:c r="E949" s="30" t="str">
        <x:v>Project unlock</x:v>
      </x:c>
      <x:c r="F949" s="30" t="str">
        <x:v>Southern Cross</x:v>
      </x:c>
      <x:c r="G949" s="30" t="str">
        <x:v>No</x:v>
      </x:c>
      <x:c r="H949" s="30" t="str">
        <x:v>Ordinary claim</x:v>
      </x:c>
      <x:c r="I949" s="31" t="n">
        <x:f>IF(G949="Yes",'Controls &amp; Summary'!$B$5,'Controls &amp; Summary'!$B$4)</x:f>
        <x:v>6</x:v>
      </x:c>
      <x:c r="J949" s="31" t="n">
        <x:v>8.85</x:v>
      </x:c>
      <x:c r="K949" s="31" t="n">
        <x:v>6.97</x:v>
      </x:c>
      <x:c r="L949" s="31" t="n">
        <x:f>ABS(J949-K949)</x:f>
        <x:v>1.88</x:v>
      </x:c>
      <x:c r="M949" s="31" t="n">
        <x:v>3.43</x:v>
      </x:c>
      <x:c r="N949" s="31" t="n">
        <x:v>2.87</x:v>
      </x:c>
      <x:c r="O949" s="31" t="n">
        <x:f>ABS(M949-N949)</x:f>
        <x:v>0.56</x:v>
      </x:c>
      <x:c r="P949" s="31" t="n">
        <x:v>9.8</x:v>
      </x:c>
      <x:c r="Q949" s="31" t="n">
        <x:v>5.66</x:v>
      </x:c>
      <x:c r="R949" s="31" t="n">
        <x:f>ABS(P949-Q949)</x:f>
        <x:v>4.140000000000001</x:v>
      </x:c>
      <x:c r="S949" s="32" t="n">
        <x:v>77088.21653253067</x:v>
      </x:c>
      <x:c r="T949" s="32" t="n">
        <x:v>4270.402798201435</x:v>
      </x:c>
      <x:c r="U949" s="31" t="n">
        <x:f>MAX(S949/T949,T949/S949)</x:f>
        <x:v>18.05174363528375</x:v>
      </x:c>
      <x:c r="V949" s="31" t="n">
        <x:f>L949*'Controls &amp; Summary'!$B$9+O949*'Controls &amp; Summary'!$B$10+R949*'Controls &amp; Summary'!$B$11+U949*'Controls &amp; Summary'!$B$12</x:f>
        <x:v>24.631743635283748</x:v>
      </x:c>
      <x:c r="W949" s="31" t="n">
        <x:v>6.6</x:v>
      </x:c>
      <x:c r="X949" s="31" t="n">
        <x:v>0.25</x:v>
      </x:c>
      <x:c r="Y949" s="31" t="n">
        <x:f>((10-MIN(10,MAX(0,X949)))/10)*'Controls &amp; Summary'!$B$15+((10-MIN(10,MAX(0,W949)))/10)*'Controls &amp; Summary'!$B$16</x:f>
        <x:v>1.315</x:v>
      </x:c>
      <x:c r="Z949" s="31" t="n">
        <x:f>V949*Y949</x:f>
        <x:v>32.39074288039813</x:v>
      </x:c>
      <x:c r="AA949" s="30" t="str">
        <x:f>IF(Z949&lt;=I949,"Peaceful","Hostile")</x:f>
        <x:v>Hostile</x:v>
      </x:c>
      <x:c r="AB949" s="30" t="str">
        <x:f>IF(Z949&lt;='Controls &amp; Summary'!$B$6,"Eligible","Blocked")</x:f>
        <x:v>Blocked</x:v>
      </x:c>
      <x:c r="AC949" s="30" t="str">
        <x:v>2026_AUS</x:v>
      </x:c>
      <x:c r="AD949" s="30" t="str">
        <x:v>2026_TLS</x:v>
      </x:c>
      <x:c r="AE949" s="30" t="str">
        <x:v>2026_TimorLeste</x:v>
      </x:c>
      <x:c r="AF949" s="30" t="str">
        <x:v>Explicit capitalClaim</x:v>
      </x:c>
      <x:c r="AG949" s="30" t="str">
        <x:v>Claim2026_AUS2026_TimorLeste</x:v>
      </x:c>
      <x:c r="AH949" s="30" t="str">
        <x:v>Project_SouthernCross</x:v>
      </x:c>
    </x:row>
    <x:row r="950">
      <x:c r="A950" s="30" t="str">
        <x:v>2026</x:v>
      </x:c>
      <x:c r="B950" s="30" t="str">
        <x:v>Base game</x:v>
      </x:c>
      <x:c r="C950" s="30" t="str">
        <x:v>Bolivia</x:v>
      </x:c>
      <x:c r="D950" s="30" t="str">
        <x:v>Argentina</x:v>
      </x:c>
      <x:c r="E950" s="30" t="str">
        <x:v>Project unlock</x:v>
      </x:c>
      <x:c r="F950" s="30" t="str">
        <x:v>South American Union</x:v>
      </x:c>
      <x:c r="G950" s="30" t="str">
        <x:v>No</x:v>
      </x:c>
      <x:c r="H950" s="30" t="str">
        <x:v>Ordinary claim</x:v>
      </x:c>
      <x:c r="I950" s="31" t="n">
        <x:f>IF(G950="Yes",'Controls &amp; Summary'!$B$5,'Controls &amp; Summary'!$B$4)</x:f>
        <x:v>6</x:v>
      </x:c>
      <x:c r="J950" s="31" t="n">
        <x:v>5.38</x:v>
      </x:c>
      <x:c r="K950" s="31" t="n">
        <x:v>6.89</x:v>
      </x:c>
      <x:c r="L950" s="31" t="n">
        <x:f>ABS(J950-K950)</x:f>
        <x:v>1.5099999999999998</x:v>
      </x:c>
      <x:c r="M950" s="31" t="n">
        <x:v>4.09</x:v>
      </x:c>
      <x:c r="N950" s="31" t="n">
        <x:v>4.07</x:v>
      </x:c>
      <x:c r="O950" s="31" t="n">
        <x:f>ABS(M950-N950)</x:f>
        <x:v>0.019999999999999574</x:v>
      </x:c>
      <x:c r="P950" s="31" t="n">
        <x:v>7.5</x:v>
      </x:c>
      <x:c r="Q950" s="31" t="n">
        <x:v>8.74</x:v>
      </x:c>
      <x:c r="R950" s="31" t="n">
        <x:f>ABS(P950-Q950)</x:f>
        <x:v>1.2400000000000002</x:v>
      </x:c>
      <x:c r="S950" s="32" t="n">
        <x:v>9946.14053440305</x:v>
      </x:c>
      <x:c r="T950" s="32" t="n">
        <x:v>28505.172580338804</x:v>
      </x:c>
      <x:c r="U950" s="31" t="n">
        <x:f>MAX(S950/T950,T950/S950)</x:f>
        <x:v>2.8659531284261743</x:v>
      </x:c>
      <x:c r="V950" s="31" t="n">
        <x:f>L950*'Controls &amp; Summary'!$B$9+O950*'Controls &amp; Summary'!$B$10+R950*'Controls &amp; Summary'!$B$11+U950*'Controls &amp; Summary'!$B$12</x:f>
        <x:v>5.6359531284261735</x:v>
      </x:c>
      <x:c r="W950" s="31" t="n">
        <x:v>1.6</x:v>
      </x:c>
      <x:c r="X950" s="31" t="n">
        <x:v>1</x:v>
      </x:c>
      <x:c r="Y950" s="31" t="n">
        <x:f>((10-MIN(10,MAX(0,X950)))/10)*'Controls &amp; Summary'!$B$15+((10-MIN(10,MAX(0,W950)))/10)*'Controls &amp; Summary'!$B$16</x:f>
        <x:v>1.7400000000000002</x:v>
      </x:c>
      <x:c r="Z950" s="31" t="n">
        <x:f>V950*Y950</x:f>
        <x:v>9.806558443461544</x:v>
      </x:c>
      <x:c r="AA950" s="30" t="str">
        <x:f>IF(Z950&lt;=I950,"Peaceful","Hostile")</x:f>
        <x:v>Hostile</x:v>
      </x:c>
      <x:c r="AB950" s="30" t="str">
        <x:f>IF(Z950&lt;='Controls &amp; Summary'!$B$6,"Eligible","Blocked")</x:f>
        <x:v>Eligible</x:v>
      </x:c>
      <x:c r="AC950" s="30" t="str">
        <x:v>2026_BOL</x:v>
      </x:c>
      <x:c r="AD950" s="30" t="str">
        <x:v>2026_ARG</x:v>
      </x:c>
      <x:c r="AE950" s="30" t="str">
        <x:v>2026_Pampas</x:v>
      </x:c>
      <x:c r="AF950" s="30" t="str">
        <x:v>Explicit capitalClaim</x:v>
      </x:c>
      <x:c r="AG950" s="30" t="str">
        <x:v>Claim2026_BOL2026_Pampas</x:v>
      </x:c>
      <x:c r="AH950" s="30" t="str">
        <x:v>Project_SouthAmericanUnion</x:v>
      </x:c>
    </x:row>
    <x:row r="951">
      <x:c r="A951" s="30" t="str">
        <x:v>2026</x:v>
      </x:c>
      <x:c r="B951" s="30" t="str">
        <x:v>Base game</x:v>
      </x:c>
      <x:c r="C951" s="30" t="str">
        <x:v>Bolivia</x:v>
      </x:c>
      <x:c r="D951" s="30" t="str">
        <x:v>Brazil</x:v>
      </x:c>
      <x:c r="E951" s="30" t="str">
        <x:v>Project unlock</x:v>
      </x:c>
      <x:c r="F951" s="30" t="str">
        <x:v>South American Union</x:v>
      </x:c>
      <x:c r="G951" s="30" t="str">
        <x:v>No</x:v>
      </x:c>
      <x:c r="H951" s="30" t="str">
        <x:v>Ordinary claim</x:v>
      </x:c>
      <x:c r="I951" s="31" t="n">
        <x:f>IF(G951="Yes",'Controls &amp; Summary'!$B$5,'Controls &amp; Summary'!$B$4)</x:f>
        <x:v>6</x:v>
      </x:c>
      <x:c r="J951" s="31" t="n">
        <x:v>5.38</x:v>
      </x:c>
      <x:c r="K951" s="31" t="n">
        <x:v>6.76</x:v>
      </x:c>
      <x:c r="L951" s="31" t="n">
        <x:f>ABS(J951-K951)</x:f>
        <x:v>1.38</x:v>
      </x:c>
      <x:c r="M951" s="31" t="n">
        <x:v>4.09</x:v>
      </x:c>
      <x:c r="N951" s="31" t="n">
        <x:v>5.2</x:v>
      </x:c>
      <x:c r="O951" s="31" t="n">
        <x:f>ABS(M951-N951)</x:f>
        <x:v>1.1100000000000003</x:v>
      </x:c>
      <x:c r="P951" s="31" t="n">
        <x:v>7.5</x:v>
      </x:c>
      <x:c r="Q951" s="31" t="n">
        <x:v>7.04</x:v>
      </x:c>
      <x:c r="R951" s="31" t="n">
        <x:f>ABS(P951-Q951)</x:f>
        <x:v>0.45999999999999996</x:v>
      </x:c>
      <x:c r="S951" s="32" t="n">
        <x:v>9946.14053440305</x:v>
      </x:c>
      <x:c r="T951" s="32" t="n">
        <x:v>20493.1830172976</x:v>
      </x:c>
      <x:c r="U951" s="31" t="n">
        <x:f>MAX(S951/T951,T951/S951)</x:f>
        <x:v>2.060415589988199</x:v>
      </x:c>
      <x:c r="V951" s="31" t="n">
        <x:f>L951*'Controls &amp; Summary'!$B$9+O951*'Controls &amp; Summary'!$B$10+R951*'Controls &amp; Summary'!$B$11+U951*'Controls &amp; Summary'!$B$12</x:f>
        <x:v>5.010415589988199</x:v>
      </x:c>
      <x:c r="W951" s="31" t="n">
        <x:v>1.6</x:v>
      </x:c>
      <x:c r="X951" s="31" t="n">
        <x:v>6</x:v>
      </x:c>
      <x:c r="Y951" s="31" t="n">
        <x:f>((10-MIN(10,MAX(0,X951)))/10)*'Controls &amp; Summary'!$B$15+((10-MIN(10,MAX(0,W951)))/10)*'Controls &amp; Summary'!$B$16</x:f>
        <x:v>1.2400000000000002</x:v>
      </x:c>
      <x:c r="Z951" s="31" t="n">
        <x:f>V951*Y951</x:f>
        <x:v>6.212915331585368</x:v>
      </x:c>
      <x:c r="AA951" s="30" t="str">
        <x:f>IF(Z951&lt;=I951,"Peaceful","Hostile")</x:f>
        <x:v>Hostile</x:v>
      </x:c>
      <x:c r="AB951" s="30" t="str">
        <x:f>IF(Z951&lt;='Controls &amp; Summary'!$B$6,"Eligible","Blocked")</x:f>
        <x:v>Eligible</x:v>
      </x:c>
      <x:c r="AC951" s="30" t="str">
        <x:v>2026_BOL</x:v>
      </x:c>
      <x:c r="AD951" s="30" t="str">
        <x:v>2026_BRA</x:v>
      </x:c>
      <x:c r="AE951" s="30" t="str">
        <x:v>2026_Brasilia</x:v>
      </x:c>
      <x:c r="AF951" s="30" t="str">
        <x:v>Explicit capitalClaim</x:v>
      </x:c>
      <x:c r="AG951" s="30" t="str">
        <x:v>Claim2026_BOL2026_Brasilia</x:v>
      </x:c>
      <x:c r="AH951" s="30" t="str">
        <x:v>Project_SouthAmericanUnion</x:v>
      </x:c>
    </x:row>
    <x:row r="952">
      <x:c r="A952" s="30" t="str">
        <x:v>2026</x:v>
      </x:c>
      <x:c r="B952" s="30" t="str">
        <x:v>Base game</x:v>
      </x:c>
      <x:c r="C952" s="30" t="str">
        <x:v>Bolivia</x:v>
      </x:c>
      <x:c r="D952" s="30" t="str">
        <x:v>Chile</x:v>
      </x:c>
      <x:c r="E952" s="30" t="str">
        <x:v>Project unlock</x:v>
      </x:c>
      <x:c r="F952" s="30" t="str">
        <x:v>South American Union</x:v>
      </x:c>
      <x:c r="G952" s="30" t="str">
        <x:v>No</x:v>
      </x:c>
      <x:c r="H952" s="30" t="str">
        <x:v>Ordinary claim</x:v>
      </x:c>
      <x:c r="I952" s="31" t="n">
        <x:f>IF(G952="Yes",'Controls &amp; Summary'!$B$5,'Controls &amp; Summary'!$B$4)</x:f>
        <x:v>6</x:v>
      </x:c>
      <x:c r="J952" s="31" t="n">
        <x:v>5.38</x:v>
      </x:c>
      <x:c r="K952" s="31" t="n">
        <x:v>7.97</x:v>
      </x:c>
      <x:c r="L952" s="31" t="n">
        <x:f>ABS(J952-K952)</x:f>
        <x:v>2.59</x:v>
      </x:c>
      <x:c r="M952" s="31" t="n">
        <x:v>4.09</x:v>
      </x:c>
      <x:c r="N952" s="31" t="n">
        <x:v>4.3</x:v>
      </x:c>
      <x:c r="O952" s="31" t="n">
        <x:f>ABS(M952-N952)</x:f>
        <x:v>0.20999999999999996</x:v>
      </x:c>
      <x:c r="P952" s="31" t="n">
        <x:v>7.5</x:v>
      </x:c>
      <x:c r="Q952" s="31" t="n">
        <x:v>8.27</x:v>
      </x:c>
      <x:c r="R952" s="31" t="n">
        <x:f>ABS(P952-Q952)</x:f>
        <x:v>0.7699999999999996</x:v>
      </x:c>
      <x:c r="S952" s="32" t="n">
        <x:v>9946.14053440305</x:v>
      </x:c>
      <x:c r="T952" s="32" t="n">
        <x:v>31333.41522171279</x:v>
      </x:c>
      <x:c r="U952" s="31" t="n">
        <x:f>MAX(S952/T952,T952/S952)</x:f>
        <x:v>3.150308917648263</x:v>
      </x:c>
      <x:c r="V952" s="31" t="n">
        <x:f>L952*'Controls &amp; Summary'!$B$9+O952*'Controls &amp; Summary'!$B$10+R952*'Controls &amp; Summary'!$B$11+U952*'Controls &amp; Summary'!$B$12</x:f>
        <x:v>6.720308917648262</x:v>
      </x:c>
      <x:c r="W952" s="31" t="n">
        <x:v>1.6</x:v>
      </x:c>
      <x:c r="X952" s="31" t="n">
        <x:v>2.75</x:v>
      </x:c>
      <x:c r="Y952" s="31" t="n">
        <x:f>((10-MIN(10,MAX(0,X952)))/10)*'Controls &amp; Summary'!$B$15+((10-MIN(10,MAX(0,W952)))/10)*'Controls &amp; Summary'!$B$16</x:f>
        <x:v>1.565</x:v>
      </x:c>
      <x:c r="Z952" s="31" t="n">
        <x:f>V952*Y952</x:f>
        <x:v>10.51728345611953</x:v>
      </x:c>
      <x:c r="AA952" s="30" t="str">
        <x:f>IF(Z952&lt;=I952,"Peaceful","Hostile")</x:f>
        <x:v>Hostile</x:v>
      </x:c>
      <x:c r="AB952" s="30" t="str">
        <x:f>IF(Z952&lt;='Controls &amp; Summary'!$B$6,"Eligible","Blocked")</x:f>
        <x:v>Eligible</x:v>
      </x:c>
      <x:c r="AC952" s="30" t="str">
        <x:v>2026_BOL</x:v>
      </x:c>
      <x:c r="AD952" s="30" t="str">
        <x:v>2026_CHL</x:v>
      </x:c>
      <x:c r="AE952" s="30" t="str">
        <x:v>2026_Santiago</x:v>
      </x:c>
      <x:c r="AF952" s="30" t="str">
        <x:v>Explicit capitalClaim</x:v>
      </x:c>
      <x:c r="AG952" s="30" t="str">
        <x:v>Claim2026_BOL2026_Santiago</x:v>
      </x:c>
      <x:c r="AH952" s="30" t="str">
        <x:v>Project_SouthAmericanUnion</x:v>
      </x:c>
    </x:row>
    <x:row r="953">
      <x:c r="A953" s="30" t="str">
        <x:v>2026</x:v>
      </x:c>
      <x:c r="B953" s="30" t="str">
        <x:v>Base game</x:v>
      </x:c>
      <x:c r="C953" s="30" t="str">
        <x:v>Bolivia</x:v>
      </x:c>
      <x:c r="D953" s="30" t="str">
        <x:v>Colombia</x:v>
      </x:c>
      <x:c r="E953" s="30" t="str">
        <x:v>Project unlock</x:v>
      </x:c>
      <x:c r="F953" s="30" t="str">
        <x:v>South American Union</x:v>
      </x:c>
      <x:c r="G953" s="30" t="str">
        <x:v>No</x:v>
      </x:c>
      <x:c r="H953" s="30" t="str">
        <x:v>Ordinary claim</x:v>
      </x:c>
      <x:c r="I953" s="31" t="n">
        <x:f>IF(G953="Yes",'Controls &amp; Summary'!$B$5,'Controls &amp; Summary'!$B$4)</x:f>
        <x:v>6</x:v>
      </x:c>
      <x:c r="J953" s="31" t="n">
        <x:v>5.38</x:v>
      </x:c>
      <x:c r="K953" s="31" t="n">
        <x:v>6.04</x:v>
      </x:c>
      <x:c r="L953" s="31" t="n">
        <x:f>ABS(J953-K953)</x:f>
        <x:v>0.6600000000000001</x:v>
      </x:c>
      <x:c r="M953" s="31" t="n">
        <x:v>4.09</x:v>
      </x:c>
      <x:c r="N953" s="31" t="n">
        <x:v>5.48</x:v>
      </x:c>
      <x:c r="O953" s="31" t="n">
        <x:f>ABS(M953-N953)</x:f>
        <x:v>1.3900000000000006</x:v>
      </x:c>
      <x:c r="P953" s="31" t="n">
        <x:v>7.5</x:v>
      </x:c>
      <x:c r="Q953" s="31" t="n">
        <x:v>6.83</x:v>
      </x:c>
      <x:c r="R953" s="31" t="n">
        <x:f>ABS(P953-Q953)</x:f>
        <x:v>0.6699999999999999</x:v>
      </x:c>
      <x:c r="S953" s="32" t="n">
        <x:v>9946.14053440305</x:v>
      </x:c>
      <x:c r="T953" s="32" t="n">
        <x:v>19406.79349719426</x:v>
      </x:c>
      <x:c r="U953" s="31" t="n">
        <x:f>MAX(S953/T953,T953/S953)</x:f>
        <x:v>1.9511883458782258</x:v>
      </x:c>
      <x:c r="V953" s="31" t="n">
        <x:f>L953*'Controls &amp; Summary'!$B$9+O953*'Controls &amp; Summary'!$B$10+R953*'Controls &amp; Summary'!$B$11+U953*'Controls &amp; Summary'!$B$12</x:f>
        <x:v>4.671188345878226</x:v>
      </x:c>
      <x:c r="W953" s="31" t="n">
        <x:v>1.6</x:v>
      </x:c>
      <x:c r="X953" s="31" t="n">
        <x:v>5.75</x:v>
      </x:c>
      <x:c r="Y953" s="31" t="n">
        <x:f>((10-MIN(10,MAX(0,X953)))/10)*'Controls &amp; Summary'!$B$15+((10-MIN(10,MAX(0,W953)))/10)*'Controls &amp; Summary'!$B$16</x:f>
        <x:v>1.2650000000000001</x:v>
      </x:c>
      <x:c r="Z953" s="31" t="n">
        <x:f>V953*Y953</x:f>
        <x:v>5.909053257535957</x:v>
      </x:c>
      <x:c r="AA953" s="30" t="str">
        <x:f>IF(Z953&lt;=I953,"Peaceful","Hostile")</x:f>
        <x:v>Peaceful</x:v>
      </x:c>
      <x:c r="AB953" s="30" t="str">
        <x:f>IF(Z953&lt;='Controls &amp; Summary'!$B$6,"Eligible","Blocked")</x:f>
        <x:v>Eligible</x:v>
      </x:c>
      <x:c r="AC953" s="30" t="str">
        <x:v>2026_BOL</x:v>
      </x:c>
      <x:c r="AD953" s="30" t="str">
        <x:v>2026_COL</x:v>
      </x:c>
      <x:c r="AE953" s="30" t="str">
        <x:v>2026_Colombia</x:v>
      </x:c>
      <x:c r="AF953" s="30" t="str">
        <x:v>Explicit capitalClaim</x:v>
      </x:c>
      <x:c r="AG953" s="30" t="str">
        <x:v>Claim2026_BOL2026_Colombia</x:v>
      </x:c>
      <x:c r="AH953" s="30" t="str">
        <x:v>Project_SouthAmericanUnion</x:v>
      </x:c>
    </x:row>
    <x:row r="954">
      <x:c r="A954" s="30" t="str">
        <x:v>2026</x:v>
      </x:c>
      <x:c r="B954" s="30" t="str">
        <x:v>Base game</x:v>
      </x:c>
      <x:c r="C954" s="30" t="str">
        <x:v>Bolivia</x:v>
      </x:c>
      <x:c r="D954" s="30" t="str">
        <x:v>Ecuador</x:v>
      </x:c>
      <x:c r="E954" s="30" t="str">
        <x:v>Project unlock</x:v>
      </x:c>
      <x:c r="F954" s="30" t="str">
        <x:v>South American Union</x:v>
      </x:c>
      <x:c r="G954" s="30" t="str">
        <x:v>No</x:v>
      </x:c>
      <x:c r="H954" s="30" t="str">
        <x:v>Ordinary claim</x:v>
      </x:c>
      <x:c r="I954" s="31" t="n">
        <x:f>IF(G954="Yes",'Controls &amp; Summary'!$B$5,'Controls &amp; Summary'!$B$4)</x:f>
        <x:v>6</x:v>
      </x:c>
      <x:c r="J954" s="31" t="n">
        <x:v>5.38</x:v>
      </x:c>
      <x:c r="K954" s="31" t="n">
        <x:v>5.2</x:v>
      </x:c>
      <x:c r="L954" s="31" t="n">
        <x:f>ABS(J954-K954)</x:f>
        <x:v>0.17999999999999972</x:v>
      </x:c>
      <x:c r="M954" s="31" t="n">
        <x:v>4.09</x:v>
      </x:c>
      <x:c r="N954" s="31" t="n">
        <x:v>4.46</x:v>
      </x:c>
      <x:c r="O954" s="31" t="n">
        <x:f>ABS(M954-N954)</x:f>
        <x:v>0.3700000000000001</x:v>
      </x:c>
      <x:c r="P954" s="31" t="n">
        <x:v>7.5</x:v>
      </x:c>
      <x:c r="Q954" s="31" t="n">
        <x:v>6.99</x:v>
      </x:c>
      <x:c r="R954" s="31" t="n">
        <x:f>ABS(P954-Q954)</x:f>
        <x:v>0.5099999999999998</x:v>
      </x:c>
      <x:c r="S954" s="32" t="n">
        <x:v>9946.14053440305</x:v>
      </x:c>
      <x:c r="T954" s="32" t="n">
        <x:v>14319.025171018406</x:v>
      </x:c>
      <x:c r="U954" s="31" t="n">
        <x:f>MAX(S954/T954,T954/S954)</x:f>
        <x:v>1.4396564296965073</x:v>
      </x:c>
      <x:c r="V954" s="31" t="n">
        <x:f>L954*'Controls &amp; Summary'!$B$9+O954*'Controls &amp; Summary'!$B$10+R954*'Controls &amp; Summary'!$B$11+U954*'Controls &amp; Summary'!$B$12</x:f>
        <x:v>2.4996564296965067</x:v>
      </x:c>
      <x:c r="W954" s="31" t="n">
        <x:v>1.6</x:v>
      </x:c>
      <x:c r="X954" s="31" t="n">
        <x:v>3.5</x:v>
      </x:c>
      <x:c r="Y954" s="31" t="n">
        <x:f>((10-MIN(10,MAX(0,X954)))/10)*'Controls &amp; Summary'!$B$15+((10-MIN(10,MAX(0,W954)))/10)*'Controls &amp; Summary'!$B$16</x:f>
        <x:v>1.4900000000000002</x:v>
      </x:c>
      <x:c r="Z954" s="31" t="n">
        <x:f>V954*Y954</x:f>
        <x:v>3.7244880802477955</x:v>
      </x:c>
      <x:c r="AA954" s="30" t="str">
        <x:f>IF(Z954&lt;=I954,"Peaceful","Hostile")</x:f>
        <x:v>Peaceful</x:v>
      </x:c>
      <x:c r="AB954" s="30" t="str">
        <x:f>IF(Z954&lt;='Controls &amp; Summary'!$B$6,"Eligible","Blocked")</x:f>
        <x:v>Eligible</x:v>
      </x:c>
      <x:c r="AC954" s="30" t="str">
        <x:v>2026_BOL</x:v>
      </x:c>
      <x:c r="AD954" s="30" t="str">
        <x:v>2026_ECU</x:v>
      </x:c>
      <x:c r="AE954" s="30" t="str">
        <x:v>2026_Ecuador</x:v>
      </x:c>
      <x:c r="AF954" s="30" t="str">
        <x:v>Explicit capitalClaim</x:v>
      </x:c>
      <x:c r="AG954" s="30" t="str">
        <x:v>Claim2026_BOL2026_Ecuador</x:v>
      </x:c>
      <x:c r="AH954" s="30" t="str">
        <x:v>Project_SouthAmericanUnion</x:v>
      </x:c>
    </x:row>
    <x:row r="955">
      <x:c r="A955" s="30" t="str">
        <x:v>2026</x:v>
      </x:c>
      <x:c r="B955" s="30" t="str">
        <x:v>Base game</x:v>
      </x:c>
      <x:c r="C955" s="30" t="str">
        <x:v>Bolivia</x:v>
      </x:c>
      <x:c r="D955" s="30" t="str">
        <x:v>Guyana</x:v>
      </x:c>
      <x:c r="E955" s="30" t="str">
        <x:v>Project unlock</x:v>
      </x:c>
      <x:c r="F955" s="30" t="str">
        <x:v>South American Union</x:v>
      </x:c>
      <x:c r="G955" s="30" t="str">
        <x:v>No</x:v>
      </x:c>
      <x:c r="H955" s="30" t="str">
        <x:v>Ordinary claim</x:v>
      </x:c>
      <x:c r="I955" s="31" t="n">
        <x:f>IF(G955="Yes",'Controls &amp; Summary'!$B$5,'Controls &amp; Summary'!$B$4)</x:f>
        <x:v>6</x:v>
      </x:c>
      <x:c r="J955" s="31" t="n">
        <x:v>5.38</x:v>
      </x:c>
      <x:c r="K955" s="31" t="n">
        <x:v>6.09</x:v>
      </x:c>
      <x:c r="L955" s="31" t="n">
        <x:f>ABS(J955-K955)</x:f>
        <x:v>0.71</x:v>
      </x:c>
      <x:c r="M955" s="31" t="n">
        <x:v>4.09</x:v>
      </x:c>
      <x:c r="N955" s="31" t="n">
        <x:v>4.67</x:v>
      </x:c>
      <x:c r="O955" s="31" t="n">
        <x:f>ABS(M955-N955)</x:f>
        <x:v>0.5800000000000001</x:v>
      </x:c>
      <x:c r="P955" s="31" t="n">
        <x:v>7.5</x:v>
      </x:c>
      <x:c r="Q955" s="31" t="n">
        <x:v>6.38</x:v>
      </x:c>
      <x:c r="R955" s="31" t="n">
        <x:f>ABS(P955-Q955)</x:f>
        <x:v>1.12</x:v>
      </x:c>
      <x:c r="S955" s="32" t="n">
        <x:v>9946.14053440305</x:v>
      </x:c>
      <x:c r="T955" s="32" t="n">
        <x:v>78795.94239436787</x:v>
      </x:c>
      <x:c r="U955" s="31" t="n">
        <x:f>MAX(S955/T955,T955/S955)</x:f>
        <x:v>7.922263125261287</x:v>
      </x:c>
      <x:c r="V955" s="31" t="n">
        <x:f>L955*'Controls &amp; Summary'!$B$9+O955*'Controls &amp; Summary'!$B$10+R955*'Controls &amp; Summary'!$B$11+U955*'Controls &amp; Summary'!$B$12</x:f>
        <x:v>10.332263125261287</x:v>
      </x:c>
      <x:c r="W955" s="31" t="n">
        <x:v>1.6</x:v>
      </x:c>
      <x:c r="X955" s="31" t="n">
        <x:v>0.5</x:v>
      </x:c>
      <x:c r="Y955" s="31" t="n">
        <x:f>((10-MIN(10,MAX(0,X955)))/10)*'Controls &amp; Summary'!$B$15+((10-MIN(10,MAX(0,W955)))/10)*'Controls &amp; Summary'!$B$16</x:f>
        <x:v>1.79</x:v>
      </x:c>
      <x:c r="Z955" s="31" t="n">
        <x:f>V955*Y955</x:f>
        <x:v>18.494750994217704</x:v>
      </x:c>
      <x:c r="AA955" s="30" t="str">
        <x:f>IF(Z955&lt;=I955,"Peaceful","Hostile")</x:f>
        <x:v>Hostile</x:v>
      </x:c>
      <x:c r="AB955" s="30" t="str">
        <x:f>IF(Z955&lt;='Controls &amp; Summary'!$B$6,"Eligible","Blocked")</x:f>
        <x:v>Blocked</x:v>
      </x:c>
      <x:c r="AC955" s="30" t="str">
        <x:v>2026_BOL</x:v>
      </x:c>
      <x:c r="AD955" s="30" t="str">
        <x:v>2026_GUY</x:v>
      </x:c>
      <x:c r="AE955" s="30" t="str">
        <x:v>2026_Guyana</x:v>
      </x:c>
      <x:c r="AF955" s="30" t="str">
        <x:v>Explicit capitalClaim</x:v>
      </x:c>
      <x:c r="AG955" s="30" t="str">
        <x:v>Claim2026_BOL2026_Guyana</x:v>
      </x:c>
      <x:c r="AH955" s="30" t="str">
        <x:v>Project_SouthAmericanUnion</x:v>
      </x:c>
    </x:row>
    <x:row r="956">
      <x:c r="A956" s="30" t="str">
        <x:v>2026</x:v>
      </x:c>
      <x:c r="B956" s="30" t="str">
        <x:v>Base game</x:v>
      </x:c>
      <x:c r="C956" s="30" t="str">
        <x:v>Bolivia</x:v>
      </x:c>
      <x:c r="D956" s="30" t="str">
        <x:v>Paraguay</x:v>
      </x:c>
      <x:c r="E956" s="30" t="str">
        <x:v>Project unlock</x:v>
      </x:c>
      <x:c r="F956" s="30" t="str">
        <x:v>South American Union</x:v>
      </x:c>
      <x:c r="G956" s="30" t="str">
        <x:v>No</x:v>
      </x:c>
      <x:c r="H956" s="30" t="str">
        <x:v>Ordinary claim</x:v>
      </x:c>
      <x:c r="I956" s="31" t="n">
        <x:f>IF(G956="Yes",'Controls &amp; Summary'!$B$5,'Controls &amp; Summary'!$B$4)</x:f>
        <x:v>6</x:v>
      </x:c>
      <x:c r="J956" s="31" t="n">
        <x:v>5.38</x:v>
      </x:c>
      <x:c r="K956" s="31" t="n">
        <x:v>6.04</x:v>
      </x:c>
      <x:c r="L956" s="31" t="n">
        <x:f>ABS(J956-K956)</x:f>
        <x:v>0.6600000000000001</x:v>
      </x:c>
      <x:c r="M956" s="31" t="n">
        <x:v>4.09</x:v>
      </x:c>
      <x:c r="N956" s="31" t="n">
        <x:v>4.51</x:v>
      </x:c>
      <x:c r="O956" s="31" t="n">
        <x:f>ABS(M956-N956)</x:f>
        <x:v>0.41999999999999993</x:v>
      </x:c>
      <x:c r="P956" s="31" t="n">
        <x:v>7.5</x:v>
      </x:c>
      <x:c r="Q956" s="31" t="n">
        <x:v>6.72</x:v>
      </x:c>
      <x:c r="R956" s="31" t="n">
        <x:f>ABS(P956-Q956)</x:f>
        <x:v>0.7800000000000002</x:v>
      </x:c>
      <x:c r="S956" s="32" t="n">
        <x:v>9946.14053440305</x:v>
      </x:c>
      <x:c r="T956" s="32" t="n">
        <x:v>16922.37092833136</x:v>
      </x:c>
      <x:c r="U956" s="31" t="n">
        <x:f>MAX(S956/T956,T956/S956)</x:f>
        <x:v>1.7014007463294916</x:v>
      </x:c>
      <x:c r="V956" s="31" t="n">
        <x:f>L956*'Controls &amp; Summary'!$B$9+O956*'Controls &amp; Summary'!$B$10+R956*'Controls &amp; Summary'!$B$11+U956*'Controls &amp; Summary'!$B$12</x:f>
        <x:v>3.561400746329492</x:v>
      </x:c>
      <x:c r="W956" s="31" t="n">
        <x:v>1.6</x:v>
      </x:c>
      <x:c r="X956" s="31" t="n">
        <x:v>1</x:v>
      </x:c>
      <x:c r="Y956" s="31" t="n">
        <x:f>((10-MIN(10,MAX(0,X956)))/10)*'Controls &amp; Summary'!$B$15+((10-MIN(10,MAX(0,W956)))/10)*'Controls &amp; Summary'!$B$16</x:f>
        <x:v>1.7400000000000002</x:v>
      </x:c>
      <x:c r="Z956" s="31" t="n">
        <x:f>V956*Y956</x:f>
        <x:v>6.196837298613317</x:v>
      </x:c>
      <x:c r="AA956" s="30" t="str">
        <x:f>IF(Z956&lt;=I956,"Peaceful","Hostile")</x:f>
        <x:v>Hostile</x:v>
      </x:c>
      <x:c r="AB956" s="30" t="str">
        <x:f>IF(Z956&lt;='Controls &amp; Summary'!$B$6,"Eligible","Blocked")</x:f>
        <x:v>Eligible</x:v>
      </x:c>
      <x:c r="AC956" s="30" t="str">
        <x:v>2026_BOL</x:v>
      </x:c>
      <x:c r="AD956" s="30" t="str">
        <x:v>2026_PRY</x:v>
      </x:c>
      <x:c r="AE956" s="30" t="str">
        <x:v>2026_Paraguay</x:v>
      </x:c>
      <x:c r="AF956" s="30" t="str">
        <x:v>Explicit capitalClaim</x:v>
      </x:c>
      <x:c r="AG956" s="30" t="str">
        <x:v>Claim2026_BOL2026_Paraguay</x:v>
      </x:c>
      <x:c r="AH956" s="30" t="str">
        <x:v>Project_SouthAmericanUnion</x:v>
      </x:c>
    </x:row>
    <x:row r="957">
      <x:c r="A957" s="30" t="str">
        <x:v>2026</x:v>
      </x:c>
      <x:c r="B957" s="30" t="str">
        <x:v>Base game</x:v>
      </x:c>
      <x:c r="C957" s="30" t="str">
        <x:v>Bolivia</x:v>
      </x:c>
      <x:c r="D957" s="30" t="str">
        <x:v>Peru</x:v>
      </x:c>
      <x:c r="E957" s="30" t="str">
        <x:v>Project unlock</x:v>
      </x:c>
      <x:c r="F957" s="30" t="str">
        <x:v>South American Union</x:v>
      </x:c>
      <x:c r="G957" s="30" t="str">
        <x:v>No</x:v>
      </x:c>
      <x:c r="H957" s="30" t="str">
        <x:v>Ordinary claim</x:v>
      </x:c>
      <x:c r="I957" s="31" t="n">
        <x:f>IF(G957="Yes",'Controls &amp; Summary'!$B$5,'Controls &amp; Summary'!$B$4)</x:f>
        <x:v>6</x:v>
      </x:c>
      <x:c r="J957" s="31" t="n">
        <x:v>5.38</x:v>
      </x:c>
      <x:c r="K957" s="31" t="n">
        <x:v>5.88</x:v>
      </x:c>
      <x:c r="L957" s="31" t="n">
        <x:f>ABS(J957-K957)</x:f>
        <x:v>0.5</x:v>
      </x:c>
      <x:c r="M957" s="31" t="n">
        <x:v>4.09</x:v>
      </x:c>
      <x:c r="N957" s="31" t="n">
        <x:v>4.03</x:v>
      </x:c>
      <x:c r="O957" s="31" t="n">
        <x:f>ABS(M957-N957)</x:f>
        <x:v>0.05999999999999961</x:v>
      </x:c>
      <x:c r="P957" s="31" t="n">
        <x:v>7.5</x:v>
      </x:c>
      <x:c r="Q957" s="31" t="n">
        <x:v>7.38</x:v>
      </x:c>
      <x:c r="R957" s="31" t="n">
        <x:f>ABS(P957-Q957)</x:f>
        <x:v>0.1200000000000001</x:v>
      </x:c>
      <x:c r="S957" s="32" t="n">
        <x:v>9946.14053440305</x:v>
      </x:c>
      <x:c r="T957" s="32" t="n">
        <x:v>16204.208286386049</x:v>
      </x:c>
      <x:c r="U957" s="31" t="n">
        <x:f>MAX(S957/T957,T957/S957)</x:f>
        <x:v>1.6291955890163377</x:v>
      </x:c>
      <x:c r="V957" s="31" t="n">
        <x:f>L957*'Controls &amp; Summary'!$B$9+O957*'Controls &amp; Summary'!$B$10+R957*'Controls &amp; Summary'!$B$11+U957*'Controls &amp; Summary'!$B$12</x:f>
        <x:v>2.3091955890163374</x:v>
      </x:c>
      <x:c r="W957" s="31" t="n">
        <x:v>1.6</x:v>
      </x:c>
      <x:c r="X957" s="31" t="n">
        <x:v>3.5</x:v>
      </x:c>
      <x:c r="Y957" s="31" t="n">
        <x:f>((10-MIN(10,MAX(0,X957)))/10)*'Controls &amp; Summary'!$B$15+((10-MIN(10,MAX(0,W957)))/10)*'Controls &amp; Summary'!$B$16</x:f>
        <x:v>1.4900000000000002</x:v>
      </x:c>
      <x:c r="Z957" s="31" t="n">
        <x:f>V957*Y957</x:f>
        <x:v>3.4407014276343433</x:v>
      </x:c>
      <x:c r="AA957" s="30" t="str">
        <x:f>IF(Z957&lt;=I957,"Peaceful","Hostile")</x:f>
        <x:v>Peaceful</x:v>
      </x:c>
      <x:c r="AB957" s="30" t="str">
        <x:f>IF(Z957&lt;='Controls &amp; Summary'!$B$6,"Eligible","Blocked")</x:f>
        <x:v>Eligible</x:v>
      </x:c>
      <x:c r="AC957" s="30" t="str">
        <x:v>2026_BOL</x:v>
      </x:c>
      <x:c r="AD957" s="30" t="str">
        <x:v>2026_PER</x:v>
      </x:c>
      <x:c r="AE957" s="30" t="str">
        <x:v>2026_Peru</x:v>
      </x:c>
      <x:c r="AF957" s="30" t="str">
        <x:v>Explicit capitalClaim</x:v>
      </x:c>
      <x:c r="AG957" s="30" t="str">
        <x:v>Claim2026_BOL2026_Peru</x:v>
      </x:c>
      <x:c r="AH957" s="30" t="str">
        <x:v>Project_SouthAmericanUnion</x:v>
      </x:c>
    </x:row>
    <x:row r="958">
      <x:c r="A958" s="30" t="str">
        <x:v>2026</x:v>
      </x:c>
      <x:c r="B958" s="30" t="str">
        <x:v>Base game</x:v>
      </x:c>
      <x:c r="C958" s="30" t="str">
        <x:v>Bolivia</x:v>
      </x:c>
      <x:c r="D958" s="30" t="str">
        <x:v>Suriname</x:v>
      </x:c>
      <x:c r="E958" s="30" t="str">
        <x:v>Project unlock</x:v>
      </x:c>
      <x:c r="F958" s="30" t="str">
        <x:v>South American Union</x:v>
      </x:c>
      <x:c r="G958" s="30" t="str">
        <x:v>No</x:v>
      </x:c>
      <x:c r="H958" s="30" t="str">
        <x:v>Ordinary claim</x:v>
      </x:c>
      <x:c r="I958" s="31" t="n">
        <x:f>IF(G958="Yes",'Controls &amp; Summary'!$B$5,'Controls &amp; Summary'!$B$4)</x:f>
        <x:v>6</x:v>
      </x:c>
      <x:c r="J958" s="31" t="n">
        <x:v>5.38</x:v>
      </x:c>
      <x:c r="K958" s="31" t="n">
        <x:v>7.03</x:v>
      </x:c>
      <x:c r="L958" s="31" t="n">
        <x:f>ABS(J958-K958)</x:f>
        <x:v>1.6500000000000004</x:v>
      </x:c>
      <x:c r="M958" s="31" t="n">
        <x:v>4.09</x:v>
      </x:c>
      <x:c r="N958" s="31" t="n">
        <x:v>3.92</x:v>
      </x:c>
      <x:c r="O958" s="31" t="n">
        <x:f>ABS(M958-N958)</x:f>
        <x:v>0.16999999999999993</x:v>
      </x:c>
      <x:c r="P958" s="31" t="n">
        <x:v>7.5</x:v>
      </x:c>
      <x:c r="Q958" s="31" t="n">
        <x:v>5.75</x:v>
      </x:c>
      <x:c r="R958" s="31" t="n">
        <x:f>ABS(P958-Q958)</x:f>
        <x:v>1.75</x:v>
      </x:c>
      <x:c r="S958" s="32" t="n">
        <x:v>9946.14053440305</x:v>
      </x:c>
      <x:c r="T958" s="32" t="n">
        <x:v>20106.469206020556</x:v>
      </x:c>
      <x:c r="U958" s="31" t="n">
        <x:f>MAX(S958/T958,T958/S958)</x:f>
        <x:v>2.021534798998023</x:v>
      </x:c>
      <x:c r="V958" s="31" t="n">
        <x:f>L958*'Controls &amp; Summary'!$B$9+O958*'Controls &amp; Summary'!$B$10+R958*'Controls &amp; Summary'!$B$11+U958*'Controls &amp; Summary'!$B$12</x:f>
        <x:v>5.591534798998023</x:v>
      </x:c>
      <x:c r="W958" s="31" t="n">
        <x:v>1.6</x:v>
      </x:c>
      <x:c r="X958" s="31" t="n">
        <x:v>0.5</x:v>
      </x:c>
      <x:c r="Y958" s="31" t="n">
        <x:f>((10-MIN(10,MAX(0,X958)))/10)*'Controls &amp; Summary'!$B$15+((10-MIN(10,MAX(0,W958)))/10)*'Controls &amp; Summary'!$B$16</x:f>
        <x:v>1.79</x:v>
      </x:c>
      <x:c r="Z958" s="31" t="n">
        <x:f>V958*Y958</x:f>
        <x:v>10.008847290206461</x:v>
      </x:c>
      <x:c r="AA958" s="30" t="str">
        <x:f>IF(Z958&lt;=I958,"Peaceful","Hostile")</x:f>
        <x:v>Hostile</x:v>
      </x:c>
      <x:c r="AB958" s="30" t="str">
        <x:f>IF(Z958&lt;='Controls &amp; Summary'!$B$6,"Eligible","Blocked")</x:f>
        <x:v>Eligible</x:v>
      </x:c>
      <x:c r="AC958" s="30" t="str">
        <x:v>2026_BOL</x:v>
      </x:c>
      <x:c r="AD958" s="30" t="str">
        <x:v>2026_SUR</x:v>
      </x:c>
      <x:c r="AE958" s="30" t="str">
        <x:v>2026_Suriname</x:v>
      </x:c>
      <x:c r="AF958" s="30" t="str">
        <x:v>Explicit capitalClaim</x:v>
      </x:c>
      <x:c r="AG958" s="30" t="str">
        <x:v>Claim2026_BOL2026_Suriname</x:v>
      </x:c>
      <x:c r="AH958" s="30" t="str">
        <x:v>Project_SouthAmericanUnion</x:v>
      </x:c>
    </x:row>
    <x:row r="959">
      <x:c r="A959" s="30" t="str">
        <x:v>2026</x:v>
      </x:c>
      <x:c r="B959" s="30" t="str">
        <x:v>Base game</x:v>
      </x:c>
      <x:c r="C959" s="30" t="str">
        <x:v>Bolivia</x:v>
      </x:c>
      <x:c r="D959" s="30" t="str">
        <x:v>Uruguay</x:v>
      </x:c>
      <x:c r="E959" s="30" t="str">
        <x:v>Project unlock</x:v>
      </x:c>
      <x:c r="F959" s="30" t="str">
        <x:v>South American Union</x:v>
      </x:c>
      <x:c r="G959" s="30" t="str">
        <x:v>No</x:v>
      </x:c>
      <x:c r="H959" s="30" t="str">
        <x:v>Ordinary claim</x:v>
      </x:c>
      <x:c r="I959" s="31" t="n">
        <x:f>IF(G959="Yes",'Controls &amp; Summary'!$B$5,'Controls &amp; Summary'!$B$4)</x:f>
        <x:v>6</x:v>
      </x:c>
      <x:c r="J959" s="31" t="n">
        <x:v>5.38</x:v>
      </x:c>
      <x:c r="K959" s="31" t="n">
        <x:v>8.92</x:v>
      </x:c>
      <x:c r="L959" s="31" t="n">
        <x:f>ABS(J959-K959)</x:f>
        <x:v>3.54</x:v>
      </x:c>
      <x:c r="M959" s="31" t="n">
        <x:v>4.09</x:v>
      </x:c>
      <x:c r="N959" s="31" t="n">
        <x:v>4.06</x:v>
      </x:c>
      <x:c r="O959" s="31" t="n">
        <x:f>ABS(M959-N959)</x:f>
        <x:v>0.03000000000000025</x:v>
      </x:c>
      <x:c r="P959" s="31" t="n">
        <x:v>7.5</x:v>
      </x:c>
      <x:c r="Q959" s="31" t="n">
        <x:v>8.17</x:v>
      </x:c>
      <x:c r="R959" s="31" t="n">
        <x:f>ABS(P959-Q959)</x:f>
        <x:v>0.6699999999999999</x:v>
      </x:c>
      <x:c r="S959" s="32" t="n">
        <x:v>9946.14053440305</x:v>
      </x:c>
      <x:c r="T959" s="32" t="n">
        <x:v>33875.141646639786</x:v>
      </x:c>
      <x:c r="U959" s="31" t="n">
        <x:f>MAX(S959/T959,T959/S959)</x:f>
        <x:v>3.4058579334836345</x:v>
      </x:c>
      <x:c r="V959" s="31" t="n">
        <x:f>L959*'Controls &amp; Summary'!$B$9+O959*'Controls &amp; Summary'!$B$10+R959*'Controls &amp; Summary'!$B$11+U959*'Controls &amp; Summary'!$B$12</x:f>
        <x:v>7.645857933483635</x:v>
      </x:c>
      <x:c r="W959" s="31" t="n">
        <x:v>1.6</x:v>
      </x:c>
      <x:c r="X959" s="31" t="n">
        <x:v>0</x:v>
      </x:c>
      <x:c r="Y959" s="31" t="n">
        <x:f>((10-MIN(10,MAX(0,X959)))/10)*'Controls &amp; Summary'!$B$15+((10-MIN(10,MAX(0,W959)))/10)*'Controls &amp; Summary'!$B$16</x:f>
        <x:v>1.84</x:v>
      </x:c>
      <x:c r="Z959" s="31" t="n">
        <x:f>V959*Y959</x:f>
        <x:v>14.068378597609888</x:v>
      </x:c>
      <x:c r="AA959" s="30" t="str">
        <x:f>IF(Z959&lt;=I959,"Peaceful","Hostile")</x:f>
        <x:v>Hostile</x:v>
      </x:c>
      <x:c r="AB959" s="30" t="str">
        <x:f>IF(Z959&lt;='Controls &amp; Summary'!$B$6,"Eligible","Blocked")</x:f>
        <x:v>Blocked</x:v>
      </x:c>
      <x:c r="AC959" s="30" t="str">
        <x:v>2026_BOL</x:v>
      </x:c>
      <x:c r="AD959" s="30" t="str">
        <x:v>2026_URY</x:v>
      </x:c>
      <x:c r="AE959" s="30" t="str">
        <x:v>2026_Uruguay</x:v>
      </x:c>
      <x:c r="AF959" s="30" t="str">
        <x:v>Explicit capitalClaim</x:v>
      </x:c>
      <x:c r="AG959" s="30" t="str">
        <x:v>Claim2026_BOL2026_Uruguay</x:v>
      </x:c>
      <x:c r="AH959" s="30" t="str">
        <x:v>Project_SouthAmericanUnion</x:v>
      </x:c>
    </x:row>
    <x:row r="960">
      <x:c r="A960" s="30" t="str">
        <x:v>2026</x:v>
      </x:c>
      <x:c r="B960" s="30" t="str">
        <x:v>Base game</x:v>
      </x:c>
      <x:c r="C960" s="30" t="str">
        <x:v>Bolivia</x:v>
      </x:c>
      <x:c r="D960" s="30" t="str">
        <x:v>Venezuela</x:v>
      </x:c>
      <x:c r="E960" s="30" t="str">
        <x:v>Project unlock</x:v>
      </x:c>
      <x:c r="F960" s="30" t="str">
        <x:v>South American Union</x:v>
      </x:c>
      <x:c r="G960" s="30" t="str">
        <x:v>No</x:v>
      </x:c>
      <x:c r="H960" s="30" t="str">
        <x:v>Ordinary claim</x:v>
      </x:c>
      <x:c r="I960" s="31" t="n">
        <x:f>IF(G960="Yes",'Controls &amp; Summary'!$B$5,'Controls &amp; Summary'!$B$4)</x:f>
        <x:v>6</x:v>
      </x:c>
      <x:c r="J960" s="31" t="n">
        <x:v>5.38</x:v>
      </x:c>
      <x:c r="K960" s="31" t="n">
        <x:v>2.13</x:v>
      </x:c>
      <x:c r="L960" s="31" t="n">
        <x:f>ABS(J960-K960)</x:f>
        <x:v>3.25</x:v>
      </x:c>
      <x:c r="M960" s="31" t="n">
        <x:v>4.09</x:v>
      </x:c>
      <x:c r="N960" s="31" t="n">
        <x:v>3.35</x:v>
      </x:c>
      <x:c r="O960" s="31" t="n">
        <x:f>ABS(M960-N960)</x:f>
        <x:v>0.7399999999999998</x:v>
      </x:c>
      <x:c r="P960" s="31" t="n">
        <x:v>7.5</x:v>
      </x:c>
      <x:c r="Q960" s="31" t="n">
        <x:v>6.71</x:v>
      </x:c>
      <x:c r="R960" s="31" t="n">
        <x:f>ABS(P960-Q960)</x:f>
        <x:v>0.79</x:v>
      </x:c>
      <x:c r="S960" s="32" t="n">
        <x:v>9946.14053440305</x:v>
      </x:c>
      <x:c r="T960" s="32" t="n">
        <x:v>6883.701522307046</x:v>
      </x:c>
      <x:c r="U960" s="31" t="n">
        <x:f>MAX(S960/T960,T960/S960)</x:f>
        <x:v>1.4448825972729915</x:v>
      </x:c>
      <x:c r="V960" s="31" t="n">
        <x:f>L960*'Controls &amp; Summary'!$B$9+O960*'Controls &amp; Summary'!$B$10+R960*'Controls &amp; Summary'!$B$11+U960*'Controls &amp; Summary'!$B$12</x:f>
        <x:v>6.224882597272991</x:v>
      </x:c>
      <x:c r="W960" s="31" t="n">
        <x:v>1.6</x:v>
      </x:c>
      <x:c r="X960" s="31" t="n">
        <x:v>4.75</x:v>
      </x:c>
      <x:c r="Y960" s="31" t="n">
        <x:f>((10-MIN(10,MAX(0,X960)))/10)*'Controls &amp; Summary'!$B$15+((10-MIN(10,MAX(0,W960)))/10)*'Controls &amp; Summary'!$B$16</x:f>
        <x:v>1.3650000000000002</x:v>
      </x:c>
      <x:c r="Z960" s="31" t="n">
        <x:f>V960*Y960</x:f>
        <x:v>8.496964745277634</x:v>
      </x:c>
      <x:c r="AA960" s="30" t="str">
        <x:f>IF(Z960&lt;=I960,"Peaceful","Hostile")</x:f>
        <x:v>Hostile</x:v>
      </x:c>
      <x:c r="AB960" s="30" t="str">
        <x:f>IF(Z960&lt;='Controls &amp; Summary'!$B$6,"Eligible","Blocked")</x:f>
        <x:v>Eligible</x:v>
      </x:c>
      <x:c r="AC960" s="30" t="str">
        <x:v>2026_BOL</x:v>
      </x:c>
      <x:c r="AD960" s="30" t="str">
        <x:v>2026_VEN</x:v>
      </x:c>
      <x:c r="AE960" s="30" t="str">
        <x:v>2026_Venezuela</x:v>
      </x:c>
      <x:c r="AF960" s="30" t="str">
        <x:v>Explicit capitalClaim</x:v>
      </x:c>
      <x:c r="AG960" s="30" t="str">
        <x:v>Claim2026_BOL2026_Venezuela</x:v>
      </x:c>
      <x:c r="AH960" s="30" t="str">
        <x:v>Project_SouthAmericanUnion</x:v>
      </x:c>
    </x:row>
    <x:row r="961">
      <x:c r="A961" s="30" t="str">
        <x:v>2026</x:v>
      </x:c>
      <x:c r="B961" s="30" t="str">
        <x:v>Base game</x:v>
      </x:c>
      <x:c r="C961" s="30" t="str">
        <x:v>Brazil</x:v>
      </x:c>
      <x:c r="D961" s="30" t="str">
        <x:v>Argentina</x:v>
      </x:c>
      <x:c r="E961" s="30" t="str">
        <x:v>Project unlock</x:v>
      </x:c>
      <x:c r="F961" s="30" t="str">
        <x:v>Steward of the South</x:v>
      </x:c>
      <x:c r="G961" s="30" t="str">
        <x:v>Yes</x:v>
      </x:c>
      <x:c r="H961" s="30" t="str">
        <x:v>Template hostileClaim</x:v>
      </x:c>
      <x:c r="I961" s="31" t="n">
        <x:f>IF(G961="Yes",'Controls &amp; Summary'!$B$5,'Controls &amp; Summary'!$B$4)</x:f>
        <x:v>3</x:v>
      </x:c>
      <x:c r="J961" s="31" t="n">
        <x:v>6.76</x:v>
      </x:c>
      <x:c r="K961" s="31" t="n">
        <x:v>6.89</x:v>
      </x:c>
      <x:c r="L961" s="31" t="n">
        <x:f>ABS(J961-K961)</x:f>
        <x:v>0.1299999999999999</x:v>
      </x:c>
      <x:c r="M961" s="31" t="n">
        <x:v>5.2</x:v>
      </x:c>
      <x:c r="N961" s="31" t="n">
        <x:v>4.07</x:v>
      </x:c>
      <x:c r="O961" s="31" t="n">
        <x:f>ABS(M961-N961)</x:f>
        <x:v>1.13</x:v>
      </x:c>
      <x:c r="P961" s="31" t="n">
        <x:v>7.04</x:v>
      </x:c>
      <x:c r="Q961" s="31" t="n">
        <x:v>8.74</x:v>
      </x:c>
      <x:c r="R961" s="31" t="n">
        <x:f>ABS(P961-Q961)</x:f>
        <x:v>1.7000000000000002</x:v>
      </x:c>
      <x:c r="S961" s="32" t="n">
        <x:v>20493.1830172976</x:v>
      </x:c>
      <x:c r="T961" s="32" t="n">
        <x:v>28505.172580338804</x:v>
      </x:c>
      <x:c r="U961" s="31" t="n">
        <x:f>MAX(S961/T961,T961/S961)</x:f>
        <x:v>1.3909587669362322</x:v>
      </x:c>
      <x:c r="V961" s="31" t="n">
        <x:f>L961*'Controls &amp; Summary'!$B$9+O961*'Controls &amp; Summary'!$B$10+R961*'Controls &amp; Summary'!$B$11+U961*'Controls &amp; Summary'!$B$12</x:f>
        <x:v>4.350958766936232</x:v>
      </x:c>
      <x:c r="W961" s="31" t="n">
        <x:v>2.07</x:v>
      </x:c>
      <x:c r="X961" s="31" t="n">
        <x:v>1</x:v>
      </x:c>
      <x:c r="Y961" s="31" t="n">
        <x:f>((10-MIN(10,MAX(0,X961)))/10)*'Controls &amp; Summary'!$B$15+((10-MIN(10,MAX(0,W961)))/10)*'Controls &amp; Summary'!$B$16</x:f>
        <x:v>1.693</x:v>
      </x:c>
      <x:c r="Z961" s="31" t="n">
        <x:f>V961*Y961</x:f>
        <x:v>7.366173192423041</x:v>
      </x:c>
      <x:c r="AA961" s="30" t="str">
        <x:f>IF(Z961&lt;=I961,"Peaceful","Hostile")</x:f>
        <x:v>Hostile</x:v>
      </x:c>
      <x:c r="AB961" s="30" t="str">
        <x:f>IF(Z961&lt;='Controls &amp; Summary'!$B$6,"Eligible","Blocked")</x:f>
        <x:v>Eligible</x:v>
      </x:c>
      <x:c r="AC961" s="30" t="str">
        <x:v>2026_BRA</x:v>
      </x:c>
      <x:c r="AD961" s="30" t="str">
        <x:v>2026_ARG</x:v>
      </x:c>
      <x:c r="AE961" s="30" t="str">
        <x:v>2026_Pampas</x:v>
      </x:c>
      <x:c r="AF961" s="30" t="str">
        <x:v>Explicit capitalClaim</x:v>
      </x:c>
      <x:c r="AG961" s="30" t="str">
        <x:v>Claim2026_BRA2026_Pampas</x:v>
      </x:c>
      <x:c r="AH961" s="30" t="str">
        <x:v>Project_StewardoftheSouth</x:v>
      </x:c>
    </x:row>
    <x:row r="962">
      <x:c r="A962" s="30" t="str">
        <x:v>2026</x:v>
      </x:c>
      <x:c r="B962" s="30" t="str">
        <x:v>Base game</x:v>
      </x:c>
      <x:c r="C962" s="30" t="str">
        <x:v>Brazil</x:v>
      </x:c>
      <x:c r="D962" s="30" t="str">
        <x:v>Bolivia</x:v>
      </x:c>
      <x:c r="E962" s="30" t="str">
        <x:v>Project unlock</x:v>
      </x:c>
      <x:c r="F962" s="30" t="str">
        <x:v>Steward of the South</x:v>
      </x:c>
      <x:c r="G962" s="30" t="str">
        <x:v>Yes</x:v>
      </x:c>
      <x:c r="H962" s="30" t="str">
        <x:v>Template hostileClaim</x:v>
      </x:c>
      <x:c r="I962" s="31" t="n">
        <x:f>IF(G962="Yes",'Controls &amp; Summary'!$B$5,'Controls &amp; Summary'!$B$4)</x:f>
        <x:v>3</x:v>
      </x:c>
      <x:c r="J962" s="31" t="n">
        <x:v>6.76</x:v>
      </x:c>
      <x:c r="K962" s="31" t="n">
        <x:v>5.38</x:v>
      </x:c>
      <x:c r="L962" s="31" t="n">
        <x:f>ABS(J962-K962)</x:f>
        <x:v>1.38</x:v>
      </x:c>
      <x:c r="M962" s="31" t="n">
        <x:v>5.2</x:v>
      </x:c>
      <x:c r="N962" s="31" t="n">
        <x:v>4.09</x:v>
      </x:c>
      <x:c r="O962" s="31" t="n">
        <x:f>ABS(M962-N962)</x:f>
        <x:v>1.1100000000000003</x:v>
      </x:c>
      <x:c r="P962" s="31" t="n">
        <x:v>7.04</x:v>
      </x:c>
      <x:c r="Q962" s="31" t="n">
        <x:v>7.5</x:v>
      </x:c>
      <x:c r="R962" s="31" t="n">
        <x:f>ABS(P962-Q962)</x:f>
        <x:v>0.45999999999999996</x:v>
      </x:c>
      <x:c r="S962" s="32" t="n">
        <x:v>20493.1830172976</x:v>
      </x:c>
      <x:c r="T962" s="32" t="n">
        <x:v>9946.14053440305</x:v>
      </x:c>
      <x:c r="U962" s="31" t="n">
        <x:f>MAX(S962/T962,T962/S962)</x:f>
        <x:v>2.060415589988199</x:v>
      </x:c>
      <x:c r="V962" s="31" t="n">
        <x:f>L962*'Controls &amp; Summary'!$B$9+O962*'Controls &amp; Summary'!$B$10+R962*'Controls &amp; Summary'!$B$11+U962*'Controls &amp; Summary'!$B$12</x:f>
        <x:v>5.010415589988199</x:v>
      </x:c>
      <x:c r="W962" s="31" t="n">
        <x:v>2.07</x:v>
      </x:c>
      <x:c r="X962" s="31" t="n">
        <x:v>2.5</x:v>
      </x:c>
      <x:c r="Y962" s="31" t="n">
        <x:f>((10-MIN(10,MAX(0,X962)))/10)*'Controls &amp; Summary'!$B$15+((10-MIN(10,MAX(0,W962)))/10)*'Controls &amp; Summary'!$B$16</x:f>
        <x:v>1.543</x:v>
      </x:c>
      <x:c r="Z962" s="31" t="n">
        <x:f>V962*Y962</x:f>
        <x:v>7.73107125535179</x:v>
      </x:c>
      <x:c r="AA962" s="30" t="str">
        <x:f>IF(Z962&lt;=I962,"Peaceful","Hostile")</x:f>
        <x:v>Hostile</x:v>
      </x:c>
      <x:c r="AB962" s="30" t="str">
        <x:f>IF(Z962&lt;='Controls &amp; Summary'!$B$6,"Eligible","Blocked")</x:f>
        <x:v>Eligible</x:v>
      </x:c>
      <x:c r="AC962" s="30" t="str">
        <x:v>2026_BRA</x:v>
      </x:c>
      <x:c r="AD962" s="30" t="str">
        <x:v>2026_BOL</x:v>
      </x:c>
      <x:c r="AE962" s="30" t="str">
        <x:v>2026_Bolivia</x:v>
      </x:c>
      <x:c r="AF962" s="30" t="str">
        <x:v>Explicit capitalClaim</x:v>
      </x:c>
      <x:c r="AG962" s="30" t="str">
        <x:v>Claim2026_BRA2026_Bolivia</x:v>
      </x:c>
      <x:c r="AH962" s="30" t="str">
        <x:v>Project_StewardoftheSouth</x:v>
      </x:c>
    </x:row>
    <x:row r="963">
      <x:c r="A963" s="30" t="str">
        <x:v>2026</x:v>
      </x:c>
      <x:c r="B963" s="30" t="str">
        <x:v>Base game</x:v>
      </x:c>
      <x:c r="C963" s="30" t="str">
        <x:v>Brazil</x:v>
      </x:c>
      <x:c r="D963" s="30" t="str">
        <x:v>Chile</x:v>
      </x:c>
      <x:c r="E963" s="30" t="str">
        <x:v>Project unlock</x:v>
      </x:c>
      <x:c r="F963" s="30" t="str">
        <x:v>Steward of the South</x:v>
      </x:c>
      <x:c r="G963" s="30" t="str">
        <x:v>Yes</x:v>
      </x:c>
      <x:c r="H963" s="30" t="str">
        <x:v>Template hostileClaim</x:v>
      </x:c>
      <x:c r="I963" s="31" t="n">
        <x:f>IF(G963="Yes",'Controls &amp; Summary'!$B$5,'Controls &amp; Summary'!$B$4)</x:f>
        <x:v>3</x:v>
      </x:c>
      <x:c r="J963" s="31" t="n">
        <x:v>6.76</x:v>
      </x:c>
      <x:c r="K963" s="31" t="n">
        <x:v>7.97</x:v>
      </x:c>
      <x:c r="L963" s="31" t="n">
        <x:f>ABS(J963-K963)</x:f>
        <x:v>1.21</x:v>
      </x:c>
      <x:c r="M963" s="31" t="n">
        <x:v>5.2</x:v>
      </x:c>
      <x:c r="N963" s="31" t="n">
        <x:v>4.3</x:v>
      </x:c>
      <x:c r="O963" s="31" t="n">
        <x:f>ABS(M963-N963)</x:f>
        <x:v>0.9000000000000004</x:v>
      </x:c>
      <x:c r="P963" s="31" t="n">
        <x:v>7.04</x:v>
      </x:c>
      <x:c r="Q963" s="31" t="n">
        <x:v>8.27</x:v>
      </x:c>
      <x:c r="R963" s="31" t="n">
        <x:f>ABS(P963-Q963)</x:f>
        <x:v>1.2299999999999995</x:v>
      </x:c>
      <x:c r="S963" s="32" t="n">
        <x:v>20493.1830172976</x:v>
      </x:c>
      <x:c r="T963" s="32" t="n">
        <x:v>31333.41522171279</x:v>
      </x:c>
      <x:c r="U963" s="31" t="n">
        <x:f>MAX(S963/T963,T963/S963)</x:f>
        <x:v>1.5289677155210744</x:v>
      </x:c>
      <x:c r="V963" s="31" t="n">
        <x:f>L963*'Controls &amp; Summary'!$B$9+O963*'Controls &amp; Summary'!$B$10+R963*'Controls &amp; Summary'!$B$11+U963*'Controls &amp; Summary'!$B$12</x:f>
        <x:v>4.868967715521074</x:v>
      </x:c>
      <x:c r="W963" s="31" t="n">
        <x:v>2.07</x:v>
      </x:c>
      <x:c r="X963" s="31" t="n">
        <x:v>2.75</x:v>
      </x:c>
      <x:c r="Y963" s="31" t="n">
        <x:f>((10-MIN(10,MAX(0,X963)))/10)*'Controls &amp; Summary'!$B$15+((10-MIN(10,MAX(0,W963)))/10)*'Controls &amp; Summary'!$B$16</x:f>
        <x:v>1.5179999999999998</x:v>
      </x:c>
      <x:c r="Z963" s="31" t="n">
        <x:f>V963*Y963</x:f>
        <x:v>7.391092992160989</x:v>
      </x:c>
      <x:c r="AA963" s="30" t="str">
        <x:f>IF(Z963&lt;=I963,"Peaceful","Hostile")</x:f>
        <x:v>Hostile</x:v>
      </x:c>
      <x:c r="AB963" s="30" t="str">
        <x:f>IF(Z963&lt;='Controls &amp; Summary'!$B$6,"Eligible","Blocked")</x:f>
        <x:v>Eligible</x:v>
      </x:c>
      <x:c r="AC963" s="30" t="str">
        <x:v>2026_BRA</x:v>
      </x:c>
      <x:c r="AD963" s="30" t="str">
        <x:v>2026_CHL</x:v>
      </x:c>
      <x:c r="AE963" s="30" t="str">
        <x:v>2026_Santiago</x:v>
      </x:c>
      <x:c r="AF963" s="30" t="str">
        <x:v>Explicit capitalClaim</x:v>
      </x:c>
      <x:c r="AG963" s="30" t="str">
        <x:v>Claim2026_BRA2026_Santiago</x:v>
      </x:c>
      <x:c r="AH963" s="30" t="str">
        <x:v>Project_StewardoftheSouth</x:v>
      </x:c>
    </x:row>
    <x:row r="964">
      <x:c r="A964" s="30" t="str">
        <x:v>2026</x:v>
      </x:c>
      <x:c r="B964" s="30" t="str">
        <x:v>Base game</x:v>
      </x:c>
      <x:c r="C964" s="30" t="str">
        <x:v>Brazil</x:v>
      </x:c>
      <x:c r="D964" s="30" t="str">
        <x:v>Colombia</x:v>
      </x:c>
      <x:c r="E964" s="30" t="str">
        <x:v>Project unlock</x:v>
      </x:c>
      <x:c r="F964" s="30" t="str">
        <x:v>Steward of the South</x:v>
      </x:c>
      <x:c r="G964" s="30" t="str">
        <x:v>Yes</x:v>
      </x:c>
      <x:c r="H964" s="30" t="str">
        <x:v>Template hostileClaim</x:v>
      </x:c>
      <x:c r="I964" s="31" t="n">
        <x:f>IF(G964="Yes",'Controls &amp; Summary'!$B$5,'Controls &amp; Summary'!$B$4)</x:f>
        <x:v>3</x:v>
      </x:c>
      <x:c r="J964" s="31" t="n">
        <x:v>6.76</x:v>
      </x:c>
      <x:c r="K964" s="31" t="n">
        <x:v>6.04</x:v>
      </x:c>
      <x:c r="L964" s="31" t="n">
        <x:f>ABS(J964-K964)</x:f>
        <x:v>0.7199999999999998</x:v>
      </x:c>
      <x:c r="M964" s="31" t="n">
        <x:v>5.2</x:v>
      </x:c>
      <x:c r="N964" s="31" t="n">
        <x:v>5.48</x:v>
      </x:c>
      <x:c r="O964" s="31" t="n">
        <x:f>ABS(M964-N964)</x:f>
        <x:v>0.28000000000000025</x:v>
      </x:c>
      <x:c r="P964" s="31" t="n">
        <x:v>7.04</x:v>
      </x:c>
      <x:c r="Q964" s="31" t="n">
        <x:v>6.83</x:v>
      </x:c>
      <x:c r="R964" s="31" t="n">
        <x:f>ABS(P964-Q964)</x:f>
        <x:v>0.20999999999999996</x:v>
      </x:c>
      <x:c r="S964" s="32" t="n">
        <x:v>20493.1830172976</x:v>
      </x:c>
      <x:c r="T964" s="32" t="n">
        <x:v>19406.79349719426</x:v>
      </x:c>
      <x:c r="U964" s="31" t="n">
        <x:f>MAX(S964/T964,T964/S964)</x:f>
        <x:v>1.0559798567579135</x:v>
      </x:c>
      <x:c r="V964" s="31" t="n">
        <x:f>L964*'Controls &amp; Summary'!$B$9+O964*'Controls &amp; Summary'!$B$10+R964*'Controls &amp; Summary'!$B$11+U964*'Controls &amp; Summary'!$B$12</x:f>
        <x:v>2.2659798567579132</x:v>
      </x:c>
      <x:c r="W964" s="31" t="n">
        <x:v>2.07</x:v>
      </x:c>
      <x:c r="X964" s="31" t="n">
        <x:v>5.75</x:v>
      </x:c>
      <x:c r="Y964" s="31" t="n">
        <x:f>((10-MIN(10,MAX(0,X964)))/10)*'Controls &amp; Summary'!$B$15+((10-MIN(10,MAX(0,W964)))/10)*'Controls &amp; Summary'!$B$16</x:f>
        <x:v>1.218</x:v>
      </x:c>
      <x:c r="Z964" s="31" t="n">
        <x:f>V964*Y964</x:f>
        <x:v>2.7599634655311385</x:v>
      </x:c>
      <x:c r="AA964" s="30" t="str">
        <x:f>IF(Z964&lt;=I964,"Peaceful","Hostile")</x:f>
        <x:v>Peaceful</x:v>
      </x:c>
      <x:c r="AB964" s="30" t="str">
        <x:f>IF(Z964&lt;='Controls &amp; Summary'!$B$6,"Eligible","Blocked")</x:f>
        <x:v>Eligible</x:v>
      </x:c>
      <x:c r="AC964" s="30" t="str">
        <x:v>2026_BRA</x:v>
      </x:c>
      <x:c r="AD964" s="30" t="str">
        <x:v>2026_COL</x:v>
      </x:c>
      <x:c r="AE964" s="30" t="str">
        <x:v>2026_Colombia</x:v>
      </x:c>
      <x:c r="AF964" s="30" t="str">
        <x:v>Explicit capitalClaim</x:v>
      </x:c>
      <x:c r="AG964" s="30" t="str">
        <x:v>Claim2026_BRA2026_Colombia</x:v>
      </x:c>
      <x:c r="AH964" s="30" t="str">
        <x:v>Project_StewardoftheSouth</x:v>
      </x:c>
    </x:row>
    <x:row r="965">
      <x:c r="A965" s="30" t="str">
        <x:v>2026</x:v>
      </x:c>
      <x:c r="B965" s="30" t="str">
        <x:v>Base game</x:v>
      </x:c>
      <x:c r="C965" s="30" t="str">
        <x:v>Brazil</x:v>
      </x:c>
      <x:c r="D965" s="30" t="str">
        <x:v>Ecuador</x:v>
      </x:c>
      <x:c r="E965" s="30" t="str">
        <x:v>Project unlock</x:v>
      </x:c>
      <x:c r="F965" s="30" t="str">
        <x:v>Steward of the South</x:v>
      </x:c>
      <x:c r="G965" s="30" t="str">
        <x:v>Yes</x:v>
      </x:c>
      <x:c r="H965" s="30" t="str">
        <x:v>Template hostileClaim</x:v>
      </x:c>
      <x:c r="I965" s="31" t="n">
        <x:f>IF(G965="Yes",'Controls &amp; Summary'!$B$5,'Controls &amp; Summary'!$B$4)</x:f>
        <x:v>3</x:v>
      </x:c>
      <x:c r="J965" s="31" t="n">
        <x:v>6.76</x:v>
      </x:c>
      <x:c r="K965" s="31" t="n">
        <x:v>5.2</x:v>
      </x:c>
      <x:c r="L965" s="31" t="n">
        <x:f>ABS(J965-K965)</x:f>
        <x:v>1.5599999999999996</x:v>
      </x:c>
      <x:c r="M965" s="31" t="n">
        <x:v>5.2</x:v>
      </x:c>
      <x:c r="N965" s="31" t="n">
        <x:v>4.46</x:v>
      </x:c>
      <x:c r="O965" s="31" t="n">
        <x:f>ABS(M965-N965)</x:f>
        <x:v>0.7400000000000002</x:v>
      </x:c>
      <x:c r="P965" s="31" t="n">
        <x:v>7.04</x:v>
      </x:c>
      <x:c r="Q965" s="31" t="n">
        <x:v>6.99</x:v>
      </x:c>
      <x:c r="R965" s="31" t="n">
        <x:f>ABS(P965-Q965)</x:f>
        <x:v>0.04999999999999982</x:v>
      </x:c>
      <x:c r="S965" s="32" t="n">
        <x:v>20493.1830172976</x:v>
      </x:c>
      <x:c r="T965" s="32" t="n">
        <x:v>14319.025171018406</x:v>
      </x:c>
      <x:c r="U965" s="31" t="n">
        <x:f>MAX(S965/T965,T965/S965)</x:f>
        <x:v>1.4311856269919576</x:v>
      </x:c>
      <x:c r="V965" s="31" t="n">
        <x:f>L965*'Controls &amp; Summary'!$B$9+O965*'Controls &amp; Summary'!$B$10+R965*'Controls &amp; Summary'!$B$11+U965*'Controls &amp; Summary'!$B$12</x:f>
        <x:v>3.7811856269919573</x:v>
      </x:c>
      <x:c r="W965" s="31" t="n">
        <x:v>2.07</x:v>
      </x:c>
      <x:c r="X965" s="31" t="n">
        <x:v>3.5</x:v>
      </x:c>
      <x:c r="Y965" s="31" t="n">
        <x:f>((10-MIN(10,MAX(0,X965)))/10)*'Controls &amp; Summary'!$B$15+((10-MIN(10,MAX(0,W965)))/10)*'Controls &amp; Summary'!$B$16</x:f>
        <x:v>1.443</x:v>
      </x:c>
      <x:c r="Z965" s="31" t="n">
        <x:f>V965*Y965</x:f>
        <x:v>5.456250859749394</x:v>
      </x:c>
      <x:c r="AA965" s="30" t="str">
        <x:f>IF(Z965&lt;=I965,"Peaceful","Hostile")</x:f>
        <x:v>Hostile</x:v>
      </x:c>
      <x:c r="AB965" s="30" t="str">
        <x:f>IF(Z965&lt;='Controls &amp; Summary'!$B$6,"Eligible","Blocked")</x:f>
        <x:v>Eligible</x:v>
      </x:c>
      <x:c r="AC965" s="30" t="str">
        <x:v>2026_BRA</x:v>
      </x:c>
      <x:c r="AD965" s="30" t="str">
        <x:v>2026_ECU</x:v>
      </x:c>
      <x:c r="AE965" s="30" t="str">
        <x:v>2026_Ecuador</x:v>
      </x:c>
      <x:c r="AF965" s="30" t="str">
        <x:v>Explicit capitalClaim</x:v>
      </x:c>
      <x:c r="AG965" s="30" t="str">
        <x:v>Claim2026_BRA2026_Ecuador</x:v>
      </x:c>
      <x:c r="AH965" s="30" t="str">
        <x:v>Project_StewardoftheSouth</x:v>
      </x:c>
    </x:row>
    <x:row r="966">
      <x:c r="A966" s="30" t="str">
        <x:v>2026</x:v>
      </x:c>
      <x:c r="B966" s="30" t="str">
        <x:v>Base game</x:v>
      </x:c>
      <x:c r="C966" s="30" t="str">
        <x:v>Brazil</x:v>
      </x:c>
      <x:c r="D966" s="30" t="str">
        <x:v>Guyana</x:v>
      </x:c>
      <x:c r="E966" s="30" t="str">
        <x:v>Project unlock</x:v>
      </x:c>
      <x:c r="F966" s="30" t="str">
        <x:v>South American Confederations</x:v>
      </x:c>
      <x:c r="G966" s="30" t="str">
        <x:v>No</x:v>
      </x:c>
      <x:c r="H966" s="30" t="str">
        <x:v>Ordinary claim</x:v>
      </x:c>
      <x:c r="I966" s="31" t="n">
        <x:f>IF(G966="Yes",'Controls &amp; Summary'!$B$5,'Controls &amp; Summary'!$B$4)</x:f>
        <x:v>6</x:v>
      </x:c>
      <x:c r="J966" s="31" t="n">
        <x:v>6.76</x:v>
      </x:c>
      <x:c r="K966" s="31" t="n">
        <x:v>6.09</x:v>
      </x:c>
      <x:c r="L966" s="31" t="n">
        <x:f>ABS(J966-K966)</x:f>
        <x:v>0.6699999999999999</x:v>
      </x:c>
      <x:c r="M966" s="31" t="n">
        <x:v>5.2</x:v>
      </x:c>
      <x:c r="N966" s="31" t="n">
        <x:v>4.67</x:v>
      </x:c>
      <x:c r="O966" s="31" t="n">
        <x:f>ABS(M966-N966)</x:f>
        <x:v>0.5300000000000002</x:v>
      </x:c>
      <x:c r="P966" s="31" t="n">
        <x:v>7.04</x:v>
      </x:c>
      <x:c r="Q966" s="31" t="n">
        <x:v>6.38</x:v>
      </x:c>
      <x:c r="R966" s="31" t="n">
        <x:f>ABS(P966-Q966)</x:f>
        <x:v>0.6600000000000001</x:v>
      </x:c>
      <x:c r="S966" s="32" t="n">
        <x:v>20493.1830172976</x:v>
      </x:c>
      <x:c r="T966" s="32" t="n">
        <x:v>78795.94239436787</x:v>
      </x:c>
      <x:c r="U966" s="31" t="n">
        <x:f>MAX(S966/T966,T966/S966)</x:f>
        <x:v>3.8449831013493068</x:v>
      </x:c>
      <x:c r="V966" s="31" t="n">
        <x:f>L966*'Controls &amp; Summary'!$B$9+O966*'Controls &amp; Summary'!$B$10+R966*'Controls &amp; Summary'!$B$11+U966*'Controls &amp; Summary'!$B$12</x:f>
        <x:v>5.704983101349307</x:v>
      </x:c>
      <x:c r="W966" s="31" t="n">
        <x:v>2.07</x:v>
      </x:c>
      <x:c r="X966" s="31" t="n">
        <x:v>0.5</x:v>
      </x:c>
      <x:c r="Y966" s="31" t="n">
        <x:f>((10-MIN(10,MAX(0,X966)))/10)*'Controls &amp; Summary'!$B$15+((10-MIN(10,MAX(0,W966)))/10)*'Controls &amp; Summary'!$B$16</x:f>
        <x:v>1.7429999999999999</x:v>
      </x:c>
      <x:c r="Z966" s="31" t="n">
        <x:f>V966*Y966</x:f>
        <x:v>9.943785545651842</x:v>
      </x:c>
      <x:c r="AA966" s="30" t="str">
        <x:f>IF(Z966&lt;=I966,"Peaceful","Hostile")</x:f>
        <x:v>Hostile</x:v>
      </x:c>
      <x:c r="AB966" s="30" t="str">
        <x:f>IF(Z966&lt;='Controls &amp; Summary'!$B$6,"Eligible","Blocked")</x:f>
        <x:v>Eligible</x:v>
      </x:c>
      <x:c r="AC966" s="30" t="str">
        <x:v>2026_BRA</x:v>
      </x:c>
      <x:c r="AD966" s="30" t="str">
        <x:v>2026_GUY</x:v>
      </x:c>
      <x:c r="AE966" s="30" t="str">
        <x:v>2026_Guyana</x:v>
      </x:c>
      <x:c r="AF966" s="30" t="str">
        <x:v>Explicit capitalClaim</x:v>
      </x:c>
      <x:c r="AG966" s="30" t="str">
        <x:v>Claim2026_BRA2026_Guyana</x:v>
      </x:c>
      <x:c r="AH966" s="30" t="str">
        <x:v>Project_GranColombia</x:v>
      </x:c>
    </x:row>
    <x:row r="967">
      <x:c r="A967" s="30" t="str">
        <x:v>2026</x:v>
      </x:c>
      <x:c r="B967" s="30" t="str">
        <x:v>Base game</x:v>
      </x:c>
      <x:c r="C967" s="30" t="str">
        <x:v>Brazil</x:v>
      </x:c>
      <x:c r="D967" s="30" t="str">
        <x:v>Paraguay</x:v>
      </x:c>
      <x:c r="E967" s="30" t="str">
        <x:v>Project unlock</x:v>
      </x:c>
      <x:c r="F967" s="30" t="str">
        <x:v>Steward of the South</x:v>
      </x:c>
      <x:c r="G967" s="30" t="str">
        <x:v>Yes</x:v>
      </x:c>
      <x:c r="H967" s="30" t="str">
        <x:v>Template hostileClaim</x:v>
      </x:c>
      <x:c r="I967" s="31" t="n">
        <x:f>IF(G967="Yes",'Controls &amp; Summary'!$B$5,'Controls &amp; Summary'!$B$4)</x:f>
        <x:v>3</x:v>
      </x:c>
      <x:c r="J967" s="31" t="n">
        <x:v>6.76</x:v>
      </x:c>
      <x:c r="K967" s="31" t="n">
        <x:v>6.04</x:v>
      </x:c>
      <x:c r="L967" s="31" t="n">
        <x:f>ABS(J967-K967)</x:f>
        <x:v>0.7199999999999998</x:v>
      </x:c>
      <x:c r="M967" s="31" t="n">
        <x:v>5.2</x:v>
      </x:c>
      <x:c r="N967" s="31" t="n">
        <x:v>4.51</x:v>
      </x:c>
      <x:c r="O967" s="31" t="n">
        <x:f>ABS(M967-N967)</x:f>
        <x:v>0.6900000000000004</x:v>
      </x:c>
      <x:c r="P967" s="31" t="n">
        <x:v>7.04</x:v>
      </x:c>
      <x:c r="Q967" s="31" t="n">
        <x:v>6.72</x:v>
      </x:c>
      <x:c r="R967" s="31" t="n">
        <x:f>ABS(P967-Q967)</x:f>
        <x:v>0.3200000000000003</x:v>
      </x:c>
      <x:c r="S967" s="32" t="n">
        <x:v>20493.1830172976</x:v>
      </x:c>
      <x:c r="T967" s="32" t="n">
        <x:v>16922.37092833136</x:v>
      </x:c>
      <x:c r="U967" s="31" t="n">
        <x:f>MAX(S967/T967,T967/S967)</x:f>
        <x:v>1.2110113354735657</x:v>
      </x:c>
      <x:c r="V967" s="31" t="n">
        <x:f>L967*'Controls &amp; Summary'!$B$9+O967*'Controls &amp; Summary'!$B$10+R967*'Controls &amp; Summary'!$B$11+U967*'Controls &amp; Summary'!$B$12</x:f>
        <x:v>2.941011335473566</x:v>
      </x:c>
      <x:c r="W967" s="31" t="n">
        <x:v>2.07</x:v>
      </x:c>
      <x:c r="X967" s="31" t="n">
        <x:v>1</x:v>
      </x:c>
      <x:c r="Y967" s="31" t="n">
        <x:f>((10-MIN(10,MAX(0,X967)))/10)*'Controls &amp; Summary'!$B$15+((10-MIN(10,MAX(0,W967)))/10)*'Controls &amp; Summary'!$B$16</x:f>
        <x:v>1.693</x:v>
      </x:c>
      <x:c r="Z967" s="31" t="n">
        <x:f>V967*Y967</x:f>
        <x:v>4.979132190956747</x:v>
      </x:c>
      <x:c r="AA967" s="30" t="str">
        <x:f>IF(Z967&lt;=I967,"Peaceful","Hostile")</x:f>
        <x:v>Hostile</x:v>
      </x:c>
      <x:c r="AB967" s="30" t="str">
        <x:f>IF(Z967&lt;='Controls &amp; Summary'!$B$6,"Eligible","Blocked")</x:f>
        <x:v>Eligible</x:v>
      </x:c>
      <x:c r="AC967" s="30" t="str">
        <x:v>2026_BRA</x:v>
      </x:c>
      <x:c r="AD967" s="30" t="str">
        <x:v>2026_PRY</x:v>
      </x:c>
      <x:c r="AE967" s="30" t="str">
        <x:v>2026_Paraguay</x:v>
      </x:c>
      <x:c r="AF967" s="30" t="str">
        <x:v>Explicit capitalClaim</x:v>
      </x:c>
      <x:c r="AG967" s="30" t="str">
        <x:v>Claim2026_BRA2026_Paraguay</x:v>
      </x:c>
      <x:c r="AH967" s="30" t="str">
        <x:v>Project_StewardoftheSouth</x:v>
      </x:c>
    </x:row>
    <x:row r="968">
      <x:c r="A968" s="30" t="str">
        <x:v>2026</x:v>
      </x:c>
      <x:c r="B968" s="30" t="str">
        <x:v>Base game</x:v>
      </x:c>
      <x:c r="C968" s="30" t="str">
        <x:v>Brazil</x:v>
      </x:c>
      <x:c r="D968" s="30" t="str">
        <x:v>Peru</x:v>
      </x:c>
      <x:c r="E968" s="30" t="str">
        <x:v>Project unlock</x:v>
      </x:c>
      <x:c r="F968" s="30" t="str">
        <x:v>Steward of the South</x:v>
      </x:c>
      <x:c r="G968" s="30" t="str">
        <x:v>Yes</x:v>
      </x:c>
      <x:c r="H968" s="30" t="str">
        <x:v>Template hostileClaim</x:v>
      </x:c>
      <x:c r="I968" s="31" t="n">
        <x:f>IF(G968="Yes",'Controls &amp; Summary'!$B$5,'Controls &amp; Summary'!$B$4)</x:f>
        <x:v>3</x:v>
      </x:c>
      <x:c r="J968" s="31" t="n">
        <x:v>6.76</x:v>
      </x:c>
      <x:c r="K968" s="31" t="n">
        <x:v>5.88</x:v>
      </x:c>
      <x:c r="L968" s="31" t="n">
        <x:f>ABS(J968-K968)</x:f>
        <x:v>0.8799999999999999</x:v>
      </x:c>
      <x:c r="M968" s="31" t="n">
        <x:v>5.2</x:v>
      </x:c>
      <x:c r="N968" s="31" t="n">
        <x:v>4.03</x:v>
      </x:c>
      <x:c r="O968" s="31" t="n">
        <x:f>ABS(M968-N968)</x:f>
        <x:v>1.17</x:v>
      </x:c>
      <x:c r="P968" s="31" t="n">
        <x:v>7.04</x:v>
      </x:c>
      <x:c r="Q968" s="31" t="n">
        <x:v>7.38</x:v>
      </x:c>
      <x:c r="R968" s="31" t="n">
        <x:f>ABS(P968-Q968)</x:f>
        <x:v>0.33999999999999986</x:v>
      </x:c>
      <x:c r="S968" s="32" t="n">
        <x:v>20493.1830172976</x:v>
      </x:c>
      <x:c r="T968" s="32" t="n">
        <x:v>16204.208286386049</x:v>
      </x:c>
      <x:c r="U968" s="31" t="n">
        <x:f>MAX(S968/T968,T968/S968)</x:f>
        <x:v>1.2646827697540108</x:v>
      </x:c>
      <x:c r="V968" s="31" t="n">
        <x:f>L968*'Controls &amp; Summary'!$B$9+O968*'Controls &amp; Summary'!$B$10+R968*'Controls &amp; Summary'!$B$11+U968*'Controls &amp; Summary'!$B$12</x:f>
        <x:v>3.6546827697540105</x:v>
      </x:c>
      <x:c r="W968" s="31" t="n">
        <x:v>2.07</x:v>
      </x:c>
      <x:c r="X968" s="31" t="n">
        <x:v>3.5</x:v>
      </x:c>
      <x:c r="Y968" s="31" t="n">
        <x:f>((10-MIN(10,MAX(0,X968)))/10)*'Controls &amp; Summary'!$B$15+((10-MIN(10,MAX(0,W968)))/10)*'Controls &amp; Summary'!$B$16</x:f>
        <x:v>1.443</x:v>
      </x:c>
      <x:c r="Z968" s="31" t="n">
        <x:f>V968*Y968</x:f>
        <x:v>5.273707236755038</x:v>
      </x:c>
      <x:c r="AA968" s="30" t="str">
        <x:f>IF(Z968&lt;=I968,"Peaceful","Hostile")</x:f>
        <x:v>Hostile</x:v>
      </x:c>
      <x:c r="AB968" s="30" t="str">
        <x:f>IF(Z968&lt;='Controls &amp; Summary'!$B$6,"Eligible","Blocked")</x:f>
        <x:v>Eligible</x:v>
      </x:c>
      <x:c r="AC968" s="30" t="str">
        <x:v>2026_BRA</x:v>
      </x:c>
      <x:c r="AD968" s="30" t="str">
        <x:v>2026_PER</x:v>
      </x:c>
      <x:c r="AE968" s="30" t="str">
        <x:v>2026_Peru</x:v>
      </x:c>
      <x:c r="AF968" s="30" t="str">
        <x:v>Explicit capitalClaim</x:v>
      </x:c>
      <x:c r="AG968" s="30" t="str">
        <x:v>Claim2026_BRA2026_Peru</x:v>
      </x:c>
      <x:c r="AH968" s="30" t="str">
        <x:v>Project_StewardoftheSouth</x:v>
      </x:c>
    </x:row>
    <x:row r="969">
      <x:c r="A969" s="30" t="str">
        <x:v>2026</x:v>
      </x:c>
      <x:c r="B969" s="30" t="str">
        <x:v>Base game</x:v>
      </x:c>
      <x:c r="C969" s="30" t="str">
        <x:v>Brazil</x:v>
      </x:c>
      <x:c r="D969" s="30" t="str">
        <x:v>Suriname</x:v>
      </x:c>
      <x:c r="E969" s="30" t="str">
        <x:v>Project unlock</x:v>
      </x:c>
      <x:c r="F969" s="30" t="str">
        <x:v>South American Confederations</x:v>
      </x:c>
      <x:c r="G969" s="30" t="str">
        <x:v>No</x:v>
      </x:c>
      <x:c r="H969" s="30" t="str">
        <x:v>Ordinary claim</x:v>
      </x:c>
      <x:c r="I969" s="31" t="n">
        <x:f>IF(G969="Yes",'Controls &amp; Summary'!$B$5,'Controls &amp; Summary'!$B$4)</x:f>
        <x:v>6</x:v>
      </x:c>
      <x:c r="J969" s="31" t="n">
        <x:v>6.76</x:v>
      </x:c>
      <x:c r="K969" s="31" t="n">
        <x:v>7.03</x:v>
      </x:c>
      <x:c r="L969" s="31" t="n">
        <x:f>ABS(J969-K969)</x:f>
        <x:v>0.27000000000000046</x:v>
      </x:c>
      <x:c r="M969" s="31" t="n">
        <x:v>5.2</x:v>
      </x:c>
      <x:c r="N969" s="31" t="n">
        <x:v>3.92</x:v>
      </x:c>
      <x:c r="O969" s="31" t="n">
        <x:f>ABS(M969-N969)</x:f>
        <x:v>1.2800000000000002</x:v>
      </x:c>
      <x:c r="P969" s="31" t="n">
        <x:v>7.04</x:v>
      </x:c>
      <x:c r="Q969" s="31" t="n">
        <x:v>5.75</x:v>
      </x:c>
      <x:c r="R969" s="31" t="n">
        <x:f>ABS(P969-Q969)</x:f>
        <x:v>1.29</x:v>
      </x:c>
      <x:c r="S969" s="32" t="n">
        <x:v>20493.1830172976</x:v>
      </x:c>
      <x:c r="T969" s="32" t="n">
        <x:v>20106.469206020556</x:v>
      </x:c>
      <x:c r="U969" s="31" t="n">
        <x:f>MAX(S969/T969,T969/S969)</x:f>
        <x:v>1.0192333028397274</x:v>
      </x:c>
      <x:c r="V969" s="31" t="n">
        <x:f>L969*'Controls &amp; Summary'!$B$9+O969*'Controls &amp; Summary'!$B$10+R969*'Controls &amp; Summary'!$B$11+U969*'Controls &amp; Summary'!$B$12</x:f>
        <x:v>3.859233302839728</x:v>
      </x:c>
      <x:c r="W969" s="31" t="n">
        <x:v>2.07</x:v>
      </x:c>
      <x:c r="X969" s="31" t="n">
        <x:v>0.5</x:v>
      </x:c>
      <x:c r="Y969" s="31" t="n">
        <x:f>((10-MIN(10,MAX(0,X969)))/10)*'Controls &amp; Summary'!$B$15+((10-MIN(10,MAX(0,W969)))/10)*'Controls &amp; Summary'!$B$16</x:f>
        <x:v>1.7429999999999999</x:v>
      </x:c>
      <x:c r="Z969" s="31" t="n">
        <x:f>V969*Y969</x:f>
        <x:v>6.726643646849646</x:v>
      </x:c>
      <x:c r="AA969" s="30" t="str">
        <x:f>IF(Z969&lt;=I969,"Peaceful","Hostile")</x:f>
        <x:v>Hostile</x:v>
      </x:c>
      <x:c r="AB969" s="30" t="str">
        <x:f>IF(Z969&lt;='Controls &amp; Summary'!$B$6,"Eligible","Blocked")</x:f>
        <x:v>Eligible</x:v>
      </x:c>
      <x:c r="AC969" s="30" t="str">
        <x:v>2026_BRA</x:v>
      </x:c>
      <x:c r="AD969" s="30" t="str">
        <x:v>2026_SUR</x:v>
      </x:c>
      <x:c r="AE969" s="30" t="str">
        <x:v>2026_Suriname</x:v>
      </x:c>
      <x:c r="AF969" s="30" t="str">
        <x:v>Explicit capitalClaim</x:v>
      </x:c>
      <x:c r="AG969" s="30" t="str">
        <x:v>Claim2026_BRA2026_Suriname</x:v>
      </x:c>
      <x:c r="AH969" s="30" t="str">
        <x:v>Project_GranColombia</x:v>
      </x:c>
    </x:row>
    <x:row r="970">
      <x:c r="A970" s="30" t="str">
        <x:v>2026</x:v>
      </x:c>
      <x:c r="B970" s="30" t="str">
        <x:v>Base game</x:v>
      </x:c>
      <x:c r="C970" s="30" t="str">
        <x:v>Brazil</x:v>
      </x:c>
      <x:c r="D970" s="30" t="str">
        <x:v>Uruguay</x:v>
      </x:c>
      <x:c r="E970" s="30" t="str">
        <x:v>Project unlock</x:v>
      </x:c>
      <x:c r="F970" s="30" t="str">
        <x:v>Steward of the South</x:v>
      </x:c>
      <x:c r="G970" s="30" t="str">
        <x:v>No</x:v>
      </x:c>
      <x:c r="H970" s="30" t="str">
        <x:v>Ordinary claim</x:v>
      </x:c>
      <x:c r="I970" s="31" t="n">
        <x:f>IF(G970="Yes",'Controls &amp; Summary'!$B$5,'Controls &amp; Summary'!$B$4)</x:f>
        <x:v>6</x:v>
      </x:c>
      <x:c r="J970" s="31" t="n">
        <x:v>6.76</x:v>
      </x:c>
      <x:c r="K970" s="31" t="n">
        <x:v>8.92</x:v>
      </x:c>
      <x:c r="L970" s="31" t="n">
        <x:f>ABS(J970-K970)</x:f>
        <x:v>2.16</x:v>
      </x:c>
      <x:c r="M970" s="31" t="n">
        <x:v>5.2</x:v>
      </x:c>
      <x:c r="N970" s="31" t="n">
        <x:v>4.06</x:v>
      </x:c>
      <x:c r="O970" s="31" t="n">
        <x:f>ABS(M970-N970)</x:f>
        <x:v>1.1400000000000006</x:v>
      </x:c>
      <x:c r="P970" s="31" t="n">
        <x:v>7.04</x:v>
      </x:c>
      <x:c r="Q970" s="31" t="n">
        <x:v>8.17</x:v>
      </x:c>
      <x:c r="R970" s="31" t="n">
        <x:f>ABS(P970-Q970)</x:f>
        <x:v>1.13</x:v>
      </x:c>
      <x:c r="S970" s="32" t="n">
        <x:v>20493.1830172976</x:v>
      </x:c>
      <x:c r="T970" s="32" t="n">
        <x:v>33875.141646639786</x:v>
      </x:c>
      <x:c r="U970" s="31" t="n">
        <x:f>MAX(S970/T970,T970/S970)</x:f>
        <x:v>1.6529956141047941</x:v>
      </x:c>
      <x:c r="V970" s="31" t="n">
        <x:f>L970*'Controls &amp; Summary'!$B$9+O970*'Controls &amp; Summary'!$B$10+R970*'Controls &amp; Summary'!$B$11+U970*'Controls &amp; Summary'!$B$12</x:f>
        <x:v>6.082995614104795</x:v>
      </x:c>
      <x:c r="W970" s="31" t="n">
        <x:v>2.07</x:v>
      </x:c>
      <x:c r="X970" s="31" t="n">
        <x:v>0</x:v>
      </x:c>
      <x:c r="Y970" s="31" t="n">
        <x:f>((10-MIN(10,MAX(0,X970)))/10)*'Controls &amp; Summary'!$B$15+((10-MIN(10,MAX(0,W970)))/10)*'Controls &amp; Summary'!$B$16</x:f>
        <x:v>1.793</x:v>
      </x:c>
      <x:c r="Z970" s="31" t="n">
        <x:f>V970*Y970</x:f>
        <x:v>10.906811136089896</x:v>
      </x:c>
      <x:c r="AA970" s="30" t="str">
        <x:f>IF(Z970&lt;=I970,"Peaceful","Hostile")</x:f>
        <x:v>Hostile</x:v>
      </x:c>
      <x:c r="AB970" s="30" t="str">
        <x:f>IF(Z970&lt;='Controls &amp; Summary'!$B$6,"Eligible","Blocked")</x:f>
        <x:v>Eligible</x:v>
      </x:c>
      <x:c r="AC970" s="30" t="str">
        <x:v>2026_BRA</x:v>
      </x:c>
      <x:c r="AD970" s="30" t="str">
        <x:v>2026_URY</x:v>
      </x:c>
      <x:c r="AE970" s="30" t="str">
        <x:v>2026_Uruguay</x:v>
      </x:c>
      <x:c r="AF970" s="30" t="str">
        <x:v>Explicit capitalClaim</x:v>
      </x:c>
      <x:c r="AG970" s="30" t="str">
        <x:v>Claim2026_BRA2026_Uruguay</x:v>
      </x:c>
      <x:c r="AH970" s="30" t="str">
        <x:v>Project_StewardoftheSouth</x:v>
      </x:c>
    </x:row>
    <x:row r="971">
      <x:c r="A971" s="30" t="str">
        <x:v>2026</x:v>
      </x:c>
      <x:c r="B971" s="30" t="str">
        <x:v>Base game</x:v>
      </x:c>
      <x:c r="C971" s="30" t="str">
        <x:v>Brazil</x:v>
      </x:c>
      <x:c r="D971" s="30" t="str">
        <x:v>Venezuela</x:v>
      </x:c>
      <x:c r="E971" s="30" t="str">
        <x:v>Project unlock</x:v>
      </x:c>
      <x:c r="F971" s="30" t="str">
        <x:v>South American Confederations</x:v>
      </x:c>
      <x:c r="G971" s="30" t="str">
        <x:v>No</x:v>
      </x:c>
      <x:c r="H971" s="30" t="str">
        <x:v>Ordinary claim</x:v>
      </x:c>
      <x:c r="I971" s="31" t="n">
        <x:f>IF(G971="Yes",'Controls &amp; Summary'!$B$5,'Controls &amp; Summary'!$B$4)</x:f>
        <x:v>6</x:v>
      </x:c>
      <x:c r="J971" s="31" t="n">
        <x:v>6.76</x:v>
      </x:c>
      <x:c r="K971" s="31" t="n">
        <x:v>2.13</x:v>
      </x:c>
      <x:c r="L971" s="31" t="n">
        <x:f>ABS(J971-K971)</x:f>
        <x:v>4.63</x:v>
      </x:c>
      <x:c r="M971" s="31" t="n">
        <x:v>5.2</x:v>
      </x:c>
      <x:c r="N971" s="31" t="n">
        <x:v>3.35</x:v>
      </x:c>
      <x:c r="O971" s="31" t="n">
        <x:f>ABS(M971-N971)</x:f>
        <x:v>1.85</x:v>
      </x:c>
      <x:c r="P971" s="31" t="n">
        <x:v>7.04</x:v>
      </x:c>
      <x:c r="Q971" s="31" t="n">
        <x:v>6.71</x:v>
      </x:c>
      <x:c r="R971" s="31" t="n">
        <x:f>ABS(P971-Q971)</x:f>
        <x:v>0.33000000000000007</x:v>
      </x:c>
      <x:c r="S971" s="32" t="n">
        <x:v>20493.1830172976</x:v>
      </x:c>
      <x:c r="T971" s="32" t="n">
        <x:v>6883.701522307046</x:v>
      </x:c>
      <x:c r="U971" s="31" t="n">
        <x:f>MAX(S971/T971,T971/S971)</x:f>
        <x:v>2.977058629123912</x:v>
      </x:c>
      <x:c r="V971" s="31" t="n">
        <x:f>L971*'Controls &amp; Summary'!$B$9+O971*'Controls &amp; Summary'!$B$10+R971*'Controls &amp; Summary'!$B$11+U971*'Controls &amp; Summary'!$B$12</x:f>
        <x:v>9.787058629123912</x:v>
      </x:c>
      <x:c r="W971" s="31" t="n">
        <x:v>2.07</x:v>
      </x:c>
      <x:c r="X971" s="31" t="n">
        <x:v>4.75</x:v>
      </x:c>
      <x:c r="Y971" s="31" t="n">
        <x:f>((10-MIN(10,MAX(0,X971)))/10)*'Controls &amp; Summary'!$B$15+((10-MIN(10,MAX(0,W971)))/10)*'Controls &amp; Summary'!$B$16</x:f>
        <x:v>1.318</x:v>
      </x:c>
      <x:c r="Z971" s="31" t="n">
        <x:f>V971*Y971</x:f>
        <x:v>12.899343273185316</x:v>
      </x:c>
      <x:c r="AA971" s="30" t="str">
        <x:f>IF(Z971&lt;=I971,"Peaceful","Hostile")</x:f>
        <x:v>Hostile</x:v>
      </x:c>
      <x:c r="AB971" s="30" t="str">
        <x:f>IF(Z971&lt;='Controls &amp; Summary'!$B$6,"Eligible","Blocked")</x:f>
        <x:v>Blocked</x:v>
      </x:c>
      <x:c r="AC971" s="30" t="str">
        <x:v>2026_BRA</x:v>
      </x:c>
      <x:c r="AD971" s="30" t="str">
        <x:v>2026_VEN</x:v>
      </x:c>
      <x:c r="AE971" s="30" t="str">
        <x:v>2026_Venezuela</x:v>
      </x:c>
      <x:c r="AF971" s="30" t="str">
        <x:v>Explicit capitalClaim</x:v>
      </x:c>
      <x:c r="AG971" s="30" t="str">
        <x:v>Claim2026_BRA2026_Venezuela</x:v>
      </x:c>
      <x:c r="AH971" s="30" t="str">
        <x:v>Project_GranColombia</x:v>
      </x:c>
    </x:row>
    <x:row r="972">
      <x:c r="A972" s="30" t="str">
        <x:v>2026</x:v>
      </x:c>
      <x:c r="B972" s="30" t="str">
        <x:v>Base game</x:v>
      </x:c>
      <x:c r="C972" s="30" t="str">
        <x:v>Cameroon</x:v>
      </x:c>
      <x:c r="D972" s="30" t="str">
        <x:v>Central African Republic</x:v>
      </x:c>
      <x:c r="E972" s="30" t="str">
        <x:v>Project unlock</x:v>
      </x:c>
      <x:c r="F972" s="30" t="str">
        <x:v>Regional African Unions</x:v>
      </x:c>
      <x:c r="G972" s="30" t="str">
        <x:v>No</x:v>
      </x:c>
      <x:c r="H972" s="30" t="str">
        <x:v>Ordinary claim</x:v>
      </x:c>
      <x:c r="I972" s="31" t="n">
        <x:f>IF(G972="Yes",'Controls &amp; Summary'!$B$5,'Controls &amp; Summary'!$B$4)</x:f>
        <x:v>6</x:v>
      </x:c>
      <x:c r="J972" s="31" t="n">
        <x:v>2.56</x:v>
      </x:c>
      <x:c r="K972" s="31" t="n">
        <x:v>1.18</x:v>
      </x:c>
      <x:c r="L972" s="31" t="n">
        <x:f>ABS(J972-K972)</x:f>
        <x:v>1.3800000000000001</x:v>
      </x:c>
      <x:c r="M972" s="31" t="n">
        <x:v>4.22</x:v>
      </x:c>
      <x:c r="N972" s="31" t="n">
        <x:v>4.3</x:v>
      </x:c>
      <x:c r="O972" s="31" t="n">
        <x:f>ABS(M972-N972)</x:f>
        <x:v>0.08000000000000007</x:v>
      </x:c>
      <x:c r="P972" s="31" t="n">
        <x:v>5.12</x:v>
      </x:c>
      <x:c r="Q972" s="31" t="n">
        <x:v>3.37</x:v>
      </x:c>
      <x:c r="R972" s="31" t="n">
        <x:f>ABS(P972-Q972)</x:f>
        <x:v>1.75</x:v>
      </x:c>
      <x:c r="S972" s="32" t="n">
        <x:v>4967.7892074483525</x:v>
      </x:c>
      <x:c r="T972" s="32" t="n">
        <x:v>1132.159697237262</x:v>
      </x:c>
      <x:c r="U972" s="31" t="n">
        <x:f>MAX(S972/T972,T972/S972)</x:f>
        <x:v>4.3878873444894175</x:v>
      </x:c>
      <x:c r="V972" s="31" t="n">
        <x:f>L972*'Controls &amp; Summary'!$B$9+O972*'Controls &amp; Summary'!$B$10+R972*'Controls &amp; Summary'!$B$11+U972*'Controls &amp; Summary'!$B$12</x:f>
        <x:v>7.5978873444894175</x:v>
      </x:c>
      <x:c r="W972" s="31" t="n">
        <x:v>1.39</x:v>
      </x:c>
      <x:c r="X972" s="31" t="n">
        <x:v>4</x:v>
      </x:c>
      <x:c r="Y972" s="31" t="n">
        <x:f>((10-MIN(10,MAX(0,X972)))/10)*'Controls &amp; Summary'!$B$15+((10-MIN(10,MAX(0,W972)))/10)*'Controls &amp; Summary'!$B$16</x:f>
        <x:v>1.4609999999999999</x:v>
      </x:c>
      <x:c r="Z972" s="31" t="n">
        <x:f>V972*Y972</x:f>
        <x:v>11.100513410299039</x:v>
      </x:c>
      <x:c r="AA972" s="30" t="str">
        <x:f>IF(Z972&lt;=I972,"Peaceful","Hostile")</x:f>
        <x:v>Hostile</x:v>
      </x:c>
      <x:c r="AB972" s="30" t="str">
        <x:f>IF(Z972&lt;='Controls &amp; Summary'!$B$6,"Eligible","Blocked")</x:f>
        <x:v>Eligible</x:v>
      </x:c>
      <x:c r="AC972" s="30" t="str">
        <x:v>2026_CMR</x:v>
      </x:c>
      <x:c r="AD972" s="30" t="str">
        <x:v>2026_CAF</x:v>
      </x:c>
      <x:c r="AE972" s="30" t="str">
        <x:v>2026_CentralAfricanRepublic</x:v>
      </x:c>
      <x:c r="AF972" s="30" t="str">
        <x:v>Explicit capitalClaim</x:v>
      </x:c>
      <x:c r="AG972" s="30" t="str">
        <x:v>Claim2026_CMR2026_CentralAfricanRepublic</x:v>
      </x:c>
      <x:c r="AH972" s="30" t="str">
        <x:v>Project_RegionalAfricanUnions</x:v>
      </x:c>
    </x:row>
    <x:row r="973">
      <x:c r="A973" s="30" t="str">
        <x:v>2026</x:v>
      </x:c>
      <x:c r="B973" s="30" t="str">
        <x:v>Base game</x:v>
      </x:c>
      <x:c r="C973" s="30" t="str">
        <x:v>Cameroon</x:v>
      </x:c>
      <x:c r="D973" s="30" t="str">
        <x:v>Chad</x:v>
      </x:c>
      <x:c r="E973" s="30" t="str">
        <x:v>Project unlock</x:v>
      </x:c>
      <x:c r="F973" s="30" t="str">
        <x:v>Regional African Unions</x:v>
      </x:c>
      <x:c r="G973" s="30" t="str">
        <x:v>No</x:v>
      </x:c>
      <x:c r="H973" s="30" t="str">
        <x:v>Ordinary claim</x:v>
      </x:c>
      <x:c r="I973" s="31" t="n">
        <x:f>IF(G973="Yes",'Controls &amp; Summary'!$B$5,'Controls &amp; Summary'!$B$4)</x:f>
        <x:v>6</x:v>
      </x:c>
      <x:c r="J973" s="31" t="n">
        <x:v>2.56</x:v>
      </x:c>
      <x:c r="K973" s="31" t="n">
        <x:v>1.76</x:v>
      </x:c>
      <x:c r="L973" s="31" t="n">
        <x:f>ABS(J973-K973)</x:f>
        <x:v>0.8</x:v>
      </x:c>
      <x:c r="M973" s="31" t="n">
        <x:v>4.22</x:v>
      </x:c>
      <x:c r="N973" s="31" t="n">
        <x:v>3.74</x:v>
      </x:c>
      <x:c r="O973" s="31" t="n">
        <x:f>ABS(M973-N973)</x:f>
        <x:v>0.47999999999999954</x:v>
      </x:c>
      <x:c r="P973" s="31" t="n">
        <x:v>5.12</x:v>
      </x:c>
      <x:c r="Q973" s="31" t="n">
        <x:v>3.06</x:v>
      </x:c>
      <x:c r="R973" s="31" t="n">
        <x:f>ABS(P973-Q973)</x:f>
        <x:v>2.06</x:v>
      </x:c>
      <x:c r="S973" s="32" t="n">
        <x:v>4967.7892074483525</x:v>
      </x:c>
      <x:c r="T973" s="32" t="n">
        <x:v>2312.326591646344</x:v>
      </x:c>
      <x:c r="U973" s="31" t="n">
        <x:f>MAX(S973/T973,T973/S973)</x:f>
        <x:v>2.1483942732809886</x:v>
      </x:c>
      <x:c r="V973" s="31" t="n">
        <x:f>L973*'Controls &amp; Summary'!$B$9+O973*'Controls &amp; Summary'!$B$10+R973*'Controls &amp; Summary'!$B$11+U973*'Controls &amp; Summary'!$B$12</x:f>
        <x:v>5.4883942732809885</x:v>
      </x:c>
      <x:c r="W973" s="31" t="n">
        <x:v>1.39</x:v>
      </x:c>
      <x:c r="X973" s="31" t="n">
        <x:v>4</x:v>
      </x:c>
      <x:c r="Y973" s="31" t="n">
        <x:f>((10-MIN(10,MAX(0,X973)))/10)*'Controls &amp; Summary'!$B$15+((10-MIN(10,MAX(0,W973)))/10)*'Controls &amp; Summary'!$B$16</x:f>
        <x:v>1.4609999999999999</x:v>
      </x:c>
      <x:c r="Z973" s="31" t="n">
        <x:f>V973*Y973</x:f>
        <x:v>8.018544033263524</x:v>
      </x:c>
      <x:c r="AA973" s="30" t="str">
        <x:f>IF(Z973&lt;=I973,"Peaceful","Hostile")</x:f>
        <x:v>Hostile</x:v>
      </x:c>
      <x:c r="AB973" s="30" t="str">
        <x:f>IF(Z973&lt;='Controls &amp; Summary'!$B$6,"Eligible","Blocked")</x:f>
        <x:v>Eligible</x:v>
      </x:c>
      <x:c r="AC973" s="30" t="str">
        <x:v>2026_CMR</x:v>
      </x:c>
      <x:c r="AD973" s="30" t="str">
        <x:v>2026_TCD</x:v>
      </x:c>
      <x:c r="AE973" s="30" t="str">
        <x:v>2026_Chad</x:v>
      </x:c>
      <x:c r="AF973" s="30" t="str">
        <x:v>Explicit capitalClaim</x:v>
      </x:c>
      <x:c r="AG973" s="30" t="str">
        <x:v>Claim2026_CMR2026_Chad</x:v>
      </x:c>
      <x:c r="AH973" s="30" t="str">
        <x:v>Project_RegionalAfricanUnions</x:v>
      </x:c>
    </x:row>
    <x:row r="974">
      <x:c r="A974" s="30" t="str">
        <x:v>2026</x:v>
      </x:c>
      <x:c r="B974" s="30" t="str">
        <x:v>Base game</x:v>
      </x:c>
      <x:c r="C974" s="30" t="str">
        <x:v>Cameroon</x:v>
      </x:c>
      <x:c r="D974" s="30" t="str">
        <x:v>Congo</x:v>
      </x:c>
      <x:c r="E974" s="30" t="str">
        <x:v>Project unlock</x:v>
      </x:c>
      <x:c r="F974" s="30" t="str">
        <x:v>Regional African Unions</x:v>
      </x:c>
      <x:c r="G974" s="30" t="str">
        <x:v>No</x:v>
      </x:c>
      <x:c r="H974" s="30" t="str">
        <x:v>Ordinary claim</x:v>
      </x:c>
      <x:c r="I974" s="31" t="n">
        <x:f>IF(G974="Yes",'Controls &amp; Summary'!$B$5,'Controls &amp; Summary'!$B$4)</x:f>
        <x:v>6</x:v>
      </x:c>
      <x:c r="J974" s="31" t="n">
        <x:v>2.56</x:v>
      </x:c>
      <x:c r="K974" s="31" t="n">
        <x:v>1.92</x:v>
      </x:c>
      <x:c r="L974" s="31" t="n">
        <x:f>ABS(J974-K974)</x:f>
        <x:v>0.6400000000000001</x:v>
      </x:c>
      <x:c r="M974" s="31" t="n">
        <x:v>4.22</x:v>
      </x:c>
      <x:c r="N974" s="31" t="n">
        <x:v>4.47</x:v>
      </x:c>
      <x:c r="O974" s="31" t="n">
        <x:f>ABS(M974-N974)</x:f>
        <x:v>0.25</x:v>
      </x:c>
      <x:c r="P974" s="31" t="n">
        <x:v>5.12</x:v>
      </x:c>
      <x:c r="Q974" s="31" t="n">
        <x:v>5.4</x:v>
      </x:c>
      <x:c r="R974" s="31" t="n">
        <x:f>ABS(P974-Q974)</x:f>
        <x:v>0.28000000000000025</x:v>
      </x:c>
      <x:c r="S974" s="32" t="n">
        <x:v>4967.7892074483525</x:v>
      </x:c>
      <x:c r="T974" s="32" t="n">
        <x:v>1517.0933451626258</x:v>
      </x:c>
      <x:c r="U974" s="31" t="n">
        <x:f>MAX(S974/T974,T974/S974)</x:f>
        <x:v>3.2745441955094905</x:v>
      </x:c>
      <x:c r="V974" s="31" t="n">
        <x:f>L974*'Controls &amp; Summary'!$B$9+O974*'Controls &amp; Summary'!$B$10+R974*'Controls &amp; Summary'!$B$11+U974*'Controls &amp; Summary'!$B$12</x:f>
        <x:v>4.444544195509491</x:v>
      </x:c>
      <x:c r="W974" s="31" t="n">
        <x:v>1.39</x:v>
      </x:c>
      <x:c r="X974" s="31" t="n">
        <x:v>5.5</x:v>
      </x:c>
      <x:c r="Y974" s="31" t="n">
        <x:f>((10-MIN(10,MAX(0,X974)))/10)*'Controls &amp; Summary'!$B$15+((10-MIN(10,MAX(0,W974)))/10)*'Controls &amp; Summary'!$B$16</x:f>
        <x:v>1.311</x:v>
      </x:c>
      <x:c r="Z974" s="31" t="n">
        <x:f>V974*Y974</x:f>
        <x:v>5.8267974403129426</x:v>
      </x:c>
      <x:c r="AA974" s="30" t="str">
        <x:f>IF(Z974&lt;=I974,"Peaceful","Hostile")</x:f>
        <x:v>Peaceful</x:v>
      </x:c>
      <x:c r="AB974" s="30" t="str">
        <x:f>IF(Z974&lt;='Controls &amp; Summary'!$B$6,"Eligible","Blocked")</x:f>
        <x:v>Eligible</x:v>
      </x:c>
      <x:c r="AC974" s="30" t="str">
        <x:v>2026_CMR</x:v>
      </x:c>
      <x:c r="AD974" s="30" t="str">
        <x:v>2026_COD</x:v>
      </x:c>
      <x:c r="AE974" s="30" t="str">
        <x:v>2026_Kinshasa</x:v>
      </x:c>
      <x:c r="AF974" s="30" t="str">
        <x:v>Explicit capitalClaim</x:v>
      </x:c>
      <x:c r="AG974" s="30" t="str">
        <x:v>Claim2026_CMR2026_Kinshasa</x:v>
      </x:c>
      <x:c r="AH974" s="30" t="str">
        <x:v>Project_RegionalAfricanUnions</x:v>
      </x:c>
    </x:row>
    <x:row r="975">
      <x:c r="A975" s="30" t="str">
        <x:v>2026</x:v>
      </x:c>
      <x:c r="B975" s="30" t="str">
        <x:v>Base game</x:v>
      </x:c>
      <x:c r="C975" s="30" t="str">
        <x:v>Cameroon</x:v>
      </x:c>
      <x:c r="D975" s="30" t="str">
        <x:v>Equatorial Guinea</x:v>
      </x:c>
      <x:c r="E975" s="30" t="str">
        <x:v>Project unlock</x:v>
      </x:c>
      <x:c r="F975" s="30" t="str">
        <x:v>Regional African Unions</x:v>
      </x:c>
      <x:c r="G975" s="30" t="str">
        <x:v>No</x:v>
      </x:c>
      <x:c r="H975" s="30" t="str">
        <x:v>Ordinary claim</x:v>
      </x:c>
      <x:c r="I975" s="31" t="n">
        <x:f>IF(G975="Yes",'Controls &amp; Summary'!$B$5,'Controls &amp; Summary'!$B$4)</x:f>
        <x:v>6</x:v>
      </x:c>
      <x:c r="J975" s="31" t="n">
        <x:v>2.56</x:v>
      </x:c>
      <x:c r="K975" s="31" t="n">
        <x:v>1.92</x:v>
      </x:c>
      <x:c r="L975" s="31" t="n">
        <x:f>ABS(J975-K975)</x:f>
        <x:v>0.6400000000000001</x:v>
      </x:c>
      <x:c r="M975" s="31" t="n">
        <x:v>4.22</x:v>
      </x:c>
      <x:c r="N975" s="31" t="n">
        <x:v>3.85</x:v>
      </x:c>
      <x:c r="O975" s="31" t="n">
        <x:f>ABS(M975-N975)</x:f>
        <x:v>0.36999999999999966</x:v>
      </x:c>
      <x:c r="P975" s="31" t="n">
        <x:v>5.12</x:v>
      </x:c>
      <x:c r="Q975" s="31" t="n">
        <x:v>6.12</x:v>
      </x:c>
      <x:c r="R975" s="31" t="n">
        <x:f>ABS(P975-Q975)</x:f>
        <x:v>1</x:v>
      </x:c>
      <x:c r="S975" s="32" t="n">
        <x:v>4967.7892074483525</x:v>
      </x:c>
      <x:c r="T975" s="32" t="n">
        <x:v>14634.975217539411</x:v>
      </x:c>
      <x:c r="U975" s="31" t="n">
        <x:f>MAX(S975/T975,T975/S975)</x:f>
        <x:v>2.9459734715790202</x:v>
      </x:c>
      <x:c r="V975" s="31" t="n">
        <x:f>L975*'Controls &amp; Summary'!$B$9+O975*'Controls &amp; Summary'!$B$10+R975*'Controls &amp; Summary'!$B$11+U975*'Controls &amp; Summary'!$B$12</x:f>
        <x:v>4.95597347157902</x:v>
      </x:c>
      <x:c r="W975" s="31" t="n">
        <x:v>1.39</x:v>
      </x:c>
      <x:c r="X975" s="31" t="n">
        <x:v>0</x:v>
      </x:c>
      <x:c r="Y975" s="31" t="n">
        <x:f>((10-MIN(10,MAX(0,X975)))/10)*'Controls &amp; Summary'!$B$15+((10-MIN(10,MAX(0,W975)))/10)*'Controls &amp; Summary'!$B$16</x:f>
        <x:v>1.861</x:v>
      </x:c>
      <x:c r="Z975" s="31" t="n">
        <x:f>V975*Y975</x:f>
        <x:v>9.223066630608555</x:v>
      </x:c>
      <x:c r="AA975" s="30" t="str">
        <x:f>IF(Z975&lt;=I975,"Peaceful","Hostile")</x:f>
        <x:v>Hostile</x:v>
      </x:c>
      <x:c r="AB975" s="30" t="str">
        <x:f>IF(Z975&lt;='Controls &amp; Summary'!$B$6,"Eligible","Blocked")</x:f>
        <x:v>Eligible</x:v>
      </x:c>
      <x:c r="AC975" s="30" t="str">
        <x:v>2026_CMR</x:v>
      </x:c>
      <x:c r="AD975" s="30" t="str">
        <x:v>2026_EQG</x:v>
      </x:c>
      <x:c r="AE975" s="30" t="str">
        <x:v>2026_EquatorialGuinea</x:v>
      </x:c>
      <x:c r="AF975" s="30" t="str">
        <x:v>Explicit capitalClaim</x:v>
      </x:c>
      <x:c r="AG975" s="30" t="str">
        <x:v>Claim2026_CMR2026_EquatorialGuinea</x:v>
      </x:c>
      <x:c r="AH975" s="30" t="str">
        <x:v>Project_RegionalAfricanUnions</x:v>
      </x:c>
    </x:row>
    <x:row r="976">
      <x:c r="A976" s="30" t="str">
        <x:v>2026</x:v>
      </x:c>
      <x:c r="B976" s="30" t="str">
        <x:v>Base game</x:v>
      </x:c>
      <x:c r="C976" s="30" t="str">
        <x:v>Cameroon</x:v>
      </x:c>
      <x:c r="D976" s="30" t="str">
        <x:v>Gabon</x:v>
      </x:c>
      <x:c r="E976" s="30" t="str">
        <x:v>Project unlock</x:v>
      </x:c>
      <x:c r="F976" s="30" t="str">
        <x:v>Regional African Unions</x:v>
      </x:c>
      <x:c r="G976" s="30" t="str">
        <x:v>No</x:v>
      </x:c>
      <x:c r="H976" s="30" t="str">
        <x:v>Ordinary claim</x:v>
      </x:c>
      <x:c r="I976" s="31" t="n">
        <x:f>IF(G976="Yes",'Controls &amp; Summary'!$B$5,'Controls &amp; Summary'!$B$4)</x:f>
        <x:v>6</x:v>
      </x:c>
      <x:c r="J976" s="31" t="n">
        <x:v>2.56</x:v>
      </x:c>
      <x:c r="K976" s="31" t="n">
        <x:v>3.49</x:v>
      </x:c>
      <x:c r="L976" s="31" t="n">
        <x:f>ABS(J976-K976)</x:f>
        <x:v>0.9300000000000002</x:v>
      </x:c>
      <x:c r="M976" s="31" t="n">
        <x:v>4.22</x:v>
      </x:c>
      <x:c r="N976" s="31" t="n">
        <x:v>3.8</x:v>
      </x:c>
      <x:c r="O976" s="31" t="n">
        <x:f>ABS(M976-N976)</x:f>
        <x:v>0.41999999999999993</x:v>
      </x:c>
      <x:c r="P976" s="31" t="n">
        <x:v>5.12</x:v>
      </x:c>
      <x:c r="Q976" s="31" t="n">
        <x:v>6.57</x:v>
      </x:c>
      <x:c r="R976" s="31" t="n">
        <x:f>ABS(P976-Q976)</x:f>
        <x:v>1.4500000000000002</x:v>
      </x:c>
      <x:c r="S976" s="32" t="n">
        <x:v>4967.7892074483525</x:v>
      </x:c>
      <x:c r="T976" s="32" t="n">
        <x:v>19094.81000219461</x:v>
      </x:c>
      <x:c r="U976" s="31" t="n">
        <x:f>MAX(S976/T976,T976/S976)</x:f>
        <x:v>3.8437238789369723</x:v>
      </x:c>
      <x:c r="V976" s="31" t="n">
        <x:f>L976*'Controls &amp; Summary'!$B$9+O976*'Controls &amp; Summary'!$B$10+R976*'Controls &amp; Summary'!$B$11+U976*'Controls &amp; Summary'!$B$12</x:f>
        <x:v>6.643723878936973</x:v>
      </x:c>
      <x:c r="W976" s="31" t="n">
        <x:v>1.39</x:v>
      </x:c>
      <x:c r="X976" s="31" t="n">
        <x:v>0.5</x:v>
      </x:c>
      <x:c r="Y976" s="31" t="n">
        <x:f>((10-MIN(10,MAX(0,X976)))/10)*'Controls &amp; Summary'!$B$15+((10-MIN(10,MAX(0,W976)))/10)*'Controls &amp; Summary'!$B$16</x:f>
        <x:v>1.811</x:v>
      </x:c>
      <x:c r="Z976" s="31" t="n">
        <x:f>V976*Y976</x:f>
        <x:v>12.031783944754856</x:v>
      </x:c>
      <x:c r="AA976" s="30" t="str">
        <x:f>IF(Z976&lt;=I976,"Peaceful","Hostile")</x:f>
        <x:v>Hostile</x:v>
      </x:c>
      <x:c r="AB976" s="30" t="str">
        <x:f>IF(Z976&lt;='Controls &amp; Summary'!$B$6,"Eligible","Blocked")</x:f>
        <x:v>Blocked</x:v>
      </x:c>
      <x:c r="AC976" s="30" t="str">
        <x:v>2026_CMR</x:v>
      </x:c>
      <x:c r="AD976" s="30" t="str">
        <x:v>2026_LWG</x:v>
      </x:c>
      <x:c r="AE976" s="30" t="str">
        <x:v>2026_Libreville</x:v>
      </x:c>
      <x:c r="AF976" s="30" t="str">
        <x:v>Explicit capitalClaim</x:v>
      </x:c>
      <x:c r="AG976" s="30" t="str">
        <x:v>Claim2026_CMR2026_Libreville</x:v>
      </x:c>
      <x:c r="AH976" s="30" t="str">
        <x:v>Project_RegionalAfricanUnions</x:v>
      </x:c>
    </x:row>
    <x:row r="977">
      <x:c r="A977" s="30" t="str">
        <x:v>2026</x:v>
      </x:c>
      <x:c r="B977" s="30" t="str">
        <x:v>Base game</x:v>
      </x:c>
      <x:c r="C977" s="30" t="str">
        <x:v>Cameroon</x:v>
      </x:c>
      <x:c r="D977" s="30" t="str">
        <x:v>Republic of the Congo</x:v>
      </x:c>
      <x:c r="E977" s="30" t="str">
        <x:v>Project unlock</x:v>
      </x:c>
      <x:c r="F977" s="30" t="str">
        <x:v>Regional African Unions</x:v>
      </x:c>
      <x:c r="G977" s="30" t="str">
        <x:v>No</x:v>
      </x:c>
      <x:c r="H977" s="30" t="str">
        <x:v>Ordinary claim</x:v>
      </x:c>
      <x:c r="I977" s="31" t="n">
        <x:f>IF(G977="Yes",'Controls &amp; Summary'!$B$5,'Controls &amp; Summary'!$B$4)</x:f>
        <x:v>6</x:v>
      </x:c>
      <x:c r="J977" s="31" t="n">
        <x:v>2.56</x:v>
      </x:c>
      <x:c r="K977" s="31" t="n">
        <x:v>2.79</x:v>
      </x:c>
      <x:c r="L977" s="31" t="n">
        <x:f>ABS(J977-K977)</x:f>
        <x:v>0.22999999999999998</x:v>
      </x:c>
      <x:c r="M977" s="31" t="n">
        <x:v>4.22</x:v>
      </x:c>
      <x:c r="N977" s="31" t="n">
        <x:v>4.89</x:v>
      </x:c>
      <x:c r="O977" s="31" t="n">
        <x:f>ABS(M977-N977)</x:f>
        <x:v>0.6699999999999999</x:v>
      </x:c>
      <x:c r="P977" s="31" t="n">
        <x:v>5.12</x:v>
      </x:c>
      <x:c r="Q977" s="31" t="n">
        <x:v>6.17</x:v>
      </x:c>
      <x:c r="R977" s="31" t="n">
        <x:f>ABS(P977-Q977)</x:f>
        <x:v>1.0499999999999998</x:v>
      </x:c>
      <x:c r="S977" s="32" t="n">
        <x:v>4967.7892074483525</x:v>
      </x:c>
      <x:c r="T977" s="32" t="n">
        <x:v>5669.275870037972</x:v>
      </x:c>
      <x:c r="U977" s="31" t="n">
        <x:f>MAX(S977/T977,T977/S977)</x:f>
        <x:v>1.1412070104620904</x:v>
      </x:c>
      <x:c r="V977" s="31" t="n">
        <x:f>L977*'Controls &amp; Summary'!$B$9+O977*'Controls &amp; Summary'!$B$10+R977*'Controls &amp; Summary'!$B$11+U977*'Controls &amp; Summary'!$B$12</x:f>
        <x:v>3.09120701046209</x:v>
      </x:c>
      <x:c r="W977" s="31" t="n">
        <x:v>1.39</x:v>
      </x:c>
      <x:c r="X977" s="31" t="n">
        <x:v>0.5</x:v>
      </x:c>
      <x:c r="Y977" s="31" t="n">
        <x:f>((10-MIN(10,MAX(0,X977)))/10)*'Controls &amp; Summary'!$B$15+((10-MIN(10,MAX(0,W977)))/10)*'Controls &amp; Summary'!$B$16</x:f>
        <x:v>1.811</x:v>
      </x:c>
      <x:c r="Z977" s="31" t="n">
        <x:f>V977*Y977</x:f>
        <x:v>5.598175895946845</x:v>
      </x:c>
      <x:c r="AA977" s="30" t="str">
        <x:f>IF(Z977&lt;=I977,"Peaceful","Hostile")</x:f>
        <x:v>Peaceful</x:v>
      </x:c>
      <x:c r="AB977" s="30" t="str">
        <x:f>IF(Z977&lt;='Controls &amp; Summary'!$B$6,"Eligible","Blocked")</x:f>
        <x:v>Eligible</x:v>
      </x:c>
      <x:c r="AC977" s="30" t="str">
        <x:v>2026_CMR</x:v>
      </x:c>
      <x:c r="AD977" s="30" t="str">
        <x:v>2026_COR</x:v>
      </x:c>
      <x:c r="AE977" s="30" t="str">
        <x:v>2026_Brazzaville</x:v>
      </x:c>
      <x:c r="AF977" s="30" t="str">
        <x:v>Explicit capitalClaim</x:v>
      </x:c>
      <x:c r="AG977" s="30" t="str">
        <x:v>Claim2026_CMR2026_Brazzaville</x:v>
      </x:c>
      <x:c r="AH977" s="30" t="str">
        <x:v>Project_RegionalAfricanUnions</x:v>
      </x:c>
    </x:row>
    <x:row r="978">
      <x:c r="A978" s="30" t="str">
        <x:v>2026</x:v>
      </x:c>
      <x:c r="B978" s="30" t="str">
        <x:v>Base game</x:v>
      </x:c>
      <x:c r="C978" s="30" t="str">
        <x:v>Cameroon</x:v>
      </x:c>
      <x:c r="D978" s="30" t="str">
        <x:v>Sao Tome and Principe</x:v>
      </x:c>
      <x:c r="E978" s="30" t="str">
        <x:v>Project unlock</x:v>
      </x:c>
      <x:c r="F978" s="30" t="str">
        <x:v>Regional African Unions</x:v>
      </x:c>
      <x:c r="G978" s="30" t="str">
        <x:v>No</x:v>
      </x:c>
      <x:c r="H978" s="30" t="str">
        <x:v>Ordinary claim</x:v>
      </x:c>
      <x:c r="I978" s="31" t="n">
        <x:f>IF(G978="Yes",'Controls &amp; Summary'!$B$5,'Controls &amp; Summary'!$B$4)</x:f>
        <x:v>6</x:v>
      </x:c>
      <x:c r="J978" s="31" t="n">
        <x:v>2.56</x:v>
      </x:c>
      <x:c r="K978" s="31" t="n">
        <x:v>7.8</x:v>
      </x:c>
      <x:c r="L978" s="31" t="n">
        <x:f>ABS(J978-K978)</x:f>
        <x:v>5.24</x:v>
      </x:c>
      <x:c r="M978" s="31" t="n">
        <x:v>4.22</x:v>
      </x:c>
      <x:c r="N978" s="31" t="n">
        <x:v>4.07</x:v>
      </x:c>
      <x:c r="O978" s="31" t="n">
        <x:f>ABS(M978-N978)</x:f>
        <x:v>0.14999999999999947</x:v>
      </x:c>
      <x:c r="P978" s="31" t="n">
        <x:v>5.12</x:v>
      </x:c>
      <x:c r="Q978" s="31" t="n">
        <x:v>5.49</x:v>
      </x:c>
      <x:c r="R978" s="31" t="n">
        <x:f>ABS(P978-Q978)</x:f>
        <x:v>0.3700000000000001</x:v>
      </x:c>
      <x:c r="S978" s="32" t="n">
        <x:v>4967.7892074483525</x:v>
      </x:c>
      <x:c r="T978" s="32" t="n">
        <x:v>5581.850984105733</x:v>
      </x:c>
      <x:c r="U978" s="31" t="n">
        <x:f>MAX(S978/T978,T978/S978)</x:f>
        <x:v>1.1236086619248458</x:v>
      </x:c>
      <x:c r="V978" s="31" t="n">
        <x:f>L978*'Controls &amp; Summary'!$B$9+O978*'Controls &amp; Summary'!$B$10+R978*'Controls &amp; Summary'!$B$11+U978*'Controls &amp; Summary'!$B$12</x:f>
        <x:v>6.883608661924845</x:v>
      </x:c>
      <x:c r="W978" s="31" t="n">
        <x:v>1.39</x:v>
      </x:c>
      <x:c r="X978" s="31" t="n">
        <x:v>0.5</x:v>
      </x:c>
      <x:c r="Y978" s="31" t="n">
        <x:f>((10-MIN(10,MAX(0,X978)))/10)*'Controls &amp; Summary'!$B$15+((10-MIN(10,MAX(0,W978)))/10)*'Controls &amp; Summary'!$B$16</x:f>
        <x:v>1.811</x:v>
      </x:c>
      <x:c r="Z978" s="31" t="n">
        <x:f>V978*Y978</x:f>
        <x:v>12.466215286745895</x:v>
      </x:c>
      <x:c r="AA978" s="30" t="str">
        <x:f>IF(Z978&lt;=I978,"Peaceful","Hostile")</x:f>
        <x:v>Hostile</x:v>
      </x:c>
      <x:c r="AB978" s="30" t="str">
        <x:f>IF(Z978&lt;='Controls &amp; Summary'!$B$6,"Eligible","Blocked")</x:f>
        <x:v>Blocked</x:v>
      </x:c>
      <x:c r="AC978" s="30" t="str">
        <x:v>2026_CMR</x:v>
      </x:c>
      <x:c r="AD978" s="30" t="str">
        <x:v>2026_STP</x:v>
      </x:c>
      <x:c r="AE978" s="30" t="str">
        <x:v>2026_SaoTomePrincipe</x:v>
      </x:c>
      <x:c r="AF978" s="30" t="str">
        <x:v>Explicit capitalClaim</x:v>
      </x:c>
      <x:c r="AG978" s="30" t="str">
        <x:v>Claim2026_CMR2026_SaoTomePrincipe</x:v>
      </x:c>
      <x:c r="AH978" s="30" t="str">
        <x:v>Project_RegionalAfricanUnions</x:v>
      </x:c>
    </x:row>
    <x:row r="979">
      <x:c r="A979" s="30" t="str">
        <x:v>2026</x:v>
      </x:c>
      <x:c r="B979" s="30" t="str">
        <x:v>Base game</x:v>
      </x:c>
      <x:c r="C979" s="30" t="str">
        <x:v>China</x:v>
      </x:c>
      <x:c r="D979" s="30" t="str">
        <x:v>Bhutan</x:v>
      </x:c>
      <x:c r="E979" s="30" t="str">
        <x:v>Project unlock</x:v>
      </x:c>
      <x:c r="F979" s="30" t="str">
        <x:v>Pan-Asian Cooperative</x:v>
      </x:c>
      <x:c r="G979" s="30" t="str">
        <x:v>No</x:v>
      </x:c>
      <x:c r="H979" s="30" t="str">
        <x:v>Ordinary claim</x:v>
      </x:c>
      <x:c r="I979" s="31" t="n">
        <x:f>IF(G979="Yes",'Controls &amp; Summary'!$B$5,'Controls &amp; Summary'!$B$4)</x:f>
        <x:v>6</x:v>
      </x:c>
      <x:c r="J979" s="31" t="n">
        <x:v>2.24</x:v>
      </x:c>
      <x:c r="K979" s="31" t="n">
        <x:v>5.65</x:v>
      </x:c>
      <x:c r="L979" s="31" t="n">
        <x:f>ABS(J979-K979)</x:f>
        <x:v>3.41</x:v>
      </x:c>
      <x:c r="M979" s="31" t="n">
        <x:v>3.57</x:v>
      </x:c>
      <x:c r="N979" s="31" t="n">
        <x:v>2.85</x:v>
      </x:c>
      <x:c r="O979" s="31" t="n">
        <x:f>ABS(M979-N979)</x:f>
        <x:v>0.7199999999999998</x:v>
      </x:c>
      <x:c r="P979" s="31" t="n">
        <x:v>6.83</x:v>
      </x:c>
      <x:c r="Q979" s="31" t="n">
        <x:v>5.5</x:v>
      </x:c>
      <x:c r="R979" s="31" t="n">
        <x:f>ABS(P979-Q979)</x:f>
        <x:v>1.33</x:v>
      </x:c>
      <x:c r="S979" s="32" t="n">
        <x:v>25545.732346042176</x:v>
      </x:c>
      <x:c r="T979" s="32" t="n">
        <x:v>15473.776324023265</x:v>
      </x:c>
      <x:c r="U979" s="31" t="n">
        <x:f>MAX(S979/T979,T979/S979)</x:f>
        <x:v>1.650904847731452</x:v>
      </x:c>
      <x:c r="V979" s="31" t="n">
        <x:f>L979*'Controls &amp; Summary'!$B$9+O979*'Controls &amp; Summary'!$B$10+R979*'Controls &amp; Summary'!$B$11+U979*'Controls &amp; Summary'!$B$12</x:f>
        <x:v>7.110904847731452</x:v>
      </x:c>
      <x:c r="W979" s="31" t="n">
        <x:v>3.54</x:v>
      </x:c>
      <x:c r="X979" s="31" t="n">
        <x:v>0.25</x:v>
      </x:c>
      <x:c r="Y979" s="31" t="n">
        <x:f>((10-MIN(10,MAX(0,X979)))/10)*'Controls &amp; Summary'!$B$15+((10-MIN(10,MAX(0,W979)))/10)*'Controls &amp; Summary'!$B$16</x:f>
        <x:v>1.621</x:v>
      </x:c>
      <x:c r="Z979" s="31" t="n">
        <x:f>V979*Y979</x:f>
        <x:v>11.526776758172684</x:v>
      </x:c>
      <x:c r="AA979" s="30" t="str">
        <x:f>IF(Z979&lt;=I979,"Peaceful","Hostile")</x:f>
        <x:v>Hostile</x:v>
      </x:c>
      <x:c r="AB979" s="30" t="str">
        <x:f>IF(Z979&lt;='Controls &amp; Summary'!$B$6,"Eligible","Blocked")</x:f>
        <x:v>Eligible</x:v>
      </x:c>
      <x:c r="AC979" s="30" t="str">
        <x:v>2026_CHN</x:v>
      </x:c>
      <x:c r="AD979" s="30" t="str">
        <x:v>2026_BHU</x:v>
      </x:c>
      <x:c r="AE979" s="30" t="str">
        <x:v>2026_Bhutan</x:v>
      </x:c>
      <x:c r="AF979" s="30" t="str">
        <x:v>Explicit capitalClaim</x:v>
      </x:c>
      <x:c r="AG979" s="30" t="str">
        <x:v>Claim2026_CHN2026_Bhutan</x:v>
      </x:c>
      <x:c r="AH979" s="30" t="str">
        <x:v>Project_Pan-AsianCooperative</x:v>
      </x:c>
    </x:row>
    <x:row r="980">
      <x:c r="A980" s="30" t="str">
        <x:v>2026</x:v>
      </x:c>
      <x:c r="B980" s="30" t="str">
        <x:v>Base game</x:v>
      </x:c>
      <x:c r="C980" s="30" t="str">
        <x:v>China</x:v>
      </x:c>
      <x:c r="D980" s="30" t="str">
        <x:v>Cambodia</x:v>
      </x:c>
      <x:c r="E980" s="30" t="str">
        <x:v>Project unlock</x:v>
      </x:c>
      <x:c r="F980" s="30" t="str">
        <x:v>Pan-Asian Cooperative</x:v>
      </x:c>
      <x:c r="G980" s="30" t="str">
        <x:v>No</x:v>
      </x:c>
      <x:c r="H980" s="30" t="str">
        <x:v>Ordinary claim</x:v>
      </x:c>
      <x:c r="I980" s="31" t="n">
        <x:f>IF(G980="Yes",'Controls &amp; Summary'!$B$5,'Controls &amp; Summary'!$B$4)</x:f>
        <x:v>6</x:v>
      </x:c>
      <x:c r="J980" s="31" t="n">
        <x:v>2.24</x:v>
      </x:c>
      <x:c r="K980" s="31" t="n">
        <x:v>2.7</x:v>
      </x:c>
      <x:c r="L980" s="31" t="n">
        <x:f>ABS(J980-K980)</x:f>
        <x:v>0.45999999999999996</x:v>
      </x:c>
      <x:c r="M980" s="31" t="n">
        <x:v>3.57</x:v>
      </x:c>
      <x:c r="N980" s="31" t="n">
        <x:v>3.01</x:v>
      </x:c>
      <x:c r="O980" s="31" t="n">
        <x:f>ABS(M980-N980)</x:f>
        <x:v>0.56</x:v>
      </x:c>
      <x:c r="P980" s="31" t="n">
        <x:v>6.83</x:v>
      </x:c>
      <x:c r="Q980" s="31" t="n">
        <x:v>4.77</x:v>
      </x:c>
      <x:c r="R980" s="31" t="n">
        <x:f>ABS(P980-Q980)</x:f>
        <x:v>2.0600000000000005</x:v>
      </x:c>
      <x:c r="S980" s="32" t="n">
        <x:v>25545.732346042176</x:v>
      </x:c>
      <x:c r="T980" s="32" t="n">
        <x:v>7314.816394671186</x:v>
      </x:c>
      <x:c r="U980" s="31" t="n">
        <x:f>MAX(S980/T980,T980/S980)</x:f>
        <x:v>3.492327212020269</x:v>
      </x:c>
      <x:c r="V980" s="31" t="n">
        <x:f>L980*'Controls &amp; Summary'!$B$9+O980*'Controls &amp; Summary'!$B$10+R980*'Controls &amp; Summary'!$B$11+U980*'Controls &amp; Summary'!$B$12</x:f>
        <x:v>6.572327212020269</x:v>
      </x:c>
      <x:c r="W980" s="31" t="n">
        <x:v>3.54</x:v>
      </x:c>
      <x:c r="X980" s="31" t="n">
        <x:v>0.25</x:v>
      </x:c>
      <x:c r="Y980" s="31" t="n">
        <x:f>((10-MIN(10,MAX(0,X980)))/10)*'Controls &amp; Summary'!$B$15+((10-MIN(10,MAX(0,W980)))/10)*'Controls &amp; Summary'!$B$16</x:f>
        <x:v>1.621</x:v>
      </x:c>
      <x:c r="Z980" s="31" t="n">
        <x:f>V980*Y980</x:f>
        <x:v>10.653742410684856</x:v>
      </x:c>
      <x:c r="AA980" s="30" t="str">
        <x:f>IF(Z980&lt;=I980,"Peaceful","Hostile")</x:f>
        <x:v>Hostile</x:v>
      </x:c>
      <x:c r="AB980" s="30" t="str">
        <x:f>IF(Z980&lt;='Controls &amp; Summary'!$B$6,"Eligible","Blocked")</x:f>
        <x:v>Eligible</x:v>
      </x:c>
      <x:c r="AC980" s="30" t="str">
        <x:v>2026_CHN</x:v>
      </x:c>
      <x:c r="AD980" s="30" t="str">
        <x:v>2026_KHM</x:v>
      </x:c>
      <x:c r="AE980" s="30" t="str">
        <x:v>2026_Cambodia</x:v>
      </x:c>
      <x:c r="AF980" s="30" t="str">
        <x:v>Explicit capitalClaim</x:v>
      </x:c>
      <x:c r="AG980" s="30" t="str">
        <x:v>Claim2026_CHN2026_Cambodia</x:v>
      </x:c>
      <x:c r="AH980" s="30" t="str">
        <x:v>Project_Pan-AsianCooperative</x:v>
      </x:c>
    </x:row>
    <x:row r="981">
      <x:c r="A981" s="30" t="str">
        <x:v>2026</x:v>
      </x:c>
      <x:c r="B981" s="30" t="str">
        <x:v>Base game</x:v>
      </x:c>
      <x:c r="C981" s="30" t="str">
        <x:v>China</x:v>
      </x:c>
      <x:c r="D981" s="30" t="str">
        <x:v>Japan</x:v>
      </x:c>
      <x:c r="E981" s="30" t="str">
        <x:v>Project unlock</x:v>
      </x:c>
      <x:c r="F981" s="30" t="str">
        <x:v>Greater PanAsia</x:v>
      </x:c>
      <x:c r="G981" s="30" t="str">
        <x:v>Yes</x:v>
      </x:c>
      <x:c r="H981" s="30" t="str">
        <x:v>Template hostileClaim</x:v>
      </x:c>
      <x:c r="I981" s="31" t="n">
        <x:f>IF(G981="Yes",'Controls &amp; Summary'!$B$5,'Controls &amp; Summary'!$B$4)</x:f>
        <x:v>3</x:v>
      </x:c>
      <x:c r="J981" s="31" t="n">
        <x:v>2.24</x:v>
      </x:c>
      <x:c r="K981" s="31" t="n">
        <x:v>8.85</x:v>
      </x:c>
      <x:c r="L981" s="31" t="n">
        <x:f>ABS(J981-K981)</x:f>
        <x:v>6.609999999999999</x:v>
      </x:c>
      <x:c r="M981" s="31" t="n">
        <x:v>3.57</x:v>
      </x:c>
      <x:c r="N981" s="31" t="n">
        <x:v>3.29</x:v>
      </x:c>
      <x:c r="O981" s="31" t="n">
        <x:f>ABS(M981-N981)</x:f>
        <x:v>0.2799999999999998</x:v>
      </x:c>
      <x:c r="P981" s="31" t="n">
        <x:v>6.83</x:v>
      </x:c>
      <x:c r="Q981" s="31" t="n">
        <x:v>8.34</x:v>
      </x:c>
      <x:c r="R981" s="31" t="n">
        <x:f>ABS(P981-Q981)</x:f>
        <x:v>1.5099999999999998</x:v>
      </x:c>
      <x:c r="S981" s="32" t="n">
        <x:v>25545.732346042176</x:v>
      </x:c>
      <x:c r="T981" s="32" t="n">
        <x:v>48233.50165220328</x:v>
      </x:c>
      <x:c r="U981" s="31" t="n">
        <x:f>MAX(S981/T981,T981/S981)</x:f>
        <x:v>1.8881236599065887</x:v>
      </x:c>
      <x:c r="V981" s="31" t="n">
        <x:f>L981*'Controls &amp; Summary'!$B$9+O981*'Controls &amp; Summary'!$B$10+R981*'Controls &amp; Summary'!$B$11+U981*'Controls &amp; Summary'!$B$12</x:f>
        <x:v>10.288123659906587</x:v>
      </x:c>
      <x:c r="W981" s="31" t="n">
        <x:v>3.54</x:v>
      </x:c>
      <x:c r="X981" s="31" t="n">
        <x:v>0</x:v>
      </x:c>
      <x:c r="Y981" s="31" t="n">
        <x:f>((10-MIN(10,MAX(0,X981)))/10)*'Controls &amp; Summary'!$B$15+((10-MIN(10,MAX(0,W981)))/10)*'Controls &amp; Summary'!$B$16</x:f>
        <x:v>1.646</x:v>
      </x:c>
      <x:c r="Z981" s="31" t="n">
        <x:f>V981*Y981</x:f>
        <x:v>16.93425154420624</x:v>
      </x:c>
      <x:c r="AA981" s="30" t="str">
        <x:f>IF(Z981&lt;=I981,"Peaceful","Hostile")</x:f>
        <x:v>Hostile</x:v>
      </x:c>
      <x:c r="AB981" s="30" t="str">
        <x:f>IF(Z981&lt;='Controls &amp; Summary'!$B$6,"Eligible","Blocked")</x:f>
        <x:v>Blocked</x:v>
      </x:c>
      <x:c r="AC981" s="30" t="str">
        <x:v>2026_CHN</x:v>
      </x:c>
      <x:c r="AD981" s="30" t="str">
        <x:v>2026_JPN</x:v>
      </x:c>
      <x:c r="AE981" s="30" t="str">
        <x:v>2026_NorthHonshu</x:v>
      </x:c>
      <x:c r="AF981" s="30" t="str">
        <x:v>Explicit capitalClaim</x:v>
      </x:c>
      <x:c r="AG981" s="30" t="str">
        <x:v>Claim2026_CHN2026_NorthHonshu</x:v>
      </x:c>
      <x:c r="AH981" s="30" t="str">
        <x:v>Project_GreaterPanAsia</x:v>
      </x:c>
    </x:row>
    <x:row r="982">
      <x:c r="A982" s="30" t="str">
        <x:v>2026</x:v>
      </x:c>
      <x:c r="B982" s="30" t="str">
        <x:v>Base game</x:v>
      </x:c>
      <x:c r="C982" s="30" t="str">
        <x:v>China</x:v>
      </x:c>
      <x:c r="D982" s="30" t="str">
        <x:v>Laos</x:v>
      </x:c>
      <x:c r="E982" s="30" t="str">
        <x:v>Project unlock</x:v>
      </x:c>
      <x:c r="F982" s="30" t="str">
        <x:v>Pan-Asian Cooperative</x:v>
      </x:c>
      <x:c r="G982" s="30" t="str">
        <x:v>No</x:v>
      </x:c>
      <x:c r="H982" s="30" t="str">
        <x:v>Ordinary claim</x:v>
      </x:c>
      <x:c r="I982" s="31" t="n">
        <x:f>IF(G982="Yes",'Controls &amp; Summary'!$B$5,'Controls &amp; Summary'!$B$4)</x:f>
        <x:v>6</x:v>
      </x:c>
      <x:c r="J982" s="31" t="n">
        <x:v>2.24</x:v>
      </x:c>
      <x:c r="K982" s="31" t="n">
        <x:v>1.71</x:v>
      </x:c>
      <x:c r="L982" s="31" t="n">
        <x:f>ABS(J982-K982)</x:f>
        <x:v>0.5300000000000002</x:v>
      </x:c>
      <x:c r="M982" s="31" t="n">
        <x:v>3.57</x:v>
      </x:c>
      <x:c r="N982" s="31" t="n">
        <x:v>3.88</x:v>
      </x:c>
      <x:c r="O982" s="31" t="n">
        <x:f>ABS(M982-N982)</x:f>
        <x:v>0.31000000000000005</x:v>
      </x:c>
      <x:c r="P982" s="31" t="n">
        <x:v>6.83</x:v>
      </x:c>
      <x:c r="Q982" s="31" t="n">
        <x:v>4.64</x:v>
      </x:c>
      <x:c r="R982" s="31" t="n">
        <x:f>ABS(P982-Q982)</x:f>
        <x:v>2.1900000000000004</x:v>
      </x:c>
      <x:c r="S982" s="32" t="n">
        <x:v>25545.732346042176</x:v>
      </x:c>
      <x:c r="T982" s="32" t="n">
        <x:v>8701.650786297547</x:v>
      </x:c>
      <x:c r="U982" s="31" t="n">
        <x:f>MAX(S982/T982,T982/S982)</x:f>
        <x:v>2.935734031784973</x:v>
      </x:c>
      <x:c r="V982" s="31" t="n">
        <x:f>L982*'Controls &amp; Summary'!$B$9+O982*'Controls &amp; Summary'!$B$10+R982*'Controls &amp; Summary'!$B$11+U982*'Controls &amp; Summary'!$B$12</x:f>
        <x:v>5.965734031784974</x:v>
      </x:c>
      <x:c r="W982" s="31" t="n">
        <x:v>3.54</x:v>
      </x:c>
      <x:c r="X982" s="31" t="n">
        <x:v>0</x:v>
      </x:c>
      <x:c r="Y982" s="31" t="n">
        <x:f>((10-MIN(10,MAX(0,X982)))/10)*'Controls &amp; Summary'!$B$15+((10-MIN(10,MAX(0,W982)))/10)*'Controls &amp; Summary'!$B$16</x:f>
        <x:v>1.646</x:v>
      </x:c>
      <x:c r="Z982" s="31" t="n">
        <x:f>V982*Y982</x:f>
        <x:v>9.819598216318067</x:v>
      </x:c>
      <x:c r="AA982" s="30" t="str">
        <x:f>IF(Z982&lt;=I982,"Peaceful","Hostile")</x:f>
        <x:v>Hostile</x:v>
      </x:c>
      <x:c r="AB982" s="30" t="str">
        <x:f>IF(Z982&lt;='Controls &amp; Summary'!$B$6,"Eligible","Blocked")</x:f>
        <x:v>Eligible</x:v>
      </x:c>
      <x:c r="AC982" s="30" t="str">
        <x:v>2026_CHN</x:v>
      </x:c>
      <x:c r="AD982" s="30" t="str">
        <x:v>2026_LAO</x:v>
      </x:c>
      <x:c r="AE982" s="30" t="str">
        <x:v>2026_Laos</x:v>
      </x:c>
      <x:c r="AF982" s="30" t="str">
        <x:v>Explicit capitalClaim</x:v>
      </x:c>
      <x:c r="AG982" s="30" t="str">
        <x:v>Claim2026_CHN2026_Laos</x:v>
      </x:c>
      <x:c r="AH982" s="30" t="str">
        <x:v>Project_Pan-AsianCooperative</x:v>
      </x:c>
    </x:row>
    <x:row r="983">
      <x:c r="A983" s="30" t="str">
        <x:v>2026</x:v>
      </x:c>
      <x:c r="B983" s="30" t="str">
        <x:v>Base game</x:v>
      </x:c>
      <x:c r="C983" s="30" t="str">
        <x:v>China</x:v>
      </x:c>
      <x:c r="D983" s="30" t="str">
        <x:v>Malaysia</x:v>
      </x:c>
      <x:c r="E983" s="30" t="str">
        <x:v>Project unlock</x:v>
      </x:c>
      <x:c r="F983" s="30" t="str">
        <x:v>Greater PanAsia</x:v>
      </x:c>
      <x:c r="G983" s="30" t="str">
        <x:v>No</x:v>
      </x:c>
      <x:c r="H983" s="30" t="str">
        <x:v>Ordinary claim</x:v>
      </x:c>
      <x:c r="I983" s="31" t="n">
        <x:f>IF(G983="Yes",'Controls &amp; Summary'!$B$5,'Controls &amp; Summary'!$B$4)</x:f>
        <x:v>6</x:v>
      </x:c>
      <x:c r="J983" s="31" t="n">
        <x:v>2.24</x:v>
      </x:c>
      <x:c r="K983" s="31" t="n">
        <x:v>7.11</x:v>
      </x:c>
      <x:c r="L983" s="31" t="n">
        <x:f>ABS(J983-K983)</x:f>
        <x:v>4.87</x:v>
      </x:c>
      <x:c r="M983" s="31" t="n">
        <x:v>3.57</x:v>
      </x:c>
      <x:c r="N983" s="31" t="n">
        <x:v>4.07</x:v>
      </x:c>
      <x:c r="O983" s="31" t="n">
        <x:f>ABS(M983-N983)</x:f>
        <x:v>0.5000000000000004</x:v>
      </x:c>
      <x:c r="P983" s="31" t="n">
        <x:v>6.83</x:v>
      </x:c>
      <x:c r="Q983" s="31" t="n">
        <x:v>7.08</x:v>
      </x:c>
      <x:c r="R983" s="31" t="n">
        <x:f>ABS(P983-Q983)</x:f>
        <x:v>0.25</x:v>
      </x:c>
      <x:c r="S983" s="32" t="n">
        <x:v>25545.732346042176</x:v>
      </x:c>
      <x:c r="T983" s="32" t="n">
        <x:v>35749.84868812425</x:v>
      </x:c>
      <x:c r="U983" s="31" t="n">
        <x:f>MAX(S983/T983,T983/S983)</x:f>
        <x:v>1.399445050306534</x:v>
      </x:c>
      <x:c r="V983" s="31" t="n">
        <x:f>L983*'Controls &amp; Summary'!$B$9+O983*'Controls &amp; Summary'!$B$10+R983*'Controls &amp; Summary'!$B$11+U983*'Controls &amp; Summary'!$B$12</x:f>
        <x:v>7.019445050306535</x:v>
      </x:c>
      <x:c r="W983" s="31" t="n">
        <x:v>3.54</x:v>
      </x:c>
      <x:c r="X983" s="31" t="n">
        <x:v>1</x:v>
      </x:c>
      <x:c r="Y983" s="31" t="n">
        <x:f>((10-MIN(10,MAX(0,X983)))/10)*'Controls &amp; Summary'!$B$15+((10-MIN(10,MAX(0,W983)))/10)*'Controls &amp; Summary'!$B$16</x:f>
        <x:v>1.546</x:v>
      </x:c>
      <x:c r="Z983" s="31" t="n">
        <x:f>V983*Y983</x:f>
        <x:v>10.852062047773904</x:v>
      </x:c>
      <x:c r="AA983" s="30" t="str">
        <x:f>IF(Z983&lt;=I983,"Peaceful","Hostile")</x:f>
        <x:v>Hostile</x:v>
      </x:c>
      <x:c r="AB983" s="30" t="str">
        <x:f>IF(Z983&lt;='Controls &amp; Summary'!$B$6,"Eligible","Blocked")</x:f>
        <x:v>Eligible</x:v>
      </x:c>
      <x:c r="AC983" s="30" t="str">
        <x:v>2026_CHN</x:v>
      </x:c>
      <x:c r="AD983" s="30" t="str">
        <x:v>2026_MYS</x:v>
      </x:c>
      <x:c r="AE983" s="30" t="str">
        <x:v>2026_MalayPeninsula</x:v>
      </x:c>
      <x:c r="AF983" s="30" t="str">
        <x:v>Explicit capitalClaim</x:v>
      </x:c>
      <x:c r="AG983" s="30" t="str">
        <x:v>Claim2026_CHN2026_MalayPeninsula</x:v>
      </x:c>
      <x:c r="AH983" s="30" t="str">
        <x:v>Project_GreaterPanAsia</x:v>
      </x:c>
    </x:row>
    <x:row r="984">
      <x:c r="A984" s="30" t="str">
        <x:v>2026</x:v>
      </x:c>
      <x:c r="B984" s="30" t="str">
        <x:v>Base game</x:v>
      </x:c>
      <x:c r="C984" s="30" t="str">
        <x:v>China</x:v>
      </x:c>
      <x:c r="D984" s="30" t="str">
        <x:v>Mongolia</x:v>
      </x:c>
      <x:c r="E984" s="30" t="str">
        <x:v>Project unlock</x:v>
      </x:c>
      <x:c r="F984" s="30" t="str">
        <x:v>Pan-Asian Cooperative</x:v>
      </x:c>
      <x:c r="G984" s="30" t="str">
        <x:v>No</x:v>
      </x:c>
      <x:c r="H984" s="30" t="str">
        <x:v>Ordinary claim</x:v>
      </x:c>
      <x:c r="I984" s="31" t="n">
        <x:f>IF(G984="Yes",'Controls &amp; Summary'!$B$5,'Controls &amp; Summary'!$B$4)</x:f>
        <x:v>6</x:v>
      </x:c>
      <x:c r="J984" s="31" t="n">
        <x:v>2.24</x:v>
      </x:c>
      <x:c r="K984" s="31" t="n">
        <x:v>6.5</x:v>
      </x:c>
      <x:c r="L984" s="31" t="n">
        <x:f>ABS(J984-K984)</x:f>
        <x:v>4.26</x:v>
      </x:c>
      <x:c r="M984" s="31" t="n">
        <x:v>3.57</x:v>
      </x:c>
      <x:c r="N984" s="31" t="n">
        <x:v>3.14</x:v>
      </x:c>
      <x:c r="O984" s="31" t="n">
        <x:f>ABS(M984-N984)</x:f>
        <x:v>0.4299999999999997</x:v>
      </x:c>
      <x:c r="P984" s="31" t="n">
        <x:v>6.83</x:v>
      </x:c>
      <x:c r="Q984" s="31" t="n">
        <x:v>6.77</x:v>
      </x:c>
      <x:c r="R984" s="31" t="n">
        <x:f>ABS(P984-Q984)</x:f>
        <x:v>0.0600000000000005</x:v>
      </x:c>
      <x:c r="S984" s="32" t="n">
        <x:v>25545.732346042176</x:v>
      </x:c>
      <x:c r="T984" s="32" t="n">
        <x:v>18130.217122254344</x:v>
      </x:c>
      <x:c r="U984" s="31" t="n">
        <x:f>MAX(S984/T984,T984/S984)</x:f>
        <x:v>1.4090141432826797</x:v>
      </x:c>
      <x:c r="V984" s="31" t="n">
        <x:f>L984*'Controls &amp; Summary'!$B$9+O984*'Controls &amp; Summary'!$B$10+R984*'Controls &amp; Summary'!$B$11+U984*'Controls &amp; Summary'!$B$12</x:f>
        <x:v>6.15901414328268</x:v>
      </x:c>
      <x:c r="W984" s="31" t="n">
        <x:v>3.54</x:v>
      </x:c>
      <x:c r="X984" s="31" t="n">
        <x:v>0</x:v>
      </x:c>
      <x:c r="Y984" s="31" t="n">
        <x:f>((10-MIN(10,MAX(0,X984)))/10)*'Controls &amp; Summary'!$B$15+((10-MIN(10,MAX(0,W984)))/10)*'Controls &amp; Summary'!$B$16</x:f>
        <x:v>1.646</x:v>
      </x:c>
      <x:c r="Z984" s="31" t="n">
        <x:f>V984*Y984</x:f>
        <x:v>10.137737279843291</x:v>
      </x:c>
      <x:c r="AA984" s="30" t="str">
        <x:f>IF(Z984&lt;=I984,"Peaceful","Hostile")</x:f>
        <x:v>Hostile</x:v>
      </x:c>
      <x:c r="AB984" s="30" t="str">
        <x:f>IF(Z984&lt;='Controls &amp; Summary'!$B$6,"Eligible","Blocked")</x:f>
        <x:v>Eligible</x:v>
      </x:c>
      <x:c r="AC984" s="30" t="str">
        <x:v>2026_CHN</x:v>
      </x:c>
      <x:c r="AD984" s="30" t="str">
        <x:v>2026_MNG</x:v>
      </x:c>
      <x:c r="AE984" s="30" t="str">
        <x:v>2026_Mongolia</x:v>
      </x:c>
      <x:c r="AF984" s="30" t="str">
        <x:v>Explicit capitalClaim</x:v>
      </x:c>
      <x:c r="AG984" s="30" t="str">
        <x:v>Claim2026_CHN2026_Mongolia</x:v>
      </x:c>
      <x:c r="AH984" s="30" t="str">
        <x:v>Project_Pan-AsianCooperative</x:v>
      </x:c>
    </x:row>
    <x:row r="985">
      <x:c r="A985" s="30" t="str">
        <x:v>2026</x:v>
      </x:c>
      <x:c r="B985" s="30" t="str">
        <x:v>Base game</x:v>
      </x:c>
      <x:c r="C985" s="30" t="str">
        <x:v>China</x:v>
      </x:c>
      <x:c r="D985" s="30" t="str">
        <x:v>Myanmar</x:v>
      </x:c>
      <x:c r="E985" s="30" t="str">
        <x:v>Project unlock</x:v>
      </x:c>
      <x:c r="F985" s="30" t="str">
        <x:v>Pan-Asian Cooperative</x:v>
      </x:c>
      <x:c r="G985" s="30" t="str">
        <x:v>No</x:v>
      </x:c>
      <x:c r="H985" s="30" t="str">
        <x:v>Ordinary claim</x:v>
      </x:c>
      <x:c r="I985" s="31" t="n">
        <x:f>IF(G985="Yes",'Controls &amp; Summary'!$B$5,'Controls &amp; Summary'!$B$4)</x:f>
        <x:v>6</x:v>
      </x:c>
      <x:c r="J985" s="31" t="n">
        <x:v>2.24</x:v>
      </x:c>
      <x:c r="K985" s="31" t="n">
        <x:v>0.96</x:v>
      </x:c>
      <x:c r="L985" s="31" t="n">
        <x:f>ABS(J985-K985)</x:f>
        <x:v>1.2800000000000002</x:v>
      </x:c>
      <x:c r="M985" s="31" t="n">
        <x:v>3.57</x:v>
      </x:c>
      <x:c r="N985" s="31" t="n">
        <x:v>3.07</x:v>
      </x:c>
      <x:c r="O985" s="31" t="n">
        <x:f>ABS(M985-N985)</x:f>
        <x:v>0.5</x:v>
      </x:c>
      <x:c r="P985" s="31" t="n">
        <x:v>6.83</x:v>
      </x:c>
      <x:c r="Q985" s="31" t="n">
        <x:v>5.24</x:v>
      </x:c>
      <x:c r="R985" s="31" t="n">
        <x:f>ABS(P985-Q985)</x:f>
        <x:v>1.5899999999999999</x:v>
      </x:c>
      <x:c r="S985" s="32" t="n">
        <x:v>25545.732346042176</x:v>
      </x:c>
      <x:c r="T985" s="32" t="n">
        <x:v>5212.7872341123375</x:v>
      </x:c>
      <x:c r="U985" s="31" t="n">
        <x:f>MAX(S985/T985,T985/S985)</x:f>
        <x:v>4.9005898761552364</x:v>
      </x:c>
      <x:c r="V985" s="31" t="n">
        <x:f>L985*'Controls &amp; Summary'!$B$9+O985*'Controls &amp; Summary'!$B$10+R985*'Controls &amp; Summary'!$B$11+U985*'Controls &amp; Summary'!$B$12</x:f>
        <x:v>8.270589876155237</x:v>
      </x:c>
      <x:c r="W985" s="31" t="n">
        <x:v>3.54</x:v>
      </x:c>
      <x:c r="X985" s="31" t="n">
        <x:v>7.5</x:v>
      </x:c>
      <x:c r="Y985" s="31" t="n">
        <x:f>((10-MIN(10,MAX(0,X985)))/10)*'Controls &amp; Summary'!$B$15+((10-MIN(10,MAX(0,W985)))/10)*'Controls &amp; Summary'!$B$16</x:f>
        <x:v>0.896</x:v>
      </x:c>
      <x:c r="Z985" s="31" t="n">
        <x:f>V985*Y985</x:f>
        <x:v>7.410448529035092</x:v>
      </x:c>
      <x:c r="AA985" s="30" t="str">
        <x:f>IF(Z985&lt;=I985,"Peaceful","Hostile")</x:f>
        <x:v>Hostile</x:v>
      </x:c>
      <x:c r="AB985" s="30" t="str">
        <x:f>IF(Z985&lt;='Controls &amp; Summary'!$B$6,"Eligible","Blocked")</x:f>
        <x:v>Eligible</x:v>
      </x:c>
      <x:c r="AC985" s="30" t="str">
        <x:v>2026_CHN</x:v>
      </x:c>
      <x:c r="AD985" s="30" t="str">
        <x:v>2026_MMR</x:v>
      </x:c>
      <x:c r="AE985" s="30" t="str">
        <x:v>2026_Myanmar</x:v>
      </x:c>
      <x:c r="AF985" s="30" t="str">
        <x:v>Explicit capitalClaim</x:v>
      </x:c>
      <x:c r="AG985" s="30" t="str">
        <x:v>Claim2026_CHN2026_Myanmar</x:v>
      </x:c>
      <x:c r="AH985" s="30" t="str">
        <x:v>Project_Pan-AsianCooperative</x:v>
      </x:c>
    </x:row>
    <x:row r="986">
      <x:c r="A986" s="30" t="str">
        <x:v>2026</x:v>
      </x:c>
      <x:c r="B986" s="30" t="str">
        <x:v>Base game</x:v>
      </x:c>
      <x:c r="C986" s="30" t="str">
        <x:v>China</x:v>
      </x:c>
      <x:c r="D986" s="30" t="str">
        <x:v>Nepal</x:v>
      </x:c>
      <x:c r="E986" s="30" t="str">
        <x:v>Project unlock</x:v>
      </x:c>
      <x:c r="F986" s="30" t="str">
        <x:v>Pan-Asian Cooperative</x:v>
      </x:c>
      <x:c r="G986" s="30" t="str">
        <x:v>No</x:v>
      </x:c>
      <x:c r="H986" s="30" t="str">
        <x:v>Ordinary claim</x:v>
      </x:c>
      <x:c r="I986" s="31" t="n">
        <x:f>IF(G986="Yes",'Controls &amp; Summary'!$B$5,'Controls &amp; Summary'!$B$4)</x:f>
        <x:v>6</x:v>
      </x:c>
      <x:c r="J986" s="31" t="n">
        <x:v>2.24</x:v>
      </x:c>
      <x:c r="K986" s="31" t="n">
        <x:v>4.01</x:v>
      </x:c>
      <x:c r="L986" s="31" t="n">
        <x:f>ABS(J986-K986)</x:f>
        <x:v>1.7699999999999996</x:v>
      </x:c>
      <x:c r="M986" s="31" t="n">
        <x:v>3.57</x:v>
      </x:c>
      <x:c r="N986" s="31" t="n">
        <x:v>3</x:v>
      </x:c>
      <x:c r="O986" s="31" t="n">
        <x:f>ABS(M986-N986)</x:f>
        <x:v>0.5699999999999998</x:v>
      </x:c>
      <x:c r="P986" s="31" t="n">
        <x:v>6.83</x:v>
      </x:c>
      <x:c r="Q986" s="31" t="n">
        <x:v>5.25</x:v>
      </x:c>
      <x:c r="R986" s="31" t="n">
        <x:f>ABS(P986-Q986)</x:f>
        <x:v>1.58</x:v>
      </x:c>
      <x:c r="S986" s="32" t="n">
        <x:v>25545.732346042176</x:v>
      </x:c>
      <x:c r="T986" s="32" t="n">
        <x:v>5365.0477684165835</x:v>
      </x:c>
      <x:c r="U986" s="31" t="n">
        <x:f>MAX(S986/T986,T986/S986)</x:f>
        <x:v>4.761510698269445</x:v>
      </x:c>
      <x:c r="V986" s="31" t="n">
        <x:f>L986*'Controls &amp; Summary'!$B$9+O986*'Controls &amp; Summary'!$B$10+R986*'Controls &amp; Summary'!$B$11+U986*'Controls &amp; Summary'!$B$12</x:f>
        <x:v>8.681510698269445</x:v>
      </x:c>
      <x:c r="W986" s="31" t="n">
        <x:v>3.54</x:v>
      </x:c>
      <x:c r="X986" s="31" t="n">
        <x:v>3</x:v>
      </x:c>
      <x:c r="Y986" s="31" t="n">
        <x:f>((10-MIN(10,MAX(0,X986)))/10)*'Controls &amp; Summary'!$B$15+((10-MIN(10,MAX(0,W986)))/10)*'Controls &amp; Summary'!$B$16</x:f>
        <x:v>1.346</x:v>
      </x:c>
      <x:c r="Z986" s="31" t="n">
        <x:f>V986*Y986</x:f>
        <x:v>11.685313399870674</x:v>
      </x:c>
      <x:c r="AA986" s="30" t="str">
        <x:f>IF(Z986&lt;=I986,"Peaceful","Hostile")</x:f>
        <x:v>Hostile</x:v>
      </x:c>
      <x:c r="AB986" s="30" t="str">
        <x:f>IF(Z986&lt;='Controls &amp; Summary'!$B$6,"Eligible","Blocked")</x:f>
        <x:v>Eligible</x:v>
      </x:c>
      <x:c r="AC986" s="30" t="str">
        <x:v>2026_CHN</x:v>
      </x:c>
      <x:c r="AD986" s="30" t="str">
        <x:v>2026_HYS</x:v>
      </x:c>
      <x:c r="AE986" s="30" t="str">
        <x:v>2026_Himalayas</x:v>
      </x:c>
      <x:c r="AF986" s="30" t="str">
        <x:v>Explicit capitalClaim</x:v>
      </x:c>
      <x:c r="AG986" s="30" t="str">
        <x:v>Claim2026_CHN2026_Himalayas</x:v>
      </x:c>
      <x:c r="AH986" s="30" t="str">
        <x:v>Project_Pan-AsianCooperative</x:v>
      </x:c>
    </x:row>
    <x:row r="987">
      <x:c r="A987" s="30" t="str">
        <x:v>2026</x:v>
      </x:c>
      <x:c r="B987" s="30" t="str">
        <x:v>Base game</x:v>
      </x:c>
      <x:c r="C987" s="30" t="str">
        <x:v>China</x:v>
      </x:c>
      <x:c r="D987" s="30" t="str">
        <x:v>North Korea</x:v>
      </x:c>
      <x:c r="E987" s="30" t="str">
        <x:v>Project unlock</x:v>
      </x:c>
      <x:c r="F987" s="30" t="str">
        <x:v>Pan-Asian Cooperative</x:v>
      </x:c>
      <x:c r="G987" s="30" t="str">
        <x:v>No</x:v>
      </x:c>
      <x:c r="H987" s="30" t="str">
        <x:v>Ordinary claim</x:v>
      </x:c>
      <x:c r="I987" s="31" t="n">
        <x:f>IF(G987="Yes",'Controls &amp; Summary'!$B$5,'Controls &amp; Summary'!$B$4)</x:f>
        <x:v>6</x:v>
      </x:c>
      <x:c r="J987" s="31" t="n">
        <x:v>2.24</x:v>
      </x:c>
      <x:c r="K987" s="31" t="n">
        <x:v>1.08</x:v>
      </x:c>
      <x:c r="L987" s="31" t="n">
        <x:f>ABS(J987-K987)</x:f>
        <x:v>1.1600000000000001</x:v>
      </x:c>
      <x:c r="M987" s="31" t="n">
        <x:v>3.57</x:v>
      </x:c>
      <x:c r="N987" s="31" t="n">
        <x:v>8.6</x:v>
      </x:c>
      <x:c r="O987" s="31" t="n">
        <x:f>ABS(M987-N987)</x:f>
        <x:v>5.029999999999999</x:v>
      </x:c>
      <x:c r="P987" s="31" t="n">
        <x:v>6.83</x:v>
      </x:c>
      <x:c r="Q987" s="31" t="n">
        <x:v>4.85</x:v>
      </x:c>
      <x:c r="R987" s="31" t="n">
        <x:f>ABS(P987-Q987)</x:f>
        <x:v>1.9800000000000004</x:v>
      </x:c>
      <x:c r="S987" s="32" t="n">
        <x:v>25545.732346042176</x:v>
      </x:c>
      <x:c r="T987" s="32" t="n">
        <x:v>6241.452332573806</x:v>
      </x:c>
      <x:c r="U987" s="31" t="n">
        <x:f>MAX(S987/T987,T987/S987)</x:f>
        <x:v>4.092914755227779</x:v>
      </x:c>
      <x:c r="V987" s="31" t="n">
        <x:f>L987*'Controls &amp; Summary'!$B$9+O987*'Controls &amp; Summary'!$B$10+R987*'Controls &amp; Summary'!$B$11+U987*'Controls &amp; Summary'!$B$12</x:f>
        <x:v>12.26291475522778</x:v>
      </x:c>
      <x:c r="W987" s="31" t="n">
        <x:v>3.54</x:v>
      </x:c>
      <x:c r="X987" s="31" t="n">
        <x:v>0.5</x:v>
      </x:c>
      <x:c r="Y987" s="31" t="n">
        <x:f>((10-MIN(10,MAX(0,X987)))/10)*'Controls &amp; Summary'!$B$15+((10-MIN(10,MAX(0,W987)))/10)*'Controls &amp; Summary'!$B$16</x:f>
        <x:v>1.596</x:v>
      </x:c>
      <x:c r="Z987" s="31" t="n">
        <x:f>V987*Y987</x:f>
        <x:v>19.571611949343538</x:v>
      </x:c>
      <x:c r="AA987" s="30" t="str">
        <x:f>IF(Z987&lt;=I987,"Peaceful","Hostile")</x:f>
        <x:v>Hostile</x:v>
      </x:c>
      <x:c r="AB987" s="30" t="str">
        <x:f>IF(Z987&lt;='Controls &amp; Summary'!$B$6,"Eligible","Blocked")</x:f>
        <x:v>Blocked</x:v>
      </x:c>
      <x:c r="AC987" s="30" t="str">
        <x:v>2026_CHN</x:v>
      </x:c>
      <x:c r="AD987" s="30" t="str">
        <x:v>2026_PRK</x:v>
      </x:c>
      <x:c r="AE987" s="30" t="str">
        <x:v>2026_NorthKorea</x:v>
      </x:c>
      <x:c r="AF987" s="30" t="str">
        <x:v>Explicit capitalClaim</x:v>
      </x:c>
      <x:c r="AG987" s="30" t="str">
        <x:v>Claim2026_CHN2026_NorthKorea</x:v>
      </x:c>
      <x:c r="AH987" s="30" t="str">
        <x:v>Project_Pan-AsianCooperative</x:v>
      </x:c>
    </x:row>
    <x:row r="988">
      <x:c r="A988" s="30" t="str">
        <x:v>2026</x:v>
      </x:c>
      <x:c r="B988" s="30" t="str">
        <x:v>Base game</x:v>
      </x:c>
      <x:c r="C988" s="30" t="str">
        <x:v>China</x:v>
      </x:c>
      <x:c r="D988" s="30" t="str">
        <x:v>Singapore</x:v>
      </x:c>
      <x:c r="E988" s="30" t="str">
        <x:v>Project unlock</x:v>
      </x:c>
      <x:c r="F988" s="30" t="str">
        <x:v>Greater PanAsia</x:v>
      </x:c>
      <x:c r="G988" s="30" t="str">
        <x:v>No</x:v>
      </x:c>
      <x:c r="H988" s="30" t="str">
        <x:v>Ordinary claim</x:v>
      </x:c>
      <x:c r="I988" s="31" t="n">
        <x:f>IF(G988="Yes",'Controls &amp; Summary'!$B$5,'Controls &amp; Summary'!$B$4)</x:f>
        <x:v>6</x:v>
      </x:c>
      <x:c r="J988" s="31" t="n">
        <x:v>2.24</x:v>
      </x:c>
      <x:c r="K988" s="31" t="n">
        <x:v>6.18</x:v>
      </x:c>
      <x:c r="L988" s="31" t="n">
        <x:f>ABS(J988-K988)</x:f>
        <x:v>3.9399999999999995</x:v>
      </x:c>
      <x:c r="M988" s="31" t="n">
        <x:v>3.57</x:v>
      </x:c>
      <x:c r="N988" s="31" t="n">
        <x:v>3.8</x:v>
      </x:c>
      <x:c r="O988" s="31" t="n">
        <x:f>ABS(M988-N988)</x:f>
        <x:v>0.22999999999999998</x:v>
      </x:c>
      <x:c r="P988" s="31" t="n">
        <x:v>6.83</x:v>
      </x:c>
      <x:c r="Q988" s="31" t="n">
        <x:v>8.44</x:v>
      </x:c>
      <x:c r="R988" s="31" t="n">
        <x:f>ABS(P988-Q988)</x:f>
        <x:v>1.6099999999999994</x:v>
      </x:c>
      <x:c r="S988" s="32" t="n">
        <x:v>25545.732346042176</x:v>
      </x:c>
      <x:c r="T988" s="32" t="n">
        <x:v>141950.98063784637</x:v>
      </x:c>
      <x:c r="U988" s="31" t="n">
        <x:f>MAX(S988/T988,T988/S988)</x:f>
        <x:v>5.556739525607648</x:v>
      </x:c>
      <x:c r="V988" s="31" t="n">
        <x:f>L988*'Controls &amp; Summary'!$B$9+O988*'Controls &amp; Summary'!$B$10+R988*'Controls &amp; Summary'!$B$11+U988*'Controls &amp; Summary'!$B$12</x:f>
        <x:v>11.336739525607648</x:v>
      </x:c>
      <x:c r="W988" s="31" t="n">
        <x:v>3.54</x:v>
      </x:c>
      <x:c r="X988" s="31" t="n">
        <x:v>0</x:v>
      </x:c>
      <x:c r="Y988" s="31" t="n">
        <x:f>((10-MIN(10,MAX(0,X988)))/10)*'Controls &amp; Summary'!$B$15+((10-MIN(10,MAX(0,W988)))/10)*'Controls &amp; Summary'!$B$16</x:f>
        <x:v>1.646</x:v>
      </x:c>
      <x:c r="Z988" s="31" t="n">
        <x:f>V988*Y988</x:f>
        <x:v>18.660273259150188</x:v>
      </x:c>
      <x:c r="AA988" s="30" t="str">
        <x:f>IF(Z988&lt;=I988,"Peaceful","Hostile")</x:f>
        <x:v>Hostile</x:v>
      </x:c>
      <x:c r="AB988" s="30" t="str">
        <x:f>IF(Z988&lt;='Controls &amp; Summary'!$B$6,"Eligible","Blocked")</x:f>
        <x:v>Blocked</x:v>
      </x:c>
      <x:c r="AC988" s="30" t="str">
        <x:v>2026_CHN</x:v>
      </x:c>
      <x:c r="AD988" s="30" t="str">
        <x:v>2026_SGP</x:v>
      </x:c>
      <x:c r="AE988" s="30" t="str">
        <x:v>2026_Singapore</x:v>
      </x:c>
      <x:c r="AF988" s="30" t="str">
        <x:v>Explicit capitalClaim</x:v>
      </x:c>
      <x:c r="AG988" s="30" t="str">
        <x:v>Claim2026_CHN2026_Singapore</x:v>
      </x:c>
      <x:c r="AH988" s="30" t="str">
        <x:v>Project_GreaterPanAsia</x:v>
      </x:c>
    </x:row>
    <x:row r="989">
      <x:c r="A989" s="30" t="str">
        <x:v>2026</x:v>
      </x:c>
      <x:c r="B989" s="30" t="str">
        <x:v>Base game</x:v>
      </x:c>
      <x:c r="C989" s="30" t="str">
        <x:v>China</x:v>
      </x:c>
      <x:c r="D989" s="30" t="str">
        <x:v>South Korea</x:v>
      </x:c>
      <x:c r="E989" s="30" t="str">
        <x:v>Project unlock</x:v>
      </x:c>
      <x:c r="F989" s="30" t="str">
        <x:v>Pan-Asian Cooperative</x:v>
      </x:c>
      <x:c r="G989" s="30" t="str">
        <x:v>No</x:v>
      </x:c>
      <x:c r="H989" s="30" t="str">
        <x:v>Ordinary claim</x:v>
      </x:c>
      <x:c r="I989" s="31" t="n">
        <x:f>IF(G989="Yes",'Controls &amp; Summary'!$B$5,'Controls &amp; Summary'!$B$4)</x:f>
        <x:v>6</x:v>
      </x:c>
      <x:c r="J989" s="31" t="n">
        <x:v>2.24</x:v>
      </x:c>
      <x:c r="K989" s="31" t="n">
        <x:v>7.75</x:v>
      </x:c>
      <x:c r="L989" s="31" t="n">
        <x:f>ABS(J989-K989)</x:f>
        <x:v>5.51</x:v>
      </x:c>
      <x:c r="M989" s="31" t="n">
        <x:v>3.57</x:v>
      </x:c>
      <x:c r="N989" s="31" t="n">
        <x:v>3.29</x:v>
      </x:c>
      <x:c r="O989" s="31" t="n">
        <x:f>ABS(M989-N989)</x:f>
        <x:v>0.2799999999999998</x:v>
      </x:c>
      <x:c r="P989" s="31" t="n">
        <x:v>6.83</x:v>
      </x:c>
      <x:c r="Q989" s="31" t="n">
        <x:v>8.64</x:v>
      </x:c>
      <x:c r="R989" s="31" t="n">
        <x:f>ABS(P989-Q989)</x:f>
        <x:v>1.8100000000000005</x:v>
      </x:c>
      <x:c r="S989" s="32" t="n">
        <x:v>25545.732346042176</x:v>
      </x:c>
      <x:c r="T989" s="32" t="n">
        <x:v>57360.20279537433</x:v>
      </x:c>
      <x:c r="U989" s="31" t="n">
        <x:f>MAX(S989/T989,T989/S989)</x:f>
        <x:v>2.245392773179243</x:v>
      </x:c>
      <x:c r="V989" s="31" t="n">
        <x:f>L989*'Controls &amp; Summary'!$B$9+O989*'Controls &amp; Summary'!$B$10+R989*'Controls &amp; Summary'!$B$11+U989*'Controls &amp; Summary'!$B$12</x:f>
        <x:v>9.845392773179242</x:v>
      </x:c>
      <x:c r="W989" s="31" t="n">
        <x:v>3.54</x:v>
      </x:c>
      <x:c r="X989" s="31" t="n">
        <x:v>0.5</x:v>
      </x:c>
      <x:c r="Y989" s="31" t="n">
        <x:f>((10-MIN(10,MAX(0,X989)))/10)*'Controls &amp; Summary'!$B$15+((10-MIN(10,MAX(0,W989)))/10)*'Controls &amp; Summary'!$B$16</x:f>
        <x:v>1.596</x:v>
      </x:c>
      <x:c r="Z989" s="31" t="n">
        <x:f>V989*Y989</x:f>
        <x:v>15.713246865994071</x:v>
      </x:c>
      <x:c r="AA989" s="30" t="str">
        <x:f>IF(Z989&lt;=I989,"Peaceful","Hostile")</x:f>
        <x:v>Hostile</x:v>
      </x:c>
      <x:c r="AB989" s="30" t="str">
        <x:f>IF(Z989&lt;='Controls &amp; Summary'!$B$6,"Eligible","Blocked")</x:f>
        <x:v>Blocked</x:v>
      </x:c>
      <x:c r="AC989" s="30" t="str">
        <x:v>2026_CHN</x:v>
      </x:c>
      <x:c r="AD989" s="30" t="str">
        <x:v>2026_KOR</x:v>
      </x:c>
      <x:c r="AE989" s="30" t="str">
        <x:v>2026_SouthKorea</x:v>
      </x:c>
      <x:c r="AF989" s="30" t="str">
        <x:v>Explicit capitalClaim</x:v>
      </x:c>
      <x:c r="AG989" s="30" t="str">
        <x:v>Claim2026_CHN2026_SouthKorea</x:v>
      </x:c>
      <x:c r="AH989" s="30" t="str">
        <x:v>Project_Pan-AsianCooperative</x:v>
      </x:c>
    </x:row>
    <x:row r="990">
      <x:c r="A990" s="30" t="str">
        <x:v>2026</x:v>
      </x:c>
      <x:c r="B990" s="30" t="str">
        <x:v>Base game</x:v>
      </x:c>
      <x:c r="C990" s="30" t="str">
        <x:v>China</x:v>
      </x:c>
      <x:c r="D990" s="30" t="str">
        <x:v>Taiwan</x:v>
      </x:c>
      <x:c r="E990" s="30" t="str">
        <x:v>Starting claim</x:v>
      </x:c>
      <x:c r="F990" s="30" t="str"/>
      <x:c r="G990" s="30" t="str">
        <x:v>Yes</x:v>
      </x:c>
      <x:c r="H990" s="30" t="str">
        <x:v>Approved bilateral grievance</x:v>
      </x:c>
      <x:c r="I990" s="31" t="n">
        <x:f>IF(G990="Yes",'Controls &amp; Summary'!$B$5,'Controls &amp; Summary'!$B$4)</x:f>
        <x:v>3</x:v>
      </x:c>
      <x:c r="J990" s="31" t="n">
        <x:v>2.24</x:v>
      </x:c>
      <x:c r="K990" s="31" t="n">
        <x:v>8.78</x:v>
      </x:c>
      <x:c r="L990" s="31" t="n">
        <x:f>ABS(J990-K990)</x:f>
        <x:v>6.539999999999999</x:v>
      </x:c>
      <x:c r="M990" s="31" t="n">
        <x:v>3.57</x:v>
      </x:c>
      <x:c r="N990" s="31" t="n">
        <x:v>3.41</x:v>
      </x:c>
      <x:c r="O990" s="31" t="n">
        <x:f>ABS(M990-N990)</x:f>
        <x:v>0.1599999999999997</x:v>
      </x:c>
      <x:c r="P990" s="31" t="n">
        <x:v>6.83</x:v>
      </x:c>
      <x:c r="Q990" s="31" t="n">
        <x:v>9.26</x:v>
      </x:c>
      <x:c r="R990" s="31" t="n">
        <x:f>ABS(P990-Q990)</x:f>
        <x:v>2.4299999999999997</x:v>
      </x:c>
      <x:c r="S990" s="32" t="n">
        <x:v>25545.732346042176</x:v>
      </x:c>
      <x:c r="T990" s="32" t="n">
        <x:v>76112.01334927218</x:v>
      </x:c>
      <x:c r="U990" s="31" t="n">
        <x:f>MAX(S990/T990,T990/S990)</x:f>
        <x:v>2.9794414314790347</x:v>
      </x:c>
      <x:c r="V990" s="31" t="n">
        <x:f>L990*'Controls &amp; Summary'!$B$9+O990*'Controls &amp; Summary'!$B$10+R990*'Controls &amp; Summary'!$B$11+U990*'Controls &amp; Summary'!$B$12</x:f>
        <x:v>12.109441431479034</x:v>
      </x:c>
      <x:c r="W990" s="31" t="n">
        <x:v>3.54</x:v>
      </x:c>
      <x:c r="X990" s="31" t="n">
        <x:v>0</x:v>
      </x:c>
      <x:c r="Y990" s="31" t="n">
        <x:f>((10-MIN(10,MAX(0,X990)))/10)*'Controls &amp; Summary'!$B$15+((10-MIN(10,MAX(0,W990)))/10)*'Controls &amp; Summary'!$B$16</x:f>
        <x:v>1.646</x:v>
      </x:c>
      <x:c r="Z990" s="31" t="n">
        <x:f>V990*Y990</x:f>
        <x:v>19.932140596214488</x:v>
      </x:c>
      <x:c r="AA990" s="30" t="str">
        <x:f>IF(Z990&lt;=I990,"Peaceful","Hostile")</x:f>
        <x:v>Hostile</x:v>
      </x:c>
      <x:c r="AB990" s="30" t="str">
        <x:f>IF(Z990&lt;='Controls &amp; Summary'!$B$6,"Eligible","Blocked")</x:f>
        <x:v>Blocked</x:v>
      </x:c>
      <x:c r="AC990" s="30" t="str">
        <x:v>2026_CHN</x:v>
      </x:c>
      <x:c r="AD990" s="30" t="str">
        <x:v>2026_TWN</x:v>
      </x:c>
      <x:c r="AE990" s="30" t="str">
        <x:v>2026_Taiwan</x:v>
      </x:c>
      <x:c r="AF990" s="30" t="str">
        <x:v>Largest owned population fallback</x:v>
      </x:c>
      <x:c r="AG990" s="30" t="str">
        <x:v>Claim2026_CHN2026_Taiwan</x:v>
      </x:c>
      <x:c r="AH990" s="30" t="str"/>
    </x:row>
    <x:row r="991">
      <x:c r="A991" s="30" t="str">
        <x:v>2026</x:v>
      </x:c>
      <x:c r="B991" s="30" t="str">
        <x:v>Base game</x:v>
      </x:c>
      <x:c r="C991" s="30" t="str">
        <x:v>China</x:v>
      </x:c>
      <x:c r="D991" s="30" t="str">
        <x:v>Thailand</x:v>
      </x:c>
      <x:c r="E991" s="30" t="str">
        <x:v>Project unlock</x:v>
      </x:c>
      <x:c r="F991" s="30" t="str">
        <x:v>Pan-Asian Cooperative</x:v>
      </x:c>
      <x:c r="G991" s="30" t="str">
        <x:v>No</x:v>
      </x:c>
      <x:c r="H991" s="30" t="str">
        <x:v>Ordinary claim</x:v>
      </x:c>
      <x:c r="I991" s="31" t="n">
        <x:f>IF(G991="Yes",'Controls &amp; Summary'!$B$5,'Controls &amp; Summary'!$B$4)</x:f>
        <x:v>6</x:v>
      </x:c>
      <x:c r="J991" s="31" t="n">
        <x:v>2.24</x:v>
      </x:c>
      <x:c r="K991" s="31" t="n">
        <x:v>6.59</x:v>
      </x:c>
      <x:c r="L991" s="31" t="n">
        <x:f>ABS(J991-K991)</x:f>
        <x:v>4.35</x:v>
      </x:c>
      <x:c r="M991" s="31" t="n">
        <x:v>3.57</x:v>
      </x:c>
      <x:c r="N991" s="31" t="n">
        <x:v>3.49</x:v>
      </x:c>
      <x:c r="O991" s="31" t="n">
        <x:f>ABS(M991-N991)</x:f>
        <x:v>0.07999999999999963</x:v>
      </x:c>
      <x:c r="P991" s="31" t="n">
        <x:v>6.83</x:v>
      </x:c>
      <x:c r="Q991" s="31" t="n">
        <x:v>7.12</x:v>
      </x:c>
      <x:c r="R991" s="31" t="n">
        <x:f>ABS(P991-Q991)</x:f>
        <x:v>0.29000000000000004</x:v>
      </x:c>
      <x:c r="S991" s="32" t="n">
        <x:v>25545.732346042176</x:v>
      </x:c>
      <x:c r="T991" s="32" t="n">
        <x:v>22796.63610259273</x:v>
      </x:c>
      <x:c r="U991" s="31" t="n">
        <x:f>MAX(S991/T991,T991/S991)</x:f>
        <x:v>1.120592188736863</x:v>
      </x:c>
      <x:c r="V991" s="31" t="n">
        <x:f>L991*'Controls &amp; Summary'!$B$9+O991*'Controls &amp; Summary'!$B$10+R991*'Controls &amp; Summary'!$B$11+U991*'Controls &amp; Summary'!$B$12</x:f>
        <x:v>5.840592188736863</x:v>
      </x:c>
      <x:c r="W991" s="31" t="n">
        <x:v>3.54</x:v>
      </x:c>
      <x:c r="X991" s="31" t="n">
        <x:v>1</x:v>
      </x:c>
      <x:c r="Y991" s="31" t="n">
        <x:f>((10-MIN(10,MAX(0,X991)))/10)*'Controls &amp; Summary'!$B$15+((10-MIN(10,MAX(0,W991)))/10)*'Controls &amp; Summary'!$B$16</x:f>
        <x:v>1.546</x:v>
      </x:c>
      <x:c r="Z991" s="31" t="n">
        <x:f>V991*Y991</x:f>
        <x:v>9.02955552378719</x:v>
      </x:c>
      <x:c r="AA991" s="30" t="str">
        <x:f>IF(Z991&lt;=I991,"Peaceful","Hostile")</x:f>
        <x:v>Hostile</x:v>
      </x:c>
      <x:c r="AB991" s="30" t="str">
        <x:f>IF(Z991&lt;='Controls &amp; Summary'!$B$6,"Eligible","Blocked")</x:f>
        <x:v>Eligible</x:v>
      </x:c>
      <x:c r="AC991" s="30" t="str">
        <x:v>2026_CHN</x:v>
      </x:c>
      <x:c r="AD991" s="30" t="str">
        <x:v>2026_THA</x:v>
      </x:c>
      <x:c r="AE991" s="30" t="str">
        <x:v>2026_Bangkok</x:v>
      </x:c>
      <x:c r="AF991" s="30" t="str">
        <x:v>Explicit capitalClaim</x:v>
      </x:c>
      <x:c r="AG991" s="30" t="str">
        <x:v>Claim2026_CHN2026_Bangkok</x:v>
      </x:c>
      <x:c r="AH991" s="30" t="str">
        <x:v>Project_Pan-AsianCooperative</x:v>
      </x:c>
    </x:row>
    <x:row r="992">
      <x:c r="A992" s="30" t="str">
        <x:v>2026</x:v>
      </x:c>
      <x:c r="B992" s="30" t="str">
        <x:v>Base game</x:v>
      </x:c>
      <x:c r="C992" s="30" t="str">
        <x:v>China</x:v>
      </x:c>
      <x:c r="D992" s="30" t="str">
        <x:v>Vietnam</x:v>
      </x:c>
      <x:c r="E992" s="30" t="str">
        <x:v>Project unlock</x:v>
      </x:c>
      <x:c r="F992" s="30" t="str">
        <x:v>Pan-Asian Cooperative</x:v>
      </x:c>
      <x:c r="G992" s="30" t="str">
        <x:v>No</x:v>
      </x:c>
      <x:c r="H992" s="30" t="str">
        <x:v>Ordinary claim</x:v>
      </x:c>
      <x:c r="I992" s="31" t="n">
        <x:f>IF(G992="Yes",'Controls &amp; Summary'!$B$5,'Controls &amp; Summary'!$B$4)</x:f>
        <x:v>6</x:v>
      </x:c>
      <x:c r="J992" s="31" t="n">
        <x:v>2.24</x:v>
      </x:c>
      <x:c r="K992" s="31" t="n">
        <x:v>2.62</x:v>
      </x:c>
      <x:c r="L992" s="31" t="n">
        <x:f>ABS(J992-K992)</x:f>
        <x:v>0.3799999999999999</x:v>
      </x:c>
      <x:c r="M992" s="31" t="n">
        <x:v>3.57</x:v>
      </x:c>
      <x:c r="N992" s="31" t="n">
        <x:v>3.61</x:v>
      </x:c>
      <x:c r="O992" s="31" t="n">
        <x:f>ABS(M992-N992)</x:f>
        <x:v>0.040000000000000036</x:v>
      </x:c>
      <x:c r="P992" s="31" t="n">
        <x:v>6.83</x:v>
      </x:c>
      <x:c r="Q992" s="31" t="n">
        <x:v>7.15</x:v>
      </x:c>
      <x:c r="R992" s="31" t="n">
        <x:f>ABS(P992-Q992)</x:f>
        <x:v>0.3200000000000003</x:v>
      </x:c>
      <x:c r="S992" s="32" t="n">
        <x:v>25545.732346042176</x:v>
      </x:c>
      <x:c r="T992" s="32" t="n">
        <x:v>15563.162867150184</x:v>
      </x:c>
      <x:c r="U992" s="31" t="n">
        <x:f>MAX(S992/T992,T992/S992)</x:f>
        <x:v>1.6414229269528893</x:v>
      </x:c>
      <x:c r="V992" s="31" t="n">
        <x:f>L992*'Controls &amp; Summary'!$B$9+O992*'Controls &amp; Summary'!$B$10+R992*'Controls &amp; Summary'!$B$11+U992*'Controls &amp; Summary'!$B$12</x:f>
        <x:v>2.3814229269528893</x:v>
      </x:c>
      <x:c r="W992" s="31" t="n">
        <x:v>3.54</x:v>
      </x:c>
      <x:c r="X992" s="31" t="n">
        <x:v>0.5</x:v>
      </x:c>
      <x:c r="Y992" s="31" t="n">
        <x:f>((10-MIN(10,MAX(0,X992)))/10)*'Controls &amp; Summary'!$B$15+((10-MIN(10,MAX(0,W992)))/10)*'Controls &amp; Summary'!$B$16</x:f>
        <x:v>1.596</x:v>
      </x:c>
      <x:c r="Z992" s="31" t="n">
        <x:f>V992*Y992</x:f>
        <x:v>3.8007509914168116</x:v>
      </x:c>
      <x:c r="AA992" s="30" t="str">
        <x:f>IF(Z992&lt;=I992,"Peaceful","Hostile")</x:f>
        <x:v>Peaceful</x:v>
      </x:c>
      <x:c r="AB992" s="30" t="str">
        <x:f>IF(Z992&lt;='Controls &amp; Summary'!$B$6,"Eligible","Blocked")</x:f>
        <x:v>Eligible</x:v>
      </x:c>
      <x:c r="AC992" s="30" t="str">
        <x:v>2026_CHN</x:v>
      </x:c>
      <x:c r="AD992" s="30" t="str">
        <x:v>2026_VNM</x:v>
      </x:c>
      <x:c r="AE992" s="30" t="str">
        <x:v>2026_Hanoi</x:v>
      </x:c>
      <x:c r="AF992" s="30" t="str">
        <x:v>Explicit capitalClaim</x:v>
      </x:c>
      <x:c r="AG992" s="30" t="str">
        <x:v>Claim2026_CHN2026_Hanoi</x:v>
      </x:c>
      <x:c r="AH992" s="30" t="str">
        <x:v>Project_Pan-AsianCooperative</x:v>
      </x:c>
    </x:row>
    <x:row r="993">
      <x:c r="A993" s="30" t="str">
        <x:v>2026</x:v>
      </x:c>
      <x:c r="B993" s="30" t="str">
        <x:v>Base game</x:v>
      </x:c>
      <x:c r="C993" s="30" t="str">
        <x:v>Colombia</x:v>
      </x:c>
      <x:c r="D993" s="30" t="str">
        <x:v>Argentina</x:v>
      </x:c>
      <x:c r="E993" s="30" t="str">
        <x:v>Project unlock</x:v>
      </x:c>
      <x:c r="F993" s="30" t="str">
        <x:v>Unidad Colombia</x:v>
      </x:c>
      <x:c r="G993" s="30" t="str">
        <x:v>No</x:v>
      </x:c>
      <x:c r="H993" s="30" t="str">
        <x:v>Ordinary claim</x:v>
      </x:c>
      <x:c r="I993" s="31" t="n">
        <x:f>IF(G993="Yes",'Controls &amp; Summary'!$B$5,'Controls &amp; Summary'!$B$4)</x:f>
        <x:v>6</x:v>
      </x:c>
      <x:c r="J993" s="31" t="n">
        <x:v>6.04</x:v>
      </x:c>
      <x:c r="K993" s="31" t="n">
        <x:v>6.89</x:v>
      </x:c>
      <x:c r="L993" s="31" t="n">
        <x:f>ABS(J993-K993)</x:f>
        <x:v>0.8499999999999996</x:v>
      </x:c>
      <x:c r="M993" s="31" t="n">
        <x:v>5.48</x:v>
      </x:c>
      <x:c r="N993" s="31" t="n">
        <x:v>4.07</x:v>
      </x:c>
      <x:c r="O993" s="31" t="n">
        <x:f>ABS(M993-N993)</x:f>
        <x:v>1.4100000000000001</x:v>
      </x:c>
      <x:c r="P993" s="31" t="n">
        <x:v>6.83</x:v>
      </x:c>
      <x:c r="Q993" s="31" t="n">
        <x:v>8.74</x:v>
      </x:c>
      <x:c r="R993" s="31" t="n">
        <x:f>ABS(P993-Q993)</x:f>
        <x:v>1.9100000000000001</x:v>
      </x:c>
      <x:c r="S993" s="32" t="n">
        <x:v>19406.79349719426</x:v>
      </x:c>
      <x:c r="T993" s="32" t="n">
        <x:v>28505.172580338804</x:v>
      </x:c>
      <x:c r="U993" s="31" t="n">
        <x:f>MAX(S993/T993,T993/S993)</x:f>
        <x:v>1.4688244394654864</x:v>
      </x:c>
      <x:c r="V993" s="31" t="n">
        <x:f>L993*'Controls &amp; Summary'!$B$9+O993*'Controls &amp; Summary'!$B$10+R993*'Controls &amp; Summary'!$B$11+U993*'Controls &amp; Summary'!$B$12</x:f>
        <x:v>5.638824439465486</x:v>
      </x:c>
      <x:c r="W993" s="31" t="n">
        <x:v>1.9</x:v>
      </x:c>
      <x:c r="X993" s="31" t="n">
        <x:v>1</x:v>
      </x:c>
      <x:c r="Y993" s="31" t="n">
        <x:f>((10-MIN(10,MAX(0,X993)))/10)*'Controls &amp; Summary'!$B$15+((10-MIN(10,MAX(0,W993)))/10)*'Controls &amp; Summary'!$B$16</x:f>
        <x:v>1.71</x:v>
      </x:c>
      <x:c r="Z993" s="31" t="n">
        <x:f>V993*Y993</x:f>
        <x:v>9.64238979148598</x:v>
      </x:c>
      <x:c r="AA993" s="30" t="str">
        <x:f>IF(Z993&lt;=I993,"Peaceful","Hostile")</x:f>
        <x:v>Hostile</x:v>
      </x:c>
      <x:c r="AB993" s="30" t="str">
        <x:f>IF(Z993&lt;='Controls &amp; Summary'!$B$6,"Eligible","Blocked")</x:f>
        <x:v>Eligible</x:v>
      </x:c>
      <x:c r="AC993" s="30" t="str">
        <x:v>2026_COL</x:v>
      </x:c>
      <x:c r="AD993" s="30" t="str">
        <x:v>2026_ARG</x:v>
      </x:c>
      <x:c r="AE993" s="30" t="str">
        <x:v>2026_Pampas</x:v>
      </x:c>
      <x:c r="AF993" s="30" t="str">
        <x:v>Explicit capitalClaim</x:v>
      </x:c>
      <x:c r="AG993" s="30" t="str">
        <x:v>Claim2026_COL2026_Pampas</x:v>
      </x:c>
      <x:c r="AH993" s="30" t="str">
        <x:v>Project_UnidadColombia</x:v>
      </x:c>
    </x:row>
    <x:row r="994">
      <x:c r="A994" s="30" t="str">
        <x:v>2026</x:v>
      </x:c>
      <x:c r="B994" s="30" t="str">
        <x:v>Base game</x:v>
      </x:c>
      <x:c r="C994" s="30" t="str">
        <x:v>Colombia</x:v>
      </x:c>
      <x:c r="D994" s="30" t="str">
        <x:v>Bolivia</x:v>
      </x:c>
      <x:c r="E994" s="30" t="str">
        <x:v>Project unlock</x:v>
      </x:c>
      <x:c r="F994" s="30" t="str">
        <x:v>Unidad Colombia</x:v>
      </x:c>
      <x:c r="G994" s="30" t="str">
        <x:v>No</x:v>
      </x:c>
      <x:c r="H994" s="30" t="str">
        <x:v>Ordinary claim</x:v>
      </x:c>
      <x:c r="I994" s="31" t="n">
        <x:f>IF(G994="Yes",'Controls &amp; Summary'!$B$5,'Controls &amp; Summary'!$B$4)</x:f>
        <x:v>6</x:v>
      </x:c>
      <x:c r="J994" s="31" t="n">
        <x:v>6.04</x:v>
      </x:c>
      <x:c r="K994" s="31" t="n">
        <x:v>5.38</x:v>
      </x:c>
      <x:c r="L994" s="31" t="n">
        <x:f>ABS(J994-K994)</x:f>
        <x:v>0.6600000000000001</x:v>
      </x:c>
      <x:c r="M994" s="31" t="n">
        <x:v>5.48</x:v>
      </x:c>
      <x:c r="N994" s="31" t="n">
        <x:v>4.09</x:v>
      </x:c>
      <x:c r="O994" s="31" t="n">
        <x:f>ABS(M994-N994)</x:f>
        <x:v>1.3900000000000006</x:v>
      </x:c>
      <x:c r="P994" s="31" t="n">
        <x:v>6.83</x:v>
      </x:c>
      <x:c r="Q994" s="31" t="n">
        <x:v>7.5</x:v>
      </x:c>
      <x:c r="R994" s="31" t="n">
        <x:f>ABS(P994-Q994)</x:f>
        <x:v>0.6699999999999999</x:v>
      </x:c>
      <x:c r="S994" s="32" t="n">
        <x:v>19406.79349719426</x:v>
      </x:c>
      <x:c r="T994" s="32" t="n">
        <x:v>9946.14053440305</x:v>
      </x:c>
      <x:c r="U994" s="31" t="n">
        <x:f>MAX(S994/T994,T994/S994)</x:f>
        <x:v>1.9511883458782258</x:v>
      </x:c>
      <x:c r="V994" s="31" t="n">
        <x:f>L994*'Controls &amp; Summary'!$B$9+O994*'Controls &amp; Summary'!$B$10+R994*'Controls &amp; Summary'!$B$11+U994*'Controls &amp; Summary'!$B$12</x:f>
        <x:v>4.671188345878226</x:v>
      </x:c>
      <x:c r="W994" s="31" t="n">
        <x:v>1.9</x:v>
      </x:c>
      <x:c r="X994" s="31" t="n">
        <x:v>2.5</x:v>
      </x:c>
      <x:c r="Y994" s="31" t="n">
        <x:f>((10-MIN(10,MAX(0,X994)))/10)*'Controls &amp; Summary'!$B$15+((10-MIN(10,MAX(0,W994)))/10)*'Controls &amp; Summary'!$B$16</x:f>
        <x:v>1.56</x:v>
      </x:c>
      <x:c r="Z994" s="31" t="n">
        <x:f>V994*Y994</x:f>
        <x:v>7.287053819570033</x:v>
      </x:c>
      <x:c r="AA994" s="30" t="str">
        <x:f>IF(Z994&lt;=I994,"Peaceful","Hostile")</x:f>
        <x:v>Hostile</x:v>
      </x:c>
      <x:c r="AB994" s="30" t="str">
        <x:f>IF(Z994&lt;='Controls &amp; Summary'!$B$6,"Eligible","Blocked")</x:f>
        <x:v>Eligible</x:v>
      </x:c>
      <x:c r="AC994" s="30" t="str">
        <x:v>2026_COL</x:v>
      </x:c>
      <x:c r="AD994" s="30" t="str">
        <x:v>2026_BOL</x:v>
      </x:c>
      <x:c r="AE994" s="30" t="str">
        <x:v>2026_Bolivia</x:v>
      </x:c>
      <x:c r="AF994" s="30" t="str">
        <x:v>Explicit capitalClaim</x:v>
      </x:c>
      <x:c r="AG994" s="30" t="str">
        <x:v>Claim2026_COL2026_Bolivia</x:v>
      </x:c>
      <x:c r="AH994" s="30" t="str">
        <x:v>Project_UnidadColombia</x:v>
      </x:c>
    </x:row>
    <x:row r="995">
      <x:c r="A995" s="30" t="str">
        <x:v>2026</x:v>
      </x:c>
      <x:c r="B995" s="30" t="str">
        <x:v>Base game</x:v>
      </x:c>
      <x:c r="C995" s="30" t="str">
        <x:v>Colombia</x:v>
      </x:c>
      <x:c r="D995" s="30" t="str">
        <x:v>Chile</x:v>
      </x:c>
      <x:c r="E995" s="30" t="str">
        <x:v>Project unlock</x:v>
      </x:c>
      <x:c r="F995" s="30" t="str">
        <x:v>Unidad Colombia</x:v>
      </x:c>
      <x:c r="G995" s="30" t="str">
        <x:v>No</x:v>
      </x:c>
      <x:c r="H995" s="30" t="str">
        <x:v>Ordinary claim</x:v>
      </x:c>
      <x:c r="I995" s="31" t="n">
        <x:f>IF(G995="Yes",'Controls &amp; Summary'!$B$5,'Controls &amp; Summary'!$B$4)</x:f>
        <x:v>6</x:v>
      </x:c>
      <x:c r="J995" s="31" t="n">
        <x:v>6.04</x:v>
      </x:c>
      <x:c r="K995" s="31" t="n">
        <x:v>7.97</x:v>
      </x:c>
      <x:c r="L995" s="31" t="n">
        <x:f>ABS(J995-K995)</x:f>
        <x:v>1.9299999999999997</x:v>
      </x:c>
      <x:c r="M995" s="31" t="n">
        <x:v>5.48</x:v>
      </x:c>
      <x:c r="N995" s="31" t="n">
        <x:v>4.3</x:v>
      </x:c>
      <x:c r="O995" s="31" t="n">
        <x:f>ABS(M995-N995)</x:f>
        <x:v>1.1800000000000006</x:v>
      </x:c>
      <x:c r="P995" s="31" t="n">
        <x:v>6.83</x:v>
      </x:c>
      <x:c r="Q995" s="31" t="n">
        <x:v>8.27</x:v>
      </x:c>
      <x:c r="R995" s="31" t="n">
        <x:f>ABS(P995-Q995)</x:f>
        <x:v>1.4399999999999995</x:v>
      </x:c>
      <x:c r="S995" s="32" t="n">
        <x:v>19406.79349719426</x:v>
      </x:c>
      <x:c r="T995" s="32" t="n">
        <x:v>31333.41522171279</x:v>
      </x:c>
      <x:c r="U995" s="31" t="n">
        <x:f>MAX(S995/T995,T995/S995)</x:f>
        <x:v>1.6145591092234182</x:v>
      </x:c>
      <x:c r="V995" s="31" t="n">
        <x:f>L995*'Controls &amp; Summary'!$B$9+O995*'Controls &amp; Summary'!$B$10+R995*'Controls &amp; Summary'!$B$11+U995*'Controls &amp; Summary'!$B$12</x:f>
        <x:v>6.164559109223418</x:v>
      </x:c>
      <x:c r="W995" s="31" t="n">
        <x:v>1.9</x:v>
      </x:c>
      <x:c r="X995" s="31" t="n">
        <x:v>2.75</x:v>
      </x:c>
      <x:c r="Y995" s="31" t="n">
        <x:f>((10-MIN(10,MAX(0,X995)))/10)*'Controls &amp; Summary'!$B$15+((10-MIN(10,MAX(0,W995)))/10)*'Controls &amp; Summary'!$B$16</x:f>
        <x:v>1.535</x:v>
      </x:c>
      <x:c r="Z995" s="31" t="n">
        <x:f>V995*Y995</x:f>
        <x:v>9.462598232657946</x:v>
      </x:c>
      <x:c r="AA995" s="30" t="str">
        <x:f>IF(Z995&lt;=I995,"Peaceful","Hostile")</x:f>
        <x:v>Hostile</x:v>
      </x:c>
      <x:c r="AB995" s="30" t="str">
        <x:f>IF(Z995&lt;='Controls &amp; Summary'!$B$6,"Eligible","Blocked")</x:f>
        <x:v>Eligible</x:v>
      </x:c>
      <x:c r="AC995" s="30" t="str">
        <x:v>2026_COL</x:v>
      </x:c>
      <x:c r="AD995" s="30" t="str">
        <x:v>2026_CHL</x:v>
      </x:c>
      <x:c r="AE995" s="30" t="str">
        <x:v>2026_Santiago</x:v>
      </x:c>
      <x:c r="AF995" s="30" t="str">
        <x:v>Explicit capitalClaim</x:v>
      </x:c>
      <x:c r="AG995" s="30" t="str">
        <x:v>Claim2026_COL2026_Santiago</x:v>
      </x:c>
      <x:c r="AH995" s="30" t="str">
        <x:v>Project_UnidadColombia</x:v>
      </x:c>
    </x:row>
    <x:row r="996">
      <x:c r="A996" s="30" t="str">
        <x:v>2026</x:v>
      </x:c>
      <x:c r="B996" s="30" t="str">
        <x:v>Base game</x:v>
      </x:c>
      <x:c r="C996" s="30" t="str">
        <x:v>Colombia</x:v>
      </x:c>
      <x:c r="D996" s="30" t="str">
        <x:v>Costa Rica</x:v>
      </x:c>
      <x:c r="E996" s="30" t="str">
        <x:v>Project unlock</x:v>
      </x:c>
      <x:c r="F996" s="30" t="str">
        <x:v>Unidad Colombia</x:v>
      </x:c>
      <x:c r="G996" s="30" t="str">
        <x:v>No</x:v>
      </x:c>
      <x:c r="H996" s="30" t="str">
        <x:v>Ordinary claim</x:v>
      </x:c>
      <x:c r="I996" s="31" t="n">
        <x:f>IF(G996="Yes",'Controls &amp; Summary'!$B$5,'Controls &amp; Summary'!$B$4)</x:f>
        <x:v>6</x:v>
      </x:c>
      <x:c r="J996" s="31" t="n">
        <x:v>6.04</x:v>
      </x:c>
      <x:c r="K996" s="31" t="n">
        <x:v>8.29</x:v>
      </x:c>
      <x:c r="L996" s="31" t="n">
        <x:f>ABS(J996-K996)</x:f>
        <x:v>2.249999999999999</x:v>
      </x:c>
      <x:c r="M996" s="31" t="n">
        <x:v>5.48</x:v>
      </x:c>
      <x:c r="N996" s="31" t="n">
        <x:v>4.67</x:v>
      </x:c>
      <x:c r="O996" s="31" t="n">
        <x:f>ABS(M996-N996)</x:f>
        <x:v>0.8100000000000005</x:v>
      </x:c>
      <x:c r="P996" s="31" t="n">
        <x:v>6.83</x:v>
      </x:c>
      <x:c r="Q996" s="31" t="n">
        <x:v>7.3</x:v>
      </x:c>
      <x:c r="R996" s="31" t="n">
        <x:f>ABS(P996-Q996)</x:f>
        <x:v>0.46999999999999975</x:v>
      </x:c>
      <x:c r="S996" s="32" t="n">
        <x:v>19406.79349719426</x:v>
      </x:c>
      <x:c r="T996" s="32" t="n">
        <x:v>28745.117916885112</x:v>
      </x:c>
      <x:c r="U996" s="31" t="n">
        <x:f>MAX(S996/T996,T996/S996)</x:f>
        <x:v>1.4811884261581358</x:v>
      </x:c>
      <x:c r="V996" s="31" t="n">
        <x:f>L996*'Controls &amp; Summary'!$B$9+O996*'Controls &amp; Summary'!$B$10+R996*'Controls &amp; Summary'!$B$11+U996*'Controls &amp; Summary'!$B$12</x:f>
        <x:v>5.011188426158135</x:v>
      </x:c>
      <x:c r="W996" s="31" t="n">
        <x:v>1.9</x:v>
      </x:c>
      <x:c r="X996" s="31" t="n">
        <x:v>1</x:v>
      </x:c>
      <x:c r="Y996" s="31" t="n">
        <x:f>((10-MIN(10,MAX(0,X996)))/10)*'Controls &amp; Summary'!$B$15+((10-MIN(10,MAX(0,W996)))/10)*'Controls &amp; Summary'!$B$16</x:f>
        <x:v>1.71</x:v>
      </x:c>
      <x:c r="Z996" s="31" t="n">
        <x:f>V996*Y996</x:f>
        <x:v>8.56913220873041</x:v>
      </x:c>
      <x:c r="AA996" s="30" t="str">
        <x:f>IF(Z996&lt;=I996,"Peaceful","Hostile")</x:f>
        <x:v>Hostile</x:v>
      </x:c>
      <x:c r="AB996" s="30" t="str">
        <x:f>IF(Z996&lt;='Controls &amp; Summary'!$B$6,"Eligible","Blocked")</x:f>
        <x:v>Eligible</x:v>
      </x:c>
      <x:c r="AC996" s="30" t="str">
        <x:v>2026_COL</x:v>
      </x:c>
      <x:c r="AD996" s="30" t="str">
        <x:v>2026_COS</x:v>
      </x:c>
      <x:c r="AE996" s="30" t="str">
        <x:v>2026_CostaRica</x:v>
      </x:c>
      <x:c r="AF996" s="30" t="str">
        <x:v>Explicit capitalClaim</x:v>
      </x:c>
      <x:c r="AG996" s="30" t="str">
        <x:v>Claim2026_COL2026_CostaRica</x:v>
      </x:c>
      <x:c r="AH996" s="30" t="str">
        <x:v>Project_UnidadColombia</x:v>
      </x:c>
    </x:row>
    <x:row r="997">
      <x:c r="A997" s="30" t="str">
        <x:v>2026</x:v>
      </x:c>
      <x:c r="B997" s="30" t="str">
        <x:v>Base game</x:v>
      </x:c>
      <x:c r="C997" s="30" t="str">
        <x:v>Colombia</x:v>
      </x:c>
      <x:c r="D997" s="30" t="str">
        <x:v>Cuba</x:v>
      </x:c>
      <x:c r="E997" s="30" t="str">
        <x:v>Project unlock</x:v>
      </x:c>
      <x:c r="F997" s="30" t="str">
        <x:v>Unidad Colombia</x:v>
      </x:c>
      <x:c r="G997" s="30" t="str">
        <x:v>No</x:v>
      </x:c>
      <x:c r="H997" s="30" t="str">
        <x:v>Ordinary claim</x:v>
      </x:c>
      <x:c r="I997" s="31" t="n">
        <x:f>IF(G997="Yes",'Controls &amp; Summary'!$B$5,'Controls &amp; Summary'!$B$4)</x:f>
        <x:v>6</x:v>
      </x:c>
      <x:c r="J997" s="31" t="n">
        <x:v>6.04</x:v>
      </x:c>
      <x:c r="K997" s="31" t="n">
        <x:v>2.58</x:v>
      </x:c>
      <x:c r="L997" s="31" t="n">
        <x:f>ABS(J997-K997)</x:f>
        <x:v>3.46</x:v>
      </x:c>
      <x:c r="M997" s="31" t="n">
        <x:v>5.48</x:v>
      </x:c>
      <x:c r="N997" s="31" t="n">
        <x:v>3.8</x:v>
      </x:c>
      <x:c r="O997" s="31" t="n">
        <x:f>ABS(M997-N997)</x:f>
        <x:v>1.6800000000000006</x:v>
      </x:c>
      <x:c r="P997" s="31" t="n">
        <x:v>6.83</x:v>
      </x:c>
      <x:c r="Q997" s="31" t="n">
        <x:v>7.24</x:v>
      </x:c>
      <x:c r="R997" s="31" t="n">
        <x:f>ABS(P997-Q997)</x:f>
        <x:v>0.41000000000000014</x:v>
      </x:c>
      <x:c r="S997" s="32" t="n">
        <x:v>19406.79349719426</x:v>
      </x:c>
      <x:c r="T997" s="32" t="n">
        <x:v>15651.709018064368</x:v>
      </x:c>
      <x:c r="U997" s="31" t="n">
        <x:f>MAX(S997/T997,T997/S997)</x:f>
        <x:v>1.2399153009295005</x:v>
      </x:c>
      <x:c r="V997" s="31" t="n">
        <x:f>L997*'Controls &amp; Summary'!$B$9+O997*'Controls &amp; Summary'!$B$10+R997*'Controls &amp; Summary'!$B$11+U997*'Controls &amp; Summary'!$B$12</x:f>
        <x:v>6.7899153009295015</x:v>
      </x:c>
      <x:c r="W997" s="31" t="n">
        <x:v>1.9</x:v>
      </x:c>
      <x:c r="X997" s="31" t="n">
        <x:v>1.25</x:v>
      </x:c>
      <x:c r="Y997" s="31" t="n">
        <x:f>((10-MIN(10,MAX(0,X997)))/10)*'Controls &amp; Summary'!$B$15+((10-MIN(10,MAX(0,W997)))/10)*'Controls &amp; Summary'!$B$16</x:f>
        <x:v>1.685</x:v>
      </x:c>
      <x:c r="Z997" s="31" t="n">
        <x:f>V997*Y997</x:f>
        <x:v>11.441007282066211</x:v>
      </x:c>
      <x:c r="AA997" s="30" t="str">
        <x:f>IF(Z997&lt;=I997,"Peaceful","Hostile")</x:f>
        <x:v>Hostile</x:v>
      </x:c>
      <x:c r="AB997" s="30" t="str">
        <x:f>IF(Z997&lt;='Controls &amp; Summary'!$B$6,"Eligible","Blocked")</x:f>
        <x:v>Eligible</x:v>
      </x:c>
      <x:c r="AC997" s="30" t="str">
        <x:v>2026_COL</x:v>
      </x:c>
      <x:c r="AD997" s="30" t="str">
        <x:v>2026_CUB</x:v>
      </x:c>
      <x:c r="AE997" s="30" t="str">
        <x:v>2026_Cuba</x:v>
      </x:c>
      <x:c r="AF997" s="30" t="str">
        <x:v>Explicit capitalClaim</x:v>
      </x:c>
      <x:c r="AG997" s="30" t="str">
        <x:v>Claim2026_COL2026_Cuba</x:v>
      </x:c>
      <x:c r="AH997" s="30" t="str">
        <x:v>Project_UnidadColombia</x:v>
      </x:c>
    </x:row>
    <x:row r="998">
      <x:c r="A998" s="30" t="str">
        <x:v>2026</x:v>
      </x:c>
      <x:c r="B998" s="30" t="str">
        <x:v>Base game</x:v>
      </x:c>
      <x:c r="C998" s="30" t="str">
        <x:v>Colombia</x:v>
      </x:c>
      <x:c r="D998" s="30" t="str">
        <x:v>Dominican Republic</x:v>
      </x:c>
      <x:c r="E998" s="30" t="str">
        <x:v>Project unlock</x:v>
      </x:c>
      <x:c r="F998" s="30" t="str">
        <x:v>Unidad Colombia</x:v>
      </x:c>
      <x:c r="G998" s="30" t="str">
        <x:v>No</x:v>
      </x:c>
      <x:c r="H998" s="30" t="str">
        <x:v>Ordinary claim</x:v>
      </x:c>
      <x:c r="I998" s="31" t="n">
        <x:f>IF(G998="Yes",'Controls &amp; Summary'!$B$5,'Controls &amp; Summary'!$B$4)</x:f>
        <x:v>6</x:v>
      </x:c>
      <x:c r="J998" s="31" t="n">
        <x:v>6.04</x:v>
      </x:c>
      <x:c r="K998" s="31" t="n">
        <x:v>6.75</x:v>
      </x:c>
      <x:c r="L998" s="31" t="n">
        <x:f>ABS(J998-K998)</x:f>
        <x:v>0.71</x:v>
      </x:c>
      <x:c r="M998" s="31" t="n">
        <x:v>5.48</x:v>
      </x:c>
      <x:c r="N998" s="31" t="n">
        <x:v>3.7</x:v>
      </x:c>
      <x:c r="O998" s="31" t="n">
        <x:f>ABS(M998-N998)</x:f>
        <x:v>1.7800000000000002</x:v>
      </x:c>
      <x:c r="P998" s="31" t="n">
        <x:v>6.83</x:v>
      </x:c>
      <x:c r="Q998" s="31" t="n">
        <x:v>6.77</x:v>
      </x:c>
      <x:c r="R998" s="31" t="n">
        <x:f>ABS(P998-Q998)</x:f>
        <x:v>0.0600000000000005</x:v>
      </x:c>
      <x:c r="S998" s="32" t="n">
        <x:v>19406.79349719426</x:v>
      </x:c>
      <x:c r="T998" s="32" t="n">
        <x:v>25475.012705112193</x:v>
      </x:c>
      <x:c r="U998" s="31" t="n">
        <x:f>MAX(S998/T998,T998/S998)</x:f>
        <x:v>1.3126853083068692</x:v>
      </x:c>
      <x:c r="V998" s="31" t="n">
        <x:f>L998*'Controls &amp; Summary'!$B$9+O998*'Controls &amp; Summary'!$B$10+R998*'Controls &amp; Summary'!$B$11+U998*'Controls &amp; Summary'!$B$12</x:f>
        <x:v>3.8626853083068697</x:v>
      </x:c>
      <x:c r="W998" s="31" t="n">
        <x:v>1.9</x:v>
      </x:c>
      <x:c r="X998" s="31" t="n">
        <x:v>1</x:v>
      </x:c>
      <x:c r="Y998" s="31" t="n">
        <x:f>((10-MIN(10,MAX(0,X998)))/10)*'Controls &amp; Summary'!$B$15+((10-MIN(10,MAX(0,W998)))/10)*'Controls &amp; Summary'!$B$16</x:f>
        <x:v>1.71</x:v>
      </x:c>
      <x:c r="Z998" s="31" t="n">
        <x:f>V998*Y998</x:f>
        <x:v>6.6051918772047475</x:v>
      </x:c>
      <x:c r="AA998" s="30" t="str">
        <x:f>IF(Z998&lt;=I998,"Peaceful","Hostile")</x:f>
        <x:v>Hostile</x:v>
      </x:c>
      <x:c r="AB998" s="30" t="str">
        <x:f>IF(Z998&lt;='Controls &amp; Summary'!$B$6,"Eligible","Blocked")</x:f>
        <x:v>Eligible</x:v>
      </x:c>
      <x:c r="AC998" s="30" t="str">
        <x:v>2026_COL</x:v>
      </x:c>
      <x:c r="AD998" s="30" t="str">
        <x:v>2026_DOM</x:v>
      </x:c>
      <x:c r="AE998" s="30" t="str">
        <x:v>2026_EastHispanola</x:v>
      </x:c>
      <x:c r="AF998" s="30" t="str">
        <x:v>Explicit capitalClaim</x:v>
      </x:c>
      <x:c r="AG998" s="30" t="str">
        <x:v>Claim2026_COL2026_EastHispanola</x:v>
      </x:c>
      <x:c r="AH998" s="30" t="str">
        <x:v>Project_UnidadColombia</x:v>
      </x:c>
    </x:row>
    <x:row r="999">
      <x:c r="A999" s="30" t="str">
        <x:v>2026</x:v>
      </x:c>
      <x:c r="B999" s="30" t="str">
        <x:v>Base game</x:v>
      </x:c>
      <x:c r="C999" s="30" t="str">
        <x:v>Colombia</x:v>
      </x:c>
      <x:c r="D999" s="30" t="str">
        <x:v>Ecuador</x:v>
      </x:c>
      <x:c r="E999" s="30" t="str">
        <x:v>Project unlock</x:v>
      </x:c>
      <x:c r="F999" s="30" t="str">
        <x:v>South American Confederations</x:v>
      </x:c>
      <x:c r="G999" s="30" t="str">
        <x:v>No</x:v>
      </x:c>
      <x:c r="H999" s="30" t="str">
        <x:v>Ordinary claim</x:v>
      </x:c>
      <x:c r="I999" s="31" t="n">
        <x:f>IF(G999="Yes",'Controls &amp; Summary'!$B$5,'Controls &amp; Summary'!$B$4)</x:f>
        <x:v>6</x:v>
      </x:c>
      <x:c r="J999" s="31" t="n">
        <x:v>6.04</x:v>
      </x:c>
      <x:c r="K999" s="31" t="n">
        <x:v>5.2</x:v>
      </x:c>
      <x:c r="L999" s="31" t="n">
        <x:f>ABS(J999-K999)</x:f>
        <x:v>0.8399999999999999</x:v>
      </x:c>
      <x:c r="M999" s="31" t="n">
        <x:v>5.48</x:v>
      </x:c>
      <x:c r="N999" s="31" t="n">
        <x:v>4.46</x:v>
      </x:c>
      <x:c r="O999" s="31" t="n">
        <x:f>ABS(M999-N999)</x:f>
        <x:v>1.0200000000000005</x:v>
      </x:c>
      <x:c r="P999" s="31" t="n">
        <x:v>6.83</x:v>
      </x:c>
      <x:c r="Q999" s="31" t="n">
        <x:v>6.99</x:v>
      </x:c>
      <x:c r="R999" s="31" t="n">
        <x:f>ABS(P999-Q999)</x:f>
        <x:v>0.16000000000000014</x:v>
      </x:c>
      <x:c r="S999" s="32" t="n">
        <x:v>19406.79349719426</x:v>
      </x:c>
      <x:c r="T999" s="32" t="n">
        <x:v>14319.025171018406</x:v>
      </x:c>
      <x:c r="U999" s="31" t="n">
        <x:f>MAX(S999/T999,T999/S999)</x:f>
        <x:v>1.3553152721927926</x:v>
      </x:c>
      <x:c r="V999" s="31" t="n">
        <x:f>L999*'Controls &amp; Summary'!$B$9+O999*'Controls &amp; Summary'!$B$10+R999*'Controls &amp; Summary'!$B$11+U999*'Controls &amp; Summary'!$B$12</x:f>
        <x:v>3.3753152721927933</x:v>
      </x:c>
      <x:c r="W999" s="31" t="n">
        <x:v>1.9</x:v>
      </x:c>
      <x:c r="X999" s="31" t="n">
        <x:v>3.5</x:v>
      </x:c>
      <x:c r="Y999" s="31" t="n">
        <x:f>((10-MIN(10,MAX(0,X999)))/10)*'Controls &amp; Summary'!$B$15+((10-MIN(10,MAX(0,W999)))/10)*'Controls &amp; Summary'!$B$16</x:f>
        <x:v>1.46</x:v>
      </x:c>
      <x:c r="Z999" s="31" t="n">
        <x:f>V999*Y999</x:f>
        <x:v>4.927960297401478</x:v>
      </x:c>
      <x:c r="AA999" s="30" t="str">
        <x:f>IF(Z999&lt;=I999,"Peaceful","Hostile")</x:f>
        <x:v>Peaceful</x:v>
      </x:c>
      <x:c r="AB999" s="30" t="str">
        <x:f>IF(Z999&lt;='Controls &amp; Summary'!$B$6,"Eligible","Blocked")</x:f>
        <x:v>Eligible</x:v>
      </x:c>
      <x:c r="AC999" s="30" t="str">
        <x:v>2026_COL</x:v>
      </x:c>
      <x:c r="AD999" s="30" t="str">
        <x:v>2026_ECU</x:v>
      </x:c>
      <x:c r="AE999" s="30" t="str">
        <x:v>2026_Ecuador</x:v>
      </x:c>
      <x:c r="AF999" s="30" t="str">
        <x:v>Explicit capitalClaim</x:v>
      </x:c>
      <x:c r="AG999" s="30" t="str">
        <x:v>Claim2026_COL2026_Ecuador</x:v>
      </x:c>
      <x:c r="AH999" s="30" t="str">
        <x:v>Project_GranColombia</x:v>
      </x:c>
    </x:row>
    <x:row r="1000">
      <x:c r="A1000" s="30" t="str">
        <x:v>2026</x:v>
      </x:c>
      <x:c r="B1000" s="30" t="str">
        <x:v>Base game</x:v>
      </x:c>
      <x:c r="C1000" s="30" t="str">
        <x:v>Colombia</x:v>
      </x:c>
      <x:c r="D1000" s="30" t="str">
        <x:v>El Salvador</x:v>
      </x:c>
      <x:c r="E1000" s="30" t="str">
        <x:v>Project unlock</x:v>
      </x:c>
      <x:c r="F1000" s="30" t="str">
        <x:v>Unidad Colombia</x:v>
      </x:c>
      <x:c r="G1000" s="30" t="str">
        <x:v>No</x:v>
      </x:c>
      <x:c r="H1000" s="30" t="str">
        <x:v>Ordinary claim</x:v>
      </x:c>
      <x:c r="I1000" s="31" t="n">
        <x:f>IF(G1000="Yes",'Controls &amp; Summary'!$B$5,'Controls &amp; Summary'!$B$4)</x:f>
        <x:v>6</x:v>
      </x:c>
      <x:c r="J1000" s="31" t="n">
        <x:v>6.04</x:v>
      </x:c>
      <x:c r="K1000" s="31" t="n">
        <x:v>4.57</x:v>
      </x:c>
      <x:c r="L1000" s="31" t="n">
        <x:f>ABS(J1000-K1000)</x:f>
        <x:v>1.4699999999999998</x:v>
      </x:c>
      <x:c r="M1000" s="31" t="n">
        <x:v>5.48</x:v>
      </x:c>
      <x:c r="N1000" s="31" t="n">
        <x:v>3.88</x:v>
      </x:c>
      <x:c r="O1000" s="31" t="n">
        <x:f>ABS(M1000-N1000)</x:f>
        <x:v>1.6000000000000005</x:v>
      </x:c>
      <x:c r="P1000" s="31" t="n">
        <x:v>6.83</x:v>
      </x:c>
      <x:c r="Q1000" s="31" t="n">
        <x:v>5.42</x:v>
      </x:c>
      <x:c r="R1000" s="31" t="n">
        <x:f>ABS(P1000-Q1000)</x:f>
        <x:v>1.4100000000000001</x:v>
      </x:c>
      <x:c r="S1000" s="32" t="n">
        <x:v>19406.79349719426</x:v>
      </x:c>
      <x:c r="T1000" s="32" t="n">
        <x:v>12155.386094870599</x:v>
      </x:c>
      <x:c r="U1000" s="31" t="n">
        <x:f>MAX(S1000/T1000,T1000/S1000)</x:f>
        <x:v>1.5965591998253064</x:v>
      </x:c>
      <x:c r="V1000" s="31" t="n">
        <x:f>L1000*'Controls &amp; Summary'!$B$9+O1000*'Controls &amp; Summary'!$B$10+R1000*'Controls &amp; Summary'!$B$11+U1000*'Controls &amp; Summary'!$B$12</x:f>
        <x:v>6.076559199825307</x:v>
      </x:c>
      <x:c r="W1000" s="31" t="n">
        <x:v>1.9</x:v>
      </x:c>
      <x:c r="X1000" s="31" t="n">
        <x:v>1</x:v>
      </x:c>
      <x:c r="Y1000" s="31" t="n">
        <x:f>((10-MIN(10,MAX(0,X1000)))/10)*'Controls &amp; Summary'!$B$15+((10-MIN(10,MAX(0,W1000)))/10)*'Controls &amp; Summary'!$B$16</x:f>
        <x:v>1.71</x:v>
      </x:c>
      <x:c r="Z1000" s="31" t="n">
        <x:f>V1000*Y1000</x:f>
        <x:v>10.390916231701274</x:v>
      </x:c>
      <x:c r="AA1000" s="30" t="str">
        <x:f>IF(Z1000&lt;=I1000,"Peaceful","Hostile")</x:f>
        <x:v>Hostile</x:v>
      </x:c>
      <x:c r="AB1000" s="30" t="str">
        <x:f>IF(Z1000&lt;='Controls &amp; Summary'!$B$6,"Eligible","Blocked")</x:f>
        <x:v>Eligible</x:v>
      </x:c>
      <x:c r="AC1000" s="30" t="str">
        <x:v>2026_COL</x:v>
      </x:c>
      <x:c r="AD1000" s="30" t="str">
        <x:v>2026_ELS</x:v>
      </x:c>
      <x:c r="AE1000" s="30" t="str">
        <x:v>2026_ElSalvador</x:v>
      </x:c>
      <x:c r="AF1000" s="30" t="str">
        <x:v>Explicit capitalClaim</x:v>
      </x:c>
      <x:c r="AG1000" s="30" t="str">
        <x:v>Claim2026_COL2026_ElSalvador</x:v>
      </x:c>
      <x:c r="AH1000" s="30" t="str">
        <x:v>Project_UnidadColombia</x:v>
      </x:c>
    </x:row>
    <x:row r="1001">
      <x:c r="A1001" s="30" t="str">
        <x:v>2026</x:v>
      </x:c>
      <x:c r="B1001" s="30" t="str">
        <x:v>Base game</x:v>
      </x:c>
      <x:c r="C1001" s="30" t="str">
        <x:v>Colombia</x:v>
      </x:c>
      <x:c r="D1001" s="30" t="str">
        <x:v>Guatemala</x:v>
      </x:c>
      <x:c r="E1001" s="30" t="str">
        <x:v>Project unlock</x:v>
      </x:c>
      <x:c r="F1001" s="30" t="str">
        <x:v>Unidad Colombia</x:v>
      </x:c>
      <x:c r="G1001" s="30" t="str">
        <x:v>No</x:v>
      </x:c>
      <x:c r="H1001" s="30" t="str">
        <x:v>Ordinary claim</x:v>
      </x:c>
      <x:c r="I1001" s="31" t="n">
        <x:f>IF(G1001="Yes",'Controls &amp; Summary'!$B$5,'Controls &amp; Summary'!$B$4)</x:f>
        <x:v>6</x:v>
      </x:c>
      <x:c r="J1001" s="31" t="n">
        <x:v>6.04</x:v>
      </x:c>
      <x:c r="K1001" s="31" t="n">
        <x:v>4.65</x:v>
      </x:c>
      <x:c r="L1001" s="31" t="n">
        <x:f>ABS(J1001-K1001)</x:f>
        <x:v>1.3899999999999997</x:v>
      </x:c>
      <x:c r="M1001" s="31" t="n">
        <x:v>5.48</x:v>
      </x:c>
      <x:c r="N1001" s="31" t="n">
        <x:v>4.83</x:v>
      </x:c>
      <x:c r="O1001" s="31" t="n">
        <x:f>ABS(M1001-N1001)</x:f>
        <x:v>0.6500000000000004</x:v>
      </x:c>
      <x:c r="P1001" s="31" t="n">
        <x:v>6.83</x:v>
      </x:c>
      <x:c r="Q1001" s="31" t="n">
        <x:v>4.83</x:v>
      </x:c>
      <x:c r="R1001" s="31" t="n">
        <x:f>ABS(P1001-Q1001)</x:f>
        <x:v>2</x:v>
      </x:c>
      <x:c r="S1001" s="32" t="n">
        <x:v>19406.79349719426</x:v>
      </x:c>
      <x:c r="T1001" s="32" t="n">
        <x:v>13121.748665039573</x:v>
      </x:c>
      <x:c r="U1001" s="31" t="n">
        <x:f>MAX(S1001/T1001,T1001/S1001)</x:f>
        <x:v>1.4789792117341802</x:v>
      </x:c>
      <x:c r="V1001" s="31" t="n">
        <x:f>L1001*'Controls &amp; Summary'!$B$9+O1001*'Controls &amp; Summary'!$B$10+R1001*'Controls &amp; Summary'!$B$11+U1001*'Controls &amp; Summary'!$B$12</x:f>
        <x:v>5.51897921173418</x:v>
      </x:c>
      <x:c r="W1001" s="31" t="n">
        <x:v>1.9</x:v>
      </x:c>
      <x:c r="X1001" s="31" t="n">
        <x:v>4</x:v>
      </x:c>
      <x:c r="Y1001" s="31" t="n">
        <x:f>((10-MIN(10,MAX(0,X1001)))/10)*'Controls &amp; Summary'!$B$15+((10-MIN(10,MAX(0,W1001)))/10)*'Controls &amp; Summary'!$B$16</x:f>
        <x:v>1.41</x:v>
      </x:c>
      <x:c r="Z1001" s="31" t="n">
        <x:f>V1001*Y1001</x:f>
        <x:v>7.7817606885451935</x:v>
      </x:c>
      <x:c r="AA1001" s="30" t="str">
        <x:f>IF(Z1001&lt;=I1001,"Peaceful","Hostile")</x:f>
        <x:v>Hostile</x:v>
      </x:c>
      <x:c r="AB1001" s="30" t="str">
        <x:f>IF(Z1001&lt;='Controls &amp; Summary'!$B$6,"Eligible","Blocked")</x:f>
        <x:v>Eligible</x:v>
      </x:c>
      <x:c r="AC1001" s="30" t="str">
        <x:v>2026_COL</x:v>
      </x:c>
      <x:c r="AD1001" s="30" t="str">
        <x:v>2026_GTM</x:v>
      </x:c>
      <x:c r="AE1001" s="30" t="str">
        <x:v>2026_Guatemala</x:v>
      </x:c>
      <x:c r="AF1001" s="30" t="str">
        <x:v>Explicit capitalClaim</x:v>
      </x:c>
      <x:c r="AG1001" s="30" t="str">
        <x:v>Claim2026_COL2026_Guatemala</x:v>
      </x:c>
      <x:c r="AH1001" s="30" t="str">
        <x:v>Project_UnidadColombia</x:v>
      </x:c>
    </x:row>
    <x:row r="1002">
      <x:c r="A1002" s="30" t="str">
        <x:v>2026</x:v>
      </x:c>
      <x:c r="B1002" s="30" t="str">
        <x:v>Base game</x:v>
      </x:c>
      <x:c r="C1002" s="30" t="str">
        <x:v>Colombia</x:v>
      </x:c>
      <x:c r="D1002" s="30" t="str">
        <x:v>Guyana</x:v>
      </x:c>
      <x:c r="E1002" s="30" t="str">
        <x:v>Project unlock</x:v>
      </x:c>
      <x:c r="F1002" s="30" t="str">
        <x:v>South American Confederations</x:v>
      </x:c>
      <x:c r="G1002" s="30" t="str">
        <x:v>No</x:v>
      </x:c>
      <x:c r="H1002" s="30" t="str">
        <x:v>Ordinary claim</x:v>
      </x:c>
      <x:c r="I1002" s="31" t="n">
        <x:f>IF(G1002="Yes",'Controls &amp; Summary'!$B$5,'Controls &amp; Summary'!$B$4)</x:f>
        <x:v>6</x:v>
      </x:c>
      <x:c r="J1002" s="31" t="n">
        <x:v>6.04</x:v>
      </x:c>
      <x:c r="K1002" s="31" t="n">
        <x:v>6.09</x:v>
      </x:c>
      <x:c r="L1002" s="31" t="n">
        <x:f>ABS(J1002-K1002)</x:f>
        <x:v>0.04999999999999982</x:v>
      </x:c>
      <x:c r="M1002" s="31" t="n">
        <x:v>5.48</x:v>
      </x:c>
      <x:c r="N1002" s="31" t="n">
        <x:v>4.67</x:v>
      </x:c>
      <x:c r="O1002" s="31" t="n">
        <x:f>ABS(M1002-N1002)</x:f>
        <x:v>0.8100000000000005</x:v>
      </x:c>
      <x:c r="P1002" s="31" t="n">
        <x:v>6.83</x:v>
      </x:c>
      <x:c r="Q1002" s="31" t="n">
        <x:v>6.38</x:v>
      </x:c>
      <x:c r="R1002" s="31" t="n">
        <x:f>ABS(P1002-Q1002)</x:f>
        <x:v>0.4500000000000002</x:v>
      </x:c>
      <x:c r="S1002" s="32" t="n">
        <x:v>19406.79349719426</x:v>
      </x:c>
      <x:c r="T1002" s="32" t="n">
        <x:v>78795.94239436787</x:v>
      </x:c>
      <x:c r="U1002" s="31" t="n">
        <x:f>MAX(S1002/T1002,T1002/S1002)</x:f>
        <x:v>4.060224704599439</x:v>
      </x:c>
      <x:c r="V1002" s="31" t="n">
        <x:f>L1002*'Controls &amp; Summary'!$B$9+O1002*'Controls &amp; Summary'!$B$10+R1002*'Controls &amp; Summary'!$B$11+U1002*'Controls &amp; Summary'!$B$12</x:f>
        <x:v>5.37022470459944</x:v>
      </x:c>
      <x:c r="W1002" s="31" t="n">
        <x:v>1.9</x:v>
      </x:c>
      <x:c r="X1002" s="31" t="n">
        <x:v>0.5</x:v>
      </x:c>
      <x:c r="Y1002" s="31" t="n">
        <x:f>((10-MIN(10,MAX(0,X1002)))/10)*'Controls &amp; Summary'!$B$15+((10-MIN(10,MAX(0,W1002)))/10)*'Controls &amp; Summary'!$B$16</x:f>
        <x:v>1.7599999999999998</x:v>
      </x:c>
      <x:c r="Z1002" s="31" t="n">
        <x:f>V1002*Y1002</x:f>
        <x:v>9.451595480095012</x:v>
      </x:c>
      <x:c r="AA1002" s="30" t="str">
        <x:f>IF(Z1002&lt;=I1002,"Peaceful","Hostile")</x:f>
        <x:v>Hostile</x:v>
      </x:c>
      <x:c r="AB1002" s="30" t="str">
        <x:f>IF(Z1002&lt;='Controls &amp; Summary'!$B$6,"Eligible","Blocked")</x:f>
        <x:v>Eligible</x:v>
      </x:c>
      <x:c r="AC1002" s="30" t="str">
        <x:v>2026_COL</x:v>
      </x:c>
      <x:c r="AD1002" s="30" t="str">
        <x:v>2026_GUY</x:v>
      </x:c>
      <x:c r="AE1002" s="30" t="str">
        <x:v>2026_Guyana</x:v>
      </x:c>
      <x:c r="AF1002" s="30" t="str">
        <x:v>Explicit capitalClaim</x:v>
      </x:c>
      <x:c r="AG1002" s="30" t="str">
        <x:v>Claim2026_COL2026_Guyana</x:v>
      </x:c>
      <x:c r="AH1002" s="30" t="str">
        <x:v>Project_GranColombia</x:v>
      </x:c>
    </x:row>
    <x:row r="1003">
      <x:c r="A1003" s="30" t="str">
        <x:v>2026</x:v>
      </x:c>
      <x:c r="B1003" s="30" t="str">
        <x:v>Base game</x:v>
      </x:c>
      <x:c r="C1003" s="30" t="str">
        <x:v>Colombia</x:v>
      </x:c>
      <x:c r="D1003" s="30" t="str">
        <x:v>Honduras</x:v>
      </x:c>
      <x:c r="E1003" s="30" t="str">
        <x:v>Project unlock</x:v>
      </x:c>
      <x:c r="F1003" s="30" t="str">
        <x:v>Unidad Colombia</x:v>
      </x:c>
      <x:c r="G1003" s="30" t="str">
        <x:v>No</x:v>
      </x:c>
      <x:c r="H1003" s="30" t="str">
        <x:v>Ordinary claim</x:v>
      </x:c>
      <x:c r="I1003" s="31" t="n">
        <x:f>IF(G1003="Yes",'Controls &amp; Summary'!$B$5,'Controls &amp; Summary'!$B$4)</x:f>
        <x:v>6</x:v>
      </x:c>
      <x:c r="J1003" s="31" t="n">
        <x:v>6.04</x:v>
      </x:c>
      <x:c r="K1003" s="31" t="n">
        <x:v>4.87</x:v>
      </x:c>
      <x:c r="L1003" s="31" t="n">
        <x:f>ABS(J1003-K1003)</x:f>
        <x:v>1.17</x:v>
      </x:c>
      <x:c r="M1003" s="31" t="n">
        <x:v>5.48</x:v>
      </x:c>
      <x:c r="N1003" s="31" t="n">
        <x:v>4.82</x:v>
      </x:c>
      <x:c r="O1003" s="31" t="n">
        <x:f>ABS(M1003-N1003)</x:f>
        <x:v>0.6600000000000001</x:v>
      </x:c>
      <x:c r="P1003" s="31" t="n">
        <x:v>6.83</x:v>
      </x:c>
      <x:c r="Q1003" s="31" t="n">
        <x:v>5.25</x:v>
      </x:c>
      <x:c r="R1003" s="31" t="n">
        <x:f>ABS(P1003-Q1003)</x:f>
        <x:v>1.58</x:v>
      </x:c>
      <x:c r="S1003" s="32" t="n">
        <x:v>19406.79349719426</x:v>
      </x:c>
      <x:c r="T1003" s="32" t="n">
        <x:v>6765.091070349296</x:v>
      </x:c>
      <x:c r="U1003" s="31" t="n">
        <x:f>MAX(S1003/T1003,T1003/S1003)</x:f>
        <x:v>2.8686669987714213</x:v>
      </x:c>
      <x:c r="V1003" s="31" t="n">
        <x:f>L1003*'Controls &amp; Summary'!$B$9+O1003*'Controls &amp; Summary'!$B$10+R1003*'Controls &amp; Summary'!$B$11+U1003*'Controls &amp; Summary'!$B$12</x:f>
        <x:v>6.278666998771421</x:v>
      </x:c>
      <x:c r="W1003" s="31" t="n">
        <x:v>1.9</x:v>
      </x:c>
      <x:c r="X1003" s="31" t="n">
        <x:v>4.75</x:v>
      </x:c>
      <x:c r="Y1003" s="31" t="n">
        <x:f>((10-MIN(10,MAX(0,X1003)))/10)*'Controls &amp; Summary'!$B$15+((10-MIN(10,MAX(0,W1003)))/10)*'Controls &amp; Summary'!$B$16</x:f>
        <x:v>1.335</x:v>
      </x:c>
      <x:c r="Z1003" s="31" t="n">
        <x:f>V1003*Y1003</x:f>
        <x:v>8.382020443359847</x:v>
      </x:c>
      <x:c r="AA1003" s="30" t="str">
        <x:f>IF(Z1003&lt;=I1003,"Peaceful","Hostile")</x:f>
        <x:v>Hostile</x:v>
      </x:c>
      <x:c r="AB1003" s="30" t="str">
        <x:f>IF(Z1003&lt;='Controls &amp; Summary'!$B$6,"Eligible","Blocked")</x:f>
        <x:v>Eligible</x:v>
      </x:c>
      <x:c r="AC1003" s="30" t="str">
        <x:v>2026_COL</x:v>
      </x:c>
      <x:c r="AD1003" s="30" t="str">
        <x:v>2026_HON</x:v>
      </x:c>
      <x:c r="AE1003" s="30" t="str">
        <x:v>2026_Honduras</x:v>
      </x:c>
      <x:c r="AF1003" s="30" t="str">
        <x:v>Explicit capitalClaim</x:v>
      </x:c>
      <x:c r="AG1003" s="30" t="str">
        <x:v>Claim2026_COL2026_Honduras</x:v>
      </x:c>
      <x:c r="AH1003" s="30" t="str">
        <x:v>Project_UnidadColombia</x:v>
      </x:c>
    </x:row>
    <x:row r="1004">
      <x:c r="A1004" s="30" t="str">
        <x:v>2026</x:v>
      </x:c>
      <x:c r="B1004" s="30" t="str">
        <x:v>Base game</x:v>
      </x:c>
      <x:c r="C1004" s="30" t="str">
        <x:v>Colombia</x:v>
      </x:c>
      <x:c r="D1004" s="30" t="str">
        <x:v>Mexico</x:v>
      </x:c>
      <x:c r="E1004" s="30" t="str">
        <x:v>Project unlock</x:v>
      </x:c>
      <x:c r="F1004" s="30" t="str">
        <x:v>Unidad Colombia</x:v>
      </x:c>
      <x:c r="G1004" s="30" t="str">
        <x:v>No</x:v>
      </x:c>
      <x:c r="H1004" s="30" t="str">
        <x:v>Ordinary claim</x:v>
      </x:c>
      <x:c r="I1004" s="31" t="n">
        <x:f>IF(G1004="Yes",'Controls &amp; Summary'!$B$5,'Controls &amp; Summary'!$B$4)</x:f>
        <x:v>6</x:v>
      </x:c>
      <x:c r="J1004" s="31" t="n">
        <x:v>6.04</x:v>
      </x:c>
      <x:c r="K1004" s="31" t="n">
        <x:v>5.4</x:v>
      </x:c>
      <x:c r="L1004" s="31" t="n">
        <x:f>ABS(J1004-K1004)</x:f>
        <x:v>0.6399999999999997</x:v>
      </x:c>
      <x:c r="M1004" s="31" t="n">
        <x:v>5.48</x:v>
      </x:c>
      <x:c r="N1004" s="31" t="n">
        <x:v>4.35</x:v>
      </x:c>
      <x:c r="O1004" s="31" t="n">
        <x:f>ABS(M1004-N1004)</x:f>
        <x:v>1.1300000000000008</x:v>
      </x:c>
      <x:c r="P1004" s="31" t="n">
        <x:v>6.83</x:v>
      </x:c>
      <x:c r="Q1004" s="31" t="n">
        <x:v>6.98</x:v>
      </x:c>
      <x:c r="R1004" s="31" t="n">
        <x:f>ABS(P1004-Q1004)</x:f>
        <x:v>0.15000000000000036</x:v>
      </x:c>
      <x:c r="S1004" s="32" t="n">
        <x:v>19406.79349719426</x:v>
      </x:c>
      <x:c r="T1004" s="32" t="n">
        <x:v>22740.98992028867</x:v>
      </x:c>
      <x:c r="U1004" s="31" t="n">
        <x:f>MAX(S1004/T1004,T1004/S1004)</x:f>
        <x:v>1.1718056320626307</x:v>
      </x:c>
      <x:c r="V1004" s="31" t="n">
        <x:f>L1004*'Controls &amp; Summary'!$B$9+O1004*'Controls &amp; Summary'!$B$10+R1004*'Controls &amp; Summary'!$B$11+U1004*'Controls &amp; Summary'!$B$12</x:f>
        <x:v>3.0918056320626315</x:v>
      </x:c>
      <x:c r="W1004" s="31" t="n">
        <x:v>1.9</x:v>
      </x:c>
      <x:c r="X1004" s="31" t="n">
        <x:v>6.5</x:v>
      </x:c>
      <x:c r="Y1004" s="31" t="n">
        <x:f>((10-MIN(10,MAX(0,X1004)))/10)*'Controls &amp; Summary'!$B$15+((10-MIN(10,MAX(0,W1004)))/10)*'Controls &amp; Summary'!$B$16</x:f>
        <x:v>1.16</x:v>
      </x:c>
      <x:c r="Z1004" s="31" t="n">
        <x:f>V1004*Y1004</x:f>
        <x:v>3.5864945331926523</x:v>
      </x:c>
      <x:c r="AA1004" s="30" t="str">
        <x:f>IF(Z1004&lt;=I1004,"Peaceful","Hostile")</x:f>
        <x:v>Peaceful</x:v>
      </x:c>
      <x:c r="AB1004" s="30" t="str">
        <x:f>IF(Z1004&lt;='Controls &amp; Summary'!$B$6,"Eligible","Blocked")</x:f>
        <x:v>Eligible</x:v>
      </x:c>
      <x:c r="AC1004" s="30" t="str">
        <x:v>2026_COL</x:v>
      </x:c>
      <x:c r="AD1004" s="30" t="str">
        <x:v>2026_MEX</x:v>
      </x:c>
      <x:c r="AE1004" s="30" t="str">
        <x:v>2026_MexicoCity</x:v>
      </x:c>
      <x:c r="AF1004" s="30" t="str">
        <x:v>Explicit capitalClaim</x:v>
      </x:c>
      <x:c r="AG1004" s="30" t="str">
        <x:v>Claim2026_COL2026_MexicoCity</x:v>
      </x:c>
      <x:c r="AH1004" s="30" t="str">
        <x:v>Project_UnidadColombia</x:v>
      </x:c>
    </x:row>
    <x:row r="1005">
      <x:c r="A1005" s="30" t="str">
        <x:v>2026</x:v>
      </x:c>
      <x:c r="B1005" s="30" t="str">
        <x:v>Base game</x:v>
      </x:c>
      <x:c r="C1005" s="30" t="str">
        <x:v>Colombia</x:v>
      </x:c>
      <x:c r="D1005" s="30" t="str">
        <x:v>Nicaragua</x:v>
      </x:c>
      <x:c r="E1005" s="30" t="str">
        <x:v>Project unlock</x:v>
      </x:c>
      <x:c r="F1005" s="30" t="str">
        <x:v>Unidad Colombia</x:v>
      </x:c>
      <x:c r="G1005" s="30" t="str">
        <x:v>No</x:v>
      </x:c>
      <x:c r="H1005" s="30" t="str">
        <x:v>Ordinary claim</x:v>
      </x:c>
      <x:c r="I1005" s="31" t="n">
        <x:f>IF(G1005="Yes",'Controls &amp; Summary'!$B$5,'Controls &amp; Summary'!$B$4)</x:f>
        <x:v>6</x:v>
      </x:c>
      <x:c r="J1005" s="31" t="n">
        <x:v>6.04</x:v>
      </x:c>
      <x:c r="K1005" s="31" t="n">
        <x:v>1.97</x:v>
      </x:c>
      <x:c r="L1005" s="31" t="n">
        <x:f>ABS(J1005-K1005)</x:f>
        <x:v>4.07</x:v>
      </x:c>
      <x:c r="M1005" s="31" t="n">
        <x:v>5.48</x:v>
      </x:c>
      <x:c r="N1005" s="31" t="n">
        <x:v>4.62</x:v>
      </x:c>
      <x:c r="O1005" s="31" t="n">
        <x:f>ABS(M1005-N1005)</x:f>
        <x:v>0.8600000000000003</x:v>
      </x:c>
      <x:c r="P1005" s="31" t="n">
        <x:v>6.83</x:v>
      </x:c>
      <x:c r="Q1005" s="31" t="n">
        <x:v>6.37</x:v>
      </x:c>
      <x:c r="R1005" s="31" t="n">
        <x:f>ABS(P1005-Q1005)</x:f>
        <x:v>0.45999999999999996</x:v>
      </x:c>
      <x:c r="S1005" s="32" t="n">
        <x:v>19406.79349719426</x:v>
      </x:c>
      <x:c r="T1005" s="32" t="n">
        <x:v>7911.82147537475</x:v>
      </x:c>
      <x:c r="U1005" s="31" t="n">
        <x:f>MAX(S1005/T1005,T1005/S1005)</x:f>
        <x:v>2.452885667048629</x:v>
      </x:c>
      <x:c r="V1005" s="31" t="n">
        <x:f>L1005*'Controls &amp; Summary'!$B$9+O1005*'Controls &amp; Summary'!$B$10+R1005*'Controls &amp; Summary'!$B$11+U1005*'Controls &amp; Summary'!$B$12</x:f>
        <x:v>7.8428856670486295</x:v>
      </x:c>
      <x:c r="W1005" s="31" t="n">
        <x:v>1.9</x:v>
      </x:c>
      <x:c r="X1005" s="31" t="n">
        <x:v>1</x:v>
      </x:c>
      <x:c r="Y1005" s="31" t="n">
        <x:f>((10-MIN(10,MAX(0,X1005)))/10)*'Controls &amp; Summary'!$B$15+((10-MIN(10,MAX(0,W1005)))/10)*'Controls &amp; Summary'!$B$16</x:f>
        <x:v>1.71</x:v>
      </x:c>
      <x:c r="Z1005" s="31" t="n">
        <x:f>V1005*Y1005</x:f>
        <x:v>13.411334490653156</x:v>
      </x:c>
      <x:c r="AA1005" s="30" t="str">
        <x:f>IF(Z1005&lt;=I1005,"Peaceful","Hostile")</x:f>
        <x:v>Hostile</x:v>
      </x:c>
      <x:c r="AB1005" s="30" t="str">
        <x:f>IF(Z1005&lt;='Controls &amp; Summary'!$B$6,"Eligible","Blocked")</x:f>
        <x:v>Blocked</x:v>
      </x:c>
      <x:c r="AC1005" s="30" t="str">
        <x:v>2026_COL</x:v>
      </x:c>
      <x:c r="AD1005" s="30" t="str">
        <x:v>2026_NIC</x:v>
      </x:c>
      <x:c r="AE1005" s="30" t="str">
        <x:v>2026_Nicaragua</x:v>
      </x:c>
      <x:c r="AF1005" s="30" t="str">
        <x:v>Explicit capitalClaim</x:v>
      </x:c>
      <x:c r="AG1005" s="30" t="str">
        <x:v>Claim2026_COL2026_Nicaragua</x:v>
      </x:c>
      <x:c r="AH1005" s="30" t="str">
        <x:v>Project_UnidadColombia</x:v>
      </x:c>
    </x:row>
    <x:row r="1006">
      <x:c r="A1006" s="30" t="str">
        <x:v>2026</x:v>
      </x:c>
      <x:c r="B1006" s="30" t="str">
        <x:v>Base game</x:v>
      </x:c>
      <x:c r="C1006" s="30" t="str">
        <x:v>Colombia</x:v>
      </x:c>
      <x:c r="D1006" s="30" t="str">
        <x:v>Panama</x:v>
      </x:c>
      <x:c r="E1006" s="30" t="str">
        <x:v>Project unlock</x:v>
      </x:c>
      <x:c r="F1006" s="30" t="str">
        <x:v>South American Confederations</x:v>
      </x:c>
      <x:c r="G1006" s="30" t="str">
        <x:v>No</x:v>
      </x:c>
      <x:c r="H1006" s="30" t="str">
        <x:v>Ordinary claim</x:v>
      </x:c>
      <x:c r="I1006" s="31" t="n">
        <x:f>IF(G1006="Yes",'Controls &amp; Summary'!$B$5,'Controls &amp; Summary'!$B$4)</x:f>
        <x:v>6</x:v>
      </x:c>
      <x:c r="J1006" s="31" t="n">
        <x:v>6.04</x:v>
      </x:c>
      <x:c r="K1006" s="31" t="n">
        <x:v>7.04</x:v>
      </x:c>
      <x:c r="L1006" s="31" t="n">
        <x:f>ABS(J1006-K1006)</x:f>
        <x:v>1</x:v>
      </x:c>
      <x:c r="M1006" s="31" t="n">
        <x:v>5.48</x:v>
      </x:c>
      <x:c r="N1006" s="31" t="n">
        <x:v>4.89</x:v>
      </x:c>
      <x:c r="O1006" s="31" t="n">
        <x:f>ABS(M1006-N1006)</x:f>
        <x:v>0.5900000000000007</x:v>
      </x:c>
      <x:c r="P1006" s="31" t="n">
        <x:v>6.83</x:v>
      </x:c>
      <x:c r="Q1006" s="31" t="n">
        <x:v>7.14</x:v>
      </x:c>
      <x:c r="R1006" s="31" t="n">
        <x:f>ABS(P1006-Q1006)</x:f>
        <x:v>0.3099999999999996</x:v>
      </x:c>
      <x:c r="S1006" s="32" t="n">
        <x:v>19406.79349719426</x:v>
      </x:c>
      <x:c r="T1006" s="32" t="n">
        <x:v>38076.68344676437</x:v>
      </x:c>
      <x:c r="U1006" s="31" t="n">
        <x:f>MAX(S1006/T1006,T1006/S1006)</x:f>
        <x:v>1.9620285778930617</x:v>
      </x:c>
      <x:c r="V1006" s="31" t="n">
        <x:f>L1006*'Controls &amp; Summary'!$B$9+O1006*'Controls &amp; Summary'!$B$10+R1006*'Controls &amp; Summary'!$B$11+U1006*'Controls &amp; Summary'!$B$12</x:f>
        <x:v>3.862028577893062</x:v>
      </x:c>
      <x:c r="W1006" s="31" t="n">
        <x:v>1.9</x:v>
      </x:c>
      <x:c r="X1006" s="31" t="n">
        <x:v>1</x:v>
      </x:c>
      <x:c r="Y1006" s="31" t="n">
        <x:f>((10-MIN(10,MAX(0,X1006)))/10)*'Controls &amp; Summary'!$B$15+((10-MIN(10,MAX(0,W1006)))/10)*'Controls &amp; Summary'!$B$16</x:f>
        <x:v>1.71</x:v>
      </x:c>
      <x:c r="Z1006" s="31" t="n">
        <x:f>V1006*Y1006</x:f>
        <x:v>6.604068868197135</x:v>
      </x:c>
      <x:c r="AA1006" s="30" t="str">
        <x:f>IF(Z1006&lt;=I1006,"Peaceful","Hostile")</x:f>
        <x:v>Hostile</x:v>
      </x:c>
      <x:c r="AB1006" s="30" t="str">
        <x:f>IF(Z1006&lt;='Controls &amp; Summary'!$B$6,"Eligible","Blocked")</x:f>
        <x:v>Eligible</x:v>
      </x:c>
      <x:c r="AC1006" s="30" t="str">
        <x:v>2026_COL</x:v>
      </x:c>
      <x:c r="AD1006" s="30" t="str">
        <x:v>2026_PAN</x:v>
      </x:c>
      <x:c r="AE1006" s="30" t="str">
        <x:v>2026_Panama</x:v>
      </x:c>
      <x:c r="AF1006" s="30" t="str">
        <x:v>Explicit capitalClaim</x:v>
      </x:c>
      <x:c r="AG1006" s="30" t="str">
        <x:v>Claim2026_COL2026_Panama</x:v>
      </x:c>
      <x:c r="AH1006" s="30" t="str">
        <x:v>Project_GranColombia</x:v>
      </x:c>
    </x:row>
    <x:row r="1007">
      <x:c r="A1007" s="30" t="str">
        <x:v>2026</x:v>
      </x:c>
      <x:c r="B1007" s="30" t="str">
        <x:v>Base game</x:v>
      </x:c>
      <x:c r="C1007" s="30" t="str">
        <x:v>Colombia</x:v>
      </x:c>
      <x:c r="D1007" s="30" t="str">
        <x:v>Paraguay</x:v>
      </x:c>
      <x:c r="E1007" s="30" t="str">
        <x:v>Project unlock</x:v>
      </x:c>
      <x:c r="F1007" s="30" t="str">
        <x:v>Unidad Colombia</x:v>
      </x:c>
      <x:c r="G1007" s="30" t="str">
        <x:v>No</x:v>
      </x:c>
      <x:c r="H1007" s="30" t="str">
        <x:v>Ordinary claim</x:v>
      </x:c>
      <x:c r="I1007" s="31" t="n">
        <x:f>IF(G1007="Yes",'Controls &amp; Summary'!$B$5,'Controls &amp; Summary'!$B$4)</x:f>
        <x:v>6</x:v>
      </x:c>
      <x:c r="J1007" s="31" t="n">
        <x:v>6.04</x:v>
      </x:c>
      <x:c r="K1007" s="31" t="n">
        <x:v>6.04</x:v>
      </x:c>
      <x:c r="L1007" s="31" t="n">
        <x:f>ABS(J1007-K1007)</x:f>
        <x:v>0</x:v>
      </x:c>
      <x:c r="M1007" s="31" t="n">
        <x:v>5.48</x:v>
      </x:c>
      <x:c r="N1007" s="31" t="n">
        <x:v>4.51</x:v>
      </x:c>
      <x:c r="O1007" s="31" t="n">
        <x:f>ABS(M1007-N1007)</x:f>
        <x:v>0.9700000000000006</x:v>
      </x:c>
      <x:c r="P1007" s="31" t="n">
        <x:v>6.83</x:v>
      </x:c>
      <x:c r="Q1007" s="31" t="n">
        <x:v>6.72</x:v>
      </x:c>
      <x:c r="R1007" s="31" t="n">
        <x:f>ABS(P1007-Q1007)</x:f>
        <x:v>0.11000000000000032</x:v>
      </x:c>
      <x:c r="S1007" s="32" t="n">
        <x:v>19406.79349719426</x:v>
      </x:c>
      <x:c r="T1007" s="32" t="n">
        <x:v>16922.37092833136</x:v>
      </x:c>
      <x:c r="U1007" s="31" t="n">
        <x:f>MAX(S1007/T1007,T1007/S1007)</x:f>
        <x:v>1.1468129128822895</x:v>
      </x:c>
      <x:c r="V1007" s="31" t="n">
        <x:f>L1007*'Controls &amp; Summary'!$B$9+O1007*'Controls &amp; Summary'!$B$10+R1007*'Controls &amp; Summary'!$B$11+U1007*'Controls &amp; Summary'!$B$12</x:f>
        <x:v>2.2268129128822904</x:v>
      </x:c>
      <x:c r="W1007" s="31" t="n">
        <x:v>1.9</x:v>
      </x:c>
      <x:c r="X1007" s="31" t="n">
        <x:v>1</x:v>
      </x:c>
      <x:c r="Y1007" s="31" t="n">
        <x:f>((10-MIN(10,MAX(0,X1007)))/10)*'Controls &amp; Summary'!$B$15+((10-MIN(10,MAX(0,W1007)))/10)*'Controls &amp; Summary'!$B$16</x:f>
        <x:v>1.71</x:v>
      </x:c>
      <x:c r="Z1007" s="31" t="n">
        <x:f>V1007*Y1007</x:f>
        <x:v>3.8078500810287164</x:v>
      </x:c>
      <x:c r="AA1007" s="30" t="str">
        <x:f>IF(Z1007&lt;=I1007,"Peaceful","Hostile")</x:f>
        <x:v>Peaceful</x:v>
      </x:c>
      <x:c r="AB1007" s="30" t="str">
        <x:f>IF(Z1007&lt;='Controls &amp; Summary'!$B$6,"Eligible","Blocked")</x:f>
        <x:v>Eligible</x:v>
      </x:c>
      <x:c r="AC1007" s="30" t="str">
        <x:v>2026_COL</x:v>
      </x:c>
      <x:c r="AD1007" s="30" t="str">
        <x:v>2026_PRY</x:v>
      </x:c>
      <x:c r="AE1007" s="30" t="str">
        <x:v>2026_Paraguay</x:v>
      </x:c>
      <x:c r="AF1007" s="30" t="str">
        <x:v>Explicit capitalClaim</x:v>
      </x:c>
      <x:c r="AG1007" s="30" t="str">
        <x:v>Claim2026_COL2026_Paraguay</x:v>
      </x:c>
      <x:c r="AH1007" s="30" t="str">
        <x:v>Project_UnidadColombia</x:v>
      </x:c>
    </x:row>
    <x:row r="1008">
      <x:c r="A1008" s="30" t="str">
        <x:v>2026</x:v>
      </x:c>
      <x:c r="B1008" s="30" t="str">
        <x:v>Base game</x:v>
      </x:c>
      <x:c r="C1008" s="30" t="str">
        <x:v>Colombia</x:v>
      </x:c>
      <x:c r="D1008" s="30" t="str">
        <x:v>Peru</x:v>
      </x:c>
      <x:c r="E1008" s="30" t="str">
        <x:v>Project unlock</x:v>
      </x:c>
      <x:c r="F1008" s="30" t="str">
        <x:v>Unidad Colombia</x:v>
      </x:c>
      <x:c r="G1008" s="30" t="str">
        <x:v>No</x:v>
      </x:c>
      <x:c r="H1008" s="30" t="str">
        <x:v>Ordinary claim</x:v>
      </x:c>
      <x:c r="I1008" s="31" t="n">
        <x:f>IF(G1008="Yes",'Controls &amp; Summary'!$B$5,'Controls &amp; Summary'!$B$4)</x:f>
        <x:v>6</x:v>
      </x:c>
      <x:c r="J1008" s="31" t="n">
        <x:v>6.04</x:v>
      </x:c>
      <x:c r="K1008" s="31" t="n">
        <x:v>5.88</x:v>
      </x:c>
      <x:c r="L1008" s="31" t="n">
        <x:f>ABS(J1008-K1008)</x:f>
        <x:v>0.16000000000000014</x:v>
      </x:c>
      <x:c r="M1008" s="31" t="n">
        <x:v>5.48</x:v>
      </x:c>
      <x:c r="N1008" s="31" t="n">
        <x:v>4.03</x:v>
      </x:c>
      <x:c r="O1008" s="31" t="n">
        <x:f>ABS(M1008-N1008)</x:f>
        <x:v>1.4500000000000002</x:v>
      </x:c>
      <x:c r="P1008" s="31" t="n">
        <x:v>6.83</x:v>
      </x:c>
      <x:c r="Q1008" s="31" t="n">
        <x:v>7.38</x:v>
      </x:c>
      <x:c r="R1008" s="31" t="n">
        <x:f>ABS(P1008-Q1008)</x:f>
        <x:v>0.5499999999999998</x:v>
      </x:c>
      <x:c r="S1008" s="32" t="n">
        <x:v>19406.79349719426</x:v>
      </x:c>
      <x:c r="T1008" s="32" t="n">
        <x:v>16204.208286386049</x:v>
      </x:c>
      <x:c r="U1008" s="31" t="n">
        <x:f>MAX(S1008/T1008,T1008/S1008)</x:f>
        <x:v>1.1976391042503978</x:v>
      </x:c>
      <x:c r="V1008" s="31" t="n">
        <x:f>L1008*'Controls &amp; Summary'!$B$9+O1008*'Controls &amp; Summary'!$B$10+R1008*'Controls &amp; Summary'!$B$11+U1008*'Controls &amp; Summary'!$B$12</x:f>
        <x:v>3.357639104250398</x:v>
      </x:c>
      <x:c r="W1008" s="31" t="n">
        <x:v>1.9</x:v>
      </x:c>
      <x:c r="X1008" s="31" t="n">
        <x:v>3.5</x:v>
      </x:c>
      <x:c r="Y1008" s="31" t="n">
        <x:f>((10-MIN(10,MAX(0,X1008)))/10)*'Controls &amp; Summary'!$B$15+((10-MIN(10,MAX(0,W1008)))/10)*'Controls &amp; Summary'!$B$16</x:f>
        <x:v>1.46</x:v>
      </x:c>
      <x:c r="Z1008" s="31" t="n">
        <x:f>V1008*Y1008</x:f>
        <x:v>4.902153092205581</x:v>
      </x:c>
      <x:c r="AA1008" s="30" t="str">
        <x:f>IF(Z1008&lt;=I1008,"Peaceful","Hostile")</x:f>
        <x:v>Peaceful</x:v>
      </x:c>
      <x:c r="AB1008" s="30" t="str">
        <x:f>IF(Z1008&lt;='Controls &amp; Summary'!$B$6,"Eligible","Blocked")</x:f>
        <x:v>Eligible</x:v>
      </x:c>
      <x:c r="AC1008" s="30" t="str">
        <x:v>2026_COL</x:v>
      </x:c>
      <x:c r="AD1008" s="30" t="str">
        <x:v>2026_PER</x:v>
      </x:c>
      <x:c r="AE1008" s="30" t="str">
        <x:v>2026_Peru</x:v>
      </x:c>
      <x:c r="AF1008" s="30" t="str">
        <x:v>Explicit capitalClaim</x:v>
      </x:c>
      <x:c r="AG1008" s="30" t="str">
        <x:v>Claim2026_COL2026_Peru</x:v>
      </x:c>
      <x:c r="AH1008" s="30" t="str">
        <x:v>Project_UnidadColombia</x:v>
      </x:c>
    </x:row>
    <x:row r="1009">
      <x:c r="A1009" s="30" t="str">
        <x:v>2026</x:v>
      </x:c>
      <x:c r="B1009" s="30" t="str">
        <x:v>Base game</x:v>
      </x:c>
      <x:c r="C1009" s="30" t="str">
        <x:v>Colombia</x:v>
      </x:c>
      <x:c r="D1009" s="30" t="str">
        <x:v>Suriname</x:v>
      </x:c>
      <x:c r="E1009" s="30" t="str">
        <x:v>Project unlock</x:v>
      </x:c>
      <x:c r="F1009" s="30" t="str">
        <x:v>South American Confederations</x:v>
      </x:c>
      <x:c r="G1009" s="30" t="str">
        <x:v>No</x:v>
      </x:c>
      <x:c r="H1009" s="30" t="str">
        <x:v>Ordinary claim</x:v>
      </x:c>
      <x:c r="I1009" s="31" t="n">
        <x:f>IF(G1009="Yes",'Controls &amp; Summary'!$B$5,'Controls &amp; Summary'!$B$4)</x:f>
        <x:v>6</x:v>
      </x:c>
      <x:c r="J1009" s="31" t="n">
        <x:v>6.04</x:v>
      </x:c>
      <x:c r="K1009" s="31" t="n">
        <x:v>7.03</x:v>
      </x:c>
      <x:c r="L1009" s="31" t="n">
        <x:f>ABS(J1009-K1009)</x:f>
        <x:v>0.9900000000000002</x:v>
      </x:c>
      <x:c r="M1009" s="31" t="n">
        <x:v>5.48</x:v>
      </x:c>
      <x:c r="N1009" s="31" t="n">
        <x:v>3.92</x:v>
      </x:c>
      <x:c r="O1009" s="31" t="n">
        <x:f>ABS(M1009-N1009)</x:f>
        <x:v>1.5600000000000005</x:v>
      </x:c>
      <x:c r="P1009" s="31" t="n">
        <x:v>6.83</x:v>
      </x:c>
      <x:c r="Q1009" s="31" t="n">
        <x:v>5.75</x:v>
      </x:c>
      <x:c r="R1009" s="31" t="n">
        <x:f>ABS(P1009-Q1009)</x:f>
        <x:v>1.08</x:v>
      </x:c>
      <x:c r="S1009" s="32" t="n">
        <x:v>19406.79349719426</x:v>
      </x:c>
      <x:c r="T1009" s="32" t="n">
        <x:v>20106.469206020556</x:v>
      </x:c>
      <x:c r="U1009" s="31" t="n">
        <x:f>MAX(S1009/T1009,T1009/S1009)</x:f>
        <x:v>1.0360531330911236</x:v>
      </x:c>
      <x:c r="V1009" s="31" t="n">
        <x:f>L1009*'Controls &amp; Summary'!$B$9+O1009*'Controls &amp; Summary'!$B$10+R1009*'Controls &amp; Summary'!$B$11+U1009*'Controls &amp; Summary'!$B$12</x:f>
        <x:v>4.666053133091125</x:v>
      </x:c>
      <x:c r="W1009" s="31" t="n">
        <x:v>1.9</x:v>
      </x:c>
      <x:c r="X1009" s="31" t="n">
        <x:v>0.5</x:v>
      </x:c>
      <x:c r="Y1009" s="31" t="n">
        <x:f>((10-MIN(10,MAX(0,X1009)))/10)*'Controls &amp; Summary'!$B$15+((10-MIN(10,MAX(0,W1009)))/10)*'Controls &amp; Summary'!$B$16</x:f>
        <x:v>1.7599999999999998</x:v>
      </x:c>
      <x:c r="Z1009" s="31" t="n">
        <x:f>V1009*Y1009</x:f>
        <x:v>8.212253514240379</x:v>
      </x:c>
      <x:c r="AA1009" s="30" t="str">
        <x:f>IF(Z1009&lt;=I1009,"Peaceful","Hostile")</x:f>
        <x:v>Hostile</x:v>
      </x:c>
      <x:c r="AB1009" s="30" t="str">
        <x:f>IF(Z1009&lt;='Controls &amp; Summary'!$B$6,"Eligible","Blocked")</x:f>
        <x:v>Eligible</x:v>
      </x:c>
      <x:c r="AC1009" s="30" t="str">
        <x:v>2026_COL</x:v>
      </x:c>
      <x:c r="AD1009" s="30" t="str">
        <x:v>2026_SUR</x:v>
      </x:c>
      <x:c r="AE1009" s="30" t="str">
        <x:v>2026_Suriname</x:v>
      </x:c>
      <x:c r="AF1009" s="30" t="str">
        <x:v>Explicit capitalClaim</x:v>
      </x:c>
      <x:c r="AG1009" s="30" t="str">
        <x:v>Claim2026_COL2026_Suriname</x:v>
      </x:c>
      <x:c r="AH1009" s="30" t="str">
        <x:v>Project_GranColombia</x:v>
      </x:c>
    </x:row>
    <x:row r="1010">
      <x:c r="A1010" s="30" t="str">
        <x:v>2026</x:v>
      </x:c>
      <x:c r="B1010" s="30" t="str">
        <x:v>Base game</x:v>
      </x:c>
      <x:c r="C1010" s="30" t="str">
        <x:v>Colombia</x:v>
      </x:c>
      <x:c r="D1010" s="30" t="str">
        <x:v>Uruguay</x:v>
      </x:c>
      <x:c r="E1010" s="30" t="str">
        <x:v>Project unlock</x:v>
      </x:c>
      <x:c r="F1010" s="30" t="str">
        <x:v>Unidad Colombia</x:v>
      </x:c>
      <x:c r="G1010" s="30" t="str">
        <x:v>No</x:v>
      </x:c>
      <x:c r="H1010" s="30" t="str">
        <x:v>Ordinary claim</x:v>
      </x:c>
      <x:c r="I1010" s="31" t="n">
        <x:f>IF(G1010="Yes",'Controls &amp; Summary'!$B$5,'Controls &amp; Summary'!$B$4)</x:f>
        <x:v>6</x:v>
      </x:c>
      <x:c r="J1010" s="31" t="n">
        <x:v>6.04</x:v>
      </x:c>
      <x:c r="K1010" s="31" t="n">
        <x:v>8.92</x:v>
      </x:c>
      <x:c r="L1010" s="31" t="n">
        <x:f>ABS(J1010-K1010)</x:f>
        <x:v>2.88</x:v>
      </x:c>
      <x:c r="M1010" s="31" t="n">
        <x:v>5.48</x:v>
      </x:c>
      <x:c r="N1010" s="31" t="n">
        <x:v>4.06</x:v>
      </x:c>
      <x:c r="O1010" s="31" t="n">
        <x:f>ABS(M1010-N1010)</x:f>
        <x:v>1.4200000000000008</x:v>
      </x:c>
      <x:c r="P1010" s="31" t="n">
        <x:v>6.83</x:v>
      </x:c>
      <x:c r="Q1010" s="31" t="n">
        <x:v>8.17</x:v>
      </x:c>
      <x:c r="R1010" s="31" t="n">
        <x:f>ABS(P1010-Q1010)</x:f>
        <x:v>1.3399999999999999</x:v>
      </x:c>
      <x:c r="S1010" s="32" t="n">
        <x:v>19406.79349719426</x:v>
      </x:c>
      <x:c r="T1010" s="32" t="n">
        <x:v>33875.141646639786</x:v>
      </x:c>
      <x:c r="U1010" s="31" t="n">
        <x:f>MAX(S1010/T1010,T1010/S1010)</x:f>
        <x:v>1.7455300718038398</x:v>
      </x:c>
      <x:c r="V1010" s="31" t="n">
        <x:f>L1010*'Controls &amp; Summary'!$B$9+O1010*'Controls &amp; Summary'!$B$10+R1010*'Controls &amp; Summary'!$B$11+U1010*'Controls &amp; Summary'!$B$12</x:f>
        <x:v>7.38553007180384</x:v>
      </x:c>
      <x:c r="W1010" s="31" t="n">
        <x:v>1.9</x:v>
      </x:c>
      <x:c r="X1010" s="31" t="n">
        <x:v>0</x:v>
      </x:c>
      <x:c r="Y1010" s="31" t="n">
        <x:f>((10-MIN(10,MAX(0,X1010)))/10)*'Controls &amp; Summary'!$B$15+((10-MIN(10,MAX(0,W1010)))/10)*'Controls &amp; Summary'!$B$16</x:f>
        <x:v>1.81</x:v>
      </x:c>
      <x:c r="Z1010" s="31" t="n">
        <x:f>V1010*Y1010</x:f>
        <x:v>13.367809429964952</x:v>
      </x:c>
      <x:c r="AA1010" s="30" t="str">
        <x:f>IF(Z1010&lt;=I1010,"Peaceful","Hostile")</x:f>
        <x:v>Hostile</x:v>
      </x:c>
      <x:c r="AB1010" s="30" t="str">
        <x:f>IF(Z1010&lt;='Controls &amp; Summary'!$B$6,"Eligible","Blocked")</x:f>
        <x:v>Blocked</x:v>
      </x:c>
      <x:c r="AC1010" s="30" t="str">
        <x:v>2026_COL</x:v>
      </x:c>
      <x:c r="AD1010" s="30" t="str">
        <x:v>2026_URY</x:v>
      </x:c>
      <x:c r="AE1010" s="30" t="str">
        <x:v>2026_Uruguay</x:v>
      </x:c>
      <x:c r="AF1010" s="30" t="str">
        <x:v>Explicit capitalClaim</x:v>
      </x:c>
      <x:c r="AG1010" s="30" t="str">
        <x:v>Claim2026_COL2026_Uruguay</x:v>
      </x:c>
      <x:c r="AH1010" s="30" t="str">
        <x:v>Project_UnidadColombia</x:v>
      </x:c>
    </x:row>
    <x:row r="1011">
      <x:c r="A1011" s="30" t="str">
        <x:v>2026</x:v>
      </x:c>
      <x:c r="B1011" s="30" t="str">
        <x:v>Base game</x:v>
      </x:c>
      <x:c r="C1011" s="30" t="str">
        <x:v>Colombia</x:v>
      </x:c>
      <x:c r="D1011" s="30" t="str">
        <x:v>Venezuela</x:v>
      </x:c>
      <x:c r="E1011" s="30" t="str">
        <x:v>Project unlock</x:v>
      </x:c>
      <x:c r="F1011" s="30" t="str">
        <x:v>South American Confederations</x:v>
      </x:c>
      <x:c r="G1011" s="30" t="str">
        <x:v>No</x:v>
      </x:c>
      <x:c r="H1011" s="30" t="str">
        <x:v>Ordinary claim</x:v>
      </x:c>
      <x:c r="I1011" s="31" t="n">
        <x:f>IF(G1011="Yes",'Controls &amp; Summary'!$B$5,'Controls &amp; Summary'!$B$4)</x:f>
        <x:v>6</x:v>
      </x:c>
      <x:c r="J1011" s="31" t="n">
        <x:v>6.04</x:v>
      </x:c>
      <x:c r="K1011" s="31" t="n">
        <x:v>2.13</x:v>
      </x:c>
      <x:c r="L1011" s="31" t="n">
        <x:f>ABS(J1011-K1011)</x:f>
        <x:v>3.91</x:v>
      </x:c>
      <x:c r="M1011" s="31" t="n">
        <x:v>5.48</x:v>
      </x:c>
      <x:c r="N1011" s="31" t="n">
        <x:v>3.35</x:v>
      </x:c>
      <x:c r="O1011" s="31" t="n">
        <x:f>ABS(M1011-N1011)</x:f>
        <x:v>2.1300000000000003</x:v>
      </x:c>
      <x:c r="P1011" s="31" t="n">
        <x:v>6.83</x:v>
      </x:c>
      <x:c r="Q1011" s="31" t="n">
        <x:v>6.71</x:v>
      </x:c>
      <x:c r="R1011" s="31" t="n">
        <x:f>ABS(P1011-Q1011)</x:f>
        <x:v>0.1200000000000001</x:v>
      </x:c>
      <x:c r="S1011" s="32" t="n">
        <x:v>19406.79349719426</x:v>
      </x:c>
      <x:c r="T1011" s="32" t="n">
        <x:v>6883.701522307046</x:v>
      </x:c>
      <x:c r="U1011" s="31" t="n">
        <x:f>MAX(S1011/T1011,T1011/S1011)</x:f>
        <x:v>2.819238084961323</x:v>
      </x:c>
      <x:c r="V1011" s="31" t="n">
        <x:f>L1011*'Controls &amp; Summary'!$B$9+O1011*'Controls &amp; Summary'!$B$10+R1011*'Controls &amp; Summary'!$B$11+U1011*'Controls &amp; Summary'!$B$12</x:f>
        <x:v>8.979238084961324</x:v>
      </x:c>
      <x:c r="W1011" s="31" t="n">
        <x:v>1.9</x:v>
      </x:c>
      <x:c r="X1011" s="31" t="n">
        <x:v>4.75</x:v>
      </x:c>
      <x:c r="Y1011" s="31" t="n">
        <x:f>((10-MIN(10,MAX(0,X1011)))/10)*'Controls &amp; Summary'!$B$15+((10-MIN(10,MAX(0,W1011)))/10)*'Controls &amp; Summary'!$B$16</x:f>
        <x:v>1.335</x:v>
      </x:c>
      <x:c r="Z1011" s="31" t="n">
        <x:f>V1011*Y1011</x:f>
        <x:v>11.987282843423367</x:v>
      </x:c>
      <x:c r="AA1011" s="30" t="str">
        <x:f>IF(Z1011&lt;=I1011,"Peaceful","Hostile")</x:f>
        <x:v>Hostile</x:v>
      </x:c>
      <x:c r="AB1011" s="30" t="str">
        <x:f>IF(Z1011&lt;='Controls &amp; Summary'!$B$6,"Eligible","Blocked")</x:f>
        <x:v>Eligible</x:v>
      </x:c>
      <x:c r="AC1011" s="30" t="str">
        <x:v>2026_COL</x:v>
      </x:c>
      <x:c r="AD1011" s="30" t="str">
        <x:v>2026_VEN</x:v>
      </x:c>
      <x:c r="AE1011" s="30" t="str">
        <x:v>2026_Venezuela</x:v>
      </x:c>
      <x:c r="AF1011" s="30" t="str">
        <x:v>Explicit capitalClaim</x:v>
      </x:c>
      <x:c r="AG1011" s="30" t="str">
        <x:v>Claim2026_COL2026_Venezuela</x:v>
      </x:c>
      <x:c r="AH1011" s="30" t="str">
        <x:v>Project_GranColombia</x:v>
      </x:c>
    </x:row>
    <x:row r="1012">
      <x:c r="A1012" s="30" t="str">
        <x:v>2026</x:v>
      </x:c>
      <x:c r="B1012" s="30" t="str">
        <x:v>Base game</x:v>
      </x:c>
      <x:c r="C1012" s="30" t="str">
        <x:v>Czechia</x:v>
      </x:c>
      <x:c r="D1012" s="30" t="str">
        <x:v>Slovakia</x:v>
      </x:c>
      <x:c r="E1012" s="30" t="str">
        <x:v>Starting claim</x:v>
      </x:c>
      <x:c r="F1012" s="30" t="str"/>
      <x:c r="G1012" s="30" t="str">
        <x:v>No</x:v>
      </x:c>
      <x:c r="H1012" s="30" t="str">
        <x:v>Ordinary claim</x:v>
      </x:c>
      <x:c r="I1012" s="31" t="n">
        <x:f>IF(G1012="Yes",'Controls &amp; Summary'!$B$5,'Controls &amp; Summary'!$B$4)</x:f>
        <x:v>6</x:v>
      </x:c>
      <x:c r="J1012" s="31" t="n">
        <x:v>8.15</x:v>
      </x:c>
      <x:c r="K1012" s="31" t="n">
        <x:v>6.94</x:v>
      </x:c>
      <x:c r="L1012" s="31" t="n">
        <x:f>ABS(J1012-K1012)</x:f>
        <x:v>1.21</x:v>
      </x:c>
      <x:c r="M1012" s="31" t="n">
        <x:v>2.62</x:v>
      </x:c>
      <x:c r="N1012" s="31" t="n">
        <x:v>2.41</x:v>
      </x:c>
      <x:c r="O1012" s="31" t="n">
        <x:f>ABS(M1012-N1012)</x:f>
        <x:v>0.20999999999999996</x:v>
      </x:c>
      <x:c r="P1012" s="31" t="n">
        <x:v>8.79</x:v>
      </x:c>
      <x:c r="Q1012" s="31" t="n">
        <x:v>8.31</x:v>
      </x:c>
      <x:c r="R1012" s="31" t="n">
        <x:f>ABS(P1012-Q1012)</x:f>
        <x:v>0.47999999999999865</x:v>
      </x:c>
      <x:c r="S1012" s="32" t="n">
        <x:v>54108.58755515526</x:v>
      </x:c>
      <x:c r="T1012" s="32" t="n">
        <x:v>41490.26056336219</x:v>
      </x:c>
      <x:c r="U1012" s="31" t="n">
        <x:f>MAX(S1012/T1012,T1012/S1012)</x:f>
        <x:v>1.3041274463081012</x:v>
      </x:c>
      <x:c r="V1012" s="31" t="n">
        <x:f>L1012*'Controls &amp; Summary'!$B$9+O1012*'Controls &amp; Summary'!$B$10+R1012*'Controls &amp; Summary'!$B$11+U1012*'Controls &amp; Summary'!$B$12</x:f>
        <x:v>3.2041274463080995</x:v>
      </x:c>
      <x:c r="W1012" s="31" t="n">
        <x:v>5.27</x:v>
      </x:c>
      <x:c r="X1012" s="31" t="n">
        <x:v>0.5</x:v>
      </x:c>
      <x:c r="Y1012" s="31" t="n">
        <x:f>((10-MIN(10,MAX(0,X1012)))/10)*'Controls &amp; Summary'!$B$15+((10-MIN(10,MAX(0,W1012)))/10)*'Controls &amp; Summary'!$B$16</x:f>
        <x:v>1.423</x:v>
      </x:c>
      <x:c r="Z1012" s="31" t="n">
        <x:f>V1012*Y1012</x:f>
        <x:v>4.559473356096426</x:v>
      </x:c>
      <x:c r="AA1012" s="30" t="str">
        <x:f>IF(Z1012&lt;=I1012,"Peaceful","Hostile")</x:f>
        <x:v>Peaceful</x:v>
      </x:c>
      <x:c r="AB1012" s="30" t="str">
        <x:f>IF(Z1012&lt;='Controls &amp; Summary'!$B$6,"Eligible","Blocked")</x:f>
        <x:v>Eligible</x:v>
      </x:c>
      <x:c r="AC1012" s="30" t="str">
        <x:v>2026_CZE</x:v>
      </x:c>
      <x:c r="AD1012" s="30" t="str">
        <x:v>2026_SLO</x:v>
      </x:c>
      <x:c r="AE1012" s="30" t="str">
        <x:v>2026_Slovakia</x:v>
      </x:c>
      <x:c r="AF1012" s="30" t="str">
        <x:v>Explicit capitalClaim</x:v>
      </x:c>
      <x:c r="AG1012" s="30" t="str">
        <x:v>Claim2026_CZE2026_Slovakia</x:v>
      </x:c>
      <x:c r="AH1012" s="30" t="str"/>
    </x:row>
    <x:row r="1013">
      <x:c r="A1013" s="30" t="str">
        <x:v>2026</x:v>
      </x:c>
      <x:c r="B1013" s="30" t="str">
        <x:v>Base game</x:v>
      </x:c>
      <x:c r="C1013" s="30" t="str">
        <x:v>Egypt</x:v>
      </x:c>
      <x:c r="D1013" s="30" t="str">
        <x:v>Algeria</x:v>
      </x:c>
      <x:c r="E1013" s="30" t="str">
        <x:v>Project unlock</x:v>
      </x:c>
      <x:c r="F1013" s="30" t="str">
        <x:v>United Arab League</x:v>
      </x:c>
      <x:c r="G1013" s="30" t="str">
        <x:v>No</x:v>
      </x:c>
      <x:c r="H1013" s="30" t="str">
        <x:v>Ordinary claim</x:v>
      </x:c>
      <x:c r="I1013" s="31" t="n">
        <x:f>IF(G1013="Yes",'Controls &amp; Summary'!$B$5,'Controls &amp; Summary'!$B$4)</x:f>
        <x:v>6</x:v>
      </x:c>
      <x:c r="J1013" s="31" t="n">
        <x:v>2.79</x:v>
      </x:c>
      <x:c r="K1013" s="31" t="n">
        <x:v>3.55</x:v>
      </x:c>
      <x:c r="L1013" s="31" t="n">
        <x:f>ABS(J1013-K1013)</x:f>
        <x:v>0.7599999999999998</x:v>
      </x:c>
      <x:c r="M1013" s="31" t="n">
        <x:v>3.19</x:v>
      </x:c>
      <x:c r="N1013" s="31" t="n">
        <x:v>2.76</x:v>
      </x:c>
      <x:c r="O1013" s="31" t="n">
        <x:f>ABS(M1013-N1013)</x:f>
        <x:v>0.43000000000000016</x:v>
      </x:c>
      <x:c r="P1013" s="31" t="n">
        <x:v>6.86</x:v>
      </x:c>
      <x:c r="Q1013" s="31" t="n">
        <x:v>6.64</x:v>
      </x:c>
      <x:c r="R1013" s="31" t="n">
        <x:f>ABS(P1013-Q1013)</x:f>
        <x:v>0.22000000000000064</x:v>
      </x:c>
      <x:c r="S1013" s="32" t="n">
        <x:v>17449.672411614625</x:v>
      </x:c>
      <x:c r="T1013" s="32" t="n">
        <x:v>16038.32271175594</x:v>
      </x:c>
      <x:c r="U1013" s="31" t="n">
        <x:f>MAX(S1013/T1013,T1013/S1013)</x:f>
        <x:v>1.0879985847163542</x:v>
      </x:c>
      <x:c r="V1013" s="31" t="n">
        <x:f>L1013*'Controls &amp; Summary'!$B$9+O1013*'Controls &amp; Summary'!$B$10+R1013*'Controls &amp; Summary'!$B$11+U1013*'Controls &amp; Summary'!$B$12</x:f>
        <x:v>2.497998584716355</x:v>
      </x:c>
      <x:c r="W1013" s="31" t="n">
        <x:v>2.22</x:v>
      </x:c>
      <x:c r="X1013" s="31" t="n">
        <x:v>1</x:v>
      </x:c>
      <x:c r="Y1013" s="31" t="n">
        <x:f>((10-MIN(10,MAX(0,X1013)))/10)*'Controls &amp; Summary'!$B$15+((10-MIN(10,MAX(0,W1013)))/10)*'Controls &amp; Summary'!$B$16</x:f>
        <x:v>1.678</x:v>
      </x:c>
      <x:c r="Z1013" s="31" t="n">
        <x:f>V1013*Y1013</x:f>
        <x:v>4.191641625154043</x:v>
      </x:c>
      <x:c r="AA1013" s="30" t="str">
        <x:f>IF(Z1013&lt;=I1013,"Peaceful","Hostile")</x:f>
        <x:v>Peaceful</x:v>
      </x:c>
      <x:c r="AB1013" s="30" t="str">
        <x:f>IF(Z1013&lt;='Controls &amp; Summary'!$B$6,"Eligible","Blocked")</x:f>
        <x:v>Eligible</x:v>
      </x:c>
      <x:c r="AC1013" s="30" t="str">
        <x:v>2026_EGY</x:v>
      </x:c>
      <x:c r="AD1013" s="30" t="str">
        <x:v>2026_DZA</x:v>
      </x:c>
      <x:c r="AE1013" s="30" t="str">
        <x:v>2026_Algeria</x:v>
      </x:c>
      <x:c r="AF1013" s="30" t="str">
        <x:v>Explicit capitalClaim</x:v>
      </x:c>
      <x:c r="AG1013" s="30" t="str">
        <x:v>Claim2026_EGY2026_Algeria</x:v>
      </x:c>
      <x:c r="AH1013" s="30" t="str">
        <x:v>Project_UnitedArabLeague</x:v>
      </x:c>
    </x:row>
    <x:row r="1014">
      <x:c r="A1014" s="30" t="str">
        <x:v>2026</x:v>
      </x:c>
      <x:c r="B1014" s="30" t="str">
        <x:v>Base game</x:v>
      </x:c>
      <x:c r="C1014" s="30" t="str">
        <x:v>Egypt</x:v>
      </x:c>
      <x:c r="D1014" s="30" t="str">
        <x:v>Gulf States</x:v>
      </x:c>
      <x:c r="E1014" s="30" t="str">
        <x:v>Project unlock</x:v>
      </x:c>
      <x:c r="F1014" s="30" t="str">
        <x:v>United Arab League</x:v>
      </x:c>
      <x:c r="G1014" s="30" t="str">
        <x:v>No</x:v>
      </x:c>
      <x:c r="H1014" s="30" t="str">
        <x:v>Ordinary claim</x:v>
      </x:c>
      <x:c r="I1014" s="31" t="n">
        <x:f>IF(G1014="Yes",'Controls &amp; Summary'!$B$5,'Controls &amp; Summary'!$B$4)</x:f>
        <x:v>6</x:v>
      </x:c>
      <x:c r="J1014" s="31" t="n">
        <x:v>2.79</x:v>
      </x:c>
      <x:c r="K1014" s="31" t="n">
        <x:v>2.92</x:v>
      </x:c>
      <x:c r="L1014" s="31" t="n">
        <x:f>ABS(J1014-K1014)</x:f>
        <x:v>0.1299999999999999</x:v>
      </x:c>
      <x:c r="M1014" s="31" t="n">
        <x:v>3.19</x:v>
      </x:c>
      <x:c r="N1014" s="31" t="n">
        <x:v>4.37</x:v>
      </x:c>
      <x:c r="O1014" s="31" t="n">
        <x:f>ABS(M1014-N1014)</x:f>
        <x:v>1.1800000000000002</x:v>
      </x:c>
      <x:c r="P1014" s="31" t="n">
        <x:v>6.86</x:v>
      </x:c>
      <x:c r="Q1014" s="31" t="n">
        <x:v>7.38</x:v>
      </x:c>
      <x:c r="R1014" s="31" t="n">
        <x:f>ABS(P1014-Q1014)</x:f>
        <x:v>0.5199999999999996</x:v>
      </x:c>
      <x:c r="S1014" s="32" t="n">
        <x:v>17449.672411614625</x:v>
      </x:c>
      <x:c r="T1014" s="32" t="n">
        <x:v>89004.61360911882</x:v>
      </x:c>
      <x:c r="U1014" s="31" t="n">
        <x:f>MAX(S1014/T1014,T1014/S1014)</x:f>
        <x:v>5.1006466774629375</x:v>
      </x:c>
      <x:c r="V1014" s="31" t="n">
        <x:f>L1014*'Controls &amp; Summary'!$B$9+O1014*'Controls &amp; Summary'!$B$10+R1014*'Controls &amp; Summary'!$B$11+U1014*'Controls &amp; Summary'!$B$12</x:f>
        <x:v>6.930646677462937</x:v>
      </x:c>
      <x:c r="W1014" s="31" t="n">
        <x:v>2.22</x:v>
      </x:c>
      <x:c r="X1014" s="31" t="n">
        <x:v>0.17</x:v>
      </x:c>
      <x:c r="Y1014" s="31" t="n">
        <x:f>((10-MIN(10,MAX(0,X1014)))/10)*'Controls &amp; Summary'!$B$15+((10-MIN(10,MAX(0,W1014)))/10)*'Controls &amp; Summary'!$B$16</x:f>
        <x:v>1.761</x:v>
      </x:c>
      <x:c r="Z1014" s="31" t="n">
        <x:f>V1014*Y1014</x:f>
        <x:v>12.20486879901223</x:v>
      </x:c>
      <x:c r="AA1014" s="30" t="str">
        <x:f>IF(Z1014&lt;=I1014,"Peaceful","Hostile")</x:f>
        <x:v>Hostile</x:v>
      </x:c>
      <x:c r="AB1014" s="30" t="str">
        <x:f>IF(Z1014&lt;='Controls &amp; Summary'!$B$6,"Eligible","Blocked")</x:f>
        <x:v>Blocked</x:v>
      </x:c>
      <x:c r="AC1014" s="30" t="str">
        <x:v>2026_EGY</x:v>
      </x:c>
      <x:c r="AD1014" s="30" t="str">
        <x:v>2026_GUS</x:v>
      </x:c>
      <x:c r="AE1014" s="30" t="str">
        <x:v>2026_GulfStates</x:v>
      </x:c>
      <x:c r="AF1014" s="30" t="str">
        <x:v>Explicit capitalClaim</x:v>
      </x:c>
      <x:c r="AG1014" s="30" t="str">
        <x:v>Claim2026_EGY2026_GulfStates</x:v>
      </x:c>
      <x:c r="AH1014" s="30" t="str">
        <x:v>Project_UnitedArabLeague</x:v>
      </x:c>
    </x:row>
    <x:row r="1015">
      <x:c r="A1015" s="30" t="str">
        <x:v>2026</x:v>
      </x:c>
      <x:c r="B1015" s="30" t="str">
        <x:v>Base game</x:v>
      </x:c>
      <x:c r="C1015" s="30" t="str">
        <x:v>Egypt</x:v>
      </x:c>
      <x:c r="D1015" s="30" t="str">
        <x:v>Iraq</x:v>
      </x:c>
      <x:c r="E1015" s="30" t="str">
        <x:v>Project unlock</x:v>
      </x:c>
      <x:c r="F1015" s="30" t="str">
        <x:v>United Arab League</x:v>
      </x:c>
      <x:c r="G1015" s="30" t="str">
        <x:v>No</x:v>
      </x:c>
      <x:c r="H1015" s="30" t="str">
        <x:v>Ordinary claim</x:v>
      </x:c>
      <x:c r="I1015" s="31" t="n">
        <x:f>IF(G1015="Yes",'Controls &amp; Summary'!$B$5,'Controls &amp; Summary'!$B$4)</x:f>
        <x:v>6</x:v>
      </x:c>
      <x:c r="J1015" s="31" t="n">
        <x:v>2.79</x:v>
      </x:c>
      <x:c r="K1015" s="31" t="n">
        <x:v>3.13</x:v>
      </x:c>
      <x:c r="L1015" s="31" t="n">
        <x:f>ABS(J1015-K1015)</x:f>
        <x:v>0.33999999999999986</x:v>
      </x:c>
      <x:c r="M1015" s="31" t="n">
        <x:v>3.19</x:v>
      </x:c>
      <x:c r="N1015" s="31" t="n">
        <x:v>2.95</x:v>
      </x:c>
      <x:c r="O1015" s="31" t="n">
        <x:f>ABS(M1015-N1015)</x:f>
        <x:v>0.23999999999999977</x:v>
      </x:c>
      <x:c r="P1015" s="31" t="n">
        <x:v>6.86</x:v>
      </x:c>
      <x:c r="Q1015" s="31" t="n">
        <x:v>5.61</x:v>
      </x:c>
      <x:c r="R1015" s="31" t="n">
        <x:f>ABS(P1015-Q1015)</x:f>
        <x:v>1.25</x:v>
      </x:c>
      <x:c r="S1015" s="32" t="n">
        <x:v>17449.672411614625</x:v>
      </x:c>
      <x:c r="T1015" s="32" t="n">
        <x:v>12664.574449162952</x:v>
      </x:c>
      <x:c r="U1015" s="31" t="n">
        <x:f>MAX(S1015/T1015,T1015/S1015)</x:f>
        <x:v>1.3778333004128644</x:v>
      </x:c>
      <x:c r="V1015" s="31" t="n">
        <x:f>L1015*'Controls &amp; Summary'!$B$9+O1015*'Controls &amp; Summary'!$B$10+R1015*'Controls &amp; Summary'!$B$11+U1015*'Controls &amp; Summary'!$B$12</x:f>
        <x:v>3.2078333004128643</x:v>
      </x:c>
      <x:c r="W1015" s="31" t="n">
        <x:v>2.22</x:v>
      </x:c>
      <x:c r="X1015" s="31" t="n">
        <x:v>5</x:v>
      </x:c>
      <x:c r="Y1015" s="31" t="n">
        <x:f>((10-MIN(10,MAX(0,X1015)))/10)*'Controls &amp; Summary'!$B$15+((10-MIN(10,MAX(0,W1015)))/10)*'Controls &amp; Summary'!$B$16</x:f>
        <x:v>1.278</x:v>
      </x:c>
      <x:c r="Z1015" s="31" t="n">
        <x:f>V1015*Y1015</x:f>
        <x:v>4.0996109579276405</x:v>
      </x:c>
      <x:c r="AA1015" s="30" t="str">
        <x:f>IF(Z1015&lt;=I1015,"Peaceful","Hostile")</x:f>
        <x:v>Peaceful</x:v>
      </x:c>
      <x:c r="AB1015" s="30" t="str">
        <x:f>IF(Z1015&lt;='Controls &amp; Summary'!$B$6,"Eligible","Blocked")</x:f>
        <x:v>Eligible</x:v>
      </x:c>
      <x:c r="AC1015" s="30" t="str">
        <x:v>2026_EGY</x:v>
      </x:c>
      <x:c r="AD1015" s="30" t="str">
        <x:v>2026_IRQ</x:v>
      </x:c>
      <x:c r="AE1015" s="30" t="str">
        <x:v>2026_Baghdad</x:v>
      </x:c>
      <x:c r="AF1015" s="30" t="str">
        <x:v>Explicit capitalClaim</x:v>
      </x:c>
      <x:c r="AG1015" s="30" t="str">
        <x:v>Claim2026_EGY2026_Baghdad</x:v>
      </x:c>
      <x:c r="AH1015" s="30" t="str">
        <x:v>Project_UnitedArabLeague</x:v>
      </x:c>
    </x:row>
    <x:row r="1016">
      <x:c r="A1016" s="30" t="str">
        <x:v>2026</x:v>
      </x:c>
      <x:c r="B1016" s="30" t="str">
        <x:v>Base game</x:v>
      </x:c>
      <x:c r="C1016" s="30" t="str">
        <x:v>Egypt</x:v>
      </x:c>
      <x:c r="D1016" s="30" t="str">
        <x:v>Israel</x:v>
      </x:c>
      <x:c r="E1016" s="30" t="str">
        <x:v>Project unlock</x:v>
      </x:c>
      <x:c r="F1016" s="30" t="str">
        <x:v>United Arab League</x:v>
      </x:c>
      <x:c r="G1016" s="30" t="str">
        <x:v>Yes</x:v>
      </x:c>
      <x:c r="H1016" s="30" t="str">
        <x:v>Template hostileClaim</x:v>
      </x:c>
      <x:c r="I1016" s="31" t="n">
        <x:f>IF(G1016="Yes",'Controls &amp; Summary'!$B$5,'Controls &amp; Summary'!$B$4)</x:f>
        <x:v>3</x:v>
      </x:c>
      <x:c r="J1016" s="31" t="n">
        <x:v>2.79</x:v>
      </x:c>
      <x:c r="K1016" s="31" t="n">
        <x:v>7.8</x:v>
      </x:c>
      <x:c r="L1016" s="31" t="n">
        <x:f>ABS(J1016-K1016)</x:f>
        <x:v>5.01</x:v>
      </x:c>
      <x:c r="M1016" s="31" t="n">
        <x:v>3.19</x:v>
      </x:c>
      <x:c r="N1016" s="31" t="n">
        <x:v>3.79</x:v>
      </x:c>
      <x:c r="O1016" s="31" t="n">
        <x:f>ABS(M1016-N1016)</x:f>
        <x:v>0.6000000000000001</x:v>
      </x:c>
      <x:c r="P1016" s="31" t="n">
        <x:v>6.86</x:v>
      </x:c>
      <x:c r="Q1016" s="31" t="n">
        <x:v>8.44</x:v>
      </x:c>
      <x:c r="R1016" s="31" t="n">
        <x:f>ABS(P1016-Q1016)</x:f>
        <x:v>1.5799999999999992</x:v>
      </x:c>
      <x:c r="S1016" s="32" t="n">
        <x:v>17449.672411614625</x:v>
      </x:c>
      <x:c r="T1016" s="32" t="n">
        <x:v>63166.51407399223</x:v>
      </x:c>
      <x:c r="U1016" s="31" t="n">
        <x:f>MAX(S1016/T1016,T1016/S1016)</x:f>
        <x:v>3.6199254968218284</x:v>
      </x:c>
      <x:c r="V1016" s="31" t="n">
        <x:f>L1016*'Controls &amp; Summary'!$B$9+O1016*'Controls &amp; Summary'!$B$10+R1016*'Controls &amp; Summary'!$B$11+U1016*'Controls &amp; Summary'!$B$12</x:f>
        <x:v>10.809925496821826</x:v>
      </x:c>
      <x:c r="W1016" s="31" t="n">
        <x:v>2.22</x:v>
      </x:c>
      <x:c r="X1016" s="31" t="n">
        <x:v>4</x:v>
      </x:c>
      <x:c r="Y1016" s="31" t="n">
        <x:f>((10-MIN(10,MAX(0,X1016)))/10)*'Controls &amp; Summary'!$B$15+((10-MIN(10,MAX(0,W1016)))/10)*'Controls &amp; Summary'!$B$16</x:f>
        <x:v>1.378</x:v>
      </x:c>
      <x:c r="Z1016" s="31" t="n">
        <x:f>V1016*Y1016</x:f>
        <x:v>14.896077334620475</x:v>
      </x:c>
      <x:c r="AA1016" s="30" t="str">
        <x:f>IF(Z1016&lt;=I1016,"Peaceful","Hostile")</x:f>
        <x:v>Hostile</x:v>
      </x:c>
      <x:c r="AB1016" s="30" t="str">
        <x:f>IF(Z1016&lt;='Controls &amp; Summary'!$B$6,"Eligible","Blocked")</x:f>
        <x:v>Blocked</x:v>
      </x:c>
      <x:c r="AC1016" s="30" t="str">
        <x:v>2026_EGY</x:v>
      </x:c>
      <x:c r="AD1016" s="30" t="str">
        <x:v>2026_ISR</x:v>
      </x:c>
      <x:c r="AE1016" s="30" t="str">
        <x:v>2026_Israel</x:v>
      </x:c>
      <x:c r="AF1016" s="30" t="str">
        <x:v>Explicit capitalClaim</x:v>
      </x:c>
      <x:c r="AG1016" s="30" t="str">
        <x:v>Claim2026_EGY2026_Israel</x:v>
      </x:c>
      <x:c r="AH1016" s="30" t="str">
        <x:v>Project_UnitedArabLeague</x:v>
      </x:c>
    </x:row>
    <x:row r="1017">
      <x:c r="A1017" s="30" t="str">
        <x:v>2026</x:v>
      </x:c>
      <x:c r="B1017" s="30" t="str">
        <x:v>Base game</x:v>
      </x:c>
      <x:c r="C1017" s="30" t="str">
        <x:v>Egypt</x:v>
      </x:c>
      <x:c r="D1017" s="30" t="str">
        <x:v>Jordan</x:v>
      </x:c>
      <x:c r="E1017" s="30" t="str">
        <x:v>Project unlock</x:v>
      </x:c>
      <x:c r="F1017" s="30" t="str">
        <x:v>United Arab League</x:v>
      </x:c>
      <x:c r="G1017" s="30" t="str">
        <x:v>No</x:v>
      </x:c>
      <x:c r="H1017" s="30" t="str">
        <x:v>Ordinary claim</x:v>
      </x:c>
      <x:c r="I1017" s="31" t="n">
        <x:f>IF(G1017="Yes",'Controls &amp; Summary'!$B$5,'Controls &amp; Summary'!$B$4)</x:f>
        <x:v>6</x:v>
      </x:c>
      <x:c r="J1017" s="31" t="n">
        <x:v>2.79</x:v>
      </x:c>
      <x:c r="K1017" s="31" t="n">
        <x:v>3.28</x:v>
      </x:c>
      <x:c r="L1017" s="31" t="n">
        <x:f>ABS(J1017-K1017)</x:f>
        <x:v>0.48999999999999977</x:v>
      </x:c>
      <x:c r="M1017" s="31" t="n">
        <x:v>3.19</x:v>
      </x:c>
      <x:c r="N1017" s="31" t="n">
        <x:v>3.37</x:v>
      </x:c>
      <x:c r="O1017" s="31" t="n">
        <x:f>ABS(M1017-N1017)</x:f>
        <x:v>0.18000000000000016</x:v>
      </x:c>
      <x:c r="P1017" s="31" t="n">
        <x:v>6.86</x:v>
      </x:c>
      <x:c r="Q1017" s="31" t="n">
        <x:v>6.89</x:v>
      </x:c>
      <x:c r="R1017" s="31" t="n">
        <x:f>ABS(P1017-Q1017)</x:f>
        <x:v>0.02999999999999936</x:v>
      </x:c>
      <x:c r="S1017" s="32" t="n">
        <x:v>17449.672411614625</x:v>
      </x:c>
      <x:c r="T1017" s="32" t="n">
        <x:v>9998.311407397641</x:v>
      </x:c>
      <x:c r="U1017" s="31" t="n">
        <x:f>MAX(S1017/T1017,T1017/S1017)</x:f>
        <x:v>1.7452619448023796</x:v>
      </x:c>
      <x:c r="V1017" s="31" t="n">
        <x:f>L1017*'Controls &amp; Summary'!$B$9+O1017*'Controls &amp; Summary'!$B$10+R1017*'Controls &amp; Summary'!$B$11+U1017*'Controls &amp; Summary'!$B$12</x:f>
        <x:v>2.445261944802379</x:v>
      </x:c>
      <x:c r="W1017" s="31" t="n">
        <x:v>2.22</x:v>
      </x:c>
      <x:c r="X1017" s="31" t="n">
        <x:v>1</x:v>
      </x:c>
      <x:c r="Y1017" s="31" t="n">
        <x:f>((10-MIN(10,MAX(0,X1017)))/10)*'Controls &amp; Summary'!$B$15+((10-MIN(10,MAX(0,W1017)))/10)*'Controls &amp; Summary'!$B$16</x:f>
        <x:v>1.678</x:v>
      </x:c>
      <x:c r="Z1017" s="31" t="n">
        <x:f>V1017*Y1017</x:f>
        <x:v>4.103149543378391</x:v>
      </x:c>
      <x:c r="AA1017" s="30" t="str">
        <x:f>IF(Z1017&lt;=I1017,"Peaceful","Hostile")</x:f>
        <x:v>Peaceful</x:v>
      </x:c>
      <x:c r="AB1017" s="30" t="str">
        <x:f>IF(Z1017&lt;='Controls &amp; Summary'!$B$6,"Eligible","Blocked")</x:f>
        <x:v>Eligible</x:v>
      </x:c>
      <x:c r="AC1017" s="30" t="str">
        <x:v>2026_EGY</x:v>
      </x:c>
      <x:c r="AD1017" s="30" t="str">
        <x:v>2026_JOR</x:v>
      </x:c>
      <x:c r="AE1017" s="30" t="str">
        <x:v>2026_Jordan</x:v>
      </x:c>
      <x:c r="AF1017" s="30" t="str">
        <x:v>Explicit capitalClaim</x:v>
      </x:c>
      <x:c r="AG1017" s="30" t="str">
        <x:v>Claim2026_EGY2026_Jordan</x:v>
      </x:c>
      <x:c r="AH1017" s="30" t="str">
        <x:v>Project_UnitedArabLeague</x:v>
      </x:c>
    </x:row>
    <x:row r="1018">
      <x:c r="A1018" s="30" t="str">
        <x:v>2026</x:v>
      </x:c>
      <x:c r="B1018" s="30" t="str">
        <x:v>Base game</x:v>
      </x:c>
      <x:c r="C1018" s="30" t="str">
        <x:v>Egypt</x:v>
      </x:c>
      <x:c r="D1018" s="30" t="str">
        <x:v>Kuwait</x:v>
      </x:c>
      <x:c r="E1018" s="30" t="str">
        <x:v>Project unlock</x:v>
      </x:c>
      <x:c r="F1018" s="30" t="str">
        <x:v>United Arab League</x:v>
      </x:c>
      <x:c r="G1018" s="30" t="str">
        <x:v>No</x:v>
      </x:c>
      <x:c r="H1018" s="30" t="str">
        <x:v>Ordinary claim</x:v>
      </x:c>
      <x:c r="I1018" s="31" t="n">
        <x:f>IF(G1018="Yes",'Controls &amp; Summary'!$B$5,'Controls &amp; Summary'!$B$4)</x:f>
        <x:v>6</x:v>
      </x:c>
      <x:c r="J1018" s="31" t="n">
        <x:v>2.79</x:v>
      </x:c>
      <x:c r="K1018" s="31" t="n">
        <x:v>2.78</x:v>
      </x:c>
      <x:c r="L1018" s="31" t="n">
        <x:f>ABS(J1018-K1018)</x:f>
        <x:v>0.010000000000000231</x:v>
      </x:c>
      <x:c r="M1018" s="31" t="n">
        <x:v>3.19</x:v>
      </x:c>
      <x:c r="N1018" s="31" t="n">
        <x:v>3.76</x:v>
      </x:c>
      <x:c r="O1018" s="31" t="n">
        <x:f>ABS(M1018-N1018)</x:f>
        <x:v>0.5699999999999998</x:v>
      </x:c>
      <x:c r="P1018" s="31" t="n">
        <x:v>6.86</x:v>
      </x:c>
      <x:c r="Q1018" s="31" t="n">
        <x:v>6.81</x:v>
      </x:c>
      <x:c r="R1018" s="31" t="n">
        <x:f>ABS(P1018-Q1018)</x:f>
        <x:v>0.05000000000000071</x:v>
      </x:c>
      <x:c r="S1018" s="32" t="n">
        <x:v>17449.672411614625</x:v>
      </x:c>
      <x:c r="T1018" s="32" t="n">
        <x:v>44925.11032726715</x:v>
      </x:c>
      <x:c r="U1018" s="31" t="n">
        <x:f>MAX(S1018/T1018,T1018/S1018)</x:f>
        <x:v>2.5745532218338196</x:v>
      </x:c>
      <x:c r="V1018" s="31" t="n">
        <x:f>L1018*'Controls &amp; Summary'!$B$9+O1018*'Controls &amp; Summary'!$B$10+R1018*'Controls &amp; Summary'!$B$11+U1018*'Controls &amp; Summary'!$B$12</x:f>
        <x:v>3.2045532218338204</x:v>
      </x:c>
      <x:c r="W1018" s="31" t="n">
        <x:v>2.22</x:v>
      </x:c>
      <x:c r="X1018" s="31" t="n">
        <x:v>0</x:v>
      </x:c>
      <x:c r="Y1018" s="31" t="n">
        <x:f>((10-MIN(10,MAX(0,X1018)))/10)*'Controls &amp; Summary'!$B$15+((10-MIN(10,MAX(0,W1018)))/10)*'Controls &amp; Summary'!$B$16</x:f>
        <x:v>1.778</x:v>
      </x:c>
      <x:c r="Z1018" s="31" t="n">
        <x:f>V1018*Y1018</x:f>
        <x:v>5.697695628420533</x:v>
      </x:c>
      <x:c r="AA1018" s="30" t="str">
        <x:f>IF(Z1018&lt;=I1018,"Peaceful","Hostile")</x:f>
        <x:v>Peaceful</x:v>
      </x:c>
      <x:c r="AB1018" s="30" t="str">
        <x:f>IF(Z1018&lt;='Controls &amp; Summary'!$B$6,"Eligible","Blocked")</x:f>
        <x:v>Eligible</x:v>
      </x:c>
      <x:c r="AC1018" s="30" t="str">
        <x:v>2026_EGY</x:v>
      </x:c>
      <x:c r="AD1018" s="30" t="str">
        <x:v>2026_KUW</x:v>
      </x:c>
      <x:c r="AE1018" s="30" t="str">
        <x:v>2026_Kuwait</x:v>
      </x:c>
      <x:c r="AF1018" s="30" t="str">
        <x:v>Explicit capitalClaim</x:v>
      </x:c>
      <x:c r="AG1018" s="30" t="str">
        <x:v>Claim2026_EGY2026_Kuwait</x:v>
      </x:c>
      <x:c r="AH1018" s="30" t="str">
        <x:v>Project_UnitedArabLeague</x:v>
      </x:c>
    </x:row>
    <x:row r="1019">
      <x:c r="A1019" s="30" t="str">
        <x:v>2026</x:v>
      </x:c>
      <x:c r="B1019" s="30" t="str">
        <x:v>Base game</x:v>
      </x:c>
      <x:c r="C1019" s="30" t="str">
        <x:v>Egypt</x:v>
      </x:c>
      <x:c r="D1019" s="30" t="str">
        <x:v>Lebanon</x:v>
      </x:c>
      <x:c r="E1019" s="30" t="str">
        <x:v>Project unlock</x:v>
      </x:c>
      <x:c r="F1019" s="30" t="str">
        <x:v>United Arab League</x:v>
      </x:c>
      <x:c r="G1019" s="30" t="str">
        <x:v>No</x:v>
      </x:c>
      <x:c r="H1019" s="30" t="str">
        <x:v>Ordinary claim</x:v>
      </x:c>
      <x:c r="I1019" s="31" t="n">
        <x:f>IF(G1019="Yes",'Controls &amp; Summary'!$B$5,'Controls &amp; Summary'!$B$4)</x:f>
        <x:v>6</x:v>
      </x:c>
      <x:c r="J1019" s="31" t="n">
        <x:v>2.79</x:v>
      </x:c>
      <x:c r="K1019" s="31" t="n">
        <x:v>3.81</x:v>
      </x:c>
      <x:c r="L1019" s="31" t="n">
        <x:f>ABS(J1019-K1019)</x:f>
        <x:v>1.02</x:v>
      </x:c>
      <x:c r="M1019" s="31" t="n">
        <x:v>3.19</x:v>
      </x:c>
      <x:c r="N1019" s="31" t="n">
        <x:v>3.18</x:v>
      </x:c>
      <x:c r="O1019" s="31" t="n">
        <x:f>ABS(M1019-N1019)</x:f>
        <x:v>0.009999999999999787</x:v>
      </x:c>
      <x:c r="P1019" s="31" t="n">
        <x:v>6.86</x:v>
      </x:c>
      <x:c r="Q1019" s="31" t="n">
        <x:v>6.58</x:v>
      </x:c>
      <x:c r="R1019" s="31" t="n">
        <x:f>ABS(P1019-Q1019)</x:f>
        <x:v>0.28000000000000025</x:v>
      </x:c>
      <x:c r="S1019" s="32" t="n">
        <x:v>17449.672411614625</x:v>
      </x:c>
      <x:c r="T1019" s="32" t="n">
        <x:v>9425.71446351459</x:v>
      </x:c>
      <x:c r="U1019" s="31" t="n">
        <x:f>MAX(S1019/T1019,T1019/S1019)</x:f>
        <x:v>1.851283791712498</x:v>
      </x:c>
      <x:c r="V1019" s="31" t="n">
        <x:f>L1019*'Controls &amp; Summary'!$B$9+O1019*'Controls &amp; Summary'!$B$10+R1019*'Controls &amp; Summary'!$B$11+U1019*'Controls &amp; Summary'!$B$12</x:f>
        <x:v>3.1612837917124983</x:v>
      </x:c>
      <x:c r="W1019" s="31" t="n">
        <x:v>2.22</x:v>
      </x:c>
      <x:c r="X1019" s="31" t="n">
        <x:v>6.75</x:v>
      </x:c>
      <x:c r="Y1019" s="31" t="n">
        <x:f>((10-MIN(10,MAX(0,X1019)))/10)*'Controls &amp; Summary'!$B$15+((10-MIN(10,MAX(0,W1019)))/10)*'Controls &amp; Summary'!$B$16</x:f>
        <x:v>1.103</x:v>
      </x:c>
      <x:c r="Z1019" s="31" t="n">
        <x:f>V1019*Y1019</x:f>
        <x:v>3.4868960222588856</x:v>
      </x:c>
      <x:c r="AA1019" s="30" t="str">
        <x:f>IF(Z1019&lt;=I1019,"Peaceful","Hostile")</x:f>
        <x:v>Peaceful</x:v>
      </x:c>
      <x:c r="AB1019" s="30" t="str">
        <x:f>IF(Z1019&lt;='Controls &amp; Summary'!$B$6,"Eligible","Blocked")</x:f>
        <x:v>Eligible</x:v>
      </x:c>
      <x:c r="AC1019" s="30" t="str">
        <x:v>2026_EGY</x:v>
      </x:c>
      <x:c r="AD1019" s="30" t="str">
        <x:v>2026_LEB</x:v>
      </x:c>
      <x:c r="AE1019" s="30" t="str">
        <x:v>2026_Lebanon</x:v>
      </x:c>
      <x:c r="AF1019" s="30" t="str">
        <x:v>Explicit capitalClaim</x:v>
      </x:c>
      <x:c r="AG1019" s="30" t="str">
        <x:v>Claim2026_EGY2026_Lebanon</x:v>
      </x:c>
      <x:c r="AH1019" s="30" t="str">
        <x:v>Project_UnitedArabLeague</x:v>
      </x:c>
    </x:row>
    <x:row r="1020">
      <x:c r="A1020" s="30" t="str">
        <x:v>2026</x:v>
      </x:c>
      <x:c r="B1020" s="30" t="str">
        <x:v>Base game</x:v>
      </x:c>
      <x:c r="C1020" s="30" t="str">
        <x:v>Egypt</x:v>
      </x:c>
      <x:c r="D1020" s="30" t="str">
        <x:v>Libya</x:v>
      </x:c>
      <x:c r="E1020" s="30" t="str">
        <x:v>Project unlock</x:v>
      </x:c>
      <x:c r="F1020" s="30" t="str">
        <x:v>United Arab League</x:v>
      </x:c>
      <x:c r="G1020" s="30" t="str">
        <x:v>No</x:v>
      </x:c>
      <x:c r="H1020" s="30" t="str">
        <x:v>Ordinary claim</x:v>
      </x:c>
      <x:c r="I1020" s="31" t="n">
        <x:f>IF(G1020="Yes",'Controls &amp; Summary'!$B$5,'Controls &amp; Summary'!$B$4)</x:f>
        <x:v>6</x:v>
      </x:c>
      <x:c r="J1020" s="31" t="n">
        <x:v>2.79</x:v>
      </x:c>
      <x:c r="K1020" s="31" t="n">
        <x:v>2.31</x:v>
      </x:c>
      <x:c r="L1020" s="31" t="n">
        <x:f>ABS(J1020-K1020)</x:f>
        <x:v>0.48</x:v>
      </x:c>
      <x:c r="M1020" s="31" t="n">
        <x:v>3.19</x:v>
      </x:c>
      <x:c r="N1020" s="31" t="n">
        <x:v>5.59</x:v>
      </x:c>
      <x:c r="O1020" s="31" t="n">
        <x:f>ABS(M1020-N1020)</x:f>
        <x:v>2.4</x:v>
      </x:c>
      <x:c r="P1020" s="31" t="n">
        <x:v>6.86</x:v>
      </x:c>
      <x:c r="Q1020" s="31" t="n">
        <x:v>6.07</x:v>
      </x:c>
      <x:c r="R1020" s="31" t="n">
        <x:f>ABS(P1020-Q1020)</x:f>
        <x:v>0.79</x:v>
      </x:c>
      <x:c r="S1020" s="32" t="n">
        <x:v>17449.672411614625</x:v>
      </x:c>
      <x:c r="T1020" s="32" t="n">
        <x:v>14470.917263484384</x:v>
      </x:c>
      <x:c r="U1020" s="31" t="n">
        <x:f>MAX(S1020/T1020,T1020/S1020)</x:f>
        <x:v>1.2058442525717958</x:v>
      </x:c>
      <x:c r="V1020" s="31" t="n">
        <x:f>L1020*'Controls &amp; Summary'!$B$9+O1020*'Controls &amp; Summary'!$B$10+R1020*'Controls &amp; Summary'!$B$11+U1020*'Controls &amp; Summary'!$B$12</x:f>
        <x:v>4.875844252571795</x:v>
      </x:c>
      <x:c r="W1020" s="31" t="n">
        <x:v>2.22</x:v>
      </x:c>
      <x:c r="X1020" s="31" t="n">
        <x:v>4</x:v>
      </x:c>
      <x:c r="Y1020" s="31" t="n">
        <x:f>((10-MIN(10,MAX(0,X1020)))/10)*'Controls &amp; Summary'!$B$15+((10-MIN(10,MAX(0,W1020)))/10)*'Controls &amp; Summary'!$B$16</x:f>
        <x:v>1.378</x:v>
      </x:c>
      <x:c r="Z1020" s="31" t="n">
        <x:f>V1020*Y1020</x:f>
        <x:v>6.718913380043934</x:v>
      </x:c>
      <x:c r="AA1020" s="30" t="str">
        <x:f>IF(Z1020&lt;=I1020,"Peaceful","Hostile")</x:f>
        <x:v>Hostile</x:v>
      </x:c>
      <x:c r="AB1020" s="30" t="str">
        <x:f>IF(Z1020&lt;='Controls &amp; Summary'!$B$6,"Eligible","Blocked")</x:f>
        <x:v>Eligible</x:v>
      </x:c>
      <x:c r="AC1020" s="30" t="str">
        <x:v>2026_EGY</x:v>
      </x:c>
      <x:c r="AD1020" s="30" t="str">
        <x:v>2026_LBY</x:v>
      </x:c>
      <x:c r="AE1020" s="30" t="str">
        <x:v>2026_Libya</x:v>
      </x:c>
      <x:c r="AF1020" s="30" t="str">
        <x:v>Explicit capitalClaim</x:v>
      </x:c>
      <x:c r="AG1020" s="30" t="str">
        <x:v>Claim2026_EGY2026_Libya</x:v>
      </x:c>
      <x:c r="AH1020" s="30" t="str">
        <x:v>Project_UnitedArabLeague</x:v>
      </x:c>
    </x:row>
    <x:row r="1021">
      <x:c r="A1021" s="30" t="str">
        <x:v>2026</x:v>
      </x:c>
      <x:c r="B1021" s="30" t="str">
        <x:v>Base game</x:v>
      </x:c>
      <x:c r="C1021" s="30" t="str">
        <x:v>Egypt</x:v>
      </x:c>
      <x:c r="D1021" s="30" t="str">
        <x:v>Mauritania</x:v>
      </x:c>
      <x:c r="E1021" s="30" t="str">
        <x:v>Project unlock</x:v>
      </x:c>
      <x:c r="F1021" s="30" t="str">
        <x:v>United Arab League</x:v>
      </x:c>
      <x:c r="G1021" s="30" t="str">
        <x:v>No</x:v>
      </x:c>
      <x:c r="H1021" s="30" t="str">
        <x:v>Ordinary claim</x:v>
      </x:c>
      <x:c r="I1021" s="31" t="n">
        <x:f>IF(G1021="Yes",'Controls &amp; Summary'!$B$5,'Controls &amp; Summary'!$B$4)</x:f>
        <x:v>6</x:v>
      </x:c>
      <x:c r="J1021" s="31" t="n">
        <x:v>2.79</x:v>
      </x:c>
      <x:c r="K1021" s="31" t="n">
        <x:v>3.84</x:v>
      </x:c>
      <x:c r="L1021" s="31" t="n">
        <x:f>ABS(J1021-K1021)</x:f>
        <x:v>1.0499999999999998</x:v>
      </x:c>
      <x:c r="M1021" s="31" t="n">
        <x:v>3.19</x:v>
      </x:c>
      <x:c r="N1021" s="31" t="n">
        <x:v>3.2</x:v>
      </x:c>
      <x:c r="O1021" s="31" t="n">
        <x:f>ABS(M1021-N1021)</x:f>
        <x:v>0.010000000000000231</x:v>
      </x:c>
      <x:c r="P1021" s="31" t="n">
        <x:v>6.86</x:v>
      </x:c>
      <x:c r="Q1021" s="31" t="n">
        <x:v>3.79</x:v>
      </x:c>
      <x:c r="R1021" s="31" t="n">
        <x:f>ABS(P1021-Q1021)</x:f>
        <x:v>3.0700000000000003</x:v>
      </x:c>
      <x:c r="S1021" s="32" t="n">
        <x:v>17449.672411614625</x:v>
      </x:c>
      <x:c r="T1021" s="32" t="n">
        <x:v>6454.997409966347</x:v>
      </x:c>
      <x:c r="U1021" s="31" t="n">
        <x:f>MAX(S1021/T1021,T1021/S1021)</x:f>
        <x:v>2.70328108647616</x:v>
      </x:c>
      <x:c r="V1021" s="31" t="n">
        <x:f>L1021*'Controls &amp; Summary'!$B$9+O1021*'Controls &amp; Summary'!$B$10+R1021*'Controls &amp; Summary'!$B$11+U1021*'Controls &amp; Summary'!$B$12</x:f>
        <x:v>6.833281086476161</x:v>
      </x:c>
      <x:c r="W1021" s="31" t="n">
        <x:v>2.22</x:v>
      </x:c>
      <x:c r="X1021" s="31" t="n">
        <x:v>1</x:v>
      </x:c>
      <x:c r="Y1021" s="31" t="n">
        <x:f>((10-MIN(10,MAX(0,X1021)))/10)*'Controls &amp; Summary'!$B$15+((10-MIN(10,MAX(0,W1021)))/10)*'Controls &amp; Summary'!$B$16</x:f>
        <x:v>1.678</x:v>
      </x:c>
      <x:c r="Z1021" s="31" t="n">
        <x:f>V1021*Y1021</x:f>
        <x:v>11.466245663106998</x:v>
      </x:c>
      <x:c r="AA1021" s="30" t="str">
        <x:f>IF(Z1021&lt;=I1021,"Peaceful","Hostile")</x:f>
        <x:v>Hostile</x:v>
      </x:c>
      <x:c r="AB1021" s="30" t="str">
        <x:f>IF(Z1021&lt;='Controls &amp; Summary'!$B$6,"Eligible","Blocked")</x:f>
        <x:v>Eligible</x:v>
      </x:c>
      <x:c r="AC1021" s="30" t="str">
        <x:v>2026_EGY</x:v>
      </x:c>
      <x:c r="AD1021" s="30" t="str">
        <x:v>2026_MRT</x:v>
      </x:c>
      <x:c r="AE1021" s="30" t="str">
        <x:v>2026_Mauritania</x:v>
      </x:c>
      <x:c r="AF1021" s="30" t="str">
        <x:v>Explicit capitalClaim</x:v>
      </x:c>
      <x:c r="AG1021" s="30" t="str">
        <x:v>Claim2026_EGY2026_Mauritania</x:v>
      </x:c>
      <x:c r="AH1021" s="30" t="str">
        <x:v>Project_UnitedArabLeague</x:v>
      </x:c>
    </x:row>
    <x:row r="1022">
      <x:c r="A1022" s="30" t="str">
        <x:v>2026</x:v>
      </x:c>
      <x:c r="B1022" s="30" t="str">
        <x:v>Base game</x:v>
      </x:c>
      <x:c r="C1022" s="30" t="str">
        <x:v>Egypt</x:v>
      </x:c>
      <x:c r="D1022" s="30" t="str">
        <x:v>Morocco</x:v>
      </x:c>
      <x:c r="E1022" s="30" t="str">
        <x:v>Project unlock</x:v>
      </x:c>
      <x:c r="F1022" s="30" t="str">
        <x:v>United Arab League</x:v>
      </x:c>
      <x:c r="G1022" s="30" t="str">
        <x:v>No</x:v>
      </x:c>
      <x:c r="H1022" s="30" t="str">
        <x:v>Ordinary claim</x:v>
      </x:c>
      <x:c r="I1022" s="31" t="n">
        <x:f>IF(G1022="Yes",'Controls &amp; Summary'!$B$5,'Controls &amp; Summary'!$B$4)</x:f>
        <x:v>6</x:v>
      </x:c>
      <x:c r="J1022" s="31" t="n">
        <x:v>2.79</x:v>
      </x:c>
      <x:c r="K1022" s="31" t="n">
        <x:v>4.97</x:v>
      </x:c>
      <x:c r="L1022" s="31" t="n">
        <x:f>ABS(J1022-K1022)</x:f>
        <x:v>2.1799999999999997</x:v>
      </x:c>
      <x:c r="M1022" s="31" t="n">
        <x:v>3.19</x:v>
      </x:c>
      <x:c r="N1022" s="31" t="n">
        <x:v>3.95</x:v>
      </x:c>
      <x:c r="O1022" s="31" t="n">
        <x:f>ABS(M1022-N1022)</x:f>
        <x:v>0.7600000000000002</x:v>
      </x:c>
      <x:c r="P1022" s="31" t="n">
        <x:v>6.86</x:v>
      </x:c>
      <x:c r="Q1022" s="31" t="n">
        <x:v>6.14</x:v>
      </x:c>
      <x:c r="R1022" s="31" t="n">
        <x:f>ABS(P1022-Q1022)</x:f>
        <x:v>0.7200000000000006</x:v>
      </x:c>
      <x:c r="S1022" s="32" t="n">
        <x:v>17449.672411614625</x:v>
      </x:c>
      <x:c r="T1022" s="32" t="n">
        <x:v>9645.586561486156</x:v>
      </x:c>
      <x:c r="U1022" s="31" t="n">
        <x:f>MAX(S1022/T1022,T1022/S1022)</x:f>
        <x:v>1.8090835949043669</x:v>
      </x:c>
      <x:c r="V1022" s="31" t="n">
        <x:f>L1022*'Controls &amp; Summary'!$B$9+O1022*'Controls &amp; Summary'!$B$10+R1022*'Controls &amp; Summary'!$B$11+U1022*'Controls &amp; Summary'!$B$12</x:f>
        <x:v>5.469083594904367</x:v>
      </x:c>
      <x:c r="W1022" s="31" t="n">
        <x:v>2.22</x:v>
      </x:c>
      <x:c r="X1022" s="31" t="n">
        <x:v>1</x:v>
      </x:c>
      <x:c r="Y1022" s="31" t="n">
        <x:f>((10-MIN(10,MAX(0,X1022)))/10)*'Controls &amp; Summary'!$B$15+((10-MIN(10,MAX(0,W1022)))/10)*'Controls &amp; Summary'!$B$16</x:f>
        <x:v>1.678</x:v>
      </x:c>
      <x:c r="Z1022" s="31" t="n">
        <x:f>V1022*Y1022</x:f>
        <x:v>9.177122272249527</x:v>
      </x:c>
      <x:c r="AA1022" s="30" t="str">
        <x:f>IF(Z1022&lt;=I1022,"Peaceful","Hostile")</x:f>
        <x:v>Hostile</x:v>
      </x:c>
      <x:c r="AB1022" s="30" t="str">
        <x:f>IF(Z1022&lt;='Controls &amp; Summary'!$B$6,"Eligible","Blocked")</x:f>
        <x:v>Eligible</x:v>
      </x:c>
      <x:c r="AC1022" s="30" t="str">
        <x:v>2026_EGY</x:v>
      </x:c>
      <x:c r="AD1022" s="30" t="str">
        <x:v>2026_MAR</x:v>
      </x:c>
      <x:c r="AE1022" s="30" t="str">
        <x:v>2026_Rabat</x:v>
      </x:c>
      <x:c r="AF1022" s="30" t="str">
        <x:v>Explicit capitalClaim</x:v>
      </x:c>
      <x:c r="AG1022" s="30" t="str">
        <x:v>Claim2026_EGY2026_Rabat</x:v>
      </x:c>
      <x:c r="AH1022" s="30" t="str">
        <x:v>Project_UnitedArabLeague</x:v>
      </x:c>
    </x:row>
    <x:row r="1023">
      <x:c r="A1023" s="30" t="str">
        <x:v>2026</x:v>
      </x:c>
      <x:c r="B1023" s="30" t="str">
        <x:v>Base game</x:v>
      </x:c>
      <x:c r="C1023" s="30" t="str">
        <x:v>Egypt</x:v>
      </x:c>
      <x:c r="D1023" s="30" t="str">
        <x:v>Oman</x:v>
      </x:c>
      <x:c r="E1023" s="30" t="str">
        <x:v>Project unlock</x:v>
      </x:c>
      <x:c r="F1023" s="30" t="str">
        <x:v>United Arab League</x:v>
      </x:c>
      <x:c r="G1023" s="30" t="str">
        <x:v>No</x:v>
      </x:c>
      <x:c r="H1023" s="30" t="str">
        <x:v>Ordinary claim</x:v>
      </x:c>
      <x:c r="I1023" s="31" t="n">
        <x:f>IF(G1023="Yes",'Controls &amp; Summary'!$B$5,'Controls &amp; Summary'!$B$4)</x:f>
        <x:v>6</x:v>
      </x:c>
      <x:c r="J1023" s="31" t="n">
        <x:v>2.79</x:v>
      </x:c>
      <x:c r="K1023" s="31" t="n">
        <x:v>3.05</x:v>
      </x:c>
      <x:c r="L1023" s="31" t="n">
        <x:f>ABS(J1023-K1023)</x:f>
        <x:v>0.2599999999999998</x:v>
      </x:c>
      <x:c r="M1023" s="31" t="n">
        <x:v>3.19</x:v>
      </x:c>
      <x:c r="N1023" s="31" t="n">
        <x:v>3.88</x:v>
      </x:c>
      <x:c r="O1023" s="31" t="n">
        <x:f>ABS(M1023-N1023)</x:f>
        <x:v>0.69</x:v>
      </x:c>
      <x:c r="P1023" s="31" t="n">
        <x:v>6.86</x:v>
      </x:c>
      <x:c r="Q1023" s="31" t="n">
        <x:v>7.52</x:v>
      </x:c>
      <x:c r="R1023" s="31" t="n">
        <x:f>ABS(P1023-Q1023)</x:f>
        <x:v>0.6599999999999993</x:v>
      </x:c>
      <x:c r="S1023" s="32" t="n">
        <x:v>17449.672411614625</x:v>
      </x:c>
      <x:c r="T1023" s="32" t="n">
        <x:v>35867.45491776541</x:v>
      </x:c>
      <x:c r="U1023" s="31" t="n">
        <x:f>MAX(S1023/T1023,T1023/S1023)</x:f>
        <x:v>2.055480130039105</x:v>
      </x:c>
      <x:c r="V1023" s="31" t="n">
        <x:f>L1023*'Controls &amp; Summary'!$B$9+O1023*'Controls &amp; Summary'!$B$10+R1023*'Controls &amp; Summary'!$B$11+U1023*'Controls &amp; Summary'!$B$12</x:f>
        <x:v>3.665480130039104</x:v>
      </x:c>
      <x:c r="W1023" s="31" t="n">
        <x:v>2.22</x:v>
      </x:c>
      <x:c r="X1023" s="31" t="n">
        <x:v>1</x:v>
      </x:c>
      <x:c r="Y1023" s="31" t="n">
        <x:f>((10-MIN(10,MAX(0,X1023)))/10)*'Controls &amp; Summary'!$B$15+((10-MIN(10,MAX(0,W1023)))/10)*'Controls &amp; Summary'!$B$16</x:f>
        <x:v>1.678</x:v>
      </x:c>
      <x:c r="Z1023" s="31" t="n">
        <x:f>V1023*Y1023</x:f>
        <x:v>6.150675658205616</x:v>
      </x:c>
      <x:c r="AA1023" s="30" t="str">
        <x:f>IF(Z1023&lt;=I1023,"Peaceful","Hostile")</x:f>
        <x:v>Hostile</x:v>
      </x:c>
      <x:c r="AB1023" s="30" t="str">
        <x:f>IF(Z1023&lt;='Controls &amp; Summary'!$B$6,"Eligible","Blocked")</x:f>
        <x:v>Eligible</x:v>
      </x:c>
      <x:c r="AC1023" s="30" t="str">
        <x:v>2026_EGY</x:v>
      </x:c>
      <x:c r="AD1023" s="30" t="str">
        <x:v>2026_OMN</x:v>
      </x:c>
      <x:c r="AE1023" s="30" t="str">
        <x:v>2026_Oman</x:v>
      </x:c>
      <x:c r="AF1023" s="30" t="str">
        <x:v>Explicit capitalClaim</x:v>
      </x:c>
      <x:c r="AG1023" s="30" t="str">
        <x:v>Claim2026_EGY2026_Oman</x:v>
      </x:c>
      <x:c r="AH1023" s="30" t="str">
        <x:v>Project_UnitedArabLeague</x:v>
      </x:c>
    </x:row>
    <x:row r="1024">
      <x:c r="A1024" s="30" t="str">
        <x:v>2026</x:v>
      </x:c>
      <x:c r="B1024" s="30" t="str">
        <x:v>Base game</x:v>
      </x:c>
      <x:c r="C1024" s="30" t="str">
        <x:v>Egypt</x:v>
      </x:c>
      <x:c r="D1024" s="30" t="str">
        <x:v>Palestine</x:v>
      </x:c>
      <x:c r="E1024" s="30" t="str">
        <x:v>Project unlock</x:v>
      </x:c>
      <x:c r="F1024" s="30" t="str">
        <x:v>United Arab League</x:v>
      </x:c>
      <x:c r="G1024" s="30" t="str">
        <x:v>No</x:v>
      </x:c>
      <x:c r="H1024" s="30" t="str">
        <x:v>Ordinary claim</x:v>
      </x:c>
      <x:c r="I1024" s="31" t="n">
        <x:f>IF(G1024="Yes",'Controls &amp; Summary'!$B$5,'Controls &amp; Summary'!$B$4)</x:f>
        <x:v>6</x:v>
      </x:c>
      <x:c r="J1024" s="31" t="n">
        <x:v>2.79</x:v>
      </x:c>
      <x:c r="K1024" s="31" t="n">
        <x:v>3.44</x:v>
      </x:c>
      <x:c r="L1024" s="31" t="n">
        <x:f>ABS(J1024-K1024)</x:f>
        <x:v>0.6499999999999999</x:v>
      </x:c>
      <x:c r="M1024" s="31" t="n">
        <x:v>3.19</x:v>
      </x:c>
      <x:c r="N1024" s="31" t="n">
        <x:v>3.37</x:v>
      </x:c>
      <x:c r="O1024" s="31" t="n">
        <x:f>ABS(M1024-N1024)</x:f>
        <x:v>0.18000000000000016</x:v>
      </x:c>
      <x:c r="P1024" s="31" t="n">
        <x:v>6.86</x:v>
      </x:c>
      <x:c r="Q1024" s="31" t="n">
        <x:v>6.83</x:v>
      </x:c>
      <x:c r="R1024" s="31" t="n">
        <x:f>ABS(P1024-Q1024)</x:f>
        <x:v>0.03000000000000025</x:v>
      </x:c>
      <x:c r="S1024" s="32" t="n">
        <x:v>17449.672411614625</x:v>
      </x:c>
      <x:c r="T1024" s="32" t="n">
        <x:v>4663.011720790684</x:v>
      </x:c>
      <x:c r="U1024" s="31" t="n">
        <x:f>MAX(S1024/T1024,T1024/S1024)</x:f>
        <x:v>3.7421463758739533</x:v>
      </x:c>
      <x:c r="V1024" s="31" t="n">
        <x:f>L1024*'Controls &amp; Summary'!$B$9+O1024*'Controls &amp; Summary'!$B$10+R1024*'Controls &amp; Summary'!$B$11+U1024*'Controls &amp; Summary'!$B$12</x:f>
        <x:v>4.602146375873954</x:v>
      </x:c>
      <x:c r="W1024" s="31" t="n">
        <x:v>2.22</x:v>
      </x:c>
      <x:c r="X1024" s="31" t="n">
        <x:v>6</x:v>
      </x:c>
      <x:c r="Y1024" s="31" t="n">
        <x:f>((10-MIN(10,MAX(0,X1024)))/10)*'Controls &amp; Summary'!$B$15+((10-MIN(10,MAX(0,W1024)))/10)*'Controls &amp; Summary'!$B$16</x:f>
        <x:v>1.178</x:v>
      </x:c>
      <x:c r="Z1024" s="31" t="n">
        <x:f>V1024*Y1024</x:f>
        <x:v>5.421328430779517</x:v>
      </x:c>
      <x:c r="AA1024" s="30" t="str">
        <x:f>IF(Z1024&lt;=I1024,"Peaceful","Hostile")</x:f>
        <x:v>Peaceful</x:v>
      </x:c>
      <x:c r="AB1024" s="30" t="str">
        <x:f>IF(Z1024&lt;='Controls &amp; Summary'!$B$6,"Eligible","Blocked")</x:f>
        <x:v>Eligible</x:v>
      </x:c>
      <x:c r="AC1024" s="30" t="str">
        <x:v>2026_EGY</x:v>
      </x:c>
      <x:c r="AD1024" s="30" t="str">
        <x:v>2026_PAL</x:v>
      </x:c>
      <x:c r="AE1024" s="30" t="str">
        <x:v>2026_Palestine</x:v>
      </x:c>
      <x:c r="AF1024" s="30" t="str">
        <x:v>Explicit capitalClaim</x:v>
      </x:c>
      <x:c r="AG1024" s="30" t="str">
        <x:v>Claim2026_EGY2026_Palestine</x:v>
      </x:c>
      <x:c r="AH1024" s="30" t="str">
        <x:v>Project_UnitedArabLeague</x:v>
      </x:c>
    </x:row>
    <x:row r="1025">
      <x:c r="A1025" s="30" t="str">
        <x:v>2026</x:v>
      </x:c>
      <x:c r="B1025" s="30" t="str">
        <x:v>Base game</x:v>
      </x:c>
      <x:c r="C1025" s="30" t="str">
        <x:v>Egypt</x:v>
      </x:c>
      <x:c r="D1025" s="30" t="str">
        <x:v>Saudi Arabia</x:v>
      </x:c>
      <x:c r="E1025" s="30" t="str">
        <x:v>Project unlock</x:v>
      </x:c>
      <x:c r="F1025" s="30" t="str">
        <x:v>United Arab League</x:v>
      </x:c>
      <x:c r="G1025" s="30" t="str">
        <x:v>No</x:v>
      </x:c>
      <x:c r="H1025" s="30" t="str">
        <x:v>Ordinary claim</x:v>
      </x:c>
      <x:c r="I1025" s="31" t="n">
        <x:f>IF(G1025="Yes",'Controls &amp; Summary'!$B$5,'Controls &amp; Summary'!$B$4)</x:f>
        <x:v>6</x:v>
      </x:c>
      <x:c r="J1025" s="31" t="n">
        <x:v>2.79</x:v>
      </x:c>
      <x:c r="K1025" s="31" t="n">
        <x:v>2.08</x:v>
      </x:c>
      <x:c r="L1025" s="31" t="n">
        <x:f>ABS(J1025-K1025)</x:f>
        <x:v>0.71</x:v>
      </x:c>
      <x:c r="M1025" s="31" t="n">
        <x:v>3.19</x:v>
      </x:c>
      <x:c r="N1025" s="31" t="n">
        <x:v>4.56</x:v>
      </x:c>
      <x:c r="O1025" s="31" t="n">
        <x:f>ABS(M1025-N1025)</x:f>
        <x:v>1.3699999999999997</x:v>
      </x:c>
      <x:c r="P1025" s="31" t="n">
        <x:v>6.86</x:v>
      </x:c>
      <x:c r="Q1025" s="31" t="n">
        <x:v>8.36</x:v>
      </x:c>
      <x:c r="R1025" s="31" t="n">
        <x:f>ABS(P1025-Q1025)</x:f>
        <x:v>1.4999999999999991</x:v>
      </x:c>
      <x:c r="S1025" s="32" t="n">
        <x:v>17449.672411614625</x:v>
      </x:c>
      <x:c r="T1025" s="32" t="n">
        <x:v>67278.39192110217</x:v>
      </x:c>
      <x:c r="U1025" s="31" t="n">
        <x:f>MAX(S1025/T1025,T1025/S1025)</x:f>
        <x:v>3.8555676194999053</x:v>
      </x:c>
      <x:c r="V1025" s="31" t="n">
        <x:f>L1025*'Controls &amp; Summary'!$B$9+O1025*'Controls &amp; Summary'!$B$10+R1025*'Controls &amp; Summary'!$B$11+U1025*'Controls &amp; Summary'!$B$12</x:f>
        <x:v>7.4355676194999045</x:v>
      </x:c>
      <x:c r="W1025" s="31" t="n">
        <x:v>2.22</x:v>
      </x:c>
      <x:c r="X1025" s="31" t="n">
        <x:v>0.5</x:v>
      </x:c>
      <x:c r="Y1025" s="31" t="n">
        <x:f>((10-MIN(10,MAX(0,X1025)))/10)*'Controls &amp; Summary'!$B$15+((10-MIN(10,MAX(0,W1025)))/10)*'Controls &amp; Summary'!$B$16</x:f>
        <x:v>1.7279999999999998</x:v>
      </x:c>
      <x:c r="Z1025" s="31" t="n">
        <x:f>V1025*Y1025</x:f>
        <x:v>12.848660846495834</x:v>
      </x:c>
      <x:c r="AA1025" s="30" t="str">
        <x:f>IF(Z1025&lt;=I1025,"Peaceful","Hostile")</x:f>
        <x:v>Hostile</x:v>
      </x:c>
      <x:c r="AB1025" s="30" t="str">
        <x:f>IF(Z1025&lt;='Controls &amp; Summary'!$B$6,"Eligible","Blocked")</x:f>
        <x:v>Blocked</x:v>
      </x:c>
      <x:c r="AC1025" s="30" t="str">
        <x:v>2026_EGY</x:v>
      </x:c>
      <x:c r="AD1025" s="30" t="str">
        <x:v>2026_SAU</x:v>
      </x:c>
      <x:c r="AE1025" s="30" t="str">
        <x:v>2026_Najd</x:v>
      </x:c>
      <x:c r="AF1025" s="30" t="str">
        <x:v>Explicit capitalClaim</x:v>
      </x:c>
      <x:c r="AG1025" s="30" t="str">
        <x:v>Claim2026_EGY2026_Najd</x:v>
      </x:c>
      <x:c r="AH1025" s="30" t="str">
        <x:v>Project_UnitedArabLeague</x:v>
      </x:c>
    </x:row>
    <x:row r="1026">
      <x:c r="A1026" s="30" t="str">
        <x:v>2026</x:v>
      </x:c>
      <x:c r="B1026" s="30" t="str">
        <x:v>Base game</x:v>
      </x:c>
      <x:c r="C1026" s="30" t="str">
        <x:v>Egypt</x:v>
      </x:c>
      <x:c r="D1026" s="30" t="str">
        <x:v>Somalia</x:v>
      </x:c>
      <x:c r="E1026" s="30" t="str">
        <x:v>Project unlock</x:v>
      </x:c>
      <x:c r="F1026" s="30" t="str">
        <x:v>United Arab League</x:v>
      </x:c>
      <x:c r="G1026" s="30" t="str">
        <x:v>No</x:v>
      </x:c>
      <x:c r="H1026" s="30" t="str">
        <x:v>Ordinary claim</x:v>
      </x:c>
      <x:c r="I1026" s="31" t="n">
        <x:f>IF(G1026="Yes",'Controls &amp; Summary'!$B$5,'Controls &amp; Summary'!$B$4)</x:f>
        <x:v>6</x:v>
      </x:c>
      <x:c r="J1026" s="31" t="n">
        <x:v>2.79</x:v>
      </x:c>
      <x:c r="K1026" s="31" t="n">
        <x:v>1.4</x:v>
      </x:c>
      <x:c r="L1026" s="31" t="n">
        <x:f>ABS(J1026-K1026)</x:f>
        <x:v>1.3900000000000001</x:v>
      </x:c>
      <x:c r="M1026" s="31" t="n">
        <x:v>3.19</x:v>
      </x:c>
      <x:c r="N1026" s="31" t="n">
        <x:v>4.42</x:v>
      </x:c>
      <x:c r="O1026" s="31" t="n">
        <x:f>ABS(M1026-N1026)</x:f>
        <x:v>1.23</x:v>
      </x:c>
      <x:c r="P1026" s="31" t="n">
        <x:v>6.86</x:v>
      </x:c>
      <x:c r="Q1026" s="31" t="n">
        <x:v>2.72</x:v>
      </x:c>
      <x:c r="R1026" s="31" t="n">
        <x:f>ABS(P1026-Q1026)</x:f>
        <x:v>4.140000000000001</x:v>
      </x:c>
      <x:c r="S1026" s="32" t="n">
        <x:v>17449.672411614625</x:v>
      </x:c>
      <x:c r="T1026" s="32" t="n">
        <x:v>1679.695371433286</x:v>
      </x:c>
      <x:c r="U1026" s="31" t="n">
        <x:f>MAX(S1026/T1026,T1026/S1026)</x:f>
        <x:v>10.38859349640572</x:v>
      </x:c>
      <x:c r="V1026" s="31" t="n">
        <x:f>L1026*'Controls &amp; Summary'!$B$9+O1026*'Controls &amp; Summary'!$B$10+R1026*'Controls &amp; Summary'!$B$11+U1026*'Controls &amp; Summary'!$B$12</x:f>
        <x:v>17.14859349640572</x:v>
      </x:c>
      <x:c r="W1026" s="31" t="n">
        <x:v>2.22</x:v>
      </x:c>
      <x:c r="X1026" s="31" t="n">
        <x:v>5.25</x:v>
      </x:c>
      <x:c r="Y1026" s="31" t="n">
        <x:f>((10-MIN(10,MAX(0,X1026)))/10)*'Controls &amp; Summary'!$B$15+((10-MIN(10,MAX(0,W1026)))/10)*'Controls &amp; Summary'!$B$16</x:f>
        <x:v>1.253</x:v>
      </x:c>
      <x:c r="Z1026" s="31" t="n">
        <x:f>V1026*Y1026</x:f>
        <x:v>21.487187650996365</x:v>
      </x:c>
      <x:c r="AA1026" s="30" t="str">
        <x:f>IF(Z1026&lt;=I1026,"Peaceful","Hostile")</x:f>
        <x:v>Hostile</x:v>
      </x:c>
      <x:c r="AB1026" s="30" t="str">
        <x:f>IF(Z1026&lt;='Controls &amp; Summary'!$B$6,"Eligible","Blocked")</x:f>
        <x:v>Blocked</x:v>
      </x:c>
      <x:c r="AC1026" s="30" t="str">
        <x:v>2026_EGY</x:v>
      </x:c>
      <x:c r="AD1026" s="30" t="str">
        <x:v>2026_SOM</x:v>
      </x:c>
      <x:c r="AE1026" s="30" t="str">
        <x:v>2026_Somalia</x:v>
      </x:c>
      <x:c r="AF1026" s="30" t="str">
        <x:v>Explicit capitalClaim</x:v>
      </x:c>
      <x:c r="AG1026" s="30" t="str">
        <x:v>Claim2026_EGY2026_Somalia</x:v>
      </x:c>
      <x:c r="AH1026" s="30" t="str">
        <x:v>Project_UnitedArabLeague</x:v>
      </x:c>
    </x:row>
    <x:row r="1027">
      <x:c r="A1027" s="30" t="str">
        <x:v>2026</x:v>
      </x:c>
      <x:c r="B1027" s="30" t="str">
        <x:v>Base game</x:v>
      </x:c>
      <x:c r="C1027" s="30" t="str">
        <x:v>Egypt</x:v>
      </x:c>
      <x:c r="D1027" s="30" t="str">
        <x:v>Somaliland</x:v>
      </x:c>
      <x:c r="E1027" s="30" t="str">
        <x:v>Project unlock</x:v>
      </x:c>
      <x:c r="F1027" s="30" t="str">
        <x:v>United Arab League</x:v>
      </x:c>
      <x:c r="G1027" s="30" t="str">
        <x:v>No</x:v>
      </x:c>
      <x:c r="H1027" s="30" t="str">
        <x:v>Ordinary claim</x:v>
      </x:c>
      <x:c r="I1027" s="31" t="n">
        <x:f>IF(G1027="Yes",'Controls &amp; Summary'!$B$5,'Controls &amp; Summary'!$B$4)</x:f>
        <x:v>6</x:v>
      </x:c>
      <x:c r="J1027" s="31" t="n">
        <x:v>2.79</x:v>
      </x:c>
      <x:c r="K1027" s="31" t="n">
        <x:v>4.7</x:v>
      </x:c>
      <x:c r="L1027" s="31" t="n">
        <x:f>ABS(J1027-K1027)</x:f>
        <x:v>1.9100000000000001</x:v>
      </x:c>
      <x:c r="M1027" s="31" t="n">
        <x:v>3.19</x:v>
      </x:c>
      <x:c r="N1027" s="31" t="n">
        <x:v>3.9</x:v>
      </x:c>
      <x:c r="O1027" s="31" t="n">
        <x:f>ABS(M1027-N1027)</x:f>
        <x:v>0.71</x:v>
      </x:c>
      <x:c r="P1027" s="31" t="n">
        <x:v>6.86</x:v>
      </x:c>
      <x:c r="Q1027" s="31" t="n">
        <x:v>4</x:v>
      </x:c>
      <x:c r="R1027" s="31" t="n">
        <x:f>ABS(P1027-Q1027)</x:f>
        <x:v>2.8600000000000003</x:v>
      </x:c>
      <x:c r="S1027" s="32" t="n">
        <x:v>17449.672411614625</x:v>
      </x:c>
      <x:c r="T1027" s="32" t="n">
        <x:v>1322.4818903001526</x:v>
      </x:c>
      <x:c r="U1027" s="31" t="n">
        <x:f>MAX(S1027/T1027,T1027/S1027)</x:f>
        <x:v>13.19463997170821</x:v>
      </x:c>
      <x:c r="V1027" s="31" t="n">
        <x:f>L1027*'Controls &amp; Summary'!$B$9+O1027*'Controls &amp; Summary'!$B$10+R1027*'Controls &amp; Summary'!$B$11+U1027*'Controls &amp; Summary'!$B$12</x:f>
        <x:v>18.67463997170821</x:v>
      </x:c>
      <x:c r="W1027" s="31" t="n">
        <x:v>2.22</x:v>
      </x:c>
      <x:c r="X1027" s="31" t="n">
        <x:v>2</x:v>
      </x:c>
      <x:c r="Y1027" s="31" t="n">
        <x:f>((10-MIN(10,MAX(0,X1027)))/10)*'Controls &amp; Summary'!$B$15+((10-MIN(10,MAX(0,W1027)))/10)*'Controls &amp; Summary'!$B$16</x:f>
        <x:v>1.5779999999999998</x:v>
      </x:c>
      <x:c r="Z1027" s="31" t="n">
        <x:f>V1027*Y1027</x:f>
        <x:v>29.468581875355554</x:v>
      </x:c>
      <x:c r="AA1027" s="30" t="str">
        <x:f>IF(Z1027&lt;=I1027,"Peaceful","Hostile")</x:f>
        <x:v>Hostile</x:v>
      </x:c>
      <x:c r="AB1027" s="30" t="str">
        <x:f>IF(Z1027&lt;='Controls &amp; Summary'!$B$6,"Eligible","Blocked")</x:f>
        <x:v>Blocked</x:v>
      </x:c>
      <x:c r="AC1027" s="30" t="str">
        <x:v>2026_EGY</x:v>
      </x:c>
      <x:c r="AD1027" s="30" t="str">
        <x:v>2026_SOL</x:v>
      </x:c>
      <x:c r="AE1027" s="30" t="str">
        <x:v>2026_Somaliland</x:v>
      </x:c>
      <x:c r="AF1027" s="30" t="str">
        <x:v>Explicit capitalClaim</x:v>
      </x:c>
      <x:c r="AG1027" s="30" t="str">
        <x:v>Claim2026_EGY2026_Somaliland</x:v>
      </x:c>
      <x:c r="AH1027" s="30" t="str">
        <x:v>Project_UnitedArabLeague</x:v>
      </x:c>
    </x:row>
    <x:row r="1028">
      <x:c r="A1028" s="30" t="str">
        <x:v>2026</x:v>
      </x:c>
      <x:c r="B1028" s="30" t="str">
        <x:v>Base game</x:v>
      </x:c>
      <x:c r="C1028" s="30" t="str">
        <x:v>Egypt</x:v>
      </x:c>
      <x:c r="D1028" s="30" t="str">
        <x:v>South Yemen</x:v>
      </x:c>
      <x:c r="E1028" s="30" t="str">
        <x:v>Project unlock</x:v>
      </x:c>
      <x:c r="F1028" s="30" t="str">
        <x:v>United Arab League</x:v>
      </x:c>
      <x:c r="G1028" s="30" t="str">
        <x:v>No</x:v>
      </x:c>
      <x:c r="H1028" s="30" t="str">
        <x:v>Ordinary claim</x:v>
      </x:c>
      <x:c r="I1028" s="31" t="n">
        <x:f>IF(G1028="Yes",'Controls &amp; Summary'!$B$5,'Controls &amp; Summary'!$B$4)</x:f>
        <x:v>6</x:v>
      </x:c>
      <x:c r="J1028" s="31" t="n">
        <x:v>2.79</x:v>
      </x:c>
      <x:c r="K1028" s="31" t="n">
        <x:v>2.02</x:v>
      </x:c>
      <x:c r="L1028" s="31" t="n">
        <x:f>ABS(J1028-K1028)</x:f>
        <x:v>0.77</x:v>
      </x:c>
      <x:c r="M1028" s="31" t="n">
        <x:v>3.19</x:v>
      </x:c>
      <x:c r="N1028" s="31" t="n">
        <x:v>3.58</x:v>
      </x:c>
      <x:c r="O1028" s="31" t="n">
        <x:f>ABS(M1028-N1028)</x:f>
        <x:v>0.3900000000000001</x:v>
      </x:c>
      <x:c r="P1028" s="31" t="n">
        <x:v>6.86</x:v>
      </x:c>
      <x:c r="Q1028" s="31" t="n">
        <x:v>3.02</x:v>
      </x:c>
      <x:c r="R1028" s="31" t="n">
        <x:f>ABS(P1028-Q1028)</x:f>
        <x:v>3.8400000000000003</x:v>
      </x:c>
      <x:c r="S1028" s="32" t="n">
        <x:v>17449.672411614625</x:v>
      </x:c>
      <x:c r="T1028" s="32" t="n">
        <x:v>2866.0351001998747</x:v>
      </x:c>
      <x:c r="U1028" s="31" t="n">
        <x:f>MAX(S1028/T1028,T1028/S1028)</x:f>
        <x:v>6.088436394375527</x:v>
      </x:c>
      <x:c r="V1028" s="31" t="n">
        <x:f>L1028*'Controls &amp; Summary'!$B$9+O1028*'Controls &amp; Summary'!$B$10+R1028*'Controls &amp; Summary'!$B$11+U1028*'Controls &amp; Summary'!$B$12</x:f>
        <x:v>11.088436394375528</x:v>
      </x:c>
      <x:c r="W1028" s="31" t="n">
        <x:v>2.22</x:v>
      </x:c>
      <x:c r="X1028" s="31" t="n">
        <x:v>5.25</x:v>
      </x:c>
      <x:c r="Y1028" s="31" t="n">
        <x:f>((10-MIN(10,MAX(0,X1028)))/10)*'Controls &amp; Summary'!$B$15+((10-MIN(10,MAX(0,W1028)))/10)*'Controls &amp; Summary'!$B$16</x:f>
        <x:v>1.253</x:v>
      </x:c>
      <x:c r="Z1028" s="31" t="n">
        <x:f>V1028*Y1028</x:f>
        <x:v>13.893810802152535</x:v>
      </x:c>
      <x:c r="AA1028" s="30" t="str">
        <x:f>IF(Z1028&lt;=I1028,"Peaceful","Hostile")</x:f>
        <x:v>Hostile</x:v>
      </x:c>
      <x:c r="AB1028" s="30" t="str">
        <x:f>IF(Z1028&lt;='Controls &amp; Summary'!$B$6,"Eligible","Blocked")</x:f>
        <x:v>Blocked</x:v>
      </x:c>
      <x:c r="AC1028" s="30" t="str">
        <x:v>2026_EGY</x:v>
      </x:c>
      <x:c r="AD1028" s="30" t="str">
        <x:v>2026_YMS</x:v>
      </x:c>
      <x:c r="AE1028" s="30" t="str">
        <x:v>2026_Aden</x:v>
      </x:c>
      <x:c r="AF1028" s="30" t="str">
        <x:v>Largest owned population fallback</x:v>
      </x:c>
      <x:c r="AG1028" s="30" t="str">
        <x:v>Claim2026_EGY2026_Aden</x:v>
      </x:c>
      <x:c r="AH1028" s="30" t="str">
        <x:v>Project_UnitedArabLeague</x:v>
      </x:c>
    </x:row>
    <x:row r="1029">
      <x:c r="A1029" s="30" t="str">
        <x:v>2026</x:v>
      </x:c>
      <x:c r="B1029" s="30" t="str">
        <x:v>Base game</x:v>
      </x:c>
      <x:c r="C1029" s="30" t="str">
        <x:v>Egypt</x:v>
      </x:c>
      <x:c r="D1029" s="30" t="str">
        <x:v>Sudan</x:v>
      </x:c>
      <x:c r="E1029" s="30" t="str">
        <x:v>Project unlock</x:v>
      </x:c>
      <x:c r="F1029" s="30" t="str">
        <x:v>United Arab League</x:v>
      </x:c>
      <x:c r="G1029" s="30" t="str">
        <x:v>No</x:v>
      </x:c>
      <x:c r="H1029" s="30" t="str">
        <x:v>Ordinary claim</x:v>
      </x:c>
      <x:c r="I1029" s="31" t="n">
        <x:f>IF(G1029="Yes",'Controls &amp; Summary'!$B$5,'Controls &amp; Summary'!$B$4)</x:f>
        <x:v>6</x:v>
      </x:c>
      <x:c r="J1029" s="31" t="n">
        <x:v>2.79</x:v>
      </x:c>
      <x:c r="K1029" s="31" t="n">
        <x:v>1.46</x:v>
      </x:c>
      <x:c r="L1029" s="31" t="n">
        <x:f>ABS(J1029-K1029)</x:f>
        <x:v>1.33</x:v>
      </x:c>
      <x:c r="M1029" s="31" t="n">
        <x:v>3.19</x:v>
      </x:c>
      <x:c r="N1029" s="31" t="n">
        <x:v>3.42</x:v>
      </x:c>
      <x:c r="O1029" s="31" t="n">
        <x:f>ABS(M1029-N1029)</x:f>
        <x:v>0.22999999999999998</x:v>
      </x:c>
      <x:c r="P1029" s="31" t="n">
        <x:v>6.86</x:v>
      </x:c>
      <x:c r="Q1029" s="31" t="n">
        <x:v>3.69</x:v>
      </x:c>
      <x:c r="R1029" s="31" t="n">
        <x:f>ABS(P1029-Q1029)</x:f>
        <x:v>3.1700000000000004</x:v>
      </x:c>
      <x:c r="S1029" s="32" t="n">
        <x:v>17449.672411614625</x:v>
      </x:c>
      <x:c r="T1029" s="32" t="n">
        <x:v>1945.1004732885347</x:v>
      </x:c>
      <x:c r="U1029" s="31" t="n">
        <x:f>MAX(S1029/T1029,T1029/S1029)</x:f>
        <x:v>8.971090517557112</x:v>
      </x:c>
      <x:c r="V1029" s="31" t="n">
        <x:f>L1029*'Controls &amp; Summary'!$B$9+O1029*'Controls &amp; Summary'!$B$10+R1029*'Controls &amp; Summary'!$B$11+U1029*'Controls &amp; Summary'!$B$12</x:f>
        <x:v>13.701090517557112</x:v>
      </x:c>
      <x:c r="W1029" s="31" t="n">
        <x:v>2.22</x:v>
      </x:c>
      <x:c r="X1029" s="31" t="n">
        <x:v>7</x:v>
      </x:c>
      <x:c r="Y1029" s="31" t="n">
        <x:f>((10-MIN(10,MAX(0,X1029)))/10)*'Controls &amp; Summary'!$B$15+((10-MIN(10,MAX(0,W1029)))/10)*'Controls &amp; Summary'!$B$16</x:f>
        <x:v>1.0779999999999998</x:v>
      </x:c>
      <x:c r="Z1029" s="31" t="n">
        <x:f>V1029*Y1029</x:f>
        <x:v>14.769775577926564</x:v>
      </x:c>
      <x:c r="AA1029" s="30" t="str">
        <x:f>IF(Z1029&lt;=I1029,"Peaceful","Hostile")</x:f>
        <x:v>Hostile</x:v>
      </x:c>
      <x:c r="AB1029" s="30" t="str">
        <x:f>IF(Z1029&lt;='Controls &amp; Summary'!$B$6,"Eligible","Blocked")</x:f>
        <x:v>Blocked</x:v>
      </x:c>
      <x:c r="AC1029" s="30" t="str">
        <x:v>2026_EGY</x:v>
      </x:c>
      <x:c r="AD1029" s="30" t="str">
        <x:v>2026_SDN</x:v>
      </x:c>
      <x:c r="AE1029" s="30" t="str">
        <x:v>2026_Sudan</x:v>
      </x:c>
      <x:c r="AF1029" s="30" t="str">
        <x:v>Explicit capitalClaim</x:v>
      </x:c>
      <x:c r="AG1029" s="30" t="str">
        <x:v>Claim2026_EGY2026_Sudan</x:v>
      </x:c>
      <x:c r="AH1029" s="30" t="str">
        <x:v>Project_UnitedArabLeague</x:v>
      </x:c>
    </x:row>
    <x:row r="1030">
      <x:c r="A1030" s="30" t="str">
        <x:v>2026</x:v>
      </x:c>
      <x:c r="B1030" s="30" t="str">
        <x:v>Base game</x:v>
      </x:c>
      <x:c r="C1030" s="30" t="str">
        <x:v>Egypt</x:v>
      </x:c>
      <x:c r="D1030" s="30" t="str">
        <x:v>Syria</x:v>
      </x:c>
      <x:c r="E1030" s="30" t="str">
        <x:v>Project unlock</x:v>
      </x:c>
      <x:c r="F1030" s="30" t="str">
        <x:v>United Arab League</x:v>
      </x:c>
      <x:c r="G1030" s="30" t="str">
        <x:v>No</x:v>
      </x:c>
      <x:c r="H1030" s="30" t="str">
        <x:v>Ordinary claim</x:v>
      </x:c>
      <x:c r="I1030" s="31" t="n">
        <x:f>IF(G1030="Yes",'Controls &amp; Summary'!$B$5,'Controls &amp; Summary'!$B$4)</x:f>
        <x:v>6</x:v>
      </x:c>
      <x:c r="J1030" s="31" t="n">
        <x:v>2.79</x:v>
      </x:c>
      <x:c r="K1030" s="31" t="n">
        <x:v>1.37</x:v>
      </x:c>
      <x:c r="L1030" s="31" t="n">
        <x:f>ABS(J1030-K1030)</x:f>
        <x:v>1.42</x:v>
      </x:c>
      <x:c r="M1030" s="31" t="n">
        <x:v>3.19</x:v>
      </x:c>
      <x:c r="N1030" s="31" t="n">
        <x:v>2.66</x:v>
      </x:c>
      <x:c r="O1030" s="31" t="n">
        <x:f>ABS(M1030-N1030)</x:f>
        <x:v>0.5299999999999998</x:v>
      </x:c>
      <x:c r="P1030" s="31" t="n">
        <x:v>6.86</x:v>
      </x:c>
      <x:c r="Q1030" s="31" t="n">
        <x:v>3.98</x:v>
      </x:c>
      <x:c r="R1030" s="31" t="n">
        <x:f>ABS(P1030-Q1030)</x:f>
        <x:v>2.8800000000000003</x:v>
      </x:c>
      <x:c r="S1030" s="32" t="n">
        <x:v>17449.672411614625</x:v>
      </x:c>
      <x:c r="T1030" s="32" t="n">
        <x:v>4533.517182002136</x:v>
      </x:c>
      <x:c r="U1030" s="31" t="n">
        <x:f>MAX(S1030/T1030,T1030/S1030)</x:f>
        <x:v>3.849036346633704</x:v>
      </x:c>
      <x:c r="V1030" s="31" t="n">
        <x:f>L1030*'Controls &amp; Summary'!$B$9+O1030*'Controls &amp; Summary'!$B$10+R1030*'Controls &amp; Summary'!$B$11+U1030*'Controls &amp; Summary'!$B$12</x:f>
        <x:v>8.679036346633705</x:v>
      </x:c>
      <x:c r="W1030" s="31" t="n">
        <x:v>2.22</x:v>
      </x:c>
      <x:c r="X1030" s="31" t="n">
        <x:v>7</x:v>
      </x:c>
      <x:c r="Y1030" s="31" t="n">
        <x:f>((10-MIN(10,MAX(0,X1030)))/10)*'Controls &amp; Summary'!$B$15+((10-MIN(10,MAX(0,W1030)))/10)*'Controls &amp; Summary'!$B$16</x:f>
        <x:v>1.0779999999999998</x:v>
      </x:c>
      <x:c r="Z1030" s="31" t="n">
        <x:f>V1030*Y1030</x:f>
        <x:v>9.356001181671132</x:v>
      </x:c>
      <x:c r="AA1030" s="30" t="str">
        <x:f>IF(Z1030&lt;=I1030,"Peaceful","Hostile")</x:f>
        <x:v>Hostile</x:v>
      </x:c>
      <x:c r="AB1030" s="30" t="str">
        <x:f>IF(Z1030&lt;='Controls &amp; Summary'!$B$6,"Eligible","Blocked")</x:f>
        <x:v>Eligible</x:v>
      </x:c>
      <x:c r="AC1030" s="30" t="str">
        <x:v>2026_EGY</x:v>
      </x:c>
      <x:c r="AD1030" s="30" t="str">
        <x:v>2026_SYR</x:v>
      </x:c>
      <x:c r="AE1030" s="30" t="str">
        <x:v>2026_Syria</x:v>
      </x:c>
      <x:c r="AF1030" s="30" t="str">
        <x:v>Explicit capitalClaim</x:v>
      </x:c>
      <x:c r="AG1030" s="30" t="str">
        <x:v>Claim2026_EGY2026_Syria</x:v>
      </x:c>
      <x:c r="AH1030" s="30" t="str">
        <x:v>Project_UnitedArabLeague</x:v>
      </x:c>
    </x:row>
    <x:row r="1031">
      <x:c r="A1031" s="30" t="str">
        <x:v>2026</x:v>
      </x:c>
      <x:c r="B1031" s="30" t="str">
        <x:v>Base game</x:v>
      </x:c>
      <x:c r="C1031" s="30" t="str">
        <x:v>Egypt</x:v>
      </x:c>
      <x:c r="D1031" s="30" t="str">
        <x:v>Tunisia</x:v>
      </x:c>
      <x:c r="E1031" s="30" t="str">
        <x:v>Project unlock</x:v>
      </x:c>
      <x:c r="F1031" s="30" t="str">
        <x:v>United Arab League</x:v>
      </x:c>
      <x:c r="G1031" s="30" t="str">
        <x:v>No</x:v>
      </x:c>
      <x:c r="H1031" s="30" t="str">
        <x:v>Ordinary claim</x:v>
      </x:c>
      <x:c r="I1031" s="31" t="n">
        <x:f>IF(G1031="Yes",'Controls &amp; Summary'!$B$5,'Controls &amp; Summary'!$B$4)</x:f>
        <x:v>6</x:v>
      </x:c>
      <x:c r="J1031" s="31" t="n">
        <x:v>2.79</x:v>
      </x:c>
      <x:c r="K1031" s="31" t="n">
        <x:v>4.65</x:v>
      </x:c>
      <x:c r="L1031" s="31" t="n">
        <x:f>ABS(J1031-K1031)</x:f>
        <x:v>1.8600000000000003</x:v>
      </x:c>
      <x:c r="M1031" s="31" t="n">
        <x:v>3.19</x:v>
      </x:c>
      <x:c r="N1031" s="31" t="n">
        <x:v>3.37</x:v>
      </x:c>
      <x:c r="O1031" s="31" t="n">
        <x:f>ABS(M1031-N1031)</x:f>
        <x:v>0.18000000000000016</x:v>
      </x:c>
      <x:c r="P1031" s="31" t="n">
        <x:v>6.86</x:v>
      </x:c>
      <x:c r="Q1031" s="31" t="n">
        <x:v>6.49</x:v>
      </x:c>
      <x:c r="R1031" s="31" t="n">
        <x:f>ABS(P1031-Q1031)</x:f>
        <x:v>0.3700000000000001</x:v>
      </x:c>
      <x:c r="S1031" s="32" t="n">
        <x:v>17449.672411614625</x:v>
      </x:c>
      <x:c r="T1031" s="32" t="n">
        <x:v>13022.649202691102</x:v>
      </x:c>
      <x:c r="U1031" s="31" t="n">
        <x:f>MAX(S1031/T1031,T1031/S1031)</x:f>
        <x:v>1.3399479737201774</x:v>
      </x:c>
      <x:c r="V1031" s="31" t="n">
        <x:f>L1031*'Controls &amp; Summary'!$B$9+O1031*'Controls &amp; Summary'!$B$10+R1031*'Controls &amp; Summary'!$B$11+U1031*'Controls &amp; Summary'!$B$12</x:f>
        <x:v>3.749947973720178</x:v>
      </x:c>
      <x:c r="W1031" s="31" t="n">
        <x:v>2.22</x:v>
      </x:c>
      <x:c r="X1031" s="31" t="n">
        <x:v>1</x:v>
      </x:c>
      <x:c r="Y1031" s="31" t="n">
        <x:f>((10-MIN(10,MAX(0,X1031)))/10)*'Controls &amp; Summary'!$B$15+((10-MIN(10,MAX(0,W1031)))/10)*'Controls &amp; Summary'!$B$16</x:f>
        <x:v>1.678</x:v>
      </x:c>
      <x:c r="Z1031" s="31" t="n">
        <x:f>V1031*Y1031</x:f>
        <x:v>6.292412699902458</x:v>
      </x:c>
      <x:c r="AA1031" s="30" t="str">
        <x:f>IF(Z1031&lt;=I1031,"Peaceful","Hostile")</x:f>
        <x:v>Hostile</x:v>
      </x:c>
      <x:c r="AB1031" s="30" t="str">
        <x:f>IF(Z1031&lt;='Controls &amp; Summary'!$B$6,"Eligible","Blocked")</x:f>
        <x:v>Eligible</x:v>
      </x:c>
      <x:c r="AC1031" s="30" t="str">
        <x:v>2026_EGY</x:v>
      </x:c>
      <x:c r="AD1031" s="30" t="str">
        <x:v>2026_TUN</x:v>
      </x:c>
      <x:c r="AE1031" s="30" t="str">
        <x:v>2026_Tunisia</x:v>
      </x:c>
      <x:c r="AF1031" s="30" t="str">
        <x:v>Explicit capitalClaim</x:v>
      </x:c>
      <x:c r="AG1031" s="30" t="str">
        <x:v>Claim2026_EGY2026_Tunisia</x:v>
      </x:c>
      <x:c r="AH1031" s="30" t="str">
        <x:v>Project_UnitedArabLeague</x:v>
      </x:c>
    </x:row>
    <x:row r="1032">
      <x:c r="A1032" s="30" t="str">
        <x:v>2026</x:v>
      </x:c>
      <x:c r="B1032" s="30" t="str">
        <x:v>Base game</x:v>
      </x:c>
      <x:c r="C1032" s="30" t="str">
        <x:v>Egypt</x:v>
      </x:c>
      <x:c r="D1032" s="30" t="str">
        <x:v>United Arab Emirates</x:v>
      </x:c>
      <x:c r="E1032" s="30" t="str">
        <x:v>Project unlock</x:v>
      </x:c>
      <x:c r="F1032" s="30" t="str">
        <x:v>United Arab League</x:v>
      </x:c>
      <x:c r="G1032" s="30" t="str">
        <x:v>No</x:v>
      </x:c>
      <x:c r="H1032" s="30" t="str">
        <x:v>Ordinary claim</x:v>
      </x:c>
      <x:c r="I1032" s="31" t="n">
        <x:f>IF(G1032="Yes",'Controls &amp; Summary'!$B$5,'Controls &amp; Summary'!$B$4)</x:f>
        <x:v>6</x:v>
      </x:c>
      <x:c r="J1032" s="31" t="n">
        <x:v>2.79</x:v>
      </x:c>
      <x:c r="K1032" s="31" t="n">
        <x:v>3.18</x:v>
      </x:c>
      <x:c r="L1032" s="31" t="n">
        <x:f>ABS(J1032-K1032)</x:f>
        <x:v>0.3900000000000001</x:v>
      </x:c>
      <x:c r="M1032" s="31" t="n">
        <x:v>3.19</x:v>
      </x:c>
      <x:c r="N1032" s="31" t="n">
        <x:v>2.64</x:v>
      </x:c>
      <x:c r="O1032" s="31" t="n">
        <x:f>ABS(M1032-N1032)</x:f>
        <x:v>0.5499999999999998</x:v>
      </x:c>
      <x:c r="P1032" s="31" t="n">
        <x:v>6.86</x:v>
      </x:c>
      <x:c r="Q1032" s="31" t="n">
        <x:v>8.46</x:v>
      </x:c>
      <x:c r="R1032" s="31" t="n">
        <x:f>ABS(P1032-Q1032)</x:f>
        <x:v>1.6000000000000005</x:v>
      </x:c>
      <x:c r="S1032" s="32" t="n">
        <x:v>17449.672411614625</x:v>
      </x:c>
      <x:c r="T1032" s="32" t="n">
        <x:v>68822.60437046996</x:v>
      </x:c>
      <x:c r="U1032" s="31" t="n">
        <x:f>MAX(S1032/T1032,T1032/S1032)</x:f>
        <x:v>3.9440628309251893</x:v>
      </x:c>
      <x:c r="V1032" s="31" t="n">
        <x:f>L1032*'Controls &amp; Summary'!$B$9+O1032*'Controls &amp; Summary'!$B$10+R1032*'Controls &amp; Summary'!$B$11+U1032*'Controls &amp; Summary'!$B$12</x:f>
        <x:v>6.48406283092519</x:v>
      </x:c>
      <x:c r="W1032" s="31" t="n">
        <x:v>2.22</x:v>
      </x:c>
      <x:c r="X1032" s="31" t="n">
        <x:v>0.25</x:v>
      </x:c>
      <x:c r="Y1032" s="31" t="n">
        <x:f>((10-MIN(10,MAX(0,X1032)))/10)*'Controls &amp; Summary'!$B$15+((10-MIN(10,MAX(0,W1032)))/10)*'Controls &amp; Summary'!$B$16</x:f>
        <x:v>1.753</x:v>
      </x:c>
      <x:c r="Z1032" s="31" t="n">
        <x:f>V1032*Y1032</x:f>
        <x:v>11.366562142611857</x:v>
      </x:c>
      <x:c r="AA1032" s="30" t="str">
        <x:f>IF(Z1032&lt;=I1032,"Peaceful","Hostile")</x:f>
        <x:v>Hostile</x:v>
      </x:c>
      <x:c r="AB1032" s="30" t="str">
        <x:f>IF(Z1032&lt;='Controls &amp; Summary'!$B$6,"Eligible","Blocked")</x:f>
        <x:v>Eligible</x:v>
      </x:c>
      <x:c r="AC1032" s="30" t="str">
        <x:v>2026_EGY</x:v>
      </x:c>
      <x:c r="AD1032" s="30" t="str">
        <x:v>2026_UAE</x:v>
      </x:c>
      <x:c r="AE1032" s="30" t="str">
        <x:v>2026_Dubai</x:v>
      </x:c>
      <x:c r="AF1032" s="30" t="str">
        <x:v>Explicit capitalClaim</x:v>
      </x:c>
      <x:c r="AG1032" s="30" t="str">
        <x:v>Claim2026_EGY2026_Dubai</x:v>
      </x:c>
      <x:c r="AH1032" s="30" t="str">
        <x:v>Project_UnitedArabLeague</x:v>
      </x:c>
    </x:row>
    <x:row r="1033">
      <x:c r="A1033" s="30" t="str">
        <x:v>2026</x:v>
      </x:c>
      <x:c r="B1033" s="30" t="str">
        <x:v>Base game</x:v>
      </x:c>
      <x:c r="C1033" s="30" t="str">
        <x:v>Egypt</x:v>
      </x:c>
      <x:c r="D1033" s="30" t="str">
        <x:v>Yemen</x:v>
      </x:c>
      <x:c r="E1033" s="30" t="str">
        <x:v>Project unlock</x:v>
      </x:c>
      <x:c r="F1033" s="30" t="str">
        <x:v>United Arab League</x:v>
      </x:c>
      <x:c r="G1033" s="30" t="str">
        <x:v>No</x:v>
      </x:c>
      <x:c r="H1033" s="30" t="str">
        <x:v>Ordinary claim</x:v>
      </x:c>
      <x:c r="I1033" s="31" t="n">
        <x:f>IF(G1033="Yes",'Controls &amp; Summary'!$B$5,'Controls &amp; Summary'!$B$4)</x:f>
        <x:v>6</x:v>
      </x:c>
      <x:c r="J1033" s="31" t="n">
        <x:v>2.79</x:v>
      </x:c>
      <x:c r="K1033" s="31" t="n">
        <x:v>1.95</x:v>
      </x:c>
      <x:c r="L1033" s="31" t="n">
        <x:f>ABS(J1033-K1033)</x:f>
        <x:v>0.8400000000000001</x:v>
      </x:c>
      <x:c r="M1033" s="31" t="n">
        <x:v>3.19</x:v>
      </x:c>
      <x:c r="N1033" s="31" t="n">
        <x:v>3.67</x:v>
      </x:c>
      <x:c r="O1033" s="31" t="n">
        <x:f>ABS(M1033-N1033)</x:f>
        <x:v>0.48</x:v>
      </x:c>
      <x:c r="P1033" s="31" t="n">
        <x:v>6.86</x:v>
      </x:c>
      <x:c r="Q1033" s="31" t="n">
        <x:v>3.88</x:v>
      </x:c>
      <x:c r="R1033" s="31" t="n">
        <x:f>ABS(P1033-Q1033)</x:f>
        <x:v>2.9800000000000004</x:v>
      </x:c>
      <x:c r="S1033" s="32" t="n">
        <x:v>17449.672411614625</x:v>
      </x:c>
      <x:c r="T1033" s="32" t="n">
        <x:v>886.9282118672596</x:v>
      </x:c>
      <x:c r="U1033" s="31" t="n">
        <x:f>MAX(S1033/T1033,T1033/S1033)</x:f>
        <x:v>19.67427823146773</x:v>
      </x:c>
      <x:c r="V1033" s="31" t="n">
        <x:f>L1033*'Controls &amp; Summary'!$B$9+O1033*'Controls &amp; Summary'!$B$10+R1033*'Controls &amp; Summary'!$B$11+U1033*'Controls &amp; Summary'!$B$12</x:f>
        <x:v>23.974278231467732</x:v>
      </x:c>
      <x:c r="W1033" s="31" t="n">
        <x:v>2.22</x:v>
      </x:c>
      <x:c r="X1033" s="31" t="n">
        <x:v>5.25</x:v>
      </x:c>
      <x:c r="Y1033" s="31" t="n">
        <x:f>((10-MIN(10,MAX(0,X1033)))/10)*'Controls &amp; Summary'!$B$15+((10-MIN(10,MAX(0,W1033)))/10)*'Controls &amp; Summary'!$B$16</x:f>
        <x:v>1.253</x:v>
      </x:c>
      <x:c r="Z1033" s="31" t="n">
        <x:f>V1033*Y1033</x:f>
        <x:v>30.039770624029067</x:v>
      </x:c>
      <x:c r="AA1033" s="30" t="str">
        <x:f>IF(Z1033&lt;=I1033,"Peaceful","Hostile")</x:f>
        <x:v>Hostile</x:v>
      </x:c>
      <x:c r="AB1033" s="30" t="str">
        <x:f>IF(Z1033&lt;='Controls &amp; Summary'!$B$6,"Eligible","Blocked")</x:f>
        <x:v>Blocked</x:v>
      </x:c>
      <x:c r="AC1033" s="30" t="str">
        <x:v>2026_EGY</x:v>
      </x:c>
      <x:c r="AD1033" s="30" t="str">
        <x:v>2026_YEM</x:v>
      </x:c>
      <x:c r="AE1033" s="30" t="str">
        <x:v>2026_Yemen</x:v>
      </x:c>
      <x:c r="AF1033" s="30" t="str">
        <x:v>Explicit capitalClaim</x:v>
      </x:c>
      <x:c r="AG1033" s="30" t="str">
        <x:v>Claim2026_EGY2026_Yemen</x:v>
      </x:c>
      <x:c r="AH1033" s="30" t="str">
        <x:v>Project_UnitedArabLeague</x:v>
      </x:c>
    </x:row>
    <x:row r="1034">
      <x:c r="A1034" s="30" t="str">
        <x:v>2026</x:v>
      </x:c>
      <x:c r="B1034" s="30" t="str">
        <x:v>Base game</x:v>
      </x:c>
      <x:c r="C1034" s="30" t="str">
        <x:v>Ethiopia</x:v>
      </x:c>
      <x:c r="D1034" s="30" t="str">
        <x:v>Algeria</x:v>
      </x:c>
      <x:c r="E1034" s="30" t="str">
        <x:v>Project unlock</x:v>
      </x:c>
      <x:c r="F1034" s="30" t="str">
        <x:v>Great African Union</x:v>
      </x:c>
      <x:c r="G1034" s="30" t="str">
        <x:v>No</x:v>
      </x:c>
      <x:c r="H1034" s="30" t="str">
        <x:v>Ordinary claim</x:v>
      </x:c>
      <x:c r="I1034" s="31" t="n">
        <x:f>IF(G1034="Yes",'Controls &amp; Summary'!$B$5,'Controls &amp; Summary'!$B$4)</x:f>
        <x:v>6</x:v>
      </x:c>
      <x:c r="J1034" s="31" t="n">
        <x:v>3.13</x:v>
      </x:c>
      <x:c r="K1034" s="31" t="n">
        <x:v>3.55</x:v>
      </x:c>
      <x:c r="L1034" s="31" t="n">
        <x:f>ABS(J1034-K1034)</x:f>
        <x:v>0.41999999999999993</x:v>
      </x:c>
      <x:c r="M1034" s="31" t="n">
        <x:v>3.5</x:v>
      </x:c>
      <x:c r="N1034" s="31" t="n">
        <x:v>2.76</x:v>
      </x:c>
      <x:c r="O1034" s="31" t="n">
        <x:f>ABS(M1034-N1034)</x:f>
        <x:v>0.7400000000000002</x:v>
      </x:c>
      <x:c r="P1034" s="31" t="n">
        <x:v>3.34</x:v>
      </x:c>
      <x:c r="Q1034" s="31" t="n">
        <x:v>6.64</x:v>
      </x:c>
      <x:c r="R1034" s="31" t="n">
        <x:f>ABS(P1034-Q1034)</x:f>
        <x:v>3.3</x:v>
      </x:c>
      <x:c r="S1034" s="32" t="n">
        <x:v>3068.915294601017</x:v>
      </x:c>
      <x:c r="T1034" s="32" t="n">
        <x:v>16038.32271175594</x:v>
      </x:c>
      <x:c r="U1034" s="31" t="n">
        <x:f>MAX(S1034/T1034,T1034/S1034)</x:f>
        <x:v>5.226055844542639</x:v>
      </x:c>
      <x:c r="V1034" s="31" t="n">
        <x:f>L1034*'Controls &amp; Summary'!$B$9+O1034*'Controls &amp; Summary'!$B$10+R1034*'Controls &amp; Summary'!$B$11+U1034*'Controls &amp; Summary'!$B$12</x:f>
        <x:v>9.68605584454264</x:v>
      </x:c>
      <x:c r="W1034" s="31" t="n">
        <x:v>0.43</x:v>
      </x:c>
      <x:c r="X1034" s="31" t="n">
        <x:v>1</x:v>
      </x:c>
      <x:c r="Y1034" s="31" t="n">
        <x:f>((10-MIN(10,MAX(0,X1034)))/10)*'Controls &amp; Summary'!$B$15+((10-MIN(10,MAX(0,W1034)))/10)*'Controls &amp; Summary'!$B$16</x:f>
        <x:v>1.8570000000000002</x:v>
      </x:c>
      <x:c r="Z1034" s="31" t="n">
        <x:f>V1034*Y1034</x:f>
        <x:v>17.987005703315685</x:v>
      </x:c>
      <x:c r="AA1034" s="30" t="str">
        <x:f>IF(Z1034&lt;=I1034,"Peaceful","Hostile")</x:f>
        <x:v>Hostile</x:v>
      </x:c>
      <x:c r="AB1034" s="30" t="str">
        <x:f>IF(Z1034&lt;='Controls &amp; Summary'!$B$6,"Eligible","Blocked")</x:f>
        <x:v>Blocked</x:v>
      </x:c>
      <x:c r="AC1034" s="30" t="str">
        <x:v>2026_ETH</x:v>
      </x:c>
      <x:c r="AD1034" s="30" t="str">
        <x:v>2026_DZA</x:v>
      </x:c>
      <x:c r="AE1034" s="30" t="str">
        <x:v>2026_Algeria</x:v>
      </x:c>
      <x:c r="AF1034" s="30" t="str">
        <x:v>Explicit capitalClaim</x:v>
      </x:c>
      <x:c r="AG1034" s="30" t="str">
        <x:v>Claim2026_ETH2026_Algeria</x:v>
      </x:c>
      <x:c r="AH1034" s="30" t="str">
        <x:v>Project_GreatAfricanUnion</x:v>
      </x:c>
    </x:row>
    <x:row r="1035">
      <x:c r="A1035" s="30" t="str">
        <x:v>2026</x:v>
      </x:c>
      <x:c r="B1035" s="30" t="str">
        <x:v>Base game</x:v>
      </x:c>
      <x:c r="C1035" s="30" t="str">
        <x:v>Ethiopia</x:v>
      </x:c>
      <x:c r="D1035" s="30" t="str">
        <x:v>Angola</x:v>
      </x:c>
      <x:c r="E1035" s="30" t="str">
        <x:v>Project unlock</x:v>
      </x:c>
      <x:c r="F1035" s="30" t="str">
        <x:v>African Union</x:v>
      </x:c>
      <x:c r="G1035" s="30" t="str">
        <x:v>No</x:v>
      </x:c>
      <x:c r="H1035" s="30" t="str">
        <x:v>Ordinary claim</x:v>
      </x:c>
      <x:c r="I1035" s="31" t="n">
        <x:f>IF(G1035="Yes",'Controls &amp; Summary'!$B$5,'Controls &amp; Summary'!$B$4)</x:f>
        <x:v>6</x:v>
      </x:c>
      <x:c r="J1035" s="31" t="n">
        <x:v>3.13</x:v>
      </x:c>
      <x:c r="K1035" s="31" t="n">
        <x:v>3.94</x:v>
      </x:c>
      <x:c r="L1035" s="31" t="n">
        <x:f>ABS(J1035-K1035)</x:f>
        <x:v>0.81</x:v>
      </x:c>
      <x:c r="M1035" s="31" t="n">
        <x:v>3.5</x:v>
      </x:c>
      <x:c r="N1035" s="31" t="n">
        <x:v>5.13</x:v>
      </x:c>
      <x:c r="O1035" s="31" t="n">
        <x:f>ABS(M1035-N1035)</x:f>
        <x:v>1.63</x:v>
      </x:c>
      <x:c r="P1035" s="31" t="n">
        <x:v>3.34</x:v>
      </x:c>
      <x:c r="Q1035" s="31" t="n">
        <x:v>5.3</x:v>
      </x:c>
      <x:c r="R1035" s="31" t="n">
        <x:f>ABS(P1035-Q1035)</x:f>
        <x:v>1.96</x:v>
      </x:c>
      <x:c r="S1035" s="32" t="n">
        <x:v>3068.915294601017</x:v>
      </x:c>
      <x:c r="T1035" s="32" t="n">
        <x:v>8800.070023311348</x:v>
      </x:c>
      <x:c r="U1035" s="31" t="n">
        <x:f>MAX(S1035/T1035,T1035/S1035)</x:f>
        <x:v>2.8674854724054626</x:v>
      </x:c>
      <x:c r="V1035" s="31" t="n">
        <x:f>L1035*'Controls &amp; Summary'!$B$9+O1035*'Controls &amp; Summary'!$B$10+R1035*'Controls &amp; Summary'!$B$11+U1035*'Controls &amp; Summary'!$B$12</x:f>
        <x:v>7.267485472405463</x:v>
      </x:c>
      <x:c r="W1035" s="31" t="n">
        <x:v>0.43</x:v>
      </x:c>
      <x:c r="X1035" s="31" t="n">
        <x:v>2</x:v>
      </x:c>
      <x:c r="Y1035" s="31" t="n">
        <x:f>((10-MIN(10,MAX(0,X1035)))/10)*'Controls &amp; Summary'!$B$15+((10-MIN(10,MAX(0,W1035)))/10)*'Controls &amp; Summary'!$B$16</x:f>
        <x:v>1.7570000000000001</x:v>
      </x:c>
      <x:c r="Z1035" s="31" t="n">
        <x:f>V1035*Y1035</x:f>
        <x:v>12.768971975016399</x:v>
      </x:c>
      <x:c r="AA1035" s="30" t="str">
        <x:f>IF(Z1035&lt;=I1035,"Peaceful","Hostile")</x:f>
        <x:v>Hostile</x:v>
      </x:c>
      <x:c r="AB1035" s="30" t="str">
        <x:f>IF(Z1035&lt;='Controls &amp; Summary'!$B$6,"Eligible","Blocked")</x:f>
        <x:v>Blocked</x:v>
      </x:c>
      <x:c r="AC1035" s="30" t="str">
        <x:v>2026_ETH</x:v>
      </x:c>
      <x:c r="AD1035" s="30" t="str">
        <x:v>2026_AGO</x:v>
      </x:c>
      <x:c r="AE1035" s="30" t="str">
        <x:v>2026_Angola</x:v>
      </x:c>
      <x:c r="AF1035" s="30" t="str">
        <x:v>Explicit capitalClaim</x:v>
      </x:c>
      <x:c r="AG1035" s="30" t="str">
        <x:v>Claim2026_ETH2026_Angola</x:v>
      </x:c>
      <x:c r="AH1035" s="30" t="str">
        <x:v>Project_AfricanUnion</x:v>
      </x:c>
    </x:row>
    <x:row r="1036">
      <x:c r="A1036" s="30" t="str">
        <x:v>2026</x:v>
      </x:c>
      <x:c r="B1036" s="30" t="str">
        <x:v>Base game</x:v>
      </x:c>
      <x:c r="C1036" s="30" t="str">
        <x:v>Ethiopia</x:v>
      </x:c>
      <x:c r="D1036" s="30" t="str">
        <x:v>Benin</x:v>
      </x:c>
      <x:c r="E1036" s="30" t="str">
        <x:v>Project unlock</x:v>
      </x:c>
      <x:c r="F1036" s="30" t="str">
        <x:v>African Union</x:v>
      </x:c>
      <x:c r="G1036" s="30" t="str">
        <x:v>No</x:v>
      </x:c>
      <x:c r="H1036" s="30" t="str">
        <x:v>Ordinary claim</x:v>
      </x:c>
      <x:c r="I1036" s="31" t="n">
        <x:f>IF(G1036="Yes",'Controls &amp; Summary'!$B$5,'Controls &amp; Summary'!$B$4)</x:f>
        <x:v>6</x:v>
      </x:c>
      <x:c r="J1036" s="31" t="n">
        <x:v>3.13</x:v>
      </x:c>
      <x:c r="K1036" s="31" t="n">
        <x:v>4.26</x:v>
      </x:c>
      <x:c r="L1036" s="31" t="n">
        <x:f>ABS(J1036-K1036)</x:f>
        <x:v>1.13</x:v>
      </x:c>
      <x:c r="M1036" s="31" t="n">
        <x:v>3.5</x:v>
      </x:c>
      <x:c r="N1036" s="31" t="n">
        <x:v>3.44</x:v>
      </x:c>
      <x:c r="O1036" s="31" t="n">
        <x:f>ABS(M1036-N1036)</x:f>
        <x:v>0.06000000000000005</x:v>
      </x:c>
      <x:c r="P1036" s="31" t="n">
        <x:v>3.34</x:v>
      </x:c>
      <x:c r="Q1036" s="31" t="n">
        <x:v>3.92</x:v>
      </x:c>
      <x:c r="R1036" s="31" t="n">
        <x:f>ABS(P1036-Q1036)</x:f>
        <x:v>0.5800000000000001</x:v>
      </x:c>
      <x:c r="S1036" s="32" t="n">
        <x:v>3068.915294601017</x:v>
      </x:c>
      <x:c r="T1036" s="32" t="n">
        <x:v>4032.051848271297</x:v>
      </x:c>
      <x:c r="U1036" s="31" t="n">
        <x:f>MAX(S1036/T1036,T1036/S1036)</x:f>
        <x:v>1.3138361476983986</x:v>
      </x:c>
      <x:c r="V1036" s="31" t="n">
        <x:f>L1036*'Controls &amp; Summary'!$B$9+O1036*'Controls &amp; Summary'!$B$10+R1036*'Controls &amp; Summary'!$B$11+U1036*'Controls &amp; Summary'!$B$12</x:f>
        <x:v>3.0838361476983986</x:v>
      </x:c>
      <x:c r="W1036" s="31" t="n">
        <x:v>0.43</x:v>
      </x:c>
      <x:c r="X1036" s="31" t="n">
        <x:v>3</x:v>
      </x:c>
      <x:c r="Y1036" s="31" t="n">
        <x:f>((10-MIN(10,MAX(0,X1036)))/10)*'Controls &amp; Summary'!$B$15+((10-MIN(10,MAX(0,W1036)))/10)*'Controls &amp; Summary'!$B$16</x:f>
        <x:v>1.657</x:v>
      </x:c>
      <x:c r="Z1036" s="31" t="n">
        <x:f>V1036*Y1036</x:f>
        <x:v>5.109916496736247</x:v>
      </x:c>
      <x:c r="AA1036" s="30" t="str">
        <x:f>IF(Z1036&lt;=I1036,"Peaceful","Hostile")</x:f>
        <x:v>Peaceful</x:v>
      </x:c>
      <x:c r="AB1036" s="30" t="str">
        <x:f>IF(Z1036&lt;='Controls &amp; Summary'!$B$6,"Eligible","Blocked")</x:f>
        <x:v>Eligible</x:v>
      </x:c>
      <x:c r="AC1036" s="30" t="str">
        <x:v>2026_ETH</x:v>
      </x:c>
      <x:c r="AD1036" s="30" t="str">
        <x:v>2026_BEN</x:v>
      </x:c>
      <x:c r="AE1036" s="30" t="str">
        <x:v>2026_TogoBenin</x:v>
      </x:c>
      <x:c r="AF1036" s="30" t="str">
        <x:v>Explicit capitalClaim</x:v>
      </x:c>
      <x:c r="AG1036" s="30" t="str">
        <x:v>Claim2026_ETH2026_TogoBenin</x:v>
      </x:c>
      <x:c r="AH1036" s="30" t="str">
        <x:v>Project_AfricanUnion</x:v>
      </x:c>
    </x:row>
    <x:row r="1037">
      <x:c r="A1037" s="30" t="str">
        <x:v>2026</x:v>
      </x:c>
      <x:c r="B1037" s="30" t="str">
        <x:v>Base game</x:v>
      </x:c>
      <x:c r="C1037" s="30" t="str">
        <x:v>Ethiopia</x:v>
      </x:c>
      <x:c r="D1037" s="30" t="str">
        <x:v>Botswana</x:v>
      </x:c>
      <x:c r="E1037" s="30" t="str">
        <x:v>Project unlock</x:v>
      </x:c>
      <x:c r="F1037" s="30" t="str">
        <x:v>African Union</x:v>
      </x:c>
      <x:c r="G1037" s="30" t="str">
        <x:v>No</x:v>
      </x:c>
      <x:c r="H1037" s="30" t="str">
        <x:v>Ordinary claim</x:v>
      </x:c>
      <x:c r="I1037" s="31" t="n">
        <x:f>IF(G1037="Yes",'Controls &amp; Summary'!$B$5,'Controls &amp; Summary'!$B$4)</x:f>
        <x:v>6</x:v>
      </x:c>
      <x:c r="J1037" s="31" t="n">
        <x:v>3.13</x:v>
      </x:c>
      <x:c r="K1037" s="31" t="n">
        <x:v>7.63</x:v>
      </x:c>
      <x:c r="L1037" s="31" t="n">
        <x:f>ABS(J1037-K1037)</x:f>
        <x:v>4.5</x:v>
      </x:c>
      <x:c r="M1037" s="31" t="n">
        <x:v>3.5</x:v>
      </x:c>
      <x:c r="N1037" s="31" t="n">
        <x:v>5.33</x:v>
      </x:c>
      <x:c r="O1037" s="31" t="n">
        <x:f>ABS(M1037-N1037)</x:f>
        <x:v>1.83</x:v>
      </x:c>
      <x:c r="P1037" s="31" t="n">
        <x:v>3.34</x:v>
      </x:c>
      <x:c r="Q1037" s="31" t="n">
        <x:v>6.53</x:v>
      </x:c>
      <x:c r="R1037" s="31" t="n">
        <x:f>ABS(P1037-Q1037)</x:f>
        <x:v>3.1900000000000004</x:v>
      </x:c>
      <x:c r="S1037" s="32" t="n">
        <x:v>3068.915294601017</x:v>
      </x:c>
      <x:c r="T1037" s="32" t="n">
        <x:v>17901.93394146397</x:v>
      </x:c>
      <x:c r="U1037" s="31" t="n">
        <x:f>MAX(S1037/T1037,T1037/S1037)</x:f>
        <x:v>5.833309890617675</x:v>
      </x:c>
      <x:c r="V1037" s="31" t="n">
        <x:f>L1037*'Controls &amp; Summary'!$B$9+O1037*'Controls &amp; Summary'!$B$10+R1037*'Controls &amp; Summary'!$B$11+U1037*'Controls &amp; Summary'!$B$12</x:f>
        <x:v>15.353309890617673</x:v>
      </x:c>
      <x:c r="W1037" s="31" t="n">
        <x:v>0.43</x:v>
      </x:c>
      <x:c r="X1037" s="31" t="n">
        <x:v>0.5</x:v>
      </x:c>
      <x:c r="Y1037" s="31" t="n">
        <x:f>((10-MIN(10,MAX(0,X1037)))/10)*'Controls &amp; Summary'!$B$15+((10-MIN(10,MAX(0,W1037)))/10)*'Controls &amp; Summary'!$B$16</x:f>
        <x:v>1.907</x:v>
      </x:c>
      <x:c r="Z1037" s="31" t="n">
        <x:f>V1037*Y1037</x:f>
        <x:v>29.278761961407902</x:v>
      </x:c>
      <x:c r="AA1037" s="30" t="str">
        <x:f>IF(Z1037&lt;=I1037,"Peaceful","Hostile")</x:f>
        <x:v>Hostile</x:v>
      </x:c>
      <x:c r="AB1037" s="30" t="str">
        <x:f>IF(Z1037&lt;='Controls &amp; Summary'!$B$6,"Eligible","Blocked")</x:f>
        <x:v>Blocked</x:v>
      </x:c>
      <x:c r="AC1037" s="30" t="str">
        <x:v>2026_ETH</x:v>
      </x:c>
      <x:c r="AD1037" s="30" t="str">
        <x:v>2026_BWA</x:v>
      </x:c>
      <x:c r="AE1037" s="30" t="str">
        <x:v>2026_Botswana</x:v>
      </x:c>
      <x:c r="AF1037" s="30" t="str">
        <x:v>Explicit capitalClaim</x:v>
      </x:c>
      <x:c r="AG1037" s="30" t="str">
        <x:v>Claim2026_ETH2026_Botswana</x:v>
      </x:c>
      <x:c r="AH1037" s="30" t="str">
        <x:v>Project_AfricanUnion</x:v>
      </x:c>
    </x:row>
    <x:row r="1038">
      <x:c r="A1038" s="30" t="str">
        <x:v>2026</x:v>
      </x:c>
      <x:c r="B1038" s="30" t="str">
        <x:v>Base game</x:v>
      </x:c>
      <x:c r="C1038" s="30" t="str">
        <x:v>Ethiopia</x:v>
      </x:c>
      <x:c r="D1038" s="30" t="str">
        <x:v>Burkina Faso</x:v>
      </x:c>
      <x:c r="E1038" s="30" t="str">
        <x:v>Project unlock</x:v>
      </x:c>
      <x:c r="F1038" s="30" t="str">
        <x:v>African Union</x:v>
      </x:c>
      <x:c r="G1038" s="30" t="str">
        <x:v>No</x:v>
      </x:c>
      <x:c r="H1038" s="30" t="str">
        <x:v>Ordinary claim</x:v>
      </x:c>
      <x:c r="I1038" s="31" t="n">
        <x:f>IF(G1038="Yes",'Controls &amp; Summary'!$B$5,'Controls &amp; Summary'!$B$4)</x:f>
        <x:v>6</x:v>
      </x:c>
      <x:c r="J1038" s="31" t="n">
        <x:v>3.13</x:v>
      </x:c>
      <x:c r="K1038" s="31" t="n">
        <x:v>2.55</x:v>
      </x:c>
      <x:c r="L1038" s="31" t="n">
        <x:f>ABS(J1038-K1038)</x:f>
        <x:v>0.5800000000000001</x:v>
      </x:c>
      <x:c r="M1038" s="31" t="n">
        <x:v>3.5</x:v>
      </x:c>
      <x:c r="N1038" s="31" t="n">
        <x:v>3.74</x:v>
      </x:c>
      <x:c r="O1038" s="31" t="n">
        <x:f>ABS(M1038-N1038)</x:f>
        <x:v>0.2400000000000002</x:v>
      </x:c>
      <x:c r="P1038" s="31" t="n">
        <x:v>3.34</x:v>
      </x:c>
      <x:c r="Q1038" s="31" t="n">
        <x:v>3.17</x:v>
      </x:c>
      <x:c r="R1038" s="31" t="n">
        <x:f>ABS(P1038-Q1038)</x:f>
        <x:v>0.16999999999999993</x:v>
      </x:c>
      <x:c r="S1038" s="32" t="n">
        <x:v>3068.915294601017</x:v>
      </x:c>
      <x:c r="T1038" s="32" t="n">
        <x:v>2604.7630854778326</x:v>
      </x:c>
      <x:c r="U1038" s="31" t="n">
        <x:f>MAX(S1038/T1038,T1038/S1038)</x:f>
        <x:v>1.1781936375369193</x:v>
      </x:c>
      <x:c r="V1038" s="31" t="n">
        <x:f>L1038*'Controls &amp; Summary'!$B$9+O1038*'Controls &amp; Summary'!$B$10+R1038*'Controls &amp; Summary'!$B$11+U1038*'Controls &amp; Summary'!$B$12</x:f>
        <x:v>2.1681936375369197</x:v>
      </x:c>
      <x:c r="W1038" s="31" t="n">
        <x:v>0.43</x:v>
      </x:c>
      <x:c r="X1038" s="31" t="n">
        <x:v>5.5</x:v>
      </x:c>
      <x:c r="Y1038" s="31" t="n">
        <x:f>((10-MIN(10,MAX(0,X1038)))/10)*'Controls &amp; Summary'!$B$15+((10-MIN(10,MAX(0,W1038)))/10)*'Controls &amp; Summary'!$B$16</x:f>
        <x:v>1.407</x:v>
      </x:c>
      <x:c r="Z1038" s="31" t="n">
        <x:f>V1038*Y1038</x:f>
        <x:v>3.0506484480144462</x:v>
      </x:c>
      <x:c r="AA1038" s="30" t="str">
        <x:f>IF(Z1038&lt;=I1038,"Peaceful","Hostile")</x:f>
        <x:v>Peaceful</x:v>
      </x:c>
      <x:c r="AB1038" s="30" t="str">
        <x:f>IF(Z1038&lt;='Controls &amp; Summary'!$B$6,"Eligible","Blocked")</x:f>
        <x:v>Eligible</x:v>
      </x:c>
      <x:c r="AC1038" s="30" t="str">
        <x:v>2026_ETH</x:v>
      </x:c>
      <x:c r="AD1038" s="30" t="str">
        <x:v>2026_BKF</x:v>
      </x:c>
      <x:c r="AE1038" s="30" t="str">
        <x:v>2026_BurkinaFaso</x:v>
      </x:c>
      <x:c r="AF1038" s="30" t="str">
        <x:v>Explicit capitalClaim</x:v>
      </x:c>
      <x:c r="AG1038" s="30" t="str">
        <x:v>Claim2026_ETH2026_BurkinaFaso</x:v>
      </x:c>
      <x:c r="AH1038" s="30" t="str">
        <x:v>Project_AfricanUnion</x:v>
      </x:c>
    </x:row>
    <x:row r="1039">
      <x:c r="A1039" s="30" t="str">
        <x:v>2026</x:v>
      </x:c>
      <x:c r="B1039" s="30" t="str">
        <x:v>Base game</x:v>
      </x:c>
      <x:c r="C1039" s="30" t="str">
        <x:v>Ethiopia</x:v>
      </x:c>
      <x:c r="D1039" s="30" t="str">
        <x:v>Cabo Verde</x:v>
      </x:c>
      <x:c r="E1039" s="30" t="str">
        <x:v>Project unlock</x:v>
      </x:c>
      <x:c r="F1039" s="30" t="str">
        <x:v>African Union</x:v>
      </x:c>
      <x:c r="G1039" s="30" t="str">
        <x:v>No</x:v>
      </x:c>
      <x:c r="H1039" s="30" t="str">
        <x:v>Ordinary claim</x:v>
      </x:c>
      <x:c r="I1039" s="31" t="n">
        <x:f>IF(G1039="Yes",'Controls &amp; Summary'!$B$5,'Controls &amp; Summary'!$B$4)</x:f>
        <x:v>6</x:v>
      </x:c>
      <x:c r="J1039" s="31" t="n">
        <x:v>3.13</x:v>
      </x:c>
      <x:c r="K1039" s="31" t="n">
        <x:v>7.58</x:v>
      </x:c>
      <x:c r="L1039" s="31" t="n">
        <x:f>ABS(J1039-K1039)</x:f>
        <x:v>4.45</x:v>
      </x:c>
      <x:c r="M1039" s="31" t="n">
        <x:v>3.5</x:v>
      </x:c>
      <x:c r="N1039" s="31" t="n">
        <x:v>4.24</x:v>
      </x:c>
      <x:c r="O1039" s="31" t="n">
        <x:f>ABS(M1039-N1039)</x:f>
        <x:v>0.7400000000000002</x:v>
      </x:c>
      <x:c r="P1039" s="31" t="n">
        <x:v>3.34</x:v>
      </x:c>
      <x:c r="Q1039" s="31" t="n">
        <x:v>5.12</x:v>
      </x:c>
      <x:c r="R1039" s="31" t="n">
        <x:f>ABS(P1039-Q1039)</x:f>
        <x:v>1.7800000000000002</x:v>
      </x:c>
      <x:c r="S1039" s="32" t="n">
        <x:v>3068.915294601017</x:v>
      </x:c>
      <x:c r="T1039" s="32" t="n">
        <x:v>10466.023450333252</x:v>
      </x:c>
      <x:c r="U1039" s="31" t="n">
        <x:f>MAX(S1039/T1039,T1039/S1039)</x:f>
        <x:v>3.4103331130531958</x:v>
      </x:c>
      <x:c r="V1039" s="31" t="n">
        <x:f>L1039*'Controls &amp; Summary'!$B$9+O1039*'Controls &amp; Summary'!$B$10+R1039*'Controls &amp; Summary'!$B$11+U1039*'Controls &amp; Summary'!$B$12</x:f>
        <x:v>10.380333113053197</x:v>
      </x:c>
      <x:c r="W1039" s="31" t="n">
        <x:v>0.43</x:v>
      </x:c>
      <x:c r="X1039" s="31" t="n">
        <x:v>0</x:v>
      </x:c>
      <x:c r="Y1039" s="31" t="n">
        <x:f>((10-MIN(10,MAX(0,X1039)))/10)*'Controls &amp; Summary'!$B$15+((10-MIN(10,MAX(0,W1039)))/10)*'Controls &amp; Summary'!$B$16</x:f>
        <x:v>1.957</x:v>
      </x:c>
      <x:c r="Z1039" s="31" t="n">
        <x:f>V1039*Y1039</x:f>
        <x:v>20.31431190224511</x:v>
      </x:c>
      <x:c r="AA1039" s="30" t="str">
        <x:f>IF(Z1039&lt;=I1039,"Peaceful","Hostile")</x:f>
        <x:v>Hostile</x:v>
      </x:c>
      <x:c r="AB1039" s="30" t="str">
        <x:f>IF(Z1039&lt;='Controls &amp; Summary'!$B$6,"Eligible","Blocked")</x:f>
        <x:v>Blocked</x:v>
      </x:c>
      <x:c r="AC1039" s="30" t="str">
        <x:v>2026_ETH</x:v>
      </x:c>
      <x:c r="AD1039" s="30" t="str">
        <x:v>2026_CPV</x:v>
      </x:c>
      <x:c r="AE1039" s="30" t="str">
        <x:v>2026_CaboVerde</x:v>
      </x:c>
      <x:c r="AF1039" s="30" t="str">
        <x:v>Explicit capitalClaim</x:v>
      </x:c>
      <x:c r="AG1039" s="30" t="str">
        <x:v>Claim2026_ETH2026_CaboVerde</x:v>
      </x:c>
      <x:c r="AH1039" s="30" t="str">
        <x:v>Project_AfricanUnion</x:v>
      </x:c>
    </x:row>
    <x:row r="1040">
      <x:c r="A1040" s="30" t="str">
        <x:v>2026</x:v>
      </x:c>
      <x:c r="B1040" s="30" t="str">
        <x:v>Base game</x:v>
      </x:c>
      <x:c r="C1040" s="30" t="str">
        <x:v>Ethiopia</x:v>
      </x:c>
      <x:c r="D1040" s="30" t="str">
        <x:v>Cameroon</x:v>
      </x:c>
      <x:c r="E1040" s="30" t="str">
        <x:v>Project unlock</x:v>
      </x:c>
      <x:c r="F1040" s="30" t="str">
        <x:v>African Union</x:v>
      </x:c>
      <x:c r="G1040" s="30" t="str">
        <x:v>No</x:v>
      </x:c>
      <x:c r="H1040" s="30" t="str">
        <x:v>Ordinary claim</x:v>
      </x:c>
      <x:c r="I1040" s="31" t="n">
        <x:f>IF(G1040="Yes",'Controls &amp; Summary'!$B$5,'Controls &amp; Summary'!$B$4)</x:f>
        <x:v>6</x:v>
      </x:c>
      <x:c r="J1040" s="31" t="n">
        <x:v>3.13</x:v>
      </x:c>
      <x:c r="K1040" s="31" t="n">
        <x:v>2.56</x:v>
      </x:c>
      <x:c r="L1040" s="31" t="n">
        <x:f>ABS(J1040-K1040)</x:f>
        <x:v>0.5699999999999998</x:v>
      </x:c>
      <x:c r="M1040" s="31" t="n">
        <x:v>3.5</x:v>
      </x:c>
      <x:c r="N1040" s="31" t="n">
        <x:v>4.22</x:v>
      </x:c>
      <x:c r="O1040" s="31" t="n">
        <x:f>ABS(M1040-N1040)</x:f>
        <x:v>0.7199999999999998</x:v>
      </x:c>
      <x:c r="P1040" s="31" t="n">
        <x:v>3.34</x:v>
      </x:c>
      <x:c r="Q1040" s="31" t="n">
        <x:v>5.12</x:v>
      </x:c>
      <x:c r="R1040" s="31" t="n">
        <x:f>ABS(P1040-Q1040)</x:f>
        <x:v>1.7800000000000002</x:v>
      </x:c>
      <x:c r="S1040" s="32" t="n">
        <x:v>3068.915294601017</x:v>
      </x:c>
      <x:c r="T1040" s="32" t="n">
        <x:v>4967.7892074483525</x:v>
      </x:c>
      <x:c r="U1040" s="31" t="n">
        <x:f>MAX(S1040/T1040,T1040/S1040)</x:f>
        <x:v>1.6187443218742221</x:v>
      </x:c>
      <x:c r="V1040" s="31" t="n">
        <x:f>L1040*'Controls &amp; Summary'!$B$9+O1040*'Controls &amp; Summary'!$B$10+R1040*'Controls &amp; Summary'!$B$11+U1040*'Controls &amp; Summary'!$B$12</x:f>
        <x:v>4.688744321874222</x:v>
      </x:c>
      <x:c r="W1040" s="31" t="n">
        <x:v>0.43</x:v>
      </x:c>
      <x:c r="X1040" s="31" t="n">
        <x:v>6</x:v>
      </x:c>
      <x:c r="Y1040" s="31" t="n">
        <x:f>((10-MIN(10,MAX(0,X1040)))/10)*'Controls &amp; Summary'!$B$15+((10-MIN(10,MAX(0,W1040)))/10)*'Controls &amp; Summary'!$B$16</x:f>
        <x:v>1.3570000000000002</x:v>
      </x:c>
      <x:c r="Z1040" s="31" t="n">
        <x:f>V1040*Y1040</x:f>
        <x:v>6.362626044783321</x:v>
      </x:c>
      <x:c r="AA1040" s="30" t="str">
        <x:f>IF(Z1040&lt;=I1040,"Peaceful","Hostile")</x:f>
        <x:v>Hostile</x:v>
      </x:c>
      <x:c r="AB1040" s="30" t="str">
        <x:f>IF(Z1040&lt;='Controls &amp; Summary'!$B$6,"Eligible","Blocked")</x:f>
        <x:v>Eligible</x:v>
      </x:c>
      <x:c r="AC1040" s="30" t="str">
        <x:v>2026_ETH</x:v>
      </x:c>
      <x:c r="AD1040" s="30" t="str">
        <x:v>2026_CMR</x:v>
      </x:c>
      <x:c r="AE1040" s="30" t="str">
        <x:v>2026_Cameroon</x:v>
      </x:c>
      <x:c r="AF1040" s="30" t="str">
        <x:v>Explicit capitalClaim</x:v>
      </x:c>
      <x:c r="AG1040" s="30" t="str">
        <x:v>Claim2026_ETH2026_Cameroon</x:v>
      </x:c>
      <x:c r="AH1040" s="30" t="str">
        <x:v>Project_AfricanUnion</x:v>
      </x:c>
    </x:row>
    <x:row r="1041">
      <x:c r="A1041" s="30" t="str">
        <x:v>2026</x:v>
      </x:c>
      <x:c r="B1041" s="30" t="str">
        <x:v>Base game</x:v>
      </x:c>
      <x:c r="C1041" s="30" t="str">
        <x:v>Ethiopia</x:v>
      </x:c>
      <x:c r="D1041" s="30" t="str">
        <x:v>Central African Republic</x:v>
      </x:c>
      <x:c r="E1041" s="30" t="str">
        <x:v>Project unlock</x:v>
      </x:c>
      <x:c r="F1041" s="30" t="str">
        <x:v>African Union</x:v>
      </x:c>
      <x:c r="G1041" s="30" t="str">
        <x:v>No</x:v>
      </x:c>
      <x:c r="H1041" s="30" t="str">
        <x:v>Ordinary claim</x:v>
      </x:c>
      <x:c r="I1041" s="31" t="n">
        <x:f>IF(G1041="Yes",'Controls &amp; Summary'!$B$5,'Controls &amp; Summary'!$B$4)</x:f>
        <x:v>6</x:v>
      </x:c>
      <x:c r="J1041" s="31" t="n">
        <x:v>3.13</x:v>
      </x:c>
      <x:c r="K1041" s="31" t="n">
        <x:v>1.18</x:v>
      </x:c>
      <x:c r="L1041" s="31" t="n">
        <x:f>ABS(J1041-K1041)</x:f>
        <x:v>1.95</x:v>
      </x:c>
      <x:c r="M1041" s="31" t="n">
        <x:v>3.5</x:v>
      </x:c>
      <x:c r="N1041" s="31" t="n">
        <x:v>4.3</x:v>
      </x:c>
      <x:c r="O1041" s="31" t="n">
        <x:f>ABS(M1041-N1041)</x:f>
        <x:v>0.7999999999999998</x:v>
      </x:c>
      <x:c r="P1041" s="31" t="n">
        <x:v>3.34</x:v>
      </x:c>
      <x:c r="Q1041" s="31" t="n">
        <x:v>3.37</x:v>
      </x:c>
      <x:c r="R1041" s="31" t="n">
        <x:f>ABS(P1041-Q1041)</x:f>
        <x:v>0.03000000000000025</x:v>
      </x:c>
      <x:c r="S1041" s="32" t="n">
        <x:v>3068.915294601017</x:v>
      </x:c>
      <x:c r="T1041" s="32" t="n">
        <x:v>1132.159697237262</x:v>
      </x:c>
      <x:c r="U1041" s="31" t="n">
        <x:f>MAX(S1041/T1041,T1041/S1041)</x:f>
        <x:v>2.7106735048861905</x:v>
      </x:c>
      <x:c r="V1041" s="31" t="n">
        <x:f>L1041*'Controls &amp; Summary'!$B$9+O1041*'Controls &amp; Summary'!$B$10+R1041*'Controls &amp; Summary'!$B$11+U1041*'Controls &amp; Summary'!$B$12</x:f>
        <x:v>5.490673504886191</x:v>
      </x:c>
      <x:c r="W1041" s="31" t="n">
        <x:v>0.43</x:v>
      </x:c>
      <x:c r="X1041" s="31" t="n">
        <x:v>4</x:v>
      </x:c>
      <x:c r="Y1041" s="31" t="n">
        <x:f>((10-MIN(10,MAX(0,X1041)))/10)*'Controls &amp; Summary'!$B$15+((10-MIN(10,MAX(0,W1041)))/10)*'Controls &amp; Summary'!$B$16</x:f>
        <x:v>1.557</x:v>
      </x:c>
      <x:c r="Z1041" s="31" t="n">
        <x:f>V1041*Y1041</x:f>
        <x:v>8.548978647107798</x:v>
      </x:c>
      <x:c r="AA1041" s="30" t="str">
        <x:f>IF(Z1041&lt;=I1041,"Peaceful","Hostile")</x:f>
        <x:v>Hostile</x:v>
      </x:c>
      <x:c r="AB1041" s="30" t="str">
        <x:f>IF(Z1041&lt;='Controls &amp; Summary'!$B$6,"Eligible","Blocked")</x:f>
        <x:v>Eligible</x:v>
      </x:c>
      <x:c r="AC1041" s="30" t="str">
        <x:v>2026_ETH</x:v>
      </x:c>
      <x:c r="AD1041" s="30" t="str">
        <x:v>2026_CAF</x:v>
      </x:c>
      <x:c r="AE1041" s="30" t="str">
        <x:v>2026_CentralAfricanRepublic</x:v>
      </x:c>
      <x:c r="AF1041" s="30" t="str">
        <x:v>Explicit capitalClaim</x:v>
      </x:c>
      <x:c r="AG1041" s="30" t="str">
        <x:v>Claim2026_ETH2026_CentralAfricanRepublic</x:v>
      </x:c>
      <x:c r="AH1041" s="30" t="str">
        <x:v>Project_AfricanUnion</x:v>
      </x:c>
    </x:row>
    <x:row r="1042">
      <x:c r="A1042" s="30" t="str">
        <x:v>2026</x:v>
      </x:c>
      <x:c r="B1042" s="30" t="str">
        <x:v>Base game</x:v>
      </x:c>
      <x:c r="C1042" s="30" t="str">
        <x:v>Ethiopia</x:v>
      </x:c>
      <x:c r="D1042" s="30" t="str">
        <x:v>Chad</x:v>
      </x:c>
      <x:c r="E1042" s="30" t="str">
        <x:v>Project unlock</x:v>
      </x:c>
      <x:c r="F1042" s="30" t="str">
        <x:v>African Union</x:v>
      </x:c>
      <x:c r="G1042" s="30" t="str">
        <x:v>No</x:v>
      </x:c>
      <x:c r="H1042" s="30" t="str">
        <x:v>Ordinary claim</x:v>
      </x:c>
      <x:c r="I1042" s="31" t="n">
        <x:f>IF(G1042="Yes",'Controls &amp; Summary'!$B$5,'Controls &amp; Summary'!$B$4)</x:f>
        <x:v>6</x:v>
      </x:c>
      <x:c r="J1042" s="31" t="n">
        <x:v>3.13</x:v>
      </x:c>
      <x:c r="K1042" s="31" t="n">
        <x:v>1.76</x:v>
      </x:c>
      <x:c r="L1042" s="31" t="n">
        <x:f>ABS(J1042-K1042)</x:f>
        <x:v>1.3699999999999999</x:v>
      </x:c>
      <x:c r="M1042" s="31" t="n">
        <x:v>3.5</x:v>
      </x:c>
      <x:c r="N1042" s="31" t="n">
        <x:v>3.74</x:v>
      </x:c>
      <x:c r="O1042" s="31" t="n">
        <x:f>ABS(M1042-N1042)</x:f>
        <x:v>0.2400000000000002</x:v>
      </x:c>
      <x:c r="P1042" s="31" t="n">
        <x:v>3.34</x:v>
      </x:c>
      <x:c r="Q1042" s="31" t="n">
        <x:v>3.06</x:v>
      </x:c>
      <x:c r="R1042" s="31" t="n">
        <x:f>ABS(P1042-Q1042)</x:f>
        <x:v>0.2799999999999998</x:v>
      </x:c>
      <x:c r="S1042" s="32" t="n">
        <x:v>3068.915294601017</x:v>
      </x:c>
      <x:c r="T1042" s="32" t="n">
        <x:v>2312.326591646344</x:v>
      </x:c>
      <x:c r="U1042" s="31" t="n">
        <x:f>MAX(S1042/T1042,T1042/S1042)</x:f>
        <x:v>1.3271980288978094</x:v>
      </x:c>
      <x:c r="V1042" s="31" t="n">
        <x:f>L1042*'Controls &amp; Summary'!$B$9+O1042*'Controls &amp; Summary'!$B$10+R1042*'Controls &amp; Summary'!$B$11+U1042*'Controls &amp; Summary'!$B$12</x:f>
        <x:v>3.2171980288978093</x:v>
      </x:c>
      <x:c r="W1042" s="31" t="n">
        <x:v>0.43</x:v>
      </x:c>
      <x:c r="X1042" s="31" t="n">
        <x:v>4</x:v>
      </x:c>
      <x:c r="Y1042" s="31" t="n">
        <x:f>((10-MIN(10,MAX(0,X1042)))/10)*'Controls &amp; Summary'!$B$15+((10-MIN(10,MAX(0,W1042)))/10)*'Controls &amp; Summary'!$B$16</x:f>
        <x:v>1.557</x:v>
      </x:c>
      <x:c r="Z1042" s="31" t="n">
        <x:f>V1042*Y1042</x:f>
        <x:v>5.0091773309938885</x:v>
      </x:c>
      <x:c r="AA1042" s="30" t="str">
        <x:f>IF(Z1042&lt;=I1042,"Peaceful","Hostile")</x:f>
        <x:v>Peaceful</x:v>
      </x:c>
      <x:c r="AB1042" s="30" t="str">
        <x:f>IF(Z1042&lt;='Controls &amp; Summary'!$B$6,"Eligible","Blocked")</x:f>
        <x:v>Eligible</x:v>
      </x:c>
      <x:c r="AC1042" s="30" t="str">
        <x:v>2026_ETH</x:v>
      </x:c>
      <x:c r="AD1042" s="30" t="str">
        <x:v>2026_TCD</x:v>
      </x:c>
      <x:c r="AE1042" s="30" t="str">
        <x:v>2026_Chad</x:v>
      </x:c>
      <x:c r="AF1042" s="30" t="str">
        <x:v>Explicit capitalClaim</x:v>
      </x:c>
      <x:c r="AG1042" s="30" t="str">
        <x:v>Claim2026_ETH2026_Chad</x:v>
      </x:c>
      <x:c r="AH1042" s="30" t="str">
        <x:v>Project_AfricanUnion</x:v>
      </x:c>
    </x:row>
    <x:row r="1043">
      <x:c r="A1043" s="30" t="str">
        <x:v>2026</x:v>
      </x:c>
      <x:c r="B1043" s="30" t="str">
        <x:v>Base game</x:v>
      </x:c>
      <x:c r="C1043" s="30" t="str">
        <x:v>Ethiopia</x:v>
      </x:c>
      <x:c r="D1043" s="30" t="str">
        <x:v>Comoros</x:v>
      </x:c>
      <x:c r="E1043" s="30" t="str">
        <x:v>Project unlock</x:v>
      </x:c>
      <x:c r="F1043" s="30" t="str">
        <x:v>African Union</x:v>
      </x:c>
      <x:c r="G1043" s="30" t="str">
        <x:v>No</x:v>
      </x:c>
      <x:c r="H1043" s="30" t="str">
        <x:v>Ordinary claim</x:v>
      </x:c>
      <x:c r="I1043" s="31" t="n">
        <x:f>IF(G1043="Yes",'Controls &amp; Summary'!$B$5,'Controls &amp; Summary'!$B$4)</x:f>
        <x:v>6</x:v>
      </x:c>
      <x:c r="J1043" s="31" t="n">
        <x:v>3.13</x:v>
      </x:c>
      <x:c r="K1043" s="31" t="n">
        <x:v>2.81</x:v>
      </x:c>
      <x:c r="L1043" s="31" t="n">
        <x:f>ABS(J1043-K1043)</x:f>
        <x:v>0.31999999999999984</x:v>
      </x:c>
      <x:c r="M1043" s="31" t="n">
        <x:v>3.5</x:v>
      </x:c>
      <x:c r="N1043" s="31" t="n">
        <x:v>4.53</x:v>
      </x:c>
      <x:c r="O1043" s="31" t="n">
        <x:f>ABS(M1043-N1043)</x:f>
        <x:v>1.0300000000000002</x:v>
      </x:c>
      <x:c r="P1043" s="31" t="n">
        <x:v>3.34</x:v>
      </x:c>
      <x:c r="Q1043" s="31" t="n">
        <x:v>5.6</x:v>
      </x:c>
      <x:c r="R1043" s="31" t="n">
        <x:f>ABS(P1043-Q1043)</x:f>
        <x:v>2.26</x:v>
      </x:c>
      <x:c r="S1043" s="32" t="n">
        <x:v>3068.915294601017</x:v>
      </x:c>
      <x:c r="T1043" s="32" t="n">
        <x:v>3577.7132623663806</x:v>
      </x:c>
      <x:c r="U1043" s="31" t="n">
        <x:f>MAX(S1043/T1043,T1043/S1043)</x:f>
        <x:v>1.1657908149698577</x:v>
      </x:c>
      <x:c r="V1043" s="31" t="n">
        <x:f>L1043*'Controls &amp; Summary'!$B$9+O1043*'Controls &amp; Summary'!$B$10+R1043*'Controls &amp; Summary'!$B$11+U1043*'Controls &amp; Summary'!$B$12</x:f>
        <x:v>4.775790814969858</x:v>
      </x:c>
      <x:c r="W1043" s="31" t="n">
        <x:v>0.43</x:v>
      </x:c>
      <x:c r="X1043" s="31" t="n">
        <x:v>1</x:v>
      </x:c>
      <x:c r="Y1043" s="31" t="n">
        <x:f>((10-MIN(10,MAX(0,X1043)))/10)*'Controls &amp; Summary'!$B$15+((10-MIN(10,MAX(0,W1043)))/10)*'Controls &amp; Summary'!$B$16</x:f>
        <x:v>1.8570000000000002</x:v>
      </x:c>
      <x:c r="Z1043" s="31" t="n">
        <x:f>V1043*Y1043</x:f>
        <x:v>8.868643543399026</x:v>
      </x:c>
      <x:c r="AA1043" s="30" t="str">
        <x:f>IF(Z1043&lt;=I1043,"Peaceful","Hostile")</x:f>
        <x:v>Hostile</x:v>
      </x:c>
      <x:c r="AB1043" s="30" t="str">
        <x:f>IF(Z1043&lt;='Controls &amp; Summary'!$B$6,"Eligible","Blocked")</x:f>
        <x:v>Eligible</x:v>
      </x:c>
      <x:c r="AC1043" s="30" t="str">
        <x:v>2026_ETH</x:v>
      </x:c>
      <x:c r="AD1043" s="30" t="str">
        <x:v>2026_RTK</x:v>
      </x:c>
      <x:c r="AE1043" s="30" t="str">
        <x:v>2026_Ratnakara</x:v>
      </x:c>
      <x:c r="AF1043" s="30" t="str">
        <x:v>Explicit capitalClaim</x:v>
      </x:c>
      <x:c r="AG1043" s="30" t="str">
        <x:v>Claim2026_ETH2026_Ratnakara</x:v>
      </x:c>
      <x:c r="AH1043" s="30" t="str">
        <x:v>Project_AfricanUnion</x:v>
      </x:c>
    </x:row>
    <x:row r="1044">
      <x:c r="A1044" s="30" t="str">
        <x:v>2026</x:v>
      </x:c>
      <x:c r="B1044" s="30" t="str">
        <x:v>Base game</x:v>
      </x:c>
      <x:c r="C1044" s="30" t="str">
        <x:v>Ethiopia</x:v>
      </x:c>
      <x:c r="D1044" s="30" t="str">
        <x:v>Congo</x:v>
      </x:c>
      <x:c r="E1044" s="30" t="str">
        <x:v>Project unlock</x:v>
      </x:c>
      <x:c r="F1044" s="30" t="str">
        <x:v>African Union</x:v>
      </x:c>
      <x:c r="G1044" s="30" t="str">
        <x:v>No</x:v>
      </x:c>
      <x:c r="H1044" s="30" t="str">
        <x:v>Ordinary claim</x:v>
      </x:c>
      <x:c r="I1044" s="31" t="n">
        <x:f>IF(G1044="Yes",'Controls &amp; Summary'!$B$5,'Controls &amp; Summary'!$B$4)</x:f>
        <x:v>6</x:v>
      </x:c>
      <x:c r="J1044" s="31" t="n">
        <x:v>3.13</x:v>
      </x:c>
      <x:c r="K1044" s="31" t="n">
        <x:v>1.92</x:v>
      </x:c>
      <x:c r="L1044" s="31" t="n">
        <x:f>ABS(J1044-K1044)</x:f>
        <x:v>1.21</x:v>
      </x:c>
      <x:c r="M1044" s="31" t="n">
        <x:v>3.5</x:v>
      </x:c>
      <x:c r="N1044" s="31" t="n">
        <x:v>4.47</x:v>
      </x:c>
      <x:c r="O1044" s="31" t="n">
        <x:f>ABS(M1044-N1044)</x:f>
        <x:v>0.9699999999999998</x:v>
      </x:c>
      <x:c r="P1044" s="31" t="n">
        <x:v>3.34</x:v>
      </x:c>
      <x:c r="Q1044" s="31" t="n">
        <x:v>5.4</x:v>
      </x:c>
      <x:c r="R1044" s="31" t="n">
        <x:f>ABS(P1044-Q1044)</x:f>
        <x:v>2.0600000000000005</x:v>
      </x:c>
      <x:c r="S1044" s="32" t="n">
        <x:v>3068.915294601017</x:v>
      </x:c>
      <x:c r="T1044" s="32" t="n">
        <x:v>1517.0933451626258</x:v>
      </x:c>
      <x:c r="U1044" s="31" t="n">
        <x:f>MAX(S1044/T1044,T1044/S1044)</x:f>
        <x:v>2.022891540844537</x:v>
      </x:c>
      <x:c r="V1044" s="31" t="n">
        <x:f>L1044*'Controls &amp; Summary'!$B$9+O1044*'Controls &amp; Summary'!$B$10+R1044*'Controls &amp; Summary'!$B$11+U1044*'Controls &amp; Summary'!$B$12</x:f>
        <x:v>6.262891540844537</x:v>
      </x:c>
      <x:c r="W1044" s="31" t="n">
        <x:v>0.43</x:v>
      </x:c>
      <x:c r="X1044" s="31" t="n">
        <x:v>5.5</x:v>
      </x:c>
      <x:c r="Y1044" s="31" t="n">
        <x:f>((10-MIN(10,MAX(0,X1044)))/10)*'Controls &amp; Summary'!$B$15+((10-MIN(10,MAX(0,W1044)))/10)*'Controls &amp; Summary'!$B$16</x:f>
        <x:v>1.407</x:v>
      </x:c>
      <x:c r="Z1044" s="31" t="n">
        <x:f>V1044*Y1044</x:f>
        <x:v>8.811888397968264</x:v>
      </x:c>
      <x:c r="AA1044" s="30" t="str">
        <x:f>IF(Z1044&lt;=I1044,"Peaceful","Hostile")</x:f>
        <x:v>Hostile</x:v>
      </x:c>
      <x:c r="AB1044" s="30" t="str">
        <x:f>IF(Z1044&lt;='Controls &amp; Summary'!$B$6,"Eligible","Blocked")</x:f>
        <x:v>Eligible</x:v>
      </x:c>
      <x:c r="AC1044" s="30" t="str">
        <x:v>2026_ETH</x:v>
      </x:c>
      <x:c r="AD1044" s="30" t="str">
        <x:v>2026_COD</x:v>
      </x:c>
      <x:c r="AE1044" s="30" t="str">
        <x:v>2026_Kinshasa</x:v>
      </x:c>
      <x:c r="AF1044" s="30" t="str">
        <x:v>Explicit capitalClaim</x:v>
      </x:c>
      <x:c r="AG1044" s="30" t="str">
        <x:v>Claim2026_ETH2026_Kinshasa</x:v>
      </x:c>
      <x:c r="AH1044" s="30" t="str">
        <x:v>Project_AfricanUnion</x:v>
      </x:c>
    </x:row>
    <x:row r="1045">
      <x:c r="A1045" s="30" t="str">
        <x:v>2026</x:v>
      </x:c>
      <x:c r="B1045" s="30" t="str">
        <x:v>Base game</x:v>
      </x:c>
      <x:c r="C1045" s="30" t="str">
        <x:v>Ethiopia</x:v>
      </x:c>
      <x:c r="D1045" s="30" t="str">
        <x:v>Djibouti</x:v>
      </x:c>
      <x:c r="E1045" s="30" t="str">
        <x:v>Project unlock</x:v>
      </x:c>
      <x:c r="F1045" s="30" t="str">
        <x:v>African Union</x:v>
      </x:c>
      <x:c r="G1045" s="30" t="str">
        <x:v>No</x:v>
      </x:c>
      <x:c r="H1045" s="30" t="str">
        <x:v>Ordinary claim</x:v>
      </x:c>
      <x:c r="I1045" s="31" t="n">
        <x:f>IF(G1045="Yes",'Controls &amp; Summary'!$B$5,'Controls &amp; Summary'!$B$4)</x:f>
        <x:v>6</x:v>
      </x:c>
      <x:c r="J1045" s="31" t="n">
        <x:v>3.13</x:v>
      </x:c>
      <x:c r="K1045" s="31" t="n">
        <x:v>2.7</x:v>
      </x:c>
      <x:c r="L1045" s="31" t="n">
        <x:f>ABS(J1045-K1045)</x:f>
        <x:v>0.4299999999999997</x:v>
      </x:c>
      <x:c r="M1045" s="31" t="n">
        <x:v>3.5</x:v>
      </x:c>
      <x:c r="N1045" s="31" t="n">
        <x:v>4.16</x:v>
      </x:c>
      <x:c r="O1045" s="31" t="n">
        <x:f>ABS(M1045-N1045)</x:f>
        <x:v>0.6600000000000001</x:v>
      </x:c>
      <x:c r="P1045" s="31" t="n">
        <x:v>3.34</x:v>
      </x:c>
      <x:c r="Q1045" s="31" t="n">
        <x:v>3.05</x:v>
      </x:c>
      <x:c r="R1045" s="31" t="n">
        <x:f>ABS(P1045-Q1045)</x:f>
        <x:v>0.29000000000000004</x:v>
      </x:c>
      <x:c r="S1045" s="32" t="n">
        <x:v>3068.915294601017</x:v>
      </x:c>
      <x:c r="T1045" s="32" t="n">
        <x:v>7294.082337120319</x:v>
      </x:c>
      <x:c r="U1045" s="31" t="n">
        <x:f>MAX(S1045/T1045,T1045/S1045)</x:f>
        <x:v>2.376762353119494</x:v>
      </x:c>
      <x:c r="V1045" s="31" t="n">
        <x:f>L1045*'Controls &amp; Summary'!$B$9+O1045*'Controls &amp; Summary'!$B$10+R1045*'Controls &amp; Summary'!$B$11+U1045*'Controls &amp; Summary'!$B$12</x:f>
        <x:v>3.756762353119494</x:v>
      </x:c>
      <x:c r="W1045" s="31" t="n">
        <x:v>0.43</x:v>
      </x:c>
      <x:c r="X1045" s="31" t="n">
        <x:v>1</x:v>
      </x:c>
      <x:c r="Y1045" s="31" t="n">
        <x:f>((10-MIN(10,MAX(0,X1045)))/10)*'Controls &amp; Summary'!$B$15+((10-MIN(10,MAX(0,W1045)))/10)*'Controls &amp; Summary'!$B$16</x:f>
        <x:v>1.8570000000000002</x:v>
      </x:c>
      <x:c r="Z1045" s="31" t="n">
        <x:f>V1045*Y1045</x:f>
        <x:v>6.9763076897429</x:v>
      </x:c>
      <x:c r="AA1045" s="30" t="str">
        <x:f>IF(Z1045&lt;=I1045,"Peaceful","Hostile")</x:f>
        <x:v>Hostile</x:v>
      </x:c>
      <x:c r="AB1045" s="30" t="str">
        <x:f>IF(Z1045&lt;='Controls &amp; Summary'!$B$6,"Eligible","Blocked")</x:f>
        <x:v>Eligible</x:v>
      </x:c>
      <x:c r="AC1045" s="30" t="str">
        <x:v>2026_ETH</x:v>
      </x:c>
      <x:c r="AD1045" s="30" t="str">
        <x:v>2026_DJI</x:v>
      </x:c>
      <x:c r="AE1045" s="30" t="str">
        <x:v>2026_Djibouti</x:v>
      </x:c>
      <x:c r="AF1045" s="30" t="str">
        <x:v>Explicit capitalClaim</x:v>
      </x:c>
      <x:c r="AG1045" s="30" t="str">
        <x:v>Claim2026_ETH2026_Djibouti</x:v>
      </x:c>
      <x:c r="AH1045" s="30" t="str">
        <x:v>Project_AfricanUnion</x:v>
      </x:c>
    </x:row>
    <x:row r="1046">
      <x:c r="A1046" s="30" t="str">
        <x:v>2026</x:v>
      </x:c>
      <x:c r="B1046" s="30" t="str">
        <x:v>Base game</x:v>
      </x:c>
      <x:c r="C1046" s="30" t="str">
        <x:v>Ethiopia</x:v>
      </x:c>
      <x:c r="D1046" s="30" t="str">
        <x:v>Egypt</x:v>
      </x:c>
      <x:c r="E1046" s="30" t="str">
        <x:v>Project unlock</x:v>
      </x:c>
      <x:c r="F1046" s="30" t="str">
        <x:v>Great African Union</x:v>
      </x:c>
      <x:c r="G1046" s="30" t="str">
        <x:v>No</x:v>
      </x:c>
      <x:c r="H1046" s="30" t="str">
        <x:v>Ordinary claim</x:v>
      </x:c>
      <x:c r="I1046" s="31" t="n">
        <x:f>IF(G1046="Yes",'Controls &amp; Summary'!$B$5,'Controls &amp; Summary'!$B$4)</x:f>
        <x:v>6</x:v>
      </x:c>
      <x:c r="J1046" s="31" t="n">
        <x:v>3.13</x:v>
      </x:c>
      <x:c r="K1046" s="31" t="n">
        <x:v>2.79</x:v>
      </x:c>
      <x:c r="L1046" s="31" t="n">
        <x:f>ABS(J1046-K1046)</x:f>
        <x:v>0.33999999999999986</x:v>
      </x:c>
      <x:c r="M1046" s="31" t="n">
        <x:v>3.5</x:v>
      </x:c>
      <x:c r="N1046" s="31" t="n">
        <x:v>3.19</x:v>
      </x:c>
      <x:c r="O1046" s="31" t="n">
        <x:f>ABS(M1046-N1046)</x:f>
        <x:v>0.31000000000000005</x:v>
      </x:c>
      <x:c r="P1046" s="31" t="n">
        <x:v>3.34</x:v>
      </x:c>
      <x:c r="Q1046" s="31" t="n">
        <x:v>6.86</x:v>
      </x:c>
      <x:c r="R1046" s="31" t="n">
        <x:f>ABS(P1046-Q1046)</x:f>
        <x:v>3.5200000000000005</x:v>
      </x:c>
      <x:c r="S1046" s="32" t="n">
        <x:v>3068.915294601017</x:v>
      </x:c>
      <x:c r="T1046" s="32" t="n">
        <x:v>17449.672411614625</x:v>
      </x:c>
      <x:c r="U1046" s="31" t="n">
        <x:f>MAX(S1046/T1046,T1046/S1046)</x:f>
        <x:v>5.685941362511023</x:v>
      </x:c>
      <x:c r="V1046" s="31" t="n">
        <x:f>L1046*'Controls &amp; Summary'!$B$9+O1046*'Controls &amp; Summary'!$B$10+R1046*'Controls &amp; Summary'!$B$11+U1046*'Controls &amp; Summary'!$B$12</x:f>
        <x:v>9.855941362511022</x:v>
      </x:c>
      <x:c r="W1046" s="31" t="n">
        <x:v>0.43</x:v>
      </x:c>
      <x:c r="X1046" s="31" t="n">
        <x:v>1</x:v>
      </x:c>
      <x:c r="Y1046" s="31" t="n">
        <x:f>((10-MIN(10,MAX(0,X1046)))/10)*'Controls &amp; Summary'!$B$15+((10-MIN(10,MAX(0,W1046)))/10)*'Controls &amp; Summary'!$B$16</x:f>
        <x:v>1.8570000000000002</x:v>
      </x:c>
      <x:c r="Z1046" s="31" t="n">
        <x:f>V1046*Y1046</x:f>
        <x:v>18.30248311018297</x:v>
      </x:c>
      <x:c r="AA1046" s="30" t="str">
        <x:f>IF(Z1046&lt;=I1046,"Peaceful","Hostile")</x:f>
        <x:v>Hostile</x:v>
      </x:c>
      <x:c r="AB1046" s="30" t="str">
        <x:f>IF(Z1046&lt;='Controls &amp; Summary'!$B$6,"Eligible","Blocked")</x:f>
        <x:v>Blocked</x:v>
      </x:c>
      <x:c r="AC1046" s="30" t="str">
        <x:v>2026_ETH</x:v>
      </x:c>
      <x:c r="AD1046" s="30" t="str">
        <x:v>2026_EGY</x:v>
      </x:c>
      <x:c r="AE1046" s="30" t="str">
        <x:v>2026_Cairo</x:v>
      </x:c>
      <x:c r="AF1046" s="30" t="str">
        <x:v>Explicit capitalClaim</x:v>
      </x:c>
      <x:c r="AG1046" s="30" t="str">
        <x:v>Claim2026_ETH2026_Cairo</x:v>
      </x:c>
      <x:c r="AH1046" s="30" t="str">
        <x:v>Project_GreatAfricanUnion</x:v>
      </x:c>
    </x:row>
    <x:row r="1047">
      <x:c r="A1047" s="30" t="str">
        <x:v>2026</x:v>
      </x:c>
      <x:c r="B1047" s="30" t="str">
        <x:v>Base game</x:v>
      </x:c>
      <x:c r="C1047" s="30" t="str">
        <x:v>Ethiopia</x:v>
      </x:c>
      <x:c r="D1047" s="30" t="str">
        <x:v>Equatorial Guinea</x:v>
      </x:c>
      <x:c r="E1047" s="30" t="str">
        <x:v>Project unlock</x:v>
      </x:c>
      <x:c r="F1047" s="30" t="str">
        <x:v>African Union</x:v>
      </x:c>
      <x:c r="G1047" s="30" t="str">
        <x:v>No</x:v>
      </x:c>
      <x:c r="H1047" s="30" t="str">
        <x:v>Ordinary claim</x:v>
      </x:c>
      <x:c r="I1047" s="31" t="n">
        <x:f>IF(G1047="Yes",'Controls &amp; Summary'!$B$5,'Controls &amp; Summary'!$B$4)</x:f>
        <x:v>6</x:v>
      </x:c>
      <x:c r="J1047" s="31" t="n">
        <x:v>3.13</x:v>
      </x:c>
      <x:c r="K1047" s="31" t="n">
        <x:v>1.92</x:v>
      </x:c>
      <x:c r="L1047" s="31" t="n">
        <x:f>ABS(J1047-K1047)</x:f>
        <x:v>1.21</x:v>
      </x:c>
      <x:c r="M1047" s="31" t="n">
        <x:v>3.5</x:v>
      </x:c>
      <x:c r="N1047" s="31" t="n">
        <x:v>3.85</x:v>
      </x:c>
      <x:c r="O1047" s="31" t="n">
        <x:f>ABS(M1047-N1047)</x:f>
        <x:v>0.3500000000000001</x:v>
      </x:c>
      <x:c r="P1047" s="31" t="n">
        <x:v>3.34</x:v>
      </x:c>
      <x:c r="Q1047" s="31" t="n">
        <x:v>6.12</x:v>
      </x:c>
      <x:c r="R1047" s="31" t="n">
        <x:f>ABS(P1047-Q1047)</x:f>
        <x:v>2.7800000000000002</x:v>
      </x:c>
      <x:c r="S1047" s="32" t="n">
        <x:v>3068.915294601017</x:v>
      </x:c>
      <x:c r="T1047" s="32" t="n">
        <x:v>14634.975217539411</x:v>
      </x:c>
      <x:c r="U1047" s="31" t="n">
        <x:f>MAX(S1047/T1047,T1047/S1047)</x:f>
        <x:v>4.768777829510629</x:v>
      </x:c>
      <x:c r="V1047" s="31" t="n">
        <x:f>L1047*'Controls &amp; Summary'!$B$9+O1047*'Controls &amp; Summary'!$B$10+R1047*'Controls &amp; Summary'!$B$11+U1047*'Controls &amp; Summary'!$B$12</x:f>
        <x:v>9.108777829510629</x:v>
      </x:c>
      <x:c r="W1047" s="31" t="n">
        <x:v>0.43</x:v>
      </x:c>
      <x:c r="X1047" s="31" t="n">
        <x:v>0</x:v>
      </x:c>
      <x:c r="Y1047" s="31" t="n">
        <x:f>((10-MIN(10,MAX(0,X1047)))/10)*'Controls &amp; Summary'!$B$15+((10-MIN(10,MAX(0,W1047)))/10)*'Controls &amp; Summary'!$B$16</x:f>
        <x:v>1.957</x:v>
      </x:c>
      <x:c r="Z1047" s="31" t="n">
        <x:f>V1047*Y1047</x:f>
        <x:v>17.8258782123523</x:v>
      </x:c>
      <x:c r="AA1047" s="30" t="str">
        <x:f>IF(Z1047&lt;=I1047,"Peaceful","Hostile")</x:f>
        <x:v>Hostile</x:v>
      </x:c>
      <x:c r="AB1047" s="30" t="str">
        <x:f>IF(Z1047&lt;='Controls &amp; Summary'!$B$6,"Eligible","Blocked")</x:f>
        <x:v>Blocked</x:v>
      </x:c>
      <x:c r="AC1047" s="30" t="str">
        <x:v>2026_ETH</x:v>
      </x:c>
      <x:c r="AD1047" s="30" t="str">
        <x:v>2026_EQG</x:v>
      </x:c>
      <x:c r="AE1047" s="30" t="str">
        <x:v>2026_EquatorialGuinea</x:v>
      </x:c>
      <x:c r="AF1047" s="30" t="str">
        <x:v>Explicit capitalClaim</x:v>
      </x:c>
      <x:c r="AG1047" s="30" t="str">
        <x:v>Claim2026_ETH2026_EquatorialGuinea</x:v>
      </x:c>
      <x:c r="AH1047" s="30" t="str">
        <x:v>Project_AfricanUnion</x:v>
      </x:c>
    </x:row>
    <x:row r="1048">
      <x:c r="A1048" s="30" t="str">
        <x:v>2026</x:v>
      </x:c>
      <x:c r="B1048" s="30" t="str">
        <x:v>Base game</x:v>
      </x:c>
      <x:c r="C1048" s="30" t="str">
        <x:v>Ethiopia</x:v>
      </x:c>
      <x:c r="D1048" s="30" t="str">
        <x:v>Eritrea</x:v>
      </x:c>
      <x:c r="E1048" s="30" t="str">
        <x:v>Starting claim</x:v>
      </x:c>
      <x:c r="F1048" s="30" t="str"/>
      <x:c r="G1048" s="30" t="str">
        <x:v>Yes</x:v>
      </x:c>
      <x:c r="H1048" s="30" t="str">
        <x:v>Template hostileClaim</x:v>
      </x:c>
      <x:c r="I1048" s="31" t="n">
        <x:f>IF(G1048="Yes",'Controls &amp; Summary'!$B$5,'Controls &amp; Summary'!$B$4)</x:f>
        <x:v>3</x:v>
      </x:c>
      <x:c r="J1048" s="31" t="n">
        <x:v>3.13</x:v>
      </x:c>
      <x:c r="K1048" s="31" t="n">
        <x:v>1.97</x:v>
      </x:c>
      <x:c r="L1048" s="31" t="n">
        <x:f>ABS(J1048-K1048)</x:f>
        <x:v>1.16</x:v>
      </x:c>
      <x:c r="M1048" s="31" t="n">
        <x:v>3.5</x:v>
      </x:c>
      <x:c r="N1048" s="31" t="n">
        <x:v>3.76</x:v>
      </x:c>
      <x:c r="O1048" s="31" t="n">
        <x:f>ABS(M1048-N1048)</x:f>
        <x:v>0.2599999999999998</x:v>
      </x:c>
      <x:c r="P1048" s="31" t="n">
        <x:v>3.34</x:v>
      </x:c>
      <x:c r="Q1048" s="31" t="n">
        <x:v>3.7</x:v>
      </x:c>
      <x:c r="R1048" s="31" t="n">
        <x:f>ABS(P1048-Q1048)</x:f>
        <x:v>0.3600000000000003</x:v>
      </x:c>
      <x:c r="S1048" s="32" t="n">
        <x:v>3068.915294601017</x:v>
      </x:c>
      <x:c r="T1048" s="32" t="n">
        <x:v>1530.520391596421</x:v>
      </x:c>
      <x:c r="U1048" s="31" t="n">
        <x:f>MAX(S1048/T1048,T1048/S1048)</x:f>
        <x:v>2.005144989541735</x:v>
      </x:c>
      <x:c r="V1048" s="31" t="n">
        <x:f>L1048*'Controls &amp; Summary'!$B$9+O1048*'Controls &amp; Summary'!$B$10+R1048*'Controls &amp; Summary'!$B$11+U1048*'Controls &amp; Summary'!$B$12</x:f>
        <x:v>3.7851449895417346</x:v>
      </x:c>
      <x:c r="W1048" s="31" t="n">
        <x:v>0.43</x:v>
      </x:c>
      <x:c r="X1048" s="31" t="n">
        <x:v>0.25</x:v>
      </x:c>
      <x:c r="Y1048" s="31" t="n">
        <x:f>((10-MIN(10,MAX(0,X1048)))/10)*'Controls &amp; Summary'!$B$15+((10-MIN(10,MAX(0,W1048)))/10)*'Controls &amp; Summary'!$B$16</x:f>
        <x:v>1.932</x:v>
      </x:c>
      <x:c r="Z1048" s="31" t="n">
        <x:f>V1048*Y1048</x:f>
        <x:v>7.312900119794631</x:v>
      </x:c>
      <x:c r="AA1048" s="30" t="str">
        <x:f>IF(Z1048&lt;=I1048,"Peaceful","Hostile")</x:f>
        <x:v>Hostile</x:v>
      </x:c>
      <x:c r="AB1048" s="30" t="str">
        <x:f>IF(Z1048&lt;='Controls &amp; Summary'!$B$6,"Eligible","Blocked")</x:f>
        <x:v>Eligible</x:v>
      </x:c>
      <x:c r="AC1048" s="30" t="str">
        <x:v>2026_ETH</x:v>
      </x:c>
      <x:c r="AD1048" s="30" t="str">
        <x:v>2026_ERI</x:v>
      </x:c>
      <x:c r="AE1048" s="30" t="str">
        <x:v>2026_Eritrea</x:v>
      </x:c>
      <x:c r="AF1048" s="30" t="str">
        <x:v>Explicit capitalClaim</x:v>
      </x:c>
      <x:c r="AG1048" s="30" t="str">
        <x:v>Claim2026_ETH2026_Eritrea</x:v>
      </x:c>
      <x:c r="AH1048" s="30" t="str"/>
    </x:row>
    <x:row r="1049">
      <x:c r="A1049" s="30" t="str">
        <x:v>2026</x:v>
      </x:c>
      <x:c r="B1049" s="30" t="str">
        <x:v>Base game</x:v>
      </x:c>
      <x:c r="C1049" s="30" t="str">
        <x:v>Ethiopia</x:v>
      </x:c>
      <x:c r="D1049" s="30" t="str">
        <x:v>Eswatini</x:v>
      </x:c>
      <x:c r="E1049" s="30" t="str">
        <x:v>Project unlock</x:v>
      </x:c>
      <x:c r="F1049" s="30" t="str">
        <x:v>African Union</x:v>
      </x:c>
      <x:c r="G1049" s="30" t="str">
        <x:v>No</x:v>
      </x:c>
      <x:c r="H1049" s="30" t="str">
        <x:v>Ordinary claim</x:v>
      </x:c>
      <x:c r="I1049" s="31" t="n">
        <x:f>IF(G1049="Yes",'Controls &amp; Summary'!$B$5,'Controls &amp; Summary'!$B$4)</x:f>
        <x:v>6</x:v>
      </x:c>
      <x:c r="J1049" s="31" t="n">
        <x:v>3.13</x:v>
      </x:c>
      <x:c r="K1049" s="31" t="n">
        <x:v>2.6</x:v>
      </x:c>
      <x:c r="L1049" s="31" t="n">
        <x:f>ABS(J1049-K1049)</x:f>
        <x:v>0.5299999999999998</x:v>
      </x:c>
      <x:c r="M1049" s="31" t="n">
        <x:v>3.5</x:v>
      </x:c>
      <x:c r="N1049" s="31" t="n">
        <x:v>5.46</x:v>
      </x:c>
      <x:c r="O1049" s="31" t="n">
        <x:f>ABS(M1049-N1049)</x:f>
        <x:v>1.96</x:v>
      </x:c>
      <x:c r="P1049" s="31" t="n">
        <x:v>3.34</x:v>
      </x:c>
      <x:c r="Q1049" s="31" t="n">
        <x:v>6.97</x:v>
      </x:c>
      <x:c r="R1049" s="31" t="n">
        <x:f>ABS(P1049-Q1049)</x:f>
        <x:v>3.63</x:v>
      </x:c>
      <x:c r="S1049" s="32" t="n">
        <x:v>3068.915294601017</x:v>
      </x:c>
      <x:c r="T1049" s="32" t="n">
        <x:v>11310.988070329067</x:v>
      </x:c>
      <x:c r="U1049" s="31" t="n">
        <x:f>MAX(S1049/T1049,T1049/S1049)</x:f>
        <x:v>3.685663169077328</x:v>
      </x:c>
      <x:c r="V1049" s="31" t="n">
        <x:f>L1049*'Controls &amp; Summary'!$B$9+O1049*'Controls &amp; Summary'!$B$10+R1049*'Controls &amp; Summary'!$B$11+U1049*'Controls &amp; Summary'!$B$12</x:f>
        <x:v>9.805663169077327</x:v>
      </x:c>
      <x:c r="W1049" s="31" t="n">
        <x:v>0.43</x:v>
      </x:c>
      <x:c r="X1049" s="31" t="n">
        <x:v>1</x:v>
      </x:c>
      <x:c r="Y1049" s="31" t="n">
        <x:f>((10-MIN(10,MAX(0,X1049)))/10)*'Controls &amp; Summary'!$B$15+((10-MIN(10,MAX(0,W1049)))/10)*'Controls &amp; Summary'!$B$16</x:f>
        <x:v>1.8570000000000002</x:v>
      </x:c>
      <x:c r="Z1049" s="31" t="n">
        <x:f>V1049*Y1049</x:f>
        <x:v>18.2091165049766</x:v>
      </x:c>
      <x:c r="AA1049" s="30" t="str">
        <x:f>IF(Z1049&lt;=I1049,"Peaceful","Hostile")</x:f>
        <x:v>Hostile</x:v>
      </x:c>
      <x:c r="AB1049" s="30" t="str">
        <x:f>IF(Z1049&lt;='Controls &amp; Summary'!$B$6,"Eligible","Blocked")</x:f>
        <x:v>Blocked</x:v>
      </x:c>
      <x:c r="AC1049" s="30" t="str">
        <x:v>2026_ETH</x:v>
      </x:c>
      <x:c r="AD1049" s="30" t="str">
        <x:v>2026_ESW</x:v>
      </x:c>
      <x:c r="AE1049" s="30" t="str">
        <x:v>2026_Eswatini</x:v>
      </x:c>
      <x:c r="AF1049" s="30" t="str">
        <x:v>Explicit capitalClaim</x:v>
      </x:c>
      <x:c r="AG1049" s="30" t="str">
        <x:v>Claim2026_ETH2026_Eswatini</x:v>
      </x:c>
      <x:c r="AH1049" s="30" t="str">
        <x:v>Project_AfricanUnion</x:v>
      </x:c>
    </x:row>
    <x:row r="1050">
      <x:c r="A1050" s="30" t="str">
        <x:v>2026</x:v>
      </x:c>
      <x:c r="B1050" s="30" t="str">
        <x:v>Base game</x:v>
      </x:c>
      <x:c r="C1050" s="30" t="str">
        <x:v>Ethiopia</x:v>
      </x:c>
      <x:c r="D1050" s="30" t="str">
        <x:v>Gabon</x:v>
      </x:c>
      <x:c r="E1050" s="30" t="str">
        <x:v>Project unlock</x:v>
      </x:c>
      <x:c r="F1050" s="30" t="str">
        <x:v>African Union</x:v>
      </x:c>
      <x:c r="G1050" s="30" t="str">
        <x:v>No</x:v>
      </x:c>
      <x:c r="H1050" s="30" t="str">
        <x:v>Ordinary claim</x:v>
      </x:c>
      <x:c r="I1050" s="31" t="n">
        <x:f>IF(G1050="Yes",'Controls &amp; Summary'!$B$5,'Controls &amp; Summary'!$B$4)</x:f>
        <x:v>6</x:v>
      </x:c>
      <x:c r="J1050" s="31" t="n">
        <x:v>3.13</x:v>
      </x:c>
      <x:c r="K1050" s="31" t="n">
        <x:v>3.49</x:v>
      </x:c>
      <x:c r="L1050" s="31" t="n">
        <x:f>ABS(J1050-K1050)</x:f>
        <x:v>0.3600000000000003</x:v>
      </x:c>
      <x:c r="M1050" s="31" t="n">
        <x:v>3.5</x:v>
      </x:c>
      <x:c r="N1050" s="31" t="n">
        <x:v>3.8</x:v>
      </x:c>
      <x:c r="O1050" s="31" t="n">
        <x:f>ABS(M1050-N1050)</x:f>
        <x:v>0.2999999999999998</x:v>
      </x:c>
      <x:c r="P1050" s="31" t="n">
        <x:v>3.34</x:v>
      </x:c>
      <x:c r="Q1050" s="31" t="n">
        <x:v>6.57</x:v>
      </x:c>
      <x:c r="R1050" s="31" t="n">
        <x:f>ABS(P1050-Q1050)</x:f>
        <x:v>3.2300000000000004</x:v>
      </x:c>
      <x:c r="S1050" s="32" t="n">
        <x:v>3068.915294601017</x:v>
      </x:c>
      <x:c r="T1050" s="32" t="n">
        <x:v>19094.81000219461</x:v>
      </x:c>
      <x:c r="U1050" s="31" t="n">
        <x:f>MAX(S1050/T1050,T1050/S1050)</x:f>
        <x:v>6.222006203881584</x:v>
      </x:c>
      <x:c r="V1050" s="31" t="n">
        <x:f>L1050*'Controls &amp; Summary'!$B$9+O1050*'Controls &amp; Summary'!$B$10+R1050*'Controls &amp; Summary'!$B$11+U1050*'Controls &amp; Summary'!$B$12</x:f>
        <x:v>10.112006203881585</x:v>
      </x:c>
      <x:c r="W1050" s="31" t="n">
        <x:v>0.43</x:v>
      </x:c>
      <x:c r="X1050" s="31" t="n">
        <x:v>0.5</x:v>
      </x:c>
      <x:c r="Y1050" s="31" t="n">
        <x:f>((10-MIN(10,MAX(0,X1050)))/10)*'Controls &amp; Summary'!$B$15+((10-MIN(10,MAX(0,W1050)))/10)*'Controls &amp; Summary'!$B$16</x:f>
        <x:v>1.907</x:v>
      </x:c>
      <x:c r="Z1050" s="31" t="n">
        <x:f>V1050*Y1050</x:f>
        <x:v>19.28359583080218</x:v>
      </x:c>
      <x:c r="AA1050" s="30" t="str">
        <x:f>IF(Z1050&lt;=I1050,"Peaceful","Hostile")</x:f>
        <x:v>Hostile</x:v>
      </x:c>
      <x:c r="AB1050" s="30" t="str">
        <x:f>IF(Z1050&lt;='Controls &amp; Summary'!$B$6,"Eligible","Blocked")</x:f>
        <x:v>Blocked</x:v>
      </x:c>
      <x:c r="AC1050" s="30" t="str">
        <x:v>2026_ETH</x:v>
      </x:c>
      <x:c r="AD1050" s="30" t="str">
        <x:v>2026_LWG</x:v>
      </x:c>
      <x:c r="AE1050" s="30" t="str">
        <x:v>2026_Libreville</x:v>
      </x:c>
      <x:c r="AF1050" s="30" t="str">
        <x:v>Explicit capitalClaim</x:v>
      </x:c>
      <x:c r="AG1050" s="30" t="str">
        <x:v>Claim2026_ETH2026_Libreville</x:v>
      </x:c>
      <x:c r="AH1050" s="30" t="str">
        <x:v>Project_AfricanUnion</x:v>
      </x:c>
    </x:row>
    <x:row r="1051">
      <x:c r="A1051" s="30" t="str">
        <x:v>2026</x:v>
      </x:c>
      <x:c r="B1051" s="30" t="str">
        <x:v>Base game</x:v>
      </x:c>
      <x:c r="C1051" s="30" t="str">
        <x:v>Ethiopia</x:v>
      </x:c>
      <x:c r="D1051" s="30" t="str">
        <x:v>Gambia</x:v>
      </x:c>
      <x:c r="E1051" s="30" t="str">
        <x:v>Project unlock</x:v>
      </x:c>
      <x:c r="F1051" s="30" t="str">
        <x:v>African Union</x:v>
      </x:c>
      <x:c r="G1051" s="30" t="str">
        <x:v>No</x:v>
      </x:c>
      <x:c r="H1051" s="30" t="str">
        <x:v>Ordinary claim</x:v>
      </x:c>
      <x:c r="I1051" s="31" t="n">
        <x:f>IF(G1051="Yes",'Controls &amp; Summary'!$B$5,'Controls &amp; Summary'!$B$4)</x:f>
        <x:v>6</x:v>
      </x:c>
      <x:c r="J1051" s="31" t="n">
        <x:v>3.13</x:v>
      </x:c>
      <x:c r="K1051" s="31" t="n">
        <x:v>4.47</x:v>
      </x:c>
      <x:c r="L1051" s="31" t="n">
        <x:f>ABS(J1051-K1051)</x:f>
        <x:v>1.3399999999999999</x:v>
      </x:c>
      <x:c r="M1051" s="31" t="n">
        <x:v>3.5</x:v>
      </x:c>
      <x:c r="N1051" s="31" t="n">
        <x:v>3.88</x:v>
      </x:c>
      <x:c r="O1051" s="31" t="n">
        <x:f>ABS(M1051-N1051)</x:f>
        <x:v>0.3799999999999999</x:v>
      </x:c>
      <x:c r="P1051" s="31" t="n">
        <x:v>3.34</x:v>
      </x:c>
      <x:c r="Q1051" s="31" t="n">
        <x:v>4.02</x:v>
      </x:c>
      <x:c r="R1051" s="31" t="n">
        <x:f>ABS(P1051-Q1051)</x:f>
        <x:v>0.6799999999999997</x:v>
      </x:c>
      <x:c r="S1051" s="32" t="n">
        <x:v>3068.915294601017</x:v>
      </x:c>
      <x:c r="T1051" s="32" t="n">
        <x:v>3156.5005129887218</x:v>
      </x:c>
      <x:c r="U1051" s="31" t="n">
        <x:f>MAX(S1051/T1051,T1051/S1051)</x:f>
        <x:v>1.028539470783631</x:v>
      </x:c>
      <x:c r="V1051" s="31" t="n">
        <x:f>L1051*'Controls &amp; Summary'!$B$9+O1051*'Controls &amp; Summary'!$B$10+R1051*'Controls &amp; Summary'!$B$11+U1051*'Controls &amp; Summary'!$B$12</x:f>
        <x:v>3.4285394707836305</x:v>
      </x:c>
      <x:c r="W1051" s="31" t="n">
        <x:v>0.43</x:v>
      </x:c>
      <x:c r="X1051" s="31" t="n">
        <x:v>0.5</x:v>
      </x:c>
      <x:c r="Y1051" s="31" t="n">
        <x:f>((10-MIN(10,MAX(0,X1051)))/10)*'Controls &amp; Summary'!$B$15+((10-MIN(10,MAX(0,W1051)))/10)*'Controls &amp; Summary'!$B$16</x:f>
        <x:v>1.907</x:v>
      </x:c>
      <x:c r="Z1051" s="31" t="n">
        <x:f>V1051*Y1051</x:f>
        <x:v>6.5382247707843835</x:v>
      </x:c>
      <x:c r="AA1051" s="30" t="str">
        <x:f>IF(Z1051&lt;=I1051,"Peaceful","Hostile")</x:f>
        <x:v>Hostile</x:v>
      </x:c>
      <x:c r="AB1051" s="30" t="str">
        <x:f>IF(Z1051&lt;='Controls &amp; Summary'!$B$6,"Eligible","Blocked")</x:f>
        <x:v>Eligible</x:v>
      </x:c>
      <x:c r="AC1051" s="30" t="str">
        <x:v>2026_ETH</x:v>
      </x:c>
      <x:c r="AD1051" s="30" t="str">
        <x:v>2026_GAM</x:v>
      </x:c>
      <x:c r="AE1051" s="30" t="str">
        <x:v>2026_Gambia</x:v>
      </x:c>
      <x:c r="AF1051" s="30" t="str">
        <x:v>Explicit capitalClaim</x:v>
      </x:c>
      <x:c r="AG1051" s="30" t="str">
        <x:v>Claim2026_ETH2026_Gambia</x:v>
      </x:c>
      <x:c r="AH1051" s="30" t="str">
        <x:v>Project_AfricanUnion</x:v>
      </x:c>
    </x:row>
    <x:row r="1052">
      <x:c r="A1052" s="30" t="str">
        <x:v>2026</x:v>
      </x:c>
      <x:c r="B1052" s="30" t="str">
        <x:v>Base game</x:v>
      </x:c>
      <x:c r="C1052" s="30" t="str">
        <x:v>Ethiopia</x:v>
      </x:c>
      <x:c r="D1052" s="30" t="str">
        <x:v>Ghana</x:v>
      </x:c>
      <x:c r="E1052" s="30" t="str">
        <x:v>Project unlock</x:v>
      </x:c>
      <x:c r="F1052" s="30" t="str">
        <x:v>African Union</x:v>
      </x:c>
      <x:c r="G1052" s="30" t="str">
        <x:v>No</x:v>
      </x:c>
      <x:c r="H1052" s="30" t="str">
        <x:v>Ordinary claim</x:v>
      </x:c>
      <x:c r="I1052" s="31" t="n">
        <x:f>IF(G1052="Yes",'Controls &amp; Summary'!$B$5,'Controls &amp; Summary'!$B$4)</x:f>
        <x:v>6</x:v>
      </x:c>
      <x:c r="J1052" s="31" t="n">
        <x:v>3.13</x:v>
      </x:c>
      <x:c r="K1052" s="31" t="n">
        <x:v>6.24</x:v>
      </x:c>
      <x:c r="L1052" s="31" t="n">
        <x:f>ABS(J1052-K1052)</x:f>
        <x:v>3.1100000000000003</x:v>
      </x:c>
      <x:c r="M1052" s="31" t="n">
        <x:v>3.5</x:v>
      </x:c>
      <x:c r="N1052" s="31" t="n">
        <x:v>4.35</x:v>
      </x:c>
      <x:c r="O1052" s="31" t="n">
        <x:f>ABS(M1052-N1052)</x:f>
        <x:v>0.8499999999999996</x:v>
      </x:c>
      <x:c r="P1052" s="31" t="n">
        <x:v>3.34</x:v>
      </x:c>
      <x:c r="Q1052" s="31" t="n">
        <x:v>5.44</x:v>
      </x:c>
      <x:c r="R1052" s="31" t="n">
        <x:f>ABS(P1052-Q1052)</x:f>
        <x:v>2.1000000000000005</x:v>
      </x:c>
      <x:c r="S1052" s="32" t="n">
        <x:v>3068.915294601017</x:v>
      </x:c>
      <x:c r="T1052" s="32" t="n">
        <x:v>7275.115213066261</x:v>
      </x:c>
      <x:c r="U1052" s="31" t="n">
        <x:f>MAX(S1052/T1052,T1052/S1052)</x:f>
        <x:v>2.3705819531301473</x:v>
      </x:c>
      <x:c r="V1052" s="31" t="n">
        <x:f>L1052*'Controls &amp; Summary'!$B$9+O1052*'Controls &amp; Summary'!$B$10+R1052*'Controls &amp; Summary'!$B$11+U1052*'Controls &amp; Summary'!$B$12</x:f>
        <x:v>8.430581953130147</x:v>
      </x:c>
      <x:c r="W1052" s="31" t="n">
        <x:v>0.43</x:v>
      </x:c>
      <x:c r="X1052" s="31" t="n">
        <x:v>3</x:v>
      </x:c>
      <x:c r="Y1052" s="31" t="n">
        <x:f>((10-MIN(10,MAX(0,X1052)))/10)*'Controls &amp; Summary'!$B$15+((10-MIN(10,MAX(0,W1052)))/10)*'Controls &amp; Summary'!$B$16</x:f>
        <x:v>1.657</x:v>
      </x:c>
      <x:c r="Z1052" s="31" t="n">
        <x:f>V1052*Y1052</x:f>
        <x:v>13.969474296336655</x:v>
      </x:c>
      <x:c r="AA1052" s="30" t="str">
        <x:f>IF(Z1052&lt;=I1052,"Peaceful","Hostile")</x:f>
        <x:v>Hostile</x:v>
      </x:c>
      <x:c r="AB1052" s="30" t="str">
        <x:f>IF(Z1052&lt;='Controls &amp; Summary'!$B$6,"Eligible","Blocked")</x:f>
        <x:v>Blocked</x:v>
      </x:c>
      <x:c r="AC1052" s="30" t="str">
        <x:v>2026_ETH</x:v>
      </x:c>
      <x:c r="AD1052" s="30" t="str">
        <x:v>2026_GHA</x:v>
      </x:c>
      <x:c r="AE1052" s="30" t="str">
        <x:v>2026_Accra</x:v>
      </x:c>
      <x:c r="AF1052" s="30" t="str">
        <x:v>Explicit capitalClaim</x:v>
      </x:c>
      <x:c r="AG1052" s="30" t="str">
        <x:v>Claim2026_ETH2026_Accra</x:v>
      </x:c>
      <x:c r="AH1052" s="30" t="str">
        <x:v>Project_AfricanUnion</x:v>
      </x:c>
    </x:row>
    <x:row r="1053">
      <x:c r="A1053" s="30" t="str">
        <x:v>2026</x:v>
      </x:c>
      <x:c r="B1053" s="30" t="str">
        <x:v>Base game</x:v>
      </x:c>
      <x:c r="C1053" s="30" t="str">
        <x:v>Ethiopia</x:v>
      </x:c>
      <x:c r="D1053" s="30" t="str">
        <x:v>Guinea</x:v>
      </x:c>
      <x:c r="E1053" s="30" t="str">
        <x:v>Project unlock</x:v>
      </x:c>
      <x:c r="F1053" s="30" t="str">
        <x:v>African Union</x:v>
      </x:c>
      <x:c r="G1053" s="30" t="str">
        <x:v>No</x:v>
      </x:c>
      <x:c r="H1053" s="30" t="str">
        <x:v>Ordinary claim</x:v>
      </x:c>
      <x:c r="I1053" s="31" t="n">
        <x:f>IF(G1053="Yes",'Controls &amp; Summary'!$B$5,'Controls &amp; Summary'!$B$4)</x:f>
        <x:v>6</x:v>
      </x:c>
      <x:c r="J1053" s="31" t="n">
        <x:v>3.13</x:v>
      </x:c>
      <x:c r="K1053" s="31" t="n">
        <x:v>2.15</x:v>
      </x:c>
      <x:c r="L1053" s="31" t="n">
        <x:f>ABS(J1053-K1053)</x:f>
        <x:v>0.98</x:v>
      </x:c>
      <x:c r="M1053" s="31" t="n">
        <x:v>3.5</x:v>
      </x:c>
      <x:c r="N1053" s="31" t="n">
        <x:v>2.96</x:v>
      </x:c>
      <x:c r="O1053" s="31" t="n">
        <x:f>ABS(M1053-N1053)</x:f>
        <x:v>0.54</x:v>
      </x:c>
      <x:c r="P1053" s="31" t="n">
        <x:v>3.34</x:v>
      </x:c>
      <x:c r="Q1053" s="31" t="n">
        <x:v>3.69</x:v>
      </x:c>
      <x:c r="R1053" s="31" t="n">
        <x:f>ABS(P1053-Q1053)</x:f>
        <x:v>0.3500000000000001</x:v>
      </x:c>
      <x:c r="S1053" s="32" t="n">
        <x:v>3068.915294601017</x:v>
      </x:c>
      <x:c r="T1053" s="32" t="n">
        <x:v>4277.023050068731</x:v>
      </x:c>
      <x:c r="U1053" s="31" t="n">
        <x:f>MAX(S1053/T1053,T1053/S1053)</x:f>
        <x:v>1.393659530972743</x:v>
      </x:c>
      <x:c r="V1053" s="31" t="n">
        <x:f>L1053*'Controls &amp; Summary'!$B$9+O1053*'Controls &amp; Summary'!$B$10+R1053*'Controls &amp; Summary'!$B$11+U1053*'Controls &amp; Summary'!$B$12</x:f>
        <x:v>3.263659530972743</x:v>
      </x:c>
      <x:c r="W1053" s="31" t="n">
        <x:v>0.43</x:v>
      </x:c>
      <x:c r="X1053" s="31" t="n">
        <x:v>1.25</x:v>
      </x:c>
      <x:c r="Y1053" s="31" t="n">
        <x:f>((10-MIN(10,MAX(0,X1053)))/10)*'Controls &amp; Summary'!$B$15+((10-MIN(10,MAX(0,W1053)))/10)*'Controls &amp; Summary'!$B$16</x:f>
        <x:v>1.832</x:v>
      </x:c>
      <x:c r="Z1053" s="31" t="n">
        <x:f>V1053*Y1053</x:f>
        <x:v>5.979024260742066</x:v>
      </x:c>
      <x:c r="AA1053" s="30" t="str">
        <x:f>IF(Z1053&lt;=I1053,"Peaceful","Hostile")</x:f>
        <x:v>Peaceful</x:v>
      </x:c>
      <x:c r="AB1053" s="30" t="str">
        <x:f>IF(Z1053&lt;='Controls &amp; Summary'!$B$6,"Eligible","Blocked")</x:f>
        <x:v>Eligible</x:v>
      </x:c>
      <x:c r="AC1053" s="30" t="str">
        <x:v>2026_ETH</x:v>
      </x:c>
      <x:c r="AD1053" s="30" t="str">
        <x:v>2026_GIN</x:v>
      </x:c>
      <x:c r="AE1053" s="30" t="str">
        <x:v>2026_Guinea</x:v>
      </x:c>
      <x:c r="AF1053" s="30" t="str">
        <x:v>Explicit capitalClaim</x:v>
      </x:c>
      <x:c r="AG1053" s="30" t="str">
        <x:v>Claim2026_ETH2026_Guinea</x:v>
      </x:c>
      <x:c r="AH1053" s="30" t="str">
        <x:v>Project_AfricanUnion</x:v>
      </x:c>
    </x:row>
    <x:row r="1054">
      <x:c r="A1054" s="30" t="str">
        <x:v>2026</x:v>
      </x:c>
      <x:c r="B1054" s="30" t="str">
        <x:v>Base game</x:v>
      </x:c>
      <x:c r="C1054" s="30" t="str">
        <x:v>Ethiopia</x:v>
      </x:c>
      <x:c r="D1054" s="30" t="str">
        <x:v>Guinea-Bissau</x:v>
      </x:c>
      <x:c r="E1054" s="30" t="str">
        <x:v>Project unlock</x:v>
      </x:c>
      <x:c r="F1054" s="30" t="str">
        <x:v>African Union</x:v>
      </x:c>
      <x:c r="G1054" s="30" t="str">
        <x:v>No</x:v>
      </x:c>
      <x:c r="H1054" s="30" t="str">
        <x:v>Ordinary claim</x:v>
      </x:c>
      <x:c r="I1054" s="31" t="n">
        <x:f>IF(G1054="Yes",'Controls &amp; Summary'!$B$5,'Controls &amp; Summary'!$B$4)</x:f>
        <x:v>6</x:v>
      </x:c>
      <x:c r="J1054" s="31" t="n">
        <x:v>3.13</x:v>
      </x:c>
      <x:c r="K1054" s="31" t="n">
        <x:v>1.37</x:v>
      </x:c>
      <x:c r="L1054" s="31" t="n">
        <x:f>ABS(J1054-K1054)</x:f>
        <x:v>1.7599999999999998</x:v>
      </x:c>
      <x:c r="M1054" s="31" t="n">
        <x:v>3.5</x:v>
      </x:c>
      <x:c r="N1054" s="31" t="n">
        <x:v>3.34</x:v>
      </x:c>
      <x:c r="O1054" s="31" t="n">
        <x:f>ABS(M1054-N1054)</x:f>
        <x:v>0.16000000000000014</x:v>
      </x:c>
      <x:c r="P1054" s="31" t="n">
        <x:v>3.34</x:v>
      </x:c>
      <x:c r="Q1054" s="31" t="n">
        <x:v>4.13</x:v>
      </x:c>
      <x:c r="R1054" s="31" t="n">
        <x:f>ABS(P1054-Q1054)</x:f>
        <x:v>0.79</x:v>
      </x:c>
      <x:c r="S1054" s="32" t="n">
        <x:v>3068.915294601017</x:v>
      </x:c>
      <x:c r="T1054" s="32" t="n">
        <x:v>2535.2858028172936</x:v>
      </x:c>
      <x:c r="U1054" s="31" t="n">
        <x:f>MAX(S1054/T1054,T1054/S1054)</x:f>
        <x:v>1.2104810002843611</x:v>
      </x:c>
      <x:c r="V1054" s="31" t="n">
        <x:f>L1054*'Controls &amp; Summary'!$B$9+O1054*'Controls &amp; Summary'!$B$10+R1054*'Controls &amp; Summary'!$B$11+U1054*'Controls &amp; Summary'!$B$12</x:f>
        <x:v>3.920481000284361</x:v>
      </x:c>
      <x:c r="W1054" s="31" t="n">
        <x:v>0.43</x:v>
      </x:c>
      <x:c r="X1054" s="31" t="n">
        <x:v>1</x:v>
      </x:c>
      <x:c r="Y1054" s="31" t="n">
        <x:f>((10-MIN(10,MAX(0,X1054)))/10)*'Controls &amp; Summary'!$B$15+((10-MIN(10,MAX(0,W1054)))/10)*'Controls &amp; Summary'!$B$16</x:f>
        <x:v>1.8570000000000002</x:v>
      </x:c>
      <x:c r="Z1054" s="31" t="n">
        <x:f>V1054*Y1054</x:f>
        <x:v>7.280333217528059</x:v>
      </x:c>
      <x:c r="AA1054" s="30" t="str">
        <x:f>IF(Z1054&lt;=I1054,"Peaceful","Hostile")</x:f>
        <x:v>Hostile</x:v>
      </x:c>
      <x:c r="AB1054" s="30" t="str">
        <x:f>IF(Z1054&lt;='Controls &amp; Summary'!$B$6,"Eligible","Blocked")</x:f>
        <x:v>Eligible</x:v>
      </x:c>
      <x:c r="AC1054" s="30" t="str">
        <x:v>2026_ETH</x:v>
      </x:c>
      <x:c r="AD1054" s="30" t="str">
        <x:v>2026_GNB</x:v>
      </x:c>
      <x:c r="AE1054" s="30" t="str">
        <x:v>2026_GuineaBissau</x:v>
      </x:c>
      <x:c r="AF1054" s="30" t="str">
        <x:v>Explicit capitalClaim</x:v>
      </x:c>
      <x:c r="AG1054" s="30" t="str">
        <x:v>Claim2026_ETH2026_GuineaBissau</x:v>
      </x:c>
      <x:c r="AH1054" s="30" t="str">
        <x:v>Project_AfricanUnion</x:v>
      </x:c>
    </x:row>
    <x:row r="1055">
      <x:c r="A1055" s="30" t="str">
        <x:v>2026</x:v>
      </x:c>
      <x:c r="B1055" s="30" t="str">
        <x:v>Base game</x:v>
      </x:c>
      <x:c r="C1055" s="30" t="str">
        <x:v>Ethiopia</x:v>
      </x:c>
      <x:c r="D1055" s="30" t="str">
        <x:v>Ivory Coast</x:v>
      </x:c>
      <x:c r="E1055" s="30" t="str">
        <x:v>Project unlock</x:v>
      </x:c>
      <x:c r="F1055" s="30" t="str">
        <x:v>African Union</x:v>
      </x:c>
      <x:c r="G1055" s="30" t="str">
        <x:v>No</x:v>
      </x:c>
      <x:c r="H1055" s="30" t="str">
        <x:v>Ordinary claim</x:v>
      </x:c>
      <x:c r="I1055" s="31" t="n">
        <x:f>IF(G1055="Yes",'Controls &amp; Summary'!$B$5,'Controls &amp; Summary'!$B$4)</x:f>
        <x:v>6</x:v>
      </x:c>
      <x:c r="J1055" s="31" t="n">
        <x:v>3.13</x:v>
      </x:c>
      <x:c r="K1055" s="31" t="n">
        <x:v>4.24</x:v>
      </x:c>
      <x:c r="L1055" s="31" t="n">
        <x:f>ABS(J1055-K1055)</x:f>
        <x:v>1.1100000000000003</x:v>
      </x:c>
      <x:c r="M1055" s="31" t="n">
        <x:v>3.5</x:v>
      </x:c>
      <x:c r="N1055" s="31" t="n">
        <x:v>3.53</x:v>
      </x:c>
      <x:c r="O1055" s="31" t="n">
        <x:f>ABS(M1055-N1055)</x:f>
        <x:v>0.029999999999999805</x:v>
      </x:c>
      <x:c r="P1055" s="31" t="n">
        <x:v>3.34</x:v>
      </x:c>
      <x:c r="Q1055" s="31" t="n">
        <x:v>4.73</x:v>
      </x:c>
      <x:c r="R1055" s="31" t="n">
        <x:f>ABS(P1055-Q1055)</x:f>
        <x:v>1.3900000000000006</x:v>
      </x:c>
      <x:c r="S1055" s="32" t="n">
        <x:v>3068.915294601017</x:v>
      </x:c>
      <x:c r="T1055" s="32" t="n">
        <x:v>7010.501414178978</x:v>
      </x:c>
      <x:c r="U1055" s="31" t="n">
        <x:f>MAX(S1055/T1055,T1055/S1055)</x:f>
        <x:v>2.2843580683090825</x:v>
      </x:c>
      <x:c r="V1055" s="31" t="n">
        <x:f>L1055*'Controls &amp; Summary'!$B$9+O1055*'Controls &amp; Summary'!$B$10+R1055*'Controls &amp; Summary'!$B$11+U1055*'Controls &amp; Summary'!$B$12</x:f>
        <x:v>4.814358068309083</x:v>
      </x:c>
      <x:c r="W1055" s="31" t="n">
        <x:v>0.43</x:v>
      </x:c>
      <x:c r="X1055" s="31" t="n">
        <x:v>1.5</x:v>
      </x:c>
      <x:c r="Y1055" s="31" t="n">
        <x:f>((10-MIN(10,MAX(0,X1055)))/10)*'Controls &amp; Summary'!$B$15+((10-MIN(10,MAX(0,W1055)))/10)*'Controls &amp; Summary'!$B$16</x:f>
        <x:v>1.807</x:v>
      </x:c>
      <x:c r="Z1055" s="31" t="n">
        <x:f>V1055*Y1055</x:f>
        <x:v>8.699545029434512</x:v>
      </x:c>
      <x:c r="AA1055" s="30" t="str">
        <x:f>IF(Z1055&lt;=I1055,"Peaceful","Hostile")</x:f>
        <x:v>Hostile</x:v>
      </x:c>
      <x:c r="AB1055" s="30" t="str">
        <x:f>IF(Z1055&lt;='Controls &amp; Summary'!$B$6,"Eligible","Blocked")</x:f>
        <x:v>Eligible</x:v>
      </x:c>
      <x:c r="AC1055" s="30" t="str">
        <x:v>2026_ETH</x:v>
      </x:c>
      <x:c r="AD1055" s="30" t="str">
        <x:v>2026_IVO</x:v>
      </x:c>
      <x:c r="AE1055" s="30" t="str">
        <x:v>2026_IvoryCoast</x:v>
      </x:c>
      <x:c r="AF1055" s="30" t="str">
        <x:v>Explicit capitalClaim</x:v>
      </x:c>
      <x:c r="AG1055" s="30" t="str">
        <x:v>Claim2026_ETH2026_IvoryCoast</x:v>
      </x:c>
      <x:c r="AH1055" s="30" t="str">
        <x:v>Project_AfricanUnion</x:v>
      </x:c>
    </x:row>
    <x:row r="1056">
      <x:c r="A1056" s="30" t="str">
        <x:v>2026</x:v>
      </x:c>
      <x:c r="B1056" s="30" t="str">
        <x:v>Base game</x:v>
      </x:c>
      <x:c r="C1056" s="30" t="str">
        <x:v>Ethiopia</x:v>
      </x:c>
      <x:c r="D1056" s="30" t="str">
        <x:v>Kenya</x:v>
      </x:c>
      <x:c r="E1056" s="30" t="str">
        <x:v>Project unlock</x:v>
      </x:c>
      <x:c r="F1056" s="30" t="str">
        <x:v>African Union</x:v>
      </x:c>
      <x:c r="G1056" s="30" t="str">
        <x:v>No</x:v>
      </x:c>
      <x:c r="H1056" s="30" t="str">
        <x:v>Ordinary claim</x:v>
      </x:c>
      <x:c r="I1056" s="31" t="n">
        <x:f>IF(G1056="Yes",'Controls &amp; Summary'!$B$5,'Controls &amp; Summary'!$B$4)</x:f>
        <x:v>6</x:v>
      </x:c>
      <x:c r="J1056" s="31" t="n">
        <x:v>3.13</x:v>
      </x:c>
      <x:c r="K1056" s="31" t="n">
        <x:v>5.05</x:v>
      </x:c>
      <x:c r="L1056" s="31" t="n">
        <x:f>ABS(J1056-K1056)</x:f>
        <x:v>1.92</x:v>
      </x:c>
      <x:c r="M1056" s="31" t="n">
        <x:v>3.5</x:v>
      </x:c>
      <x:c r="N1056" s="31" t="n">
        <x:v>3.87</x:v>
      </x:c>
      <x:c r="O1056" s="31" t="n">
        <x:f>ABS(M1056-N1056)</x:f>
        <x:v>0.3700000000000001</x:v>
      </x:c>
      <x:c r="P1056" s="31" t="n">
        <x:v>3.34</x:v>
      </x:c>
      <x:c r="Q1056" s="31" t="n">
        <x:v>5.95</x:v>
      </x:c>
      <x:c r="R1056" s="31" t="n">
        <x:f>ABS(P1056-Q1056)</x:f>
        <x:v>2.6100000000000003</x:v>
      </x:c>
      <x:c r="S1056" s="32" t="n">
        <x:v>3068.915294601017</x:v>
      </x:c>
      <x:c r="T1056" s="32" t="n">
        <x:v>6032.631158144533</x:v>
      </x:c>
      <x:c r="U1056" s="31" t="n">
        <x:f>MAX(S1056/T1056,T1056/S1056)</x:f>
        <x:v>1.9657209727350335</x:v>
      </x:c>
      <x:c r="V1056" s="31" t="n">
        <x:f>L1056*'Controls &amp; Summary'!$B$9+O1056*'Controls &amp; Summary'!$B$10+R1056*'Controls &amp; Summary'!$B$11+U1056*'Controls &amp; Summary'!$B$12</x:f>
        <x:v>6.8657209727350335</x:v>
      </x:c>
      <x:c r="W1056" s="31" t="n">
        <x:v>0.43</x:v>
      </x:c>
      <x:c r="X1056" s="31" t="n">
        <x:v>5</x:v>
      </x:c>
      <x:c r="Y1056" s="31" t="n">
        <x:f>((10-MIN(10,MAX(0,X1056)))/10)*'Controls &amp; Summary'!$B$15+((10-MIN(10,MAX(0,W1056)))/10)*'Controls &amp; Summary'!$B$16</x:f>
        <x:v>1.457</x:v>
      </x:c>
      <x:c r="Z1056" s="31" t="n">
        <x:f>V1056*Y1056</x:f>
        <x:v>10.003355457274944</x:v>
      </x:c>
      <x:c r="AA1056" s="30" t="str">
        <x:f>IF(Z1056&lt;=I1056,"Peaceful","Hostile")</x:f>
        <x:v>Hostile</x:v>
      </x:c>
      <x:c r="AB1056" s="30" t="str">
        <x:f>IF(Z1056&lt;='Controls &amp; Summary'!$B$6,"Eligible","Blocked")</x:f>
        <x:v>Eligible</x:v>
      </x:c>
      <x:c r="AC1056" s="30" t="str">
        <x:v>2026_ETH</x:v>
      </x:c>
      <x:c r="AD1056" s="30" t="str">
        <x:v>2026_KEN</x:v>
      </x:c>
      <x:c r="AE1056" s="30" t="str">
        <x:v>2026_Kenya</x:v>
      </x:c>
      <x:c r="AF1056" s="30" t="str">
        <x:v>Explicit capitalClaim</x:v>
      </x:c>
      <x:c r="AG1056" s="30" t="str">
        <x:v>Claim2026_ETH2026_Kenya</x:v>
      </x:c>
      <x:c r="AH1056" s="30" t="str">
        <x:v>Project_AfricanUnion</x:v>
      </x:c>
    </x:row>
    <x:row r="1057">
      <x:c r="A1057" s="30" t="str">
        <x:v>2026</x:v>
      </x:c>
      <x:c r="B1057" s="30" t="str">
        <x:v>Base game</x:v>
      </x:c>
      <x:c r="C1057" s="30" t="str">
        <x:v>Ethiopia</x:v>
      </x:c>
      <x:c r="D1057" s="30" t="str">
        <x:v>Lesotho</x:v>
      </x:c>
      <x:c r="E1057" s="30" t="str">
        <x:v>Project unlock</x:v>
      </x:c>
      <x:c r="F1057" s="30" t="str">
        <x:v>African Union</x:v>
      </x:c>
      <x:c r="G1057" s="30" t="str">
        <x:v>No</x:v>
      </x:c>
      <x:c r="H1057" s="30" t="str">
        <x:v>Ordinary claim</x:v>
      </x:c>
      <x:c r="I1057" s="31" t="n">
        <x:f>IF(G1057="Yes",'Controls &amp; Summary'!$B$5,'Controls &amp; Summary'!$B$4)</x:f>
        <x:v>6</x:v>
      </x:c>
      <x:c r="J1057" s="31" t="n">
        <x:v>3.13</x:v>
      </x:c>
      <x:c r="K1057" s="31" t="n">
        <x:v>6.23</x:v>
      </x:c>
      <x:c r="L1057" s="31" t="n">
        <x:f>ABS(J1057-K1057)</x:f>
        <x:v>3.1000000000000005</x:v>
      </x:c>
      <x:c r="M1057" s="31" t="n">
        <x:v>3.5</x:v>
      </x:c>
      <x:c r="N1057" s="31" t="n">
        <x:v>4.49</x:v>
      </x:c>
      <x:c r="O1057" s="31" t="n">
        <x:f>ABS(M1057-N1057)</x:f>
        <x:v>0.9900000000000002</x:v>
      </x:c>
      <x:c r="P1057" s="31" t="n">
        <x:v>3.34</x:v>
      </x:c>
      <x:c r="Q1057" s="31" t="n">
        <x:v>5.53</x:v>
      </x:c>
      <x:c r="R1057" s="31" t="n">
        <x:f>ABS(P1057-Q1057)</x:f>
        <x:v>2.1900000000000004</x:v>
      </x:c>
      <x:c r="S1057" s="32" t="n">
        <x:v>3068.915294601017</x:v>
      </x:c>
      <x:c r="T1057" s="32" t="n">
        <x:v>2729.126418385694</x:v>
      </x:c>
      <x:c r="U1057" s="31" t="n">
        <x:f>MAX(S1057/T1057,T1057/S1057)</x:f>
        <x:v>1.1245046304657123</x:v>
      </x:c>
      <x:c r="V1057" s="31" t="n">
        <x:f>L1057*'Controls &amp; Summary'!$B$9+O1057*'Controls &amp; Summary'!$B$10+R1057*'Controls &amp; Summary'!$B$11+U1057*'Controls &amp; Summary'!$B$12</x:f>
        <x:v>7.404504630465714</x:v>
      </x:c>
      <x:c r="W1057" s="31" t="n">
        <x:v>0.43</x:v>
      </x:c>
      <x:c r="X1057" s="31" t="n">
        <x:v>1</x:v>
      </x:c>
      <x:c r="Y1057" s="31" t="n">
        <x:f>((10-MIN(10,MAX(0,X1057)))/10)*'Controls &amp; Summary'!$B$15+((10-MIN(10,MAX(0,W1057)))/10)*'Controls &amp; Summary'!$B$16</x:f>
        <x:v>1.8570000000000002</x:v>
      </x:c>
      <x:c r="Z1057" s="31" t="n">
        <x:f>V1057*Y1057</x:f>
        <x:v>13.750165098774831</x:v>
      </x:c>
      <x:c r="AA1057" s="30" t="str">
        <x:f>IF(Z1057&lt;=I1057,"Peaceful","Hostile")</x:f>
        <x:v>Hostile</x:v>
      </x:c>
      <x:c r="AB1057" s="30" t="str">
        <x:f>IF(Z1057&lt;='Controls &amp; Summary'!$B$6,"Eligible","Blocked")</x:f>
        <x:v>Blocked</x:v>
      </x:c>
      <x:c r="AC1057" s="30" t="str">
        <x:v>2026_ETH</x:v>
      </x:c>
      <x:c r="AD1057" s="30" t="str">
        <x:v>2026_LES</x:v>
      </x:c>
      <x:c r="AE1057" s="30" t="str">
        <x:v>2026_Lesotho</x:v>
      </x:c>
      <x:c r="AF1057" s="30" t="str">
        <x:v>Explicit capitalClaim</x:v>
      </x:c>
      <x:c r="AG1057" s="30" t="str">
        <x:v>Claim2026_ETH2026_Lesotho</x:v>
      </x:c>
      <x:c r="AH1057" s="30" t="str">
        <x:v>Project_AfricanUnion</x:v>
      </x:c>
    </x:row>
    <x:row r="1058">
      <x:c r="A1058" s="30" t="str">
        <x:v>2026</x:v>
      </x:c>
      <x:c r="B1058" s="30" t="str">
        <x:v>Base game</x:v>
      </x:c>
      <x:c r="C1058" s="30" t="str">
        <x:v>Ethiopia</x:v>
      </x:c>
      <x:c r="D1058" s="30" t="str">
        <x:v>Liberia</x:v>
      </x:c>
      <x:c r="E1058" s="30" t="str">
        <x:v>Project unlock</x:v>
      </x:c>
      <x:c r="F1058" s="30" t="str">
        <x:v>African Union</x:v>
      </x:c>
      <x:c r="G1058" s="30" t="str">
        <x:v>No</x:v>
      </x:c>
      <x:c r="H1058" s="30" t="str">
        <x:v>Ordinary claim</x:v>
      </x:c>
      <x:c r="I1058" s="31" t="n">
        <x:f>IF(G1058="Yes",'Controls &amp; Summary'!$B$5,'Controls &amp; Summary'!$B$4)</x:f>
        <x:v>6</x:v>
      </x:c>
      <x:c r="J1058" s="31" t="n">
        <x:v>3.13</x:v>
      </x:c>
      <x:c r="K1058" s="31" t="n">
        <x:v>5.57</x:v>
      </x:c>
      <x:c r="L1058" s="31" t="n">
        <x:f>ABS(J1058-K1058)</x:f>
        <x:v>2.4400000000000004</x:v>
      </x:c>
      <x:c r="M1058" s="31" t="n">
        <x:v>3.5</x:v>
      </x:c>
      <x:c r="N1058" s="31" t="n">
        <x:v>3.53</x:v>
      </x:c>
      <x:c r="O1058" s="31" t="n">
        <x:f>ABS(M1058-N1058)</x:f>
        <x:v>0.029999999999999805</x:v>
      </x:c>
      <x:c r="P1058" s="31" t="n">
        <x:v>3.34</x:v>
      </x:c>
      <x:c r="Q1058" s="31" t="n">
        <x:v>4.91</x:v>
      </x:c>
      <x:c r="R1058" s="31" t="n">
        <x:f>ABS(P1058-Q1058)</x:f>
        <x:v>1.5700000000000003</x:v>
      </x:c>
      <x:c r="S1058" s="32" t="n">
        <x:v>3068.915294601017</x:v>
      </x:c>
      <x:c r="T1058" s="32" t="n">
        <x:v>1716.270503894038</x:v>
      </x:c>
      <x:c r="U1058" s="31" t="n">
        <x:f>MAX(S1058/T1058,T1058/S1058)</x:f>
        <x:v>1.7881303020928052</x:v>
      </x:c>
      <x:c r="V1058" s="31" t="n">
        <x:f>L1058*'Controls &amp; Summary'!$B$9+O1058*'Controls &amp; Summary'!$B$10+R1058*'Controls &amp; Summary'!$B$11+U1058*'Controls &amp; Summary'!$B$12</x:f>
        <x:v>5.828130302092806</x:v>
      </x:c>
      <x:c r="W1058" s="31" t="n">
        <x:v>0.43</x:v>
      </x:c>
      <x:c r="X1058" s="31" t="n">
        <x:v>1</x:v>
      </x:c>
      <x:c r="Y1058" s="31" t="n">
        <x:f>((10-MIN(10,MAX(0,X1058)))/10)*'Controls &amp; Summary'!$B$15+((10-MIN(10,MAX(0,W1058)))/10)*'Controls &amp; Summary'!$B$16</x:f>
        <x:v>1.8570000000000002</x:v>
      </x:c>
      <x:c r="Z1058" s="31" t="n">
        <x:f>V1058*Y1058</x:f>
        <x:v>10.822837970986342</x:v>
      </x:c>
      <x:c r="AA1058" s="30" t="str">
        <x:f>IF(Z1058&lt;=I1058,"Peaceful","Hostile")</x:f>
        <x:v>Hostile</x:v>
      </x:c>
      <x:c r="AB1058" s="30" t="str">
        <x:f>IF(Z1058&lt;='Controls &amp; Summary'!$B$6,"Eligible","Blocked")</x:f>
        <x:v>Eligible</x:v>
      </x:c>
      <x:c r="AC1058" s="30" t="str">
        <x:v>2026_ETH</x:v>
      </x:c>
      <x:c r="AD1058" s="30" t="str">
        <x:v>2026_LBR</x:v>
      </x:c>
      <x:c r="AE1058" s="30" t="str">
        <x:v>2026_Liberia</x:v>
      </x:c>
      <x:c r="AF1058" s="30" t="str">
        <x:v>Explicit capitalClaim</x:v>
      </x:c>
      <x:c r="AG1058" s="30" t="str">
        <x:v>Claim2026_ETH2026_Liberia</x:v>
      </x:c>
      <x:c r="AH1058" s="30" t="str">
        <x:v>Project_AfricanUnion</x:v>
      </x:c>
    </x:row>
    <x:row r="1059">
      <x:c r="A1059" s="30" t="str">
        <x:v>2026</x:v>
      </x:c>
      <x:c r="B1059" s="30" t="str">
        <x:v>Base game</x:v>
      </x:c>
      <x:c r="C1059" s="30" t="str">
        <x:v>Ethiopia</x:v>
      </x:c>
      <x:c r="D1059" s="30" t="str">
        <x:v>Libya</x:v>
      </x:c>
      <x:c r="E1059" s="30" t="str">
        <x:v>Project unlock</x:v>
      </x:c>
      <x:c r="F1059" s="30" t="str">
        <x:v>African Union</x:v>
      </x:c>
      <x:c r="G1059" s="30" t="str">
        <x:v>No</x:v>
      </x:c>
      <x:c r="H1059" s="30" t="str">
        <x:v>Ordinary claim</x:v>
      </x:c>
      <x:c r="I1059" s="31" t="n">
        <x:f>IF(G1059="Yes",'Controls &amp; Summary'!$B$5,'Controls &amp; Summary'!$B$4)</x:f>
        <x:v>6</x:v>
      </x:c>
      <x:c r="J1059" s="31" t="n">
        <x:v>3.13</x:v>
      </x:c>
      <x:c r="K1059" s="31" t="n">
        <x:v>2.31</x:v>
      </x:c>
      <x:c r="L1059" s="31" t="n">
        <x:f>ABS(J1059-K1059)</x:f>
        <x:v>0.8199999999999998</x:v>
      </x:c>
      <x:c r="M1059" s="31" t="n">
        <x:v>3.5</x:v>
      </x:c>
      <x:c r="N1059" s="31" t="n">
        <x:v>5.59</x:v>
      </x:c>
      <x:c r="O1059" s="31" t="n">
        <x:f>ABS(M1059-N1059)</x:f>
        <x:v>2.09</x:v>
      </x:c>
      <x:c r="P1059" s="31" t="n">
        <x:v>3.34</x:v>
      </x:c>
      <x:c r="Q1059" s="31" t="n">
        <x:v>6.07</x:v>
      </x:c>
      <x:c r="R1059" s="31" t="n">
        <x:f>ABS(P1059-Q1059)</x:f>
        <x:v>2.7300000000000004</x:v>
      </x:c>
      <x:c r="S1059" s="32" t="n">
        <x:v>3068.915294601017</x:v>
      </x:c>
      <x:c r="T1059" s="32" t="n">
        <x:v>14470.917263484384</x:v>
      </x:c>
      <x:c r="U1059" s="31" t="n">
        <x:f>MAX(S1059/T1059,T1059/S1059)</x:f>
        <x:v>4.715319868535412</x:v>
      </x:c>
      <x:c r="V1059" s="31" t="n">
        <x:f>L1059*'Controls &amp; Summary'!$B$9+O1059*'Controls &amp; Summary'!$B$10+R1059*'Controls &amp; Summary'!$B$11+U1059*'Controls &amp; Summary'!$B$12</x:f>
        <x:v>10.355319868535412</x:v>
      </x:c>
      <x:c r="W1059" s="31" t="n">
        <x:v>0.43</x:v>
      </x:c>
      <x:c r="X1059" s="31" t="n">
        <x:v>4</x:v>
      </x:c>
      <x:c r="Y1059" s="31" t="n">
        <x:f>((10-MIN(10,MAX(0,X1059)))/10)*'Controls &amp; Summary'!$B$15+((10-MIN(10,MAX(0,W1059)))/10)*'Controls &amp; Summary'!$B$16</x:f>
        <x:v>1.557</x:v>
      </x:c>
      <x:c r="Z1059" s="31" t="n">
        <x:f>V1059*Y1059</x:f>
        <x:v>16.123233035309635</x:v>
      </x:c>
      <x:c r="AA1059" s="30" t="str">
        <x:f>IF(Z1059&lt;=I1059,"Peaceful","Hostile")</x:f>
        <x:v>Hostile</x:v>
      </x:c>
      <x:c r="AB1059" s="30" t="str">
        <x:f>IF(Z1059&lt;='Controls &amp; Summary'!$B$6,"Eligible","Blocked")</x:f>
        <x:v>Blocked</x:v>
      </x:c>
      <x:c r="AC1059" s="30" t="str">
        <x:v>2026_ETH</x:v>
      </x:c>
      <x:c r="AD1059" s="30" t="str">
        <x:v>2026_LBY</x:v>
      </x:c>
      <x:c r="AE1059" s="30" t="str">
        <x:v>2026_Libya</x:v>
      </x:c>
      <x:c r="AF1059" s="30" t="str">
        <x:v>Explicit capitalClaim</x:v>
      </x:c>
      <x:c r="AG1059" s="30" t="str">
        <x:v>Claim2026_ETH2026_Libya</x:v>
      </x:c>
      <x:c r="AH1059" s="30" t="str">
        <x:v>Project_AfricanUnion</x:v>
      </x:c>
    </x:row>
    <x:row r="1060">
      <x:c r="A1060" s="30" t="str">
        <x:v>2026</x:v>
      </x:c>
      <x:c r="B1060" s="30" t="str">
        <x:v>Base game</x:v>
      </x:c>
      <x:c r="C1060" s="30" t="str">
        <x:v>Ethiopia</x:v>
      </x:c>
      <x:c r="D1060" s="30" t="str">
        <x:v>Madagascar</x:v>
      </x:c>
      <x:c r="E1060" s="30" t="str">
        <x:v>Project unlock</x:v>
      </x:c>
      <x:c r="F1060" s="30" t="str">
        <x:v>African Union</x:v>
      </x:c>
      <x:c r="G1060" s="30" t="str">
        <x:v>No</x:v>
      </x:c>
      <x:c r="H1060" s="30" t="str">
        <x:v>Ordinary claim</x:v>
      </x:c>
      <x:c r="I1060" s="31" t="n">
        <x:f>IF(G1060="Yes",'Controls &amp; Summary'!$B$5,'Controls &amp; Summary'!$B$4)</x:f>
        <x:v>6</x:v>
      </x:c>
      <x:c r="J1060" s="31" t="n">
        <x:v>3.13</x:v>
      </x:c>
      <x:c r="K1060" s="31" t="n">
        <x:v>5.06</x:v>
      </x:c>
      <x:c r="L1060" s="31" t="n">
        <x:f>ABS(J1060-K1060)</x:f>
        <x:v>1.9299999999999997</x:v>
      </x:c>
      <x:c r="M1060" s="31" t="n">
        <x:v>3.5</x:v>
      </x:c>
      <x:c r="N1060" s="31" t="n">
        <x:v>4.26</x:v>
      </x:c>
      <x:c r="O1060" s="31" t="n">
        <x:f>ABS(M1060-N1060)</x:f>
        <x:v>0.7599999999999998</x:v>
      </x:c>
      <x:c r="P1060" s="31" t="n">
        <x:v>3.34</x:v>
      </x:c>
      <x:c r="Q1060" s="31" t="n">
        <x:v>4.02</x:v>
      </x:c>
      <x:c r="R1060" s="31" t="n">
        <x:f>ABS(P1060-Q1060)</x:f>
        <x:v>0.6799999999999997</x:v>
      </x:c>
      <x:c r="S1060" s="32" t="n">
        <x:v>3068.915294601017</x:v>
      </x:c>
      <x:c r="T1060" s="32" t="n">
        <x:v>1686.4409135813044</x:v>
      </x:c>
      <x:c r="U1060" s="31" t="n">
        <x:f>MAX(S1060/T1060,T1060/S1060)</x:f>
        <x:v>1.8197585636628726</x:v>
      </x:c>
      <x:c r="V1060" s="31" t="n">
        <x:f>L1060*'Controls &amp; Summary'!$B$9+O1060*'Controls &amp; Summary'!$B$10+R1060*'Controls &amp; Summary'!$B$11+U1060*'Controls &amp; Summary'!$B$12</x:f>
        <x:v>5.189758563662872</x:v>
      </x:c>
      <x:c r="W1060" s="31" t="n">
        <x:v>0.43</x:v>
      </x:c>
      <x:c r="X1060" s="31" t="n">
        <x:v>4</x:v>
      </x:c>
      <x:c r="Y1060" s="31" t="n">
        <x:f>((10-MIN(10,MAX(0,X1060)))/10)*'Controls &amp; Summary'!$B$15+((10-MIN(10,MAX(0,W1060)))/10)*'Controls &amp; Summary'!$B$16</x:f>
        <x:v>1.557</x:v>
      </x:c>
      <x:c r="Z1060" s="31" t="n">
        <x:f>V1060*Y1060</x:f>
        <x:v>8.080454083623092</x:v>
      </x:c>
      <x:c r="AA1060" s="30" t="str">
        <x:f>IF(Z1060&lt;=I1060,"Peaceful","Hostile")</x:f>
        <x:v>Hostile</x:v>
      </x:c>
      <x:c r="AB1060" s="30" t="str">
        <x:f>IF(Z1060&lt;='Controls &amp; Summary'!$B$6,"Eligible","Blocked")</x:f>
        <x:v>Eligible</x:v>
      </x:c>
      <x:c r="AC1060" s="30" t="str">
        <x:v>2026_ETH</x:v>
      </x:c>
      <x:c r="AD1060" s="30" t="str">
        <x:v>2026_MDG</x:v>
      </x:c>
      <x:c r="AE1060" s="30" t="str">
        <x:v>2026_Madagascar</x:v>
      </x:c>
      <x:c r="AF1060" s="30" t="str">
        <x:v>Explicit capitalClaim</x:v>
      </x:c>
      <x:c r="AG1060" s="30" t="str">
        <x:v>Claim2026_ETH2026_Madagascar</x:v>
      </x:c>
      <x:c r="AH1060" s="30" t="str">
        <x:v>Project_AfricanUnion</x:v>
      </x:c>
    </x:row>
    <x:row r="1061">
      <x:c r="A1061" s="30" t="str">
        <x:v>2026</x:v>
      </x:c>
      <x:c r="B1061" s="30" t="str">
        <x:v>Base game</x:v>
      </x:c>
      <x:c r="C1061" s="30" t="str">
        <x:v>Ethiopia</x:v>
      </x:c>
      <x:c r="D1061" s="30" t="str">
        <x:v>Malawi</x:v>
      </x:c>
      <x:c r="E1061" s="30" t="str">
        <x:v>Project unlock</x:v>
      </x:c>
      <x:c r="F1061" s="30" t="str">
        <x:v>African Union</x:v>
      </x:c>
      <x:c r="G1061" s="30" t="str">
        <x:v>No</x:v>
      </x:c>
      <x:c r="H1061" s="30" t="str">
        <x:v>Ordinary claim</x:v>
      </x:c>
      <x:c r="I1061" s="31" t="n">
        <x:f>IF(G1061="Yes",'Controls &amp; Summary'!$B$5,'Controls &amp; Summary'!$B$4)</x:f>
        <x:v>6</x:v>
      </x:c>
      <x:c r="J1061" s="31" t="n">
        <x:v>3.13</x:v>
      </x:c>
      <x:c r="K1061" s="31" t="n">
        <x:v>6.1</x:v>
      </x:c>
      <x:c r="L1061" s="31" t="n">
        <x:f>ABS(J1061-K1061)</x:f>
        <x:v>2.9699999999999998</x:v>
      </x:c>
      <x:c r="M1061" s="31" t="n">
        <x:v>3.5</x:v>
      </x:c>
      <x:c r="N1061" s="31" t="n">
        <x:v>3.85</x:v>
      </x:c>
      <x:c r="O1061" s="31" t="n">
        <x:f>ABS(M1061-N1061)</x:f>
        <x:v>0.3500000000000001</x:v>
      </x:c>
      <x:c r="P1061" s="31" t="n">
        <x:v>3.34</x:v>
      </x:c>
      <x:c r="Q1061" s="31" t="n">
        <x:v>4.43</x:v>
      </x:c>
      <x:c r="R1061" s="31" t="n">
        <x:f>ABS(P1061-Q1061)</x:f>
        <x:v>1.0899999999999999</x:v>
      </x:c>
      <x:c r="S1061" s="32" t="n">
        <x:v>3068.915294601017</x:v>
      </x:c>
      <x:c r="T1061" s="32" t="n">
        <x:v>1651.8971356169604</x:v>
      </x:c>
      <x:c r="U1061" s="31" t="n">
        <x:f>MAX(S1061/T1061,T1061/S1061)</x:f>
        <x:v>1.8578125891929829</x:v>
      </x:c>
      <x:c r="V1061" s="31" t="n">
        <x:f>L1061*'Controls &amp; Summary'!$B$9+O1061*'Controls &amp; Summary'!$B$10+R1061*'Controls &amp; Summary'!$B$11+U1061*'Controls &amp; Summary'!$B$12</x:f>
        <x:v>6.2678125891929835</x:v>
      </x:c>
      <x:c r="W1061" s="31" t="n">
        <x:v>0.43</x:v>
      </x:c>
      <x:c r="X1061" s="31" t="n">
        <x:v>2.5</x:v>
      </x:c>
      <x:c r="Y1061" s="31" t="n">
        <x:f>((10-MIN(10,MAX(0,X1061)))/10)*'Controls &amp; Summary'!$B$15+((10-MIN(10,MAX(0,W1061)))/10)*'Controls &amp; Summary'!$B$16</x:f>
        <x:v>1.707</x:v>
      </x:c>
      <x:c r="Z1061" s="31" t="n">
        <x:f>V1061*Y1061</x:f>
        <x:v>10.699156089752423</x:v>
      </x:c>
      <x:c r="AA1061" s="30" t="str">
        <x:f>IF(Z1061&lt;=I1061,"Peaceful","Hostile")</x:f>
        <x:v>Hostile</x:v>
      </x:c>
      <x:c r="AB1061" s="30" t="str">
        <x:f>IF(Z1061&lt;='Controls &amp; Summary'!$B$6,"Eligible","Blocked")</x:f>
        <x:v>Eligible</x:v>
      </x:c>
      <x:c r="AC1061" s="30" t="str">
        <x:v>2026_ETH</x:v>
      </x:c>
      <x:c r="AD1061" s="30" t="str">
        <x:v>2026_MAL</x:v>
      </x:c>
      <x:c r="AE1061" s="30" t="str">
        <x:v>2026_Malawi</x:v>
      </x:c>
      <x:c r="AF1061" s="30" t="str">
        <x:v>Explicit capitalClaim</x:v>
      </x:c>
      <x:c r="AG1061" s="30" t="str">
        <x:v>Claim2026_ETH2026_Malawi</x:v>
      </x:c>
      <x:c r="AH1061" s="30" t="str">
        <x:v>Project_AfricanUnion</x:v>
      </x:c>
    </x:row>
    <x:row r="1062">
      <x:c r="A1062" s="30" t="str">
        <x:v>2026</x:v>
      </x:c>
      <x:c r="B1062" s="30" t="str">
        <x:v>Base game</x:v>
      </x:c>
      <x:c r="C1062" s="30" t="str">
        <x:v>Ethiopia</x:v>
      </x:c>
      <x:c r="D1062" s="30" t="str">
        <x:v>Mali</x:v>
      </x:c>
      <x:c r="E1062" s="30" t="str">
        <x:v>Project unlock</x:v>
      </x:c>
      <x:c r="F1062" s="30" t="str">
        <x:v>African Union</x:v>
      </x:c>
      <x:c r="G1062" s="30" t="str">
        <x:v>No</x:v>
      </x:c>
      <x:c r="H1062" s="30" t="str">
        <x:v>Ordinary claim</x:v>
      </x:c>
      <x:c r="I1062" s="31" t="n">
        <x:f>IF(G1062="Yes",'Controls &amp; Summary'!$B$5,'Controls &amp; Summary'!$B$4)</x:f>
        <x:v>6</x:v>
      </x:c>
      <x:c r="J1062" s="31" t="n">
        <x:v>3.13</x:v>
      </x:c>
      <x:c r="K1062" s="31" t="n">
        <x:v>2.4</x:v>
      </x:c>
      <x:c r="L1062" s="31" t="n">
        <x:f>ABS(J1062-K1062)</x:f>
        <x:v>0.73</x:v>
      </x:c>
      <x:c r="M1062" s="31" t="n">
        <x:v>3.5</x:v>
      </x:c>
      <x:c r="N1062" s="31" t="n">
        <x:v>3.57</x:v>
      </x:c>
      <x:c r="O1062" s="31" t="n">
        <x:f>ABS(M1062-N1062)</x:f>
        <x:v>0.06999999999999984</x:v>
      </x:c>
      <x:c r="P1062" s="31" t="n">
        <x:v>3.34</x:v>
      </x:c>
      <x:c r="Q1062" s="31" t="n">
        <x:v>2.49</x:v>
      </x:c>
      <x:c r="R1062" s="31" t="n">
        <x:f>ABS(P1062-Q1062)</x:f>
        <x:v>0.8499999999999996</x:v>
      </x:c>
      <x:c r="S1062" s="32" t="n">
        <x:v>3068.915294601017</x:v>
      </x:c>
      <x:c r="T1062" s="32" t="n">
        <x:v>2468.331066209965</x:v>
      </x:c>
      <x:c r="U1062" s="31" t="n">
        <x:f>MAX(S1062/T1062,T1062/S1062)</x:f>
        <x:v>1.2433159135793028</x:v>
      </x:c>
      <x:c r="V1062" s="31" t="n">
        <x:f>L1062*'Controls &amp; Summary'!$B$9+O1062*'Controls &amp; Summary'!$B$10+R1062*'Controls &amp; Summary'!$B$11+U1062*'Controls &amp; Summary'!$B$12</x:f>
        <x:v>2.8933159135793023</x:v>
      </x:c>
      <x:c r="W1062" s="31" t="n">
        <x:v>0.43</x:v>
      </x:c>
      <x:c r="X1062" s="31" t="n">
        <x:v>5</x:v>
      </x:c>
      <x:c r="Y1062" s="31" t="n">
        <x:f>((10-MIN(10,MAX(0,X1062)))/10)*'Controls &amp; Summary'!$B$15+((10-MIN(10,MAX(0,W1062)))/10)*'Controls &amp; Summary'!$B$16</x:f>
        <x:v>1.457</x:v>
      </x:c>
      <x:c r="Z1062" s="31" t="n">
        <x:f>V1062*Y1062</x:f>
        <x:v>4.215561286085044</x:v>
      </x:c>
      <x:c r="AA1062" s="30" t="str">
        <x:f>IF(Z1062&lt;=I1062,"Peaceful","Hostile")</x:f>
        <x:v>Peaceful</x:v>
      </x:c>
      <x:c r="AB1062" s="30" t="str">
        <x:f>IF(Z1062&lt;='Controls &amp; Summary'!$B$6,"Eligible","Blocked")</x:f>
        <x:v>Eligible</x:v>
      </x:c>
      <x:c r="AC1062" s="30" t="str">
        <x:v>2026_ETH</x:v>
      </x:c>
      <x:c r="AD1062" s="30" t="str">
        <x:v>2026_MLI</x:v>
      </x:c>
      <x:c r="AE1062" s="30" t="str">
        <x:v>2026_Mali</x:v>
      </x:c>
      <x:c r="AF1062" s="30" t="str">
        <x:v>Explicit capitalClaim</x:v>
      </x:c>
      <x:c r="AG1062" s="30" t="str">
        <x:v>Claim2026_ETH2026_Mali</x:v>
      </x:c>
      <x:c r="AH1062" s="30" t="str">
        <x:v>Project_AfricanUnion</x:v>
      </x:c>
    </x:row>
    <x:row r="1063">
      <x:c r="A1063" s="30" t="str">
        <x:v>2026</x:v>
      </x:c>
      <x:c r="B1063" s="30" t="str">
        <x:v>Base game</x:v>
      </x:c>
      <x:c r="C1063" s="30" t="str">
        <x:v>Ethiopia</x:v>
      </x:c>
      <x:c r="D1063" s="30" t="str">
        <x:v>Mauritania</x:v>
      </x:c>
      <x:c r="E1063" s="30" t="str">
        <x:v>Project unlock</x:v>
      </x:c>
      <x:c r="F1063" s="30" t="str">
        <x:v>African Union</x:v>
      </x:c>
      <x:c r="G1063" s="30" t="str">
        <x:v>No</x:v>
      </x:c>
      <x:c r="H1063" s="30" t="str">
        <x:v>Ordinary claim</x:v>
      </x:c>
      <x:c r="I1063" s="31" t="n">
        <x:f>IF(G1063="Yes",'Controls &amp; Summary'!$B$5,'Controls &amp; Summary'!$B$4)</x:f>
        <x:v>6</x:v>
      </x:c>
      <x:c r="J1063" s="31" t="n">
        <x:v>3.13</x:v>
      </x:c>
      <x:c r="K1063" s="31" t="n">
        <x:v>3.84</x:v>
      </x:c>
      <x:c r="L1063" s="31" t="n">
        <x:f>ABS(J1063-K1063)</x:f>
        <x:v>0.71</x:v>
      </x:c>
      <x:c r="M1063" s="31" t="n">
        <x:v>3.5</x:v>
      </x:c>
      <x:c r="N1063" s="31" t="n">
        <x:v>3.2</x:v>
      </x:c>
      <x:c r="O1063" s="31" t="n">
        <x:f>ABS(M1063-N1063)</x:f>
        <x:v>0.2999999999999998</x:v>
      </x:c>
      <x:c r="P1063" s="31" t="n">
        <x:v>3.34</x:v>
      </x:c>
      <x:c r="Q1063" s="31" t="n">
        <x:v>3.79</x:v>
      </x:c>
      <x:c r="R1063" s="31" t="n">
        <x:f>ABS(P1063-Q1063)</x:f>
        <x:v>0.4500000000000002</x:v>
      </x:c>
      <x:c r="S1063" s="32" t="n">
        <x:v>3068.915294601017</x:v>
      </x:c>
      <x:c r="T1063" s="32" t="n">
        <x:v>6454.997409966347</x:v>
      </x:c>
      <x:c r="U1063" s="31" t="n">
        <x:f>MAX(S1063/T1063,T1063/S1063)</x:f>
        <x:v>2.103348183419167</x:v>
      </x:c>
      <x:c r="V1063" s="31" t="n">
        <x:f>L1063*'Controls &amp; Summary'!$B$9+O1063*'Controls &amp; Summary'!$B$10+R1063*'Controls &amp; Summary'!$B$11+U1063*'Controls &amp; Summary'!$B$12</x:f>
        <x:v>3.563348183419167</x:v>
      </x:c>
      <x:c r="W1063" s="31" t="n">
        <x:v>0.43</x:v>
      </x:c>
      <x:c r="X1063" s="31" t="n">
        <x:v>1</x:v>
      </x:c>
      <x:c r="Y1063" s="31" t="n">
        <x:f>((10-MIN(10,MAX(0,X1063)))/10)*'Controls &amp; Summary'!$B$15+((10-MIN(10,MAX(0,W1063)))/10)*'Controls &amp; Summary'!$B$16</x:f>
        <x:v>1.8570000000000002</x:v>
      </x:c>
      <x:c r="Z1063" s="31" t="n">
        <x:f>V1063*Y1063</x:f>
        <x:v>6.617137576609394</x:v>
      </x:c>
      <x:c r="AA1063" s="30" t="str">
        <x:f>IF(Z1063&lt;=I1063,"Peaceful","Hostile")</x:f>
        <x:v>Hostile</x:v>
      </x:c>
      <x:c r="AB1063" s="30" t="str">
        <x:f>IF(Z1063&lt;='Controls &amp; Summary'!$B$6,"Eligible","Blocked")</x:f>
        <x:v>Eligible</x:v>
      </x:c>
      <x:c r="AC1063" s="30" t="str">
        <x:v>2026_ETH</x:v>
      </x:c>
      <x:c r="AD1063" s="30" t="str">
        <x:v>2026_MRT</x:v>
      </x:c>
      <x:c r="AE1063" s="30" t="str">
        <x:v>2026_Mauritania</x:v>
      </x:c>
      <x:c r="AF1063" s="30" t="str">
        <x:v>Explicit capitalClaim</x:v>
      </x:c>
      <x:c r="AG1063" s="30" t="str">
        <x:v>Claim2026_ETH2026_Mauritania</x:v>
      </x:c>
      <x:c r="AH1063" s="30" t="str">
        <x:v>Project_AfricanUnion</x:v>
      </x:c>
    </x:row>
    <x:row r="1064">
      <x:c r="A1064" s="30" t="str">
        <x:v>2026</x:v>
      </x:c>
      <x:c r="B1064" s="30" t="str">
        <x:v>Base game</x:v>
      </x:c>
      <x:c r="C1064" s="30" t="str">
        <x:v>Ethiopia</x:v>
      </x:c>
      <x:c r="D1064" s="30" t="str">
        <x:v>Mauritius</x:v>
      </x:c>
      <x:c r="E1064" s="30" t="str">
        <x:v>Project unlock</x:v>
      </x:c>
      <x:c r="F1064" s="30" t="str">
        <x:v>African Union</x:v>
      </x:c>
      <x:c r="G1064" s="30" t="str">
        <x:v>No</x:v>
      </x:c>
      <x:c r="H1064" s="30" t="str">
        <x:v>Ordinary claim</x:v>
      </x:c>
      <x:c r="I1064" s="31" t="n">
        <x:f>IF(G1064="Yes",'Controls &amp; Summary'!$B$5,'Controls &amp; Summary'!$B$4)</x:f>
        <x:v>6</x:v>
      </x:c>
      <x:c r="J1064" s="31" t="n">
        <x:v>3.13</x:v>
      </x:c>
      <x:c r="K1064" s="31" t="n">
        <x:v>8.23</x:v>
      </x:c>
      <x:c r="L1064" s="31" t="n">
        <x:f>ABS(J1064-K1064)</x:f>
        <x:v>5.1000000000000005</x:v>
      </x:c>
      <x:c r="M1064" s="31" t="n">
        <x:v>3.5</x:v>
      </x:c>
      <x:c r="N1064" s="31" t="n">
        <x:v>3.68</x:v>
      </x:c>
      <x:c r="O1064" s="31" t="n">
        <x:f>ABS(M1064-N1064)</x:f>
        <x:v>0.18000000000000016</x:v>
      </x:c>
      <x:c r="P1064" s="31" t="n">
        <x:v>3.34</x:v>
      </x:c>
      <x:c r="Q1064" s="31" t="n">
        <x:v>7.16</x:v>
      </x:c>
      <x:c r="R1064" s="31" t="n">
        <x:f>ABS(P1064-Q1064)</x:f>
        <x:v>3.8200000000000003</x:v>
      </x:c>
      <x:c r="S1064" s="32" t="n">
        <x:v>3068.915294601017</x:v>
      </x:c>
      <x:c r="T1064" s="32" t="n">
        <x:v>28765.267074500083</x:v>
      </x:c>
      <x:c r="U1064" s="31" t="n">
        <x:f>MAX(S1064/T1064,T1064/S1064)</x:f>
        <x:v>9.373105580693387</x:v>
      </x:c>
      <x:c r="V1064" s="31" t="n">
        <x:f>L1064*'Controls &amp; Summary'!$B$9+O1064*'Controls &amp; Summary'!$B$10+R1064*'Controls &amp; Summary'!$B$11+U1064*'Controls &amp; Summary'!$B$12</x:f>
        <x:v>18.47310558069339</x:v>
      </x:c>
      <x:c r="W1064" s="31" t="n">
        <x:v>0.43</x:v>
      </x:c>
      <x:c r="X1064" s="31" t="n">
        <x:v>1</x:v>
      </x:c>
      <x:c r="Y1064" s="31" t="n">
        <x:f>((10-MIN(10,MAX(0,X1064)))/10)*'Controls &amp; Summary'!$B$15+((10-MIN(10,MAX(0,W1064)))/10)*'Controls &amp; Summary'!$B$16</x:f>
        <x:v>1.8570000000000002</x:v>
      </x:c>
      <x:c r="Z1064" s="31" t="n">
        <x:f>V1064*Y1064</x:f>
        <x:v>34.30455706334763</x:v>
      </x:c>
      <x:c r="AA1064" s="30" t="str">
        <x:f>IF(Z1064&lt;=I1064,"Peaceful","Hostile")</x:f>
        <x:v>Hostile</x:v>
      </x:c>
      <x:c r="AB1064" s="30" t="str">
        <x:f>IF(Z1064&lt;='Controls &amp; Summary'!$B$6,"Eligible","Blocked")</x:f>
        <x:v>Blocked</x:v>
      </x:c>
      <x:c r="AC1064" s="30" t="str">
        <x:v>2026_ETH</x:v>
      </x:c>
      <x:c r="AD1064" s="30" t="str">
        <x:v>2026_MRS</x:v>
      </x:c>
      <x:c r="AE1064" s="30" t="str">
        <x:v>2026_Mauritius</x:v>
      </x:c>
      <x:c r="AF1064" s="30" t="str">
        <x:v>Explicit capitalClaim</x:v>
      </x:c>
      <x:c r="AG1064" s="30" t="str">
        <x:v>Claim2026_ETH2026_Mauritius</x:v>
      </x:c>
      <x:c r="AH1064" s="30" t="str">
        <x:v>Project_AfricanUnion</x:v>
      </x:c>
    </x:row>
    <x:row r="1065">
      <x:c r="A1065" s="30" t="str">
        <x:v>2026</x:v>
      </x:c>
      <x:c r="B1065" s="30" t="str">
        <x:v>Base game</x:v>
      </x:c>
      <x:c r="C1065" s="30" t="str">
        <x:v>Ethiopia</x:v>
      </x:c>
      <x:c r="D1065" s="30" t="str">
        <x:v>Morocco</x:v>
      </x:c>
      <x:c r="E1065" s="30" t="str">
        <x:v>Project unlock</x:v>
      </x:c>
      <x:c r="F1065" s="30" t="str">
        <x:v>Great African Union</x:v>
      </x:c>
      <x:c r="G1065" s="30" t="str">
        <x:v>No</x:v>
      </x:c>
      <x:c r="H1065" s="30" t="str">
        <x:v>Ordinary claim</x:v>
      </x:c>
      <x:c r="I1065" s="31" t="n">
        <x:f>IF(G1065="Yes",'Controls &amp; Summary'!$B$5,'Controls &amp; Summary'!$B$4)</x:f>
        <x:v>6</x:v>
      </x:c>
      <x:c r="J1065" s="31" t="n">
        <x:v>3.13</x:v>
      </x:c>
      <x:c r="K1065" s="31" t="n">
        <x:v>4.97</x:v>
      </x:c>
      <x:c r="L1065" s="31" t="n">
        <x:f>ABS(J1065-K1065)</x:f>
        <x:v>1.8399999999999999</x:v>
      </x:c>
      <x:c r="M1065" s="31" t="n">
        <x:v>3.5</x:v>
      </x:c>
      <x:c r="N1065" s="31" t="n">
        <x:v>3.95</x:v>
      </x:c>
      <x:c r="O1065" s="31" t="n">
        <x:f>ABS(M1065-N1065)</x:f>
        <x:v>0.4500000000000002</x:v>
      </x:c>
      <x:c r="P1065" s="31" t="n">
        <x:v>3.34</x:v>
      </x:c>
      <x:c r="Q1065" s="31" t="n">
        <x:v>6.14</x:v>
      </x:c>
      <x:c r="R1065" s="31" t="n">
        <x:f>ABS(P1065-Q1065)</x:f>
        <x:v>2.8</x:v>
      </x:c>
      <x:c r="S1065" s="32" t="n">
        <x:v>3068.915294601017</x:v>
      </x:c>
      <x:c r="T1065" s="32" t="n">
        <x:v>9645.586561486156</x:v>
      </x:c>
      <x:c r="U1065" s="31" t="n">
        <x:f>MAX(S1065/T1065,T1065/S1065)</x:f>
        <x:v>3.142995369880405</x:v>
      </x:c>
      <x:c r="V1065" s="31" t="n">
        <x:f>L1065*'Controls &amp; Summary'!$B$9+O1065*'Controls &amp; Summary'!$B$10+R1065*'Controls &amp; Summary'!$B$11+U1065*'Controls &amp; Summary'!$B$12</x:f>
        <x:v>8.232995369880404</x:v>
      </x:c>
      <x:c r="W1065" s="31" t="n">
        <x:v>0.43</x:v>
      </x:c>
      <x:c r="X1065" s="31" t="n">
        <x:v>1</x:v>
      </x:c>
      <x:c r="Y1065" s="31" t="n">
        <x:f>((10-MIN(10,MAX(0,X1065)))/10)*'Controls &amp; Summary'!$B$15+((10-MIN(10,MAX(0,W1065)))/10)*'Controls &amp; Summary'!$B$16</x:f>
        <x:v>1.8570000000000002</x:v>
      </x:c>
      <x:c r="Z1065" s="31" t="n">
        <x:f>V1065*Y1065</x:f>
        <x:v>15.288672401867913</x:v>
      </x:c>
      <x:c r="AA1065" s="30" t="str">
        <x:f>IF(Z1065&lt;=I1065,"Peaceful","Hostile")</x:f>
        <x:v>Hostile</x:v>
      </x:c>
      <x:c r="AB1065" s="30" t="str">
        <x:f>IF(Z1065&lt;='Controls &amp; Summary'!$B$6,"Eligible","Blocked")</x:f>
        <x:v>Blocked</x:v>
      </x:c>
      <x:c r="AC1065" s="30" t="str">
        <x:v>2026_ETH</x:v>
      </x:c>
      <x:c r="AD1065" s="30" t="str">
        <x:v>2026_MAR</x:v>
      </x:c>
      <x:c r="AE1065" s="30" t="str">
        <x:v>2026_Rabat</x:v>
      </x:c>
      <x:c r="AF1065" s="30" t="str">
        <x:v>Explicit capitalClaim</x:v>
      </x:c>
      <x:c r="AG1065" s="30" t="str">
        <x:v>Claim2026_ETH2026_Rabat</x:v>
      </x:c>
      <x:c r="AH1065" s="30" t="str">
        <x:v>Project_GreatAfricanUnion</x:v>
      </x:c>
    </x:row>
    <x:row r="1066">
      <x:c r="A1066" s="30" t="str">
        <x:v>2026</x:v>
      </x:c>
      <x:c r="B1066" s="30" t="str">
        <x:v>Base game</x:v>
      </x:c>
      <x:c r="C1066" s="30" t="str">
        <x:v>Ethiopia</x:v>
      </x:c>
      <x:c r="D1066" s="30" t="str">
        <x:v>Mozambique</x:v>
      </x:c>
      <x:c r="E1066" s="30" t="str">
        <x:v>Project unlock</x:v>
      </x:c>
      <x:c r="F1066" s="30" t="str">
        <x:v>African Union</x:v>
      </x:c>
      <x:c r="G1066" s="30" t="str">
        <x:v>No</x:v>
      </x:c>
      <x:c r="H1066" s="30" t="str">
        <x:v>Ordinary claim</x:v>
      </x:c>
      <x:c r="I1066" s="31" t="n">
        <x:f>IF(G1066="Yes",'Controls &amp; Summary'!$B$5,'Controls &amp; Summary'!$B$4)</x:f>
        <x:v>6</x:v>
      </x:c>
      <x:c r="J1066" s="31" t="n">
        <x:v>3.13</x:v>
      </x:c>
      <x:c r="K1066" s="31" t="n">
        <x:v>3.38</x:v>
      </x:c>
      <x:c r="L1066" s="31" t="n">
        <x:f>ABS(J1066-K1066)</x:f>
        <x:v>0.25</x:v>
      </x:c>
      <x:c r="M1066" s="31" t="n">
        <x:v>3.5</x:v>
      </x:c>
      <x:c r="N1066" s="31" t="n">
        <x:v>5.03</x:v>
      </x:c>
      <x:c r="O1066" s="31" t="n">
        <x:f>ABS(M1066-N1066)</x:f>
        <x:v>1.5300000000000002</x:v>
      </x:c>
      <x:c r="P1066" s="31" t="n">
        <x:v>3.34</x:v>
      </x:c>
      <x:c r="Q1066" s="31" t="n">
        <x:v>4.47</x:v>
      </x:c>
      <x:c r="R1066" s="31" t="n">
        <x:f>ABS(P1066-Q1066)</x:f>
        <x:v>1.13</x:v>
      </x:c>
      <x:c r="S1066" s="32" t="n">
        <x:v>3068.915294601017</x:v>
      </x:c>
      <x:c r="T1066" s="32" t="n">
        <x:v>1487.9601994014658</x:v>
      </x:c>
      <x:c r="U1066" s="31" t="n">
        <x:f>MAX(S1066/T1066,T1066/S1066)</x:f>
        <x:v>2.0624982414418698</x:v>
      </x:c>
      <x:c r="V1066" s="31" t="n">
        <x:f>L1066*'Controls &amp; Summary'!$B$9+O1066*'Controls &amp; Summary'!$B$10+R1066*'Controls &amp; Summary'!$B$11+U1066*'Controls &amp; Summary'!$B$12</x:f>
        <x:v>4.97249824144187</x:v>
      </x:c>
      <x:c r="W1066" s="31" t="n">
        <x:v>0.43</x:v>
      </x:c>
      <x:c r="X1066" s="31" t="n">
        <x:v>4</x:v>
      </x:c>
      <x:c r="Y1066" s="31" t="n">
        <x:f>((10-MIN(10,MAX(0,X1066)))/10)*'Controls &amp; Summary'!$B$15+((10-MIN(10,MAX(0,W1066)))/10)*'Controls &amp; Summary'!$B$16</x:f>
        <x:v>1.557</x:v>
      </x:c>
      <x:c r="Z1066" s="31" t="n">
        <x:f>V1066*Y1066</x:f>
        <x:v>7.742179761924991</x:v>
      </x:c>
      <x:c r="AA1066" s="30" t="str">
        <x:f>IF(Z1066&lt;=I1066,"Peaceful","Hostile")</x:f>
        <x:v>Hostile</x:v>
      </x:c>
      <x:c r="AB1066" s="30" t="str">
        <x:f>IF(Z1066&lt;='Controls &amp; Summary'!$B$6,"Eligible","Blocked")</x:f>
        <x:v>Eligible</x:v>
      </x:c>
      <x:c r="AC1066" s="30" t="str">
        <x:v>2026_ETH</x:v>
      </x:c>
      <x:c r="AD1066" s="30" t="str">
        <x:v>2026_MOZ</x:v>
      </x:c>
      <x:c r="AE1066" s="30" t="str">
        <x:v>2026_Mozambique</x:v>
      </x:c>
      <x:c r="AF1066" s="30" t="str">
        <x:v>Explicit capitalClaim</x:v>
      </x:c>
      <x:c r="AG1066" s="30" t="str">
        <x:v>Claim2026_ETH2026_Mozambique</x:v>
      </x:c>
      <x:c r="AH1066" s="30" t="str">
        <x:v>Project_AfricanUnion</x:v>
      </x:c>
    </x:row>
    <x:row r="1067">
      <x:c r="A1067" s="30" t="str">
        <x:v>2026</x:v>
      </x:c>
      <x:c r="B1067" s="30" t="str">
        <x:v>Base game</x:v>
      </x:c>
      <x:c r="C1067" s="30" t="str">
        <x:v>Ethiopia</x:v>
      </x:c>
      <x:c r="D1067" s="30" t="str">
        <x:v>Namibia</x:v>
      </x:c>
      <x:c r="E1067" s="30" t="str">
        <x:v>Project unlock</x:v>
      </x:c>
      <x:c r="F1067" s="30" t="str">
        <x:v>African Union</x:v>
      </x:c>
      <x:c r="G1067" s="30" t="str">
        <x:v>No</x:v>
      </x:c>
      <x:c r="H1067" s="30" t="str">
        <x:v>Ordinary claim</x:v>
      </x:c>
      <x:c r="I1067" s="31" t="n">
        <x:f>IF(G1067="Yes",'Controls &amp; Summary'!$B$5,'Controls &amp; Summary'!$B$4)</x:f>
        <x:v>6</x:v>
      </x:c>
      <x:c r="J1067" s="31" t="n">
        <x:v>3.13</x:v>
      </x:c>
      <x:c r="K1067" s="31" t="n">
        <x:v>6.48</x:v>
      </x:c>
      <x:c r="L1067" s="31" t="n">
        <x:f>ABS(J1067-K1067)</x:f>
        <x:v>3.3500000000000005</x:v>
      </x:c>
      <x:c r="M1067" s="31" t="n">
        <x:v>3.5</x:v>
      </x:c>
      <x:c r="N1067" s="31" t="n">
        <x:v>5.91</x:v>
      </x:c>
      <x:c r="O1067" s="31" t="n">
        <x:f>ABS(M1067-N1067)</x:f>
        <x:v>2.41</x:v>
      </x:c>
      <x:c r="P1067" s="31" t="n">
        <x:v>3.34</x:v>
      </x:c>
      <x:c r="Q1067" s="31" t="n">
        <x:v>5.61</x:v>
      </x:c>
      <x:c r="R1067" s="31" t="n">
        <x:f>ABS(P1067-Q1067)</x:f>
        <x:v>2.2700000000000005</x:v>
      </x:c>
      <x:c r="S1067" s="32" t="n">
        <x:v>3068.915294601017</x:v>
      </x:c>
      <x:c r="T1067" s="32" t="n">
        <x:v>10529.035793591747</x:v>
      </x:c>
      <x:c r="U1067" s="31" t="n">
        <x:f>MAX(S1067/T1067,T1067/S1067)</x:f>
        <x:v>3.43086556090842</x:v>
      </x:c>
      <x:c r="V1067" s="31" t="n">
        <x:f>L1067*'Controls &amp; Summary'!$B$9+O1067*'Controls &amp; Summary'!$B$10+R1067*'Controls &amp; Summary'!$B$11+U1067*'Controls &amp; Summary'!$B$12</x:f>
        <x:v>11.46086556090842</x:v>
      </x:c>
      <x:c r="W1067" s="31" t="n">
        <x:v>0.43</x:v>
      </x:c>
      <x:c r="X1067" s="31" t="n">
        <x:v>1</x:v>
      </x:c>
      <x:c r="Y1067" s="31" t="n">
        <x:f>((10-MIN(10,MAX(0,X1067)))/10)*'Controls &amp; Summary'!$B$15+((10-MIN(10,MAX(0,W1067)))/10)*'Controls &amp; Summary'!$B$16</x:f>
        <x:v>1.8570000000000002</x:v>
      </x:c>
      <x:c r="Z1067" s="31" t="n">
        <x:f>V1067*Y1067</x:f>
        <x:v>21.28282734660694</x:v>
      </x:c>
      <x:c r="AA1067" s="30" t="str">
        <x:f>IF(Z1067&lt;=I1067,"Peaceful","Hostile")</x:f>
        <x:v>Hostile</x:v>
      </x:c>
      <x:c r="AB1067" s="30" t="str">
        <x:f>IF(Z1067&lt;='Controls &amp; Summary'!$B$6,"Eligible","Blocked")</x:f>
        <x:v>Blocked</x:v>
      </x:c>
      <x:c r="AC1067" s="30" t="str">
        <x:v>2026_ETH</x:v>
      </x:c>
      <x:c r="AD1067" s="30" t="str">
        <x:v>2026_SWA</x:v>
      </x:c>
      <x:c r="AE1067" s="30" t="str">
        <x:v>2026_Namibia</x:v>
      </x:c>
      <x:c r="AF1067" s="30" t="str">
        <x:v>Explicit capitalClaim</x:v>
      </x:c>
      <x:c r="AG1067" s="30" t="str">
        <x:v>Claim2026_ETH2026_Namibia</x:v>
      </x:c>
      <x:c r="AH1067" s="30" t="str">
        <x:v>Project_AfricanUnion</x:v>
      </x:c>
    </x:row>
    <x:row r="1068">
      <x:c r="A1068" s="30" t="str">
        <x:v>2026</x:v>
      </x:c>
      <x:c r="B1068" s="30" t="str">
        <x:v>Base game</x:v>
      </x:c>
      <x:c r="C1068" s="30" t="str">
        <x:v>Ethiopia</x:v>
      </x:c>
      <x:c r="D1068" s="30" t="str">
        <x:v>Niger</x:v>
      </x:c>
      <x:c r="E1068" s="30" t="str">
        <x:v>Project unlock</x:v>
      </x:c>
      <x:c r="F1068" s="30" t="str">
        <x:v>African Union</x:v>
      </x:c>
      <x:c r="G1068" s="30" t="str">
        <x:v>No</x:v>
      </x:c>
      <x:c r="H1068" s="30" t="str">
        <x:v>Ordinary claim</x:v>
      </x:c>
      <x:c r="I1068" s="31" t="n">
        <x:f>IF(G1068="Yes",'Controls &amp; Summary'!$B$5,'Controls &amp; Summary'!$B$4)</x:f>
        <x:v>6</x:v>
      </x:c>
      <x:c r="J1068" s="31" t="n">
        <x:v>3.13</x:v>
      </x:c>
      <x:c r="K1068" s="31" t="n">
        <x:v>1.95</x:v>
      </x:c>
      <x:c r="L1068" s="31" t="n">
        <x:f>ABS(J1068-K1068)</x:f>
        <x:v>1.18</x:v>
      </x:c>
      <x:c r="M1068" s="31" t="n">
        <x:v>3.5</x:v>
      </x:c>
      <x:c r="N1068" s="31" t="n">
        <x:v>3.29</x:v>
      </x:c>
      <x:c r="O1068" s="31" t="n">
        <x:f>ABS(M1068-N1068)</x:f>
        <x:v>0.20999999999999996</x:v>
      </x:c>
      <x:c r="P1068" s="31" t="n">
        <x:v>3.34</x:v>
      </x:c>
      <x:c r="Q1068" s="31" t="n">
        <x:v>2.77</x:v>
      </x:c>
      <x:c r="R1068" s="31" t="n">
        <x:f>ABS(P1068-Q1068)</x:f>
        <x:v>0.5699999999999998</x:v>
      </x:c>
      <x:c r="S1068" s="32" t="n">
        <x:v>3068.915294601017</x:v>
      </x:c>
      <x:c r="T1068" s="32" t="n">
        <x:v>1863.9953984882393</x:v>
      </x:c>
      <x:c r="U1068" s="31" t="n">
        <x:f>MAX(S1068/T1068,T1068/S1068)</x:f>
        <x:v>1.646417849040833</x:v>
      </x:c>
      <x:c r="V1068" s="31" t="n">
        <x:f>L1068*'Controls &amp; Summary'!$B$9+O1068*'Controls &amp; Summary'!$B$10+R1068*'Controls &amp; Summary'!$B$11+U1068*'Controls &amp; Summary'!$B$12</x:f>
        <x:v>3.6064178490408327</x:v>
      </x:c>
      <x:c r="W1068" s="31" t="n">
        <x:v>0.43</x:v>
      </x:c>
      <x:c r="X1068" s="31" t="n">
        <x:v>4.5</x:v>
      </x:c>
      <x:c r="Y1068" s="31" t="n">
        <x:f>((10-MIN(10,MAX(0,X1068)))/10)*'Controls &amp; Summary'!$B$15+((10-MIN(10,MAX(0,W1068)))/10)*'Controls &amp; Summary'!$B$16</x:f>
        <x:v>1.5070000000000001</x:v>
      </x:c>
      <x:c r="Z1068" s="31" t="n">
        <x:f>V1068*Y1068</x:f>
        <x:v>5.434871698504535</x:v>
      </x:c>
      <x:c r="AA1068" s="30" t="str">
        <x:f>IF(Z1068&lt;=I1068,"Peaceful","Hostile")</x:f>
        <x:v>Peaceful</x:v>
      </x:c>
      <x:c r="AB1068" s="30" t="str">
        <x:f>IF(Z1068&lt;='Controls &amp; Summary'!$B$6,"Eligible","Blocked")</x:f>
        <x:v>Eligible</x:v>
      </x:c>
      <x:c r="AC1068" s="30" t="str">
        <x:v>2026_ETH</x:v>
      </x:c>
      <x:c r="AD1068" s="30" t="str">
        <x:v>2026_NER</x:v>
      </x:c>
      <x:c r="AE1068" s="30" t="str">
        <x:v>2026_Niger</x:v>
      </x:c>
      <x:c r="AF1068" s="30" t="str">
        <x:v>Explicit capitalClaim</x:v>
      </x:c>
      <x:c r="AG1068" s="30" t="str">
        <x:v>Claim2026_ETH2026_Niger</x:v>
      </x:c>
      <x:c r="AH1068" s="30" t="str">
        <x:v>Project_AfricanUnion</x:v>
      </x:c>
    </x:row>
    <x:row r="1069">
      <x:c r="A1069" s="30" t="str">
        <x:v>2026</x:v>
      </x:c>
      <x:c r="B1069" s="30" t="str">
        <x:v>Base game</x:v>
      </x:c>
      <x:c r="C1069" s="30" t="str">
        <x:v>Ethiopia</x:v>
      </x:c>
      <x:c r="D1069" s="30" t="str">
        <x:v>Nigeria</x:v>
      </x:c>
      <x:c r="E1069" s="30" t="str">
        <x:v>Project unlock</x:v>
      </x:c>
      <x:c r="F1069" s="30" t="str">
        <x:v>African Union</x:v>
      </x:c>
      <x:c r="G1069" s="30" t="str">
        <x:v>No</x:v>
      </x:c>
      <x:c r="H1069" s="30" t="str">
        <x:v>Ordinary claim</x:v>
      </x:c>
      <x:c r="I1069" s="31" t="n">
        <x:f>IF(G1069="Yes",'Controls &amp; Summary'!$B$5,'Controls &amp; Summary'!$B$4)</x:f>
        <x:v>6</x:v>
      </x:c>
      <x:c r="J1069" s="31" t="n">
        <x:v>3.13</x:v>
      </x:c>
      <x:c r="K1069" s="31" t="n">
        <x:v>4.1</x:v>
      </x:c>
      <x:c r="L1069" s="31" t="n">
        <x:f>ABS(J1069-K1069)</x:f>
        <x:v>0.9699999999999998</x:v>
      </x:c>
      <x:c r="M1069" s="31" t="n">
        <x:v>3.5</x:v>
      </x:c>
      <x:c r="N1069" s="31" t="n">
        <x:v>3.51</x:v>
      </x:c>
      <x:c r="O1069" s="31" t="n">
        <x:f>ABS(M1069-N1069)</x:f>
        <x:v>0.009999999999999787</x:v>
      </x:c>
      <x:c r="P1069" s="31" t="n">
        <x:v>3.34</x:v>
      </x:c>
      <x:c r="Q1069" s="31" t="n">
        <x:v>5.36</x:v>
      </x:c>
      <x:c r="R1069" s="31" t="n">
        <x:f>ABS(P1069-Q1069)</x:f>
        <x:v>2.0200000000000005</x:v>
      </x:c>
      <x:c r="S1069" s="32" t="n">
        <x:v>3068.915294601017</x:v>
      </x:c>
      <x:c r="T1069" s="32" t="n">
        <x:v>5753.217424022107</x:v>
      </x:c>
      <x:c r="U1069" s="31" t="n">
        <x:f>MAX(S1069/T1069,T1069/S1069)</x:f>
        <x:v>1.874674558187853</x:v>
      </x:c>
      <x:c r="V1069" s="31" t="n">
        <x:f>L1069*'Controls &amp; Summary'!$B$9+O1069*'Controls &amp; Summary'!$B$10+R1069*'Controls &amp; Summary'!$B$11+U1069*'Controls &amp; Summary'!$B$12</x:f>
        <x:v>4.874674558187853</x:v>
      </x:c>
      <x:c r="W1069" s="31" t="n">
        <x:v>0.43</x:v>
      </x:c>
      <x:c r="X1069" s="31" t="n">
        <x:v>6.5</x:v>
      </x:c>
      <x:c r="Y1069" s="31" t="n">
        <x:f>((10-MIN(10,MAX(0,X1069)))/10)*'Controls &amp; Summary'!$B$15+((10-MIN(10,MAX(0,W1069)))/10)*'Controls &amp; Summary'!$B$16</x:f>
        <x:v>1.307</x:v>
      </x:c>
      <x:c r="Z1069" s="31" t="n">
        <x:f>V1069*Y1069</x:f>
        <x:v>6.371199647551523</x:v>
      </x:c>
      <x:c r="AA1069" s="30" t="str">
        <x:f>IF(Z1069&lt;=I1069,"Peaceful","Hostile")</x:f>
        <x:v>Hostile</x:v>
      </x:c>
      <x:c r="AB1069" s="30" t="str">
        <x:f>IF(Z1069&lt;='Controls &amp; Summary'!$B$6,"Eligible","Blocked")</x:f>
        <x:v>Eligible</x:v>
      </x:c>
      <x:c r="AC1069" s="30" t="str">
        <x:v>2026_ETH</x:v>
      </x:c>
      <x:c r="AD1069" s="30" t="str">
        <x:v>2026_NGA</x:v>
      </x:c>
      <x:c r="AE1069" s="30" t="str">
        <x:v>2026_Lagos</x:v>
      </x:c>
      <x:c r="AF1069" s="30" t="str">
        <x:v>Explicit capitalClaim</x:v>
      </x:c>
      <x:c r="AG1069" s="30" t="str">
        <x:v>Claim2026_ETH2026_Lagos</x:v>
      </x:c>
      <x:c r="AH1069" s="30" t="str">
        <x:v>Project_AfricanUnion</x:v>
      </x:c>
    </x:row>
    <x:row r="1070">
      <x:c r="A1070" s="30" t="str">
        <x:v>2026</x:v>
      </x:c>
      <x:c r="B1070" s="30" t="str">
        <x:v>Base game</x:v>
      </x:c>
      <x:c r="C1070" s="30" t="str">
        <x:v>Ethiopia</x:v>
      </x:c>
      <x:c r="D1070" s="30" t="str">
        <x:v>Republic of the Congo</x:v>
      </x:c>
      <x:c r="E1070" s="30" t="str">
        <x:v>Project unlock</x:v>
      </x:c>
      <x:c r="F1070" s="30" t="str">
        <x:v>African Union</x:v>
      </x:c>
      <x:c r="G1070" s="30" t="str">
        <x:v>No</x:v>
      </x:c>
      <x:c r="H1070" s="30" t="str">
        <x:v>Ordinary claim</x:v>
      </x:c>
      <x:c r="I1070" s="31" t="n">
        <x:f>IF(G1070="Yes",'Controls &amp; Summary'!$B$5,'Controls &amp; Summary'!$B$4)</x:f>
        <x:v>6</x:v>
      </x:c>
      <x:c r="J1070" s="31" t="n">
        <x:v>3.13</x:v>
      </x:c>
      <x:c r="K1070" s="31" t="n">
        <x:v>2.79</x:v>
      </x:c>
      <x:c r="L1070" s="31" t="n">
        <x:f>ABS(J1070-K1070)</x:f>
        <x:v>0.33999999999999986</x:v>
      </x:c>
      <x:c r="M1070" s="31" t="n">
        <x:v>3.5</x:v>
      </x:c>
      <x:c r="N1070" s="31" t="n">
        <x:v>4.89</x:v>
      </x:c>
      <x:c r="O1070" s="31" t="n">
        <x:f>ABS(M1070-N1070)</x:f>
        <x:v>1.3899999999999997</x:v>
      </x:c>
      <x:c r="P1070" s="31" t="n">
        <x:v>3.34</x:v>
      </x:c>
      <x:c r="Q1070" s="31" t="n">
        <x:v>6.17</x:v>
      </x:c>
      <x:c r="R1070" s="31" t="n">
        <x:f>ABS(P1070-Q1070)</x:f>
        <x:v>2.83</x:v>
      </x:c>
      <x:c r="S1070" s="32" t="n">
        <x:v>3068.915294601017</x:v>
      </x:c>
      <x:c r="T1070" s="32" t="n">
        <x:v>5669.275870037972</x:v>
      </x:c>
      <x:c r="U1070" s="31" t="n">
        <x:f>MAX(S1070/T1070,T1070/S1070)</x:f>
        <x:v>1.8473223682685649</x:v>
      </x:c>
      <x:c r="V1070" s="31" t="n">
        <x:f>L1070*'Controls &amp; Summary'!$B$9+O1070*'Controls &amp; Summary'!$B$10+R1070*'Controls &amp; Summary'!$B$11+U1070*'Controls &amp; Summary'!$B$12</x:f>
        <x:v>6.407322368268565</x:v>
      </x:c>
      <x:c r="W1070" s="31" t="n">
        <x:v>0.43</x:v>
      </x:c>
      <x:c r="X1070" s="31" t="n">
        <x:v>0.5</x:v>
      </x:c>
      <x:c r="Y1070" s="31" t="n">
        <x:f>((10-MIN(10,MAX(0,X1070)))/10)*'Controls &amp; Summary'!$B$15+((10-MIN(10,MAX(0,W1070)))/10)*'Controls &amp; Summary'!$B$16</x:f>
        <x:v>1.907</x:v>
      </x:c>
      <x:c r="Z1070" s="31" t="n">
        <x:f>V1070*Y1070</x:f>
        <x:v>12.218763756288153</x:v>
      </x:c>
      <x:c r="AA1070" s="30" t="str">
        <x:f>IF(Z1070&lt;=I1070,"Peaceful","Hostile")</x:f>
        <x:v>Hostile</x:v>
      </x:c>
      <x:c r="AB1070" s="30" t="str">
        <x:f>IF(Z1070&lt;='Controls &amp; Summary'!$B$6,"Eligible","Blocked")</x:f>
        <x:v>Blocked</x:v>
      </x:c>
      <x:c r="AC1070" s="30" t="str">
        <x:v>2026_ETH</x:v>
      </x:c>
      <x:c r="AD1070" s="30" t="str">
        <x:v>2026_COR</x:v>
      </x:c>
      <x:c r="AE1070" s="30" t="str">
        <x:v>2026_Brazzaville</x:v>
      </x:c>
      <x:c r="AF1070" s="30" t="str">
        <x:v>Explicit capitalClaim</x:v>
      </x:c>
      <x:c r="AG1070" s="30" t="str">
        <x:v>Claim2026_ETH2026_Brazzaville</x:v>
      </x:c>
      <x:c r="AH1070" s="30" t="str">
        <x:v>Project_AfricanUnion</x:v>
      </x:c>
    </x:row>
    <x:row r="1071">
      <x:c r="A1071" s="30" t="str">
        <x:v>2026</x:v>
      </x:c>
      <x:c r="B1071" s="30" t="str">
        <x:v>Base game</x:v>
      </x:c>
      <x:c r="C1071" s="30" t="str">
        <x:v>Ethiopia</x:v>
      </x:c>
      <x:c r="D1071" s="30" t="str">
        <x:v>Rwanda-Burundi</x:v>
      </x:c>
      <x:c r="E1071" s="30" t="str">
        <x:v>Project unlock</x:v>
      </x:c>
      <x:c r="F1071" s="30" t="str">
        <x:v>African Union</x:v>
      </x:c>
      <x:c r="G1071" s="30" t="str">
        <x:v>No</x:v>
      </x:c>
      <x:c r="H1071" s="30" t="str">
        <x:v>Ordinary claim</x:v>
      </x:c>
      <x:c r="I1071" s="31" t="n">
        <x:f>IF(G1071="Yes",'Controls &amp; Summary'!$B$5,'Controls &amp; Summary'!$B$4)</x:f>
        <x:v>6</x:v>
      </x:c>
      <x:c r="J1071" s="31" t="n">
        <x:v>3.13</x:v>
      </x:c>
      <x:c r="K1071" s="31" t="n">
        <x:v>2.74</x:v>
      </x:c>
      <x:c r="L1071" s="31" t="n">
        <x:f>ABS(J1071-K1071)</x:f>
        <x:v>0.3899999999999997</x:v>
      </x:c>
      <x:c r="M1071" s="31" t="n">
        <x:v>3.5</x:v>
      </x:c>
      <x:c r="N1071" s="31" t="n">
        <x:v>4.06</x:v>
      </x:c>
      <x:c r="O1071" s="31" t="n">
        <x:f>ABS(M1071-N1071)</x:f>
        <x:v>0.5599999999999996</x:v>
      </x:c>
      <x:c r="P1071" s="31" t="n">
        <x:v>3.34</x:v>
      </x:c>
      <x:c r="Q1071" s="31" t="n">
        <x:v>4.46</x:v>
      </x:c>
      <x:c r="R1071" s="31" t="n">
        <x:f>ABS(P1071-Q1071)</x:f>
        <x:v>1.12</x:v>
      </x:c>
      <x:c r="S1071" s="32" t="n">
        <x:v>3068.915294601017</x:v>
      </x:c>
      <x:c r="T1071" s="32" t="n">
        <x:v>2141.911654233706</x:v>
      </x:c>
      <x:c r="U1071" s="31" t="n">
        <x:f>MAX(S1071/T1071,T1071/S1071)</x:f>
        <x:v>1.4327926590879667</x:v>
      </x:c>
      <x:c r="V1071" s="31" t="n">
        <x:f>L1071*'Controls &amp; Summary'!$B$9+O1071*'Controls &amp; Summary'!$B$10+R1071*'Controls &amp; Summary'!$B$11+U1071*'Controls &amp; Summary'!$B$12</x:f>
        <x:v>3.502792659087966</x:v>
      </x:c>
      <x:c r="W1071" s="31" t="n">
        <x:v>0.43</x:v>
      </x:c>
      <x:c r="X1071" s="31" t="n">
        <x:v>2.49</x:v>
      </x:c>
      <x:c r="Y1071" s="31" t="n">
        <x:f>((10-MIN(10,MAX(0,X1071)))/10)*'Controls &amp; Summary'!$B$15+((10-MIN(10,MAX(0,W1071)))/10)*'Controls &amp; Summary'!$B$16</x:f>
        <x:v>1.7080000000000002</x:v>
      </x:c>
      <x:c r="Z1071" s="31" t="n">
        <x:f>V1071*Y1071</x:f>
        <x:v>5.982769861722247</x:v>
      </x:c>
      <x:c r="AA1071" s="30" t="str">
        <x:f>IF(Z1071&lt;=I1071,"Peaceful","Hostile")</x:f>
        <x:v>Peaceful</x:v>
      </x:c>
      <x:c r="AB1071" s="30" t="str">
        <x:f>IF(Z1071&lt;='Controls &amp; Summary'!$B$6,"Eligible","Blocked")</x:f>
        <x:v>Eligible</x:v>
      </x:c>
      <x:c r="AC1071" s="30" t="str">
        <x:v>2026_ETH</x:v>
      </x:c>
      <x:c r="AD1071" s="30" t="str">
        <x:v>2026_RWB</x:v>
      </x:c>
      <x:c r="AE1071" s="30" t="str">
        <x:v>2026_Kigali</x:v>
      </x:c>
      <x:c r="AF1071" s="30" t="str">
        <x:v>Explicit capitalClaim</x:v>
      </x:c>
      <x:c r="AG1071" s="30" t="str">
        <x:v>Claim2026_ETH2026_Kigali</x:v>
      </x:c>
      <x:c r="AH1071" s="30" t="str">
        <x:v>Project_AfricanUnion</x:v>
      </x:c>
    </x:row>
    <x:row r="1072">
      <x:c r="A1072" s="30" t="str">
        <x:v>2026</x:v>
      </x:c>
      <x:c r="B1072" s="30" t="str">
        <x:v>Base game</x:v>
      </x:c>
      <x:c r="C1072" s="30" t="str">
        <x:v>Ethiopia</x:v>
      </x:c>
      <x:c r="D1072" s="30" t="str">
        <x:v>Sao Tome and Principe</x:v>
      </x:c>
      <x:c r="E1072" s="30" t="str">
        <x:v>Project unlock</x:v>
      </x:c>
      <x:c r="F1072" s="30" t="str">
        <x:v>African Union</x:v>
      </x:c>
      <x:c r="G1072" s="30" t="str">
        <x:v>No</x:v>
      </x:c>
      <x:c r="H1072" s="30" t="str">
        <x:v>Ordinary claim</x:v>
      </x:c>
      <x:c r="I1072" s="31" t="n">
        <x:f>IF(G1072="Yes",'Controls &amp; Summary'!$B$5,'Controls &amp; Summary'!$B$4)</x:f>
        <x:v>6</x:v>
      </x:c>
      <x:c r="J1072" s="31" t="n">
        <x:v>3.13</x:v>
      </x:c>
      <x:c r="K1072" s="31" t="n">
        <x:v>7.8</x:v>
      </x:c>
      <x:c r="L1072" s="31" t="n">
        <x:f>ABS(J1072-K1072)</x:f>
        <x:v>4.67</x:v>
      </x:c>
      <x:c r="M1072" s="31" t="n">
        <x:v>3.5</x:v>
      </x:c>
      <x:c r="N1072" s="31" t="n">
        <x:v>4.07</x:v>
      </x:c>
      <x:c r="O1072" s="31" t="n">
        <x:f>ABS(M1072-N1072)</x:f>
        <x:v>0.5700000000000003</x:v>
      </x:c>
      <x:c r="P1072" s="31" t="n">
        <x:v>3.34</x:v>
      </x:c>
      <x:c r="Q1072" s="31" t="n">
        <x:v>5.49</x:v>
      </x:c>
      <x:c r="R1072" s="31" t="n">
        <x:f>ABS(P1072-Q1072)</x:f>
        <x:v>2.1500000000000004</x:v>
      </x:c>
      <x:c r="S1072" s="32" t="n">
        <x:v>3068.915294601017</x:v>
      </x:c>
      <x:c r="T1072" s="32" t="n">
        <x:v>5581.850984105733</x:v>
      </x:c>
      <x:c r="U1072" s="31" t="n">
        <x:f>MAX(S1072/T1072,T1072/S1072)</x:f>
        <x:v>1.8188351414995365</x:v>
      </x:c>
      <x:c r="V1072" s="31" t="n">
        <x:f>L1072*'Controls &amp; Summary'!$B$9+O1072*'Controls &amp; Summary'!$B$10+R1072*'Controls &amp; Summary'!$B$11+U1072*'Controls &amp; Summary'!$B$12</x:f>
        <x:v>9.208835141499538</x:v>
      </x:c>
      <x:c r="W1072" s="31" t="n">
        <x:v>0.43</x:v>
      </x:c>
      <x:c r="X1072" s="31" t="n">
        <x:v>0.5</x:v>
      </x:c>
      <x:c r="Y1072" s="31" t="n">
        <x:f>((10-MIN(10,MAX(0,X1072)))/10)*'Controls &amp; Summary'!$B$15+((10-MIN(10,MAX(0,W1072)))/10)*'Controls &amp; Summary'!$B$16</x:f>
        <x:v>1.907</x:v>
      </x:c>
      <x:c r="Z1072" s="31" t="n">
        <x:f>V1072*Y1072</x:f>
        <x:v>17.56124861483962</x:v>
      </x:c>
      <x:c r="AA1072" s="30" t="str">
        <x:f>IF(Z1072&lt;=I1072,"Peaceful","Hostile")</x:f>
        <x:v>Hostile</x:v>
      </x:c>
      <x:c r="AB1072" s="30" t="str">
        <x:f>IF(Z1072&lt;='Controls &amp; Summary'!$B$6,"Eligible","Blocked")</x:f>
        <x:v>Blocked</x:v>
      </x:c>
      <x:c r="AC1072" s="30" t="str">
        <x:v>2026_ETH</x:v>
      </x:c>
      <x:c r="AD1072" s="30" t="str">
        <x:v>2026_STP</x:v>
      </x:c>
      <x:c r="AE1072" s="30" t="str">
        <x:v>2026_SaoTomePrincipe</x:v>
      </x:c>
      <x:c r="AF1072" s="30" t="str">
        <x:v>Explicit capitalClaim</x:v>
      </x:c>
      <x:c r="AG1072" s="30" t="str">
        <x:v>Claim2026_ETH2026_SaoTomePrincipe</x:v>
      </x:c>
      <x:c r="AH1072" s="30" t="str">
        <x:v>Project_AfricanUnion</x:v>
      </x:c>
    </x:row>
    <x:row r="1073">
      <x:c r="A1073" s="30" t="str">
        <x:v>2026</x:v>
      </x:c>
      <x:c r="B1073" s="30" t="str">
        <x:v>Base game</x:v>
      </x:c>
      <x:c r="C1073" s="30" t="str">
        <x:v>Ethiopia</x:v>
      </x:c>
      <x:c r="D1073" s="30" t="str">
        <x:v>Senegal</x:v>
      </x:c>
      <x:c r="E1073" s="30" t="str">
        <x:v>Project unlock</x:v>
      </x:c>
      <x:c r="F1073" s="30" t="str">
        <x:v>African Union</x:v>
      </x:c>
      <x:c r="G1073" s="30" t="str">
        <x:v>No</x:v>
      </x:c>
      <x:c r="H1073" s="30" t="str">
        <x:v>Ordinary claim</x:v>
      </x:c>
      <x:c r="I1073" s="31" t="n">
        <x:f>IF(G1073="Yes",'Controls &amp; Summary'!$B$5,'Controls &amp; Summary'!$B$4)</x:f>
        <x:v>6</x:v>
      </x:c>
      <x:c r="J1073" s="31" t="n">
        <x:v>3.13</x:v>
      </x:c>
      <x:c r="K1073" s="31" t="n">
        <x:v>6.05</x:v>
      </x:c>
      <x:c r="L1073" s="31" t="n">
        <x:f>ABS(J1073-K1073)</x:f>
        <x:v>2.92</x:v>
      </x:c>
      <x:c r="M1073" s="31" t="n">
        <x:v>3.5</x:v>
      </x:c>
      <x:c r="N1073" s="31" t="n">
        <x:v>3.62</x:v>
      </x:c>
      <x:c r="O1073" s="31" t="n">
        <x:f>ABS(M1073-N1073)</x:f>
        <x:v>0.1200000000000001</x:v>
      </x:c>
      <x:c r="P1073" s="31" t="n">
        <x:v>3.34</x:v>
      </x:c>
      <x:c r="Q1073" s="31" t="n">
        <x:v>3.47</x:v>
      </x:c>
      <x:c r="R1073" s="31" t="n">
        <x:f>ABS(P1073-Q1073)</x:f>
        <x:v>0.13000000000000034</x:v>
      </x:c>
      <x:c r="S1073" s="32" t="n">
        <x:v>3068.915294601017</x:v>
      </x:c>
      <x:c r="T1073" s="32" t="n">
        <x:v>4790.652417766966</x:v>
      </x:c>
      <x:c r="U1073" s="31" t="n">
        <x:f>MAX(S1073/T1073,T1073/S1073)</x:f>
        <x:v>1.5610246480881735</x:v>
      </x:c>
      <x:c r="V1073" s="31" t="n">
        <x:f>L1073*'Controls &amp; Summary'!$B$9+O1073*'Controls &amp; Summary'!$B$10+R1073*'Controls &amp; Summary'!$B$11+U1073*'Controls &amp; Summary'!$B$12</x:f>
        <x:v>4.731024648088174</x:v>
      </x:c>
      <x:c r="W1073" s="31" t="n">
        <x:v>0.43</x:v>
      </x:c>
      <x:c r="X1073" s="31" t="n">
        <x:v>1</x:v>
      </x:c>
      <x:c r="Y1073" s="31" t="n">
        <x:f>((10-MIN(10,MAX(0,X1073)))/10)*'Controls &amp; Summary'!$B$15+((10-MIN(10,MAX(0,W1073)))/10)*'Controls &amp; Summary'!$B$16</x:f>
        <x:v>1.8570000000000002</x:v>
      </x:c>
      <x:c r="Z1073" s="31" t="n">
        <x:f>V1073*Y1073</x:f>
        <x:v>8.78551277149974</x:v>
      </x:c>
      <x:c r="AA1073" s="30" t="str">
        <x:f>IF(Z1073&lt;=I1073,"Peaceful","Hostile")</x:f>
        <x:v>Hostile</x:v>
      </x:c>
      <x:c r="AB1073" s="30" t="str">
        <x:f>IF(Z1073&lt;='Controls &amp; Summary'!$B$6,"Eligible","Blocked")</x:f>
        <x:v>Eligible</x:v>
      </x:c>
      <x:c r="AC1073" s="30" t="str">
        <x:v>2026_ETH</x:v>
      </x:c>
      <x:c r="AD1073" s="30" t="str">
        <x:v>2026_SEG</x:v>
      </x:c>
      <x:c r="AE1073" s="30" t="str">
        <x:v>2026_Senegambia</x:v>
      </x:c>
      <x:c r="AF1073" s="30" t="str">
        <x:v>Explicit capitalClaim</x:v>
      </x:c>
      <x:c r="AG1073" s="30" t="str">
        <x:v>Claim2026_ETH2026_Senegambia</x:v>
      </x:c>
      <x:c r="AH1073" s="30" t="str">
        <x:v>Project_AfricanUnion</x:v>
      </x:c>
    </x:row>
    <x:row r="1074">
      <x:c r="A1074" s="30" t="str">
        <x:v>2026</x:v>
      </x:c>
      <x:c r="B1074" s="30" t="str">
        <x:v>Base game</x:v>
      </x:c>
      <x:c r="C1074" s="30" t="str">
        <x:v>Ethiopia</x:v>
      </x:c>
      <x:c r="D1074" s="30" t="str">
        <x:v>Seychelles</x:v>
      </x:c>
      <x:c r="E1074" s="30" t="str">
        <x:v>Project unlock</x:v>
      </x:c>
      <x:c r="F1074" s="30" t="str">
        <x:v>African Union</x:v>
      </x:c>
      <x:c r="G1074" s="30" t="str">
        <x:v>No</x:v>
      </x:c>
      <x:c r="H1074" s="30" t="str">
        <x:v>Ordinary claim</x:v>
      </x:c>
      <x:c r="I1074" s="31" t="n">
        <x:f>IF(G1074="Yes",'Controls &amp; Summary'!$B$5,'Controls &amp; Summary'!$B$4)</x:f>
        <x:v>6</x:v>
      </x:c>
      <x:c r="J1074" s="31" t="n">
        <x:v>3.13</x:v>
      </x:c>
      <x:c r="K1074" s="31" t="n">
        <x:v>8</x:v>
      </x:c>
      <x:c r="L1074" s="31" t="n">
        <x:f>ABS(J1074-K1074)</x:f>
        <x:v>4.87</x:v>
      </x:c>
      <x:c r="M1074" s="31" t="n">
        <x:v>3.5</x:v>
      </x:c>
      <x:c r="N1074" s="31" t="n">
        <x:v>3.21</x:v>
      </x:c>
      <x:c r="O1074" s="31" t="n">
        <x:f>ABS(M1074-N1074)</x:f>
        <x:v>0.29000000000000004</x:v>
      </x:c>
      <x:c r="P1074" s="31" t="n">
        <x:v>3.34</x:v>
      </x:c>
      <x:c r="Q1074" s="31" t="n">
        <x:v>8.58</x:v>
      </x:c>
      <x:c r="R1074" s="31" t="n">
        <x:f>ABS(P1074-Q1074)</x:f>
        <x:v>5.24</x:v>
      </x:c>
      <x:c r="S1074" s="32" t="n">
        <x:v>3068.915294601017</x:v>
      </x:c>
      <x:c r="T1074" s="32" t="n">
        <x:v>27829.488955905126</x:v>
      </x:c>
      <x:c r="U1074" s="31" t="n">
        <x:f>MAX(S1074/T1074,T1074/S1074)</x:f>
        <x:v>9.068184125141576</x:v>
      </x:c>
      <x:c r="V1074" s="31" t="n">
        <x:f>L1074*'Controls &amp; Summary'!$B$9+O1074*'Controls &amp; Summary'!$B$10+R1074*'Controls &amp; Summary'!$B$11+U1074*'Controls &amp; Summary'!$B$12</x:f>
        <x:v>19.468184125141576</x:v>
      </x:c>
      <x:c r="W1074" s="31" t="n">
        <x:v>0.43</x:v>
      </x:c>
      <x:c r="X1074" s="31" t="n">
        <x:v>0</x:v>
      </x:c>
      <x:c r="Y1074" s="31" t="n">
        <x:f>((10-MIN(10,MAX(0,X1074)))/10)*'Controls &amp; Summary'!$B$15+((10-MIN(10,MAX(0,W1074)))/10)*'Controls &amp; Summary'!$B$16</x:f>
        <x:v>1.957</x:v>
      </x:c>
      <x:c r="Z1074" s="31" t="n">
        <x:f>V1074*Y1074</x:f>
        <x:v>38.099236332902066</x:v>
      </x:c>
      <x:c r="AA1074" s="30" t="str">
        <x:f>IF(Z1074&lt;=I1074,"Peaceful","Hostile")</x:f>
        <x:v>Hostile</x:v>
      </x:c>
      <x:c r="AB1074" s="30" t="str">
        <x:f>IF(Z1074&lt;='Controls &amp; Summary'!$B$6,"Eligible","Blocked")</x:f>
        <x:v>Blocked</x:v>
      </x:c>
      <x:c r="AC1074" s="30" t="str">
        <x:v>2026_ETH</x:v>
      </x:c>
      <x:c r="AD1074" s="30" t="str">
        <x:v>2026_SYC</x:v>
      </x:c>
      <x:c r="AE1074" s="30" t="str">
        <x:v>2026_Seychelles</x:v>
      </x:c>
      <x:c r="AF1074" s="30" t="str">
        <x:v>Explicit capitalClaim</x:v>
      </x:c>
      <x:c r="AG1074" s="30" t="str">
        <x:v>Claim2026_ETH2026_Seychelles</x:v>
      </x:c>
      <x:c r="AH1074" s="30" t="str">
        <x:v>Project_AfricanUnion</x:v>
      </x:c>
    </x:row>
    <x:row r="1075">
      <x:c r="A1075" s="30" t="str">
        <x:v>2026</x:v>
      </x:c>
      <x:c r="B1075" s="30" t="str">
        <x:v>Base game</x:v>
      </x:c>
      <x:c r="C1075" s="30" t="str">
        <x:v>Ethiopia</x:v>
      </x:c>
      <x:c r="D1075" s="30" t="str">
        <x:v>Sierra Leone</x:v>
      </x:c>
      <x:c r="E1075" s="30" t="str">
        <x:v>Project unlock</x:v>
      </x:c>
      <x:c r="F1075" s="30" t="str">
        <x:v>African Union</x:v>
      </x:c>
      <x:c r="G1075" s="30" t="str">
        <x:v>No</x:v>
      </x:c>
      <x:c r="H1075" s="30" t="str">
        <x:v>Ordinary claim</x:v>
      </x:c>
      <x:c r="I1075" s="31" t="n">
        <x:f>IF(G1075="Yes",'Controls &amp; Summary'!$B$5,'Controls &amp; Summary'!$B$4)</x:f>
        <x:v>6</x:v>
      </x:c>
      <x:c r="J1075" s="31" t="n">
        <x:v>3.13</x:v>
      </x:c>
      <x:c r="K1075" s="31" t="n">
        <x:v>4.44</x:v>
      </x:c>
      <x:c r="L1075" s="31" t="n">
        <x:f>ABS(J1075-K1075)</x:f>
        <x:v>1.3100000000000005</x:v>
      </x:c>
      <x:c r="M1075" s="31" t="n">
        <x:v>3.5</x:v>
      </x:c>
      <x:c r="N1075" s="31" t="n">
        <x:v>3.57</x:v>
      </x:c>
      <x:c r="O1075" s="31" t="n">
        <x:f>ABS(M1075-N1075)</x:f>
        <x:v>0.06999999999999984</x:v>
      </x:c>
      <x:c r="P1075" s="31" t="n">
        <x:v>3.34</x:v>
      </x:c>
      <x:c r="Q1075" s="31" t="n">
        <x:v>3.66</x:v>
      </x:c>
      <x:c r="R1075" s="31" t="n">
        <x:f>ABS(P1075-Q1075)</x:f>
        <x:v>0.3200000000000003</x:v>
      </x:c>
      <x:c r="S1075" s="32" t="n">
        <x:v>3068.915294601017</x:v>
      </x:c>
      <x:c r="T1075" s="32" t="n">
        <x:v>3179.416555654295</x:v>
      </x:c>
      <x:c r="U1075" s="31" t="n">
        <x:f>MAX(S1075/T1075,T1075/S1075)</x:f>
        <x:v>1.0360066181193326</x:v>
      </x:c>
      <x:c r="V1075" s="31" t="n">
        <x:f>L1075*'Controls &amp; Summary'!$B$9+O1075*'Controls &amp; Summary'!$B$10+R1075*'Controls &amp; Summary'!$B$11+U1075*'Controls &amp; Summary'!$B$12</x:f>
        <x:v>2.736006618119333</x:v>
      </x:c>
      <x:c r="W1075" s="31" t="n">
        <x:v>0.43</x:v>
      </x:c>
      <x:c r="X1075" s="31" t="n">
        <x:v>1</x:v>
      </x:c>
      <x:c r="Y1075" s="31" t="n">
        <x:f>((10-MIN(10,MAX(0,X1075)))/10)*'Controls &amp; Summary'!$B$15+((10-MIN(10,MAX(0,W1075)))/10)*'Controls &amp; Summary'!$B$16</x:f>
        <x:v>1.8570000000000002</x:v>
      </x:c>
      <x:c r="Z1075" s="31" t="n">
        <x:f>V1075*Y1075</x:f>
        <x:v>5.080764289847602</x:v>
      </x:c>
      <x:c r="AA1075" s="30" t="str">
        <x:f>IF(Z1075&lt;=I1075,"Peaceful","Hostile")</x:f>
        <x:v>Peaceful</x:v>
      </x:c>
      <x:c r="AB1075" s="30" t="str">
        <x:f>IF(Z1075&lt;='Controls &amp; Summary'!$B$6,"Eligible","Blocked")</x:f>
        <x:v>Eligible</x:v>
      </x:c>
      <x:c r="AC1075" s="30" t="str">
        <x:v>2026_ETH</x:v>
      </x:c>
      <x:c r="AD1075" s="30" t="str">
        <x:v>2026_SLE</x:v>
      </x:c>
      <x:c r="AE1075" s="30" t="str">
        <x:v>2026_SierraLeone</x:v>
      </x:c>
      <x:c r="AF1075" s="30" t="str">
        <x:v>Explicit capitalClaim</x:v>
      </x:c>
      <x:c r="AG1075" s="30" t="str">
        <x:v>Claim2026_ETH2026_SierraLeone</x:v>
      </x:c>
      <x:c r="AH1075" s="30" t="str">
        <x:v>Project_AfricanUnion</x:v>
      </x:c>
    </x:row>
    <x:row r="1076">
      <x:c r="A1076" s="30" t="str">
        <x:v>2026</x:v>
      </x:c>
      <x:c r="B1076" s="30" t="str">
        <x:v>Base game</x:v>
      </x:c>
      <x:c r="C1076" s="30" t="str">
        <x:v>Ethiopia</x:v>
      </x:c>
      <x:c r="D1076" s="30" t="str">
        <x:v>Somalia</x:v>
      </x:c>
      <x:c r="E1076" s="30" t="str">
        <x:v>Project unlock</x:v>
      </x:c>
      <x:c r="F1076" s="30" t="str">
        <x:v>African Union</x:v>
      </x:c>
      <x:c r="G1076" s="30" t="str">
        <x:v>No</x:v>
      </x:c>
      <x:c r="H1076" s="30" t="str">
        <x:v>Ordinary claim</x:v>
      </x:c>
      <x:c r="I1076" s="31" t="n">
        <x:f>IF(G1076="Yes",'Controls &amp; Summary'!$B$5,'Controls &amp; Summary'!$B$4)</x:f>
        <x:v>6</x:v>
      </x:c>
      <x:c r="J1076" s="31" t="n">
        <x:v>3.13</x:v>
      </x:c>
      <x:c r="K1076" s="31" t="n">
        <x:v>1.4</x:v>
      </x:c>
      <x:c r="L1076" s="31" t="n">
        <x:f>ABS(J1076-K1076)</x:f>
        <x:v>1.73</x:v>
      </x:c>
      <x:c r="M1076" s="31" t="n">
        <x:v>3.5</x:v>
      </x:c>
      <x:c r="N1076" s="31" t="n">
        <x:v>4.42</x:v>
      </x:c>
      <x:c r="O1076" s="31" t="n">
        <x:f>ABS(M1076-N1076)</x:f>
        <x:v>0.9199999999999999</x:v>
      </x:c>
      <x:c r="P1076" s="31" t="n">
        <x:v>3.34</x:v>
      </x:c>
      <x:c r="Q1076" s="31" t="n">
        <x:v>2.72</x:v>
      </x:c>
      <x:c r="R1076" s="31" t="n">
        <x:f>ABS(P1076-Q1076)</x:f>
        <x:v>0.6199999999999997</x:v>
      </x:c>
      <x:c r="S1076" s="32" t="n">
        <x:v>3068.915294601017</x:v>
      </x:c>
      <x:c r="T1076" s="32" t="n">
        <x:v>1679.695371433286</x:v>
      </x:c>
      <x:c r="U1076" s="31" t="n">
        <x:f>MAX(S1076/T1076,T1076/S1076)</x:f>
        <x:v>1.8270665900462106</x:v>
      </x:c>
      <x:c r="V1076" s="31" t="n">
        <x:f>L1076*'Controls &amp; Summary'!$B$9+O1076*'Controls &amp; Summary'!$B$10+R1076*'Controls &amp; Summary'!$B$11+U1076*'Controls &amp; Summary'!$B$12</x:f>
        <x:v>5.09706659004621</x:v>
      </x:c>
      <x:c r="W1076" s="31" t="n">
        <x:v>0.43</x:v>
      </x:c>
      <x:c r="X1076" s="31" t="n">
        <x:v>5.25</x:v>
      </x:c>
      <x:c r="Y1076" s="31" t="n">
        <x:f>((10-MIN(10,MAX(0,X1076)))/10)*'Controls &amp; Summary'!$B$15+((10-MIN(10,MAX(0,W1076)))/10)*'Controls &amp; Summary'!$B$16</x:f>
        <x:v>1.432</x:v>
      </x:c>
      <x:c r="Z1076" s="31" t="n">
        <x:f>V1076*Y1076</x:f>
        <x:v>7.298999356946172</x:v>
      </x:c>
      <x:c r="AA1076" s="30" t="str">
        <x:f>IF(Z1076&lt;=I1076,"Peaceful","Hostile")</x:f>
        <x:v>Hostile</x:v>
      </x:c>
      <x:c r="AB1076" s="30" t="str">
        <x:f>IF(Z1076&lt;='Controls &amp; Summary'!$B$6,"Eligible","Blocked")</x:f>
        <x:v>Eligible</x:v>
      </x:c>
      <x:c r="AC1076" s="30" t="str">
        <x:v>2026_ETH</x:v>
      </x:c>
      <x:c r="AD1076" s="30" t="str">
        <x:v>2026_SOM</x:v>
      </x:c>
      <x:c r="AE1076" s="30" t="str">
        <x:v>2026_Somalia</x:v>
      </x:c>
      <x:c r="AF1076" s="30" t="str">
        <x:v>Explicit capitalClaim</x:v>
      </x:c>
      <x:c r="AG1076" s="30" t="str">
        <x:v>Claim2026_ETH2026_Somalia</x:v>
      </x:c>
      <x:c r="AH1076" s="30" t="str">
        <x:v>Project_AfricanUnion</x:v>
      </x:c>
    </x:row>
    <x:row r="1077">
      <x:c r="A1077" s="30" t="str">
        <x:v>2026</x:v>
      </x:c>
      <x:c r="B1077" s="30" t="str">
        <x:v>Base game</x:v>
      </x:c>
      <x:c r="C1077" s="30" t="str">
        <x:v>Ethiopia</x:v>
      </x:c>
      <x:c r="D1077" s="30" t="str">
        <x:v>Somaliland</x:v>
      </x:c>
      <x:c r="E1077" s="30" t="str">
        <x:v>Project unlock</x:v>
      </x:c>
      <x:c r="F1077" s="30" t="str">
        <x:v>African Union</x:v>
      </x:c>
      <x:c r="G1077" s="30" t="str">
        <x:v>No</x:v>
      </x:c>
      <x:c r="H1077" s="30" t="str">
        <x:v>Ordinary claim</x:v>
      </x:c>
      <x:c r="I1077" s="31" t="n">
        <x:f>IF(G1077="Yes",'Controls &amp; Summary'!$B$5,'Controls &amp; Summary'!$B$4)</x:f>
        <x:v>6</x:v>
      </x:c>
      <x:c r="J1077" s="31" t="n">
        <x:v>3.13</x:v>
      </x:c>
      <x:c r="K1077" s="31" t="n">
        <x:v>4.7</x:v>
      </x:c>
      <x:c r="L1077" s="31" t="n">
        <x:f>ABS(J1077-K1077)</x:f>
        <x:v>1.5700000000000003</x:v>
      </x:c>
      <x:c r="M1077" s="31" t="n">
        <x:v>3.5</x:v>
      </x:c>
      <x:c r="N1077" s="31" t="n">
        <x:v>3.9</x:v>
      </x:c>
      <x:c r="O1077" s="31" t="n">
        <x:f>ABS(M1077-N1077)</x:f>
        <x:v>0.3999999999999999</x:v>
      </x:c>
      <x:c r="P1077" s="31" t="n">
        <x:v>3.34</x:v>
      </x:c>
      <x:c r="Q1077" s="31" t="n">
        <x:v>4</x:v>
      </x:c>
      <x:c r="R1077" s="31" t="n">
        <x:f>ABS(P1077-Q1077)</x:f>
        <x:v>0.6600000000000001</x:v>
      </x:c>
      <x:c r="S1077" s="32" t="n">
        <x:v>3068.915294601017</x:v>
      </x:c>
      <x:c r="T1077" s="32" t="n">
        <x:v>1322.4818903001526</x:v>
      </x:c>
      <x:c r="U1077" s="31" t="n">
        <x:f>MAX(S1077/T1077,T1077/S1077)</x:f>
        <x:v>2.3205726423251747</x:v>
      </x:c>
      <x:c r="V1077" s="31" t="n">
        <x:f>L1077*'Controls &amp; Summary'!$B$9+O1077*'Controls &amp; Summary'!$B$10+R1077*'Controls &amp; Summary'!$B$11+U1077*'Controls &amp; Summary'!$B$12</x:f>
        <x:v>4.9505726423251755</x:v>
      </x:c>
      <x:c r="W1077" s="31" t="n">
        <x:v>0.43</x:v>
      </x:c>
      <x:c r="X1077" s="31" t="n">
        <x:v>2</x:v>
      </x:c>
      <x:c r="Y1077" s="31" t="n">
        <x:f>((10-MIN(10,MAX(0,X1077)))/10)*'Controls &amp; Summary'!$B$15+((10-MIN(10,MAX(0,W1077)))/10)*'Controls &amp; Summary'!$B$16</x:f>
        <x:v>1.7570000000000001</x:v>
      </x:c>
      <x:c r="Z1077" s="31" t="n">
        <x:f>V1077*Y1077</x:f>
        <x:v>8.698156132565334</x:v>
      </x:c>
      <x:c r="AA1077" s="30" t="str">
        <x:f>IF(Z1077&lt;=I1077,"Peaceful","Hostile")</x:f>
        <x:v>Hostile</x:v>
      </x:c>
      <x:c r="AB1077" s="30" t="str">
        <x:f>IF(Z1077&lt;='Controls &amp; Summary'!$B$6,"Eligible","Blocked")</x:f>
        <x:v>Eligible</x:v>
      </x:c>
      <x:c r="AC1077" s="30" t="str">
        <x:v>2026_ETH</x:v>
      </x:c>
      <x:c r="AD1077" s="30" t="str">
        <x:v>2026_SOL</x:v>
      </x:c>
      <x:c r="AE1077" s="30" t="str">
        <x:v>2026_Somaliland</x:v>
      </x:c>
      <x:c r="AF1077" s="30" t="str">
        <x:v>Explicit capitalClaim</x:v>
      </x:c>
      <x:c r="AG1077" s="30" t="str">
        <x:v>Claim2026_ETH2026_Somaliland</x:v>
      </x:c>
      <x:c r="AH1077" s="30" t="str">
        <x:v>Project_AfricanUnion</x:v>
      </x:c>
    </x:row>
    <x:row r="1078">
      <x:c r="A1078" s="30" t="str">
        <x:v>2026</x:v>
      </x:c>
      <x:c r="B1078" s="30" t="str">
        <x:v>Base game</x:v>
      </x:c>
      <x:c r="C1078" s="30" t="str">
        <x:v>Ethiopia</x:v>
      </x:c>
      <x:c r="D1078" s="30" t="str">
        <x:v>South Africa</x:v>
      </x:c>
      <x:c r="E1078" s="30" t="str">
        <x:v>Project unlock</x:v>
      </x:c>
      <x:c r="F1078" s="30" t="str">
        <x:v>African Union</x:v>
      </x:c>
      <x:c r="G1078" s="30" t="str">
        <x:v>No</x:v>
      </x:c>
      <x:c r="H1078" s="30" t="str">
        <x:v>Ordinary claim</x:v>
      </x:c>
      <x:c r="I1078" s="31" t="n">
        <x:f>IF(G1078="Yes",'Controls &amp; Summary'!$B$5,'Controls &amp; Summary'!$B$4)</x:f>
        <x:v>6</x:v>
      </x:c>
      <x:c r="J1078" s="31" t="n">
        <x:v>3.13</x:v>
      </x:c>
      <x:c r="K1078" s="31" t="n">
        <x:v>7.16</x:v>
      </x:c>
      <x:c r="L1078" s="31" t="n">
        <x:f>ABS(J1078-K1078)</x:f>
        <x:v>4.03</x:v>
      </x:c>
      <x:c r="M1078" s="31" t="n">
        <x:v>3.5</x:v>
      </x:c>
      <x:c r="N1078" s="31" t="n">
        <x:v>6.3</x:v>
      </x:c>
      <x:c r="O1078" s="31" t="n">
        <x:f>ABS(M1078-N1078)</x:f>
        <x:v>2.8</x:v>
      </x:c>
      <x:c r="P1078" s="31" t="n">
        <x:v>3.34</x:v>
      </x:c>
      <x:c r="Q1078" s="31" t="n">
        <x:v>7.53</x:v>
      </x:c>
      <x:c r="R1078" s="31" t="n">
        <x:f>ABS(P1078-Q1078)</x:f>
        <x:v>4.19</x:v>
      </x:c>
      <x:c r="S1078" s="32" t="n">
        <x:v>3068.915294601017</x:v>
      </x:c>
      <x:c r="T1078" s="32" t="n">
        <x:v>13070.325752106652</x:v>
      </x:c>
      <x:c r="U1078" s="31" t="n">
        <x:f>MAX(S1078/T1078,T1078/S1078)</x:f>
        <x:v>4.258939885079459</x:v>
      </x:c>
      <x:c r="V1078" s="31" t="n">
        <x:f>L1078*'Controls &amp; Summary'!$B$9+O1078*'Controls &amp; Summary'!$B$10+R1078*'Controls &amp; Summary'!$B$11+U1078*'Controls &amp; Summary'!$B$12</x:f>
        <x:v>15.27893988507946</x:v>
      </x:c>
      <x:c r="W1078" s="31" t="n">
        <x:v>0.43</x:v>
      </x:c>
      <x:c r="X1078" s="31" t="n">
        <x:v>4</x:v>
      </x:c>
      <x:c r="Y1078" s="31" t="n">
        <x:f>((10-MIN(10,MAX(0,X1078)))/10)*'Controls &amp; Summary'!$B$15+((10-MIN(10,MAX(0,W1078)))/10)*'Controls &amp; Summary'!$B$16</x:f>
        <x:v>1.557</x:v>
      </x:c>
      <x:c r="Z1078" s="31" t="n">
        <x:f>V1078*Y1078</x:f>
        <x:v>23.789309401068717</x:v>
      </x:c>
      <x:c r="AA1078" s="30" t="str">
        <x:f>IF(Z1078&lt;=I1078,"Peaceful","Hostile")</x:f>
        <x:v>Hostile</x:v>
      </x:c>
      <x:c r="AB1078" s="30" t="str">
        <x:f>IF(Z1078&lt;='Controls &amp; Summary'!$B$6,"Eligible","Blocked")</x:f>
        <x:v>Blocked</x:v>
      </x:c>
      <x:c r="AC1078" s="30" t="str">
        <x:v>2026_ETH</x:v>
      </x:c>
      <x:c r="AD1078" s="30" t="str">
        <x:v>2026_ZAF</x:v>
      </x:c>
      <x:c r="AE1078" s="30" t="str">
        <x:v>2026_Johannesburg</x:v>
      </x:c>
      <x:c r="AF1078" s="30" t="str">
        <x:v>Explicit capitalClaim</x:v>
      </x:c>
      <x:c r="AG1078" s="30" t="str">
        <x:v>Claim2026_ETH2026_Johannesburg</x:v>
      </x:c>
      <x:c r="AH1078" s="30" t="str">
        <x:v>Project_AfricanUnion</x:v>
      </x:c>
    </x:row>
    <x:row r="1079">
      <x:c r="A1079" s="30" t="str">
        <x:v>2026</x:v>
      </x:c>
      <x:c r="B1079" s="30" t="str">
        <x:v>Base game</x:v>
      </x:c>
      <x:c r="C1079" s="30" t="str">
        <x:v>Ethiopia</x:v>
      </x:c>
      <x:c r="D1079" s="30" t="str">
        <x:v>South Sudan</x:v>
      </x:c>
      <x:c r="E1079" s="30" t="str">
        <x:v>Project unlock</x:v>
      </x:c>
      <x:c r="F1079" s="30" t="str">
        <x:v>African Union</x:v>
      </x:c>
      <x:c r="G1079" s="30" t="str">
        <x:v>No</x:v>
      </x:c>
      <x:c r="H1079" s="30" t="str">
        <x:v>Ordinary claim</x:v>
      </x:c>
      <x:c r="I1079" s="31" t="n">
        <x:f>IF(G1079="Yes",'Controls &amp; Summary'!$B$5,'Controls &amp; Summary'!$B$4)</x:f>
        <x:v>6</x:v>
      </x:c>
      <x:c r="J1079" s="31" t="n">
        <x:v>3.13</x:v>
      </x:c>
      <x:c r="K1079" s="31" t="n">
        <x:v>0.7</x:v>
      </x:c>
      <x:c r="L1079" s="31" t="n">
        <x:f>ABS(J1079-K1079)</x:f>
        <x:v>2.4299999999999997</x:v>
      </x:c>
      <x:c r="M1079" s="31" t="n">
        <x:v>3.5</x:v>
      </x:c>
      <x:c r="N1079" s="31" t="n">
        <x:v>4.41</x:v>
      </x:c>
      <x:c r="O1079" s="31" t="n">
        <x:f>ABS(M1079-N1079)</x:f>
        <x:v>0.9100000000000001</x:v>
      </x:c>
      <x:c r="P1079" s="31" t="n">
        <x:v>3.34</x:v>
      </x:c>
      <x:c r="Q1079" s="31" t="n">
        <x:v>3.43</x:v>
      </x:c>
      <x:c r="R1079" s="31" t="n">
        <x:f>ABS(P1079-Q1079)</x:f>
        <x:v>0.0900000000000003</x:v>
      </x:c>
      <x:c r="S1079" s="32" t="n">
        <x:v>3068.915294601017</x:v>
      </x:c>
      <x:c r="T1079" s="32" t="n">
        <x:v>805.6971847221105</x:v>
      </x:c>
      <x:c r="U1079" s="31" t="n">
        <x:f>MAX(S1079/T1079,T1079/S1079)</x:f>
        <x:v>3.809018267402167</x:v>
      </x:c>
      <x:c r="V1079" s="31" t="n">
        <x:f>L1079*'Controls &amp; Summary'!$B$9+O1079*'Controls &amp; Summary'!$B$10+R1079*'Controls &amp; Summary'!$B$11+U1079*'Controls &amp; Summary'!$B$12</x:f>
        <x:v>7.239018267402168</x:v>
      </x:c>
      <x:c r="W1079" s="31" t="n">
        <x:v>0.43</x:v>
      </x:c>
      <x:c r="X1079" s="31" t="n">
        <x:v>5.25</x:v>
      </x:c>
      <x:c r="Y1079" s="31" t="n">
        <x:f>((10-MIN(10,MAX(0,X1079)))/10)*'Controls &amp; Summary'!$B$15+((10-MIN(10,MAX(0,W1079)))/10)*'Controls &amp; Summary'!$B$16</x:f>
        <x:v>1.432</x:v>
      </x:c>
      <x:c r="Z1079" s="31" t="n">
        <x:f>V1079*Y1079</x:f>
        <x:v>10.366274158919904</x:v>
      </x:c>
      <x:c r="AA1079" s="30" t="str">
        <x:f>IF(Z1079&lt;=I1079,"Peaceful","Hostile")</x:f>
        <x:v>Hostile</x:v>
      </x:c>
      <x:c r="AB1079" s="30" t="str">
        <x:f>IF(Z1079&lt;='Controls &amp; Summary'!$B$6,"Eligible","Blocked")</x:f>
        <x:v>Eligible</x:v>
      </x:c>
      <x:c r="AC1079" s="30" t="str">
        <x:v>2026_ETH</x:v>
      </x:c>
      <x:c r="AD1079" s="30" t="str">
        <x:v>2026_SSD</x:v>
      </x:c>
      <x:c r="AE1079" s="30" t="str">
        <x:v>2026_SouthSudan</x:v>
      </x:c>
      <x:c r="AF1079" s="30" t="str">
        <x:v>Explicit capitalClaim</x:v>
      </x:c>
      <x:c r="AG1079" s="30" t="str">
        <x:v>Claim2026_ETH2026_SouthSudan</x:v>
      </x:c>
      <x:c r="AH1079" s="30" t="str">
        <x:v>Project_AfricanUnion</x:v>
      </x:c>
    </x:row>
    <x:row r="1080">
      <x:c r="A1080" s="30" t="str">
        <x:v>2026</x:v>
      </x:c>
      <x:c r="B1080" s="30" t="str">
        <x:v>Base game</x:v>
      </x:c>
      <x:c r="C1080" s="30" t="str">
        <x:v>Ethiopia</x:v>
      </x:c>
      <x:c r="D1080" s="30" t="str">
        <x:v>Sudan</x:v>
      </x:c>
      <x:c r="E1080" s="30" t="str">
        <x:v>Project unlock</x:v>
      </x:c>
      <x:c r="F1080" s="30" t="str">
        <x:v>Great African Union</x:v>
      </x:c>
      <x:c r="G1080" s="30" t="str">
        <x:v>No</x:v>
      </x:c>
      <x:c r="H1080" s="30" t="str">
        <x:v>Ordinary claim</x:v>
      </x:c>
      <x:c r="I1080" s="31" t="n">
        <x:f>IF(G1080="Yes",'Controls &amp; Summary'!$B$5,'Controls &amp; Summary'!$B$4)</x:f>
        <x:v>6</x:v>
      </x:c>
      <x:c r="J1080" s="31" t="n">
        <x:v>3.13</x:v>
      </x:c>
      <x:c r="K1080" s="31" t="n">
        <x:v>1.46</x:v>
      </x:c>
      <x:c r="L1080" s="31" t="n">
        <x:f>ABS(J1080-K1080)</x:f>
        <x:v>1.67</x:v>
      </x:c>
      <x:c r="M1080" s="31" t="n">
        <x:v>3.5</x:v>
      </x:c>
      <x:c r="N1080" s="31" t="n">
        <x:v>3.42</x:v>
      </x:c>
      <x:c r="O1080" s="31" t="n">
        <x:f>ABS(M1080-N1080)</x:f>
        <x:v>0.08000000000000007</x:v>
      </x:c>
      <x:c r="P1080" s="31" t="n">
        <x:v>3.34</x:v>
      </x:c>
      <x:c r="Q1080" s="31" t="n">
        <x:v>3.69</x:v>
      </x:c>
      <x:c r="R1080" s="31" t="n">
        <x:f>ABS(P1080-Q1080)</x:f>
        <x:v>0.3500000000000001</x:v>
      </x:c>
      <x:c r="S1080" s="32" t="n">
        <x:v>3068.915294601017</x:v>
      </x:c>
      <x:c r="T1080" s="32" t="n">
        <x:v>1945.1004732885347</x:v>
      </x:c>
      <x:c r="U1080" s="31" t="n">
        <x:f>MAX(S1080/T1080,T1080/S1080)</x:f>
        <x:v>1.5777669774623395</x:v>
      </x:c>
      <x:c r="V1080" s="31" t="n">
        <x:f>L1080*'Controls &amp; Summary'!$B$9+O1080*'Controls &amp; Summary'!$B$10+R1080*'Controls &amp; Summary'!$B$11+U1080*'Controls &amp; Summary'!$B$12</x:f>
        <x:v>3.6777669774623396</x:v>
      </x:c>
      <x:c r="W1080" s="31" t="n">
        <x:v>0.43</x:v>
      </x:c>
      <x:c r="X1080" s="31" t="n">
        <x:v>7</x:v>
      </x:c>
      <x:c r="Y1080" s="31" t="n">
        <x:f>((10-MIN(10,MAX(0,X1080)))/10)*'Controls &amp; Summary'!$B$15+((10-MIN(10,MAX(0,W1080)))/10)*'Controls &amp; Summary'!$B$16</x:f>
        <x:v>1.2570000000000001</x:v>
      </x:c>
      <x:c r="Z1080" s="31" t="n">
        <x:f>V1080*Y1080</x:f>
        <x:v>4.622953090670161</x:v>
      </x:c>
      <x:c r="AA1080" s="30" t="str">
        <x:f>IF(Z1080&lt;=I1080,"Peaceful","Hostile")</x:f>
        <x:v>Peaceful</x:v>
      </x:c>
      <x:c r="AB1080" s="30" t="str">
        <x:f>IF(Z1080&lt;='Controls &amp; Summary'!$B$6,"Eligible","Blocked")</x:f>
        <x:v>Eligible</x:v>
      </x:c>
      <x:c r="AC1080" s="30" t="str">
        <x:v>2026_ETH</x:v>
      </x:c>
      <x:c r="AD1080" s="30" t="str">
        <x:v>2026_SDN</x:v>
      </x:c>
      <x:c r="AE1080" s="30" t="str">
        <x:v>2026_Sudan</x:v>
      </x:c>
      <x:c r="AF1080" s="30" t="str">
        <x:v>Explicit capitalClaim</x:v>
      </x:c>
      <x:c r="AG1080" s="30" t="str">
        <x:v>Claim2026_ETH2026_Sudan</x:v>
      </x:c>
      <x:c r="AH1080" s="30" t="str">
        <x:v>Project_GreatAfricanUnion</x:v>
      </x:c>
    </x:row>
    <x:row r="1081">
      <x:c r="A1081" s="30" t="str">
        <x:v>2026</x:v>
      </x:c>
      <x:c r="B1081" s="30" t="str">
        <x:v>Base game</x:v>
      </x:c>
      <x:c r="C1081" s="30" t="str">
        <x:v>Ethiopia</x:v>
      </x:c>
      <x:c r="D1081" s="30" t="str">
        <x:v>Tanzania</x:v>
      </x:c>
      <x:c r="E1081" s="30" t="str">
        <x:v>Project unlock</x:v>
      </x:c>
      <x:c r="F1081" s="30" t="str">
        <x:v>African Union</x:v>
      </x:c>
      <x:c r="G1081" s="30" t="str">
        <x:v>No</x:v>
      </x:c>
      <x:c r="H1081" s="30" t="str">
        <x:v>Ordinary claim</x:v>
      </x:c>
      <x:c r="I1081" s="31" t="n">
        <x:f>IF(G1081="Yes",'Controls &amp; Summary'!$B$5,'Controls &amp; Summary'!$B$4)</x:f>
        <x:v>6</x:v>
      </x:c>
      <x:c r="J1081" s="31" t="n">
        <x:v>3.13</x:v>
      </x:c>
      <x:c r="K1081" s="31" t="n">
        <x:v>5.13</x:v>
      </x:c>
      <x:c r="L1081" s="31" t="n">
        <x:f>ABS(J1081-K1081)</x:f>
        <x:v>2</x:v>
      </x:c>
      <x:c r="M1081" s="31" t="n">
        <x:v>3.5</x:v>
      </x:c>
      <x:c r="N1081" s="31" t="n">
        <x:v>4.05</x:v>
      </x:c>
      <x:c r="O1081" s="31" t="n">
        <x:f>ABS(M1081-N1081)</x:f>
        <x:v>0.5499999999999998</x:v>
      </x:c>
      <x:c r="P1081" s="31" t="n">
        <x:v>3.34</x:v>
      </x:c>
      <x:c r="Q1081" s="31" t="n">
        <x:v>4.37</x:v>
      </x:c>
      <x:c r="R1081" s="31" t="n">
        <x:f>ABS(P1081-Q1081)</x:f>
        <x:v>1.0300000000000002</x:v>
      </x:c>
      <x:c r="S1081" s="32" t="n">
        <x:v>3068.915294601017</x:v>
      </x:c>
      <x:c r="T1081" s="32" t="n">
        <x:v>3560.467170260424</x:v>
      </x:c>
      <x:c r="U1081" s="31" t="n">
        <x:f>MAX(S1081/T1081,T1081/S1081)</x:f>
        <x:v>1.1601712098486943</x:v>
      </x:c>
      <x:c r="V1081" s="31" t="n">
        <x:f>L1081*'Controls &amp; Summary'!$B$9+O1081*'Controls &amp; Summary'!$B$10+R1081*'Controls &amp; Summary'!$B$11+U1081*'Controls &amp; Summary'!$B$12</x:f>
        <x:v>4.740171209848694</x:v>
      </x:c>
      <x:c r="W1081" s="31" t="n">
        <x:v>0.43</x:v>
      </x:c>
      <x:c r="X1081" s="31" t="n">
        <x:v>2</x:v>
      </x:c>
      <x:c r="Y1081" s="31" t="n">
        <x:f>((10-MIN(10,MAX(0,X1081)))/10)*'Controls &amp; Summary'!$B$15+((10-MIN(10,MAX(0,W1081)))/10)*'Controls &amp; Summary'!$B$16</x:f>
        <x:v>1.7570000000000001</x:v>
      </x:c>
      <x:c r="Z1081" s="31" t="n">
        <x:f>V1081*Y1081</x:f>
        <x:v>8.328480815704156</x:v>
      </x:c>
      <x:c r="AA1081" s="30" t="str">
        <x:f>IF(Z1081&lt;=I1081,"Peaceful","Hostile")</x:f>
        <x:v>Hostile</x:v>
      </x:c>
      <x:c r="AB1081" s="30" t="str">
        <x:f>IF(Z1081&lt;='Controls &amp; Summary'!$B$6,"Eligible","Blocked")</x:f>
        <x:v>Eligible</x:v>
      </x:c>
      <x:c r="AC1081" s="30" t="str">
        <x:v>2026_ETH</x:v>
      </x:c>
      <x:c r="AD1081" s="30" t="str">
        <x:v>2026_TZA</x:v>
      </x:c>
      <x:c r="AE1081" s="30" t="str">
        <x:v>2026_WestTanzania</x:v>
      </x:c>
      <x:c r="AF1081" s="30" t="str">
        <x:v>Explicit capitalClaim</x:v>
      </x:c>
      <x:c r="AG1081" s="30" t="str">
        <x:v>Claim2026_ETH2026_WestTanzania</x:v>
      </x:c>
      <x:c r="AH1081" s="30" t="str">
        <x:v>Project_AfricanUnion</x:v>
      </x:c>
    </x:row>
    <x:row r="1082">
      <x:c r="A1082" s="30" t="str">
        <x:v>2026</x:v>
      </x:c>
      <x:c r="B1082" s="30" t="str">
        <x:v>Base game</x:v>
      </x:c>
      <x:c r="C1082" s="30" t="str">
        <x:v>Ethiopia</x:v>
      </x:c>
      <x:c r="D1082" s="30" t="str">
        <x:v>Togo</x:v>
      </x:c>
      <x:c r="E1082" s="30" t="str">
        <x:v>Project unlock</x:v>
      </x:c>
      <x:c r="F1082" s="30" t="str">
        <x:v>African Union</x:v>
      </x:c>
      <x:c r="G1082" s="30" t="str">
        <x:v>No</x:v>
      </x:c>
      <x:c r="H1082" s="30" t="str">
        <x:v>Ordinary claim</x:v>
      </x:c>
      <x:c r="I1082" s="31" t="n">
        <x:f>IF(G1082="Yes",'Controls &amp; Summary'!$B$5,'Controls &amp; Summary'!$B$4)</x:f>
        <x:v>6</x:v>
      </x:c>
      <x:c r="J1082" s="31" t="n">
        <x:v>3.13</x:v>
      </x:c>
      <x:c r="K1082" s="31" t="n">
        <x:v>2.88</x:v>
      </x:c>
      <x:c r="L1082" s="31" t="n">
        <x:f>ABS(J1082-K1082)</x:f>
        <x:v>0.25</x:v>
      </x:c>
      <x:c r="M1082" s="31" t="n">
        <x:v>3.5</x:v>
      </x:c>
      <x:c r="N1082" s="31" t="n">
        <x:v>3.79</x:v>
      </x:c>
      <x:c r="O1082" s="31" t="n">
        <x:f>ABS(M1082-N1082)</x:f>
        <x:v>0.29000000000000004</x:v>
      </x:c>
      <x:c r="P1082" s="31" t="n">
        <x:v>3.34</x:v>
      </x:c>
      <x:c r="Q1082" s="31" t="n">
        <x:v>5.51</x:v>
      </x:c>
      <x:c r="R1082" s="31" t="n">
        <x:f>ABS(P1082-Q1082)</x:f>
        <x:v>2.17</x:v>
      </x:c>
      <x:c r="S1082" s="32" t="n">
        <x:v>3068.915294601017</x:v>
      </x:c>
      <x:c r="T1082" s="32" t="n">
        <x:v>2928.365441341878</x:v>
      </x:c>
      <x:c r="U1082" s="31" t="n">
        <x:f>MAX(S1082/T1082,T1082/S1082)</x:f>
        <x:v>1.047996008720392</x:v>
      </x:c>
      <x:c r="V1082" s="31" t="n">
        <x:f>L1082*'Controls &amp; Summary'!$B$9+O1082*'Controls &amp; Summary'!$B$10+R1082*'Controls &amp; Summary'!$B$11+U1082*'Controls &amp; Summary'!$B$12</x:f>
        <x:v>3.757996008720392</x:v>
      </x:c>
      <x:c r="W1082" s="31" t="n">
        <x:v>0.43</x:v>
      </x:c>
      <x:c r="X1082" s="31" t="n">
        <x:v>1</x:v>
      </x:c>
      <x:c r="Y1082" s="31" t="n">
        <x:f>((10-MIN(10,MAX(0,X1082)))/10)*'Controls &amp; Summary'!$B$15+((10-MIN(10,MAX(0,W1082)))/10)*'Controls &amp; Summary'!$B$16</x:f>
        <x:v>1.8570000000000002</x:v>
      </x:c>
      <x:c r="Z1082" s="31" t="n">
        <x:f>V1082*Y1082</x:f>
        <x:v>6.978598588193768</x:v>
      </x:c>
      <x:c r="AA1082" s="30" t="str">
        <x:f>IF(Z1082&lt;=I1082,"Peaceful","Hostile")</x:f>
        <x:v>Hostile</x:v>
      </x:c>
      <x:c r="AB1082" s="30" t="str">
        <x:f>IF(Z1082&lt;='Controls &amp; Summary'!$B$6,"Eligible","Blocked")</x:f>
        <x:v>Eligible</x:v>
      </x:c>
      <x:c r="AC1082" s="30" t="str">
        <x:v>2026_ETH</x:v>
      </x:c>
      <x:c r="AD1082" s="30" t="str">
        <x:v>2026_TGO</x:v>
      </x:c>
      <x:c r="AE1082" s="30" t="str">
        <x:v>2026_Togo</x:v>
      </x:c>
      <x:c r="AF1082" s="30" t="str">
        <x:v>Explicit capitalClaim</x:v>
      </x:c>
      <x:c r="AG1082" s="30" t="str">
        <x:v>Claim2026_ETH2026_Togo</x:v>
      </x:c>
      <x:c r="AH1082" s="30" t="str">
        <x:v>Project_AfricanUnion</x:v>
      </x:c>
    </x:row>
    <x:row r="1083">
      <x:c r="A1083" s="30" t="str">
        <x:v>2026</x:v>
      </x:c>
      <x:c r="B1083" s="30" t="str">
        <x:v>Base game</x:v>
      </x:c>
      <x:c r="C1083" s="30" t="str">
        <x:v>Ethiopia</x:v>
      </x:c>
      <x:c r="D1083" s="30" t="str">
        <x:v>Tunisia</x:v>
      </x:c>
      <x:c r="E1083" s="30" t="str">
        <x:v>Project unlock</x:v>
      </x:c>
      <x:c r="F1083" s="30" t="str">
        <x:v>Great African Union</x:v>
      </x:c>
      <x:c r="G1083" s="30" t="str">
        <x:v>No</x:v>
      </x:c>
      <x:c r="H1083" s="30" t="str">
        <x:v>Ordinary claim</x:v>
      </x:c>
      <x:c r="I1083" s="31" t="n">
        <x:f>IF(G1083="Yes",'Controls &amp; Summary'!$B$5,'Controls &amp; Summary'!$B$4)</x:f>
        <x:v>6</x:v>
      </x:c>
      <x:c r="J1083" s="31" t="n">
        <x:v>3.13</x:v>
      </x:c>
      <x:c r="K1083" s="31" t="n">
        <x:v>4.65</x:v>
      </x:c>
      <x:c r="L1083" s="31" t="n">
        <x:f>ABS(J1083-K1083)</x:f>
        <x:v>1.5200000000000005</x:v>
      </x:c>
      <x:c r="M1083" s="31" t="n">
        <x:v>3.5</x:v>
      </x:c>
      <x:c r="N1083" s="31" t="n">
        <x:v>3.37</x:v>
      </x:c>
      <x:c r="O1083" s="31" t="n">
        <x:f>ABS(M1083-N1083)</x:f>
        <x:v>0.1299999999999999</x:v>
      </x:c>
      <x:c r="P1083" s="31" t="n">
        <x:v>3.34</x:v>
      </x:c>
      <x:c r="Q1083" s="31" t="n">
        <x:v>6.49</x:v>
      </x:c>
      <x:c r="R1083" s="31" t="n">
        <x:f>ABS(P1083-Q1083)</x:f>
        <x:v>3.1500000000000004</x:v>
      </x:c>
      <x:c r="S1083" s="32" t="n">
        <x:v>3068.915294601017</x:v>
      </x:c>
      <x:c r="T1083" s="32" t="n">
        <x:v>13022.649202691102</x:v>
      </x:c>
      <x:c r="U1083" s="31" t="n">
        <x:f>MAX(S1083/T1083,T1083/S1083)</x:f>
        <x:v>4.243404575421541</x:v>
      </x:c>
      <x:c r="V1083" s="31" t="n">
        <x:f>L1083*'Controls &amp; Summary'!$B$9+O1083*'Controls &amp; Summary'!$B$10+R1083*'Controls &amp; Summary'!$B$11+U1083*'Controls &amp; Summary'!$B$12</x:f>
        <x:v>9.04340457542154</x:v>
      </x:c>
      <x:c r="W1083" s="31" t="n">
        <x:v>0.43</x:v>
      </x:c>
      <x:c r="X1083" s="31" t="n">
        <x:v>1</x:v>
      </x:c>
      <x:c r="Y1083" s="31" t="n">
        <x:f>((10-MIN(10,MAX(0,X1083)))/10)*'Controls &amp; Summary'!$B$15+((10-MIN(10,MAX(0,W1083)))/10)*'Controls &amp; Summary'!$B$16</x:f>
        <x:v>1.8570000000000002</x:v>
      </x:c>
      <x:c r="Z1083" s="31" t="n">
        <x:f>V1083*Y1083</x:f>
        <x:v>16.793602296557804</x:v>
      </x:c>
      <x:c r="AA1083" s="30" t="str">
        <x:f>IF(Z1083&lt;=I1083,"Peaceful","Hostile")</x:f>
        <x:v>Hostile</x:v>
      </x:c>
      <x:c r="AB1083" s="30" t="str">
        <x:f>IF(Z1083&lt;='Controls &amp; Summary'!$B$6,"Eligible","Blocked")</x:f>
        <x:v>Blocked</x:v>
      </x:c>
      <x:c r="AC1083" s="30" t="str">
        <x:v>2026_ETH</x:v>
      </x:c>
      <x:c r="AD1083" s="30" t="str">
        <x:v>2026_TUN</x:v>
      </x:c>
      <x:c r="AE1083" s="30" t="str">
        <x:v>2026_Tunisia</x:v>
      </x:c>
      <x:c r="AF1083" s="30" t="str">
        <x:v>Explicit capitalClaim</x:v>
      </x:c>
      <x:c r="AG1083" s="30" t="str">
        <x:v>Claim2026_ETH2026_Tunisia</x:v>
      </x:c>
      <x:c r="AH1083" s="30" t="str">
        <x:v>Project_GreatAfricanUnion</x:v>
      </x:c>
    </x:row>
    <x:row r="1084">
      <x:c r="A1084" s="30" t="str">
        <x:v>2026</x:v>
      </x:c>
      <x:c r="B1084" s="30" t="str">
        <x:v>Base game</x:v>
      </x:c>
      <x:c r="C1084" s="30" t="str">
        <x:v>Ethiopia</x:v>
      </x:c>
      <x:c r="D1084" s="30" t="str">
        <x:v>Uganda</x:v>
      </x:c>
      <x:c r="E1084" s="30" t="str">
        <x:v>Project unlock</x:v>
      </x:c>
      <x:c r="F1084" s="30" t="str">
        <x:v>African Union</x:v>
      </x:c>
      <x:c r="G1084" s="30" t="str">
        <x:v>No</x:v>
      </x:c>
      <x:c r="H1084" s="30" t="str">
        <x:v>Ordinary claim</x:v>
      </x:c>
      <x:c r="I1084" s="31" t="n">
        <x:f>IF(G1084="Yes",'Controls &amp; Summary'!$B$5,'Controls &amp; Summary'!$B$4)</x:f>
        <x:v>6</x:v>
      </x:c>
      <x:c r="J1084" s="31" t="n">
        <x:v>3.13</x:v>
      </x:c>
      <x:c r="K1084" s="31" t="n">
        <x:v>4.31</x:v>
      </x:c>
      <x:c r="L1084" s="31" t="n">
        <x:f>ABS(J1084-K1084)</x:f>
        <x:v>1.1799999999999997</x:v>
      </x:c>
      <x:c r="M1084" s="31" t="n">
        <x:v>3.5</x:v>
      </x:c>
      <x:c r="N1084" s="31" t="n">
        <x:v>4.27</x:v>
      </x:c>
      <x:c r="O1084" s="31" t="n">
        <x:f>ABS(M1084-N1084)</x:f>
        <x:v>0.7699999999999996</x:v>
      </x:c>
      <x:c r="P1084" s="31" t="n">
        <x:v>3.34</x:v>
      </x:c>
      <x:c r="Q1084" s="31" t="n">
        <x:v>5.24</x:v>
      </x:c>
      <x:c r="R1084" s="31" t="n">
        <x:f>ABS(P1084-Q1084)</x:f>
        <x:v>1.9000000000000004</x:v>
      </x:c>
      <x:c r="S1084" s="32" t="n">
        <x:v>3068.915294601017</x:v>
      </x:c>
      <x:c r="T1084" s="32" t="n">
        <x:v>3120.760661137013</x:v>
      </x:c>
      <x:c r="U1084" s="31" t="n">
        <x:f>MAX(S1084/T1084,T1084/S1084)</x:f>
        <x:v>1.0168937104999947</x:v>
      </x:c>
      <x:c r="V1084" s="31" t="n">
        <x:f>L1084*'Controls &amp; Summary'!$B$9+O1084*'Controls &amp; Summary'!$B$10+R1084*'Controls &amp; Summary'!$B$11+U1084*'Controls &amp; Summary'!$B$12</x:f>
        <x:v>4.866893710499994</x:v>
      </x:c>
      <x:c r="W1084" s="31" t="n">
        <x:v>0.43</x:v>
      </x:c>
      <x:c r="X1084" s="31" t="n">
        <x:v>3</x:v>
      </x:c>
      <x:c r="Y1084" s="31" t="n">
        <x:f>((10-MIN(10,MAX(0,X1084)))/10)*'Controls &amp; Summary'!$B$15+((10-MIN(10,MAX(0,W1084)))/10)*'Controls &amp; Summary'!$B$16</x:f>
        <x:v>1.657</x:v>
      </x:c>
      <x:c r="Z1084" s="31" t="n">
        <x:f>V1084*Y1084</x:f>
        <x:v>8.06444287829849</x:v>
      </x:c>
      <x:c r="AA1084" s="30" t="str">
        <x:f>IF(Z1084&lt;=I1084,"Peaceful","Hostile")</x:f>
        <x:v>Hostile</x:v>
      </x:c>
      <x:c r="AB1084" s="30" t="str">
        <x:f>IF(Z1084&lt;='Controls &amp; Summary'!$B$6,"Eligible","Blocked")</x:f>
        <x:v>Eligible</x:v>
      </x:c>
      <x:c r="AC1084" s="30" t="str">
        <x:v>2026_ETH</x:v>
      </x:c>
      <x:c r="AD1084" s="30" t="str">
        <x:v>2026_UGA</x:v>
      </x:c>
      <x:c r="AE1084" s="30" t="str">
        <x:v>2026_Uganda</x:v>
      </x:c>
      <x:c r="AF1084" s="30" t="str">
        <x:v>Explicit capitalClaim</x:v>
      </x:c>
      <x:c r="AG1084" s="30" t="str">
        <x:v>Claim2026_ETH2026_Uganda</x:v>
      </x:c>
      <x:c r="AH1084" s="30" t="str">
        <x:v>Project_AfricanUnion</x:v>
      </x:c>
    </x:row>
    <x:row r="1085">
      <x:c r="A1085" s="30" t="str">
        <x:v>2026</x:v>
      </x:c>
      <x:c r="B1085" s="30" t="str">
        <x:v>Base game</x:v>
      </x:c>
      <x:c r="C1085" s="30" t="str">
        <x:v>Ethiopia</x:v>
      </x:c>
      <x:c r="D1085" s="30" t="str">
        <x:v>Zambia</x:v>
      </x:c>
      <x:c r="E1085" s="30" t="str">
        <x:v>Project unlock</x:v>
      </x:c>
      <x:c r="F1085" s="30" t="str">
        <x:v>African Union</x:v>
      </x:c>
      <x:c r="G1085" s="30" t="str">
        <x:v>No</x:v>
      </x:c>
      <x:c r="H1085" s="30" t="str">
        <x:v>Ordinary claim</x:v>
      </x:c>
      <x:c r="I1085" s="31" t="n">
        <x:f>IF(G1085="Yes",'Controls &amp; Summary'!$B$5,'Controls &amp; Summary'!$B$4)</x:f>
        <x:v>6</x:v>
      </x:c>
      <x:c r="J1085" s="31" t="n">
        <x:v>3.13</x:v>
      </x:c>
      <x:c r="K1085" s="31" t="n">
        <x:v>5.82</x:v>
      </x:c>
      <x:c r="L1085" s="31" t="n">
        <x:f>ABS(J1085-K1085)</x:f>
        <x:v>2.6900000000000004</x:v>
      </x:c>
      <x:c r="M1085" s="31" t="n">
        <x:v>3.5</x:v>
      </x:c>
      <x:c r="N1085" s="31" t="n">
        <x:v>5.15</x:v>
      </x:c>
      <x:c r="O1085" s="31" t="n">
        <x:f>ABS(M1085-N1085)</x:f>
        <x:v>1.6500000000000004</x:v>
      </x:c>
      <x:c r="P1085" s="31" t="n">
        <x:v>3.34</x:v>
      </x:c>
      <x:c r="Q1085" s="31" t="n">
        <x:v>5.43</x:v>
      </x:c>
      <x:c r="R1085" s="31" t="n">
        <x:f>ABS(P1085-Q1085)</x:f>
        <x:v>2.09</x:v>
      </x:c>
      <x:c r="S1085" s="32" t="n">
        <x:v>3068.915294601017</x:v>
      </x:c>
      <x:c r="T1085" s="32" t="n">
        <x:v>3835.215440827301</x:v>
      </x:c>
      <x:c r="U1085" s="31" t="n">
        <x:f>MAX(S1085/T1085,T1085/S1085)</x:f>
        <x:v>1.2496973922917962</x:v>
      </x:c>
      <x:c r="V1085" s="31" t="n">
        <x:f>L1085*'Controls &amp; Summary'!$B$9+O1085*'Controls &amp; Summary'!$B$10+R1085*'Controls &amp; Summary'!$B$11+U1085*'Controls &amp; Summary'!$B$12</x:f>
        <x:v>7.679697392291796</x:v>
      </x:c>
      <x:c r="W1085" s="31" t="n">
        <x:v>0.43</x:v>
      </x:c>
      <x:c r="X1085" s="31" t="n">
        <x:v>1</x:v>
      </x:c>
      <x:c r="Y1085" s="31" t="n">
        <x:f>((10-MIN(10,MAX(0,X1085)))/10)*'Controls &amp; Summary'!$B$15+((10-MIN(10,MAX(0,W1085)))/10)*'Controls &amp; Summary'!$B$16</x:f>
        <x:v>1.8570000000000002</x:v>
      </x:c>
      <x:c r="Z1085" s="31" t="n">
        <x:f>V1085*Y1085</x:f>
        <x:v>14.261198057485867</x:v>
      </x:c>
      <x:c r="AA1085" s="30" t="str">
        <x:f>IF(Z1085&lt;=I1085,"Peaceful","Hostile")</x:f>
        <x:v>Hostile</x:v>
      </x:c>
      <x:c r="AB1085" s="30" t="str">
        <x:f>IF(Z1085&lt;='Controls &amp; Summary'!$B$6,"Eligible","Blocked")</x:f>
        <x:v>Blocked</x:v>
      </x:c>
      <x:c r="AC1085" s="30" t="str">
        <x:v>2026_ETH</x:v>
      </x:c>
      <x:c r="AD1085" s="30" t="str">
        <x:v>2026_ZMB</x:v>
      </x:c>
      <x:c r="AE1085" s="30" t="str">
        <x:v>2026_Zambia</x:v>
      </x:c>
      <x:c r="AF1085" s="30" t="str">
        <x:v>Explicit capitalClaim</x:v>
      </x:c>
      <x:c r="AG1085" s="30" t="str">
        <x:v>Claim2026_ETH2026_Zambia</x:v>
      </x:c>
      <x:c r="AH1085" s="30" t="str">
        <x:v>Project_AfricanUnion</x:v>
      </x:c>
    </x:row>
    <x:row r="1086">
      <x:c r="A1086" s="30" t="str">
        <x:v>2026</x:v>
      </x:c>
      <x:c r="B1086" s="30" t="str">
        <x:v>Base game</x:v>
      </x:c>
      <x:c r="C1086" s="30" t="str">
        <x:v>Ethiopia</x:v>
      </x:c>
      <x:c r="D1086" s="30" t="str">
        <x:v>Zimbabwe</x:v>
      </x:c>
      <x:c r="E1086" s="30" t="str">
        <x:v>Project unlock</x:v>
      </x:c>
      <x:c r="F1086" s="30" t="str">
        <x:v>African Union</x:v>
      </x:c>
      <x:c r="G1086" s="30" t="str">
        <x:v>No</x:v>
      </x:c>
      <x:c r="H1086" s="30" t="str">
        <x:v>Ordinary claim</x:v>
      </x:c>
      <x:c r="I1086" s="31" t="n">
        <x:f>IF(G1086="Yes",'Controls &amp; Summary'!$B$5,'Controls &amp; Summary'!$B$4)</x:f>
        <x:v>6</x:v>
      </x:c>
      <x:c r="J1086" s="31" t="n">
        <x:v>3.13</x:v>
      </x:c>
      <x:c r="K1086" s="31" t="n">
        <x:v>2.98</x:v>
      </x:c>
      <x:c r="L1086" s="31" t="n">
        <x:f>ABS(J1086-K1086)</x:f>
        <x:v>0.1499999999999999</x:v>
      </x:c>
      <x:c r="M1086" s="31" t="n">
        <x:v>3.5</x:v>
      </x:c>
      <x:c r="N1086" s="31" t="n">
        <x:v>5.03</x:v>
      </x:c>
      <x:c r="O1086" s="31" t="n">
        <x:f>ABS(M1086-N1086)</x:f>
        <x:v>1.5300000000000002</x:v>
      </x:c>
      <x:c r="P1086" s="31" t="n">
        <x:v>3.34</x:v>
      </x:c>
      <x:c r="Q1086" s="31" t="n">
        <x:v>5.94</x:v>
      </x:c>
      <x:c r="R1086" s="31" t="n">
        <x:f>ABS(P1086-Q1086)</x:f>
        <x:v>2.6000000000000005</x:v>
      </x:c>
      <x:c r="S1086" s="32" t="n">
        <x:v>3068.915294601017</x:v>
      </x:c>
      <x:c r="T1086" s="32" t="n">
        <x:v>4782.244329201011</x:v>
      </x:c>
      <x:c r="U1086" s="31" t="n">
        <x:f>MAX(S1086/T1086,T1086/S1086)</x:f>
        <x:v>1.5582848890010632</x:v>
      </x:c>
      <x:c r="V1086" s="31" t="n">
        <x:f>L1086*'Controls &amp; Summary'!$B$9+O1086*'Controls &amp; Summary'!$B$10+R1086*'Controls &amp; Summary'!$B$11+U1086*'Controls &amp; Summary'!$B$12</x:f>
        <x:v>5.838284889001065</x:v>
      </x:c>
      <x:c r="W1086" s="31" t="n">
        <x:v>0.43</x:v>
      </x:c>
      <x:c r="X1086" s="31" t="n">
        <x:v>1.25</x:v>
      </x:c>
      <x:c r="Y1086" s="31" t="n">
        <x:f>((10-MIN(10,MAX(0,X1086)))/10)*'Controls &amp; Summary'!$B$15+((10-MIN(10,MAX(0,W1086)))/10)*'Controls &amp; Summary'!$B$16</x:f>
        <x:v>1.832</x:v>
      </x:c>
      <x:c r="Z1086" s="31" t="n">
        <x:f>V1086*Y1086</x:f>
        <x:v>10.69573791664995</x:v>
      </x:c>
      <x:c r="AA1086" s="30" t="str">
        <x:f>IF(Z1086&lt;=I1086,"Peaceful","Hostile")</x:f>
        <x:v>Hostile</x:v>
      </x:c>
      <x:c r="AB1086" s="30" t="str">
        <x:f>IF(Z1086&lt;='Controls &amp; Summary'!$B$6,"Eligible","Blocked")</x:f>
        <x:v>Eligible</x:v>
      </x:c>
      <x:c r="AC1086" s="30" t="str">
        <x:v>2026_ETH</x:v>
      </x:c>
      <x:c r="AD1086" s="30" t="str">
        <x:v>2026_ZWE</x:v>
      </x:c>
      <x:c r="AE1086" s="30" t="str">
        <x:v>2026_Zimbabwe</x:v>
      </x:c>
      <x:c r="AF1086" s="30" t="str">
        <x:v>Explicit capitalClaim</x:v>
      </x:c>
      <x:c r="AG1086" s="30" t="str">
        <x:v>Claim2026_ETH2026_Zimbabwe</x:v>
      </x:c>
      <x:c r="AH1086" s="30" t="str">
        <x:v>Project_AfricanUnion</x:v>
      </x:c>
    </x:row>
    <x:row r="1087">
      <x:c r="A1087" s="30" t="str">
        <x:v>2026</x:v>
      </x:c>
      <x:c r="B1087" s="30" t="str">
        <x:v>Base game</x:v>
      </x:c>
      <x:c r="C1087" s="30" t="str">
        <x:v>France</x:v>
      </x:c>
      <x:c r="D1087" s="30" t="str">
        <x:v>Albania</x:v>
      </x:c>
      <x:c r="E1087" s="30" t="str">
        <x:v>Starting claim</x:v>
      </x:c>
      <x:c r="F1087" s="30" t="str"/>
      <x:c r="G1087" s="30" t="str">
        <x:v>No</x:v>
      </x:c>
      <x:c r="H1087" s="30" t="str">
        <x:v>Ordinary claim</x:v>
      </x:c>
      <x:c r="I1087" s="31" t="n">
        <x:f>IF(G1087="Yes",'Controls &amp; Summary'!$B$5,'Controls &amp; Summary'!$B$4)</x:f>
        <x:v>6</x:v>
      </x:c>
      <x:c r="J1087" s="31" t="n">
        <x:v>8.05</x:v>
      </x:c>
      <x:c r="K1087" s="31" t="n">
        <x:v>6.2</x:v>
      </x:c>
      <x:c r="L1087" s="31" t="n">
        <x:f>ABS(J1087-K1087)</x:f>
        <x:v>1.8500000000000005</x:v>
      </x:c>
      <x:c r="M1087" s="31" t="n">
        <x:v>3.15</x:v>
      </x:c>
      <x:c r="N1087" s="31" t="n">
        <x:v>2.94</x:v>
      </x:c>
      <x:c r="O1087" s="31" t="n">
        <x:f>ABS(M1087-N1087)</x:f>
        <x:v>0.20999999999999996</x:v>
      </x:c>
      <x:c r="P1087" s="31" t="n">
        <x:v>8.21</x:v>
      </x:c>
      <x:c r="Q1087" s="31" t="n">
        <x:v>7.27</x:v>
      </x:c>
      <x:c r="R1087" s="31" t="n">
        <x:f>ABS(P1087-Q1087)</x:f>
        <x:v>0.9400000000000013</x:v>
      </x:c>
      <x:c r="S1087" s="32" t="n">
        <x:v>57291.50449187318</x:v>
      </x:c>
      <x:c r="T1087" s="32" t="n">
        <x:v>20178.079079615778</x:v>
      </x:c>
      <x:c r="U1087" s="31" t="n">
        <x:f>MAX(S1087/T1087,T1087/S1087)</x:f>
        <x:v>2.839294278995565</x:v>
      </x:c>
      <x:c r="V1087" s="31" t="n">
        <x:f>L1087*'Controls &amp; Summary'!$B$9+O1087*'Controls &amp; Summary'!$B$10+R1087*'Controls &amp; Summary'!$B$11+U1087*'Controls &amp; Summary'!$B$12</x:f>
        <x:v>5.839294278995567</x:v>
      </x:c>
      <x:c r="W1087" s="31" t="n">
        <x:v>5.27</x:v>
      </x:c>
      <x:c r="X1087" s="31" t="n">
        <x:v>1</x:v>
      </x:c>
      <x:c r="Y1087" s="31" t="n">
        <x:f>((10-MIN(10,MAX(0,X1087)))/10)*'Controls &amp; Summary'!$B$15+((10-MIN(10,MAX(0,W1087)))/10)*'Controls &amp; Summary'!$B$16</x:f>
        <x:v>1.373</x:v>
      </x:c>
      <x:c r="Z1087" s="31" t="n">
        <x:f>V1087*Y1087</x:f>
        <x:v>8.017351045060913</x:v>
      </x:c>
      <x:c r="AA1087" s="30" t="str">
        <x:f>IF(Z1087&lt;=I1087,"Peaceful","Hostile")</x:f>
        <x:v>Hostile</x:v>
      </x:c>
      <x:c r="AB1087" s="30" t="str">
        <x:f>IF(Z1087&lt;='Controls &amp; Summary'!$B$6,"Eligible","Blocked")</x:f>
        <x:v>Eligible</x:v>
      </x:c>
      <x:c r="AC1087" s="30" t="str">
        <x:v>2026_EUA</x:v>
      </x:c>
      <x:c r="AD1087" s="30" t="str">
        <x:v>2026_SBK</x:v>
      </x:c>
      <x:c r="AE1087" s="30" t="str">
        <x:v>2026_Tirana</x:v>
      </x:c>
      <x:c r="AF1087" s="30" t="str">
        <x:v>Explicit capitalClaim</x:v>
      </x:c>
      <x:c r="AG1087" s="30" t="str">
        <x:v>Claim2026_EUA2026_Tirana</x:v>
      </x:c>
      <x:c r="AH1087" s="30" t="str"/>
    </x:row>
    <x:row r="1088">
      <x:c r="A1088" s="30" t="str">
        <x:v>2026</x:v>
      </x:c>
      <x:c r="B1088" s="30" t="str">
        <x:v>Base game</x:v>
      </x:c>
      <x:c r="C1088" s="30" t="str">
        <x:v>France</x:v>
      </x:c>
      <x:c r="D1088" s="30" t="str">
        <x:v>Armenia</x:v>
      </x:c>
      <x:c r="E1088" s="30" t="str">
        <x:v>Project unlock</x:v>
      </x:c>
      <x:c r="F1088" s="30" t="str">
        <x:v>Europe Ascendant</x:v>
      </x:c>
      <x:c r="G1088" s="30" t="str">
        <x:v>No</x:v>
      </x:c>
      <x:c r="H1088" s="30" t="str">
        <x:v>Ordinary claim</x:v>
      </x:c>
      <x:c r="I1088" s="31" t="n">
        <x:f>IF(G1088="Yes",'Controls &amp; Summary'!$B$5,'Controls &amp; Summary'!$B$4)</x:f>
        <x:v>6</x:v>
      </x:c>
      <x:c r="J1088" s="31" t="n">
        <x:v>8.05</x:v>
      </x:c>
      <x:c r="K1088" s="31" t="n">
        <x:v>5.35</x:v>
      </x:c>
      <x:c r="L1088" s="31" t="n">
        <x:f>ABS(J1088-K1088)</x:f>
        <x:v>2.700000000000001</x:v>
      </x:c>
      <x:c r="M1088" s="31" t="n">
        <x:v>3.15</x:v>
      </x:c>
      <x:c r="N1088" s="31" t="n">
        <x:v>2.79</x:v>
      </x:c>
      <x:c r="O1088" s="31" t="n">
        <x:f>ABS(M1088-N1088)</x:f>
        <x:v>0.3599999999999999</x:v>
      </x:c>
      <x:c r="P1088" s="31" t="n">
        <x:v>8.21</x:v>
      </x:c>
      <x:c r="Q1088" s="31" t="n">
        <x:v>7.6</x:v>
      </x:c>
      <x:c r="R1088" s="31" t="n">
        <x:f>ABS(P1088-Q1088)</x:f>
        <x:v>0.6100000000000012</x:v>
      </x:c>
      <x:c r="S1088" s="32" t="n">
        <x:v>57291.50449187318</x:v>
      </x:c>
      <x:c r="T1088" s="32" t="n">
        <x:v>22306.59026276777</x:v>
      </x:c>
      <x:c r="U1088" s="31" t="n">
        <x:f>MAX(S1088/T1088,T1088/S1088)</x:f>
        <x:v>2.568366739021481</x:v>
      </x:c>
      <x:c r="V1088" s="31" t="n">
        <x:f>L1088*'Controls &amp; Summary'!$B$9+O1088*'Controls &amp; Summary'!$B$10+R1088*'Controls &amp; Summary'!$B$11+U1088*'Controls &amp; Summary'!$B$12</x:f>
        <x:v>6.238366739021483</x:v>
      </x:c>
      <x:c r="W1088" s="31" t="n">
        <x:v>5.27</x:v>
      </x:c>
      <x:c r="X1088" s="31" t="n">
        <x:v>1</x:v>
      </x:c>
      <x:c r="Y1088" s="31" t="n">
        <x:f>((10-MIN(10,MAX(0,X1088)))/10)*'Controls &amp; Summary'!$B$15+((10-MIN(10,MAX(0,W1088)))/10)*'Controls &amp; Summary'!$B$16</x:f>
        <x:v>1.373</x:v>
      </x:c>
      <x:c r="Z1088" s="31" t="n">
        <x:f>V1088*Y1088</x:f>
        <x:v>8.565277532676497</x:v>
      </x:c>
      <x:c r="AA1088" s="30" t="str">
        <x:f>IF(Z1088&lt;=I1088,"Peaceful","Hostile")</x:f>
        <x:v>Hostile</x:v>
      </x:c>
      <x:c r="AB1088" s="30" t="str">
        <x:f>IF(Z1088&lt;='Controls &amp; Summary'!$B$6,"Eligible","Blocked")</x:f>
        <x:v>Eligible</x:v>
      </x:c>
      <x:c r="AC1088" s="30" t="str">
        <x:v>2026_EUA</x:v>
      </x:c>
      <x:c r="AD1088" s="30" t="str">
        <x:v>2026_ARM</x:v>
      </x:c>
      <x:c r="AE1088" s="30" t="str">
        <x:v>2026_Armenia</x:v>
      </x:c>
      <x:c r="AF1088" s="30" t="str">
        <x:v>Explicit capitalClaim</x:v>
      </x:c>
      <x:c r="AG1088" s="30" t="str">
        <x:v>Claim2026_EUA2026_Armenia</x:v>
      </x:c>
      <x:c r="AH1088" s="30" t="str">
        <x:v>Project_EuropeAscendant</x:v>
      </x:c>
    </x:row>
    <x:row r="1089">
      <x:c r="A1089" s="30" t="str">
        <x:v>2026</x:v>
      </x:c>
      <x:c r="B1089" s="30" t="str">
        <x:v>Base game</x:v>
      </x:c>
      <x:c r="C1089" s="30" t="str">
        <x:v>France</x:v>
      </x:c>
      <x:c r="D1089" s="30" t="str">
        <x:v>Austria</x:v>
      </x:c>
      <x:c r="E1089" s="30" t="str">
        <x:v>Starting claim</x:v>
      </x:c>
      <x:c r="F1089" s="30" t="str"/>
      <x:c r="G1089" s="30" t="str">
        <x:v>No</x:v>
      </x:c>
      <x:c r="H1089" s="30" t="str">
        <x:v>Ordinary claim</x:v>
      </x:c>
      <x:c r="I1089" s="31" t="n">
        <x:f>IF(G1089="Yes",'Controls &amp; Summary'!$B$5,'Controls &amp; Summary'!$B$4)</x:f>
        <x:v>6</x:v>
      </x:c>
      <x:c r="J1089" s="31" t="n">
        <x:v>8.05</x:v>
      </x:c>
      <x:c r="K1089" s="31" t="n">
        <x:v>8.42</x:v>
      </x:c>
      <x:c r="L1089" s="31" t="n">
        <x:f>ABS(J1089-K1089)</x:f>
        <x:v>0.3699999999999992</x:v>
      </x:c>
      <x:c r="M1089" s="31" t="n">
        <x:v>3.15</x:v>
      </x:c>
      <x:c r="N1089" s="31" t="n">
        <x:v>3.07</x:v>
      </x:c>
      <x:c r="O1089" s="31" t="n">
        <x:f>ABS(M1089-N1089)</x:f>
        <x:v>0.08000000000000007</x:v>
      </x:c>
      <x:c r="P1089" s="31" t="n">
        <x:v>8.21</x:v>
      </x:c>
      <x:c r="Q1089" s="31" t="n">
        <x:v>8.46</x:v>
      </x:c>
      <x:c r="R1089" s="31" t="n">
        <x:f>ABS(P1089-Q1089)</x:f>
        <x:v>0.25</x:v>
      </x:c>
      <x:c r="S1089" s="32" t="n">
        <x:v>57291.50449187318</x:v>
      </x:c>
      <x:c r="T1089" s="32" t="n">
        <x:v>69215.76967333848</x:v>
      </x:c>
      <x:c r="U1089" s="31" t="n">
        <x:f>MAX(S1089/T1089,T1089/S1089)</x:f>
        <x:v>1.208133217781997</x:v>
      </x:c>
      <x:c r="V1089" s="31" t="n">
        <x:f>L1089*'Controls &amp; Summary'!$B$9+O1089*'Controls &amp; Summary'!$B$10+R1089*'Controls &amp; Summary'!$B$11+U1089*'Controls &amp; Summary'!$B$12</x:f>
        <x:v>1.9081332177819963</x:v>
      </x:c>
      <x:c r="W1089" s="31" t="n">
        <x:v>5.27</x:v>
      </x:c>
      <x:c r="X1089" s="31" t="n">
        <x:v>0.5</x:v>
      </x:c>
      <x:c r="Y1089" s="31" t="n">
        <x:f>((10-MIN(10,MAX(0,X1089)))/10)*'Controls &amp; Summary'!$B$15+((10-MIN(10,MAX(0,W1089)))/10)*'Controls &amp; Summary'!$B$16</x:f>
        <x:v>1.423</x:v>
      </x:c>
      <x:c r="Z1089" s="31" t="n">
        <x:f>V1089*Y1089</x:f>
        <x:v>2.715273568903781</x:v>
      </x:c>
      <x:c r="AA1089" s="30" t="str">
        <x:f>IF(Z1089&lt;=I1089,"Peaceful","Hostile")</x:f>
        <x:v>Peaceful</x:v>
      </x:c>
      <x:c r="AB1089" s="30" t="str">
        <x:f>IF(Z1089&lt;='Controls &amp; Summary'!$B$6,"Eligible","Blocked")</x:f>
        <x:v>Eligible</x:v>
      </x:c>
      <x:c r="AC1089" s="30" t="str">
        <x:v>2026_EUA</x:v>
      </x:c>
      <x:c r="AD1089" s="30" t="str">
        <x:v>2026_ALP</x:v>
      </x:c>
      <x:c r="AE1089" s="30" t="str">
        <x:v>2026_Vienna</x:v>
      </x:c>
      <x:c r="AF1089" s="30" t="str">
        <x:v>Explicit capitalClaim</x:v>
      </x:c>
      <x:c r="AG1089" s="30" t="str">
        <x:v>Claim2026_EUA2026_Vienna</x:v>
      </x:c>
      <x:c r="AH1089" s="30" t="str"/>
    </x:row>
    <x:row r="1090">
      <x:c r="A1090" s="30" t="str">
        <x:v>2026</x:v>
      </x:c>
      <x:c r="B1090" s="30" t="str">
        <x:v>Base game</x:v>
      </x:c>
      <x:c r="C1090" s="30" t="str">
        <x:v>France</x:v>
      </x:c>
      <x:c r="D1090" s="30" t="str">
        <x:v>Azerbaijan</x:v>
      </x:c>
      <x:c r="E1090" s="30" t="str">
        <x:v>Project unlock</x:v>
      </x:c>
      <x:c r="F1090" s="30" t="str">
        <x:v>Great Europa</x:v>
      </x:c>
      <x:c r="G1090" s="30" t="str">
        <x:v>No</x:v>
      </x:c>
      <x:c r="H1090" s="30" t="str">
        <x:v>Ordinary claim</x:v>
      </x:c>
      <x:c r="I1090" s="31" t="n">
        <x:f>IF(G1090="Yes",'Controls &amp; Summary'!$B$5,'Controls &amp; Summary'!$B$4)</x:f>
        <x:v>6</x:v>
      </x:c>
      <x:c r="J1090" s="31" t="n">
        <x:v>8.05</x:v>
      </x:c>
      <x:c r="K1090" s="31" t="n">
        <x:v>2.8</x:v>
      </x:c>
      <x:c r="L1090" s="31" t="n">
        <x:f>ABS(J1090-K1090)</x:f>
        <x:v>5.250000000000001</x:v>
      </x:c>
      <x:c r="M1090" s="31" t="n">
        <x:v>3.15</x:v>
      </x:c>
      <x:c r="N1090" s="31" t="n">
        <x:v>2.12</x:v>
      </x:c>
      <x:c r="O1090" s="31" t="n">
        <x:f>ABS(M1090-N1090)</x:f>
        <x:v>1.0299999999999998</x:v>
      </x:c>
      <x:c r="P1090" s="31" t="n">
        <x:v>8.21</x:v>
      </x:c>
      <x:c r="Q1090" s="31" t="n">
        <x:v>7.13</x:v>
      </x:c>
      <x:c r="R1090" s="31" t="n">
        <x:f>ABS(P1090-Q1090)</x:f>
        <x:v>1.080000000000001</x:v>
      </x:c>
      <x:c r="S1090" s="32" t="n">
        <x:v>57291.50449187318</x:v>
      </x:c>
      <x:c r="T1090" s="32" t="n">
        <x:v>22903.043609882683</x:v>
      </x:c>
      <x:c r="U1090" s="31" t="n">
        <x:f>MAX(S1090/T1090,T1090/S1090)</x:f>
        <x:v>2.501479954705751</x:v>
      </x:c>
      <x:c r="V1090" s="31" t="n">
        <x:f>L1090*'Controls &amp; Summary'!$B$9+O1090*'Controls &amp; Summary'!$B$10+R1090*'Controls &amp; Summary'!$B$11+U1090*'Controls &amp; Summary'!$B$12</x:f>
        <x:v>9.861479954705754</x:v>
      </x:c>
      <x:c r="W1090" s="31" t="n">
        <x:v>5.27</x:v>
      </x:c>
      <x:c r="X1090" s="31" t="n">
        <x:v>1.25</x:v>
      </x:c>
      <x:c r="Y1090" s="31" t="n">
        <x:f>((10-MIN(10,MAX(0,X1090)))/10)*'Controls &amp; Summary'!$B$15+((10-MIN(10,MAX(0,W1090)))/10)*'Controls &amp; Summary'!$B$16</x:f>
        <x:v>1.348</x:v>
      </x:c>
      <x:c r="Z1090" s="31" t="n">
        <x:f>V1090*Y1090</x:f>
        <x:v>13.293274978943357</x:v>
      </x:c>
      <x:c r="AA1090" s="30" t="str">
        <x:f>IF(Z1090&lt;=I1090,"Peaceful","Hostile")</x:f>
        <x:v>Hostile</x:v>
      </x:c>
      <x:c r="AB1090" s="30" t="str">
        <x:f>IF(Z1090&lt;='Controls &amp; Summary'!$B$6,"Eligible","Blocked")</x:f>
        <x:v>Blocked</x:v>
      </x:c>
      <x:c r="AC1090" s="30" t="str">
        <x:v>2026_EUA</x:v>
      </x:c>
      <x:c r="AD1090" s="30" t="str">
        <x:v>2026_AZE</x:v>
      </x:c>
      <x:c r="AE1090" s="30" t="str">
        <x:v>2026_Azerbaijan</x:v>
      </x:c>
      <x:c r="AF1090" s="30" t="str">
        <x:v>Explicit capitalClaim</x:v>
      </x:c>
      <x:c r="AG1090" s="30" t="str">
        <x:v>Claim2026_EUA2026_Azerbaijan</x:v>
      </x:c>
      <x:c r="AH1090" s="30" t="str">
        <x:v>Project_GreatEuropa</x:v>
      </x:c>
    </x:row>
    <x:row r="1091">
      <x:c r="A1091" s="30" t="str">
        <x:v>2026</x:v>
      </x:c>
      <x:c r="B1091" s="30" t="str">
        <x:v>Base game</x:v>
      </x:c>
      <x:c r="C1091" s="30" t="str">
        <x:v>France</x:v>
      </x:c>
      <x:c r="D1091" s="30" t="str">
        <x:v>Belarus</x:v>
      </x:c>
      <x:c r="E1091" s="30" t="str">
        <x:v>Project unlock</x:v>
      </x:c>
      <x:c r="F1091" s="30" t="str">
        <x:v>Europe Ascendant</x:v>
      </x:c>
      <x:c r="G1091" s="30" t="str">
        <x:v>No</x:v>
      </x:c>
      <x:c r="H1091" s="30" t="str">
        <x:v>Ordinary claim</x:v>
      </x:c>
      <x:c r="I1091" s="31" t="n">
        <x:f>IF(G1091="Yes",'Controls &amp; Summary'!$B$5,'Controls &amp; Summary'!$B$4)</x:f>
        <x:v>6</x:v>
      </x:c>
      <x:c r="J1091" s="31" t="n">
        <x:v>8.05</x:v>
      </x:c>
      <x:c r="K1091" s="31" t="n">
        <x:v>1.99</x:v>
      </x:c>
      <x:c r="L1091" s="31" t="n">
        <x:f>ABS(J1091-K1091)</x:f>
        <x:v>6.0600000000000005</x:v>
      </x:c>
      <x:c r="M1091" s="31" t="n">
        <x:v>3.15</x:v>
      </x:c>
      <x:c r="N1091" s="31" t="n">
        <x:v>2.44</x:v>
      </x:c>
      <x:c r="O1091" s="31" t="n">
        <x:f>ABS(M1091-N1091)</x:f>
        <x:v>0.71</x:v>
      </x:c>
      <x:c r="P1091" s="31" t="n">
        <x:v>8.21</x:v>
      </x:c>
      <x:c r="Q1091" s="31" t="n">
        <x:v>7.73</x:v>
      </x:c>
      <x:c r="R1091" s="31" t="n">
        <x:f>ABS(P1091-Q1091)</x:f>
        <x:v>0.4800000000000004</x:v>
      </x:c>
      <x:c r="S1091" s="32" t="n">
        <x:v>57291.50449187318</x:v>
      </x:c>
      <x:c r="T1091" s="32" t="n">
        <x:v>30701.077249704544</x:v>
      </x:c>
      <x:c r="U1091" s="31" t="n">
        <x:f>MAX(S1091/T1091,T1091/S1091)</x:f>
        <x:v>1.866107303854445</x:v>
      </x:c>
      <x:c r="V1091" s="31" t="n">
        <x:f>L1091*'Controls &amp; Summary'!$B$9+O1091*'Controls &amp; Summary'!$B$10+R1091*'Controls &amp; Summary'!$B$11+U1091*'Controls &amp; Summary'!$B$12</x:f>
        <x:v>9.116107303854445</x:v>
      </x:c>
      <x:c r="W1091" s="31" t="n">
        <x:v>5.27</x:v>
      </x:c>
      <x:c r="X1091" s="31" t="n">
        <x:v>1</x:v>
      </x:c>
      <x:c r="Y1091" s="31" t="n">
        <x:f>((10-MIN(10,MAX(0,X1091)))/10)*'Controls &amp; Summary'!$B$15+((10-MIN(10,MAX(0,W1091)))/10)*'Controls &amp; Summary'!$B$16</x:f>
        <x:v>1.373</x:v>
      </x:c>
      <x:c r="Z1091" s="31" t="n">
        <x:f>V1091*Y1091</x:f>
        <x:v>12.516415328192153</x:v>
      </x:c>
      <x:c r="AA1091" s="30" t="str">
        <x:f>IF(Z1091&lt;=I1091,"Peaceful","Hostile")</x:f>
        <x:v>Hostile</x:v>
      </x:c>
      <x:c r="AB1091" s="30" t="str">
        <x:f>IF(Z1091&lt;='Controls &amp; Summary'!$B$6,"Eligible","Blocked")</x:f>
        <x:v>Blocked</x:v>
      </x:c>
      <x:c r="AC1091" s="30" t="str">
        <x:v>2026_EUA</x:v>
      </x:c>
      <x:c r="AD1091" s="30" t="str">
        <x:v>2026_BLR</x:v>
      </x:c>
      <x:c r="AE1091" s="30" t="str">
        <x:v>2026_Belarus</x:v>
      </x:c>
      <x:c r="AF1091" s="30" t="str">
        <x:v>Explicit capitalClaim</x:v>
      </x:c>
      <x:c r="AG1091" s="30" t="str">
        <x:v>Claim2026_EUA2026_Belarus</x:v>
      </x:c>
      <x:c r="AH1091" s="30" t="str">
        <x:v>Project_EuropeAscendant</x:v>
      </x:c>
    </x:row>
    <x:row r="1092">
      <x:c r="A1092" s="30" t="str">
        <x:v>2026</x:v>
      </x:c>
      <x:c r="B1092" s="30" t="str">
        <x:v>Base game</x:v>
      </x:c>
      <x:c r="C1092" s="30" t="str">
        <x:v>France</x:v>
      </x:c>
      <x:c r="D1092" s="30" t="str">
        <x:v>Belgium</x:v>
      </x:c>
      <x:c r="E1092" s="30" t="str">
        <x:v>Starting claim</x:v>
      </x:c>
      <x:c r="F1092" s="30" t="str"/>
      <x:c r="G1092" s="30" t="str">
        <x:v>No</x:v>
      </x:c>
      <x:c r="H1092" s="30" t="str">
        <x:v>Ordinary claim</x:v>
      </x:c>
      <x:c r="I1092" s="31" t="n">
        <x:f>IF(G1092="Yes",'Controls &amp; Summary'!$B$5,'Controls &amp; Summary'!$B$4)</x:f>
        <x:v>6</x:v>
      </x:c>
      <x:c r="J1092" s="31" t="n">
        <x:v>8.05</x:v>
      </x:c>
      <x:c r="K1092" s="31" t="n">
        <x:v>7.77</x:v>
      </x:c>
      <x:c r="L1092" s="31" t="n">
        <x:f>ABS(J1092-K1092)</x:f>
        <x:v>0.28000000000000114</x:v>
      </x:c>
      <x:c r="M1092" s="31" t="n">
        <x:v>3.15</x:v>
      </x:c>
      <x:c r="N1092" s="31" t="n">
        <x:v>2.66</x:v>
      </x:c>
      <x:c r="O1092" s="31" t="n">
        <x:f>ABS(M1092-N1092)</x:f>
        <x:v>0.48999999999999977</x:v>
      </x:c>
      <x:c r="P1092" s="31" t="n">
        <x:v>8.21</x:v>
      </x:c>
      <x:c r="Q1092" s="31" t="n">
        <x:v>9.28</x:v>
      </x:c>
      <x:c r="R1092" s="31" t="n">
        <x:f>ABS(P1092-Q1092)</x:f>
        <x:v>1.0699999999999985</x:v>
      </x:c>
      <x:c r="S1092" s="32" t="n">
        <x:v>57291.50449187318</x:v>
      </x:c>
      <x:c r="T1092" s="32" t="n">
        <x:v>71187.67646518361</x:v>
      </x:c>
      <x:c r="U1092" s="31" t="n">
        <x:f>MAX(S1092/T1092,T1092/S1092)</x:f>
        <x:v>1.2425520519413418</x:v>
      </x:c>
      <x:c r="V1092" s="31" t="n">
        <x:f>L1092*'Controls &amp; Summary'!$B$9+O1092*'Controls &amp; Summary'!$B$10+R1092*'Controls &amp; Summary'!$B$11+U1092*'Controls &amp; Summary'!$B$12</x:f>
        <x:v>3.082552051941341</x:v>
      </x:c>
      <x:c r="W1092" s="31" t="n">
        <x:v>5.27</x:v>
      </x:c>
      <x:c r="X1092" s="31" t="n">
        <x:v>0.25</x:v>
      </x:c>
      <x:c r="Y1092" s="31" t="n">
        <x:f>((10-MIN(10,MAX(0,X1092)))/10)*'Controls &amp; Summary'!$B$15+((10-MIN(10,MAX(0,W1092)))/10)*'Controls &amp; Summary'!$B$16</x:f>
        <x:v>1.448</x:v>
      </x:c>
      <x:c r="Z1092" s="31" t="n">
        <x:f>V1092*Y1092</x:f>
        <x:v>4.463535371211062</x:v>
      </x:c>
      <x:c r="AA1092" s="30" t="str">
        <x:f>IF(Z1092&lt;=I1092,"Peaceful","Hostile")</x:f>
        <x:v>Peaceful</x:v>
      </x:c>
      <x:c r="AB1092" s="30" t="str">
        <x:f>IF(Z1092&lt;='Controls &amp; Summary'!$B$6,"Eligible","Blocked")</x:f>
        <x:v>Eligible</x:v>
      </x:c>
      <x:c r="AC1092" s="30" t="str">
        <x:v>2026_EUA</x:v>
      </x:c>
      <x:c r="AD1092" s="30" t="str">
        <x:v>2026_BGM</x:v>
      </x:c>
      <x:c r="AE1092" s="30" t="str">
        <x:v>2026_Belgium</x:v>
      </x:c>
      <x:c r="AF1092" s="30" t="str">
        <x:v>Explicit capitalClaim</x:v>
      </x:c>
      <x:c r="AG1092" s="30" t="str">
        <x:v>Claim2026_EUA2026_Belgium</x:v>
      </x:c>
      <x:c r="AH1092" s="30" t="str"/>
    </x:row>
    <x:row r="1093">
      <x:c r="A1093" s="30" t="str">
        <x:v>2026</x:v>
      </x:c>
      <x:c r="B1093" s="30" t="str">
        <x:v>Base game</x:v>
      </x:c>
      <x:c r="C1093" s="30" t="str">
        <x:v>France</x:v>
      </x:c>
      <x:c r="D1093" s="30" t="str">
        <x:v>Bosnia and Herzegovina</x:v>
      </x:c>
      <x:c r="E1093" s="30" t="str">
        <x:v>Starting claim</x:v>
      </x:c>
      <x:c r="F1093" s="30" t="str"/>
      <x:c r="G1093" s="30" t="str">
        <x:v>No</x:v>
      </x:c>
      <x:c r="H1093" s="30" t="str">
        <x:v>Ordinary claim</x:v>
      </x:c>
      <x:c r="I1093" s="31" t="n">
        <x:f>IF(G1093="Yes",'Controls &amp; Summary'!$B$5,'Controls &amp; Summary'!$B$4)</x:f>
        <x:v>6</x:v>
      </x:c>
      <x:c r="J1093" s="31" t="n">
        <x:v>8.05</x:v>
      </x:c>
      <x:c r="K1093" s="31" t="n">
        <x:v>5.23</x:v>
      </x:c>
      <x:c r="L1093" s="31" t="n">
        <x:f>ABS(J1093-K1093)</x:f>
        <x:v>2.8200000000000003</x:v>
      </x:c>
      <x:c r="M1093" s="31" t="n">
        <x:v>3.15</x:v>
      </x:c>
      <x:c r="N1093" s="31" t="n">
        <x:v>3.3</x:v>
      </x:c>
      <x:c r="O1093" s="31" t="n">
        <x:f>ABS(M1093-N1093)</x:f>
        <x:v>0.1499999999999999</x:v>
      </x:c>
      <x:c r="P1093" s="31" t="n">
        <x:v>8.21</x:v>
      </x:c>
      <x:c r="Q1093" s="31" t="n">
        <x:v>7.18</x:v>
      </x:c>
      <x:c r="R1093" s="31" t="n">
        <x:f>ABS(P1093-Q1093)</x:f>
        <x:v>1.0300000000000011</x:v>
      </x:c>
      <x:c r="S1093" s="32" t="n">
        <x:v>57291.50449187318</x:v>
      </x:c>
      <x:c r="T1093" s="32" t="n">
        <x:v>22225.761517569925</x:v>
      </x:c>
      <x:c r="U1093" s="31" t="n">
        <x:f>MAX(S1093/T1093,T1093/S1093)</x:f>
        <x:v>2.5777071551219093</x:v>
      </x:c>
      <x:c r="V1093" s="31" t="n">
        <x:f>L1093*'Controls &amp; Summary'!$B$9+O1093*'Controls &amp; Summary'!$B$10+R1093*'Controls &amp; Summary'!$B$11+U1093*'Controls &amp; Summary'!$B$12</x:f>
        <x:v>6.577707155121911</x:v>
      </x:c>
      <x:c r="W1093" s="31" t="n">
        <x:v>5.27</x:v>
      </x:c>
      <x:c r="X1093" s="31" t="n">
        <x:v>1</x:v>
      </x:c>
      <x:c r="Y1093" s="31" t="n">
        <x:f>((10-MIN(10,MAX(0,X1093)))/10)*'Controls &amp; Summary'!$B$15+((10-MIN(10,MAX(0,W1093)))/10)*'Controls &amp; Summary'!$B$16</x:f>
        <x:v>1.373</x:v>
      </x:c>
      <x:c r="Z1093" s="31" t="n">
        <x:f>V1093*Y1093</x:f>
        <x:v>9.031191923982384</x:v>
      </x:c>
      <x:c r="AA1093" s="30" t="str">
        <x:f>IF(Z1093&lt;=I1093,"Peaceful","Hostile")</x:f>
        <x:v>Hostile</x:v>
      </x:c>
      <x:c r="AB1093" s="30" t="str">
        <x:f>IF(Z1093&lt;='Controls &amp; Summary'!$B$6,"Eligible","Blocked")</x:f>
        <x:v>Eligible</x:v>
      </x:c>
      <x:c r="AC1093" s="30" t="str">
        <x:v>2026_EUA</x:v>
      </x:c>
      <x:c r="AD1093" s="30" t="str">
        <x:v>2026_BSM</x:v>
      </x:c>
      <x:c r="AE1093" s="30" t="str">
        <x:v>2026_Sarajevo</x:v>
      </x:c>
      <x:c r="AF1093" s="30" t="str">
        <x:v>Explicit capitalClaim</x:v>
      </x:c>
      <x:c r="AG1093" s="30" t="str">
        <x:v>Claim2026_EUA2026_Sarajevo</x:v>
      </x:c>
      <x:c r="AH1093" s="30" t="str"/>
    </x:row>
    <x:row r="1094">
      <x:c r="A1094" s="30" t="str">
        <x:v>2026</x:v>
      </x:c>
      <x:c r="B1094" s="30" t="str">
        <x:v>Base game</x:v>
      </x:c>
      <x:c r="C1094" s="30" t="str">
        <x:v>France</x:v>
      </x:c>
      <x:c r="D1094" s="30" t="str">
        <x:v>Bulgaria</x:v>
      </x:c>
      <x:c r="E1094" s="30" t="str">
        <x:v>Starting claim</x:v>
      </x:c>
      <x:c r="F1094" s="30" t="str"/>
      <x:c r="G1094" s="30" t="str">
        <x:v>No</x:v>
      </x:c>
      <x:c r="H1094" s="30" t="str">
        <x:v>Ordinary claim</x:v>
      </x:c>
      <x:c r="I1094" s="31" t="n">
        <x:f>IF(G1094="Yes",'Controls &amp; Summary'!$B$5,'Controls &amp; Summary'!$B$4)</x:f>
        <x:v>6</x:v>
      </x:c>
      <x:c r="J1094" s="31" t="n">
        <x:v>8.05</x:v>
      </x:c>
      <x:c r="K1094" s="31" t="n">
        <x:v>6.34</x:v>
      </x:c>
      <x:c r="L1094" s="31" t="n">
        <x:f>ABS(J1094-K1094)</x:f>
        <x:v>1.7100000000000009</x:v>
      </x:c>
      <x:c r="M1094" s="31" t="n">
        <x:v>3.15</x:v>
      </x:c>
      <x:c r="N1094" s="31" t="n">
        <x:v>3.9</x:v>
      </x:c>
      <x:c r="O1094" s="31" t="n">
        <x:f>ABS(M1094-N1094)</x:f>
        <x:v>0.75</x:v>
      </x:c>
      <x:c r="P1094" s="31" t="n">
        <x:v>8.21</x:v>
      </x:c>
      <x:c r="Q1094" s="31" t="n">
        <x:v>7.9</x:v>
      </x:c>
      <x:c r="R1094" s="31" t="n">
        <x:f>ABS(P1094-Q1094)</x:f>
        <x:v>0.3100000000000005</x:v>
      </x:c>
      <x:c r="S1094" s="32" t="n">
        <x:v>57291.50449187318</x:v>
      </x:c>
      <x:c r="T1094" s="32" t="n">
        <x:v>34935.06267567073</x:v>
      </x:c>
      <x:c r="U1094" s="31" t="n">
        <x:f>MAX(S1094/T1094,T1094/S1094)</x:f>
        <x:v>1.6399427996953844</x:v>
      </x:c>
      <x:c r="V1094" s="31" t="n">
        <x:f>L1094*'Controls &amp; Summary'!$B$9+O1094*'Controls &amp; Summary'!$B$10+R1094*'Controls &amp; Summary'!$B$11+U1094*'Controls &amp; Summary'!$B$12</x:f>
        <x:v>4.4099427996953855</x:v>
      </x:c>
      <x:c r="W1094" s="31" t="n">
        <x:v>5.27</x:v>
      </x:c>
      <x:c r="X1094" s="31" t="n">
        <x:v>0.5</x:v>
      </x:c>
      <x:c r="Y1094" s="31" t="n">
        <x:f>((10-MIN(10,MAX(0,X1094)))/10)*'Controls &amp; Summary'!$B$15+((10-MIN(10,MAX(0,W1094)))/10)*'Controls &amp; Summary'!$B$16</x:f>
        <x:v>1.423</x:v>
      </x:c>
      <x:c r="Z1094" s="31" t="n">
        <x:f>V1094*Y1094</x:f>
        <x:v>6.275348603966534</x:v>
      </x:c>
      <x:c r="AA1094" s="30" t="str">
        <x:f>IF(Z1094&lt;=I1094,"Peaceful","Hostile")</x:f>
        <x:v>Hostile</x:v>
      </x:c>
      <x:c r="AB1094" s="30" t="str">
        <x:f>IF(Z1094&lt;='Controls &amp; Summary'!$B$6,"Eligible","Blocked")</x:f>
        <x:v>Eligible</x:v>
      </x:c>
      <x:c r="AC1094" s="30" t="str">
        <x:v>2026_EUA</x:v>
      </x:c>
      <x:c r="AD1094" s="30" t="str">
        <x:v>2026_BUL</x:v>
      </x:c>
      <x:c r="AE1094" s="30" t="str">
        <x:v>2026_Bulgaria</x:v>
      </x:c>
      <x:c r="AF1094" s="30" t="str">
        <x:v>Explicit capitalClaim</x:v>
      </x:c>
      <x:c r="AG1094" s="30" t="str">
        <x:v>Claim2026_EUA2026_Bulgaria</x:v>
      </x:c>
      <x:c r="AH1094" s="30" t="str"/>
    </x:row>
    <x:row r="1095">
      <x:c r="A1095" s="30" t="str">
        <x:v>2026</x:v>
      </x:c>
      <x:c r="B1095" s="30" t="str">
        <x:v>Base game</x:v>
      </x:c>
      <x:c r="C1095" s="30" t="str">
        <x:v>France</x:v>
      </x:c>
      <x:c r="D1095" s="30" t="str">
        <x:v>Croatia</x:v>
      </x:c>
      <x:c r="E1095" s="30" t="str">
        <x:v>Starting claim</x:v>
      </x:c>
      <x:c r="F1095" s="30" t="str"/>
      <x:c r="G1095" s="30" t="str">
        <x:v>No</x:v>
      </x:c>
      <x:c r="H1095" s="30" t="str">
        <x:v>Ordinary claim</x:v>
      </x:c>
      <x:c r="I1095" s="31" t="n">
        <x:f>IF(G1095="Yes",'Controls &amp; Summary'!$B$5,'Controls &amp; Summary'!$B$4)</x:f>
        <x:v>6</x:v>
      </x:c>
      <x:c r="J1095" s="31" t="n">
        <x:v>8.05</x:v>
      </x:c>
      <x:c r="K1095" s="31" t="n">
        <x:v>6.5</x:v>
      </x:c>
      <x:c r="L1095" s="31" t="n">
        <x:f>ABS(J1095-K1095)</x:f>
        <x:v>1.5500000000000007</x:v>
      </x:c>
      <x:c r="M1095" s="31" t="n">
        <x:v>3.15</x:v>
      </x:c>
      <x:c r="N1095" s="31" t="n">
        <x:v>2.89</x:v>
      </x:c>
      <x:c r="O1095" s="31" t="n">
        <x:f>ABS(M1095-N1095)</x:f>
        <x:v>0.2599999999999998</x:v>
      </x:c>
      <x:c r="P1095" s="31" t="n">
        <x:v>8.21</x:v>
      </x:c>
      <x:c r="Q1095" s="31" t="n">
        <x:v>8.36</x:v>
      </x:c>
      <x:c r="R1095" s="31" t="n">
        <x:f>ABS(P1095-Q1095)</x:f>
        <x:v>0.14999999999999858</x:v>
      </x:c>
      <x:c r="S1095" s="32" t="n">
        <x:v>57291.50449187318</x:v>
      </x:c>
      <x:c r="T1095" s="32" t="n">
        <x:v>45646.282583074004</x:v>
      </x:c>
      <x:c r="U1095" s="31" t="n">
        <x:f>MAX(S1095/T1095,T1095/S1095)</x:f>
        <x:v>1.2551187358489806</x:v>
      </x:c>
      <x:c r="V1095" s="31" t="n">
        <x:f>L1095*'Controls &amp; Summary'!$B$9+O1095*'Controls &amp; Summary'!$B$10+R1095*'Controls &amp; Summary'!$B$11+U1095*'Controls &amp; Summary'!$B$12</x:f>
        <x:v>3.2151187358489794</x:v>
      </x:c>
      <x:c r="W1095" s="31" t="n">
        <x:v>5.27</x:v>
      </x:c>
      <x:c r="X1095" s="31" t="n">
        <x:v>1</x:v>
      </x:c>
      <x:c r="Y1095" s="31" t="n">
        <x:f>((10-MIN(10,MAX(0,X1095)))/10)*'Controls &amp; Summary'!$B$15+((10-MIN(10,MAX(0,W1095)))/10)*'Controls &amp; Summary'!$B$16</x:f>
        <x:v>1.373</x:v>
      </x:c>
      <x:c r="Z1095" s="31" t="n">
        <x:f>V1095*Y1095</x:f>
        <x:v>4.414358024320649</x:v>
      </x:c>
      <x:c r="AA1095" s="30" t="str">
        <x:f>IF(Z1095&lt;=I1095,"Peaceful","Hostile")</x:f>
        <x:v>Peaceful</x:v>
      </x:c>
      <x:c r="AB1095" s="30" t="str">
        <x:f>IF(Z1095&lt;='Controls &amp; Summary'!$B$6,"Eligible","Blocked")</x:f>
        <x:v>Eligible</x:v>
      </x:c>
      <x:c r="AC1095" s="30" t="str">
        <x:v>2026_EUA</x:v>
      </x:c>
      <x:c r="AD1095" s="30" t="str">
        <x:v>2026_CRS</x:v>
      </x:c>
      <x:c r="AE1095" s="30" t="str">
        <x:v>2026_Zagreb</x:v>
      </x:c>
      <x:c r="AF1095" s="30" t="str">
        <x:v>Explicit capitalClaim</x:v>
      </x:c>
      <x:c r="AG1095" s="30" t="str">
        <x:v>Claim2026_EUA2026_Zagreb</x:v>
      </x:c>
      <x:c r="AH1095" s="30" t="str"/>
    </x:row>
    <x:row r="1096">
      <x:c r="A1096" s="30" t="str">
        <x:v>2026</x:v>
      </x:c>
      <x:c r="B1096" s="30" t="str">
        <x:v>Base game</x:v>
      </x:c>
      <x:c r="C1096" s="30" t="str">
        <x:v>France</x:v>
      </x:c>
      <x:c r="D1096" s="30" t="str">
        <x:v>Czechia</x:v>
      </x:c>
      <x:c r="E1096" s="30" t="str">
        <x:v>Starting claim</x:v>
      </x:c>
      <x:c r="F1096" s="30" t="str"/>
      <x:c r="G1096" s="30" t="str">
        <x:v>No</x:v>
      </x:c>
      <x:c r="H1096" s="30" t="str">
        <x:v>Ordinary claim</x:v>
      </x:c>
      <x:c r="I1096" s="31" t="n">
        <x:f>IF(G1096="Yes",'Controls &amp; Summary'!$B$5,'Controls &amp; Summary'!$B$4)</x:f>
        <x:v>6</x:v>
      </x:c>
      <x:c r="J1096" s="31" t="n">
        <x:v>8.05</x:v>
      </x:c>
      <x:c r="K1096" s="31" t="n">
        <x:v>8.15</x:v>
      </x:c>
      <x:c r="L1096" s="31" t="n">
        <x:f>ABS(J1096-K1096)</x:f>
        <x:v>0.09999999999999964</x:v>
      </x:c>
      <x:c r="M1096" s="31" t="n">
        <x:v>3.15</x:v>
      </x:c>
      <x:c r="N1096" s="31" t="n">
        <x:v>2.62</x:v>
      </x:c>
      <x:c r="O1096" s="31" t="n">
        <x:f>ABS(M1096-N1096)</x:f>
        <x:v>0.5299999999999998</x:v>
      </x:c>
      <x:c r="P1096" s="31" t="n">
        <x:v>8.21</x:v>
      </x:c>
      <x:c r="Q1096" s="31" t="n">
        <x:v>8.79</x:v>
      </x:c>
      <x:c r="R1096" s="31" t="n">
        <x:f>ABS(P1096-Q1096)</x:f>
        <x:v>0.5799999999999983</x:v>
      </x:c>
      <x:c r="S1096" s="32" t="n">
        <x:v>57291.50449187318</x:v>
      </x:c>
      <x:c r="T1096" s="32" t="n">
        <x:v>54108.58755515526</x:v>
      </x:c>
      <x:c r="U1096" s="31" t="n">
        <x:f>MAX(S1096/T1096,T1096/S1096)</x:f>
        <x:v>1.0588246169514854</x:v>
      </x:c>
      <x:c r="V1096" s="31" t="n">
        <x:f>L1096*'Controls &amp; Summary'!$B$9+O1096*'Controls &amp; Summary'!$B$10+R1096*'Controls &amp; Summary'!$B$11+U1096*'Controls &amp; Summary'!$B$12</x:f>
        <x:v>2.268824616951483</x:v>
      </x:c>
      <x:c r="W1096" s="31" t="n">
        <x:v>5.27</x:v>
      </x:c>
      <x:c r="X1096" s="31" t="n">
        <x:v>0.5</x:v>
      </x:c>
      <x:c r="Y1096" s="31" t="n">
        <x:f>((10-MIN(10,MAX(0,X1096)))/10)*'Controls &amp; Summary'!$B$15+((10-MIN(10,MAX(0,W1096)))/10)*'Controls &amp; Summary'!$B$16</x:f>
        <x:v>1.423</x:v>
      </x:c>
      <x:c r="Z1096" s="31" t="n">
        <x:f>V1096*Y1096</x:f>
        <x:v>3.2285374299219605</x:v>
      </x:c>
      <x:c r="AA1096" s="30" t="str">
        <x:f>IF(Z1096&lt;=I1096,"Peaceful","Hostile")</x:f>
        <x:v>Peaceful</x:v>
      </x:c>
      <x:c r="AB1096" s="30" t="str">
        <x:f>IF(Z1096&lt;='Controls &amp; Summary'!$B$6,"Eligible","Blocked")</x:f>
        <x:v>Eligible</x:v>
      </x:c>
      <x:c r="AC1096" s="30" t="str">
        <x:v>2026_EUA</x:v>
      </x:c>
      <x:c r="AD1096" s="30" t="str">
        <x:v>2026_CZE</x:v>
      </x:c>
      <x:c r="AE1096" s="30" t="str">
        <x:v>2026_Czechia</x:v>
      </x:c>
      <x:c r="AF1096" s="30" t="str">
        <x:v>Explicit capitalClaim</x:v>
      </x:c>
      <x:c r="AG1096" s="30" t="str">
        <x:v>Claim2026_EUA2026_Czechia</x:v>
      </x:c>
      <x:c r="AH1096" s="30" t="str"/>
    </x:row>
    <x:row r="1097">
      <x:c r="A1097" s="30" t="str">
        <x:v>2026</x:v>
      </x:c>
      <x:c r="B1097" s="30" t="str">
        <x:v>Base game</x:v>
      </x:c>
      <x:c r="C1097" s="30" t="str">
        <x:v>France</x:v>
      </x:c>
      <x:c r="D1097" s="30" t="str">
        <x:v>Denmark</x:v>
      </x:c>
      <x:c r="E1097" s="30" t="str">
        <x:v>Starting claim</x:v>
      </x:c>
      <x:c r="F1097" s="30" t="str"/>
      <x:c r="G1097" s="30" t="str">
        <x:v>No</x:v>
      </x:c>
      <x:c r="H1097" s="30" t="str">
        <x:v>Ordinary claim</x:v>
      </x:c>
      <x:c r="I1097" s="31" t="n">
        <x:f>IF(G1097="Yes",'Controls &amp; Summary'!$B$5,'Controls &amp; Summary'!$B$4)</x:f>
        <x:v>6</x:v>
      </x:c>
      <x:c r="J1097" s="31" t="n">
        <x:v>8.05</x:v>
      </x:c>
      <x:c r="K1097" s="31" t="n">
        <x:v>9.42</x:v>
      </x:c>
      <x:c r="L1097" s="31" t="n">
        <x:f>ABS(J1097-K1097)</x:f>
        <x:v>1.3699999999999992</x:v>
      </x:c>
      <x:c r="M1097" s="31" t="n">
        <x:v>3.15</x:v>
      </x:c>
      <x:c r="N1097" s="31" t="n">
        <x:v>2.83</x:v>
      </x:c>
      <x:c r="O1097" s="31" t="n">
        <x:f>ABS(M1097-N1097)</x:f>
        <x:v>0.31999999999999984</x:v>
      </x:c>
      <x:c r="P1097" s="31" t="n">
        <x:v>8.21</x:v>
      </x:c>
      <x:c r="Q1097" s="31" t="n">
        <x:v>9.3</x:v>
      </x:c>
      <x:c r="R1097" s="31" t="n">
        <x:f>ABS(P1097-Q1097)</x:f>
        <x:v>1.0899999999999999</x:v>
      </x:c>
      <x:c r="S1097" s="32" t="n">
        <x:v>57291.50449187318</x:v>
      </x:c>
      <x:c r="T1097" s="32" t="n">
        <x:v>83593.50327812343</x:v>
      </x:c>
      <x:c r="U1097" s="31" t="n">
        <x:f>MAX(S1097/T1097,T1097/S1097)</x:f>
        <x:v>1.4590907329023137</x:v>
      </x:c>
      <x:c r="V1097" s="31" t="n">
        <x:f>L1097*'Controls &amp; Summary'!$B$9+O1097*'Controls &amp; Summary'!$B$10+R1097*'Controls &amp; Summary'!$B$11+U1097*'Controls &amp; Summary'!$B$12</x:f>
        <x:v>4.239090732902312</x:v>
      </x:c>
      <x:c r="W1097" s="31" t="n">
        <x:v>5.27</x:v>
      </x:c>
      <x:c r="X1097" s="31" t="n">
        <x:v>0.5</x:v>
      </x:c>
      <x:c r="Y1097" s="31" t="n">
        <x:f>((10-MIN(10,MAX(0,X1097)))/10)*'Controls &amp; Summary'!$B$15+((10-MIN(10,MAX(0,W1097)))/10)*'Controls &amp; Summary'!$B$16</x:f>
        <x:v>1.423</x:v>
      </x:c>
      <x:c r="Z1097" s="31" t="n">
        <x:f>V1097*Y1097</x:f>
        <x:v>6.03222611291999</x:v>
      </x:c>
      <x:c r="AA1097" s="30" t="str">
        <x:f>IF(Z1097&lt;=I1097,"Peaceful","Hostile")</x:f>
        <x:v>Hostile</x:v>
      </x:c>
      <x:c r="AB1097" s="30" t="str">
        <x:f>IF(Z1097&lt;='Controls &amp; Summary'!$B$6,"Eligible","Blocked")</x:f>
        <x:v>Eligible</x:v>
      </x:c>
      <x:c r="AC1097" s="30" t="str">
        <x:v>2026_EUA</x:v>
      </x:c>
      <x:c r="AD1097" s="30" t="str">
        <x:v>2026_DEN</x:v>
      </x:c>
      <x:c r="AE1097" s="30" t="str">
        <x:v>2026_Denmark</x:v>
      </x:c>
      <x:c r="AF1097" s="30" t="str">
        <x:v>Explicit capitalClaim</x:v>
      </x:c>
      <x:c r="AG1097" s="30" t="str">
        <x:v>Claim2026_EUA2026_Denmark</x:v>
      </x:c>
      <x:c r="AH1097" s="30" t="str"/>
    </x:row>
    <x:row r="1098">
      <x:c r="A1098" s="30" t="str">
        <x:v>2026</x:v>
      </x:c>
      <x:c r="B1098" s="30" t="str">
        <x:v>Base game</x:v>
      </x:c>
      <x:c r="C1098" s="30" t="str">
        <x:v>France</x:v>
      </x:c>
      <x:c r="D1098" s="30" t="str">
        <x:v>Estonia</x:v>
      </x:c>
      <x:c r="E1098" s="30" t="str">
        <x:v>Starting claim</x:v>
      </x:c>
      <x:c r="F1098" s="30" t="str"/>
      <x:c r="G1098" s="30" t="str">
        <x:v>No</x:v>
      </x:c>
      <x:c r="H1098" s="30" t="str">
        <x:v>Ordinary claim</x:v>
      </x:c>
      <x:c r="I1098" s="31" t="n">
        <x:f>IF(G1098="Yes",'Controls &amp; Summary'!$B$5,'Controls &amp; Summary'!$B$4)</x:f>
        <x:v>6</x:v>
      </x:c>
      <x:c r="J1098" s="31" t="n">
        <x:v>8.05</x:v>
      </x:c>
      <x:c r="K1098" s="31" t="n">
        <x:v>8.07</x:v>
      </x:c>
      <x:c r="L1098" s="31" t="n">
        <x:f>ABS(J1098-K1098)</x:f>
        <x:v>0.019999999999999574</x:v>
      </x:c>
      <x:c r="M1098" s="31" t="n">
        <x:v>3.15</x:v>
      </x:c>
      <x:c r="N1098" s="31" t="n">
        <x:v>3.18</x:v>
      </x:c>
      <x:c r="O1098" s="31" t="n">
        <x:f>ABS(M1098-N1098)</x:f>
        <x:v>0.03000000000000025</x:v>
      </x:c>
      <x:c r="P1098" s="31" t="n">
        <x:v>8.21</x:v>
      </x:c>
      <x:c r="Q1098" s="31" t="n">
        <x:v>8.76</x:v>
      </x:c>
      <x:c r="R1098" s="31" t="n">
        <x:f>ABS(P1098-Q1098)</x:f>
        <x:v>0.5499999999999989</x:v>
      </x:c>
      <x:c r="S1098" s="32" t="n">
        <x:v>57291.50449187318</x:v>
      </x:c>
      <x:c r="T1098" s="32" t="n">
        <x:v>45111.94820376511</x:v>
      </x:c>
      <x:c r="U1098" s="31" t="n">
        <x:f>MAX(S1098/T1098,T1098/S1098)</x:f>
        <x:v>1.2699851541124874</x:v>
      </x:c>
      <x:c r="V1098" s="31" t="n">
        <x:f>L1098*'Controls &amp; Summary'!$B$9+O1098*'Controls &amp; Summary'!$B$10+R1098*'Controls &amp; Summary'!$B$11+U1098*'Controls &amp; Summary'!$B$12</x:f>
        <x:v>1.8699851541124861</x:v>
      </x:c>
      <x:c r="W1098" s="31" t="n">
        <x:v>5.27</x:v>
      </x:c>
      <x:c r="X1098" s="31" t="n">
        <x:v>0</x:v>
      </x:c>
      <x:c r="Y1098" s="31" t="n">
        <x:f>((10-MIN(10,MAX(0,X1098)))/10)*'Controls &amp; Summary'!$B$15+((10-MIN(10,MAX(0,W1098)))/10)*'Controls &amp; Summary'!$B$16</x:f>
        <x:v>1.473</x:v>
      </x:c>
      <x:c r="Z1098" s="31" t="n">
        <x:f>V1098*Y1098</x:f>
        <x:v>2.754488132007692</x:v>
      </x:c>
      <x:c r="AA1098" s="30" t="str">
        <x:f>IF(Z1098&lt;=I1098,"Peaceful","Hostile")</x:f>
        <x:v>Peaceful</x:v>
      </x:c>
      <x:c r="AB1098" s="30" t="str">
        <x:f>IF(Z1098&lt;='Controls &amp; Summary'!$B$6,"Eligible","Blocked")</x:f>
        <x:v>Eligible</x:v>
      </x:c>
      <x:c r="AC1098" s="30" t="str">
        <x:v>2026_EUA</x:v>
      </x:c>
      <x:c r="AD1098" s="30" t="str">
        <x:v>2026_EST</x:v>
      </x:c>
      <x:c r="AE1098" s="30" t="str">
        <x:v>2026_Estonia</x:v>
      </x:c>
      <x:c r="AF1098" s="30" t="str">
        <x:v>Explicit capitalClaim</x:v>
      </x:c>
      <x:c r="AG1098" s="30" t="str">
        <x:v>Claim2026_EUA2026_Estonia</x:v>
      </x:c>
      <x:c r="AH1098" s="30" t="str"/>
    </x:row>
    <x:row r="1099">
      <x:c r="A1099" s="30" t="str">
        <x:v>2026</x:v>
      </x:c>
      <x:c r="B1099" s="30" t="str">
        <x:v>Base game</x:v>
      </x:c>
      <x:c r="C1099" s="30" t="str">
        <x:v>France</x:v>
      </x:c>
      <x:c r="D1099" s="30" t="str">
        <x:v>Finland</x:v>
      </x:c>
      <x:c r="E1099" s="30" t="str">
        <x:v>Starting claim</x:v>
      </x:c>
      <x:c r="F1099" s="30" t="str"/>
      <x:c r="G1099" s="30" t="str">
        <x:v>No</x:v>
      </x:c>
      <x:c r="H1099" s="30" t="str">
        <x:v>Ordinary claim</x:v>
      </x:c>
      <x:c r="I1099" s="31" t="n">
        <x:f>IF(G1099="Yes",'Controls &amp; Summary'!$B$5,'Controls &amp; Summary'!$B$4)</x:f>
        <x:v>6</x:v>
      </x:c>
      <x:c r="J1099" s="31" t="n">
        <x:v>8.05</x:v>
      </x:c>
      <x:c r="K1099" s="31" t="n">
        <x:v>9.37</x:v>
      </x:c>
      <x:c r="L1099" s="31" t="n">
        <x:f>ABS(J1099-K1099)</x:f>
        <x:v>1.3199999999999985</x:v>
      </x:c>
      <x:c r="M1099" s="31" t="n">
        <x:v>3.15</x:v>
      </x:c>
      <x:c r="N1099" s="31" t="n">
        <x:v>2.77</x:v>
      </x:c>
      <x:c r="O1099" s="31" t="n">
        <x:f>ABS(M1099-N1099)</x:f>
        <x:v>0.3799999999999999</x:v>
      </x:c>
      <x:c r="P1099" s="31" t="n">
        <x:v>8.21</x:v>
      </x:c>
      <x:c r="Q1099" s="31" t="n">
        <x:v>9.51</x:v>
      </x:c>
      <x:c r="R1099" s="31" t="n">
        <x:f>ABS(P1099-Q1099)</x:f>
        <x:v>1.299999999999999</x:v>
      </x:c>
      <x:c r="S1099" s="32" t="n">
        <x:v>57291.50449187318</x:v>
      </x:c>
      <x:c r="T1099" s="32" t="n">
        <x:v>60064.842747057446</x:v>
      </x:c>
      <x:c r="U1099" s="31" t="n">
        <x:f>MAX(S1099/T1099,T1099/S1099)</x:f>
        <x:v>1.048407495662427</x:v>
      </x:c>
      <x:c r="V1099" s="31" t="n">
        <x:f>L1099*'Controls &amp; Summary'!$B$9+O1099*'Controls &amp; Summary'!$B$10+R1099*'Controls &amp; Summary'!$B$11+U1099*'Controls &amp; Summary'!$B$12</x:f>
        <x:v>4.048407495662424</x:v>
      </x:c>
      <x:c r="W1099" s="31" t="n">
        <x:v>5.27</x:v>
      </x:c>
      <x:c r="X1099" s="31" t="n">
        <x:v>0.5</x:v>
      </x:c>
      <x:c r="Y1099" s="31" t="n">
        <x:f>((10-MIN(10,MAX(0,X1099)))/10)*'Controls &amp; Summary'!$B$15+((10-MIN(10,MAX(0,W1099)))/10)*'Controls &amp; Summary'!$B$16</x:f>
        <x:v>1.423</x:v>
      </x:c>
      <x:c r="Z1099" s="31" t="n">
        <x:f>V1099*Y1099</x:f>
        <x:v>5.76088386632763</x:v>
      </x:c>
      <x:c r="AA1099" s="30" t="str">
        <x:f>IF(Z1099&lt;=I1099,"Peaceful","Hostile")</x:f>
        <x:v>Peaceful</x:v>
      </x:c>
      <x:c r="AB1099" s="30" t="str">
        <x:f>IF(Z1099&lt;='Controls &amp; Summary'!$B$6,"Eligible","Blocked")</x:f>
        <x:v>Eligible</x:v>
      </x:c>
      <x:c r="AC1099" s="30" t="str">
        <x:v>2026_EUA</x:v>
      </x:c>
      <x:c r="AD1099" s="30" t="str">
        <x:v>2026_FIN</x:v>
      </x:c>
      <x:c r="AE1099" s="30" t="str">
        <x:v>2026_Finland</x:v>
      </x:c>
      <x:c r="AF1099" s="30" t="str">
        <x:v>Explicit capitalClaim</x:v>
      </x:c>
      <x:c r="AG1099" s="30" t="str">
        <x:v>Claim2026_EUA2026_Finland</x:v>
      </x:c>
      <x:c r="AH1099" s="30" t="str"/>
    </x:row>
    <x:row r="1100">
      <x:c r="A1100" s="30" t="str">
        <x:v>2026</x:v>
      </x:c>
      <x:c r="B1100" s="30" t="str">
        <x:v>Base game</x:v>
      </x:c>
      <x:c r="C1100" s="30" t="str">
        <x:v>France</x:v>
      </x:c>
      <x:c r="D1100" s="30" t="str">
        <x:v>Georgia</x:v>
      </x:c>
      <x:c r="E1100" s="30" t="str">
        <x:v>Starting claim</x:v>
      </x:c>
      <x:c r="F1100" s="30" t="str"/>
      <x:c r="G1100" s="30" t="str">
        <x:v>No</x:v>
      </x:c>
      <x:c r="H1100" s="30" t="str">
        <x:v>Ordinary claim</x:v>
      </x:c>
      <x:c r="I1100" s="31" t="n">
        <x:f>IF(G1100="Yes",'Controls &amp; Summary'!$B$5,'Controls &amp; Summary'!$B$4)</x:f>
        <x:v>6</x:v>
      </x:c>
      <x:c r="J1100" s="31" t="n">
        <x:v>8.05</x:v>
      </x:c>
      <x:c r="K1100" s="31" t="n">
        <x:v>4.36</x:v>
      </x:c>
      <x:c r="L1100" s="31" t="n">
        <x:f>ABS(J1100-K1100)</x:f>
        <x:v>3.6900000000000004</x:v>
      </x:c>
      <x:c r="M1100" s="31" t="n">
        <x:v>3.15</x:v>
      </x:c>
      <x:c r="N1100" s="31" t="n">
        <x:v>3.35</x:v>
      </x:c>
      <x:c r="O1100" s="31" t="n">
        <x:f>ABS(M1100-N1100)</x:f>
        <x:v>0.20000000000000018</x:v>
      </x:c>
      <x:c r="P1100" s="31" t="n">
        <x:v>8.21</x:v>
      </x:c>
      <x:c r="Q1100" s="31" t="n">
        <x:v>8.69</x:v>
      </x:c>
      <x:c r="R1100" s="31" t="n">
        <x:f>ABS(P1100-Q1100)</x:f>
        <x:v>0.47999999999999865</x:v>
      </x:c>
      <x:c r="S1100" s="32" t="n">
        <x:v>57291.50449187318</x:v>
      </x:c>
      <x:c r="T1100" s="32" t="n">
        <x:v>26271.33906422733</x:v>
      </x:c>
      <x:c r="U1100" s="31" t="n">
        <x:f>MAX(S1100/T1100,T1100/S1100)</x:f>
        <x:v>2.1807607275673595</x:v>
      </x:c>
      <x:c r="V1100" s="31" t="n">
        <x:f>L1100*'Controls &amp; Summary'!$B$9+O1100*'Controls &amp; Summary'!$B$10+R1100*'Controls &amp; Summary'!$B$11+U1100*'Controls &amp; Summary'!$B$12</x:f>
        <x:v>6.550760727567359</x:v>
      </x:c>
      <x:c r="W1100" s="31" t="n">
        <x:v>5.27</x:v>
      </x:c>
      <x:c r="X1100" s="31" t="n">
        <x:v>1</x:v>
      </x:c>
      <x:c r="Y1100" s="31" t="n">
        <x:f>((10-MIN(10,MAX(0,X1100)))/10)*'Controls &amp; Summary'!$B$15+((10-MIN(10,MAX(0,W1100)))/10)*'Controls &amp; Summary'!$B$16</x:f>
        <x:v>1.373</x:v>
      </x:c>
      <x:c r="Z1100" s="31" t="n">
        <x:f>V1100*Y1100</x:f>
        <x:v>8.994194478949984</x:v>
      </x:c>
      <x:c r="AA1100" s="30" t="str">
        <x:f>IF(Z1100&lt;=I1100,"Peaceful","Hostile")</x:f>
        <x:v>Hostile</x:v>
      </x:c>
      <x:c r="AB1100" s="30" t="str">
        <x:f>IF(Z1100&lt;='Controls &amp; Summary'!$B$6,"Eligible","Blocked")</x:f>
        <x:v>Eligible</x:v>
      </x:c>
      <x:c r="AC1100" s="30" t="str">
        <x:v>2026_EUA</x:v>
      </x:c>
      <x:c r="AD1100" s="30" t="str">
        <x:v>2026_GEO</x:v>
      </x:c>
      <x:c r="AE1100" s="30" t="str">
        <x:v>2026_Georgia</x:v>
      </x:c>
      <x:c r="AF1100" s="30" t="str">
        <x:v>Explicit capitalClaim</x:v>
      </x:c>
      <x:c r="AG1100" s="30" t="str">
        <x:v>Claim2026_EUA2026_Georgia</x:v>
      </x:c>
      <x:c r="AH1100" s="30" t="str"/>
    </x:row>
    <x:row r="1101">
      <x:c r="A1101" s="30" t="str">
        <x:v>2026</x:v>
      </x:c>
      <x:c r="B1101" s="30" t="str">
        <x:v>Base game</x:v>
      </x:c>
      <x:c r="C1101" s="30" t="str">
        <x:v>France</x:v>
      </x:c>
      <x:c r="D1101" s="30" t="str">
        <x:v>Germany</x:v>
      </x:c>
      <x:c r="E1101" s="30" t="str">
        <x:v>Starting claim</x:v>
      </x:c>
      <x:c r="F1101" s="30" t="str"/>
      <x:c r="G1101" s="30" t="str">
        <x:v>No</x:v>
      </x:c>
      <x:c r="H1101" s="30" t="str">
        <x:v>Ordinary claim</x:v>
      </x:c>
      <x:c r="I1101" s="31" t="n">
        <x:f>IF(G1101="Yes",'Controls &amp; Summary'!$B$5,'Controls &amp; Summary'!$B$4)</x:f>
        <x:v>6</x:v>
      </x:c>
      <x:c r="J1101" s="31" t="n">
        <x:v>8.05</x:v>
      </x:c>
      <x:c r="K1101" s="31" t="n">
        <x:v>8.73</x:v>
      </x:c>
      <x:c r="L1101" s="31" t="n">
        <x:f>ABS(J1101-K1101)</x:f>
        <x:v>0.6799999999999997</x:v>
      </x:c>
      <x:c r="M1101" s="31" t="n">
        <x:v>3.15</x:v>
      </x:c>
      <x:c r="N1101" s="31" t="n">
        <x:v>3.24</x:v>
      </x:c>
      <x:c r="O1101" s="31" t="n">
        <x:f>ABS(M1101-N1101)</x:f>
        <x:v>0.0900000000000003</x:v>
      </x:c>
      <x:c r="P1101" s="31" t="n">
        <x:v>8.21</x:v>
      </x:c>
      <x:c r="Q1101" s="31" t="n">
        <x:v>9.34</x:v>
      </x:c>
      <x:c r="R1101" s="31" t="n">
        <x:f>ABS(P1101-Q1101)</x:f>
        <x:v>1.129999999999999</x:v>
      </x:c>
      <x:c r="S1101" s="32" t="n">
        <x:v>57291.50449187318</x:v>
      </x:c>
      <x:c r="T1101" s="32" t="n">
        <x:v>65191.06167455033</x:v>
      </x:c>
      <x:c r="U1101" s="31" t="n">
        <x:f>MAX(S1101/T1101,T1101/S1101)</x:f>
        <x:v>1.137883570221091</x:v>
      </x:c>
      <x:c r="V1101" s="31" t="n">
        <x:f>L1101*'Controls &amp; Summary'!$B$9+O1101*'Controls &amp; Summary'!$B$10+R1101*'Controls &amp; Summary'!$B$11+U1101*'Controls &amp; Summary'!$B$12</x:f>
        <x:v>3.03788357022109</x:v>
      </x:c>
      <x:c r="W1101" s="31" t="n">
        <x:v>5.27</x:v>
      </x:c>
      <x:c r="X1101" s="31" t="n">
        <x:v>1.25</x:v>
      </x:c>
      <x:c r="Y1101" s="31" t="n">
        <x:f>((10-MIN(10,MAX(0,X1101)))/10)*'Controls &amp; Summary'!$B$15+((10-MIN(10,MAX(0,W1101)))/10)*'Controls &amp; Summary'!$B$16</x:f>
        <x:v>1.348</x:v>
      </x:c>
      <x:c r="Z1101" s="31" t="n">
        <x:f>V1101*Y1101</x:f>
        <x:v>4.095067052658029</x:v>
      </x:c>
      <x:c r="AA1101" s="30" t="str">
        <x:f>IF(Z1101&lt;=I1101,"Peaceful","Hostile")</x:f>
        <x:v>Peaceful</x:v>
      </x:c>
      <x:c r="AB1101" s="30" t="str">
        <x:f>IF(Z1101&lt;='Controls &amp; Summary'!$B$6,"Eligible","Blocked")</x:f>
        <x:v>Eligible</x:v>
      </x:c>
      <x:c r="AC1101" s="30" t="str">
        <x:v>2026_EUA</x:v>
      </x:c>
      <x:c r="AD1101" s="30" t="str">
        <x:v>2026_DEU</x:v>
      </x:c>
      <x:c r="AE1101" s="30" t="str">
        <x:v>2026_EastGermany</x:v>
      </x:c>
      <x:c r="AF1101" s="30" t="str">
        <x:v>Explicit capitalClaim</x:v>
      </x:c>
      <x:c r="AG1101" s="30" t="str">
        <x:v>Claim2026_EUA2026_EastGermany</x:v>
      </x:c>
      <x:c r="AH1101" s="30" t="str"/>
    </x:row>
    <x:row r="1102">
      <x:c r="A1102" s="30" t="str">
        <x:v>2026</x:v>
      </x:c>
      <x:c r="B1102" s="30" t="str">
        <x:v>Base game</x:v>
      </x:c>
      <x:c r="C1102" s="30" t="str">
        <x:v>France</x:v>
      </x:c>
      <x:c r="D1102" s="30" t="str">
        <x:v>Greece</x:v>
      </x:c>
      <x:c r="E1102" s="30" t="str">
        <x:v>Starting claim</x:v>
      </x:c>
      <x:c r="F1102" s="30" t="str"/>
      <x:c r="G1102" s="30" t="str">
        <x:v>No</x:v>
      </x:c>
      <x:c r="H1102" s="30" t="str">
        <x:v>Ordinary claim</x:v>
      </x:c>
      <x:c r="I1102" s="31" t="n">
        <x:f>IF(G1102="Yes",'Controls &amp; Summary'!$B$5,'Controls &amp; Summary'!$B$4)</x:f>
        <x:v>6</x:v>
      </x:c>
      <x:c r="J1102" s="31" t="n">
        <x:v>8.05</x:v>
      </x:c>
      <x:c r="K1102" s="31" t="n">
        <x:v>8.07</x:v>
      </x:c>
      <x:c r="L1102" s="31" t="n">
        <x:f>ABS(J1102-K1102)</x:f>
        <x:v>0.019999999999999574</x:v>
      </x:c>
      <x:c r="M1102" s="31" t="n">
        <x:v>3.15</x:v>
      </x:c>
      <x:c r="N1102" s="31" t="n">
        <x:v>3.29</x:v>
      </x:c>
      <x:c r="O1102" s="31" t="n">
        <x:f>ABS(M1102-N1102)</x:f>
        <x:v>0.14000000000000012</x:v>
      </x:c>
      <x:c r="P1102" s="31" t="n">
        <x:v>8.21</x:v>
      </x:c>
      <x:c r="Q1102" s="31" t="n">
        <x:v>9.41</x:v>
      </x:c>
      <x:c r="R1102" s="31" t="n">
        <x:f>ABS(P1102-Q1102)</x:f>
        <x:v>1.1999999999999993</x:v>
      </x:c>
      <x:c r="S1102" s="32" t="n">
        <x:v>57291.50449187318</x:v>
      </x:c>
      <x:c r="T1102" s="32" t="n">
        <x:v>36480.43122673812</x:v>
      </x:c>
      <x:c r="U1102" s="31" t="n">
        <x:f>MAX(S1102/T1102,T1102/S1102)</x:f>
        <x:v>1.5704722385485868</x:v>
      </x:c>
      <x:c r="V1102" s="31" t="n">
        <x:f>L1102*'Controls &amp; Summary'!$B$9+O1102*'Controls &amp; Summary'!$B$10+R1102*'Controls &amp; Summary'!$B$11+U1102*'Controls &amp; Summary'!$B$12</x:f>
        <x:v>2.9304722385485857</x:v>
      </x:c>
      <x:c r="W1102" s="31" t="n">
        <x:v>5.27</x:v>
      </x:c>
      <x:c r="X1102" s="31" t="n">
        <x:v>1.5</x:v>
      </x:c>
      <x:c r="Y1102" s="31" t="n">
        <x:f>((10-MIN(10,MAX(0,X1102)))/10)*'Controls &amp; Summary'!$B$15+((10-MIN(10,MAX(0,W1102)))/10)*'Controls &amp; Summary'!$B$16</x:f>
        <x:v>1.323</x:v>
      </x:c>
      <x:c r="Z1102" s="31" t="n">
        <x:f>V1102*Y1102</x:f>
        <x:v>3.8770147715997787</x:v>
      </x:c>
      <x:c r="AA1102" s="30" t="str">
        <x:f>IF(Z1102&lt;=I1102,"Peaceful","Hostile")</x:f>
        <x:v>Peaceful</x:v>
      </x:c>
      <x:c r="AB1102" s="30" t="str">
        <x:f>IF(Z1102&lt;='Controls &amp; Summary'!$B$6,"Eligible","Blocked")</x:f>
        <x:v>Eligible</x:v>
      </x:c>
      <x:c r="AC1102" s="30" t="str">
        <x:v>2026_EUA</x:v>
      </x:c>
      <x:c r="AD1102" s="30" t="str">
        <x:v>2026_GRE</x:v>
      </x:c>
      <x:c r="AE1102" s="30" t="str">
        <x:v>2026_Greece</x:v>
      </x:c>
      <x:c r="AF1102" s="30" t="str">
        <x:v>Explicit capitalClaim</x:v>
      </x:c>
      <x:c r="AG1102" s="30" t="str">
        <x:v>Claim2026_EUA2026_Greece</x:v>
      </x:c>
      <x:c r="AH1102" s="30" t="str"/>
    </x:row>
    <x:row r="1103">
      <x:c r="A1103" s="30" t="str">
        <x:v>2026</x:v>
      </x:c>
      <x:c r="B1103" s="30" t="str">
        <x:v>Base game</x:v>
      </x:c>
      <x:c r="C1103" s="30" t="str">
        <x:v>France</x:v>
      </x:c>
      <x:c r="D1103" s="30" t="str">
        <x:v>Hungary</x:v>
      </x:c>
      <x:c r="E1103" s="30" t="str">
        <x:v>Starting claim</x:v>
      </x:c>
      <x:c r="F1103" s="30" t="str"/>
      <x:c r="G1103" s="30" t="str">
        <x:v>No</x:v>
      </x:c>
      <x:c r="H1103" s="30" t="str">
        <x:v>Ordinary claim</x:v>
      </x:c>
      <x:c r="I1103" s="31" t="n">
        <x:f>IF(G1103="Yes",'Controls &amp; Summary'!$B$5,'Controls &amp; Summary'!$B$4)</x:f>
        <x:v>6</x:v>
      </x:c>
      <x:c r="J1103" s="31" t="n">
        <x:v>8.05</x:v>
      </x:c>
      <x:c r="K1103" s="31" t="n">
        <x:v>6.58</x:v>
      </x:c>
      <x:c r="L1103" s="31" t="n">
        <x:f>ABS(J1103-K1103)</x:f>
        <x:v>1.4700000000000006</x:v>
      </x:c>
      <x:c r="M1103" s="31" t="n">
        <x:v>3.15</x:v>
      </x:c>
      <x:c r="N1103" s="31" t="n">
        <x:v>2.92</x:v>
      </x:c>
      <x:c r="O1103" s="31" t="n">
        <x:f>ABS(M1103-N1103)</x:f>
        <x:v>0.22999999999999998</x:v>
      </x:c>
      <x:c r="P1103" s="31" t="n">
        <x:v>8.21</x:v>
      </x:c>
      <x:c r="Q1103" s="31" t="n">
        <x:v>8.21</x:v>
      </x:c>
      <x:c r="R1103" s="31" t="n">
        <x:f>ABS(P1103-Q1103)</x:f>
        <x:v>0</x:v>
      </x:c>
      <x:c r="S1103" s="32" t="n">
        <x:v>57291.50449187318</x:v>
      </x:c>
      <x:c r="T1103" s="32" t="n">
        <x:v>42634.7255914936</x:v>
      </x:c>
      <x:c r="U1103" s="31" t="n">
        <x:f>MAX(S1103/T1103,T1103/S1103)</x:f>
        <x:v>1.3437756124154314</x:v>
      </x:c>
      <x:c r="V1103" s="31" t="n">
        <x:f>L1103*'Controls &amp; Summary'!$B$9+O1103*'Controls &amp; Summary'!$B$10+R1103*'Controls &amp; Summary'!$B$11+U1103*'Controls &amp; Summary'!$B$12</x:f>
        <x:v>3.0437756124154323</x:v>
      </x:c>
      <x:c r="W1103" s="31" t="n">
        <x:v>5.27</x:v>
      </x:c>
      <x:c r="X1103" s="31" t="n">
        <x:v>0.5</x:v>
      </x:c>
      <x:c r="Y1103" s="31" t="n">
        <x:f>((10-MIN(10,MAX(0,X1103)))/10)*'Controls &amp; Summary'!$B$15+((10-MIN(10,MAX(0,W1103)))/10)*'Controls &amp; Summary'!$B$16</x:f>
        <x:v>1.423</x:v>
      </x:c>
      <x:c r="Z1103" s="31" t="n">
        <x:f>V1103*Y1103</x:f>
        <x:v>4.33129269646716</x:v>
      </x:c>
      <x:c r="AA1103" s="30" t="str">
        <x:f>IF(Z1103&lt;=I1103,"Peaceful","Hostile")</x:f>
        <x:v>Peaceful</x:v>
      </x:c>
      <x:c r="AB1103" s="30" t="str">
        <x:f>IF(Z1103&lt;='Controls &amp; Summary'!$B$6,"Eligible","Blocked")</x:f>
        <x:v>Eligible</x:v>
      </x:c>
      <x:c r="AC1103" s="30" t="str">
        <x:v>2026_EUA</x:v>
      </x:c>
      <x:c r="AD1103" s="30" t="str">
        <x:v>2026_HUN</x:v>
      </x:c>
      <x:c r="AE1103" s="30" t="str">
        <x:v>2026_Hungary</x:v>
      </x:c>
      <x:c r="AF1103" s="30" t="str">
        <x:v>Explicit capitalClaim</x:v>
      </x:c>
      <x:c r="AG1103" s="30" t="str">
        <x:v>Claim2026_EUA2026_Hungary</x:v>
      </x:c>
      <x:c r="AH1103" s="30" t="str"/>
    </x:row>
    <x:row r="1104">
      <x:c r="A1104" s="30" t="str">
        <x:v>2026</x:v>
      </x:c>
      <x:c r="B1104" s="30" t="str">
        <x:v>Base game</x:v>
      </x:c>
      <x:c r="C1104" s="30" t="str">
        <x:v>France</x:v>
      </x:c>
      <x:c r="D1104" s="30" t="str">
        <x:v>Iceland</x:v>
      </x:c>
      <x:c r="E1104" s="30" t="str">
        <x:v>Starting claim</x:v>
      </x:c>
      <x:c r="F1104" s="30" t="str"/>
      <x:c r="G1104" s="30" t="str">
        <x:v>No</x:v>
      </x:c>
      <x:c r="H1104" s="30" t="str">
        <x:v>Ordinary claim</x:v>
      </x:c>
      <x:c r="I1104" s="31" t="n">
        <x:f>IF(G1104="Yes",'Controls &amp; Summary'!$B$5,'Controls &amp; Summary'!$B$4)</x:f>
        <x:v>6</x:v>
      </x:c>
      <x:c r="J1104" s="31" t="n">
        <x:v>8.05</x:v>
      </x:c>
      <x:c r="K1104" s="31" t="n">
        <x:v>9.38</x:v>
      </x:c>
      <x:c r="L1104" s="31" t="n">
        <x:f>ABS(J1104-K1104)</x:f>
        <x:v>1.33</x:v>
      </x:c>
      <x:c r="M1104" s="31" t="n">
        <x:v>3.15</x:v>
      </x:c>
      <x:c r="N1104" s="31" t="n">
        <x:v>2.61</x:v>
      </x:c>
      <x:c r="O1104" s="31" t="n">
        <x:f>ABS(M1104-N1104)</x:f>
        <x:v>0.54</x:v>
      </x:c>
      <x:c r="P1104" s="31" t="n">
        <x:v>8.21</x:v>
      </x:c>
      <x:c r="Q1104" s="31" t="n">
        <x:v>9.64</x:v>
      </x:c>
      <x:c r="R1104" s="31" t="n">
        <x:f>ABS(P1104-Q1104)</x:f>
        <x:v>1.4299999999999997</x:v>
      </x:c>
      <x:c r="S1104" s="32" t="n">
        <x:v>57291.50449187318</x:v>
      </x:c>
      <x:c r="T1104" s="32" t="n">
        <x:v>81842.53185825532</x:v>
      </x:c>
      <x:c r="U1104" s="31" t="n">
        <x:f>MAX(S1104/T1104,T1104/S1104)</x:f>
        <x:v>1.428528236151744</x:v>
      </x:c>
      <x:c r="V1104" s="31" t="n">
        <x:f>L1104*'Controls &amp; Summary'!$B$9+O1104*'Controls &amp; Summary'!$B$10+R1104*'Controls &amp; Summary'!$B$11+U1104*'Controls &amp; Summary'!$B$12</x:f>
        <x:v>4.728528236151744</x:v>
      </x:c>
      <x:c r="W1104" s="31" t="n">
        <x:v>5.27</x:v>
      </x:c>
      <x:c r="X1104" s="31" t="n">
        <x:v>0</x:v>
      </x:c>
      <x:c r="Y1104" s="31" t="n">
        <x:f>((10-MIN(10,MAX(0,X1104)))/10)*'Controls &amp; Summary'!$B$15+((10-MIN(10,MAX(0,W1104)))/10)*'Controls &amp; Summary'!$B$16</x:f>
        <x:v>1.473</x:v>
      </x:c>
      <x:c r="Z1104" s="31" t="n">
        <x:f>V1104*Y1104</x:f>
        <x:v>6.965122091851519</x:v>
      </x:c>
      <x:c r="AA1104" s="30" t="str">
        <x:f>IF(Z1104&lt;=I1104,"Peaceful","Hostile")</x:f>
        <x:v>Hostile</x:v>
      </x:c>
      <x:c r="AB1104" s="30" t="str">
        <x:f>IF(Z1104&lt;='Controls &amp; Summary'!$B$6,"Eligible","Blocked")</x:f>
        <x:v>Eligible</x:v>
      </x:c>
      <x:c r="AC1104" s="30" t="str">
        <x:v>2026_EUA</x:v>
      </x:c>
      <x:c r="AD1104" s="30" t="str">
        <x:v>2026_ISL</x:v>
      </x:c>
      <x:c r="AE1104" s="30" t="str">
        <x:v>2026_Iceland</x:v>
      </x:c>
      <x:c r="AF1104" s="30" t="str">
        <x:v>Explicit capitalClaim</x:v>
      </x:c>
      <x:c r="AG1104" s="30" t="str">
        <x:v>Claim2026_EUA2026_Iceland</x:v>
      </x:c>
      <x:c r="AH1104" s="30" t="str"/>
    </x:row>
    <x:row r="1105">
      <x:c r="A1105" s="30" t="str">
        <x:v>2026</x:v>
      </x:c>
      <x:c r="B1105" s="30" t="str">
        <x:v>Base game</x:v>
      </x:c>
      <x:c r="C1105" s="30" t="str">
        <x:v>France</x:v>
      </x:c>
      <x:c r="D1105" s="30" t="str">
        <x:v>Ireland</x:v>
      </x:c>
      <x:c r="E1105" s="30" t="str">
        <x:v>Starting claim</x:v>
      </x:c>
      <x:c r="F1105" s="30" t="str"/>
      <x:c r="G1105" s="30" t="str">
        <x:v>No</x:v>
      </x:c>
      <x:c r="H1105" s="30" t="str">
        <x:v>Ordinary claim</x:v>
      </x:c>
      <x:c r="I1105" s="31" t="n">
        <x:f>IF(G1105="Yes",'Controls &amp; Summary'!$B$5,'Controls &amp; Summary'!$B$4)</x:f>
        <x:v>6</x:v>
      </x:c>
      <x:c r="J1105" s="31" t="n">
        <x:v>8.05</x:v>
      </x:c>
      <x:c r="K1105" s="31" t="n">
        <x:v>9.33</x:v>
      </x:c>
      <x:c r="L1105" s="31" t="n">
        <x:f>ABS(J1105-K1105)</x:f>
        <x:v>1.2799999999999994</x:v>
      </x:c>
      <x:c r="M1105" s="31" t="n">
        <x:v>3.15</x:v>
      </x:c>
      <x:c r="N1105" s="31" t="n">
        <x:v>3.01</x:v>
      </x:c>
      <x:c r="O1105" s="31" t="n">
        <x:f>ABS(M1105-N1105)</x:f>
        <x:v>0.14000000000000012</x:v>
      </x:c>
      <x:c r="P1105" s="31" t="n">
        <x:v>8.21</x:v>
      </x:c>
      <x:c r="Q1105" s="31" t="n">
        <x:v>9.01</x:v>
      </x:c>
      <x:c r="R1105" s="31" t="n">
        <x:f>ABS(P1105-Q1105)</x:f>
        <x:v>0.7999999999999989</x:v>
      </x:c>
      <x:c r="S1105" s="32" t="n">
        <x:v>57291.50449187318</x:v>
      </x:c>
      <x:c r="T1105" s="32" t="n">
        <x:v>145489.7047760386</x:v>
      </x:c>
      <x:c r="U1105" s="31" t="n">
        <x:f>MAX(S1105/T1105,T1105/S1105)</x:f>
        <x:v>2.5394638536098553</x:v>
      </x:c>
      <x:c r="V1105" s="31" t="n">
        <x:f>L1105*'Controls &amp; Summary'!$B$9+O1105*'Controls &amp; Summary'!$B$10+R1105*'Controls &amp; Summary'!$B$11+U1105*'Controls &amp; Summary'!$B$12</x:f>
        <x:v>4.759463853609853</x:v>
      </x:c>
      <x:c r="W1105" s="31" t="n">
        <x:v>5.27</x:v>
      </x:c>
      <x:c r="X1105" s="31" t="n">
        <x:v>0.5</x:v>
      </x:c>
      <x:c r="Y1105" s="31" t="n">
        <x:f>((10-MIN(10,MAX(0,X1105)))/10)*'Controls &amp; Summary'!$B$15+((10-MIN(10,MAX(0,W1105)))/10)*'Controls &amp; Summary'!$B$16</x:f>
        <x:v>1.423</x:v>
      </x:c>
      <x:c r="Z1105" s="31" t="n">
        <x:f>V1105*Y1105</x:f>
        <x:v>6.772717063686821</x:v>
      </x:c>
      <x:c r="AA1105" s="30" t="str">
        <x:f>IF(Z1105&lt;=I1105,"Peaceful","Hostile")</x:f>
        <x:v>Hostile</x:v>
      </x:c>
      <x:c r="AB1105" s="30" t="str">
        <x:f>IF(Z1105&lt;='Controls &amp; Summary'!$B$6,"Eligible","Blocked")</x:f>
        <x:v>Eligible</x:v>
      </x:c>
      <x:c r="AC1105" s="30" t="str">
        <x:v>2026_EUA</x:v>
      </x:c>
      <x:c r="AD1105" s="30" t="str">
        <x:v>2026_IRL</x:v>
      </x:c>
      <x:c r="AE1105" s="30" t="str">
        <x:v>2026_Ireland</x:v>
      </x:c>
      <x:c r="AF1105" s="30" t="str">
        <x:v>Explicit capitalClaim</x:v>
      </x:c>
      <x:c r="AG1105" s="30" t="str">
        <x:v>Claim2026_EUA2026_Ireland</x:v>
      </x:c>
      <x:c r="AH1105" s="30" t="str"/>
    </x:row>
    <x:row r="1106">
      <x:c r="A1106" s="30" t="str">
        <x:v>2026</x:v>
      </x:c>
      <x:c r="B1106" s="30" t="str">
        <x:v>Base game</x:v>
      </x:c>
      <x:c r="C1106" s="30" t="str">
        <x:v>France</x:v>
      </x:c>
      <x:c r="D1106" s="30" t="str">
        <x:v>Italy</x:v>
      </x:c>
      <x:c r="E1106" s="30" t="str">
        <x:v>Starting claim</x:v>
      </x:c>
      <x:c r="F1106" s="30" t="str"/>
      <x:c r="G1106" s="30" t="str">
        <x:v>No</x:v>
      </x:c>
      <x:c r="H1106" s="30" t="str">
        <x:v>Ordinary claim</x:v>
      </x:c>
      <x:c r="I1106" s="31" t="n">
        <x:f>IF(G1106="Yes",'Controls &amp; Summary'!$B$5,'Controls &amp; Summary'!$B$4)</x:f>
        <x:v>6</x:v>
      </x:c>
      <x:c r="J1106" s="31" t="n">
        <x:v>8.05</x:v>
      </x:c>
      <x:c r="K1106" s="31" t="n">
        <x:v>7.58</x:v>
      </x:c>
      <x:c r="L1106" s="31" t="n">
        <x:f>ABS(J1106-K1106)</x:f>
        <x:v>0.47000000000000064</x:v>
      </x:c>
      <x:c r="M1106" s="31" t="n">
        <x:v>3.15</x:v>
      </x:c>
      <x:c r="N1106" s="31" t="n">
        <x:v>3.48</x:v>
      </x:c>
      <x:c r="O1106" s="31" t="n">
        <x:f>ABS(M1106-N1106)</x:f>
        <x:v>0.33000000000000007</x:v>
      </x:c>
      <x:c r="P1106" s="31" t="n">
        <x:v>8.21</x:v>
      </x:c>
      <x:c r="Q1106" s="31" t="n">
        <x:v>8.05</x:v>
      </x:c>
      <x:c r="R1106" s="31" t="n">
        <x:f>ABS(P1106-Q1106)</x:f>
        <x:v>0.16000000000000014</x:v>
      </x:c>
      <x:c r="S1106" s="32" t="n">
        <x:v>57291.50449187318</x:v>
      </x:c>
      <x:c r="T1106" s="32" t="n">
        <x:v>55045.46005806336</x:v>
      </x:c>
      <x:c r="U1106" s="31" t="n">
        <x:f>MAX(S1106/T1106,T1106/S1106)</x:f>
        <x:v>1.0408034455782662</x:v>
      </x:c>
      <x:c r="V1106" s="31" t="n">
        <x:f>L1106*'Controls &amp; Summary'!$B$9+O1106*'Controls &amp; Summary'!$B$10+R1106*'Controls &amp; Summary'!$B$11+U1106*'Controls &amp; Summary'!$B$12</x:f>
        <x:v>2.000803445578267</x:v>
      </x:c>
      <x:c r="W1106" s="31" t="n">
        <x:v>5.27</x:v>
      </x:c>
      <x:c r="X1106" s="31" t="n">
        <x:v>1</x:v>
      </x:c>
      <x:c r="Y1106" s="31" t="n">
        <x:f>((10-MIN(10,MAX(0,X1106)))/10)*'Controls &amp; Summary'!$B$15+((10-MIN(10,MAX(0,W1106)))/10)*'Controls &amp; Summary'!$B$16</x:f>
        <x:v>1.373</x:v>
      </x:c>
      <x:c r="Z1106" s="31" t="n">
        <x:f>V1106*Y1106</x:f>
        <x:v>2.7471031307789606</x:v>
      </x:c>
      <x:c r="AA1106" s="30" t="str">
        <x:f>IF(Z1106&lt;=I1106,"Peaceful","Hostile")</x:f>
        <x:v>Peaceful</x:v>
      </x:c>
      <x:c r="AB1106" s="30" t="str">
        <x:f>IF(Z1106&lt;='Controls &amp; Summary'!$B$6,"Eligible","Blocked")</x:f>
        <x:v>Eligible</x:v>
      </x:c>
      <x:c r="AC1106" s="30" t="str">
        <x:v>2026_EUA</x:v>
      </x:c>
      <x:c r="AD1106" s="30" t="str">
        <x:v>2026_ITA</x:v>
      </x:c>
      <x:c r="AE1106" s="30" t="str">
        <x:v>2026_Italy</x:v>
      </x:c>
      <x:c r="AF1106" s="30" t="str">
        <x:v>Explicit capitalClaim</x:v>
      </x:c>
      <x:c r="AG1106" s="30" t="str">
        <x:v>Claim2026_EUA2026_Italy</x:v>
      </x:c>
      <x:c r="AH1106" s="30" t="str"/>
    </x:row>
    <x:row r="1107">
      <x:c r="A1107" s="30" t="str">
        <x:v>2026</x:v>
      </x:c>
      <x:c r="B1107" s="30" t="str">
        <x:v>Base game</x:v>
      </x:c>
      <x:c r="C1107" s="30" t="str">
        <x:v>France</x:v>
      </x:c>
      <x:c r="D1107" s="30" t="str">
        <x:v>Kosovo</x:v>
      </x:c>
      <x:c r="E1107" s="30" t="str">
        <x:v>Starting claim</x:v>
      </x:c>
      <x:c r="F1107" s="30" t="str"/>
      <x:c r="G1107" s="30" t="str">
        <x:v>No</x:v>
      </x:c>
      <x:c r="H1107" s="30" t="str">
        <x:v>Ordinary claim</x:v>
      </x:c>
      <x:c r="I1107" s="31" t="n">
        <x:f>IF(G1107="Yes",'Controls &amp; Summary'!$B$5,'Controls &amp; Summary'!$B$4)</x:f>
        <x:v>6</x:v>
      </x:c>
      <x:c r="J1107" s="31" t="n">
        <x:v>8.05</x:v>
      </x:c>
      <x:c r="K1107" s="31" t="n">
        <x:v>6</x:v>
      </x:c>
      <x:c r="L1107" s="31" t="n">
        <x:f>ABS(J1107-K1107)</x:f>
        <x:v>2.0500000000000007</x:v>
      </x:c>
      <x:c r="M1107" s="31" t="n">
        <x:v>3.15</x:v>
      </x:c>
      <x:c r="N1107" s="31" t="n">
        <x:v>2.9</x:v>
      </x:c>
      <x:c r="O1107" s="31" t="n">
        <x:f>ABS(M1107-N1107)</x:f>
        <x:v>0.25</x:v>
      </x:c>
      <x:c r="P1107" s="31" t="n">
        <x:v>8.21</x:v>
      </x:c>
      <x:c r="Q1107" s="31" t="n">
        <x:v>7.62</x:v>
      </x:c>
      <x:c r="R1107" s="31" t="n">
        <x:f>ABS(P1107-Q1107)</x:f>
        <x:v>0.5900000000000007</x:v>
      </x:c>
      <x:c r="S1107" s="32" t="n">
        <x:v>57291.50449187318</x:v>
      </x:c>
      <x:c r="T1107" s="32" t="n">
        <x:v>16973.99867545855</x:v>
      </x:c>
      <x:c r="U1107" s="31" t="n">
        <x:f>MAX(S1107/T1107,T1107/S1107)</x:f>
        <x:v>3.375250910953983</x:v>
      </x:c>
      <x:c r="V1107" s="31" t="n">
        <x:f>L1107*'Controls &amp; Summary'!$B$9+O1107*'Controls &amp; Summary'!$B$10+R1107*'Controls &amp; Summary'!$B$11+U1107*'Controls &amp; Summary'!$B$12</x:f>
        <x:v>6.265250910953984</x:v>
      </x:c>
      <x:c r="W1107" s="31" t="n">
        <x:v>5.27</x:v>
      </x:c>
      <x:c r="X1107" s="31" t="n">
        <x:v>1</x:v>
      </x:c>
      <x:c r="Y1107" s="31" t="n">
        <x:f>((10-MIN(10,MAX(0,X1107)))/10)*'Controls &amp; Summary'!$B$15+((10-MIN(10,MAX(0,W1107)))/10)*'Controls &amp; Summary'!$B$16</x:f>
        <x:v>1.373</x:v>
      </x:c>
      <x:c r="Z1107" s="31" t="n">
        <x:f>V1107*Y1107</x:f>
        <x:v>8.60218950073982</x:v>
      </x:c>
      <x:c r="AA1107" s="30" t="str">
        <x:f>IF(Z1107&lt;=I1107,"Peaceful","Hostile")</x:f>
        <x:v>Hostile</x:v>
      </x:c>
      <x:c r="AB1107" s="30" t="str">
        <x:f>IF(Z1107&lt;='Controls &amp; Summary'!$B$6,"Eligible","Blocked")</x:f>
        <x:v>Eligible</x:v>
      </x:c>
      <x:c r="AC1107" s="30" t="str">
        <x:v>2026_EUA</x:v>
      </x:c>
      <x:c r="AD1107" s="30" t="str">
        <x:v>2026_KOS</x:v>
      </x:c>
      <x:c r="AE1107" s="30" t="str">
        <x:v>2026_Kosovo</x:v>
      </x:c>
      <x:c r="AF1107" s="30" t="str">
        <x:v>Explicit capitalClaim</x:v>
      </x:c>
      <x:c r="AG1107" s="30" t="str">
        <x:v>Claim2026_EUA2026_Kosovo</x:v>
      </x:c>
      <x:c r="AH1107" s="30" t="str"/>
    </x:row>
    <x:row r="1108">
      <x:c r="A1108" s="30" t="str">
        <x:v>2026</x:v>
      </x:c>
      <x:c r="B1108" s="30" t="str">
        <x:v>Base game</x:v>
      </x:c>
      <x:c r="C1108" s="30" t="str">
        <x:v>France</x:v>
      </x:c>
      <x:c r="D1108" s="30" t="str">
        <x:v>Latvia</x:v>
      </x:c>
      <x:c r="E1108" s="30" t="str">
        <x:v>Starting claim</x:v>
      </x:c>
      <x:c r="F1108" s="30" t="str"/>
      <x:c r="G1108" s="30" t="str">
        <x:v>No</x:v>
      </x:c>
      <x:c r="H1108" s="30" t="str">
        <x:v>Ordinary claim</x:v>
      </x:c>
      <x:c r="I1108" s="31" t="n">
        <x:f>IF(G1108="Yes",'Controls &amp; Summary'!$B$5,'Controls &amp; Summary'!$B$4)</x:f>
        <x:v>6</x:v>
      </x:c>
      <x:c r="J1108" s="31" t="n">
        <x:v>8.05</x:v>
      </x:c>
      <x:c r="K1108" s="31" t="n">
        <x:v>7.73</x:v>
      </x:c>
      <x:c r="L1108" s="31" t="n">
        <x:f>ABS(J1108-K1108)</x:f>
        <x:v>0.3200000000000003</x:v>
      </x:c>
      <x:c r="M1108" s="31" t="n">
        <x:v>3.15</x:v>
      </x:c>
      <x:c r="N1108" s="31" t="n">
        <x:v>3.43</x:v>
      </x:c>
      <x:c r="O1108" s="31" t="n">
        <x:f>ABS(M1108-N1108)</x:f>
        <x:v>0.28000000000000025</x:v>
      </x:c>
      <x:c r="P1108" s="31" t="n">
        <x:v>8.21</x:v>
      </x:c>
      <x:c r="Q1108" s="31" t="n">
        <x:v>8.83</x:v>
      </x:c>
      <x:c r="R1108" s="31" t="n">
        <x:f>ABS(P1108-Q1108)</x:f>
        <x:v>0.6199999999999992</x:v>
      </x:c>
      <x:c r="S1108" s="32" t="n">
        <x:v>57291.50449187318</x:v>
      </x:c>
      <x:c r="T1108" s="32" t="n">
        <x:v>39903.85280524637</x:v>
      </x:c>
      <x:c r="U1108" s="31" t="n">
        <x:f>MAX(S1108/T1108,T1108/S1108)</x:f>
        <x:v>1.4357386684310534</x:v>
      </x:c>
      <x:c r="V1108" s="31" t="n">
        <x:f>L1108*'Controls &amp; Summary'!$B$9+O1108*'Controls &amp; Summary'!$B$10+R1108*'Controls &amp; Summary'!$B$11+U1108*'Controls &amp; Summary'!$B$12</x:f>
        <x:v>2.655738668431053</x:v>
      </x:c>
      <x:c r="W1108" s="31" t="n">
        <x:v>5.27</x:v>
      </x:c>
      <x:c r="X1108" s="31" t="n">
        <x:v>0</x:v>
      </x:c>
      <x:c r="Y1108" s="31" t="n">
        <x:f>((10-MIN(10,MAX(0,X1108)))/10)*'Controls &amp; Summary'!$B$15+((10-MIN(10,MAX(0,W1108)))/10)*'Controls &amp; Summary'!$B$16</x:f>
        <x:v>1.473</x:v>
      </x:c>
      <x:c r="Z1108" s="31" t="n">
        <x:f>V1108*Y1108</x:f>
        <x:v>3.9119030585989414</x:v>
      </x:c>
      <x:c r="AA1108" s="30" t="str">
        <x:f>IF(Z1108&lt;=I1108,"Peaceful","Hostile")</x:f>
        <x:v>Peaceful</x:v>
      </x:c>
      <x:c r="AB1108" s="30" t="str">
        <x:f>IF(Z1108&lt;='Controls &amp; Summary'!$B$6,"Eligible","Blocked")</x:f>
        <x:v>Eligible</x:v>
      </x:c>
      <x:c r="AC1108" s="30" t="str">
        <x:v>2026_EUA</x:v>
      </x:c>
      <x:c r="AD1108" s="30" t="str">
        <x:v>2026_LVA</x:v>
      </x:c>
      <x:c r="AE1108" s="30" t="str">
        <x:v>2026_Latvia</x:v>
      </x:c>
      <x:c r="AF1108" s="30" t="str">
        <x:v>Explicit capitalClaim</x:v>
      </x:c>
      <x:c r="AG1108" s="30" t="str">
        <x:v>Claim2026_EUA2026_Latvia</x:v>
      </x:c>
      <x:c r="AH1108" s="30" t="str"/>
    </x:row>
    <x:row r="1109">
      <x:c r="A1109" s="30" t="str">
        <x:v>2026</x:v>
      </x:c>
      <x:c r="B1109" s="30" t="str">
        <x:v>Base game</x:v>
      </x:c>
      <x:c r="C1109" s="30" t="str">
        <x:v>France</x:v>
      </x:c>
      <x:c r="D1109" s="30" t="str">
        <x:v>Lithuania</x:v>
      </x:c>
      <x:c r="E1109" s="30" t="str">
        <x:v>Starting claim</x:v>
      </x:c>
      <x:c r="F1109" s="30" t="str"/>
      <x:c r="G1109" s="30" t="str">
        <x:v>No</x:v>
      </x:c>
      <x:c r="H1109" s="30" t="str">
        <x:v>Ordinary claim</x:v>
      </x:c>
      <x:c r="I1109" s="31" t="n">
        <x:f>IF(G1109="Yes",'Controls &amp; Summary'!$B$5,'Controls &amp; Summary'!$B$4)</x:f>
        <x:v>6</x:v>
      </x:c>
      <x:c r="J1109" s="31" t="n">
        <x:v>8.05</x:v>
      </x:c>
      <x:c r="K1109" s="31" t="n">
        <x:v>7.55</x:v>
      </x:c>
      <x:c r="L1109" s="31" t="n">
        <x:f>ABS(J1109-K1109)</x:f>
        <x:v>0.5000000000000009</x:v>
      </x:c>
      <x:c r="M1109" s="31" t="n">
        <x:v>3.15</x:v>
      </x:c>
      <x:c r="N1109" s="31" t="n">
        <x:v>3.67</x:v>
      </x:c>
      <x:c r="O1109" s="31" t="n">
        <x:f>ABS(M1109-N1109)</x:f>
        <x:v>0.52</x:v>
      </x:c>
      <x:c r="P1109" s="31" t="n">
        <x:v>8.21</x:v>
      </x:c>
      <x:c r="Q1109" s="31" t="n">
        <x:v>8.9</x:v>
      </x:c>
      <x:c r="R1109" s="31" t="n">
        <x:f>ABS(P1109-Q1109)</x:f>
        <x:v>0.6899999999999995</x:v>
      </x:c>
      <x:c r="S1109" s="32" t="n">
        <x:v>57291.50449187318</x:v>
      </x:c>
      <x:c r="T1109" s="32" t="n">
        <x:v>52045.53757894112</x:v>
      </x:c>
      <x:c r="U1109" s="31" t="n">
        <x:f>MAX(S1109/T1109,T1109/S1109)</x:f>
        <x:v>1.10079571000636</x:v>
      </x:c>
      <x:c r="V1109" s="31" t="n">
        <x:f>L1109*'Controls &amp; Summary'!$B$9+O1109*'Controls &amp; Summary'!$B$10+R1109*'Controls &amp; Summary'!$B$11+U1109*'Controls &amp; Summary'!$B$12</x:f>
        <x:v>2.81079571000636</x:v>
      </x:c>
      <x:c r="W1109" s="31" t="n">
        <x:v>5.27</x:v>
      </x:c>
      <x:c r="X1109" s="31" t="n">
        <x:v>0</x:v>
      </x:c>
      <x:c r="Y1109" s="31" t="n">
        <x:f>((10-MIN(10,MAX(0,X1109)))/10)*'Controls &amp; Summary'!$B$15+((10-MIN(10,MAX(0,W1109)))/10)*'Controls &amp; Summary'!$B$16</x:f>
        <x:v>1.473</x:v>
      </x:c>
      <x:c r="Z1109" s="31" t="n">
        <x:f>V1109*Y1109</x:f>
        <x:v>4.140302080839368</x:v>
      </x:c>
      <x:c r="AA1109" s="30" t="str">
        <x:f>IF(Z1109&lt;=I1109,"Peaceful","Hostile")</x:f>
        <x:v>Peaceful</x:v>
      </x:c>
      <x:c r="AB1109" s="30" t="str">
        <x:f>IF(Z1109&lt;='Controls &amp; Summary'!$B$6,"Eligible","Blocked")</x:f>
        <x:v>Eligible</x:v>
      </x:c>
      <x:c r="AC1109" s="30" t="str">
        <x:v>2026_EUA</x:v>
      </x:c>
      <x:c r="AD1109" s="30" t="str">
        <x:v>2026_LTU</x:v>
      </x:c>
      <x:c r="AE1109" s="30" t="str">
        <x:v>2026_Lithuania</x:v>
      </x:c>
      <x:c r="AF1109" s="30" t="str">
        <x:v>Explicit capitalClaim</x:v>
      </x:c>
      <x:c r="AG1109" s="30" t="str">
        <x:v>Claim2026_EUA2026_Lithuania</x:v>
      </x:c>
      <x:c r="AH1109" s="30" t="str"/>
    </x:row>
    <x:row r="1110">
      <x:c r="A1110" s="30" t="str">
        <x:v>2026</x:v>
      </x:c>
      <x:c r="B1110" s="30" t="str">
        <x:v>Base game</x:v>
      </x:c>
      <x:c r="C1110" s="30" t="str">
        <x:v>France</x:v>
      </x:c>
      <x:c r="D1110" s="30" t="str">
        <x:v>Moldova</x:v>
      </x:c>
      <x:c r="E1110" s="30" t="str">
        <x:v>Starting claim</x:v>
      </x:c>
      <x:c r="F1110" s="30" t="str"/>
      <x:c r="G1110" s="30" t="str">
        <x:v>No</x:v>
      </x:c>
      <x:c r="H1110" s="30" t="str">
        <x:v>Ordinary claim</x:v>
      </x:c>
      <x:c r="I1110" s="31" t="n">
        <x:f>IF(G1110="Yes",'Controls &amp; Summary'!$B$5,'Controls &amp; Summary'!$B$4)</x:f>
        <x:v>6</x:v>
      </x:c>
      <x:c r="J1110" s="31" t="n">
        <x:v>8.05</x:v>
      </x:c>
      <x:c r="K1110" s="31" t="n">
        <x:v>5.86</x:v>
      </x:c>
      <x:c r="L1110" s="31" t="n">
        <x:f>ABS(J1110-K1110)</x:f>
        <x:v>2.1900000000000004</x:v>
      </x:c>
      <x:c r="M1110" s="31" t="n">
        <x:v>3.15</x:v>
      </x:c>
      <x:c r="N1110" s="31" t="n">
        <x:v>2.57</x:v>
      </x:c>
      <x:c r="O1110" s="31" t="n">
        <x:f>ABS(M1110-N1110)</x:f>
        <x:v>0.5800000000000001</x:v>
      </x:c>
      <x:c r="P1110" s="31" t="n">
        <x:v>8.21</x:v>
      </x:c>
      <x:c r="Q1110" s="31" t="n">
        <x:v>7.81</x:v>
      </x:c>
      <x:c r="R1110" s="31" t="n">
        <x:f>ABS(P1110-Q1110)</x:f>
        <x:v>0.40000000000000124</x:v>
      </x:c>
      <x:c r="S1110" s="32" t="n">
        <x:v>57291.50449187318</x:v>
      </x:c>
      <x:c r="T1110" s="32" t="n">
        <x:v>13778.352009098851</x:v>
      </x:c>
      <x:c r="U1110" s="31" t="n">
        <x:f>MAX(S1110/T1110,T1110/S1110)</x:f>
        <x:v>4.158081057447176</x:v>
      </x:c>
      <x:c r="V1110" s="31" t="n">
        <x:f>L1110*'Controls &amp; Summary'!$B$9+O1110*'Controls &amp; Summary'!$B$10+R1110*'Controls &amp; Summary'!$B$11+U1110*'Controls &amp; Summary'!$B$12</x:f>
        <x:v>7.328081057447178</x:v>
      </x:c>
      <x:c r="W1110" s="31" t="n">
        <x:v>5.27</x:v>
      </x:c>
      <x:c r="X1110" s="31" t="n">
        <x:v>0.25</x:v>
      </x:c>
      <x:c r="Y1110" s="31" t="n">
        <x:f>((10-MIN(10,MAX(0,X1110)))/10)*'Controls &amp; Summary'!$B$15+((10-MIN(10,MAX(0,W1110)))/10)*'Controls &amp; Summary'!$B$16</x:f>
        <x:v>1.448</x:v>
      </x:c>
      <x:c r="Z1110" s="31" t="n">
        <x:f>V1110*Y1110</x:f>
        <x:v>10.611061371183514</x:v>
      </x:c>
      <x:c r="AA1110" s="30" t="str">
        <x:f>IF(Z1110&lt;=I1110,"Peaceful","Hostile")</x:f>
        <x:v>Hostile</x:v>
      </x:c>
      <x:c r="AB1110" s="30" t="str">
        <x:f>IF(Z1110&lt;='Controls &amp; Summary'!$B$6,"Eligible","Blocked")</x:f>
        <x:v>Eligible</x:v>
      </x:c>
      <x:c r="AC1110" s="30" t="str">
        <x:v>2026_EUA</x:v>
      </x:c>
      <x:c r="AD1110" s="30" t="str">
        <x:v>2026_MOL</x:v>
      </x:c>
      <x:c r="AE1110" s="30" t="str">
        <x:v>2026_Moldova</x:v>
      </x:c>
      <x:c r="AF1110" s="30" t="str">
        <x:v>Explicit capitalClaim</x:v>
      </x:c>
      <x:c r="AG1110" s="30" t="str">
        <x:v>Claim2026_EUA2026_Moldova</x:v>
      </x:c>
      <x:c r="AH1110" s="30" t="str"/>
    </x:row>
    <x:row r="1111">
      <x:c r="A1111" s="30" t="str">
        <x:v>2026</x:v>
      </x:c>
      <x:c r="B1111" s="30" t="str">
        <x:v>Base game</x:v>
      </x:c>
      <x:c r="C1111" s="30" t="str">
        <x:v>France</x:v>
      </x:c>
      <x:c r="D1111" s="30" t="str">
        <x:v>Montenegro</x:v>
      </x:c>
      <x:c r="E1111" s="30" t="str">
        <x:v>Starting claim</x:v>
      </x:c>
      <x:c r="F1111" s="30" t="str"/>
      <x:c r="G1111" s="30" t="str">
        <x:v>No</x:v>
      </x:c>
      <x:c r="H1111" s="30" t="str">
        <x:v>Ordinary claim</x:v>
      </x:c>
      <x:c r="I1111" s="31" t="n">
        <x:f>IF(G1111="Yes",'Controls &amp; Summary'!$B$5,'Controls &amp; Summary'!$B$4)</x:f>
        <x:v>6</x:v>
      </x:c>
      <x:c r="J1111" s="31" t="n">
        <x:v>8.05</x:v>
      </x:c>
      <x:c r="K1111" s="31" t="n">
        <x:v>6.73</x:v>
      </x:c>
      <x:c r="L1111" s="31" t="n">
        <x:f>ABS(J1111-K1111)</x:f>
        <x:v>1.3200000000000003</x:v>
      </x:c>
      <x:c r="M1111" s="31" t="n">
        <x:v>3.15</x:v>
      </x:c>
      <x:c r="N1111" s="31" t="n">
        <x:v>3.43</x:v>
      </x:c>
      <x:c r="O1111" s="31" t="n">
        <x:f>ABS(M1111-N1111)</x:f>
        <x:v>0.28000000000000025</x:v>
      </x:c>
      <x:c r="P1111" s="31" t="n">
        <x:v>8.21</x:v>
      </x:c>
      <x:c r="Q1111" s="31" t="n">
        <x:v>8.37</x:v>
      </x:c>
      <x:c r="R1111" s="31" t="n">
        <x:f>ABS(P1111-Q1111)</x:f>
        <x:v>0.15999999999999837</x:v>
      </x:c>
      <x:c r="S1111" s="32" t="n">
        <x:v>57291.50449187318</x:v>
      </x:c>
      <x:c r="T1111" s="32" t="n">
        <x:v>29943.99847979905</x:v>
      </x:c>
      <x:c r="U1111" s="31" t="n">
        <x:f>MAX(S1111/T1111,T1111/S1111)</x:f>
        <x:v>1.9132883850005342</x:v>
      </x:c>
      <x:c r="V1111" s="31" t="n">
        <x:f>L1111*'Controls &amp; Summary'!$B$9+O1111*'Controls &amp; Summary'!$B$10+R1111*'Controls &amp; Summary'!$B$11+U1111*'Controls &amp; Summary'!$B$12</x:f>
        <x:v>3.673288385000533</x:v>
      </x:c>
      <x:c r="W1111" s="31" t="n">
        <x:v>5.27</x:v>
      </x:c>
      <x:c r="X1111" s="31" t="n">
        <x:v>0.5</x:v>
      </x:c>
      <x:c r="Y1111" s="31" t="n">
        <x:f>((10-MIN(10,MAX(0,X1111)))/10)*'Controls &amp; Summary'!$B$15+((10-MIN(10,MAX(0,W1111)))/10)*'Controls &amp; Summary'!$B$16</x:f>
        <x:v>1.423</x:v>
      </x:c>
      <x:c r="Z1111" s="31" t="n">
        <x:f>V1111*Y1111</x:f>
        <x:v>5.227089371855759</x:v>
      </x:c>
      <x:c r="AA1111" s="30" t="str">
        <x:f>IF(Z1111&lt;=I1111,"Peaceful","Hostile")</x:f>
        <x:v>Peaceful</x:v>
      </x:c>
      <x:c r="AB1111" s="30" t="str">
        <x:f>IF(Z1111&lt;='Controls &amp; Summary'!$B$6,"Eligible","Blocked")</x:f>
        <x:v>Eligible</x:v>
      </x:c>
      <x:c r="AC1111" s="30" t="str">
        <x:v>2026_EUA</x:v>
      </x:c>
      <x:c r="AD1111" s="30" t="str">
        <x:v>2026_MNE</x:v>
      </x:c>
      <x:c r="AE1111" s="30" t="str">
        <x:v>2026_Montenegro</x:v>
      </x:c>
      <x:c r="AF1111" s="30" t="str">
        <x:v>Explicit capitalClaim</x:v>
      </x:c>
      <x:c r="AG1111" s="30" t="str">
        <x:v>Claim2026_EUA2026_Montenegro</x:v>
      </x:c>
      <x:c r="AH1111" s="30" t="str"/>
    </x:row>
    <x:row r="1112">
      <x:c r="A1112" s="30" t="str">
        <x:v>2026</x:v>
      </x:c>
      <x:c r="B1112" s="30" t="str">
        <x:v>Base game</x:v>
      </x:c>
      <x:c r="C1112" s="30" t="str">
        <x:v>France</x:v>
      </x:c>
      <x:c r="D1112" s="30" t="str">
        <x:v>Netherlands</x:v>
      </x:c>
      <x:c r="E1112" s="30" t="str">
        <x:v>Starting claim</x:v>
      </x:c>
      <x:c r="F1112" s="30" t="str"/>
      <x:c r="G1112" s="30" t="str">
        <x:v>No</x:v>
      </x:c>
      <x:c r="H1112" s="30" t="str">
        <x:v>Ordinary claim</x:v>
      </x:c>
      <x:c r="I1112" s="31" t="n">
        <x:f>IF(G1112="Yes",'Controls &amp; Summary'!$B$5,'Controls &amp; Summary'!$B$4)</x:f>
        <x:v>6</x:v>
      </x:c>
      <x:c r="J1112" s="31" t="n">
        <x:v>8.05</x:v>
      </x:c>
      <x:c r="K1112" s="31" t="n">
        <x:v>8.93</x:v>
      </x:c>
      <x:c r="L1112" s="31" t="n">
        <x:f>ABS(J1112-K1112)</x:f>
        <x:v>0.879999999999999</x:v>
      </x:c>
      <x:c r="M1112" s="31" t="n">
        <x:v>3.15</x:v>
      </x:c>
      <x:c r="N1112" s="31" t="n">
        <x:v>2.57</x:v>
      </x:c>
      <x:c r="O1112" s="31" t="n">
        <x:f>ABS(M1112-N1112)</x:f>
        <x:v>0.5800000000000001</x:v>
      </x:c>
      <x:c r="P1112" s="31" t="n">
        <x:v>8.21</x:v>
      </x:c>
      <x:c r="Q1112" s="31" t="n">
        <x:v>9.17</x:v>
      </x:c>
      <x:c r="R1112" s="31" t="n">
        <x:f>ABS(P1112-Q1112)</x:f>
        <x:v>0.9599999999999991</x:v>
      </x:c>
      <x:c r="S1112" s="32" t="n">
        <x:v>57291.50449187318</x:v>
      </x:c>
      <x:c r="T1112" s="32" t="n">
        <x:v>77673.73665435288</x:v>
      </x:c>
      <x:c r="U1112" s="31" t="n">
        <x:f>MAX(S1112/T1112,T1112/S1112)</x:f>
        <x:v>1.3557636048006196</x:v>
      </x:c>
      <x:c r="V1112" s="31" t="n">
        <x:f>L1112*'Controls &amp; Summary'!$B$9+O1112*'Controls &amp; Summary'!$B$10+R1112*'Controls &amp; Summary'!$B$11+U1112*'Controls &amp; Summary'!$B$12</x:f>
        <x:v>3.775763604800618</x:v>
      </x:c>
      <x:c r="W1112" s="31" t="n">
        <x:v>5.27</x:v>
      </x:c>
      <x:c r="X1112" s="31" t="n">
        <x:v>0.5</x:v>
      </x:c>
      <x:c r="Y1112" s="31" t="n">
        <x:f>((10-MIN(10,MAX(0,X1112)))/10)*'Controls &amp; Summary'!$B$15+((10-MIN(10,MAX(0,W1112)))/10)*'Controls &amp; Summary'!$B$16</x:f>
        <x:v>1.423</x:v>
      </x:c>
      <x:c r="Z1112" s="31" t="n">
        <x:f>V1112*Y1112</x:f>
        <x:v>5.37291160963128</x:v>
      </x:c>
      <x:c r="AA1112" s="30" t="str">
        <x:f>IF(Z1112&lt;=I1112,"Peaceful","Hostile")</x:f>
        <x:v>Peaceful</x:v>
      </x:c>
      <x:c r="AB1112" s="30" t="str">
        <x:f>IF(Z1112&lt;='Controls &amp; Summary'!$B$6,"Eligible","Blocked")</x:f>
        <x:v>Eligible</x:v>
      </x:c>
      <x:c r="AC1112" s="30" t="str">
        <x:v>2026_EUA</x:v>
      </x:c>
      <x:c r="AD1112" s="30" t="str">
        <x:v>2026_NET</x:v>
      </x:c>
      <x:c r="AE1112" s="30" t="str">
        <x:v>2026_Netherlands</x:v>
      </x:c>
      <x:c r="AF1112" s="30" t="str">
        <x:v>Explicit capitalClaim</x:v>
      </x:c>
      <x:c r="AG1112" s="30" t="str">
        <x:v>Claim2026_EUA2026_Netherlands</x:v>
      </x:c>
      <x:c r="AH1112" s="30" t="str"/>
    </x:row>
    <x:row r="1113">
      <x:c r="A1113" s="30" t="str">
        <x:v>2026</x:v>
      </x:c>
      <x:c r="B1113" s="30" t="str">
        <x:v>Base game</x:v>
      </x:c>
      <x:c r="C1113" s="30" t="str">
        <x:v>France</x:v>
      </x:c>
      <x:c r="D1113" s="30" t="str">
        <x:v>North Macedonia</x:v>
      </x:c>
      <x:c r="E1113" s="30" t="str">
        <x:v>Starting claim</x:v>
      </x:c>
      <x:c r="F1113" s="30" t="str"/>
      <x:c r="G1113" s="30" t="str">
        <x:v>No</x:v>
      </x:c>
      <x:c r="H1113" s="30" t="str">
        <x:v>Ordinary claim</x:v>
      </x:c>
      <x:c r="I1113" s="31" t="n">
        <x:f>IF(G1113="Yes",'Controls &amp; Summary'!$B$5,'Controls &amp; Summary'!$B$4)</x:f>
        <x:v>6</x:v>
      </x:c>
      <x:c r="J1113" s="31" t="n">
        <x:v>8.05</x:v>
      </x:c>
      <x:c r="K1113" s="31" t="n">
        <x:v>6.28</x:v>
      </x:c>
      <x:c r="L1113" s="31" t="n">
        <x:f>ABS(J1113-K1113)</x:f>
        <x:v>1.7700000000000005</x:v>
      </x:c>
      <x:c r="M1113" s="31" t="n">
        <x:v>3.15</x:v>
      </x:c>
      <x:c r="N1113" s="31" t="n">
        <x:v>3.35</x:v>
      </x:c>
      <x:c r="O1113" s="31" t="n">
        <x:f>ABS(M1113-N1113)</x:f>
        <x:v>0.20000000000000018</x:v>
      </x:c>
      <x:c r="P1113" s="31" t="n">
        <x:v>8.21</x:v>
      </x:c>
      <x:c r="Q1113" s="31" t="n">
        <x:v>7.35</x:v>
      </x:c>
      <x:c r="R1113" s="31" t="n">
        <x:f>ABS(P1113-Q1113)</x:f>
        <x:v>0.8600000000000012</x:v>
      </x:c>
      <x:c r="S1113" s="32" t="n">
        <x:v>57291.50449187318</x:v>
      </x:c>
      <x:c r="T1113" s="32" t="n">
        <x:v>26021.04250239598</x:v>
      </x:c>
      <x:c r="U1113" s="31" t="n">
        <x:f>MAX(S1113/T1113,T1113/S1113)</x:f>
        <x:v>2.201737477912265</x:v>
      </x:c>
      <x:c r="V1113" s="31" t="n">
        <x:f>L1113*'Controls &amp; Summary'!$B$9+O1113*'Controls &amp; Summary'!$B$10+R1113*'Controls &amp; Summary'!$B$11+U1113*'Controls &amp; Summary'!$B$12</x:f>
        <x:v>5.031737477912267</x:v>
      </x:c>
      <x:c r="W1113" s="31" t="n">
        <x:v>5.27</x:v>
      </x:c>
      <x:c r="X1113" s="31" t="n">
        <x:v>1</x:v>
      </x:c>
      <x:c r="Y1113" s="31" t="n">
        <x:f>((10-MIN(10,MAX(0,X1113)))/10)*'Controls &amp; Summary'!$B$15+((10-MIN(10,MAX(0,W1113)))/10)*'Controls &amp; Summary'!$B$16</x:f>
        <x:v>1.373</x:v>
      </x:c>
      <x:c r="Z1113" s="31" t="n">
        <x:f>V1113*Y1113</x:f>
        <x:v>6.908575557173542</x:v>
      </x:c>
      <x:c r="AA1113" s="30" t="str">
        <x:f>IF(Z1113&lt;=I1113,"Peaceful","Hostile")</x:f>
        <x:v>Hostile</x:v>
      </x:c>
      <x:c r="AB1113" s="30" t="str">
        <x:f>IF(Z1113&lt;='Controls &amp; Summary'!$B$6,"Eligible","Blocked")</x:f>
        <x:v>Eligible</x:v>
      </x:c>
      <x:c r="AC1113" s="30" t="str">
        <x:v>2026_EUA</x:v>
      </x:c>
      <x:c r="AD1113" s="30" t="str">
        <x:v>2026_MKD</x:v>
      </x:c>
      <x:c r="AE1113" s="30" t="str">
        <x:v>2026_NorthMacedonia</x:v>
      </x:c>
      <x:c r="AF1113" s="30" t="str">
        <x:v>Explicit capitalClaim</x:v>
      </x:c>
      <x:c r="AG1113" s="30" t="str">
        <x:v>Claim2026_EUA2026_NorthMacedonia</x:v>
      </x:c>
      <x:c r="AH1113" s="30" t="str"/>
    </x:row>
    <x:row r="1114">
      <x:c r="A1114" s="30" t="str">
        <x:v>2026</x:v>
      </x:c>
      <x:c r="B1114" s="30" t="str">
        <x:v>Base game</x:v>
      </x:c>
      <x:c r="C1114" s="30" t="str">
        <x:v>France</x:v>
      </x:c>
      <x:c r="D1114" s="30" t="str">
        <x:v>Norway</x:v>
      </x:c>
      <x:c r="E1114" s="30" t="str">
        <x:v>Starting claim</x:v>
      </x:c>
      <x:c r="F1114" s="30" t="str"/>
      <x:c r="G1114" s="30" t="str">
        <x:v>No</x:v>
      </x:c>
      <x:c r="H1114" s="30" t="str">
        <x:v>Ordinary claim</x:v>
      </x:c>
      <x:c r="I1114" s="31" t="n">
        <x:f>IF(G1114="Yes",'Controls &amp; Summary'!$B$5,'Controls &amp; Summary'!$B$4)</x:f>
        <x:v>6</x:v>
      </x:c>
      <x:c r="J1114" s="31" t="n">
        <x:v>8.05</x:v>
      </x:c>
      <x:c r="K1114" s="31" t="n">
        <x:v>9.81</x:v>
      </x:c>
      <x:c r="L1114" s="31" t="n">
        <x:f>ABS(J1114-K1114)</x:f>
        <x:v>1.7599999999999998</x:v>
      </x:c>
      <x:c r="M1114" s="31" t="n">
        <x:v>3.15</x:v>
      </x:c>
      <x:c r="N1114" s="31" t="n">
        <x:v>2.77</x:v>
      </x:c>
      <x:c r="O1114" s="31" t="n">
        <x:f>ABS(M1114-N1114)</x:f>
        <x:v>0.3799999999999999</x:v>
      </x:c>
      <x:c r="P1114" s="31" t="n">
        <x:v>8.21</x:v>
      </x:c>
      <x:c r="Q1114" s="31" t="n">
        <x:v>9.35</x:v>
      </x:c>
      <x:c r="R1114" s="31" t="n">
        <x:f>ABS(P1114-Q1114)</x:f>
        <x:v>1.1399999999999988</x:v>
      </x:c>
      <x:c r="S1114" s="32" t="n">
        <x:v>57291.50449187318</x:v>
      </x:c>
      <x:c r="T1114" s="32" t="n">
        <x:v>106033.50245330391</x:v>
      </x:c>
      <x:c r="U1114" s="31" t="n">
        <x:f>MAX(S1114/T1114,T1114/S1114)</x:f>
        <x:v>1.850771827232165</x:v>
      </x:c>
      <x:c r="V1114" s="31" t="n">
        <x:f>L1114*'Controls &amp; Summary'!$B$9+O1114*'Controls &amp; Summary'!$B$10+R1114*'Controls &amp; Summary'!$B$11+U1114*'Controls &amp; Summary'!$B$12</x:f>
        <x:v>5.130771827232163</x:v>
      </x:c>
      <x:c r="W1114" s="31" t="n">
        <x:v>5.27</x:v>
      </x:c>
      <x:c r="X1114" s="31" t="n">
        <x:v>0.5</x:v>
      </x:c>
      <x:c r="Y1114" s="31" t="n">
        <x:f>((10-MIN(10,MAX(0,X1114)))/10)*'Controls &amp; Summary'!$B$15+((10-MIN(10,MAX(0,W1114)))/10)*'Controls &amp; Summary'!$B$16</x:f>
        <x:v>1.423</x:v>
      </x:c>
      <x:c r="Z1114" s="31" t="n">
        <x:f>V1114*Y1114</x:f>
        <x:v>7.301088310151368</x:v>
      </x:c>
      <x:c r="AA1114" s="30" t="str">
        <x:f>IF(Z1114&lt;=I1114,"Peaceful","Hostile")</x:f>
        <x:v>Hostile</x:v>
      </x:c>
      <x:c r="AB1114" s="30" t="str">
        <x:f>IF(Z1114&lt;='Controls &amp; Summary'!$B$6,"Eligible","Blocked")</x:f>
        <x:v>Eligible</x:v>
      </x:c>
      <x:c r="AC1114" s="30" t="str">
        <x:v>2026_EUA</x:v>
      </x:c>
      <x:c r="AD1114" s="30" t="str">
        <x:v>2026_NOR</x:v>
      </x:c>
      <x:c r="AE1114" s="30" t="str">
        <x:v>2026_Norway</x:v>
      </x:c>
      <x:c r="AF1114" s="30" t="str">
        <x:v>Explicit capitalClaim</x:v>
      </x:c>
      <x:c r="AG1114" s="30" t="str">
        <x:v>Claim2026_EUA2026_Norway</x:v>
      </x:c>
      <x:c r="AH1114" s="30" t="str"/>
    </x:row>
    <x:row r="1115">
      <x:c r="A1115" s="30" t="str">
        <x:v>2026</x:v>
      </x:c>
      <x:c r="B1115" s="30" t="str">
        <x:v>Base game</x:v>
      </x:c>
      <x:c r="C1115" s="30" t="str">
        <x:v>France</x:v>
      </x:c>
      <x:c r="D1115" s="30" t="str">
        <x:v>Poland</x:v>
      </x:c>
      <x:c r="E1115" s="30" t="str">
        <x:v>Starting claim</x:v>
      </x:c>
      <x:c r="F1115" s="30" t="str"/>
      <x:c r="G1115" s="30" t="str">
        <x:v>No</x:v>
      </x:c>
      <x:c r="H1115" s="30" t="str">
        <x:v>Ordinary claim</x:v>
      </x:c>
      <x:c r="I1115" s="31" t="n">
        <x:f>IF(G1115="Yes",'Controls &amp; Summary'!$B$5,'Controls &amp; Summary'!$B$4)</x:f>
        <x:v>6</x:v>
      </x:c>
      <x:c r="J1115" s="31" t="n">
        <x:v>8.05</x:v>
      </x:c>
      <x:c r="K1115" s="31" t="n">
        <x:v>7.65</x:v>
      </x:c>
      <x:c r="L1115" s="31" t="n">
        <x:f>ABS(J1115-K1115)</x:f>
        <x:v>0.40000000000000036</x:v>
      </x:c>
      <x:c r="M1115" s="31" t="n">
        <x:v>3.15</x:v>
      </x:c>
      <x:c r="N1115" s="31" t="n">
        <x:v>2.85</x:v>
      </x:c>
      <x:c r="O1115" s="31" t="n">
        <x:f>ABS(M1115-N1115)</x:f>
        <x:v>0.2999999999999998</x:v>
      </x:c>
      <x:c r="P1115" s="31" t="n">
        <x:v>8.21</x:v>
      </x:c>
      <x:c r="Q1115" s="31" t="n">
        <x:v>8.82</x:v>
      </x:c>
      <x:c r="R1115" s="31" t="n">
        <x:f>ABS(P1115-Q1115)</x:f>
        <x:v>0.6099999999999994</x:v>
      </x:c>
      <x:c r="S1115" s="32" t="n">
        <x:v>57291.50449187318</x:v>
      </x:c>
      <x:c r="T1115" s="32" t="n">
        <x:v>46967.66966440565</x:v>
      </x:c>
      <x:c r="U1115" s="31" t="n">
        <x:f>MAX(S1115/T1115,T1115/S1115)</x:f>
        <x:v>1.219807261063485</x:v>
      </x:c>
      <x:c r="V1115" s="31" t="n">
        <x:f>L1115*'Controls &amp; Summary'!$B$9+O1115*'Controls &amp; Summary'!$B$10+R1115*'Controls &amp; Summary'!$B$11+U1115*'Controls &amp; Summary'!$B$12</x:f>
        <x:v>2.5298072610634845</x:v>
      </x:c>
      <x:c r="W1115" s="31" t="n">
        <x:v>5.27</x:v>
      </x:c>
      <x:c r="X1115" s="31" t="n">
        <x:v>1</x:v>
      </x:c>
      <x:c r="Y1115" s="31" t="n">
        <x:f>((10-MIN(10,MAX(0,X1115)))/10)*'Controls &amp; Summary'!$B$15+((10-MIN(10,MAX(0,W1115)))/10)*'Controls &amp; Summary'!$B$16</x:f>
        <x:v>1.373</x:v>
      </x:c>
      <x:c r="Z1115" s="31" t="n">
        <x:f>V1115*Y1115</x:f>
        <x:v>3.4734253694401644</x:v>
      </x:c>
      <x:c r="AA1115" s="30" t="str">
        <x:f>IF(Z1115&lt;=I1115,"Peaceful","Hostile")</x:f>
        <x:v>Peaceful</x:v>
      </x:c>
      <x:c r="AB1115" s="30" t="str">
        <x:f>IF(Z1115&lt;='Controls &amp; Summary'!$B$6,"Eligible","Blocked")</x:f>
        <x:v>Eligible</x:v>
      </x:c>
      <x:c r="AC1115" s="30" t="str">
        <x:v>2026_EUA</x:v>
      </x:c>
      <x:c r="AD1115" s="30" t="str">
        <x:v>2026_POL</x:v>
      </x:c>
      <x:c r="AE1115" s="30" t="str">
        <x:v>2026_Poland</x:v>
      </x:c>
      <x:c r="AF1115" s="30" t="str">
        <x:v>Explicit capitalClaim</x:v>
      </x:c>
      <x:c r="AG1115" s="30" t="str">
        <x:v>Claim2026_EUA2026_Poland</x:v>
      </x:c>
      <x:c r="AH1115" s="30" t="str"/>
    </x:row>
    <x:row r="1116">
      <x:c r="A1116" s="30" t="str">
        <x:v>2026</x:v>
      </x:c>
      <x:c r="B1116" s="30" t="str">
        <x:v>Base game</x:v>
      </x:c>
      <x:c r="C1116" s="30" t="str">
        <x:v>France</x:v>
      </x:c>
      <x:c r="D1116" s="30" t="str">
        <x:v>Portugal</x:v>
      </x:c>
      <x:c r="E1116" s="30" t="str">
        <x:v>Starting claim</x:v>
      </x:c>
      <x:c r="F1116" s="30" t="str"/>
      <x:c r="G1116" s="30" t="str">
        <x:v>No</x:v>
      </x:c>
      <x:c r="H1116" s="30" t="str">
        <x:v>Ordinary claim</x:v>
      </x:c>
      <x:c r="I1116" s="31" t="n">
        <x:f>IF(G1116="Yes",'Controls &amp; Summary'!$B$5,'Controls &amp; Summary'!$B$4)</x:f>
        <x:v>6</x:v>
      </x:c>
      <x:c r="J1116" s="31" t="n">
        <x:v>8.05</x:v>
      </x:c>
      <x:c r="K1116" s="31" t="n">
        <x:v>8.28</x:v>
      </x:c>
      <x:c r="L1116" s="31" t="n">
        <x:f>ABS(J1116-K1116)</x:f>
        <x:v>0.22999999999999865</x:v>
      </x:c>
      <x:c r="M1116" s="31" t="n">
        <x:v>3.15</x:v>
      </x:c>
      <x:c r="N1116" s="31" t="n">
        <x:v>3.46</x:v>
      </x:c>
      <x:c r="O1116" s="31" t="n">
        <x:f>ABS(M1116-N1116)</x:f>
        <x:v>0.31000000000000005</x:v>
      </x:c>
      <x:c r="P1116" s="31" t="n">
        <x:v>8.21</x:v>
      </x:c>
      <x:c r="Q1116" s="31" t="n">
        <x:v>7.91</x:v>
      </x:c>
      <x:c r="R1116" s="31" t="n">
        <x:f>ABS(P1116-Q1116)</x:f>
        <x:v>0.3000000000000007</x:v>
      </x:c>
      <x:c r="S1116" s="32" t="n">
        <x:v>57291.50449187318</x:v>
      </x:c>
      <x:c r="T1116" s="32" t="n">
        <x:v>45382.20795004541</x:v>
      </x:c>
      <x:c r="U1116" s="31" t="n">
        <x:f>MAX(S1116/T1116,T1116/S1116)</x:f>
        <x:v>1.262422149114846</x:v>
      </x:c>
      <x:c r="V1116" s="31" t="n">
        <x:f>L1116*'Controls &amp; Summary'!$B$9+O1116*'Controls &amp; Summary'!$B$10+R1116*'Controls &amp; Summary'!$B$11+U1116*'Controls &amp; Summary'!$B$12</x:f>
        <x:v>2.1024221491148456</x:v>
      </x:c>
      <x:c r="W1116" s="31" t="n">
        <x:v>5.27</x:v>
      </x:c>
      <x:c r="X1116" s="31" t="n">
        <x:v>0.5</x:v>
      </x:c>
      <x:c r="Y1116" s="31" t="n">
        <x:f>((10-MIN(10,MAX(0,X1116)))/10)*'Controls &amp; Summary'!$B$15+((10-MIN(10,MAX(0,W1116)))/10)*'Controls &amp; Summary'!$B$16</x:f>
        <x:v>1.423</x:v>
      </x:c>
      <x:c r="Z1116" s="31" t="n">
        <x:f>V1116*Y1116</x:f>
        <x:v>2.9917467181904254</x:v>
      </x:c>
      <x:c r="AA1116" s="30" t="str">
        <x:f>IF(Z1116&lt;=I1116,"Peaceful","Hostile")</x:f>
        <x:v>Peaceful</x:v>
      </x:c>
      <x:c r="AB1116" s="30" t="str">
        <x:f>IF(Z1116&lt;='Controls &amp; Summary'!$B$6,"Eligible","Blocked")</x:f>
        <x:v>Eligible</x:v>
      </x:c>
      <x:c r="AC1116" s="30" t="str">
        <x:v>2026_EUA</x:v>
      </x:c>
      <x:c r="AD1116" s="30" t="str">
        <x:v>2026_PRT</x:v>
      </x:c>
      <x:c r="AE1116" s="30" t="str">
        <x:v>2026_Portugal</x:v>
      </x:c>
      <x:c r="AF1116" s="30" t="str">
        <x:v>Explicit capitalClaim</x:v>
      </x:c>
      <x:c r="AG1116" s="30" t="str">
        <x:v>Claim2026_EUA2026_Portugal</x:v>
      </x:c>
      <x:c r="AH1116" s="30" t="str"/>
    </x:row>
    <x:row r="1117">
      <x:c r="A1117" s="30" t="str">
        <x:v>2026</x:v>
      </x:c>
      <x:c r="B1117" s="30" t="str">
        <x:v>Base game</x:v>
      </x:c>
      <x:c r="C1117" s="30" t="str">
        <x:v>France</x:v>
      </x:c>
      <x:c r="D1117" s="30" t="str">
        <x:v>Romania</x:v>
      </x:c>
      <x:c r="E1117" s="30" t="str">
        <x:v>Starting claim</x:v>
      </x:c>
      <x:c r="F1117" s="30" t="str"/>
      <x:c r="G1117" s="30" t="str">
        <x:v>No</x:v>
      </x:c>
      <x:c r="H1117" s="30" t="str">
        <x:v>Ordinary claim</x:v>
      </x:c>
      <x:c r="I1117" s="31" t="n">
        <x:f>IF(G1117="Yes",'Controls &amp; Summary'!$B$5,'Controls &amp; Summary'!$B$4)</x:f>
        <x:v>6</x:v>
      </x:c>
      <x:c r="J1117" s="31" t="n">
        <x:v>8.05</x:v>
      </x:c>
      <x:c r="K1117" s="31" t="n">
        <x:v>6.11</x:v>
      </x:c>
      <x:c r="L1117" s="31" t="n">
        <x:f>ABS(J1117-K1117)</x:f>
        <x:v>1.9400000000000004</x:v>
      </x:c>
      <x:c r="M1117" s="31" t="n">
        <x:v>3.15</x:v>
      </x:c>
      <x:c r="N1117" s="31" t="n">
        <x:v>3.39</x:v>
      </x:c>
      <x:c r="O1117" s="31" t="n">
        <x:f>ABS(M1117-N1117)</x:f>
        <x:v>0.2400000000000002</x:v>
      </x:c>
      <x:c r="P1117" s="31" t="n">
        <x:v>8.21</x:v>
      </x:c>
      <x:c r="Q1117" s="31" t="n">
        <x:v>7.61</x:v>
      </x:c>
      <x:c r="R1117" s="31" t="n">
        <x:f>ABS(P1117-Q1117)</x:f>
        <x:v>0.6000000000000005</x:v>
      </x:c>
      <x:c r="S1117" s="32" t="n">
        <x:v>57291.50449187318</x:v>
      </x:c>
      <x:c r="T1117" s="32" t="n">
        <x:v>43378.812543532506</x:v>
      </x:c>
      <x:c r="U1117" s="31" t="n">
        <x:f>MAX(S1117/T1117,T1117/S1117)</x:f>
        <x:v>1.3207255139678775</x:v>
      </x:c>
      <x:c r="V1117" s="31" t="n">
        <x:f>L1117*'Controls &amp; Summary'!$B$9+O1117*'Controls &amp; Summary'!$B$10+R1117*'Controls &amp; Summary'!$B$11+U1117*'Controls &amp; Summary'!$B$12</x:f>
        <x:v>4.100725513967879</x:v>
      </x:c>
      <x:c r="W1117" s="31" t="n">
        <x:v>5.27</x:v>
      </x:c>
      <x:c r="X1117" s="31" t="n">
        <x:v>1</x:v>
      </x:c>
      <x:c r="Y1117" s="31" t="n">
        <x:f>((10-MIN(10,MAX(0,X1117)))/10)*'Controls &amp; Summary'!$B$15+((10-MIN(10,MAX(0,W1117)))/10)*'Controls &amp; Summary'!$B$16</x:f>
        <x:v>1.373</x:v>
      </x:c>
      <x:c r="Z1117" s="31" t="n">
        <x:f>V1117*Y1117</x:f>
        <x:v>5.630296130677897</x:v>
      </x:c>
      <x:c r="AA1117" s="30" t="str">
        <x:f>IF(Z1117&lt;=I1117,"Peaceful","Hostile")</x:f>
        <x:v>Peaceful</x:v>
      </x:c>
      <x:c r="AB1117" s="30" t="str">
        <x:f>IF(Z1117&lt;='Controls &amp; Summary'!$B$6,"Eligible","Blocked")</x:f>
        <x:v>Eligible</x:v>
      </x:c>
      <x:c r="AC1117" s="30" t="str">
        <x:v>2026_EUA</x:v>
      </x:c>
      <x:c r="AD1117" s="30" t="str">
        <x:v>2026_ROM</x:v>
      </x:c>
      <x:c r="AE1117" s="30" t="str">
        <x:v>2026_Romania</x:v>
      </x:c>
      <x:c r="AF1117" s="30" t="str">
        <x:v>Explicit capitalClaim</x:v>
      </x:c>
      <x:c r="AG1117" s="30" t="str">
        <x:v>Claim2026_EUA2026_Romania</x:v>
      </x:c>
      <x:c r="AH1117" s="30" t="str"/>
    </x:row>
    <x:row r="1118">
      <x:c r="A1118" s="30" t="str">
        <x:v>2026</x:v>
      </x:c>
      <x:c r="B1118" s="30" t="str">
        <x:v>Base game</x:v>
      </x:c>
      <x:c r="C1118" s="30" t="str">
        <x:v>France</x:v>
      </x:c>
      <x:c r="D1118" s="30" t="str">
        <x:v>Russia</x:v>
      </x:c>
      <x:c r="E1118" s="30" t="str">
        <x:v>Project unlock</x:v>
      </x:c>
      <x:c r="F1118" s="30" t="str">
        <x:v>Great Europa</x:v>
      </x:c>
      <x:c r="G1118" s="30" t="str">
        <x:v>No</x:v>
      </x:c>
      <x:c r="H1118" s="30" t="str">
        <x:v>Ordinary claim</x:v>
      </x:c>
      <x:c r="I1118" s="31" t="n">
        <x:f>IF(G1118="Yes",'Controls &amp; Summary'!$B$5,'Controls &amp; Summary'!$B$4)</x:f>
        <x:v>6</x:v>
      </x:c>
      <x:c r="J1118" s="31" t="n">
        <x:v>8.05</x:v>
      </x:c>
      <x:c r="K1118" s="31" t="n">
        <x:v>2.03</x:v>
      </x:c>
      <x:c r="L1118" s="31" t="n">
        <x:f>ABS(J1118-K1118)</x:f>
        <x:v>6.020000000000001</x:v>
      </x:c>
      <x:c r="M1118" s="31" t="n">
        <x:v>3.15</x:v>
      </x:c>
      <x:c r="N1118" s="31" t="n">
        <x:v>3.51</x:v>
      </x:c>
      <x:c r="O1118" s="31" t="n">
        <x:f>ABS(M1118-N1118)</x:f>
        <x:v>0.3599999999999999</x:v>
      </x:c>
      <x:c r="P1118" s="31" t="n">
        <x:v>8.21</x:v>
      </x:c>
      <x:c r="Q1118" s="31" t="n">
        <x:v>7.63</x:v>
      </x:c>
      <x:c r="R1118" s="31" t="n">
        <x:f>ABS(P1118-Q1118)</x:f>
        <x:v>0.580000000000001</x:v>
      </x:c>
      <x:c r="S1118" s="32" t="n">
        <x:v>57291.50449187318</x:v>
      </x:c>
      <x:c r="T1118" s="32" t="n">
        <x:v>43109.973503906265</x:v>
      </x:c>
      <x:c r="U1118" s="31" t="n">
        <x:f>MAX(S1118/T1118,T1118/S1118)</x:f>
        <x:v>1.3289617189554037</x:v>
      </x:c>
      <x:c r="V1118" s="31" t="n">
        <x:f>L1118*'Controls &amp; Summary'!$B$9+O1118*'Controls &amp; Summary'!$B$10+R1118*'Controls &amp; Summary'!$B$11+U1118*'Controls &amp; Summary'!$B$12</x:f>
        <x:v>8.288961718955406</x:v>
      </x:c>
      <x:c r="W1118" s="31" t="n">
        <x:v>5.27</x:v>
      </x:c>
      <x:c r="X1118" s="31" t="n">
        <x:v>3</x:v>
      </x:c>
      <x:c r="Y1118" s="31" t="n">
        <x:f>((10-MIN(10,MAX(0,X1118)))/10)*'Controls &amp; Summary'!$B$15+((10-MIN(10,MAX(0,W1118)))/10)*'Controls &amp; Summary'!$B$16</x:f>
        <x:v>1.173</x:v>
      </x:c>
      <x:c r="Z1118" s="31" t="n">
        <x:f>V1118*Y1118</x:f>
        <x:v>9.72295209633469</x:v>
      </x:c>
      <x:c r="AA1118" s="30" t="str">
        <x:f>IF(Z1118&lt;=I1118,"Peaceful","Hostile")</x:f>
        <x:v>Hostile</x:v>
      </x:c>
      <x:c r="AB1118" s="30" t="str">
        <x:f>IF(Z1118&lt;='Controls &amp; Summary'!$B$6,"Eligible","Blocked")</x:f>
        <x:v>Eligible</x:v>
      </x:c>
      <x:c r="AC1118" s="30" t="str">
        <x:v>2026_EUA</x:v>
      </x:c>
      <x:c r="AD1118" s="30" t="str">
        <x:v>2026_RUS</x:v>
      </x:c>
      <x:c r="AE1118" s="30" t="str">
        <x:v>2026_Moskva</x:v>
      </x:c>
      <x:c r="AF1118" s="30" t="str">
        <x:v>Explicit capitalClaim</x:v>
      </x:c>
      <x:c r="AG1118" s="30" t="str">
        <x:v>Claim2026_EUA2026_Moskva</x:v>
      </x:c>
      <x:c r="AH1118" s="30" t="str">
        <x:v>Project_GreatEuropa</x:v>
      </x:c>
    </x:row>
    <x:row r="1119">
      <x:c r="A1119" s="30" t="str">
        <x:v>2026</x:v>
      </x:c>
      <x:c r="B1119" s="30" t="str">
        <x:v>Base game</x:v>
      </x:c>
      <x:c r="C1119" s="30" t="str">
        <x:v>France</x:v>
      </x:c>
      <x:c r="D1119" s="30" t="str">
        <x:v>Serbia</x:v>
      </x:c>
      <x:c r="E1119" s="30" t="str">
        <x:v>Starting claim</x:v>
      </x:c>
      <x:c r="F1119" s="30" t="str"/>
      <x:c r="G1119" s="30" t="str">
        <x:v>No</x:v>
      </x:c>
      <x:c r="H1119" s="30" t="str">
        <x:v>Ordinary claim</x:v>
      </x:c>
      <x:c r="I1119" s="31" t="n">
        <x:f>IF(G1119="Yes",'Controls &amp; Summary'!$B$5,'Controls &amp; Summary'!$B$4)</x:f>
        <x:v>6</x:v>
      </x:c>
      <x:c r="J1119" s="31" t="n">
        <x:v>8.05</x:v>
      </x:c>
      <x:c r="K1119" s="31" t="n">
        <x:v>6.3</x:v>
      </x:c>
      <x:c r="L1119" s="31" t="n">
        <x:f>ABS(J1119-K1119)</x:f>
        <x:v>1.7500000000000009</x:v>
      </x:c>
      <x:c r="M1119" s="31" t="n">
        <x:v>3.15</x:v>
      </x:c>
      <x:c r="N1119" s="31" t="n">
        <x:v>3.31</x:v>
      </x:c>
      <x:c r="O1119" s="31" t="n">
        <x:f>ABS(M1119-N1119)</x:f>
        <x:v>0.16000000000000014</x:v>
      </x:c>
      <x:c r="P1119" s="31" t="n">
        <x:v>8.21</x:v>
      </x:c>
      <x:c r="Q1119" s="31" t="n">
        <x:v>7.85</x:v>
      </x:c>
      <x:c r="R1119" s="31" t="n">
        <x:f>ABS(P1119-Q1119)</x:f>
        <x:v>0.3600000000000012</x:v>
      </x:c>
      <x:c r="S1119" s="32" t="n">
        <x:v>57291.50449187318</x:v>
      </x:c>
      <x:c r="T1119" s="32" t="n">
        <x:v>28647.321786146385</x:v>
      </x:c>
      <x:c r="U1119" s="31" t="n">
        <x:f>MAX(S1119/T1119,T1119/S1119)</x:f>
        <x:v>1.9998904232499282</x:v>
      </x:c>
      <x:c r="V1119" s="31" t="n">
        <x:f>L1119*'Controls &amp; Summary'!$B$9+O1119*'Controls &amp; Summary'!$B$10+R1119*'Controls &amp; Summary'!$B$11+U1119*'Controls &amp; Summary'!$B$12</x:f>
        <x:v>4.26989042324993</x:v>
      </x:c>
      <x:c r="W1119" s="31" t="n">
        <x:v>5.27</x:v>
      </x:c>
      <x:c r="X1119" s="31" t="n">
        <x:v>1</x:v>
      </x:c>
      <x:c r="Y1119" s="31" t="n">
        <x:f>((10-MIN(10,MAX(0,X1119)))/10)*'Controls &amp; Summary'!$B$15+((10-MIN(10,MAX(0,W1119)))/10)*'Controls &amp; Summary'!$B$16</x:f>
        <x:v>1.373</x:v>
      </x:c>
      <x:c r="Z1119" s="31" t="n">
        <x:f>V1119*Y1119</x:f>
        <x:v>5.862559551122154</x:v>
      </x:c>
      <x:c r="AA1119" s="30" t="str">
        <x:f>IF(Z1119&lt;=I1119,"Peaceful","Hostile")</x:f>
        <x:v>Peaceful</x:v>
      </x:c>
      <x:c r="AB1119" s="30" t="str">
        <x:f>IF(Z1119&lt;='Controls &amp; Summary'!$B$6,"Eligible","Blocked")</x:f>
        <x:v>Eligible</x:v>
      </x:c>
      <x:c r="AC1119" s="30" t="str">
        <x:v>2026_EUA</x:v>
      </x:c>
      <x:c r="AD1119" s="30" t="str">
        <x:v>2026_SER</x:v>
      </x:c>
      <x:c r="AE1119" s="30" t="str">
        <x:v>2026_Belgrade</x:v>
      </x:c>
      <x:c r="AF1119" s="30" t="str">
        <x:v>Explicit capitalClaim</x:v>
      </x:c>
      <x:c r="AG1119" s="30" t="str">
        <x:v>Claim2026_EUA2026_Belgrade</x:v>
      </x:c>
      <x:c r="AH1119" s="30" t="str"/>
    </x:row>
    <x:row r="1120">
      <x:c r="A1120" s="30" t="str">
        <x:v>2026</x:v>
      </x:c>
      <x:c r="B1120" s="30" t="str">
        <x:v>Base game</x:v>
      </x:c>
      <x:c r="C1120" s="30" t="str">
        <x:v>France</x:v>
      </x:c>
      <x:c r="D1120" s="30" t="str">
        <x:v>Slovakia</x:v>
      </x:c>
      <x:c r="E1120" s="30" t="str">
        <x:v>Starting claim</x:v>
      </x:c>
      <x:c r="F1120" s="30" t="str"/>
      <x:c r="G1120" s="30" t="str">
        <x:v>No</x:v>
      </x:c>
      <x:c r="H1120" s="30" t="str">
        <x:v>Ordinary claim</x:v>
      </x:c>
      <x:c r="I1120" s="31" t="n">
        <x:f>IF(G1120="Yes",'Controls &amp; Summary'!$B$5,'Controls &amp; Summary'!$B$4)</x:f>
        <x:v>6</x:v>
      </x:c>
      <x:c r="J1120" s="31" t="n">
        <x:v>8.05</x:v>
      </x:c>
      <x:c r="K1120" s="31" t="n">
        <x:v>6.94</x:v>
      </x:c>
      <x:c r="L1120" s="31" t="n">
        <x:f>ABS(J1120-K1120)</x:f>
        <x:v>1.1100000000000003</x:v>
      </x:c>
      <x:c r="M1120" s="31" t="n">
        <x:v>3.15</x:v>
      </x:c>
      <x:c r="N1120" s="31" t="n">
        <x:v>2.41</x:v>
      </x:c>
      <x:c r="O1120" s="31" t="n">
        <x:f>ABS(M1120-N1120)</x:f>
        <x:v>0.7399999999999998</x:v>
      </x:c>
      <x:c r="P1120" s="31" t="n">
        <x:v>8.21</x:v>
      </x:c>
      <x:c r="Q1120" s="31" t="n">
        <x:v>8.31</x:v>
      </x:c>
      <x:c r="R1120" s="31" t="n">
        <x:f>ABS(P1120-Q1120)</x:f>
        <x:v>0.09999999999999964</x:v>
      </x:c>
      <x:c r="S1120" s="32" t="n">
        <x:v>57291.50449187318</x:v>
      </x:c>
      <x:c r="T1120" s="32" t="n">
        <x:v>41490.26056336219</x:v>
      </x:c>
      <x:c r="U1120" s="31" t="n">
        <x:f>MAX(S1120/T1120,T1120/S1120)</x:f>
        <x:v>1.3808422437930943</x:v>
      </x:c>
      <x:c r="V1120" s="31" t="n">
        <x:f>L1120*'Controls &amp; Summary'!$B$9+O1120*'Controls &amp; Summary'!$B$10+R1120*'Controls &amp; Summary'!$B$11+U1120*'Controls &amp; Summary'!$B$12</x:f>
        <x:v>3.330842243793094</x:v>
      </x:c>
      <x:c r="W1120" s="31" t="n">
        <x:v>5.27</x:v>
      </x:c>
      <x:c r="X1120" s="31" t="n">
        <x:v>0.5</x:v>
      </x:c>
      <x:c r="Y1120" s="31" t="n">
        <x:f>((10-MIN(10,MAX(0,X1120)))/10)*'Controls &amp; Summary'!$B$15+((10-MIN(10,MAX(0,W1120)))/10)*'Controls &amp; Summary'!$B$16</x:f>
        <x:v>1.423</x:v>
      </x:c>
      <x:c r="Z1120" s="31" t="n">
        <x:f>V1120*Y1120</x:f>
        <x:v>4.739788512917572</x:v>
      </x:c>
      <x:c r="AA1120" s="30" t="str">
        <x:f>IF(Z1120&lt;=I1120,"Peaceful","Hostile")</x:f>
        <x:v>Peaceful</x:v>
      </x:c>
      <x:c r="AB1120" s="30" t="str">
        <x:f>IF(Z1120&lt;='Controls &amp; Summary'!$B$6,"Eligible","Blocked")</x:f>
        <x:v>Eligible</x:v>
      </x:c>
      <x:c r="AC1120" s="30" t="str">
        <x:v>2026_EUA</x:v>
      </x:c>
      <x:c r="AD1120" s="30" t="str">
        <x:v>2026_SLO</x:v>
      </x:c>
      <x:c r="AE1120" s="30" t="str">
        <x:v>2026_Slovakia</x:v>
      </x:c>
      <x:c r="AF1120" s="30" t="str">
        <x:v>Explicit capitalClaim</x:v>
      </x:c>
      <x:c r="AG1120" s="30" t="str">
        <x:v>Claim2026_EUA2026_Slovakia</x:v>
      </x:c>
      <x:c r="AH1120" s="30" t="str"/>
    </x:row>
    <x:row r="1121">
      <x:c r="A1121" s="30" t="str">
        <x:v>2026</x:v>
      </x:c>
      <x:c r="B1121" s="30" t="str">
        <x:v>Base game</x:v>
      </x:c>
      <x:c r="C1121" s="30" t="str">
        <x:v>France</x:v>
      </x:c>
      <x:c r="D1121" s="30" t="str">
        <x:v>Slovenia</x:v>
      </x:c>
      <x:c r="E1121" s="30" t="str">
        <x:v>Starting claim</x:v>
      </x:c>
      <x:c r="F1121" s="30" t="str"/>
      <x:c r="G1121" s="30" t="str">
        <x:v>No</x:v>
      </x:c>
      <x:c r="H1121" s="30" t="str">
        <x:v>Ordinary claim</x:v>
      </x:c>
      <x:c r="I1121" s="31" t="n">
        <x:f>IF(G1121="Yes",'Controls &amp; Summary'!$B$5,'Controls &amp; Summary'!$B$4)</x:f>
        <x:v>6</x:v>
      </x:c>
      <x:c r="J1121" s="31" t="n">
        <x:v>8.05</x:v>
      </x:c>
      <x:c r="K1121" s="31" t="n">
        <x:v>7.82</x:v>
      </x:c>
      <x:c r="L1121" s="31" t="n">
        <x:f>ABS(J1121-K1121)</x:f>
        <x:v>0.23000000000000043</x:v>
      </x:c>
      <x:c r="M1121" s="31" t="n">
        <x:v>3.15</x:v>
      </x:c>
      <x:c r="N1121" s="31" t="n">
        <x:v>2.43</x:v>
      </x:c>
      <x:c r="O1121" s="31" t="n">
        <x:f>ABS(M1121-N1121)</x:f>
        <x:v>0.7199999999999998</x:v>
      </x:c>
      <x:c r="P1121" s="31" t="n">
        <x:v>8.21</x:v>
      </x:c>
      <x:c r="Q1121" s="31" t="n">
        <x:v>8.97</x:v>
      </x:c>
      <x:c r="R1121" s="31" t="n">
        <x:f>ABS(P1121-Q1121)</x:f>
        <x:v>0.7599999999999998</x:v>
      </x:c>
      <x:c r="S1121" s="32" t="n">
        <x:v>57291.50449187318</x:v>
      </x:c>
      <x:c r="T1121" s="32" t="n">
        <x:v>51376.135335124396</x:v>
      </x:c>
      <x:c r="U1121" s="31" t="n">
        <x:f>MAX(S1121/T1121,T1121/S1121)</x:f>
        <x:v>1.1151384610415531</x:v>
      </x:c>
      <x:c r="V1121" s="31" t="n">
        <x:f>L1121*'Controls &amp; Summary'!$B$9+O1121*'Controls &amp; Summary'!$B$10+R1121*'Controls &amp; Summary'!$B$11+U1121*'Controls &amp; Summary'!$B$12</x:f>
        <x:v>2.8251384610415533</x:v>
      </x:c>
      <x:c r="W1121" s="31" t="n">
        <x:v>5.27</x:v>
      </x:c>
      <x:c r="X1121" s="31" t="n">
        <x:v>0.5</x:v>
      </x:c>
      <x:c r="Y1121" s="31" t="n">
        <x:f>((10-MIN(10,MAX(0,X1121)))/10)*'Controls &amp; Summary'!$B$15+((10-MIN(10,MAX(0,W1121)))/10)*'Controls &amp; Summary'!$B$16</x:f>
        <x:v>1.423</x:v>
      </x:c>
      <x:c r="Z1121" s="31" t="n">
        <x:f>V1121*Y1121</x:f>
        <x:v>4.02017203006213</x:v>
      </x:c>
      <x:c r="AA1121" s="30" t="str">
        <x:f>IF(Z1121&lt;=I1121,"Peaceful","Hostile")</x:f>
        <x:v>Peaceful</x:v>
      </x:c>
      <x:c r="AB1121" s="30" t="str">
        <x:f>IF(Z1121&lt;='Controls &amp; Summary'!$B$6,"Eligible","Blocked")</x:f>
        <x:v>Eligible</x:v>
      </x:c>
      <x:c r="AC1121" s="30" t="str">
        <x:v>2026_EUA</x:v>
      </x:c>
      <x:c r="AD1121" s="30" t="str">
        <x:v>2026_SLV</x:v>
      </x:c>
      <x:c r="AE1121" s="30" t="str">
        <x:v>2026_Slovenia</x:v>
      </x:c>
      <x:c r="AF1121" s="30" t="str">
        <x:v>Explicit capitalClaim</x:v>
      </x:c>
      <x:c r="AG1121" s="30" t="str">
        <x:v>Claim2026_EUA2026_Slovenia</x:v>
      </x:c>
      <x:c r="AH1121" s="30" t="str"/>
    </x:row>
    <x:row r="1122">
      <x:c r="A1122" s="30" t="str">
        <x:v>2026</x:v>
      </x:c>
      <x:c r="B1122" s="30" t="str">
        <x:v>Base game</x:v>
      </x:c>
      <x:c r="C1122" s="30" t="str">
        <x:v>France</x:v>
      </x:c>
      <x:c r="D1122" s="30" t="str">
        <x:v>Spain</x:v>
      </x:c>
      <x:c r="E1122" s="30" t="str">
        <x:v>Starting claim</x:v>
      </x:c>
      <x:c r="F1122" s="30" t="str"/>
      <x:c r="G1122" s="30" t="str">
        <x:v>No</x:v>
      </x:c>
      <x:c r="H1122" s="30" t="str">
        <x:v>Ordinary claim</x:v>
      </x:c>
      <x:c r="I1122" s="31" t="n">
        <x:f>IF(G1122="Yes",'Controls &amp; Summary'!$B$5,'Controls &amp; Summary'!$B$4)</x:f>
        <x:v>6</x:v>
      </x:c>
      <x:c r="J1122" s="31" t="n">
        <x:v>8.05</x:v>
      </x:c>
      <x:c r="K1122" s="31" t="n">
        <x:v>8.2</x:v>
      </x:c>
      <x:c r="L1122" s="31" t="n">
        <x:f>ABS(J1122-K1122)</x:f>
        <x:v>0.14999999999999858</x:v>
      </x:c>
      <x:c r="M1122" s="31" t="n">
        <x:v>3.15</x:v>
      </x:c>
      <x:c r="N1122" s="31" t="n">
        <x:v>3.39</x:v>
      </x:c>
      <x:c r="O1122" s="31" t="n">
        <x:f>ABS(M1122-N1122)</x:f>
        <x:v>0.2400000000000002</x:v>
      </x:c>
      <x:c r="P1122" s="31" t="n">
        <x:v>8.21</x:v>
      </x:c>
      <x:c r="Q1122" s="31" t="n">
        <x:v>8.35</x:v>
      </x:c>
      <x:c r="R1122" s="31" t="n">
        <x:f>ABS(P1122-Q1122)</x:f>
        <x:v>0.1399999999999988</x:v>
      </x:c>
      <x:c r="S1122" s="32" t="n">
        <x:v>57291.50449187318</x:v>
      </x:c>
      <x:c r="T1122" s="32" t="n">
        <x:v>52017.71264271421</x:v>
      </x:c>
      <x:c r="U1122" s="31" t="n">
        <x:f>MAX(S1122/T1122,T1122/S1122)</x:f>
        <x:v>1.1013845396352244</x:v>
      </x:c>
      <x:c r="V1122" s="31" t="n">
        <x:f>L1122*'Controls &amp; Summary'!$B$9+O1122*'Controls &amp; Summary'!$B$10+R1122*'Controls &amp; Summary'!$B$11+U1122*'Controls &amp; Summary'!$B$12</x:f>
        <x:v>1.631384539635222</x:v>
      </x:c>
      <x:c r="W1122" s="31" t="n">
        <x:v>5.27</x:v>
      </x:c>
      <x:c r="X1122" s="31" t="n">
        <x:v>0.5</x:v>
      </x:c>
      <x:c r="Y1122" s="31" t="n">
        <x:f>((10-MIN(10,MAX(0,X1122)))/10)*'Controls &amp; Summary'!$B$15+((10-MIN(10,MAX(0,W1122)))/10)*'Controls &amp; Summary'!$B$16</x:f>
        <x:v>1.423</x:v>
      </x:c>
      <x:c r="Z1122" s="31" t="n">
        <x:f>V1122*Y1122</x:f>
        <x:v>2.321460199900921</x:v>
      </x:c>
      <x:c r="AA1122" s="30" t="str">
        <x:f>IF(Z1122&lt;=I1122,"Peaceful","Hostile")</x:f>
        <x:v>Peaceful</x:v>
      </x:c>
      <x:c r="AB1122" s="30" t="str">
        <x:f>IF(Z1122&lt;='Controls &amp; Summary'!$B$6,"Eligible","Blocked")</x:f>
        <x:v>Eligible</x:v>
      </x:c>
      <x:c r="AC1122" s="30" t="str">
        <x:v>2026_EUA</x:v>
      </x:c>
      <x:c r="AD1122" s="30" t="str">
        <x:v>2026_ESP</x:v>
      </x:c>
      <x:c r="AE1122" s="30" t="str">
        <x:v>2026_Spain</x:v>
      </x:c>
      <x:c r="AF1122" s="30" t="str">
        <x:v>Explicit capitalClaim</x:v>
      </x:c>
      <x:c r="AG1122" s="30" t="str">
        <x:v>Claim2026_EUA2026_Spain</x:v>
      </x:c>
      <x:c r="AH1122" s="30" t="str"/>
    </x:row>
    <x:row r="1123">
      <x:c r="A1123" s="30" t="str">
        <x:v>2026</x:v>
      </x:c>
      <x:c r="B1123" s="30" t="str">
        <x:v>Base game</x:v>
      </x:c>
      <x:c r="C1123" s="30" t="str">
        <x:v>France</x:v>
      </x:c>
      <x:c r="D1123" s="30" t="str">
        <x:v>Sweden</x:v>
      </x:c>
      <x:c r="E1123" s="30" t="str">
        <x:v>Starting claim</x:v>
      </x:c>
      <x:c r="F1123" s="30" t="str"/>
      <x:c r="G1123" s="30" t="str">
        <x:v>No</x:v>
      </x:c>
      <x:c r="H1123" s="30" t="str">
        <x:v>Ordinary claim</x:v>
      </x:c>
      <x:c r="I1123" s="31" t="n">
        <x:f>IF(G1123="Yes",'Controls &amp; Summary'!$B$5,'Controls &amp; Summary'!$B$4)</x:f>
        <x:v>6</x:v>
      </x:c>
      <x:c r="J1123" s="31" t="n">
        <x:v>8.05</x:v>
      </x:c>
      <x:c r="K1123" s="31" t="n">
        <x:v>9.35</x:v>
      </x:c>
      <x:c r="L1123" s="31" t="n">
        <x:f>ABS(J1123-K1123)</x:f>
        <x:v>1.299999999999999</x:v>
      </x:c>
      <x:c r="M1123" s="31" t="n">
        <x:v>3.15</x:v>
      </x:c>
      <x:c r="N1123" s="31" t="n">
        <x:v>2.98</x:v>
      </x:c>
      <x:c r="O1123" s="31" t="n">
        <x:f>ABS(M1123-N1123)</x:f>
        <x:v>0.16999999999999993</x:v>
      </x:c>
      <x:c r="P1123" s="31" t="n">
        <x:v>8.21</x:v>
      </x:c>
      <x:c r="Q1123" s="31" t="n">
        <x:v>9.28</x:v>
      </x:c>
      <x:c r="R1123" s="31" t="n">
        <x:f>ABS(P1123-Q1123)</x:f>
        <x:v>1.0699999999999985</x:v>
      </x:c>
      <x:c r="S1123" s="32" t="n">
        <x:v>57291.50449187318</x:v>
      </x:c>
      <x:c r="T1123" s="32" t="n">
        <x:v>71066.01279295381</x:v>
      </x:c>
      <x:c r="U1123" s="31" t="n">
        <x:f>MAX(S1123/T1123,T1123/S1123)</x:f>
        <x:v>1.2404284618330201</x:v>
      </x:c>
      <x:c r="V1123" s="31" t="n">
        <x:f>L1123*'Controls &amp; Summary'!$B$9+O1123*'Controls &amp; Summary'!$B$10+R1123*'Controls &amp; Summary'!$B$11+U1123*'Controls &amp; Summary'!$B$12</x:f>
        <x:v>3.7804284618330177</x:v>
      </x:c>
      <x:c r="W1123" s="31" t="n">
        <x:v>5.27</x:v>
      </x:c>
      <x:c r="X1123" s="31" t="n">
        <x:v>0.5</x:v>
      </x:c>
      <x:c r="Y1123" s="31" t="n">
        <x:f>((10-MIN(10,MAX(0,X1123)))/10)*'Controls &amp; Summary'!$B$15+((10-MIN(10,MAX(0,W1123)))/10)*'Controls &amp; Summary'!$B$16</x:f>
        <x:v>1.423</x:v>
      </x:c>
      <x:c r="Z1123" s="31" t="n">
        <x:f>V1123*Y1123</x:f>
        <x:v>5.379549701188385</x:v>
      </x:c>
      <x:c r="AA1123" s="30" t="str">
        <x:f>IF(Z1123&lt;=I1123,"Peaceful","Hostile")</x:f>
        <x:v>Peaceful</x:v>
      </x:c>
      <x:c r="AB1123" s="30" t="str">
        <x:f>IF(Z1123&lt;='Controls &amp; Summary'!$B$6,"Eligible","Blocked")</x:f>
        <x:v>Eligible</x:v>
      </x:c>
      <x:c r="AC1123" s="30" t="str">
        <x:v>2026_EUA</x:v>
      </x:c>
      <x:c r="AD1123" s="30" t="str">
        <x:v>2026_SCA</x:v>
      </x:c>
      <x:c r="AE1123" s="30" t="str">
        <x:v>2026_Sweden</x:v>
      </x:c>
      <x:c r="AF1123" s="30" t="str">
        <x:v>Explicit capitalClaim</x:v>
      </x:c>
      <x:c r="AG1123" s="30" t="str">
        <x:v>Claim2026_EUA2026_Sweden</x:v>
      </x:c>
      <x:c r="AH1123" s="30" t="str"/>
    </x:row>
    <x:row r="1124">
      <x:c r="A1124" s="30" t="str">
        <x:v>2026</x:v>
      </x:c>
      <x:c r="B1124" s="30" t="str">
        <x:v>Base game</x:v>
      </x:c>
      <x:c r="C1124" s="30" t="str">
        <x:v>France</x:v>
      </x:c>
      <x:c r="D1124" s="30" t="str">
        <x:v>Switzerland</x:v>
      </x:c>
      <x:c r="E1124" s="30" t="str">
        <x:v>Project unlock</x:v>
      </x:c>
      <x:c r="F1124" s="30" t="str">
        <x:v>Great Europa</x:v>
      </x:c>
      <x:c r="G1124" s="30" t="str">
        <x:v>No</x:v>
      </x:c>
      <x:c r="H1124" s="30" t="str">
        <x:v>Ordinary claim</x:v>
      </x:c>
      <x:c r="I1124" s="31" t="n">
        <x:f>IF(G1124="Yes",'Controls &amp; Summary'!$B$5,'Controls &amp; Summary'!$B$4)</x:f>
        <x:v>6</x:v>
      </x:c>
      <x:c r="J1124" s="31" t="n">
        <x:v>8.05</x:v>
      </x:c>
      <x:c r="K1124" s="31" t="n">
        <x:v>9.32</x:v>
      </x:c>
      <x:c r="L1124" s="31" t="n">
        <x:f>ABS(J1124-K1124)</x:f>
        <x:v>1.2699999999999996</x:v>
      </x:c>
      <x:c r="M1124" s="31" t="n">
        <x:v>3.15</x:v>
      </x:c>
      <x:c r="N1124" s="31" t="n">
        <x:v>3.37</x:v>
      </x:c>
      <x:c r="O1124" s="31" t="n">
        <x:f>ABS(M1124-N1124)</x:f>
        <x:v>0.2200000000000002</x:v>
      </x:c>
      <x:c r="P1124" s="31" t="n">
        <x:v>8.21</x:v>
      </x:c>
      <x:c r="Q1124" s="31" t="n">
        <x:v>9.05</x:v>
      </x:c>
      <x:c r="R1124" s="31" t="n">
        <x:f>ABS(P1124-Q1124)</x:f>
        <x:v>0.8399999999999999</x:v>
      </x:c>
      <x:c r="S1124" s="32" t="n">
        <x:v>57291.50449187318</x:v>
      </x:c>
      <x:c r="T1124" s="32" t="n">
        <x:v>106640.8280913937</x:v>
      </x:c>
      <x:c r="U1124" s="31" t="n">
        <x:f>MAX(S1124/T1124,T1124/S1124)</x:f>
        <x:v>1.861372450194963</x:v>
      </x:c>
      <x:c r="V1124" s="31" t="n">
        <x:f>L1124*'Controls &amp; Summary'!$B$9+O1124*'Controls &amp; Summary'!$B$10+R1124*'Controls &amp; Summary'!$B$11+U1124*'Controls &amp; Summary'!$B$12</x:f>
        <x:v>4.1913724501949625</x:v>
      </x:c>
      <x:c r="W1124" s="31" t="n">
        <x:v>5.27</x:v>
      </x:c>
      <x:c r="X1124" s="31" t="n">
        <x:v>0.5</x:v>
      </x:c>
      <x:c r="Y1124" s="31" t="n">
        <x:f>((10-MIN(10,MAX(0,X1124)))/10)*'Controls &amp; Summary'!$B$15+((10-MIN(10,MAX(0,W1124)))/10)*'Controls &amp; Summary'!$B$16</x:f>
        <x:v>1.423</x:v>
      </x:c>
      <x:c r="Z1124" s="31" t="n">
        <x:f>V1124*Y1124</x:f>
        <x:v>5.964322996627432</x:v>
      </x:c>
      <x:c r="AA1124" s="30" t="str">
        <x:f>IF(Z1124&lt;=I1124,"Peaceful","Hostile")</x:f>
        <x:v>Peaceful</x:v>
      </x:c>
      <x:c r="AB1124" s="30" t="str">
        <x:f>IF(Z1124&lt;='Controls &amp; Summary'!$B$6,"Eligible","Blocked")</x:f>
        <x:v>Eligible</x:v>
      </x:c>
      <x:c r="AC1124" s="30" t="str">
        <x:v>2026_EUA</x:v>
      </x:c>
      <x:c r="AD1124" s="30" t="str">
        <x:v>2026_SWI</x:v>
      </x:c>
      <x:c r="AE1124" s="30" t="str">
        <x:v>2026_Zurich</x:v>
      </x:c>
      <x:c r="AF1124" s="30" t="str">
        <x:v>Explicit capitalClaim</x:v>
      </x:c>
      <x:c r="AG1124" s="30" t="str">
        <x:v>Claim2026_EUA2026_Zurich</x:v>
      </x:c>
      <x:c r="AH1124" s="30" t="str">
        <x:v>Project_GreatEuropa</x:v>
      </x:c>
    </x:row>
    <x:row r="1125">
      <x:c r="A1125" s="30" t="str">
        <x:v>2026</x:v>
      </x:c>
      <x:c r="B1125" s="30" t="str">
        <x:v>Base game</x:v>
      </x:c>
      <x:c r="C1125" s="30" t="str">
        <x:v>France</x:v>
      </x:c>
      <x:c r="D1125" s="30" t="str">
        <x:v>Turkey</x:v>
      </x:c>
      <x:c r="E1125" s="30" t="str">
        <x:v>Project unlock</x:v>
      </x:c>
      <x:c r="F1125" s="30" t="str">
        <x:v>Europe Ascendant</x:v>
      </x:c>
      <x:c r="G1125" s="30" t="str">
        <x:v>No</x:v>
      </x:c>
      <x:c r="H1125" s="30" t="str">
        <x:v>Ordinary claim</x:v>
      </x:c>
      <x:c r="I1125" s="31" t="n">
        <x:f>IF(G1125="Yes",'Controls &amp; Summary'!$B$5,'Controls &amp; Summary'!$B$4)</x:f>
        <x:v>6</x:v>
      </x:c>
      <x:c r="J1125" s="31" t="n">
        <x:v>8.05</x:v>
      </x:c>
      <x:c r="K1125" s="31" t="n">
        <x:v>4.26</x:v>
      </x:c>
      <x:c r="L1125" s="31" t="n">
        <x:f>ABS(J1125-K1125)</x:f>
        <x:v>3.790000000000001</x:v>
      </x:c>
      <x:c r="M1125" s="31" t="n">
        <x:v>3.15</x:v>
      </x:c>
      <x:c r="N1125" s="31" t="n">
        <x:v>4.44</x:v>
      </x:c>
      <x:c r="O1125" s="31" t="n">
        <x:f>ABS(M1125-N1125)</x:f>
        <x:v>1.2900000000000005</x:v>
      </x:c>
      <x:c r="P1125" s="31" t="n">
        <x:v>8.21</x:v>
      </x:c>
      <x:c r="Q1125" s="31" t="n">
        <x:v>8.3</x:v>
      </x:c>
      <x:c r="R1125" s="31" t="n">
        <x:f>ABS(P1125-Q1125)</x:f>
        <x:v>0.08999999999999986</x:v>
      </x:c>
      <x:c r="S1125" s="32" t="n">
        <x:v>57291.50449187318</x:v>
      </x:c>
      <x:c r="T1125" s="32" t="n">
        <x:v>37699.32614876436</x:v>
      </x:c>
      <x:c r="U1125" s="31" t="n">
        <x:f>MAX(S1125/T1125,T1125/S1125)</x:f>
        <x:v>1.5196957172602135</x:v>
      </x:c>
      <x:c r="V1125" s="31" t="n">
        <x:f>L1125*'Controls &amp; Summary'!$B$9+O1125*'Controls &amp; Summary'!$B$10+R1125*'Controls &amp; Summary'!$B$11+U1125*'Controls &amp; Summary'!$B$12</x:f>
        <x:v>6.689695717260215</x:v>
      </x:c>
      <x:c r="W1125" s="31" t="n">
        <x:v>5.27</x:v>
      </x:c>
      <x:c r="X1125" s="31" t="n">
        <x:v>3</x:v>
      </x:c>
      <x:c r="Y1125" s="31" t="n">
        <x:f>((10-MIN(10,MAX(0,X1125)))/10)*'Controls &amp; Summary'!$B$15+((10-MIN(10,MAX(0,W1125)))/10)*'Controls &amp; Summary'!$B$16</x:f>
        <x:v>1.173</x:v>
      </x:c>
      <x:c r="Z1125" s="31" t="n">
        <x:f>V1125*Y1125</x:f>
        <x:v>7.847013076346233</x:v>
      </x:c>
      <x:c r="AA1125" s="30" t="str">
        <x:f>IF(Z1125&lt;=I1125,"Peaceful","Hostile")</x:f>
        <x:v>Hostile</x:v>
      </x:c>
      <x:c r="AB1125" s="30" t="str">
        <x:f>IF(Z1125&lt;='Controls &amp; Summary'!$B$6,"Eligible","Blocked")</x:f>
        <x:v>Eligible</x:v>
      </x:c>
      <x:c r="AC1125" s="30" t="str">
        <x:v>2026_EUA</x:v>
      </x:c>
      <x:c r="AD1125" s="30" t="str">
        <x:v>2026_TUR</x:v>
      </x:c>
      <x:c r="AE1125" s="30" t="str">
        <x:v>2026_Anatolia</x:v>
      </x:c>
      <x:c r="AF1125" s="30" t="str">
        <x:v>Explicit capitalClaim</x:v>
      </x:c>
      <x:c r="AG1125" s="30" t="str">
        <x:v>Claim2026_EUA2026_Anatolia</x:v>
      </x:c>
      <x:c r="AH1125" s="30" t="str">
        <x:v>Project_EuropeAscendant</x:v>
      </x:c>
    </x:row>
    <x:row r="1126">
      <x:c r="A1126" s="30" t="str">
        <x:v>2026</x:v>
      </x:c>
      <x:c r="B1126" s="30" t="str">
        <x:v>Base game</x:v>
      </x:c>
      <x:c r="C1126" s="30" t="str">
        <x:v>France</x:v>
      </x:c>
      <x:c r="D1126" s="30" t="str">
        <x:v>Ukraine</x:v>
      </x:c>
      <x:c r="E1126" s="30" t="str">
        <x:v>Starting claim</x:v>
      </x:c>
      <x:c r="F1126" s="30" t="str"/>
      <x:c r="G1126" s="30" t="str">
        <x:v>No</x:v>
      </x:c>
      <x:c r="H1126" s="30" t="str">
        <x:v>Ordinary claim</x:v>
      </x:c>
      <x:c r="I1126" s="31" t="n">
        <x:f>IF(G1126="Yes",'Controls &amp; Summary'!$B$5,'Controls &amp; Summary'!$B$4)</x:f>
        <x:v>6</x:v>
      </x:c>
      <x:c r="J1126" s="31" t="n">
        <x:v>8.05</x:v>
      </x:c>
      <x:c r="K1126" s="31" t="n">
        <x:v>4.79</x:v>
      </x:c>
      <x:c r="L1126" s="31" t="n">
        <x:f>ABS(J1126-K1126)</x:f>
        <x:v>3.2600000000000007</x:v>
      </x:c>
      <x:c r="M1126" s="31" t="n">
        <x:v>3.15</x:v>
      </x:c>
      <x:c r="N1126" s="31" t="n">
        <x:v>2.56</x:v>
      </x:c>
      <x:c r="O1126" s="31" t="n">
        <x:f>ABS(M1126-N1126)</x:f>
        <x:v>0.5899999999999999</x:v>
      </x:c>
      <x:c r="P1126" s="31" t="n">
        <x:v>8.21</x:v>
      </x:c>
      <x:c r="Q1126" s="31" t="n">
        <x:v>7.24</x:v>
      </x:c>
      <x:c r="R1126" s="31" t="n">
        <x:f>ABS(P1126-Q1126)</x:f>
        <x:v>0.9700000000000006</x:v>
      </x:c>
      <x:c r="S1126" s="32" t="n">
        <x:v>57291.50449187318</x:v>
      </x:c>
      <x:c r="T1126" s="32" t="n">
        <x:v>15359.526489490589</x:v>
      </x:c>
      <x:c r="U1126" s="31" t="n">
        <x:f>MAX(S1126/T1126,T1126/S1126)</x:f>
        <x:v>3.7300306445692586</x:v>
      </x:c>
      <x:c r="V1126" s="31" t="n">
        <x:f>L1126*'Controls &amp; Summary'!$B$9+O1126*'Controls &amp; Summary'!$B$10+R1126*'Controls &amp; Summary'!$B$11+U1126*'Controls &amp; Summary'!$B$12</x:f>
        <x:v>8.55003064456926</x:v>
      </x:c>
      <x:c r="W1126" s="31" t="n">
        <x:v>5.27</x:v>
      </x:c>
      <x:c r="X1126" s="31" t="n">
        <x:v>3.5</x:v>
      </x:c>
      <x:c r="Y1126" s="31" t="n">
        <x:f>((10-MIN(10,MAX(0,X1126)))/10)*'Controls &amp; Summary'!$B$15+((10-MIN(10,MAX(0,W1126)))/10)*'Controls &amp; Summary'!$B$16</x:f>
        <x:v>1.123</x:v>
      </x:c>
      <x:c r="Z1126" s="31" t="n">
        <x:f>V1126*Y1126</x:f>
        <x:v>9.60168441385128</x:v>
      </x:c>
      <x:c r="AA1126" s="30" t="str">
        <x:f>IF(Z1126&lt;=I1126,"Peaceful","Hostile")</x:f>
        <x:v>Hostile</x:v>
      </x:c>
      <x:c r="AB1126" s="30" t="str">
        <x:f>IF(Z1126&lt;='Controls &amp; Summary'!$B$6,"Eligible","Blocked")</x:f>
        <x:v>Eligible</x:v>
      </x:c>
      <x:c r="AC1126" s="30" t="str">
        <x:v>2026_EUA</x:v>
      </x:c>
      <x:c r="AD1126" s="30" t="str">
        <x:v>2026_UKR</x:v>
      </x:c>
      <x:c r="AE1126" s="30" t="str">
        <x:v>2026_Kiev</x:v>
      </x:c>
      <x:c r="AF1126" s="30" t="str">
        <x:v>Explicit capitalClaim</x:v>
      </x:c>
      <x:c r="AG1126" s="30" t="str">
        <x:v>Claim2026_EUA2026_Kiev</x:v>
      </x:c>
      <x:c r="AH1126" s="30" t="str"/>
    </x:row>
    <x:row r="1127">
      <x:c r="A1127" s="30" t="str">
        <x:v>2026</x:v>
      </x:c>
      <x:c r="B1127" s="30" t="str">
        <x:v>Base game</x:v>
      </x:c>
      <x:c r="C1127" s="30" t="str">
        <x:v>France</x:v>
      </x:c>
      <x:c r="D1127" s="30" t="str">
        <x:v>United Kingdom</x:v>
      </x:c>
      <x:c r="E1127" s="30" t="str">
        <x:v>Starting claim</x:v>
      </x:c>
      <x:c r="F1127" s="30" t="str"/>
      <x:c r="G1127" s="30" t="str">
        <x:v>No</x:v>
      </x:c>
      <x:c r="H1127" s="30" t="str">
        <x:v>Ordinary claim</x:v>
      </x:c>
      <x:c r="I1127" s="31" t="n">
        <x:f>IF(G1127="Yes",'Controls &amp; Summary'!$B$5,'Controls &amp; Summary'!$B$4)</x:f>
        <x:v>6</x:v>
      </x:c>
      <x:c r="J1127" s="31" t="n">
        <x:v>8.05</x:v>
      </x:c>
      <x:c r="K1127" s="31" t="n">
        <x:v>8.34</x:v>
      </x:c>
      <x:c r="L1127" s="31" t="n">
        <x:f>ABS(J1127-K1127)</x:f>
        <x:v>0.28999999999999915</x:v>
      </x:c>
      <x:c r="M1127" s="31" t="n">
        <x:v>3.15</x:v>
      </x:c>
      <x:c r="N1127" s="31" t="n">
        <x:v>3.24</x:v>
      </x:c>
      <x:c r="O1127" s="31" t="n">
        <x:f>ABS(M1127-N1127)</x:f>
        <x:v>0.0900000000000003</x:v>
      </x:c>
      <x:c r="P1127" s="31" t="n">
        <x:v>8.21</x:v>
      </x:c>
      <x:c r="Q1127" s="31" t="n">
        <x:v>9.22</x:v>
      </x:c>
      <x:c r="R1127" s="31" t="n">
        <x:f>ABS(P1127-Q1127)</x:f>
        <x:v>1.0099999999999998</x:v>
      </x:c>
      <x:c r="S1127" s="32" t="n">
        <x:v>57291.50449187318</x:v>
      </x:c>
      <x:c r="T1127" s="32" t="n">
        <x:v>61215.0143057371</x:v>
      </x:c>
      <x:c r="U1127" s="31" t="n">
        <x:f>MAX(S1127/T1127,T1127/S1127)</x:f>
        <x:v>1.068483274242178</x:v>
      </x:c>
      <x:c r="V1127" s="31" t="n">
        <x:f>L1127*'Controls &amp; Summary'!$B$9+O1127*'Controls &amp; Summary'!$B$10+R1127*'Controls &amp; Summary'!$B$11+U1127*'Controls &amp; Summary'!$B$12</x:f>
        <x:v>2.458483274242177</x:v>
      </x:c>
      <x:c r="W1127" s="31" t="n">
        <x:v>5.27</x:v>
      </x:c>
      <x:c r="X1127" s="31" t="n">
        <x:v>1</x:v>
      </x:c>
      <x:c r="Y1127" s="31" t="n">
        <x:f>((10-MIN(10,MAX(0,X1127)))/10)*'Controls &amp; Summary'!$B$15+((10-MIN(10,MAX(0,W1127)))/10)*'Controls &amp; Summary'!$B$16</x:f>
        <x:v>1.373</x:v>
      </x:c>
      <x:c r="Z1127" s="31" t="n">
        <x:f>V1127*Y1127</x:f>
        <x:v>3.3754975355345094</x:v>
      </x:c>
      <x:c r="AA1127" s="30" t="str">
        <x:f>IF(Z1127&lt;=I1127,"Peaceful","Hostile")</x:f>
        <x:v>Peaceful</x:v>
      </x:c>
      <x:c r="AB1127" s="30" t="str">
        <x:f>IF(Z1127&lt;='Controls &amp; Summary'!$B$6,"Eligible","Blocked")</x:f>
        <x:v>Eligible</x:v>
      </x:c>
      <x:c r="AC1127" s="30" t="str">
        <x:v>2026_EUA</x:v>
      </x:c>
      <x:c r="AD1127" s="30" t="str">
        <x:v>2026_GBR</x:v>
      </x:c>
      <x:c r="AE1127" s="30" t="str">
        <x:v>2026_England</x:v>
      </x:c>
      <x:c r="AF1127" s="30" t="str">
        <x:v>Explicit capitalClaim</x:v>
      </x:c>
      <x:c r="AG1127" s="30" t="str">
        <x:v>Claim2026_EUA2026_England</x:v>
      </x:c>
      <x:c r="AH1127" s="30" t="str"/>
    </x:row>
    <x:row r="1128">
      <x:c r="A1128" s="30" t="str">
        <x:v>2026</x:v>
      </x:c>
      <x:c r="B1128" s="30" t="str">
        <x:v>Base game</x:v>
      </x:c>
      <x:c r="C1128" s="30" t="str">
        <x:v>Germany</x:v>
      </x:c>
      <x:c r="D1128" s="30" t="str">
        <x:v>Austria</x:v>
      </x:c>
      <x:c r="E1128" s="30" t="str">
        <x:v>Project unlock</x:v>
      </x:c>
      <x:c r="F1128" s="30" t="str">
        <x:v>Freistaat Confederation</x:v>
      </x:c>
      <x:c r="G1128" s="30" t="str">
        <x:v>No</x:v>
      </x:c>
      <x:c r="H1128" s="30" t="str">
        <x:v>Ordinary claim</x:v>
      </x:c>
      <x:c r="I1128" s="31" t="n">
        <x:f>IF(G1128="Yes",'Controls &amp; Summary'!$B$5,'Controls &amp; Summary'!$B$4)</x:f>
        <x:v>6</x:v>
      </x:c>
      <x:c r="J1128" s="31" t="n">
        <x:v>8.73</x:v>
      </x:c>
      <x:c r="K1128" s="31" t="n">
        <x:v>8.42</x:v>
      </x:c>
      <x:c r="L1128" s="31" t="n">
        <x:f>ABS(J1128-K1128)</x:f>
        <x:v>0.3100000000000005</x:v>
      </x:c>
      <x:c r="M1128" s="31" t="n">
        <x:v>3.24</x:v>
      </x:c>
      <x:c r="N1128" s="31" t="n">
        <x:v>3.07</x:v>
      </x:c>
      <x:c r="O1128" s="31" t="n">
        <x:f>ABS(M1128-N1128)</x:f>
        <x:v>0.17000000000000037</x:v>
      </x:c>
      <x:c r="P1128" s="31" t="n">
        <x:v>9.34</x:v>
      </x:c>
      <x:c r="Q1128" s="31" t="n">
        <x:v>8.46</x:v>
      </x:c>
      <x:c r="R1128" s="31" t="n">
        <x:f>ABS(P1128-Q1128)</x:f>
        <x:v>0.879999999999999</x:v>
      </x:c>
      <x:c r="S1128" s="32" t="n">
        <x:v>65191.06167455033</x:v>
      </x:c>
      <x:c r="T1128" s="32" t="n">
        <x:v>69215.76967333848</x:v>
      </x:c>
      <x:c r="U1128" s="31" t="n">
        <x:f>MAX(S1128/T1128,T1128/S1128)</x:f>
        <x:v>1.0617371138835026</x:v>
      </x:c>
      <x:c r="V1128" s="31" t="n">
        <x:f>L1128*'Controls &amp; Summary'!$B$9+O1128*'Controls &amp; Summary'!$B$10+R1128*'Controls &amp; Summary'!$B$11+U1128*'Controls &amp; Summary'!$B$12</x:f>
        <x:v>2.4217371138835024</x:v>
      </x:c>
      <x:c r="W1128" s="31" t="n">
        <x:v>6.2</x:v>
      </x:c>
      <x:c r="X1128" s="31" t="n">
        <x:v>0.5</x:v>
      </x:c>
      <x:c r="Y1128" s="31" t="n">
        <x:f>((10-MIN(10,MAX(0,X1128)))/10)*'Controls &amp; Summary'!$B$15+((10-MIN(10,MAX(0,W1128)))/10)*'Controls &amp; Summary'!$B$16</x:f>
        <x:v>1.33</x:v>
      </x:c>
      <x:c r="Z1128" s="31" t="n">
        <x:f>V1128*Y1128</x:f>
        <x:v>3.2209103614650583</x:v>
      </x:c>
      <x:c r="AA1128" s="30" t="str">
        <x:f>IF(Z1128&lt;=I1128,"Peaceful","Hostile")</x:f>
        <x:v>Peaceful</x:v>
      </x:c>
      <x:c r="AB1128" s="30" t="str">
        <x:f>IF(Z1128&lt;='Controls &amp; Summary'!$B$6,"Eligible","Blocked")</x:f>
        <x:v>Eligible</x:v>
      </x:c>
      <x:c r="AC1128" s="30" t="str">
        <x:v>2026_DEU</x:v>
      </x:c>
      <x:c r="AD1128" s="30" t="str">
        <x:v>2026_ALP</x:v>
      </x:c>
      <x:c r="AE1128" s="30" t="str">
        <x:v>2026_Vienna</x:v>
      </x:c>
      <x:c r="AF1128" s="30" t="str">
        <x:v>Explicit capitalClaim</x:v>
      </x:c>
      <x:c r="AG1128" s="30" t="str">
        <x:v>Claim2026_DEU2026_Vienna</x:v>
      </x:c>
      <x:c r="AH1128" s="30" t="str">
        <x:v>Project_FreistaatConfederation</x:v>
      </x:c>
    </x:row>
    <x:row r="1129">
      <x:c r="A1129" s="30" t="str">
        <x:v>2026</x:v>
      </x:c>
      <x:c r="B1129" s="30" t="str">
        <x:v>Base game</x:v>
      </x:c>
      <x:c r="C1129" s="30" t="str">
        <x:v>Germany</x:v>
      </x:c>
      <x:c r="D1129" s="30" t="str">
        <x:v>Belgium</x:v>
      </x:c>
      <x:c r="E1129" s="30" t="str">
        <x:v>Project unlock</x:v>
      </x:c>
      <x:c r="F1129" s="30" t="str">
        <x:v>Freistaat Confederation</x:v>
      </x:c>
      <x:c r="G1129" s="30" t="str">
        <x:v>No</x:v>
      </x:c>
      <x:c r="H1129" s="30" t="str">
        <x:v>Ordinary claim</x:v>
      </x:c>
      <x:c r="I1129" s="31" t="n">
        <x:f>IF(G1129="Yes",'Controls &amp; Summary'!$B$5,'Controls &amp; Summary'!$B$4)</x:f>
        <x:v>6</x:v>
      </x:c>
      <x:c r="J1129" s="31" t="n">
        <x:v>8.73</x:v>
      </x:c>
      <x:c r="K1129" s="31" t="n">
        <x:v>7.77</x:v>
      </x:c>
      <x:c r="L1129" s="31" t="n">
        <x:f>ABS(J1129-K1129)</x:f>
        <x:v>0.9600000000000009</x:v>
      </x:c>
      <x:c r="M1129" s="31" t="n">
        <x:v>3.24</x:v>
      </x:c>
      <x:c r="N1129" s="31" t="n">
        <x:v>2.66</x:v>
      </x:c>
      <x:c r="O1129" s="31" t="n">
        <x:f>ABS(M1129-N1129)</x:f>
        <x:v>0.5800000000000001</x:v>
      </x:c>
      <x:c r="P1129" s="31" t="n">
        <x:v>9.34</x:v>
      </x:c>
      <x:c r="Q1129" s="31" t="n">
        <x:v>9.28</x:v>
      </x:c>
      <x:c r="R1129" s="31" t="n">
        <x:f>ABS(P1129-Q1129)</x:f>
        <x:v>0.0600000000000005</x:v>
      </x:c>
      <x:c r="S1129" s="32" t="n">
        <x:v>65191.06167455033</x:v>
      </x:c>
      <x:c r="T1129" s="32" t="n">
        <x:v>71187.67646518361</x:v>
      </x:c>
      <x:c r="U1129" s="31" t="n">
        <x:f>MAX(S1129/T1129,T1129/S1129)</x:f>
        <x:v>1.0919852298244481</x:v>
      </x:c>
      <x:c r="V1129" s="31" t="n">
        <x:f>L1129*'Controls &amp; Summary'!$B$9+O1129*'Controls &amp; Summary'!$B$10+R1129*'Controls &amp; Summary'!$B$11+U1129*'Controls &amp; Summary'!$B$12</x:f>
        <x:v>2.6919852298244495</x:v>
      </x:c>
      <x:c r="W1129" s="31" t="n">
        <x:v>6.2</x:v>
      </x:c>
      <x:c r="X1129" s="31" t="n">
        <x:v>0.25</x:v>
      </x:c>
      <x:c r="Y1129" s="31" t="n">
        <x:f>((10-MIN(10,MAX(0,X1129)))/10)*'Controls &amp; Summary'!$B$15+((10-MIN(10,MAX(0,W1129)))/10)*'Controls &amp; Summary'!$B$16</x:f>
        <x:v>1.355</x:v>
      </x:c>
      <x:c r="Z1129" s="31" t="n">
        <x:f>V1129*Y1129</x:f>
        <x:v>3.647639986412129</x:v>
      </x:c>
      <x:c r="AA1129" s="30" t="str">
        <x:f>IF(Z1129&lt;=I1129,"Peaceful","Hostile")</x:f>
        <x:v>Peaceful</x:v>
      </x:c>
      <x:c r="AB1129" s="30" t="str">
        <x:f>IF(Z1129&lt;='Controls &amp; Summary'!$B$6,"Eligible","Blocked")</x:f>
        <x:v>Eligible</x:v>
      </x:c>
      <x:c r="AC1129" s="30" t="str">
        <x:v>2026_DEU</x:v>
      </x:c>
      <x:c r="AD1129" s="30" t="str">
        <x:v>2026_BGM</x:v>
      </x:c>
      <x:c r="AE1129" s="30" t="str">
        <x:v>2026_Belgium</x:v>
      </x:c>
      <x:c r="AF1129" s="30" t="str">
        <x:v>Explicit capitalClaim</x:v>
      </x:c>
      <x:c r="AG1129" s="30" t="str">
        <x:v>Claim2026_DEU2026_Belgium</x:v>
      </x:c>
      <x:c r="AH1129" s="30" t="str">
        <x:v>Project_FreistaatConfederation</x:v>
      </x:c>
    </x:row>
    <x:row r="1130">
      <x:c r="A1130" s="30" t="str">
        <x:v>2026</x:v>
      </x:c>
      <x:c r="B1130" s="30" t="str">
        <x:v>Base game</x:v>
      </x:c>
      <x:c r="C1130" s="30" t="str">
        <x:v>Germany</x:v>
      </x:c>
      <x:c r="D1130" s="30" t="str">
        <x:v>Czechia</x:v>
      </x:c>
      <x:c r="E1130" s="30" t="str">
        <x:v>Project unlock</x:v>
      </x:c>
      <x:c r="F1130" s="30" t="str">
        <x:v>Freistaat Confederation</x:v>
      </x:c>
      <x:c r="G1130" s="30" t="str">
        <x:v>No</x:v>
      </x:c>
      <x:c r="H1130" s="30" t="str">
        <x:v>Ordinary claim</x:v>
      </x:c>
      <x:c r="I1130" s="31" t="n">
        <x:f>IF(G1130="Yes",'Controls &amp; Summary'!$B$5,'Controls &amp; Summary'!$B$4)</x:f>
        <x:v>6</x:v>
      </x:c>
      <x:c r="J1130" s="31" t="n">
        <x:v>8.73</x:v>
      </x:c>
      <x:c r="K1130" s="31" t="n">
        <x:v>8.15</x:v>
      </x:c>
      <x:c r="L1130" s="31" t="n">
        <x:f>ABS(J1130-K1130)</x:f>
        <x:v>0.5800000000000001</x:v>
      </x:c>
      <x:c r="M1130" s="31" t="n">
        <x:v>3.24</x:v>
      </x:c>
      <x:c r="N1130" s="31" t="n">
        <x:v>2.62</x:v>
      </x:c>
      <x:c r="O1130" s="31" t="n">
        <x:f>ABS(M1130-N1130)</x:f>
        <x:v>0.6200000000000001</x:v>
      </x:c>
      <x:c r="P1130" s="31" t="n">
        <x:v>9.34</x:v>
      </x:c>
      <x:c r="Q1130" s="31" t="n">
        <x:v>8.79</x:v>
      </x:c>
      <x:c r="R1130" s="31" t="n">
        <x:f>ABS(P1130-Q1130)</x:f>
        <x:v>0.5500000000000007</x:v>
      </x:c>
      <x:c r="S1130" s="32" t="n">
        <x:v>65191.06167455033</x:v>
      </x:c>
      <x:c r="T1130" s="32" t="n">
        <x:v>54108.58755515526</x:v>
      </x:c>
      <x:c r="U1130" s="31" t="n">
        <x:f>MAX(S1130/T1130,T1130/S1130)</x:f>
        <x:v>1.2048191353747355</x:v>
      </x:c>
      <x:c r="V1130" s="31" t="n">
        <x:f>L1130*'Controls &amp; Summary'!$B$9+O1130*'Controls &amp; Summary'!$B$10+R1130*'Controls &amp; Summary'!$B$11+U1130*'Controls &amp; Summary'!$B$12</x:f>
        <x:v>2.9548191353747364</x:v>
      </x:c>
      <x:c r="W1130" s="31" t="n">
        <x:v>6.2</x:v>
      </x:c>
      <x:c r="X1130" s="31" t="n">
        <x:v>0.5</x:v>
      </x:c>
      <x:c r="Y1130" s="31" t="n">
        <x:f>((10-MIN(10,MAX(0,X1130)))/10)*'Controls &amp; Summary'!$B$15+((10-MIN(10,MAX(0,W1130)))/10)*'Controls &amp; Summary'!$B$16</x:f>
        <x:v>1.33</x:v>
      </x:c>
      <x:c r="Z1130" s="31" t="n">
        <x:f>V1130*Y1130</x:f>
        <x:v>3.9299094500483998</x:v>
      </x:c>
      <x:c r="AA1130" s="30" t="str">
        <x:f>IF(Z1130&lt;=I1130,"Peaceful","Hostile")</x:f>
        <x:v>Peaceful</x:v>
      </x:c>
      <x:c r="AB1130" s="30" t="str">
        <x:f>IF(Z1130&lt;='Controls &amp; Summary'!$B$6,"Eligible","Blocked")</x:f>
        <x:v>Eligible</x:v>
      </x:c>
      <x:c r="AC1130" s="30" t="str">
        <x:v>2026_DEU</x:v>
      </x:c>
      <x:c r="AD1130" s="30" t="str">
        <x:v>2026_CZE</x:v>
      </x:c>
      <x:c r="AE1130" s="30" t="str">
        <x:v>2026_Czechia</x:v>
      </x:c>
      <x:c r="AF1130" s="30" t="str">
        <x:v>Explicit capitalClaim</x:v>
      </x:c>
      <x:c r="AG1130" s="30" t="str">
        <x:v>Claim2026_DEU2026_Czechia</x:v>
      </x:c>
      <x:c r="AH1130" s="30" t="str">
        <x:v>Project_FreistaatConfederation</x:v>
      </x:c>
    </x:row>
    <x:row r="1131">
      <x:c r="A1131" s="30" t="str">
        <x:v>2026</x:v>
      </x:c>
      <x:c r="B1131" s="30" t="str">
        <x:v>Base game</x:v>
      </x:c>
      <x:c r="C1131" s="30" t="str">
        <x:v>Germany</x:v>
      </x:c>
      <x:c r="D1131" s="30" t="str">
        <x:v>Denmark</x:v>
      </x:c>
      <x:c r="E1131" s="30" t="str">
        <x:v>Project unlock</x:v>
      </x:c>
      <x:c r="F1131" s="30" t="str">
        <x:v>Freistaat Confederation</x:v>
      </x:c>
      <x:c r="G1131" s="30" t="str">
        <x:v>No</x:v>
      </x:c>
      <x:c r="H1131" s="30" t="str">
        <x:v>Ordinary claim</x:v>
      </x:c>
      <x:c r="I1131" s="31" t="n">
        <x:f>IF(G1131="Yes",'Controls &amp; Summary'!$B$5,'Controls &amp; Summary'!$B$4)</x:f>
        <x:v>6</x:v>
      </x:c>
      <x:c r="J1131" s="31" t="n">
        <x:v>8.73</x:v>
      </x:c>
      <x:c r="K1131" s="31" t="n">
        <x:v>9.42</x:v>
      </x:c>
      <x:c r="L1131" s="31" t="n">
        <x:f>ABS(J1131-K1131)</x:f>
        <x:v>0.6899999999999995</x:v>
      </x:c>
      <x:c r="M1131" s="31" t="n">
        <x:v>3.24</x:v>
      </x:c>
      <x:c r="N1131" s="31" t="n">
        <x:v>2.83</x:v>
      </x:c>
      <x:c r="O1131" s="31" t="n">
        <x:f>ABS(M1131-N1131)</x:f>
        <x:v>0.41000000000000014</x:v>
      </x:c>
      <x:c r="P1131" s="31" t="n">
        <x:v>9.34</x:v>
      </x:c>
      <x:c r="Q1131" s="31" t="n">
        <x:v>9.3</x:v>
      </x:c>
      <x:c r="R1131" s="31" t="n">
        <x:f>ABS(P1131-Q1131)</x:f>
        <x:v>0.03999999999999915</x:v>
      </x:c>
      <x:c r="S1131" s="32" t="n">
        <x:v>65191.06167455033</x:v>
      </x:c>
      <x:c r="T1131" s="32" t="n">
        <x:v>83593.50327812343</x:v>
      </x:c>
      <x:c r="U1131" s="31" t="n">
        <x:f>MAX(S1131/T1131,T1131/S1131)</x:f>
        <x:v>1.2822847355277411</x:v>
      </x:c>
      <x:c r="V1131" s="31" t="n">
        <x:f>L1131*'Controls &amp; Summary'!$B$9+O1131*'Controls &amp; Summary'!$B$10+R1131*'Controls &amp; Summary'!$B$11+U1131*'Controls &amp; Summary'!$B$12</x:f>
        <x:v>2.42228473552774</x:v>
      </x:c>
      <x:c r="W1131" s="31" t="n">
        <x:v>6.2</x:v>
      </x:c>
      <x:c r="X1131" s="31" t="n">
        <x:v>0.5</x:v>
      </x:c>
      <x:c r="Y1131" s="31" t="n">
        <x:f>((10-MIN(10,MAX(0,X1131)))/10)*'Controls &amp; Summary'!$B$15+((10-MIN(10,MAX(0,W1131)))/10)*'Controls &amp; Summary'!$B$16</x:f>
        <x:v>1.33</x:v>
      </x:c>
      <x:c r="Z1131" s="31" t="n">
        <x:f>V1131*Y1131</x:f>
        <x:v>3.221638698251894</x:v>
      </x:c>
      <x:c r="AA1131" s="30" t="str">
        <x:f>IF(Z1131&lt;=I1131,"Peaceful","Hostile")</x:f>
        <x:v>Peaceful</x:v>
      </x:c>
      <x:c r="AB1131" s="30" t="str">
        <x:f>IF(Z1131&lt;='Controls &amp; Summary'!$B$6,"Eligible","Blocked")</x:f>
        <x:v>Eligible</x:v>
      </x:c>
      <x:c r="AC1131" s="30" t="str">
        <x:v>2026_DEU</x:v>
      </x:c>
      <x:c r="AD1131" s="30" t="str">
        <x:v>2026_DEN</x:v>
      </x:c>
      <x:c r="AE1131" s="30" t="str">
        <x:v>2026_Denmark</x:v>
      </x:c>
      <x:c r="AF1131" s="30" t="str">
        <x:v>Explicit capitalClaim</x:v>
      </x:c>
      <x:c r="AG1131" s="30" t="str">
        <x:v>Claim2026_DEU2026_Denmark</x:v>
      </x:c>
      <x:c r="AH1131" s="30" t="str">
        <x:v>Project_FreistaatConfederation</x:v>
      </x:c>
    </x:row>
    <x:row r="1132">
      <x:c r="A1132" s="30" t="str">
        <x:v>2026</x:v>
      </x:c>
      <x:c r="B1132" s="30" t="str">
        <x:v>Base game</x:v>
      </x:c>
      <x:c r="C1132" s="30" t="str">
        <x:v>Germany</x:v>
      </x:c>
      <x:c r="D1132" s="30" t="str">
        <x:v>Netherlands</x:v>
      </x:c>
      <x:c r="E1132" s="30" t="str">
        <x:v>Project unlock</x:v>
      </x:c>
      <x:c r="F1132" s="30" t="str">
        <x:v>Freistaat Confederation</x:v>
      </x:c>
      <x:c r="G1132" s="30" t="str">
        <x:v>No</x:v>
      </x:c>
      <x:c r="H1132" s="30" t="str">
        <x:v>Ordinary claim</x:v>
      </x:c>
      <x:c r="I1132" s="31" t="n">
        <x:f>IF(G1132="Yes",'Controls &amp; Summary'!$B$5,'Controls &amp; Summary'!$B$4)</x:f>
        <x:v>6</x:v>
      </x:c>
      <x:c r="J1132" s="31" t="n">
        <x:v>8.73</x:v>
      </x:c>
      <x:c r="K1132" s="31" t="n">
        <x:v>8.93</x:v>
      </x:c>
      <x:c r="L1132" s="31" t="n">
        <x:f>ABS(J1132-K1132)</x:f>
        <x:v>0.1999999999999993</x:v>
      </x:c>
      <x:c r="M1132" s="31" t="n">
        <x:v>3.24</x:v>
      </x:c>
      <x:c r="N1132" s="31" t="n">
        <x:v>2.57</x:v>
      </x:c>
      <x:c r="O1132" s="31" t="n">
        <x:f>ABS(M1132-N1132)</x:f>
        <x:v>0.6700000000000004</x:v>
      </x:c>
      <x:c r="P1132" s="31" t="n">
        <x:v>9.34</x:v>
      </x:c>
      <x:c r="Q1132" s="31" t="n">
        <x:v>9.17</x:v>
      </x:c>
      <x:c r="R1132" s="31" t="n">
        <x:f>ABS(P1132-Q1132)</x:f>
        <x:v>0.16999999999999993</x:v>
      </x:c>
      <x:c r="S1132" s="32" t="n">
        <x:v>65191.06167455033</x:v>
      </x:c>
      <x:c r="T1132" s="32" t="n">
        <x:v>77673.73665435288</x:v>
      </x:c>
      <x:c r="U1132" s="31" t="n">
        <x:f>MAX(S1132/T1132,T1132/S1132)</x:f>
        <x:v>1.1914783201740002</x:v>
      </x:c>
      <x:c r="V1132" s="31" t="n">
        <x:f>L1132*'Controls &amp; Summary'!$B$9+O1132*'Controls &amp; Summary'!$B$10+R1132*'Controls &amp; Summary'!$B$11+U1132*'Controls &amp; Summary'!$B$12</x:f>
        <x:v>2.231478320174</x:v>
      </x:c>
      <x:c r="W1132" s="31" t="n">
        <x:v>6.2</x:v>
      </x:c>
      <x:c r="X1132" s="31" t="n">
        <x:v>0.5</x:v>
      </x:c>
      <x:c r="Y1132" s="31" t="n">
        <x:f>((10-MIN(10,MAX(0,X1132)))/10)*'Controls &amp; Summary'!$B$15+((10-MIN(10,MAX(0,W1132)))/10)*'Controls &amp; Summary'!$B$16</x:f>
        <x:v>1.33</x:v>
      </x:c>
      <x:c r="Z1132" s="31" t="n">
        <x:f>V1132*Y1132</x:f>
        <x:v>2.96786616583142</x:v>
      </x:c>
      <x:c r="AA1132" s="30" t="str">
        <x:f>IF(Z1132&lt;=I1132,"Peaceful","Hostile")</x:f>
        <x:v>Peaceful</x:v>
      </x:c>
      <x:c r="AB1132" s="30" t="str">
        <x:f>IF(Z1132&lt;='Controls &amp; Summary'!$B$6,"Eligible","Blocked")</x:f>
        <x:v>Eligible</x:v>
      </x:c>
      <x:c r="AC1132" s="30" t="str">
        <x:v>2026_DEU</x:v>
      </x:c>
      <x:c r="AD1132" s="30" t="str">
        <x:v>2026_NET</x:v>
      </x:c>
      <x:c r="AE1132" s="30" t="str">
        <x:v>2026_Netherlands</x:v>
      </x:c>
      <x:c r="AF1132" s="30" t="str">
        <x:v>Explicit capitalClaim</x:v>
      </x:c>
      <x:c r="AG1132" s="30" t="str">
        <x:v>Claim2026_DEU2026_Netherlands</x:v>
      </x:c>
      <x:c r="AH1132" s="30" t="str">
        <x:v>Project_FreistaatConfederation</x:v>
      </x:c>
    </x:row>
    <x:row r="1133">
      <x:c r="A1133" s="30" t="str">
        <x:v>2026</x:v>
      </x:c>
      <x:c r="B1133" s="30" t="str">
        <x:v>Base game</x:v>
      </x:c>
      <x:c r="C1133" s="30" t="str">
        <x:v>Guatemala</x:v>
      </x:c>
      <x:c r="D1133" s="30" t="str">
        <x:v>Belize</x:v>
      </x:c>
      <x:c r="E1133" s="30" t="str">
        <x:v>Starting claim</x:v>
      </x:c>
      <x:c r="F1133" s="30" t="str"/>
      <x:c r="G1133" s="30" t="str">
        <x:v>Yes</x:v>
      </x:c>
      <x:c r="H1133" s="30" t="str">
        <x:v>Approved bilateral grievance</x:v>
      </x:c>
      <x:c r="I1133" s="31" t="n">
        <x:f>IF(G1133="Yes",'Controls &amp; Summary'!$B$5,'Controls &amp; Summary'!$B$4)</x:f>
        <x:v>3</x:v>
      </x:c>
      <x:c r="J1133" s="31" t="n">
        <x:v>4.65</x:v>
      </x:c>
      <x:c r="K1133" s="31" t="n">
        <x:v>8.2</x:v>
      </x:c>
      <x:c r="L1133" s="31" t="n">
        <x:f>ABS(J1133-K1133)</x:f>
        <x:v>3.549999999999999</x:v>
      </x:c>
      <x:c r="M1133" s="31" t="n">
        <x:v>4.83</x:v>
      </x:c>
      <x:c r="N1133" s="31" t="n">
        <x:v>3.99</x:v>
      </x:c>
      <x:c r="O1133" s="31" t="n">
        <x:f>ABS(M1133-N1133)</x:f>
        <x:v>0.8399999999999999</x:v>
      </x:c>
      <x:c r="P1133" s="31" t="n">
        <x:v>4.83</x:v>
      </x:c>
      <x:c r="Q1133" s="31" t="n">
        <x:v>6.15</x:v>
      </x:c>
      <x:c r="R1133" s="31" t="n">
        <x:f>ABS(P1133-Q1133)</x:f>
        <x:v>1.3200000000000003</x:v>
      </x:c>
      <x:c r="S1133" s="32" t="n">
        <x:v>13121.748665039573</x:v>
      </x:c>
      <x:c r="T1133" s="32" t="n">
        <x:v>13697.48859893058</x:v>
      </x:c>
      <x:c r="U1133" s="31" t="n">
        <x:f>MAX(S1133/T1133,T1133/S1133)</x:f>
        <x:v>1.0438767689115216</x:v>
      </x:c>
      <x:c r="V1133" s="31" t="n">
        <x:f>L1133*'Controls &amp; Summary'!$B$9+O1133*'Controls &amp; Summary'!$B$10+R1133*'Controls &amp; Summary'!$B$11+U1133*'Controls &amp; Summary'!$B$12</x:f>
        <x:v>6.753876768911521</x:v>
      </x:c>
      <x:c r="W1133" s="31" t="n">
        <x:v>1.37</x:v>
      </x:c>
      <x:c r="X1133" s="31" t="n">
        <x:v>2.5</x:v>
      </x:c>
      <x:c r="Y1133" s="31" t="n">
        <x:f>((10-MIN(10,MAX(0,X1133)))/10)*'Controls &amp; Summary'!$B$15+((10-MIN(10,MAX(0,W1133)))/10)*'Controls &amp; Summary'!$B$16</x:f>
        <x:v>1.613</x:v>
      </x:c>
      <x:c r="Z1133" s="31" t="n">
        <x:f>V1133*Y1133</x:f>
        <x:v>10.894003228254283</x:v>
      </x:c>
      <x:c r="AA1133" s="30" t="str">
        <x:f>IF(Z1133&lt;=I1133,"Peaceful","Hostile")</x:f>
        <x:v>Hostile</x:v>
      </x:c>
      <x:c r="AB1133" s="30" t="str">
        <x:f>IF(Z1133&lt;='Controls &amp; Summary'!$B$6,"Eligible","Blocked")</x:f>
        <x:v>Eligible</x:v>
      </x:c>
      <x:c r="AC1133" s="30" t="str">
        <x:v>2026_GTM</x:v>
      </x:c>
      <x:c r="AD1133" s="30" t="str">
        <x:v>2026_BEL</x:v>
      </x:c>
      <x:c r="AE1133" s="30" t="str">
        <x:v>2026_Belize</x:v>
      </x:c>
      <x:c r="AF1133" s="30" t="str">
        <x:v>Explicit capitalClaim</x:v>
      </x:c>
      <x:c r="AG1133" s="30" t="str">
        <x:v>Claim2026_GTM2026_Belize</x:v>
      </x:c>
      <x:c r="AH1133" s="30" t="str"/>
    </x:row>
    <x:row r="1134">
      <x:c r="A1134" s="30" t="str">
        <x:v>2026</x:v>
      </x:c>
      <x:c r="B1134" s="30" t="str">
        <x:v>Base game</x:v>
      </x:c>
      <x:c r="C1134" s="30" t="str">
        <x:v>Guatemala</x:v>
      </x:c>
      <x:c r="D1134" s="30" t="str">
        <x:v>Costa Rica</x:v>
      </x:c>
      <x:c r="E1134" s="30" t="str">
        <x:v>Project unlock</x:v>
      </x:c>
      <x:c r="F1134" s="30" t="str">
        <x:v>Central American Confederation</x:v>
      </x:c>
      <x:c r="G1134" s="30" t="str">
        <x:v>No</x:v>
      </x:c>
      <x:c r="H1134" s="30" t="str">
        <x:v>Ordinary claim</x:v>
      </x:c>
      <x:c r="I1134" s="31" t="n">
        <x:f>IF(G1134="Yes",'Controls &amp; Summary'!$B$5,'Controls &amp; Summary'!$B$4)</x:f>
        <x:v>6</x:v>
      </x:c>
      <x:c r="J1134" s="31" t="n">
        <x:v>4.65</x:v>
      </x:c>
      <x:c r="K1134" s="31" t="n">
        <x:v>8.29</x:v>
      </x:c>
      <x:c r="L1134" s="31" t="n">
        <x:f>ABS(J1134-K1134)</x:f>
        <x:v>3.639999999999999</x:v>
      </x:c>
      <x:c r="M1134" s="31" t="n">
        <x:v>4.83</x:v>
      </x:c>
      <x:c r="N1134" s="31" t="n">
        <x:v>4.67</x:v>
      </x:c>
      <x:c r="O1134" s="31" t="n">
        <x:f>ABS(M1134-N1134)</x:f>
        <x:v>0.16000000000000014</x:v>
      </x:c>
      <x:c r="P1134" s="31" t="n">
        <x:v>4.83</x:v>
      </x:c>
      <x:c r="Q1134" s="31" t="n">
        <x:v>7.3</x:v>
      </x:c>
      <x:c r="R1134" s="31" t="n">
        <x:f>ABS(P1134-Q1134)</x:f>
        <x:v>2.4699999999999998</x:v>
      </x:c>
      <x:c r="S1134" s="32" t="n">
        <x:v>13121.748665039573</x:v>
      </x:c>
      <x:c r="T1134" s="32" t="n">
        <x:v>28745.117916885112</x:v>
      </x:c>
      <x:c r="U1134" s="31" t="n">
        <x:f>MAX(S1134/T1134,T1134/S1134)</x:f>
        <x:v>2.190646890949151</x:v>
      </x:c>
      <x:c r="V1134" s="31" t="n">
        <x:f>L1134*'Controls &amp; Summary'!$B$9+O1134*'Controls &amp; Summary'!$B$10+R1134*'Controls &amp; Summary'!$B$11+U1134*'Controls &amp; Summary'!$B$12</x:f>
        <x:v>8.46064689094915</x:v>
      </x:c>
      <x:c r="W1134" s="31" t="n">
        <x:v>1.37</x:v>
      </x:c>
      <x:c r="X1134" s="31" t="n">
        <x:v>1</x:v>
      </x:c>
      <x:c r="Y1134" s="31" t="n">
        <x:f>((10-MIN(10,MAX(0,X1134)))/10)*'Controls &amp; Summary'!$B$15+((10-MIN(10,MAX(0,W1134)))/10)*'Controls &amp; Summary'!$B$16</x:f>
        <x:v>1.763</x:v>
      </x:c>
      <x:c r="Z1134" s="31" t="n">
        <x:f>V1134*Y1134</x:f>
        <x:v>14.91612046874335</x:v>
      </x:c>
      <x:c r="AA1134" s="30" t="str">
        <x:f>IF(Z1134&lt;=I1134,"Peaceful","Hostile")</x:f>
        <x:v>Hostile</x:v>
      </x:c>
      <x:c r="AB1134" s="30" t="str">
        <x:f>IF(Z1134&lt;='Controls &amp; Summary'!$B$6,"Eligible","Blocked")</x:f>
        <x:v>Blocked</x:v>
      </x:c>
      <x:c r="AC1134" s="30" t="str">
        <x:v>2026_GTM</x:v>
      </x:c>
      <x:c r="AD1134" s="30" t="str">
        <x:v>2026_COS</x:v>
      </x:c>
      <x:c r="AE1134" s="30" t="str">
        <x:v>2026_CostaRica</x:v>
      </x:c>
      <x:c r="AF1134" s="30" t="str">
        <x:v>Explicit capitalClaim</x:v>
      </x:c>
      <x:c r="AG1134" s="30" t="str">
        <x:v>Claim2026_GTM2026_CostaRica</x:v>
      </x:c>
      <x:c r="AH1134" s="30" t="str">
        <x:v>Project_CentralAmericanConfederation</x:v>
      </x:c>
    </x:row>
    <x:row r="1135">
      <x:c r="A1135" s="30" t="str">
        <x:v>2026</x:v>
      </x:c>
      <x:c r="B1135" s="30" t="str">
        <x:v>Base game</x:v>
      </x:c>
      <x:c r="C1135" s="30" t="str">
        <x:v>Guatemala</x:v>
      </x:c>
      <x:c r="D1135" s="30" t="str">
        <x:v>El Salvador</x:v>
      </x:c>
      <x:c r="E1135" s="30" t="str">
        <x:v>Project unlock</x:v>
      </x:c>
      <x:c r="F1135" s="30" t="str">
        <x:v>Central American Confederation</x:v>
      </x:c>
      <x:c r="G1135" s="30" t="str">
        <x:v>No</x:v>
      </x:c>
      <x:c r="H1135" s="30" t="str">
        <x:v>Ordinary claim</x:v>
      </x:c>
      <x:c r="I1135" s="31" t="n">
        <x:f>IF(G1135="Yes",'Controls &amp; Summary'!$B$5,'Controls &amp; Summary'!$B$4)</x:f>
        <x:v>6</x:v>
      </x:c>
      <x:c r="J1135" s="31" t="n">
        <x:v>4.65</x:v>
      </x:c>
      <x:c r="K1135" s="31" t="n">
        <x:v>4.57</x:v>
      </x:c>
      <x:c r="L1135" s="31" t="n">
        <x:f>ABS(J1135-K1135)</x:f>
        <x:v>0.08000000000000007</x:v>
      </x:c>
      <x:c r="M1135" s="31" t="n">
        <x:v>4.83</x:v>
      </x:c>
      <x:c r="N1135" s="31" t="n">
        <x:v>3.88</x:v>
      </x:c>
      <x:c r="O1135" s="31" t="n">
        <x:f>ABS(M1135-N1135)</x:f>
        <x:v>0.9500000000000002</x:v>
      </x:c>
      <x:c r="P1135" s="31" t="n">
        <x:v>4.83</x:v>
      </x:c>
      <x:c r="Q1135" s="31" t="n">
        <x:v>5.42</x:v>
      </x:c>
      <x:c r="R1135" s="31" t="n">
        <x:f>ABS(P1135-Q1135)</x:f>
        <x:v>0.5899999999999999</x:v>
      </x:c>
      <x:c r="S1135" s="32" t="n">
        <x:v>13121.748665039573</x:v>
      </x:c>
      <x:c r="T1135" s="32" t="n">
        <x:v>12155.386094870599</x:v>
      </x:c>
      <x:c r="U1135" s="31" t="n">
        <x:f>MAX(S1135/T1135,T1135/S1135)</x:f>
        <x:v>1.0795007713145999</x:v>
      </x:c>
      <x:c r="V1135" s="31" t="n">
        <x:f>L1135*'Controls &amp; Summary'!$B$9+O1135*'Controls &amp; Summary'!$B$10+R1135*'Controls &amp; Summary'!$B$11+U1135*'Controls &amp; Summary'!$B$12</x:f>
        <x:v>2.6995007713146</x:v>
      </x:c>
      <x:c r="W1135" s="31" t="n">
        <x:v>1.37</x:v>
      </x:c>
      <x:c r="X1135" s="31" t="n">
        <x:v>1</x:v>
      </x:c>
      <x:c r="Y1135" s="31" t="n">
        <x:f>((10-MIN(10,MAX(0,X1135)))/10)*'Controls &amp; Summary'!$B$15+((10-MIN(10,MAX(0,W1135)))/10)*'Controls &amp; Summary'!$B$16</x:f>
        <x:v>1.763</x:v>
      </x:c>
      <x:c r="Z1135" s="31" t="n">
        <x:f>V1135*Y1135</x:f>
        <x:v>4.75921985982764</x:v>
      </x:c>
      <x:c r="AA1135" s="30" t="str">
        <x:f>IF(Z1135&lt;=I1135,"Peaceful","Hostile")</x:f>
        <x:v>Peaceful</x:v>
      </x:c>
      <x:c r="AB1135" s="30" t="str">
        <x:f>IF(Z1135&lt;='Controls &amp; Summary'!$B$6,"Eligible","Blocked")</x:f>
        <x:v>Eligible</x:v>
      </x:c>
      <x:c r="AC1135" s="30" t="str">
        <x:v>2026_GTM</x:v>
      </x:c>
      <x:c r="AD1135" s="30" t="str">
        <x:v>2026_ELS</x:v>
      </x:c>
      <x:c r="AE1135" s="30" t="str">
        <x:v>2026_ElSalvador</x:v>
      </x:c>
      <x:c r="AF1135" s="30" t="str">
        <x:v>Explicit capitalClaim</x:v>
      </x:c>
      <x:c r="AG1135" s="30" t="str">
        <x:v>Claim2026_GTM2026_ElSalvador</x:v>
      </x:c>
      <x:c r="AH1135" s="30" t="str">
        <x:v>Project_CentralAmericanConfederation</x:v>
      </x:c>
    </x:row>
    <x:row r="1136">
      <x:c r="A1136" s="30" t="str">
        <x:v>2026</x:v>
      </x:c>
      <x:c r="B1136" s="30" t="str">
        <x:v>Base game</x:v>
      </x:c>
      <x:c r="C1136" s="30" t="str">
        <x:v>Guatemala</x:v>
      </x:c>
      <x:c r="D1136" s="30" t="str">
        <x:v>Honduras</x:v>
      </x:c>
      <x:c r="E1136" s="30" t="str">
        <x:v>Project unlock</x:v>
      </x:c>
      <x:c r="F1136" s="30" t="str">
        <x:v>Central American Confederation</x:v>
      </x:c>
      <x:c r="G1136" s="30" t="str">
        <x:v>No</x:v>
      </x:c>
      <x:c r="H1136" s="30" t="str">
        <x:v>Ordinary claim</x:v>
      </x:c>
      <x:c r="I1136" s="31" t="n">
        <x:f>IF(G1136="Yes",'Controls &amp; Summary'!$B$5,'Controls &amp; Summary'!$B$4)</x:f>
        <x:v>6</x:v>
      </x:c>
      <x:c r="J1136" s="31" t="n">
        <x:v>4.65</x:v>
      </x:c>
      <x:c r="K1136" s="31" t="n">
        <x:v>4.87</x:v>
      </x:c>
      <x:c r="L1136" s="31" t="n">
        <x:f>ABS(J1136-K1136)</x:f>
        <x:v>0.21999999999999975</x:v>
      </x:c>
      <x:c r="M1136" s="31" t="n">
        <x:v>4.83</x:v>
      </x:c>
      <x:c r="N1136" s="31" t="n">
        <x:v>4.82</x:v>
      </x:c>
      <x:c r="O1136" s="31" t="n">
        <x:f>ABS(M1136-N1136)</x:f>
        <x:v>0.009999999999999787</x:v>
      </x:c>
      <x:c r="P1136" s="31" t="n">
        <x:v>4.83</x:v>
      </x:c>
      <x:c r="Q1136" s="31" t="n">
        <x:v>5.25</x:v>
      </x:c>
      <x:c r="R1136" s="31" t="n">
        <x:f>ABS(P1136-Q1136)</x:f>
        <x:v>0.41999999999999993</x:v>
      </x:c>
      <x:c r="S1136" s="32" t="n">
        <x:v>13121.748665039573</x:v>
      </x:c>
      <x:c r="T1136" s="32" t="n">
        <x:v>6765.091070349296</x:v>
      </x:c>
      <x:c r="U1136" s="31" t="n">
        <x:f>MAX(S1136/T1136,T1136/S1136)</x:f>
        <x:v>1.939626315239252</x:v>
      </x:c>
      <x:c r="V1136" s="31" t="n">
        <x:f>L1136*'Controls &amp; Summary'!$B$9+O1136*'Controls &amp; Summary'!$B$10+R1136*'Controls &amp; Summary'!$B$11+U1136*'Controls &amp; Summary'!$B$12</x:f>
        <x:v>2.5896263152392516</x:v>
      </x:c>
      <x:c r="W1136" s="31" t="n">
        <x:v>1.37</x:v>
      </x:c>
      <x:c r="X1136" s="31" t="n">
        <x:v>4.75</x:v>
      </x:c>
      <x:c r="Y1136" s="31" t="n">
        <x:f>((10-MIN(10,MAX(0,X1136)))/10)*'Controls &amp; Summary'!$B$15+((10-MIN(10,MAX(0,W1136)))/10)*'Controls &amp; Summary'!$B$16</x:f>
        <x:v>1.388</x:v>
      </x:c>
      <x:c r="Z1136" s="31" t="n">
        <x:f>V1136*Y1136</x:f>
        <x:v>3.594401325552081</x:v>
      </x:c>
      <x:c r="AA1136" s="30" t="str">
        <x:f>IF(Z1136&lt;=I1136,"Peaceful","Hostile")</x:f>
        <x:v>Peaceful</x:v>
      </x:c>
      <x:c r="AB1136" s="30" t="str">
        <x:f>IF(Z1136&lt;='Controls &amp; Summary'!$B$6,"Eligible","Blocked")</x:f>
        <x:v>Eligible</x:v>
      </x:c>
      <x:c r="AC1136" s="30" t="str">
        <x:v>2026_GTM</x:v>
      </x:c>
      <x:c r="AD1136" s="30" t="str">
        <x:v>2026_HON</x:v>
      </x:c>
      <x:c r="AE1136" s="30" t="str">
        <x:v>2026_Honduras</x:v>
      </x:c>
      <x:c r="AF1136" s="30" t="str">
        <x:v>Explicit capitalClaim</x:v>
      </x:c>
      <x:c r="AG1136" s="30" t="str">
        <x:v>Claim2026_GTM2026_Honduras</x:v>
      </x:c>
      <x:c r="AH1136" s="30" t="str">
        <x:v>Project_CentralAmericanConfederation</x:v>
      </x:c>
    </x:row>
    <x:row r="1137">
      <x:c r="A1137" s="30" t="str">
        <x:v>2026</x:v>
      </x:c>
      <x:c r="B1137" s="30" t="str">
        <x:v>Base game</x:v>
      </x:c>
      <x:c r="C1137" s="30" t="str">
        <x:v>Guatemala</x:v>
      </x:c>
      <x:c r="D1137" s="30" t="str">
        <x:v>Nicaragua</x:v>
      </x:c>
      <x:c r="E1137" s="30" t="str">
        <x:v>Project unlock</x:v>
      </x:c>
      <x:c r="F1137" s="30" t="str">
        <x:v>Central American Confederation</x:v>
      </x:c>
      <x:c r="G1137" s="30" t="str">
        <x:v>No</x:v>
      </x:c>
      <x:c r="H1137" s="30" t="str">
        <x:v>Ordinary claim</x:v>
      </x:c>
      <x:c r="I1137" s="31" t="n">
        <x:f>IF(G1137="Yes",'Controls &amp; Summary'!$B$5,'Controls &amp; Summary'!$B$4)</x:f>
        <x:v>6</x:v>
      </x:c>
      <x:c r="J1137" s="31" t="n">
        <x:v>4.65</x:v>
      </x:c>
      <x:c r="K1137" s="31" t="n">
        <x:v>1.97</x:v>
      </x:c>
      <x:c r="L1137" s="31" t="n">
        <x:f>ABS(J1137-K1137)</x:f>
        <x:v>2.6800000000000006</x:v>
      </x:c>
      <x:c r="M1137" s="31" t="n">
        <x:v>4.83</x:v>
      </x:c>
      <x:c r="N1137" s="31" t="n">
        <x:v>4.62</x:v>
      </x:c>
      <x:c r="O1137" s="31" t="n">
        <x:f>ABS(M1137-N1137)</x:f>
        <x:v>0.20999999999999996</x:v>
      </x:c>
      <x:c r="P1137" s="31" t="n">
        <x:v>4.83</x:v>
      </x:c>
      <x:c r="Q1137" s="31" t="n">
        <x:v>6.37</x:v>
      </x:c>
      <x:c r="R1137" s="31" t="n">
        <x:f>ABS(P1137-Q1137)</x:f>
        <x:v>1.54</x:v>
      </x:c>
      <x:c r="S1137" s="32" t="n">
        <x:v>13121.748665039573</x:v>
      </x:c>
      <x:c r="T1137" s="32" t="n">
        <x:v>7911.82147537475</x:v>
      </x:c>
      <x:c r="U1137" s="31" t="n">
        <x:f>MAX(S1137/T1137,T1137/S1137)</x:f>
        <x:v>1.6584990834134121</x:v>
      </x:c>
      <x:c r="V1137" s="31" t="n">
        <x:f>L1137*'Controls &amp; Summary'!$B$9+O1137*'Controls &amp; Summary'!$B$10+R1137*'Controls &amp; Summary'!$B$11+U1137*'Controls &amp; Summary'!$B$12</x:f>
        <x:v>6.088499083413413</x:v>
      </x:c>
      <x:c r="W1137" s="31" t="n">
        <x:v>1.37</x:v>
      </x:c>
      <x:c r="X1137" s="31" t="n">
        <x:v>1</x:v>
      </x:c>
      <x:c r="Y1137" s="31" t="n">
        <x:f>((10-MIN(10,MAX(0,X1137)))/10)*'Controls &amp; Summary'!$B$15+((10-MIN(10,MAX(0,W1137)))/10)*'Controls &amp; Summary'!$B$16</x:f>
        <x:v>1.763</x:v>
      </x:c>
      <x:c r="Z1137" s="31" t="n">
        <x:f>V1137*Y1137</x:f>
        <x:v>10.734023884057846</x:v>
      </x:c>
      <x:c r="AA1137" s="30" t="str">
        <x:f>IF(Z1137&lt;=I1137,"Peaceful","Hostile")</x:f>
        <x:v>Hostile</x:v>
      </x:c>
      <x:c r="AB1137" s="30" t="str">
        <x:f>IF(Z1137&lt;='Controls &amp; Summary'!$B$6,"Eligible","Blocked")</x:f>
        <x:v>Eligible</x:v>
      </x:c>
      <x:c r="AC1137" s="30" t="str">
        <x:v>2026_GTM</x:v>
      </x:c>
      <x:c r="AD1137" s="30" t="str">
        <x:v>2026_NIC</x:v>
      </x:c>
      <x:c r="AE1137" s="30" t="str">
        <x:v>2026_Nicaragua</x:v>
      </x:c>
      <x:c r="AF1137" s="30" t="str">
        <x:v>Explicit capitalClaim</x:v>
      </x:c>
      <x:c r="AG1137" s="30" t="str">
        <x:v>Claim2026_GTM2026_Nicaragua</x:v>
      </x:c>
      <x:c r="AH1137" s="30" t="str">
        <x:v>Project_CentralAmericanConfederation</x:v>
      </x:c>
    </x:row>
    <x:row r="1138">
      <x:c r="A1138" s="30" t="str">
        <x:v>2026</x:v>
      </x:c>
      <x:c r="B1138" s="30" t="str">
        <x:v>Base game</x:v>
      </x:c>
      <x:c r="C1138" s="30" t="str">
        <x:v>Guatemala</x:v>
      </x:c>
      <x:c r="D1138" s="30" t="str">
        <x:v>Panama</x:v>
      </x:c>
      <x:c r="E1138" s="30" t="str">
        <x:v>Project unlock</x:v>
      </x:c>
      <x:c r="F1138" s="30" t="str">
        <x:v>Central American Confederation</x:v>
      </x:c>
      <x:c r="G1138" s="30" t="str">
        <x:v>No</x:v>
      </x:c>
      <x:c r="H1138" s="30" t="str">
        <x:v>Ordinary claim</x:v>
      </x:c>
      <x:c r="I1138" s="31" t="n">
        <x:f>IF(G1138="Yes",'Controls &amp; Summary'!$B$5,'Controls &amp; Summary'!$B$4)</x:f>
        <x:v>6</x:v>
      </x:c>
      <x:c r="J1138" s="31" t="n">
        <x:v>4.65</x:v>
      </x:c>
      <x:c r="K1138" s="31" t="n">
        <x:v>7.04</x:v>
      </x:c>
      <x:c r="L1138" s="31" t="n">
        <x:f>ABS(J1138-K1138)</x:f>
        <x:v>2.3899999999999997</x:v>
      </x:c>
      <x:c r="M1138" s="31" t="n">
        <x:v>4.83</x:v>
      </x:c>
      <x:c r="N1138" s="31" t="n">
        <x:v>4.89</x:v>
      </x:c>
      <x:c r="O1138" s="31" t="n">
        <x:f>ABS(M1138-N1138)</x:f>
        <x:v>0.05999999999999961</x:v>
      </x:c>
      <x:c r="P1138" s="31" t="n">
        <x:v>4.83</x:v>
      </x:c>
      <x:c r="Q1138" s="31" t="n">
        <x:v>7.14</x:v>
      </x:c>
      <x:c r="R1138" s="31" t="n">
        <x:f>ABS(P1138-Q1138)</x:f>
        <x:v>2.3099999999999996</x:v>
      </x:c>
      <x:c r="S1138" s="32" t="n">
        <x:v>13121.748665039573</x:v>
      </x:c>
      <x:c r="T1138" s="32" t="n">
        <x:v>38076.68344676437</x:v>
      </x:c>
      <x:c r="U1138" s="31" t="n">
        <x:f>MAX(S1138/T1138,T1138/S1138)</x:f>
        <x:v>2.9017994795322153</x:v>
      </x:c>
      <x:c r="V1138" s="31" t="n">
        <x:f>L1138*'Controls &amp; Summary'!$B$9+O1138*'Controls &amp; Summary'!$B$10+R1138*'Controls &amp; Summary'!$B$11+U1138*'Controls &amp; Summary'!$B$12</x:f>
        <x:v>7.661799479532214</x:v>
      </x:c>
      <x:c r="W1138" s="31" t="n">
        <x:v>1.37</x:v>
      </x:c>
      <x:c r="X1138" s="31" t="n">
        <x:v>1</x:v>
      </x:c>
      <x:c r="Y1138" s="31" t="n">
        <x:f>((10-MIN(10,MAX(0,X1138)))/10)*'Controls &amp; Summary'!$B$15+((10-MIN(10,MAX(0,W1138)))/10)*'Controls &amp; Summary'!$B$16</x:f>
        <x:v>1.763</x:v>
      </x:c>
      <x:c r="Z1138" s="31" t="n">
        <x:f>V1138*Y1138</x:f>
        <x:v>13.507752482415293</x:v>
      </x:c>
      <x:c r="AA1138" s="30" t="str">
        <x:f>IF(Z1138&lt;=I1138,"Peaceful","Hostile")</x:f>
        <x:v>Hostile</x:v>
      </x:c>
      <x:c r="AB1138" s="30" t="str">
        <x:f>IF(Z1138&lt;='Controls &amp; Summary'!$B$6,"Eligible","Blocked")</x:f>
        <x:v>Blocked</x:v>
      </x:c>
      <x:c r="AC1138" s="30" t="str">
        <x:v>2026_GTM</x:v>
      </x:c>
      <x:c r="AD1138" s="30" t="str">
        <x:v>2026_PAN</x:v>
      </x:c>
      <x:c r="AE1138" s="30" t="str">
        <x:v>2026_Panama</x:v>
      </x:c>
      <x:c r="AF1138" s="30" t="str">
        <x:v>Explicit capitalClaim</x:v>
      </x:c>
      <x:c r="AG1138" s="30" t="str">
        <x:v>Claim2026_GTM2026_Panama</x:v>
      </x:c>
      <x:c r="AH1138" s="30" t="str">
        <x:v>Project_CentralAmericanConfederation</x:v>
      </x:c>
    </x:row>
    <x:row r="1139">
      <x:c r="A1139" s="30" t="str">
        <x:v>2026</x:v>
      </x:c>
      <x:c r="B1139" s="30" t="str">
        <x:v>Base game</x:v>
      </x:c>
      <x:c r="C1139" s="30" t="str">
        <x:v>Hungary</x:v>
      </x:c>
      <x:c r="D1139" s="30" t="str">
        <x:v>Bosnia and Herzegovina</x:v>
      </x:c>
      <x:c r="E1139" s="30" t="str">
        <x:v>Project unlock</x:v>
      </x:c>
      <x:c r="F1139" s="30" t="str">
        <x:v>Hungarian Irredentism</x:v>
      </x:c>
      <x:c r="G1139" s="30" t="str">
        <x:v>No</x:v>
      </x:c>
      <x:c r="H1139" s="30" t="str">
        <x:v>Ordinary claim</x:v>
      </x:c>
      <x:c r="I1139" s="31" t="n">
        <x:f>IF(G1139="Yes",'Controls &amp; Summary'!$B$5,'Controls &amp; Summary'!$B$4)</x:f>
        <x:v>6</x:v>
      </x:c>
      <x:c r="J1139" s="31" t="n">
        <x:v>6.58</x:v>
      </x:c>
      <x:c r="K1139" s="31" t="n">
        <x:v>5.23</x:v>
      </x:c>
      <x:c r="L1139" s="31" t="n">
        <x:f>ABS(J1139-K1139)</x:f>
        <x:v>1.3499999999999996</x:v>
      </x:c>
      <x:c r="M1139" s="31" t="n">
        <x:v>2.92</x:v>
      </x:c>
      <x:c r="N1139" s="31" t="n">
        <x:v>3.3</x:v>
      </x:c>
      <x:c r="O1139" s="31" t="n">
        <x:f>ABS(M1139-N1139)</x:f>
        <x:v>0.3799999999999999</x:v>
      </x:c>
      <x:c r="P1139" s="31" t="n">
        <x:v>8.21</x:v>
      </x:c>
      <x:c r="Q1139" s="31" t="n">
        <x:v>7.18</x:v>
      </x:c>
      <x:c r="R1139" s="31" t="n">
        <x:f>ABS(P1139-Q1139)</x:f>
        <x:v>1.0300000000000011</x:v>
      </x:c>
      <x:c r="S1139" s="32" t="n">
        <x:v>42634.7255914936</x:v>
      </x:c>
      <x:c r="T1139" s="32" t="n">
        <x:v>22225.761517569925</x:v>
      </x:c>
      <x:c r="U1139" s="31" t="n">
        <x:f>MAX(S1139/T1139,T1139/S1139)</x:f>
        <x:v>1.9182571340824461</x:v>
      </x:c>
      <x:c r="V1139" s="31" t="n">
        <x:f>L1139*'Controls &amp; Summary'!$B$9+O1139*'Controls &amp; Summary'!$B$10+R1139*'Controls &amp; Summary'!$B$11+U1139*'Controls &amp; Summary'!$B$12</x:f>
        <x:v>4.678257134082447</x:v>
      </x:c>
      <x:c r="W1139" s="31" t="n">
        <x:v>5.27</x:v>
      </x:c>
      <x:c r="X1139" s="31" t="n">
        <x:v>1</x:v>
      </x:c>
      <x:c r="Y1139" s="31" t="n">
        <x:f>((10-MIN(10,MAX(0,X1139)))/10)*'Controls &amp; Summary'!$B$15+((10-MIN(10,MAX(0,W1139)))/10)*'Controls &amp; Summary'!$B$16</x:f>
        <x:v>1.373</x:v>
      </x:c>
      <x:c r="Z1139" s="31" t="n">
        <x:f>V1139*Y1139</x:f>
        <x:v>6.4232470450951995</x:v>
      </x:c>
      <x:c r="AA1139" s="30" t="str">
        <x:f>IF(Z1139&lt;=I1139,"Peaceful","Hostile")</x:f>
        <x:v>Hostile</x:v>
      </x:c>
      <x:c r="AB1139" s="30" t="str">
        <x:f>IF(Z1139&lt;='Controls &amp; Summary'!$B$6,"Eligible","Blocked")</x:f>
        <x:v>Eligible</x:v>
      </x:c>
      <x:c r="AC1139" s="30" t="str">
        <x:v>2026_HUN</x:v>
      </x:c>
      <x:c r="AD1139" s="30" t="str">
        <x:v>2026_BSM</x:v>
      </x:c>
      <x:c r="AE1139" s="30" t="str">
        <x:v>2026_Sarajevo</x:v>
      </x:c>
      <x:c r="AF1139" s="30" t="str">
        <x:v>Explicit capitalClaim</x:v>
      </x:c>
      <x:c r="AG1139" s="30" t="str">
        <x:v>Claim2026_HUN2026_Sarajevo</x:v>
      </x:c>
      <x:c r="AH1139" s="30" t="str">
        <x:v>Project_HungarianIrredentism</x:v>
      </x:c>
    </x:row>
    <x:row r="1140">
      <x:c r="A1140" s="30" t="str">
        <x:v>2026</x:v>
      </x:c>
      <x:c r="B1140" s="30" t="str">
        <x:v>Base game</x:v>
      </x:c>
      <x:c r="C1140" s="30" t="str">
        <x:v>Hungary</x:v>
      </x:c>
      <x:c r="D1140" s="30" t="str">
        <x:v>Croatia</x:v>
      </x:c>
      <x:c r="E1140" s="30" t="str">
        <x:v>Project unlock</x:v>
      </x:c>
      <x:c r="F1140" s="30" t="str">
        <x:v>Hungarian Irredentism</x:v>
      </x:c>
      <x:c r="G1140" s="30" t="str">
        <x:v>No</x:v>
      </x:c>
      <x:c r="H1140" s="30" t="str">
        <x:v>Ordinary claim</x:v>
      </x:c>
      <x:c r="I1140" s="31" t="n">
        <x:f>IF(G1140="Yes",'Controls &amp; Summary'!$B$5,'Controls &amp; Summary'!$B$4)</x:f>
        <x:v>6</x:v>
      </x:c>
      <x:c r="J1140" s="31" t="n">
        <x:v>6.58</x:v>
      </x:c>
      <x:c r="K1140" s="31" t="n">
        <x:v>6.5</x:v>
      </x:c>
      <x:c r="L1140" s="31" t="n">
        <x:f>ABS(J1140-K1140)</x:f>
        <x:v>0.08000000000000007</x:v>
      </x:c>
      <x:c r="M1140" s="31" t="n">
        <x:v>2.92</x:v>
      </x:c>
      <x:c r="N1140" s="31" t="n">
        <x:v>2.89</x:v>
      </x:c>
      <x:c r="O1140" s="31" t="n">
        <x:f>ABS(M1140-N1140)</x:f>
        <x:v>0.029999999999999805</x:v>
      </x:c>
      <x:c r="P1140" s="31" t="n">
        <x:v>8.21</x:v>
      </x:c>
      <x:c r="Q1140" s="31" t="n">
        <x:v>8.36</x:v>
      </x:c>
      <x:c r="R1140" s="31" t="n">
        <x:f>ABS(P1140-Q1140)</x:f>
        <x:v>0.14999999999999858</x:v>
      </x:c>
      <x:c r="S1140" s="32" t="n">
        <x:v>42634.7255914936</x:v>
      </x:c>
      <x:c r="T1140" s="32" t="n">
        <x:v>45646.282583074004</x:v>
      </x:c>
      <x:c r="U1140" s="31" t="n">
        <x:f>MAX(S1140/T1140,T1140/S1140)</x:f>
        <x:v>1.0706362466228998</x:v>
      </x:c>
      <x:c r="V1140" s="31" t="n">
        <x:f>L1140*'Controls &amp; Summary'!$B$9+O1140*'Controls &amp; Summary'!$B$10+R1140*'Controls &amp; Summary'!$B$11+U1140*'Controls &amp; Summary'!$B$12</x:f>
        <x:v>1.3306362466228983</x:v>
      </x:c>
      <x:c r="W1140" s="31" t="n">
        <x:v>5.27</x:v>
      </x:c>
      <x:c r="X1140" s="31" t="n">
        <x:v>1</x:v>
      </x:c>
      <x:c r="Y1140" s="31" t="n">
        <x:f>((10-MIN(10,MAX(0,X1140)))/10)*'Controls &amp; Summary'!$B$15+((10-MIN(10,MAX(0,W1140)))/10)*'Controls &amp; Summary'!$B$16</x:f>
        <x:v>1.373</x:v>
      </x:c>
      <x:c r="Z1140" s="31" t="n">
        <x:f>V1140*Y1140</x:f>
        <x:v>1.8269635666132393</x:v>
      </x:c>
      <x:c r="AA1140" s="30" t="str">
        <x:f>IF(Z1140&lt;=I1140,"Peaceful","Hostile")</x:f>
        <x:v>Peaceful</x:v>
      </x:c>
      <x:c r="AB1140" s="30" t="str">
        <x:f>IF(Z1140&lt;='Controls &amp; Summary'!$B$6,"Eligible","Blocked")</x:f>
        <x:v>Eligible</x:v>
      </x:c>
      <x:c r="AC1140" s="30" t="str">
        <x:v>2026_HUN</x:v>
      </x:c>
      <x:c r="AD1140" s="30" t="str">
        <x:v>2026_CRS</x:v>
      </x:c>
      <x:c r="AE1140" s="30" t="str">
        <x:v>2026_Zagreb</x:v>
      </x:c>
      <x:c r="AF1140" s="30" t="str">
        <x:v>Explicit capitalClaim</x:v>
      </x:c>
      <x:c r="AG1140" s="30" t="str">
        <x:v>Claim2026_HUN2026_Zagreb</x:v>
      </x:c>
      <x:c r="AH1140" s="30" t="str">
        <x:v>Project_HungarianIrredentism</x:v>
      </x:c>
    </x:row>
    <x:row r="1141">
      <x:c r="A1141" s="30" t="str">
        <x:v>2026</x:v>
      </x:c>
      <x:c r="B1141" s="30" t="str">
        <x:v>Base game</x:v>
      </x:c>
      <x:c r="C1141" s="30" t="str">
        <x:v>Hungary</x:v>
      </x:c>
      <x:c r="D1141" s="30" t="str">
        <x:v>Slovakia</x:v>
      </x:c>
      <x:c r="E1141" s="30" t="str">
        <x:v>Project unlock</x:v>
      </x:c>
      <x:c r="F1141" s="30" t="str">
        <x:v>Hungarian Irredentism</x:v>
      </x:c>
      <x:c r="G1141" s="30" t="str">
        <x:v>No</x:v>
      </x:c>
      <x:c r="H1141" s="30" t="str">
        <x:v>Ordinary claim</x:v>
      </x:c>
      <x:c r="I1141" s="31" t="n">
        <x:f>IF(G1141="Yes",'Controls &amp; Summary'!$B$5,'Controls &amp; Summary'!$B$4)</x:f>
        <x:v>6</x:v>
      </x:c>
      <x:c r="J1141" s="31" t="n">
        <x:v>6.58</x:v>
      </x:c>
      <x:c r="K1141" s="31" t="n">
        <x:v>6.94</x:v>
      </x:c>
      <x:c r="L1141" s="31" t="n">
        <x:f>ABS(J1141-K1141)</x:f>
        <x:v>0.3600000000000003</x:v>
      </x:c>
      <x:c r="M1141" s="31" t="n">
        <x:v>2.92</x:v>
      </x:c>
      <x:c r="N1141" s="31" t="n">
        <x:v>2.41</x:v>
      </x:c>
      <x:c r="O1141" s="31" t="n">
        <x:f>ABS(M1141-N1141)</x:f>
        <x:v>0.5099999999999998</x:v>
      </x:c>
      <x:c r="P1141" s="31" t="n">
        <x:v>8.21</x:v>
      </x:c>
      <x:c r="Q1141" s="31" t="n">
        <x:v>8.31</x:v>
      </x:c>
      <x:c r="R1141" s="31" t="n">
        <x:f>ABS(P1141-Q1141)</x:f>
        <x:v>0.09999999999999964</x:v>
      </x:c>
      <x:c r="S1141" s="32" t="n">
        <x:v>42634.7255914936</x:v>
      </x:c>
      <x:c r="T1141" s="32" t="n">
        <x:v>41490.26056336219</x:v>
      </x:c>
      <x:c r="U1141" s="31" t="n">
        <x:f>MAX(S1141/T1141,T1141/S1141)</x:f>
        <x:v>1.0275839441013785</x:v>
      </x:c>
      <x:c r="V1141" s="31" t="n">
        <x:f>L1141*'Controls &amp; Summary'!$B$9+O1141*'Controls &amp; Summary'!$B$10+R1141*'Controls &amp; Summary'!$B$11+U1141*'Controls &amp; Summary'!$B$12</x:f>
        <x:v>1.9975839441013783</x:v>
      </x:c>
      <x:c r="W1141" s="31" t="n">
        <x:v>5.27</x:v>
      </x:c>
      <x:c r="X1141" s="31" t="n">
        <x:v>0.5</x:v>
      </x:c>
      <x:c r="Y1141" s="31" t="n">
        <x:f>((10-MIN(10,MAX(0,X1141)))/10)*'Controls &amp; Summary'!$B$15+((10-MIN(10,MAX(0,W1141)))/10)*'Controls &amp; Summary'!$B$16</x:f>
        <x:v>1.423</x:v>
      </x:c>
      <x:c r="Z1141" s="31" t="n">
        <x:f>V1141*Y1141</x:f>
        <x:v>2.8425619524562613</x:v>
      </x:c>
      <x:c r="AA1141" s="30" t="str">
        <x:f>IF(Z1141&lt;=I1141,"Peaceful","Hostile")</x:f>
        <x:v>Peaceful</x:v>
      </x:c>
      <x:c r="AB1141" s="30" t="str">
        <x:f>IF(Z1141&lt;='Controls &amp; Summary'!$B$6,"Eligible","Blocked")</x:f>
        <x:v>Eligible</x:v>
      </x:c>
      <x:c r="AC1141" s="30" t="str">
        <x:v>2026_HUN</x:v>
      </x:c>
      <x:c r="AD1141" s="30" t="str">
        <x:v>2026_SLO</x:v>
      </x:c>
      <x:c r="AE1141" s="30" t="str">
        <x:v>2026_Slovakia</x:v>
      </x:c>
      <x:c r="AF1141" s="30" t="str">
        <x:v>Explicit capitalClaim</x:v>
      </x:c>
      <x:c r="AG1141" s="30" t="str">
        <x:v>Claim2026_HUN2026_Slovakia</x:v>
      </x:c>
      <x:c r="AH1141" s="30" t="str">
        <x:v>Project_HungarianIrredentism</x:v>
      </x:c>
    </x:row>
    <x:row r="1142">
      <x:c r="A1142" s="30" t="str">
        <x:v>2026</x:v>
      </x:c>
      <x:c r="B1142" s="30" t="str">
        <x:v>Base game</x:v>
      </x:c>
      <x:c r="C1142" s="30" t="str">
        <x:v>India</x:v>
      </x:c>
      <x:c r="D1142" s="30" t="str">
        <x:v>Afghanistan</x:v>
      </x:c>
      <x:c r="E1142" s="30" t="str">
        <x:v>Project unlock</x:v>
      </x:c>
      <x:c r="F1142" s="30" t="str">
        <x:v>Greater India</x:v>
      </x:c>
      <x:c r="G1142" s="30" t="str">
        <x:v>Yes</x:v>
      </x:c>
      <x:c r="H1142" s="30" t="str">
        <x:v>Template hostileClaim</x:v>
      </x:c>
      <x:c r="I1142" s="31" t="n">
        <x:f>IF(G1142="Yes",'Controls &amp; Summary'!$B$5,'Controls &amp; Summary'!$B$4)</x:f>
        <x:v>3</x:v>
      </x:c>
      <x:c r="J1142" s="31" t="n">
        <x:v>6.96</x:v>
      </x:c>
      <x:c r="K1142" s="31" t="n">
        <x:v>0.25</x:v>
      </x:c>
      <x:c r="L1142" s="31" t="n">
        <x:f>ABS(J1142-K1142)</x:f>
        <x:v>6.71</x:v>
      </x:c>
      <x:c r="M1142" s="31" t="n">
        <x:v>3.28</x:v>
      </x:c>
      <x:c r="N1142" s="31" t="n">
        <x:v>4.28</x:v>
      </x:c>
      <x:c r="O1142" s="31" t="n">
        <x:f>ABS(M1142-N1142)</x:f>
        <x:v>1.0000000000000004</x:v>
      </x:c>
      <x:c r="P1142" s="31" t="n">
        <x:v>5.8</x:v>
      </x:c>
      <x:c r="Q1142" s="31" t="n">
        <x:v>3.8</x:v>
      </x:c>
      <x:c r="R1142" s="31" t="n">
        <x:f>ABS(P1142-Q1142)</x:f>
        <x:v>2</x:v>
      </x:c>
      <x:c r="S1142" s="32" t="n">
        <x:v>10556.825401650092</x:v>
      </x:c>
      <x:c r="T1142" s="32" t="n">
        <x:v>1416.530784722087</x:v>
      </x:c>
      <x:c r="U1142" s="31" t="n">
        <x:f>MAX(S1142/T1142,T1142/S1142)</x:f>
        <x:v>7.452591581849218</x:v>
      </x:c>
      <x:c r="V1142" s="31" t="n">
        <x:f>L1142*'Controls &amp; Summary'!$B$9+O1142*'Controls &amp; Summary'!$B$10+R1142*'Controls &amp; Summary'!$B$11+U1142*'Controls &amp; Summary'!$B$12</x:f>
        <x:v>17.16259158184922</x:v>
      </x:c>
      <x:c r="W1142" s="31" t="n">
        <x:v>1.93</x:v>
      </x:c>
      <x:c r="X1142" s="31" t="n">
        <x:v>5</x:v>
      </x:c>
      <x:c r="Y1142" s="31" t="n">
        <x:f>((10-MIN(10,MAX(0,X1142)))/10)*'Controls &amp; Summary'!$B$15+((10-MIN(10,MAX(0,W1142)))/10)*'Controls &amp; Summary'!$B$16</x:f>
        <x:v>1.307</x:v>
      </x:c>
      <x:c r="Z1142" s="31" t="n">
        <x:f>V1142*Y1142</x:f>
        <x:v>22.43150719747693</x:v>
      </x:c>
      <x:c r="AA1142" s="30" t="str">
        <x:f>IF(Z1142&lt;=I1142,"Peaceful","Hostile")</x:f>
        <x:v>Hostile</x:v>
      </x:c>
      <x:c r="AB1142" s="30" t="str">
        <x:f>IF(Z1142&lt;='Controls &amp; Summary'!$B$6,"Eligible","Blocked")</x:f>
        <x:v>Blocked</x:v>
      </x:c>
      <x:c r="AC1142" s="30" t="str">
        <x:v>2026_IND</x:v>
      </x:c>
      <x:c r="AD1142" s="30" t="str">
        <x:v>2026_AFG</x:v>
      </x:c>
      <x:c r="AE1142" s="30" t="str">
        <x:v>2026_Afghanistan</x:v>
      </x:c>
      <x:c r="AF1142" s="30" t="str">
        <x:v>Explicit capitalClaim</x:v>
      </x:c>
      <x:c r="AG1142" s="30" t="str">
        <x:v>Claim2026_IND2026_Afghanistan</x:v>
      </x:c>
      <x:c r="AH1142" s="30" t="str">
        <x:v>Project_GreaterIndia</x:v>
      </x:c>
    </x:row>
    <x:row r="1143">
      <x:c r="A1143" s="30" t="str">
        <x:v>2026</x:v>
      </x:c>
      <x:c r="B1143" s="30" t="str">
        <x:v>Base game</x:v>
      </x:c>
      <x:c r="C1143" s="30" t="str">
        <x:v>India</x:v>
      </x:c>
      <x:c r="D1143" s="30" t="str">
        <x:v>Bangladesh</x:v>
      </x:c>
      <x:c r="E1143" s="30" t="str">
        <x:v>Project unlock</x:v>
      </x:c>
      <x:c r="F1143" s="30" t="str">
        <x:v>Greater India</x:v>
      </x:c>
      <x:c r="G1143" s="30" t="str">
        <x:v>No</x:v>
      </x:c>
      <x:c r="H1143" s="30" t="str">
        <x:v>Ordinary claim</x:v>
      </x:c>
      <x:c r="I1143" s="31" t="n">
        <x:f>IF(G1143="Yes",'Controls &amp; Summary'!$B$5,'Controls &amp; Summary'!$B$4)</x:f>
        <x:v>6</x:v>
      </x:c>
      <x:c r="J1143" s="31" t="n">
        <x:v>6.96</x:v>
      </x:c>
      <x:c r="K1143" s="31" t="n">
        <x:v>4.27</x:v>
      </x:c>
      <x:c r="L1143" s="31" t="n">
        <x:f>ABS(J1143-K1143)</x:f>
        <x:v>2.6900000000000004</x:v>
      </x:c>
      <x:c r="M1143" s="31" t="n">
        <x:v>3.28</x:v>
      </x:c>
      <x:c r="N1143" s="31" t="n">
        <x:v>3.34</x:v>
      </x:c>
      <x:c r="O1143" s="31" t="n">
        <x:f>ABS(M1143-N1143)</x:f>
        <x:v>0.06000000000000005</x:v>
      </x:c>
      <x:c r="P1143" s="31" t="n">
        <x:v>5.8</x:v>
      </x:c>
      <x:c r="Q1143" s="31" t="n">
        <x:v>5.58</x:v>
      </x:c>
      <x:c r="R1143" s="31" t="n">
        <x:f>ABS(P1143-Q1143)</x:f>
        <x:v>0.21999999999999975</x:v>
      </x:c>
      <x:c r="S1143" s="32" t="n">
        <x:v>10556.825401650092</x:v>
      </x:c>
      <x:c r="T1143" s="32" t="n">
        <x:v>8819.422123330745</x:v>
      </x:c>
      <x:c r="U1143" s="31" t="n">
        <x:f>MAX(S1143/T1143,T1143/S1143)</x:f>
        <x:v>1.196997405728347</x:v>
      </x:c>
      <x:c r="V1143" s="31" t="n">
        <x:f>L1143*'Controls &amp; Summary'!$B$9+O1143*'Controls &amp; Summary'!$B$10+R1143*'Controls &amp; Summary'!$B$11+U1143*'Controls &amp; Summary'!$B$12</x:f>
        <x:v>4.166997405728347</x:v>
      </x:c>
      <x:c r="W1143" s="31" t="n">
        <x:v>1.93</x:v>
      </x:c>
      <x:c r="X1143" s="31" t="n">
        <x:v>4.75</x:v>
      </x:c>
      <x:c r="Y1143" s="31" t="n">
        <x:f>((10-MIN(10,MAX(0,X1143)))/10)*'Controls &amp; Summary'!$B$15+((10-MIN(10,MAX(0,W1143)))/10)*'Controls &amp; Summary'!$B$16</x:f>
        <x:v>1.332</x:v>
      </x:c>
      <x:c r="Z1143" s="31" t="n">
        <x:f>V1143*Y1143</x:f>
        <x:v>5.550440544430159</x:v>
      </x:c>
      <x:c r="AA1143" s="30" t="str">
        <x:f>IF(Z1143&lt;=I1143,"Peaceful","Hostile")</x:f>
        <x:v>Peaceful</x:v>
      </x:c>
      <x:c r="AB1143" s="30" t="str">
        <x:f>IF(Z1143&lt;='Controls &amp; Summary'!$B$6,"Eligible","Blocked")</x:f>
        <x:v>Eligible</x:v>
      </x:c>
      <x:c r="AC1143" s="30" t="str">
        <x:v>2026_IND</x:v>
      </x:c>
      <x:c r="AD1143" s="30" t="str">
        <x:v>2026_BGD</x:v>
      </x:c>
      <x:c r="AE1143" s="30" t="str">
        <x:v>2026_Bangladesh</x:v>
      </x:c>
      <x:c r="AF1143" s="30" t="str">
        <x:v>Explicit capitalClaim</x:v>
      </x:c>
      <x:c r="AG1143" s="30" t="str">
        <x:v>Claim2026_IND2026_Bangladesh</x:v>
      </x:c>
      <x:c r="AH1143" s="30" t="str">
        <x:v>Project_GreaterIndia</x:v>
      </x:c>
    </x:row>
    <x:row r="1144">
      <x:c r="A1144" s="30" t="str">
        <x:v>2026</x:v>
      </x:c>
      <x:c r="B1144" s="30" t="str">
        <x:v>Base game</x:v>
      </x:c>
      <x:c r="C1144" s="30" t="str">
        <x:v>India</x:v>
      </x:c>
      <x:c r="D1144" s="30" t="str">
        <x:v>Bhutan</x:v>
      </x:c>
      <x:c r="E1144" s="30" t="str">
        <x:v>Project unlock</x:v>
      </x:c>
      <x:c r="F1144" s="30" t="str">
        <x:v>Greater India</x:v>
      </x:c>
      <x:c r="G1144" s="30" t="str">
        <x:v>No</x:v>
      </x:c>
      <x:c r="H1144" s="30" t="str">
        <x:v>Ordinary claim</x:v>
      </x:c>
      <x:c r="I1144" s="31" t="n">
        <x:f>IF(G1144="Yes",'Controls &amp; Summary'!$B$5,'Controls &amp; Summary'!$B$4)</x:f>
        <x:v>6</x:v>
      </x:c>
      <x:c r="J1144" s="31" t="n">
        <x:v>6.96</x:v>
      </x:c>
      <x:c r="K1144" s="31" t="n">
        <x:v>5.65</x:v>
      </x:c>
      <x:c r="L1144" s="31" t="n">
        <x:f>ABS(J1144-K1144)</x:f>
        <x:v>1.3099999999999996</x:v>
      </x:c>
      <x:c r="M1144" s="31" t="n">
        <x:v>3.28</x:v>
      </x:c>
      <x:c r="N1144" s="31" t="n">
        <x:v>2.85</x:v>
      </x:c>
      <x:c r="O1144" s="31" t="n">
        <x:f>ABS(M1144-N1144)</x:f>
        <x:v>0.4299999999999997</x:v>
      </x:c>
      <x:c r="P1144" s="31" t="n">
        <x:v>5.8</x:v>
      </x:c>
      <x:c r="Q1144" s="31" t="n">
        <x:v>5.5</x:v>
      </x:c>
      <x:c r="R1144" s="31" t="n">
        <x:f>ABS(P1144-Q1144)</x:f>
        <x:v>0.2999999999999998</x:v>
      </x:c>
      <x:c r="S1144" s="32" t="n">
        <x:v>10556.825401650092</x:v>
      </x:c>
      <x:c r="T1144" s="32" t="n">
        <x:v>15473.776324023265</x:v>
      </x:c>
      <x:c r="U1144" s="31" t="n">
        <x:f>MAX(S1144/T1144,T1144/S1144)</x:f>
        <x:v>1.4657603716364036</x:v>
      </x:c>
      <x:c r="V1144" s="31" t="n">
        <x:f>L1144*'Controls &amp; Summary'!$B$9+O1144*'Controls &amp; Summary'!$B$10+R1144*'Controls &amp; Summary'!$B$11+U1144*'Controls &amp; Summary'!$B$12</x:f>
        <x:v>3.505760371636403</x:v>
      </x:c>
      <x:c r="W1144" s="31" t="n">
        <x:v>1.93</x:v>
      </x:c>
      <x:c r="X1144" s="31" t="n">
        <x:v>0.25</x:v>
      </x:c>
      <x:c r="Y1144" s="31" t="n">
        <x:f>((10-MIN(10,MAX(0,X1144)))/10)*'Controls &amp; Summary'!$B$15+((10-MIN(10,MAX(0,W1144)))/10)*'Controls &amp; Summary'!$B$16</x:f>
        <x:v>1.782</x:v>
      </x:c>
      <x:c r="Z1144" s="31" t="n">
        <x:f>V1144*Y1144</x:f>
        <x:v>6.247264982256071</x:v>
      </x:c>
      <x:c r="AA1144" s="30" t="str">
        <x:f>IF(Z1144&lt;=I1144,"Peaceful","Hostile")</x:f>
        <x:v>Hostile</x:v>
      </x:c>
      <x:c r="AB1144" s="30" t="str">
        <x:f>IF(Z1144&lt;='Controls &amp; Summary'!$B$6,"Eligible","Blocked")</x:f>
        <x:v>Eligible</x:v>
      </x:c>
      <x:c r="AC1144" s="30" t="str">
        <x:v>2026_IND</x:v>
      </x:c>
      <x:c r="AD1144" s="30" t="str">
        <x:v>2026_BHU</x:v>
      </x:c>
      <x:c r="AE1144" s="30" t="str">
        <x:v>2026_Bhutan</x:v>
      </x:c>
      <x:c r="AF1144" s="30" t="str">
        <x:v>Explicit capitalClaim</x:v>
      </x:c>
      <x:c r="AG1144" s="30" t="str">
        <x:v>Claim2026_IND2026_Bhutan</x:v>
      </x:c>
      <x:c r="AH1144" s="30" t="str">
        <x:v>Project_GreaterIndia</x:v>
      </x:c>
    </x:row>
    <x:row r="1145">
      <x:c r="A1145" s="30" t="str">
        <x:v>2026</x:v>
      </x:c>
      <x:c r="B1145" s="30" t="str">
        <x:v>Base game</x:v>
      </x:c>
      <x:c r="C1145" s="30" t="str">
        <x:v>India</x:v>
      </x:c>
      <x:c r="D1145" s="30" t="str">
        <x:v>Brunei</x:v>
      </x:c>
      <x:c r="E1145" s="30" t="str">
        <x:v>Project unlock</x:v>
      </x:c>
      <x:c r="F1145" s="30" t="str">
        <x:v>United Indosphere</x:v>
      </x:c>
      <x:c r="G1145" s="30" t="str">
        <x:v>No</x:v>
      </x:c>
      <x:c r="H1145" s="30" t="str">
        <x:v>Ordinary claim</x:v>
      </x:c>
      <x:c r="I1145" s="31" t="n">
        <x:f>IF(G1145="Yes",'Controls &amp; Summary'!$B$5,'Controls &amp; Summary'!$B$4)</x:f>
        <x:v>6</x:v>
      </x:c>
      <x:c r="J1145" s="31" t="n">
        <x:v>6.96</x:v>
      </x:c>
      <x:c r="K1145" s="31" t="n">
        <x:v>2.7</x:v>
      </x:c>
      <x:c r="L1145" s="31" t="n">
        <x:f>ABS(J1145-K1145)</x:f>
        <x:v>4.26</x:v>
      </x:c>
      <x:c r="M1145" s="31" t="n">
        <x:v>3.28</x:v>
      </x:c>
      <x:c r="N1145" s="31" t="n">
        <x:v>3.38</x:v>
      </x:c>
      <x:c r="O1145" s="31" t="n">
        <x:f>ABS(M1145-N1145)</x:f>
        <x:v>0.10000000000000009</x:v>
      </x:c>
      <x:c r="P1145" s="31" t="n">
        <x:v>5.8</x:v>
      </x:c>
      <x:c r="Q1145" s="31" t="n">
        <x:v>6.76</x:v>
      </x:c>
      <x:c r="R1145" s="31" t="n">
        <x:f>ABS(P1145-Q1145)</x:f>
        <x:v>0.96</x:v>
      </x:c>
      <x:c r="S1145" s="32" t="n">
        <x:v>10556.825401650092</x:v>
      </x:c>
      <x:c r="T1145" s="32" t="n">
        <x:v>82109.60566228513</x:v>
      </x:c>
      <x:c r="U1145" s="31" t="n">
        <x:f>MAX(S1145/T1145,T1145/S1145)</x:f>
        <x:v>7.7778690599023195</x:v>
      </x:c>
      <x:c r="V1145" s="31" t="n">
        <x:f>L1145*'Controls &amp; Summary'!$B$9+O1145*'Controls &amp; Summary'!$B$10+R1145*'Controls &amp; Summary'!$B$11+U1145*'Controls &amp; Summary'!$B$12</x:f>
        <x:v>13.097869059902319</x:v>
      </x:c>
      <x:c r="W1145" s="31" t="n">
        <x:v>1.93</x:v>
      </x:c>
      <x:c r="X1145" s="31" t="n">
        <x:v>0</x:v>
      </x:c>
      <x:c r="Y1145" s="31" t="n">
        <x:f>((10-MIN(10,MAX(0,X1145)))/10)*'Controls &amp; Summary'!$B$15+((10-MIN(10,MAX(0,W1145)))/10)*'Controls &amp; Summary'!$B$16</x:f>
        <x:v>1.807</x:v>
      </x:c>
      <x:c r="Z1145" s="31" t="n">
        <x:f>V1145*Y1145</x:f>
        <x:v>23.66784939124349</x:v>
      </x:c>
      <x:c r="AA1145" s="30" t="str">
        <x:f>IF(Z1145&lt;=I1145,"Peaceful","Hostile")</x:f>
        <x:v>Hostile</x:v>
      </x:c>
      <x:c r="AB1145" s="30" t="str">
        <x:f>IF(Z1145&lt;='Controls &amp; Summary'!$B$6,"Eligible","Blocked")</x:f>
        <x:v>Blocked</x:v>
      </x:c>
      <x:c r="AC1145" s="30" t="str">
        <x:v>2026_IND</x:v>
      </x:c>
      <x:c r="AD1145" s="30" t="str">
        <x:v>2026_BRU</x:v>
      </x:c>
      <x:c r="AE1145" s="30" t="str">
        <x:v>2026_Brunei</x:v>
      </x:c>
      <x:c r="AF1145" s="30" t="str">
        <x:v>Explicit capitalClaim</x:v>
      </x:c>
      <x:c r="AG1145" s="30" t="str">
        <x:v>Claim2026_IND2026_Brunei</x:v>
      </x:c>
      <x:c r="AH1145" s="30" t="str">
        <x:v>Project_UnitedIndosphere</x:v>
      </x:c>
    </x:row>
    <x:row r="1146">
      <x:c r="A1146" s="30" t="str">
        <x:v>2026</x:v>
      </x:c>
      <x:c r="B1146" s="30" t="str">
        <x:v>Base game</x:v>
      </x:c>
      <x:c r="C1146" s="30" t="str">
        <x:v>India</x:v>
      </x:c>
      <x:c r="D1146" s="30" t="str">
        <x:v>Cambodia</x:v>
      </x:c>
      <x:c r="E1146" s="30" t="str">
        <x:v>Project unlock</x:v>
      </x:c>
      <x:c r="F1146" s="30" t="str">
        <x:v>United Indosphere</x:v>
      </x:c>
      <x:c r="G1146" s="30" t="str">
        <x:v>No</x:v>
      </x:c>
      <x:c r="H1146" s="30" t="str">
        <x:v>Ordinary claim</x:v>
      </x:c>
      <x:c r="I1146" s="31" t="n">
        <x:f>IF(G1146="Yes",'Controls &amp; Summary'!$B$5,'Controls &amp; Summary'!$B$4)</x:f>
        <x:v>6</x:v>
      </x:c>
      <x:c r="J1146" s="31" t="n">
        <x:v>6.96</x:v>
      </x:c>
      <x:c r="K1146" s="31" t="n">
        <x:v>2.7</x:v>
      </x:c>
      <x:c r="L1146" s="31" t="n">
        <x:f>ABS(J1146-K1146)</x:f>
        <x:v>4.26</x:v>
      </x:c>
      <x:c r="M1146" s="31" t="n">
        <x:v>3.28</x:v>
      </x:c>
      <x:c r="N1146" s="31" t="n">
        <x:v>3.01</x:v>
      </x:c>
      <x:c r="O1146" s="31" t="n">
        <x:f>ABS(M1146-N1146)</x:f>
        <x:v>0.27</x:v>
      </x:c>
      <x:c r="P1146" s="31" t="n">
        <x:v>5.8</x:v>
      </x:c>
      <x:c r="Q1146" s="31" t="n">
        <x:v>4.77</x:v>
      </x:c>
      <x:c r="R1146" s="31" t="n">
        <x:f>ABS(P1146-Q1146)</x:f>
        <x:v>1.0300000000000002</x:v>
      </x:c>
      <x:c r="S1146" s="32" t="n">
        <x:v>10556.825401650092</x:v>
      </x:c>
      <x:c r="T1146" s="32" t="n">
        <x:v>7314.816394671186</x:v>
      </x:c>
      <x:c r="U1146" s="31" t="n">
        <x:f>MAX(S1146/T1146,T1146/S1146)</x:f>
        <x:v>1.4432112621911737</x:v>
      </x:c>
      <x:c r="V1146" s="31" t="n">
        <x:f>L1146*'Controls &amp; Summary'!$B$9+O1146*'Controls &amp; Summary'!$B$10+R1146*'Controls &amp; Summary'!$B$11+U1146*'Controls &amp; Summary'!$B$12</x:f>
        <x:v>7.003211262191173</x:v>
      </x:c>
      <x:c r="W1146" s="31" t="n">
        <x:v>1.93</x:v>
      </x:c>
      <x:c r="X1146" s="31" t="n">
        <x:v>0.25</x:v>
      </x:c>
      <x:c r="Y1146" s="31" t="n">
        <x:f>((10-MIN(10,MAX(0,X1146)))/10)*'Controls &amp; Summary'!$B$15+((10-MIN(10,MAX(0,W1146)))/10)*'Controls &amp; Summary'!$B$16</x:f>
        <x:v>1.782</x:v>
      </x:c>
      <x:c r="Z1146" s="31" t="n">
        <x:f>V1146*Y1146</x:f>
        <x:v>12.47972246922467</x:v>
      </x:c>
      <x:c r="AA1146" s="30" t="str">
        <x:f>IF(Z1146&lt;=I1146,"Peaceful","Hostile")</x:f>
        <x:v>Hostile</x:v>
      </x:c>
      <x:c r="AB1146" s="30" t="str">
        <x:f>IF(Z1146&lt;='Controls &amp; Summary'!$B$6,"Eligible","Blocked")</x:f>
        <x:v>Blocked</x:v>
      </x:c>
      <x:c r="AC1146" s="30" t="str">
        <x:v>2026_IND</x:v>
      </x:c>
      <x:c r="AD1146" s="30" t="str">
        <x:v>2026_KHM</x:v>
      </x:c>
      <x:c r="AE1146" s="30" t="str">
        <x:v>2026_Cambodia</x:v>
      </x:c>
      <x:c r="AF1146" s="30" t="str">
        <x:v>Explicit capitalClaim</x:v>
      </x:c>
      <x:c r="AG1146" s="30" t="str">
        <x:v>Claim2026_IND2026_Cambodia</x:v>
      </x:c>
      <x:c r="AH1146" s="30" t="str">
        <x:v>Project_UnitedIndosphere</x:v>
      </x:c>
    </x:row>
    <x:row r="1147">
      <x:c r="A1147" s="30" t="str">
        <x:v>2026</x:v>
      </x:c>
      <x:c r="B1147" s="30" t="str">
        <x:v>Base game</x:v>
      </x:c>
      <x:c r="C1147" s="30" t="str">
        <x:v>India</x:v>
      </x:c>
      <x:c r="D1147" s="30" t="str">
        <x:v>Guyana</x:v>
      </x:c>
      <x:c r="E1147" s="30" t="str">
        <x:v>Project unlock</x:v>
      </x:c>
      <x:c r="F1147" s="30" t="str">
        <x:v>United Indosphere</x:v>
      </x:c>
      <x:c r="G1147" s="30" t="str">
        <x:v>No</x:v>
      </x:c>
      <x:c r="H1147" s="30" t="str">
        <x:v>Ordinary claim</x:v>
      </x:c>
      <x:c r="I1147" s="31" t="n">
        <x:f>IF(G1147="Yes",'Controls &amp; Summary'!$B$5,'Controls &amp; Summary'!$B$4)</x:f>
        <x:v>6</x:v>
      </x:c>
      <x:c r="J1147" s="31" t="n">
        <x:v>6.96</x:v>
      </x:c>
      <x:c r="K1147" s="31" t="n">
        <x:v>6.09</x:v>
      </x:c>
      <x:c r="L1147" s="31" t="n">
        <x:f>ABS(J1147-K1147)</x:f>
        <x:v>0.8700000000000001</x:v>
      </x:c>
      <x:c r="M1147" s="31" t="n">
        <x:v>3.28</x:v>
      </x:c>
      <x:c r="N1147" s="31" t="n">
        <x:v>4.67</x:v>
      </x:c>
      <x:c r="O1147" s="31" t="n">
        <x:f>ABS(M1147-N1147)</x:f>
        <x:v>1.3900000000000001</x:v>
      </x:c>
      <x:c r="P1147" s="31" t="n">
        <x:v>5.8</x:v>
      </x:c>
      <x:c r="Q1147" s="31" t="n">
        <x:v>6.38</x:v>
      </x:c>
      <x:c r="R1147" s="31" t="n">
        <x:f>ABS(P1147-Q1147)</x:f>
        <x:v>0.5800000000000001</x:v>
      </x:c>
      <x:c r="S1147" s="32" t="n">
        <x:v>10556.825401650092</x:v>
      </x:c>
      <x:c r="T1147" s="32" t="n">
        <x:v>78795.94239436787</x:v>
      </x:c>
      <x:c r="U1147" s="31" t="n">
        <x:f>MAX(S1147/T1147,T1147/S1147)</x:f>
        <x:v>7.463980827233499</x:v>
      </x:c>
      <x:c r="V1147" s="31" t="n">
        <x:f>L1147*'Controls &amp; Summary'!$B$9+O1147*'Controls &amp; Summary'!$B$10+R1147*'Controls &amp; Summary'!$B$11+U1147*'Controls &amp; Summary'!$B$12</x:f>
        <x:v>10.303980827233499</x:v>
      </x:c>
      <x:c r="W1147" s="31" t="n">
        <x:v>1.93</x:v>
      </x:c>
      <x:c r="X1147" s="31" t="n">
        <x:v>0.5</x:v>
      </x:c>
      <x:c r="Y1147" s="31" t="n">
        <x:f>((10-MIN(10,MAX(0,X1147)))/10)*'Controls &amp; Summary'!$B$15+((10-MIN(10,MAX(0,W1147)))/10)*'Controls &amp; Summary'!$B$16</x:f>
        <x:v>1.7570000000000001</x:v>
      </x:c>
      <x:c r="Z1147" s="31" t="n">
        <x:f>V1147*Y1147</x:f>
        <x:v>18.10409431344926</x:v>
      </x:c>
      <x:c r="AA1147" s="30" t="str">
        <x:f>IF(Z1147&lt;=I1147,"Peaceful","Hostile")</x:f>
        <x:v>Hostile</x:v>
      </x:c>
      <x:c r="AB1147" s="30" t="str">
        <x:f>IF(Z1147&lt;='Controls &amp; Summary'!$B$6,"Eligible","Blocked")</x:f>
        <x:v>Blocked</x:v>
      </x:c>
      <x:c r="AC1147" s="30" t="str">
        <x:v>2026_IND</x:v>
      </x:c>
      <x:c r="AD1147" s="30" t="str">
        <x:v>2026_GUY</x:v>
      </x:c>
      <x:c r="AE1147" s="30" t="str">
        <x:v>2026_Guyana</x:v>
      </x:c>
      <x:c r="AF1147" s="30" t="str">
        <x:v>Explicit capitalClaim</x:v>
      </x:c>
      <x:c r="AG1147" s="30" t="str">
        <x:v>Claim2026_IND2026_Guyana</x:v>
      </x:c>
      <x:c r="AH1147" s="30" t="str">
        <x:v>Project_UnitedIndosphere</x:v>
      </x:c>
    </x:row>
    <x:row r="1148">
      <x:c r="A1148" s="30" t="str">
        <x:v>2026</x:v>
      </x:c>
      <x:c r="B1148" s="30" t="str">
        <x:v>Base game</x:v>
      </x:c>
      <x:c r="C1148" s="30" t="str">
        <x:v>India</x:v>
      </x:c>
      <x:c r="D1148" s="30" t="str">
        <x:v>Indonesia</x:v>
      </x:c>
      <x:c r="E1148" s="30" t="str">
        <x:v>Project unlock</x:v>
      </x:c>
      <x:c r="F1148" s="30" t="str">
        <x:v>United Indosphere</x:v>
      </x:c>
      <x:c r="G1148" s="30" t="str">
        <x:v>No</x:v>
      </x:c>
      <x:c r="H1148" s="30" t="str">
        <x:v>Ordinary claim</x:v>
      </x:c>
      <x:c r="I1148" s="31" t="n">
        <x:f>IF(G1148="Yes",'Controls &amp; Summary'!$B$5,'Controls &amp; Summary'!$B$4)</x:f>
        <x:v>6</x:v>
      </x:c>
      <x:c r="J1148" s="31" t="n">
        <x:v>6.96</x:v>
      </x:c>
      <x:c r="K1148" s="31" t="n">
        <x:v>6.37</x:v>
      </x:c>
      <x:c r="L1148" s="31" t="n">
        <x:f>ABS(J1148-K1148)</x:f>
        <x:v>0.5899999999999999</x:v>
      </x:c>
      <x:c r="M1148" s="31" t="n">
        <x:v>3.28</x:v>
      </x:c>
      <x:c r="N1148" s="31" t="n">
        <x:v>3.61</x:v>
      </x:c>
      <x:c r="O1148" s="31" t="n">
        <x:f>ABS(M1148-N1148)</x:f>
        <x:v>0.33000000000000007</x:v>
      </x:c>
      <x:c r="P1148" s="31" t="n">
        <x:v>5.8</x:v>
      </x:c>
      <x:c r="Q1148" s="31" t="n">
        <x:v>6.46</x:v>
      </x:c>
      <x:c r="R1148" s="31" t="n">
        <x:f>ABS(P1148-Q1148)</x:f>
        <x:v>0.6600000000000001</x:v>
      </x:c>
      <x:c r="S1148" s="32" t="n">
        <x:v>10556.825401650092</x:v>
      </x:c>
      <x:c r="T1148" s="32" t="n">
        <x:v>15341.497054185696</x:v>
      </x:c>
      <x:c r="U1148" s="31" t="n">
        <x:f>MAX(S1148/T1148,T1148/S1148)</x:f>
        <x:v>1.4532301587357628</x:v>
      </x:c>
      <x:c r="V1148" s="31" t="n">
        <x:f>L1148*'Controls &amp; Summary'!$B$9+O1148*'Controls &amp; Summary'!$B$10+R1148*'Controls &amp; Summary'!$B$11+U1148*'Controls &amp; Summary'!$B$12</x:f>
        <x:v>3.033230158735763</x:v>
      </x:c>
      <x:c r="W1148" s="31" t="n">
        <x:v>1.93</x:v>
      </x:c>
      <x:c r="X1148" s="31" t="n">
        <x:v>4</x:v>
      </x:c>
      <x:c r="Y1148" s="31" t="n">
        <x:f>((10-MIN(10,MAX(0,X1148)))/10)*'Controls &amp; Summary'!$B$15+((10-MIN(10,MAX(0,W1148)))/10)*'Controls &amp; Summary'!$B$16</x:f>
        <x:v>1.407</x:v>
      </x:c>
      <x:c r="Z1148" s="31" t="n">
        <x:f>V1148*Y1148</x:f>
        <x:v>4.267754833341218</x:v>
      </x:c>
      <x:c r="AA1148" s="30" t="str">
        <x:f>IF(Z1148&lt;=I1148,"Peaceful","Hostile")</x:f>
        <x:v>Peaceful</x:v>
      </x:c>
      <x:c r="AB1148" s="30" t="str">
        <x:f>IF(Z1148&lt;='Controls &amp; Summary'!$B$6,"Eligible","Blocked")</x:f>
        <x:v>Eligible</x:v>
      </x:c>
      <x:c r="AC1148" s="30" t="str">
        <x:v>2026_IND</x:v>
      </x:c>
      <x:c r="AD1148" s="30" t="str">
        <x:v>2026_IDN</x:v>
      </x:c>
      <x:c r="AE1148" s="30" t="str">
        <x:v>2026_Java</x:v>
      </x:c>
      <x:c r="AF1148" s="30" t="str">
        <x:v>Explicit capitalClaim</x:v>
      </x:c>
      <x:c r="AG1148" s="30" t="str">
        <x:v>Claim2026_IND2026_Java</x:v>
      </x:c>
      <x:c r="AH1148" s="30" t="str">
        <x:v>Project_UnitedIndosphere</x:v>
      </x:c>
    </x:row>
    <x:row r="1149">
      <x:c r="A1149" s="30" t="str">
        <x:v>2026</x:v>
      </x:c>
      <x:c r="B1149" s="30" t="str">
        <x:v>Base game</x:v>
      </x:c>
      <x:c r="C1149" s="30" t="str">
        <x:v>India</x:v>
      </x:c>
      <x:c r="D1149" s="30" t="str">
        <x:v>Laos</x:v>
      </x:c>
      <x:c r="E1149" s="30" t="str">
        <x:v>Project unlock</x:v>
      </x:c>
      <x:c r="F1149" s="30" t="str">
        <x:v>United Indosphere</x:v>
      </x:c>
      <x:c r="G1149" s="30" t="str">
        <x:v>No</x:v>
      </x:c>
      <x:c r="H1149" s="30" t="str">
        <x:v>Ordinary claim</x:v>
      </x:c>
      <x:c r="I1149" s="31" t="n">
        <x:f>IF(G1149="Yes",'Controls &amp; Summary'!$B$5,'Controls &amp; Summary'!$B$4)</x:f>
        <x:v>6</x:v>
      </x:c>
      <x:c r="J1149" s="31" t="n">
        <x:v>6.96</x:v>
      </x:c>
      <x:c r="K1149" s="31" t="n">
        <x:v>1.71</x:v>
      </x:c>
      <x:c r="L1149" s="31" t="n">
        <x:f>ABS(J1149-K1149)</x:f>
        <x:v>5.25</x:v>
      </x:c>
      <x:c r="M1149" s="31" t="n">
        <x:v>3.28</x:v>
      </x:c>
      <x:c r="N1149" s="31" t="n">
        <x:v>3.88</x:v>
      </x:c>
      <x:c r="O1149" s="31" t="n">
        <x:f>ABS(M1149-N1149)</x:f>
        <x:v>0.6000000000000001</x:v>
      </x:c>
      <x:c r="P1149" s="31" t="n">
        <x:v>5.8</x:v>
      </x:c>
      <x:c r="Q1149" s="31" t="n">
        <x:v>4.64</x:v>
      </x:c>
      <x:c r="R1149" s="31" t="n">
        <x:f>ABS(P1149-Q1149)</x:f>
        <x:v>1.1600000000000001</x:v>
      </x:c>
      <x:c r="S1149" s="32" t="n">
        <x:v>10556.825401650092</x:v>
      </x:c>
      <x:c r="T1149" s="32" t="n">
        <x:v>8701.650786297547</x:v>
      </x:c>
      <x:c r="U1149" s="31" t="n">
        <x:f>MAX(S1149/T1149,T1149/S1149)</x:f>
        <x:v>1.2131980081611504</x:v>
      </x:c>
      <x:c r="V1149" s="31" t="n">
        <x:f>L1149*'Controls &amp; Summary'!$B$9+O1149*'Controls &amp; Summary'!$B$10+R1149*'Controls &amp; Summary'!$B$11+U1149*'Controls &amp; Summary'!$B$12</x:f>
        <x:v>8.22319800816115</x:v>
      </x:c>
      <x:c r="W1149" s="31" t="n">
        <x:v>1.93</x:v>
      </x:c>
      <x:c r="X1149" s="31" t="n">
        <x:v>0</x:v>
      </x:c>
      <x:c r="Y1149" s="31" t="n">
        <x:f>((10-MIN(10,MAX(0,X1149)))/10)*'Controls &amp; Summary'!$B$15+((10-MIN(10,MAX(0,W1149)))/10)*'Controls &amp; Summary'!$B$16</x:f>
        <x:v>1.807</x:v>
      </x:c>
      <x:c r="Z1149" s="31" t="n">
        <x:f>V1149*Y1149</x:f>
        <x:v>14.859318800747198</x:v>
      </x:c>
      <x:c r="AA1149" s="30" t="str">
        <x:f>IF(Z1149&lt;=I1149,"Peaceful","Hostile")</x:f>
        <x:v>Hostile</x:v>
      </x:c>
      <x:c r="AB1149" s="30" t="str">
        <x:f>IF(Z1149&lt;='Controls &amp; Summary'!$B$6,"Eligible","Blocked")</x:f>
        <x:v>Blocked</x:v>
      </x:c>
      <x:c r="AC1149" s="30" t="str">
        <x:v>2026_IND</x:v>
      </x:c>
      <x:c r="AD1149" s="30" t="str">
        <x:v>2026_LAO</x:v>
      </x:c>
      <x:c r="AE1149" s="30" t="str">
        <x:v>2026_Laos</x:v>
      </x:c>
      <x:c r="AF1149" s="30" t="str">
        <x:v>Explicit capitalClaim</x:v>
      </x:c>
      <x:c r="AG1149" s="30" t="str">
        <x:v>Claim2026_IND2026_Laos</x:v>
      </x:c>
      <x:c r="AH1149" s="30" t="str">
        <x:v>Project_UnitedIndosphere</x:v>
      </x:c>
    </x:row>
    <x:row r="1150">
      <x:c r="A1150" s="30" t="str">
        <x:v>2026</x:v>
      </x:c>
      <x:c r="B1150" s="30" t="str">
        <x:v>Base game</x:v>
      </x:c>
      <x:c r="C1150" s="30" t="str">
        <x:v>India</x:v>
      </x:c>
      <x:c r="D1150" s="30" t="str">
        <x:v>Malaysia</x:v>
      </x:c>
      <x:c r="E1150" s="30" t="str">
        <x:v>Project unlock</x:v>
      </x:c>
      <x:c r="F1150" s="30" t="str">
        <x:v>United Indosphere</x:v>
      </x:c>
      <x:c r="G1150" s="30" t="str">
        <x:v>No</x:v>
      </x:c>
      <x:c r="H1150" s="30" t="str">
        <x:v>Ordinary claim</x:v>
      </x:c>
      <x:c r="I1150" s="31" t="n">
        <x:f>IF(G1150="Yes",'Controls &amp; Summary'!$B$5,'Controls &amp; Summary'!$B$4)</x:f>
        <x:v>6</x:v>
      </x:c>
      <x:c r="J1150" s="31" t="n">
        <x:v>6.96</x:v>
      </x:c>
      <x:c r="K1150" s="31" t="n">
        <x:v>7.11</x:v>
      </x:c>
      <x:c r="L1150" s="31" t="n">
        <x:f>ABS(J1150-K1150)</x:f>
        <x:v>0.15000000000000036</x:v>
      </x:c>
      <x:c r="M1150" s="31" t="n">
        <x:v>3.28</x:v>
      </x:c>
      <x:c r="N1150" s="31" t="n">
        <x:v>4.07</x:v>
      </x:c>
      <x:c r="O1150" s="31" t="n">
        <x:f>ABS(M1150-N1150)</x:f>
        <x:v>0.7900000000000005</x:v>
      </x:c>
      <x:c r="P1150" s="31" t="n">
        <x:v>5.8</x:v>
      </x:c>
      <x:c r="Q1150" s="31" t="n">
        <x:v>7.08</x:v>
      </x:c>
      <x:c r="R1150" s="31" t="n">
        <x:f>ABS(P1150-Q1150)</x:f>
        <x:v>1.2800000000000002</x:v>
      </x:c>
      <x:c r="S1150" s="32" t="n">
        <x:v>10556.825401650092</x:v>
      </x:c>
      <x:c r="T1150" s="32" t="n">
        <x:v>35749.84868812425</x:v>
      </x:c>
      <x:c r="U1150" s="31" t="n">
        <x:f>MAX(S1150/T1150,T1150/S1150)</x:f>
        <x:v>3.38642037998813</x:v>
      </x:c>
      <x:c r="V1150" s="31" t="n">
        <x:f>L1150*'Controls &amp; Summary'!$B$9+O1150*'Controls &amp; Summary'!$B$10+R1150*'Controls &amp; Summary'!$B$11+U1150*'Controls &amp; Summary'!$B$12</x:f>
        <x:v>5.606420379988132</x:v>
      </x:c>
      <x:c r="W1150" s="31" t="n">
        <x:v>1.93</x:v>
      </x:c>
      <x:c r="X1150" s="31" t="n">
        <x:v>1</x:v>
      </x:c>
      <x:c r="Y1150" s="31" t="n">
        <x:f>((10-MIN(10,MAX(0,X1150)))/10)*'Controls &amp; Summary'!$B$15+((10-MIN(10,MAX(0,W1150)))/10)*'Controls &amp; Summary'!$B$16</x:f>
        <x:v>1.707</x:v>
      </x:c>
      <x:c r="Z1150" s="31" t="n">
        <x:f>V1150*Y1150</x:f>
        <x:v>9.570159588639742</x:v>
      </x:c>
      <x:c r="AA1150" s="30" t="str">
        <x:f>IF(Z1150&lt;=I1150,"Peaceful","Hostile")</x:f>
        <x:v>Hostile</x:v>
      </x:c>
      <x:c r="AB1150" s="30" t="str">
        <x:f>IF(Z1150&lt;='Controls &amp; Summary'!$B$6,"Eligible","Blocked")</x:f>
        <x:v>Eligible</x:v>
      </x:c>
      <x:c r="AC1150" s="30" t="str">
        <x:v>2026_IND</x:v>
      </x:c>
      <x:c r="AD1150" s="30" t="str">
        <x:v>2026_MYS</x:v>
      </x:c>
      <x:c r="AE1150" s="30" t="str">
        <x:v>2026_MalayPeninsula</x:v>
      </x:c>
      <x:c r="AF1150" s="30" t="str">
        <x:v>Explicit capitalClaim</x:v>
      </x:c>
      <x:c r="AG1150" s="30" t="str">
        <x:v>Claim2026_IND2026_MalayPeninsula</x:v>
      </x:c>
      <x:c r="AH1150" s="30" t="str">
        <x:v>Project_UnitedIndosphere</x:v>
      </x:c>
    </x:row>
    <x:row r="1151">
      <x:c r="A1151" s="30" t="str">
        <x:v>2026</x:v>
      </x:c>
      <x:c r="B1151" s="30" t="str">
        <x:v>Base game</x:v>
      </x:c>
      <x:c r="C1151" s="30" t="str">
        <x:v>India</x:v>
      </x:c>
      <x:c r="D1151" s="30" t="str">
        <x:v>Maldives</x:v>
      </x:c>
      <x:c r="E1151" s="30" t="str">
        <x:v>Project unlock</x:v>
      </x:c>
      <x:c r="F1151" s="30" t="str">
        <x:v>Greater India</x:v>
      </x:c>
      <x:c r="G1151" s="30" t="str">
        <x:v>No</x:v>
      </x:c>
      <x:c r="H1151" s="30" t="str">
        <x:v>Ordinary claim</x:v>
      </x:c>
      <x:c r="I1151" s="31" t="n">
        <x:f>IF(G1151="Yes",'Controls &amp; Summary'!$B$5,'Controls &amp; Summary'!$B$4)</x:f>
        <x:v>6</x:v>
      </x:c>
      <x:c r="J1151" s="31" t="n">
        <x:v>6.96</x:v>
      </x:c>
      <x:c r="K1151" s="31" t="n">
        <x:v>4.3</x:v>
      </x:c>
      <x:c r="L1151" s="31" t="n">
        <x:f>ABS(J1151-K1151)</x:f>
        <x:v>2.66</x:v>
      </x:c>
      <x:c r="M1151" s="31" t="n">
        <x:v>3.28</x:v>
      </x:c>
      <x:c r="N1151" s="31" t="n">
        <x:v>2.93</x:v>
      </x:c>
      <x:c r="O1151" s="31" t="n">
        <x:f>ABS(M1151-N1151)</x:f>
        <x:v>0.34999999999999964</x:v>
      </x:c>
      <x:c r="P1151" s="31" t="n">
        <x:v>5.8</x:v>
      </x:c>
      <x:c r="Q1151" s="31" t="n">
        <x:v>5.91</x:v>
      </x:c>
      <x:c r="R1151" s="31" t="n">
        <x:f>ABS(P1151-Q1151)</x:f>
        <x:v>0.11000000000000032</x:v>
      </x:c>
      <x:c r="S1151" s="32" t="n">
        <x:v>10556.825401650092</x:v>
      </x:c>
      <x:c r="T1151" s="32" t="n">
        <x:v>24884.2464116858</x:v>
      </x:c>
      <x:c r="U1151" s="31" t="n">
        <x:f>MAX(S1151/T1151,T1151/S1151)</x:f>
        <x:v>2.3571713526488987</x:v>
      </x:c>
      <x:c r="V1151" s="31" t="n">
        <x:f>L1151*'Controls &amp; Summary'!$B$9+O1151*'Controls &amp; Summary'!$B$10+R1151*'Controls &amp; Summary'!$B$11+U1151*'Controls &amp; Summary'!$B$12</x:f>
        <x:v>5.477171352648899</x:v>
      </x:c>
      <x:c r="W1151" s="31" t="n">
        <x:v>1.93</x:v>
      </x:c>
      <x:c r="X1151" s="31" t="n">
        <x:v>1</x:v>
      </x:c>
      <x:c r="Y1151" s="31" t="n">
        <x:f>((10-MIN(10,MAX(0,X1151)))/10)*'Controls &amp; Summary'!$B$15+((10-MIN(10,MAX(0,W1151)))/10)*'Controls &amp; Summary'!$B$16</x:f>
        <x:v>1.707</x:v>
      </x:c>
      <x:c r="Z1151" s="31" t="n">
        <x:f>V1151*Y1151</x:f>
        <x:v>9.34953149897167</x:v>
      </x:c>
      <x:c r="AA1151" s="30" t="str">
        <x:f>IF(Z1151&lt;=I1151,"Peaceful","Hostile")</x:f>
        <x:v>Hostile</x:v>
      </x:c>
      <x:c r="AB1151" s="30" t="str">
        <x:f>IF(Z1151&lt;='Controls &amp; Summary'!$B$6,"Eligible","Blocked")</x:f>
        <x:v>Eligible</x:v>
      </x:c>
      <x:c r="AC1151" s="30" t="str">
        <x:v>2026_IND</x:v>
      </x:c>
      <x:c r="AD1151" s="30" t="str">
        <x:v>2026_MLD</x:v>
      </x:c>
      <x:c r="AE1151" s="30" t="str">
        <x:v>2026_Maldives</x:v>
      </x:c>
      <x:c r="AF1151" s="30" t="str">
        <x:v>Explicit capitalClaim</x:v>
      </x:c>
      <x:c r="AG1151" s="30" t="str">
        <x:v>Claim2026_IND2026_Maldives</x:v>
      </x:c>
      <x:c r="AH1151" s="30" t="str">
        <x:v>Project_GreaterIndia</x:v>
      </x:c>
    </x:row>
    <x:row r="1152">
      <x:c r="A1152" s="30" t="str">
        <x:v>2026</x:v>
      </x:c>
      <x:c r="B1152" s="30" t="str">
        <x:v>Base game</x:v>
      </x:c>
      <x:c r="C1152" s="30" t="str">
        <x:v>India</x:v>
      </x:c>
      <x:c r="D1152" s="30" t="str">
        <x:v>Mauritius</x:v>
      </x:c>
      <x:c r="E1152" s="30" t="str">
        <x:v>Project unlock</x:v>
      </x:c>
      <x:c r="F1152" s="30" t="str">
        <x:v>United Indosphere</x:v>
      </x:c>
      <x:c r="G1152" s="30" t="str">
        <x:v>No</x:v>
      </x:c>
      <x:c r="H1152" s="30" t="str">
        <x:v>Ordinary claim</x:v>
      </x:c>
      <x:c r="I1152" s="31" t="n">
        <x:f>IF(G1152="Yes",'Controls &amp; Summary'!$B$5,'Controls &amp; Summary'!$B$4)</x:f>
        <x:v>6</x:v>
      </x:c>
      <x:c r="J1152" s="31" t="n">
        <x:v>6.96</x:v>
      </x:c>
      <x:c r="K1152" s="31" t="n">
        <x:v>8.23</x:v>
      </x:c>
      <x:c r="L1152" s="31" t="n">
        <x:f>ABS(J1152-K1152)</x:f>
        <x:v>1.2700000000000005</x:v>
      </x:c>
      <x:c r="M1152" s="31" t="n">
        <x:v>3.28</x:v>
      </x:c>
      <x:c r="N1152" s="31" t="n">
        <x:v>3.68</x:v>
      </x:c>
      <x:c r="O1152" s="31" t="n">
        <x:f>ABS(M1152-N1152)</x:f>
        <x:v>0.40000000000000036</x:v>
      </x:c>
      <x:c r="P1152" s="31" t="n">
        <x:v>5.8</x:v>
      </x:c>
      <x:c r="Q1152" s="31" t="n">
        <x:v>7.16</x:v>
      </x:c>
      <x:c r="R1152" s="31" t="n">
        <x:f>ABS(P1152-Q1152)</x:f>
        <x:v>1.3600000000000003</x:v>
      </x:c>
      <x:c r="S1152" s="32" t="n">
        <x:v>10556.825401650092</x:v>
      </x:c>
      <x:c r="T1152" s="32" t="n">
        <x:v>28765.267074500083</x:v>
      </x:c>
      <x:c r="U1152" s="31" t="n">
        <x:f>MAX(S1152/T1152,T1152/S1152)</x:f>
        <x:v>2.724802767885496</x:v>
      </x:c>
      <x:c r="V1152" s="31" t="n">
        <x:f>L1152*'Controls &amp; Summary'!$B$9+O1152*'Controls &amp; Summary'!$B$10+R1152*'Controls &amp; Summary'!$B$11+U1152*'Controls &amp; Summary'!$B$12</x:f>
        <x:v>5.754802767885497</x:v>
      </x:c>
      <x:c r="W1152" s="31" t="n">
        <x:v>1.93</x:v>
      </x:c>
      <x:c r="X1152" s="31" t="n">
        <x:v>1</x:v>
      </x:c>
      <x:c r="Y1152" s="31" t="n">
        <x:f>((10-MIN(10,MAX(0,X1152)))/10)*'Controls &amp; Summary'!$B$15+((10-MIN(10,MAX(0,W1152)))/10)*'Controls &amp; Summary'!$B$16</x:f>
        <x:v>1.707</x:v>
      </x:c>
      <x:c r="Z1152" s="31" t="n">
        <x:f>V1152*Y1152</x:f>
        <x:v>9.823448324780545</x:v>
      </x:c>
      <x:c r="AA1152" s="30" t="str">
        <x:f>IF(Z1152&lt;=I1152,"Peaceful","Hostile")</x:f>
        <x:v>Hostile</x:v>
      </x:c>
      <x:c r="AB1152" s="30" t="str">
        <x:f>IF(Z1152&lt;='Controls &amp; Summary'!$B$6,"Eligible","Blocked")</x:f>
        <x:v>Eligible</x:v>
      </x:c>
      <x:c r="AC1152" s="30" t="str">
        <x:v>2026_IND</x:v>
      </x:c>
      <x:c r="AD1152" s="30" t="str">
        <x:v>2026_MRS</x:v>
      </x:c>
      <x:c r="AE1152" s="30" t="str">
        <x:v>2026_Mauritius</x:v>
      </x:c>
      <x:c r="AF1152" s="30" t="str">
        <x:v>Explicit capitalClaim</x:v>
      </x:c>
      <x:c r="AG1152" s="30" t="str">
        <x:v>Claim2026_IND2026_Mauritius</x:v>
      </x:c>
      <x:c r="AH1152" s="30" t="str">
        <x:v>Project_UnitedIndosphere</x:v>
      </x:c>
    </x:row>
    <x:row r="1153">
      <x:c r="A1153" s="30" t="str">
        <x:v>2026</x:v>
      </x:c>
      <x:c r="B1153" s="30" t="str">
        <x:v>Base game</x:v>
      </x:c>
      <x:c r="C1153" s="30" t="str">
        <x:v>India</x:v>
      </x:c>
      <x:c r="D1153" s="30" t="str">
        <x:v>Myanmar</x:v>
      </x:c>
      <x:c r="E1153" s="30" t="str">
        <x:v>Project unlock</x:v>
      </x:c>
      <x:c r="F1153" s="30" t="str">
        <x:v>Greater India</x:v>
      </x:c>
      <x:c r="G1153" s="30" t="str">
        <x:v>No</x:v>
      </x:c>
      <x:c r="H1153" s="30" t="str">
        <x:v>Ordinary claim</x:v>
      </x:c>
      <x:c r="I1153" s="31" t="n">
        <x:f>IF(G1153="Yes",'Controls &amp; Summary'!$B$5,'Controls &amp; Summary'!$B$4)</x:f>
        <x:v>6</x:v>
      </x:c>
      <x:c r="J1153" s="31" t="n">
        <x:v>6.96</x:v>
      </x:c>
      <x:c r="K1153" s="31" t="n">
        <x:v>0.96</x:v>
      </x:c>
      <x:c r="L1153" s="31" t="n">
        <x:f>ABS(J1153-K1153)</x:f>
        <x:v>6</x:v>
      </x:c>
      <x:c r="M1153" s="31" t="n">
        <x:v>3.28</x:v>
      </x:c>
      <x:c r="N1153" s="31" t="n">
        <x:v>3.07</x:v>
      </x:c>
      <x:c r="O1153" s="31" t="n">
        <x:f>ABS(M1153-N1153)</x:f>
        <x:v>0.20999999999999996</x:v>
      </x:c>
      <x:c r="P1153" s="31" t="n">
        <x:v>5.8</x:v>
      </x:c>
      <x:c r="Q1153" s="31" t="n">
        <x:v>5.24</x:v>
      </x:c>
      <x:c r="R1153" s="31" t="n">
        <x:f>ABS(P1153-Q1153)</x:f>
        <x:v>0.5599999999999996</x:v>
      </x:c>
      <x:c r="S1153" s="32" t="n">
        <x:v>10556.825401650092</x:v>
      </x:c>
      <x:c r="T1153" s="32" t="n">
        <x:v>5212.7872341123375</x:v>
      </x:c>
      <x:c r="U1153" s="31" t="n">
        <x:f>MAX(S1153/T1153,T1153/S1153)</x:f>
        <x:v>2.0251786477235276</x:v>
      </x:c>
      <x:c r="V1153" s="31" t="n">
        <x:f>L1153*'Controls &amp; Summary'!$B$9+O1153*'Controls &amp; Summary'!$B$10+R1153*'Controls &amp; Summary'!$B$11+U1153*'Controls &amp; Summary'!$B$12</x:f>
        <x:v>8.795178647723528</x:v>
      </x:c>
      <x:c r="W1153" s="31" t="n">
        <x:v>1.93</x:v>
      </x:c>
      <x:c r="X1153" s="31" t="n">
        <x:v>7.5</x:v>
      </x:c>
      <x:c r="Y1153" s="31" t="n">
        <x:f>((10-MIN(10,MAX(0,X1153)))/10)*'Controls &amp; Summary'!$B$15+((10-MIN(10,MAX(0,W1153)))/10)*'Controls &amp; Summary'!$B$16</x:f>
        <x:v>1.057</x:v>
      </x:c>
      <x:c r="Z1153" s="31" t="n">
        <x:f>V1153*Y1153</x:f>
        <x:v>9.296503830643768</x:v>
      </x:c>
      <x:c r="AA1153" s="30" t="str">
        <x:f>IF(Z1153&lt;=I1153,"Peaceful","Hostile")</x:f>
        <x:v>Hostile</x:v>
      </x:c>
      <x:c r="AB1153" s="30" t="str">
        <x:f>IF(Z1153&lt;='Controls &amp; Summary'!$B$6,"Eligible","Blocked")</x:f>
        <x:v>Eligible</x:v>
      </x:c>
      <x:c r="AC1153" s="30" t="str">
        <x:v>2026_IND</x:v>
      </x:c>
      <x:c r="AD1153" s="30" t="str">
        <x:v>2026_MMR</x:v>
      </x:c>
      <x:c r="AE1153" s="30" t="str">
        <x:v>2026_Myanmar</x:v>
      </x:c>
      <x:c r="AF1153" s="30" t="str">
        <x:v>Explicit capitalClaim</x:v>
      </x:c>
      <x:c r="AG1153" s="30" t="str">
        <x:v>Claim2026_IND2026_Myanmar</x:v>
      </x:c>
      <x:c r="AH1153" s="30" t="str">
        <x:v>Project_GreaterIndia</x:v>
      </x:c>
    </x:row>
    <x:row r="1154">
      <x:c r="A1154" s="30" t="str">
        <x:v>2026</x:v>
      </x:c>
      <x:c r="B1154" s="30" t="str">
        <x:v>Base game</x:v>
      </x:c>
      <x:c r="C1154" s="30" t="str">
        <x:v>India</x:v>
      </x:c>
      <x:c r="D1154" s="30" t="str">
        <x:v>Nepal</x:v>
      </x:c>
      <x:c r="E1154" s="30" t="str">
        <x:v>Project unlock</x:v>
      </x:c>
      <x:c r="F1154" s="30" t="str">
        <x:v>Greater India</x:v>
      </x:c>
      <x:c r="G1154" s="30" t="str">
        <x:v>No</x:v>
      </x:c>
      <x:c r="H1154" s="30" t="str">
        <x:v>Ordinary claim</x:v>
      </x:c>
      <x:c r="I1154" s="31" t="n">
        <x:f>IF(G1154="Yes",'Controls &amp; Summary'!$B$5,'Controls &amp; Summary'!$B$4)</x:f>
        <x:v>6</x:v>
      </x:c>
      <x:c r="J1154" s="31" t="n">
        <x:v>6.96</x:v>
      </x:c>
      <x:c r="K1154" s="31" t="n">
        <x:v>4.01</x:v>
      </x:c>
      <x:c r="L1154" s="31" t="n">
        <x:f>ABS(J1154-K1154)</x:f>
        <x:v>2.95</x:v>
      </x:c>
      <x:c r="M1154" s="31" t="n">
        <x:v>3.28</x:v>
      </x:c>
      <x:c r="N1154" s="31" t="n">
        <x:v>3</x:v>
      </x:c>
      <x:c r="O1154" s="31" t="n">
        <x:f>ABS(M1154-N1154)</x:f>
        <x:v>0.2799999999999998</x:v>
      </x:c>
      <x:c r="P1154" s="31" t="n">
        <x:v>5.8</x:v>
      </x:c>
      <x:c r="Q1154" s="31" t="n">
        <x:v>5.25</x:v>
      </x:c>
      <x:c r="R1154" s="31" t="n">
        <x:f>ABS(P1154-Q1154)</x:f>
        <x:v>0.5499999999999998</x:v>
      </x:c>
      <x:c r="S1154" s="32" t="n">
        <x:v>10556.825401650092</x:v>
      </x:c>
      <x:c r="T1154" s="32" t="n">
        <x:v>5365.0477684165835</x:v>
      </x:c>
      <x:c r="U1154" s="31" t="n">
        <x:f>MAX(S1154/T1154,T1154/S1154)</x:f>
        <x:v>1.9677038970271437</x:v>
      </x:c>
      <x:c r="V1154" s="31" t="n">
        <x:f>L1154*'Controls &amp; Summary'!$B$9+O1154*'Controls &amp; Summary'!$B$10+R1154*'Controls &amp; Summary'!$B$11+U1154*'Controls &amp; Summary'!$B$12</x:f>
        <x:v>5.747703897027144</x:v>
      </x:c>
      <x:c r="W1154" s="31" t="n">
        <x:v>1.93</x:v>
      </x:c>
      <x:c r="X1154" s="31" t="n">
        <x:v>3</x:v>
      </x:c>
      <x:c r="Y1154" s="31" t="n">
        <x:f>((10-MIN(10,MAX(0,X1154)))/10)*'Controls &amp; Summary'!$B$15+((10-MIN(10,MAX(0,W1154)))/10)*'Controls &amp; Summary'!$B$16</x:f>
        <x:v>1.5070000000000001</x:v>
      </x:c>
      <x:c r="Z1154" s="31" t="n">
        <x:f>V1154*Y1154</x:f>
        <x:v>8.661789772819906</x:v>
      </x:c>
      <x:c r="AA1154" s="30" t="str">
        <x:f>IF(Z1154&lt;=I1154,"Peaceful","Hostile")</x:f>
        <x:v>Hostile</x:v>
      </x:c>
      <x:c r="AB1154" s="30" t="str">
        <x:f>IF(Z1154&lt;='Controls &amp; Summary'!$B$6,"Eligible","Blocked")</x:f>
        <x:v>Eligible</x:v>
      </x:c>
      <x:c r="AC1154" s="30" t="str">
        <x:v>2026_IND</x:v>
      </x:c>
      <x:c r="AD1154" s="30" t="str">
        <x:v>2026_HYS</x:v>
      </x:c>
      <x:c r="AE1154" s="30" t="str">
        <x:v>2026_Himalayas</x:v>
      </x:c>
      <x:c r="AF1154" s="30" t="str">
        <x:v>Explicit capitalClaim</x:v>
      </x:c>
      <x:c r="AG1154" s="30" t="str">
        <x:v>Claim2026_IND2026_Himalayas</x:v>
      </x:c>
      <x:c r="AH1154" s="30" t="str">
        <x:v>Project_GreaterIndia</x:v>
      </x:c>
    </x:row>
    <x:row r="1155">
      <x:c r="A1155" s="30" t="str">
        <x:v>2026</x:v>
      </x:c>
      <x:c r="B1155" s="30" t="str">
        <x:v>Base game</x:v>
      </x:c>
      <x:c r="C1155" s="30" t="str">
        <x:v>India</x:v>
      </x:c>
      <x:c r="D1155" s="30" t="str">
        <x:v>Pakistan</x:v>
      </x:c>
      <x:c r="E1155" s="30" t="str">
        <x:v>Project unlock</x:v>
      </x:c>
      <x:c r="F1155" s="30" t="str">
        <x:v>Greater India</x:v>
      </x:c>
      <x:c r="G1155" s="30" t="str">
        <x:v>Yes</x:v>
      </x:c>
      <x:c r="H1155" s="30" t="str">
        <x:v>Template hostileClaim</x:v>
      </x:c>
      <x:c r="I1155" s="31" t="n">
        <x:f>IF(G1155="Yes",'Controls &amp; Summary'!$B$5,'Controls &amp; Summary'!$B$4)</x:f>
        <x:v>3</x:v>
      </x:c>
      <x:c r="J1155" s="31" t="n">
        <x:v>6.96</x:v>
      </x:c>
      <x:c r="K1155" s="31" t="n">
        <x:v>2.44</x:v>
      </x:c>
      <x:c r="L1155" s="31" t="n">
        <x:f>ABS(J1155-K1155)</x:f>
        <x:v>4.52</x:v>
      </x:c>
      <x:c r="M1155" s="31" t="n">
        <x:v>3.28</x:v>
      </x:c>
      <x:c r="N1155" s="31" t="n">
        <x:v>2.96</x:v>
      </x:c>
      <x:c r="O1155" s="31" t="n">
        <x:f>ABS(M1155-N1155)</x:f>
        <x:v>0.31999999999999984</x:v>
      </x:c>
      <x:c r="P1155" s="31" t="n">
        <x:v>5.8</x:v>
      </x:c>
      <x:c r="Q1155" s="31" t="n">
        <x:v>3.6</x:v>
      </x:c>
      <x:c r="R1155" s="31" t="n">
        <x:f>ABS(P1155-Q1155)</x:f>
        <x:v>2.1999999999999997</x:v>
      </x:c>
      <x:c r="S1155" s="32" t="n">
        <x:v>10556.825401650092</x:v>
      </x:c>
      <x:c r="T1155" s="32" t="n">
        <x:v>5672.257847396413</x:v>
      </x:c>
      <x:c r="U1155" s="31" t="n">
        <x:f>MAX(S1155/T1155,T1155/S1155)</x:f>
        <x:v>1.8611328479179967</x:v>
      </x:c>
      <x:c r="V1155" s="31" t="n">
        <x:f>L1155*'Controls &amp; Summary'!$B$9+O1155*'Controls &amp; Summary'!$B$10+R1155*'Controls &amp; Summary'!$B$11+U1155*'Controls &amp; Summary'!$B$12</x:f>
        <x:v>8.901132847917996</x:v>
      </x:c>
      <x:c r="W1155" s="31" t="n">
        <x:v>1.93</x:v>
      </x:c>
      <x:c r="X1155" s="31" t="n">
        <x:v>5.5</x:v>
      </x:c>
      <x:c r="Y1155" s="31" t="n">
        <x:f>((10-MIN(10,MAX(0,X1155)))/10)*'Controls &amp; Summary'!$B$15+((10-MIN(10,MAX(0,W1155)))/10)*'Controls &amp; Summary'!$B$16</x:f>
        <x:v>1.2570000000000001</x:v>
      </x:c>
      <x:c r="Z1155" s="31" t="n">
        <x:f>V1155*Y1155</x:f>
        <x:v>11.188723989832923</x:v>
      </x:c>
      <x:c r="AA1155" s="30" t="str">
        <x:f>IF(Z1155&lt;=I1155,"Peaceful","Hostile")</x:f>
        <x:v>Hostile</x:v>
      </x:c>
      <x:c r="AB1155" s="30" t="str">
        <x:f>IF(Z1155&lt;='Controls &amp; Summary'!$B$6,"Eligible","Blocked")</x:f>
        <x:v>Eligible</x:v>
      </x:c>
      <x:c r="AC1155" s="30" t="str">
        <x:v>2026_IND</x:v>
      </x:c>
      <x:c r="AD1155" s="30" t="str">
        <x:v>2026_PAK</x:v>
      </x:c>
      <x:c r="AE1155" s="30" t="str">
        <x:v>2026_Punjab</x:v>
      </x:c>
      <x:c r="AF1155" s="30" t="str">
        <x:v>Explicit capitalClaim</x:v>
      </x:c>
      <x:c r="AG1155" s="30" t="str">
        <x:v>Claim2026_IND2026_Punjab</x:v>
      </x:c>
      <x:c r="AH1155" s="30" t="str">
        <x:v>Project_GreaterIndia</x:v>
      </x:c>
    </x:row>
    <x:row r="1156">
      <x:c r="A1156" s="30" t="str">
        <x:v>2026</x:v>
      </x:c>
      <x:c r="B1156" s="30" t="str">
        <x:v>Base game</x:v>
      </x:c>
      <x:c r="C1156" s="30" t="str">
        <x:v>India</x:v>
      </x:c>
      <x:c r="D1156" s="30" t="str">
        <x:v>Philippines</x:v>
      </x:c>
      <x:c r="E1156" s="30" t="str">
        <x:v>Project unlock</x:v>
      </x:c>
      <x:c r="F1156" s="30" t="str">
        <x:v>United Indosphere</x:v>
      </x:c>
      <x:c r="G1156" s="30" t="str">
        <x:v>No</x:v>
      </x:c>
      <x:c r="H1156" s="30" t="str">
        <x:v>Ordinary claim</x:v>
      </x:c>
      <x:c r="I1156" s="31" t="n">
        <x:f>IF(G1156="Yes",'Controls &amp; Summary'!$B$5,'Controls &amp; Summary'!$B$4)</x:f>
        <x:v>6</x:v>
      </x:c>
      <x:c r="J1156" s="31" t="n">
        <x:v>6.96</x:v>
      </x:c>
      <x:c r="K1156" s="31" t="n">
        <x:v>6.31</x:v>
      </x:c>
      <x:c r="L1156" s="31" t="n">
        <x:f>ABS(J1156-K1156)</x:f>
        <x:v>0.6500000000000004</x:v>
      </x:c>
      <x:c r="M1156" s="31" t="n">
        <x:v>3.28</x:v>
      </x:c>
      <x:c r="N1156" s="31" t="n">
        <x:v>4.07</x:v>
      </x:c>
      <x:c r="O1156" s="31" t="n">
        <x:f>ABS(M1156-N1156)</x:f>
        <x:v>0.7900000000000005</x:v>
      </x:c>
      <x:c r="P1156" s="31" t="n">
        <x:v>5.8</x:v>
      </x:c>
      <x:c r="Q1156" s="31" t="n">
        <x:v>6.75</x:v>
      </x:c>
      <x:c r="R1156" s="31" t="n">
        <x:f>ABS(P1156-Q1156)</x:f>
        <x:v>0.9500000000000002</x:v>
      </x:c>
      <x:c r="S1156" s="32" t="n">
        <x:v>10556.825401650092</x:v>
      </x:c>
      <x:c r="T1156" s="32" t="n">
        <x:v>11046.009872951565</x:v>
      </x:c>
      <x:c r="U1156" s="31" t="n">
        <x:f>MAX(S1156/T1156,T1156/S1156)</x:f>
        <x:v>1.046338217474451</x:v>
      </x:c>
      <x:c r="V1156" s="31" t="n">
        <x:f>L1156*'Controls &amp; Summary'!$B$9+O1156*'Controls &amp; Summary'!$B$10+R1156*'Controls &amp; Summary'!$B$11+U1156*'Controls &amp; Summary'!$B$12</x:f>
        <x:v>3.436338217474452</x:v>
      </x:c>
      <x:c r="W1156" s="31" t="n">
        <x:v>1.93</x:v>
      </x:c>
      <x:c r="X1156" s="31" t="n">
        <x:v>4.75</x:v>
      </x:c>
      <x:c r="Y1156" s="31" t="n">
        <x:f>((10-MIN(10,MAX(0,X1156)))/10)*'Controls &amp; Summary'!$B$15+((10-MIN(10,MAX(0,W1156)))/10)*'Controls &amp; Summary'!$B$16</x:f>
        <x:v>1.332</x:v>
      </x:c>
      <x:c r="Z1156" s="31" t="n">
        <x:f>V1156*Y1156</x:f>
        <x:v>4.57720250567597</x:v>
      </x:c>
      <x:c r="AA1156" s="30" t="str">
        <x:f>IF(Z1156&lt;=I1156,"Peaceful","Hostile")</x:f>
        <x:v>Peaceful</x:v>
      </x:c>
      <x:c r="AB1156" s="30" t="str">
        <x:f>IF(Z1156&lt;='Controls &amp; Summary'!$B$6,"Eligible","Blocked")</x:f>
        <x:v>Eligible</x:v>
      </x:c>
      <x:c r="AC1156" s="30" t="str">
        <x:v>2026_IND</x:v>
      </x:c>
      <x:c r="AD1156" s="30" t="str">
        <x:v>2026_PHL</x:v>
      </x:c>
      <x:c r="AE1156" s="30" t="str">
        <x:v>2026_Luzon</x:v>
      </x:c>
      <x:c r="AF1156" s="30" t="str">
        <x:v>Explicit capitalClaim</x:v>
      </x:c>
      <x:c r="AG1156" s="30" t="str">
        <x:v>Claim2026_IND2026_Luzon</x:v>
      </x:c>
      <x:c r="AH1156" s="30" t="str">
        <x:v>Project_UnitedIndosphere</x:v>
      </x:c>
    </x:row>
    <x:row r="1157">
      <x:c r="A1157" s="30" t="str">
        <x:v>2026</x:v>
      </x:c>
      <x:c r="B1157" s="30" t="str">
        <x:v>Base game</x:v>
      </x:c>
      <x:c r="C1157" s="30" t="str">
        <x:v>India</x:v>
      </x:c>
      <x:c r="D1157" s="30" t="str">
        <x:v>Singapore</x:v>
      </x:c>
      <x:c r="E1157" s="30" t="str">
        <x:v>Project unlock</x:v>
      </x:c>
      <x:c r="F1157" s="30" t="str">
        <x:v>United Indosphere</x:v>
      </x:c>
      <x:c r="G1157" s="30" t="str">
        <x:v>No</x:v>
      </x:c>
      <x:c r="H1157" s="30" t="str">
        <x:v>Ordinary claim</x:v>
      </x:c>
      <x:c r="I1157" s="31" t="n">
        <x:f>IF(G1157="Yes",'Controls &amp; Summary'!$B$5,'Controls &amp; Summary'!$B$4)</x:f>
        <x:v>6</x:v>
      </x:c>
      <x:c r="J1157" s="31" t="n">
        <x:v>6.96</x:v>
      </x:c>
      <x:c r="K1157" s="31" t="n">
        <x:v>6.18</x:v>
      </x:c>
      <x:c r="L1157" s="31" t="n">
        <x:f>ABS(J1157-K1157)</x:f>
        <x:v>0.7800000000000002</x:v>
      </x:c>
      <x:c r="M1157" s="31" t="n">
        <x:v>3.28</x:v>
      </x:c>
      <x:c r="N1157" s="31" t="n">
        <x:v>3.8</x:v>
      </x:c>
      <x:c r="O1157" s="31" t="n">
        <x:f>ABS(M1157-N1157)</x:f>
        <x:v>0.52</x:v>
      </x:c>
      <x:c r="P1157" s="31" t="n">
        <x:v>5.8</x:v>
      </x:c>
      <x:c r="Q1157" s="31" t="n">
        <x:v>8.44</x:v>
      </x:c>
      <x:c r="R1157" s="31" t="n">
        <x:f>ABS(P1157-Q1157)</x:f>
        <x:v>2.6399999999999997</x:v>
      </x:c>
      <x:c r="S1157" s="32" t="n">
        <x:v>10556.825401650092</x:v>
      </x:c>
      <x:c r="T1157" s="32" t="n">
        <x:v>141950.98063784637</x:v>
      </x:c>
      <x:c r="U1157" s="31" t="n">
        <x:f>MAX(S1157/T1157,T1157/S1157)</x:f>
        <x:v>13.446370024804864</x:v>
      </x:c>
      <x:c r="V1157" s="31" t="n">
        <x:f>L1157*'Controls &amp; Summary'!$B$9+O1157*'Controls &amp; Summary'!$B$10+R1157*'Controls &amp; Summary'!$B$11+U1157*'Controls &amp; Summary'!$B$12</x:f>
        <x:v>17.386370024804865</x:v>
      </x:c>
      <x:c r="W1157" s="31" t="n">
        <x:v>1.93</x:v>
      </x:c>
      <x:c r="X1157" s="31" t="n">
        <x:v>0</x:v>
      </x:c>
      <x:c r="Y1157" s="31" t="n">
        <x:f>((10-MIN(10,MAX(0,X1157)))/10)*'Controls &amp; Summary'!$B$15+((10-MIN(10,MAX(0,W1157)))/10)*'Controls &amp; Summary'!$B$16</x:f>
        <x:v>1.807</x:v>
      </x:c>
      <x:c r="Z1157" s="31" t="n">
        <x:f>V1157*Y1157</x:f>
        <x:v>31.41717063482239</x:v>
      </x:c>
      <x:c r="AA1157" s="30" t="str">
        <x:f>IF(Z1157&lt;=I1157,"Peaceful","Hostile")</x:f>
        <x:v>Hostile</x:v>
      </x:c>
      <x:c r="AB1157" s="30" t="str">
        <x:f>IF(Z1157&lt;='Controls &amp; Summary'!$B$6,"Eligible","Blocked")</x:f>
        <x:v>Blocked</x:v>
      </x:c>
      <x:c r="AC1157" s="30" t="str">
        <x:v>2026_IND</x:v>
      </x:c>
      <x:c r="AD1157" s="30" t="str">
        <x:v>2026_SGP</x:v>
      </x:c>
      <x:c r="AE1157" s="30" t="str">
        <x:v>2026_Singapore</x:v>
      </x:c>
      <x:c r="AF1157" s="30" t="str">
        <x:v>Explicit capitalClaim</x:v>
      </x:c>
      <x:c r="AG1157" s="30" t="str">
        <x:v>Claim2026_IND2026_Singapore</x:v>
      </x:c>
      <x:c r="AH1157" s="30" t="str">
        <x:v>Project_UnitedIndosphere</x:v>
      </x:c>
    </x:row>
    <x:row r="1158">
      <x:c r="A1158" s="30" t="str">
        <x:v>2026</x:v>
      </x:c>
      <x:c r="B1158" s="30" t="str">
        <x:v>Base game</x:v>
      </x:c>
      <x:c r="C1158" s="30" t="str">
        <x:v>India</x:v>
      </x:c>
      <x:c r="D1158" s="30" t="str">
        <x:v>Sri Lanka</x:v>
      </x:c>
      <x:c r="E1158" s="30" t="str">
        <x:v>Project unlock</x:v>
      </x:c>
      <x:c r="F1158" s="30" t="str">
        <x:v>Greater India</x:v>
      </x:c>
      <x:c r="G1158" s="30" t="str">
        <x:v>No</x:v>
      </x:c>
      <x:c r="H1158" s="30" t="str">
        <x:v>Ordinary claim</x:v>
      </x:c>
      <x:c r="I1158" s="31" t="n">
        <x:f>IF(G1158="Yes",'Controls &amp; Summary'!$B$5,'Controls &amp; Summary'!$B$4)</x:f>
        <x:v>6</x:v>
      </x:c>
      <x:c r="J1158" s="31" t="n">
        <x:v>6.96</x:v>
      </x:c>
      <x:c r="K1158" s="31" t="n">
        <x:v>6.57</x:v>
      </x:c>
      <x:c r="L1158" s="31" t="n">
        <x:f>ABS(J1158-K1158)</x:f>
        <x:v>0.3899999999999997</x:v>
      </x:c>
      <x:c r="M1158" s="31" t="n">
        <x:v>3.28</x:v>
      </x:c>
      <x:c r="N1158" s="31" t="n">
        <x:v>3.77</x:v>
      </x:c>
      <x:c r="O1158" s="31" t="n">
        <x:f>ABS(M1158-N1158)</x:f>
        <x:v>0.4900000000000002</x:v>
      </x:c>
      <x:c r="P1158" s="31" t="n">
        <x:v>5.8</x:v>
      </x:c>
      <x:c r="Q1158" s="31" t="n">
        <x:v>7.09</x:v>
      </x:c>
      <x:c r="R1158" s="31" t="n">
        <x:f>ABS(P1158-Q1158)</x:f>
        <x:v>1.29</x:v>
      </x:c>
      <x:c r="S1158" s="32" t="n">
        <x:v>10556.825401650092</x:v>
      </x:c>
      <x:c r="T1158" s="32" t="n">
        <x:v>12912.77421946723</x:v>
      </x:c>
      <x:c r="U1158" s="31" t="n">
        <x:f>MAX(S1158/T1158,T1158/S1158)</x:f>
        <x:v>1.2231683037448824</x:v>
      </x:c>
      <x:c r="V1158" s="31" t="n">
        <x:f>L1158*'Controls &amp; Summary'!$B$9+O1158*'Controls &amp; Summary'!$B$10+R1158*'Controls &amp; Summary'!$B$11+U1158*'Controls &amp; Summary'!$B$12</x:f>
        <x:v>3.3931683037448823</x:v>
      </x:c>
      <x:c r="W1158" s="31" t="n">
        <x:v>1.93</x:v>
      </x:c>
      <x:c r="X1158" s="31" t="n">
        <x:v>3</x:v>
      </x:c>
      <x:c r="Y1158" s="31" t="n">
        <x:f>((10-MIN(10,MAX(0,X1158)))/10)*'Controls &amp; Summary'!$B$15+((10-MIN(10,MAX(0,W1158)))/10)*'Controls &amp; Summary'!$B$16</x:f>
        <x:v>1.5070000000000001</x:v>
      </x:c>
      <x:c r="Z1158" s="31" t="n">
        <x:f>V1158*Y1158</x:f>
        <x:v>5.113504633743538</x:v>
      </x:c>
      <x:c r="AA1158" s="30" t="str">
        <x:f>IF(Z1158&lt;=I1158,"Peaceful","Hostile")</x:f>
        <x:v>Peaceful</x:v>
      </x:c>
      <x:c r="AB1158" s="30" t="str">
        <x:f>IF(Z1158&lt;='Controls &amp; Summary'!$B$6,"Eligible","Blocked")</x:f>
        <x:v>Eligible</x:v>
      </x:c>
      <x:c r="AC1158" s="30" t="str">
        <x:v>2026_IND</x:v>
      </x:c>
      <x:c r="AD1158" s="30" t="str">
        <x:v>2026_LKA</x:v>
      </x:c>
      <x:c r="AE1158" s="30" t="str">
        <x:v>2026_SriLanka</x:v>
      </x:c>
      <x:c r="AF1158" s="30" t="str">
        <x:v>Explicit capitalClaim</x:v>
      </x:c>
      <x:c r="AG1158" s="30" t="str">
        <x:v>Claim2026_IND2026_SriLanka</x:v>
      </x:c>
      <x:c r="AH1158" s="30" t="str">
        <x:v>Project_GreaterIndia</x:v>
      </x:c>
    </x:row>
    <x:row r="1159">
      <x:c r="A1159" s="30" t="str">
        <x:v>2026</x:v>
      </x:c>
      <x:c r="B1159" s="30" t="str">
        <x:v>Base game</x:v>
      </x:c>
      <x:c r="C1159" s="30" t="str">
        <x:v>India</x:v>
      </x:c>
      <x:c r="D1159" s="30" t="str">
        <x:v>Suriname</x:v>
      </x:c>
      <x:c r="E1159" s="30" t="str">
        <x:v>Project unlock</x:v>
      </x:c>
      <x:c r="F1159" s="30" t="str">
        <x:v>United Indosphere</x:v>
      </x:c>
      <x:c r="G1159" s="30" t="str">
        <x:v>No</x:v>
      </x:c>
      <x:c r="H1159" s="30" t="str">
        <x:v>Ordinary claim</x:v>
      </x:c>
      <x:c r="I1159" s="31" t="n">
        <x:f>IF(G1159="Yes",'Controls &amp; Summary'!$B$5,'Controls &amp; Summary'!$B$4)</x:f>
        <x:v>6</x:v>
      </x:c>
      <x:c r="J1159" s="31" t="n">
        <x:v>6.96</x:v>
      </x:c>
      <x:c r="K1159" s="31" t="n">
        <x:v>7.03</x:v>
      </x:c>
      <x:c r="L1159" s="31" t="n">
        <x:f>ABS(J1159-K1159)</x:f>
        <x:v>0.07000000000000028</x:v>
      </x:c>
      <x:c r="M1159" s="31" t="n">
        <x:v>3.28</x:v>
      </x:c>
      <x:c r="N1159" s="31" t="n">
        <x:v>3.92</x:v>
      </x:c>
      <x:c r="O1159" s="31" t="n">
        <x:f>ABS(M1159-N1159)</x:f>
        <x:v>0.6400000000000001</x:v>
      </x:c>
      <x:c r="P1159" s="31" t="n">
        <x:v>5.8</x:v>
      </x:c>
      <x:c r="Q1159" s="31" t="n">
        <x:v>5.75</x:v>
      </x:c>
      <x:c r="R1159" s="31" t="n">
        <x:f>ABS(P1159-Q1159)</x:f>
        <x:v>0.04999999999999982</x:v>
      </x:c>
      <x:c r="S1159" s="32" t="n">
        <x:v>10556.825401650092</x:v>
      </x:c>
      <x:c r="T1159" s="32" t="n">
        <x:v>20106.469206020556</x:v>
      </x:c>
      <x:c r="U1159" s="31" t="n">
        <x:f>MAX(S1159/T1159,T1159/S1159)</x:f>
        <x:v>1.9045942734714358</x:v>
      </x:c>
      <x:c r="V1159" s="31" t="n">
        <x:f>L1159*'Controls &amp; Summary'!$B$9+O1159*'Controls &amp; Summary'!$B$10+R1159*'Controls &amp; Summary'!$B$11+U1159*'Controls &amp; Summary'!$B$12</x:f>
        <x:v>2.664594273471436</x:v>
      </x:c>
      <x:c r="W1159" s="31" t="n">
        <x:v>1.93</x:v>
      </x:c>
      <x:c r="X1159" s="31" t="n">
        <x:v>0.5</x:v>
      </x:c>
      <x:c r="Y1159" s="31" t="n">
        <x:f>((10-MIN(10,MAX(0,X1159)))/10)*'Controls &amp; Summary'!$B$15+((10-MIN(10,MAX(0,W1159)))/10)*'Controls &amp; Summary'!$B$16</x:f>
        <x:v>1.7570000000000001</x:v>
      </x:c>
      <x:c r="Z1159" s="31" t="n">
        <x:f>V1159*Y1159</x:f>
        <x:v>4.681692138489313</x:v>
      </x:c>
      <x:c r="AA1159" s="30" t="str">
        <x:f>IF(Z1159&lt;=I1159,"Peaceful","Hostile")</x:f>
        <x:v>Peaceful</x:v>
      </x:c>
      <x:c r="AB1159" s="30" t="str">
        <x:f>IF(Z1159&lt;='Controls &amp; Summary'!$B$6,"Eligible","Blocked")</x:f>
        <x:v>Eligible</x:v>
      </x:c>
      <x:c r="AC1159" s="30" t="str">
        <x:v>2026_IND</x:v>
      </x:c>
      <x:c r="AD1159" s="30" t="str">
        <x:v>2026_SUR</x:v>
      </x:c>
      <x:c r="AE1159" s="30" t="str">
        <x:v>2026_Suriname</x:v>
      </x:c>
      <x:c r="AF1159" s="30" t="str">
        <x:v>Explicit capitalClaim</x:v>
      </x:c>
      <x:c r="AG1159" s="30" t="str">
        <x:v>Claim2026_IND2026_Suriname</x:v>
      </x:c>
      <x:c r="AH1159" s="30" t="str">
        <x:v>Project_UnitedIndosphere</x:v>
      </x:c>
    </x:row>
    <x:row r="1160">
      <x:c r="A1160" s="30" t="str">
        <x:v>2026</x:v>
      </x:c>
      <x:c r="B1160" s="30" t="str">
        <x:v>Base game</x:v>
      </x:c>
      <x:c r="C1160" s="30" t="str">
        <x:v>India</x:v>
      </x:c>
      <x:c r="D1160" s="30" t="str">
        <x:v>Thailand</x:v>
      </x:c>
      <x:c r="E1160" s="30" t="str">
        <x:v>Project unlock</x:v>
      </x:c>
      <x:c r="F1160" s="30" t="str">
        <x:v>United Indosphere</x:v>
      </x:c>
      <x:c r="G1160" s="30" t="str">
        <x:v>No</x:v>
      </x:c>
      <x:c r="H1160" s="30" t="str">
        <x:v>Ordinary claim</x:v>
      </x:c>
      <x:c r="I1160" s="31" t="n">
        <x:f>IF(G1160="Yes",'Controls &amp; Summary'!$B$5,'Controls &amp; Summary'!$B$4)</x:f>
        <x:v>6</x:v>
      </x:c>
      <x:c r="J1160" s="31" t="n">
        <x:v>6.96</x:v>
      </x:c>
      <x:c r="K1160" s="31" t="n">
        <x:v>6.59</x:v>
      </x:c>
      <x:c r="L1160" s="31" t="n">
        <x:f>ABS(J1160-K1160)</x:f>
        <x:v>0.3700000000000001</x:v>
      </x:c>
      <x:c r="M1160" s="31" t="n">
        <x:v>3.28</x:v>
      </x:c>
      <x:c r="N1160" s="31" t="n">
        <x:v>3.49</x:v>
      </x:c>
      <x:c r="O1160" s="31" t="n">
        <x:f>ABS(M1160-N1160)</x:f>
        <x:v>0.2100000000000004</x:v>
      </x:c>
      <x:c r="P1160" s="31" t="n">
        <x:v>5.8</x:v>
      </x:c>
      <x:c r="Q1160" s="31" t="n">
        <x:v>7.12</x:v>
      </x:c>
      <x:c r="R1160" s="31" t="n">
        <x:f>ABS(P1160-Q1160)</x:f>
        <x:v>1.3200000000000003</x:v>
      </x:c>
      <x:c r="S1160" s="32" t="n">
        <x:v>10556.825401650092</x:v>
      </x:c>
      <x:c r="T1160" s="32" t="n">
        <x:v>22796.63610259273</x:v>
      </x:c>
      <x:c r="U1160" s="31" t="n">
        <x:f>MAX(S1160/T1160,T1160/S1160)</x:f>
        <x:v>2.1594215339612877</x:v>
      </x:c>
      <x:c r="V1160" s="31" t="n">
        <x:f>L1160*'Controls &amp; Summary'!$B$9+O1160*'Controls &amp; Summary'!$B$10+R1160*'Controls &amp; Summary'!$B$11+U1160*'Controls &amp; Summary'!$B$12</x:f>
        <x:v>4.059421533961288</x:v>
      </x:c>
      <x:c r="W1160" s="31" t="n">
        <x:v>1.93</x:v>
      </x:c>
      <x:c r="X1160" s="31" t="n">
        <x:v>1</x:v>
      </x:c>
      <x:c r="Y1160" s="31" t="n">
        <x:f>((10-MIN(10,MAX(0,X1160)))/10)*'Controls &amp; Summary'!$B$15+((10-MIN(10,MAX(0,W1160)))/10)*'Controls &amp; Summary'!$B$16</x:f>
        <x:v>1.707</x:v>
      </x:c>
      <x:c r="Z1160" s="31" t="n">
        <x:f>V1160*Y1160</x:f>
        <x:v>6.929432558471919</x:v>
      </x:c>
      <x:c r="AA1160" s="30" t="str">
        <x:f>IF(Z1160&lt;=I1160,"Peaceful","Hostile")</x:f>
        <x:v>Hostile</x:v>
      </x:c>
      <x:c r="AB1160" s="30" t="str">
        <x:f>IF(Z1160&lt;='Controls &amp; Summary'!$B$6,"Eligible","Blocked")</x:f>
        <x:v>Eligible</x:v>
      </x:c>
      <x:c r="AC1160" s="30" t="str">
        <x:v>2026_IND</x:v>
      </x:c>
      <x:c r="AD1160" s="30" t="str">
        <x:v>2026_THA</x:v>
      </x:c>
      <x:c r="AE1160" s="30" t="str">
        <x:v>2026_Bangkok</x:v>
      </x:c>
      <x:c r="AF1160" s="30" t="str">
        <x:v>Explicit capitalClaim</x:v>
      </x:c>
      <x:c r="AG1160" s="30" t="str">
        <x:v>Claim2026_IND2026_Bangkok</x:v>
      </x:c>
      <x:c r="AH1160" s="30" t="str">
        <x:v>Project_UnitedIndosphere</x:v>
      </x:c>
    </x:row>
    <x:row r="1161">
      <x:c r="A1161" s="30" t="str">
        <x:v>2026</x:v>
      </x:c>
      <x:c r="B1161" s="30" t="str">
        <x:v>Base game</x:v>
      </x:c>
      <x:c r="C1161" s="30" t="str">
        <x:v>India</x:v>
      </x:c>
      <x:c r="D1161" s="30" t="str">
        <x:v>Vietnam</x:v>
      </x:c>
      <x:c r="E1161" s="30" t="str">
        <x:v>Project unlock</x:v>
      </x:c>
      <x:c r="F1161" s="30" t="str">
        <x:v>United Indosphere</x:v>
      </x:c>
      <x:c r="G1161" s="30" t="str">
        <x:v>No</x:v>
      </x:c>
      <x:c r="H1161" s="30" t="str">
        <x:v>Ordinary claim</x:v>
      </x:c>
      <x:c r="I1161" s="31" t="n">
        <x:f>IF(G1161="Yes",'Controls &amp; Summary'!$B$5,'Controls &amp; Summary'!$B$4)</x:f>
        <x:v>6</x:v>
      </x:c>
      <x:c r="J1161" s="31" t="n">
        <x:v>6.96</x:v>
      </x:c>
      <x:c r="K1161" s="31" t="n">
        <x:v>2.62</x:v>
      </x:c>
      <x:c r="L1161" s="31" t="n">
        <x:f>ABS(J1161-K1161)</x:f>
        <x:v>4.34</x:v>
      </x:c>
      <x:c r="M1161" s="31" t="n">
        <x:v>3.28</x:v>
      </x:c>
      <x:c r="N1161" s="31" t="n">
        <x:v>3.61</x:v>
      </x:c>
      <x:c r="O1161" s="31" t="n">
        <x:f>ABS(M1161-N1161)</x:f>
        <x:v>0.33000000000000007</x:v>
      </x:c>
      <x:c r="P1161" s="31" t="n">
        <x:v>5.8</x:v>
      </x:c>
      <x:c r="Q1161" s="31" t="n">
        <x:v>7.15</x:v>
      </x:c>
      <x:c r="R1161" s="31" t="n">
        <x:f>ABS(P1161-Q1161)</x:f>
        <x:v>1.3500000000000005</x:v>
      </x:c>
      <x:c r="S1161" s="32" t="n">
        <x:v>10556.825401650092</x:v>
      </x:c>
      <x:c r="T1161" s="32" t="n">
        <x:v>15563.162867150184</x:v>
      </x:c>
      <x:c r="U1161" s="31" t="n">
        <x:f>MAX(S1161/T1161,T1161/S1161)</x:f>
        <x:v>1.474227551846938</x:v>
      </x:c>
      <x:c r="V1161" s="31" t="n">
        <x:f>L1161*'Controls &amp; Summary'!$B$9+O1161*'Controls &amp; Summary'!$B$10+R1161*'Controls &amp; Summary'!$B$11+U1161*'Controls &amp; Summary'!$B$12</x:f>
        <x:v>7.494227551846938</x:v>
      </x:c>
      <x:c r="W1161" s="31" t="n">
        <x:v>1.93</x:v>
      </x:c>
      <x:c r="X1161" s="31" t="n">
        <x:v>0.5</x:v>
      </x:c>
      <x:c r="Y1161" s="31" t="n">
        <x:f>((10-MIN(10,MAX(0,X1161)))/10)*'Controls &amp; Summary'!$B$15+((10-MIN(10,MAX(0,W1161)))/10)*'Controls &amp; Summary'!$B$16</x:f>
        <x:v>1.7570000000000001</x:v>
      </x:c>
      <x:c r="Z1161" s="31" t="n">
        <x:f>V1161*Y1161</x:f>
        <x:v>13.16735780859507</x:v>
      </x:c>
      <x:c r="AA1161" s="30" t="str">
        <x:f>IF(Z1161&lt;=I1161,"Peaceful","Hostile")</x:f>
        <x:v>Hostile</x:v>
      </x:c>
      <x:c r="AB1161" s="30" t="str">
        <x:f>IF(Z1161&lt;='Controls &amp; Summary'!$B$6,"Eligible","Blocked")</x:f>
        <x:v>Blocked</x:v>
      </x:c>
      <x:c r="AC1161" s="30" t="str">
        <x:v>2026_IND</x:v>
      </x:c>
      <x:c r="AD1161" s="30" t="str">
        <x:v>2026_VNM</x:v>
      </x:c>
      <x:c r="AE1161" s="30" t="str">
        <x:v>2026_Hanoi</x:v>
      </x:c>
      <x:c r="AF1161" s="30" t="str">
        <x:v>Explicit capitalClaim</x:v>
      </x:c>
      <x:c r="AG1161" s="30" t="str">
        <x:v>Claim2026_IND2026_Hanoi</x:v>
      </x:c>
      <x:c r="AH1161" s="30" t="str">
        <x:v>Project_UnitedIndosphere</x:v>
      </x:c>
    </x:row>
    <x:row r="1162">
      <x:c r="A1162" s="30" t="str">
        <x:v>2026</x:v>
      </x:c>
      <x:c r="B1162" s="30" t="str">
        <x:v>Base game</x:v>
      </x:c>
      <x:c r="C1162" s="30" t="str">
        <x:v>Indonesia</x:v>
      </x:c>
      <x:c r="D1162" s="30" t="str">
        <x:v>Brunei</x:v>
      </x:c>
      <x:c r="E1162" s="30" t="str">
        <x:v>Project unlock</x:v>
      </x:c>
      <x:c r="F1162" s="30" t="str">
        <x:v>Greater Indonesia</x:v>
      </x:c>
      <x:c r="G1162" s="30" t="str">
        <x:v>No</x:v>
      </x:c>
      <x:c r="H1162" s="30" t="str">
        <x:v>Ordinary claim</x:v>
      </x:c>
      <x:c r="I1162" s="31" t="n">
        <x:f>IF(G1162="Yes",'Controls &amp; Summary'!$B$5,'Controls &amp; Summary'!$B$4)</x:f>
        <x:v>6</x:v>
      </x:c>
      <x:c r="J1162" s="31" t="n">
        <x:v>6.37</x:v>
      </x:c>
      <x:c r="K1162" s="31" t="n">
        <x:v>2.7</x:v>
      </x:c>
      <x:c r="L1162" s="31" t="n">
        <x:f>ABS(J1162-K1162)</x:f>
        <x:v>3.67</x:v>
      </x:c>
      <x:c r="M1162" s="31" t="n">
        <x:v>3.61</x:v>
      </x:c>
      <x:c r="N1162" s="31" t="n">
        <x:v>3.38</x:v>
      </x:c>
      <x:c r="O1162" s="31" t="n">
        <x:f>ABS(M1162-N1162)</x:f>
        <x:v>0.22999999999999998</x:v>
      </x:c>
      <x:c r="P1162" s="31" t="n">
        <x:v>6.46</x:v>
      </x:c>
      <x:c r="Q1162" s="31" t="n">
        <x:v>6.76</x:v>
      </x:c>
      <x:c r="R1162" s="31" t="n">
        <x:f>ABS(P1162-Q1162)</x:f>
        <x:v>0.2999999999999998</x:v>
      </x:c>
      <x:c r="S1162" s="32" t="n">
        <x:v>15341.497054185696</x:v>
      </x:c>
      <x:c r="T1162" s="32" t="n">
        <x:v>82109.60566228513</x:v>
      </x:c>
      <x:c r="U1162" s="31" t="n">
        <x:f>MAX(S1162/T1162,T1162/S1162)</x:f>
        <x:v>5.3521247223968125</x:v>
      </x:c>
      <x:c r="V1162" s="31" t="n">
        <x:f>L1162*'Controls &amp; Summary'!$B$9+O1162*'Controls &amp; Summary'!$B$10+R1162*'Controls &amp; Summary'!$B$11+U1162*'Controls &amp; Summary'!$B$12</x:f>
        <x:v>9.552124722396812</x:v>
      </x:c>
      <x:c r="W1162" s="31" t="n">
        <x:v>2.87</x:v>
      </x:c>
      <x:c r="X1162" s="31" t="n">
        <x:v>0</x:v>
      </x:c>
      <x:c r="Y1162" s="31" t="n">
        <x:f>((10-MIN(10,MAX(0,X1162)))/10)*'Controls &amp; Summary'!$B$15+((10-MIN(10,MAX(0,W1162)))/10)*'Controls &amp; Summary'!$B$16</x:f>
        <x:v>1.713</x:v>
      </x:c>
      <x:c r="Z1162" s="31" t="n">
        <x:f>V1162*Y1162</x:f>
        <x:v>16.36278964946574</x:v>
      </x:c>
      <x:c r="AA1162" s="30" t="str">
        <x:f>IF(Z1162&lt;=I1162,"Peaceful","Hostile")</x:f>
        <x:v>Hostile</x:v>
      </x:c>
      <x:c r="AB1162" s="30" t="str">
        <x:f>IF(Z1162&lt;='Controls &amp; Summary'!$B$6,"Eligible","Blocked")</x:f>
        <x:v>Blocked</x:v>
      </x:c>
      <x:c r="AC1162" s="30" t="str">
        <x:v>2026_IDN</x:v>
      </x:c>
      <x:c r="AD1162" s="30" t="str">
        <x:v>2026_BRU</x:v>
      </x:c>
      <x:c r="AE1162" s="30" t="str">
        <x:v>2026_Brunei</x:v>
      </x:c>
      <x:c r="AF1162" s="30" t="str">
        <x:v>Explicit capitalClaim</x:v>
      </x:c>
      <x:c r="AG1162" s="30" t="str">
        <x:v>Claim2026_IDN2026_Brunei</x:v>
      </x:c>
      <x:c r="AH1162" s="30" t="str">
        <x:v>Project_GreaterIndonesia</x:v>
      </x:c>
    </x:row>
    <x:row r="1163">
      <x:c r="A1163" s="30" t="str">
        <x:v>2026</x:v>
      </x:c>
      <x:c r="B1163" s="30" t="str">
        <x:v>Base game</x:v>
      </x:c>
      <x:c r="C1163" s="30" t="str">
        <x:v>Indonesia</x:v>
      </x:c>
      <x:c r="D1163" s="30" t="str">
        <x:v>Madagascar</x:v>
      </x:c>
      <x:c r="E1163" s="30" t="str">
        <x:v>Project unlock</x:v>
      </x:c>
      <x:c r="F1163" s="30" t="str">
        <x:v>Greater Austronesia</x:v>
      </x:c>
      <x:c r="G1163" s="30" t="str">
        <x:v>No</x:v>
      </x:c>
      <x:c r="H1163" s="30" t="str">
        <x:v>Ordinary claim</x:v>
      </x:c>
      <x:c r="I1163" s="31" t="n">
        <x:f>IF(G1163="Yes",'Controls &amp; Summary'!$B$5,'Controls &amp; Summary'!$B$4)</x:f>
        <x:v>6</x:v>
      </x:c>
      <x:c r="J1163" s="31" t="n">
        <x:v>6.37</x:v>
      </x:c>
      <x:c r="K1163" s="31" t="n">
        <x:v>5.06</x:v>
      </x:c>
      <x:c r="L1163" s="31" t="n">
        <x:f>ABS(J1163-K1163)</x:f>
        <x:v>1.3100000000000005</x:v>
      </x:c>
      <x:c r="M1163" s="31" t="n">
        <x:v>3.61</x:v>
      </x:c>
      <x:c r="N1163" s="31" t="n">
        <x:v>4.26</x:v>
      </x:c>
      <x:c r="O1163" s="31" t="n">
        <x:f>ABS(M1163-N1163)</x:f>
        <x:v>0.6499999999999999</x:v>
      </x:c>
      <x:c r="P1163" s="31" t="n">
        <x:v>6.46</x:v>
      </x:c>
      <x:c r="Q1163" s="31" t="n">
        <x:v>4.02</x:v>
      </x:c>
      <x:c r="R1163" s="31" t="n">
        <x:f>ABS(P1163-Q1163)</x:f>
        <x:v>2.4400000000000004</x:v>
      </x:c>
      <x:c r="S1163" s="32" t="n">
        <x:v>15341.497054185696</x:v>
      </x:c>
      <x:c r="T1163" s="32" t="n">
        <x:v>1686.4409135813044</x:v>
      </x:c>
      <x:c r="U1163" s="31" t="n">
        <x:f>MAX(S1163/T1163,T1163/S1163)</x:f>
        <x:v>9.096966831530843</x:v>
      </x:c>
      <x:c r="V1163" s="31" t="n">
        <x:f>L1163*'Controls &amp; Summary'!$B$9+O1163*'Controls &amp; Summary'!$B$10+R1163*'Controls &amp; Summary'!$B$11+U1163*'Controls &amp; Summary'!$B$12</x:f>
        <x:v>13.496966831530843</x:v>
      </x:c>
      <x:c r="W1163" s="31" t="n">
        <x:v>2.87</x:v>
      </x:c>
      <x:c r="X1163" s="31" t="n">
        <x:v>4</x:v>
      </x:c>
      <x:c r="Y1163" s="31" t="n">
        <x:f>((10-MIN(10,MAX(0,X1163)))/10)*'Controls &amp; Summary'!$B$15+((10-MIN(10,MAX(0,W1163)))/10)*'Controls &amp; Summary'!$B$16</x:f>
        <x:v>1.313</x:v>
      </x:c>
      <x:c r="Z1163" s="31" t="n">
        <x:f>V1163*Y1163</x:f>
        <x:v>17.721517449799997</x:v>
      </x:c>
      <x:c r="AA1163" s="30" t="str">
        <x:f>IF(Z1163&lt;=I1163,"Peaceful","Hostile")</x:f>
        <x:v>Hostile</x:v>
      </x:c>
      <x:c r="AB1163" s="30" t="str">
        <x:f>IF(Z1163&lt;='Controls &amp; Summary'!$B$6,"Eligible","Blocked")</x:f>
        <x:v>Blocked</x:v>
      </x:c>
      <x:c r="AC1163" s="30" t="str">
        <x:v>2026_IDN</x:v>
      </x:c>
      <x:c r="AD1163" s="30" t="str">
        <x:v>2026_MDG</x:v>
      </x:c>
      <x:c r="AE1163" s="30" t="str">
        <x:v>2026_Madagascar</x:v>
      </x:c>
      <x:c r="AF1163" s="30" t="str">
        <x:v>Explicit capitalClaim</x:v>
      </x:c>
      <x:c r="AG1163" s="30" t="str">
        <x:v>Claim2026_IDN2026_Madagascar</x:v>
      </x:c>
      <x:c r="AH1163" s="30" t="str">
        <x:v>Project_GreaterAustronesia</x:v>
      </x:c>
    </x:row>
    <x:row r="1164">
      <x:c r="A1164" s="30" t="str">
        <x:v>2026</x:v>
      </x:c>
      <x:c r="B1164" s="30" t="str">
        <x:v>Base game</x:v>
      </x:c>
      <x:c r="C1164" s="30" t="str">
        <x:v>Indonesia</x:v>
      </x:c>
      <x:c r="D1164" s="30" t="str">
        <x:v>Malaysia</x:v>
      </x:c>
      <x:c r="E1164" s="30" t="str">
        <x:v>Project unlock</x:v>
      </x:c>
      <x:c r="F1164" s="30" t="str">
        <x:v>Greater Indonesia</x:v>
      </x:c>
      <x:c r="G1164" s="30" t="str">
        <x:v>No</x:v>
      </x:c>
      <x:c r="H1164" s="30" t="str">
        <x:v>Ordinary claim</x:v>
      </x:c>
      <x:c r="I1164" s="31" t="n">
        <x:f>IF(G1164="Yes",'Controls &amp; Summary'!$B$5,'Controls &amp; Summary'!$B$4)</x:f>
        <x:v>6</x:v>
      </x:c>
      <x:c r="J1164" s="31" t="n">
        <x:v>6.37</x:v>
      </x:c>
      <x:c r="K1164" s="31" t="n">
        <x:v>7.11</x:v>
      </x:c>
      <x:c r="L1164" s="31" t="n">
        <x:f>ABS(J1164-K1164)</x:f>
        <x:v>0.7400000000000002</x:v>
      </x:c>
      <x:c r="M1164" s="31" t="n">
        <x:v>3.61</x:v>
      </x:c>
      <x:c r="N1164" s="31" t="n">
        <x:v>4.07</x:v>
      </x:c>
      <x:c r="O1164" s="31" t="n">
        <x:f>ABS(M1164-N1164)</x:f>
        <x:v>0.4600000000000004</x:v>
      </x:c>
      <x:c r="P1164" s="31" t="n">
        <x:v>6.46</x:v>
      </x:c>
      <x:c r="Q1164" s="31" t="n">
        <x:v>7.08</x:v>
      </x:c>
      <x:c r="R1164" s="31" t="n">
        <x:f>ABS(P1164-Q1164)</x:f>
        <x:v>0.6200000000000001</x:v>
      </x:c>
      <x:c r="S1164" s="32" t="n">
        <x:v>15341.497054185696</x:v>
      </x:c>
      <x:c r="T1164" s="32" t="n">
        <x:v>35749.84868812425</x:v>
      </x:c>
      <x:c r="U1164" s="31" t="n">
        <x:f>MAX(S1164/T1164,T1164/S1164)</x:f>
        <x:v>2.330271195950231</x:v>
      </x:c>
      <x:c r="V1164" s="31" t="n">
        <x:f>L1164*'Controls &amp; Summary'!$B$9+O1164*'Controls &amp; Summary'!$B$10+R1164*'Controls &amp; Summary'!$B$11+U1164*'Controls &amp; Summary'!$B$12</x:f>
        <x:v>4.150271195950232</x:v>
      </x:c>
      <x:c r="W1164" s="31" t="n">
        <x:v>2.87</x:v>
      </x:c>
      <x:c r="X1164" s="31" t="n">
        <x:v>1</x:v>
      </x:c>
      <x:c r="Y1164" s="31" t="n">
        <x:f>((10-MIN(10,MAX(0,X1164)))/10)*'Controls &amp; Summary'!$B$15+((10-MIN(10,MAX(0,W1164)))/10)*'Controls &amp; Summary'!$B$16</x:f>
        <x:v>1.613</x:v>
      </x:c>
      <x:c r="Z1164" s="31" t="n">
        <x:f>V1164*Y1164</x:f>
        <x:v>6.694387439067724</x:v>
      </x:c>
      <x:c r="AA1164" s="30" t="str">
        <x:f>IF(Z1164&lt;=I1164,"Peaceful","Hostile")</x:f>
        <x:v>Hostile</x:v>
      </x:c>
      <x:c r="AB1164" s="30" t="str">
        <x:f>IF(Z1164&lt;='Controls &amp; Summary'!$B$6,"Eligible","Blocked")</x:f>
        <x:v>Eligible</x:v>
      </x:c>
      <x:c r="AC1164" s="30" t="str">
        <x:v>2026_IDN</x:v>
      </x:c>
      <x:c r="AD1164" s="30" t="str">
        <x:v>2026_MYS</x:v>
      </x:c>
      <x:c r="AE1164" s="30" t="str">
        <x:v>2026_MalayPeninsula</x:v>
      </x:c>
      <x:c r="AF1164" s="30" t="str">
        <x:v>Explicit capitalClaim</x:v>
      </x:c>
      <x:c r="AG1164" s="30" t="str">
        <x:v>Claim2026_IDN2026_MalayPeninsula</x:v>
      </x:c>
      <x:c r="AH1164" s="30" t="str">
        <x:v>Project_GreaterIndonesia</x:v>
      </x:c>
    </x:row>
    <x:row r="1165">
      <x:c r="A1165" s="30" t="str">
        <x:v>2026</x:v>
      </x:c>
      <x:c r="B1165" s="30" t="str">
        <x:v>Base game</x:v>
      </x:c>
      <x:c r="C1165" s="30" t="str">
        <x:v>Indonesia</x:v>
      </x:c>
      <x:c r="D1165" s="30" t="str">
        <x:v>Melanesian States</x:v>
      </x:c>
      <x:c r="E1165" s="30" t="str">
        <x:v>Project unlock</x:v>
      </x:c>
      <x:c r="F1165" s="30" t="str">
        <x:v>Greater Indonesia</x:v>
      </x:c>
      <x:c r="G1165" s="30" t="str">
        <x:v>No</x:v>
      </x:c>
      <x:c r="H1165" s="30" t="str">
        <x:v>Ordinary claim</x:v>
      </x:c>
      <x:c r="I1165" s="31" t="n">
        <x:f>IF(G1165="Yes",'Controls &amp; Summary'!$B$5,'Controls &amp; Summary'!$B$4)</x:f>
        <x:v>6</x:v>
      </x:c>
      <x:c r="J1165" s="31" t="n">
        <x:v>6.37</x:v>
      </x:c>
      <x:c r="K1165" s="31" t="n">
        <x:v>6.59</x:v>
      </x:c>
      <x:c r="L1165" s="31" t="n">
        <x:f>ABS(J1165-K1165)</x:f>
        <x:v>0.21999999999999975</x:v>
      </x:c>
      <x:c r="M1165" s="31" t="n">
        <x:v>3.61</x:v>
      </x:c>
      <x:c r="N1165" s="31" t="n">
        <x:v>3.35</x:v>
      </x:c>
      <x:c r="O1165" s="31" t="n">
        <x:f>ABS(M1165-N1165)</x:f>
        <x:v>0.2599999999999998</x:v>
      </x:c>
      <x:c r="P1165" s="31" t="n">
        <x:v>6.46</x:v>
      </x:c>
      <x:c r="Q1165" s="31" t="n">
        <x:v>6.04</x:v>
      </x:c>
      <x:c r="R1165" s="31" t="n">
        <x:f>ABS(P1165-Q1165)</x:f>
        <x:v>0.41999999999999993</x:v>
      </x:c>
      <x:c r="S1165" s="32" t="n">
        <x:v>15341.497054185696</x:v>
      </x:c>
      <x:c r="T1165" s="32" t="n">
        <x:v>7773.8101419274935</x:v>
      </x:c>
      <x:c r="U1165" s="31" t="n">
        <x:f>MAX(S1165/T1165,T1165/S1165)</x:f>
        <x:v>1.9734849159027463</x:v>
      </x:c>
      <x:c r="V1165" s="31" t="n">
        <x:f>L1165*'Controls &amp; Summary'!$B$9+O1165*'Controls &amp; Summary'!$B$10+R1165*'Controls &amp; Summary'!$B$11+U1165*'Controls &amp; Summary'!$B$12</x:f>
        <x:v>2.873484915902746</x:v>
      </x:c>
      <x:c r="W1165" s="31" t="n">
        <x:v>2.87</x:v>
      </x:c>
      <x:c r="X1165" s="31" t="n">
        <x:v>0.22</x:v>
      </x:c>
      <x:c r="Y1165" s="31" t="n">
        <x:f>((10-MIN(10,MAX(0,X1165)))/10)*'Controls &amp; Summary'!$B$15+((10-MIN(10,MAX(0,W1165)))/10)*'Controls &amp; Summary'!$B$16</x:f>
        <x:v>1.6909999999999998</x:v>
      </x:c>
      <x:c r="Z1165" s="31" t="n">
        <x:f>V1165*Y1165</x:f>
        <x:v>4.859062992791543</x:v>
      </x:c>
      <x:c r="AA1165" s="30" t="str">
        <x:f>IF(Z1165&lt;=I1165,"Peaceful","Hostile")</x:f>
        <x:v>Peaceful</x:v>
      </x:c>
      <x:c r="AB1165" s="30" t="str">
        <x:f>IF(Z1165&lt;='Controls &amp; Summary'!$B$6,"Eligible","Blocked")</x:f>
        <x:v>Eligible</x:v>
      </x:c>
      <x:c r="AC1165" s="30" t="str">
        <x:v>2026_IDN</x:v>
      </x:c>
      <x:c r="AD1165" s="30" t="str">
        <x:v>2026_PCS</x:v>
      </x:c>
      <x:c r="AE1165" s="30" t="str">
        <x:v>2026_Melanesia</x:v>
      </x:c>
      <x:c r="AF1165" s="30" t="str">
        <x:v>Explicit capitalClaim</x:v>
      </x:c>
      <x:c r="AG1165" s="30" t="str">
        <x:v>Claim2026_IDN2026_Melanesia</x:v>
      </x:c>
      <x:c r="AH1165" s="30" t="str">
        <x:v>Project_GreaterIndonesia</x:v>
      </x:c>
    </x:row>
    <x:row r="1166">
      <x:c r="A1166" s="30" t="str">
        <x:v>2026</x:v>
      </x:c>
      <x:c r="B1166" s="30" t="str">
        <x:v>Base game</x:v>
      </x:c>
      <x:c r="C1166" s="30" t="str">
        <x:v>Indonesia</x:v>
      </x:c>
      <x:c r="D1166" s="30" t="str">
        <x:v>Micronesian States</x:v>
      </x:c>
      <x:c r="E1166" s="30" t="str">
        <x:v>Project unlock</x:v>
      </x:c>
      <x:c r="F1166" s="30" t="str">
        <x:v>Greater Austronesia</x:v>
      </x:c>
      <x:c r="G1166" s="30" t="str">
        <x:v>No</x:v>
      </x:c>
      <x:c r="H1166" s="30" t="str">
        <x:v>Ordinary claim</x:v>
      </x:c>
      <x:c r="I1166" s="31" t="n">
        <x:f>IF(G1166="Yes",'Controls &amp; Summary'!$B$5,'Controls &amp; Summary'!$B$4)</x:f>
        <x:v>6</x:v>
      </x:c>
      <x:c r="J1166" s="31" t="n">
        <x:v>6.37</x:v>
      </x:c>
      <x:c r="K1166" s="31" t="n">
        <x:v>8.44</x:v>
      </x:c>
      <x:c r="L1166" s="31" t="n">
        <x:f>ABS(J1166-K1166)</x:f>
        <x:v>2.0699999999999994</x:v>
      </x:c>
      <x:c r="M1166" s="31" t="n">
        <x:v>3.61</x:v>
      </x:c>
      <x:c r="N1166" s="31" t="n">
        <x:v>3.44</x:v>
      </x:c>
      <x:c r="O1166" s="31" t="n">
        <x:f>ABS(M1166-N1166)</x:f>
        <x:v>0.16999999999999993</x:v>
      </x:c>
      <x:c r="P1166" s="31" t="n">
        <x:v>6.46</x:v>
      </x:c>
      <x:c r="Q1166" s="31" t="n">
        <x:v>6.31</x:v>
      </x:c>
      <x:c r="R1166" s="31" t="n">
        <x:f>ABS(P1166-Q1166)</x:f>
        <x:v>0.15000000000000036</x:v>
      </x:c>
      <x:c r="S1166" s="32" t="n">
        <x:v>15341.497054185696</x:v>
      </x:c>
      <x:c r="T1166" s="32" t="n">
        <x:v>5608.000563925171</x:v>
      </x:c>
      <x:c r="U1166" s="31" t="n">
        <x:f>MAX(S1166/T1166,T1166/S1166)</x:f>
        <x:v>2.7356447060425797</x:v>
      </x:c>
      <x:c r="V1166" s="31" t="n">
        <x:f>L1166*'Controls &amp; Summary'!$B$9+O1166*'Controls &amp; Summary'!$B$10+R1166*'Controls &amp; Summary'!$B$11+U1166*'Controls &amp; Summary'!$B$12</x:f>
        <x:v>5.125644706042579</x:v>
      </x:c>
      <x:c r="W1166" s="31" t="n">
        <x:v>2.87</x:v>
      </x:c>
      <x:c r="X1166" s="31" t="n">
        <x:v>0</x:v>
      </x:c>
      <x:c r="Y1166" s="31" t="n">
        <x:f>((10-MIN(10,MAX(0,X1166)))/10)*'Controls &amp; Summary'!$B$15+((10-MIN(10,MAX(0,W1166)))/10)*'Controls &amp; Summary'!$B$16</x:f>
        <x:v>1.713</x:v>
      </x:c>
      <x:c r="Z1166" s="31" t="n">
        <x:f>V1166*Y1166</x:f>
        <x:v>8.780229381450939</x:v>
      </x:c>
      <x:c r="AA1166" s="30" t="str">
        <x:f>IF(Z1166&lt;=I1166,"Peaceful","Hostile")</x:f>
        <x:v>Hostile</x:v>
      </x:c>
      <x:c r="AB1166" s="30" t="str">
        <x:f>IF(Z1166&lt;='Controls &amp; Summary'!$B$6,"Eligible","Blocked")</x:f>
        <x:v>Eligible</x:v>
      </x:c>
      <x:c r="AC1166" s="30" t="str">
        <x:v>2026_IDN</x:v>
      </x:c>
      <x:c r="AD1166" s="30" t="str">
        <x:v>2026_MCS</x:v>
      </x:c>
      <x:c r="AE1166" s="30" t="str">
        <x:v>2026_Micronesia</x:v>
      </x:c>
      <x:c r="AF1166" s="30" t="str">
        <x:v>Explicit capitalClaim</x:v>
      </x:c>
      <x:c r="AG1166" s="30" t="str">
        <x:v>Claim2026_IDN2026_Micronesia</x:v>
      </x:c>
      <x:c r="AH1166" s="30" t="str">
        <x:v>Project_GreaterAustronesia</x:v>
      </x:c>
    </x:row>
    <x:row r="1167">
      <x:c r="A1167" s="30" t="str">
        <x:v>2026</x:v>
      </x:c>
      <x:c r="B1167" s="30" t="str">
        <x:v>Base game</x:v>
      </x:c>
      <x:c r="C1167" s="30" t="str">
        <x:v>Indonesia</x:v>
      </x:c>
      <x:c r="D1167" s="30" t="str">
        <x:v>New Zealand</x:v>
      </x:c>
      <x:c r="E1167" s="30" t="str">
        <x:v>Project unlock</x:v>
      </x:c>
      <x:c r="F1167" s="30" t="str">
        <x:v>Greater Austronesia</x:v>
      </x:c>
      <x:c r="G1167" s="30" t="str">
        <x:v>No</x:v>
      </x:c>
      <x:c r="H1167" s="30" t="str">
        <x:v>Ordinary claim</x:v>
      </x:c>
      <x:c r="I1167" s="31" t="n">
        <x:f>IF(G1167="Yes",'Controls &amp; Summary'!$B$5,'Controls &amp; Summary'!$B$4)</x:f>
        <x:v>6</x:v>
      </x:c>
      <x:c r="J1167" s="31" t="n">
        <x:v>6.37</x:v>
      </x:c>
      <x:c r="K1167" s="31" t="n">
        <x:v>9.62</x:v>
      </x:c>
      <x:c r="L1167" s="31" t="n">
        <x:f>ABS(J1167-K1167)</x:f>
        <x:v>3.249999999999999</x:v>
      </x:c>
      <x:c r="M1167" s="31" t="n">
        <x:v>3.61</x:v>
      </x:c>
      <x:c r="N1167" s="31" t="n">
        <x:v>3.45</x:v>
      </x:c>
      <x:c r="O1167" s="31" t="n">
        <x:f>ABS(M1167-N1167)</x:f>
        <x:v>0.1599999999999997</x:v>
      </x:c>
      <x:c r="P1167" s="31" t="n">
        <x:v>6.46</x:v>
      </x:c>
      <x:c r="Q1167" s="31" t="n">
        <x:v>9.42</x:v>
      </x:c>
      <x:c r="R1167" s="31" t="n">
        <x:f>ABS(P1167-Q1167)</x:f>
        <x:v>2.96</x:v>
      </x:c>
      <x:c r="S1167" s="32" t="n">
        <x:v>15341.497054185696</x:v>
      </x:c>
      <x:c r="T1167" s="32" t="n">
        <x:v>52697.412698944056</x:v>
      </x:c>
      <x:c r="U1167" s="31" t="n">
        <x:f>MAX(S1167/T1167,T1167/S1167)</x:f>
        <x:v>3.4349589556233275</x:v>
      </x:c>
      <x:c r="V1167" s="31" t="n">
        <x:f>L1167*'Controls &amp; Summary'!$B$9+O1167*'Controls &amp; Summary'!$B$10+R1167*'Controls &amp; Summary'!$B$11+U1167*'Controls &amp; Summary'!$B$12</x:f>
        <x:v>9.804958955623327</x:v>
      </x:c>
      <x:c r="W1167" s="31" t="n">
        <x:v>2.87</x:v>
      </x:c>
      <x:c r="X1167" s="31" t="n">
        <x:v>0</x:v>
      </x:c>
      <x:c r="Y1167" s="31" t="n">
        <x:f>((10-MIN(10,MAX(0,X1167)))/10)*'Controls &amp; Summary'!$B$15+((10-MIN(10,MAX(0,W1167)))/10)*'Controls &amp; Summary'!$B$16</x:f>
        <x:v>1.713</x:v>
      </x:c>
      <x:c r="Z1167" s="31" t="n">
        <x:f>V1167*Y1167</x:f>
        <x:v>16.79589469098276</x:v>
      </x:c>
      <x:c r="AA1167" s="30" t="str">
        <x:f>IF(Z1167&lt;=I1167,"Peaceful","Hostile")</x:f>
        <x:v>Hostile</x:v>
      </x:c>
      <x:c r="AB1167" s="30" t="str">
        <x:f>IF(Z1167&lt;='Controls &amp; Summary'!$B$6,"Eligible","Blocked")</x:f>
        <x:v>Blocked</x:v>
      </x:c>
      <x:c r="AC1167" s="30" t="str">
        <x:v>2026_IDN</x:v>
      </x:c>
      <x:c r="AD1167" s="30" t="str">
        <x:v>2026_NZL</x:v>
      </x:c>
      <x:c r="AE1167" s="30" t="str">
        <x:v>2026_NewZealand</x:v>
      </x:c>
      <x:c r="AF1167" s="30" t="str">
        <x:v>Explicit capitalClaim</x:v>
      </x:c>
      <x:c r="AG1167" s="30" t="str">
        <x:v>Claim2026_IDN2026_NewZealand</x:v>
      </x:c>
      <x:c r="AH1167" s="30" t="str">
        <x:v>Project_GreaterAustronesia</x:v>
      </x:c>
    </x:row>
    <x:row r="1168">
      <x:c r="A1168" s="30" t="str">
        <x:v>2026</x:v>
      </x:c>
      <x:c r="B1168" s="30" t="str">
        <x:v>Base game</x:v>
      </x:c>
      <x:c r="C1168" s="30" t="str">
        <x:v>Indonesia</x:v>
      </x:c>
      <x:c r="D1168" s="30" t="str">
        <x:v>Papua New Guinea</x:v>
      </x:c>
      <x:c r="E1168" s="30" t="str">
        <x:v>Project unlock</x:v>
      </x:c>
      <x:c r="F1168" s="30" t="str">
        <x:v>Greater Indonesia</x:v>
      </x:c>
      <x:c r="G1168" s="30" t="str">
        <x:v>No</x:v>
      </x:c>
      <x:c r="H1168" s="30" t="str">
        <x:v>Ordinary claim</x:v>
      </x:c>
      <x:c r="I1168" s="31" t="n">
        <x:f>IF(G1168="Yes",'Controls &amp; Summary'!$B$5,'Controls &amp; Summary'!$B$4)</x:f>
        <x:v>6</x:v>
      </x:c>
      <x:c r="J1168" s="31" t="n">
        <x:v>6.37</x:v>
      </x:c>
      <x:c r="K1168" s="31" t="n">
        <x:v>5.9</x:v>
      </x:c>
      <x:c r="L1168" s="31" t="n">
        <x:f>ABS(J1168-K1168)</x:f>
        <x:v>0.46999999999999975</x:v>
      </x:c>
      <x:c r="M1168" s="31" t="n">
        <x:v>3.61</x:v>
      </x:c>
      <x:c r="N1168" s="31" t="n">
        <x:v>3.88</x:v>
      </x:c>
      <x:c r="O1168" s="31" t="n">
        <x:f>ABS(M1168-N1168)</x:f>
        <x:v>0.27</x:v>
      </x:c>
      <x:c r="P1168" s="31" t="n">
        <x:v>6.46</x:v>
      </x:c>
      <x:c r="Q1168" s="31" t="n">
        <x:v>4.39</x:v>
      </x:c>
      <x:c r="R1168" s="31" t="n">
        <x:f>ABS(P1168-Q1168)</x:f>
        <x:v>2.0700000000000003</x:v>
      </x:c>
      <x:c r="S1168" s="32" t="n">
        <x:v>15341.497054185696</x:v>
      </x:c>
      <x:c r="T1168" s="32" t="n">
        <x:v>3866.49138716577</x:v>
      </x:c>
      <x:c r="U1168" s="31" t="n">
        <x:f>MAX(S1168/T1168,T1168/S1168)</x:f>
        <x:v>3.9678084128441258</x:v>
      </x:c>
      <x:c r="V1168" s="31" t="n">
        <x:f>L1168*'Controls &amp; Summary'!$B$9+O1168*'Controls &amp; Summary'!$B$10+R1168*'Controls &amp; Summary'!$B$11+U1168*'Controls &amp; Summary'!$B$12</x:f>
        <x:v>6.777808412844125</x:v>
      </x:c>
      <x:c r="W1168" s="31" t="n">
        <x:v>2.87</x:v>
      </x:c>
      <x:c r="X1168" s="31" t="n">
        <x:v>3</x:v>
      </x:c>
      <x:c r="Y1168" s="31" t="n">
        <x:f>((10-MIN(10,MAX(0,X1168)))/10)*'Controls &amp; Summary'!$B$15+((10-MIN(10,MAX(0,W1168)))/10)*'Controls &amp; Summary'!$B$16</x:f>
        <x:v>1.4129999999999998</x:v>
      </x:c>
      <x:c r="Z1168" s="31" t="n">
        <x:f>V1168*Y1168</x:f>
        <x:v>9.577043287348747</x:v>
      </x:c>
      <x:c r="AA1168" s="30" t="str">
        <x:f>IF(Z1168&lt;=I1168,"Peaceful","Hostile")</x:f>
        <x:v>Hostile</x:v>
      </x:c>
      <x:c r="AB1168" s="30" t="str">
        <x:f>IF(Z1168&lt;='Controls &amp; Summary'!$B$6,"Eligible","Blocked")</x:f>
        <x:v>Eligible</x:v>
      </x:c>
      <x:c r="AC1168" s="30" t="str">
        <x:v>2026_IDN</x:v>
      </x:c>
      <x:c r="AD1168" s="30" t="str">
        <x:v>2026_PNG</x:v>
      </x:c>
      <x:c r="AE1168" s="30" t="str">
        <x:v>2026_PortMorseby</x:v>
      </x:c>
      <x:c r="AF1168" s="30" t="str">
        <x:v>Explicit capitalClaim</x:v>
      </x:c>
      <x:c r="AG1168" s="30" t="str">
        <x:v>Claim2026_IDN2026_PortMorseby</x:v>
      </x:c>
      <x:c r="AH1168" s="30" t="str">
        <x:v>Project_GreaterIndonesia</x:v>
      </x:c>
    </x:row>
    <x:row r="1169">
      <x:c r="A1169" s="30" t="str">
        <x:v>2026</x:v>
      </x:c>
      <x:c r="B1169" s="30" t="str">
        <x:v>Base game</x:v>
      </x:c>
      <x:c r="C1169" s="30" t="str">
        <x:v>Indonesia</x:v>
      </x:c>
      <x:c r="D1169" s="30" t="str">
        <x:v>Philippines</x:v>
      </x:c>
      <x:c r="E1169" s="30" t="str">
        <x:v>Project unlock</x:v>
      </x:c>
      <x:c r="F1169" s="30" t="str">
        <x:v>Greater Austronesia</x:v>
      </x:c>
      <x:c r="G1169" s="30" t="str">
        <x:v>No</x:v>
      </x:c>
      <x:c r="H1169" s="30" t="str">
        <x:v>Ordinary claim</x:v>
      </x:c>
      <x:c r="I1169" s="31" t="n">
        <x:f>IF(G1169="Yes",'Controls &amp; Summary'!$B$5,'Controls &amp; Summary'!$B$4)</x:f>
        <x:v>6</x:v>
      </x:c>
      <x:c r="J1169" s="31" t="n">
        <x:v>6.37</x:v>
      </x:c>
      <x:c r="K1169" s="31" t="n">
        <x:v>6.31</x:v>
      </x:c>
      <x:c r="L1169" s="31" t="n">
        <x:f>ABS(J1169-K1169)</x:f>
        <x:v>0.0600000000000005</x:v>
      </x:c>
      <x:c r="M1169" s="31" t="n">
        <x:v>3.61</x:v>
      </x:c>
      <x:c r="N1169" s="31" t="n">
        <x:v>4.07</x:v>
      </x:c>
      <x:c r="O1169" s="31" t="n">
        <x:f>ABS(M1169-N1169)</x:f>
        <x:v>0.4600000000000004</x:v>
      </x:c>
      <x:c r="P1169" s="31" t="n">
        <x:v>6.46</x:v>
      </x:c>
      <x:c r="Q1169" s="31" t="n">
        <x:v>6.75</x:v>
      </x:c>
      <x:c r="R1169" s="31" t="n">
        <x:f>ABS(P1169-Q1169)</x:f>
        <x:v>0.29000000000000004</x:v>
      </x:c>
      <x:c r="S1169" s="32" t="n">
        <x:v>15341.497054185696</x:v>
      </x:c>
      <x:c r="T1169" s="32" t="n">
        <x:v>11046.009872951565</x:v>
      </x:c>
      <x:c r="U1169" s="31" t="n">
        <x:f>MAX(S1169/T1169,T1169/S1169)</x:f>
        <x:v>1.3888722924060133</x:v>
      </x:c>
      <x:c r="V1169" s="31" t="n">
        <x:f>L1169*'Controls &amp; Summary'!$B$9+O1169*'Controls &amp; Summary'!$B$10+R1169*'Controls &amp; Summary'!$B$11+U1169*'Controls &amp; Summary'!$B$12</x:f>
        <x:v>2.1988722924060142</x:v>
      </x:c>
      <x:c r="W1169" s="31" t="n">
        <x:v>2.87</x:v>
      </x:c>
      <x:c r="X1169" s="31" t="n">
        <x:v>4.75</x:v>
      </x:c>
      <x:c r="Y1169" s="31" t="n">
        <x:f>((10-MIN(10,MAX(0,X1169)))/10)*'Controls &amp; Summary'!$B$15+((10-MIN(10,MAX(0,W1169)))/10)*'Controls &amp; Summary'!$B$16</x:f>
        <x:v>1.238</x:v>
      </x:c>
      <x:c r="Z1169" s="31" t="n">
        <x:f>V1169*Y1169</x:f>
        <x:v>2.7222038979986456</x:v>
      </x:c>
      <x:c r="AA1169" s="30" t="str">
        <x:f>IF(Z1169&lt;=I1169,"Peaceful","Hostile")</x:f>
        <x:v>Peaceful</x:v>
      </x:c>
      <x:c r="AB1169" s="30" t="str">
        <x:f>IF(Z1169&lt;='Controls &amp; Summary'!$B$6,"Eligible","Blocked")</x:f>
        <x:v>Eligible</x:v>
      </x:c>
      <x:c r="AC1169" s="30" t="str">
        <x:v>2026_IDN</x:v>
      </x:c>
      <x:c r="AD1169" s="30" t="str">
        <x:v>2026_PHL</x:v>
      </x:c>
      <x:c r="AE1169" s="30" t="str">
        <x:v>2026_Luzon</x:v>
      </x:c>
      <x:c r="AF1169" s="30" t="str">
        <x:v>Explicit capitalClaim</x:v>
      </x:c>
      <x:c r="AG1169" s="30" t="str">
        <x:v>Claim2026_IDN2026_Luzon</x:v>
      </x:c>
      <x:c r="AH1169" s="30" t="str">
        <x:v>Project_GreaterAustronesia</x:v>
      </x:c>
    </x:row>
    <x:row r="1170">
      <x:c r="A1170" s="30" t="str">
        <x:v>2026</x:v>
      </x:c>
      <x:c r="B1170" s="30" t="str">
        <x:v>Base game</x:v>
      </x:c>
      <x:c r="C1170" s="30" t="str">
        <x:v>Indonesia</x:v>
      </x:c>
      <x:c r="D1170" s="30" t="str">
        <x:v>Polynesian States</x:v>
      </x:c>
      <x:c r="E1170" s="30" t="str">
        <x:v>Project unlock</x:v>
      </x:c>
      <x:c r="F1170" s="30" t="str">
        <x:v>Greater Austronesia</x:v>
      </x:c>
      <x:c r="G1170" s="30" t="str">
        <x:v>No</x:v>
      </x:c>
      <x:c r="H1170" s="30" t="str">
        <x:v>Ordinary claim</x:v>
      </x:c>
      <x:c r="I1170" s="31" t="n">
        <x:f>IF(G1170="Yes",'Controls &amp; Summary'!$B$5,'Controls &amp; Summary'!$B$4)</x:f>
        <x:v>6</x:v>
      </x:c>
      <x:c r="J1170" s="31" t="n">
        <x:v>6.37</x:v>
      </x:c>
      <x:c r="K1170" s="31" t="n">
        <x:v>7.91</x:v>
      </x:c>
      <x:c r="L1170" s="31" t="n">
        <x:f>ABS(J1170-K1170)</x:f>
        <x:v>1.54</x:v>
      </x:c>
      <x:c r="M1170" s="31" t="n">
        <x:v>3.61</x:v>
      </x:c>
      <x:c r="N1170" s="31" t="n">
        <x:v>3.5</x:v>
      </x:c>
      <x:c r="O1170" s="31" t="n">
        <x:f>ABS(M1170-N1170)</x:f>
        <x:v>0.10999999999999988</x:v>
      </x:c>
      <x:c r="P1170" s="31" t="n">
        <x:v>6.46</x:v>
      </x:c>
      <x:c r="Q1170" s="31" t="n">
        <x:v>7.45</x:v>
      </x:c>
      <x:c r="R1170" s="31" t="n">
        <x:f>ABS(P1170-Q1170)</x:f>
        <x:v>0.9900000000000002</x:v>
      </x:c>
      <x:c r="S1170" s="32" t="n">
        <x:v>15341.497054185696</x:v>
      </x:c>
      <x:c r="T1170" s="32" t="n">
        <x:v>7173.380061675053</x:v>
      </x:c>
      <x:c r="U1170" s="31" t="n">
        <x:f>MAX(S1170/T1170,T1170/S1170)</x:f>
        <x:v>2.1386706019035757</x:v>
      </x:c>
      <x:c r="V1170" s="31" t="n">
        <x:f>L1170*'Controls &amp; Summary'!$B$9+O1170*'Controls &amp; Summary'!$B$10+R1170*'Controls &amp; Summary'!$B$11+U1170*'Controls &amp; Summary'!$B$12</x:f>
        <x:v>4.778670601903576</x:v>
      </x:c>
      <x:c r="W1170" s="31" t="n">
        <x:v>2.87</x:v>
      </x:c>
      <x:c r="X1170" s="31" t="n">
        <x:v>0</x:v>
      </x:c>
      <x:c r="Y1170" s="31" t="n">
        <x:f>((10-MIN(10,MAX(0,X1170)))/10)*'Controls &amp; Summary'!$B$15+((10-MIN(10,MAX(0,W1170)))/10)*'Controls &amp; Summary'!$B$16</x:f>
        <x:v>1.713</x:v>
      </x:c>
      <x:c r="Z1170" s="31" t="n">
        <x:f>V1170*Y1170</x:f>
        <x:v>8.185862741060825</x:v>
      </x:c>
      <x:c r="AA1170" s="30" t="str">
        <x:f>IF(Z1170&lt;=I1170,"Peaceful","Hostile")</x:f>
        <x:v>Hostile</x:v>
      </x:c>
      <x:c r="AB1170" s="30" t="str">
        <x:f>IF(Z1170&lt;='Controls &amp; Summary'!$B$6,"Eligible","Blocked")</x:f>
        <x:v>Eligible</x:v>
      </x:c>
      <x:c r="AC1170" s="30" t="str">
        <x:v>2026_IDN</x:v>
      </x:c>
      <x:c r="AD1170" s="30" t="str">
        <x:v>2026_PLS</x:v>
      </x:c>
      <x:c r="AE1170" s="30" t="str">
        <x:v>2026_Polynesia</x:v>
      </x:c>
      <x:c r="AF1170" s="30" t="str">
        <x:v>Explicit capitalClaim</x:v>
      </x:c>
      <x:c r="AG1170" s="30" t="str">
        <x:v>Claim2026_IDN2026_Polynesia</x:v>
      </x:c>
      <x:c r="AH1170" s="30" t="str">
        <x:v>Project_GreaterAustronesia</x:v>
      </x:c>
    </x:row>
    <x:row r="1171">
      <x:c r="A1171" s="30" t="str">
        <x:v>2026</x:v>
      </x:c>
      <x:c r="B1171" s="30" t="str">
        <x:v>Base game</x:v>
      </x:c>
      <x:c r="C1171" s="30" t="str">
        <x:v>Indonesia</x:v>
      </x:c>
      <x:c r="D1171" s="30" t="str">
        <x:v>Singapore</x:v>
      </x:c>
      <x:c r="E1171" s="30" t="str">
        <x:v>Project unlock</x:v>
      </x:c>
      <x:c r="F1171" s="30" t="str">
        <x:v>Greater Indonesia</x:v>
      </x:c>
      <x:c r="G1171" s="30" t="str">
        <x:v>No</x:v>
      </x:c>
      <x:c r="H1171" s="30" t="str">
        <x:v>Ordinary claim</x:v>
      </x:c>
      <x:c r="I1171" s="31" t="n">
        <x:f>IF(G1171="Yes",'Controls &amp; Summary'!$B$5,'Controls &amp; Summary'!$B$4)</x:f>
        <x:v>6</x:v>
      </x:c>
      <x:c r="J1171" s="31" t="n">
        <x:v>6.37</x:v>
      </x:c>
      <x:c r="K1171" s="31" t="n">
        <x:v>6.18</x:v>
      </x:c>
      <x:c r="L1171" s="31" t="n">
        <x:f>ABS(J1171-K1171)</x:f>
        <x:v>0.1900000000000004</x:v>
      </x:c>
      <x:c r="M1171" s="31" t="n">
        <x:v>3.61</x:v>
      </x:c>
      <x:c r="N1171" s="31" t="n">
        <x:v>3.8</x:v>
      </x:c>
      <x:c r="O1171" s="31" t="n">
        <x:f>ABS(M1171-N1171)</x:f>
        <x:v>0.18999999999999995</x:v>
      </x:c>
      <x:c r="P1171" s="31" t="n">
        <x:v>6.46</x:v>
      </x:c>
      <x:c r="Q1171" s="31" t="n">
        <x:v>8.44</x:v>
      </x:c>
      <x:c r="R1171" s="31" t="n">
        <x:f>ABS(P1171-Q1171)</x:f>
        <x:v>1.9799999999999995</x:v>
      </x:c>
      <x:c r="S1171" s="32" t="n">
        <x:v>15341.497054185696</x:v>
      </x:c>
      <x:c r="T1171" s="32" t="n">
        <x:v>141950.98063784637</x:v>
      </x:c>
      <x:c r="U1171" s="31" t="n">
        <x:f>MAX(S1171/T1171,T1171/S1171)</x:f>
        <x:v>9.252746334759891</x:v>
      </x:c>
      <x:c r="V1171" s="31" t="n">
        <x:f>L1171*'Controls &amp; Summary'!$B$9+O1171*'Controls &amp; Summary'!$B$10+R1171*'Controls &amp; Summary'!$B$11+U1171*'Controls &amp; Summary'!$B$12</x:f>
        <x:v>11.61274633475989</x:v>
      </x:c>
      <x:c r="W1171" s="31" t="n">
        <x:v>2.87</x:v>
      </x:c>
      <x:c r="X1171" s="31" t="n">
        <x:v>0</x:v>
      </x:c>
      <x:c r="Y1171" s="31" t="n">
        <x:f>((10-MIN(10,MAX(0,X1171)))/10)*'Controls &amp; Summary'!$B$15+((10-MIN(10,MAX(0,W1171)))/10)*'Controls &amp; Summary'!$B$16</x:f>
        <x:v>1.713</x:v>
      </x:c>
      <x:c r="Z1171" s="31" t="n">
        <x:f>V1171*Y1171</x:f>
        <x:v>19.892634471443692</x:v>
      </x:c>
      <x:c r="AA1171" s="30" t="str">
        <x:f>IF(Z1171&lt;=I1171,"Peaceful","Hostile")</x:f>
        <x:v>Hostile</x:v>
      </x:c>
      <x:c r="AB1171" s="30" t="str">
        <x:f>IF(Z1171&lt;='Controls &amp; Summary'!$B$6,"Eligible","Blocked")</x:f>
        <x:v>Blocked</x:v>
      </x:c>
      <x:c r="AC1171" s="30" t="str">
        <x:v>2026_IDN</x:v>
      </x:c>
      <x:c r="AD1171" s="30" t="str">
        <x:v>2026_SGP</x:v>
      </x:c>
      <x:c r="AE1171" s="30" t="str">
        <x:v>2026_Singapore</x:v>
      </x:c>
      <x:c r="AF1171" s="30" t="str">
        <x:v>Explicit capitalClaim</x:v>
      </x:c>
      <x:c r="AG1171" s="30" t="str">
        <x:v>Claim2026_IDN2026_Singapore</x:v>
      </x:c>
      <x:c r="AH1171" s="30" t="str">
        <x:v>Project_GreaterIndonesia</x:v>
      </x:c>
    </x:row>
    <x:row r="1172">
      <x:c r="A1172" s="30" t="str">
        <x:v>2026</x:v>
      </x:c>
      <x:c r="B1172" s="30" t="str">
        <x:v>Base game</x:v>
      </x:c>
      <x:c r="C1172" s="30" t="str">
        <x:v>Indonesia</x:v>
      </x:c>
      <x:c r="D1172" s="30" t="str">
        <x:v>Taiwan</x:v>
      </x:c>
      <x:c r="E1172" s="30" t="str">
        <x:v>Project unlock</x:v>
      </x:c>
      <x:c r="F1172" s="30" t="str">
        <x:v>Greater Austronesia</x:v>
      </x:c>
      <x:c r="G1172" s="30" t="str">
        <x:v>No</x:v>
      </x:c>
      <x:c r="H1172" s="30" t="str">
        <x:v>Ordinary claim</x:v>
      </x:c>
      <x:c r="I1172" s="31" t="n">
        <x:f>IF(G1172="Yes",'Controls &amp; Summary'!$B$5,'Controls &amp; Summary'!$B$4)</x:f>
        <x:v>6</x:v>
      </x:c>
      <x:c r="J1172" s="31" t="n">
        <x:v>6.37</x:v>
      </x:c>
      <x:c r="K1172" s="31" t="n">
        <x:v>8.78</x:v>
      </x:c>
      <x:c r="L1172" s="31" t="n">
        <x:f>ABS(J1172-K1172)</x:f>
        <x:v>2.4099999999999993</x:v>
      </x:c>
      <x:c r="M1172" s="31" t="n">
        <x:v>3.61</x:v>
      </x:c>
      <x:c r="N1172" s="31" t="n">
        <x:v>3.41</x:v>
      </x:c>
      <x:c r="O1172" s="31" t="n">
        <x:f>ABS(M1172-N1172)</x:f>
        <x:v>0.19999999999999973</x:v>
      </x:c>
      <x:c r="P1172" s="31" t="n">
        <x:v>6.46</x:v>
      </x:c>
      <x:c r="Q1172" s="31" t="n">
        <x:v>9.26</x:v>
      </x:c>
      <x:c r="R1172" s="31" t="n">
        <x:f>ABS(P1172-Q1172)</x:f>
        <x:v>2.8</x:v>
      </x:c>
      <x:c r="S1172" s="32" t="n">
        <x:v>15341.497054185696</x:v>
      </x:c>
      <x:c r="T1172" s="32" t="n">
        <x:v>76112.01334927218</x:v>
      </x:c>
      <x:c r="U1172" s="31" t="n">
        <x:f>MAX(S1172/T1172,T1172/S1172)</x:f>
        <x:v>4.96118554013646</x:v>
      </x:c>
      <x:c r="V1172" s="31" t="n">
        <x:f>L1172*'Controls &amp; Summary'!$B$9+O1172*'Controls &amp; Summary'!$B$10+R1172*'Controls &amp; Summary'!$B$11+U1172*'Controls &amp; Summary'!$B$12</x:f>
        <x:v>10.371185540136459</x:v>
      </x:c>
      <x:c r="W1172" s="31" t="n">
        <x:v>2.87</x:v>
      </x:c>
      <x:c r="X1172" s="31" t="n">
        <x:v>0</x:v>
      </x:c>
      <x:c r="Y1172" s="31" t="n">
        <x:f>((10-MIN(10,MAX(0,X1172)))/10)*'Controls &amp; Summary'!$B$15+((10-MIN(10,MAX(0,W1172)))/10)*'Controls &amp; Summary'!$B$16</x:f>
        <x:v>1.713</x:v>
      </x:c>
      <x:c r="Z1172" s="31" t="n">
        <x:f>V1172*Y1172</x:f>
        <x:v>17.765840830253754</x:v>
      </x:c>
      <x:c r="AA1172" s="30" t="str">
        <x:f>IF(Z1172&lt;=I1172,"Peaceful","Hostile")</x:f>
        <x:v>Hostile</x:v>
      </x:c>
      <x:c r="AB1172" s="30" t="str">
        <x:f>IF(Z1172&lt;='Controls &amp; Summary'!$B$6,"Eligible","Blocked")</x:f>
        <x:v>Blocked</x:v>
      </x:c>
      <x:c r="AC1172" s="30" t="str">
        <x:v>2026_IDN</x:v>
      </x:c>
      <x:c r="AD1172" s="30" t="str">
        <x:v>2026_TWN</x:v>
      </x:c>
      <x:c r="AE1172" s="30" t="str">
        <x:v>2026_Taiwan</x:v>
      </x:c>
      <x:c r="AF1172" s="30" t="str">
        <x:v>Largest owned population fallback</x:v>
      </x:c>
      <x:c r="AG1172" s="30" t="str">
        <x:v>Claim2026_IDN2026_Taiwan</x:v>
      </x:c>
      <x:c r="AH1172" s="30" t="str">
        <x:v>Project_GreaterAustronesia</x:v>
      </x:c>
    </x:row>
    <x:row r="1173">
      <x:c r="A1173" s="30" t="str">
        <x:v>2026</x:v>
      </x:c>
      <x:c r="B1173" s="30" t="str">
        <x:v>Base game</x:v>
      </x:c>
      <x:c r="C1173" s="30" t="str">
        <x:v>Indonesia</x:v>
      </x:c>
      <x:c r="D1173" s="30" t="str">
        <x:v>Timor-Leste</x:v>
      </x:c>
      <x:c r="E1173" s="30" t="str">
        <x:v>Starting claim</x:v>
      </x:c>
      <x:c r="F1173" s="30" t="str"/>
      <x:c r="G1173" s="30" t="str">
        <x:v>Yes</x:v>
      </x:c>
      <x:c r="H1173" s="30" t="str">
        <x:v>Template hostileClaim</x:v>
      </x:c>
      <x:c r="I1173" s="31" t="n">
        <x:f>IF(G1173="Yes",'Controls &amp; Summary'!$B$5,'Controls &amp; Summary'!$B$4)</x:f>
        <x:v>3</x:v>
      </x:c>
      <x:c r="J1173" s="31" t="n">
        <x:v>6.37</x:v>
      </x:c>
      <x:c r="K1173" s="31" t="n">
        <x:v>6.97</x:v>
      </x:c>
      <x:c r="L1173" s="31" t="n">
        <x:f>ABS(J1173-K1173)</x:f>
        <x:v>0.5999999999999996</x:v>
      </x:c>
      <x:c r="M1173" s="31" t="n">
        <x:v>3.61</x:v>
      </x:c>
      <x:c r="N1173" s="31" t="n">
        <x:v>2.87</x:v>
      </x:c>
      <x:c r="O1173" s="31" t="n">
        <x:f>ABS(M1173-N1173)</x:f>
        <x:v>0.7399999999999998</x:v>
      </x:c>
      <x:c r="P1173" s="31" t="n">
        <x:v>6.46</x:v>
      </x:c>
      <x:c r="Q1173" s="31" t="n">
        <x:v>5.66</x:v>
      </x:c>
      <x:c r="R1173" s="31" t="n">
        <x:f>ABS(P1173-Q1173)</x:f>
        <x:v>0.7999999999999998</x:v>
      </x:c>
      <x:c r="S1173" s="32" t="n">
        <x:v>15341.497054185696</x:v>
      </x:c>
      <x:c r="T1173" s="32" t="n">
        <x:v>4270.402798201435</x:v>
      </x:c>
      <x:c r="U1173" s="31" t="n">
        <x:f>MAX(S1173/T1173,T1173/S1173)</x:f>
        <x:v>3.5925175631317665</x:v>
      </x:c>
      <x:c r="V1173" s="31" t="n">
        <x:f>L1173*'Controls &amp; Summary'!$B$9+O1173*'Controls &amp; Summary'!$B$10+R1173*'Controls &amp; Summary'!$B$11+U1173*'Controls &amp; Summary'!$B$12</x:f>
        <x:v>5.732517563131766</x:v>
      </x:c>
      <x:c r="W1173" s="31" t="n">
        <x:v>2.87</x:v>
      </x:c>
      <x:c r="X1173" s="31" t="n">
        <x:v>0.25</x:v>
      </x:c>
      <x:c r="Y1173" s="31" t="n">
        <x:f>((10-MIN(10,MAX(0,X1173)))/10)*'Controls &amp; Summary'!$B$15+((10-MIN(10,MAX(0,W1173)))/10)*'Controls &amp; Summary'!$B$16</x:f>
        <x:v>1.688</x:v>
      </x:c>
      <x:c r="Z1173" s="31" t="n">
        <x:f>V1173*Y1173</x:f>
        <x:v>9.67648964656642</x:v>
      </x:c>
      <x:c r="AA1173" s="30" t="str">
        <x:f>IF(Z1173&lt;=I1173,"Peaceful","Hostile")</x:f>
        <x:v>Hostile</x:v>
      </x:c>
      <x:c r="AB1173" s="30" t="str">
        <x:f>IF(Z1173&lt;='Controls &amp; Summary'!$B$6,"Eligible","Blocked")</x:f>
        <x:v>Eligible</x:v>
      </x:c>
      <x:c r="AC1173" s="30" t="str">
        <x:v>2026_IDN</x:v>
      </x:c>
      <x:c r="AD1173" s="30" t="str">
        <x:v>2026_TLS</x:v>
      </x:c>
      <x:c r="AE1173" s="30" t="str">
        <x:v>2026_TimorLeste</x:v>
      </x:c>
      <x:c r="AF1173" s="30" t="str">
        <x:v>Explicit capitalClaim</x:v>
      </x:c>
      <x:c r="AG1173" s="30" t="str">
        <x:v>Claim2026_IDN2026_TimorLeste</x:v>
      </x:c>
      <x:c r="AH1173" s="30" t="str"/>
    </x:row>
    <x:row r="1174">
      <x:c r="A1174" s="30" t="str">
        <x:v>2026</x:v>
      </x:c>
      <x:c r="B1174" s="30" t="str">
        <x:v>Base game</x:v>
      </x:c>
      <x:c r="C1174" s="30" t="str">
        <x:v>Iran</x:v>
      </x:c>
      <x:c r="D1174" s="30" t="str">
        <x:v>Azerbaijan</x:v>
      </x:c>
      <x:c r="E1174" s="30" t="str">
        <x:v>Project unlock</x:v>
      </x:c>
      <x:c r="F1174" s="30" t="str">
        <x:v>The Shia Nation</x:v>
      </x:c>
      <x:c r="G1174" s="30" t="str">
        <x:v>No</x:v>
      </x:c>
      <x:c r="H1174" s="30" t="str">
        <x:v>Ordinary claim</x:v>
      </x:c>
      <x:c r="I1174" s="31" t="n">
        <x:f>IF(G1174="Yes",'Controls &amp; Summary'!$B$5,'Controls &amp; Summary'!$B$4)</x:f>
        <x:v>6</x:v>
      </x:c>
      <x:c r="J1174" s="31" t="n">
        <x:v>1.96</x:v>
      </x:c>
      <x:c r="K1174" s="31" t="n">
        <x:v>2.8</x:v>
      </x:c>
      <x:c r="L1174" s="31" t="n">
        <x:f>ABS(J1174-K1174)</x:f>
        <x:v>0.8399999999999999</x:v>
      </x:c>
      <x:c r="M1174" s="31" t="n">
        <x:v>3.48</x:v>
      </x:c>
      <x:c r="N1174" s="31" t="n">
        <x:v>2.12</x:v>
      </x:c>
      <x:c r="O1174" s="31" t="n">
        <x:f>ABS(M1174-N1174)</x:f>
        <x:v>1.3599999999999999</x:v>
      </x:c>
      <x:c r="P1174" s="31" t="n">
        <x:v>7.33</x:v>
      </x:c>
      <x:c r="Q1174" s="31" t="n">
        <x:v>7.13</x:v>
      </x:c>
      <x:c r="R1174" s="31" t="n">
        <x:f>ABS(P1174-Q1174)</x:f>
        <x:v>0.20000000000000018</x:v>
      </x:c>
      <x:c r="S1174" s="32" t="n">
        <x:v>17746.609779483722</x:v>
      </x:c>
      <x:c r="T1174" s="32" t="n">
        <x:v>22903.043609882683</x:v>
      </x:c>
      <x:c r="U1174" s="31" t="n">
        <x:f>MAX(S1174/T1174,T1174/S1174)</x:f>
        <x:v>1.2905588106388717</x:v>
      </x:c>
      <x:c r="V1174" s="31" t="n">
        <x:f>L1174*'Controls &amp; Summary'!$B$9+O1174*'Controls &amp; Summary'!$B$10+R1174*'Controls &amp; Summary'!$B$11+U1174*'Controls &amp; Summary'!$B$12</x:f>
        <x:v>3.690558810638872</x:v>
      </x:c>
      <x:c r="W1174" s="31" t="n">
        <x:v>2.66</x:v>
      </x:c>
      <x:c r="X1174" s="31" t="n">
        <x:v>1.25</x:v>
      </x:c>
      <x:c r="Y1174" s="31" t="n">
        <x:f>((10-MIN(10,MAX(0,X1174)))/10)*'Controls &amp; Summary'!$B$15+((10-MIN(10,MAX(0,W1174)))/10)*'Controls &amp; Summary'!$B$16</x:f>
        <x:v>1.609</x:v>
      </x:c>
      <x:c r="Z1174" s="31" t="n">
        <x:f>V1174*Y1174</x:f>
        <x:v>5.938109126317944</x:v>
      </x:c>
      <x:c r="AA1174" s="30" t="str">
        <x:f>IF(Z1174&lt;=I1174,"Peaceful","Hostile")</x:f>
        <x:v>Peaceful</x:v>
      </x:c>
      <x:c r="AB1174" s="30" t="str">
        <x:f>IF(Z1174&lt;='Controls &amp; Summary'!$B$6,"Eligible","Blocked")</x:f>
        <x:v>Eligible</x:v>
      </x:c>
      <x:c r="AC1174" s="30" t="str">
        <x:v>2026_IRN</x:v>
      </x:c>
      <x:c r="AD1174" s="30" t="str">
        <x:v>2026_AZE</x:v>
      </x:c>
      <x:c r="AE1174" s="30" t="str">
        <x:v>2026_Azerbaijan</x:v>
      </x:c>
      <x:c r="AF1174" s="30" t="str">
        <x:v>Explicit capitalClaim</x:v>
      </x:c>
      <x:c r="AG1174" s="30" t="str">
        <x:v>Claim2026_IRN2026_Azerbaijan</x:v>
      </x:c>
      <x:c r="AH1174" s="30" t="str">
        <x:v>Project_TheShiaNation</x:v>
      </x:c>
    </x:row>
    <x:row r="1175">
      <x:c r="A1175" s="30" t="str">
        <x:v>2026</x:v>
      </x:c>
      <x:c r="B1175" s="30" t="str">
        <x:v>Base game</x:v>
      </x:c>
      <x:c r="C1175" s="30" t="str">
        <x:v>Iran</x:v>
      </x:c>
      <x:c r="D1175" s="30" t="str">
        <x:v>Gulf States</x:v>
      </x:c>
      <x:c r="E1175" s="30" t="str">
        <x:v>Project unlock</x:v>
      </x:c>
      <x:c r="F1175" s="30" t="str">
        <x:v>The Shia Nation</x:v>
      </x:c>
      <x:c r="G1175" s="30" t="str">
        <x:v>No</x:v>
      </x:c>
      <x:c r="H1175" s="30" t="str">
        <x:v>Ordinary claim</x:v>
      </x:c>
      <x:c r="I1175" s="31" t="n">
        <x:f>IF(G1175="Yes",'Controls &amp; Summary'!$B$5,'Controls &amp; Summary'!$B$4)</x:f>
        <x:v>6</x:v>
      </x:c>
      <x:c r="J1175" s="31" t="n">
        <x:v>1.96</x:v>
      </x:c>
      <x:c r="K1175" s="31" t="n">
        <x:v>2.92</x:v>
      </x:c>
      <x:c r="L1175" s="31" t="n">
        <x:f>ABS(J1175-K1175)</x:f>
        <x:v>0.96</x:v>
      </x:c>
      <x:c r="M1175" s="31" t="n">
        <x:v>3.48</x:v>
      </x:c>
      <x:c r="N1175" s="31" t="n">
        <x:v>4.37</x:v>
      </x:c>
      <x:c r="O1175" s="31" t="n">
        <x:f>ABS(M1175-N1175)</x:f>
        <x:v>0.8900000000000001</x:v>
      </x:c>
      <x:c r="P1175" s="31" t="n">
        <x:v>7.33</x:v>
      </x:c>
      <x:c r="Q1175" s="31" t="n">
        <x:v>7.38</x:v>
      </x:c>
      <x:c r="R1175" s="31" t="n">
        <x:f>ABS(P1175-Q1175)</x:f>
        <x:v>0.04999999999999982</x:v>
      </x:c>
      <x:c r="S1175" s="32" t="n">
        <x:v>17746.609779483722</x:v>
      </x:c>
      <x:c r="T1175" s="32" t="n">
        <x:v>89004.61360911882</x:v>
      </x:c>
      <x:c r="U1175" s="31" t="n">
        <x:f>MAX(S1175/T1175,T1175/S1175)</x:f>
        <x:v>5.015302343099591</x:v>
      </x:c>
      <x:c r="V1175" s="31" t="n">
        <x:f>L1175*'Controls &amp; Summary'!$B$9+O1175*'Controls &amp; Summary'!$B$10+R1175*'Controls &amp; Summary'!$B$11+U1175*'Controls &amp; Summary'!$B$12</x:f>
        <x:v>6.91530234309959</x:v>
      </x:c>
      <x:c r="W1175" s="31" t="n">
        <x:v>2.66</x:v>
      </x:c>
      <x:c r="X1175" s="31" t="n">
        <x:v>0.17</x:v>
      </x:c>
      <x:c r="Y1175" s="31" t="n">
        <x:f>((10-MIN(10,MAX(0,X1175)))/10)*'Controls &amp; Summary'!$B$15+((10-MIN(10,MAX(0,W1175)))/10)*'Controls &amp; Summary'!$B$16</x:f>
        <x:v>1.717</x:v>
      </x:c>
      <x:c r="Z1175" s="31" t="n">
        <x:f>V1175*Y1175</x:f>
        <x:v>11.873574123101998</x:v>
      </x:c>
      <x:c r="AA1175" s="30" t="str">
        <x:f>IF(Z1175&lt;=I1175,"Peaceful","Hostile")</x:f>
        <x:v>Hostile</x:v>
      </x:c>
      <x:c r="AB1175" s="30" t="str">
        <x:f>IF(Z1175&lt;='Controls &amp; Summary'!$B$6,"Eligible","Blocked")</x:f>
        <x:v>Eligible</x:v>
      </x:c>
      <x:c r="AC1175" s="30" t="str">
        <x:v>2026_IRN</x:v>
      </x:c>
      <x:c r="AD1175" s="30" t="str">
        <x:v>2026_GUS</x:v>
      </x:c>
      <x:c r="AE1175" s="30" t="str">
        <x:v>2026_GulfStates</x:v>
      </x:c>
      <x:c r="AF1175" s="30" t="str">
        <x:v>Explicit capitalClaim</x:v>
      </x:c>
      <x:c r="AG1175" s="30" t="str">
        <x:v>Claim2026_IRN2026_GulfStates</x:v>
      </x:c>
      <x:c r="AH1175" s="30" t="str">
        <x:v>Project_TheShiaNation</x:v>
      </x:c>
    </x:row>
    <x:row r="1176">
      <x:c r="A1176" s="30" t="str">
        <x:v>2026</x:v>
      </x:c>
      <x:c r="B1176" s="30" t="str">
        <x:v>Base game</x:v>
      </x:c>
      <x:c r="C1176" s="30" t="str">
        <x:v>Iran</x:v>
      </x:c>
      <x:c r="D1176" s="30" t="str">
        <x:v>Iraq</x:v>
      </x:c>
      <x:c r="E1176" s="30" t="str">
        <x:v>Project unlock</x:v>
      </x:c>
      <x:c r="F1176" s="30" t="str">
        <x:v>The Shia Nation</x:v>
      </x:c>
      <x:c r="G1176" s="30" t="str">
        <x:v>No</x:v>
      </x:c>
      <x:c r="H1176" s="30" t="str">
        <x:v>Ordinary claim</x:v>
      </x:c>
      <x:c r="I1176" s="31" t="n">
        <x:f>IF(G1176="Yes",'Controls &amp; Summary'!$B$5,'Controls &amp; Summary'!$B$4)</x:f>
        <x:v>6</x:v>
      </x:c>
      <x:c r="J1176" s="31" t="n">
        <x:v>1.96</x:v>
      </x:c>
      <x:c r="K1176" s="31" t="n">
        <x:v>3.13</x:v>
      </x:c>
      <x:c r="L1176" s="31" t="n">
        <x:f>ABS(J1176-K1176)</x:f>
        <x:v>1.17</x:v>
      </x:c>
      <x:c r="M1176" s="31" t="n">
        <x:v>3.48</x:v>
      </x:c>
      <x:c r="N1176" s="31" t="n">
        <x:v>2.95</x:v>
      </x:c>
      <x:c r="O1176" s="31" t="n">
        <x:f>ABS(M1176-N1176)</x:f>
        <x:v>0.5299999999999998</x:v>
      </x:c>
      <x:c r="P1176" s="31" t="n">
        <x:v>7.33</x:v>
      </x:c>
      <x:c r="Q1176" s="31" t="n">
        <x:v>5.61</x:v>
      </x:c>
      <x:c r="R1176" s="31" t="n">
        <x:f>ABS(P1176-Q1176)</x:f>
        <x:v>1.7199999999999998</x:v>
      </x:c>
      <x:c r="S1176" s="32" t="n">
        <x:v>17746.609779483722</x:v>
      </x:c>
      <x:c r="T1176" s="32" t="n">
        <x:v>12664.574449162952</x:v>
      </x:c>
      <x:c r="U1176" s="31" t="n">
        <x:f>MAX(S1176/T1176,T1176/S1176)</x:f>
        <x:v>1.4012795969355814</x:v>
      </x:c>
      <x:c r="V1176" s="31" t="n">
        <x:f>L1176*'Controls &amp; Summary'!$B$9+O1176*'Controls &amp; Summary'!$B$10+R1176*'Controls &amp; Summary'!$B$11+U1176*'Controls &amp; Summary'!$B$12</x:f>
        <x:v>4.821279596935581</x:v>
      </x:c>
      <x:c r="W1176" s="31" t="n">
        <x:v>2.66</x:v>
      </x:c>
      <x:c r="X1176" s="31" t="n">
        <x:v>5</x:v>
      </x:c>
      <x:c r="Y1176" s="31" t="n">
        <x:f>((10-MIN(10,MAX(0,X1176)))/10)*'Controls &amp; Summary'!$B$15+((10-MIN(10,MAX(0,W1176)))/10)*'Controls &amp; Summary'!$B$16</x:f>
        <x:v>1.234</x:v>
      </x:c>
      <x:c r="Z1176" s="31" t="n">
        <x:f>V1176*Y1176</x:f>
        <x:v>5.949459022618506</x:v>
      </x:c>
      <x:c r="AA1176" s="30" t="str">
        <x:f>IF(Z1176&lt;=I1176,"Peaceful","Hostile")</x:f>
        <x:v>Peaceful</x:v>
      </x:c>
      <x:c r="AB1176" s="30" t="str">
        <x:f>IF(Z1176&lt;='Controls &amp; Summary'!$B$6,"Eligible","Blocked")</x:f>
        <x:v>Eligible</x:v>
      </x:c>
      <x:c r="AC1176" s="30" t="str">
        <x:v>2026_IRN</x:v>
      </x:c>
      <x:c r="AD1176" s="30" t="str">
        <x:v>2026_IRQ</x:v>
      </x:c>
      <x:c r="AE1176" s="30" t="str">
        <x:v>2026_Baghdad</x:v>
      </x:c>
      <x:c r="AF1176" s="30" t="str">
        <x:v>Explicit capitalClaim</x:v>
      </x:c>
      <x:c r="AG1176" s="30" t="str">
        <x:v>Claim2026_IRN2026_Baghdad</x:v>
      </x:c>
      <x:c r="AH1176" s="30" t="str">
        <x:v>Project_TheShiaNation</x:v>
      </x:c>
    </x:row>
    <x:row r="1177">
      <x:c r="A1177" s="30" t="str">
        <x:v>2026</x:v>
      </x:c>
      <x:c r="B1177" s="30" t="str">
        <x:v>Base game</x:v>
      </x:c>
      <x:c r="C1177" s="30" t="str">
        <x:v>Iran</x:v>
      </x:c>
      <x:c r="D1177" s="30" t="str">
        <x:v>Yemen</x:v>
      </x:c>
      <x:c r="E1177" s="30" t="str">
        <x:v>Project unlock</x:v>
      </x:c>
      <x:c r="F1177" s="30" t="str">
        <x:v>The Shia Nation</x:v>
      </x:c>
      <x:c r="G1177" s="30" t="str">
        <x:v>No</x:v>
      </x:c>
      <x:c r="H1177" s="30" t="str">
        <x:v>Ordinary claim</x:v>
      </x:c>
      <x:c r="I1177" s="31" t="n">
        <x:f>IF(G1177="Yes",'Controls &amp; Summary'!$B$5,'Controls &amp; Summary'!$B$4)</x:f>
        <x:v>6</x:v>
      </x:c>
      <x:c r="J1177" s="31" t="n">
        <x:v>1.96</x:v>
      </x:c>
      <x:c r="K1177" s="31" t="n">
        <x:v>1.95</x:v>
      </x:c>
      <x:c r="L1177" s="31" t="n">
        <x:f>ABS(J1177-K1177)</x:f>
        <x:v>0.010000000000000009</x:v>
      </x:c>
      <x:c r="M1177" s="31" t="n">
        <x:v>3.48</x:v>
      </x:c>
      <x:c r="N1177" s="31" t="n">
        <x:v>3.67</x:v>
      </x:c>
      <x:c r="O1177" s="31" t="n">
        <x:f>ABS(M1177-N1177)</x:f>
        <x:v>0.18999999999999995</x:v>
      </x:c>
      <x:c r="P1177" s="31" t="n">
        <x:v>7.33</x:v>
      </x:c>
      <x:c r="Q1177" s="31" t="n">
        <x:v>3.88</x:v>
      </x:c>
      <x:c r="R1177" s="31" t="n">
        <x:f>ABS(P1177-Q1177)</x:f>
        <x:v>3.45</x:v>
      </x:c>
      <x:c r="S1177" s="32" t="n">
        <x:v>17746.609779483722</x:v>
      </x:c>
      <x:c r="T1177" s="32" t="n">
        <x:v>886.9282118672596</x:v>
      </x:c>
      <x:c r="U1177" s="31" t="n">
        <x:f>MAX(S1177/T1177,T1177/S1177)</x:f>
        <x:v>20.00907124390777</x:v>
      </x:c>
      <x:c r="V1177" s="31" t="n">
        <x:f>L1177*'Controls &amp; Summary'!$B$9+O1177*'Controls &amp; Summary'!$B$10+R1177*'Controls &amp; Summary'!$B$11+U1177*'Controls &amp; Summary'!$B$12</x:f>
        <x:v>23.659071243907768</x:v>
      </x:c>
      <x:c r="W1177" s="31" t="n">
        <x:v>2.66</x:v>
      </x:c>
      <x:c r="X1177" s="31" t="n">
        <x:v>5.25</x:v>
      </x:c>
      <x:c r="Y1177" s="31" t="n">
        <x:f>((10-MIN(10,MAX(0,X1177)))/10)*'Controls &amp; Summary'!$B$15+((10-MIN(10,MAX(0,W1177)))/10)*'Controls &amp; Summary'!$B$16</x:f>
        <x:v>1.209</x:v>
      </x:c>
      <x:c r="Z1177" s="31" t="n">
        <x:f>V1177*Y1177</x:f>
        <x:v>28.603817133884494</x:v>
      </x:c>
      <x:c r="AA1177" s="30" t="str">
        <x:f>IF(Z1177&lt;=I1177,"Peaceful","Hostile")</x:f>
        <x:v>Hostile</x:v>
      </x:c>
      <x:c r="AB1177" s="30" t="str">
        <x:f>IF(Z1177&lt;='Controls &amp; Summary'!$B$6,"Eligible","Blocked")</x:f>
        <x:v>Blocked</x:v>
      </x:c>
      <x:c r="AC1177" s="30" t="str">
        <x:v>2026_IRN</x:v>
      </x:c>
      <x:c r="AD1177" s="30" t="str">
        <x:v>2026_YEM</x:v>
      </x:c>
      <x:c r="AE1177" s="30" t="str">
        <x:v>2026_Yemen</x:v>
      </x:c>
      <x:c r="AF1177" s="30" t="str">
        <x:v>Explicit capitalClaim</x:v>
      </x:c>
      <x:c r="AG1177" s="30" t="str">
        <x:v>Claim2026_IRN2026_Yemen</x:v>
      </x:c>
      <x:c r="AH1177" s="30" t="str">
        <x:v>Project_TheShiaNation</x:v>
      </x:c>
    </x:row>
    <x:row r="1178">
      <x:c r="A1178" s="30" t="str">
        <x:v>2026</x:v>
      </x:c>
      <x:c r="B1178" s="30" t="str">
        <x:v>Base game</x:v>
      </x:c>
      <x:c r="C1178" s="30" t="str">
        <x:v>Israel</x:v>
      </x:c>
      <x:c r="D1178" s="30" t="str">
        <x:v>Palestine</x:v>
      </x:c>
      <x:c r="E1178" s="30" t="str">
        <x:v>Starting claim</x:v>
      </x:c>
      <x:c r="F1178" s="30" t="str"/>
      <x:c r="G1178" s="30" t="str">
        <x:v>Yes</x:v>
      </x:c>
      <x:c r="H1178" s="30" t="str">
        <x:v>Template hostileClaim</x:v>
      </x:c>
      <x:c r="I1178" s="31" t="n">
        <x:f>IF(G1178="Yes",'Controls &amp; Summary'!$B$5,'Controls &amp; Summary'!$B$4)</x:f>
        <x:v>3</x:v>
      </x:c>
      <x:c r="J1178" s="31" t="n">
        <x:v>7.8</x:v>
      </x:c>
      <x:c r="K1178" s="31" t="n">
        <x:v>3.44</x:v>
      </x:c>
      <x:c r="L1178" s="31" t="n">
        <x:f>ABS(J1178-K1178)</x:f>
        <x:v>4.359999999999999</x:v>
      </x:c>
      <x:c r="M1178" s="31" t="n">
        <x:v>3.79</x:v>
      </x:c>
      <x:c r="N1178" s="31" t="n">
        <x:v>3.37</x:v>
      </x:c>
      <x:c r="O1178" s="31" t="n">
        <x:f>ABS(M1178-N1178)</x:f>
        <x:v>0.41999999999999993</x:v>
      </x:c>
      <x:c r="P1178" s="31" t="n">
        <x:v>8.44</x:v>
      </x:c>
      <x:c r="Q1178" s="31" t="n">
        <x:v>6.83</x:v>
      </x:c>
      <x:c r="R1178" s="31" t="n">
        <x:f>ABS(P1178-Q1178)</x:f>
        <x:v>1.6099999999999994</x:v>
      </x:c>
      <x:c r="S1178" s="32" t="n">
        <x:v>63166.51407399223</x:v>
      </x:c>
      <x:c r="T1178" s="32" t="n">
        <x:v>4663.011720790684</x:v>
      </x:c>
      <x:c r="U1178" s="31" t="n">
        <x:f>MAX(S1178/T1178,T1178/S1178)</x:f>
        <x:v>13.546291078865526</x:v>
      </x:c>
      <x:c r="V1178" s="31" t="n">
        <x:f>L1178*'Controls &amp; Summary'!$B$9+O1178*'Controls &amp; Summary'!$B$10+R1178*'Controls &amp; Summary'!$B$11+U1178*'Controls &amp; Summary'!$B$12</x:f>
        <x:v>19.936291078865523</x:v>
      </x:c>
      <x:c r="W1178" s="31" t="n">
        <x:v>2.67</x:v>
      </x:c>
      <x:c r="X1178" s="31" t="n">
        <x:v>6</x:v>
      </x:c>
      <x:c r="Y1178" s="31" t="n">
        <x:f>((10-MIN(10,MAX(0,X1178)))/10)*'Controls &amp; Summary'!$B$15+((10-MIN(10,MAX(0,W1178)))/10)*'Controls &amp; Summary'!$B$16</x:f>
        <x:v>1.133</x:v>
      </x:c>
      <x:c r="Z1178" s="31" t="n">
        <x:f>V1178*Y1178</x:f>
        <x:v>22.587817792354638</x:v>
      </x:c>
      <x:c r="AA1178" s="30" t="str">
        <x:f>IF(Z1178&lt;=I1178,"Peaceful","Hostile")</x:f>
        <x:v>Hostile</x:v>
      </x:c>
      <x:c r="AB1178" s="30" t="str">
        <x:f>IF(Z1178&lt;='Controls &amp; Summary'!$B$6,"Eligible","Blocked")</x:f>
        <x:v>Blocked</x:v>
      </x:c>
      <x:c r="AC1178" s="30" t="str">
        <x:v>2026_ISR</x:v>
      </x:c>
      <x:c r="AD1178" s="30" t="str">
        <x:v>2026_PAL</x:v>
      </x:c>
      <x:c r="AE1178" s="30" t="str">
        <x:v>2026_Palestine</x:v>
      </x:c>
      <x:c r="AF1178" s="30" t="str">
        <x:v>Explicit capitalClaim</x:v>
      </x:c>
      <x:c r="AG1178" s="30" t="str">
        <x:v>Claim2026_ISR2026_Palestine</x:v>
      </x:c>
      <x:c r="AH1178" s="30" t="str"/>
    </x:row>
    <x:row r="1179">
      <x:c r="A1179" s="30" t="str">
        <x:v>2026</x:v>
      </x:c>
      <x:c r="B1179" s="30" t="str">
        <x:v>Base game</x:v>
      </x:c>
      <x:c r="C1179" s="30" t="str">
        <x:v>Jamaica</x:v>
      </x:c>
      <x:c r="D1179" s="30" t="str">
        <x:v>Bahamas</x:v>
      </x:c>
      <x:c r="E1179" s="30" t="str">
        <x:v>Project unlock</x:v>
      </x:c>
      <x:c r="F1179" s="30" t="str">
        <x:v>Caribbean Community</x:v>
      </x:c>
      <x:c r="G1179" s="30" t="str">
        <x:v>No</x:v>
      </x:c>
      <x:c r="H1179" s="30" t="str">
        <x:v>Ordinary claim</x:v>
      </x:c>
      <x:c r="I1179" s="31" t="n">
        <x:f>IF(G1179="Yes",'Controls &amp; Summary'!$B$5,'Controls &amp; Summary'!$B$4)</x:f>
        <x:v>6</x:v>
      </x:c>
      <x:c r="J1179" s="31" t="n">
        <x:v>6.74</x:v>
      </x:c>
      <x:c r="K1179" s="31" t="n">
        <x:v>8.4</x:v>
      </x:c>
      <x:c r="L1179" s="31" t="n">
        <x:f>ABS(J1179-K1179)</x:f>
        <x:v>1.6600000000000001</x:v>
      </x:c>
      <x:c r="M1179" s="31" t="n">
        <x:v>4.02</x:v>
      </x:c>
      <x:c r="N1179" s="31" t="n">
        <x:v>4.7</x:v>
      </x:c>
      <x:c r="O1179" s="31" t="n">
        <x:f>ABS(M1179-N1179)</x:f>
        <x:v>0.6800000000000006</x:v>
      </x:c>
      <x:c r="P1179" s="31" t="n">
        <x:v>6.64</x:v>
      </x:c>
      <x:c r="Q1179" s="31" t="n">
        <x:v>7.41</x:v>
      </x:c>
      <x:c r="R1179" s="31" t="n">
        <x:f>ABS(P1179-Q1179)</x:f>
        <x:v>0.7700000000000005</x:v>
      </x:c>
      <x:c r="S1179" s="32" t="n">
        <x:v>10769.689038234237</x:v>
      </x:c>
      <x:c r="T1179" s="32" t="n">
        <x:v>42118.852377986696</x:v>
      </x:c>
      <x:c r="U1179" s="31" t="n">
        <x:f>MAX(S1179/T1179,T1179/S1179)</x:f>
        <x:v>3.91086987084377</x:v>
      </x:c>
      <x:c r="V1179" s="31" t="n">
        <x:f>L1179*'Controls &amp; Summary'!$B$9+O1179*'Controls &amp; Summary'!$B$10+R1179*'Controls &amp; Summary'!$B$11+U1179*'Controls &amp; Summary'!$B$12</x:f>
        <x:v>7.020869870843772</x:v>
      </x:c>
      <x:c r="W1179" s="31" t="n">
        <x:v>5.47</x:v>
      </x:c>
      <x:c r="X1179" s="31" t="n">
        <x:v>0.5</x:v>
      </x:c>
      <x:c r="Y1179" s="31" t="n">
        <x:f>((10-MIN(10,MAX(0,X1179)))/10)*'Controls &amp; Summary'!$B$15+((10-MIN(10,MAX(0,W1179)))/10)*'Controls &amp; Summary'!$B$16</x:f>
        <x:v>1.403</x:v>
      </x:c>
      <x:c r="Z1179" s="31" t="n">
        <x:f>V1179*Y1179</x:f>
        <x:v>9.85028042879381</x:v>
      </x:c>
      <x:c r="AA1179" s="30" t="str">
        <x:f>IF(Z1179&lt;=I1179,"Peaceful","Hostile")</x:f>
        <x:v>Hostile</x:v>
      </x:c>
      <x:c r="AB1179" s="30" t="str">
        <x:f>IF(Z1179&lt;='Controls &amp; Summary'!$B$6,"Eligible","Blocked")</x:f>
        <x:v>Eligible</x:v>
      </x:c>
      <x:c r="AC1179" s="30" t="str">
        <x:v>2026_JAM</x:v>
      </x:c>
      <x:c r="AD1179" s="30" t="str">
        <x:v>2026_BAH</x:v>
      </x:c>
      <x:c r="AE1179" s="30" t="str">
        <x:v>2026_Bahamas</x:v>
      </x:c>
      <x:c r="AF1179" s="30" t="str">
        <x:v>Explicit capitalClaim</x:v>
      </x:c>
      <x:c r="AG1179" s="30" t="str">
        <x:v>Claim2026_JAM2026_Bahamas</x:v>
      </x:c>
      <x:c r="AH1179" s="30" t="str">
        <x:v>Project_CaribbeanCommunity</x:v>
      </x:c>
    </x:row>
    <x:row r="1180">
      <x:c r="A1180" s="30" t="str">
        <x:v>2026</x:v>
      </x:c>
      <x:c r="B1180" s="30" t="str">
        <x:v>Base game</x:v>
      </x:c>
      <x:c r="C1180" s="30" t="str">
        <x:v>Jamaica</x:v>
      </x:c>
      <x:c r="D1180" s="30" t="str">
        <x:v>Belize</x:v>
      </x:c>
      <x:c r="E1180" s="30" t="str">
        <x:v>Project unlock</x:v>
      </x:c>
      <x:c r="F1180" s="30" t="str">
        <x:v>Caribbean Community</x:v>
      </x:c>
      <x:c r="G1180" s="30" t="str">
        <x:v>No</x:v>
      </x:c>
      <x:c r="H1180" s="30" t="str">
        <x:v>Ordinary claim</x:v>
      </x:c>
      <x:c r="I1180" s="31" t="n">
        <x:f>IF(G1180="Yes",'Controls &amp; Summary'!$B$5,'Controls &amp; Summary'!$B$4)</x:f>
        <x:v>6</x:v>
      </x:c>
      <x:c r="J1180" s="31" t="n">
        <x:v>6.74</x:v>
      </x:c>
      <x:c r="K1180" s="31" t="n">
        <x:v>8.2</x:v>
      </x:c>
      <x:c r="L1180" s="31" t="n">
        <x:f>ABS(J1180-K1180)</x:f>
        <x:v>1.459999999999999</x:v>
      </x:c>
      <x:c r="M1180" s="31" t="n">
        <x:v>4.02</x:v>
      </x:c>
      <x:c r="N1180" s="31" t="n">
        <x:v>3.99</x:v>
      </x:c>
      <x:c r="O1180" s="31" t="n">
        <x:f>ABS(M1180-N1180)</x:f>
        <x:v>0.02999999999999936</x:v>
      </x:c>
      <x:c r="P1180" s="31" t="n">
        <x:v>6.64</x:v>
      </x:c>
      <x:c r="Q1180" s="31" t="n">
        <x:v>6.15</x:v>
      </x:c>
      <x:c r="R1180" s="31" t="n">
        <x:f>ABS(P1180-Q1180)</x:f>
        <x:v>0.4899999999999993</x:v>
      </x:c>
      <x:c r="S1180" s="32" t="n">
        <x:v>10769.689038234237</x:v>
      </x:c>
      <x:c r="T1180" s="32" t="n">
        <x:v>13697.48859893058</x:v>
      </x:c>
      <x:c r="U1180" s="31" t="n">
        <x:f>MAX(S1180/T1180,T1180/S1180)</x:f>
        <x:v>1.2718555336465291</x:v>
      </x:c>
      <x:c r="V1180" s="31" t="n">
        <x:f>L1180*'Controls &amp; Summary'!$B$9+O1180*'Controls &amp; Summary'!$B$10+R1180*'Controls &amp; Summary'!$B$11+U1180*'Controls &amp; Summary'!$B$12</x:f>
        <x:v>3.251855533646527</x:v>
      </x:c>
      <x:c r="W1180" s="31" t="n">
        <x:v>5.47</x:v>
      </x:c>
      <x:c r="X1180" s="31" t="n">
        <x:v>2.5</x:v>
      </x:c>
      <x:c r="Y1180" s="31" t="n">
        <x:f>((10-MIN(10,MAX(0,X1180)))/10)*'Controls &amp; Summary'!$B$15+((10-MIN(10,MAX(0,W1180)))/10)*'Controls &amp; Summary'!$B$16</x:f>
        <x:v>1.203</x:v>
      </x:c>
      <x:c r="Z1180" s="31" t="n">
        <x:f>V1180*Y1180</x:f>
        <x:v>3.9119822069767722</x:v>
      </x:c>
      <x:c r="AA1180" s="30" t="str">
        <x:f>IF(Z1180&lt;=I1180,"Peaceful","Hostile")</x:f>
        <x:v>Peaceful</x:v>
      </x:c>
      <x:c r="AB1180" s="30" t="str">
        <x:f>IF(Z1180&lt;='Controls &amp; Summary'!$B$6,"Eligible","Blocked")</x:f>
        <x:v>Eligible</x:v>
      </x:c>
      <x:c r="AC1180" s="30" t="str">
        <x:v>2026_JAM</x:v>
      </x:c>
      <x:c r="AD1180" s="30" t="str">
        <x:v>2026_BEL</x:v>
      </x:c>
      <x:c r="AE1180" s="30" t="str">
        <x:v>2026_Belize</x:v>
      </x:c>
      <x:c r="AF1180" s="30" t="str">
        <x:v>Explicit capitalClaim</x:v>
      </x:c>
      <x:c r="AG1180" s="30" t="str">
        <x:v>Claim2026_JAM2026_Belize</x:v>
      </x:c>
      <x:c r="AH1180" s="30" t="str">
        <x:v>Project_CaribbeanCommunity</x:v>
      </x:c>
    </x:row>
    <x:row r="1181">
      <x:c r="A1181" s="30" t="str">
        <x:v>2026</x:v>
      </x:c>
      <x:c r="B1181" s="30" t="str">
        <x:v>Base game</x:v>
      </x:c>
      <x:c r="C1181" s="30" t="str">
        <x:v>Jamaica</x:v>
      </x:c>
      <x:c r="D1181" s="30" t="str">
        <x:v>Cuba</x:v>
      </x:c>
      <x:c r="E1181" s="30" t="str">
        <x:v>Project unlock</x:v>
      </x:c>
      <x:c r="F1181" s="30" t="str">
        <x:v>Caribbean Community</x:v>
      </x:c>
      <x:c r="G1181" s="30" t="str">
        <x:v>No</x:v>
      </x:c>
      <x:c r="H1181" s="30" t="str">
        <x:v>Ordinary claim</x:v>
      </x:c>
      <x:c r="I1181" s="31" t="n">
        <x:f>IF(G1181="Yes",'Controls &amp; Summary'!$B$5,'Controls &amp; Summary'!$B$4)</x:f>
        <x:v>6</x:v>
      </x:c>
      <x:c r="J1181" s="31" t="n">
        <x:v>6.74</x:v>
      </x:c>
      <x:c r="K1181" s="31" t="n">
        <x:v>2.58</x:v>
      </x:c>
      <x:c r="L1181" s="31" t="n">
        <x:f>ABS(J1181-K1181)</x:f>
        <x:v>4.16</x:v>
      </x:c>
      <x:c r="M1181" s="31" t="n">
        <x:v>4.02</x:v>
      </x:c>
      <x:c r="N1181" s="31" t="n">
        <x:v>3.8</x:v>
      </x:c>
      <x:c r="O1181" s="31" t="n">
        <x:f>ABS(M1181-N1181)</x:f>
        <x:v>0.21999999999999975</x:v>
      </x:c>
      <x:c r="P1181" s="31" t="n">
        <x:v>6.64</x:v>
      </x:c>
      <x:c r="Q1181" s="31" t="n">
        <x:v>7.24</x:v>
      </x:c>
      <x:c r="R1181" s="31" t="n">
        <x:f>ABS(P1181-Q1181)</x:f>
        <x:v>0.6000000000000005</x:v>
      </x:c>
      <x:c r="S1181" s="32" t="n">
        <x:v>10769.689038234237</x:v>
      </x:c>
      <x:c r="T1181" s="32" t="n">
        <x:v>15651.709018064368</x:v>
      </x:c>
      <x:c r="U1181" s="31" t="n">
        <x:f>MAX(S1181/T1181,T1181/S1181)</x:f>
        <x:v>1.4533111367002451</x:v>
      </x:c>
      <x:c r="V1181" s="31" t="n">
        <x:f>L1181*'Controls &amp; Summary'!$B$9+O1181*'Controls &amp; Summary'!$B$10+R1181*'Controls &amp; Summary'!$B$11+U1181*'Controls &amp; Summary'!$B$12</x:f>
        <x:v>6.433311136700246</x:v>
      </x:c>
      <x:c r="W1181" s="31" t="n">
        <x:v>5.47</x:v>
      </x:c>
      <x:c r="X1181" s="31" t="n">
        <x:v>1.25</x:v>
      </x:c>
      <x:c r="Y1181" s="31" t="n">
        <x:f>((10-MIN(10,MAX(0,X1181)))/10)*'Controls &amp; Summary'!$B$15+((10-MIN(10,MAX(0,W1181)))/10)*'Controls &amp; Summary'!$B$16</x:f>
        <x:v>1.328</x:v>
      </x:c>
      <x:c r="Z1181" s="31" t="n">
        <x:f>V1181*Y1181</x:f>
        <x:v>8.543437189537926</x:v>
      </x:c>
      <x:c r="AA1181" s="30" t="str">
        <x:f>IF(Z1181&lt;=I1181,"Peaceful","Hostile")</x:f>
        <x:v>Hostile</x:v>
      </x:c>
      <x:c r="AB1181" s="30" t="str">
        <x:f>IF(Z1181&lt;='Controls &amp; Summary'!$B$6,"Eligible","Blocked")</x:f>
        <x:v>Eligible</x:v>
      </x:c>
      <x:c r="AC1181" s="30" t="str">
        <x:v>2026_JAM</x:v>
      </x:c>
      <x:c r="AD1181" s="30" t="str">
        <x:v>2026_CUB</x:v>
      </x:c>
      <x:c r="AE1181" s="30" t="str">
        <x:v>2026_Cuba</x:v>
      </x:c>
      <x:c r="AF1181" s="30" t="str">
        <x:v>Explicit capitalClaim</x:v>
      </x:c>
      <x:c r="AG1181" s="30" t="str">
        <x:v>Claim2026_JAM2026_Cuba</x:v>
      </x:c>
      <x:c r="AH1181" s="30" t="str">
        <x:v>Project_CaribbeanCommunity</x:v>
      </x:c>
    </x:row>
    <x:row r="1182">
      <x:c r="A1182" s="30" t="str">
        <x:v>2026</x:v>
      </x:c>
      <x:c r="B1182" s="30" t="str">
        <x:v>Base game</x:v>
      </x:c>
      <x:c r="C1182" s="30" t="str">
        <x:v>Jamaica</x:v>
      </x:c>
      <x:c r="D1182" s="30" t="str">
        <x:v>Dominican Republic</x:v>
      </x:c>
      <x:c r="E1182" s="30" t="str">
        <x:v>Project unlock</x:v>
      </x:c>
      <x:c r="F1182" s="30" t="str">
        <x:v>Caribbean Community</x:v>
      </x:c>
      <x:c r="G1182" s="30" t="str">
        <x:v>No</x:v>
      </x:c>
      <x:c r="H1182" s="30" t="str">
        <x:v>Ordinary claim</x:v>
      </x:c>
      <x:c r="I1182" s="31" t="n">
        <x:f>IF(G1182="Yes",'Controls &amp; Summary'!$B$5,'Controls &amp; Summary'!$B$4)</x:f>
        <x:v>6</x:v>
      </x:c>
      <x:c r="J1182" s="31" t="n">
        <x:v>6.74</x:v>
      </x:c>
      <x:c r="K1182" s="31" t="n">
        <x:v>6.75</x:v>
      </x:c>
      <x:c r="L1182" s="31" t="n">
        <x:f>ABS(J1182-K1182)</x:f>
        <x:v>0.009999999999999787</x:v>
      </x:c>
      <x:c r="M1182" s="31" t="n">
        <x:v>4.02</x:v>
      </x:c>
      <x:c r="N1182" s="31" t="n">
        <x:v>3.7</x:v>
      </x:c>
      <x:c r="O1182" s="31" t="n">
        <x:f>ABS(M1182-N1182)</x:f>
        <x:v>0.3199999999999994</x:v>
      </x:c>
      <x:c r="P1182" s="31" t="n">
        <x:v>6.64</x:v>
      </x:c>
      <x:c r="Q1182" s="31" t="n">
        <x:v>6.77</x:v>
      </x:c>
      <x:c r="R1182" s="31" t="n">
        <x:f>ABS(P1182-Q1182)</x:f>
        <x:v>0.1299999999999999</x:v>
      </x:c>
      <x:c r="S1182" s="32" t="n">
        <x:v>10769.689038234237</x:v>
      </x:c>
      <x:c r="T1182" s="32" t="n">
        <x:v>25475.012705112193</x:v>
      </x:c>
      <x:c r="U1182" s="31" t="n">
        <x:f>MAX(S1182/T1182,T1182/S1182)</x:f>
        <x:v>2.365436236336216</x:v>
      </x:c>
      <x:c r="V1182" s="31" t="n">
        <x:f>L1182*'Controls &amp; Summary'!$B$9+O1182*'Controls &amp; Summary'!$B$10+R1182*'Controls &amp; Summary'!$B$11+U1182*'Controls &amp; Summary'!$B$12</x:f>
        <x:v>2.825436236336215</x:v>
      </x:c>
      <x:c r="W1182" s="31" t="n">
        <x:v>5.47</x:v>
      </x:c>
      <x:c r="X1182" s="31" t="n">
        <x:v>1</x:v>
      </x:c>
      <x:c r="Y1182" s="31" t="n">
        <x:f>((10-MIN(10,MAX(0,X1182)))/10)*'Controls &amp; Summary'!$B$15+((10-MIN(10,MAX(0,W1182)))/10)*'Controls &amp; Summary'!$B$16</x:f>
        <x:v>1.353</x:v>
      </x:c>
      <x:c r="Z1182" s="31" t="n">
        <x:f>V1182*Y1182</x:f>
        <x:v>3.8228152277628986</x:v>
      </x:c>
      <x:c r="AA1182" s="30" t="str">
        <x:f>IF(Z1182&lt;=I1182,"Peaceful","Hostile")</x:f>
        <x:v>Peaceful</x:v>
      </x:c>
      <x:c r="AB1182" s="30" t="str">
        <x:f>IF(Z1182&lt;='Controls &amp; Summary'!$B$6,"Eligible","Blocked")</x:f>
        <x:v>Eligible</x:v>
      </x:c>
      <x:c r="AC1182" s="30" t="str">
        <x:v>2026_JAM</x:v>
      </x:c>
      <x:c r="AD1182" s="30" t="str">
        <x:v>2026_DOM</x:v>
      </x:c>
      <x:c r="AE1182" s="30" t="str">
        <x:v>2026_EastHispanola</x:v>
      </x:c>
      <x:c r="AF1182" s="30" t="str">
        <x:v>Explicit capitalClaim</x:v>
      </x:c>
      <x:c r="AG1182" s="30" t="str">
        <x:v>Claim2026_JAM2026_EastHispanola</x:v>
      </x:c>
      <x:c r="AH1182" s="30" t="str">
        <x:v>Project_CaribbeanCommunity</x:v>
      </x:c>
    </x:row>
    <x:row r="1183">
      <x:c r="A1183" s="30" t="str">
        <x:v>2026</x:v>
      </x:c>
      <x:c r="B1183" s="30" t="str">
        <x:v>Base game</x:v>
      </x:c>
      <x:c r="C1183" s="30" t="str">
        <x:v>Jamaica</x:v>
      </x:c>
      <x:c r="D1183" s="30" t="str">
        <x:v>Guyana</x:v>
      </x:c>
      <x:c r="E1183" s="30" t="str">
        <x:v>Project unlock</x:v>
      </x:c>
      <x:c r="F1183" s="30" t="str">
        <x:v>Caribbean Community</x:v>
      </x:c>
      <x:c r="G1183" s="30" t="str">
        <x:v>No</x:v>
      </x:c>
      <x:c r="H1183" s="30" t="str">
        <x:v>Ordinary claim</x:v>
      </x:c>
      <x:c r="I1183" s="31" t="n">
        <x:f>IF(G1183="Yes",'Controls &amp; Summary'!$B$5,'Controls &amp; Summary'!$B$4)</x:f>
        <x:v>6</x:v>
      </x:c>
      <x:c r="J1183" s="31" t="n">
        <x:v>6.74</x:v>
      </x:c>
      <x:c r="K1183" s="31" t="n">
        <x:v>6.09</x:v>
      </x:c>
      <x:c r="L1183" s="31" t="n">
        <x:f>ABS(J1183-K1183)</x:f>
        <x:v>0.6500000000000004</x:v>
      </x:c>
      <x:c r="M1183" s="31" t="n">
        <x:v>4.02</x:v>
      </x:c>
      <x:c r="N1183" s="31" t="n">
        <x:v>4.67</x:v>
      </x:c>
      <x:c r="O1183" s="31" t="n">
        <x:f>ABS(M1183-N1183)</x:f>
        <x:v>0.6500000000000004</x:v>
      </x:c>
      <x:c r="P1183" s="31" t="n">
        <x:v>6.64</x:v>
      </x:c>
      <x:c r="Q1183" s="31" t="n">
        <x:v>6.38</x:v>
      </x:c>
      <x:c r="R1183" s="31" t="n">
        <x:f>ABS(P1183-Q1183)</x:f>
        <x:v>0.2599999999999998</x:v>
      </x:c>
      <x:c r="S1183" s="32" t="n">
        <x:v>10769.689038234237</x:v>
      </x:c>
      <x:c r="T1183" s="32" t="n">
        <x:v>78795.94239436787</x:v>
      </x:c>
      <x:c r="U1183" s="31" t="n">
        <x:f>MAX(S1183/T1183,T1183/S1183)</x:f>
        <x:v>7.316454738352129</x:v>
      </x:c>
      <x:c r="V1183" s="31" t="n">
        <x:f>L1183*'Controls &amp; Summary'!$B$9+O1183*'Controls &amp; Summary'!$B$10+R1183*'Controls &amp; Summary'!$B$11+U1183*'Controls &amp; Summary'!$B$12</x:f>
        <x:v>8.87645473835213</x:v>
      </x:c>
      <x:c r="W1183" s="31" t="n">
        <x:v>5.47</x:v>
      </x:c>
      <x:c r="X1183" s="31" t="n">
        <x:v>0.5</x:v>
      </x:c>
      <x:c r="Y1183" s="31" t="n">
        <x:f>((10-MIN(10,MAX(0,X1183)))/10)*'Controls &amp; Summary'!$B$15+((10-MIN(10,MAX(0,W1183)))/10)*'Controls &amp; Summary'!$B$16</x:f>
        <x:v>1.403</x:v>
      </x:c>
      <x:c r="Z1183" s="31" t="n">
        <x:f>V1183*Y1183</x:f>
        <x:v>12.45366599790804</x:v>
      </x:c>
      <x:c r="AA1183" s="30" t="str">
        <x:f>IF(Z1183&lt;=I1183,"Peaceful","Hostile")</x:f>
        <x:v>Hostile</x:v>
      </x:c>
      <x:c r="AB1183" s="30" t="str">
        <x:f>IF(Z1183&lt;='Controls &amp; Summary'!$B$6,"Eligible","Blocked")</x:f>
        <x:v>Blocked</x:v>
      </x:c>
      <x:c r="AC1183" s="30" t="str">
        <x:v>2026_JAM</x:v>
      </x:c>
      <x:c r="AD1183" s="30" t="str">
        <x:v>2026_GUY</x:v>
      </x:c>
      <x:c r="AE1183" s="30" t="str">
        <x:v>2026_Guyana</x:v>
      </x:c>
      <x:c r="AF1183" s="30" t="str">
        <x:v>Explicit capitalClaim</x:v>
      </x:c>
      <x:c r="AG1183" s="30" t="str">
        <x:v>Claim2026_JAM2026_Guyana</x:v>
      </x:c>
      <x:c r="AH1183" s="30" t="str">
        <x:v>Project_CaribbeanCommunity</x:v>
      </x:c>
    </x:row>
    <x:row r="1184">
      <x:c r="A1184" s="30" t="str">
        <x:v>2026</x:v>
      </x:c>
      <x:c r="B1184" s="30" t="str">
        <x:v>Base game</x:v>
      </x:c>
      <x:c r="C1184" s="30" t="str">
        <x:v>Jamaica</x:v>
      </x:c>
      <x:c r="D1184" s="30" t="str">
        <x:v>Haiti</x:v>
      </x:c>
      <x:c r="E1184" s="30" t="str">
        <x:v>Project unlock</x:v>
      </x:c>
      <x:c r="F1184" s="30" t="str">
        <x:v>Caribbean Community</x:v>
      </x:c>
      <x:c r="G1184" s="30" t="str">
        <x:v>No</x:v>
      </x:c>
      <x:c r="H1184" s="30" t="str">
        <x:v>Ordinary claim</x:v>
      </x:c>
      <x:c r="I1184" s="31" t="n">
        <x:f>IF(G1184="Yes",'Controls &amp; Summary'!$B$5,'Controls &amp; Summary'!$B$4)</x:f>
        <x:v>6</x:v>
      </x:c>
      <x:c r="J1184" s="31" t="n">
        <x:v>6.74</x:v>
      </x:c>
      <x:c r="K1184" s="31" t="n">
        <x:v>2.81</x:v>
      </x:c>
      <x:c r="L1184" s="31" t="n">
        <x:f>ABS(J1184-K1184)</x:f>
        <x:v>3.93</x:v>
      </x:c>
      <x:c r="M1184" s="31" t="n">
        <x:v>4.02</x:v>
      </x:c>
      <x:c r="N1184" s="31" t="n">
        <x:v>4.11</x:v>
      </x:c>
      <x:c r="O1184" s="31" t="n">
        <x:f>ABS(M1184-N1184)</x:f>
        <x:v>0.09000000000000075</x:v>
      </x:c>
      <x:c r="P1184" s="31" t="n">
        <x:v>6.64</x:v>
      </x:c>
      <x:c r="Q1184" s="31" t="n">
        <x:v>4.76</x:v>
      </x:c>
      <x:c r="R1184" s="31" t="n">
        <x:f>ABS(P1184-Q1184)</x:f>
        <x:v>1.88</x:v>
      </x:c>
      <x:c r="S1184" s="32" t="n">
        <x:v>10769.689038234237</x:v>
      </x:c>
      <x:c r="T1184" s="32" t="n">
        <x:v>3163.8023690289333</x:v>
      </x:c>
      <x:c r="U1184" s="31" t="n">
        <x:f>MAX(S1184/T1184,T1184/S1184)</x:f>
        <x:v>3.4040334325749244</x:v>
      </x:c>
      <x:c r="V1184" s="31" t="n">
        <x:f>L1184*'Controls &amp; Summary'!$B$9+O1184*'Controls &amp; Summary'!$B$10+R1184*'Controls &amp; Summary'!$B$11+U1184*'Controls &amp; Summary'!$B$12</x:f>
        <x:v>9.304033432574926</x:v>
      </x:c>
      <x:c r="W1184" s="31" t="n">
        <x:v>5.47</x:v>
      </x:c>
      <x:c r="X1184" s="31" t="n">
        <x:v>5.5</x:v>
      </x:c>
      <x:c r="Y1184" s="31" t="n">
        <x:f>((10-MIN(10,MAX(0,X1184)))/10)*'Controls &amp; Summary'!$B$15+((10-MIN(10,MAX(0,W1184)))/10)*'Controls &amp; Summary'!$B$16</x:f>
        <x:v>0.903</x:v>
      </x:c>
      <x:c r="Z1184" s="31" t="n">
        <x:f>V1184*Y1184</x:f>
        <x:v>8.401542189615158</x:v>
      </x:c>
      <x:c r="AA1184" s="30" t="str">
        <x:f>IF(Z1184&lt;=I1184,"Peaceful","Hostile")</x:f>
        <x:v>Hostile</x:v>
      </x:c>
      <x:c r="AB1184" s="30" t="str">
        <x:f>IF(Z1184&lt;='Controls &amp; Summary'!$B$6,"Eligible","Blocked")</x:f>
        <x:v>Eligible</x:v>
      </x:c>
      <x:c r="AC1184" s="30" t="str">
        <x:v>2026_JAM</x:v>
      </x:c>
      <x:c r="AD1184" s="30" t="str">
        <x:v>2026_HTI</x:v>
      </x:c>
      <x:c r="AE1184" s="30" t="str">
        <x:v>2026_WestHispanola</x:v>
      </x:c>
      <x:c r="AF1184" s="30" t="str">
        <x:v>Explicit capitalClaim</x:v>
      </x:c>
      <x:c r="AG1184" s="30" t="str">
        <x:v>Claim2026_JAM2026_WestHispanola</x:v>
      </x:c>
      <x:c r="AH1184" s="30" t="str">
        <x:v>Project_CaribbeanCommunity</x:v>
      </x:c>
    </x:row>
    <x:row r="1185">
      <x:c r="A1185" s="30" t="str">
        <x:v>2026</x:v>
      </x:c>
      <x:c r="B1185" s="30" t="str">
        <x:v>Base game</x:v>
      </x:c>
      <x:c r="C1185" s="30" t="str">
        <x:v>Jamaica</x:v>
      </x:c>
      <x:c r="D1185" s="30" t="str">
        <x:v>Lesser Antilles States</x:v>
      </x:c>
      <x:c r="E1185" s="30" t="str">
        <x:v>Project unlock</x:v>
      </x:c>
      <x:c r="F1185" s="30" t="str">
        <x:v>Caribbean Community</x:v>
      </x:c>
      <x:c r="G1185" s="30" t="str">
        <x:v>No</x:v>
      </x:c>
      <x:c r="H1185" s="30" t="str">
        <x:v>Ordinary claim</x:v>
      </x:c>
      <x:c r="I1185" s="31" t="n">
        <x:f>IF(G1185="Yes",'Controls &amp; Summary'!$B$5,'Controls &amp; Summary'!$B$4)</x:f>
        <x:v>6</x:v>
      </x:c>
      <x:c r="J1185" s="31" t="n">
        <x:v>6.74</x:v>
      </x:c>
      <x:c r="K1185" s="31" t="n">
        <x:v>7.6</x:v>
      </x:c>
      <x:c r="L1185" s="31" t="n">
        <x:f>ABS(J1185-K1185)</x:f>
        <x:v>0.8599999999999994</x:v>
      </x:c>
      <x:c r="M1185" s="31" t="n">
        <x:v>4.02</x:v>
      </x:c>
      <x:c r="N1185" s="31" t="n">
        <x:v>4.53</x:v>
      </x:c>
      <x:c r="O1185" s="31" t="n">
        <x:f>ABS(M1185-N1185)</x:f>
        <x:v>0.5100000000000007</x:v>
      </x:c>
      <x:c r="P1185" s="31" t="n">
        <x:v>6.64</x:v>
      </x:c>
      <x:c r="Q1185" s="31" t="n">
        <x:v>7.42</x:v>
      </x:c>
      <x:c r="R1185" s="31" t="n">
        <x:f>ABS(P1185-Q1185)</x:f>
        <x:v>0.7800000000000002</x:v>
      </x:c>
      <x:c r="S1185" s="32" t="n">
        <x:v>10769.689038234237</x:v>
      </x:c>
      <x:c r="T1185" s="32" t="n">
        <x:v>32817.80555416679</x:v>
      </x:c>
      <x:c r="U1185" s="31" t="n">
        <x:f>MAX(S1185/T1185,T1185/S1185)</x:f>
        <x:v>3.047237987806145</x:v>
      </x:c>
      <x:c r="V1185" s="31" t="n">
        <x:f>L1185*'Controls &amp; Summary'!$B$9+O1185*'Controls &amp; Summary'!$B$10+R1185*'Controls &amp; Summary'!$B$11+U1185*'Controls &amp; Summary'!$B$12</x:f>
        <x:v>5.197237987806146</x:v>
      </x:c>
      <x:c r="W1185" s="31" t="n">
        <x:v>5.47</x:v>
      </x:c>
      <x:c r="X1185" s="31" t="n">
        <x:v>2.55</x:v>
      </x:c>
      <x:c r="Y1185" s="31" t="n">
        <x:f>((10-MIN(10,MAX(0,X1185)))/10)*'Controls &amp; Summary'!$B$15+((10-MIN(10,MAX(0,W1185)))/10)*'Controls &amp; Summary'!$B$16</x:f>
        <x:v>1.198</x:v>
      </x:c>
      <x:c r="Z1185" s="31" t="n">
        <x:f>V1185*Y1185</x:f>
        <x:v>6.226291109391762</x:v>
      </x:c>
      <x:c r="AA1185" s="30" t="str">
        <x:f>IF(Z1185&lt;=I1185,"Peaceful","Hostile")</x:f>
        <x:v>Hostile</x:v>
      </x:c>
      <x:c r="AB1185" s="30" t="str">
        <x:f>IF(Z1185&lt;='Controls &amp; Summary'!$B$6,"Eligible","Blocked")</x:f>
        <x:v>Eligible</x:v>
      </x:c>
      <x:c r="AC1185" s="30" t="str">
        <x:v>2026_JAM</x:v>
      </x:c>
      <x:c r="AD1185" s="30" t="str">
        <x:v>2026_CAB</x:v>
      </x:c>
      <x:c r="AE1185" s="30" t="str">
        <x:v>2026_WestIndies</x:v>
      </x:c>
      <x:c r="AF1185" s="30" t="str">
        <x:v>Explicit capitalClaim</x:v>
      </x:c>
      <x:c r="AG1185" s="30" t="str">
        <x:v>Claim2026_JAM2026_WestIndies</x:v>
      </x:c>
      <x:c r="AH1185" s="30" t="str">
        <x:v>Project_CaribbeanCommunity</x:v>
      </x:c>
    </x:row>
    <x:row r="1186">
      <x:c r="A1186" s="30" t="str">
        <x:v>2026</x:v>
      </x:c>
      <x:c r="B1186" s="30" t="str">
        <x:v>Base game</x:v>
      </x:c>
      <x:c r="C1186" s="30" t="str">
        <x:v>Jamaica</x:v>
      </x:c>
      <x:c r="D1186" s="30" t="str">
        <x:v>Suriname</x:v>
      </x:c>
      <x:c r="E1186" s="30" t="str">
        <x:v>Project unlock</x:v>
      </x:c>
      <x:c r="F1186" s="30" t="str">
        <x:v>Caribbean Community</x:v>
      </x:c>
      <x:c r="G1186" s="30" t="str">
        <x:v>No</x:v>
      </x:c>
      <x:c r="H1186" s="30" t="str">
        <x:v>Ordinary claim</x:v>
      </x:c>
      <x:c r="I1186" s="31" t="n">
        <x:f>IF(G1186="Yes",'Controls &amp; Summary'!$B$5,'Controls &amp; Summary'!$B$4)</x:f>
        <x:v>6</x:v>
      </x:c>
      <x:c r="J1186" s="31" t="n">
        <x:v>6.74</x:v>
      </x:c>
      <x:c r="K1186" s="31" t="n">
        <x:v>7.03</x:v>
      </x:c>
      <x:c r="L1186" s="31" t="n">
        <x:f>ABS(J1186-K1186)</x:f>
        <x:v>0.29000000000000004</x:v>
      </x:c>
      <x:c r="M1186" s="31" t="n">
        <x:v>4.02</x:v>
      </x:c>
      <x:c r="N1186" s="31" t="n">
        <x:v>3.92</x:v>
      </x:c>
      <x:c r="O1186" s="31" t="n">
        <x:f>ABS(M1186-N1186)</x:f>
        <x:v>0.09999999999999964</x:v>
      </x:c>
      <x:c r="P1186" s="31" t="n">
        <x:v>6.64</x:v>
      </x:c>
      <x:c r="Q1186" s="31" t="n">
        <x:v>5.75</x:v>
      </x:c>
      <x:c r="R1186" s="31" t="n">
        <x:f>ABS(P1186-Q1186)</x:f>
        <x:v>0.8899999999999997</x:v>
      </x:c>
      <x:c r="S1186" s="32" t="n">
        <x:v>10769.689038234237</x:v>
      </x:c>
      <x:c r="T1186" s="32" t="n">
        <x:v>20106.469206020556</x:v>
      </x:c>
      <x:c r="U1186" s="31" t="n">
        <x:f>MAX(S1186/T1186,T1186/S1186)</x:f>
        <x:v>1.8669498380723113</x:v>
      </x:c>
      <x:c r="V1186" s="31" t="n">
        <x:f>L1186*'Controls &amp; Summary'!$B$9+O1186*'Controls &amp; Summary'!$B$10+R1186*'Controls &amp; Summary'!$B$11+U1186*'Controls &amp; Summary'!$B$12</x:f>
        <x:v>3.1469498380723104</x:v>
      </x:c>
      <x:c r="W1186" s="31" t="n">
        <x:v>5.47</x:v>
      </x:c>
      <x:c r="X1186" s="31" t="n">
        <x:v>0.5</x:v>
      </x:c>
      <x:c r="Y1186" s="31" t="n">
        <x:f>((10-MIN(10,MAX(0,X1186)))/10)*'Controls &amp; Summary'!$B$15+((10-MIN(10,MAX(0,W1186)))/10)*'Controls &amp; Summary'!$B$16</x:f>
        <x:v>1.403</x:v>
      </x:c>
      <x:c r="Z1186" s="31" t="n">
        <x:f>V1186*Y1186</x:f>
        <x:v>4.4151706228154515</x:v>
      </x:c>
      <x:c r="AA1186" s="30" t="str">
        <x:f>IF(Z1186&lt;=I1186,"Peaceful","Hostile")</x:f>
        <x:v>Peaceful</x:v>
      </x:c>
      <x:c r="AB1186" s="30" t="str">
        <x:f>IF(Z1186&lt;='Controls &amp; Summary'!$B$6,"Eligible","Blocked")</x:f>
        <x:v>Eligible</x:v>
      </x:c>
      <x:c r="AC1186" s="30" t="str">
        <x:v>2026_JAM</x:v>
      </x:c>
      <x:c r="AD1186" s="30" t="str">
        <x:v>2026_SUR</x:v>
      </x:c>
      <x:c r="AE1186" s="30" t="str">
        <x:v>2026_Suriname</x:v>
      </x:c>
      <x:c r="AF1186" s="30" t="str">
        <x:v>Explicit capitalClaim</x:v>
      </x:c>
      <x:c r="AG1186" s="30" t="str">
        <x:v>Claim2026_JAM2026_Suriname</x:v>
      </x:c>
      <x:c r="AH1186" s="30" t="str">
        <x:v>Project_CaribbeanCommunity</x:v>
      </x:c>
    </x:row>
    <x:row r="1187">
      <x:c r="A1187" s="30" t="str">
        <x:v>2026</x:v>
      </x:c>
      <x:c r="B1187" s="30" t="str">
        <x:v>Base game</x:v>
      </x:c>
      <x:c r="C1187" s="30" t="str">
        <x:v>Japan</x:v>
      </x:c>
      <x:c r="D1187" s="30" t="str">
        <x:v>Melanesian States</x:v>
      </x:c>
      <x:c r="E1187" s="30" t="str">
        <x:v>Project unlock</x:v>
      </x:c>
      <x:c r="F1187" s="30" t="str">
        <x:v>Pacific League</x:v>
      </x:c>
      <x:c r="G1187" s="30" t="str">
        <x:v>No</x:v>
      </x:c>
      <x:c r="H1187" s="30" t="str">
        <x:v>Ordinary claim</x:v>
      </x:c>
      <x:c r="I1187" s="31" t="n">
        <x:f>IF(G1187="Yes",'Controls &amp; Summary'!$B$5,'Controls &amp; Summary'!$B$4)</x:f>
        <x:v>6</x:v>
      </x:c>
      <x:c r="J1187" s="31" t="n">
        <x:v>8.85</x:v>
      </x:c>
      <x:c r="K1187" s="31" t="n">
        <x:v>6.59</x:v>
      </x:c>
      <x:c r="L1187" s="31" t="n">
        <x:f>ABS(J1187-K1187)</x:f>
        <x:v>2.26</x:v>
      </x:c>
      <x:c r="M1187" s="31" t="n">
        <x:v>3.29</x:v>
      </x:c>
      <x:c r="N1187" s="31" t="n">
        <x:v>3.35</x:v>
      </x:c>
      <x:c r="O1187" s="31" t="n">
        <x:f>ABS(M1187-N1187)</x:f>
        <x:v>0.06000000000000005</x:v>
      </x:c>
      <x:c r="P1187" s="31" t="n">
        <x:v>8.34</x:v>
      </x:c>
      <x:c r="Q1187" s="31" t="n">
        <x:v>6.04</x:v>
      </x:c>
      <x:c r="R1187" s="31" t="n">
        <x:f>ABS(P1187-Q1187)</x:f>
        <x:v>2.3</x:v>
      </x:c>
      <x:c r="S1187" s="32" t="n">
        <x:v>48233.50165220328</x:v>
      </x:c>
      <x:c r="T1187" s="32" t="n">
        <x:v>7773.8101419274935</x:v>
      </x:c>
      <x:c r="U1187" s="31" t="n">
        <x:f>MAX(S1187/T1187,T1187/S1187)</x:f>
        <x:v>6.204615339402143</x:v>
      </x:c>
      <x:c r="V1187" s="31" t="n">
        <x:f>L1187*'Controls &amp; Summary'!$B$9+O1187*'Controls &amp; Summary'!$B$10+R1187*'Controls &amp; Summary'!$B$11+U1187*'Controls &amp; Summary'!$B$12</x:f>
        <x:v>10.824615339402143</x:v>
      </x:c>
      <x:c r="W1187" s="31" t="n">
        <x:v>6.53</x:v>
      </x:c>
      <x:c r="X1187" s="31" t="n">
        <x:v>0.22</x:v>
      </x:c>
      <x:c r="Y1187" s="31" t="n">
        <x:f>((10-MIN(10,MAX(0,X1187)))/10)*'Controls &amp; Summary'!$B$15+((10-MIN(10,MAX(0,W1187)))/10)*'Controls &amp; Summary'!$B$16</x:f>
        <x:v>1.325</x:v>
      </x:c>
      <x:c r="Z1187" s="31" t="n">
        <x:f>V1187*Y1187</x:f>
        <x:v>14.34261532470784</x:v>
      </x:c>
      <x:c r="AA1187" s="30" t="str">
        <x:f>IF(Z1187&lt;=I1187,"Peaceful","Hostile")</x:f>
        <x:v>Hostile</x:v>
      </x:c>
      <x:c r="AB1187" s="30" t="str">
        <x:f>IF(Z1187&lt;='Controls &amp; Summary'!$B$6,"Eligible","Blocked")</x:f>
        <x:v>Blocked</x:v>
      </x:c>
      <x:c r="AC1187" s="30" t="str">
        <x:v>2026_JPN</x:v>
      </x:c>
      <x:c r="AD1187" s="30" t="str">
        <x:v>2026_PCS</x:v>
      </x:c>
      <x:c r="AE1187" s="30" t="str">
        <x:v>2026_Melanesia</x:v>
      </x:c>
      <x:c r="AF1187" s="30" t="str">
        <x:v>Explicit capitalClaim</x:v>
      </x:c>
      <x:c r="AG1187" s="30" t="str">
        <x:v>Claim2026_JPN2026_Melanesia</x:v>
      </x:c>
      <x:c r="AH1187" s="30" t="str">
        <x:v>Project_PacificLeague</x:v>
      </x:c>
    </x:row>
    <x:row r="1188">
      <x:c r="A1188" s="30" t="str">
        <x:v>2026</x:v>
      </x:c>
      <x:c r="B1188" s="30" t="str">
        <x:v>Base game</x:v>
      </x:c>
      <x:c r="C1188" s="30" t="str">
        <x:v>Japan</x:v>
      </x:c>
      <x:c r="D1188" s="30" t="str">
        <x:v>Micronesian States</x:v>
      </x:c>
      <x:c r="E1188" s="30" t="str">
        <x:v>Project unlock</x:v>
      </x:c>
      <x:c r="F1188" s="30" t="str">
        <x:v>Pacific League</x:v>
      </x:c>
      <x:c r="G1188" s="30" t="str">
        <x:v>No</x:v>
      </x:c>
      <x:c r="H1188" s="30" t="str">
        <x:v>Ordinary claim</x:v>
      </x:c>
      <x:c r="I1188" s="31" t="n">
        <x:f>IF(G1188="Yes",'Controls &amp; Summary'!$B$5,'Controls &amp; Summary'!$B$4)</x:f>
        <x:v>6</x:v>
      </x:c>
      <x:c r="J1188" s="31" t="n">
        <x:v>8.85</x:v>
      </x:c>
      <x:c r="K1188" s="31" t="n">
        <x:v>8.44</x:v>
      </x:c>
      <x:c r="L1188" s="31" t="n">
        <x:f>ABS(J1188-K1188)</x:f>
        <x:v>0.41000000000000014</x:v>
      </x:c>
      <x:c r="M1188" s="31" t="n">
        <x:v>3.29</x:v>
      </x:c>
      <x:c r="N1188" s="31" t="n">
        <x:v>3.44</x:v>
      </x:c>
      <x:c r="O1188" s="31" t="n">
        <x:f>ABS(M1188-N1188)</x:f>
        <x:v>0.1499999999999999</x:v>
      </x:c>
      <x:c r="P1188" s="31" t="n">
        <x:v>8.34</x:v>
      </x:c>
      <x:c r="Q1188" s="31" t="n">
        <x:v>6.31</x:v>
      </x:c>
      <x:c r="R1188" s="31" t="n">
        <x:f>ABS(P1188-Q1188)</x:f>
        <x:v>2.0300000000000002</x:v>
      </x:c>
      <x:c r="S1188" s="32" t="n">
        <x:v>48233.50165220328</x:v>
      </x:c>
      <x:c r="T1188" s="32" t="n">
        <x:v>5608.000563925171</x:v>
      </x:c>
      <x:c r="U1188" s="31" t="n">
        <x:f>MAX(S1188/T1188,T1188/S1188)</x:f>
        <x:v>8.600837518183758</x:v>
      </x:c>
      <x:c r="V1188" s="31" t="n">
        <x:f>L1188*'Controls &amp; Summary'!$B$9+O1188*'Controls &amp; Summary'!$B$10+R1188*'Controls &amp; Summary'!$B$11+U1188*'Controls &amp; Summary'!$B$12</x:f>
        <x:v>11.190837518183757</x:v>
      </x:c>
      <x:c r="W1188" s="31" t="n">
        <x:v>6.53</x:v>
      </x:c>
      <x:c r="X1188" s="31" t="n">
        <x:v>0</x:v>
      </x:c>
      <x:c r="Y1188" s="31" t="n">
        <x:f>((10-MIN(10,MAX(0,X1188)))/10)*'Controls &amp; Summary'!$B$15+((10-MIN(10,MAX(0,W1188)))/10)*'Controls &amp; Summary'!$B$16</x:f>
        <x:v>1.347</x:v>
      </x:c>
      <x:c r="Z1188" s="31" t="n">
        <x:f>V1188*Y1188</x:f>
        <x:v>15.074058136993521</x:v>
      </x:c>
      <x:c r="AA1188" s="30" t="str">
        <x:f>IF(Z1188&lt;=I1188,"Peaceful","Hostile")</x:f>
        <x:v>Hostile</x:v>
      </x:c>
      <x:c r="AB1188" s="30" t="str">
        <x:f>IF(Z1188&lt;='Controls &amp; Summary'!$B$6,"Eligible","Blocked")</x:f>
        <x:v>Blocked</x:v>
      </x:c>
      <x:c r="AC1188" s="30" t="str">
        <x:v>2026_JPN</x:v>
      </x:c>
      <x:c r="AD1188" s="30" t="str">
        <x:v>2026_MCS</x:v>
      </x:c>
      <x:c r="AE1188" s="30" t="str">
        <x:v>2026_Micronesia</x:v>
      </x:c>
      <x:c r="AF1188" s="30" t="str">
        <x:v>Explicit capitalClaim</x:v>
      </x:c>
      <x:c r="AG1188" s="30" t="str">
        <x:v>Claim2026_JPN2026_Micronesia</x:v>
      </x:c>
      <x:c r="AH1188" s="30" t="str">
        <x:v>Project_PacificLeague</x:v>
      </x:c>
    </x:row>
    <x:row r="1189">
      <x:c r="A1189" s="30" t="str">
        <x:v>2026</x:v>
      </x:c>
      <x:c r="B1189" s="30" t="str">
        <x:v>Base game</x:v>
      </x:c>
      <x:c r="C1189" s="30" t="str">
        <x:v>Japan</x:v>
      </x:c>
      <x:c r="D1189" s="30" t="str">
        <x:v>North Korea</x:v>
      </x:c>
      <x:c r="E1189" s="30" t="str">
        <x:v>Project unlock</x:v>
      </x:c>
      <x:c r="F1189" s="30" t="str">
        <x:v>Pacific League</x:v>
      </x:c>
      <x:c r="G1189" s="30" t="str">
        <x:v>No</x:v>
      </x:c>
      <x:c r="H1189" s="30" t="str">
        <x:v>Ordinary claim</x:v>
      </x:c>
      <x:c r="I1189" s="31" t="n">
        <x:f>IF(G1189="Yes",'Controls &amp; Summary'!$B$5,'Controls &amp; Summary'!$B$4)</x:f>
        <x:v>6</x:v>
      </x:c>
      <x:c r="J1189" s="31" t="n">
        <x:v>8.85</x:v>
      </x:c>
      <x:c r="K1189" s="31" t="n">
        <x:v>1.08</x:v>
      </x:c>
      <x:c r="L1189" s="31" t="n">
        <x:f>ABS(J1189-K1189)</x:f>
        <x:v>7.77</x:v>
      </x:c>
      <x:c r="M1189" s="31" t="n">
        <x:v>3.29</x:v>
      </x:c>
      <x:c r="N1189" s="31" t="n">
        <x:v>8.6</x:v>
      </x:c>
      <x:c r="O1189" s="31" t="n">
        <x:f>ABS(M1189-N1189)</x:f>
        <x:v>5.31</x:v>
      </x:c>
      <x:c r="P1189" s="31" t="n">
        <x:v>8.34</x:v>
      </x:c>
      <x:c r="Q1189" s="31" t="n">
        <x:v>4.85</x:v>
      </x:c>
      <x:c r="R1189" s="31" t="n">
        <x:f>ABS(P1189-Q1189)</x:f>
        <x:v>3.49</x:v>
      </x:c>
      <x:c r="S1189" s="32" t="n">
        <x:v>48233.50165220328</x:v>
      </x:c>
      <x:c r="T1189" s="32" t="n">
        <x:v>6241.452332573806</x:v>
      </x:c>
      <x:c r="U1189" s="31" t="n">
        <x:f>MAX(S1189/T1189,T1189/S1189)</x:f>
        <x:v>7.727929187326356</x:v>
      </x:c>
      <x:c r="V1189" s="31" t="n">
        <x:f>L1189*'Controls &amp; Summary'!$B$9+O1189*'Controls &amp; Summary'!$B$10+R1189*'Controls &amp; Summary'!$B$11+U1189*'Controls &amp; Summary'!$B$12</x:f>
        <x:v>24.297929187326357</x:v>
      </x:c>
      <x:c r="W1189" s="31" t="n">
        <x:v>6.53</x:v>
      </x:c>
      <x:c r="X1189" s="31" t="n">
        <x:v>0.5</x:v>
      </x:c>
      <x:c r="Y1189" s="31" t="n">
        <x:f>((10-MIN(10,MAX(0,X1189)))/10)*'Controls &amp; Summary'!$B$15+((10-MIN(10,MAX(0,W1189)))/10)*'Controls &amp; Summary'!$B$16</x:f>
        <x:v>1.297</x:v>
      </x:c>
      <x:c r="Z1189" s="31" t="n">
        <x:f>V1189*Y1189</x:f>
        <x:v>31.51441415596228</x:v>
      </x:c>
      <x:c r="AA1189" s="30" t="str">
        <x:f>IF(Z1189&lt;=I1189,"Peaceful","Hostile")</x:f>
        <x:v>Hostile</x:v>
      </x:c>
      <x:c r="AB1189" s="30" t="str">
        <x:f>IF(Z1189&lt;='Controls &amp; Summary'!$B$6,"Eligible","Blocked")</x:f>
        <x:v>Blocked</x:v>
      </x:c>
      <x:c r="AC1189" s="30" t="str">
        <x:v>2026_JPN</x:v>
      </x:c>
      <x:c r="AD1189" s="30" t="str">
        <x:v>2026_PRK</x:v>
      </x:c>
      <x:c r="AE1189" s="30" t="str">
        <x:v>2026_NorthKorea</x:v>
      </x:c>
      <x:c r="AF1189" s="30" t="str">
        <x:v>Explicit capitalClaim</x:v>
      </x:c>
      <x:c r="AG1189" s="30" t="str">
        <x:v>Claim2026_JPN2026_NorthKorea</x:v>
      </x:c>
      <x:c r="AH1189" s="30" t="str">
        <x:v>Project_PacificLeague</x:v>
      </x:c>
    </x:row>
    <x:row r="1190">
      <x:c r="A1190" s="30" t="str">
        <x:v>2026</x:v>
      </x:c>
      <x:c r="B1190" s="30" t="str">
        <x:v>Base game</x:v>
      </x:c>
      <x:c r="C1190" s="30" t="str">
        <x:v>Japan</x:v>
      </x:c>
      <x:c r="D1190" s="30" t="str">
        <x:v>Papua New Guinea</x:v>
      </x:c>
      <x:c r="E1190" s="30" t="str">
        <x:v>Project unlock</x:v>
      </x:c>
      <x:c r="F1190" s="30" t="str">
        <x:v>Pacific League</x:v>
      </x:c>
      <x:c r="G1190" s="30" t="str">
        <x:v>No</x:v>
      </x:c>
      <x:c r="H1190" s="30" t="str">
        <x:v>Ordinary claim</x:v>
      </x:c>
      <x:c r="I1190" s="31" t="n">
        <x:f>IF(G1190="Yes",'Controls &amp; Summary'!$B$5,'Controls &amp; Summary'!$B$4)</x:f>
        <x:v>6</x:v>
      </x:c>
      <x:c r="J1190" s="31" t="n">
        <x:v>8.85</x:v>
      </x:c>
      <x:c r="K1190" s="31" t="n">
        <x:v>5.9</x:v>
      </x:c>
      <x:c r="L1190" s="31" t="n">
        <x:f>ABS(J1190-K1190)</x:f>
        <x:v>2.9499999999999993</x:v>
      </x:c>
      <x:c r="M1190" s="31" t="n">
        <x:v>3.29</x:v>
      </x:c>
      <x:c r="N1190" s="31" t="n">
        <x:v>3.88</x:v>
      </x:c>
      <x:c r="O1190" s="31" t="n">
        <x:f>ABS(M1190-N1190)</x:f>
        <x:v>0.5899999999999999</x:v>
      </x:c>
      <x:c r="P1190" s="31" t="n">
        <x:v>8.34</x:v>
      </x:c>
      <x:c r="Q1190" s="31" t="n">
        <x:v>4.39</x:v>
      </x:c>
      <x:c r="R1190" s="31" t="n">
        <x:f>ABS(P1190-Q1190)</x:f>
        <x:v>3.95</x:v>
      </x:c>
      <x:c r="S1190" s="32" t="n">
        <x:v>48233.50165220328</x:v>
      </x:c>
      <x:c r="T1190" s="32" t="n">
        <x:v>3866.49138716577</x:v>
      </x:c>
      <x:c r="U1190" s="31" t="n">
        <x:f>MAX(S1190/T1190,T1190/S1190)</x:f>
        <x:v>12.474746953350795</x:v>
      </x:c>
      <x:c r="V1190" s="31" t="n">
        <x:f>L1190*'Controls &amp; Summary'!$B$9+O1190*'Controls &amp; Summary'!$B$10+R1190*'Controls &amp; Summary'!$B$11+U1190*'Controls &amp; Summary'!$B$12</x:f>
        <x:v>19.964746953350794</x:v>
      </x:c>
      <x:c r="W1190" s="31" t="n">
        <x:v>6.53</x:v>
      </x:c>
      <x:c r="X1190" s="31" t="n">
        <x:v>3</x:v>
      </x:c>
      <x:c r="Y1190" s="31" t="n">
        <x:f>((10-MIN(10,MAX(0,X1190)))/10)*'Controls &amp; Summary'!$B$15+((10-MIN(10,MAX(0,W1190)))/10)*'Controls &amp; Summary'!$B$16</x:f>
        <x:v>1.047</x:v>
      </x:c>
      <x:c r="Z1190" s="31" t="n">
        <x:f>V1190*Y1190</x:f>
        <x:v>20.90309006015828</x:v>
      </x:c>
      <x:c r="AA1190" s="30" t="str">
        <x:f>IF(Z1190&lt;=I1190,"Peaceful","Hostile")</x:f>
        <x:v>Hostile</x:v>
      </x:c>
      <x:c r="AB1190" s="30" t="str">
        <x:f>IF(Z1190&lt;='Controls &amp; Summary'!$B$6,"Eligible","Blocked")</x:f>
        <x:v>Blocked</x:v>
      </x:c>
      <x:c r="AC1190" s="30" t="str">
        <x:v>2026_JPN</x:v>
      </x:c>
      <x:c r="AD1190" s="30" t="str">
        <x:v>2026_PNG</x:v>
      </x:c>
      <x:c r="AE1190" s="30" t="str">
        <x:v>2026_PortMorseby</x:v>
      </x:c>
      <x:c r="AF1190" s="30" t="str">
        <x:v>Explicit capitalClaim</x:v>
      </x:c>
      <x:c r="AG1190" s="30" t="str">
        <x:v>Claim2026_JPN2026_PortMorseby</x:v>
      </x:c>
      <x:c r="AH1190" s="30" t="str">
        <x:v>Project_PacificLeague</x:v>
      </x:c>
    </x:row>
    <x:row r="1191">
      <x:c r="A1191" s="30" t="str">
        <x:v>2026</x:v>
      </x:c>
      <x:c r="B1191" s="30" t="str">
        <x:v>Base game</x:v>
      </x:c>
      <x:c r="C1191" s="30" t="str">
        <x:v>Japan</x:v>
      </x:c>
      <x:c r="D1191" s="30" t="str">
        <x:v>Philippines</x:v>
      </x:c>
      <x:c r="E1191" s="30" t="str">
        <x:v>Project unlock</x:v>
      </x:c>
      <x:c r="F1191" s="30" t="str">
        <x:v>Pacific League</x:v>
      </x:c>
      <x:c r="G1191" s="30" t="str">
        <x:v>No</x:v>
      </x:c>
      <x:c r="H1191" s="30" t="str">
        <x:v>Ordinary claim</x:v>
      </x:c>
      <x:c r="I1191" s="31" t="n">
        <x:f>IF(G1191="Yes",'Controls &amp; Summary'!$B$5,'Controls &amp; Summary'!$B$4)</x:f>
        <x:v>6</x:v>
      </x:c>
      <x:c r="J1191" s="31" t="n">
        <x:v>8.85</x:v>
      </x:c>
      <x:c r="K1191" s="31" t="n">
        <x:v>6.31</x:v>
      </x:c>
      <x:c r="L1191" s="31" t="n">
        <x:f>ABS(J1191-K1191)</x:f>
        <x:v>2.54</x:v>
      </x:c>
      <x:c r="M1191" s="31" t="n">
        <x:v>3.29</x:v>
      </x:c>
      <x:c r="N1191" s="31" t="n">
        <x:v>4.07</x:v>
      </x:c>
      <x:c r="O1191" s="31" t="n">
        <x:f>ABS(M1191-N1191)</x:f>
        <x:v>0.7800000000000002</x:v>
      </x:c>
      <x:c r="P1191" s="31" t="n">
        <x:v>8.34</x:v>
      </x:c>
      <x:c r="Q1191" s="31" t="n">
        <x:v>6.75</x:v>
      </x:c>
      <x:c r="R1191" s="31" t="n">
        <x:f>ABS(P1191-Q1191)</x:f>
        <x:v>1.5899999999999999</x:v>
      </x:c>
      <x:c r="S1191" s="32" t="n">
        <x:v>48233.50165220328</x:v>
      </x:c>
      <x:c r="T1191" s="32" t="n">
        <x:v>11046.009872951565</x:v>
      </x:c>
      <x:c r="U1191" s="31" t="n">
        <x:f>MAX(S1191/T1191,T1191/S1191)</x:f>
        <x:v>4.366599542004119</x:v>
      </x:c>
      <x:c r="V1191" s="31" t="n">
        <x:f>L1191*'Controls &amp; Summary'!$B$9+O1191*'Controls &amp; Summary'!$B$10+R1191*'Controls &amp; Summary'!$B$11+U1191*'Controls &amp; Summary'!$B$12</x:f>
        <x:v>9.276599542004119</x:v>
      </x:c>
      <x:c r="W1191" s="31" t="n">
        <x:v>6.53</x:v>
      </x:c>
      <x:c r="X1191" s="31" t="n">
        <x:v>4.75</x:v>
      </x:c>
      <x:c r="Y1191" s="31" t="n">
        <x:f>((10-MIN(10,MAX(0,X1191)))/10)*'Controls &amp; Summary'!$B$15+((10-MIN(10,MAX(0,W1191)))/10)*'Controls &amp; Summary'!$B$16</x:f>
        <x:v>0.872</x:v>
      </x:c>
      <x:c r="Z1191" s="31" t="n">
        <x:f>V1191*Y1191</x:f>
        <x:v>8.089194800627592</x:v>
      </x:c>
      <x:c r="AA1191" s="30" t="str">
        <x:f>IF(Z1191&lt;=I1191,"Peaceful","Hostile")</x:f>
        <x:v>Hostile</x:v>
      </x:c>
      <x:c r="AB1191" s="30" t="str">
        <x:f>IF(Z1191&lt;='Controls &amp; Summary'!$B$6,"Eligible","Blocked")</x:f>
        <x:v>Eligible</x:v>
      </x:c>
      <x:c r="AC1191" s="30" t="str">
        <x:v>2026_JPN</x:v>
      </x:c>
      <x:c r="AD1191" s="30" t="str">
        <x:v>2026_PHL</x:v>
      </x:c>
      <x:c r="AE1191" s="30" t="str">
        <x:v>2026_Luzon</x:v>
      </x:c>
      <x:c r="AF1191" s="30" t="str">
        <x:v>Explicit capitalClaim</x:v>
      </x:c>
      <x:c r="AG1191" s="30" t="str">
        <x:v>Claim2026_JPN2026_Luzon</x:v>
      </x:c>
      <x:c r="AH1191" s="30" t="str">
        <x:v>Project_PacificLeague</x:v>
      </x:c>
    </x:row>
    <x:row r="1192">
      <x:c r="A1192" s="30" t="str">
        <x:v>2026</x:v>
      </x:c>
      <x:c r="B1192" s="30" t="str">
        <x:v>Base game</x:v>
      </x:c>
      <x:c r="C1192" s="30" t="str">
        <x:v>Japan</x:v>
      </x:c>
      <x:c r="D1192" s="30" t="str">
        <x:v>South Korea</x:v>
      </x:c>
      <x:c r="E1192" s="30" t="str">
        <x:v>Project unlock</x:v>
      </x:c>
      <x:c r="F1192" s="30" t="str">
        <x:v>Pacific League</x:v>
      </x:c>
      <x:c r="G1192" s="30" t="str">
        <x:v>No</x:v>
      </x:c>
      <x:c r="H1192" s="30" t="str">
        <x:v>Ordinary claim</x:v>
      </x:c>
      <x:c r="I1192" s="31" t="n">
        <x:f>IF(G1192="Yes",'Controls &amp; Summary'!$B$5,'Controls &amp; Summary'!$B$4)</x:f>
        <x:v>6</x:v>
      </x:c>
      <x:c r="J1192" s="31" t="n">
        <x:v>8.85</x:v>
      </x:c>
      <x:c r="K1192" s="31" t="n">
        <x:v>7.75</x:v>
      </x:c>
      <x:c r="L1192" s="31" t="n">
        <x:f>ABS(J1192-K1192)</x:f>
        <x:v>1.0999999999999996</x:v>
      </x:c>
      <x:c r="M1192" s="31" t="n">
        <x:v>3.29</x:v>
      </x:c>
      <x:c r="N1192" s="31" t="n">
        <x:v>3.29</x:v>
      </x:c>
      <x:c r="O1192" s="31" t="n">
        <x:f>ABS(M1192-N1192)</x:f>
        <x:v>0</x:v>
      </x:c>
      <x:c r="P1192" s="31" t="n">
        <x:v>8.34</x:v>
      </x:c>
      <x:c r="Q1192" s="31" t="n">
        <x:v>8.64</x:v>
      </x:c>
      <x:c r="R1192" s="31" t="n">
        <x:f>ABS(P1192-Q1192)</x:f>
        <x:v>0.3000000000000007</x:v>
      </x:c>
      <x:c r="S1192" s="32" t="n">
        <x:v>48233.50165220328</x:v>
      </x:c>
      <x:c r="T1192" s="32" t="n">
        <x:v>57360.20279537433</x:v>
      </x:c>
      <x:c r="U1192" s="31" t="n">
        <x:f>MAX(S1192/T1192,T1192/S1192)</x:f>
        <x:v>1.1892191284178544</x:v>
      </x:c>
      <x:c r="V1192" s="31" t="n">
        <x:f>L1192*'Controls &amp; Summary'!$B$9+O1192*'Controls &amp; Summary'!$B$10+R1192*'Controls &amp; Summary'!$B$11+U1192*'Controls &amp; Summary'!$B$12</x:f>
        <x:v>2.589219128417855</x:v>
      </x:c>
      <x:c r="W1192" s="31" t="n">
        <x:v>6.53</x:v>
      </x:c>
      <x:c r="X1192" s="31" t="n">
        <x:v>0.5</x:v>
      </x:c>
      <x:c r="Y1192" s="31" t="n">
        <x:f>((10-MIN(10,MAX(0,X1192)))/10)*'Controls &amp; Summary'!$B$15+((10-MIN(10,MAX(0,W1192)))/10)*'Controls &amp; Summary'!$B$16</x:f>
        <x:v>1.297</x:v>
      </x:c>
      <x:c r="Z1192" s="31" t="n">
        <x:f>V1192*Y1192</x:f>
        <x:v>3.358217209557958</x:v>
      </x:c>
      <x:c r="AA1192" s="30" t="str">
        <x:f>IF(Z1192&lt;=I1192,"Peaceful","Hostile")</x:f>
        <x:v>Peaceful</x:v>
      </x:c>
      <x:c r="AB1192" s="30" t="str">
        <x:f>IF(Z1192&lt;='Controls &amp; Summary'!$B$6,"Eligible","Blocked")</x:f>
        <x:v>Eligible</x:v>
      </x:c>
      <x:c r="AC1192" s="30" t="str">
        <x:v>2026_JPN</x:v>
      </x:c>
      <x:c r="AD1192" s="30" t="str">
        <x:v>2026_KOR</x:v>
      </x:c>
      <x:c r="AE1192" s="30" t="str">
        <x:v>2026_SouthKorea</x:v>
      </x:c>
      <x:c r="AF1192" s="30" t="str">
        <x:v>Explicit capitalClaim</x:v>
      </x:c>
      <x:c r="AG1192" s="30" t="str">
        <x:v>Claim2026_JPN2026_SouthKorea</x:v>
      </x:c>
      <x:c r="AH1192" s="30" t="str">
        <x:v>Project_PacificLeague</x:v>
      </x:c>
    </x:row>
    <x:row r="1193">
      <x:c r="A1193" s="30" t="str">
        <x:v>2026</x:v>
      </x:c>
      <x:c r="B1193" s="30" t="str">
        <x:v>Base game</x:v>
      </x:c>
      <x:c r="C1193" s="30" t="str">
        <x:v>Japan</x:v>
      </x:c>
      <x:c r="D1193" s="30" t="str">
        <x:v>Taiwan</x:v>
      </x:c>
      <x:c r="E1193" s="30" t="str">
        <x:v>Project unlock</x:v>
      </x:c>
      <x:c r="F1193" s="30" t="str">
        <x:v>Pacific League</x:v>
      </x:c>
      <x:c r="G1193" s="30" t="str">
        <x:v>No</x:v>
      </x:c>
      <x:c r="H1193" s="30" t="str">
        <x:v>Ordinary claim</x:v>
      </x:c>
      <x:c r="I1193" s="31" t="n">
        <x:f>IF(G1193="Yes",'Controls &amp; Summary'!$B$5,'Controls &amp; Summary'!$B$4)</x:f>
        <x:v>6</x:v>
      </x:c>
      <x:c r="J1193" s="31" t="n">
        <x:v>8.85</x:v>
      </x:c>
      <x:c r="K1193" s="31" t="n">
        <x:v>8.78</x:v>
      </x:c>
      <x:c r="L1193" s="31" t="n">
        <x:f>ABS(J1193-K1193)</x:f>
        <x:v>0.07000000000000028</x:v>
      </x:c>
      <x:c r="M1193" s="31" t="n">
        <x:v>3.29</x:v>
      </x:c>
      <x:c r="N1193" s="31" t="n">
        <x:v>3.41</x:v>
      </x:c>
      <x:c r="O1193" s="31" t="n">
        <x:f>ABS(M1193-N1193)</x:f>
        <x:v>0.1200000000000001</x:v>
      </x:c>
      <x:c r="P1193" s="31" t="n">
        <x:v>8.34</x:v>
      </x:c>
      <x:c r="Q1193" s="31" t="n">
        <x:v>9.26</x:v>
      </x:c>
      <x:c r="R1193" s="31" t="n">
        <x:f>ABS(P1193-Q1193)</x:f>
        <x:v>0.9199999999999999</x:v>
      </x:c>
      <x:c r="S1193" s="32" t="n">
        <x:v>48233.50165220328</x:v>
      </x:c>
      <x:c r="T1193" s="32" t="n">
        <x:v>76112.01334927218</x:v>
      </x:c>
      <x:c r="U1193" s="31" t="n">
        <x:f>MAX(S1193/T1193,T1193/S1193)</x:f>
        <x:v>1.5779906235730539</x:v>
      </x:c>
      <x:c r="V1193" s="31" t="n">
        <x:f>L1193*'Controls &amp; Summary'!$B$9+O1193*'Controls &amp; Summary'!$B$10+R1193*'Controls &amp; Summary'!$B$11+U1193*'Controls &amp; Summary'!$B$12</x:f>
        <x:v>2.687990623573054</x:v>
      </x:c>
      <x:c r="W1193" s="31" t="n">
        <x:v>6.53</x:v>
      </x:c>
      <x:c r="X1193" s="31" t="n">
        <x:v>0</x:v>
      </x:c>
      <x:c r="Y1193" s="31" t="n">
        <x:f>((10-MIN(10,MAX(0,X1193)))/10)*'Controls &amp; Summary'!$B$15+((10-MIN(10,MAX(0,W1193)))/10)*'Controls &amp; Summary'!$B$16</x:f>
        <x:v>1.347</x:v>
      </x:c>
      <x:c r="Z1193" s="31" t="n">
        <x:f>V1193*Y1193</x:f>
        <x:v>3.620723369952904</x:v>
      </x:c>
      <x:c r="AA1193" s="30" t="str">
        <x:f>IF(Z1193&lt;=I1193,"Peaceful","Hostile")</x:f>
        <x:v>Peaceful</x:v>
      </x:c>
      <x:c r="AB1193" s="30" t="str">
        <x:f>IF(Z1193&lt;='Controls &amp; Summary'!$B$6,"Eligible","Blocked")</x:f>
        <x:v>Eligible</x:v>
      </x:c>
      <x:c r="AC1193" s="30" t="str">
        <x:v>2026_JPN</x:v>
      </x:c>
      <x:c r="AD1193" s="30" t="str">
        <x:v>2026_TWN</x:v>
      </x:c>
      <x:c r="AE1193" s="30" t="str">
        <x:v>2026_Taiwan</x:v>
      </x:c>
      <x:c r="AF1193" s="30" t="str">
        <x:v>Largest owned population fallback</x:v>
      </x:c>
      <x:c r="AG1193" s="30" t="str">
        <x:v>Claim2026_JPN2026_Taiwan</x:v>
      </x:c>
      <x:c r="AH1193" s="30" t="str">
        <x:v>Project_PacificLeague</x:v>
      </x:c>
    </x:row>
    <x:row r="1194">
      <x:c r="A1194" s="30" t="str">
        <x:v>2026</x:v>
      </x:c>
      <x:c r="B1194" s="30" t="str">
        <x:v>Base game</x:v>
      </x:c>
      <x:c r="C1194" s="30" t="str">
        <x:v>Japan</x:v>
      </x:c>
      <x:c r="D1194" s="30" t="str">
        <x:v>Vietnam</x:v>
      </x:c>
      <x:c r="E1194" s="30" t="str">
        <x:v>Project unlock</x:v>
      </x:c>
      <x:c r="F1194" s="30" t="str">
        <x:v>Pacific League</x:v>
      </x:c>
      <x:c r="G1194" s="30" t="str">
        <x:v>No</x:v>
      </x:c>
      <x:c r="H1194" s="30" t="str">
        <x:v>Ordinary claim</x:v>
      </x:c>
      <x:c r="I1194" s="31" t="n">
        <x:f>IF(G1194="Yes",'Controls &amp; Summary'!$B$5,'Controls &amp; Summary'!$B$4)</x:f>
        <x:v>6</x:v>
      </x:c>
      <x:c r="J1194" s="31" t="n">
        <x:v>8.85</x:v>
      </x:c>
      <x:c r="K1194" s="31" t="n">
        <x:v>2.62</x:v>
      </x:c>
      <x:c r="L1194" s="31" t="n">
        <x:f>ABS(J1194-K1194)</x:f>
        <x:v>6.2299999999999995</x:v>
      </x:c>
      <x:c r="M1194" s="31" t="n">
        <x:v>3.29</x:v>
      </x:c>
      <x:c r="N1194" s="31" t="n">
        <x:v>3.61</x:v>
      </x:c>
      <x:c r="O1194" s="31" t="n">
        <x:f>ABS(M1194-N1194)</x:f>
        <x:v>0.31999999999999984</x:v>
      </x:c>
      <x:c r="P1194" s="31" t="n">
        <x:v>8.34</x:v>
      </x:c>
      <x:c r="Q1194" s="31" t="n">
        <x:v>7.15</x:v>
      </x:c>
      <x:c r="R1194" s="31" t="n">
        <x:f>ABS(P1194-Q1194)</x:f>
        <x:v>1.1899999999999995</x:v>
      </x:c>
      <x:c r="S1194" s="32" t="n">
        <x:v>48233.50165220328</x:v>
      </x:c>
      <x:c r="T1194" s="32" t="n">
        <x:v>15563.162867150184</x:v>
      </x:c>
      <x:c r="U1194" s="31" t="n">
        <x:f>MAX(S1194/T1194,T1194/S1194)</x:f>
        <x:v>3.099209464292875</x:v>
      </x:c>
      <x:c r="V1194" s="31" t="n">
        <x:f>L1194*'Controls &amp; Summary'!$B$9+O1194*'Controls &amp; Summary'!$B$10+R1194*'Controls &amp; Summary'!$B$11+U1194*'Controls &amp; Summary'!$B$12</x:f>
        <x:v>10.839209464292873</x:v>
      </x:c>
      <x:c r="W1194" s="31" t="n">
        <x:v>6.53</x:v>
      </x:c>
      <x:c r="X1194" s="31" t="n">
        <x:v>0.5</x:v>
      </x:c>
      <x:c r="Y1194" s="31" t="n">
        <x:f>((10-MIN(10,MAX(0,X1194)))/10)*'Controls &amp; Summary'!$B$15+((10-MIN(10,MAX(0,W1194)))/10)*'Controls &amp; Summary'!$B$16</x:f>
        <x:v>1.297</x:v>
      </x:c>
      <x:c r="Z1194" s="31" t="n">
        <x:f>V1194*Y1194</x:f>
        <x:v>14.058454675187855</x:v>
      </x:c>
      <x:c r="AA1194" s="30" t="str">
        <x:f>IF(Z1194&lt;=I1194,"Peaceful","Hostile")</x:f>
        <x:v>Hostile</x:v>
      </x:c>
      <x:c r="AB1194" s="30" t="str">
        <x:f>IF(Z1194&lt;='Controls &amp; Summary'!$B$6,"Eligible","Blocked")</x:f>
        <x:v>Blocked</x:v>
      </x:c>
      <x:c r="AC1194" s="30" t="str">
        <x:v>2026_JPN</x:v>
      </x:c>
      <x:c r="AD1194" s="30" t="str">
        <x:v>2026_VNM</x:v>
      </x:c>
      <x:c r="AE1194" s="30" t="str">
        <x:v>2026_Hanoi</x:v>
      </x:c>
      <x:c r="AF1194" s="30" t="str">
        <x:v>Explicit capitalClaim</x:v>
      </x:c>
      <x:c r="AG1194" s="30" t="str">
        <x:v>Claim2026_JPN2026_Hanoi</x:v>
      </x:c>
      <x:c r="AH1194" s="30" t="str">
        <x:v>Project_PacificLeague</x:v>
      </x:c>
    </x:row>
    <x:row r="1195">
      <x:c r="A1195" s="30" t="str">
        <x:v>2026</x:v>
      </x:c>
      <x:c r="B1195" s="30" t="str">
        <x:v>Base game</x:v>
      </x:c>
      <x:c r="C1195" s="30" t="str">
        <x:v>Jordan</x:v>
      </x:c>
      <x:c r="D1195" s="30" t="str">
        <x:v>Palestine</x:v>
      </x:c>
      <x:c r="E1195" s="30" t="str">
        <x:v>Starting claim</x:v>
      </x:c>
      <x:c r="F1195" s="30" t="str"/>
      <x:c r="G1195" s="30" t="str">
        <x:v>No</x:v>
      </x:c>
      <x:c r="H1195" s="30" t="str">
        <x:v>Ordinary claim</x:v>
      </x:c>
      <x:c r="I1195" s="31" t="n">
        <x:f>IF(G1195="Yes",'Controls &amp; Summary'!$B$5,'Controls &amp; Summary'!$B$4)</x:f>
        <x:v>6</x:v>
      </x:c>
      <x:c r="J1195" s="31" t="n">
        <x:v>3.28</x:v>
      </x:c>
      <x:c r="K1195" s="31" t="n">
        <x:v>3.44</x:v>
      </x:c>
      <x:c r="L1195" s="31" t="n">
        <x:f>ABS(J1195-K1195)</x:f>
        <x:v>0.16000000000000014</x:v>
      </x:c>
      <x:c r="M1195" s="31" t="n">
        <x:v>3.37</x:v>
      </x:c>
      <x:c r="N1195" s="31" t="n">
        <x:v>3.37</x:v>
      </x:c>
      <x:c r="O1195" s="31" t="n">
        <x:f>ABS(M1195-N1195)</x:f>
        <x:v>0</x:v>
      </x:c>
      <x:c r="P1195" s="31" t="n">
        <x:v>6.89</x:v>
      </x:c>
      <x:c r="Q1195" s="31" t="n">
        <x:v>6.83</x:v>
      </x:c>
      <x:c r="R1195" s="31" t="n">
        <x:f>ABS(P1195-Q1195)</x:f>
        <x:v>0.05999999999999961</x:v>
      </x:c>
      <x:c r="S1195" s="32" t="n">
        <x:v>9998.311407397641</x:v>
      </x:c>
      <x:c r="T1195" s="32" t="n">
        <x:v>4663.011720790684</x:v>
      </x:c>
      <x:c r="U1195" s="31" t="n">
        <x:f>MAX(S1195/T1195,T1195/S1195)</x:f>
        <x:v>2.1441746249143625</x:v>
      </x:c>
      <x:c r="V1195" s="31" t="n">
        <x:f>L1195*'Controls &amp; Summary'!$B$9+O1195*'Controls &amp; Summary'!$B$10+R1195*'Controls &amp; Summary'!$B$11+U1195*'Controls &amp; Summary'!$B$12</x:f>
        <x:v>2.3641746249143623</x:v>
      </x:c>
      <x:c r="W1195" s="31" t="n">
        <x:v>2.5</x:v>
      </x:c>
      <x:c r="X1195" s="31" t="n">
        <x:v>6</x:v>
      </x:c>
      <x:c r="Y1195" s="31" t="n">
        <x:f>((10-MIN(10,MAX(0,X1195)))/10)*'Controls &amp; Summary'!$B$15+((10-MIN(10,MAX(0,W1195)))/10)*'Controls &amp; Summary'!$B$16</x:f>
        <x:v>1.15</x:v>
      </x:c>
      <x:c r="Z1195" s="31" t="n">
        <x:f>V1195*Y1195</x:f>
        <x:v>2.7188008186515162</x:v>
      </x:c>
      <x:c r="AA1195" s="30" t="str">
        <x:f>IF(Z1195&lt;=I1195,"Peaceful","Hostile")</x:f>
        <x:v>Peaceful</x:v>
      </x:c>
      <x:c r="AB1195" s="30" t="str">
        <x:f>IF(Z1195&lt;='Controls &amp; Summary'!$B$6,"Eligible","Blocked")</x:f>
        <x:v>Eligible</x:v>
      </x:c>
      <x:c r="AC1195" s="30" t="str">
        <x:v>2026_JOR</x:v>
      </x:c>
      <x:c r="AD1195" s="30" t="str">
        <x:v>2026_PAL</x:v>
      </x:c>
      <x:c r="AE1195" s="30" t="str">
        <x:v>2026_Palestine</x:v>
      </x:c>
      <x:c r="AF1195" s="30" t="str">
        <x:v>Explicit capitalClaim</x:v>
      </x:c>
      <x:c r="AG1195" s="30" t="str">
        <x:v>Claim2026_JOR2026_Palestine</x:v>
      </x:c>
      <x:c r="AH1195" s="30" t="str"/>
    </x:row>
    <x:row r="1196">
      <x:c r="A1196" s="30" t="str">
        <x:v>2026</x:v>
      </x:c>
      <x:c r="B1196" s="30" t="str">
        <x:v>Base game</x:v>
      </x:c>
      <x:c r="C1196" s="30" t="str">
        <x:v>Kazakhstan</x:v>
      </x:c>
      <x:c r="D1196" s="30" t="str">
        <x:v>Kyrgyzstan</x:v>
      </x:c>
      <x:c r="E1196" s="30" t="str">
        <x:v>Project unlock</x:v>
      </x:c>
      <x:c r="F1196" s="30" t="str">
        <x:v>Central Asian Union</x:v>
      </x:c>
      <x:c r="G1196" s="30" t="str">
        <x:v>No</x:v>
      </x:c>
      <x:c r="H1196" s="30" t="str">
        <x:v>Ordinary claim</x:v>
      </x:c>
      <x:c r="I1196" s="31" t="n">
        <x:f>IF(G1196="Yes",'Controls &amp; Summary'!$B$5,'Controls &amp; Summary'!$B$4)</x:f>
        <x:v>6</x:v>
      </x:c>
      <x:c r="J1196" s="31" t="n">
        <x:v>2.91</x:v>
      </x:c>
      <x:c r="K1196" s="31" t="n">
        <x:v>3.27</x:v>
      </x:c>
      <x:c r="L1196" s="31" t="n">
        <x:f>ABS(J1196-K1196)</x:f>
        <x:v>0.3599999999999999</x:v>
      </x:c>
      <x:c r="M1196" s="31" t="n">
        <x:v>2.92</x:v>
      </x:c>
      <x:c r="N1196" s="31" t="n">
        <x:v>2.64</x:v>
      </x:c>
      <x:c r="O1196" s="31" t="n">
        <x:f>ABS(M1196-N1196)</x:f>
        <x:v>0.2799999999999998</x:v>
      </x:c>
      <x:c r="P1196" s="31" t="n">
        <x:v>7.87</x:v>
      </x:c>
      <x:c r="Q1196" s="31" t="n">
        <x:v>7.4</x:v>
      </x:c>
      <x:c r="R1196" s="31" t="n">
        <x:f>ABS(P1196-Q1196)</x:f>
        <x:v>0.46999999999999975</x:v>
      </x:c>
      <x:c r="S1196" s="32" t="n">
        <x:v>37752.352465368145</x:v>
      </x:c>
      <x:c r="T1196" s="32" t="n">
        <x:v>7545.525855469893</x:v>
      </x:c>
      <x:c r="U1196" s="31" t="n">
        <x:f>MAX(S1196/T1196,T1196/S1196)</x:f>
        <x:v>5.003276536121171</x:v>
      </x:c>
      <x:c r="V1196" s="31" t="n">
        <x:f>L1196*'Controls &amp; Summary'!$B$9+O1196*'Controls &amp; Summary'!$B$10+R1196*'Controls &amp; Summary'!$B$11+U1196*'Controls &amp; Summary'!$B$12</x:f>
        <x:v>6.1132765361211705</x:v>
      </x:c>
      <x:c r="W1196" s="31" t="n">
        <x:v>3.17</x:v>
      </x:c>
      <x:c r="X1196" s="31" t="n">
        <x:v>1.25</x:v>
      </x:c>
      <x:c r="Y1196" s="31" t="n">
        <x:f>((10-MIN(10,MAX(0,X1196)))/10)*'Controls &amp; Summary'!$B$15+((10-MIN(10,MAX(0,W1196)))/10)*'Controls &amp; Summary'!$B$16</x:f>
        <x:v>1.558</x:v>
      </x:c>
      <x:c r="Z1196" s="31" t="n">
        <x:f>V1196*Y1196</x:f>
        <x:v>9.524484843276785</x:v>
      </x:c>
      <x:c r="AA1196" s="30" t="str">
        <x:f>IF(Z1196&lt;=I1196,"Peaceful","Hostile")</x:f>
        <x:v>Hostile</x:v>
      </x:c>
      <x:c r="AB1196" s="30" t="str">
        <x:f>IF(Z1196&lt;='Controls &amp; Summary'!$B$6,"Eligible","Blocked")</x:f>
        <x:v>Eligible</x:v>
      </x:c>
      <x:c r="AC1196" s="30" t="str">
        <x:v>2026_KAZ</x:v>
      </x:c>
      <x:c r="AD1196" s="30" t="str">
        <x:v>2026_KGZ</x:v>
      </x:c>
      <x:c r="AE1196" s="30" t="str">
        <x:v>2026_Kyrgyzstan</x:v>
      </x:c>
      <x:c r="AF1196" s="30" t="str">
        <x:v>Explicit capitalClaim</x:v>
      </x:c>
      <x:c r="AG1196" s="30" t="str">
        <x:v>Claim2026_KAZ2026_Kyrgyzstan</x:v>
      </x:c>
      <x:c r="AH1196" s="30" t="str">
        <x:v>Project_CentralAsianUnion</x:v>
      </x:c>
    </x:row>
    <x:row r="1197">
      <x:c r="A1197" s="30" t="str">
        <x:v>2026</x:v>
      </x:c>
      <x:c r="B1197" s="30" t="str">
        <x:v>Base game</x:v>
      </x:c>
      <x:c r="C1197" s="30" t="str">
        <x:v>Kazakhstan</x:v>
      </x:c>
      <x:c r="D1197" s="30" t="str">
        <x:v>Tajikistan</x:v>
      </x:c>
      <x:c r="E1197" s="30" t="str">
        <x:v>Project unlock</x:v>
      </x:c>
      <x:c r="F1197" s="30" t="str">
        <x:v>Central Asian Union</x:v>
      </x:c>
      <x:c r="G1197" s="30" t="str">
        <x:v>No</x:v>
      </x:c>
      <x:c r="H1197" s="30" t="str">
        <x:v>Ordinary claim</x:v>
      </x:c>
      <x:c r="I1197" s="31" t="n">
        <x:f>IF(G1197="Yes",'Controls &amp; Summary'!$B$5,'Controls &amp; Summary'!$B$4)</x:f>
        <x:v>6</x:v>
      </x:c>
      <x:c r="J1197" s="31" t="n">
        <x:v>2.91</x:v>
      </x:c>
      <x:c r="K1197" s="31" t="n">
        <x:v>1.94</x:v>
      </x:c>
      <x:c r="L1197" s="31" t="n">
        <x:f>ABS(J1197-K1197)</x:f>
        <x:v>0.9700000000000002</x:v>
      </x:c>
      <x:c r="M1197" s="31" t="n">
        <x:v>2.92</x:v>
      </x:c>
      <x:c r="N1197" s="31" t="n">
        <x:v>3.4</x:v>
      </x:c>
      <x:c r="O1197" s="31" t="n">
        <x:f>ABS(M1197-N1197)</x:f>
        <x:v>0.48</x:v>
      </x:c>
      <x:c r="P1197" s="31" t="n">
        <x:v>7.87</x:v>
      </x:c>
      <x:c r="Q1197" s="31" t="n">
        <x:v>6.63</x:v>
      </x:c>
      <x:c r="R1197" s="31" t="n">
        <x:f>ABS(P1197-Q1197)</x:f>
        <x:v>1.2400000000000002</x:v>
      </x:c>
      <x:c r="S1197" s="32" t="n">
        <x:v>37752.352465368145</x:v>
      </x:c>
      <x:c r="T1197" s="32" t="n">
        <x:v>5022.251017638954</x:v>
      </x:c>
      <x:c r="U1197" s="31" t="n">
        <x:f>MAX(S1197/T1197,T1197/S1197)</x:f>
        <x:v>7.51701823201903</x:v>
      </x:c>
      <x:c r="V1197" s="31" t="n">
        <x:f>L1197*'Controls &amp; Summary'!$B$9+O1197*'Controls &amp; Summary'!$B$10+R1197*'Controls &amp; Summary'!$B$11+U1197*'Controls &amp; Summary'!$B$12</x:f>
        <x:v>10.207018232019031</x:v>
      </x:c>
      <x:c r="W1197" s="31" t="n">
        <x:v>3.17</x:v>
      </x:c>
      <x:c r="X1197" s="31" t="n">
        <x:v>0</x:v>
      </x:c>
      <x:c r="Y1197" s="31" t="n">
        <x:f>((10-MIN(10,MAX(0,X1197)))/10)*'Controls &amp; Summary'!$B$15+((10-MIN(10,MAX(0,W1197)))/10)*'Controls &amp; Summary'!$B$16</x:f>
        <x:v>1.683</x:v>
      </x:c>
      <x:c r="Z1197" s="31" t="n">
        <x:f>V1197*Y1197</x:f>
        <x:v>17.17841168448803</x:v>
      </x:c>
      <x:c r="AA1197" s="30" t="str">
        <x:f>IF(Z1197&lt;=I1197,"Peaceful","Hostile")</x:f>
        <x:v>Hostile</x:v>
      </x:c>
      <x:c r="AB1197" s="30" t="str">
        <x:f>IF(Z1197&lt;='Controls &amp; Summary'!$B$6,"Eligible","Blocked")</x:f>
        <x:v>Blocked</x:v>
      </x:c>
      <x:c r="AC1197" s="30" t="str">
        <x:v>2026_KAZ</x:v>
      </x:c>
      <x:c r="AD1197" s="30" t="str">
        <x:v>2026_TJK</x:v>
      </x:c>
      <x:c r="AE1197" s="30" t="str">
        <x:v>2026_Tajikistan</x:v>
      </x:c>
      <x:c r="AF1197" s="30" t="str">
        <x:v>Explicit capitalClaim</x:v>
      </x:c>
      <x:c r="AG1197" s="30" t="str">
        <x:v>Claim2026_KAZ2026_Tajikistan</x:v>
      </x:c>
      <x:c r="AH1197" s="30" t="str">
        <x:v>Project_CentralAsianUnion</x:v>
      </x:c>
    </x:row>
    <x:row r="1198">
      <x:c r="A1198" s="30" t="str">
        <x:v>2026</x:v>
      </x:c>
      <x:c r="B1198" s="30" t="str">
        <x:v>Base game</x:v>
      </x:c>
      <x:c r="C1198" s="30" t="str">
        <x:v>Kazakhstan</x:v>
      </x:c>
      <x:c r="D1198" s="30" t="str">
        <x:v>Turkmenistan</x:v>
      </x:c>
      <x:c r="E1198" s="30" t="str">
        <x:v>Project unlock</x:v>
      </x:c>
      <x:c r="F1198" s="30" t="str">
        <x:v>Central Asian Union</x:v>
      </x:c>
      <x:c r="G1198" s="30" t="str">
        <x:v>No</x:v>
      </x:c>
      <x:c r="H1198" s="30" t="str">
        <x:v>Ordinary claim</x:v>
      </x:c>
      <x:c r="I1198" s="31" t="n">
        <x:f>IF(G1198="Yes",'Controls &amp; Summary'!$B$5,'Controls &amp; Summary'!$B$4)</x:f>
        <x:v>6</x:v>
      </x:c>
      <x:c r="J1198" s="31" t="n">
        <x:v>2.91</x:v>
      </x:c>
      <x:c r="K1198" s="31" t="n">
        <x:v>1.54</x:v>
      </x:c>
      <x:c r="L1198" s="31" t="n">
        <x:f>ABS(J1198-K1198)</x:f>
        <x:v>1.37</x:v>
      </x:c>
      <x:c r="M1198" s="31" t="n">
        <x:v>2.92</x:v>
      </x:c>
      <x:c r="N1198" s="31" t="n">
        <x:v>4.08</x:v>
      </x:c>
      <x:c r="O1198" s="31" t="n">
        <x:f>ABS(M1198-N1198)</x:f>
        <x:v>1.1600000000000001</x:v>
      </x:c>
      <x:c r="P1198" s="31" t="n">
        <x:v>7.87</x:v>
      </x:c>
      <x:c r="Q1198" s="31" t="n">
        <x:v>7.24</x:v>
      </x:c>
      <x:c r="R1198" s="31" t="n">
        <x:f>ABS(P1198-Q1198)</x:f>
        <x:v>0.6299999999999999</x:v>
      </x:c>
      <x:c r="S1198" s="32" t="n">
        <x:v>37752.352465368145</x:v>
      </x:c>
      <x:c r="T1198" s="32" t="n">
        <x:v>21168.549828917803</x:v>
      </x:c>
      <x:c r="U1198" s="31" t="n">
        <x:f>MAX(S1198/T1198,T1198/S1198)</x:f>
        <x:v>1.7834170394514055</x:v>
      </x:c>
      <x:c r="V1198" s="31" t="n">
        <x:f>L1198*'Controls &amp; Summary'!$B$9+O1198*'Controls &amp; Summary'!$B$10+R1198*'Controls &amp; Summary'!$B$11+U1198*'Controls &amp; Summary'!$B$12</x:f>
        <x:v>4.943417039451406</x:v>
      </x:c>
      <x:c r="W1198" s="31" t="n">
        <x:v>3.17</x:v>
      </x:c>
      <x:c r="X1198" s="31" t="n">
        <x:v>0.25</x:v>
      </x:c>
      <x:c r="Y1198" s="31" t="n">
        <x:f>((10-MIN(10,MAX(0,X1198)))/10)*'Controls &amp; Summary'!$B$15+((10-MIN(10,MAX(0,W1198)))/10)*'Controls &amp; Summary'!$B$16</x:f>
        <x:v>1.658</x:v>
      </x:c>
      <x:c r="Z1198" s="31" t="n">
        <x:f>V1198*Y1198</x:f>
        <x:v>8.19618545141043</x:v>
      </x:c>
      <x:c r="AA1198" s="30" t="str">
        <x:f>IF(Z1198&lt;=I1198,"Peaceful","Hostile")</x:f>
        <x:v>Hostile</x:v>
      </x:c>
      <x:c r="AB1198" s="30" t="str">
        <x:f>IF(Z1198&lt;='Controls &amp; Summary'!$B$6,"Eligible","Blocked")</x:f>
        <x:v>Eligible</x:v>
      </x:c>
      <x:c r="AC1198" s="30" t="str">
        <x:v>2026_KAZ</x:v>
      </x:c>
      <x:c r="AD1198" s="30" t="str">
        <x:v>2026_TKM</x:v>
      </x:c>
      <x:c r="AE1198" s="30" t="str">
        <x:v>2026_Turkmenistan</x:v>
      </x:c>
      <x:c r="AF1198" s="30" t="str">
        <x:v>Explicit capitalClaim</x:v>
      </x:c>
      <x:c r="AG1198" s="30" t="str">
        <x:v>Claim2026_KAZ2026_Turkmenistan</x:v>
      </x:c>
      <x:c r="AH1198" s="30" t="str">
        <x:v>Project_CentralAsianUnion</x:v>
      </x:c>
    </x:row>
    <x:row r="1199">
      <x:c r="A1199" s="30" t="str">
        <x:v>2026</x:v>
      </x:c>
      <x:c r="B1199" s="30" t="str">
        <x:v>Base game</x:v>
      </x:c>
      <x:c r="C1199" s="30" t="str">
        <x:v>Kazakhstan</x:v>
      </x:c>
      <x:c r="D1199" s="30" t="str">
        <x:v>Uzbekistan</x:v>
      </x:c>
      <x:c r="E1199" s="30" t="str">
        <x:v>Project unlock</x:v>
      </x:c>
      <x:c r="F1199" s="30" t="str">
        <x:v>Central Asian Union</x:v>
      </x:c>
      <x:c r="G1199" s="30" t="str">
        <x:v>No</x:v>
      </x:c>
      <x:c r="H1199" s="30" t="str">
        <x:v>Ordinary claim</x:v>
      </x:c>
      <x:c r="I1199" s="31" t="n">
        <x:f>IF(G1199="Yes",'Controls &amp; Summary'!$B$5,'Controls &amp; Summary'!$B$4)</x:f>
        <x:v>6</x:v>
      </x:c>
      <x:c r="J1199" s="31" t="n">
        <x:v>2.91</x:v>
      </x:c>
      <x:c r="K1199" s="31" t="n">
        <x:v>2.1</x:v>
      </x:c>
      <x:c r="L1199" s="31" t="n">
        <x:f>ABS(J1199-K1199)</x:f>
        <x:v>0.81</x:v>
      </x:c>
      <x:c r="M1199" s="31" t="n">
        <x:v>2.92</x:v>
      </x:c>
      <x:c r="N1199" s="31" t="n">
        <x:v>3.12</x:v>
      </x:c>
      <x:c r="O1199" s="31" t="n">
        <x:f>ABS(M1199-N1199)</x:f>
        <x:v>0.20000000000000018</x:v>
      </x:c>
      <x:c r="P1199" s="31" t="n">
        <x:v>7.87</x:v>
      </x:c>
      <x:c r="Q1199" s="31" t="n">
        <x:v>7.28</x:v>
      </x:c>
      <x:c r="R1199" s="31" t="n">
        <x:f>ABS(P1199-Q1199)</x:f>
        <x:v>0.5899999999999999</x:v>
      </x:c>
      <x:c r="S1199" s="32" t="n">
        <x:v>37752.352465368145</x:v>
      </x:c>
      <x:c r="T1199" s="32" t="n">
        <x:v>10960.138794641312</x:v>
      </x:c>
      <x:c r="U1199" s="31" t="n">
        <x:f>MAX(S1199/T1199,T1199/S1199)</x:f>
        <x:v>3.4445140862473584</x:v>
      </x:c>
      <x:c r="V1199" s="31" t="n">
        <x:f>L1199*'Controls &amp; Summary'!$B$9+O1199*'Controls &amp; Summary'!$B$10+R1199*'Controls &amp; Summary'!$B$11+U1199*'Controls &amp; Summary'!$B$12</x:f>
        <x:v>5.044514086247359</x:v>
      </x:c>
      <x:c r="W1199" s="31" t="n">
        <x:v>3.17</x:v>
      </x:c>
      <x:c r="X1199" s="31" t="n">
        <x:v>1</x:v>
      </x:c>
      <x:c r="Y1199" s="31" t="n">
        <x:f>((10-MIN(10,MAX(0,X1199)))/10)*'Controls &amp; Summary'!$B$15+((10-MIN(10,MAX(0,W1199)))/10)*'Controls &amp; Summary'!$B$16</x:f>
        <x:v>1.5830000000000002</x:v>
      </x:c>
      <x:c r="Z1199" s="31" t="n">
        <x:f>V1199*Y1199</x:f>
        <x:v>7.98546579852957</x:v>
      </x:c>
      <x:c r="AA1199" s="30" t="str">
        <x:f>IF(Z1199&lt;=I1199,"Peaceful","Hostile")</x:f>
        <x:v>Hostile</x:v>
      </x:c>
      <x:c r="AB1199" s="30" t="str">
        <x:f>IF(Z1199&lt;='Controls &amp; Summary'!$B$6,"Eligible","Blocked")</x:f>
        <x:v>Eligible</x:v>
      </x:c>
      <x:c r="AC1199" s="30" t="str">
        <x:v>2026_KAZ</x:v>
      </x:c>
      <x:c r="AD1199" s="30" t="str">
        <x:v>2026_UZB</x:v>
      </x:c>
      <x:c r="AE1199" s="30" t="str">
        <x:v>2026_Uzbekistan</x:v>
      </x:c>
      <x:c r="AF1199" s="30" t="str">
        <x:v>Explicit capitalClaim</x:v>
      </x:c>
      <x:c r="AG1199" s="30" t="str">
        <x:v>Claim2026_KAZ2026_Uzbekistan</x:v>
      </x:c>
      <x:c r="AH1199" s="30" t="str">
        <x:v>Project_CentralAsianUnion</x:v>
      </x:c>
    </x:row>
    <x:row r="1200">
      <x:c r="A1200" s="30" t="str">
        <x:v>2026</x:v>
      </x:c>
      <x:c r="B1200" s="30" t="str">
        <x:v>Base game</x:v>
      </x:c>
      <x:c r="C1200" s="30" t="str">
        <x:v>Malaysia</x:v>
      </x:c>
      <x:c r="D1200" s="30" t="str">
        <x:v>Brunei</x:v>
      </x:c>
      <x:c r="E1200" s="30" t="str">
        <x:v>Project unlock</x:v>
      </x:c>
      <x:c r="F1200" s="30" t="str">
        <x:v>United Malay Nation</x:v>
      </x:c>
      <x:c r="G1200" s="30" t="str">
        <x:v>No</x:v>
      </x:c>
      <x:c r="H1200" s="30" t="str">
        <x:v>Ordinary claim</x:v>
      </x:c>
      <x:c r="I1200" s="31" t="n">
        <x:f>IF(G1200="Yes",'Controls &amp; Summary'!$B$5,'Controls &amp; Summary'!$B$4)</x:f>
        <x:v>6</x:v>
      </x:c>
      <x:c r="J1200" s="31" t="n">
        <x:v>7.11</x:v>
      </x:c>
      <x:c r="K1200" s="31" t="n">
        <x:v>2.7</x:v>
      </x:c>
      <x:c r="L1200" s="31" t="n">
        <x:f>ABS(J1200-K1200)</x:f>
        <x:v>4.41</x:v>
      </x:c>
      <x:c r="M1200" s="31" t="n">
        <x:v>4.07</x:v>
      </x:c>
      <x:c r="N1200" s="31" t="n">
        <x:v>3.38</x:v>
      </x:c>
      <x:c r="O1200" s="31" t="n">
        <x:f>ABS(M1200-N1200)</x:f>
        <x:v>0.6900000000000004</x:v>
      </x:c>
      <x:c r="P1200" s="31" t="n">
        <x:v>7.08</x:v>
      </x:c>
      <x:c r="Q1200" s="31" t="n">
        <x:v>6.76</x:v>
      </x:c>
      <x:c r="R1200" s="31" t="n">
        <x:f>ABS(P1200-Q1200)</x:f>
        <x:v>0.3200000000000003</x:v>
      </x:c>
      <x:c r="S1200" s="32" t="n">
        <x:v>35749.84868812425</x:v>
      </x:c>
      <x:c r="T1200" s="32" t="n">
        <x:v>82109.60566228513</x:v>
      </x:c>
      <x:c r="U1200" s="31" t="n">
        <x:f>MAX(S1200/T1200,T1200/S1200)</x:f>
        <x:v>2.2967819074870977</x:v>
      </x:c>
      <x:c r="V1200" s="31" t="n">
        <x:f>L1200*'Controls &amp; Summary'!$B$9+O1200*'Controls &amp; Summary'!$B$10+R1200*'Controls &amp; Summary'!$B$11+U1200*'Controls &amp; Summary'!$B$12</x:f>
        <x:v>7.716781907487098</x:v>
      </x:c>
      <x:c r="W1200" s="31" t="n">
        <x:v>3.97</x:v>
      </x:c>
      <x:c r="X1200" s="31" t="n">
        <x:v>0</x:v>
      </x:c>
      <x:c r="Y1200" s="31" t="n">
        <x:f>((10-MIN(10,MAX(0,X1200)))/10)*'Controls &amp; Summary'!$B$15+((10-MIN(10,MAX(0,W1200)))/10)*'Controls &amp; Summary'!$B$16</x:f>
        <x:v>1.603</x:v>
      </x:c>
      <x:c r="Z1200" s="31" t="n">
        <x:f>V1200*Y1200</x:f>
        <x:v>12.370001397701818</x:v>
      </x:c>
      <x:c r="AA1200" s="30" t="str">
        <x:f>IF(Z1200&lt;=I1200,"Peaceful","Hostile")</x:f>
        <x:v>Hostile</x:v>
      </x:c>
      <x:c r="AB1200" s="30" t="str">
        <x:f>IF(Z1200&lt;='Controls &amp; Summary'!$B$6,"Eligible","Blocked")</x:f>
        <x:v>Blocked</x:v>
      </x:c>
      <x:c r="AC1200" s="30" t="str">
        <x:v>2026_MYS</x:v>
      </x:c>
      <x:c r="AD1200" s="30" t="str">
        <x:v>2026_BRU</x:v>
      </x:c>
      <x:c r="AE1200" s="30" t="str">
        <x:v>2026_Brunei</x:v>
      </x:c>
      <x:c r="AF1200" s="30" t="str">
        <x:v>Explicit capitalClaim</x:v>
      </x:c>
      <x:c r="AG1200" s="30" t="str">
        <x:v>Claim2026_MYS2026_Brunei</x:v>
      </x:c>
      <x:c r="AH1200" s="30" t="str">
        <x:v>Project_UnitedMalayNation</x:v>
      </x:c>
    </x:row>
    <x:row r="1201">
      <x:c r="A1201" s="30" t="str">
        <x:v>2026</x:v>
      </x:c>
      <x:c r="B1201" s="30" t="str">
        <x:v>Base game</x:v>
      </x:c>
      <x:c r="C1201" s="30" t="str">
        <x:v>Malaysia</x:v>
      </x:c>
      <x:c r="D1201" s="30" t="str">
        <x:v>Indonesia</x:v>
      </x:c>
      <x:c r="E1201" s="30" t="str">
        <x:v>Project unlock</x:v>
      </x:c>
      <x:c r="F1201" s="30" t="str">
        <x:v>United Malay Nation</x:v>
      </x:c>
      <x:c r="G1201" s="30" t="str">
        <x:v>No</x:v>
      </x:c>
      <x:c r="H1201" s="30" t="str">
        <x:v>Ordinary claim</x:v>
      </x:c>
      <x:c r="I1201" s="31" t="n">
        <x:f>IF(G1201="Yes",'Controls &amp; Summary'!$B$5,'Controls &amp; Summary'!$B$4)</x:f>
        <x:v>6</x:v>
      </x:c>
      <x:c r="J1201" s="31" t="n">
        <x:v>7.11</x:v>
      </x:c>
      <x:c r="K1201" s="31" t="n">
        <x:v>6.37</x:v>
      </x:c>
      <x:c r="L1201" s="31" t="n">
        <x:f>ABS(J1201-K1201)</x:f>
        <x:v>0.7400000000000002</x:v>
      </x:c>
      <x:c r="M1201" s="31" t="n">
        <x:v>4.07</x:v>
      </x:c>
      <x:c r="N1201" s="31" t="n">
        <x:v>3.61</x:v>
      </x:c>
      <x:c r="O1201" s="31" t="n">
        <x:f>ABS(M1201-N1201)</x:f>
        <x:v>0.4600000000000004</x:v>
      </x:c>
      <x:c r="P1201" s="31" t="n">
        <x:v>7.08</x:v>
      </x:c>
      <x:c r="Q1201" s="31" t="n">
        <x:v>6.46</x:v>
      </x:c>
      <x:c r="R1201" s="31" t="n">
        <x:f>ABS(P1201-Q1201)</x:f>
        <x:v>0.6200000000000001</x:v>
      </x:c>
      <x:c r="S1201" s="32" t="n">
        <x:v>35749.84868812425</x:v>
      </x:c>
      <x:c r="T1201" s="32" t="n">
        <x:v>15341.497054185696</x:v>
      </x:c>
      <x:c r="U1201" s="31" t="n">
        <x:f>MAX(S1201/T1201,T1201/S1201)</x:f>
        <x:v>2.330271195950231</x:v>
      </x:c>
      <x:c r="V1201" s="31" t="n">
        <x:f>L1201*'Controls &amp; Summary'!$B$9+O1201*'Controls &amp; Summary'!$B$10+R1201*'Controls &amp; Summary'!$B$11+U1201*'Controls &amp; Summary'!$B$12</x:f>
        <x:v>4.150271195950232</x:v>
      </x:c>
      <x:c r="W1201" s="31" t="n">
        <x:v>3.97</x:v>
      </x:c>
      <x:c r="X1201" s="31" t="n">
        <x:v>4</x:v>
      </x:c>
      <x:c r="Y1201" s="31" t="n">
        <x:f>((10-MIN(10,MAX(0,X1201)))/10)*'Controls &amp; Summary'!$B$15+((10-MIN(10,MAX(0,W1201)))/10)*'Controls &amp; Summary'!$B$16</x:f>
        <x:v>1.2029999999999998</x:v>
      </x:c>
      <x:c r="Z1201" s="31" t="n">
        <x:f>V1201*Y1201</x:f>
        <x:v>4.992776248728129</x:v>
      </x:c>
      <x:c r="AA1201" s="30" t="str">
        <x:f>IF(Z1201&lt;=I1201,"Peaceful","Hostile")</x:f>
        <x:v>Peaceful</x:v>
      </x:c>
      <x:c r="AB1201" s="30" t="str">
        <x:f>IF(Z1201&lt;='Controls &amp; Summary'!$B$6,"Eligible","Blocked")</x:f>
        <x:v>Eligible</x:v>
      </x:c>
      <x:c r="AC1201" s="30" t="str">
        <x:v>2026_MYS</x:v>
      </x:c>
      <x:c r="AD1201" s="30" t="str">
        <x:v>2026_IDN</x:v>
      </x:c>
      <x:c r="AE1201" s="30" t="str">
        <x:v>2026_Java</x:v>
      </x:c>
      <x:c r="AF1201" s="30" t="str">
        <x:v>Explicit capitalClaim</x:v>
      </x:c>
      <x:c r="AG1201" s="30" t="str">
        <x:v>Claim2026_MYS2026_Java</x:v>
      </x:c>
      <x:c r="AH1201" s="30" t="str">
        <x:v>Project_UnitedMalayNation</x:v>
      </x:c>
    </x:row>
    <x:row r="1202">
      <x:c r="A1202" s="30" t="str">
        <x:v>2026</x:v>
      </x:c>
      <x:c r="B1202" s="30" t="str">
        <x:v>Base game</x:v>
      </x:c>
      <x:c r="C1202" s="30" t="str">
        <x:v>Malaysia</x:v>
      </x:c>
      <x:c r="D1202" s="30" t="str">
        <x:v>Philippines</x:v>
      </x:c>
      <x:c r="E1202" s="30" t="str">
        <x:v>Project unlock</x:v>
      </x:c>
      <x:c r="F1202" s="30" t="str">
        <x:v>Greater Malaysia</x:v>
      </x:c>
      <x:c r="G1202" s="30" t="str">
        <x:v>No</x:v>
      </x:c>
      <x:c r="H1202" s="30" t="str">
        <x:v>Ordinary claim</x:v>
      </x:c>
      <x:c r="I1202" s="31" t="n">
        <x:f>IF(G1202="Yes",'Controls &amp; Summary'!$B$5,'Controls &amp; Summary'!$B$4)</x:f>
        <x:v>6</x:v>
      </x:c>
      <x:c r="J1202" s="31" t="n">
        <x:v>7.11</x:v>
      </x:c>
      <x:c r="K1202" s="31" t="n">
        <x:v>6.31</x:v>
      </x:c>
      <x:c r="L1202" s="31" t="n">
        <x:f>ABS(J1202-K1202)</x:f>
        <x:v>0.8000000000000007</x:v>
      </x:c>
      <x:c r="M1202" s="31" t="n">
        <x:v>4.07</x:v>
      </x:c>
      <x:c r="N1202" s="31" t="n">
        <x:v>4.07</x:v>
      </x:c>
      <x:c r="O1202" s="31" t="n">
        <x:f>ABS(M1202-N1202)</x:f>
        <x:v>0</x:v>
      </x:c>
      <x:c r="P1202" s="31" t="n">
        <x:v>7.08</x:v>
      </x:c>
      <x:c r="Q1202" s="31" t="n">
        <x:v>6.75</x:v>
      </x:c>
      <x:c r="R1202" s="31" t="n">
        <x:f>ABS(P1202-Q1202)</x:f>
        <x:v>0.33000000000000007</x:v>
      </x:c>
      <x:c r="S1202" s="32" t="n">
        <x:v>35749.84868812425</x:v>
      </x:c>
      <x:c r="T1202" s="32" t="n">
        <x:v>11046.009872951565</x:v>
      </x:c>
      <x:c r="U1202" s="31" t="n">
        <x:f>MAX(S1202/T1202,T1202/S1202)</x:f>
        <x:v>3.2364490978470997</x:v>
      </x:c>
      <x:c r="V1202" s="31" t="n">
        <x:f>L1202*'Controls &amp; Summary'!$B$9+O1202*'Controls &amp; Summary'!$B$10+R1202*'Controls &amp; Summary'!$B$11+U1202*'Controls &amp; Summary'!$B$12</x:f>
        <x:v>4.3664490978471004</x:v>
      </x:c>
      <x:c r="W1202" s="31" t="n">
        <x:v>3.97</x:v>
      </x:c>
      <x:c r="X1202" s="31" t="n">
        <x:v>4.75</x:v>
      </x:c>
      <x:c r="Y1202" s="31" t="n">
        <x:f>((10-MIN(10,MAX(0,X1202)))/10)*'Controls &amp; Summary'!$B$15+((10-MIN(10,MAX(0,W1202)))/10)*'Controls &amp; Summary'!$B$16</x:f>
        <x:v>1.1280000000000001</x:v>
      </x:c>
      <x:c r="Z1202" s="31" t="n">
        <x:f>V1202*Y1202</x:f>
        <x:v>4.92535458237153</x:v>
      </x:c>
      <x:c r="AA1202" s="30" t="str">
        <x:f>IF(Z1202&lt;=I1202,"Peaceful","Hostile")</x:f>
        <x:v>Peaceful</x:v>
      </x:c>
      <x:c r="AB1202" s="30" t="str">
        <x:f>IF(Z1202&lt;='Controls &amp; Summary'!$B$6,"Eligible","Blocked")</x:f>
        <x:v>Eligible</x:v>
      </x:c>
      <x:c r="AC1202" s="30" t="str">
        <x:v>2026_MYS</x:v>
      </x:c>
      <x:c r="AD1202" s="30" t="str">
        <x:v>2026_PHL</x:v>
      </x:c>
      <x:c r="AE1202" s="30" t="str">
        <x:v>2026_Luzon</x:v>
      </x:c>
      <x:c r="AF1202" s="30" t="str">
        <x:v>Explicit capitalClaim</x:v>
      </x:c>
      <x:c r="AG1202" s="30" t="str">
        <x:v>Claim2026_MYS2026_Luzon</x:v>
      </x:c>
      <x:c r="AH1202" s="30" t="str">
        <x:v>Project_GreaterMalaysia</x:v>
      </x:c>
    </x:row>
    <x:row r="1203">
      <x:c r="A1203" s="30" t="str">
        <x:v>2026</x:v>
      </x:c>
      <x:c r="B1203" s="30" t="str">
        <x:v>Base game</x:v>
      </x:c>
      <x:c r="C1203" s="30" t="str">
        <x:v>Malaysia</x:v>
      </x:c>
      <x:c r="D1203" s="30" t="str">
        <x:v>Singapore</x:v>
      </x:c>
      <x:c r="E1203" s="30" t="str">
        <x:v>Project unlock</x:v>
      </x:c>
      <x:c r="F1203" s="30" t="str">
        <x:v>United Malay Nation</x:v>
      </x:c>
      <x:c r="G1203" s="30" t="str">
        <x:v>No</x:v>
      </x:c>
      <x:c r="H1203" s="30" t="str">
        <x:v>Ordinary claim</x:v>
      </x:c>
      <x:c r="I1203" s="31" t="n">
        <x:f>IF(G1203="Yes",'Controls &amp; Summary'!$B$5,'Controls &amp; Summary'!$B$4)</x:f>
        <x:v>6</x:v>
      </x:c>
      <x:c r="J1203" s="31" t="n">
        <x:v>7.11</x:v>
      </x:c>
      <x:c r="K1203" s="31" t="n">
        <x:v>6.18</x:v>
      </x:c>
      <x:c r="L1203" s="31" t="n">
        <x:f>ABS(J1203-K1203)</x:f>
        <x:v>0.9300000000000006</x:v>
      </x:c>
      <x:c r="M1203" s="31" t="n">
        <x:v>4.07</x:v>
      </x:c>
      <x:c r="N1203" s="31" t="n">
        <x:v>3.8</x:v>
      </x:c>
      <x:c r="O1203" s="31" t="n">
        <x:f>ABS(M1203-N1203)</x:f>
        <x:v>0.27000000000000046</x:v>
      </x:c>
      <x:c r="P1203" s="31" t="n">
        <x:v>7.08</x:v>
      </x:c>
      <x:c r="Q1203" s="31" t="n">
        <x:v>8.44</x:v>
      </x:c>
      <x:c r="R1203" s="31" t="n">
        <x:f>ABS(P1203-Q1203)</x:f>
        <x:v>1.3599999999999994</x:v>
      </x:c>
      <x:c r="S1203" s="32" t="n">
        <x:v>35749.84868812425</x:v>
      </x:c>
      <x:c r="T1203" s="32" t="n">
        <x:v>141950.98063784637</x:v>
      </x:c>
      <x:c r="U1203" s="31" t="n">
        <x:f>MAX(S1203/T1203,T1203/S1203)</x:f>
        <x:v>3.9706736069347643</x:v>
      </x:c>
      <x:c r="V1203" s="31" t="n">
        <x:f>L1203*'Controls &amp; Summary'!$B$9+O1203*'Controls &amp; Summary'!$B$10+R1203*'Controls &amp; Summary'!$B$11+U1203*'Controls &amp; Summary'!$B$12</x:f>
        <x:v>6.530673606934765</x:v>
      </x:c>
      <x:c r="W1203" s="31" t="n">
        <x:v>3.97</x:v>
      </x:c>
      <x:c r="X1203" s="31" t="n">
        <x:v>0</x:v>
      </x:c>
      <x:c r="Y1203" s="31" t="n">
        <x:f>((10-MIN(10,MAX(0,X1203)))/10)*'Controls &amp; Summary'!$B$15+((10-MIN(10,MAX(0,W1203)))/10)*'Controls &amp; Summary'!$B$16</x:f>
        <x:v>1.603</x:v>
      </x:c>
      <x:c r="Z1203" s="31" t="n">
        <x:f>V1203*Y1203</x:f>
        <x:v>10.468669791916428</x:v>
      </x:c>
      <x:c r="AA1203" s="30" t="str">
        <x:f>IF(Z1203&lt;=I1203,"Peaceful","Hostile")</x:f>
        <x:v>Hostile</x:v>
      </x:c>
      <x:c r="AB1203" s="30" t="str">
        <x:f>IF(Z1203&lt;='Controls &amp; Summary'!$B$6,"Eligible","Blocked")</x:f>
        <x:v>Eligible</x:v>
      </x:c>
      <x:c r="AC1203" s="30" t="str">
        <x:v>2026_MYS</x:v>
      </x:c>
      <x:c r="AD1203" s="30" t="str">
        <x:v>2026_SGP</x:v>
      </x:c>
      <x:c r="AE1203" s="30" t="str">
        <x:v>2026_Singapore</x:v>
      </x:c>
      <x:c r="AF1203" s="30" t="str">
        <x:v>Explicit capitalClaim</x:v>
      </x:c>
      <x:c r="AG1203" s="30" t="str">
        <x:v>Claim2026_MYS2026_Singapore</x:v>
      </x:c>
      <x:c r="AH1203" s="30" t="str">
        <x:v>Project_UnitedMalayNation</x:v>
      </x:c>
    </x:row>
    <x:row r="1204">
      <x:c r="A1204" s="30" t="str">
        <x:v>2026</x:v>
      </x:c>
      <x:c r="B1204" s="30" t="str">
        <x:v>Base game</x:v>
      </x:c>
      <x:c r="C1204" s="30" t="str">
        <x:v>Malaysia</x:v>
      </x:c>
      <x:c r="D1204" s="30" t="str">
        <x:v>Sri Lanka</x:v>
      </x:c>
      <x:c r="E1204" s="30" t="str">
        <x:v>Project unlock</x:v>
      </x:c>
      <x:c r="F1204" s="30" t="str">
        <x:v>Greater Malaysia</x:v>
      </x:c>
      <x:c r="G1204" s="30" t="str">
        <x:v>No</x:v>
      </x:c>
      <x:c r="H1204" s="30" t="str">
        <x:v>Ordinary claim</x:v>
      </x:c>
      <x:c r="I1204" s="31" t="n">
        <x:f>IF(G1204="Yes",'Controls &amp; Summary'!$B$5,'Controls &amp; Summary'!$B$4)</x:f>
        <x:v>6</x:v>
      </x:c>
      <x:c r="J1204" s="31" t="n">
        <x:v>7.11</x:v>
      </x:c>
      <x:c r="K1204" s="31" t="n">
        <x:v>6.57</x:v>
      </x:c>
      <x:c r="L1204" s="31" t="n">
        <x:f>ABS(J1204-K1204)</x:f>
        <x:v>0.54</x:v>
      </x:c>
      <x:c r="M1204" s="31" t="n">
        <x:v>4.07</x:v>
      </x:c>
      <x:c r="N1204" s="31" t="n">
        <x:v>3.77</x:v>
      </x:c>
      <x:c r="O1204" s="31" t="n">
        <x:f>ABS(M1204-N1204)</x:f>
        <x:v>0.30000000000000027</x:v>
      </x:c>
      <x:c r="P1204" s="31" t="n">
        <x:v>7.08</x:v>
      </x:c>
      <x:c r="Q1204" s="31" t="n">
        <x:v>7.09</x:v>
      </x:c>
      <x:c r="R1204" s="31" t="n">
        <x:f>ABS(P1204-Q1204)</x:f>
        <x:v>0.009999999999999787</x:v>
      </x:c>
      <x:c r="S1204" s="32" t="n">
        <x:v>35749.84868812425</x:v>
      </x:c>
      <x:c r="T1204" s="32" t="n">
        <x:v>12912.77421946723</x:v>
      </x:c>
      <x:c r="U1204" s="31" t="n">
        <x:f>MAX(S1204/T1204,T1204/S1204)</x:f>
        <x:v>2.768564530016173</x:v>
      </x:c>
      <x:c r="V1204" s="31" t="n">
        <x:f>L1204*'Controls &amp; Summary'!$B$9+O1204*'Controls &amp; Summary'!$B$10+R1204*'Controls &amp; Summary'!$B$11+U1204*'Controls &amp; Summary'!$B$12</x:f>
        <x:v>3.6185645300161733</x:v>
      </x:c>
      <x:c r="W1204" s="31" t="n">
        <x:v>3.97</x:v>
      </x:c>
      <x:c r="X1204" s="31" t="n">
        <x:v>3</x:v>
      </x:c>
      <x:c r="Y1204" s="31" t="n">
        <x:f>((10-MIN(10,MAX(0,X1204)))/10)*'Controls &amp; Summary'!$B$15+((10-MIN(10,MAX(0,W1204)))/10)*'Controls &amp; Summary'!$B$16</x:f>
        <x:v>1.303</x:v>
      </x:c>
      <x:c r="Z1204" s="31" t="n">
        <x:f>V1204*Y1204</x:f>
        <x:v>4.714989582611073</x:v>
      </x:c>
      <x:c r="AA1204" s="30" t="str">
        <x:f>IF(Z1204&lt;=I1204,"Peaceful","Hostile")</x:f>
        <x:v>Peaceful</x:v>
      </x:c>
      <x:c r="AB1204" s="30" t="str">
        <x:f>IF(Z1204&lt;='Controls &amp; Summary'!$B$6,"Eligible","Blocked")</x:f>
        <x:v>Eligible</x:v>
      </x:c>
      <x:c r="AC1204" s="30" t="str">
        <x:v>2026_MYS</x:v>
      </x:c>
      <x:c r="AD1204" s="30" t="str">
        <x:v>2026_LKA</x:v>
      </x:c>
      <x:c r="AE1204" s="30" t="str">
        <x:v>2026_SriLanka</x:v>
      </x:c>
      <x:c r="AF1204" s="30" t="str">
        <x:v>Explicit capitalClaim</x:v>
      </x:c>
      <x:c r="AG1204" s="30" t="str">
        <x:v>Claim2026_MYS2026_SriLanka</x:v>
      </x:c>
      <x:c r="AH1204" s="30" t="str">
        <x:v>Project_GreaterMalaysia</x:v>
      </x:c>
    </x:row>
    <x:row r="1205">
      <x:c r="A1205" s="30" t="str">
        <x:v>2026</x:v>
      </x:c>
      <x:c r="B1205" s="30" t="str">
        <x:v>Base game</x:v>
      </x:c>
      <x:c r="C1205" s="30" t="str">
        <x:v>Malaysia</x:v>
      </x:c>
      <x:c r="D1205" s="30" t="str">
        <x:v>Thailand</x:v>
      </x:c>
      <x:c r="E1205" s="30" t="str">
        <x:v>Project unlock</x:v>
      </x:c>
      <x:c r="F1205" s="30" t="str">
        <x:v>Greater Malaysia</x:v>
      </x:c>
      <x:c r="G1205" s="30" t="str">
        <x:v>No</x:v>
      </x:c>
      <x:c r="H1205" s="30" t="str">
        <x:v>Ordinary claim</x:v>
      </x:c>
      <x:c r="I1205" s="31" t="n">
        <x:f>IF(G1205="Yes",'Controls &amp; Summary'!$B$5,'Controls &amp; Summary'!$B$4)</x:f>
        <x:v>6</x:v>
      </x:c>
      <x:c r="J1205" s="31" t="n">
        <x:v>7.11</x:v>
      </x:c>
      <x:c r="K1205" s="31" t="n">
        <x:v>6.59</x:v>
      </x:c>
      <x:c r="L1205" s="31" t="n">
        <x:f>ABS(J1205-K1205)</x:f>
        <x:v>0.5200000000000005</x:v>
      </x:c>
      <x:c r="M1205" s="31" t="n">
        <x:v>4.07</x:v>
      </x:c>
      <x:c r="N1205" s="31" t="n">
        <x:v>3.49</x:v>
      </x:c>
      <x:c r="O1205" s="31" t="n">
        <x:f>ABS(M1205-N1205)</x:f>
        <x:v>0.5800000000000001</x:v>
      </x:c>
      <x:c r="P1205" s="31" t="n">
        <x:v>7.08</x:v>
      </x:c>
      <x:c r="Q1205" s="31" t="n">
        <x:v>7.12</x:v>
      </x:c>
      <x:c r="R1205" s="31" t="n">
        <x:f>ABS(P1205-Q1205)</x:f>
        <x:v>0.040000000000000036</x:v>
      </x:c>
      <x:c r="S1205" s="32" t="n">
        <x:v>35749.84868812425</x:v>
      </x:c>
      <x:c r="T1205" s="32" t="n">
        <x:v>22796.63610259273</x:v>
      </x:c>
      <x:c r="U1205" s="31" t="n">
        <x:f>MAX(S1205/T1205,T1205/S1205)</x:f>
        <x:v>1.5682071919399685</x:v>
      </x:c>
      <x:c r="V1205" s="31" t="n">
        <x:f>L1205*'Controls &amp; Summary'!$B$9+O1205*'Controls &amp; Summary'!$B$10+R1205*'Controls &amp; Summary'!$B$11+U1205*'Controls &amp; Summary'!$B$12</x:f>
        <x:v>2.708207191939969</x:v>
      </x:c>
      <x:c r="W1205" s="31" t="n">
        <x:v>3.97</x:v>
      </x:c>
      <x:c r="X1205" s="31" t="n">
        <x:v>1</x:v>
      </x:c>
      <x:c r="Y1205" s="31" t="n">
        <x:f>((10-MIN(10,MAX(0,X1205)))/10)*'Controls &amp; Summary'!$B$15+((10-MIN(10,MAX(0,W1205)))/10)*'Controls &amp; Summary'!$B$16</x:f>
        <x:v>1.5030000000000001</x:v>
      </x:c>
      <x:c r="Z1205" s="31" t="n">
        <x:f>V1205*Y1205</x:f>
        <x:v>4.070435409485774</x:v>
      </x:c>
      <x:c r="AA1205" s="30" t="str">
        <x:f>IF(Z1205&lt;=I1205,"Peaceful","Hostile")</x:f>
        <x:v>Peaceful</x:v>
      </x:c>
      <x:c r="AB1205" s="30" t="str">
        <x:f>IF(Z1205&lt;='Controls &amp; Summary'!$B$6,"Eligible","Blocked")</x:f>
        <x:v>Eligible</x:v>
      </x:c>
      <x:c r="AC1205" s="30" t="str">
        <x:v>2026_MYS</x:v>
      </x:c>
      <x:c r="AD1205" s="30" t="str">
        <x:v>2026_THA</x:v>
      </x:c>
      <x:c r="AE1205" s="30" t="str">
        <x:v>2026_Bangkok</x:v>
      </x:c>
      <x:c r="AF1205" s="30" t="str">
        <x:v>Explicit capitalClaim</x:v>
      </x:c>
      <x:c r="AG1205" s="30" t="str">
        <x:v>Claim2026_MYS2026_Bangkok</x:v>
      </x:c>
      <x:c r="AH1205" s="30" t="str">
        <x:v>Project_GreaterMalaysia</x:v>
      </x:c>
    </x:row>
    <x:row r="1206">
      <x:c r="A1206" s="30" t="str">
        <x:v>2026</x:v>
      </x:c>
      <x:c r="B1206" s="30" t="str">
        <x:v>Base game</x:v>
      </x:c>
      <x:c r="C1206" s="30" t="str">
        <x:v>Mali</x:v>
      </x:c>
      <x:c r="D1206" s="30" t="str">
        <x:v>Burkina Faso</x:v>
      </x:c>
      <x:c r="E1206" s="30" t="str">
        <x:v>Project unlock</x:v>
      </x:c>
      <x:c r="F1206" s="30" t="str">
        <x:v>African Confederations</x:v>
      </x:c>
      <x:c r="G1206" s="30" t="str">
        <x:v>No</x:v>
      </x:c>
      <x:c r="H1206" s="30" t="str">
        <x:v>Ordinary claim</x:v>
      </x:c>
      <x:c r="I1206" s="31" t="n">
        <x:f>IF(G1206="Yes",'Controls &amp; Summary'!$B$5,'Controls &amp; Summary'!$B$4)</x:f>
        <x:v>6</x:v>
      </x:c>
      <x:c r="J1206" s="31" t="n">
        <x:v>2.4</x:v>
      </x:c>
      <x:c r="K1206" s="31" t="n">
        <x:v>2.55</x:v>
      </x:c>
      <x:c r="L1206" s="31" t="n">
        <x:f>ABS(J1206-K1206)</x:f>
        <x:v>0.1499999999999999</x:v>
      </x:c>
      <x:c r="M1206" s="31" t="n">
        <x:v>3.57</x:v>
      </x:c>
      <x:c r="N1206" s="31" t="n">
        <x:v>3.74</x:v>
      </x:c>
      <x:c r="O1206" s="31" t="n">
        <x:f>ABS(M1206-N1206)</x:f>
        <x:v>0.17000000000000037</x:v>
      </x:c>
      <x:c r="P1206" s="31" t="n">
        <x:v>2.49</x:v>
      </x:c>
      <x:c r="Q1206" s="31" t="n">
        <x:v>3.17</x:v>
      </x:c>
      <x:c r="R1206" s="31" t="n">
        <x:f>ABS(P1206-Q1206)</x:f>
        <x:v>0.6799999999999997</x:v>
      </x:c>
      <x:c r="S1206" s="32" t="n">
        <x:v>2468.331066209965</x:v>
      </x:c>
      <x:c r="T1206" s="32" t="n">
        <x:v>2604.7630854778326</x:v>
      </x:c>
      <x:c r="U1206" s="31" t="n">
        <x:f>MAX(S1206/T1206,T1206/S1206)</x:f>
        <x:v>1.0552729822735467</x:v>
      </x:c>
      <x:c r="V1206" s="31" t="n">
        <x:f>L1206*'Controls &amp; Summary'!$B$9+O1206*'Controls &amp; Summary'!$B$10+R1206*'Controls &amp; Summary'!$B$11+U1206*'Controls &amp; Summary'!$B$12</x:f>
        <x:v>2.0552729822735465</x:v>
      </x:c>
      <x:c r="W1206" s="31" t="n">
        <x:v>2.27</x:v>
      </x:c>
      <x:c r="X1206" s="31" t="n">
        <x:v>5.5</x:v>
      </x:c>
      <x:c r="Y1206" s="31" t="n">
        <x:f>((10-MIN(10,MAX(0,X1206)))/10)*'Controls &amp; Summary'!$B$15+((10-MIN(10,MAX(0,W1206)))/10)*'Controls &amp; Summary'!$B$16</x:f>
        <x:v>1.223</x:v>
      </x:c>
      <x:c r="Z1206" s="31" t="n">
        <x:f>V1206*Y1206</x:f>
        <x:v>2.5135988573205474</x:v>
      </x:c>
      <x:c r="AA1206" s="30" t="str">
        <x:f>IF(Z1206&lt;=I1206,"Peaceful","Hostile")</x:f>
        <x:v>Peaceful</x:v>
      </x:c>
      <x:c r="AB1206" s="30" t="str">
        <x:f>IF(Z1206&lt;='Controls &amp; Summary'!$B$6,"Eligible","Blocked")</x:f>
        <x:v>Eligible</x:v>
      </x:c>
      <x:c r="AC1206" s="30" t="str">
        <x:v>2026_MLI</x:v>
      </x:c>
      <x:c r="AD1206" s="30" t="str">
        <x:v>2026_BKF</x:v>
      </x:c>
      <x:c r="AE1206" s="30" t="str">
        <x:v>2026_BurkinaFaso</x:v>
      </x:c>
      <x:c r="AF1206" s="30" t="str">
        <x:v>Explicit capitalClaim</x:v>
      </x:c>
      <x:c r="AG1206" s="30" t="str">
        <x:v>Claim2026_MLI2026_BurkinaFaso</x:v>
      </x:c>
      <x:c r="AH1206" s="30" t="str">
        <x:v>Project_EastAfricanFederation</x:v>
      </x:c>
    </x:row>
    <x:row r="1207">
      <x:c r="A1207" s="30" t="str">
        <x:v>2026</x:v>
      </x:c>
      <x:c r="B1207" s="30" t="str">
        <x:v>Base game</x:v>
      </x:c>
      <x:c r="C1207" s="30" t="str">
        <x:v>Mali</x:v>
      </x:c>
      <x:c r="D1207" s="30" t="str">
        <x:v>Chad</x:v>
      </x:c>
      <x:c r="E1207" s="30" t="str">
        <x:v>Project unlock</x:v>
      </x:c>
      <x:c r="F1207" s="30" t="str">
        <x:v>Regional African Unions</x:v>
      </x:c>
      <x:c r="G1207" s="30" t="str">
        <x:v>No</x:v>
      </x:c>
      <x:c r="H1207" s="30" t="str">
        <x:v>Ordinary claim</x:v>
      </x:c>
      <x:c r="I1207" s="31" t="n">
        <x:f>IF(G1207="Yes",'Controls &amp; Summary'!$B$5,'Controls &amp; Summary'!$B$4)</x:f>
        <x:v>6</x:v>
      </x:c>
      <x:c r="J1207" s="31" t="n">
        <x:v>2.4</x:v>
      </x:c>
      <x:c r="K1207" s="31" t="n">
        <x:v>1.76</x:v>
      </x:c>
      <x:c r="L1207" s="31" t="n">
        <x:f>ABS(J1207-K1207)</x:f>
        <x:v>0.6399999999999999</x:v>
      </x:c>
      <x:c r="M1207" s="31" t="n">
        <x:v>3.57</x:v>
      </x:c>
      <x:c r="N1207" s="31" t="n">
        <x:v>3.74</x:v>
      </x:c>
      <x:c r="O1207" s="31" t="n">
        <x:f>ABS(M1207-N1207)</x:f>
        <x:v>0.17000000000000037</x:v>
      </x:c>
      <x:c r="P1207" s="31" t="n">
        <x:v>2.49</x:v>
      </x:c>
      <x:c r="Q1207" s="31" t="n">
        <x:v>3.06</x:v>
      </x:c>
      <x:c r="R1207" s="31" t="n">
        <x:f>ABS(P1207-Q1207)</x:f>
        <x:v>0.5699999999999998</x:v>
      </x:c>
      <x:c r="S1207" s="32" t="n">
        <x:v>2468.331066209965</x:v>
      </x:c>
      <x:c r="T1207" s="32" t="n">
        <x:v>2312.326591646344</x:v>
      </x:c>
      <x:c r="U1207" s="31" t="n">
        <x:f>MAX(S1207/T1207,T1207/S1207)</x:f>
        <x:v>1.0674664535395704</x:v>
      </x:c>
      <x:c r="V1207" s="31" t="n">
        <x:f>L1207*'Controls &amp; Summary'!$B$9+O1207*'Controls &amp; Summary'!$B$10+R1207*'Controls &amp; Summary'!$B$11+U1207*'Controls &amp; Summary'!$B$12</x:f>
        <x:v>2.4474664535395707</x:v>
      </x:c>
      <x:c r="W1207" s="31" t="n">
        <x:v>2.27</x:v>
      </x:c>
      <x:c r="X1207" s="31" t="n">
        <x:v>4</x:v>
      </x:c>
      <x:c r="Y1207" s="31" t="n">
        <x:f>((10-MIN(10,MAX(0,X1207)))/10)*'Controls &amp; Summary'!$B$15+((10-MIN(10,MAX(0,W1207)))/10)*'Controls &amp; Summary'!$B$16</x:f>
        <x:v>1.373</x:v>
      </x:c>
      <x:c r="Z1207" s="31" t="n">
        <x:f>V1207*Y1207</x:f>
        <x:v>3.3603714407098306</x:v>
      </x:c>
      <x:c r="AA1207" s="30" t="str">
        <x:f>IF(Z1207&lt;=I1207,"Peaceful","Hostile")</x:f>
        <x:v>Peaceful</x:v>
      </x:c>
      <x:c r="AB1207" s="30" t="str">
        <x:f>IF(Z1207&lt;='Controls &amp; Summary'!$B$6,"Eligible","Blocked")</x:f>
        <x:v>Eligible</x:v>
      </x:c>
      <x:c r="AC1207" s="30" t="str">
        <x:v>2026_MLI</x:v>
      </x:c>
      <x:c r="AD1207" s="30" t="str">
        <x:v>2026_TCD</x:v>
      </x:c>
      <x:c r="AE1207" s="30" t="str">
        <x:v>2026_Chad</x:v>
      </x:c>
      <x:c r="AF1207" s="30" t="str">
        <x:v>Explicit capitalClaim</x:v>
      </x:c>
      <x:c r="AG1207" s="30" t="str">
        <x:v>Claim2026_MLI2026_Chad</x:v>
      </x:c>
      <x:c r="AH1207" s="30" t="str">
        <x:v>Project_RegionalAfricanUnions</x:v>
      </x:c>
    </x:row>
    <x:row r="1208">
      <x:c r="A1208" s="30" t="str">
        <x:v>2026</x:v>
      </x:c>
      <x:c r="B1208" s="30" t="str">
        <x:v>Base game</x:v>
      </x:c>
      <x:c r="C1208" s="30" t="str">
        <x:v>Mali</x:v>
      </x:c>
      <x:c r="D1208" s="30" t="str">
        <x:v>Ghana</x:v>
      </x:c>
      <x:c r="E1208" s="30" t="str">
        <x:v>Project unlock</x:v>
      </x:c>
      <x:c r="F1208" s="30" t="str">
        <x:v>Regional African Unions</x:v>
      </x:c>
      <x:c r="G1208" s="30" t="str">
        <x:v>No</x:v>
      </x:c>
      <x:c r="H1208" s="30" t="str">
        <x:v>Ordinary claim</x:v>
      </x:c>
      <x:c r="I1208" s="31" t="n">
        <x:f>IF(G1208="Yes",'Controls &amp; Summary'!$B$5,'Controls &amp; Summary'!$B$4)</x:f>
        <x:v>6</x:v>
      </x:c>
      <x:c r="J1208" s="31" t="n">
        <x:v>2.4</x:v>
      </x:c>
      <x:c r="K1208" s="31" t="n">
        <x:v>6.24</x:v>
      </x:c>
      <x:c r="L1208" s="31" t="n">
        <x:f>ABS(J1208-K1208)</x:f>
        <x:v>3.8400000000000003</x:v>
      </x:c>
      <x:c r="M1208" s="31" t="n">
        <x:v>3.57</x:v>
      </x:c>
      <x:c r="N1208" s="31" t="n">
        <x:v>4.35</x:v>
      </x:c>
      <x:c r="O1208" s="31" t="n">
        <x:f>ABS(M1208-N1208)</x:f>
        <x:v>0.7799999999999998</x:v>
      </x:c>
      <x:c r="P1208" s="31" t="n">
        <x:v>2.49</x:v>
      </x:c>
      <x:c r="Q1208" s="31" t="n">
        <x:v>5.44</x:v>
      </x:c>
      <x:c r="R1208" s="31" t="n">
        <x:f>ABS(P1208-Q1208)</x:f>
        <x:v>2.95</x:v>
      </x:c>
      <x:c r="S1208" s="32" t="n">
        <x:v>2468.331066209965</x:v>
      </x:c>
      <x:c r="T1208" s="32" t="n">
        <x:v>7275.115213066261</x:v>
      </x:c>
      <x:c r="U1208" s="31" t="n">
        <x:f>MAX(S1208/T1208,T1208/S1208)</x:f>
        <x:v>2.9473822667706178</x:v>
      </x:c>
      <x:c r="V1208" s="31" t="n">
        <x:f>L1208*'Controls &amp; Summary'!$B$9+O1208*'Controls &amp; Summary'!$B$10+R1208*'Controls &amp; Summary'!$B$11+U1208*'Controls &amp; Summary'!$B$12</x:f>
        <x:v>10.517382266770618</x:v>
      </x:c>
      <x:c r="W1208" s="31" t="n">
        <x:v>2.27</x:v>
      </x:c>
      <x:c r="X1208" s="31" t="n">
        <x:v>3</x:v>
      </x:c>
      <x:c r="Y1208" s="31" t="n">
        <x:f>((10-MIN(10,MAX(0,X1208)))/10)*'Controls &amp; Summary'!$B$15+((10-MIN(10,MAX(0,W1208)))/10)*'Controls &amp; Summary'!$B$16</x:f>
        <x:v>1.4729999999999999</x:v>
      </x:c>
      <x:c r="Z1208" s="31" t="n">
        <x:f>V1208*Y1208</x:f>
        <x:v>15.492104078953119</x:v>
      </x:c>
      <x:c r="AA1208" s="30" t="str">
        <x:f>IF(Z1208&lt;=I1208,"Peaceful","Hostile")</x:f>
        <x:v>Hostile</x:v>
      </x:c>
      <x:c r="AB1208" s="30" t="str">
        <x:f>IF(Z1208&lt;='Controls &amp; Summary'!$B$6,"Eligible","Blocked")</x:f>
        <x:v>Blocked</x:v>
      </x:c>
      <x:c r="AC1208" s="30" t="str">
        <x:v>2026_MLI</x:v>
      </x:c>
      <x:c r="AD1208" s="30" t="str">
        <x:v>2026_GHA</x:v>
      </x:c>
      <x:c r="AE1208" s="30" t="str">
        <x:v>2026_Accra</x:v>
      </x:c>
      <x:c r="AF1208" s="30" t="str">
        <x:v>Explicit capitalClaim</x:v>
      </x:c>
      <x:c r="AG1208" s="30" t="str">
        <x:v>Claim2026_MLI2026_Accra</x:v>
      </x:c>
      <x:c r="AH1208" s="30" t="str">
        <x:v>Project_RegionalAfricanUnions</x:v>
      </x:c>
    </x:row>
    <x:row r="1209">
      <x:c r="A1209" s="30" t="str">
        <x:v>2026</x:v>
      </x:c>
      <x:c r="B1209" s="30" t="str">
        <x:v>Base game</x:v>
      </x:c>
      <x:c r="C1209" s="30" t="str">
        <x:v>Mali</x:v>
      </x:c>
      <x:c r="D1209" s="30" t="str">
        <x:v>Guinea</x:v>
      </x:c>
      <x:c r="E1209" s="30" t="str">
        <x:v>Project unlock</x:v>
      </x:c>
      <x:c r="F1209" s="30" t="str">
        <x:v>Regional African Unions</x:v>
      </x:c>
      <x:c r="G1209" s="30" t="str">
        <x:v>No</x:v>
      </x:c>
      <x:c r="H1209" s="30" t="str">
        <x:v>Ordinary claim</x:v>
      </x:c>
      <x:c r="I1209" s="31" t="n">
        <x:f>IF(G1209="Yes",'Controls &amp; Summary'!$B$5,'Controls &amp; Summary'!$B$4)</x:f>
        <x:v>6</x:v>
      </x:c>
      <x:c r="J1209" s="31" t="n">
        <x:v>2.4</x:v>
      </x:c>
      <x:c r="K1209" s="31" t="n">
        <x:v>2.15</x:v>
      </x:c>
      <x:c r="L1209" s="31" t="n">
        <x:f>ABS(J1209-K1209)</x:f>
        <x:v>0.25</x:v>
      </x:c>
      <x:c r="M1209" s="31" t="n">
        <x:v>3.57</x:v>
      </x:c>
      <x:c r="N1209" s="31" t="n">
        <x:v>2.96</x:v>
      </x:c>
      <x:c r="O1209" s="31" t="n">
        <x:f>ABS(M1209-N1209)</x:f>
        <x:v>0.6099999999999999</x:v>
      </x:c>
      <x:c r="P1209" s="31" t="n">
        <x:v>2.49</x:v>
      </x:c>
      <x:c r="Q1209" s="31" t="n">
        <x:v>3.69</x:v>
      </x:c>
      <x:c r="R1209" s="31" t="n">
        <x:f>ABS(P1209-Q1209)</x:f>
        <x:v>1.1999999999999997</x:v>
      </x:c>
      <x:c r="S1209" s="32" t="n">
        <x:v>2468.331066209965</x:v>
      </x:c>
      <x:c r="T1209" s="32" t="n">
        <x:v>4277.023050068731</x:v>
      </x:c>
      <x:c r="U1209" s="31" t="n">
        <x:f>MAX(S1209/T1209,T1209/S1209)</x:f>
        <x:v>1.7327590729698787</x:v>
      </x:c>
      <x:c r="V1209" s="31" t="n">
        <x:f>L1209*'Controls &amp; Summary'!$B$9+O1209*'Controls &amp; Summary'!$B$10+R1209*'Controls &amp; Summary'!$B$11+U1209*'Controls &amp; Summary'!$B$12</x:f>
        <x:v>3.7927590729698784</x:v>
      </x:c>
      <x:c r="W1209" s="31" t="n">
        <x:v>2.27</x:v>
      </x:c>
      <x:c r="X1209" s="31" t="n">
        <x:v>1.25</x:v>
      </x:c>
      <x:c r="Y1209" s="31" t="n">
        <x:f>((10-MIN(10,MAX(0,X1209)))/10)*'Controls &amp; Summary'!$B$15+((10-MIN(10,MAX(0,W1209)))/10)*'Controls &amp; Summary'!$B$16</x:f>
        <x:v>1.6480000000000001</x:v>
      </x:c>
      <x:c r="Z1209" s="31" t="n">
        <x:f>V1209*Y1209</x:f>
        <x:v>6.25046695225436</x:v>
      </x:c>
      <x:c r="AA1209" s="30" t="str">
        <x:f>IF(Z1209&lt;=I1209,"Peaceful","Hostile")</x:f>
        <x:v>Hostile</x:v>
      </x:c>
      <x:c r="AB1209" s="30" t="str">
        <x:f>IF(Z1209&lt;='Controls &amp; Summary'!$B$6,"Eligible","Blocked")</x:f>
        <x:v>Eligible</x:v>
      </x:c>
      <x:c r="AC1209" s="30" t="str">
        <x:v>2026_MLI</x:v>
      </x:c>
      <x:c r="AD1209" s="30" t="str">
        <x:v>2026_GIN</x:v>
      </x:c>
      <x:c r="AE1209" s="30" t="str">
        <x:v>2026_Guinea</x:v>
      </x:c>
      <x:c r="AF1209" s="30" t="str">
        <x:v>Explicit capitalClaim</x:v>
      </x:c>
      <x:c r="AG1209" s="30" t="str">
        <x:v>Claim2026_MLI2026_Guinea</x:v>
      </x:c>
      <x:c r="AH1209" s="30" t="str">
        <x:v>Project_RegionalAfricanUnions</x:v>
      </x:c>
    </x:row>
    <x:row r="1210">
      <x:c r="A1210" s="30" t="str">
        <x:v>2026</x:v>
      </x:c>
      <x:c r="B1210" s="30" t="str">
        <x:v>Base game</x:v>
      </x:c>
      <x:c r="C1210" s="30" t="str">
        <x:v>Mali</x:v>
      </x:c>
      <x:c r="D1210" s="30" t="str">
        <x:v>Niger</x:v>
      </x:c>
      <x:c r="E1210" s="30" t="str">
        <x:v>Project unlock</x:v>
      </x:c>
      <x:c r="F1210" s="30" t="str">
        <x:v>African Confederations</x:v>
      </x:c>
      <x:c r="G1210" s="30" t="str">
        <x:v>No</x:v>
      </x:c>
      <x:c r="H1210" s="30" t="str">
        <x:v>Ordinary claim</x:v>
      </x:c>
      <x:c r="I1210" s="31" t="n">
        <x:f>IF(G1210="Yes",'Controls &amp; Summary'!$B$5,'Controls &amp; Summary'!$B$4)</x:f>
        <x:v>6</x:v>
      </x:c>
      <x:c r="J1210" s="31" t="n">
        <x:v>2.4</x:v>
      </x:c>
      <x:c r="K1210" s="31" t="n">
        <x:v>1.95</x:v>
      </x:c>
      <x:c r="L1210" s="31" t="n">
        <x:f>ABS(J1210-K1210)</x:f>
        <x:v>0.44999999999999996</x:v>
      </x:c>
      <x:c r="M1210" s="31" t="n">
        <x:v>3.57</x:v>
      </x:c>
      <x:c r="N1210" s="31" t="n">
        <x:v>3.29</x:v>
      </x:c>
      <x:c r="O1210" s="31" t="n">
        <x:f>ABS(M1210-N1210)</x:f>
        <x:v>0.2799999999999998</x:v>
      </x:c>
      <x:c r="P1210" s="31" t="n">
        <x:v>2.49</x:v>
      </x:c>
      <x:c r="Q1210" s="31" t="n">
        <x:v>2.77</x:v>
      </x:c>
      <x:c r="R1210" s="31" t="n">
        <x:f>ABS(P1210-Q1210)</x:f>
        <x:v>0.2799999999999998</x:v>
      </x:c>
      <x:c r="S1210" s="32" t="n">
        <x:v>2468.331066209965</x:v>
      </x:c>
      <x:c r="T1210" s="32" t="n">
        <x:v>1863.9953984882393</x:v>
      </x:c>
      <x:c r="U1210" s="31" t="n">
        <x:f>MAX(S1210/T1210,T1210/S1210)</x:f>
        <x:v>1.3242152143786736</x:v>
      </x:c>
      <x:c r="V1210" s="31" t="n">
        <x:f>L1210*'Controls &amp; Summary'!$B$9+O1210*'Controls &amp; Summary'!$B$10+R1210*'Controls &amp; Summary'!$B$11+U1210*'Controls &amp; Summary'!$B$12</x:f>
        <x:v>2.3342152143786734</x:v>
      </x:c>
      <x:c r="W1210" s="31" t="n">
        <x:v>2.27</x:v>
      </x:c>
      <x:c r="X1210" s="31" t="n">
        <x:v>4.5</x:v>
      </x:c>
      <x:c r="Y1210" s="31" t="n">
        <x:f>((10-MIN(10,MAX(0,X1210)))/10)*'Controls &amp; Summary'!$B$15+((10-MIN(10,MAX(0,W1210)))/10)*'Controls &amp; Summary'!$B$16</x:f>
        <x:v>1.323</x:v>
      </x:c>
      <x:c r="Z1210" s="31" t="n">
        <x:f>V1210*Y1210</x:f>
        <x:v>3.088166728622985</x:v>
      </x:c>
      <x:c r="AA1210" s="30" t="str">
        <x:f>IF(Z1210&lt;=I1210,"Peaceful","Hostile")</x:f>
        <x:v>Peaceful</x:v>
      </x:c>
      <x:c r="AB1210" s="30" t="str">
        <x:f>IF(Z1210&lt;='Controls &amp; Summary'!$B$6,"Eligible","Blocked")</x:f>
        <x:v>Eligible</x:v>
      </x:c>
      <x:c r="AC1210" s="30" t="str">
        <x:v>2026_MLI</x:v>
      </x:c>
      <x:c r="AD1210" s="30" t="str">
        <x:v>2026_NER</x:v>
      </x:c>
      <x:c r="AE1210" s="30" t="str">
        <x:v>2026_Niger</x:v>
      </x:c>
      <x:c r="AF1210" s="30" t="str">
        <x:v>Explicit capitalClaim</x:v>
      </x:c>
      <x:c r="AG1210" s="30" t="str">
        <x:v>Claim2026_MLI2026_Niger</x:v>
      </x:c>
      <x:c r="AH1210" s="30" t="str">
        <x:v>Project_EastAfricanFederation</x:v>
      </x:c>
    </x:row>
    <x:row r="1211">
      <x:c r="A1211" s="30" t="str">
        <x:v>2026</x:v>
      </x:c>
      <x:c r="B1211" s="30" t="str">
        <x:v>Base game</x:v>
      </x:c>
      <x:c r="C1211" s="30" t="str">
        <x:v>Mali</x:v>
      </x:c>
      <x:c r="D1211" s="30" t="str">
        <x:v>Senegal</x:v>
      </x:c>
      <x:c r="E1211" s="30" t="str">
        <x:v>Project unlock</x:v>
      </x:c>
      <x:c r="F1211" s="30" t="str">
        <x:v>Regional African Unions</x:v>
      </x:c>
      <x:c r="G1211" s="30" t="str">
        <x:v>No</x:v>
      </x:c>
      <x:c r="H1211" s="30" t="str">
        <x:v>Ordinary claim</x:v>
      </x:c>
      <x:c r="I1211" s="31" t="n">
        <x:f>IF(G1211="Yes",'Controls &amp; Summary'!$B$5,'Controls &amp; Summary'!$B$4)</x:f>
        <x:v>6</x:v>
      </x:c>
      <x:c r="J1211" s="31" t="n">
        <x:v>2.4</x:v>
      </x:c>
      <x:c r="K1211" s="31" t="n">
        <x:v>6.05</x:v>
      </x:c>
      <x:c r="L1211" s="31" t="n">
        <x:f>ABS(J1211-K1211)</x:f>
        <x:v>3.65</x:v>
      </x:c>
      <x:c r="M1211" s="31" t="n">
        <x:v>3.57</x:v>
      </x:c>
      <x:c r="N1211" s="31" t="n">
        <x:v>3.62</x:v>
      </x:c>
      <x:c r="O1211" s="31" t="n">
        <x:f>ABS(M1211-N1211)</x:f>
        <x:v>0.050000000000000266</x:v>
      </x:c>
      <x:c r="P1211" s="31" t="n">
        <x:v>2.49</x:v>
      </x:c>
      <x:c r="Q1211" s="31" t="n">
        <x:v>3.47</x:v>
      </x:c>
      <x:c r="R1211" s="31" t="n">
        <x:f>ABS(P1211-Q1211)</x:f>
        <x:v>0.98</x:v>
      </x:c>
      <x:c r="S1211" s="32" t="n">
        <x:v>2468.331066209965</x:v>
      </x:c>
      <x:c r="T1211" s="32" t="n">
        <x:v>4790.652417766966</x:v>
      </x:c>
      <x:c r="U1211" s="31" t="n">
        <x:f>MAX(S1211/T1211,T1211/S1211)</x:f>
        <x:v>1.9408467864575574</x:v>
      </x:c>
      <x:c r="V1211" s="31" t="n">
        <x:f>L1211*'Controls &amp; Summary'!$B$9+O1211*'Controls &amp; Summary'!$B$10+R1211*'Controls &amp; Summary'!$B$11+U1211*'Controls &amp; Summary'!$B$12</x:f>
        <x:v>6.620846786457557</x:v>
      </x:c>
      <x:c r="W1211" s="31" t="n">
        <x:v>2.27</x:v>
      </x:c>
      <x:c r="X1211" s="31" t="n">
        <x:v>1</x:v>
      </x:c>
      <x:c r="Y1211" s="31" t="n">
        <x:f>((10-MIN(10,MAX(0,X1211)))/10)*'Controls &amp; Summary'!$B$15+((10-MIN(10,MAX(0,W1211)))/10)*'Controls &amp; Summary'!$B$16</x:f>
        <x:v>1.673</x:v>
      </x:c>
      <x:c r="Z1211" s="31" t="n">
        <x:f>V1211*Y1211</x:f>
        <x:v>11.076676673743494</x:v>
      </x:c>
      <x:c r="AA1211" s="30" t="str">
        <x:f>IF(Z1211&lt;=I1211,"Peaceful","Hostile")</x:f>
        <x:v>Hostile</x:v>
      </x:c>
      <x:c r="AB1211" s="30" t="str">
        <x:f>IF(Z1211&lt;='Controls &amp; Summary'!$B$6,"Eligible","Blocked")</x:f>
        <x:v>Eligible</x:v>
      </x:c>
      <x:c r="AC1211" s="30" t="str">
        <x:v>2026_MLI</x:v>
      </x:c>
      <x:c r="AD1211" s="30" t="str">
        <x:v>2026_SEG</x:v>
      </x:c>
      <x:c r="AE1211" s="30" t="str">
        <x:v>2026_Senegambia</x:v>
      </x:c>
      <x:c r="AF1211" s="30" t="str">
        <x:v>Explicit capitalClaim</x:v>
      </x:c>
      <x:c r="AG1211" s="30" t="str">
        <x:v>Claim2026_MLI2026_Senegambia</x:v>
      </x:c>
      <x:c r="AH1211" s="30" t="str">
        <x:v>Project_RegionalAfricanUnions</x:v>
      </x:c>
    </x:row>
    <x:row r="1212">
      <x:c r="A1212" s="30" t="str">
        <x:v>2026</x:v>
      </x:c>
      <x:c r="B1212" s="30" t="str">
        <x:v>Base game</x:v>
      </x:c>
      <x:c r="C1212" s="30" t="str">
        <x:v>Mali</x:v>
      </x:c>
      <x:c r="D1212" s="30" t="str">
        <x:v>Togo</x:v>
      </x:c>
      <x:c r="E1212" s="30" t="str">
        <x:v>Project unlock</x:v>
      </x:c>
      <x:c r="F1212" s="30" t="str">
        <x:v>Regional African Unions</x:v>
      </x:c>
      <x:c r="G1212" s="30" t="str">
        <x:v>No</x:v>
      </x:c>
      <x:c r="H1212" s="30" t="str">
        <x:v>Ordinary claim</x:v>
      </x:c>
      <x:c r="I1212" s="31" t="n">
        <x:f>IF(G1212="Yes",'Controls &amp; Summary'!$B$5,'Controls &amp; Summary'!$B$4)</x:f>
        <x:v>6</x:v>
      </x:c>
      <x:c r="J1212" s="31" t="n">
        <x:v>2.4</x:v>
      </x:c>
      <x:c r="K1212" s="31" t="n">
        <x:v>2.88</x:v>
      </x:c>
      <x:c r="L1212" s="31" t="n">
        <x:f>ABS(J1212-K1212)</x:f>
        <x:v>0.48</x:v>
      </x:c>
      <x:c r="M1212" s="31" t="n">
        <x:v>3.57</x:v>
      </x:c>
      <x:c r="N1212" s="31" t="n">
        <x:v>3.79</x:v>
      </x:c>
      <x:c r="O1212" s="31" t="n">
        <x:f>ABS(M1212-N1212)</x:f>
        <x:v>0.2200000000000002</x:v>
      </x:c>
      <x:c r="P1212" s="31" t="n">
        <x:v>2.49</x:v>
      </x:c>
      <x:c r="Q1212" s="31" t="n">
        <x:v>5.51</x:v>
      </x:c>
      <x:c r="R1212" s="31" t="n">
        <x:f>ABS(P1212-Q1212)</x:f>
        <x:v>3.0199999999999996</x:v>
      </x:c>
      <x:c r="S1212" s="32" t="n">
        <x:v>2468.331066209965</x:v>
      </x:c>
      <x:c r="T1212" s="32" t="n">
        <x:v>2928.365441341878</x:v>
      </x:c>
      <x:c r="U1212" s="31" t="n">
        <x:f>MAX(S1212/T1212,T1212/S1212)</x:f>
        <x:v>1.1863746648209066</x:v>
      </x:c>
      <x:c r="V1212" s="31" t="n">
        <x:f>L1212*'Controls &amp; Summary'!$B$9+O1212*'Controls &amp; Summary'!$B$10+R1212*'Controls &amp; Summary'!$B$11+U1212*'Controls &amp; Summary'!$B$12</x:f>
        <x:v>4.906374664820906</x:v>
      </x:c>
      <x:c r="W1212" s="31" t="n">
        <x:v>2.27</x:v>
      </x:c>
      <x:c r="X1212" s="31" t="n">
        <x:v>1</x:v>
      </x:c>
      <x:c r="Y1212" s="31" t="n">
        <x:f>((10-MIN(10,MAX(0,X1212)))/10)*'Controls &amp; Summary'!$B$15+((10-MIN(10,MAX(0,W1212)))/10)*'Controls &amp; Summary'!$B$16</x:f>
        <x:v>1.673</x:v>
      </x:c>
      <x:c r="Z1212" s="31" t="n">
        <x:f>V1212*Y1212</x:f>
        <x:v>8.208364814245376</x:v>
      </x:c>
      <x:c r="AA1212" s="30" t="str">
        <x:f>IF(Z1212&lt;=I1212,"Peaceful","Hostile")</x:f>
        <x:v>Hostile</x:v>
      </x:c>
      <x:c r="AB1212" s="30" t="str">
        <x:f>IF(Z1212&lt;='Controls &amp; Summary'!$B$6,"Eligible","Blocked")</x:f>
        <x:v>Eligible</x:v>
      </x:c>
      <x:c r="AC1212" s="30" t="str">
        <x:v>2026_MLI</x:v>
      </x:c>
      <x:c r="AD1212" s="30" t="str">
        <x:v>2026_TGO</x:v>
      </x:c>
      <x:c r="AE1212" s="30" t="str">
        <x:v>2026_Togo</x:v>
      </x:c>
      <x:c r="AF1212" s="30" t="str">
        <x:v>Explicit capitalClaim</x:v>
      </x:c>
      <x:c r="AG1212" s="30" t="str">
        <x:v>Claim2026_MLI2026_Togo</x:v>
      </x:c>
      <x:c r="AH1212" s="30" t="str">
        <x:v>Project_RegionalAfricanUnions</x:v>
      </x:c>
    </x:row>
    <x:row r="1213">
      <x:c r="A1213" s="30" t="str">
        <x:v>2026</x:v>
      </x:c>
      <x:c r="B1213" s="30" t="str">
        <x:v>Base game</x:v>
      </x:c>
      <x:c r="C1213" s="30" t="str">
        <x:v>Morocco</x:v>
      </x:c>
      <x:c r="D1213" s="30" t="str">
        <x:v>Algeria</x:v>
      </x:c>
      <x:c r="E1213" s="30" t="str">
        <x:v>Project unlock</x:v>
      </x:c>
      <x:c r="F1213" s="30" t="str">
        <x:v>African Independence Movements</x:v>
      </x:c>
      <x:c r="G1213" s="30" t="str">
        <x:v>No</x:v>
      </x:c>
      <x:c r="H1213" s="30" t="str">
        <x:v>Ordinary claim</x:v>
      </x:c>
      <x:c r="I1213" s="31" t="n">
        <x:f>IF(G1213="Yes",'Controls &amp; Summary'!$B$5,'Controls &amp; Summary'!$B$4)</x:f>
        <x:v>6</x:v>
      </x:c>
      <x:c r="J1213" s="31" t="n">
        <x:v>4.97</x:v>
      </x:c>
      <x:c r="K1213" s="31" t="n">
        <x:v>3.55</x:v>
      </x:c>
      <x:c r="L1213" s="31" t="n">
        <x:f>ABS(J1213-K1213)</x:f>
        <x:v>1.42</x:v>
      </x:c>
      <x:c r="M1213" s="31" t="n">
        <x:v>3.95</x:v>
      </x:c>
      <x:c r="N1213" s="31" t="n">
        <x:v>2.76</x:v>
      </x:c>
      <x:c r="O1213" s="31" t="n">
        <x:f>ABS(M1213-N1213)</x:f>
        <x:v>1.1900000000000004</x:v>
      </x:c>
      <x:c r="P1213" s="31" t="n">
        <x:v>6.14</x:v>
      </x:c>
      <x:c r="Q1213" s="31" t="n">
        <x:v>6.64</x:v>
      </x:c>
      <x:c r="R1213" s="31" t="n">
        <x:f>ABS(P1213-Q1213)</x:f>
        <x:v>0.5</x:v>
      </x:c>
      <x:c r="S1213" s="32" t="n">
        <x:v>9645.586561486156</x:v>
      </x:c>
      <x:c r="T1213" s="32" t="n">
        <x:v>16038.32271175594</x:v>
      </x:c>
      <x:c r="U1213" s="31" t="n">
        <x:f>MAX(S1213/T1213,T1213/S1213)</x:f>
        <x:v>1.6627628200233389</x:v>
      </x:c>
      <x:c r="V1213" s="31" t="n">
        <x:f>L1213*'Controls &amp; Summary'!$B$9+O1213*'Controls &amp; Summary'!$B$10+R1213*'Controls &amp; Summary'!$B$11+U1213*'Controls &amp; Summary'!$B$12</x:f>
        <x:v>4.772762820023339</x:v>
      </x:c>
      <x:c r="W1213" s="31" t="n">
        <x:v>2.43</x:v>
      </x:c>
      <x:c r="X1213" s="31" t="n">
        <x:v>1</x:v>
      </x:c>
      <x:c r="Y1213" s="31" t="n">
        <x:f>((10-MIN(10,MAX(0,X1213)))/10)*'Controls &amp; Summary'!$B$15+((10-MIN(10,MAX(0,W1213)))/10)*'Controls &amp; Summary'!$B$16</x:f>
        <x:v>1.657</x:v>
      </x:c>
      <x:c r="Z1213" s="31" t="n">
        <x:f>V1213*Y1213</x:f>
        <x:v>7.908467992778673</x:v>
      </x:c>
      <x:c r="AA1213" s="30" t="str">
        <x:f>IF(Z1213&lt;=I1213,"Peaceful","Hostile")</x:f>
        <x:v>Hostile</x:v>
      </x:c>
      <x:c r="AB1213" s="30" t="str">
        <x:f>IF(Z1213&lt;='Controls &amp; Summary'!$B$6,"Eligible","Blocked")</x:f>
        <x:v>Eligible</x:v>
      </x:c>
      <x:c r="AC1213" s="30" t="str">
        <x:v>2026_MAR</x:v>
      </x:c>
      <x:c r="AD1213" s="30" t="str">
        <x:v>2026_DZA</x:v>
      </x:c>
      <x:c r="AE1213" s="30" t="str">
        <x:v>2026_Algeria</x:v>
      </x:c>
      <x:c r="AF1213" s="30" t="str">
        <x:v>Explicit capitalClaim</x:v>
      </x:c>
      <x:c r="AG1213" s="30" t="str">
        <x:v>Claim2026_MAR2026_Algeria</x:v>
      </x:c>
      <x:c r="AH1213" s="30" t="str">
        <x:v>Project_AfricanIndependenceMovements</x:v>
      </x:c>
    </x:row>
    <x:row r="1214">
      <x:c r="A1214" s="30" t="str">
        <x:v>2026</x:v>
      </x:c>
      <x:c r="B1214" s="30" t="str">
        <x:v>Base game</x:v>
      </x:c>
      <x:c r="C1214" s="30" t="str">
        <x:v>Morocco</x:v>
      </x:c>
      <x:c r="D1214" s="30" t="str">
        <x:v>Libya</x:v>
      </x:c>
      <x:c r="E1214" s="30" t="str">
        <x:v>Project unlock</x:v>
      </x:c>
      <x:c r="F1214" s="30" t="str">
        <x:v>African Independence Movements</x:v>
      </x:c>
      <x:c r="G1214" s="30" t="str">
        <x:v>No</x:v>
      </x:c>
      <x:c r="H1214" s="30" t="str">
        <x:v>Ordinary claim</x:v>
      </x:c>
      <x:c r="I1214" s="31" t="n">
        <x:f>IF(G1214="Yes",'Controls &amp; Summary'!$B$5,'Controls &amp; Summary'!$B$4)</x:f>
        <x:v>6</x:v>
      </x:c>
      <x:c r="J1214" s="31" t="n">
        <x:v>4.97</x:v>
      </x:c>
      <x:c r="K1214" s="31" t="n">
        <x:v>2.31</x:v>
      </x:c>
      <x:c r="L1214" s="31" t="n">
        <x:f>ABS(J1214-K1214)</x:f>
        <x:v>2.6599999999999997</x:v>
      </x:c>
      <x:c r="M1214" s="31" t="n">
        <x:v>3.95</x:v>
      </x:c>
      <x:c r="N1214" s="31" t="n">
        <x:v>5.59</x:v>
      </x:c>
      <x:c r="O1214" s="31" t="n">
        <x:f>ABS(M1214-N1214)</x:f>
        <x:v>1.6399999999999997</x:v>
      </x:c>
      <x:c r="P1214" s="31" t="n">
        <x:v>6.14</x:v>
      </x:c>
      <x:c r="Q1214" s="31" t="n">
        <x:v>6.07</x:v>
      </x:c>
      <x:c r="R1214" s="31" t="n">
        <x:f>ABS(P1214-Q1214)</x:f>
        <x:v>0.0699999999999994</x:v>
      </x:c>
      <x:c r="S1214" s="32" t="n">
        <x:v>9645.586561486156</x:v>
      </x:c>
      <x:c r="T1214" s="32" t="n">
        <x:v>14470.917263484384</x:v>
      </x:c>
      <x:c r="U1214" s="31" t="n">
        <x:f>MAX(S1214/T1214,T1214/S1214)</x:f>
        <x:v>1.5002630655211038</x:v>
      </x:c>
      <x:c r="V1214" s="31" t="n">
        <x:f>L1214*'Controls &amp; Summary'!$B$9+O1214*'Controls &amp; Summary'!$B$10+R1214*'Controls &amp; Summary'!$B$11+U1214*'Controls &amp; Summary'!$B$12</x:f>
        <x:v>5.870263065521102</x:v>
      </x:c>
      <x:c r="W1214" s="31" t="n">
        <x:v>2.43</x:v>
      </x:c>
      <x:c r="X1214" s="31" t="n">
        <x:v>4</x:v>
      </x:c>
      <x:c r="Y1214" s="31" t="n">
        <x:f>((10-MIN(10,MAX(0,X1214)))/10)*'Controls &amp; Summary'!$B$15+((10-MIN(10,MAX(0,W1214)))/10)*'Controls &amp; Summary'!$B$16</x:f>
        <x:v>1.357</x:v>
      </x:c>
      <x:c r="Z1214" s="31" t="n">
        <x:f>V1214*Y1214</x:f>
        <x:v>7.965946979912135</x:v>
      </x:c>
      <x:c r="AA1214" s="30" t="str">
        <x:f>IF(Z1214&lt;=I1214,"Peaceful","Hostile")</x:f>
        <x:v>Hostile</x:v>
      </x:c>
      <x:c r="AB1214" s="30" t="str">
        <x:f>IF(Z1214&lt;='Controls &amp; Summary'!$B$6,"Eligible","Blocked")</x:f>
        <x:v>Eligible</x:v>
      </x:c>
      <x:c r="AC1214" s="30" t="str">
        <x:v>2026_MAR</x:v>
      </x:c>
      <x:c r="AD1214" s="30" t="str">
        <x:v>2026_LBY</x:v>
      </x:c>
      <x:c r="AE1214" s="30" t="str">
        <x:v>2026_Libya</x:v>
      </x:c>
      <x:c r="AF1214" s="30" t="str">
        <x:v>Explicit capitalClaim</x:v>
      </x:c>
      <x:c r="AG1214" s="30" t="str">
        <x:v>Claim2026_MAR2026_Libya</x:v>
      </x:c>
      <x:c r="AH1214" s="30" t="str">
        <x:v>Project_AfricanIndependenceMovements</x:v>
      </x:c>
    </x:row>
    <x:row r="1215">
      <x:c r="A1215" s="30" t="str">
        <x:v>2026</x:v>
      </x:c>
      <x:c r="B1215" s="30" t="str">
        <x:v>Base game</x:v>
      </x:c>
      <x:c r="C1215" s="30" t="str">
        <x:v>Morocco</x:v>
      </x:c>
      <x:c r="D1215" s="30" t="str">
        <x:v>Niger</x:v>
      </x:c>
      <x:c r="E1215" s="30" t="str">
        <x:v>Project unlock</x:v>
      </x:c>
      <x:c r="F1215" s="30" t="str">
        <x:v>African Independence Movements</x:v>
      </x:c>
      <x:c r="G1215" s="30" t="str">
        <x:v>No</x:v>
      </x:c>
      <x:c r="H1215" s="30" t="str">
        <x:v>Ordinary claim</x:v>
      </x:c>
      <x:c r="I1215" s="31" t="n">
        <x:f>IF(G1215="Yes",'Controls &amp; Summary'!$B$5,'Controls &amp; Summary'!$B$4)</x:f>
        <x:v>6</x:v>
      </x:c>
      <x:c r="J1215" s="31" t="n">
        <x:v>4.97</x:v>
      </x:c>
      <x:c r="K1215" s="31" t="n">
        <x:v>1.95</x:v>
      </x:c>
      <x:c r="L1215" s="31" t="n">
        <x:f>ABS(J1215-K1215)</x:f>
        <x:v>3.0199999999999996</x:v>
      </x:c>
      <x:c r="M1215" s="31" t="n">
        <x:v>3.95</x:v>
      </x:c>
      <x:c r="N1215" s="31" t="n">
        <x:v>3.29</x:v>
      </x:c>
      <x:c r="O1215" s="31" t="n">
        <x:f>ABS(M1215-N1215)</x:f>
        <x:v>0.6600000000000001</x:v>
      </x:c>
      <x:c r="P1215" s="31" t="n">
        <x:v>6.14</x:v>
      </x:c>
      <x:c r="Q1215" s="31" t="n">
        <x:v>2.77</x:v>
      </x:c>
      <x:c r="R1215" s="31" t="n">
        <x:f>ABS(P1215-Q1215)</x:f>
        <x:v>3.3699999999999997</x:v>
      </x:c>
      <x:c r="S1215" s="32" t="n">
        <x:v>9645.586561486156</x:v>
      </x:c>
      <x:c r="T1215" s="32" t="n">
        <x:v>1863.9953984882393</x:v>
      </x:c>
      <x:c r="U1215" s="31" t="n">
        <x:f>MAX(S1215/T1215,T1215/S1215)</x:f>
        <x:v>5.174683676423793</x:v>
      </x:c>
      <x:c r="V1215" s="31" t="n">
        <x:f>L1215*'Controls &amp; Summary'!$B$9+O1215*'Controls &amp; Summary'!$B$10+R1215*'Controls &amp; Summary'!$B$11+U1215*'Controls &amp; Summary'!$B$12</x:f>
        <x:v>12.224683676423792</x:v>
      </x:c>
      <x:c r="W1215" s="31" t="n">
        <x:v>2.43</x:v>
      </x:c>
      <x:c r="X1215" s="31" t="n">
        <x:v>4.5</x:v>
      </x:c>
      <x:c r="Y1215" s="31" t="n">
        <x:f>((10-MIN(10,MAX(0,X1215)))/10)*'Controls &amp; Summary'!$B$15+((10-MIN(10,MAX(0,W1215)))/10)*'Controls &amp; Summary'!$B$16</x:f>
        <x:v>1.307</x:v>
      </x:c>
      <x:c r="Z1215" s="31" t="n">
        <x:f>V1215*Y1215</x:f>
        <x:v>15.977661565085896</x:v>
      </x:c>
      <x:c r="AA1215" s="30" t="str">
        <x:f>IF(Z1215&lt;=I1215,"Peaceful","Hostile")</x:f>
        <x:v>Hostile</x:v>
      </x:c>
      <x:c r="AB1215" s="30" t="str">
        <x:f>IF(Z1215&lt;='Controls &amp; Summary'!$B$6,"Eligible","Blocked")</x:f>
        <x:v>Blocked</x:v>
      </x:c>
      <x:c r="AC1215" s="30" t="str">
        <x:v>2026_MAR</x:v>
      </x:c>
      <x:c r="AD1215" s="30" t="str">
        <x:v>2026_NER</x:v>
      </x:c>
      <x:c r="AE1215" s="30" t="str">
        <x:v>2026_Niger</x:v>
      </x:c>
      <x:c r="AF1215" s="30" t="str">
        <x:v>Explicit capitalClaim</x:v>
      </x:c>
      <x:c r="AG1215" s="30" t="str">
        <x:v>Claim2026_MAR2026_Niger</x:v>
      </x:c>
      <x:c r="AH1215" s="30" t="str">
        <x:v>Project_AfricanIndependenceMovements</x:v>
      </x:c>
    </x:row>
    <x:row r="1216">
      <x:c r="A1216" s="30" t="str">
        <x:v>2026</x:v>
      </x:c>
      <x:c r="B1216" s="30" t="str">
        <x:v>Base game</x:v>
      </x:c>
      <x:c r="C1216" s="30" t="str">
        <x:v>Nigeria</x:v>
      </x:c>
      <x:c r="D1216" s="30" t="str">
        <x:v>Benin</x:v>
      </x:c>
      <x:c r="E1216" s="30" t="str">
        <x:v>Project unlock</x:v>
      </x:c>
      <x:c r="F1216" s="30" t="str">
        <x:v>African Confederations</x:v>
      </x:c>
      <x:c r="G1216" s="30" t="str">
        <x:v>No</x:v>
      </x:c>
      <x:c r="H1216" s="30" t="str">
        <x:v>Ordinary claim</x:v>
      </x:c>
      <x:c r="I1216" s="31" t="n">
        <x:f>IF(G1216="Yes",'Controls &amp; Summary'!$B$5,'Controls &amp; Summary'!$B$4)</x:f>
        <x:v>6</x:v>
      </x:c>
      <x:c r="J1216" s="31" t="n">
        <x:v>4.1</x:v>
      </x:c>
      <x:c r="K1216" s="31" t="n">
        <x:v>4.26</x:v>
      </x:c>
      <x:c r="L1216" s="31" t="n">
        <x:f>ABS(J1216-K1216)</x:f>
        <x:v>0.16000000000000014</x:v>
      </x:c>
      <x:c r="M1216" s="31" t="n">
        <x:v>3.51</x:v>
      </x:c>
      <x:c r="N1216" s="31" t="n">
        <x:v>3.44</x:v>
      </x:c>
      <x:c r="O1216" s="31" t="n">
        <x:f>ABS(M1216-N1216)</x:f>
        <x:v>0.06999999999999984</x:v>
      </x:c>
      <x:c r="P1216" s="31" t="n">
        <x:v>5.36</x:v>
      </x:c>
      <x:c r="Q1216" s="31" t="n">
        <x:v>3.92</x:v>
      </x:c>
      <x:c r="R1216" s="31" t="n">
        <x:f>ABS(P1216-Q1216)</x:f>
        <x:v>1.4400000000000004</x:v>
      </x:c>
      <x:c r="S1216" s="32" t="n">
        <x:v>5753.217424022107</x:v>
      </x:c>
      <x:c r="T1216" s="32" t="n">
        <x:v>4032.051848271297</x:v>
      </x:c>
      <x:c r="U1216" s="31" t="n">
        <x:f>MAX(S1216/T1216,T1216/S1216)</x:f>
        <x:v>1.426870893658955</x:v>
      </x:c>
      <x:c r="V1216" s="31" t="n">
        <x:f>L1216*'Controls &amp; Summary'!$B$9+O1216*'Controls &amp; Summary'!$B$10+R1216*'Controls &amp; Summary'!$B$11+U1216*'Controls &amp; Summary'!$B$12</x:f>
        <x:v>3.0968708936589553</x:v>
      </x:c>
      <x:c r="W1216" s="31" t="n">
        <x:v>0.23</x:v>
      </x:c>
      <x:c r="X1216" s="31" t="n">
        <x:v>3</x:v>
      </x:c>
      <x:c r="Y1216" s="31" t="n">
        <x:f>((10-MIN(10,MAX(0,X1216)))/10)*'Controls &amp; Summary'!$B$15+((10-MIN(10,MAX(0,W1216)))/10)*'Controls &amp; Summary'!$B$16</x:f>
        <x:v>1.677</x:v>
      </x:c>
      <x:c r="Z1216" s="31" t="n">
        <x:f>V1216*Y1216</x:f>
        <x:v>5.193452488666068</x:v>
      </x:c>
      <x:c r="AA1216" s="30" t="str">
        <x:f>IF(Z1216&lt;=I1216,"Peaceful","Hostile")</x:f>
        <x:v>Peaceful</x:v>
      </x:c>
      <x:c r="AB1216" s="30" t="str">
        <x:f>IF(Z1216&lt;='Controls &amp; Summary'!$B$6,"Eligible","Blocked")</x:f>
        <x:v>Eligible</x:v>
      </x:c>
      <x:c r="AC1216" s="30" t="str">
        <x:v>2026_NGA</x:v>
      </x:c>
      <x:c r="AD1216" s="30" t="str">
        <x:v>2026_BEN</x:v>
      </x:c>
      <x:c r="AE1216" s="30" t="str">
        <x:v>2026_TogoBenin</x:v>
      </x:c>
      <x:c r="AF1216" s="30" t="str">
        <x:v>Explicit capitalClaim</x:v>
      </x:c>
      <x:c r="AG1216" s="30" t="str">
        <x:v>Claim2026_NGA2026_TogoBenin</x:v>
      </x:c>
      <x:c r="AH1216" s="30" t="str">
        <x:v>Project_EastAfricanFederation</x:v>
      </x:c>
    </x:row>
    <x:row r="1217">
      <x:c r="A1217" s="30" t="str">
        <x:v>2026</x:v>
      </x:c>
      <x:c r="B1217" s="30" t="str">
        <x:v>Base game</x:v>
      </x:c>
      <x:c r="C1217" s="30" t="str">
        <x:v>Nigeria</x:v>
      </x:c>
      <x:c r="D1217" s="30" t="str">
        <x:v>Burkina Faso</x:v>
      </x:c>
      <x:c r="E1217" s="30" t="str">
        <x:v>Project unlock</x:v>
      </x:c>
      <x:c r="F1217" s="30" t="str">
        <x:v>Regional African Unions</x:v>
      </x:c>
      <x:c r="G1217" s="30" t="str">
        <x:v>No</x:v>
      </x:c>
      <x:c r="H1217" s="30" t="str">
        <x:v>Ordinary claim</x:v>
      </x:c>
      <x:c r="I1217" s="31" t="n">
        <x:f>IF(G1217="Yes",'Controls &amp; Summary'!$B$5,'Controls &amp; Summary'!$B$4)</x:f>
        <x:v>6</x:v>
      </x:c>
      <x:c r="J1217" s="31" t="n">
        <x:v>4.1</x:v>
      </x:c>
      <x:c r="K1217" s="31" t="n">
        <x:v>2.55</x:v>
      </x:c>
      <x:c r="L1217" s="31" t="n">
        <x:f>ABS(J1217-K1217)</x:f>
        <x:v>1.5499999999999998</x:v>
      </x:c>
      <x:c r="M1217" s="31" t="n">
        <x:v>3.51</x:v>
      </x:c>
      <x:c r="N1217" s="31" t="n">
        <x:v>3.74</x:v>
      </x:c>
      <x:c r="O1217" s="31" t="n">
        <x:f>ABS(M1217-N1217)</x:f>
        <x:v>0.23000000000000043</x:v>
      </x:c>
      <x:c r="P1217" s="31" t="n">
        <x:v>5.36</x:v>
      </x:c>
      <x:c r="Q1217" s="31" t="n">
        <x:v>3.17</x:v>
      </x:c>
      <x:c r="R1217" s="31" t="n">
        <x:f>ABS(P1217-Q1217)</x:f>
        <x:v>2.1900000000000004</x:v>
      </x:c>
      <x:c r="S1217" s="32" t="n">
        <x:v>5753.217424022107</x:v>
      </x:c>
      <x:c r="T1217" s="32" t="n">
        <x:v>2604.7630854778326</x:v>
      </x:c>
      <x:c r="U1217" s="31" t="n">
        <x:f>MAX(S1217/T1217,T1217/S1217)</x:f>
        <x:v>2.2087296369092635</x:v>
      </x:c>
      <x:c r="V1217" s="31" t="n">
        <x:f>L1217*'Controls &amp; Summary'!$B$9+O1217*'Controls &amp; Summary'!$B$10+R1217*'Controls &amp; Summary'!$B$11+U1217*'Controls &amp; Summary'!$B$12</x:f>
        <x:v>6.178729636909264</x:v>
      </x:c>
      <x:c r="W1217" s="31" t="n">
        <x:v>0.23</x:v>
      </x:c>
      <x:c r="X1217" s="31" t="n">
        <x:v>5.5</x:v>
      </x:c>
      <x:c r="Y1217" s="31" t="n">
        <x:f>((10-MIN(10,MAX(0,X1217)))/10)*'Controls &amp; Summary'!$B$15+((10-MIN(10,MAX(0,W1217)))/10)*'Controls &amp; Summary'!$B$16</x:f>
        <x:v>1.427</x:v>
      </x:c>
      <x:c r="Z1217" s="31" t="n">
        <x:f>V1217*Y1217</x:f>
        <x:v>8.81704719186952</x:v>
      </x:c>
      <x:c r="AA1217" s="30" t="str">
        <x:f>IF(Z1217&lt;=I1217,"Peaceful","Hostile")</x:f>
        <x:v>Hostile</x:v>
      </x:c>
      <x:c r="AB1217" s="30" t="str">
        <x:f>IF(Z1217&lt;='Controls &amp; Summary'!$B$6,"Eligible","Blocked")</x:f>
        <x:v>Eligible</x:v>
      </x:c>
      <x:c r="AC1217" s="30" t="str">
        <x:v>2026_NGA</x:v>
      </x:c>
      <x:c r="AD1217" s="30" t="str">
        <x:v>2026_BKF</x:v>
      </x:c>
      <x:c r="AE1217" s="30" t="str">
        <x:v>2026_BurkinaFaso</x:v>
      </x:c>
      <x:c r="AF1217" s="30" t="str">
        <x:v>Explicit capitalClaim</x:v>
      </x:c>
      <x:c r="AG1217" s="30" t="str">
        <x:v>Claim2026_NGA2026_BurkinaFaso</x:v>
      </x:c>
      <x:c r="AH1217" s="30" t="str">
        <x:v>Project_RegionalAfricanUnions</x:v>
      </x:c>
    </x:row>
    <x:row r="1218">
      <x:c r="A1218" s="30" t="str">
        <x:v>2026</x:v>
      </x:c>
      <x:c r="B1218" s="30" t="str">
        <x:v>Base game</x:v>
      </x:c>
      <x:c r="C1218" s="30" t="str">
        <x:v>Nigeria</x:v>
      </x:c>
      <x:c r="D1218" s="30" t="str">
        <x:v>Cabo Verde</x:v>
      </x:c>
      <x:c r="E1218" s="30" t="str">
        <x:v>Project unlock</x:v>
      </x:c>
      <x:c r="F1218" s="30" t="str">
        <x:v>African Confederations</x:v>
      </x:c>
      <x:c r="G1218" s="30" t="str">
        <x:v>No</x:v>
      </x:c>
      <x:c r="H1218" s="30" t="str">
        <x:v>Ordinary claim</x:v>
      </x:c>
      <x:c r="I1218" s="31" t="n">
        <x:f>IF(G1218="Yes",'Controls &amp; Summary'!$B$5,'Controls &amp; Summary'!$B$4)</x:f>
        <x:v>6</x:v>
      </x:c>
      <x:c r="J1218" s="31" t="n">
        <x:v>4.1</x:v>
      </x:c>
      <x:c r="K1218" s="31" t="n">
        <x:v>7.58</x:v>
      </x:c>
      <x:c r="L1218" s="31" t="n">
        <x:f>ABS(J1218-K1218)</x:f>
        <x:v>3.4800000000000004</x:v>
      </x:c>
      <x:c r="M1218" s="31" t="n">
        <x:v>3.51</x:v>
      </x:c>
      <x:c r="N1218" s="31" t="n">
        <x:v>4.24</x:v>
      </x:c>
      <x:c r="O1218" s="31" t="n">
        <x:f>ABS(M1218-N1218)</x:f>
        <x:v>0.7300000000000004</x:v>
      </x:c>
      <x:c r="P1218" s="31" t="n">
        <x:v>5.36</x:v>
      </x:c>
      <x:c r="Q1218" s="31" t="n">
        <x:v>5.12</x:v>
      </x:c>
      <x:c r="R1218" s="31" t="n">
        <x:f>ABS(P1218-Q1218)</x:f>
        <x:v>0.2400000000000002</x:v>
      </x:c>
      <x:c r="S1218" s="32" t="n">
        <x:v>5753.217424022107</x:v>
      </x:c>
      <x:c r="T1218" s="32" t="n">
        <x:v>10466.023450333252</x:v>
      </x:c>
      <x:c r="U1218" s="31" t="n">
        <x:f>MAX(S1218/T1218,T1218/S1218)</x:f>
        <x:v>1.8191600766960754</x:v>
      </x:c>
      <x:c r="V1218" s="31" t="n">
        <x:f>L1218*'Controls &amp; Summary'!$B$9+O1218*'Controls &amp; Summary'!$B$10+R1218*'Controls &amp; Summary'!$B$11+U1218*'Controls &amp; Summary'!$B$12</x:f>
        <x:v>6.2691600766960764</x:v>
      </x:c>
      <x:c r="W1218" s="31" t="n">
        <x:v>0.23</x:v>
      </x:c>
      <x:c r="X1218" s="31" t="n">
        <x:v>0</x:v>
      </x:c>
      <x:c r="Y1218" s="31" t="n">
        <x:f>((10-MIN(10,MAX(0,X1218)))/10)*'Controls &amp; Summary'!$B$15+((10-MIN(10,MAX(0,W1218)))/10)*'Controls &amp; Summary'!$B$16</x:f>
        <x:v>1.9769999999999999</x:v>
      </x:c>
      <x:c r="Z1218" s="31" t="n">
        <x:f>V1218*Y1218</x:f>
        <x:v>12.394129471628142</x:v>
      </x:c>
      <x:c r="AA1218" s="30" t="str">
        <x:f>IF(Z1218&lt;=I1218,"Peaceful","Hostile")</x:f>
        <x:v>Hostile</x:v>
      </x:c>
      <x:c r="AB1218" s="30" t="str">
        <x:f>IF(Z1218&lt;='Controls &amp; Summary'!$B$6,"Eligible","Blocked")</x:f>
        <x:v>Blocked</x:v>
      </x:c>
      <x:c r="AC1218" s="30" t="str">
        <x:v>2026_NGA</x:v>
      </x:c>
      <x:c r="AD1218" s="30" t="str">
        <x:v>2026_CPV</x:v>
      </x:c>
      <x:c r="AE1218" s="30" t="str">
        <x:v>2026_CaboVerde</x:v>
      </x:c>
      <x:c r="AF1218" s="30" t="str">
        <x:v>Explicit capitalClaim</x:v>
      </x:c>
      <x:c r="AG1218" s="30" t="str">
        <x:v>Claim2026_NGA2026_CaboVerde</x:v>
      </x:c>
      <x:c r="AH1218" s="30" t="str">
        <x:v>Project_EastAfricanFederation</x:v>
      </x:c>
    </x:row>
    <x:row r="1219">
      <x:c r="A1219" s="30" t="str">
        <x:v>2026</x:v>
      </x:c>
      <x:c r="B1219" s="30" t="str">
        <x:v>Base game</x:v>
      </x:c>
      <x:c r="C1219" s="30" t="str">
        <x:v>Nigeria</x:v>
      </x:c>
      <x:c r="D1219" s="30" t="str">
        <x:v>Cameroon</x:v>
      </x:c>
      <x:c r="E1219" s="30" t="str">
        <x:v>Project unlock</x:v>
      </x:c>
      <x:c r="F1219" s="30" t="str">
        <x:v>Nigerian Confederation</x:v>
      </x:c>
      <x:c r="G1219" s="30" t="str">
        <x:v>No</x:v>
      </x:c>
      <x:c r="H1219" s="30" t="str">
        <x:v>Ordinary claim</x:v>
      </x:c>
      <x:c r="I1219" s="31" t="n">
        <x:f>IF(G1219="Yes",'Controls &amp; Summary'!$B$5,'Controls &amp; Summary'!$B$4)</x:f>
        <x:v>6</x:v>
      </x:c>
      <x:c r="J1219" s="31" t="n">
        <x:v>4.1</x:v>
      </x:c>
      <x:c r="K1219" s="31" t="n">
        <x:v>2.56</x:v>
      </x:c>
      <x:c r="L1219" s="31" t="n">
        <x:f>ABS(J1219-K1219)</x:f>
        <x:v>1.5399999999999996</x:v>
      </x:c>
      <x:c r="M1219" s="31" t="n">
        <x:v>3.51</x:v>
      </x:c>
      <x:c r="N1219" s="31" t="n">
        <x:v>4.22</x:v>
      </x:c>
      <x:c r="O1219" s="31" t="n">
        <x:f>ABS(M1219-N1219)</x:f>
        <x:v>0.71</x:v>
      </x:c>
      <x:c r="P1219" s="31" t="n">
        <x:v>5.36</x:v>
      </x:c>
      <x:c r="Q1219" s="31" t="n">
        <x:v>5.12</x:v>
      </x:c>
      <x:c r="R1219" s="31" t="n">
        <x:f>ABS(P1219-Q1219)</x:f>
        <x:v>0.2400000000000002</x:v>
      </x:c>
      <x:c r="S1219" s="32" t="n">
        <x:v>5753.217424022107</x:v>
      </x:c>
      <x:c r="T1219" s="32" t="n">
        <x:v>4967.7892074483525</x:v>
      </x:c>
      <x:c r="U1219" s="31" t="n">
        <x:f>MAX(S1219/T1219,T1219/S1219)</x:f>
        <x:v>1.1581041754743011</x:v>
      </x:c>
      <x:c r="V1219" s="31" t="n">
        <x:f>L1219*'Controls &amp; Summary'!$B$9+O1219*'Controls &amp; Summary'!$B$10+R1219*'Controls &amp; Summary'!$B$11+U1219*'Controls &amp; Summary'!$B$12</x:f>
        <x:v>3.648104175474301</x:v>
      </x:c>
      <x:c r="W1219" s="31" t="n">
        <x:v>0.23</x:v>
      </x:c>
      <x:c r="X1219" s="31" t="n">
        <x:v>6</x:v>
      </x:c>
      <x:c r="Y1219" s="31" t="n">
        <x:f>((10-MIN(10,MAX(0,X1219)))/10)*'Controls &amp; Summary'!$B$15+((10-MIN(10,MAX(0,W1219)))/10)*'Controls &amp; Summary'!$B$16</x:f>
        <x:v>1.377</x:v>
      </x:c>
      <x:c r="Z1219" s="31" t="n">
        <x:f>V1219*Y1219</x:f>
        <x:v>5.023439449628112</x:v>
      </x:c>
      <x:c r="AA1219" s="30" t="str">
        <x:f>IF(Z1219&lt;=I1219,"Peaceful","Hostile")</x:f>
        <x:v>Peaceful</x:v>
      </x:c>
      <x:c r="AB1219" s="30" t="str">
        <x:f>IF(Z1219&lt;='Controls &amp; Summary'!$B$6,"Eligible","Blocked")</x:f>
        <x:v>Eligible</x:v>
      </x:c>
      <x:c r="AC1219" s="30" t="str">
        <x:v>2026_NGA</x:v>
      </x:c>
      <x:c r="AD1219" s="30" t="str">
        <x:v>2026_CMR</x:v>
      </x:c>
      <x:c r="AE1219" s="30" t="str">
        <x:v>2026_Cameroon</x:v>
      </x:c>
      <x:c r="AF1219" s="30" t="str">
        <x:v>Explicit capitalClaim</x:v>
      </x:c>
      <x:c r="AG1219" s="30" t="str">
        <x:v>Claim2026_NGA2026_Cameroon</x:v>
      </x:c>
      <x:c r="AH1219" s="30" t="str">
        <x:v>Project_NigerianConfederation</x:v>
      </x:c>
    </x:row>
    <x:row r="1220">
      <x:c r="A1220" s="30" t="str">
        <x:v>2026</x:v>
      </x:c>
      <x:c r="B1220" s="30" t="str">
        <x:v>Base game</x:v>
      </x:c>
      <x:c r="C1220" s="30" t="str">
        <x:v>Nigeria</x:v>
      </x:c>
      <x:c r="D1220" s="30" t="str">
        <x:v>Central African Republic</x:v>
      </x:c>
      <x:c r="E1220" s="30" t="str">
        <x:v>Project unlock</x:v>
      </x:c>
      <x:c r="F1220" s="30" t="str">
        <x:v>Nigerian Confederation</x:v>
      </x:c>
      <x:c r="G1220" s="30" t="str">
        <x:v>No</x:v>
      </x:c>
      <x:c r="H1220" s="30" t="str">
        <x:v>Ordinary claim</x:v>
      </x:c>
      <x:c r="I1220" s="31" t="n">
        <x:f>IF(G1220="Yes",'Controls &amp; Summary'!$B$5,'Controls &amp; Summary'!$B$4)</x:f>
        <x:v>6</x:v>
      </x:c>
      <x:c r="J1220" s="31" t="n">
        <x:v>4.1</x:v>
      </x:c>
      <x:c r="K1220" s="31" t="n">
        <x:v>1.18</x:v>
      </x:c>
      <x:c r="L1220" s="31" t="n">
        <x:f>ABS(J1220-K1220)</x:f>
        <x:v>2.92</x:v>
      </x:c>
      <x:c r="M1220" s="31" t="n">
        <x:v>3.51</x:v>
      </x:c>
      <x:c r="N1220" s="31" t="n">
        <x:v>4.3</x:v>
      </x:c>
      <x:c r="O1220" s="31" t="n">
        <x:f>ABS(M1220-N1220)</x:f>
        <x:v>0.79</x:v>
      </x:c>
      <x:c r="P1220" s="31" t="n">
        <x:v>5.36</x:v>
      </x:c>
      <x:c r="Q1220" s="31" t="n">
        <x:v>3.37</x:v>
      </x:c>
      <x:c r="R1220" s="31" t="n">
        <x:f>ABS(P1220-Q1220)</x:f>
        <x:v>1.9900000000000002</x:v>
      </x:c>
      <x:c r="S1220" s="32" t="n">
        <x:v>5753.217424022107</x:v>
      </x:c>
      <x:c r="T1220" s="32" t="n">
        <x:v>1132.159697237262</x:v>
      </x:c>
      <x:c r="U1220" s="31" t="n">
        <x:f>MAX(S1220/T1220,T1220/S1220)</x:f>
        <x:v>5.081630655164038</x:v>
      </x:c>
      <x:c r="V1220" s="31" t="n">
        <x:f>L1220*'Controls &amp; Summary'!$B$9+O1220*'Controls &amp; Summary'!$B$10+R1220*'Controls &amp; Summary'!$B$11+U1220*'Controls &amp; Summary'!$B$12</x:f>
        <x:v>10.781630655164038</x:v>
      </x:c>
      <x:c r="W1220" s="31" t="n">
        <x:v>0.23</x:v>
      </x:c>
      <x:c r="X1220" s="31" t="n">
        <x:v>4</x:v>
      </x:c>
      <x:c r="Y1220" s="31" t="n">
        <x:f>((10-MIN(10,MAX(0,X1220)))/10)*'Controls &amp; Summary'!$B$15+((10-MIN(10,MAX(0,W1220)))/10)*'Controls &amp; Summary'!$B$16</x:f>
        <x:v>1.577</x:v>
      </x:c>
      <x:c r="Z1220" s="31" t="n">
        <x:f>V1220*Y1220</x:f>
        <x:v>17.002631543193687</x:v>
      </x:c>
      <x:c r="AA1220" s="30" t="str">
        <x:f>IF(Z1220&lt;=I1220,"Peaceful","Hostile")</x:f>
        <x:v>Hostile</x:v>
      </x:c>
      <x:c r="AB1220" s="30" t="str">
        <x:f>IF(Z1220&lt;='Controls &amp; Summary'!$B$6,"Eligible","Blocked")</x:f>
        <x:v>Blocked</x:v>
      </x:c>
      <x:c r="AC1220" s="30" t="str">
        <x:v>2026_NGA</x:v>
      </x:c>
      <x:c r="AD1220" s="30" t="str">
        <x:v>2026_CAF</x:v>
      </x:c>
      <x:c r="AE1220" s="30" t="str">
        <x:v>2026_CentralAfricanRepublic</x:v>
      </x:c>
      <x:c r="AF1220" s="30" t="str">
        <x:v>Explicit capitalClaim</x:v>
      </x:c>
      <x:c r="AG1220" s="30" t="str">
        <x:v>Claim2026_NGA2026_CentralAfricanRepublic</x:v>
      </x:c>
      <x:c r="AH1220" s="30" t="str">
        <x:v>Project_NigerianConfederation</x:v>
      </x:c>
    </x:row>
    <x:row r="1221">
      <x:c r="A1221" s="30" t="str">
        <x:v>2026</x:v>
      </x:c>
      <x:c r="B1221" s="30" t="str">
        <x:v>Base game</x:v>
      </x:c>
      <x:c r="C1221" s="30" t="str">
        <x:v>Nigeria</x:v>
      </x:c>
      <x:c r="D1221" s="30" t="str">
        <x:v>Chad</x:v>
      </x:c>
      <x:c r="E1221" s="30" t="str">
        <x:v>Project unlock</x:v>
      </x:c>
      <x:c r="F1221" s="30" t="str">
        <x:v>Nigerian Confederation</x:v>
      </x:c>
      <x:c r="G1221" s="30" t="str">
        <x:v>No</x:v>
      </x:c>
      <x:c r="H1221" s="30" t="str">
        <x:v>Ordinary claim</x:v>
      </x:c>
      <x:c r="I1221" s="31" t="n">
        <x:f>IF(G1221="Yes",'Controls &amp; Summary'!$B$5,'Controls &amp; Summary'!$B$4)</x:f>
        <x:v>6</x:v>
      </x:c>
      <x:c r="J1221" s="31" t="n">
        <x:v>4.1</x:v>
      </x:c>
      <x:c r="K1221" s="31" t="n">
        <x:v>1.76</x:v>
      </x:c>
      <x:c r="L1221" s="31" t="n">
        <x:f>ABS(J1221-K1221)</x:f>
        <x:v>2.34</x:v>
      </x:c>
      <x:c r="M1221" s="31" t="n">
        <x:v>3.51</x:v>
      </x:c>
      <x:c r="N1221" s="31" t="n">
        <x:v>3.74</x:v>
      </x:c>
      <x:c r="O1221" s="31" t="n">
        <x:f>ABS(M1221-N1221)</x:f>
        <x:v>0.23000000000000043</x:v>
      </x:c>
      <x:c r="P1221" s="31" t="n">
        <x:v>5.36</x:v>
      </x:c>
      <x:c r="Q1221" s="31" t="n">
        <x:v>3.06</x:v>
      </x:c>
      <x:c r="R1221" s="31" t="n">
        <x:f>ABS(P1221-Q1221)</x:f>
        <x:v>2.3000000000000003</x:v>
      </x:c>
      <x:c r="S1221" s="32" t="n">
        <x:v>5753.217424022107</x:v>
      </x:c>
      <x:c r="T1221" s="32" t="n">
        <x:v>2312.326591646344</x:v>
      </x:c>
      <x:c r="U1221" s="31" t="n">
        <x:f>MAX(S1221/T1221,T1221/S1221)</x:f>
        <x:v>2.48806437845179</x:v>
      </x:c>
      <x:c r="V1221" s="31" t="n">
        <x:f>L1221*'Controls &amp; Summary'!$B$9+O1221*'Controls &amp; Summary'!$B$10+R1221*'Controls &amp; Summary'!$B$11+U1221*'Controls &amp; Summary'!$B$12</x:f>
        <x:v>7.358064378451791</x:v>
      </x:c>
      <x:c r="W1221" s="31" t="n">
        <x:v>0.23</x:v>
      </x:c>
      <x:c r="X1221" s="31" t="n">
        <x:v>4</x:v>
      </x:c>
      <x:c r="Y1221" s="31" t="n">
        <x:f>((10-MIN(10,MAX(0,X1221)))/10)*'Controls &amp; Summary'!$B$15+((10-MIN(10,MAX(0,W1221)))/10)*'Controls &amp; Summary'!$B$16</x:f>
        <x:v>1.577</x:v>
      </x:c>
      <x:c r="Z1221" s="31" t="n">
        <x:f>V1221*Y1221</x:f>
        <x:v>11.603667524818475</x:v>
      </x:c>
      <x:c r="AA1221" s="30" t="str">
        <x:f>IF(Z1221&lt;=I1221,"Peaceful","Hostile")</x:f>
        <x:v>Hostile</x:v>
      </x:c>
      <x:c r="AB1221" s="30" t="str">
        <x:f>IF(Z1221&lt;='Controls &amp; Summary'!$B$6,"Eligible","Blocked")</x:f>
        <x:v>Eligible</x:v>
      </x:c>
      <x:c r="AC1221" s="30" t="str">
        <x:v>2026_NGA</x:v>
      </x:c>
      <x:c r="AD1221" s="30" t="str">
        <x:v>2026_TCD</x:v>
      </x:c>
      <x:c r="AE1221" s="30" t="str">
        <x:v>2026_Chad</x:v>
      </x:c>
      <x:c r="AF1221" s="30" t="str">
        <x:v>Explicit capitalClaim</x:v>
      </x:c>
      <x:c r="AG1221" s="30" t="str">
        <x:v>Claim2026_NGA2026_Chad</x:v>
      </x:c>
      <x:c r="AH1221" s="30" t="str">
        <x:v>Project_NigerianConfederation</x:v>
      </x:c>
    </x:row>
    <x:row r="1222">
      <x:c r="A1222" s="30" t="str">
        <x:v>2026</x:v>
      </x:c>
      <x:c r="B1222" s="30" t="str">
        <x:v>Base game</x:v>
      </x:c>
      <x:c r="C1222" s="30" t="str">
        <x:v>Nigeria</x:v>
      </x:c>
      <x:c r="D1222" s="30" t="str">
        <x:v>Gambia</x:v>
      </x:c>
      <x:c r="E1222" s="30" t="str">
        <x:v>Project unlock</x:v>
      </x:c>
      <x:c r="F1222" s="30" t="str">
        <x:v>African Confederations</x:v>
      </x:c>
      <x:c r="G1222" s="30" t="str">
        <x:v>No</x:v>
      </x:c>
      <x:c r="H1222" s="30" t="str">
        <x:v>Ordinary claim</x:v>
      </x:c>
      <x:c r="I1222" s="31" t="n">
        <x:f>IF(G1222="Yes",'Controls &amp; Summary'!$B$5,'Controls &amp; Summary'!$B$4)</x:f>
        <x:v>6</x:v>
      </x:c>
      <x:c r="J1222" s="31" t="n">
        <x:v>4.1</x:v>
      </x:c>
      <x:c r="K1222" s="31" t="n">
        <x:v>4.47</x:v>
      </x:c>
      <x:c r="L1222" s="31" t="n">
        <x:f>ABS(J1222-K1222)</x:f>
        <x:v>0.3700000000000001</x:v>
      </x:c>
      <x:c r="M1222" s="31" t="n">
        <x:v>3.51</x:v>
      </x:c>
      <x:c r="N1222" s="31" t="n">
        <x:v>3.88</x:v>
      </x:c>
      <x:c r="O1222" s="31" t="n">
        <x:f>ABS(M1222-N1222)</x:f>
        <x:v>0.3700000000000001</x:v>
      </x:c>
      <x:c r="P1222" s="31" t="n">
        <x:v>5.36</x:v>
      </x:c>
      <x:c r="Q1222" s="31" t="n">
        <x:v>4.02</x:v>
      </x:c>
      <x:c r="R1222" s="31" t="n">
        <x:f>ABS(P1222-Q1222)</x:f>
        <x:v>1.3400000000000007</x:v>
      </x:c>
      <x:c r="S1222" s="32" t="n">
        <x:v>5753.217424022107</x:v>
      </x:c>
      <x:c r="T1222" s="32" t="n">
        <x:v>3156.5005129887218</x:v>
      </x:c>
      <x:c r="U1222" s="31" t="n">
        <x:f>MAX(S1222/T1222,T1222/S1222)</x:f>
        <x:v>1.822656894984849</x:v>
      </x:c>
      <x:c r="V1222" s="31" t="n">
        <x:f>L1222*'Controls &amp; Summary'!$B$9+O1222*'Controls &amp; Summary'!$B$10+R1222*'Controls &amp; Summary'!$B$11+U1222*'Controls &amp; Summary'!$B$12</x:f>
        <x:v>3.90265689498485</x:v>
      </x:c>
      <x:c r="W1222" s="31" t="n">
        <x:v>0.23</x:v>
      </x:c>
      <x:c r="X1222" s="31" t="n">
        <x:v>0.5</x:v>
      </x:c>
      <x:c r="Y1222" s="31" t="n">
        <x:f>((10-MIN(10,MAX(0,X1222)))/10)*'Controls &amp; Summary'!$B$15+((10-MIN(10,MAX(0,W1222)))/10)*'Controls &amp; Summary'!$B$16</x:f>
        <x:v>1.927</x:v>
      </x:c>
      <x:c r="Z1222" s="31" t="n">
        <x:f>V1222*Y1222</x:f>
        <x:v>7.520419836635806</x:v>
      </x:c>
      <x:c r="AA1222" s="30" t="str">
        <x:f>IF(Z1222&lt;=I1222,"Peaceful","Hostile")</x:f>
        <x:v>Hostile</x:v>
      </x:c>
      <x:c r="AB1222" s="30" t="str">
        <x:f>IF(Z1222&lt;='Controls &amp; Summary'!$B$6,"Eligible","Blocked")</x:f>
        <x:v>Eligible</x:v>
      </x:c>
      <x:c r="AC1222" s="30" t="str">
        <x:v>2026_NGA</x:v>
      </x:c>
      <x:c r="AD1222" s="30" t="str">
        <x:v>2026_GAM</x:v>
      </x:c>
      <x:c r="AE1222" s="30" t="str">
        <x:v>2026_Gambia</x:v>
      </x:c>
      <x:c r="AF1222" s="30" t="str">
        <x:v>Explicit capitalClaim</x:v>
      </x:c>
      <x:c r="AG1222" s="30" t="str">
        <x:v>Claim2026_NGA2026_Gambia</x:v>
      </x:c>
      <x:c r="AH1222" s="30" t="str">
        <x:v>Project_EastAfricanFederation</x:v>
      </x:c>
    </x:row>
    <x:row r="1223">
      <x:c r="A1223" s="30" t="str">
        <x:v>2026</x:v>
      </x:c>
      <x:c r="B1223" s="30" t="str">
        <x:v>Base game</x:v>
      </x:c>
      <x:c r="C1223" s="30" t="str">
        <x:v>Nigeria</x:v>
      </x:c>
      <x:c r="D1223" s="30" t="str">
        <x:v>Ghana</x:v>
      </x:c>
      <x:c r="E1223" s="30" t="str">
        <x:v>Project unlock</x:v>
      </x:c>
      <x:c r="F1223" s="30" t="str">
        <x:v>African Confederations</x:v>
      </x:c>
      <x:c r="G1223" s="30" t="str">
        <x:v>No</x:v>
      </x:c>
      <x:c r="H1223" s="30" t="str">
        <x:v>Ordinary claim</x:v>
      </x:c>
      <x:c r="I1223" s="31" t="n">
        <x:f>IF(G1223="Yes",'Controls &amp; Summary'!$B$5,'Controls &amp; Summary'!$B$4)</x:f>
        <x:v>6</x:v>
      </x:c>
      <x:c r="J1223" s="31" t="n">
        <x:v>4.1</x:v>
      </x:c>
      <x:c r="K1223" s="31" t="n">
        <x:v>6.24</x:v>
      </x:c>
      <x:c r="L1223" s="31" t="n">
        <x:f>ABS(J1223-K1223)</x:f>
        <x:v>2.1400000000000006</x:v>
      </x:c>
      <x:c r="M1223" s="31" t="n">
        <x:v>3.51</x:v>
      </x:c>
      <x:c r="N1223" s="31" t="n">
        <x:v>4.35</x:v>
      </x:c>
      <x:c r="O1223" s="31" t="n">
        <x:f>ABS(M1223-N1223)</x:f>
        <x:v>0.8399999999999999</x:v>
      </x:c>
      <x:c r="P1223" s="31" t="n">
        <x:v>5.36</x:v>
      </x:c>
      <x:c r="Q1223" s="31" t="n">
        <x:v>5.44</x:v>
      </x:c>
      <x:c r="R1223" s="31" t="n">
        <x:f>ABS(P1223-Q1223)</x:f>
        <x:v>0.08000000000000007</x:v>
      </x:c>
      <x:c r="S1223" s="32" t="n">
        <x:v>5753.217424022107</x:v>
      </x:c>
      <x:c r="T1223" s="32" t="n">
        <x:v>7275.115213066261</x:v>
      </x:c>
      <x:c r="U1223" s="31" t="n">
        <x:f>MAX(S1223/T1223,T1223/S1223)</x:f>
        <x:v>1.2645298581433044</x:v>
      </x:c>
      <x:c r="V1223" s="31" t="n">
        <x:f>L1223*'Controls &amp; Summary'!$B$9+O1223*'Controls &amp; Summary'!$B$10+R1223*'Controls &amp; Summary'!$B$11+U1223*'Controls &amp; Summary'!$B$12</x:f>
        <x:v>4.324529858143305</x:v>
      </x:c>
      <x:c r="W1223" s="31" t="n">
        <x:v>0.23</x:v>
      </x:c>
      <x:c r="X1223" s="31" t="n">
        <x:v>3</x:v>
      </x:c>
      <x:c r="Y1223" s="31" t="n">
        <x:f>((10-MIN(10,MAX(0,X1223)))/10)*'Controls &amp; Summary'!$B$15+((10-MIN(10,MAX(0,W1223)))/10)*'Controls &amp; Summary'!$B$16</x:f>
        <x:v>1.677</x:v>
      </x:c>
      <x:c r="Z1223" s="31" t="n">
        <x:f>V1223*Y1223</x:f>
        <x:v>7.252236572106322</x:v>
      </x:c>
      <x:c r="AA1223" s="30" t="str">
        <x:f>IF(Z1223&lt;=I1223,"Peaceful","Hostile")</x:f>
        <x:v>Hostile</x:v>
      </x:c>
      <x:c r="AB1223" s="30" t="str">
        <x:f>IF(Z1223&lt;='Controls &amp; Summary'!$B$6,"Eligible","Blocked")</x:f>
        <x:v>Eligible</x:v>
      </x:c>
      <x:c r="AC1223" s="30" t="str">
        <x:v>2026_NGA</x:v>
      </x:c>
      <x:c r="AD1223" s="30" t="str">
        <x:v>2026_GHA</x:v>
      </x:c>
      <x:c r="AE1223" s="30" t="str">
        <x:v>2026_Accra</x:v>
      </x:c>
      <x:c r="AF1223" s="30" t="str">
        <x:v>Explicit capitalClaim</x:v>
      </x:c>
      <x:c r="AG1223" s="30" t="str">
        <x:v>Claim2026_NGA2026_Accra</x:v>
      </x:c>
      <x:c r="AH1223" s="30" t="str">
        <x:v>Project_EastAfricanFederation</x:v>
      </x:c>
    </x:row>
    <x:row r="1224">
      <x:c r="A1224" s="30" t="str">
        <x:v>2026</x:v>
      </x:c>
      <x:c r="B1224" s="30" t="str">
        <x:v>Base game</x:v>
      </x:c>
      <x:c r="C1224" s="30" t="str">
        <x:v>Nigeria</x:v>
      </x:c>
      <x:c r="D1224" s="30" t="str">
        <x:v>Guinea</x:v>
      </x:c>
      <x:c r="E1224" s="30" t="str">
        <x:v>Project unlock</x:v>
      </x:c>
      <x:c r="F1224" s="30" t="str">
        <x:v>African Confederations</x:v>
      </x:c>
      <x:c r="G1224" s="30" t="str">
        <x:v>No</x:v>
      </x:c>
      <x:c r="H1224" s="30" t="str">
        <x:v>Ordinary claim</x:v>
      </x:c>
      <x:c r="I1224" s="31" t="n">
        <x:f>IF(G1224="Yes",'Controls &amp; Summary'!$B$5,'Controls &amp; Summary'!$B$4)</x:f>
        <x:v>6</x:v>
      </x:c>
      <x:c r="J1224" s="31" t="n">
        <x:v>4.1</x:v>
      </x:c>
      <x:c r="K1224" s="31" t="n">
        <x:v>2.15</x:v>
      </x:c>
      <x:c r="L1224" s="31" t="n">
        <x:f>ABS(J1224-K1224)</x:f>
        <x:v>1.9499999999999997</x:v>
      </x:c>
      <x:c r="M1224" s="31" t="n">
        <x:v>3.51</x:v>
      </x:c>
      <x:c r="N1224" s="31" t="n">
        <x:v>2.96</x:v>
      </x:c>
      <x:c r="O1224" s="31" t="n">
        <x:f>ABS(M1224-N1224)</x:f>
        <x:v>0.5499999999999998</x:v>
      </x:c>
      <x:c r="P1224" s="31" t="n">
        <x:v>5.36</x:v>
      </x:c>
      <x:c r="Q1224" s="31" t="n">
        <x:v>3.69</x:v>
      </x:c>
      <x:c r="R1224" s="31" t="n">
        <x:f>ABS(P1224-Q1224)</x:f>
        <x:v>1.6700000000000004</x:v>
      </x:c>
      <x:c r="S1224" s="32" t="n">
        <x:v>5753.217424022107</x:v>
      </x:c>
      <x:c r="T1224" s="32" t="n">
        <x:v>4277.023050068731</x:v>
      </x:c>
      <x:c r="U1224" s="31" t="n">
        <x:f>MAX(S1224/T1224,T1224/S1224)</x:f>
        <x:v>1.3451452930396652</x:v>
      </x:c>
      <x:c r="V1224" s="31" t="n">
        <x:f>L1224*'Controls &amp; Summary'!$B$9+O1224*'Controls &amp; Summary'!$B$10+R1224*'Controls &amp; Summary'!$B$11+U1224*'Controls &amp; Summary'!$B$12</x:f>
        <x:v>5.515145293039665</x:v>
      </x:c>
      <x:c r="W1224" s="31" t="n">
        <x:v>0.23</x:v>
      </x:c>
      <x:c r="X1224" s="31" t="n">
        <x:v>1.25</x:v>
      </x:c>
      <x:c r="Y1224" s="31" t="n">
        <x:f>((10-MIN(10,MAX(0,X1224)))/10)*'Controls &amp; Summary'!$B$15+((10-MIN(10,MAX(0,W1224)))/10)*'Controls &amp; Summary'!$B$16</x:f>
        <x:v>1.8519999999999999</x:v>
      </x:c>
      <x:c r="Z1224" s="31" t="n">
        <x:f>V1224*Y1224</x:f>
        <x:v>10.214049082709458</x:v>
      </x:c>
      <x:c r="AA1224" s="30" t="str">
        <x:f>IF(Z1224&lt;=I1224,"Peaceful","Hostile")</x:f>
        <x:v>Hostile</x:v>
      </x:c>
      <x:c r="AB1224" s="30" t="str">
        <x:f>IF(Z1224&lt;='Controls &amp; Summary'!$B$6,"Eligible","Blocked")</x:f>
        <x:v>Eligible</x:v>
      </x:c>
      <x:c r="AC1224" s="30" t="str">
        <x:v>2026_NGA</x:v>
      </x:c>
      <x:c r="AD1224" s="30" t="str">
        <x:v>2026_GIN</x:v>
      </x:c>
      <x:c r="AE1224" s="30" t="str">
        <x:v>2026_Guinea</x:v>
      </x:c>
      <x:c r="AF1224" s="30" t="str">
        <x:v>Explicit capitalClaim</x:v>
      </x:c>
      <x:c r="AG1224" s="30" t="str">
        <x:v>Claim2026_NGA2026_Guinea</x:v>
      </x:c>
      <x:c r="AH1224" s="30" t="str">
        <x:v>Project_EastAfricanFederation</x:v>
      </x:c>
    </x:row>
    <x:row r="1225">
      <x:c r="A1225" s="30" t="str">
        <x:v>2026</x:v>
      </x:c>
      <x:c r="B1225" s="30" t="str">
        <x:v>Base game</x:v>
      </x:c>
      <x:c r="C1225" s="30" t="str">
        <x:v>Nigeria</x:v>
      </x:c>
      <x:c r="D1225" s="30" t="str">
        <x:v>Guinea-Bissau</x:v>
      </x:c>
      <x:c r="E1225" s="30" t="str">
        <x:v>Project unlock</x:v>
      </x:c>
      <x:c r="F1225" s="30" t="str">
        <x:v>African Confederations</x:v>
      </x:c>
      <x:c r="G1225" s="30" t="str">
        <x:v>No</x:v>
      </x:c>
      <x:c r="H1225" s="30" t="str">
        <x:v>Ordinary claim</x:v>
      </x:c>
      <x:c r="I1225" s="31" t="n">
        <x:f>IF(G1225="Yes",'Controls &amp; Summary'!$B$5,'Controls &amp; Summary'!$B$4)</x:f>
        <x:v>6</x:v>
      </x:c>
      <x:c r="J1225" s="31" t="n">
        <x:v>4.1</x:v>
      </x:c>
      <x:c r="K1225" s="31" t="n">
        <x:v>1.37</x:v>
      </x:c>
      <x:c r="L1225" s="31" t="n">
        <x:f>ABS(J1225-K1225)</x:f>
        <x:v>2.7299999999999995</x:v>
      </x:c>
      <x:c r="M1225" s="31" t="n">
        <x:v>3.51</x:v>
      </x:c>
      <x:c r="N1225" s="31" t="n">
        <x:v>3.34</x:v>
      </x:c>
      <x:c r="O1225" s="31" t="n">
        <x:f>ABS(M1225-N1225)</x:f>
        <x:v>0.16999999999999993</x:v>
      </x:c>
      <x:c r="P1225" s="31" t="n">
        <x:v>5.36</x:v>
      </x:c>
      <x:c r="Q1225" s="31" t="n">
        <x:v>4.13</x:v>
      </x:c>
      <x:c r="R1225" s="31" t="n">
        <x:f>ABS(P1225-Q1225)</x:f>
        <x:v>1.2300000000000004</x:v>
      </x:c>
      <x:c r="S1225" s="32" t="n">
        <x:v>5753.217424022107</x:v>
      </x:c>
      <x:c r="T1225" s="32" t="n">
        <x:v>2535.2858028172936</x:v>
      </x:c>
      <x:c r="U1225" s="31" t="n">
        <x:f>MAX(S1225/T1225,T1225/S1225)</x:f>
        <x:v>2.269257934402875</x:v>
      </x:c>
      <x:c r="V1225" s="31" t="n">
        <x:f>L1225*'Controls &amp; Summary'!$B$9+O1225*'Controls &amp; Summary'!$B$10+R1225*'Controls &amp; Summary'!$B$11+U1225*'Controls &amp; Summary'!$B$12</x:f>
        <x:v>6.3992579344028755</x:v>
      </x:c>
      <x:c r="W1225" s="31" t="n">
        <x:v>0.23</x:v>
      </x:c>
      <x:c r="X1225" s="31" t="n">
        <x:v>1</x:v>
      </x:c>
      <x:c r="Y1225" s="31" t="n">
        <x:f>((10-MIN(10,MAX(0,X1225)))/10)*'Controls &amp; Summary'!$B$15+((10-MIN(10,MAX(0,W1225)))/10)*'Controls &amp; Summary'!$B$16</x:f>
        <x:v>1.877</x:v>
      </x:c>
      <x:c r="Z1225" s="31" t="n">
        <x:f>V1225*Y1225</x:f>
        <x:v>12.011407142874198</x:v>
      </x:c>
      <x:c r="AA1225" s="30" t="str">
        <x:f>IF(Z1225&lt;=I1225,"Peaceful","Hostile")</x:f>
        <x:v>Hostile</x:v>
      </x:c>
      <x:c r="AB1225" s="30" t="str">
        <x:f>IF(Z1225&lt;='Controls &amp; Summary'!$B$6,"Eligible","Blocked")</x:f>
        <x:v>Blocked</x:v>
      </x:c>
      <x:c r="AC1225" s="30" t="str">
        <x:v>2026_NGA</x:v>
      </x:c>
      <x:c r="AD1225" s="30" t="str">
        <x:v>2026_GNB</x:v>
      </x:c>
      <x:c r="AE1225" s="30" t="str">
        <x:v>2026_GuineaBissau</x:v>
      </x:c>
      <x:c r="AF1225" s="30" t="str">
        <x:v>Explicit capitalClaim</x:v>
      </x:c>
      <x:c r="AG1225" s="30" t="str">
        <x:v>Claim2026_NGA2026_GuineaBissau</x:v>
      </x:c>
      <x:c r="AH1225" s="30" t="str">
        <x:v>Project_EastAfricanFederation</x:v>
      </x:c>
    </x:row>
    <x:row r="1226">
      <x:c r="A1226" s="30" t="str">
        <x:v>2026</x:v>
      </x:c>
      <x:c r="B1226" s="30" t="str">
        <x:v>Base game</x:v>
      </x:c>
      <x:c r="C1226" s="30" t="str">
        <x:v>Nigeria</x:v>
      </x:c>
      <x:c r="D1226" s="30" t="str">
        <x:v>Ivory Coast</x:v>
      </x:c>
      <x:c r="E1226" s="30" t="str">
        <x:v>Project unlock</x:v>
      </x:c>
      <x:c r="F1226" s="30" t="str">
        <x:v>African Confederations</x:v>
      </x:c>
      <x:c r="G1226" s="30" t="str">
        <x:v>No</x:v>
      </x:c>
      <x:c r="H1226" s="30" t="str">
        <x:v>Ordinary claim</x:v>
      </x:c>
      <x:c r="I1226" s="31" t="n">
        <x:f>IF(G1226="Yes",'Controls &amp; Summary'!$B$5,'Controls &amp; Summary'!$B$4)</x:f>
        <x:v>6</x:v>
      </x:c>
      <x:c r="J1226" s="31" t="n">
        <x:v>4.1</x:v>
      </x:c>
      <x:c r="K1226" s="31" t="n">
        <x:v>4.24</x:v>
      </x:c>
      <x:c r="L1226" s="31" t="n">
        <x:f>ABS(J1226-K1226)</x:f>
        <x:v>0.14000000000000057</x:v>
      </x:c>
      <x:c r="M1226" s="31" t="n">
        <x:v>3.51</x:v>
      </x:c>
      <x:c r="N1226" s="31" t="n">
        <x:v>3.53</x:v>
      </x:c>
      <x:c r="O1226" s="31" t="n">
        <x:f>ABS(M1226-N1226)</x:f>
        <x:v>0.020000000000000018</x:v>
      </x:c>
      <x:c r="P1226" s="31" t="n">
        <x:v>5.36</x:v>
      </x:c>
      <x:c r="Q1226" s="31" t="n">
        <x:v>4.73</x:v>
      </x:c>
      <x:c r="R1226" s="31" t="n">
        <x:f>ABS(P1226-Q1226)</x:f>
        <x:v>0.6299999999999999</x:v>
      </x:c>
      <x:c r="S1226" s="32" t="n">
        <x:v>5753.217424022107</x:v>
      </x:c>
      <x:c r="T1226" s="32" t="n">
        <x:v>7010.501414178978</x:v>
      </x:c>
      <x:c r="U1226" s="31" t="n">
        <x:f>MAX(S1226/T1226,T1226/S1226)</x:f>
        <x:v>1.218535803098138</x:v>
      </x:c>
      <x:c r="V1226" s="31" t="n">
        <x:f>L1226*'Controls &amp; Summary'!$B$9+O1226*'Controls &amp; Summary'!$B$10+R1226*'Controls &amp; Summary'!$B$11+U1226*'Controls &amp; Summary'!$B$12</x:f>
        <x:v>2.0085358030981384</x:v>
      </x:c>
      <x:c r="W1226" s="31" t="n">
        <x:v>0.23</x:v>
      </x:c>
      <x:c r="X1226" s="31" t="n">
        <x:v>1.5</x:v>
      </x:c>
      <x:c r="Y1226" s="31" t="n">
        <x:f>((10-MIN(10,MAX(0,X1226)))/10)*'Controls &amp; Summary'!$B$15+((10-MIN(10,MAX(0,W1226)))/10)*'Controls &amp; Summary'!$B$16</x:f>
        <x:v>1.827</x:v>
      </x:c>
      <x:c r="Z1226" s="31" t="n">
        <x:f>V1226*Y1226</x:f>
        <x:v>3.669594912260299</x:v>
      </x:c>
      <x:c r="AA1226" s="30" t="str">
        <x:f>IF(Z1226&lt;=I1226,"Peaceful","Hostile")</x:f>
        <x:v>Peaceful</x:v>
      </x:c>
      <x:c r="AB1226" s="30" t="str">
        <x:f>IF(Z1226&lt;='Controls &amp; Summary'!$B$6,"Eligible","Blocked")</x:f>
        <x:v>Eligible</x:v>
      </x:c>
      <x:c r="AC1226" s="30" t="str">
        <x:v>2026_NGA</x:v>
      </x:c>
      <x:c r="AD1226" s="30" t="str">
        <x:v>2026_IVO</x:v>
      </x:c>
      <x:c r="AE1226" s="30" t="str">
        <x:v>2026_IvoryCoast</x:v>
      </x:c>
      <x:c r="AF1226" s="30" t="str">
        <x:v>Explicit capitalClaim</x:v>
      </x:c>
      <x:c r="AG1226" s="30" t="str">
        <x:v>Claim2026_NGA2026_IvoryCoast</x:v>
      </x:c>
      <x:c r="AH1226" s="30" t="str">
        <x:v>Project_EastAfricanFederation</x:v>
      </x:c>
    </x:row>
    <x:row r="1227">
      <x:c r="A1227" s="30" t="str">
        <x:v>2026</x:v>
      </x:c>
      <x:c r="B1227" s="30" t="str">
        <x:v>Base game</x:v>
      </x:c>
      <x:c r="C1227" s="30" t="str">
        <x:v>Nigeria</x:v>
      </x:c>
      <x:c r="D1227" s="30" t="str">
        <x:v>Liberia</x:v>
      </x:c>
      <x:c r="E1227" s="30" t="str">
        <x:v>Project unlock</x:v>
      </x:c>
      <x:c r="F1227" s="30" t="str">
        <x:v>African Confederations</x:v>
      </x:c>
      <x:c r="G1227" s="30" t="str">
        <x:v>No</x:v>
      </x:c>
      <x:c r="H1227" s="30" t="str">
        <x:v>Ordinary claim</x:v>
      </x:c>
      <x:c r="I1227" s="31" t="n">
        <x:f>IF(G1227="Yes",'Controls &amp; Summary'!$B$5,'Controls &amp; Summary'!$B$4)</x:f>
        <x:v>6</x:v>
      </x:c>
      <x:c r="J1227" s="31" t="n">
        <x:v>4.1</x:v>
      </x:c>
      <x:c r="K1227" s="31" t="n">
        <x:v>5.57</x:v>
      </x:c>
      <x:c r="L1227" s="31" t="n">
        <x:f>ABS(J1227-K1227)</x:f>
        <x:v>1.4700000000000006</x:v>
      </x:c>
      <x:c r="M1227" s="31" t="n">
        <x:v>3.51</x:v>
      </x:c>
      <x:c r="N1227" s="31" t="n">
        <x:v>3.53</x:v>
      </x:c>
      <x:c r="O1227" s="31" t="n">
        <x:f>ABS(M1227-N1227)</x:f>
        <x:v>0.020000000000000018</x:v>
      </x:c>
      <x:c r="P1227" s="31" t="n">
        <x:v>5.36</x:v>
      </x:c>
      <x:c r="Q1227" s="31" t="n">
        <x:v>4.91</x:v>
      </x:c>
      <x:c r="R1227" s="31" t="n">
        <x:f>ABS(P1227-Q1227)</x:f>
        <x:v>0.4500000000000002</x:v>
      </x:c>
      <x:c r="S1227" s="32" t="n">
        <x:v>5753.217424022107</x:v>
      </x:c>
      <x:c r="T1227" s="32" t="n">
        <x:v>1716.270503894038</x:v>
      </x:c>
      <x:c r="U1227" s="31" t="n">
        <x:f>MAX(S1227/T1227,T1227/S1227)</x:f>
        <x:v>3.3521623840581416</x:v>
      </x:c>
      <x:c r="V1227" s="31" t="n">
        <x:f>L1227*'Controls &amp; Summary'!$B$9+O1227*'Controls &amp; Summary'!$B$10+R1227*'Controls &amp; Summary'!$B$11+U1227*'Controls &amp; Summary'!$B$12</x:f>
        <x:v>5.292162384058143</x:v>
      </x:c>
      <x:c r="W1227" s="31" t="n">
        <x:v>0.23</x:v>
      </x:c>
      <x:c r="X1227" s="31" t="n">
        <x:v>1</x:v>
      </x:c>
      <x:c r="Y1227" s="31" t="n">
        <x:f>((10-MIN(10,MAX(0,X1227)))/10)*'Controls &amp; Summary'!$B$15+((10-MIN(10,MAX(0,W1227)))/10)*'Controls &amp; Summary'!$B$16</x:f>
        <x:v>1.877</x:v>
      </x:c>
      <x:c r="Z1227" s="31" t="n">
        <x:f>V1227*Y1227</x:f>
        <x:v>9.933388794877134</x:v>
      </x:c>
      <x:c r="AA1227" s="30" t="str">
        <x:f>IF(Z1227&lt;=I1227,"Peaceful","Hostile")</x:f>
        <x:v>Hostile</x:v>
      </x:c>
      <x:c r="AB1227" s="30" t="str">
        <x:f>IF(Z1227&lt;='Controls &amp; Summary'!$B$6,"Eligible","Blocked")</x:f>
        <x:v>Eligible</x:v>
      </x:c>
      <x:c r="AC1227" s="30" t="str">
        <x:v>2026_NGA</x:v>
      </x:c>
      <x:c r="AD1227" s="30" t="str">
        <x:v>2026_LBR</x:v>
      </x:c>
      <x:c r="AE1227" s="30" t="str">
        <x:v>2026_Liberia</x:v>
      </x:c>
      <x:c r="AF1227" s="30" t="str">
        <x:v>Explicit capitalClaim</x:v>
      </x:c>
      <x:c r="AG1227" s="30" t="str">
        <x:v>Claim2026_NGA2026_Liberia</x:v>
      </x:c>
      <x:c r="AH1227" s="30" t="str">
        <x:v>Project_EastAfricanFederation</x:v>
      </x:c>
    </x:row>
    <x:row r="1228">
      <x:c r="A1228" s="30" t="str">
        <x:v>2026</x:v>
      </x:c>
      <x:c r="B1228" s="30" t="str">
        <x:v>Base game</x:v>
      </x:c>
      <x:c r="C1228" s="30" t="str">
        <x:v>Nigeria</x:v>
      </x:c>
      <x:c r="D1228" s="30" t="str">
        <x:v>Mali</x:v>
      </x:c>
      <x:c r="E1228" s="30" t="str">
        <x:v>Project unlock</x:v>
      </x:c>
      <x:c r="F1228" s="30" t="str">
        <x:v>Regional African Unions</x:v>
      </x:c>
      <x:c r="G1228" s="30" t="str">
        <x:v>No</x:v>
      </x:c>
      <x:c r="H1228" s="30" t="str">
        <x:v>Ordinary claim</x:v>
      </x:c>
      <x:c r="I1228" s="31" t="n">
        <x:f>IF(G1228="Yes",'Controls &amp; Summary'!$B$5,'Controls &amp; Summary'!$B$4)</x:f>
        <x:v>6</x:v>
      </x:c>
      <x:c r="J1228" s="31" t="n">
        <x:v>4.1</x:v>
      </x:c>
      <x:c r="K1228" s="31" t="n">
        <x:v>2.4</x:v>
      </x:c>
      <x:c r="L1228" s="31" t="n">
        <x:f>ABS(J1228-K1228)</x:f>
        <x:v>1.6999999999999997</x:v>
      </x:c>
      <x:c r="M1228" s="31" t="n">
        <x:v>3.51</x:v>
      </x:c>
      <x:c r="N1228" s="31" t="n">
        <x:v>3.57</x:v>
      </x:c>
      <x:c r="O1228" s="31" t="n">
        <x:f>ABS(M1228-N1228)</x:f>
        <x:v>0.06000000000000005</x:v>
      </x:c>
      <x:c r="P1228" s="31" t="n">
        <x:v>5.36</x:v>
      </x:c>
      <x:c r="Q1228" s="31" t="n">
        <x:v>2.49</x:v>
      </x:c>
      <x:c r="R1228" s="31" t="n">
        <x:f>ABS(P1228-Q1228)</x:f>
        <x:v>2.87</x:v>
      </x:c>
      <x:c r="S1228" s="32" t="n">
        <x:v>5753.217424022107</x:v>
      </x:c>
      <x:c r="T1228" s="32" t="n">
        <x:v>2468.331066209965</x:v>
      </x:c>
      <x:c r="U1228" s="31" t="n">
        <x:f>MAX(S1228/T1228,T1228/S1228)</x:f>
        <x:v>2.3308127109772063</x:v>
      </x:c>
      <x:c r="V1228" s="31" t="n">
        <x:f>L1228*'Controls &amp; Summary'!$B$9+O1228*'Controls &amp; Summary'!$B$10+R1228*'Controls &amp; Summary'!$B$11+U1228*'Controls &amp; Summary'!$B$12</x:f>
        <x:v>6.960812710977207</x:v>
      </x:c>
      <x:c r="W1228" s="31" t="n">
        <x:v>0.23</x:v>
      </x:c>
      <x:c r="X1228" s="31" t="n">
        <x:v>5</x:v>
      </x:c>
      <x:c r="Y1228" s="31" t="n">
        <x:f>((10-MIN(10,MAX(0,X1228)))/10)*'Controls &amp; Summary'!$B$15+((10-MIN(10,MAX(0,W1228)))/10)*'Controls &amp; Summary'!$B$16</x:f>
        <x:v>1.4769999999999999</x:v>
      </x:c>
      <x:c r="Z1228" s="31" t="n">
        <x:f>V1228*Y1228</x:f>
        <x:v>10.281120374113334</x:v>
      </x:c>
      <x:c r="AA1228" s="30" t="str">
        <x:f>IF(Z1228&lt;=I1228,"Peaceful","Hostile")</x:f>
        <x:v>Hostile</x:v>
      </x:c>
      <x:c r="AB1228" s="30" t="str">
        <x:f>IF(Z1228&lt;='Controls &amp; Summary'!$B$6,"Eligible","Blocked")</x:f>
        <x:v>Eligible</x:v>
      </x:c>
      <x:c r="AC1228" s="30" t="str">
        <x:v>2026_NGA</x:v>
      </x:c>
      <x:c r="AD1228" s="30" t="str">
        <x:v>2026_MLI</x:v>
      </x:c>
      <x:c r="AE1228" s="30" t="str">
        <x:v>2026_Mali</x:v>
      </x:c>
      <x:c r="AF1228" s="30" t="str">
        <x:v>Explicit capitalClaim</x:v>
      </x:c>
      <x:c r="AG1228" s="30" t="str">
        <x:v>Claim2026_NGA2026_Mali</x:v>
      </x:c>
      <x:c r="AH1228" s="30" t="str">
        <x:v>Project_RegionalAfricanUnions</x:v>
      </x:c>
    </x:row>
    <x:row r="1229">
      <x:c r="A1229" s="30" t="str">
        <x:v>2026</x:v>
      </x:c>
      <x:c r="B1229" s="30" t="str">
        <x:v>Base game</x:v>
      </x:c>
      <x:c r="C1229" s="30" t="str">
        <x:v>Nigeria</x:v>
      </x:c>
      <x:c r="D1229" s="30" t="str">
        <x:v>Mauritania</x:v>
      </x:c>
      <x:c r="E1229" s="30" t="str">
        <x:v>Project unlock</x:v>
      </x:c>
      <x:c r="F1229" s="30" t="str">
        <x:v>Nigerian Confederation</x:v>
      </x:c>
      <x:c r="G1229" s="30" t="str">
        <x:v>No</x:v>
      </x:c>
      <x:c r="H1229" s="30" t="str">
        <x:v>Ordinary claim</x:v>
      </x:c>
      <x:c r="I1229" s="31" t="n">
        <x:f>IF(G1229="Yes",'Controls &amp; Summary'!$B$5,'Controls &amp; Summary'!$B$4)</x:f>
        <x:v>6</x:v>
      </x:c>
      <x:c r="J1229" s="31" t="n">
        <x:v>4.1</x:v>
      </x:c>
      <x:c r="K1229" s="31" t="n">
        <x:v>3.84</x:v>
      </x:c>
      <x:c r="L1229" s="31" t="n">
        <x:f>ABS(J1229-K1229)</x:f>
        <x:v>0.2599999999999998</x:v>
      </x:c>
      <x:c r="M1229" s="31" t="n">
        <x:v>3.51</x:v>
      </x:c>
      <x:c r="N1229" s="31" t="n">
        <x:v>3.2</x:v>
      </x:c>
      <x:c r="O1229" s="31" t="n">
        <x:f>ABS(M1229-N1229)</x:f>
        <x:v>0.3099999999999996</x:v>
      </x:c>
      <x:c r="P1229" s="31" t="n">
        <x:v>5.36</x:v>
      </x:c>
      <x:c r="Q1229" s="31" t="n">
        <x:v>3.79</x:v>
      </x:c>
      <x:c r="R1229" s="31" t="n">
        <x:f>ABS(P1229-Q1229)</x:f>
        <x:v>1.5700000000000003</x:v>
      </x:c>
      <x:c r="S1229" s="32" t="n">
        <x:v>5753.217424022107</x:v>
      </x:c>
      <x:c r="T1229" s="32" t="n">
        <x:v>6454.997409966347</x:v>
      </x:c>
      <x:c r="U1229" s="31" t="n">
        <x:f>MAX(S1229/T1229,T1229/S1229)</x:f>
        <x:v>1.1219804388087287</x:v>
      </x:c>
      <x:c r="V1229" s="31" t="n">
        <x:f>L1229*'Controls &amp; Summary'!$B$9+O1229*'Controls &amp; Summary'!$B$10+R1229*'Controls &amp; Summary'!$B$11+U1229*'Controls &amp; Summary'!$B$12</x:f>
        <x:v>3.2619804388087283</x:v>
      </x:c>
      <x:c r="W1229" s="31" t="n">
        <x:v>0.23</x:v>
      </x:c>
      <x:c r="X1229" s="31" t="n">
        <x:v>1</x:v>
      </x:c>
      <x:c r="Y1229" s="31" t="n">
        <x:f>((10-MIN(10,MAX(0,X1229)))/10)*'Controls &amp; Summary'!$B$15+((10-MIN(10,MAX(0,W1229)))/10)*'Controls &amp; Summary'!$B$16</x:f>
        <x:v>1.877</x:v>
      </x:c>
      <x:c r="Z1229" s="31" t="n">
        <x:f>V1229*Y1229</x:f>
        <x:v>6.122737283643983</x:v>
      </x:c>
      <x:c r="AA1229" s="30" t="str">
        <x:f>IF(Z1229&lt;=I1229,"Peaceful","Hostile")</x:f>
        <x:v>Hostile</x:v>
      </x:c>
      <x:c r="AB1229" s="30" t="str">
        <x:f>IF(Z1229&lt;='Controls &amp; Summary'!$B$6,"Eligible","Blocked")</x:f>
        <x:v>Eligible</x:v>
      </x:c>
      <x:c r="AC1229" s="30" t="str">
        <x:v>2026_NGA</x:v>
      </x:c>
      <x:c r="AD1229" s="30" t="str">
        <x:v>2026_MRT</x:v>
      </x:c>
      <x:c r="AE1229" s="30" t="str">
        <x:v>2026_Mauritania</x:v>
      </x:c>
      <x:c r="AF1229" s="30" t="str">
        <x:v>Explicit capitalClaim</x:v>
      </x:c>
      <x:c r="AG1229" s="30" t="str">
        <x:v>Claim2026_NGA2026_Mauritania</x:v>
      </x:c>
      <x:c r="AH1229" s="30" t="str">
        <x:v>Project_NigerianConfederation</x:v>
      </x:c>
    </x:row>
    <x:row r="1230">
      <x:c r="A1230" s="30" t="str">
        <x:v>2026</x:v>
      </x:c>
      <x:c r="B1230" s="30" t="str">
        <x:v>Base game</x:v>
      </x:c>
      <x:c r="C1230" s="30" t="str">
        <x:v>Nigeria</x:v>
      </x:c>
      <x:c r="D1230" s="30" t="str">
        <x:v>Morocco</x:v>
      </x:c>
      <x:c r="E1230" s="30" t="str">
        <x:v>Project unlock</x:v>
      </x:c>
      <x:c r="F1230" s="30" t="str">
        <x:v>Nigerian Confederation</x:v>
      </x:c>
      <x:c r="G1230" s="30" t="str">
        <x:v>No</x:v>
      </x:c>
      <x:c r="H1230" s="30" t="str">
        <x:v>Ordinary claim</x:v>
      </x:c>
      <x:c r="I1230" s="31" t="n">
        <x:f>IF(G1230="Yes",'Controls &amp; Summary'!$B$5,'Controls &amp; Summary'!$B$4)</x:f>
        <x:v>6</x:v>
      </x:c>
      <x:c r="J1230" s="31" t="n">
        <x:v>4.1</x:v>
      </x:c>
      <x:c r="K1230" s="31" t="n">
        <x:v>4.97</x:v>
      </x:c>
      <x:c r="L1230" s="31" t="n">
        <x:f>ABS(J1230-K1230)</x:f>
        <x:v>0.8700000000000001</x:v>
      </x:c>
      <x:c r="M1230" s="31" t="n">
        <x:v>3.51</x:v>
      </x:c>
      <x:c r="N1230" s="31" t="n">
        <x:v>3.95</x:v>
      </x:c>
      <x:c r="O1230" s="31" t="n">
        <x:f>ABS(M1230-N1230)</x:f>
        <x:v>0.4400000000000004</x:v>
      </x:c>
      <x:c r="P1230" s="31" t="n">
        <x:v>5.36</x:v>
      </x:c>
      <x:c r="Q1230" s="31" t="n">
        <x:v>6.14</x:v>
      </x:c>
      <x:c r="R1230" s="31" t="n">
        <x:f>ABS(P1230-Q1230)</x:f>
        <x:v>0.7799999999999994</x:v>
      </x:c>
      <x:c r="S1230" s="32" t="n">
        <x:v>5753.217424022107</x:v>
      </x:c>
      <x:c r="T1230" s="32" t="n">
        <x:v>9645.586561486156</x:v>
      </x:c>
      <x:c r="U1230" s="31" t="n">
        <x:f>MAX(S1230/T1230,T1230/S1230)</x:f>
        <x:v>1.676555195222028</x:v>
      </x:c>
      <x:c r="V1230" s="31" t="n">
        <x:f>L1230*'Controls &amp; Summary'!$B$9+O1230*'Controls &amp; Summary'!$B$10+R1230*'Controls &amp; Summary'!$B$11+U1230*'Controls &amp; Summary'!$B$12</x:f>
        <x:v>3.7665551952220278</x:v>
      </x:c>
      <x:c r="W1230" s="31" t="n">
        <x:v>0.23</x:v>
      </x:c>
      <x:c r="X1230" s="31" t="n">
        <x:v>1</x:v>
      </x:c>
      <x:c r="Y1230" s="31" t="n">
        <x:f>((10-MIN(10,MAX(0,X1230)))/10)*'Controls &amp; Summary'!$B$15+((10-MIN(10,MAX(0,W1230)))/10)*'Controls &amp; Summary'!$B$16</x:f>
        <x:v>1.877</x:v>
      </x:c>
      <x:c r="Z1230" s="31" t="n">
        <x:f>V1230*Y1230</x:f>
        <x:v>7.069824101431746</x:v>
      </x:c>
      <x:c r="AA1230" s="30" t="str">
        <x:f>IF(Z1230&lt;=I1230,"Peaceful","Hostile")</x:f>
        <x:v>Hostile</x:v>
      </x:c>
      <x:c r="AB1230" s="30" t="str">
        <x:f>IF(Z1230&lt;='Controls &amp; Summary'!$B$6,"Eligible","Blocked")</x:f>
        <x:v>Eligible</x:v>
      </x:c>
      <x:c r="AC1230" s="30" t="str">
        <x:v>2026_NGA</x:v>
      </x:c>
      <x:c r="AD1230" s="30" t="str">
        <x:v>2026_MAR</x:v>
      </x:c>
      <x:c r="AE1230" s="30" t="str">
        <x:v>2026_Rabat</x:v>
      </x:c>
      <x:c r="AF1230" s="30" t="str">
        <x:v>Explicit capitalClaim</x:v>
      </x:c>
      <x:c r="AG1230" s="30" t="str">
        <x:v>Claim2026_NGA2026_Rabat</x:v>
      </x:c>
      <x:c r="AH1230" s="30" t="str">
        <x:v>Project_NigerianConfederation</x:v>
      </x:c>
    </x:row>
    <x:row r="1231">
      <x:c r="A1231" s="30" t="str">
        <x:v>2026</x:v>
      </x:c>
      <x:c r="B1231" s="30" t="str">
        <x:v>Base game</x:v>
      </x:c>
      <x:c r="C1231" s="30" t="str">
        <x:v>Nigeria</x:v>
      </x:c>
      <x:c r="D1231" s="30" t="str">
        <x:v>Niger</x:v>
      </x:c>
      <x:c r="E1231" s="30" t="str">
        <x:v>Project unlock</x:v>
      </x:c>
      <x:c r="F1231" s="30" t="str">
        <x:v>Regional African Unions</x:v>
      </x:c>
      <x:c r="G1231" s="30" t="str">
        <x:v>No</x:v>
      </x:c>
      <x:c r="H1231" s="30" t="str">
        <x:v>Ordinary claim</x:v>
      </x:c>
      <x:c r="I1231" s="31" t="n">
        <x:f>IF(G1231="Yes",'Controls &amp; Summary'!$B$5,'Controls &amp; Summary'!$B$4)</x:f>
        <x:v>6</x:v>
      </x:c>
      <x:c r="J1231" s="31" t="n">
        <x:v>4.1</x:v>
      </x:c>
      <x:c r="K1231" s="31" t="n">
        <x:v>1.95</x:v>
      </x:c>
      <x:c r="L1231" s="31" t="n">
        <x:f>ABS(J1231-K1231)</x:f>
        <x:v>2.1499999999999995</x:v>
      </x:c>
      <x:c r="M1231" s="31" t="n">
        <x:v>3.51</x:v>
      </x:c>
      <x:c r="N1231" s="31" t="n">
        <x:v>3.29</x:v>
      </x:c>
      <x:c r="O1231" s="31" t="n">
        <x:f>ABS(M1231-N1231)</x:f>
        <x:v>0.21999999999999975</x:v>
      </x:c>
      <x:c r="P1231" s="31" t="n">
        <x:v>5.36</x:v>
      </x:c>
      <x:c r="Q1231" s="31" t="n">
        <x:v>2.77</x:v>
      </x:c>
      <x:c r="R1231" s="31" t="n">
        <x:f>ABS(P1231-Q1231)</x:f>
        <x:v>2.5900000000000003</x:v>
      </x:c>
      <x:c r="S1231" s="32" t="n">
        <x:v>5753.217424022107</x:v>
      </x:c>
      <x:c r="T1231" s="32" t="n">
        <x:v>1863.9953984882393</x:v>
      </x:c>
      <x:c r="U1231" s="31" t="n">
        <x:f>MAX(S1231/T1231,T1231/S1231)</x:f>
        <x:v>3.0864976537432187</x:v>
      </x:c>
      <x:c r="V1231" s="31" t="n">
        <x:f>L1231*'Controls &amp; Summary'!$B$9+O1231*'Controls &amp; Summary'!$B$10+R1231*'Controls &amp; Summary'!$B$11+U1231*'Controls &amp; Summary'!$B$12</x:f>
        <x:v>8.046497653743218</x:v>
      </x:c>
      <x:c r="W1231" s="31" t="n">
        <x:v>0.23</x:v>
      </x:c>
      <x:c r="X1231" s="31" t="n">
        <x:v>4.5</x:v>
      </x:c>
      <x:c r="Y1231" s="31" t="n">
        <x:f>((10-MIN(10,MAX(0,X1231)))/10)*'Controls &amp; Summary'!$B$15+((10-MIN(10,MAX(0,W1231)))/10)*'Controls &amp; Summary'!$B$16</x:f>
        <x:v>1.5270000000000001</x:v>
      </x:c>
      <x:c r="Z1231" s="31" t="n">
        <x:f>V1231*Y1231</x:f>
        <x:v>12.287001917265895</x:v>
      </x:c>
      <x:c r="AA1231" s="30" t="str">
        <x:f>IF(Z1231&lt;=I1231,"Peaceful","Hostile")</x:f>
        <x:v>Hostile</x:v>
      </x:c>
      <x:c r="AB1231" s="30" t="str">
        <x:f>IF(Z1231&lt;='Controls &amp; Summary'!$B$6,"Eligible","Blocked")</x:f>
        <x:v>Blocked</x:v>
      </x:c>
      <x:c r="AC1231" s="30" t="str">
        <x:v>2026_NGA</x:v>
      </x:c>
      <x:c r="AD1231" s="30" t="str">
        <x:v>2026_NER</x:v>
      </x:c>
      <x:c r="AE1231" s="30" t="str">
        <x:v>2026_Niger</x:v>
      </x:c>
      <x:c r="AF1231" s="30" t="str">
        <x:v>Explicit capitalClaim</x:v>
      </x:c>
      <x:c r="AG1231" s="30" t="str">
        <x:v>Claim2026_NGA2026_Niger</x:v>
      </x:c>
      <x:c r="AH1231" s="30" t="str">
        <x:v>Project_RegionalAfricanUnions</x:v>
      </x:c>
    </x:row>
    <x:row r="1232">
      <x:c r="A1232" s="30" t="str">
        <x:v>2026</x:v>
      </x:c>
      <x:c r="B1232" s="30" t="str">
        <x:v>Base game</x:v>
      </x:c>
      <x:c r="C1232" s="30" t="str">
        <x:v>Nigeria</x:v>
      </x:c>
      <x:c r="D1232" s="30" t="str">
        <x:v>Senegal</x:v>
      </x:c>
      <x:c r="E1232" s="30" t="str">
        <x:v>Project unlock</x:v>
      </x:c>
      <x:c r="F1232" s="30" t="str">
        <x:v>African Confederations</x:v>
      </x:c>
      <x:c r="G1232" s="30" t="str">
        <x:v>No</x:v>
      </x:c>
      <x:c r="H1232" s="30" t="str">
        <x:v>Ordinary claim</x:v>
      </x:c>
      <x:c r="I1232" s="31" t="n">
        <x:f>IF(G1232="Yes",'Controls &amp; Summary'!$B$5,'Controls &amp; Summary'!$B$4)</x:f>
        <x:v>6</x:v>
      </x:c>
      <x:c r="J1232" s="31" t="n">
        <x:v>4.1</x:v>
      </x:c>
      <x:c r="K1232" s="31" t="n">
        <x:v>6.05</x:v>
      </x:c>
      <x:c r="L1232" s="31" t="n">
        <x:f>ABS(J1232-K1232)</x:f>
        <x:v>1.9500000000000002</x:v>
      </x:c>
      <x:c r="M1232" s="31" t="n">
        <x:v>3.51</x:v>
      </x:c>
      <x:c r="N1232" s="31" t="n">
        <x:v>3.62</x:v>
      </x:c>
      <x:c r="O1232" s="31" t="n">
        <x:f>ABS(M1232-N1232)</x:f>
        <x:v>0.11000000000000032</x:v>
      </x:c>
      <x:c r="P1232" s="31" t="n">
        <x:v>5.36</x:v>
      </x:c>
      <x:c r="Q1232" s="31" t="n">
        <x:v>3.47</x:v>
      </x:c>
      <x:c r="R1232" s="31" t="n">
        <x:f>ABS(P1232-Q1232)</x:f>
        <x:v>1.8900000000000001</x:v>
      </x:c>
      <x:c r="S1232" s="32" t="n">
        <x:v>5753.217424022107</x:v>
      </x:c>
      <x:c r="T1232" s="32" t="n">
        <x:v>4790.652417766966</x:v>
      </x:c>
      <x:c r="U1232" s="31" t="n">
        <x:f>MAX(S1232/T1232,T1232/S1232)</x:f>
        <x:v>1.2009256615414845</x:v>
      </x:c>
      <x:c r="V1232" s="31" t="n">
        <x:f>L1232*'Controls &amp; Summary'!$B$9+O1232*'Controls &amp; Summary'!$B$10+R1232*'Controls &amp; Summary'!$B$11+U1232*'Controls &amp; Summary'!$B$12</x:f>
        <x:v>5.150925661541486</x:v>
      </x:c>
      <x:c r="W1232" s="31" t="n">
        <x:v>0.23</x:v>
      </x:c>
      <x:c r="X1232" s="31" t="n">
        <x:v>1</x:v>
      </x:c>
      <x:c r="Y1232" s="31" t="n">
        <x:f>((10-MIN(10,MAX(0,X1232)))/10)*'Controls &amp; Summary'!$B$15+((10-MIN(10,MAX(0,W1232)))/10)*'Controls &amp; Summary'!$B$16</x:f>
        <x:v>1.877</x:v>
      </x:c>
      <x:c r="Z1232" s="31" t="n">
        <x:f>V1232*Y1232</x:f>
        <x:v>9.668287466713368</x:v>
      </x:c>
      <x:c r="AA1232" s="30" t="str">
        <x:f>IF(Z1232&lt;=I1232,"Peaceful","Hostile")</x:f>
        <x:v>Hostile</x:v>
      </x:c>
      <x:c r="AB1232" s="30" t="str">
        <x:f>IF(Z1232&lt;='Controls &amp; Summary'!$B$6,"Eligible","Blocked")</x:f>
        <x:v>Eligible</x:v>
      </x:c>
      <x:c r="AC1232" s="30" t="str">
        <x:v>2026_NGA</x:v>
      </x:c>
      <x:c r="AD1232" s="30" t="str">
        <x:v>2026_SEG</x:v>
      </x:c>
      <x:c r="AE1232" s="30" t="str">
        <x:v>2026_Senegambia</x:v>
      </x:c>
      <x:c r="AF1232" s="30" t="str">
        <x:v>Explicit capitalClaim</x:v>
      </x:c>
      <x:c r="AG1232" s="30" t="str">
        <x:v>Claim2026_NGA2026_Senegambia</x:v>
      </x:c>
      <x:c r="AH1232" s="30" t="str">
        <x:v>Project_EastAfricanFederation</x:v>
      </x:c>
    </x:row>
    <x:row r="1233">
      <x:c r="A1233" s="30" t="str">
        <x:v>2026</x:v>
      </x:c>
      <x:c r="B1233" s="30" t="str">
        <x:v>Base game</x:v>
      </x:c>
      <x:c r="C1233" s="30" t="str">
        <x:v>Nigeria</x:v>
      </x:c>
      <x:c r="D1233" s="30" t="str">
        <x:v>Sierra Leone</x:v>
      </x:c>
      <x:c r="E1233" s="30" t="str">
        <x:v>Project unlock</x:v>
      </x:c>
      <x:c r="F1233" s="30" t="str">
        <x:v>African Confederations</x:v>
      </x:c>
      <x:c r="G1233" s="30" t="str">
        <x:v>No</x:v>
      </x:c>
      <x:c r="H1233" s="30" t="str">
        <x:v>Ordinary claim</x:v>
      </x:c>
      <x:c r="I1233" s="31" t="n">
        <x:f>IF(G1233="Yes",'Controls &amp; Summary'!$B$5,'Controls &amp; Summary'!$B$4)</x:f>
        <x:v>6</x:v>
      </x:c>
      <x:c r="J1233" s="31" t="n">
        <x:v>4.1</x:v>
      </x:c>
      <x:c r="K1233" s="31" t="n">
        <x:v>4.44</x:v>
      </x:c>
      <x:c r="L1233" s="31" t="n">
        <x:f>ABS(J1233-K1233)</x:f>
        <x:v>0.34000000000000075</x:v>
      </x:c>
      <x:c r="M1233" s="31" t="n">
        <x:v>3.51</x:v>
      </x:c>
      <x:c r="N1233" s="31" t="n">
        <x:v>3.57</x:v>
      </x:c>
      <x:c r="O1233" s="31" t="n">
        <x:f>ABS(M1233-N1233)</x:f>
        <x:v>0.06000000000000005</x:v>
      </x:c>
      <x:c r="P1233" s="31" t="n">
        <x:v>5.36</x:v>
      </x:c>
      <x:c r="Q1233" s="31" t="n">
        <x:v>3.66</x:v>
      </x:c>
      <x:c r="R1233" s="31" t="n">
        <x:f>ABS(P1233-Q1233)</x:f>
        <x:v>1.7000000000000002</x:v>
      </x:c>
      <x:c r="S1233" s="32" t="n">
        <x:v>5753.217424022107</x:v>
      </x:c>
      <x:c r="T1233" s="32" t="n">
        <x:v>3179.416555654295</x:v>
      </x:c>
      <x:c r="U1233" s="31" t="n">
        <x:f>MAX(S1233/T1233,T1233/S1233)</x:f>
        <x:v>1.8095198673450157</x:v>
      </x:c>
      <x:c r="V1233" s="31" t="n">
        <x:f>L1233*'Controls &amp; Summary'!$B$9+O1233*'Controls &amp; Summary'!$B$10+R1233*'Controls &amp; Summary'!$B$11+U1233*'Controls &amp; Summary'!$B$12</x:f>
        <x:v>3.9095198673450167</x:v>
      </x:c>
      <x:c r="W1233" s="31" t="n">
        <x:v>0.23</x:v>
      </x:c>
      <x:c r="X1233" s="31" t="n">
        <x:v>1</x:v>
      </x:c>
      <x:c r="Y1233" s="31" t="n">
        <x:f>((10-MIN(10,MAX(0,X1233)))/10)*'Controls &amp; Summary'!$B$15+((10-MIN(10,MAX(0,W1233)))/10)*'Controls &amp; Summary'!$B$16</x:f>
        <x:v>1.877</x:v>
      </x:c>
      <x:c r="Z1233" s="31" t="n">
        <x:f>V1233*Y1233</x:f>
        <x:v>7.338168791006597</x:v>
      </x:c>
      <x:c r="AA1233" s="30" t="str">
        <x:f>IF(Z1233&lt;=I1233,"Peaceful","Hostile")</x:f>
        <x:v>Hostile</x:v>
      </x:c>
      <x:c r="AB1233" s="30" t="str">
        <x:f>IF(Z1233&lt;='Controls &amp; Summary'!$B$6,"Eligible","Blocked")</x:f>
        <x:v>Eligible</x:v>
      </x:c>
      <x:c r="AC1233" s="30" t="str">
        <x:v>2026_NGA</x:v>
      </x:c>
      <x:c r="AD1233" s="30" t="str">
        <x:v>2026_SLE</x:v>
      </x:c>
      <x:c r="AE1233" s="30" t="str">
        <x:v>2026_SierraLeone</x:v>
      </x:c>
      <x:c r="AF1233" s="30" t="str">
        <x:v>Explicit capitalClaim</x:v>
      </x:c>
      <x:c r="AG1233" s="30" t="str">
        <x:v>Claim2026_NGA2026_SierraLeone</x:v>
      </x:c>
      <x:c r="AH1233" s="30" t="str">
        <x:v>Project_EastAfricanFederation</x:v>
      </x:c>
    </x:row>
    <x:row r="1234">
      <x:c r="A1234" s="30" t="str">
        <x:v>2026</x:v>
      </x:c>
      <x:c r="B1234" s="30" t="str">
        <x:v>Base game</x:v>
      </x:c>
      <x:c r="C1234" s="30" t="str">
        <x:v>Nigeria</x:v>
      </x:c>
      <x:c r="D1234" s="30" t="str">
        <x:v>Togo</x:v>
      </x:c>
      <x:c r="E1234" s="30" t="str">
        <x:v>Project unlock</x:v>
      </x:c>
      <x:c r="F1234" s="30" t="str">
        <x:v>African Confederations</x:v>
      </x:c>
      <x:c r="G1234" s="30" t="str">
        <x:v>No</x:v>
      </x:c>
      <x:c r="H1234" s="30" t="str">
        <x:v>Ordinary claim</x:v>
      </x:c>
      <x:c r="I1234" s="31" t="n">
        <x:f>IF(G1234="Yes",'Controls &amp; Summary'!$B$5,'Controls &amp; Summary'!$B$4)</x:f>
        <x:v>6</x:v>
      </x:c>
      <x:c r="J1234" s="31" t="n">
        <x:v>4.1</x:v>
      </x:c>
      <x:c r="K1234" s="31" t="n">
        <x:v>2.88</x:v>
      </x:c>
      <x:c r="L1234" s="31" t="n">
        <x:f>ABS(J1234-K1234)</x:f>
        <x:v>1.2199999999999998</x:v>
      </x:c>
      <x:c r="M1234" s="31" t="n">
        <x:v>3.51</x:v>
      </x:c>
      <x:c r="N1234" s="31" t="n">
        <x:v>3.79</x:v>
      </x:c>
      <x:c r="O1234" s="31" t="n">
        <x:f>ABS(M1234-N1234)</x:f>
        <x:v>0.28000000000000025</x:v>
      </x:c>
      <x:c r="P1234" s="31" t="n">
        <x:v>5.36</x:v>
      </x:c>
      <x:c r="Q1234" s="31" t="n">
        <x:v>5.51</x:v>
      </x:c>
      <x:c r="R1234" s="31" t="n">
        <x:f>ABS(P1234-Q1234)</x:f>
        <x:v>0.14999999999999947</x:v>
      </x:c>
      <x:c r="S1234" s="32" t="n">
        <x:v>5753.217424022107</x:v>
      </x:c>
      <x:c r="T1234" s="32" t="n">
        <x:v>2928.365441341878</x:v>
      </x:c>
      <x:c r="U1234" s="31" t="n">
        <x:f>MAX(S1234/T1234,T1234/S1234)</x:f>
        <x:v>1.964651454630534</x:v>
      </x:c>
      <x:c r="V1234" s="31" t="n">
        <x:f>L1234*'Controls &amp; Summary'!$B$9+O1234*'Controls &amp; Summary'!$B$10+R1234*'Controls &amp; Summary'!$B$11+U1234*'Controls &amp; Summary'!$B$12</x:f>
        <x:v>3.6146514546305335</x:v>
      </x:c>
      <x:c r="W1234" s="31" t="n">
        <x:v>0.23</x:v>
      </x:c>
      <x:c r="X1234" s="31" t="n">
        <x:v>1</x:v>
      </x:c>
      <x:c r="Y1234" s="31" t="n">
        <x:f>((10-MIN(10,MAX(0,X1234)))/10)*'Controls &amp; Summary'!$B$15+((10-MIN(10,MAX(0,W1234)))/10)*'Controls &amp; Summary'!$B$16</x:f>
        <x:v>1.877</x:v>
      </x:c>
      <x:c r="Z1234" s="31" t="n">
        <x:f>V1234*Y1234</x:f>
        <x:v>6.784700780341511</x:v>
      </x:c>
      <x:c r="AA1234" s="30" t="str">
        <x:f>IF(Z1234&lt;=I1234,"Peaceful","Hostile")</x:f>
        <x:v>Hostile</x:v>
      </x:c>
      <x:c r="AB1234" s="30" t="str">
        <x:f>IF(Z1234&lt;='Controls &amp; Summary'!$B$6,"Eligible","Blocked")</x:f>
        <x:v>Eligible</x:v>
      </x:c>
      <x:c r="AC1234" s="30" t="str">
        <x:v>2026_NGA</x:v>
      </x:c>
      <x:c r="AD1234" s="30" t="str">
        <x:v>2026_TGO</x:v>
      </x:c>
      <x:c r="AE1234" s="30" t="str">
        <x:v>2026_Togo</x:v>
      </x:c>
      <x:c r="AF1234" s="30" t="str">
        <x:v>Explicit capitalClaim</x:v>
      </x:c>
      <x:c r="AG1234" s="30" t="str">
        <x:v>Claim2026_NGA2026_Togo</x:v>
      </x:c>
      <x:c r="AH1234" s="30" t="str">
        <x:v>Project_EastAfricanFederation</x:v>
      </x:c>
    </x:row>
    <x:row r="1235">
      <x:c r="A1235" s="30" t="str">
        <x:v>2026</x:v>
      </x:c>
      <x:c r="B1235" s="30" t="str">
        <x:v>Base game</x:v>
      </x:c>
      <x:c r="C1235" s="30" t="str">
        <x:v>North Korea</x:v>
      </x:c>
      <x:c r="D1235" s="30" t="str">
        <x:v>South Korea</x:v>
      </x:c>
      <x:c r="E1235" s="30" t="str">
        <x:v>Starting claim</x:v>
      </x:c>
      <x:c r="F1235" s="30" t="str"/>
      <x:c r="G1235" s="30" t="str">
        <x:v>Yes</x:v>
      </x:c>
      <x:c r="H1235" s="30" t="str">
        <x:v>Approved bilateral grievance</x:v>
      </x:c>
      <x:c r="I1235" s="31" t="n">
        <x:f>IF(G1235="Yes",'Controls &amp; Summary'!$B$5,'Controls &amp; Summary'!$B$4)</x:f>
        <x:v>3</x:v>
      </x:c>
      <x:c r="J1235" s="31" t="n">
        <x:v>1.08</x:v>
      </x:c>
      <x:c r="K1235" s="31" t="n">
        <x:v>7.75</x:v>
      </x:c>
      <x:c r="L1235" s="31" t="n">
        <x:f>ABS(J1235-K1235)</x:f>
        <x:v>6.67</x:v>
      </x:c>
      <x:c r="M1235" s="31" t="n">
        <x:v>8.6</x:v>
      </x:c>
      <x:c r="N1235" s="31" t="n">
        <x:v>3.29</x:v>
      </x:c>
      <x:c r="O1235" s="31" t="n">
        <x:f>ABS(M1235-N1235)</x:f>
        <x:v>5.31</x:v>
      </x:c>
      <x:c r="P1235" s="31" t="n">
        <x:v>4.85</x:v>
      </x:c>
      <x:c r="Q1235" s="31" t="n">
        <x:v>8.64</x:v>
      </x:c>
      <x:c r="R1235" s="31" t="n">
        <x:f>ABS(P1235-Q1235)</x:f>
        <x:v>3.790000000000001</x:v>
      </x:c>
      <x:c r="S1235" s="32" t="n">
        <x:v>6241.452332573806</x:v>
      </x:c>
      <x:c r="T1235" s="32" t="n">
        <x:v>57360.20279537433</x:v>
      </x:c>
      <x:c r="U1235" s="31" t="n">
        <x:f>MAX(S1235/T1235,T1235/S1235)</x:f>
        <x:v>9.190201212627146</x:v>
      </x:c>
      <x:c r="V1235" s="31" t="n">
        <x:f>L1235*'Controls &amp; Summary'!$B$9+O1235*'Controls &amp; Summary'!$B$10+R1235*'Controls &amp; Summary'!$B$11+U1235*'Controls &amp; Summary'!$B$12</x:f>
        <x:v>24.960201212627148</x:v>
      </x:c>
      <x:c r="W1235" s="31" t="n">
        <x:v>4.85</x:v>
      </x:c>
      <x:c r="X1235" s="31" t="n">
        <x:v>0.5</x:v>
      </x:c>
      <x:c r="Y1235" s="31" t="n">
        <x:f>((10-MIN(10,MAX(0,X1235)))/10)*'Controls &amp; Summary'!$B$15+((10-MIN(10,MAX(0,W1235)))/10)*'Controls &amp; Summary'!$B$16</x:f>
        <x:v>1.4649999999999999</x:v>
      </x:c>
      <x:c r="Z1235" s="31" t="n">
        <x:f>V1235*Y1235</x:f>
        <x:v>36.56669477649877</x:v>
      </x:c>
      <x:c r="AA1235" s="30" t="str">
        <x:f>IF(Z1235&lt;=I1235,"Peaceful","Hostile")</x:f>
        <x:v>Hostile</x:v>
      </x:c>
      <x:c r="AB1235" s="30" t="str">
        <x:f>IF(Z1235&lt;='Controls &amp; Summary'!$B$6,"Eligible","Blocked")</x:f>
        <x:v>Blocked</x:v>
      </x:c>
      <x:c r="AC1235" s="30" t="str">
        <x:v>2026_PRK</x:v>
      </x:c>
      <x:c r="AD1235" s="30" t="str">
        <x:v>2026_KOR</x:v>
      </x:c>
      <x:c r="AE1235" s="30" t="str">
        <x:v>2026_SouthKorea</x:v>
      </x:c>
      <x:c r="AF1235" s="30" t="str">
        <x:v>Explicit capitalClaim</x:v>
      </x:c>
      <x:c r="AG1235" s="30" t="str">
        <x:v>Claim2026_PRK2026_SouthKorea</x:v>
      </x:c>
      <x:c r="AH1235" s="30" t="str"/>
    </x:row>
    <x:row r="1236">
      <x:c r="A1236" s="30" t="str">
        <x:v>2026</x:v>
      </x:c>
      <x:c r="B1236" s="30" t="str">
        <x:v>Base game</x:v>
      </x:c>
      <x:c r="C1236" s="30" t="str">
        <x:v>Palestine</x:v>
      </x:c>
      <x:c r="D1236" s="30" t="str">
        <x:v>Israel</x:v>
      </x:c>
      <x:c r="E1236" s="30" t="str">
        <x:v>Starting claim</x:v>
      </x:c>
      <x:c r="F1236" s="30" t="str"/>
      <x:c r="G1236" s="30" t="str">
        <x:v>Yes</x:v>
      </x:c>
      <x:c r="H1236" s="30" t="str">
        <x:v>Template hostileClaim</x:v>
      </x:c>
      <x:c r="I1236" s="31" t="n">
        <x:f>IF(G1236="Yes",'Controls &amp; Summary'!$B$5,'Controls &amp; Summary'!$B$4)</x:f>
        <x:v>3</x:v>
      </x:c>
      <x:c r="J1236" s="31" t="n">
        <x:v>3.44</x:v>
      </x:c>
      <x:c r="K1236" s="31" t="n">
        <x:v>7.8</x:v>
      </x:c>
      <x:c r="L1236" s="31" t="n">
        <x:f>ABS(J1236-K1236)</x:f>
        <x:v>4.359999999999999</x:v>
      </x:c>
      <x:c r="M1236" s="31" t="n">
        <x:v>3.37</x:v>
      </x:c>
      <x:c r="N1236" s="31" t="n">
        <x:v>3.79</x:v>
      </x:c>
      <x:c r="O1236" s="31" t="n">
        <x:f>ABS(M1236-N1236)</x:f>
        <x:v>0.41999999999999993</x:v>
      </x:c>
      <x:c r="P1236" s="31" t="n">
        <x:v>6.83</x:v>
      </x:c>
      <x:c r="Q1236" s="31" t="n">
        <x:v>8.44</x:v>
      </x:c>
      <x:c r="R1236" s="31" t="n">
        <x:f>ABS(P1236-Q1236)</x:f>
        <x:v>1.6099999999999994</x:v>
      </x:c>
      <x:c r="S1236" s="32" t="n">
        <x:v>4663.011720790684</x:v>
      </x:c>
      <x:c r="T1236" s="32" t="n">
        <x:v>63166.51407399223</x:v>
      </x:c>
      <x:c r="U1236" s="31" t="n">
        <x:f>MAX(S1236/T1236,T1236/S1236)</x:f>
        <x:v>13.546291078865526</x:v>
      </x:c>
      <x:c r="V1236" s="31" t="n">
        <x:f>L1236*'Controls &amp; Summary'!$B$9+O1236*'Controls &amp; Summary'!$B$10+R1236*'Controls &amp; Summary'!$B$11+U1236*'Controls &amp; Summary'!$B$12</x:f>
        <x:v>19.936291078865523</x:v>
      </x:c>
      <x:c r="W1236" s="31" t="n">
        <x:v>2.57</x:v>
      </x:c>
      <x:c r="X1236" s="31" t="n">
        <x:v>4</x:v>
      </x:c>
      <x:c r="Y1236" s="31" t="n">
        <x:f>((10-MIN(10,MAX(0,X1236)))/10)*'Controls &amp; Summary'!$B$15+((10-MIN(10,MAX(0,W1236)))/10)*'Controls &amp; Summary'!$B$16</x:f>
        <x:v>1.343</x:v>
      </x:c>
      <x:c r="Z1236" s="31" t="n">
        <x:f>V1236*Y1236</x:f>
        <x:v>26.774438918916395</x:v>
      </x:c>
      <x:c r="AA1236" s="30" t="str">
        <x:f>IF(Z1236&lt;=I1236,"Peaceful","Hostile")</x:f>
        <x:v>Hostile</x:v>
      </x:c>
      <x:c r="AB1236" s="30" t="str">
        <x:f>IF(Z1236&lt;='Controls &amp; Summary'!$B$6,"Eligible","Blocked")</x:f>
        <x:v>Blocked</x:v>
      </x:c>
      <x:c r="AC1236" s="30" t="str">
        <x:v>2026_PAL</x:v>
      </x:c>
      <x:c r="AD1236" s="30" t="str">
        <x:v>2026_ISR</x:v>
      </x:c>
      <x:c r="AE1236" s="30" t="str">
        <x:v>2026_Israel</x:v>
      </x:c>
      <x:c r="AF1236" s="30" t="str">
        <x:v>Explicit capitalClaim</x:v>
      </x:c>
      <x:c r="AG1236" s="30" t="str">
        <x:v>Claim2026_PAL2026_Israel</x:v>
      </x:c>
      <x:c r="AH1236" s="30" t="str"/>
    </x:row>
    <x:row r="1237">
      <x:c r="A1237" s="30" t="str">
        <x:v>2026</x:v>
      </x:c>
      <x:c r="B1237" s="30" t="str">
        <x:v>Base game</x:v>
      </x:c>
      <x:c r="C1237" s="30" t="str">
        <x:v>Peru</x:v>
      </x:c>
      <x:c r="D1237" s="30" t="str">
        <x:v>Bolivia</x:v>
      </x:c>
      <x:c r="E1237" s="30" t="str">
        <x:v>Project unlock</x:v>
      </x:c>
      <x:c r="F1237" s="30" t="str">
        <x:v>South American Confederations</x:v>
      </x:c>
      <x:c r="G1237" s="30" t="str">
        <x:v>No</x:v>
      </x:c>
      <x:c r="H1237" s="30" t="str">
        <x:v>Ordinary claim</x:v>
      </x:c>
      <x:c r="I1237" s="31" t="n">
        <x:f>IF(G1237="Yes",'Controls &amp; Summary'!$B$5,'Controls &amp; Summary'!$B$4)</x:f>
        <x:v>6</x:v>
      </x:c>
      <x:c r="J1237" s="31" t="n">
        <x:v>5.88</x:v>
      </x:c>
      <x:c r="K1237" s="31" t="n">
        <x:v>5.38</x:v>
      </x:c>
      <x:c r="L1237" s="31" t="n">
        <x:f>ABS(J1237-K1237)</x:f>
        <x:v>0.5</x:v>
      </x:c>
      <x:c r="M1237" s="31" t="n">
        <x:v>4.03</x:v>
      </x:c>
      <x:c r="N1237" s="31" t="n">
        <x:v>4.09</x:v>
      </x:c>
      <x:c r="O1237" s="31" t="n">
        <x:f>ABS(M1237-N1237)</x:f>
        <x:v>0.05999999999999961</x:v>
      </x:c>
      <x:c r="P1237" s="31" t="n">
        <x:v>7.38</x:v>
      </x:c>
      <x:c r="Q1237" s="31" t="n">
        <x:v>7.5</x:v>
      </x:c>
      <x:c r="R1237" s="31" t="n">
        <x:f>ABS(P1237-Q1237)</x:f>
        <x:v>0.1200000000000001</x:v>
      </x:c>
      <x:c r="S1237" s="32" t="n">
        <x:v>16204.208286386049</x:v>
      </x:c>
      <x:c r="T1237" s="32" t="n">
        <x:v>9946.14053440305</x:v>
      </x:c>
      <x:c r="U1237" s="31" t="n">
        <x:f>MAX(S1237/T1237,T1237/S1237)</x:f>
        <x:v>1.6291955890163377</x:v>
      </x:c>
      <x:c r="V1237" s="31" t="n">
        <x:f>L1237*'Controls &amp; Summary'!$B$9+O1237*'Controls &amp; Summary'!$B$10+R1237*'Controls &amp; Summary'!$B$11+U1237*'Controls &amp; Summary'!$B$12</x:f>
        <x:v>2.3091955890163374</x:v>
      </x:c>
      <x:c r="W1237" s="31" t="n">
        <x:v>1.47</x:v>
      </x:c>
      <x:c r="X1237" s="31" t="n">
        <x:v>2.5</x:v>
      </x:c>
      <x:c r="Y1237" s="31" t="n">
        <x:f>((10-MIN(10,MAX(0,X1237)))/10)*'Controls &amp; Summary'!$B$15+((10-MIN(10,MAX(0,W1237)))/10)*'Controls &amp; Summary'!$B$16</x:f>
        <x:v>1.603</x:v>
      </x:c>
      <x:c r="Z1237" s="31" t="n">
        <x:f>V1237*Y1237</x:f>
        <x:v>3.7016405291931886</x:v>
      </x:c>
      <x:c r="AA1237" s="30" t="str">
        <x:f>IF(Z1237&lt;=I1237,"Peaceful","Hostile")</x:f>
        <x:v>Peaceful</x:v>
      </x:c>
      <x:c r="AB1237" s="30" t="str">
        <x:f>IF(Z1237&lt;='Controls &amp; Summary'!$B$6,"Eligible","Blocked")</x:f>
        <x:v>Eligible</x:v>
      </x:c>
      <x:c r="AC1237" s="30" t="str">
        <x:v>2026_PER</x:v>
      </x:c>
      <x:c r="AD1237" s="30" t="str">
        <x:v>2026_BOL</x:v>
      </x:c>
      <x:c r="AE1237" s="30" t="str">
        <x:v>2026_Bolivia</x:v>
      </x:c>
      <x:c r="AF1237" s="30" t="str">
        <x:v>Explicit capitalClaim</x:v>
      </x:c>
      <x:c r="AG1237" s="30" t="str">
        <x:v>Claim2026_PER2026_Bolivia</x:v>
      </x:c>
      <x:c r="AH1237" s="30" t="str">
        <x:v>Project_GranColombia</x:v>
      </x:c>
    </x:row>
    <x:row r="1238">
      <x:c r="A1238" s="30" t="str">
        <x:v>2026</x:v>
      </x:c>
      <x:c r="B1238" s="30" t="str">
        <x:v>Base game</x:v>
      </x:c>
      <x:c r="C1238" s="30" t="str">
        <x:v>Peru</x:v>
      </x:c>
      <x:c r="D1238" s="30" t="str">
        <x:v>Paraguay</x:v>
      </x:c>
      <x:c r="E1238" s="30" t="str">
        <x:v>Project unlock</x:v>
      </x:c>
      <x:c r="F1238" s="30" t="str">
        <x:v>South American Confederations</x:v>
      </x:c>
      <x:c r="G1238" s="30" t="str">
        <x:v>No</x:v>
      </x:c>
      <x:c r="H1238" s="30" t="str">
        <x:v>Ordinary claim</x:v>
      </x:c>
      <x:c r="I1238" s="31" t="n">
        <x:f>IF(G1238="Yes",'Controls &amp; Summary'!$B$5,'Controls &amp; Summary'!$B$4)</x:f>
        <x:v>6</x:v>
      </x:c>
      <x:c r="J1238" s="31" t="n">
        <x:v>5.88</x:v>
      </x:c>
      <x:c r="K1238" s="31" t="n">
        <x:v>6.04</x:v>
      </x:c>
      <x:c r="L1238" s="31" t="n">
        <x:f>ABS(J1238-K1238)</x:f>
        <x:v>0.16000000000000014</x:v>
      </x:c>
      <x:c r="M1238" s="31" t="n">
        <x:v>4.03</x:v>
      </x:c>
      <x:c r="N1238" s="31" t="n">
        <x:v>4.51</x:v>
      </x:c>
      <x:c r="O1238" s="31" t="n">
        <x:f>ABS(M1238-N1238)</x:f>
        <x:v>0.47999999999999954</x:v>
      </x:c>
      <x:c r="P1238" s="31" t="n">
        <x:v>7.38</x:v>
      </x:c>
      <x:c r="Q1238" s="31" t="n">
        <x:v>6.72</x:v>
      </x:c>
      <x:c r="R1238" s="31" t="n">
        <x:f>ABS(P1238-Q1238)</x:f>
        <x:v>0.6600000000000001</x:v>
      </x:c>
      <x:c r="S1238" s="32" t="n">
        <x:v>16204.208286386049</x:v>
      </x:c>
      <x:c r="T1238" s="32" t="n">
        <x:v>16922.37092833136</x:v>
      </x:c>
      <x:c r="U1238" s="31" t="n">
        <x:f>MAX(S1238/T1238,T1238/S1238)</x:f>
        <x:v>1.0443195143664423</x:v>
      </x:c>
      <x:c r="V1238" s="31" t="n">
        <x:f>L1238*'Controls &amp; Summary'!$B$9+O1238*'Controls &amp; Summary'!$B$10+R1238*'Controls &amp; Summary'!$B$11+U1238*'Controls &amp; Summary'!$B$12</x:f>
        <x:v>2.3443195143664424</x:v>
      </x:c>
      <x:c r="W1238" s="31" t="n">
        <x:v>1.47</x:v>
      </x:c>
      <x:c r="X1238" s="31" t="n">
        <x:v>1</x:v>
      </x:c>
      <x:c r="Y1238" s="31" t="n">
        <x:f>((10-MIN(10,MAX(0,X1238)))/10)*'Controls &amp; Summary'!$B$15+((10-MIN(10,MAX(0,W1238)))/10)*'Controls &amp; Summary'!$B$16</x:f>
        <x:v>1.7530000000000001</x:v>
      </x:c>
      <x:c r="Z1238" s="31" t="n">
        <x:f>V1238*Y1238</x:f>
        <x:v>4.109592108684374</x:v>
      </x:c>
      <x:c r="AA1238" s="30" t="str">
        <x:f>IF(Z1238&lt;=I1238,"Peaceful","Hostile")</x:f>
        <x:v>Peaceful</x:v>
      </x:c>
      <x:c r="AB1238" s="30" t="str">
        <x:f>IF(Z1238&lt;='Controls &amp; Summary'!$B$6,"Eligible","Blocked")</x:f>
        <x:v>Eligible</x:v>
      </x:c>
      <x:c r="AC1238" s="30" t="str">
        <x:v>2026_PER</x:v>
      </x:c>
      <x:c r="AD1238" s="30" t="str">
        <x:v>2026_PRY</x:v>
      </x:c>
      <x:c r="AE1238" s="30" t="str">
        <x:v>2026_Paraguay</x:v>
      </x:c>
      <x:c r="AF1238" s="30" t="str">
        <x:v>Explicit capitalClaim</x:v>
      </x:c>
      <x:c r="AG1238" s="30" t="str">
        <x:v>Claim2026_PER2026_Paraguay</x:v>
      </x:c>
      <x:c r="AH1238" s="30" t="str">
        <x:v>Project_GranColombia</x:v>
      </x:c>
    </x:row>
    <x:row r="1239">
      <x:c r="A1239" s="30" t="str">
        <x:v>2026</x:v>
      </x:c>
      <x:c r="B1239" s="30" t="str">
        <x:v>Base game</x:v>
      </x:c>
      <x:c r="C1239" s="30" t="str">
        <x:v>Poland</x:v>
      </x:c>
      <x:c r="D1239" s="30" t="str">
        <x:v>Albania</x:v>
      </x:c>
      <x:c r="E1239" s="30" t="str">
        <x:v>Project unlock</x:v>
      </x:c>
      <x:c r="F1239" s="30" t="str">
        <x:v>Slavic Commonwealth</x:v>
      </x:c>
      <x:c r="G1239" s="30" t="str">
        <x:v>No</x:v>
      </x:c>
      <x:c r="H1239" s="30" t="str">
        <x:v>Ordinary claim</x:v>
      </x:c>
      <x:c r="I1239" s="31" t="n">
        <x:f>IF(G1239="Yes",'Controls &amp; Summary'!$B$5,'Controls &amp; Summary'!$B$4)</x:f>
        <x:v>6</x:v>
      </x:c>
      <x:c r="J1239" s="31" t="n">
        <x:v>7.65</x:v>
      </x:c>
      <x:c r="K1239" s="31" t="n">
        <x:v>6.2</x:v>
      </x:c>
      <x:c r="L1239" s="31" t="n">
        <x:f>ABS(J1239-K1239)</x:f>
        <x:v>1.4500000000000002</x:v>
      </x:c>
      <x:c r="M1239" s="31" t="n">
        <x:v>2.85</x:v>
      </x:c>
      <x:c r="N1239" s="31" t="n">
        <x:v>2.94</x:v>
      </x:c>
      <x:c r="O1239" s="31" t="n">
        <x:f>ABS(M1239-N1239)</x:f>
        <x:v>0.08999999999999986</x:v>
      </x:c>
      <x:c r="P1239" s="31" t="n">
        <x:v>8.82</x:v>
      </x:c>
      <x:c r="Q1239" s="31" t="n">
        <x:v>7.27</x:v>
      </x:c>
      <x:c r="R1239" s="31" t="n">
        <x:f>ABS(P1239-Q1239)</x:f>
        <x:v>1.5500000000000007</x:v>
      </x:c>
      <x:c r="S1239" s="32" t="n">
        <x:v>46967.66966440565</x:v>
      </x:c>
      <x:c r="T1239" s="32" t="n">
        <x:v>20178.079079615778</x:v>
      </x:c>
      <x:c r="U1239" s="31" t="n">
        <x:f>MAX(S1239/T1239,T1239/S1239)</x:f>
        <x:v>2.3276581224152872</x:v>
      </x:c>
      <x:c r="V1239" s="31" t="n">
        <x:f>L1239*'Controls &amp; Summary'!$B$9+O1239*'Controls &amp; Summary'!$B$10+R1239*'Controls &amp; Summary'!$B$11+U1239*'Controls &amp; Summary'!$B$12</x:f>
        <x:v>5.417658122415288</x:v>
      </x:c>
      <x:c r="W1239" s="31" t="n">
        <x:v>5.13</x:v>
      </x:c>
      <x:c r="X1239" s="31" t="n">
        <x:v>1</x:v>
      </x:c>
      <x:c r="Y1239" s="31" t="n">
        <x:f>((10-MIN(10,MAX(0,X1239)))/10)*'Controls &amp; Summary'!$B$15+((10-MIN(10,MAX(0,W1239)))/10)*'Controls &amp; Summary'!$B$16</x:f>
        <x:v>1.387</x:v>
      </x:c>
      <x:c r="Z1239" s="31" t="n">
        <x:f>V1239*Y1239</x:f>
        <x:v>7.5142918157900045</x:v>
      </x:c>
      <x:c r="AA1239" s="30" t="str">
        <x:f>IF(Z1239&lt;=I1239,"Peaceful","Hostile")</x:f>
        <x:v>Hostile</x:v>
      </x:c>
      <x:c r="AB1239" s="30" t="str">
        <x:f>IF(Z1239&lt;='Controls &amp; Summary'!$B$6,"Eligible","Blocked")</x:f>
        <x:v>Eligible</x:v>
      </x:c>
      <x:c r="AC1239" s="30" t="str">
        <x:v>2026_POL</x:v>
      </x:c>
      <x:c r="AD1239" s="30" t="str">
        <x:v>2026_SBK</x:v>
      </x:c>
      <x:c r="AE1239" s="30" t="str">
        <x:v>2026_Tirana</x:v>
      </x:c>
      <x:c r="AF1239" s="30" t="str">
        <x:v>Explicit capitalClaim</x:v>
      </x:c>
      <x:c r="AG1239" s="30" t="str">
        <x:v>Claim2026_POL2026_Tirana</x:v>
      </x:c>
      <x:c r="AH1239" s="30" t="str">
        <x:v>Project_SlavicCommonwealth</x:v>
      </x:c>
    </x:row>
    <x:row r="1240">
      <x:c r="A1240" s="30" t="str">
        <x:v>2026</x:v>
      </x:c>
      <x:c r="B1240" s="30" t="str">
        <x:v>Base game</x:v>
      </x:c>
      <x:c r="C1240" s="30" t="str">
        <x:v>Poland</x:v>
      </x:c>
      <x:c r="D1240" s="30" t="str">
        <x:v>Belarus</x:v>
      </x:c>
      <x:c r="E1240" s="30" t="str">
        <x:v>Project unlock</x:v>
      </x:c>
      <x:c r="F1240" s="30" t="str">
        <x:v>Slavic Commonwealth</x:v>
      </x:c>
      <x:c r="G1240" s="30" t="str">
        <x:v>No</x:v>
      </x:c>
      <x:c r="H1240" s="30" t="str">
        <x:v>Ordinary claim</x:v>
      </x:c>
      <x:c r="I1240" s="31" t="n">
        <x:f>IF(G1240="Yes",'Controls &amp; Summary'!$B$5,'Controls &amp; Summary'!$B$4)</x:f>
        <x:v>6</x:v>
      </x:c>
      <x:c r="J1240" s="31" t="n">
        <x:v>7.65</x:v>
      </x:c>
      <x:c r="K1240" s="31" t="n">
        <x:v>1.99</x:v>
      </x:c>
      <x:c r="L1240" s="31" t="n">
        <x:f>ABS(J1240-K1240)</x:f>
        <x:v>5.66</x:v>
      </x:c>
      <x:c r="M1240" s="31" t="n">
        <x:v>2.85</x:v>
      </x:c>
      <x:c r="N1240" s="31" t="n">
        <x:v>2.44</x:v>
      </x:c>
      <x:c r="O1240" s="31" t="n">
        <x:f>ABS(M1240-N1240)</x:f>
        <x:v>0.41000000000000014</x:v>
      </x:c>
      <x:c r="P1240" s="31" t="n">
        <x:v>8.82</x:v>
      </x:c>
      <x:c r="Q1240" s="31" t="n">
        <x:v>7.73</x:v>
      </x:c>
      <x:c r="R1240" s="31" t="n">
        <x:f>ABS(P1240-Q1240)</x:f>
        <x:v>1.0899999999999999</x:v>
      </x:c>
      <x:c r="S1240" s="32" t="n">
        <x:v>46967.66966440565</x:v>
      </x:c>
      <x:c r="T1240" s="32" t="n">
        <x:v>30701.077249704544</x:v>
      </x:c>
      <x:c r="U1240" s="31" t="n">
        <x:f>MAX(S1240/T1240,T1240/S1240)</x:f>
        <x:v>1.5298378386659919</x:v>
      </x:c>
      <x:c r="V1240" s="31" t="n">
        <x:f>L1240*'Controls &amp; Summary'!$B$9+O1240*'Controls &amp; Summary'!$B$10+R1240*'Controls &amp; Summary'!$B$11+U1240*'Controls &amp; Summary'!$B$12</x:f>
        <x:v>8.689837838665992</x:v>
      </x:c>
      <x:c r="W1240" s="31" t="n">
        <x:v>5.13</x:v>
      </x:c>
      <x:c r="X1240" s="31" t="n">
        <x:v>1</x:v>
      </x:c>
      <x:c r="Y1240" s="31" t="n">
        <x:f>((10-MIN(10,MAX(0,X1240)))/10)*'Controls &amp; Summary'!$B$15+((10-MIN(10,MAX(0,W1240)))/10)*'Controls &amp; Summary'!$B$16</x:f>
        <x:v>1.387</x:v>
      </x:c>
      <x:c r="Z1240" s="31" t="n">
        <x:f>V1240*Y1240</x:f>
        <x:v>12.052805082229732</x:v>
      </x:c>
      <x:c r="AA1240" s="30" t="str">
        <x:f>IF(Z1240&lt;=I1240,"Peaceful","Hostile")</x:f>
        <x:v>Hostile</x:v>
      </x:c>
      <x:c r="AB1240" s="30" t="str">
        <x:f>IF(Z1240&lt;='Controls &amp; Summary'!$B$6,"Eligible","Blocked")</x:f>
        <x:v>Blocked</x:v>
      </x:c>
      <x:c r="AC1240" s="30" t="str">
        <x:v>2026_POL</x:v>
      </x:c>
      <x:c r="AD1240" s="30" t="str">
        <x:v>2026_BLR</x:v>
      </x:c>
      <x:c r="AE1240" s="30" t="str">
        <x:v>2026_Belarus</x:v>
      </x:c>
      <x:c r="AF1240" s="30" t="str">
        <x:v>Explicit capitalClaim</x:v>
      </x:c>
      <x:c r="AG1240" s="30" t="str">
        <x:v>Claim2026_POL2026_Belarus</x:v>
      </x:c>
      <x:c r="AH1240" s="30" t="str">
        <x:v>Project_SlavicCommonwealth</x:v>
      </x:c>
    </x:row>
    <x:row r="1241">
      <x:c r="A1241" s="30" t="str">
        <x:v>2026</x:v>
      </x:c>
      <x:c r="B1241" s="30" t="str">
        <x:v>Base game</x:v>
      </x:c>
      <x:c r="C1241" s="30" t="str">
        <x:v>Poland</x:v>
      </x:c>
      <x:c r="D1241" s="30" t="str">
        <x:v>Bosnia and Herzegovina</x:v>
      </x:c>
      <x:c r="E1241" s="30" t="str">
        <x:v>Project unlock</x:v>
      </x:c>
      <x:c r="F1241" s="30" t="str">
        <x:v>Slavic Commonwealth</x:v>
      </x:c>
      <x:c r="G1241" s="30" t="str">
        <x:v>No</x:v>
      </x:c>
      <x:c r="H1241" s="30" t="str">
        <x:v>Ordinary claim</x:v>
      </x:c>
      <x:c r="I1241" s="31" t="n">
        <x:f>IF(G1241="Yes",'Controls &amp; Summary'!$B$5,'Controls &amp; Summary'!$B$4)</x:f>
        <x:v>6</x:v>
      </x:c>
      <x:c r="J1241" s="31" t="n">
        <x:v>7.65</x:v>
      </x:c>
      <x:c r="K1241" s="31" t="n">
        <x:v>5.23</x:v>
      </x:c>
      <x:c r="L1241" s="31" t="n">
        <x:f>ABS(J1241-K1241)</x:f>
        <x:v>2.42</x:v>
      </x:c>
      <x:c r="M1241" s="31" t="n">
        <x:v>2.85</x:v>
      </x:c>
      <x:c r="N1241" s="31" t="n">
        <x:v>3.3</x:v>
      </x:c>
      <x:c r="O1241" s="31" t="n">
        <x:f>ABS(M1241-N1241)</x:f>
        <x:v>0.44999999999999973</x:v>
      </x:c>
      <x:c r="P1241" s="31" t="n">
        <x:v>8.82</x:v>
      </x:c>
      <x:c r="Q1241" s="31" t="n">
        <x:v>7.18</x:v>
      </x:c>
      <x:c r="R1241" s="31" t="n">
        <x:f>ABS(P1241-Q1241)</x:f>
        <x:v>1.6400000000000006</x:v>
      </x:c>
      <x:c r="S1241" s="32" t="n">
        <x:v>46967.66966440565</x:v>
      </x:c>
      <x:c r="T1241" s="32" t="n">
        <x:v>22225.761517569925</x:v>
      </x:c>
      <x:c r="U1241" s="31" t="n">
        <x:f>MAX(S1241/T1241,T1241/S1241)</x:f>
        <x:v>2.113208567781884</x:v>
      </x:c>
      <x:c r="V1241" s="31" t="n">
        <x:f>L1241*'Controls &amp; Summary'!$B$9+O1241*'Controls &amp; Summary'!$B$10+R1241*'Controls &amp; Summary'!$B$11+U1241*'Controls &amp; Summary'!$B$12</x:f>
        <x:v>6.623208567781884</x:v>
      </x:c>
      <x:c r="W1241" s="31" t="n">
        <x:v>5.13</x:v>
      </x:c>
      <x:c r="X1241" s="31" t="n">
        <x:v>1</x:v>
      </x:c>
      <x:c r="Y1241" s="31" t="n">
        <x:f>((10-MIN(10,MAX(0,X1241)))/10)*'Controls &amp; Summary'!$B$15+((10-MIN(10,MAX(0,W1241)))/10)*'Controls &amp; Summary'!$B$16</x:f>
        <x:v>1.387</x:v>
      </x:c>
      <x:c r="Z1241" s="31" t="n">
        <x:f>V1241*Y1241</x:f>
        <x:v>9.186390283513473</x:v>
      </x:c>
      <x:c r="AA1241" s="30" t="str">
        <x:f>IF(Z1241&lt;=I1241,"Peaceful","Hostile")</x:f>
        <x:v>Hostile</x:v>
      </x:c>
      <x:c r="AB1241" s="30" t="str">
        <x:f>IF(Z1241&lt;='Controls &amp; Summary'!$B$6,"Eligible","Blocked")</x:f>
        <x:v>Eligible</x:v>
      </x:c>
      <x:c r="AC1241" s="30" t="str">
        <x:v>2026_POL</x:v>
      </x:c>
      <x:c r="AD1241" s="30" t="str">
        <x:v>2026_BSM</x:v>
      </x:c>
      <x:c r="AE1241" s="30" t="str">
        <x:v>2026_Sarajevo</x:v>
      </x:c>
      <x:c r="AF1241" s="30" t="str">
        <x:v>Explicit capitalClaim</x:v>
      </x:c>
      <x:c r="AG1241" s="30" t="str">
        <x:v>Claim2026_POL2026_Sarajevo</x:v>
      </x:c>
      <x:c r="AH1241" s="30" t="str">
        <x:v>Project_SlavicCommonwealth</x:v>
      </x:c>
    </x:row>
    <x:row r="1242">
      <x:c r="A1242" s="30" t="str">
        <x:v>2026</x:v>
      </x:c>
      <x:c r="B1242" s="30" t="str">
        <x:v>Base game</x:v>
      </x:c>
      <x:c r="C1242" s="30" t="str">
        <x:v>Poland</x:v>
      </x:c>
      <x:c r="D1242" s="30" t="str">
        <x:v>Bulgaria</x:v>
      </x:c>
      <x:c r="E1242" s="30" t="str">
        <x:v>Project unlock</x:v>
      </x:c>
      <x:c r="F1242" s="30" t="str">
        <x:v>Slavic Commonwealth</x:v>
      </x:c>
      <x:c r="G1242" s="30" t="str">
        <x:v>No</x:v>
      </x:c>
      <x:c r="H1242" s="30" t="str">
        <x:v>Ordinary claim</x:v>
      </x:c>
      <x:c r="I1242" s="31" t="n">
        <x:f>IF(G1242="Yes",'Controls &amp; Summary'!$B$5,'Controls &amp; Summary'!$B$4)</x:f>
        <x:v>6</x:v>
      </x:c>
      <x:c r="J1242" s="31" t="n">
        <x:v>7.65</x:v>
      </x:c>
      <x:c r="K1242" s="31" t="n">
        <x:v>6.34</x:v>
      </x:c>
      <x:c r="L1242" s="31" t="n">
        <x:f>ABS(J1242-K1242)</x:f>
        <x:v>1.3100000000000005</x:v>
      </x:c>
      <x:c r="M1242" s="31" t="n">
        <x:v>2.85</x:v>
      </x:c>
      <x:c r="N1242" s="31" t="n">
        <x:v>3.9</x:v>
      </x:c>
      <x:c r="O1242" s="31" t="n">
        <x:f>ABS(M1242-N1242)</x:f>
        <x:v>1.0499999999999998</x:v>
      </x:c>
      <x:c r="P1242" s="31" t="n">
        <x:v>8.82</x:v>
      </x:c>
      <x:c r="Q1242" s="31" t="n">
        <x:v>7.9</x:v>
      </x:c>
      <x:c r="R1242" s="31" t="n">
        <x:f>ABS(P1242-Q1242)</x:f>
        <x:v>0.9199999999999999</x:v>
      </x:c>
      <x:c r="S1242" s="32" t="n">
        <x:v>46967.66966440565</x:v>
      </x:c>
      <x:c r="T1242" s="32" t="n">
        <x:v>34935.06267567073</x:v>
      </x:c>
      <x:c r="U1242" s="31" t="n">
        <x:f>MAX(S1242/T1242,T1242/S1242)</x:f>
        <x:v>1.3444278059679737</x:v>
      </x:c>
      <x:c r="V1242" s="31" t="n">
        <x:f>L1242*'Controls &amp; Summary'!$B$9+O1242*'Controls &amp; Summary'!$B$10+R1242*'Controls &amp; Summary'!$B$11+U1242*'Controls &amp; Summary'!$B$12</x:f>
        <x:v>4.624427805967974</x:v>
      </x:c>
      <x:c r="W1242" s="31" t="n">
        <x:v>5.13</x:v>
      </x:c>
      <x:c r="X1242" s="31" t="n">
        <x:v>0.5</x:v>
      </x:c>
      <x:c r="Y1242" s="31" t="n">
        <x:f>((10-MIN(10,MAX(0,X1242)))/10)*'Controls &amp; Summary'!$B$15+((10-MIN(10,MAX(0,W1242)))/10)*'Controls &amp; Summary'!$B$16</x:f>
        <x:v>1.4369999999999998</x:v>
      </x:c>
      <x:c r="Z1242" s="31" t="n">
        <x:f>V1242*Y1242</x:f>
        <x:v>6.645302757175978</x:v>
      </x:c>
      <x:c r="AA1242" s="30" t="str">
        <x:f>IF(Z1242&lt;=I1242,"Peaceful","Hostile")</x:f>
        <x:v>Hostile</x:v>
      </x:c>
      <x:c r="AB1242" s="30" t="str">
        <x:f>IF(Z1242&lt;='Controls &amp; Summary'!$B$6,"Eligible","Blocked")</x:f>
        <x:v>Eligible</x:v>
      </x:c>
      <x:c r="AC1242" s="30" t="str">
        <x:v>2026_POL</x:v>
      </x:c>
      <x:c r="AD1242" s="30" t="str">
        <x:v>2026_BUL</x:v>
      </x:c>
      <x:c r="AE1242" s="30" t="str">
        <x:v>2026_Bulgaria</x:v>
      </x:c>
      <x:c r="AF1242" s="30" t="str">
        <x:v>Explicit capitalClaim</x:v>
      </x:c>
      <x:c r="AG1242" s="30" t="str">
        <x:v>Claim2026_POL2026_Bulgaria</x:v>
      </x:c>
      <x:c r="AH1242" s="30" t="str">
        <x:v>Project_SlavicCommonwealth</x:v>
      </x:c>
    </x:row>
    <x:row r="1243">
      <x:c r="A1243" s="30" t="str">
        <x:v>2026</x:v>
      </x:c>
      <x:c r="B1243" s="30" t="str">
        <x:v>Base game</x:v>
      </x:c>
      <x:c r="C1243" s="30" t="str">
        <x:v>Poland</x:v>
      </x:c>
      <x:c r="D1243" s="30" t="str">
        <x:v>Croatia</x:v>
      </x:c>
      <x:c r="E1243" s="30" t="str">
        <x:v>Project unlock</x:v>
      </x:c>
      <x:c r="F1243" s="30" t="str">
        <x:v>Slavic Commonwealth</x:v>
      </x:c>
      <x:c r="G1243" s="30" t="str">
        <x:v>No</x:v>
      </x:c>
      <x:c r="H1243" s="30" t="str">
        <x:v>Ordinary claim</x:v>
      </x:c>
      <x:c r="I1243" s="31" t="n">
        <x:f>IF(G1243="Yes",'Controls &amp; Summary'!$B$5,'Controls &amp; Summary'!$B$4)</x:f>
        <x:v>6</x:v>
      </x:c>
      <x:c r="J1243" s="31" t="n">
        <x:v>7.65</x:v>
      </x:c>
      <x:c r="K1243" s="31" t="n">
        <x:v>6.5</x:v>
      </x:c>
      <x:c r="L1243" s="31" t="n">
        <x:f>ABS(J1243-K1243)</x:f>
        <x:v>1.1500000000000004</x:v>
      </x:c>
      <x:c r="M1243" s="31" t="n">
        <x:v>2.85</x:v>
      </x:c>
      <x:c r="N1243" s="31" t="n">
        <x:v>2.89</x:v>
      </x:c>
      <x:c r="O1243" s="31" t="n">
        <x:f>ABS(M1243-N1243)</x:f>
        <x:v>0.040000000000000036</x:v>
      </x:c>
      <x:c r="P1243" s="31" t="n">
        <x:v>8.82</x:v>
      </x:c>
      <x:c r="Q1243" s="31" t="n">
        <x:v>8.36</x:v>
      </x:c>
      <x:c r="R1243" s="31" t="n">
        <x:f>ABS(P1243-Q1243)</x:f>
        <x:v>0.46000000000000085</x:v>
      </x:c>
      <x:c r="S1243" s="32" t="n">
        <x:v>46967.66966440565</x:v>
      </x:c>
      <x:c r="T1243" s="32" t="n">
        <x:v>45646.282583074004</x:v>
      </x:c>
      <x:c r="U1243" s="31" t="n">
        <x:f>MAX(S1243/T1243,T1243/S1243)</x:f>
        <x:v>1.0289484051396034</x:v>
      </x:c>
      <x:c r="V1243" s="31" t="n">
        <x:f>L1243*'Controls &amp; Summary'!$B$9+O1243*'Controls &amp; Summary'!$B$10+R1243*'Controls &amp; Summary'!$B$11+U1243*'Controls &amp; Summary'!$B$12</x:f>
        <x:v>2.6789484051396046</x:v>
      </x:c>
      <x:c r="W1243" s="31" t="n">
        <x:v>5.13</x:v>
      </x:c>
      <x:c r="X1243" s="31" t="n">
        <x:v>1</x:v>
      </x:c>
      <x:c r="Y1243" s="31" t="n">
        <x:f>((10-MIN(10,MAX(0,X1243)))/10)*'Controls &amp; Summary'!$B$15+((10-MIN(10,MAX(0,W1243)))/10)*'Controls &amp; Summary'!$B$16</x:f>
        <x:v>1.387</x:v>
      </x:c>
      <x:c r="Z1243" s="31" t="n">
        <x:f>V1243*Y1243</x:f>
        <x:v>3.7157014379286317</x:v>
      </x:c>
      <x:c r="AA1243" s="30" t="str">
        <x:f>IF(Z1243&lt;=I1243,"Peaceful","Hostile")</x:f>
        <x:v>Peaceful</x:v>
      </x:c>
      <x:c r="AB1243" s="30" t="str">
        <x:f>IF(Z1243&lt;='Controls &amp; Summary'!$B$6,"Eligible","Blocked")</x:f>
        <x:v>Eligible</x:v>
      </x:c>
      <x:c r="AC1243" s="30" t="str">
        <x:v>2026_POL</x:v>
      </x:c>
      <x:c r="AD1243" s="30" t="str">
        <x:v>2026_CRS</x:v>
      </x:c>
      <x:c r="AE1243" s="30" t="str">
        <x:v>2026_Zagreb</x:v>
      </x:c>
      <x:c r="AF1243" s="30" t="str">
        <x:v>Explicit capitalClaim</x:v>
      </x:c>
      <x:c r="AG1243" s="30" t="str">
        <x:v>Claim2026_POL2026_Zagreb</x:v>
      </x:c>
      <x:c r="AH1243" s="30" t="str">
        <x:v>Project_SlavicCommonwealth</x:v>
      </x:c>
    </x:row>
    <x:row r="1244">
      <x:c r="A1244" s="30" t="str">
        <x:v>2026</x:v>
      </x:c>
      <x:c r="B1244" s="30" t="str">
        <x:v>Base game</x:v>
      </x:c>
      <x:c r="C1244" s="30" t="str">
        <x:v>Poland</x:v>
      </x:c>
      <x:c r="D1244" s="30" t="str">
        <x:v>Czechia</x:v>
      </x:c>
      <x:c r="E1244" s="30" t="str">
        <x:v>Project unlock</x:v>
      </x:c>
      <x:c r="F1244" s="30" t="str">
        <x:v>Slavic Commonwealth</x:v>
      </x:c>
      <x:c r="G1244" s="30" t="str">
        <x:v>No</x:v>
      </x:c>
      <x:c r="H1244" s="30" t="str">
        <x:v>Ordinary claim</x:v>
      </x:c>
      <x:c r="I1244" s="31" t="n">
        <x:f>IF(G1244="Yes",'Controls &amp; Summary'!$B$5,'Controls &amp; Summary'!$B$4)</x:f>
        <x:v>6</x:v>
      </x:c>
      <x:c r="J1244" s="31" t="n">
        <x:v>7.65</x:v>
      </x:c>
      <x:c r="K1244" s="31" t="n">
        <x:v>8.15</x:v>
      </x:c>
      <x:c r="L1244" s="31" t="n">
        <x:f>ABS(J1244-K1244)</x:f>
        <x:v>0.5</x:v>
      </x:c>
      <x:c r="M1244" s="31" t="n">
        <x:v>2.85</x:v>
      </x:c>
      <x:c r="N1244" s="31" t="n">
        <x:v>2.62</x:v>
      </x:c>
      <x:c r="O1244" s="31" t="n">
        <x:f>ABS(M1244-N1244)</x:f>
        <x:v>0.22999999999999998</x:v>
      </x:c>
      <x:c r="P1244" s="31" t="n">
        <x:v>8.82</x:v>
      </x:c>
      <x:c r="Q1244" s="31" t="n">
        <x:v>8.79</x:v>
      </x:c>
      <x:c r="R1244" s="31" t="n">
        <x:f>ABS(P1244-Q1244)</x:f>
        <x:v>0.030000000000001137</x:v>
      </x:c>
      <x:c r="S1244" s="32" t="n">
        <x:v>46967.66966440565</x:v>
      </x:c>
      <x:c r="T1244" s="32" t="n">
        <x:v>54108.58755515526</x:v>
      </x:c>
      <x:c r="U1244" s="31" t="n">
        <x:f>MAX(S1244/T1244,T1244/S1244)</x:f>
        <x:v>1.1520390077211204</x:v>
      </x:c>
      <x:c r="V1244" s="31" t="n">
        <x:f>L1244*'Controls &amp; Summary'!$B$9+O1244*'Controls &amp; Summary'!$B$10+R1244*'Controls &amp; Summary'!$B$11+U1244*'Controls &amp; Summary'!$B$12</x:f>
        <x:v>1.9120390077211216</x:v>
      </x:c>
      <x:c r="W1244" s="31" t="n">
        <x:v>5.13</x:v>
      </x:c>
      <x:c r="X1244" s="31" t="n">
        <x:v>0.5</x:v>
      </x:c>
      <x:c r="Y1244" s="31" t="n">
        <x:f>((10-MIN(10,MAX(0,X1244)))/10)*'Controls &amp; Summary'!$B$15+((10-MIN(10,MAX(0,W1244)))/10)*'Controls &amp; Summary'!$B$16</x:f>
        <x:v>1.4369999999999998</x:v>
      </x:c>
      <x:c r="Z1244" s="31" t="n">
        <x:f>V1244*Y1244</x:f>
        <x:v>2.747600054095251</x:v>
      </x:c>
      <x:c r="AA1244" s="30" t="str">
        <x:f>IF(Z1244&lt;=I1244,"Peaceful","Hostile")</x:f>
        <x:v>Peaceful</x:v>
      </x:c>
      <x:c r="AB1244" s="30" t="str">
        <x:f>IF(Z1244&lt;='Controls &amp; Summary'!$B$6,"Eligible","Blocked")</x:f>
        <x:v>Eligible</x:v>
      </x:c>
      <x:c r="AC1244" s="30" t="str">
        <x:v>2026_POL</x:v>
      </x:c>
      <x:c r="AD1244" s="30" t="str">
        <x:v>2026_CZE</x:v>
      </x:c>
      <x:c r="AE1244" s="30" t="str">
        <x:v>2026_Czechia</x:v>
      </x:c>
      <x:c r="AF1244" s="30" t="str">
        <x:v>Explicit capitalClaim</x:v>
      </x:c>
      <x:c r="AG1244" s="30" t="str">
        <x:v>Claim2026_POL2026_Czechia</x:v>
      </x:c>
      <x:c r="AH1244" s="30" t="str">
        <x:v>Project_SlavicCommonwealth</x:v>
      </x:c>
    </x:row>
    <x:row r="1245">
      <x:c r="A1245" s="30" t="str">
        <x:v>2026</x:v>
      </x:c>
      <x:c r="B1245" s="30" t="str">
        <x:v>Base game</x:v>
      </x:c>
      <x:c r="C1245" s="30" t="str">
        <x:v>Poland</x:v>
      </x:c>
      <x:c r="D1245" s="30" t="str">
        <x:v>Estonia</x:v>
      </x:c>
      <x:c r="E1245" s="30" t="str">
        <x:v>Project unlock</x:v>
      </x:c>
      <x:c r="F1245" s="30" t="str">
        <x:v>Slavic Commonwealth</x:v>
      </x:c>
      <x:c r="G1245" s="30" t="str">
        <x:v>No</x:v>
      </x:c>
      <x:c r="H1245" s="30" t="str">
        <x:v>Ordinary claim</x:v>
      </x:c>
      <x:c r="I1245" s="31" t="n">
        <x:f>IF(G1245="Yes",'Controls &amp; Summary'!$B$5,'Controls &amp; Summary'!$B$4)</x:f>
        <x:v>6</x:v>
      </x:c>
      <x:c r="J1245" s="31" t="n">
        <x:v>7.65</x:v>
      </x:c>
      <x:c r="K1245" s="31" t="n">
        <x:v>8.07</x:v>
      </x:c>
      <x:c r="L1245" s="31" t="n">
        <x:f>ABS(J1245-K1245)</x:f>
        <x:v>0.41999999999999993</x:v>
      </x:c>
      <x:c r="M1245" s="31" t="n">
        <x:v>2.85</x:v>
      </x:c>
      <x:c r="N1245" s="31" t="n">
        <x:v>3.18</x:v>
      </x:c>
      <x:c r="O1245" s="31" t="n">
        <x:f>ABS(M1245-N1245)</x:f>
        <x:v>0.33000000000000007</x:v>
      </x:c>
      <x:c r="P1245" s="31" t="n">
        <x:v>8.82</x:v>
      </x:c>
      <x:c r="Q1245" s="31" t="n">
        <x:v>8.76</x:v>
      </x:c>
      <x:c r="R1245" s="31" t="n">
        <x:f>ABS(P1245-Q1245)</x:f>
        <x:v>0.0600000000000005</x:v>
      </x:c>
      <x:c r="S1245" s="32" t="n">
        <x:v>46967.66966440565</x:v>
      </x:c>
      <x:c r="T1245" s="32" t="n">
        <x:v>45111.94820376511</x:v>
      </x:c>
      <x:c r="U1245" s="31" t="n">
        <x:f>MAX(S1245/T1245,T1245/S1245)</x:f>
        <x:v>1.0411359192970002</x:v>
      </x:c>
      <x:c r="V1245" s="31" t="n">
        <x:f>L1245*'Controls &amp; Summary'!$B$9+O1245*'Controls &amp; Summary'!$B$10+R1245*'Controls &amp; Summary'!$B$11+U1245*'Controls &amp; Summary'!$B$12</x:f>
        <x:v>1.8511359192970007</x:v>
      </x:c>
      <x:c r="W1245" s="31" t="n">
        <x:v>5.13</x:v>
      </x:c>
      <x:c r="X1245" s="31" t="n">
        <x:v>0</x:v>
      </x:c>
      <x:c r="Y1245" s="31" t="n">
        <x:f>((10-MIN(10,MAX(0,X1245)))/10)*'Controls &amp; Summary'!$B$15+((10-MIN(10,MAX(0,W1245)))/10)*'Controls &amp; Summary'!$B$16</x:f>
        <x:v>1.487</x:v>
      </x:c>
      <x:c r="Z1245" s="31" t="n">
        <x:f>V1245*Y1245</x:f>
        <x:v>2.75263911199464</x:v>
      </x:c>
      <x:c r="AA1245" s="30" t="str">
        <x:f>IF(Z1245&lt;=I1245,"Peaceful","Hostile")</x:f>
        <x:v>Peaceful</x:v>
      </x:c>
      <x:c r="AB1245" s="30" t="str">
        <x:f>IF(Z1245&lt;='Controls &amp; Summary'!$B$6,"Eligible","Blocked")</x:f>
        <x:v>Eligible</x:v>
      </x:c>
      <x:c r="AC1245" s="30" t="str">
        <x:v>2026_POL</x:v>
      </x:c>
      <x:c r="AD1245" s="30" t="str">
        <x:v>2026_EST</x:v>
      </x:c>
      <x:c r="AE1245" s="30" t="str">
        <x:v>2026_Estonia</x:v>
      </x:c>
      <x:c r="AF1245" s="30" t="str">
        <x:v>Explicit capitalClaim</x:v>
      </x:c>
      <x:c r="AG1245" s="30" t="str">
        <x:v>Claim2026_POL2026_Estonia</x:v>
      </x:c>
      <x:c r="AH1245" s="30" t="str">
        <x:v>Project_SlavicCommonwealth</x:v>
      </x:c>
    </x:row>
    <x:row r="1246">
      <x:c r="A1246" s="30" t="str">
        <x:v>2026</x:v>
      </x:c>
      <x:c r="B1246" s="30" t="str">
        <x:v>Base game</x:v>
      </x:c>
      <x:c r="C1246" s="30" t="str">
        <x:v>Poland</x:v>
      </x:c>
      <x:c r="D1246" s="30" t="str">
        <x:v>Finland</x:v>
      </x:c>
      <x:c r="E1246" s="30" t="str">
        <x:v>Project unlock</x:v>
      </x:c>
      <x:c r="F1246" s="30" t="str">
        <x:v>Slavic Commonwealth</x:v>
      </x:c>
      <x:c r="G1246" s="30" t="str">
        <x:v>No</x:v>
      </x:c>
      <x:c r="H1246" s="30" t="str">
        <x:v>Ordinary claim</x:v>
      </x:c>
      <x:c r="I1246" s="31" t="n">
        <x:f>IF(G1246="Yes",'Controls &amp; Summary'!$B$5,'Controls &amp; Summary'!$B$4)</x:f>
        <x:v>6</x:v>
      </x:c>
      <x:c r="J1246" s="31" t="n">
        <x:v>7.65</x:v>
      </x:c>
      <x:c r="K1246" s="31" t="n">
        <x:v>9.37</x:v>
      </x:c>
      <x:c r="L1246" s="31" t="n">
        <x:f>ABS(J1246-K1246)</x:f>
        <x:v>1.7199999999999989</x:v>
      </x:c>
      <x:c r="M1246" s="31" t="n">
        <x:v>2.85</x:v>
      </x:c>
      <x:c r="N1246" s="31" t="n">
        <x:v>2.77</x:v>
      </x:c>
      <x:c r="O1246" s="31" t="n">
        <x:f>ABS(M1246-N1246)</x:f>
        <x:v>0.08000000000000007</x:v>
      </x:c>
      <x:c r="P1246" s="31" t="n">
        <x:v>8.82</x:v>
      </x:c>
      <x:c r="Q1246" s="31" t="n">
        <x:v>9.51</x:v>
      </x:c>
      <x:c r="R1246" s="31" t="n">
        <x:f>ABS(P1246-Q1246)</x:f>
        <x:v>0.6899999999999995</x:v>
      </x:c>
      <x:c r="S1246" s="32" t="n">
        <x:v>46967.66966440565</x:v>
      </x:c>
      <x:c r="T1246" s="32" t="n">
        <x:v>60064.842747057446</x:v>
      </x:c>
      <x:c r="U1246" s="31" t="n">
        <x:f>MAX(S1246/T1246,T1246/S1246)</x:f>
        <x:v>1.2788550757624124</x:v>
      </x:c>
      <x:c r="V1246" s="31" t="n">
        <x:f>L1246*'Controls &amp; Summary'!$B$9+O1246*'Controls &amp; Summary'!$B$10+R1246*'Controls &amp; Summary'!$B$11+U1246*'Controls &amp; Summary'!$B$12</x:f>
        <x:v>3.768855075762411</x:v>
      </x:c>
      <x:c r="W1246" s="31" t="n">
        <x:v>5.13</x:v>
      </x:c>
      <x:c r="X1246" s="31" t="n">
        <x:v>0.5</x:v>
      </x:c>
      <x:c r="Y1246" s="31" t="n">
        <x:f>((10-MIN(10,MAX(0,X1246)))/10)*'Controls &amp; Summary'!$B$15+((10-MIN(10,MAX(0,W1246)))/10)*'Controls &amp; Summary'!$B$16</x:f>
        <x:v>1.4369999999999998</x:v>
      </x:c>
      <x:c r="Z1246" s="31" t="n">
        <x:f>V1246*Y1246</x:f>
        <x:v>5.415844743870584</x:v>
      </x:c>
      <x:c r="AA1246" s="30" t="str">
        <x:f>IF(Z1246&lt;=I1246,"Peaceful","Hostile")</x:f>
        <x:v>Peaceful</x:v>
      </x:c>
      <x:c r="AB1246" s="30" t="str">
        <x:f>IF(Z1246&lt;='Controls &amp; Summary'!$B$6,"Eligible","Blocked")</x:f>
        <x:v>Eligible</x:v>
      </x:c>
      <x:c r="AC1246" s="30" t="str">
        <x:v>2026_POL</x:v>
      </x:c>
      <x:c r="AD1246" s="30" t="str">
        <x:v>2026_FIN</x:v>
      </x:c>
      <x:c r="AE1246" s="30" t="str">
        <x:v>2026_Finland</x:v>
      </x:c>
      <x:c r="AF1246" s="30" t="str">
        <x:v>Explicit capitalClaim</x:v>
      </x:c>
      <x:c r="AG1246" s="30" t="str">
        <x:v>Claim2026_POL2026_Finland</x:v>
      </x:c>
      <x:c r="AH1246" s="30" t="str">
        <x:v>Project_SlavicCommonwealth</x:v>
      </x:c>
    </x:row>
    <x:row r="1247">
      <x:c r="A1247" s="30" t="str">
        <x:v>2026</x:v>
      </x:c>
      <x:c r="B1247" s="30" t="str">
        <x:v>Base game</x:v>
      </x:c>
      <x:c r="C1247" s="30" t="str">
        <x:v>Poland</x:v>
      </x:c>
      <x:c r="D1247" s="30" t="str">
        <x:v>Hungary</x:v>
      </x:c>
      <x:c r="E1247" s="30" t="str">
        <x:v>Project unlock</x:v>
      </x:c>
      <x:c r="F1247" s="30" t="str">
        <x:v>Slavic Commonwealth</x:v>
      </x:c>
      <x:c r="G1247" s="30" t="str">
        <x:v>No</x:v>
      </x:c>
      <x:c r="H1247" s="30" t="str">
        <x:v>Ordinary claim</x:v>
      </x:c>
      <x:c r="I1247" s="31" t="n">
        <x:f>IF(G1247="Yes",'Controls &amp; Summary'!$B$5,'Controls &amp; Summary'!$B$4)</x:f>
        <x:v>6</x:v>
      </x:c>
      <x:c r="J1247" s="31" t="n">
        <x:v>7.65</x:v>
      </x:c>
      <x:c r="K1247" s="31" t="n">
        <x:v>6.58</x:v>
      </x:c>
      <x:c r="L1247" s="31" t="n">
        <x:f>ABS(J1247-K1247)</x:f>
        <x:v>1.0700000000000003</x:v>
      </x:c>
      <x:c r="M1247" s="31" t="n">
        <x:v>2.85</x:v>
      </x:c>
      <x:c r="N1247" s="31" t="n">
        <x:v>2.92</x:v>
      </x:c>
      <x:c r="O1247" s="31" t="n">
        <x:f>ABS(M1247-N1247)</x:f>
        <x:v>0.06999999999999984</x:v>
      </x:c>
      <x:c r="P1247" s="31" t="n">
        <x:v>8.82</x:v>
      </x:c>
      <x:c r="Q1247" s="31" t="n">
        <x:v>8.21</x:v>
      </x:c>
      <x:c r="R1247" s="31" t="n">
        <x:f>ABS(P1247-Q1247)</x:f>
        <x:v>0.6099999999999994</x:v>
      </x:c>
      <x:c r="S1247" s="32" t="n">
        <x:v>46967.66966440565</x:v>
      </x:c>
      <x:c r="T1247" s="32" t="n">
        <x:v>42634.7255914936</x:v>
      </x:c>
      <x:c r="U1247" s="31" t="n">
        <x:f>MAX(S1247/T1247,T1247/S1247)</x:f>
        <x:v>1.1016294584472839</x:v>
      </x:c>
      <x:c r="V1247" s="31" t="n">
        <x:f>L1247*'Controls &amp; Summary'!$B$9+O1247*'Controls &amp; Summary'!$B$10+R1247*'Controls &amp; Summary'!$B$11+U1247*'Controls &amp; Summary'!$B$12</x:f>
        <x:v>2.8516294584472837</x:v>
      </x:c>
      <x:c r="W1247" s="31" t="n">
        <x:v>5.13</x:v>
      </x:c>
      <x:c r="X1247" s="31" t="n">
        <x:v>0.5</x:v>
      </x:c>
      <x:c r="Y1247" s="31" t="n">
        <x:f>((10-MIN(10,MAX(0,X1247)))/10)*'Controls &amp; Summary'!$B$15+((10-MIN(10,MAX(0,W1247)))/10)*'Controls &amp; Summary'!$B$16</x:f>
        <x:v>1.4369999999999998</x:v>
      </x:c>
      <x:c r="Z1247" s="31" t="n">
        <x:f>V1247*Y1247</x:f>
        <x:v>4.097791531788746</x:v>
      </x:c>
      <x:c r="AA1247" s="30" t="str">
        <x:f>IF(Z1247&lt;=I1247,"Peaceful","Hostile")</x:f>
        <x:v>Peaceful</x:v>
      </x:c>
      <x:c r="AB1247" s="30" t="str">
        <x:f>IF(Z1247&lt;='Controls &amp; Summary'!$B$6,"Eligible","Blocked")</x:f>
        <x:v>Eligible</x:v>
      </x:c>
      <x:c r="AC1247" s="30" t="str">
        <x:v>2026_POL</x:v>
      </x:c>
      <x:c r="AD1247" s="30" t="str">
        <x:v>2026_HUN</x:v>
      </x:c>
      <x:c r="AE1247" s="30" t="str">
        <x:v>2026_Hungary</x:v>
      </x:c>
      <x:c r="AF1247" s="30" t="str">
        <x:v>Explicit capitalClaim</x:v>
      </x:c>
      <x:c r="AG1247" s="30" t="str">
        <x:v>Claim2026_POL2026_Hungary</x:v>
      </x:c>
      <x:c r="AH1247" s="30" t="str">
        <x:v>Project_SlavicCommonwealth</x:v>
      </x:c>
    </x:row>
    <x:row r="1248">
      <x:c r="A1248" s="30" t="str">
        <x:v>2026</x:v>
      </x:c>
      <x:c r="B1248" s="30" t="str">
        <x:v>Base game</x:v>
      </x:c>
      <x:c r="C1248" s="30" t="str">
        <x:v>Poland</x:v>
      </x:c>
      <x:c r="D1248" s="30" t="str">
        <x:v>Kosovo</x:v>
      </x:c>
      <x:c r="E1248" s="30" t="str">
        <x:v>Project unlock</x:v>
      </x:c>
      <x:c r="F1248" s="30" t="str">
        <x:v>Slavic Commonwealth</x:v>
      </x:c>
      <x:c r="G1248" s="30" t="str">
        <x:v>No</x:v>
      </x:c>
      <x:c r="H1248" s="30" t="str">
        <x:v>Ordinary claim</x:v>
      </x:c>
      <x:c r="I1248" s="31" t="n">
        <x:f>IF(G1248="Yes",'Controls &amp; Summary'!$B$5,'Controls &amp; Summary'!$B$4)</x:f>
        <x:v>6</x:v>
      </x:c>
      <x:c r="J1248" s="31" t="n">
        <x:v>7.65</x:v>
      </x:c>
      <x:c r="K1248" s="31" t="n">
        <x:v>6</x:v>
      </x:c>
      <x:c r="L1248" s="31" t="n">
        <x:f>ABS(J1248-K1248)</x:f>
        <x:v>1.6500000000000004</x:v>
      </x:c>
      <x:c r="M1248" s="31" t="n">
        <x:v>2.85</x:v>
      </x:c>
      <x:c r="N1248" s="31" t="n">
        <x:v>2.9</x:v>
      </x:c>
      <x:c r="O1248" s="31" t="n">
        <x:f>ABS(M1248-N1248)</x:f>
        <x:v>0.04999999999999982</x:v>
      </x:c>
      <x:c r="P1248" s="31" t="n">
        <x:v>8.82</x:v>
      </x:c>
      <x:c r="Q1248" s="31" t="n">
        <x:v>7.62</x:v>
      </x:c>
      <x:c r="R1248" s="31" t="n">
        <x:f>ABS(P1248-Q1248)</x:f>
        <x:v>1.2000000000000002</x:v>
      </x:c>
      <x:c r="S1248" s="32" t="n">
        <x:v>46967.66966440565</x:v>
      </x:c>
      <x:c r="T1248" s="32" t="n">
        <x:v>16973.99867545855</x:v>
      </x:c>
      <x:c r="U1248" s="31" t="n">
        <x:f>MAX(S1248/T1248,T1248/S1248)</x:f>
        <x:v>2.7670362512937348</x:v>
      </x:c>
      <x:c r="V1248" s="31" t="n">
        <x:f>L1248*'Controls &amp; Summary'!$B$9+O1248*'Controls &amp; Summary'!$B$10+R1248*'Controls &amp; Summary'!$B$11+U1248*'Controls &amp; Summary'!$B$12</x:f>
        <x:v>5.667036251293736</x:v>
      </x:c>
      <x:c r="W1248" s="31" t="n">
        <x:v>5.13</x:v>
      </x:c>
      <x:c r="X1248" s="31" t="n">
        <x:v>1</x:v>
      </x:c>
      <x:c r="Y1248" s="31" t="n">
        <x:f>((10-MIN(10,MAX(0,X1248)))/10)*'Controls &amp; Summary'!$B$15+((10-MIN(10,MAX(0,W1248)))/10)*'Controls &amp; Summary'!$B$16</x:f>
        <x:v>1.387</x:v>
      </x:c>
      <x:c r="Z1248" s="31" t="n">
        <x:f>V1248*Y1248</x:f>
        <x:v>7.860179280544411</x:v>
      </x:c>
      <x:c r="AA1248" s="30" t="str">
        <x:f>IF(Z1248&lt;=I1248,"Peaceful","Hostile")</x:f>
        <x:v>Hostile</x:v>
      </x:c>
      <x:c r="AB1248" s="30" t="str">
        <x:f>IF(Z1248&lt;='Controls &amp; Summary'!$B$6,"Eligible","Blocked")</x:f>
        <x:v>Eligible</x:v>
      </x:c>
      <x:c r="AC1248" s="30" t="str">
        <x:v>2026_POL</x:v>
      </x:c>
      <x:c r="AD1248" s="30" t="str">
        <x:v>2026_KOS</x:v>
      </x:c>
      <x:c r="AE1248" s="30" t="str">
        <x:v>2026_Kosovo</x:v>
      </x:c>
      <x:c r="AF1248" s="30" t="str">
        <x:v>Explicit capitalClaim</x:v>
      </x:c>
      <x:c r="AG1248" s="30" t="str">
        <x:v>Claim2026_POL2026_Kosovo</x:v>
      </x:c>
      <x:c r="AH1248" s="30" t="str">
        <x:v>Project_SlavicCommonwealth</x:v>
      </x:c>
    </x:row>
    <x:row r="1249">
      <x:c r="A1249" s="30" t="str">
        <x:v>2026</x:v>
      </x:c>
      <x:c r="B1249" s="30" t="str">
        <x:v>Base game</x:v>
      </x:c>
      <x:c r="C1249" s="30" t="str">
        <x:v>Poland</x:v>
      </x:c>
      <x:c r="D1249" s="30" t="str">
        <x:v>Latvia</x:v>
      </x:c>
      <x:c r="E1249" s="30" t="str">
        <x:v>Project unlock</x:v>
      </x:c>
      <x:c r="F1249" s="30" t="str">
        <x:v>Slavic Commonwealth</x:v>
      </x:c>
      <x:c r="G1249" s="30" t="str">
        <x:v>No</x:v>
      </x:c>
      <x:c r="H1249" s="30" t="str">
        <x:v>Ordinary claim</x:v>
      </x:c>
      <x:c r="I1249" s="31" t="n">
        <x:f>IF(G1249="Yes",'Controls &amp; Summary'!$B$5,'Controls &amp; Summary'!$B$4)</x:f>
        <x:v>6</x:v>
      </x:c>
      <x:c r="J1249" s="31" t="n">
        <x:v>7.65</x:v>
      </x:c>
      <x:c r="K1249" s="31" t="n">
        <x:v>7.73</x:v>
      </x:c>
      <x:c r="L1249" s="31" t="n">
        <x:f>ABS(J1249-K1249)</x:f>
        <x:v>0.08000000000000007</x:v>
      </x:c>
      <x:c r="M1249" s="31" t="n">
        <x:v>2.85</x:v>
      </x:c>
      <x:c r="N1249" s="31" t="n">
        <x:v>3.43</x:v>
      </x:c>
      <x:c r="O1249" s="31" t="n">
        <x:f>ABS(M1249-N1249)</x:f>
        <x:v>0.5800000000000001</x:v>
      </x:c>
      <x:c r="P1249" s="31" t="n">
        <x:v>8.82</x:v>
      </x:c>
      <x:c r="Q1249" s="31" t="n">
        <x:v>8.83</x:v>
      </x:c>
      <x:c r="R1249" s="31" t="n">
        <x:f>ABS(P1249-Q1249)</x:f>
        <x:v>0.009999999999999787</x:v>
      </x:c>
      <x:c r="S1249" s="32" t="n">
        <x:v>46967.66966440565</x:v>
      </x:c>
      <x:c r="T1249" s="32" t="n">
        <x:v>39903.85280524637</x:v>
      </x:c>
      <x:c r="U1249" s="31" t="n">
        <x:f>MAX(S1249/T1249,T1249/S1249)</x:f>
        <x:v>1.1770209231082207</x:v>
      </x:c>
      <x:c r="V1249" s="31" t="n">
        <x:f>L1249*'Controls &amp; Summary'!$B$9+O1249*'Controls &amp; Summary'!$B$10+R1249*'Controls &amp; Summary'!$B$11+U1249*'Controls &amp; Summary'!$B$12</x:f>
        <x:v>1.8470209231082206</x:v>
      </x:c>
      <x:c r="W1249" s="31" t="n">
        <x:v>5.13</x:v>
      </x:c>
      <x:c r="X1249" s="31" t="n">
        <x:v>0</x:v>
      </x:c>
      <x:c r="Y1249" s="31" t="n">
        <x:f>((10-MIN(10,MAX(0,X1249)))/10)*'Controls &amp; Summary'!$B$15+((10-MIN(10,MAX(0,W1249)))/10)*'Controls &amp; Summary'!$B$16</x:f>
        <x:v>1.487</x:v>
      </x:c>
      <x:c r="Z1249" s="31" t="n">
        <x:f>V1249*Y1249</x:f>
        <x:v>2.746520112661924</x:v>
      </x:c>
      <x:c r="AA1249" s="30" t="str">
        <x:f>IF(Z1249&lt;=I1249,"Peaceful","Hostile")</x:f>
        <x:v>Peaceful</x:v>
      </x:c>
      <x:c r="AB1249" s="30" t="str">
        <x:f>IF(Z1249&lt;='Controls &amp; Summary'!$B$6,"Eligible","Blocked")</x:f>
        <x:v>Eligible</x:v>
      </x:c>
      <x:c r="AC1249" s="30" t="str">
        <x:v>2026_POL</x:v>
      </x:c>
      <x:c r="AD1249" s="30" t="str">
        <x:v>2026_LVA</x:v>
      </x:c>
      <x:c r="AE1249" s="30" t="str">
        <x:v>2026_Latvia</x:v>
      </x:c>
      <x:c r="AF1249" s="30" t="str">
        <x:v>Explicit capitalClaim</x:v>
      </x:c>
      <x:c r="AG1249" s="30" t="str">
        <x:v>Claim2026_POL2026_Latvia</x:v>
      </x:c>
      <x:c r="AH1249" s="30" t="str">
        <x:v>Project_SlavicCommonwealth</x:v>
      </x:c>
    </x:row>
    <x:row r="1250">
      <x:c r="A1250" s="30" t="str">
        <x:v>2026</x:v>
      </x:c>
      <x:c r="B1250" s="30" t="str">
        <x:v>Base game</x:v>
      </x:c>
      <x:c r="C1250" s="30" t="str">
        <x:v>Poland</x:v>
      </x:c>
      <x:c r="D1250" s="30" t="str">
        <x:v>Lithuania</x:v>
      </x:c>
      <x:c r="E1250" s="30" t="str">
        <x:v>Project unlock</x:v>
      </x:c>
      <x:c r="F1250" s="30" t="str">
        <x:v>Slavic Commonwealth</x:v>
      </x:c>
      <x:c r="G1250" s="30" t="str">
        <x:v>No</x:v>
      </x:c>
      <x:c r="H1250" s="30" t="str">
        <x:v>Ordinary claim</x:v>
      </x:c>
      <x:c r="I1250" s="31" t="n">
        <x:f>IF(G1250="Yes",'Controls &amp; Summary'!$B$5,'Controls &amp; Summary'!$B$4)</x:f>
        <x:v>6</x:v>
      </x:c>
      <x:c r="J1250" s="31" t="n">
        <x:v>7.65</x:v>
      </x:c>
      <x:c r="K1250" s="31" t="n">
        <x:v>7.55</x:v>
      </x:c>
      <x:c r="L1250" s="31" t="n">
        <x:f>ABS(J1250-K1250)</x:f>
        <x:v>0.10000000000000053</x:v>
      </x:c>
      <x:c r="M1250" s="31" t="n">
        <x:v>2.85</x:v>
      </x:c>
      <x:c r="N1250" s="31" t="n">
        <x:v>3.67</x:v>
      </x:c>
      <x:c r="O1250" s="31" t="n">
        <x:f>ABS(M1250-N1250)</x:f>
        <x:v>0.8199999999999998</x:v>
      </x:c>
      <x:c r="P1250" s="31" t="n">
        <x:v>8.82</x:v>
      </x:c>
      <x:c r="Q1250" s="31" t="n">
        <x:v>8.9</x:v>
      </x:c>
      <x:c r="R1250" s="31" t="n">
        <x:f>ABS(P1250-Q1250)</x:f>
        <x:v>0.08000000000000007</x:v>
      </x:c>
      <x:c r="S1250" s="32" t="n">
        <x:v>46967.66966440565</x:v>
      </x:c>
      <x:c r="T1250" s="32" t="n">
        <x:v>52045.53757894112</x:v>
      </x:c>
      <x:c r="U1250" s="31" t="n">
        <x:f>MAX(S1250/T1250,T1250/S1250)</x:f>
        <x:v>1.1081141123419143</x:v>
      </x:c>
      <x:c r="V1250" s="31" t="n">
        <x:f>L1250*'Controls &amp; Summary'!$B$9+O1250*'Controls &amp; Summary'!$B$10+R1250*'Controls &amp; Summary'!$B$11+U1250*'Controls &amp; Summary'!$B$12</x:f>
        <x:v>2.108114112341915</x:v>
      </x:c>
      <x:c r="W1250" s="31" t="n">
        <x:v>5.13</x:v>
      </x:c>
      <x:c r="X1250" s="31" t="n">
        <x:v>0</x:v>
      </x:c>
      <x:c r="Y1250" s="31" t="n">
        <x:f>((10-MIN(10,MAX(0,X1250)))/10)*'Controls &amp; Summary'!$B$15+((10-MIN(10,MAX(0,W1250)))/10)*'Controls &amp; Summary'!$B$16</x:f>
        <x:v>1.487</x:v>
      </x:c>
      <x:c r="Z1250" s="31" t="n">
        <x:f>V1250*Y1250</x:f>
        <x:v>3.134765685052428</x:v>
      </x:c>
      <x:c r="AA1250" s="30" t="str">
        <x:f>IF(Z1250&lt;=I1250,"Peaceful","Hostile")</x:f>
        <x:v>Peaceful</x:v>
      </x:c>
      <x:c r="AB1250" s="30" t="str">
        <x:f>IF(Z1250&lt;='Controls &amp; Summary'!$B$6,"Eligible","Blocked")</x:f>
        <x:v>Eligible</x:v>
      </x:c>
      <x:c r="AC1250" s="30" t="str">
        <x:v>2026_POL</x:v>
      </x:c>
      <x:c r="AD1250" s="30" t="str">
        <x:v>2026_LTU</x:v>
      </x:c>
      <x:c r="AE1250" s="30" t="str">
        <x:v>2026_Lithuania</x:v>
      </x:c>
      <x:c r="AF1250" s="30" t="str">
        <x:v>Explicit capitalClaim</x:v>
      </x:c>
      <x:c r="AG1250" s="30" t="str">
        <x:v>Claim2026_POL2026_Lithuania</x:v>
      </x:c>
      <x:c r="AH1250" s="30" t="str">
        <x:v>Project_SlavicCommonwealth</x:v>
      </x:c>
    </x:row>
    <x:row r="1251">
      <x:c r="A1251" s="30" t="str">
        <x:v>2026</x:v>
      </x:c>
      <x:c r="B1251" s="30" t="str">
        <x:v>Base game</x:v>
      </x:c>
      <x:c r="C1251" s="30" t="str">
        <x:v>Poland</x:v>
      </x:c>
      <x:c r="D1251" s="30" t="str">
        <x:v>Moldova</x:v>
      </x:c>
      <x:c r="E1251" s="30" t="str">
        <x:v>Project unlock</x:v>
      </x:c>
      <x:c r="F1251" s="30" t="str">
        <x:v>Slavic Commonwealth</x:v>
      </x:c>
      <x:c r="G1251" s="30" t="str">
        <x:v>No</x:v>
      </x:c>
      <x:c r="H1251" s="30" t="str">
        <x:v>Ordinary claim</x:v>
      </x:c>
      <x:c r="I1251" s="31" t="n">
        <x:f>IF(G1251="Yes",'Controls &amp; Summary'!$B$5,'Controls &amp; Summary'!$B$4)</x:f>
        <x:v>6</x:v>
      </x:c>
      <x:c r="J1251" s="31" t="n">
        <x:v>7.65</x:v>
      </x:c>
      <x:c r="K1251" s="31" t="n">
        <x:v>5.86</x:v>
      </x:c>
      <x:c r="L1251" s="31" t="n">
        <x:f>ABS(J1251-K1251)</x:f>
        <x:v>1.79</x:v>
      </x:c>
      <x:c r="M1251" s="31" t="n">
        <x:v>2.85</x:v>
      </x:c>
      <x:c r="N1251" s="31" t="n">
        <x:v>2.57</x:v>
      </x:c>
      <x:c r="O1251" s="31" t="n">
        <x:f>ABS(M1251-N1251)</x:f>
        <x:v>0.28000000000000025</x:v>
      </x:c>
      <x:c r="P1251" s="31" t="n">
        <x:v>8.82</x:v>
      </x:c>
      <x:c r="Q1251" s="31" t="n">
        <x:v>7.81</x:v>
      </x:c>
      <x:c r="R1251" s="31" t="n">
        <x:f>ABS(P1251-Q1251)</x:f>
        <x:v>1.0100000000000007</x:v>
      </x:c>
      <x:c r="S1251" s="32" t="n">
        <x:v>46967.66966440565</x:v>
      </x:c>
      <x:c r="T1251" s="32" t="n">
        <x:v>13778.352009098851</x:v>
      </x:c>
      <x:c r="U1251" s="31" t="n">
        <x:f>MAX(S1251/T1251,T1251/S1251)</x:f>
        <x:v>3.4088016936560677</x:v>
      </x:c>
      <x:c r="V1251" s="31" t="n">
        <x:f>L1251*'Controls &amp; Summary'!$B$9+O1251*'Controls &amp; Summary'!$B$10+R1251*'Controls &amp; Summary'!$B$11+U1251*'Controls &amp; Summary'!$B$12</x:f>
        <x:v>6.488801693656068</x:v>
      </x:c>
      <x:c r="W1251" s="31" t="n">
        <x:v>5.13</x:v>
      </x:c>
      <x:c r="X1251" s="31" t="n">
        <x:v>0.25</x:v>
      </x:c>
      <x:c r="Y1251" s="31" t="n">
        <x:f>((10-MIN(10,MAX(0,X1251)))/10)*'Controls &amp; Summary'!$B$15+((10-MIN(10,MAX(0,W1251)))/10)*'Controls &amp; Summary'!$B$16</x:f>
        <x:v>1.462</x:v>
      </x:c>
      <x:c r="Z1251" s="31" t="n">
        <x:f>V1251*Y1251</x:f>
        <x:v>9.486628076125172</x:v>
      </x:c>
      <x:c r="AA1251" s="30" t="str">
        <x:f>IF(Z1251&lt;=I1251,"Peaceful","Hostile")</x:f>
        <x:v>Hostile</x:v>
      </x:c>
      <x:c r="AB1251" s="30" t="str">
        <x:f>IF(Z1251&lt;='Controls &amp; Summary'!$B$6,"Eligible","Blocked")</x:f>
        <x:v>Eligible</x:v>
      </x:c>
      <x:c r="AC1251" s="30" t="str">
        <x:v>2026_POL</x:v>
      </x:c>
      <x:c r="AD1251" s="30" t="str">
        <x:v>2026_MOL</x:v>
      </x:c>
      <x:c r="AE1251" s="30" t="str">
        <x:v>2026_Moldova</x:v>
      </x:c>
      <x:c r="AF1251" s="30" t="str">
        <x:v>Explicit capitalClaim</x:v>
      </x:c>
      <x:c r="AG1251" s="30" t="str">
        <x:v>Claim2026_POL2026_Moldova</x:v>
      </x:c>
      <x:c r="AH1251" s="30" t="str">
        <x:v>Project_SlavicCommonwealth</x:v>
      </x:c>
    </x:row>
    <x:row r="1252">
      <x:c r="A1252" s="30" t="str">
        <x:v>2026</x:v>
      </x:c>
      <x:c r="B1252" s="30" t="str">
        <x:v>Base game</x:v>
      </x:c>
      <x:c r="C1252" s="30" t="str">
        <x:v>Poland</x:v>
      </x:c>
      <x:c r="D1252" s="30" t="str">
        <x:v>Montenegro</x:v>
      </x:c>
      <x:c r="E1252" s="30" t="str">
        <x:v>Project unlock</x:v>
      </x:c>
      <x:c r="F1252" s="30" t="str">
        <x:v>Slavic Commonwealth</x:v>
      </x:c>
      <x:c r="G1252" s="30" t="str">
        <x:v>No</x:v>
      </x:c>
      <x:c r="H1252" s="30" t="str">
        <x:v>Ordinary claim</x:v>
      </x:c>
      <x:c r="I1252" s="31" t="n">
        <x:f>IF(G1252="Yes",'Controls &amp; Summary'!$B$5,'Controls &amp; Summary'!$B$4)</x:f>
        <x:v>6</x:v>
      </x:c>
      <x:c r="J1252" s="31" t="n">
        <x:v>7.65</x:v>
      </x:c>
      <x:c r="K1252" s="31" t="n">
        <x:v>6.73</x:v>
      </x:c>
      <x:c r="L1252" s="31" t="n">
        <x:f>ABS(J1252-K1252)</x:f>
        <x:v>0.9199999999999999</x:v>
      </x:c>
      <x:c r="M1252" s="31" t="n">
        <x:v>2.85</x:v>
      </x:c>
      <x:c r="N1252" s="31" t="n">
        <x:v>3.43</x:v>
      </x:c>
      <x:c r="O1252" s="31" t="n">
        <x:f>ABS(M1252-N1252)</x:f>
        <x:v>0.5800000000000001</x:v>
      </x:c>
      <x:c r="P1252" s="31" t="n">
        <x:v>8.82</x:v>
      </x:c>
      <x:c r="Q1252" s="31" t="n">
        <x:v>8.37</x:v>
      </x:c>
      <x:c r="R1252" s="31" t="n">
        <x:f>ABS(P1252-Q1252)</x:f>
        <x:v>0.45000000000000107</x:v>
      </x:c>
      <x:c r="S1252" s="32" t="n">
        <x:v>46967.66966440565</x:v>
      </x:c>
      <x:c r="T1252" s="32" t="n">
        <x:v>29943.99847979905</x:v>
      </x:c>
      <x:c r="U1252" s="31" t="n">
        <x:f>MAX(S1252/T1252,T1252/S1252)</x:f>
        <x:v>1.56851696663327</x:v>
      </x:c>
      <x:c r="V1252" s="31" t="n">
        <x:f>L1252*'Controls &amp; Summary'!$B$9+O1252*'Controls &amp; Summary'!$B$10+R1252*'Controls &amp; Summary'!$B$11+U1252*'Controls &amp; Summary'!$B$12</x:f>
        <x:v>3.518516966633271</x:v>
      </x:c>
      <x:c r="W1252" s="31" t="n">
        <x:v>5.13</x:v>
      </x:c>
      <x:c r="X1252" s="31" t="n">
        <x:v>0.5</x:v>
      </x:c>
      <x:c r="Y1252" s="31" t="n">
        <x:f>((10-MIN(10,MAX(0,X1252)))/10)*'Controls &amp; Summary'!$B$15+((10-MIN(10,MAX(0,W1252)))/10)*'Controls &amp; Summary'!$B$16</x:f>
        <x:v>1.4369999999999998</x:v>
      </x:c>
      <x:c r="Z1252" s="31" t="n">
        <x:f>V1252*Y1252</x:f>
        <x:v>5.05610888105201</x:v>
      </x:c>
      <x:c r="AA1252" s="30" t="str">
        <x:f>IF(Z1252&lt;=I1252,"Peaceful","Hostile")</x:f>
        <x:v>Peaceful</x:v>
      </x:c>
      <x:c r="AB1252" s="30" t="str">
        <x:f>IF(Z1252&lt;='Controls &amp; Summary'!$B$6,"Eligible","Blocked")</x:f>
        <x:v>Eligible</x:v>
      </x:c>
      <x:c r="AC1252" s="30" t="str">
        <x:v>2026_POL</x:v>
      </x:c>
      <x:c r="AD1252" s="30" t="str">
        <x:v>2026_MNE</x:v>
      </x:c>
      <x:c r="AE1252" s="30" t="str">
        <x:v>2026_Montenegro</x:v>
      </x:c>
      <x:c r="AF1252" s="30" t="str">
        <x:v>Explicit capitalClaim</x:v>
      </x:c>
      <x:c r="AG1252" s="30" t="str">
        <x:v>Claim2026_POL2026_Montenegro</x:v>
      </x:c>
      <x:c r="AH1252" s="30" t="str">
        <x:v>Project_SlavicCommonwealth</x:v>
      </x:c>
    </x:row>
    <x:row r="1253">
      <x:c r="A1253" s="30" t="str">
        <x:v>2026</x:v>
      </x:c>
      <x:c r="B1253" s="30" t="str">
        <x:v>Base game</x:v>
      </x:c>
      <x:c r="C1253" s="30" t="str">
        <x:v>Poland</x:v>
      </x:c>
      <x:c r="D1253" s="30" t="str">
        <x:v>North Macedonia</x:v>
      </x:c>
      <x:c r="E1253" s="30" t="str">
        <x:v>Project unlock</x:v>
      </x:c>
      <x:c r="F1253" s="30" t="str">
        <x:v>Slavic Commonwealth</x:v>
      </x:c>
      <x:c r="G1253" s="30" t="str">
        <x:v>No</x:v>
      </x:c>
      <x:c r="H1253" s="30" t="str">
        <x:v>Ordinary claim</x:v>
      </x:c>
      <x:c r="I1253" s="31" t="n">
        <x:f>IF(G1253="Yes",'Controls &amp; Summary'!$B$5,'Controls &amp; Summary'!$B$4)</x:f>
        <x:v>6</x:v>
      </x:c>
      <x:c r="J1253" s="31" t="n">
        <x:v>7.65</x:v>
      </x:c>
      <x:c r="K1253" s="31" t="n">
        <x:v>6.28</x:v>
      </x:c>
      <x:c r="L1253" s="31" t="n">
        <x:f>ABS(J1253-K1253)</x:f>
        <x:v>1.37</x:v>
      </x:c>
      <x:c r="M1253" s="31" t="n">
        <x:v>2.85</x:v>
      </x:c>
      <x:c r="N1253" s="31" t="n">
        <x:v>3.35</x:v>
      </x:c>
      <x:c r="O1253" s="31" t="n">
        <x:f>ABS(M1253-N1253)</x:f>
        <x:v>0.5</x:v>
      </x:c>
      <x:c r="P1253" s="31" t="n">
        <x:v>8.82</x:v>
      </x:c>
      <x:c r="Q1253" s="31" t="n">
        <x:v>7.35</x:v>
      </x:c>
      <x:c r="R1253" s="31" t="n">
        <x:f>ABS(P1253-Q1253)</x:f>
        <x:v>1.4700000000000006</x:v>
      </x:c>
      <x:c r="S1253" s="32" t="n">
        <x:v>46967.66966440565</x:v>
      </x:c>
      <x:c r="T1253" s="32" t="n">
        <x:v>26021.04250239598</x:v>
      </x:c>
      <x:c r="U1253" s="31" t="n">
        <x:f>MAX(S1253/T1253,T1253/S1253)</x:f>
        <x:v>1.804988007689582</x:v>
      </x:c>
      <x:c r="V1253" s="31" t="n">
        <x:f>L1253*'Controls &amp; Summary'!$B$9+O1253*'Controls &amp; Summary'!$B$10+R1253*'Controls &amp; Summary'!$B$11+U1253*'Controls &amp; Summary'!$B$12</x:f>
        <x:v>5.144988007689583</x:v>
      </x:c>
      <x:c r="W1253" s="31" t="n">
        <x:v>5.13</x:v>
      </x:c>
      <x:c r="X1253" s="31" t="n">
        <x:v>1</x:v>
      </x:c>
      <x:c r="Y1253" s="31" t="n">
        <x:f>((10-MIN(10,MAX(0,X1253)))/10)*'Controls &amp; Summary'!$B$15+((10-MIN(10,MAX(0,W1253)))/10)*'Controls &amp; Summary'!$B$16</x:f>
        <x:v>1.387</x:v>
      </x:c>
      <x:c r="Z1253" s="31" t="n">
        <x:f>V1253*Y1253</x:f>
        <x:v>7.136098366665451</x:v>
      </x:c>
      <x:c r="AA1253" s="30" t="str">
        <x:f>IF(Z1253&lt;=I1253,"Peaceful","Hostile")</x:f>
        <x:v>Hostile</x:v>
      </x:c>
      <x:c r="AB1253" s="30" t="str">
        <x:f>IF(Z1253&lt;='Controls &amp; Summary'!$B$6,"Eligible","Blocked")</x:f>
        <x:v>Eligible</x:v>
      </x:c>
      <x:c r="AC1253" s="30" t="str">
        <x:v>2026_POL</x:v>
      </x:c>
      <x:c r="AD1253" s="30" t="str">
        <x:v>2026_MKD</x:v>
      </x:c>
      <x:c r="AE1253" s="30" t="str">
        <x:v>2026_NorthMacedonia</x:v>
      </x:c>
      <x:c r="AF1253" s="30" t="str">
        <x:v>Explicit capitalClaim</x:v>
      </x:c>
      <x:c r="AG1253" s="30" t="str">
        <x:v>Claim2026_POL2026_NorthMacedonia</x:v>
      </x:c>
      <x:c r="AH1253" s="30" t="str">
        <x:v>Project_SlavicCommonwealth</x:v>
      </x:c>
    </x:row>
    <x:row r="1254">
      <x:c r="A1254" s="30" t="str">
        <x:v>2026</x:v>
      </x:c>
      <x:c r="B1254" s="30" t="str">
        <x:v>Base game</x:v>
      </x:c>
      <x:c r="C1254" s="30" t="str">
        <x:v>Poland</x:v>
      </x:c>
      <x:c r="D1254" s="30" t="str">
        <x:v>Romania</x:v>
      </x:c>
      <x:c r="E1254" s="30" t="str">
        <x:v>Project unlock</x:v>
      </x:c>
      <x:c r="F1254" s="30" t="str">
        <x:v>Slavic Commonwealth</x:v>
      </x:c>
      <x:c r="G1254" s="30" t="str">
        <x:v>No</x:v>
      </x:c>
      <x:c r="H1254" s="30" t="str">
        <x:v>Ordinary claim</x:v>
      </x:c>
      <x:c r="I1254" s="31" t="n">
        <x:f>IF(G1254="Yes",'Controls &amp; Summary'!$B$5,'Controls &amp; Summary'!$B$4)</x:f>
        <x:v>6</x:v>
      </x:c>
      <x:c r="J1254" s="31" t="n">
        <x:v>7.65</x:v>
      </x:c>
      <x:c r="K1254" s="31" t="n">
        <x:v>6.11</x:v>
      </x:c>
      <x:c r="L1254" s="31" t="n">
        <x:f>ABS(J1254-K1254)</x:f>
        <x:v>1.54</x:v>
      </x:c>
      <x:c r="M1254" s="31" t="n">
        <x:v>2.85</x:v>
      </x:c>
      <x:c r="N1254" s="31" t="n">
        <x:v>3.39</x:v>
      </x:c>
      <x:c r="O1254" s="31" t="n">
        <x:f>ABS(M1254-N1254)</x:f>
        <x:v>0.54</x:v>
      </x:c>
      <x:c r="P1254" s="31" t="n">
        <x:v>8.82</x:v>
      </x:c>
      <x:c r="Q1254" s="31" t="n">
        <x:v>7.61</x:v>
      </x:c>
      <x:c r="R1254" s="31" t="n">
        <x:f>ABS(P1254-Q1254)</x:f>
        <x:v>1.21</x:v>
      </x:c>
      <x:c r="S1254" s="32" t="n">
        <x:v>46967.66966440565</x:v>
      </x:c>
      <x:c r="T1254" s="32" t="n">
        <x:v>43378.812543532506</x:v>
      </x:c>
      <x:c r="U1254" s="31" t="n">
        <x:f>MAX(S1254/T1254,T1254/S1254)</x:f>
        <x:v>1.0827329498075027</x:v>
      </x:c>
      <x:c r="V1254" s="31" t="n">
        <x:f>L1254*'Controls &amp; Summary'!$B$9+O1254*'Controls &amp; Summary'!$B$10+R1254*'Controls &amp; Summary'!$B$11+U1254*'Controls &amp; Summary'!$B$12</x:f>
        <x:v>4.372732949807503</x:v>
      </x:c>
      <x:c r="W1254" s="31" t="n">
        <x:v>5.13</x:v>
      </x:c>
      <x:c r="X1254" s="31" t="n">
        <x:v>1</x:v>
      </x:c>
      <x:c r="Y1254" s="31" t="n">
        <x:f>((10-MIN(10,MAX(0,X1254)))/10)*'Controls &amp; Summary'!$B$15+((10-MIN(10,MAX(0,W1254)))/10)*'Controls &amp; Summary'!$B$16</x:f>
        <x:v>1.387</x:v>
      </x:c>
      <x:c r="Z1254" s="31" t="n">
        <x:f>V1254*Y1254</x:f>
        <x:v>6.064980601383007</x:v>
      </x:c>
      <x:c r="AA1254" s="30" t="str">
        <x:f>IF(Z1254&lt;=I1254,"Peaceful","Hostile")</x:f>
        <x:v>Hostile</x:v>
      </x:c>
      <x:c r="AB1254" s="30" t="str">
        <x:f>IF(Z1254&lt;='Controls &amp; Summary'!$B$6,"Eligible","Blocked")</x:f>
        <x:v>Eligible</x:v>
      </x:c>
      <x:c r="AC1254" s="30" t="str">
        <x:v>2026_POL</x:v>
      </x:c>
      <x:c r="AD1254" s="30" t="str">
        <x:v>2026_ROM</x:v>
      </x:c>
      <x:c r="AE1254" s="30" t="str">
        <x:v>2026_Romania</x:v>
      </x:c>
      <x:c r="AF1254" s="30" t="str">
        <x:v>Explicit capitalClaim</x:v>
      </x:c>
      <x:c r="AG1254" s="30" t="str">
        <x:v>Claim2026_POL2026_Romania</x:v>
      </x:c>
      <x:c r="AH1254" s="30" t="str">
        <x:v>Project_SlavicCommonwealth</x:v>
      </x:c>
    </x:row>
    <x:row r="1255">
      <x:c r="A1255" s="30" t="str">
        <x:v>2026</x:v>
      </x:c>
      <x:c r="B1255" s="30" t="str">
        <x:v>Base game</x:v>
      </x:c>
      <x:c r="C1255" s="30" t="str">
        <x:v>Poland</x:v>
      </x:c>
      <x:c r="D1255" s="30" t="str">
        <x:v>Russia</x:v>
      </x:c>
      <x:c r="E1255" s="30" t="str">
        <x:v>Project unlock</x:v>
      </x:c>
      <x:c r="F1255" s="30" t="str">
        <x:v>Greater Intermarium</x:v>
      </x:c>
      <x:c r="G1255" s="30" t="str">
        <x:v>No</x:v>
      </x:c>
      <x:c r="H1255" s="30" t="str">
        <x:v>Ordinary claim</x:v>
      </x:c>
      <x:c r="I1255" s="31" t="n">
        <x:f>IF(G1255="Yes",'Controls &amp; Summary'!$B$5,'Controls &amp; Summary'!$B$4)</x:f>
        <x:v>6</x:v>
      </x:c>
      <x:c r="J1255" s="31" t="n">
        <x:v>7.65</x:v>
      </x:c>
      <x:c r="K1255" s="31" t="n">
        <x:v>2.03</x:v>
      </x:c>
      <x:c r="L1255" s="31" t="n">
        <x:f>ABS(J1255-K1255)</x:f>
        <x:v>5.620000000000001</x:v>
      </x:c>
      <x:c r="M1255" s="31" t="n">
        <x:v>2.85</x:v>
      </x:c>
      <x:c r="N1255" s="31" t="n">
        <x:v>3.51</x:v>
      </x:c>
      <x:c r="O1255" s="31" t="n">
        <x:f>ABS(M1255-N1255)</x:f>
        <x:v>0.6599999999999997</x:v>
      </x:c>
      <x:c r="P1255" s="31" t="n">
        <x:v>8.82</x:v>
      </x:c>
      <x:c r="Q1255" s="31" t="n">
        <x:v>7.63</x:v>
      </x:c>
      <x:c r="R1255" s="31" t="n">
        <x:f>ABS(P1255-Q1255)</x:f>
        <x:v>1.1900000000000004</x:v>
      </x:c>
      <x:c r="S1255" s="32" t="n">
        <x:v>46967.66966440565</x:v>
      </x:c>
      <x:c r="T1255" s="32" t="n">
        <x:v>43109.973503906265</x:v>
      </x:c>
      <x:c r="U1255" s="31" t="n">
        <x:f>MAX(S1255/T1255,T1255/S1255)</x:f>
        <x:v>1.0894850042102167</x:v>
      </x:c>
      <x:c r="V1255" s="31" t="n">
        <x:f>L1255*'Controls &amp; Summary'!$B$9+O1255*'Controls &amp; Summary'!$B$10+R1255*'Controls &amp; Summary'!$B$11+U1255*'Controls &amp; Summary'!$B$12</x:f>
        <x:v>8.559485004210218</x:v>
      </x:c>
      <x:c r="W1255" s="31" t="n">
        <x:v>5.13</x:v>
      </x:c>
      <x:c r="X1255" s="31" t="n">
        <x:v>3</x:v>
      </x:c>
      <x:c r="Y1255" s="31" t="n">
        <x:f>((10-MIN(10,MAX(0,X1255)))/10)*'Controls &amp; Summary'!$B$15+((10-MIN(10,MAX(0,W1255)))/10)*'Controls &amp; Summary'!$B$16</x:f>
        <x:v>1.1869999999999998</x:v>
      </x:c>
      <x:c r="Z1255" s="31" t="n">
        <x:f>V1255*Y1255</x:f>
        <x:v>10.160108699997528</x:v>
      </x:c>
      <x:c r="AA1255" s="30" t="str">
        <x:f>IF(Z1255&lt;=I1255,"Peaceful","Hostile")</x:f>
        <x:v>Hostile</x:v>
      </x:c>
      <x:c r="AB1255" s="30" t="str">
        <x:f>IF(Z1255&lt;='Controls &amp; Summary'!$B$6,"Eligible","Blocked")</x:f>
        <x:v>Eligible</x:v>
      </x:c>
      <x:c r="AC1255" s="30" t="str">
        <x:v>2026_POL</x:v>
      </x:c>
      <x:c r="AD1255" s="30" t="str">
        <x:v>2026_RUS</x:v>
      </x:c>
      <x:c r="AE1255" s="30" t="str">
        <x:v>2026_Moskva</x:v>
      </x:c>
      <x:c r="AF1255" s="30" t="str">
        <x:v>Explicit capitalClaim</x:v>
      </x:c>
      <x:c r="AG1255" s="30" t="str">
        <x:v>Claim2026_POL2026_Moskva</x:v>
      </x:c>
      <x:c r="AH1255" s="30" t="str">
        <x:v>Project_GreaterIntermarium</x:v>
      </x:c>
    </x:row>
    <x:row r="1256">
      <x:c r="A1256" s="30" t="str">
        <x:v>2026</x:v>
      </x:c>
      <x:c r="B1256" s="30" t="str">
        <x:v>Base game</x:v>
      </x:c>
      <x:c r="C1256" s="30" t="str">
        <x:v>Poland</x:v>
      </x:c>
      <x:c r="D1256" s="30" t="str">
        <x:v>Serbia</x:v>
      </x:c>
      <x:c r="E1256" s="30" t="str">
        <x:v>Project unlock</x:v>
      </x:c>
      <x:c r="F1256" s="30" t="str">
        <x:v>Slavic Commonwealth</x:v>
      </x:c>
      <x:c r="G1256" s="30" t="str">
        <x:v>No</x:v>
      </x:c>
      <x:c r="H1256" s="30" t="str">
        <x:v>Ordinary claim</x:v>
      </x:c>
      <x:c r="I1256" s="31" t="n">
        <x:f>IF(G1256="Yes",'Controls &amp; Summary'!$B$5,'Controls &amp; Summary'!$B$4)</x:f>
        <x:v>6</x:v>
      </x:c>
      <x:c r="J1256" s="31" t="n">
        <x:v>7.65</x:v>
      </x:c>
      <x:c r="K1256" s="31" t="n">
        <x:v>6.3</x:v>
      </x:c>
      <x:c r="L1256" s="31" t="n">
        <x:f>ABS(J1256-K1256)</x:f>
        <x:v>1.3500000000000005</x:v>
      </x:c>
      <x:c r="M1256" s="31" t="n">
        <x:v>2.85</x:v>
      </x:c>
      <x:c r="N1256" s="31" t="n">
        <x:v>3.31</x:v>
      </x:c>
      <x:c r="O1256" s="31" t="n">
        <x:f>ABS(M1256-N1256)</x:f>
        <x:v>0.45999999999999996</x:v>
      </x:c>
      <x:c r="P1256" s="31" t="n">
        <x:v>8.82</x:v>
      </x:c>
      <x:c r="Q1256" s="31" t="n">
        <x:v>7.85</x:v>
      </x:c>
      <x:c r="R1256" s="31" t="n">
        <x:f>ABS(P1256-Q1256)</x:f>
        <x:v>0.9700000000000006</x:v>
      </x:c>
      <x:c r="S1256" s="32" t="n">
        <x:v>46967.66966440565</x:v>
      </x:c>
      <x:c r="T1256" s="32" t="n">
        <x:v>28647.321786146385</x:v>
      </x:c>
      <x:c r="U1256" s="31" t="n">
        <x:f>MAX(S1256/T1256,T1256/S1256)</x:f>
        <x:v>1.6395134601070749</x:v>
      </x:c>
      <x:c r="V1256" s="31" t="n">
        <x:f>L1256*'Controls &amp; Summary'!$B$9+O1256*'Controls &amp; Summary'!$B$10+R1256*'Controls &amp; Summary'!$B$11+U1256*'Controls &amp; Summary'!$B$12</x:f>
        <x:v>4.419513460107076</x:v>
      </x:c>
      <x:c r="W1256" s="31" t="n">
        <x:v>5.13</x:v>
      </x:c>
      <x:c r="X1256" s="31" t="n">
        <x:v>1</x:v>
      </x:c>
      <x:c r="Y1256" s="31" t="n">
        <x:f>((10-MIN(10,MAX(0,X1256)))/10)*'Controls &amp; Summary'!$B$15+((10-MIN(10,MAX(0,W1256)))/10)*'Controls &amp; Summary'!$B$16</x:f>
        <x:v>1.387</x:v>
      </x:c>
      <x:c r="Z1256" s="31" t="n">
        <x:f>V1256*Y1256</x:f>
        <x:v>6.129865169168514</x:v>
      </x:c>
      <x:c r="AA1256" s="30" t="str">
        <x:f>IF(Z1256&lt;=I1256,"Peaceful","Hostile")</x:f>
        <x:v>Hostile</x:v>
      </x:c>
      <x:c r="AB1256" s="30" t="str">
        <x:f>IF(Z1256&lt;='Controls &amp; Summary'!$B$6,"Eligible","Blocked")</x:f>
        <x:v>Eligible</x:v>
      </x:c>
      <x:c r="AC1256" s="30" t="str">
        <x:v>2026_POL</x:v>
      </x:c>
      <x:c r="AD1256" s="30" t="str">
        <x:v>2026_SER</x:v>
      </x:c>
      <x:c r="AE1256" s="30" t="str">
        <x:v>2026_Belgrade</x:v>
      </x:c>
      <x:c r="AF1256" s="30" t="str">
        <x:v>Explicit capitalClaim</x:v>
      </x:c>
      <x:c r="AG1256" s="30" t="str">
        <x:v>Claim2026_POL2026_Belgrade</x:v>
      </x:c>
      <x:c r="AH1256" s="30" t="str">
        <x:v>Project_SlavicCommonwealth</x:v>
      </x:c>
    </x:row>
    <x:row r="1257">
      <x:c r="A1257" s="30" t="str">
        <x:v>2026</x:v>
      </x:c>
      <x:c r="B1257" s="30" t="str">
        <x:v>Base game</x:v>
      </x:c>
      <x:c r="C1257" s="30" t="str">
        <x:v>Poland</x:v>
      </x:c>
      <x:c r="D1257" s="30" t="str">
        <x:v>Slovakia</x:v>
      </x:c>
      <x:c r="E1257" s="30" t="str">
        <x:v>Project unlock</x:v>
      </x:c>
      <x:c r="F1257" s="30" t="str">
        <x:v>Slavic Commonwealth</x:v>
      </x:c>
      <x:c r="G1257" s="30" t="str">
        <x:v>No</x:v>
      </x:c>
      <x:c r="H1257" s="30" t="str">
        <x:v>Ordinary claim</x:v>
      </x:c>
      <x:c r="I1257" s="31" t="n">
        <x:f>IF(G1257="Yes",'Controls &amp; Summary'!$B$5,'Controls &amp; Summary'!$B$4)</x:f>
        <x:v>6</x:v>
      </x:c>
      <x:c r="J1257" s="31" t="n">
        <x:v>7.65</x:v>
      </x:c>
      <x:c r="K1257" s="31" t="n">
        <x:v>6.94</x:v>
      </x:c>
      <x:c r="L1257" s="31" t="n">
        <x:f>ABS(J1257-K1257)</x:f>
        <x:v>0.71</x:v>
      </x:c>
      <x:c r="M1257" s="31" t="n">
        <x:v>2.85</x:v>
      </x:c>
      <x:c r="N1257" s="31" t="n">
        <x:v>2.41</x:v>
      </x:c>
      <x:c r="O1257" s="31" t="n">
        <x:f>ABS(M1257-N1257)</x:f>
        <x:v>0.43999999999999995</x:v>
      </x:c>
      <x:c r="P1257" s="31" t="n">
        <x:v>8.82</x:v>
      </x:c>
      <x:c r="Q1257" s="31" t="n">
        <x:v>8.31</x:v>
      </x:c>
      <x:c r="R1257" s="31" t="n">
        <x:f>ABS(P1257-Q1257)</x:f>
        <x:v>0.5099999999999998</x:v>
      </x:c>
      <x:c r="S1257" s="32" t="n">
        <x:v>46967.66966440565</x:v>
      </x:c>
      <x:c r="T1257" s="32" t="n">
        <x:v>41490.26056336219</x:v>
      </x:c>
      <x:c r="U1257" s="31" t="n">
        <x:f>MAX(S1257/T1257,T1257/S1257)</x:f>
        <x:v>1.1320167438495254</x:v>
      </x:c>
      <x:c r="V1257" s="31" t="n">
        <x:f>L1257*'Controls &amp; Summary'!$B$9+O1257*'Controls &amp; Summary'!$B$10+R1257*'Controls &amp; Summary'!$B$11+U1257*'Controls &amp; Summary'!$B$12</x:f>
        <x:v>2.7920167438495254</x:v>
      </x:c>
      <x:c r="W1257" s="31" t="n">
        <x:v>5.13</x:v>
      </x:c>
      <x:c r="X1257" s="31" t="n">
        <x:v>0.5</x:v>
      </x:c>
      <x:c r="Y1257" s="31" t="n">
        <x:f>((10-MIN(10,MAX(0,X1257)))/10)*'Controls &amp; Summary'!$B$15+((10-MIN(10,MAX(0,W1257)))/10)*'Controls &amp; Summary'!$B$16</x:f>
        <x:v>1.4369999999999998</x:v>
      </x:c>
      <x:c r="Z1257" s="31" t="n">
        <x:f>V1257*Y1257</x:f>
        <x:v>4.012128060911768</x:v>
      </x:c>
      <x:c r="AA1257" s="30" t="str">
        <x:f>IF(Z1257&lt;=I1257,"Peaceful","Hostile")</x:f>
        <x:v>Peaceful</x:v>
      </x:c>
      <x:c r="AB1257" s="30" t="str">
        <x:f>IF(Z1257&lt;='Controls &amp; Summary'!$B$6,"Eligible","Blocked")</x:f>
        <x:v>Eligible</x:v>
      </x:c>
      <x:c r="AC1257" s="30" t="str">
        <x:v>2026_POL</x:v>
      </x:c>
      <x:c r="AD1257" s="30" t="str">
        <x:v>2026_SLO</x:v>
      </x:c>
      <x:c r="AE1257" s="30" t="str">
        <x:v>2026_Slovakia</x:v>
      </x:c>
      <x:c r="AF1257" s="30" t="str">
        <x:v>Explicit capitalClaim</x:v>
      </x:c>
      <x:c r="AG1257" s="30" t="str">
        <x:v>Claim2026_POL2026_Slovakia</x:v>
      </x:c>
      <x:c r="AH1257" s="30" t="str">
        <x:v>Project_SlavicCommonwealth</x:v>
      </x:c>
    </x:row>
    <x:row r="1258">
      <x:c r="A1258" s="30" t="str">
        <x:v>2026</x:v>
      </x:c>
      <x:c r="B1258" s="30" t="str">
        <x:v>Base game</x:v>
      </x:c>
      <x:c r="C1258" s="30" t="str">
        <x:v>Poland</x:v>
      </x:c>
      <x:c r="D1258" s="30" t="str">
        <x:v>Slovenia</x:v>
      </x:c>
      <x:c r="E1258" s="30" t="str">
        <x:v>Project unlock</x:v>
      </x:c>
      <x:c r="F1258" s="30" t="str">
        <x:v>Slavic Commonwealth</x:v>
      </x:c>
      <x:c r="G1258" s="30" t="str">
        <x:v>No</x:v>
      </x:c>
      <x:c r="H1258" s="30" t="str">
        <x:v>Ordinary claim</x:v>
      </x:c>
      <x:c r="I1258" s="31" t="n">
        <x:f>IF(G1258="Yes",'Controls &amp; Summary'!$B$5,'Controls &amp; Summary'!$B$4)</x:f>
        <x:v>6</x:v>
      </x:c>
      <x:c r="J1258" s="31" t="n">
        <x:v>7.65</x:v>
      </x:c>
      <x:c r="K1258" s="31" t="n">
        <x:v>7.82</x:v>
      </x:c>
      <x:c r="L1258" s="31" t="n">
        <x:f>ABS(J1258-K1258)</x:f>
        <x:v>0.16999999999999993</x:v>
      </x:c>
      <x:c r="M1258" s="31" t="n">
        <x:v>2.85</x:v>
      </x:c>
      <x:c r="N1258" s="31" t="n">
        <x:v>2.43</x:v>
      </x:c>
      <x:c r="O1258" s="31" t="n">
        <x:f>ABS(M1258-N1258)</x:f>
        <x:v>0.41999999999999993</x:v>
      </x:c>
      <x:c r="P1258" s="31" t="n">
        <x:v>8.82</x:v>
      </x:c>
      <x:c r="Q1258" s="31" t="n">
        <x:v>8.97</x:v>
      </x:c>
      <x:c r="R1258" s="31" t="n">
        <x:f>ABS(P1258-Q1258)</x:f>
        <x:v>0.15000000000000036</x:v>
      </x:c>
      <x:c r="S1258" s="32" t="n">
        <x:v>46967.66966440565</x:v>
      </x:c>
      <x:c r="T1258" s="32" t="n">
        <x:v>51376.135335124396</x:v>
      </x:c>
      <x:c r="U1258" s="31" t="n">
        <x:f>MAX(S1258/T1258,T1258/S1258)</x:f>
        <x:v>1.093861707472783</x:v>
      </x:c>
      <x:c r="V1258" s="31" t="n">
        <x:f>L1258*'Controls &amp; Summary'!$B$9+O1258*'Controls &amp; Summary'!$B$10+R1258*'Controls &amp; Summary'!$B$11+U1258*'Controls &amp; Summary'!$B$12</x:f>
        <x:v>1.8338617074727832</x:v>
      </x:c>
      <x:c r="W1258" s="31" t="n">
        <x:v>5.13</x:v>
      </x:c>
      <x:c r="X1258" s="31" t="n">
        <x:v>0.5</x:v>
      </x:c>
      <x:c r="Y1258" s="31" t="n">
        <x:f>((10-MIN(10,MAX(0,X1258)))/10)*'Controls &amp; Summary'!$B$15+((10-MIN(10,MAX(0,W1258)))/10)*'Controls &amp; Summary'!$B$16</x:f>
        <x:v>1.4369999999999998</x:v>
      </x:c>
      <x:c r="Z1258" s="31" t="n">
        <x:f>V1258*Y1258</x:f>
        <x:v>2.6352592736383893</x:v>
      </x:c>
      <x:c r="AA1258" s="30" t="str">
        <x:f>IF(Z1258&lt;=I1258,"Peaceful","Hostile")</x:f>
        <x:v>Peaceful</x:v>
      </x:c>
      <x:c r="AB1258" s="30" t="str">
        <x:f>IF(Z1258&lt;='Controls &amp; Summary'!$B$6,"Eligible","Blocked")</x:f>
        <x:v>Eligible</x:v>
      </x:c>
      <x:c r="AC1258" s="30" t="str">
        <x:v>2026_POL</x:v>
      </x:c>
      <x:c r="AD1258" s="30" t="str">
        <x:v>2026_SLV</x:v>
      </x:c>
      <x:c r="AE1258" s="30" t="str">
        <x:v>2026_Slovenia</x:v>
      </x:c>
      <x:c r="AF1258" s="30" t="str">
        <x:v>Explicit capitalClaim</x:v>
      </x:c>
      <x:c r="AG1258" s="30" t="str">
        <x:v>Claim2026_POL2026_Slovenia</x:v>
      </x:c>
      <x:c r="AH1258" s="30" t="str">
        <x:v>Project_SlavicCommonwealth</x:v>
      </x:c>
    </x:row>
    <x:row r="1259">
      <x:c r="A1259" s="30" t="str">
        <x:v>2026</x:v>
      </x:c>
      <x:c r="B1259" s="30" t="str">
        <x:v>Base game</x:v>
      </x:c>
      <x:c r="C1259" s="30" t="str">
        <x:v>Poland</x:v>
      </x:c>
      <x:c r="D1259" s="30" t="str">
        <x:v>Ukraine</x:v>
      </x:c>
      <x:c r="E1259" s="30" t="str">
        <x:v>Project unlock</x:v>
      </x:c>
      <x:c r="F1259" s="30" t="str">
        <x:v>Slavic Commonwealth</x:v>
      </x:c>
      <x:c r="G1259" s="30" t="str">
        <x:v>No</x:v>
      </x:c>
      <x:c r="H1259" s="30" t="str">
        <x:v>Ordinary claim</x:v>
      </x:c>
      <x:c r="I1259" s="31" t="n">
        <x:f>IF(G1259="Yes",'Controls &amp; Summary'!$B$5,'Controls &amp; Summary'!$B$4)</x:f>
        <x:v>6</x:v>
      </x:c>
      <x:c r="J1259" s="31" t="n">
        <x:v>7.65</x:v>
      </x:c>
      <x:c r="K1259" s="31" t="n">
        <x:v>4.79</x:v>
      </x:c>
      <x:c r="L1259" s="31" t="n">
        <x:f>ABS(J1259-K1259)</x:f>
        <x:v>2.8600000000000003</x:v>
      </x:c>
      <x:c r="M1259" s="31" t="n">
        <x:v>2.85</x:v>
      </x:c>
      <x:c r="N1259" s="31" t="n">
        <x:v>2.56</x:v>
      </x:c>
      <x:c r="O1259" s="31" t="n">
        <x:f>ABS(M1259-N1259)</x:f>
        <x:v>0.29000000000000004</x:v>
      </x:c>
      <x:c r="P1259" s="31" t="n">
        <x:v>8.82</x:v>
      </x:c>
      <x:c r="Q1259" s="31" t="n">
        <x:v>7.24</x:v>
      </x:c>
      <x:c r="R1259" s="31" t="n">
        <x:f>ABS(P1259-Q1259)</x:f>
        <x:v>1.58</x:v>
      </x:c>
      <x:c r="S1259" s="32" t="n">
        <x:v>46967.66966440565</x:v>
      </x:c>
      <x:c r="T1259" s="32" t="n">
        <x:v>15359.526489490589</x:v>
      </x:c>
      <x:c r="U1259" s="31" t="n">
        <x:f>MAX(S1259/T1259,T1259/S1259)</x:f>
        <x:v>3.057885260756067</x:v>
      </x:c>
      <x:c r="V1259" s="31" t="n">
        <x:f>L1259*'Controls &amp; Summary'!$B$9+O1259*'Controls &amp; Summary'!$B$10+R1259*'Controls &amp; Summary'!$B$11+U1259*'Controls &amp; Summary'!$B$12</x:f>
        <x:v>7.787885260756068</x:v>
      </x:c>
      <x:c r="W1259" s="31" t="n">
        <x:v>5.13</x:v>
      </x:c>
      <x:c r="X1259" s="31" t="n">
        <x:v>3.5</x:v>
      </x:c>
      <x:c r="Y1259" s="31" t="n">
        <x:f>((10-MIN(10,MAX(0,X1259)))/10)*'Controls &amp; Summary'!$B$15+((10-MIN(10,MAX(0,W1259)))/10)*'Controls &amp; Summary'!$B$16</x:f>
        <x:v>1.137</x:v>
      </x:c>
      <x:c r="Z1259" s="31" t="n">
        <x:f>V1259*Y1259</x:f>
        <x:v>8.854825541479649</x:v>
      </x:c>
      <x:c r="AA1259" s="30" t="str">
        <x:f>IF(Z1259&lt;=I1259,"Peaceful","Hostile")</x:f>
        <x:v>Hostile</x:v>
      </x:c>
      <x:c r="AB1259" s="30" t="str">
        <x:f>IF(Z1259&lt;='Controls &amp; Summary'!$B$6,"Eligible","Blocked")</x:f>
        <x:v>Eligible</x:v>
      </x:c>
      <x:c r="AC1259" s="30" t="str">
        <x:v>2026_POL</x:v>
      </x:c>
      <x:c r="AD1259" s="30" t="str">
        <x:v>2026_UKR</x:v>
      </x:c>
      <x:c r="AE1259" s="30" t="str">
        <x:v>2026_Kiev</x:v>
      </x:c>
      <x:c r="AF1259" s="30" t="str">
        <x:v>Explicit capitalClaim</x:v>
      </x:c>
      <x:c r="AG1259" s="30" t="str">
        <x:v>Claim2026_POL2026_Kiev</x:v>
      </x:c>
      <x:c r="AH1259" s="30" t="str">
        <x:v>Project_SlavicCommonwealth</x:v>
      </x:c>
    </x:row>
    <x:row r="1260">
      <x:c r="A1260" s="30" t="str">
        <x:v>2026</x:v>
      </x:c>
      <x:c r="B1260" s="30" t="str">
        <x:v>Base game</x:v>
      </x:c>
      <x:c r="C1260" s="30" t="str">
        <x:v>Romania</x:v>
      </x:c>
      <x:c r="D1260" s="30" t="str">
        <x:v>Moldova</x:v>
      </x:c>
      <x:c r="E1260" s="30" t="str">
        <x:v>Starting claim</x:v>
      </x:c>
      <x:c r="F1260" s="30" t="str"/>
      <x:c r="G1260" s="30" t="str">
        <x:v>No</x:v>
      </x:c>
      <x:c r="H1260" s="30" t="str">
        <x:v>Ordinary claim</x:v>
      </x:c>
      <x:c r="I1260" s="31" t="n">
        <x:f>IF(G1260="Yes",'Controls &amp; Summary'!$B$5,'Controls &amp; Summary'!$B$4)</x:f>
        <x:v>6</x:v>
      </x:c>
      <x:c r="J1260" s="31" t="n">
        <x:v>6.11</x:v>
      </x:c>
      <x:c r="K1260" s="31" t="n">
        <x:v>5.86</x:v>
      </x:c>
      <x:c r="L1260" s="31" t="n">
        <x:f>ABS(J1260-K1260)</x:f>
        <x:v>0.25</x:v>
      </x:c>
      <x:c r="M1260" s="31" t="n">
        <x:v>3.39</x:v>
      </x:c>
      <x:c r="N1260" s="31" t="n">
        <x:v>2.57</x:v>
      </x:c>
      <x:c r="O1260" s="31" t="n">
        <x:f>ABS(M1260-N1260)</x:f>
        <x:v>0.8200000000000003</x:v>
      </x:c>
      <x:c r="P1260" s="31" t="n">
        <x:v>7.61</x:v>
      </x:c>
      <x:c r="Q1260" s="31" t="n">
        <x:v>7.81</x:v>
      </x:c>
      <x:c r="R1260" s="31" t="n">
        <x:f>ABS(P1260-Q1260)</x:f>
        <x:v>0.1999999999999993</x:v>
      </x:c>
      <x:c r="S1260" s="32" t="n">
        <x:v>43378.812543532506</x:v>
      </x:c>
      <x:c r="T1260" s="32" t="n">
        <x:v>13778.352009098851</x:v>
      </x:c>
      <x:c r="U1260" s="31" t="n">
        <x:f>MAX(S1260/T1260,T1260/S1260)</x:f>
        <x:v>3.1483309843504004</x:v>
      </x:c>
      <x:c r="V1260" s="31" t="n">
        <x:f>L1260*'Controls &amp; Summary'!$B$9+O1260*'Controls &amp; Summary'!$B$10+R1260*'Controls &amp; Summary'!$B$11+U1260*'Controls &amp; Summary'!$B$12</x:f>
        <x:v>4.4183309843503995</x:v>
      </x:c>
      <x:c r="W1260" s="31" t="n">
        <x:v>3.97</x:v>
      </x:c>
      <x:c r="X1260" s="31" t="n">
        <x:v>0.25</x:v>
      </x:c>
      <x:c r="Y1260" s="31" t="n">
        <x:f>((10-MIN(10,MAX(0,X1260)))/10)*'Controls &amp; Summary'!$B$15+((10-MIN(10,MAX(0,W1260)))/10)*'Controls &amp; Summary'!$B$16</x:f>
        <x:v>1.5779999999999998</x:v>
      </x:c>
      <x:c r="Z1260" s="31" t="n">
        <x:f>V1260*Y1260</x:f>
        <x:v>6.97212629330493</x:v>
      </x:c>
      <x:c r="AA1260" s="30" t="str">
        <x:f>IF(Z1260&lt;=I1260,"Peaceful","Hostile")</x:f>
        <x:v>Hostile</x:v>
      </x:c>
      <x:c r="AB1260" s="30" t="str">
        <x:f>IF(Z1260&lt;='Controls &amp; Summary'!$B$6,"Eligible","Blocked")</x:f>
        <x:v>Eligible</x:v>
      </x:c>
      <x:c r="AC1260" s="30" t="str">
        <x:v>2026_ROM</x:v>
      </x:c>
      <x:c r="AD1260" s="30" t="str">
        <x:v>2026_MOL</x:v>
      </x:c>
      <x:c r="AE1260" s="30" t="str">
        <x:v>2026_Moldova</x:v>
      </x:c>
      <x:c r="AF1260" s="30" t="str">
        <x:v>Explicit capitalClaim</x:v>
      </x:c>
      <x:c r="AG1260" s="30" t="str">
        <x:v>Claim2026_ROM2026_Moldova</x:v>
      </x:c>
      <x:c r="AH1260" s="30" t="str"/>
    </x:row>
    <x:row r="1261">
      <x:c r="A1261" s="30" t="str">
        <x:v>2026</x:v>
      </x:c>
      <x:c r="B1261" s="30" t="str">
        <x:v>Base game</x:v>
      </x:c>
      <x:c r="C1261" s="30" t="str">
        <x:v>Russia</x:v>
      </x:c>
      <x:c r="D1261" s="30" t="str">
        <x:v>Albania</x:v>
      </x:c>
      <x:c r="E1261" s="30" t="str">
        <x:v>Project unlock</x:v>
      </x:c>
      <x:c r="F1261" s="30" t="str">
        <x:v>Forward Russia</x:v>
      </x:c>
      <x:c r="G1261" s="30" t="str">
        <x:v>Yes</x:v>
      </x:c>
      <x:c r="H1261" s="30" t="str">
        <x:v>Approved expansion-project family</x:v>
      </x:c>
      <x:c r="I1261" s="31" t="n">
        <x:f>IF(G1261="Yes",'Controls &amp; Summary'!$B$5,'Controls &amp; Summary'!$B$4)</x:f>
        <x:v>3</x:v>
      </x:c>
      <x:c r="J1261" s="31" t="n">
        <x:v>2.03</x:v>
      </x:c>
      <x:c r="K1261" s="31" t="n">
        <x:v>6.2</x:v>
      </x:c>
      <x:c r="L1261" s="31" t="n">
        <x:f>ABS(J1261-K1261)</x:f>
        <x:v>4.17</x:v>
      </x:c>
      <x:c r="M1261" s="31" t="n">
        <x:v>3.51</x:v>
      </x:c>
      <x:c r="N1261" s="31" t="n">
        <x:v>2.94</x:v>
      </x:c>
      <x:c r="O1261" s="31" t="n">
        <x:f>ABS(M1261-N1261)</x:f>
        <x:v>0.5699999999999998</x:v>
      </x:c>
      <x:c r="P1261" s="31" t="n">
        <x:v>7.63</x:v>
      </x:c>
      <x:c r="Q1261" s="31" t="n">
        <x:v>7.27</x:v>
      </x:c>
      <x:c r="R1261" s="31" t="n">
        <x:f>ABS(P1261-Q1261)</x:f>
        <x:v>0.3600000000000003</x:v>
      </x:c>
      <x:c r="S1261" s="32" t="n">
        <x:v>43109.973503906265</x:v>
      </x:c>
      <x:c r="T1261" s="32" t="n">
        <x:v>20178.079079615778</x:v>
      </x:c>
      <x:c r="U1261" s="31" t="n">
        <x:f>MAX(S1261/T1261,T1261/S1261)</x:f>
        <x:v>2.136475594817975</x:v>
      </x:c>
      <x:c r="V1261" s="31" t="n">
        <x:f>L1261*'Controls &amp; Summary'!$B$9+O1261*'Controls &amp; Summary'!$B$10+R1261*'Controls &amp; Summary'!$B$11+U1261*'Controls &amp; Summary'!$B$12</x:f>
        <x:v>7.236475594817976</x:v>
      </x:c>
      <x:c r="W1261" s="31" t="n">
        <x:v>3.32</x:v>
      </x:c>
      <x:c r="X1261" s="31" t="n">
        <x:v>1</x:v>
      </x:c>
      <x:c r="Y1261" s="31" t="n">
        <x:f>((10-MIN(10,MAX(0,X1261)))/10)*'Controls &amp; Summary'!$B$15+((10-MIN(10,MAX(0,W1261)))/10)*'Controls &amp; Summary'!$B$16</x:f>
        <x:v>1.568</x:v>
      </x:c>
      <x:c r="Z1261" s="31" t="n">
        <x:f>V1261*Y1261</x:f>
        <x:v>11.346793732674586</x:v>
      </x:c>
      <x:c r="AA1261" s="30" t="str">
        <x:f>IF(Z1261&lt;=I1261,"Peaceful","Hostile")</x:f>
        <x:v>Hostile</x:v>
      </x:c>
      <x:c r="AB1261" s="30" t="str">
        <x:f>IF(Z1261&lt;='Controls &amp; Summary'!$B$6,"Eligible","Blocked")</x:f>
        <x:v>Eligible</x:v>
      </x:c>
      <x:c r="AC1261" s="30" t="str">
        <x:v>2026_RUS</x:v>
      </x:c>
      <x:c r="AD1261" s="30" t="str">
        <x:v>2026_SBK</x:v>
      </x:c>
      <x:c r="AE1261" s="30" t="str">
        <x:v>2026_Tirana</x:v>
      </x:c>
      <x:c r="AF1261" s="30" t="str">
        <x:v>Explicit capitalClaim</x:v>
      </x:c>
      <x:c r="AG1261" s="30" t="str">
        <x:v>Claim2026_RUS2026_Tirana</x:v>
      </x:c>
      <x:c r="AH1261" s="30" t="str">
        <x:v>Project_ForwardRussia</x:v>
      </x:c>
    </x:row>
    <x:row r="1262">
      <x:c r="A1262" s="30" t="str">
        <x:v>2026</x:v>
      </x:c>
      <x:c r="B1262" s="30" t="str">
        <x:v>Base game</x:v>
      </x:c>
      <x:c r="C1262" s="30" t="str">
        <x:v>Russia</x:v>
      </x:c>
      <x:c r="D1262" s="30" t="str">
        <x:v>Armenia</x:v>
      </x:c>
      <x:c r="E1262" s="30" t="str">
        <x:v>Starting claim</x:v>
      </x:c>
      <x:c r="F1262" s="30" t="str"/>
      <x:c r="G1262" s="30" t="str">
        <x:v>No</x:v>
      </x:c>
      <x:c r="H1262" s="30" t="str">
        <x:v>Ordinary claim</x:v>
      </x:c>
      <x:c r="I1262" s="31" t="n">
        <x:f>IF(G1262="Yes",'Controls &amp; Summary'!$B$5,'Controls &amp; Summary'!$B$4)</x:f>
        <x:v>6</x:v>
      </x:c>
      <x:c r="J1262" s="31" t="n">
        <x:v>2.03</x:v>
      </x:c>
      <x:c r="K1262" s="31" t="n">
        <x:v>5.35</x:v>
      </x:c>
      <x:c r="L1262" s="31" t="n">
        <x:f>ABS(J1262-K1262)</x:f>
        <x:v>3.32</x:v>
      </x:c>
      <x:c r="M1262" s="31" t="n">
        <x:v>3.51</x:v>
      </x:c>
      <x:c r="N1262" s="31" t="n">
        <x:v>2.79</x:v>
      </x:c>
      <x:c r="O1262" s="31" t="n">
        <x:f>ABS(M1262-N1262)</x:f>
        <x:v>0.7199999999999998</x:v>
      </x:c>
      <x:c r="P1262" s="31" t="n">
        <x:v>7.63</x:v>
      </x:c>
      <x:c r="Q1262" s="31" t="n">
        <x:v>7.6</x:v>
      </x:c>
      <x:c r="R1262" s="31" t="n">
        <x:f>ABS(P1262-Q1262)</x:f>
        <x:v>0.03000000000000025</x:v>
      </x:c>
      <x:c r="S1262" s="32" t="n">
        <x:v>43109.973503906265</x:v>
      </x:c>
      <x:c r="T1262" s="32" t="n">
        <x:v>22306.59026276777</x:v>
      </x:c>
      <x:c r="U1262" s="31" t="n">
        <x:f>MAX(S1262/T1262,T1262/S1262)</x:f>
        <x:v>1.9326115285248997</x:v>
      </x:c>
      <x:c r="V1262" s="31" t="n">
        <x:f>L1262*'Controls &amp; Summary'!$B$9+O1262*'Controls &amp; Summary'!$B$10+R1262*'Controls &amp; Summary'!$B$11+U1262*'Controls &amp; Summary'!$B$12</x:f>
        <x:v>6.002611528524899</x:v>
      </x:c>
      <x:c r="W1262" s="31" t="n">
        <x:v>3.32</x:v>
      </x:c>
      <x:c r="X1262" s="31" t="n">
        <x:v>1</x:v>
      </x:c>
      <x:c r="Y1262" s="31" t="n">
        <x:f>((10-MIN(10,MAX(0,X1262)))/10)*'Controls &amp; Summary'!$B$15+((10-MIN(10,MAX(0,W1262)))/10)*'Controls &amp; Summary'!$B$16</x:f>
        <x:v>1.568</x:v>
      </x:c>
      <x:c r="Z1262" s="31" t="n">
        <x:f>V1262*Y1262</x:f>
        <x:v>9.412094876727043</x:v>
      </x:c>
      <x:c r="AA1262" s="30" t="str">
        <x:f>IF(Z1262&lt;=I1262,"Peaceful","Hostile")</x:f>
        <x:v>Hostile</x:v>
      </x:c>
      <x:c r="AB1262" s="30" t="str">
        <x:f>IF(Z1262&lt;='Controls &amp; Summary'!$B$6,"Eligible","Blocked")</x:f>
        <x:v>Eligible</x:v>
      </x:c>
      <x:c r="AC1262" s="30" t="str">
        <x:v>2026_RUS</x:v>
      </x:c>
      <x:c r="AD1262" s="30" t="str">
        <x:v>2026_ARM</x:v>
      </x:c>
      <x:c r="AE1262" s="30" t="str">
        <x:v>2026_Armenia</x:v>
      </x:c>
      <x:c r="AF1262" s="30" t="str">
        <x:v>Explicit capitalClaim</x:v>
      </x:c>
      <x:c r="AG1262" s="30" t="str">
        <x:v>Claim2026_RUS2026_Armenia</x:v>
      </x:c>
      <x:c r="AH1262" s="30" t="str"/>
    </x:row>
    <x:row r="1263">
      <x:c r="A1263" s="30" t="str">
        <x:v>2026</x:v>
      </x:c>
      <x:c r="B1263" s="30" t="str">
        <x:v>Base game</x:v>
      </x:c>
      <x:c r="C1263" s="30" t="str">
        <x:v>Russia</x:v>
      </x:c>
      <x:c r="D1263" s="30" t="str">
        <x:v>Austria</x:v>
      </x:c>
      <x:c r="E1263" s="30" t="str">
        <x:v>Project unlock</x:v>
      </x:c>
      <x:c r="F1263" s="30" t="str">
        <x:v>Forward Russia</x:v>
      </x:c>
      <x:c r="G1263" s="30" t="str">
        <x:v>Yes</x:v>
      </x:c>
      <x:c r="H1263" s="30" t="str">
        <x:v>Template hostileClaim</x:v>
      </x:c>
      <x:c r="I1263" s="31" t="n">
        <x:f>IF(G1263="Yes",'Controls &amp; Summary'!$B$5,'Controls &amp; Summary'!$B$4)</x:f>
        <x:v>3</x:v>
      </x:c>
      <x:c r="J1263" s="31" t="n">
        <x:v>2.03</x:v>
      </x:c>
      <x:c r="K1263" s="31" t="n">
        <x:v>8.42</x:v>
      </x:c>
      <x:c r="L1263" s="31" t="n">
        <x:f>ABS(J1263-K1263)</x:f>
        <x:v>6.390000000000001</x:v>
      </x:c>
      <x:c r="M1263" s="31" t="n">
        <x:v>3.51</x:v>
      </x:c>
      <x:c r="N1263" s="31" t="n">
        <x:v>3.07</x:v>
      </x:c>
      <x:c r="O1263" s="31" t="n">
        <x:f>ABS(M1263-N1263)</x:f>
        <x:v>0.43999999999999995</x:v>
      </x:c>
      <x:c r="P1263" s="31" t="n">
        <x:v>7.63</x:v>
      </x:c>
      <x:c r="Q1263" s="31" t="n">
        <x:v>8.46</x:v>
      </x:c>
      <x:c r="R1263" s="31" t="n">
        <x:f>ABS(P1263-Q1263)</x:f>
        <x:v>0.830000000000001</x:v>
      </x:c>
      <x:c r="S1263" s="32" t="n">
        <x:v>43109.973503906265</x:v>
      </x:c>
      <x:c r="T1263" s="32" t="n">
        <x:v>69215.76967333848</x:v>
      </x:c>
      <x:c r="U1263" s="31" t="n">
        <x:f>MAX(S1263/T1263,T1263/S1263)</x:f>
        <x:v>1.605562797830686</x:v>
      </x:c>
      <x:c r="V1263" s="31" t="n">
        <x:f>L1263*'Controls &amp; Summary'!$B$9+O1263*'Controls &amp; Summary'!$B$10+R1263*'Controls &amp; Summary'!$B$11+U1263*'Controls &amp; Summary'!$B$12</x:f>
        <x:v>9.265562797830686</x:v>
      </x:c>
      <x:c r="W1263" s="31" t="n">
        <x:v>3.32</x:v>
      </x:c>
      <x:c r="X1263" s="31" t="n">
        <x:v>0.5</x:v>
      </x:c>
      <x:c r="Y1263" s="31" t="n">
        <x:f>((10-MIN(10,MAX(0,X1263)))/10)*'Controls &amp; Summary'!$B$15+((10-MIN(10,MAX(0,W1263)))/10)*'Controls &amp; Summary'!$B$16</x:f>
        <x:v>1.6179999999999999</x:v>
      </x:c>
      <x:c r="Z1263" s="31" t="n">
        <x:f>V1263*Y1263</x:f>
        <x:v>14.991680606890048</x:v>
      </x:c>
      <x:c r="AA1263" s="30" t="str">
        <x:f>IF(Z1263&lt;=I1263,"Peaceful","Hostile")</x:f>
        <x:v>Hostile</x:v>
      </x:c>
      <x:c r="AB1263" s="30" t="str">
        <x:f>IF(Z1263&lt;='Controls &amp; Summary'!$B$6,"Eligible","Blocked")</x:f>
        <x:v>Blocked</x:v>
      </x:c>
      <x:c r="AC1263" s="30" t="str">
        <x:v>2026_RUS</x:v>
      </x:c>
      <x:c r="AD1263" s="30" t="str">
        <x:v>2026_ALP</x:v>
      </x:c>
      <x:c r="AE1263" s="30" t="str">
        <x:v>2026_Vienna</x:v>
      </x:c>
      <x:c r="AF1263" s="30" t="str">
        <x:v>Explicit capitalClaim</x:v>
      </x:c>
      <x:c r="AG1263" s="30" t="str">
        <x:v>Claim2026_RUS2026_Vienna</x:v>
      </x:c>
      <x:c r="AH1263" s="30" t="str">
        <x:v>Project_ForwardRussia</x:v>
      </x:c>
    </x:row>
    <x:row r="1264">
      <x:c r="A1264" s="30" t="str">
        <x:v>2026</x:v>
      </x:c>
      <x:c r="B1264" s="30" t="str">
        <x:v>Base game</x:v>
      </x:c>
      <x:c r="C1264" s="30" t="str">
        <x:v>Russia</x:v>
      </x:c>
      <x:c r="D1264" s="30" t="str">
        <x:v>Azerbaijan</x:v>
      </x:c>
      <x:c r="E1264" s="30" t="str">
        <x:v>Starting claim</x:v>
      </x:c>
      <x:c r="F1264" s="30" t="str"/>
      <x:c r="G1264" s="30" t="str">
        <x:v>No</x:v>
      </x:c>
      <x:c r="H1264" s="30" t="str">
        <x:v>Ordinary claim</x:v>
      </x:c>
      <x:c r="I1264" s="31" t="n">
        <x:f>IF(G1264="Yes",'Controls &amp; Summary'!$B$5,'Controls &amp; Summary'!$B$4)</x:f>
        <x:v>6</x:v>
      </x:c>
      <x:c r="J1264" s="31" t="n">
        <x:v>2.03</x:v>
      </x:c>
      <x:c r="K1264" s="31" t="n">
        <x:v>2.8</x:v>
      </x:c>
      <x:c r="L1264" s="31" t="n">
        <x:f>ABS(J1264-K1264)</x:f>
        <x:v>0.77</x:v>
      </x:c>
      <x:c r="M1264" s="31" t="n">
        <x:v>3.51</x:v>
      </x:c>
      <x:c r="N1264" s="31" t="n">
        <x:v>2.12</x:v>
      </x:c>
      <x:c r="O1264" s="31" t="n">
        <x:f>ABS(M1264-N1264)</x:f>
        <x:v>1.3899999999999997</x:v>
      </x:c>
      <x:c r="P1264" s="31" t="n">
        <x:v>7.63</x:v>
      </x:c>
      <x:c r="Q1264" s="31" t="n">
        <x:v>7.13</x:v>
      </x:c>
      <x:c r="R1264" s="31" t="n">
        <x:f>ABS(P1264-Q1264)</x:f>
        <x:v>0.5</x:v>
      </x:c>
      <x:c r="S1264" s="32" t="n">
        <x:v>43109.973503906265</x:v>
      </x:c>
      <x:c r="T1264" s="32" t="n">
        <x:v>22903.043609882683</x:v>
      </x:c>
      <x:c r="U1264" s="31" t="n">
        <x:f>MAX(S1264/T1264,T1264/S1264)</x:f>
        <x:v>1.8822814224265056</x:v>
      </x:c>
      <x:c r="V1264" s="31" t="n">
        <x:f>L1264*'Controls &amp; Summary'!$B$9+O1264*'Controls &amp; Summary'!$B$10+R1264*'Controls &amp; Summary'!$B$11+U1264*'Controls &amp; Summary'!$B$12</x:f>
        <x:v>4.542281422426505</x:v>
      </x:c>
      <x:c r="W1264" s="31" t="n">
        <x:v>3.32</x:v>
      </x:c>
      <x:c r="X1264" s="31" t="n">
        <x:v>1.25</x:v>
      </x:c>
      <x:c r="Y1264" s="31" t="n">
        <x:f>((10-MIN(10,MAX(0,X1264)))/10)*'Controls &amp; Summary'!$B$15+((10-MIN(10,MAX(0,W1264)))/10)*'Controls &amp; Summary'!$B$16</x:f>
        <x:v>1.543</x:v>
      </x:c>
      <x:c r="Z1264" s="31" t="n">
        <x:f>V1264*Y1264</x:f>
        <x:v>7.0087402348040975</x:v>
      </x:c>
      <x:c r="AA1264" s="30" t="str">
        <x:f>IF(Z1264&lt;=I1264,"Peaceful","Hostile")</x:f>
        <x:v>Hostile</x:v>
      </x:c>
      <x:c r="AB1264" s="30" t="str">
        <x:f>IF(Z1264&lt;='Controls &amp; Summary'!$B$6,"Eligible","Blocked")</x:f>
        <x:v>Eligible</x:v>
      </x:c>
      <x:c r="AC1264" s="30" t="str">
        <x:v>2026_RUS</x:v>
      </x:c>
      <x:c r="AD1264" s="30" t="str">
        <x:v>2026_AZE</x:v>
      </x:c>
      <x:c r="AE1264" s="30" t="str">
        <x:v>2026_Azerbaijan</x:v>
      </x:c>
      <x:c r="AF1264" s="30" t="str">
        <x:v>Explicit capitalClaim</x:v>
      </x:c>
      <x:c r="AG1264" s="30" t="str">
        <x:v>Claim2026_RUS2026_Azerbaijan</x:v>
      </x:c>
      <x:c r="AH1264" s="30" t="str"/>
    </x:row>
    <x:row r="1265">
      <x:c r="A1265" s="30" t="str">
        <x:v>2026</x:v>
      </x:c>
      <x:c r="B1265" s="30" t="str">
        <x:v>Base game</x:v>
      </x:c>
      <x:c r="C1265" s="30" t="str">
        <x:v>Russia</x:v>
      </x:c>
      <x:c r="D1265" s="30" t="str">
        <x:v>Belarus</x:v>
      </x:c>
      <x:c r="E1265" s="30" t="str">
        <x:v>Starting claim</x:v>
      </x:c>
      <x:c r="F1265" s="30" t="str"/>
      <x:c r="G1265" s="30" t="str">
        <x:v>No</x:v>
      </x:c>
      <x:c r="H1265" s="30" t="str">
        <x:v>Ordinary claim</x:v>
      </x:c>
      <x:c r="I1265" s="31" t="n">
        <x:f>IF(G1265="Yes",'Controls &amp; Summary'!$B$5,'Controls &amp; Summary'!$B$4)</x:f>
        <x:v>6</x:v>
      </x:c>
      <x:c r="J1265" s="31" t="n">
        <x:v>2.03</x:v>
      </x:c>
      <x:c r="K1265" s="31" t="n">
        <x:v>1.99</x:v>
      </x:c>
      <x:c r="L1265" s="31" t="n">
        <x:f>ABS(J1265-K1265)</x:f>
        <x:v>0.039999999999999813</x:v>
      </x:c>
      <x:c r="M1265" s="31" t="n">
        <x:v>3.51</x:v>
      </x:c>
      <x:c r="N1265" s="31" t="n">
        <x:v>2.44</x:v>
      </x:c>
      <x:c r="O1265" s="31" t="n">
        <x:f>ABS(M1265-N1265)</x:f>
        <x:v>1.0699999999999998</x:v>
      </x:c>
      <x:c r="P1265" s="31" t="n">
        <x:v>7.63</x:v>
      </x:c>
      <x:c r="Q1265" s="31" t="n">
        <x:v>7.73</x:v>
      </x:c>
      <x:c r="R1265" s="31" t="n">
        <x:f>ABS(P1265-Q1265)</x:f>
        <x:v>0.10000000000000053</x:v>
      </x:c>
      <x:c r="S1265" s="32" t="n">
        <x:v>43109.973503906265</x:v>
      </x:c>
      <x:c r="T1265" s="32" t="n">
        <x:v>30701.077249704544</x:v>
      </x:c>
      <x:c r="U1265" s="31" t="n">
        <x:f>MAX(S1265/T1265,T1265/S1265)</x:f>
        <x:v>1.4041843924001443</x:v>
      </x:c>
      <x:c r="V1265" s="31" t="n">
        <x:f>L1265*'Controls &amp; Summary'!$B$9+O1265*'Controls &amp; Summary'!$B$10+R1265*'Controls &amp; Summary'!$B$11+U1265*'Controls &amp; Summary'!$B$12</x:f>
        <x:v>2.614184392400144</x:v>
      </x:c>
      <x:c r="W1265" s="31" t="n">
        <x:v>3.32</x:v>
      </x:c>
      <x:c r="X1265" s="31" t="n">
        <x:v>1</x:v>
      </x:c>
      <x:c r="Y1265" s="31" t="n">
        <x:f>((10-MIN(10,MAX(0,X1265)))/10)*'Controls &amp; Summary'!$B$15+((10-MIN(10,MAX(0,W1265)))/10)*'Controls &amp; Summary'!$B$16</x:f>
        <x:v>1.568</x:v>
      </x:c>
      <x:c r="Z1265" s="31" t="n">
        <x:f>V1265*Y1265</x:f>
        <x:v>4.099041127283426</x:v>
      </x:c>
      <x:c r="AA1265" s="30" t="str">
        <x:f>IF(Z1265&lt;=I1265,"Peaceful","Hostile")</x:f>
        <x:v>Peaceful</x:v>
      </x:c>
      <x:c r="AB1265" s="30" t="str">
        <x:f>IF(Z1265&lt;='Controls &amp; Summary'!$B$6,"Eligible","Blocked")</x:f>
        <x:v>Eligible</x:v>
      </x:c>
      <x:c r="AC1265" s="30" t="str">
        <x:v>2026_RUS</x:v>
      </x:c>
      <x:c r="AD1265" s="30" t="str">
        <x:v>2026_BLR</x:v>
      </x:c>
      <x:c r="AE1265" s="30" t="str">
        <x:v>2026_Belarus</x:v>
      </x:c>
      <x:c r="AF1265" s="30" t="str">
        <x:v>Explicit capitalClaim</x:v>
      </x:c>
      <x:c r="AG1265" s="30" t="str">
        <x:v>Claim2026_RUS2026_Belarus</x:v>
      </x:c>
      <x:c r="AH1265" s="30" t="str"/>
    </x:row>
    <x:row r="1266">
      <x:c r="A1266" s="30" t="str">
        <x:v>2026</x:v>
      </x:c>
      <x:c r="B1266" s="30" t="str">
        <x:v>Base game</x:v>
      </x:c>
      <x:c r="C1266" s="30" t="str">
        <x:v>Russia</x:v>
      </x:c>
      <x:c r="D1266" s="30" t="str">
        <x:v>Belgium</x:v>
      </x:c>
      <x:c r="E1266" s="30" t="str">
        <x:v>Project unlock</x:v>
      </x:c>
      <x:c r="F1266" s="30" t="str">
        <x:v>Forward Russia</x:v>
      </x:c>
      <x:c r="G1266" s="30" t="str">
        <x:v>Yes</x:v>
      </x:c>
      <x:c r="H1266" s="30" t="str">
        <x:v>Template hostileClaim</x:v>
      </x:c>
      <x:c r="I1266" s="31" t="n">
        <x:f>IF(G1266="Yes",'Controls &amp; Summary'!$B$5,'Controls &amp; Summary'!$B$4)</x:f>
        <x:v>3</x:v>
      </x:c>
      <x:c r="J1266" s="31" t="n">
        <x:v>2.03</x:v>
      </x:c>
      <x:c r="K1266" s="31" t="n">
        <x:v>7.77</x:v>
      </x:c>
      <x:c r="L1266" s="31" t="n">
        <x:f>ABS(J1266-K1266)</x:f>
        <x:v>5.74</x:v>
      </x:c>
      <x:c r="M1266" s="31" t="n">
        <x:v>3.51</x:v>
      </x:c>
      <x:c r="N1266" s="31" t="n">
        <x:v>2.66</x:v>
      </x:c>
      <x:c r="O1266" s="31" t="n">
        <x:f>ABS(M1266-N1266)</x:f>
        <x:v>0.8499999999999996</x:v>
      </x:c>
      <x:c r="P1266" s="31" t="n">
        <x:v>7.63</x:v>
      </x:c>
      <x:c r="Q1266" s="31" t="n">
        <x:v>9.28</x:v>
      </x:c>
      <x:c r="R1266" s="31" t="n">
        <x:f>ABS(P1266-Q1266)</x:f>
        <x:v>1.6499999999999995</x:v>
      </x:c>
      <x:c r="S1266" s="32" t="n">
        <x:v>43109.973503906265</x:v>
      </x:c>
      <x:c r="T1266" s="32" t="n">
        <x:v>71187.67646518361</x:v>
      </x:c>
      <x:c r="U1266" s="31" t="n">
        <x:f>MAX(S1266/T1266,T1266/S1266)</x:f>
        <x:v>1.6513041108395294</x:v>
      </x:c>
      <x:c r="V1266" s="31" t="n">
        <x:f>L1266*'Controls &amp; Summary'!$B$9+O1266*'Controls &amp; Summary'!$B$10+R1266*'Controls &amp; Summary'!$B$11+U1266*'Controls &amp; Summary'!$B$12</x:f>
        <x:v>9.891304110839528</x:v>
      </x:c>
      <x:c r="W1266" s="31" t="n">
        <x:v>3.32</x:v>
      </x:c>
      <x:c r="X1266" s="31" t="n">
        <x:v>0.25</x:v>
      </x:c>
      <x:c r="Y1266" s="31" t="n">
        <x:f>((10-MIN(10,MAX(0,X1266)))/10)*'Controls &amp; Summary'!$B$15+((10-MIN(10,MAX(0,W1266)))/10)*'Controls &amp; Summary'!$B$16</x:f>
        <x:v>1.6429999999999998</x:v>
      </x:c>
      <x:c r="Z1266" s="31" t="n">
        <x:f>V1266*Y1266</x:f>
        <x:v>16.25141265410934</x:v>
      </x:c>
      <x:c r="AA1266" s="30" t="str">
        <x:f>IF(Z1266&lt;=I1266,"Peaceful","Hostile")</x:f>
        <x:v>Hostile</x:v>
      </x:c>
      <x:c r="AB1266" s="30" t="str">
        <x:f>IF(Z1266&lt;='Controls &amp; Summary'!$B$6,"Eligible","Blocked")</x:f>
        <x:v>Blocked</x:v>
      </x:c>
      <x:c r="AC1266" s="30" t="str">
        <x:v>2026_RUS</x:v>
      </x:c>
      <x:c r="AD1266" s="30" t="str">
        <x:v>2026_BGM</x:v>
      </x:c>
      <x:c r="AE1266" s="30" t="str">
        <x:v>2026_Belgium</x:v>
      </x:c>
      <x:c r="AF1266" s="30" t="str">
        <x:v>Explicit capitalClaim</x:v>
      </x:c>
      <x:c r="AG1266" s="30" t="str">
        <x:v>Claim2026_RUS2026_Belgium</x:v>
      </x:c>
      <x:c r="AH1266" s="30" t="str">
        <x:v>Project_ForwardRussia</x:v>
      </x:c>
    </x:row>
    <x:row r="1267">
      <x:c r="A1267" s="30" t="str">
        <x:v>2026</x:v>
      </x:c>
      <x:c r="B1267" s="30" t="str">
        <x:v>Base game</x:v>
      </x:c>
      <x:c r="C1267" s="30" t="str">
        <x:v>Russia</x:v>
      </x:c>
      <x:c r="D1267" s="30" t="str">
        <x:v>Bosnia and Herzegovina</x:v>
      </x:c>
      <x:c r="E1267" s="30" t="str">
        <x:v>Project unlock</x:v>
      </x:c>
      <x:c r="F1267" s="30" t="str">
        <x:v>Forward Russia</x:v>
      </x:c>
      <x:c r="G1267" s="30" t="str">
        <x:v>Yes</x:v>
      </x:c>
      <x:c r="H1267" s="30" t="str">
        <x:v>Template hostileClaim</x:v>
      </x:c>
      <x:c r="I1267" s="31" t="n">
        <x:f>IF(G1267="Yes",'Controls &amp; Summary'!$B$5,'Controls &amp; Summary'!$B$4)</x:f>
        <x:v>3</x:v>
      </x:c>
      <x:c r="J1267" s="31" t="n">
        <x:v>2.03</x:v>
      </x:c>
      <x:c r="K1267" s="31" t="n">
        <x:v>5.23</x:v>
      </x:c>
      <x:c r="L1267" s="31" t="n">
        <x:f>ABS(J1267-K1267)</x:f>
        <x:v>3.2000000000000006</x:v>
      </x:c>
      <x:c r="M1267" s="31" t="n">
        <x:v>3.51</x:v>
      </x:c>
      <x:c r="N1267" s="31" t="n">
        <x:v>3.3</x:v>
      </x:c>
      <x:c r="O1267" s="31" t="n">
        <x:f>ABS(M1267-N1267)</x:f>
        <x:v>0.20999999999999996</x:v>
      </x:c>
      <x:c r="P1267" s="31" t="n">
        <x:v>7.63</x:v>
      </x:c>
      <x:c r="Q1267" s="31" t="n">
        <x:v>7.18</x:v>
      </x:c>
      <x:c r="R1267" s="31" t="n">
        <x:f>ABS(P1267-Q1267)</x:f>
        <x:v>0.4500000000000002</x:v>
      </x:c>
      <x:c r="S1267" s="32" t="n">
        <x:v>43109.973503906265</x:v>
      </x:c>
      <x:c r="T1267" s="32" t="n">
        <x:v>22225.761517569925</x:v>
      </x:c>
      <x:c r="U1267" s="31" t="n">
        <x:f>MAX(S1267/T1267,T1267/S1267)</x:f>
        <x:v>1.9396398845469</x:v>
      </x:c>
      <x:c r="V1267" s="31" t="n">
        <x:f>L1267*'Controls &amp; Summary'!$B$9+O1267*'Controls &amp; Summary'!$B$10+R1267*'Controls &amp; Summary'!$B$11+U1267*'Controls &amp; Summary'!$B$12</x:f>
        <x:v>5.799639884546901</x:v>
      </x:c>
      <x:c r="W1267" s="31" t="n">
        <x:v>3.32</x:v>
      </x:c>
      <x:c r="X1267" s="31" t="n">
        <x:v>1</x:v>
      </x:c>
      <x:c r="Y1267" s="31" t="n">
        <x:f>((10-MIN(10,MAX(0,X1267)))/10)*'Controls &amp; Summary'!$B$15+((10-MIN(10,MAX(0,W1267)))/10)*'Controls &amp; Summary'!$B$16</x:f>
        <x:v>1.568</x:v>
      </x:c>
      <x:c r="Z1267" s="31" t="n">
        <x:f>V1267*Y1267</x:f>
        <x:v>9.09383533896954</x:v>
      </x:c>
      <x:c r="AA1267" s="30" t="str">
        <x:f>IF(Z1267&lt;=I1267,"Peaceful","Hostile")</x:f>
        <x:v>Hostile</x:v>
      </x:c>
      <x:c r="AB1267" s="30" t="str">
        <x:f>IF(Z1267&lt;='Controls &amp; Summary'!$B$6,"Eligible","Blocked")</x:f>
        <x:v>Eligible</x:v>
      </x:c>
      <x:c r="AC1267" s="30" t="str">
        <x:v>2026_RUS</x:v>
      </x:c>
      <x:c r="AD1267" s="30" t="str">
        <x:v>2026_BSM</x:v>
      </x:c>
      <x:c r="AE1267" s="30" t="str">
        <x:v>2026_Sarajevo</x:v>
      </x:c>
      <x:c r="AF1267" s="30" t="str">
        <x:v>Explicit capitalClaim</x:v>
      </x:c>
      <x:c r="AG1267" s="30" t="str">
        <x:v>Claim2026_RUS2026_Sarajevo</x:v>
      </x:c>
      <x:c r="AH1267" s="30" t="str">
        <x:v>Project_ForwardRussia</x:v>
      </x:c>
    </x:row>
    <x:row r="1268">
      <x:c r="A1268" s="30" t="str">
        <x:v>2026</x:v>
      </x:c>
      <x:c r="B1268" s="30" t="str">
        <x:v>Base game</x:v>
      </x:c>
      <x:c r="C1268" s="30" t="str">
        <x:v>Russia</x:v>
      </x:c>
      <x:c r="D1268" s="30" t="str">
        <x:v>Bulgaria</x:v>
      </x:c>
      <x:c r="E1268" s="30" t="str">
        <x:v>Project unlock</x:v>
      </x:c>
      <x:c r="F1268" s="30" t="str">
        <x:v>Restored Warsaw Pact</x:v>
      </x:c>
      <x:c r="G1268" s="30" t="str">
        <x:v>Yes</x:v>
      </x:c>
      <x:c r="H1268" s="30" t="str">
        <x:v>Approved expansion-project family</x:v>
      </x:c>
      <x:c r="I1268" s="31" t="n">
        <x:f>IF(G1268="Yes",'Controls &amp; Summary'!$B$5,'Controls &amp; Summary'!$B$4)</x:f>
        <x:v>3</x:v>
      </x:c>
      <x:c r="J1268" s="31" t="n">
        <x:v>2.03</x:v>
      </x:c>
      <x:c r="K1268" s="31" t="n">
        <x:v>6.34</x:v>
      </x:c>
      <x:c r="L1268" s="31" t="n">
        <x:f>ABS(J1268-K1268)</x:f>
        <x:v>4.3100000000000005</x:v>
      </x:c>
      <x:c r="M1268" s="31" t="n">
        <x:v>3.51</x:v>
      </x:c>
      <x:c r="N1268" s="31" t="n">
        <x:v>3.9</x:v>
      </x:c>
      <x:c r="O1268" s="31" t="n">
        <x:f>ABS(M1268-N1268)</x:f>
        <x:v>0.3900000000000001</x:v>
      </x:c>
      <x:c r="P1268" s="31" t="n">
        <x:v>7.63</x:v>
      </x:c>
      <x:c r="Q1268" s="31" t="n">
        <x:v>7.9</x:v>
      </x:c>
      <x:c r="R1268" s="31" t="n">
        <x:f>ABS(P1268-Q1268)</x:f>
        <x:v>0.27000000000000046</x:v>
      </x:c>
      <x:c r="S1268" s="32" t="n">
        <x:v>43109.973503906265</x:v>
      </x:c>
      <x:c r="T1268" s="32" t="n">
        <x:v>34935.06267567073</x:v>
      </x:c>
      <x:c r="U1268" s="31" t="n">
        <x:f>MAX(S1268/T1268,T1268/S1268)</x:f>
        <x:v>1.2340030388417955</x:v>
      </x:c>
      <x:c r="V1268" s="31" t="n">
        <x:f>L1268*'Controls &amp; Summary'!$B$9+O1268*'Controls &amp; Summary'!$B$10+R1268*'Controls &amp; Summary'!$B$11+U1268*'Controls &amp; Summary'!$B$12</x:f>
        <x:v>6.2040030388417975</x:v>
      </x:c>
      <x:c r="W1268" s="31" t="n">
        <x:v>3.32</x:v>
      </x:c>
      <x:c r="X1268" s="31" t="n">
        <x:v>0.5</x:v>
      </x:c>
      <x:c r="Y1268" s="31" t="n">
        <x:f>((10-MIN(10,MAX(0,X1268)))/10)*'Controls &amp; Summary'!$B$15+((10-MIN(10,MAX(0,W1268)))/10)*'Controls &amp; Summary'!$B$16</x:f>
        <x:v>1.6179999999999999</x:v>
      </x:c>
      <x:c r="Z1268" s="31" t="n">
        <x:f>V1268*Y1268</x:f>
        <x:v>10.038076916846027</x:v>
      </x:c>
      <x:c r="AA1268" s="30" t="str">
        <x:f>IF(Z1268&lt;=I1268,"Peaceful","Hostile")</x:f>
        <x:v>Hostile</x:v>
      </x:c>
      <x:c r="AB1268" s="30" t="str">
        <x:f>IF(Z1268&lt;='Controls &amp; Summary'!$B$6,"Eligible","Blocked")</x:f>
        <x:v>Eligible</x:v>
      </x:c>
      <x:c r="AC1268" s="30" t="str">
        <x:v>2026_RUS</x:v>
      </x:c>
      <x:c r="AD1268" s="30" t="str">
        <x:v>2026_BUL</x:v>
      </x:c>
      <x:c r="AE1268" s="30" t="str">
        <x:v>2026_Bulgaria</x:v>
      </x:c>
      <x:c r="AF1268" s="30" t="str">
        <x:v>Explicit capitalClaim</x:v>
      </x:c>
      <x:c r="AG1268" s="30" t="str">
        <x:v>Claim2026_RUS2026_Bulgaria</x:v>
      </x:c>
      <x:c r="AH1268" s="30" t="str">
        <x:v>Project_RestoredWarsawPact</x:v>
      </x:c>
    </x:row>
    <x:row r="1269">
      <x:c r="A1269" s="30" t="str">
        <x:v>2026</x:v>
      </x:c>
      <x:c r="B1269" s="30" t="str">
        <x:v>Base game</x:v>
      </x:c>
      <x:c r="C1269" s="30" t="str">
        <x:v>Russia</x:v>
      </x:c>
      <x:c r="D1269" s="30" t="str">
        <x:v>Croatia</x:v>
      </x:c>
      <x:c r="E1269" s="30" t="str">
        <x:v>Project unlock</x:v>
      </x:c>
      <x:c r="F1269" s="30" t="str">
        <x:v>Forward Russia</x:v>
      </x:c>
      <x:c r="G1269" s="30" t="str">
        <x:v>Yes</x:v>
      </x:c>
      <x:c r="H1269" s="30" t="str">
        <x:v>Template hostileClaim</x:v>
      </x:c>
      <x:c r="I1269" s="31" t="n">
        <x:f>IF(G1269="Yes",'Controls &amp; Summary'!$B$5,'Controls &amp; Summary'!$B$4)</x:f>
        <x:v>3</x:v>
      </x:c>
      <x:c r="J1269" s="31" t="n">
        <x:v>2.03</x:v>
      </x:c>
      <x:c r="K1269" s="31" t="n">
        <x:v>6.5</x:v>
      </x:c>
      <x:c r="L1269" s="31" t="n">
        <x:f>ABS(J1269-K1269)</x:f>
        <x:v>4.470000000000001</x:v>
      </x:c>
      <x:c r="M1269" s="31" t="n">
        <x:v>3.51</x:v>
      </x:c>
      <x:c r="N1269" s="31" t="n">
        <x:v>2.89</x:v>
      </x:c>
      <x:c r="O1269" s="31" t="n">
        <x:f>ABS(M1269-N1269)</x:f>
        <x:v>0.6199999999999997</x:v>
      </x:c>
      <x:c r="P1269" s="31" t="n">
        <x:v>7.63</x:v>
      </x:c>
      <x:c r="Q1269" s="31" t="n">
        <x:v>8.36</x:v>
      </x:c>
      <x:c r="R1269" s="31" t="n">
        <x:f>ABS(P1269-Q1269)</x:f>
        <x:v>0.7299999999999995</x:v>
      </x:c>
      <x:c r="S1269" s="32" t="n">
        <x:v>43109.973503906265</x:v>
      </x:c>
      <x:c r="T1269" s="32" t="n">
        <x:v>45646.282583074004</x:v>
      </x:c>
      <x:c r="U1269" s="31" t="n">
        <x:f>MAX(S1269/T1269,T1269/S1269)</x:f>
        <x:v>1.0588334641156278</x:v>
      </x:c>
      <x:c r="V1269" s="31" t="n">
        <x:f>L1269*'Controls &amp; Summary'!$B$9+O1269*'Controls &amp; Summary'!$B$10+R1269*'Controls &amp; Summary'!$B$11+U1269*'Controls &amp; Summary'!$B$12</x:f>
        <x:v>6.878833464115627</x:v>
      </x:c>
      <x:c r="W1269" s="31" t="n">
        <x:v>3.32</x:v>
      </x:c>
      <x:c r="X1269" s="31" t="n">
        <x:v>1</x:v>
      </x:c>
      <x:c r="Y1269" s="31" t="n">
        <x:f>((10-MIN(10,MAX(0,X1269)))/10)*'Controls &amp; Summary'!$B$15+((10-MIN(10,MAX(0,W1269)))/10)*'Controls &amp; Summary'!$B$16</x:f>
        <x:v>1.568</x:v>
      </x:c>
      <x:c r="Z1269" s="31" t="n">
        <x:f>V1269*Y1269</x:f>
        <x:v>10.786010871733303</x:v>
      </x:c>
      <x:c r="AA1269" s="30" t="str">
        <x:f>IF(Z1269&lt;=I1269,"Peaceful","Hostile")</x:f>
        <x:v>Hostile</x:v>
      </x:c>
      <x:c r="AB1269" s="30" t="str">
        <x:f>IF(Z1269&lt;='Controls &amp; Summary'!$B$6,"Eligible","Blocked")</x:f>
        <x:v>Eligible</x:v>
      </x:c>
      <x:c r="AC1269" s="30" t="str">
        <x:v>2026_RUS</x:v>
      </x:c>
      <x:c r="AD1269" s="30" t="str">
        <x:v>2026_CRS</x:v>
      </x:c>
      <x:c r="AE1269" s="30" t="str">
        <x:v>2026_Zagreb</x:v>
      </x:c>
      <x:c r="AF1269" s="30" t="str">
        <x:v>Explicit capitalClaim</x:v>
      </x:c>
      <x:c r="AG1269" s="30" t="str">
        <x:v>Claim2026_RUS2026_Zagreb</x:v>
      </x:c>
      <x:c r="AH1269" s="30" t="str">
        <x:v>Project_ForwardRussia</x:v>
      </x:c>
    </x:row>
    <x:row r="1270">
      <x:c r="A1270" s="30" t="str">
        <x:v>2026</x:v>
      </x:c>
      <x:c r="B1270" s="30" t="str">
        <x:v>Base game</x:v>
      </x:c>
      <x:c r="C1270" s="30" t="str">
        <x:v>Russia</x:v>
      </x:c>
      <x:c r="D1270" s="30" t="str">
        <x:v>Czechia</x:v>
      </x:c>
      <x:c r="E1270" s="30" t="str">
        <x:v>Project unlock</x:v>
      </x:c>
      <x:c r="F1270" s="30" t="str">
        <x:v>Restored Warsaw Pact</x:v>
      </x:c>
      <x:c r="G1270" s="30" t="str">
        <x:v>Yes</x:v>
      </x:c>
      <x:c r="H1270" s="30" t="str">
        <x:v>Approved expansion-project family</x:v>
      </x:c>
      <x:c r="I1270" s="31" t="n">
        <x:f>IF(G1270="Yes",'Controls &amp; Summary'!$B$5,'Controls &amp; Summary'!$B$4)</x:f>
        <x:v>3</x:v>
      </x:c>
      <x:c r="J1270" s="31" t="n">
        <x:v>2.03</x:v>
      </x:c>
      <x:c r="K1270" s="31" t="n">
        <x:v>8.15</x:v>
      </x:c>
      <x:c r="L1270" s="31" t="n">
        <x:f>ABS(J1270-K1270)</x:f>
        <x:v>6.120000000000001</x:v>
      </x:c>
      <x:c r="M1270" s="31" t="n">
        <x:v>3.51</x:v>
      </x:c>
      <x:c r="N1270" s="31" t="n">
        <x:v>2.62</x:v>
      </x:c>
      <x:c r="O1270" s="31" t="n">
        <x:f>ABS(M1270-N1270)</x:f>
        <x:v>0.8899999999999997</x:v>
      </x:c>
      <x:c r="P1270" s="31" t="n">
        <x:v>7.63</x:v>
      </x:c>
      <x:c r="Q1270" s="31" t="n">
        <x:v>8.79</x:v>
      </x:c>
      <x:c r="R1270" s="31" t="n">
        <x:f>ABS(P1270-Q1270)</x:f>
        <x:v>1.1599999999999993</x:v>
      </x:c>
      <x:c r="S1270" s="32" t="n">
        <x:v>43109.973503906265</x:v>
      </x:c>
      <x:c r="T1270" s="32" t="n">
        <x:v>54108.58755515526</x:v>
      </x:c>
      <x:c r="U1270" s="31" t="n">
        <x:f>MAX(S1270/T1270,T1270/S1270)</x:f>
        <x:v>1.255129223177379</x:v>
      </x:c>
      <x:c r="V1270" s="31" t="n">
        <x:f>L1270*'Controls &amp; Summary'!$B$9+O1270*'Controls &amp; Summary'!$B$10+R1270*'Controls &amp; Summary'!$B$11+U1270*'Controls &amp; Summary'!$B$12</x:f>
        <x:v>9.425129223177379</x:v>
      </x:c>
      <x:c r="W1270" s="31" t="n">
        <x:v>3.32</x:v>
      </x:c>
      <x:c r="X1270" s="31" t="n">
        <x:v>0.5</x:v>
      </x:c>
      <x:c r="Y1270" s="31" t="n">
        <x:f>((10-MIN(10,MAX(0,X1270)))/10)*'Controls &amp; Summary'!$B$15+((10-MIN(10,MAX(0,W1270)))/10)*'Controls &amp; Summary'!$B$16</x:f>
        <x:v>1.6179999999999999</x:v>
      </x:c>
      <x:c r="Z1270" s="31" t="n">
        <x:f>V1270*Y1270</x:f>
        <x:v>15.249859083100999</x:v>
      </x:c>
      <x:c r="AA1270" s="30" t="str">
        <x:f>IF(Z1270&lt;=I1270,"Peaceful","Hostile")</x:f>
        <x:v>Hostile</x:v>
      </x:c>
      <x:c r="AB1270" s="30" t="str">
        <x:f>IF(Z1270&lt;='Controls &amp; Summary'!$B$6,"Eligible","Blocked")</x:f>
        <x:v>Blocked</x:v>
      </x:c>
      <x:c r="AC1270" s="30" t="str">
        <x:v>2026_RUS</x:v>
      </x:c>
      <x:c r="AD1270" s="30" t="str">
        <x:v>2026_CZE</x:v>
      </x:c>
      <x:c r="AE1270" s="30" t="str">
        <x:v>2026_Czechia</x:v>
      </x:c>
      <x:c r="AF1270" s="30" t="str">
        <x:v>Explicit capitalClaim</x:v>
      </x:c>
      <x:c r="AG1270" s="30" t="str">
        <x:v>Claim2026_RUS2026_Czechia</x:v>
      </x:c>
      <x:c r="AH1270" s="30" t="str">
        <x:v>Project_RestoredWarsawPact</x:v>
      </x:c>
    </x:row>
    <x:row r="1271">
      <x:c r="A1271" s="30" t="str">
        <x:v>2026</x:v>
      </x:c>
      <x:c r="B1271" s="30" t="str">
        <x:v>Base game</x:v>
      </x:c>
      <x:c r="C1271" s="30" t="str">
        <x:v>Russia</x:v>
      </x:c>
      <x:c r="D1271" s="30" t="str">
        <x:v>Denmark</x:v>
      </x:c>
      <x:c r="E1271" s="30" t="str">
        <x:v>Project unlock</x:v>
      </x:c>
      <x:c r="F1271" s="30" t="str">
        <x:v>Forward Russia</x:v>
      </x:c>
      <x:c r="G1271" s="30" t="str">
        <x:v>Yes</x:v>
      </x:c>
      <x:c r="H1271" s="30" t="str">
        <x:v>Template hostileClaim</x:v>
      </x:c>
      <x:c r="I1271" s="31" t="n">
        <x:f>IF(G1271="Yes",'Controls &amp; Summary'!$B$5,'Controls &amp; Summary'!$B$4)</x:f>
        <x:v>3</x:v>
      </x:c>
      <x:c r="J1271" s="31" t="n">
        <x:v>2.03</x:v>
      </x:c>
      <x:c r="K1271" s="31" t="n">
        <x:v>9.42</x:v>
      </x:c>
      <x:c r="L1271" s="31" t="n">
        <x:f>ABS(J1271-K1271)</x:f>
        <x:v>7.390000000000001</x:v>
      </x:c>
      <x:c r="M1271" s="31" t="n">
        <x:v>3.51</x:v>
      </x:c>
      <x:c r="N1271" s="31" t="n">
        <x:v>2.83</x:v>
      </x:c>
      <x:c r="O1271" s="31" t="n">
        <x:f>ABS(M1271-N1271)</x:f>
        <x:v>0.6799999999999997</x:v>
      </x:c>
      <x:c r="P1271" s="31" t="n">
        <x:v>7.63</x:v>
      </x:c>
      <x:c r="Q1271" s="31" t="n">
        <x:v>9.3</x:v>
      </x:c>
      <x:c r="R1271" s="31" t="n">
        <x:f>ABS(P1271-Q1271)</x:f>
        <x:v>1.6700000000000008</x:v>
      </x:c>
      <x:c r="S1271" s="32" t="n">
        <x:v>43109.973503906265</x:v>
      </x:c>
      <x:c r="T1271" s="32" t="n">
        <x:v>83593.50327812343</x:v>
      </x:c>
      <x:c r="U1271" s="31" t="n">
        <x:f>MAX(S1271/T1271,T1271/S1271)</x:f>
        <x:v>1.9390757285097586</x:v>
      </x:c>
      <x:c r="V1271" s="31" t="n">
        <x:f>L1271*'Controls &amp; Summary'!$B$9+O1271*'Controls &amp; Summary'!$B$10+R1271*'Controls &amp; Summary'!$B$11+U1271*'Controls &amp; Summary'!$B$12</x:f>
        <x:v>11.67907572850976</x:v>
      </x:c>
      <x:c r="W1271" s="31" t="n">
        <x:v>3.32</x:v>
      </x:c>
      <x:c r="X1271" s="31" t="n">
        <x:v>0.5</x:v>
      </x:c>
      <x:c r="Y1271" s="31" t="n">
        <x:f>((10-MIN(10,MAX(0,X1271)))/10)*'Controls &amp; Summary'!$B$15+((10-MIN(10,MAX(0,W1271)))/10)*'Controls &amp; Summary'!$B$16</x:f>
        <x:v>1.6179999999999999</x:v>
      </x:c>
      <x:c r="Z1271" s="31" t="n">
        <x:f>V1271*Y1271</x:f>
        <x:v>18.896744528728792</x:v>
      </x:c>
      <x:c r="AA1271" s="30" t="str">
        <x:f>IF(Z1271&lt;=I1271,"Peaceful","Hostile")</x:f>
        <x:v>Hostile</x:v>
      </x:c>
      <x:c r="AB1271" s="30" t="str">
        <x:f>IF(Z1271&lt;='Controls &amp; Summary'!$B$6,"Eligible","Blocked")</x:f>
        <x:v>Blocked</x:v>
      </x:c>
      <x:c r="AC1271" s="30" t="str">
        <x:v>2026_RUS</x:v>
      </x:c>
      <x:c r="AD1271" s="30" t="str">
        <x:v>2026_DEN</x:v>
      </x:c>
      <x:c r="AE1271" s="30" t="str">
        <x:v>2026_Denmark</x:v>
      </x:c>
      <x:c r="AF1271" s="30" t="str">
        <x:v>Explicit capitalClaim</x:v>
      </x:c>
      <x:c r="AG1271" s="30" t="str">
        <x:v>Claim2026_RUS2026_Denmark</x:v>
      </x:c>
      <x:c r="AH1271" s="30" t="str">
        <x:v>Project_ForwardRussia</x:v>
      </x:c>
    </x:row>
    <x:row r="1272">
      <x:c r="A1272" s="30" t="str">
        <x:v>2026</x:v>
      </x:c>
      <x:c r="B1272" s="30" t="str">
        <x:v>Base game</x:v>
      </x:c>
      <x:c r="C1272" s="30" t="str">
        <x:v>Russia</x:v>
      </x:c>
      <x:c r="D1272" s="30" t="str">
        <x:v>Estonia</x:v>
      </x:c>
      <x:c r="E1272" s="30" t="str">
        <x:v>Starting claim</x:v>
      </x:c>
      <x:c r="F1272" s="30" t="str"/>
      <x:c r="G1272" s="30" t="str">
        <x:v>Yes</x:v>
      </x:c>
      <x:c r="H1272" s="30" t="str">
        <x:v>Approved Russia-neighbor grievance</x:v>
      </x:c>
      <x:c r="I1272" s="31" t="n">
        <x:f>IF(G1272="Yes",'Controls &amp; Summary'!$B$5,'Controls &amp; Summary'!$B$4)</x:f>
        <x:v>3</x:v>
      </x:c>
      <x:c r="J1272" s="31" t="n">
        <x:v>2.03</x:v>
      </x:c>
      <x:c r="K1272" s="31" t="n">
        <x:v>8.07</x:v>
      </x:c>
      <x:c r="L1272" s="31" t="n">
        <x:f>ABS(J1272-K1272)</x:f>
        <x:v>6.040000000000001</x:v>
      </x:c>
      <x:c r="M1272" s="31" t="n">
        <x:v>3.51</x:v>
      </x:c>
      <x:c r="N1272" s="31" t="n">
        <x:v>3.18</x:v>
      </x:c>
      <x:c r="O1272" s="31" t="n">
        <x:f>ABS(M1272-N1272)</x:f>
        <x:v>0.3299999999999996</x:v>
      </x:c>
      <x:c r="P1272" s="31" t="n">
        <x:v>7.63</x:v>
      </x:c>
      <x:c r="Q1272" s="31" t="n">
        <x:v>8.76</x:v>
      </x:c>
      <x:c r="R1272" s="31" t="n">
        <x:f>ABS(P1272-Q1272)</x:f>
        <x:v>1.13</x:v>
      </x:c>
      <x:c r="S1272" s="32" t="n">
        <x:v>43109.973503906265</x:v>
      </x:c>
      <x:c r="T1272" s="32" t="n">
        <x:v>45111.94820376511</x:v>
      </x:c>
      <x:c r="U1272" s="31" t="n">
        <x:f>MAX(S1272/T1272,T1272/S1272)</x:f>
        <x:v>1.0464387828880815</x:v>
      </x:c>
      <x:c r="V1272" s="31" t="n">
        <x:f>L1272*'Controls &amp; Summary'!$B$9+O1272*'Controls &amp; Summary'!$B$10+R1272*'Controls &amp; Summary'!$B$11+U1272*'Controls &amp; Summary'!$B$12</x:f>
        <x:v>8.546438782888082</x:v>
      </x:c>
      <x:c r="W1272" s="31" t="n">
        <x:v>3.32</x:v>
      </x:c>
      <x:c r="X1272" s="31" t="n">
        <x:v>0</x:v>
      </x:c>
      <x:c r="Y1272" s="31" t="n">
        <x:f>((10-MIN(10,MAX(0,X1272)))/10)*'Controls &amp; Summary'!$B$15+((10-MIN(10,MAX(0,W1272)))/10)*'Controls &amp; Summary'!$B$16</x:f>
        <x:v>1.668</x:v>
      </x:c>
      <x:c r="Z1272" s="31" t="n">
        <x:f>V1272*Y1272</x:f>
        <x:v>14.25545988985732</x:v>
      </x:c>
      <x:c r="AA1272" s="30" t="str">
        <x:f>IF(Z1272&lt;=I1272,"Peaceful","Hostile")</x:f>
        <x:v>Hostile</x:v>
      </x:c>
      <x:c r="AB1272" s="30" t="str">
        <x:f>IF(Z1272&lt;='Controls &amp; Summary'!$B$6,"Eligible","Blocked")</x:f>
        <x:v>Blocked</x:v>
      </x:c>
      <x:c r="AC1272" s="30" t="str">
        <x:v>2026_RUS</x:v>
      </x:c>
      <x:c r="AD1272" s="30" t="str">
        <x:v>2026_EST</x:v>
      </x:c>
      <x:c r="AE1272" s="30" t="str">
        <x:v>2026_Estonia</x:v>
      </x:c>
      <x:c r="AF1272" s="30" t="str">
        <x:v>Explicit capitalClaim</x:v>
      </x:c>
      <x:c r="AG1272" s="30" t="str">
        <x:v>Claim2026_RUS2026_Estonia</x:v>
      </x:c>
      <x:c r="AH1272" s="30" t="str"/>
    </x:row>
    <x:row r="1273">
      <x:c r="A1273" s="30" t="str">
        <x:v>2026</x:v>
      </x:c>
      <x:c r="B1273" s="30" t="str">
        <x:v>Base game</x:v>
      </x:c>
      <x:c r="C1273" s="30" t="str">
        <x:v>Russia</x:v>
      </x:c>
      <x:c r="D1273" s="30" t="str">
        <x:v>Finland</x:v>
      </x:c>
      <x:c r="E1273" s="30" t="str">
        <x:v>Project unlock</x:v>
      </x:c>
      <x:c r="F1273" s="30" t="str">
        <x:v>Forward Russia</x:v>
      </x:c>
      <x:c r="G1273" s="30" t="str">
        <x:v>Yes</x:v>
      </x:c>
      <x:c r="H1273" s="30" t="str">
        <x:v>Template hostileClaim</x:v>
      </x:c>
      <x:c r="I1273" s="31" t="n">
        <x:f>IF(G1273="Yes",'Controls &amp; Summary'!$B$5,'Controls &amp; Summary'!$B$4)</x:f>
        <x:v>3</x:v>
      </x:c>
      <x:c r="J1273" s="31" t="n">
        <x:v>2.03</x:v>
      </x:c>
      <x:c r="K1273" s="31" t="n">
        <x:v>9.37</x:v>
      </x:c>
      <x:c r="L1273" s="31" t="n">
        <x:f>ABS(J1273-K1273)</x:f>
        <x:v>7.34</x:v>
      </x:c>
      <x:c r="M1273" s="31" t="n">
        <x:v>3.51</x:v>
      </x:c>
      <x:c r="N1273" s="31" t="n">
        <x:v>2.77</x:v>
      </x:c>
      <x:c r="O1273" s="31" t="n">
        <x:f>ABS(M1273-N1273)</x:f>
        <x:v>0.7399999999999998</x:v>
      </x:c>
      <x:c r="P1273" s="31" t="n">
        <x:v>7.63</x:v>
      </x:c>
      <x:c r="Q1273" s="31" t="n">
        <x:v>9.51</x:v>
      </x:c>
      <x:c r="R1273" s="31" t="n">
        <x:f>ABS(P1273-Q1273)</x:f>
        <x:v>1.88</x:v>
      </x:c>
      <x:c r="S1273" s="32" t="n">
        <x:v>43109.973503906265</x:v>
      </x:c>
      <x:c r="T1273" s="32" t="n">
        <x:v>60064.842747057446</x:v>
      </x:c>
      <x:c r="U1273" s="31" t="n">
        <x:f>MAX(S1273/T1273,T1273/S1273)</x:f>
        <x:v>1.393293427601269</x:v>
      </x:c>
      <x:c r="V1273" s="31" t="n">
        <x:f>L1273*'Controls &amp; Summary'!$B$9+O1273*'Controls &amp; Summary'!$B$10+R1273*'Controls &amp; Summary'!$B$11+U1273*'Controls &amp; Summary'!$B$12</x:f>
        <x:v>11.353293427601269</x:v>
      </x:c>
      <x:c r="W1273" s="31" t="n">
        <x:v>3.32</x:v>
      </x:c>
      <x:c r="X1273" s="31" t="n">
        <x:v>0.5</x:v>
      </x:c>
      <x:c r="Y1273" s="31" t="n">
        <x:f>((10-MIN(10,MAX(0,X1273)))/10)*'Controls &amp; Summary'!$B$15+((10-MIN(10,MAX(0,W1273)))/10)*'Controls &amp; Summary'!$B$16</x:f>
        <x:v>1.6179999999999999</x:v>
      </x:c>
      <x:c r="Z1273" s="31" t="n">
        <x:f>V1273*Y1273</x:f>
        <x:v>18.369628765858852</x:v>
      </x:c>
      <x:c r="AA1273" s="30" t="str">
        <x:f>IF(Z1273&lt;=I1273,"Peaceful","Hostile")</x:f>
        <x:v>Hostile</x:v>
      </x:c>
      <x:c r="AB1273" s="30" t="str">
        <x:f>IF(Z1273&lt;='Controls &amp; Summary'!$B$6,"Eligible","Blocked")</x:f>
        <x:v>Blocked</x:v>
      </x:c>
      <x:c r="AC1273" s="30" t="str">
        <x:v>2026_RUS</x:v>
      </x:c>
      <x:c r="AD1273" s="30" t="str">
        <x:v>2026_FIN</x:v>
      </x:c>
      <x:c r="AE1273" s="30" t="str">
        <x:v>2026_Finland</x:v>
      </x:c>
      <x:c r="AF1273" s="30" t="str">
        <x:v>Explicit capitalClaim</x:v>
      </x:c>
      <x:c r="AG1273" s="30" t="str">
        <x:v>Claim2026_RUS2026_Finland</x:v>
      </x:c>
      <x:c r="AH1273" s="30" t="str">
        <x:v>Project_ForwardRussia</x:v>
      </x:c>
    </x:row>
    <x:row r="1274">
      <x:c r="A1274" s="30" t="str">
        <x:v>2026</x:v>
      </x:c>
      <x:c r="B1274" s="30" t="str">
        <x:v>Base game</x:v>
      </x:c>
      <x:c r="C1274" s="30" t="str">
        <x:v>Russia</x:v>
      </x:c>
      <x:c r="D1274" s="30" t="str">
        <x:v>France</x:v>
      </x:c>
      <x:c r="E1274" s="30" t="str">
        <x:v>Project unlock</x:v>
      </x:c>
      <x:c r="F1274" s="30" t="str">
        <x:v>Forward Russia</x:v>
      </x:c>
      <x:c r="G1274" s="30" t="str">
        <x:v>Yes</x:v>
      </x:c>
      <x:c r="H1274" s="30" t="str">
        <x:v>Template hostileClaim</x:v>
      </x:c>
      <x:c r="I1274" s="31" t="n">
        <x:f>IF(G1274="Yes",'Controls &amp; Summary'!$B$5,'Controls &amp; Summary'!$B$4)</x:f>
        <x:v>3</x:v>
      </x:c>
      <x:c r="J1274" s="31" t="n">
        <x:v>2.03</x:v>
      </x:c>
      <x:c r="K1274" s="31" t="n">
        <x:v>8.05</x:v>
      </x:c>
      <x:c r="L1274" s="31" t="n">
        <x:f>ABS(J1274-K1274)</x:f>
        <x:v>6.020000000000001</x:v>
      </x:c>
      <x:c r="M1274" s="31" t="n">
        <x:v>3.51</x:v>
      </x:c>
      <x:c r="N1274" s="31" t="n">
        <x:v>3.15</x:v>
      </x:c>
      <x:c r="O1274" s="31" t="n">
        <x:f>ABS(M1274-N1274)</x:f>
        <x:v>0.3599999999999999</x:v>
      </x:c>
      <x:c r="P1274" s="31" t="n">
        <x:v>7.63</x:v>
      </x:c>
      <x:c r="Q1274" s="31" t="n">
        <x:v>8.21</x:v>
      </x:c>
      <x:c r="R1274" s="31" t="n">
        <x:f>ABS(P1274-Q1274)</x:f>
        <x:v>0.580000000000001</x:v>
      </x:c>
      <x:c r="S1274" s="32" t="n">
        <x:v>43109.973503906265</x:v>
      </x:c>
      <x:c r="T1274" s="32" t="n">
        <x:v>57291.50449187318</x:v>
      </x:c>
      <x:c r="U1274" s="31" t="n">
        <x:f>MAX(S1274/T1274,T1274/S1274)</x:f>
        <x:v>1.3289617189554037</x:v>
      </x:c>
      <x:c r="V1274" s="31" t="n">
        <x:f>L1274*'Controls &amp; Summary'!$B$9+O1274*'Controls &amp; Summary'!$B$10+R1274*'Controls &amp; Summary'!$B$11+U1274*'Controls &amp; Summary'!$B$12</x:f>
        <x:v>8.288961718955406</x:v>
      </x:c>
      <x:c r="W1274" s="31" t="n">
        <x:v>3.32</x:v>
      </x:c>
      <x:c r="X1274" s="31" t="n">
        <x:v>1.5</x:v>
      </x:c>
      <x:c r="Y1274" s="31" t="n">
        <x:f>((10-MIN(10,MAX(0,X1274)))/10)*'Controls &amp; Summary'!$B$15+((10-MIN(10,MAX(0,W1274)))/10)*'Controls &amp; Summary'!$B$16</x:f>
        <x:v>1.5179999999999998</x:v>
      </x:c>
      <x:c r="Z1274" s="31" t="n">
        <x:f>V1274*Y1274</x:f>
        <x:v>12.582643889374305</x:v>
      </x:c>
      <x:c r="AA1274" s="30" t="str">
        <x:f>IF(Z1274&lt;=I1274,"Peaceful","Hostile")</x:f>
        <x:v>Hostile</x:v>
      </x:c>
      <x:c r="AB1274" s="30" t="str">
        <x:f>IF(Z1274&lt;='Controls &amp; Summary'!$B$6,"Eligible","Blocked")</x:f>
        <x:v>Blocked</x:v>
      </x:c>
      <x:c r="AC1274" s="30" t="str">
        <x:v>2026_RUS</x:v>
      </x:c>
      <x:c r="AD1274" s="30" t="str">
        <x:v>2026_EUA</x:v>
      </x:c>
      <x:c r="AE1274" s="30" t="str">
        <x:v>2026_Paris</x:v>
      </x:c>
      <x:c r="AF1274" s="30" t="str">
        <x:v>Explicit capitalClaim</x:v>
      </x:c>
      <x:c r="AG1274" s="30" t="str">
        <x:v>Claim2026_RUS2026_Paris</x:v>
      </x:c>
      <x:c r="AH1274" s="30" t="str">
        <x:v>Project_ForwardRussia</x:v>
      </x:c>
    </x:row>
    <x:row r="1275">
      <x:c r="A1275" s="30" t="str">
        <x:v>2026</x:v>
      </x:c>
      <x:c r="B1275" s="30" t="str">
        <x:v>Base game</x:v>
      </x:c>
      <x:c r="C1275" s="30" t="str">
        <x:v>Russia</x:v>
      </x:c>
      <x:c r="D1275" s="30" t="str">
        <x:v>Georgia</x:v>
      </x:c>
      <x:c r="E1275" s="30" t="str">
        <x:v>Starting claim</x:v>
      </x:c>
      <x:c r="F1275" s="30" t="str"/>
      <x:c r="G1275" s="30" t="str">
        <x:v>Yes</x:v>
      </x:c>
      <x:c r="H1275" s="30" t="str">
        <x:v>Approved Russia-neighbor grievance</x:v>
      </x:c>
      <x:c r="I1275" s="31" t="n">
        <x:f>IF(G1275="Yes",'Controls &amp; Summary'!$B$5,'Controls &amp; Summary'!$B$4)</x:f>
        <x:v>3</x:v>
      </x:c>
      <x:c r="J1275" s="31" t="n">
        <x:v>2.03</x:v>
      </x:c>
      <x:c r="K1275" s="31" t="n">
        <x:v>4.36</x:v>
      </x:c>
      <x:c r="L1275" s="31" t="n">
        <x:f>ABS(J1275-K1275)</x:f>
        <x:v>2.3300000000000005</x:v>
      </x:c>
      <x:c r="M1275" s="31" t="n">
        <x:v>3.51</x:v>
      </x:c>
      <x:c r="N1275" s="31" t="n">
        <x:v>3.35</x:v>
      </x:c>
      <x:c r="O1275" s="31" t="n">
        <x:f>ABS(M1275-N1275)</x:f>
        <x:v>0.1599999999999997</x:v>
      </x:c>
      <x:c r="P1275" s="31" t="n">
        <x:v>7.63</x:v>
      </x:c>
      <x:c r="Q1275" s="31" t="n">
        <x:v>8.69</x:v>
      </x:c>
      <x:c r="R1275" s="31" t="n">
        <x:f>ABS(P1275-Q1275)</x:f>
        <x:v>1.0599999999999996</x:v>
      </x:c>
      <x:c r="S1275" s="32" t="n">
        <x:v>43109.973503906265</x:v>
      </x:c>
      <x:c r="T1275" s="32" t="n">
        <x:v>26271.33906422733</x:v>
      </x:c>
      <x:c r="U1275" s="31" t="n">
        <x:f>MAX(S1275/T1275,T1275/S1275)</x:f>
        <x:v>1.6409507485900274</x:v>
      </x:c>
      <x:c r="V1275" s="31" t="n">
        <x:f>L1275*'Controls &amp; Summary'!$B$9+O1275*'Controls &amp; Summary'!$B$10+R1275*'Controls &amp; Summary'!$B$11+U1275*'Controls &amp; Summary'!$B$12</x:f>
        <x:v>5.190950748590027</x:v>
      </x:c>
      <x:c r="W1275" s="31" t="n">
        <x:v>3.32</x:v>
      </x:c>
      <x:c r="X1275" s="31" t="n">
        <x:v>1</x:v>
      </x:c>
      <x:c r="Y1275" s="31" t="n">
        <x:f>((10-MIN(10,MAX(0,X1275)))/10)*'Controls &amp; Summary'!$B$15+((10-MIN(10,MAX(0,W1275)))/10)*'Controls &amp; Summary'!$B$16</x:f>
        <x:v>1.568</x:v>
      </x:c>
      <x:c r="Z1275" s="31" t="n">
        <x:f>V1275*Y1275</x:f>
        <x:v>8.139410773789162</x:v>
      </x:c>
      <x:c r="AA1275" s="30" t="str">
        <x:f>IF(Z1275&lt;=I1275,"Peaceful","Hostile")</x:f>
        <x:v>Hostile</x:v>
      </x:c>
      <x:c r="AB1275" s="30" t="str">
        <x:f>IF(Z1275&lt;='Controls &amp; Summary'!$B$6,"Eligible","Blocked")</x:f>
        <x:v>Eligible</x:v>
      </x:c>
      <x:c r="AC1275" s="30" t="str">
        <x:v>2026_RUS</x:v>
      </x:c>
      <x:c r="AD1275" s="30" t="str">
        <x:v>2026_GEO</x:v>
      </x:c>
      <x:c r="AE1275" s="30" t="str">
        <x:v>2026_Georgia</x:v>
      </x:c>
      <x:c r="AF1275" s="30" t="str">
        <x:v>Explicit capitalClaim</x:v>
      </x:c>
      <x:c r="AG1275" s="30" t="str">
        <x:v>Claim2026_RUS2026_Georgia</x:v>
      </x:c>
      <x:c r="AH1275" s="30" t="str"/>
    </x:row>
    <x:row r="1276">
      <x:c r="A1276" s="30" t="str">
        <x:v>2026</x:v>
      </x:c>
      <x:c r="B1276" s="30" t="str">
        <x:v>Base game</x:v>
      </x:c>
      <x:c r="C1276" s="30" t="str">
        <x:v>Russia</x:v>
      </x:c>
      <x:c r="D1276" s="30" t="str">
        <x:v>Germany</x:v>
      </x:c>
      <x:c r="E1276" s="30" t="str">
        <x:v>Project unlock</x:v>
      </x:c>
      <x:c r="F1276" s="30" t="str">
        <x:v>Restored Warsaw Pact</x:v>
      </x:c>
      <x:c r="G1276" s="30" t="str">
        <x:v>Yes</x:v>
      </x:c>
      <x:c r="H1276" s="30" t="str">
        <x:v>Approved expansion-project family</x:v>
      </x:c>
      <x:c r="I1276" s="31" t="n">
        <x:f>IF(G1276="Yes",'Controls &amp; Summary'!$B$5,'Controls &amp; Summary'!$B$4)</x:f>
        <x:v>3</x:v>
      </x:c>
      <x:c r="J1276" s="31" t="n">
        <x:v>2.03</x:v>
      </x:c>
      <x:c r="K1276" s="31" t="n">
        <x:v>8.73</x:v>
      </x:c>
      <x:c r="L1276" s="31" t="n">
        <x:f>ABS(J1276-K1276)</x:f>
        <x:v>6.700000000000001</x:v>
      </x:c>
      <x:c r="M1276" s="31" t="n">
        <x:v>3.51</x:v>
      </x:c>
      <x:c r="N1276" s="31" t="n">
        <x:v>3.24</x:v>
      </x:c>
      <x:c r="O1276" s="31" t="n">
        <x:f>ABS(M1276-N1276)</x:f>
        <x:v>0.2699999999999996</x:v>
      </x:c>
      <x:c r="P1276" s="31" t="n">
        <x:v>7.63</x:v>
      </x:c>
      <x:c r="Q1276" s="31" t="n">
        <x:v>9.34</x:v>
      </x:c>
      <x:c r="R1276" s="31" t="n">
        <x:f>ABS(P1276-Q1276)</x:f>
        <x:v>1.71</x:v>
      </x:c>
      <x:c r="S1276" s="32" t="n">
        <x:v>43109.973503906265</x:v>
      </x:c>
      <x:c r="T1276" s="32" t="n">
        <x:v>65191.06167455033</x:v>
      </x:c>
      <x:c r="U1276" s="31" t="n">
        <x:f>MAX(S1276/T1276,T1276/S1276)</x:f>
        <x:v>1.5122037054521331</x:v>
      </x:c>
      <x:c r="V1276" s="31" t="n">
        <x:f>L1276*'Controls &amp; Summary'!$B$9+O1276*'Controls &amp; Summary'!$B$10+R1276*'Controls &amp; Summary'!$B$11+U1276*'Controls &amp; Summary'!$B$12</x:f>
        <x:v>10.192203705452133</x:v>
      </x:c>
      <x:c r="W1276" s="31" t="n">
        <x:v>3.32</x:v>
      </x:c>
      <x:c r="X1276" s="31" t="n">
        <x:v>1.25</x:v>
      </x:c>
      <x:c r="Y1276" s="31" t="n">
        <x:f>((10-MIN(10,MAX(0,X1276)))/10)*'Controls &amp; Summary'!$B$15+((10-MIN(10,MAX(0,W1276)))/10)*'Controls &amp; Summary'!$B$16</x:f>
        <x:v>1.543</x:v>
      </x:c>
      <x:c r="Z1276" s="31" t="n">
        <x:f>V1276*Y1276</x:f>
        <x:v>15.72657031751264</x:v>
      </x:c>
      <x:c r="AA1276" s="30" t="str">
        <x:f>IF(Z1276&lt;=I1276,"Peaceful","Hostile")</x:f>
        <x:v>Hostile</x:v>
      </x:c>
      <x:c r="AB1276" s="30" t="str">
        <x:f>IF(Z1276&lt;='Controls &amp; Summary'!$B$6,"Eligible","Blocked")</x:f>
        <x:v>Blocked</x:v>
      </x:c>
      <x:c r="AC1276" s="30" t="str">
        <x:v>2026_RUS</x:v>
      </x:c>
      <x:c r="AD1276" s="30" t="str">
        <x:v>2026_DEU</x:v>
      </x:c>
      <x:c r="AE1276" s="30" t="str">
        <x:v>2026_EastGermany</x:v>
      </x:c>
      <x:c r="AF1276" s="30" t="str">
        <x:v>Explicit capitalClaim</x:v>
      </x:c>
      <x:c r="AG1276" s="30" t="str">
        <x:v>Claim2026_RUS2026_EastGermany</x:v>
      </x:c>
      <x:c r="AH1276" s="30" t="str">
        <x:v>Project_RestoredWarsawPact</x:v>
      </x:c>
    </x:row>
    <x:row r="1277">
      <x:c r="A1277" s="30" t="str">
        <x:v>2026</x:v>
      </x:c>
      <x:c r="B1277" s="30" t="str">
        <x:v>Base game</x:v>
      </x:c>
      <x:c r="C1277" s="30" t="str">
        <x:v>Russia</x:v>
      </x:c>
      <x:c r="D1277" s="30" t="str">
        <x:v>Greece</x:v>
      </x:c>
      <x:c r="E1277" s="30" t="str">
        <x:v>Project unlock</x:v>
      </x:c>
      <x:c r="F1277" s="30" t="str">
        <x:v>Forward Russia</x:v>
      </x:c>
      <x:c r="G1277" s="30" t="str">
        <x:v>Yes</x:v>
      </x:c>
      <x:c r="H1277" s="30" t="str">
        <x:v>Template hostileClaim</x:v>
      </x:c>
      <x:c r="I1277" s="31" t="n">
        <x:f>IF(G1277="Yes",'Controls &amp; Summary'!$B$5,'Controls &amp; Summary'!$B$4)</x:f>
        <x:v>3</x:v>
      </x:c>
      <x:c r="J1277" s="31" t="n">
        <x:v>2.03</x:v>
      </x:c>
      <x:c r="K1277" s="31" t="n">
        <x:v>8.07</x:v>
      </x:c>
      <x:c r="L1277" s="31" t="n">
        <x:f>ABS(J1277-K1277)</x:f>
        <x:v>6.040000000000001</x:v>
      </x:c>
      <x:c r="M1277" s="31" t="n">
        <x:v>3.51</x:v>
      </x:c>
      <x:c r="N1277" s="31" t="n">
        <x:v>3.29</x:v>
      </x:c>
      <x:c r="O1277" s="31" t="n">
        <x:f>ABS(M1277-N1277)</x:f>
        <x:v>0.21999999999999975</x:v>
      </x:c>
      <x:c r="P1277" s="31" t="n">
        <x:v>7.63</x:v>
      </x:c>
      <x:c r="Q1277" s="31" t="n">
        <x:v>9.41</x:v>
      </x:c>
      <x:c r="R1277" s="31" t="n">
        <x:f>ABS(P1277-Q1277)</x:f>
        <x:v>1.7800000000000002</x:v>
      </x:c>
      <x:c r="S1277" s="32" t="n">
        <x:v>43109.973503906265</x:v>
      </x:c>
      <x:c r="T1277" s="32" t="n">
        <x:v>36480.43122673812</x:v>
      </x:c>
      <x:c r="U1277" s="31" t="n">
        <x:f>MAX(S1277/T1277,T1277/S1277)</x:f>
        <x:v>1.1817287256272635</x:v>
      </x:c>
      <x:c r="V1277" s="31" t="n">
        <x:f>L1277*'Controls &amp; Summary'!$B$9+O1277*'Controls &amp; Summary'!$B$10+R1277*'Controls &amp; Summary'!$B$11+U1277*'Controls &amp; Summary'!$B$12</x:f>
        <x:v>9.221728725627264</x:v>
      </x:c>
      <x:c r="W1277" s="31" t="n">
        <x:v>3.32</x:v>
      </x:c>
      <x:c r="X1277" s="31" t="n">
        <x:v>1.5</x:v>
      </x:c>
      <x:c r="Y1277" s="31" t="n">
        <x:f>((10-MIN(10,MAX(0,X1277)))/10)*'Controls &amp; Summary'!$B$15+((10-MIN(10,MAX(0,W1277)))/10)*'Controls &amp; Summary'!$B$16</x:f>
        <x:v>1.5179999999999998</x:v>
      </x:c>
      <x:c r="Z1277" s="31" t="n">
        <x:f>V1277*Y1277</x:f>
        <x:v>13.998584205502185</x:v>
      </x:c>
      <x:c r="AA1277" s="30" t="str">
        <x:f>IF(Z1277&lt;=I1277,"Peaceful","Hostile")</x:f>
        <x:v>Hostile</x:v>
      </x:c>
      <x:c r="AB1277" s="30" t="str">
        <x:f>IF(Z1277&lt;='Controls &amp; Summary'!$B$6,"Eligible","Blocked")</x:f>
        <x:v>Blocked</x:v>
      </x:c>
      <x:c r="AC1277" s="30" t="str">
        <x:v>2026_RUS</x:v>
      </x:c>
      <x:c r="AD1277" s="30" t="str">
        <x:v>2026_GRE</x:v>
      </x:c>
      <x:c r="AE1277" s="30" t="str">
        <x:v>2026_Greece</x:v>
      </x:c>
      <x:c r="AF1277" s="30" t="str">
        <x:v>Explicit capitalClaim</x:v>
      </x:c>
      <x:c r="AG1277" s="30" t="str">
        <x:v>Claim2026_RUS2026_Greece</x:v>
      </x:c>
      <x:c r="AH1277" s="30" t="str">
        <x:v>Project_ForwardRussia</x:v>
      </x:c>
    </x:row>
    <x:row r="1278">
      <x:c r="A1278" s="30" t="str">
        <x:v>2026</x:v>
      </x:c>
      <x:c r="B1278" s="30" t="str">
        <x:v>Base game</x:v>
      </x:c>
      <x:c r="C1278" s="30" t="str">
        <x:v>Russia</x:v>
      </x:c>
      <x:c r="D1278" s="30" t="str">
        <x:v>Hungary</x:v>
      </x:c>
      <x:c r="E1278" s="30" t="str">
        <x:v>Project unlock</x:v>
      </x:c>
      <x:c r="F1278" s="30" t="str">
        <x:v>Restored Warsaw Pact</x:v>
      </x:c>
      <x:c r="G1278" s="30" t="str">
        <x:v>Yes</x:v>
      </x:c>
      <x:c r="H1278" s="30" t="str">
        <x:v>Approved expansion-project family</x:v>
      </x:c>
      <x:c r="I1278" s="31" t="n">
        <x:f>IF(G1278="Yes",'Controls &amp; Summary'!$B$5,'Controls &amp; Summary'!$B$4)</x:f>
        <x:v>3</x:v>
      </x:c>
      <x:c r="J1278" s="31" t="n">
        <x:v>2.03</x:v>
      </x:c>
      <x:c r="K1278" s="31" t="n">
        <x:v>6.58</x:v>
      </x:c>
      <x:c r="L1278" s="31" t="n">
        <x:f>ABS(J1278-K1278)</x:f>
        <x:v>4.550000000000001</x:v>
      </x:c>
      <x:c r="M1278" s="31" t="n">
        <x:v>3.51</x:v>
      </x:c>
      <x:c r="N1278" s="31" t="n">
        <x:v>2.92</x:v>
      </x:c>
      <x:c r="O1278" s="31" t="n">
        <x:f>ABS(M1278-N1278)</x:f>
        <x:v>0.5899999999999999</x:v>
      </x:c>
      <x:c r="P1278" s="31" t="n">
        <x:v>7.63</x:v>
      </x:c>
      <x:c r="Q1278" s="31" t="n">
        <x:v>8.21</x:v>
      </x:c>
      <x:c r="R1278" s="31" t="n">
        <x:f>ABS(P1278-Q1278)</x:f>
        <x:v>0.580000000000001</x:v>
      </x:c>
      <x:c r="S1278" s="32" t="n">
        <x:v>43109.973503906265</x:v>
      </x:c>
      <x:c r="T1278" s="32" t="n">
        <x:v>42634.7255914936</x:v>
      </x:c>
      <x:c r="U1278" s="31" t="n">
        <x:f>MAX(S1278/T1278,T1278/S1278)</x:f>
        <x:v>1.0111469677784788</x:v>
      </x:c>
      <x:c r="V1278" s="31" t="n">
        <x:f>L1278*'Controls &amp; Summary'!$B$9+O1278*'Controls &amp; Summary'!$B$10+R1278*'Controls &amp; Summary'!$B$11+U1278*'Controls &amp; Summary'!$B$12</x:f>
        <x:v>6.73114696777848</x:v>
      </x:c>
      <x:c r="W1278" s="31" t="n">
        <x:v>3.32</x:v>
      </x:c>
      <x:c r="X1278" s="31" t="n">
        <x:v>0.5</x:v>
      </x:c>
      <x:c r="Y1278" s="31" t="n">
        <x:f>((10-MIN(10,MAX(0,X1278)))/10)*'Controls &amp; Summary'!$B$15+((10-MIN(10,MAX(0,W1278)))/10)*'Controls &amp; Summary'!$B$16</x:f>
        <x:v>1.6179999999999999</x:v>
      </x:c>
      <x:c r="Z1278" s="31" t="n">
        <x:f>V1278*Y1278</x:f>
        <x:v>10.89099579386558</x:v>
      </x:c>
      <x:c r="AA1278" s="30" t="str">
        <x:f>IF(Z1278&lt;=I1278,"Peaceful","Hostile")</x:f>
        <x:v>Hostile</x:v>
      </x:c>
      <x:c r="AB1278" s="30" t="str">
        <x:f>IF(Z1278&lt;='Controls &amp; Summary'!$B$6,"Eligible","Blocked")</x:f>
        <x:v>Eligible</x:v>
      </x:c>
      <x:c r="AC1278" s="30" t="str">
        <x:v>2026_RUS</x:v>
      </x:c>
      <x:c r="AD1278" s="30" t="str">
        <x:v>2026_HUN</x:v>
      </x:c>
      <x:c r="AE1278" s="30" t="str">
        <x:v>2026_Hungary</x:v>
      </x:c>
      <x:c r="AF1278" s="30" t="str">
        <x:v>Explicit capitalClaim</x:v>
      </x:c>
      <x:c r="AG1278" s="30" t="str">
        <x:v>Claim2026_RUS2026_Hungary</x:v>
      </x:c>
      <x:c r="AH1278" s="30" t="str">
        <x:v>Project_RestoredWarsawPact</x:v>
      </x:c>
    </x:row>
    <x:row r="1279">
      <x:c r="A1279" s="30" t="str">
        <x:v>2026</x:v>
      </x:c>
      <x:c r="B1279" s="30" t="str">
        <x:v>Base game</x:v>
      </x:c>
      <x:c r="C1279" s="30" t="str">
        <x:v>Russia</x:v>
      </x:c>
      <x:c r="D1279" s="30" t="str">
        <x:v>Italy</x:v>
      </x:c>
      <x:c r="E1279" s="30" t="str">
        <x:v>Project unlock</x:v>
      </x:c>
      <x:c r="F1279" s="30" t="str">
        <x:v>Forward Russia</x:v>
      </x:c>
      <x:c r="G1279" s="30" t="str">
        <x:v>Yes</x:v>
      </x:c>
      <x:c r="H1279" s="30" t="str">
        <x:v>Template hostileClaim</x:v>
      </x:c>
      <x:c r="I1279" s="31" t="n">
        <x:f>IF(G1279="Yes",'Controls &amp; Summary'!$B$5,'Controls &amp; Summary'!$B$4)</x:f>
        <x:v>3</x:v>
      </x:c>
      <x:c r="J1279" s="31" t="n">
        <x:v>2.03</x:v>
      </x:c>
      <x:c r="K1279" s="31" t="n">
        <x:v>7.58</x:v>
      </x:c>
      <x:c r="L1279" s="31" t="n">
        <x:f>ABS(J1279-K1279)</x:f>
        <x:v>5.550000000000001</x:v>
      </x:c>
      <x:c r="M1279" s="31" t="n">
        <x:v>3.51</x:v>
      </x:c>
      <x:c r="N1279" s="31" t="n">
        <x:v>3.48</x:v>
      </x:c>
      <x:c r="O1279" s="31" t="n">
        <x:f>ABS(M1279-N1279)</x:f>
        <x:v>0.029999999999999805</x:v>
      </x:c>
      <x:c r="P1279" s="31" t="n">
        <x:v>7.63</x:v>
      </x:c>
      <x:c r="Q1279" s="31" t="n">
        <x:v>8.05</x:v>
      </x:c>
      <x:c r="R1279" s="31" t="n">
        <x:f>ABS(P1279-Q1279)</x:f>
        <x:v>0.4200000000000008</x:v>
      </x:c>
      <x:c r="S1279" s="32" t="n">
        <x:v>43109.973503906265</x:v>
      </x:c>
      <x:c r="T1279" s="32" t="n">
        <x:v>55045.46005806336</x:v>
      </x:c>
      <x:c r="U1279" s="31" t="n">
        <x:f>MAX(S1279/T1279,T1279/S1279)</x:f>
        <x:v>1.2768613753166793</x:v>
      </x:c>
      <x:c r="V1279" s="31" t="n">
        <x:f>L1279*'Controls &amp; Summary'!$B$9+O1279*'Controls &amp; Summary'!$B$10+R1279*'Controls &amp; Summary'!$B$11+U1279*'Controls &amp; Summary'!$B$12</x:f>
        <x:v>7.27686137531668</x:v>
      </x:c>
      <x:c r="W1279" s="31" t="n">
        <x:v>3.32</x:v>
      </x:c>
      <x:c r="X1279" s="31" t="n">
        <x:v>1</x:v>
      </x:c>
      <x:c r="Y1279" s="31" t="n">
        <x:f>((10-MIN(10,MAX(0,X1279)))/10)*'Controls &amp; Summary'!$B$15+((10-MIN(10,MAX(0,W1279)))/10)*'Controls &amp; Summary'!$B$16</x:f>
        <x:v>1.568</x:v>
      </x:c>
      <x:c r="Z1279" s="31" t="n">
        <x:f>V1279*Y1279</x:f>
        <x:v>11.410118636496556</x:v>
      </x:c>
      <x:c r="AA1279" s="30" t="str">
        <x:f>IF(Z1279&lt;=I1279,"Peaceful","Hostile")</x:f>
        <x:v>Hostile</x:v>
      </x:c>
      <x:c r="AB1279" s="30" t="str">
        <x:f>IF(Z1279&lt;='Controls &amp; Summary'!$B$6,"Eligible","Blocked")</x:f>
        <x:v>Eligible</x:v>
      </x:c>
      <x:c r="AC1279" s="30" t="str">
        <x:v>2026_RUS</x:v>
      </x:c>
      <x:c r="AD1279" s="30" t="str">
        <x:v>2026_ITA</x:v>
      </x:c>
      <x:c r="AE1279" s="30" t="str">
        <x:v>2026_Italy</x:v>
      </x:c>
      <x:c r="AF1279" s="30" t="str">
        <x:v>Explicit capitalClaim</x:v>
      </x:c>
      <x:c r="AG1279" s="30" t="str">
        <x:v>Claim2026_RUS2026_Italy</x:v>
      </x:c>
      <x:c r="AH1279" s="30" t="str">
        <x:v>Project_ForwardRussia</x:v>
      </x:c>
    </x:row>
    <x:row r="1280">
      <x:c r="A1280" s="30" t="str">
        <x:v>2026</x:v>
      </x:c>
      <x:c r="B1280" s="30" t="str">
        <x:v>Base game</x:v>
      </x:c>
      <x:c r="C1280" s="30" t="str">
        <x:v>Russia</x:v>
      </x:c>
      <x:c r="D1280" s="30" t="str">
        <x:v>Kazakhstan</x:v>
      </x:c>
      <x:c r="E1280" s="30" t="str">
        <x:v>Starting claim</x:v>
      </x:c>
      <x:c r="F1280" s="30" t="str"/>
      <x:c r="G1280" s="30" t="str">
        <x:v>No</x:v>
      </x:c>
      <x:c r="H1280" s="30" t="str">
        <x:v>Ordinary claim</x:v>
      </x:c>
      <x:c r="I1280" s="31" t="n">
        <x:f>IF(G1280="Yes",'Controls &amp; Summary'!$B$5,'Controls &amp; Summary'!$B$4)</x:f>
        <x:v>6</x:v>
      </x:c>
      <x:c r="J1280" s="31" t="n">
        <x:v>2.03</x:v>
      </x:c>
      <x:c r="K1280" s="31" t="n">
        <x:v>2.91</x:v>
      </x:c>
      <x:c r="L1280" s="31" t="n">
        <x:f>ABS(J1280-K1280)</x:f>
        <x:v>0.8800000000000003</x:v>
      </x:c>
      <x:c r="M1280" s="31" t="n">
        <x:v>3.51</x:v>
      </x:c>
      <x:c r="N1280" s="31" t="n">
        <x:v>2.92</x:v>
      </x:c>
      <x:c r="O1280" s="31" t="n">
        <x:f>ABS(M1280-N1280)</x:f>
        <x:v>0.5899999999999999</x:v>
      </x:c>
      <x:c r="P1280" s="31" t="n">
        <x:v>7.63</x:v>
      </x:c>
      <x:c r="Q1280" s="31" t="n">
        <x:v>7.87</x:v>
      </x:c>
      <x:c r="R1280" s="31" t="n">
        <x:f>ABS(P1280-Q1280)</x:f>
        <x:v>0.2400000000000002</x:v>
      </x:c>
      <x:c r="S1280" s="32" t="n">
        <x:v>43109.973503906265</x:v>
      </x:c>
      <x:c r="T1280" s="32" t="n">
        <x:v>37752.352465368145</x:v>
      </x:c>
      <x:c r="U1280" s="31" t="n">
        <x:f>MAX(S1280/T1280,T1280/S1280)</x:f>
        <x:v>1.1419148924150593</x:v>
      </x:c>
      <x:c r="V1280" s="31" t="n">
        <x:f>L1280*'Controls &amp; Summary'!$B$9+O1280*'Controls &amp; Summary'!$B$10+R1280*'Controls &amp; Summary'!$B$11+U1280*'Controls &amp; Summary'!$B$12</x:f>
        <x:v>2.85191489241506</x:v>
      </x:c>
      <x:c r="W1280" s="31" t="n">
        <x:v>3.32</x:v>
      </x:c>
      <x:c r="X1280" s="31" t="n">
        <x:v>1.25</x:v>
      </x:c>
      <x:c r="Y1280" s="31" t="n">
        <x:f>((10-MIN(10,MAX(0,X1280)))/10)*'Controls &amp; Summary'!$B$15+((10-MIN(10,MAX(0,W1280)))/10)*'Controls &amp; Summary'!$B$16</x:f>
        <x:v>1.543</x:v>
      </x:c>
      <x:c r="Z1280" s="31" t="n">
        <x:f>V1280*Y1280</x:f>
        <x:v>4.4005046789964375</x:v>
      </x:c>
      <x:c r="AA1280" s="30" t="str">
        <x:f>IF(Z1280&lt;=I1280,"Peaceful","Hostile")</x:f>
        <x:v>Peaceful</x:v>
      </x:c>
      <x:c r="AB1280" s="30" t="str">
        <x:f>IF(Z1280&lt;='Controls &amp; Summary'!$B$6,"Eligible","Blocked")</x:f>
        <x:v>Eligible</x:v>
      </x:c>
      <x:c r="AC1280" s="30" t="str">
        <x:v>2026_RUS</x:v>
      </x:c>
      <x:c r="AD1280" s="30" t="str">
        <x:v>2026_KAZ</x:v>
      </x:c>
      <x:c r="AE1280" s="30" t="str">
        <x:v>2026_Astana</x:v>
      </x:c>
      <x:c r="AF1280" s="30" t="str">
        <x:v>Explicit capitalClaim</x:v>
      </x:c>
      <x:c r="AG1280" s="30" t="str">
        <x:v>Claim2026_RUS2026_Astana</x:v>
      </x:c>
      <x:c r="AH1280" s="30" t="str"/>
    </x:row>
    <x:row r="1281">
      <x:c r="A1281" s="30" t="str">
        <x:v>2026</x:v>
      </x:c>
      <x:c r="B1281" s="30" t="str">
        <x:v>Base game</x:v>
      </x:c>
      <x:c r="C1281" s="30" t="str">
        <x:v>Russia</x:v>
      </x:c>
      <x:c r="D1281" s="30" t="str">
        <x:v>Kosovo</x:v>
      </x:c>
      <x:c r="E1281" s="30" t="str">
        <x:v>Project unlock</x:v>
      </x:c>
      <x:c r="F1281" s="30" t="str">
        <x:v>Forward Russia</x:v>
      </x:c>
      <x:c r="G1281" s="30" t="str">
        <x:v>Yes</x:v>
      </x:c>
      <x:c r="H1281" s="30" t="str">
        <x:v>Template hostileClaim</x:v>
      </x:c>
      <x:c r="I1281" s="31" t="n">
        <x:f>IF(G1281="Yes",'Controls &amp; Summary'!$B$5,'Controls &amp; Summary'!$B$4)</x:f>
        <x:v>3</x:v>
      </x:c>
      <x:c r="J1281" s="31" t="n">
        <x:v>2.03</x:v>
      </x:c>
      <x:c r="K1281" s="31" t="n">
        <x:v>6</x:v>
      </x:c>
      <x:c r="L1281" s="31" t="n">
        <x:f>ABS(J1281-K1281)</x:f>
        <x:v>3.97</x:v>
      </x:c>
      <x:c r="M1281" s="31" t="n">
        <x:v>3.51</x:v>
      </x:c>
      <x:c r="N1281" s="31" t="n">
        <x:v>2.9</x:v>
      </x:c>
      <x:c r="O1281" s="31" t="n">
        <x:f>ABS(M1281-N1281)</x:f>
        <x:v>0.6099999999999999</x:v>
      </x:c>
      <x:c r="P1281" s="31" t="n">
        <x:v>7.63</x:v>
      </x:c>
      <x:c r="Q1281" s="31" t="n">
        <x:v>7.62</x:v>
      </x:c>
      <x:c r="R1281" s="31" t="n">
        <x:f>ABS(P1281-Q1281)</x:f>
        <x:v>0.009999999999999787</x:v>
      </x:c>
      <x:c r="S1281" s="32" t="n">
        <x:v>43109.973503906265</x:v>
      </x:c>
      <x:c r="T1281" s="32" t="n">
        <x:v>16973.99867545855</x:v>
      </x:c>
      <x:c r="U1281" s="31" t="n">
        <x:f>MAX(S1281/T1281,T1281/S1281)</x:f>
        <x:v>2.5397653392206156</x:v>
      </x:c>
      <x:c r="V1281" s="31" t="n">
        <x:f>L1281*'Controls &amp; Summary'!$B$9+O1281*'Controls &amp; Summary'!$B$10+R1281*'Controls &amp; Summary'!$B$11+U1281*'Controls &amp; Summary'!$B$12</x:f>
        <x:v>7.129765339220615</x:v>
      </x:c>
      <x:c r="W1281" s="31" t="n">
        <x:v>3.32</x:v>
      </x:c>
      <x:c r="X1281" s="31" t="n">
        <x:v>1</x:v>
      </x:c>
      <x:c r="Y1281" s="31" t="n">
        <x:f>((10-MIN(10,MAX(0,X1281)))/10)*'Controls &amp; Summary'!$B$15+((10-MIN(10,MAX(0,W1281)))/10)*'Controls &amp; Summary'!$B$16</x:f>
        <x:v>1.568</x:v>
      </x:c>
      <x:c r="Z1281" s="31" t="n">
        <x:f>V1281*Y1281</x:f>
        <x:v>11.179472051897925</x:v>
      </x:c>
      <x:c r="AA1281" s="30" t="str">
        <x:f>IF(Z1281&lt;=I1281,"Peaceful","Hostile")</x:f>
        <x:v>Hostile</x:v>
      </x:c>
      <x:c r="AB1281" s="30" t="str">
        <x:f>IF(Z1281&lt;='Controls &amp; Summary'!$B$6,"Eligible","Blocked")</x:f>
        <x:v>Eligible</x:v>
      </x:c>
      <x:c r="AC1281" s="30" t="str">
        <x:v>2026_RUS</x:v>
      </x:c>
      <x:c r="AD1281" s="30" t="str">
        <x:v>2026_KOS</x:v>
      </x:c>
      <x:c r="AE1281" s="30" t="str">
        <x:v>2026_Kosovo</x:v>
      </x:c>
      <x:c r="AF1281" s="30" t="str">
        <x:v>Explicit capitalClaim</x:v>
      </x:c>
      <x:c r="AG1281" s="30" t="str">
        <x:v>Claim2026_RUS2026_Kosovo</x:v>
      </x:c>
      <x:c r="AH1281" s="30" t="str">
        <x:v>Project_ForwardRussia</x:v>
      </x:c>
    </x:row>
    <x:row r="1282">
      <x:c r="A1282" s="30" t="str">
        <x:v>2026</x:v>
      </x:c>
      <x:c r="B1282" s="30" t="str">
        <x:v>Base game</x:v>
      </x:c>
      <x:c r="C1282" s="30" t="str">
        <x:v>Russia</x:v>
      </x:c>
      <x:c r="D1282" s="30" t="str">
        <x:v>Kyrgyzstan</x:v>
      </x:c>
      <x:c r="E1282" s="30" t="str">
        <x:v>Starting claim</x:v>
      </x:c>
      <x:c r="F1282" s="30" t="str"/>
      <x:c r="G1282" s="30" t="str">
        <x:v>No</x:v>
      </x:c>
      <x:c r="H1282" s="30" t="str">
        <x:v>Ordinary claim</x:v>
      </x:c>
      <x:c r="I1282" s="31" t="n">
        <x:f>IF(G1282="Yes",'Controls &amp; Summary'!$B$5,'Controls &amp; Summary'!$B$4)</x:f>
        <x:v>6</x:v>
      </x:c>
      <x:c r="J1282" s="31" t="n">
        <x:v>2.03</x:v>
      </x:c>
      <x:c r="K1282" s="31" t="n">
        <x:v>3.27</x:v>
      </x:c>
      <x:c r="L1282" s="31" t="n">
        <x:f>ABS(J1282-K1282)</x:f>
        <x:v>1.2400000000000002</x:v>
      </x:c>
      <x:c r="M1282" s="31" t="n">
        <x:v>3.51</x:v>
      </x:c>
      <x:c r="N1282" s="31" t="n">
        <x:v>2.64</x:v>
      </x:c>
      <x:c r="O1282" s="31" t="n">
        <x:f>ABS(M1282-N1282)</x:f>
        <x:v>0.8699999999999997</x:v>
      </x:c>
      <x:c r="P1282" s="31" t="n">
        <x:v>7.63</x:v>
      </x:c>
      <x:c r="Q1282" s="31" t="n">
        <x:v>7.4</x:v>
      </x:c>
      <x:c r="R1282" s="31" t="n">
        <x:f>ABS(P1282-Q1282)</x:f>
        <x:v>0.22999999999999954</x:v>
      </x:c>
      <x:c r="S1282" s="32" t="n">
        <x:v>43109.973503906265</x:v>
      </x:c>
      <x:c r="T1282" s="32" t="n">
        <x:v>7545.525855469893</x:v>
      </x:c>
      <x:c r="U1282" s="31" t="n">
        <x:f>MAX(S1282/T1282,T1282/S1282)</x:f>
        <x:v>5.713315987467598</x:v>
      </x:c>
      <x:c r="V1282" s="31" t="n">
        <x:f>L1282*'Controls &amp; Summary'!$B$9+O1282*'Controls &amp; Summary'!$B$10+R1282*'Controls &amp; Summary'!$B$11+U1282*'Controls &amp; Summary'!$B$12</x:f>
        <x:v>8.053315987467597</x:v>
      </x:c>
      <x:c r="W1282" s="31" t="n">
        <x:v>3.32</x:v>
      </x:c>
      <x:c r="X1282" s="31" t="n">
        <x:v>1.25</x:v>
      </x:c>
      <x:c r="Y1282" s="31" t="n">
        <x:f>((10-MIN(10,MAX(0,X1282)))/10)*'Controls &amp; Summary'!$B$15+((10-MIN(10,MAX(0,W1282)))/10)*'Controls &amp; Summary'!$B$16</x:f>
        <x:v>1.543</x:v>
      </x:c>
      <x:c r="Z1282" s="31" t="n">
        <x:f>V1282*Y1282</x:f>
        <x:v>12.426266568662502</x:v>
      </x:c>
      <x:c r="AA1282" s="30" t="str">
        <x:f>IF(Z1282&lt;=I1282,"Peaceful","Hostile")</x:f>
        <x:v>Hostile</x:v>
      </x:c>
      <x:c r="AB1282" s="30" t="str">
        <x:f>IF(Z1282&lt;='Controls &amp; Summary'!$B$6,"Eligible","Blocked")</x:f>
        <x:v>Blocked</x:v>
      </x:c>
      <x:c r="AC1282" s="30" t="str">
        <x:v>2026_RUS</x:v>
      </x:c>
      <x:c r="AD1282" s="30" t="str">
        <x:v>2026_KGZ</x:v>
      </x:c>
      <x:c r="AE1282" s="30" t="str">
        <x:v>2026_Kyrgyzstan</x:v>
      </x:c>
      <x:c r="AF1282" s="30" t="str">
        <x:v>Explicit capitalClaim</x:v>
      </x:c>
      <x:c r="AG1282" s="30" t="str">
        <x:v>Claim2026_RUS2026_Kyrgyzstan</x:v>
      </x:c>
      <x:c r="AH1282" s="30" t="str"/>
    </x:row>
    <x:row r="1283">
      <x:c r="A1283" s="30" t="str">
        <x:v>2026</x:v>
      </x:c>
      <x:c r="B1283" s="30" t="str">
        <x:v>Base game</x:v>
      </x:c>
      <x:c r="C1283" s="30" t="str">
        <x:v>Russia</x:v>
      </x:c>
      <x:c r="D1283" s="30" t="str">
        <x:v>Latvia</x:v>
      </x:c>
      <x:c r="E1283" s="30" t="str">
        <x:v>Starting claim</x:v>
      </x:c>
      <x:c r="F1283" s="30" t="str"/>
      <x:c r="G1283" s="30" t="str">
        <x:v>Yes</x:v>
      </x:c>
      <x:c r="H1283" s="30" t="str">
        <x:v>Approved Russia-neighbor grievance</x:v>
      </x:c>
      <x:c r="I1283" s="31" t="n">
        <x:f>IF(G1283="Yes",'Controls &amp; Summary'!$B$5,'Controls &amp; Summary'!$B$4)</x:f>
        <x:v>3</x:v>
      </x:c>
      <x:c r="J1283" s="31" t="n">
        <x:v>2.03</x:v>
      </x:c>
      <x:c r="K1283" s="31" t="n">
        <x:v>7.73</x:v>
      </x:c>
      <x:c r="L1283" s="31" t="n">
        <x:f>ABS(J1283-K1283)</x:f>
        <x:v>5.700000000000001</x:v>
      </x:c>
      <x:c r="M1283" s="31" t="n">
        <x:v>3.51</x:v>
      </x:c>
      <x:c r="N1283" s="31" t="n">
        <x:v>3.43</x:v>
      </x:c>
      <x:c r="O1283" s="31" t="n">
        <x:f>ABS(M1283-N1283)</x:f>
        <x:v>0.07999999999999963</x:v>
      </x:c>
      <x:c r="P1283" s="31" t="n">
        <x:v>7.63</x:v>
      </x:c>
      <x:c r="Q1283" s="31" t="n">
        <x:v>8.83</x:v>
      </x:c>
      <x:c r="R1283" s="31" t="n">
        <x:f>ABS(P1283-Q1283)</x:f>
        <x:v>1.2000000000000002</x:v>
      </x:c>
      <x:c r="S1283" s="32" t="n">
        <x:v>43109.973503906265</x:v>
      </x:c>
      <x:c r="T1283" s="32" t="n">
        <x:v>39903.85280524637</x:v>
      </x:c>
      <x:c r="U1283" s="31" t="n">
        <x:f>MAX(S1283/T1283,T1283/S1283)</x:f>
        <x:v>1.0803461438750688</x:v>
      </x:c>
      <x:c r="V1283" s="31" t="n">
        <x:f>L1283*'Controls &amp; Summary'!$B$9+O1283*'Controls &amp; Summary'!$B$10+R1283*'Controls &amp; Summary'!$B$11+U1283*'Controls &amp; Summary'!$B$12</x:f>
        <x:v>8.06034614387507</x:v>
      </x:c>
      <x:c r="W1283" s="31" t="n">
        <x:v>3.32</x:v>
      </x:c>
      <x:c r="X1283" s="31" t="n">
        <x:v>0</x:v>
      </x:c>
      <x:c r="Y1283" s="31" t="n">
        <x:f>((10-MIN(10,MAX(0,X1283)))/10)*'Controls &amp; Summary'!$B$15+((10-MIN(10,MAX(0,W1283)))/10)*'Controls &amp; Summary'!$B$16</x:f>
        <x:v>1.668</x:v>
      </x:c>
      <x:c r="Z1283" s="31" t="n">
        <x:f>V1283*Y1283</x:f>
        <x:v>13.444657367983615</x:v>
      </x:c>
      <x:c r="AA1283" s="30" t="str">
        <x:f>IF(Z1283&lt;=I1283,"Peaceful","Hostile")</x:f>
        <x:v>Hostile</x:v>
      </x:c>
      <x:c r="AB1283" s="30" t="str">
        <x:f>IF(Z1283&lt;='Controls &amp; Summary'!$B$6,"Eligible","Blocked")</x:f>
        <x:v>Blocked</x:v>
      </x:c>
      <x:c r="AC1283" s="30" t="str">
        <x:v>2026_RUS</x:v>
      </x:c>
      <x:c r="AD1283" s="30" t="str">
        <x:v>2026_LVA</x:v>
      </x:c>
      <x:c r="AE1283" s="30" t="str">
        <x:v>2026_Latvia</x:v>
      </x:c>
      <x:c r="AF1283" s="30" t="str">
        <x:v>Explicit capitalClaim</x:v>
      </x:c>
      <x:c r="AG1283" s="30" t="str">
        <x:v>Claim2026_RUS2026_Latvia</x:v>
      </x:c>
      <x:c r="AH1283" s="30" t="str"/>
    </x:row>
    <x:row r="1284">
      <x:c r="A1284" s="30" t="str">
        <x:v>2026</x:v>
      </x:c>
      <x:c r="B1284" s="30" t="str">
        <x:v>Base game</x:v>
      </x:c>
      <x:c r="C1284" s="30" t="str">
        <x:v>Russia</x:v>
      </x:c>
      <x:c r="D1284" s="30" t="str">
        <x:v>Lithuania</x:v>
      </x:c>
      <x:c r="E1284" s="30" t="str">
        <x:v>Starting claim</x:v>
      </x:c>
      <x:c r="F1284" s="30" t="str"/>
      <x:c r="G1284" s="30" t="str">
        <x:v>Yes</x:v>
      </x:c>
      <x:c r="H1284" s="30" t="str">
        <x:v>Approved Russia-neighbor grievance</x:v>
      </x:c>
      <x:c r="I1284" s="31" t="n">
        <x:f>IF(G1284="Yes",'Controls &amp; Summary'!$B$5,'Controls &amp; Summary'!$B$4)</x:f>
        <x:v>3</x:v>
      </x:c>
      <x:c r="J1284" s="31" t="n">
        <x:v>2.03</x:v>
      </x:c>
      <x:c r="K1284" s="31" t="n">
        <x:v>7.55</x:v>
      </x:c>
      <x:c r="L1284" s="31" t="n">
        <x:f>ABS(J1284-K1284)</x:f>
        <x:v>5.52</x:v>
      </x:c>
      <x:c r="M1284" s="31" t="n">
        <x:v>3.51</x:v>
      </x:c>
      <x:c r="N1284" s="31" t="n">
        <x:v>3.67</x:v>
      </x:c>
      <x:c r="O1284" s="31" t="n">
        <x:f>ABS(M1284-N1284)</x:f>
        <x:v>0.16000000000000014</x:v>
      </x:c>
      <x:c r="P1284" s="31" t="n">
        <x:v>7.63</x:v>
      </x:c>
      <x:c r="Q1284" s="31" t="n">
        <x:v>8.9</x:v>
      </x:c>
      <x:c r="R1284" s="31" t="n">
        <x:f>ABS(P1284-Q1284)</x:f>
        <x:v>1.2700000000000005</x:v>
      </x:c>
      <x:c r="S1284" s="32" t="n">
        <x:v>43109.973503906265</x:v>
      </x:c>
      <x:c r="T1284" s="32" t="n">
        <x:v>52045.53757894112</x:v>
      </x:c>
      <x:c r="U1284" s="31" t="n">
        <x:f>MAX(S1284/T1284,T1284/S1284)</x:f>
        <x:v>1.207273708350231</x:v>
      </x:c>
      <x:c r="V1284" s="31" t="n">
        <x:f>L1284*'Controls &amp; Summary'!$B$9+O1284*'Controls &amp; Summary'!$B$10+R1284*'Controls &amp; Summary'!$B$11+U1284*'Controls &amp; Summary'!$B$12</x:f>
        <x:v>8.157273708350232</x:v>
      </x:c>
      <x:c r="W1284" s="31" t="n">
        <x:v>3.32</x:v>
      </x:c>
      <x:c r="X1284" s="31" t="n">
        <x:v>0</x:v>
      </x:c>
      <x:c r="Y1284" s="31" t="n">
        <x:f>((10-MIN(10,MAX(0,X1284)))/10)*'Controls &amp; Summary'!$B$15+((10-MIN(10,MAX(0,W1284)))/10)*'Controls &amp; Summary'!$B$16</x:f>
        <x:v>1.668</x:v>
      </x:c>
      <x:c r="Z1284" s="31" t="n">
        <x:f>V1284*Y1284</x:f>
        <x:v>13.606332545528186</x:v>
      </x:c>
      <x:c r="AA1284" s="30" t="str">
        <x:f>IF(Z1284&lt;=I1284,"Peaceful","Hostile")</x:f>
        <x:v>Hostile</x:v>
      </x:c>
      <x:c r="AB1284" s="30" t="str">
        <x:f>IF(Z1284&lt;='Controls &amp; Summary'!$B$6,"Eligible","Blocked")</x:f>
        <x:v>Blocked</x:v>
      </x:c>
      <x:c r="AC1284" s="30" t="str">
        <x:v>2026_RUS</x:v>
      </x:c>
      <x:c r="AD1284" s="30" t="str">
        <x:v>2026_LTU</x:v>
      </x:c>
      <x:c r="AE1284" s="30" t="str">
        <x:v>2026_Lithuania</x:v>
      </x:c>
      <x:c r="AF1284" s="30" t="str">
        <x:v>Explicit capitalClaim</x:v>
      </x:c>
      <x:c r="AG1284" s="30" t="str">
        <x:v>Claim2026_RUS2026_Lithuania</x:v>
      </x:c>
      <x:c r="AH1284" s="30" t="str"/>
    </x:row>
    <x:row r="1285">
      <x:c r="A1285" s="30" t="str">
        <x:v>2026</x:v>
      </x:c>
      <x:c r="B1285" s="30" t="str">
        <x:v>Base game</x:v>
      </x:c>
      <x:c r="C1285" s="30" t="str">
        <x:v>Russia</x:v>
      </x:c>
      <x:c r="D1285" s="30" t="str">
        <x:v>Moldova</x:v>
      </x:c>
      <x:c r="E1285" s="30" t="str">
        <x:v>Starting claim</x:v>
      </x:c>
      <x:c r="F1285" s="30" t="str"/>
      <x:c r="G1285" s="30" t="str">
        <x:v>Yes</x:v>
      </x:c>
      <x:c r="H1285" s="30" t="str">
        <x:v>Approved Russia-neighbor grievance</x:v>
      </x:c>
      <x:c r="I1285" s="31" t="n">
        <x:f>IF(G1285="Yes",'Controls &amp; Summary'!$B$5,'Controls &amp; Summary'!$B$4)</x:f>
        <x:v>3</x:v>
      </x:c>
      <x:c r="J1285" s="31" t="n">
        <x:v>2.03</x:v>
      </x:c>
      <x:c r="K1285" s="31" t="n">
        <x:v>5.86</x:v>
      </x:c>
      <x:c r="L1285" s="31" t="n">
        <x:f>ABS(J1285-K1285)</x:f>
        <x:v>3.8300000000000005</x:v>
      </x:c>
      <x:c r="M1285" s="31" t="n">
        <x:v>3.51</x:v>
      </x:c>
      <x:c r="N1285" s="31" t="n">
        <x:v>2.57</x:v>
      </x:c>
      <x:c r="O1285" s="31" t="n">
        <x:f>ABS(M1285-N1285)</x:f>
        <x:v>0.94</x:v>
      </x:c>
      <x:c r="P1285" s="31" t="n">
        <x:v>7.63</x:v>
      </x:c>
      <x:c r="Q1285" s="31" t="n">
        <x:v>7.81</x:v>
      </x:c>
      <x:c r="R1285" s="31" t="n">
        <x:f>ABS(P1285-Q1285)</x:f>
        <x:v>0.17999999999999972</x:v>
      </x:c>
      <x:c r="S1285" s="32" t="n">
        <x:v>43109.973503906265</x:v>
      </x:c>
      <x:c r="T1285" s="32" t="n">
        <x:v>13778.352009098851</x:v>
      </x:c>
      <x:c r="U1285" s="31" t="n">
        <x:f>MAX(S1285/T1285,T1285/S1285)</x:f>
        <x:v>3.1288192866198803</x:v>
      </x:c>
      <x:c r="V1285" s="31" t="n">
        <x:f>L1285*'Controls &amp; Summary'!$B$9+O1285*'Controls &amp; Summary'!$B$10+R1285*'Controls &amp; Summary'!$B$11+U1285*'Controls &amp; Summary'!$B$12</x:f>
        <x:v>8.078819286619881</x:v>
      </x:c>
      <x:c r="W1285" s="31" t="n">
        <x:v>3.32</x:v>
      </x:c>
      <x:c r="X1285" s="31" t="n">
        <x:v>0.25</x:v>
      </x:c>
      <x:c r="Y1285" s="31" t="n">
        <x:f>((10-MIN(10,MAX(0,X1285)))/10)*'Controls &amp; Summary'!$B$15+((10-MIN(10,MAX(0,W1285)))/10)*'Controls &amp; Summary'!$B$16</x:f>
        <x:v>1.6429999999999998</x:v>
      </x:c>
      <x:c r="Z1285" s="31" t="n">
        <x:f>V1285*Y1285</x:f>
        <x:v>13.273500087916462</x:v>
      </x:c>
      <x:c r="AA1285" s="30" t="str">
        <x:f>IF(Z1285&lt;=I1285,"Peaceful","Hostile")</x:f>
        <x:v>Hostile</x:v>
      </x:c>
      <x:c r="AB1285" s="30" t="str">
        <x:f>IF(Z1285&lt;='Controls &amp; Summary'!$B$6,"Eligible","Blocked")</x:f>
        <x:v>Blocked</x:v>
      </x:c>
      <x:c r="AC1285" s="30" t="str">
        <x:v>2026_RUS</x:v>
      </x:c>
      <x:c r="AD1285" s="30" t="str">
        <x:v>2026_MOL</x:v>
      </x:c>
      <x:c r="AE1285" s="30" t="str">
        <x:v>2026_Moldova</x:v>
      </x:c>
      <x:c r="AF1285" s="30" t="str">
        <x:v>Explicit capitalClaim</x:v>
      </x:c>
      <x:c r="AG1285" s="30" t="str">
        <x:v>Claim2026_RUS2026_Moldova</x:v>
      </x:c>
      <x:c r="AH1285" s="30" t="str"/>
    </x:row>
    <x:row r="1286">
      <x:c r="A1286" s="30" t="str">
        <x:v>2026</x:v>
      </x:c>
      <x:c r="B1286" s="30" t="str">
        <x:v>Base game</x:v>
      </x:c>
      <x:c r="C1286" s="30" t="str">
        <x:v>Russia</x:v>
      </x:c>
      <x:c r="D1286" s="30" t="str">
        <x:v>Mongolia</x:v>
      </x:c>
      <x:c r="E1286" s="30" t="str">
        <x:v>Project unlock</x:v>
      </x:c>
      <x:c r="F1286" s="30" t="str">
        <x:v>Forward Russia</x:v>
      </x:c>
      <x:c r="G1286" s="30" t="str">
        <x:v>Yes</x:v>
      </x:c>
      <x:c r="H1286" s="30" t="str">
        <x:v>Approved expansion-project family</x:v>
      </x:c>
      <x:c r="I1286" s="31" t="n">
        <x:f>IF(G1286="Yes",'Controls &amp; Summary'!$B$5,'Controls &amp; Summary'!$B$4)</x:f>
        <x:v>3</x:v>
      </x:c>
      <x:c r="J1286" s="31" t="n">
        <x:v>2.03</x:v>
      </x:c>
      <x:c r="K1286" s="31" t="n">
        <x:v>6.5</x:v>
      </x:c>
      <x:c r="L1286" s="31" t="n">
        <x:f>ABS(J1286-K1286)</x:f>
        <x:v>4.470000000000001</x:v>
      </x:c>
      <x:c r="M1286" s="31" t="n">
        <x:v>3.51</x:v>
      </x:c>
      <x:c r="N1286" s="31" t="n">
        <x:v>3.14</x:v>
      </x:c>
      <x:c r="O1286" s="31" t="n">
        <x:f>ABS(M1286-N1286)</x:f>
        <x:v>0.36999999999999966</x:v>
      </x:c>
      <x:c r="P1286" s="31" t="n">
        <x:v>7.63</x:v>
      </x:c>
      <x:c r="Q1286" s="31" t="n">
        <x:v>6.77</x:v>
      </x:c>
      <x:c r="R1286" s="31" t="n">
        <x:f>ABS(P1286-Q1286)</x:f>
        <x:v>0.8600000000000003</x:v>
      </x:c>
      <x:c r="S1286" s="32" t="n">
        <x:v>43109.973503906265</x:v>
      </x:c>
      <x:c r="T1286" s="32" t="n">
        <x:v>18130.217122254344</x:v>
      </x:c>
      <x:c r="U1286" s="31" t="n">
        <x:f>MAX(S1286/T1286,T1286/S1286)</x:f>
        <x:v>2.3777968687970072</x:v>
      </x:c>
      <x:c r="V1286" s="31" t="n">
        <x:f>L1286*'Controls &amp; Summary'!$B$9+O1286*'Controls &amp; Summary'!$B$10+R1286*'Controls &amp; Summary'!$B$11+U1286*'Controls &amp; Summary'!$B$12</x:f>
        <x:v>8.077796868797007</x:v>
      </x:c>
      <x:c r="W1286" s="31" t="n">
        <x:v>3.32</x:v>
      </x:c>
      <x:c r="X1286" s="31" t="n">
        <x:v>0</x:v>
      </x:c>
      <x:c r="Y1286" s="31" t="n">
        <x:f>((10-MIN(10,MAX(0,X1286)))/10)*'Controls &amp; Summary'!$B$15+((10-MIN(10,MAX(0,W1286)))/10)*'Controls &amp; Summary'!$B$16</x:f>
        <x:v>1.668</x:v>
      </x:c>
      <x:c r="Z1286" s="31" t="n">
        <x:f>V1286*Y1286</x:f>
        <x:v>13.473765177153407</x:v>
      </x:c>
      <x:c r="AA1286" s="30" t="str">
        <x:f>IF(Z1286&lt;=I1286,"Peaceful","Hostile")</x:f>
        <x:v>Hostile</x:v>
      </x:c>
      <x:c r="AB1286" s="30" t="str">
        <x:f>IF(Z1286&lt;='Controls &amp; Summary'!$B$6,"Eligible","Blocked")</x:f>
        <x:v>Blocked</x:v>
      </x:c>
      <x:c r="AC1286" s="30" t="str">
        <x:v>2026_RUS</x:v>
      </x:c>
      <x:c r="AD1286" s="30" t="str">
        <x:v>2026_MNG</x:v>
      </x:c>
      <x:c r="AE1286" s="30" t="str">
        <x:v>2026_Mongolia</x:v>
      </x:c>
      <x:c r="AF1286" s="30" t="str">
        <x:v>Explicit capitalClaim</x:v>
      </x:c>
      <x:c r="AG1286" s="30" t="str">
        <x:v>Claim2026_RUS2026_Mongolia</x:v>
      </x:c>
      <x:c r="AH1286" s="30" t="str">
        <x:v>Project_ForwardRussia</x:v>
      </x:c>
    </x:row>
    <x:row r="1287">
      <x:c r="A1287" s="30" t="str">
        <x:v>2026</x:v>
      </x:c>
      <x:c r="B1287" s="30" t="str">
        <x:v>Base game</x:v>
      </x:c>
      <x:c r="C1287" s="30" t="str">
        <x:v>Russia</x:v>
      </x:c>
      <x:c r="D1287" s="30" t="str">
        <x:v>Montenegro</x:v>
      </x:c>
      <x:c r="E1287" s="30" t="str">
        <x:v>Project unlock</x:v>
      </x:c>
      <x:c r="F1287" s="30" t="str">
        <x:v>Forward Russia</x:v>
      </x:c>
      <x:c r="G1287" s="30" t="str">
        <x:v>Yes</x:v>
      </x:c>
      <x:c r="H1287" s="30" t="str">
        <x:v>Template hostileClaim</x:v>
      </x:c>
      <x:c r="I1287" s="31" t="n">
        <x:f>IF(G1287="Yes",'Controls &amp; Summary'!$B$5,'Controls &amp; Summary'!$B$4)</x:f>
        <x:v>3</x:v>
      </x:c>
      <x:c r="J1287" s="31" t="n">
        <x:v>2.03</x:v>
      </x:c>
      <x:c r="K1287" s="31" t="n">
        <x:v>6.73</x:v>
      </x:c>
      <x:c r="L1287" s="31" t="n">
        <x:f>ABS(J1287-K1287)</x:f>
        <x:v>4.700000000000001</x:v>
      </x:c>
      <x:c r="M1287" s="31" t="n">
        <x:v>3.51</x:v>
      </x:c>
      <x:c r="N1287" s="31" t="n">
        <x:v>3.43</x:v>
      </x:c>
      <x:c r="O1287" s="31" t="n">
        <x:f>ABS(M1287-N1287)</x:f>
        <x:v>0.07999999999999963</x:v>
      </x:c>
      <x:c r="P1287" s="31" t="n">
        <x:v>7.63</x:v>
      </x:c>
      <x:c r="Q1287" s="31" t="n">
        <x:v>8.37</x:v>
      </x:c>
      <x:c r="R1287" s="31" t="n">
        <x:f>ABS(P1287-Q1287)</x:f>
        <x:v>0.7399999999999993</x:v>
      </x:c>
      <x:c r="S1287" s="32" t="n">
        <x:v>43109.973503906265</x:v>
      </x:c>
      <x:c r="T1287" s="32" t="n">
        <x:v>29943.99847979905</x:v>
      </x:c>
      <x:c r="U1287" s="31" t="n">
        <x:f>MAX(S1287/T1287,T1287/S1287)</x:f>
        <x:v>1.4396866047461665</x:v>
      </x:c>
      <x:c r="V1287" s="31" t="n">
        <x:f>L1287*'Controls &amp; Summary'!$B$9+O1287*'Controls &amp; Summary'!$B$10+R1287*'Controls &amp; Summary'!$B$11+U1287*'Controls &amp; Summary'!$B$12</x:f>
        <x:v>6.959686604746167</x:v>
      </x:c>
      <x:c r="W1287" s="31" t="n">
        <x:v>3.32</x:v>
      </x:c>
      <x:c r="X1287" s="31" t="n">
        <x:v>0.5</x:v>
      </x:c>
      <x:c r="Y1287" s="31" t="n">
        <x:f>((10-MIN(10,MAX(0,X1287)))/10)*'Controls &amp; Summary'!$B$15+((10-MIN(10,MAX(0,W1287)))/10)*'Controls &amp; Summary'!$B$16</x:f>
        <x:v>1.6179999999999999</x:v>
      </x:c>
      <x:c r="Z1287" s="31" t="n">
        <x:f>V1287*Y1287</x:f>
        <x:v>11.260772926479298</x:v>
      </x:c>
      <x:c r="AA1287" s="30" t="str">
        <x:f>IF(Z1287&lt;=I1287,"Peaceful","Hostile")</x:f>
        <x:v>Hostile</x:v>
      </x:c>
      <x:c r="AB1287" s="30" t="str">
        <x:f>IF(Z1287&lt;='Controls &amp; Summary'!$B$6,"Eligible","Blocked")</x:f>
        <x:v>Eligible</x:v>
      </x:c>
      <x:c r="AC1287" s="30" t="str">
        <x:v>2026_RUS</x:v>
      </x:c>
      <x:c r="AD1287" s="30" t="str">
        <x:v>2026_MNE</x:v>
      </x:c>
      <x:c r="AE1287" s="30" t="str">
        <x:v>2026_Montenegro</x:v>
      </x:c>
      <x:c r="AF1287" s="30" t="str">
        <x:v>Explicit capitalClaim</x:v>
      </x:c>
      <x:c r="AG1287" s="30" t="str">
        <x:v>Claim2026_RUS2026_Montenegro</x:v>
      </x:c>
      <x:c r="AH1287" s="30" t="str">
        <x:v>Project_ForwardRussia</x:v>
      </x:c>
    </x:row>
    <x:row r="1288">
      <x:c r="A1288" s="30" t="str">
        <x:v>2026</x:v>
      </x:c>
      <x:c r="B1288" s="30" t="str">
        <x:v>Base game</x:v>
      </x:c>
      <x:c r="C1288" s="30" t="str">
        <x:v>Russia</x:v>
      </x:c>
      <x:c r="D1288" s="30" t="str">
        <x:v>Netherlands</x:v>
      </x:c>
      <x:c r="E1288" s="30" t="str">
        <x:v>Project unlock</x:v>
      </x:c>
      <x:c r="F1288" s="30" t="str">
        <x:v>Forward Russia</x:v>
      </x:c>
      <x:c r="G1288" s="30" t="str">
        <x:v>Yes</x:v>
      </x:c>
      <x:c r="H1288" s="30" t="str">
        <x:v>Template hostileClaim</x:v>
      </x:c>
      <x:c r="I1288" s="31" t="n">
        <x:f>IF(G1288="Yes",'Controls &amp; Summary'!$B$5,'Controls &amp; Summary'!$B$4)</x:f>
        <x:v>3</x:v>
      </x:c>
      <x:c r="J1288" s="31" t="n">
        <x:v>2.03</x:v>
      </x:c>
      <x:c r="K1288" s="31" t="n">
        <x:v>8.93</x:v>
      </x:c>
      <x:c r="L1288" s="31" t="n">
        <x:f>ABS(J1288-K1288)</x:f>
        <x:v>6.9</x:v>
      </x:c>
      <x:c r="M1288" s="31" t="n">
        <x:v>3.51</x:v>
      </x:c>
      <x:c r="N1288" s="31" t="n">
        <x:v>2.57</x:v>
      </x:c>
      <x:c r="O1288" s="31" t="n">
        <x:f>ABS(M1288-N1288)</x:f>
        <x:v>0.94</x:v>
      </x:c>
      <x:c r="P1288" s="31" t="n">
        <x:v>7.63</x:v>
      </x:c>
      <x:c r="Q1288" s="31" t="n">
        <x:v>9.17</x:v>
      </x:c>
      <x:c r="R1288" s="31" t="n">
        <x:f>ABS(P1288-Q1288)</x:f>
        <x:v>1.54</x:v>
      </x:c>
      <x:c r="S1288" s="32" t="n">
        <x:v>43109.973503906265</x:v>
      </x:c>
      <x:c r="T1288" s="32" t="n">
        <x:v>77673.73665435288</x:v>
      </x:c>
      <x:c r="U1288" s="31" t="n">
        <x:f>MAX(S1288/T1288,T1288/S1288)</x:f>
        <x:v>1.8017579307330063</x:v>
      </x:c>
      <x:c r="V1288" s="31" t="n">
        <x:f>L1288*'Controls &amp; Summary'!$B$9+O1288*'Controls &amp; Summary'!$B$10+R1288*'Controls &amp; Summary'!$B$11+U1288*'Controls &amp; Summary'!$B$12</x:f>
        <x:v>11.181757930733005</x:v>
      </x:c>
      <x:c r="W1288" s="31" t="n">
        <x:v>3.32</x:v>
      </x:c>
      <x:c r="X1288" s="31" t="n">
        <x:v>0.5</x:v>
      </x:c>
      <x:c r="Y1288" s="31" t="n">
        <x:f>((10-MIN(10,MAX(0,X1288)))/10)*'Controls &amp; Summary'!$B$15+((10-MIN(10,MAX(0,W1288)))/10)*'Controls &amp; Summary'!$B$16</x:f>
        <x:v>1.6179999999999999</x:v>
      </x:c>
      <x:c r="Z1288" s="31" t="n">
        <x:f>V1288*Y1288</x:f>
        <x:v>18.092084331926</x:v>
      </x:c>
      <x:c r="AA1288" s="30" t="str">
        <x:f>IF(Z1288&lt;=I1288,"Peaceful","Hostile")</x:f>
        <x:v>Hostile</x:v>
      </x:c>
      <x:c r="AB1288" s="30" t="str">
        <x:f>IF(Z1288&lt;='Controls &amp; Summary'!$B$6,"Eligible","Blocked")</x:f>
        <x:v>Blocked</x:v>
      </x:c>
      <x:c r="AC1288" s="30" t="str">
        <x:v>2026_RUS</x:v>
      </x:c>
      <x:c r="AD1288" s="30" t="str">
        <x:v>2026_NET</x:v>
      </x:c>
      <x:c r="AE1288" s="30" t="str">
        <x:v>2026_Netherlands</x:v>
      </x:c>
      <x:c r="AF1288" s="30" t="str">
        <x:v>Explicit capitalClaim</x:v>
      </x:c>
      <x:c r="AG1288" s="30" t="str">
        <x:v>Claim2026_RUS2026_Netherlands</x:v>
      </x:c>
      <x:c r="AH1288" s="30" t="str">
        <x:v>Project_ForwardRussia</x:v>
      </x:c>
    </x:row>
    <x:row r="1289">
      <x:c r="A1289" s="30" t="str">
        <x:v>2026</x:v>
      </x:c>
      <x:c r="B1289" s="30" t="str">
        <x:v>Base game</x:v>
      </x:c>
      <x:c r="C1289" s="30" t="str">
        <x:v>Russia</x:v>
      </x:c>
      <x:c r="D1289" s="30" t="str">
        <x:v>North Macedonia</x:v>
      </x:c>
      <x:c r="E1289" s="30" t="str">
        <x:v>Project unlock</x:v>
      </x:c>
      <x:c r="F1289" s="30" t="str">
        <x:v>Forward Russia</x:v>
      </x:c>
      <x:c r="G1289" s="30" t="str">
        <x:v>Yes</x:v>
      </x:c>
      <x:c r="H1289" s="30" t="str">
        <x:v>Template hostileClaim</x:v>
      </x:c>
      <x:c r="I1289" s="31" t="n">
        <x:f>IF(G1289="Yes",'Controls &amp; Summary'!$B$5,'Controls &amp; Summary'!$B$4)</x:f>
        <x:v>3</x:v>
      </x:c>
      <x:c r="J1289" s="31" t="n">
        <x:v>2.03</x:v>
      </x:c>
      <x:c r="K1289" s="31" t="n">
        <x:v>6.28</x:v>
      </x:c>
      <x:c r="L1289" s="31" t="n">
        <x:f>ABS(J1289-K1289)</x:f>
        <x:v>4.25</x:v>
      </x:c>
      <x:c r="M1289" s="31" t="n">
        <x:v>3.51</x:v>
      </x:c>
      <x:c r="N1289" s="31" t="n">
        <x:v>3.35</x:v>
      </x:c>
      <x:c r="O1289" s="31" t="n">
        <x:f>ABS(M1289-N1289)</x:f>
        <x:v>0.1599999999999997</x:v>
      </x:c>
      <x:c r="P1289" s="31" t="n">
        <x:v>7.63</x:v>
      </x:c>
      <x:c r="Q1289" s="31" t="n">
        <x:v>7.35</x:v>
      </x:c>
      <x:c r="R1289" s="31" t="n">
        <x:f>ABS(P1289-Q1289)</x:f>
        <x:v>0.28000000000000025</x:v>
      </x:c>
      <x:c r="S1289" s="32" t="n">
        <x:v>43109.973503906265</x:v>
      </x:c>
      <x:c r="T1289" s="32" t="n">
        <x:v>26021.04250239598</x:v>
      </x:c>
      <x:c r="U1289" s="31" t="n">
        <x:f>MAX(S1289/T1289,T1289/S1289)</x:f>
        <x:v>1.6567350635523832</x:v>
      </x:c>
      <x:c r="V1289" s="31" t="n">
        <x:f>L1289*'Controls &amp; Summary'!$B$9+O1289*'Controls &amp; Summary'!$B$10+R1289*'Controls &amp; Summary'!$B$11+U1289*'Controls &amp; Summary'!$B$12</x:f>
        <x:v>6.346735063552384</x:v>
      </x:c>
      <x:c r="W1289" s="31" t="n">
        <x:v>3.32</x:v>
      </x:c>
      <x:c r="X1289" s="31" t="n">
        <x:v>1</x:v>
      </x:c>
      <x:c r="Y1289" s="31" t="n">
        <x:f>((10-MIN(10,MAX(0,X1289)))/10)*'Controls &amp; Summary'!$B$15+((10-MIN(10,MAX(0,W1289)))/10)*'Controls &amp; Summary'!$B$16</x:f>
        <x:v>1.568</x:v>
      </x:c>
      <x:c r="Z1289" s="31" t="n">
        <x:f>V1289*Y1289</x:f>
        <x:v>9.951680579650137</x:v>
      </x:c>
      <x:c r="AA1289" s="30" t="str">
        <x:f>IF(Z1289&lt;=I1289,"Peaceful","Hostile")</x:f>
        <x:v>Hostile</x:v>
      </x:c>
      <x:c r="AB1289" s="30" t="str">
        <x:f>IF(Z1289&lt;='Controls &amp; Summary'!$B$6,"Eligible","Blocked")</x:f>
        <x:v>Eligible</x:v>
      </x:c>
      <x:c r="AC1289" s="30" t="str">
        <x:v>2026_RUS</x:v>
      </x:c>
      <x:c r="AD1289" s="30" t="str">
        <x:v>2026_MKD</x:v>
      </x:c>
      <x:c r="AE1289" s="30" t="str">
        <x:v>2026_NorthMacedonia</x:v>
      </x:c>
      <x:c r="AF1289" s="30" t="str">
        <x:v>Explicit capitalClaim</x:v>
      </x:c>
      <x:c r="AG1289" s="30" t="str">
        <x:v>Claim2026_RUS2026_NorthMacedonia</x:v>
      </x:c>
      <x:c r="AH1289" s="30" t="str">
        <x:v>Project_ForwardRussia</x:v>
      </x:c>
    </x:row>
    <x:row r="1290">
      <x:c r="A1290" s="30" t="str">
        <x:v>2026</x:v>
      </x:c>
      <x:c r="B1290" s="30" t="str">
        <x:v>Base game</x:v>
      </x:c>
      <x:c r="C1290" s="30" t="str">
        <x:v>Russia</x:v>
      </x:c>
      <x:c r="D1290" s="30" t="str">
        <x:v>Norway</x:v>
      </x:c>
      <x:c r="E1290" s="30" t="str">
        <x:v>Project unlock</x:v>
      </x:c>
      <x:c r="F1290" s="30" t="str">
        <x:v>Forward Russia</x:v>
      </x:c>
      <x:c r="G1290" s="30" t="str">
        <x:v>Yes</x:v>
      </x:c>
      <x:c r="H1290" s="30" t="str">
        <x:v>Template hostileClaim</x:v>
      </x:c>
      <x:c r="I1290" s="31" t="n">
        <x:f>IF(G1290="Yes",'Controls &amp; Summary'!$B$5,'Controls &amp; Summary'!$B$4)</x:f>
        <x:v>3</x:v>
      </x:c>
      <x:c r="J1290" s="31" t="n">
        <x:v>2.03</x:v>
      </x:c>
      <x:c r="K1290" s="31" t="n">
        <x:v>9.81</x:v>
      </x:c>
      <x:c r="L1290" s="31" t="n">
        <x:f>ABS(J1290-K1290)</x:f>
        <x:v>7.780000000000001</x:v>
      </x:c>
      <x:c r="M1290" s="31" t="n">
        <x:v>3.51</x:v>
      </x:c>
      <x:c r="N1290" s="31" t="n">
        <x:v>2.77</x:v>
      </x:c>
      <x:c r="O1290" s="31" t="n">
        <x:f>ABS(M1290-N1290)</x:f>
        <x:v>0.7399999999999998</x:v>
      </x:c>
      <x:c r="P1290" s="31" t="n">
        <x:v>7.63</x:v>
      </x:c>
      <x:c r="Q1290" s="31" t="n">
        <x:v>9.35</x:v>
      </x:c>
      <x:c r="R1290" s="31" t="n">
        <x:f>ABS(P1290-Q1290)</x:f>
        <x:v>1.7199999999999998</x:v>
      </x:c>
      <x:c r="S1290" s="32" t="n">
        <x:v>43109.973503906265</x:v>
      </x:c>
      <x:c r="T1290" s="32" t="n">
        <x:v>106033.50245330391</x:v>
      </x:c>
      <x:c r="U1290" s="31" t="n">
        <x:f>MAX(S1290/T1290,T1290/S1290)</x:f>
        <x:v>2.4596049089126915</x:v>
      </x:c>
      <x:c r="V1290" s="31" t="n">
        <x:f>L1290*'Controls &amp; Summary'!$B$9+O1290*'Controls &amp; Summary'!$B$10+R1290*'Controls &amp; Summary'!$B$11+U1290*'Controls &amp; Summary'!$B$12</x:f>
        <x:v>12.699604908912693</x:v>
      </x:c>
      <x:c r="W1290" s="31" t="n">
        <x:v>3.32</x:v>
      </x:c>
      <x:c r="X1290" s="31" t="n">
        <x:v>0.5</x:v>
      </x:c>
      <x:c r="Y1290" s="31" t="n">
        <x:f>((10-MIN(10,MAX(0,X1290)))/10)*'Controls &amp; Summary'!$B$15+((10-MIN(10,MAX(0,W1290)))/10)*'Controls &amp; Summary'!$B$16</x:f>
        <x:v>1.6179999999999999</x:v>
      </x:c>
      <x:c r="Z1290" s="31" t="n">
        <x:f>V1290*Y1290</x:f>
        <x:v>20.547960742620738</x:v>
      </x:c>
      <x:c r="AA1290" s="30" t="str">
        <x:f>IF(Z1290&lt;=I1290,"Peaceful","Hostile")</x:f>
        <x:v>Hostile</x:v>
      </x:c>
      <x:c r="AB1290" s="30" t="str">
        <x:f>IF(Z1290&lt;='Controls &amp; Summary'!$B$6,"Eligible","Blocked")</x:f>
        <x:v>Blocked</x:v>
      </x:c>
      <x:c r="AC1290" s="30" t="str">
        <x:v>2026_RUS</x:v>
      </x:c>
      <x:c r="AD1290" s="30" t="str">
        <x:v>2026_NOR</x:v>
      </x:c>
      <x:c r="AE1290" s="30" t="str">
        <x:v>2026_Norway</x:v>
      </x:c>
      <x:c r="AF1290" s="30" t="str">
        <x:v>Explicit capitalClaim</x:v>
      </x:c>
      <x:c r="AG1290" s="30" t="str">
        <x:v>Claim2026_RUS2026_Norway</x:v>
      </x:c>
      <x:c r="AH1290" s="30" t="str">
        <x:v>Project_ForwardRussia</x:v>
      </x:c>
    </x:row>
    <x:row r="1291">
      <x:c r="A1291" s="30" t="str">
        <x:v>2026</x:v>
      </x:c>
      <x:c r="B1291" s="30" t="str">
        <x:v>Base game</x:v>
      </x:c>
      <x:c r="C1291" s="30" t="str">
        <x:v>Russia</x:v>
      </x:c>
      <x:c r="D1291" s="30" t="str">
        <x:v>Poland</x:v>
      </x:c>
      <x:c r="E1291" s="30" t="str">
        <x:v>Project unlock</x:v>
      </x:c>
      <x:c r="F1291" s="30" t="str">
        <x:v>Restored Warsaw Pact</x:v>
      </x:c>
      <x:c r="G1291" s="30" t="str">
        <x:v>Yes</x:v>
      </x:c>
      <x:c r="H1291" s="30" t="str">
        <x:v>Template hostileClaim</x:v>
      </x:c>
      <x:c r="I1291" s="31" t="n">
        <x:f>IF(G1291="Yes",'Controls &amp; Summary'!$B$5,'Controls &amp; Summary'!$B$4)</x:f>
        <x:v>3</x:v>
      </x:c>
      <x:c r="J1291" s="31" t="n">
        <x:v>2.03</x:v>
      </x:c>
      <x:c r="K1291" s="31" t="n">
        <x:v>7.65</x:v>
      </x:c>
      <x:c r="L1291" s="31" t="n">
        <x:f>ABS(J1291-K1291)</x:f>
        <x:v>5.620000000000001</x:v>
      </x:c>
      <x:c r="M1291" s="31" t="n">
        <x:v>3.51</x:v>
      </x:c>
      <x:c r="N1291" s="31" t="n">
        <x:v>2.85</x:v>
      </x:c>
      <x:c r="O1291" s="31" t="n">
        <x:f>ABS(M1291-N1291)</x:f>
        <x:v>0.6599999999999997</x:v>
      </x:c>
      <x:c r="P1291" s="31" t="n">
        <x:v>7.63</x:v>
      </x:c>
      <x:c r="Q1291" s="31" t="n">
        <x:v>8.82</x:v>
      </x:c>
      <x:c r="R1291" s="31" t="n">
        <x:f>ABS(P1291-Q1291)</x:f>
        <x:v>1.1900000000000004</x:v>
      </x:c>
      <x:c r="S1291" s="32" t="n">
        <x:v>43109.973503906265</x:v>
      </x:c>
      <x:c r="T1291" s="32" t="n">
        <x:v>46967.66966440565</x:v>
      </x:c>
      <x:c r="U1291" s="31" t="n">
        <x:f>MAX(S1291/T1291,T1291/S1291)</x:f>
        <x:v>1.0894850042102167</x:v>
      </x:c>
      <x:c r="V1291" s="31" t="n">
        <x:f>L1291*'Controls &amp; Summary'!$B$9+O1291*'Controls &amp; Summary'!$B$10+R1291*'Controls &amp; Summary'!$B$11+U1291*'Controls &amp; Summary'!$B$12</x:f>
        <x:v>8.559485004210218</x:v>
      </x:c>
      <x:c r="W1291" s="31" t="n">
        <x:v>3.32</x:v>
      </x:c>
      <x:c r="X1291" s="31" t="n">
        <x:v>1</x:v>
      </x:c>
      <x:c r="Y1291" s="31" t="n">
        <x:f>((10-MIN(10,MAX(0,X1291)))/10)*'Controls &amp; Summary'!$B$15+((10-MIN(10,MAX(0,W1291)))/10)*'Controls &amp; Summary'!$B$16</x:f>
        <x:v>1.568</x:v>
      </x:c>
      <x:c r="Z1291" s="31" t="n">
        <x:f>V1291*Y1291</x:f>
        <x:v>13.421272486601623</x:v>
      </x:c>
      <x:c r="AA1291" s="30" t="str">
        <x:f>IF(Z1291&lt;=I1291,"Peaceful","Hostile")</x:f>
        <x:v>Hostile</x:v>
      </x:c>
      <x:c r="AB1291" s="30" t="str">
        <x:f>IF(Z1291&lt;='Controls &amp; Summary'!$B$6,"Eligible","Blocked")</x:f>
        <x:v>Blocked</x:v>
      </x:c>
      <x:c r="AC1291" s="30" t="str">
        <x:v>2026_RUS</x:v>
      </x:c>
      <x:c r="AD1291" s="30" t="str">
        <x:v>2026_POL</x:v>
      </x:c>
      <x:c r="AE1291" s="30" t="str">
        <x:v>2026_Poland</x:v>
      </x:c>
      <x:c r="AF1291" s="30" t="str">
        <x:v>Explicit capitalClaim</x:v>
      </x:c>
      <x:c r="AG1291" s="30" t="str">
        <x:v>Claim2026_RUS2026_Poland</x:v>
      </x:c>
      <x:c r="AH1291" s="30" t="str">
        <x:v>Project_RestoredWarsawPact</x:v>
      </x:c>
    </x:row>
    <x:row r="1292">
      <x:c r="A1292" s="30" t="str">
        <x:v>2026</x:v>
      </x:c>
      <x:c r="B1292" s="30" t="str">
        <x:v>Base game</x:v>
      </x:c>
      <x:c r="C1292" s="30" t="str">
        <x:v>Russia</x:v>
      </x:c>
      <x:c r="D1292" s="30" t="str">
        <x:v>Portugal</x:v>
      </x:c>
      <x:c r="E1292" s="30" t="str">
        <x:v>Project unlock</x:v>
      </x:c>
      <x:c r="F1292" s="30" t="str">
        <x:v>Forward Russia</x:v>
      </x:c>
      <x:c r="G1292" s="30" t="str">
        <x:v>Yes</x:v>
      </x:c>
      <x:c r="H1292" s="30" t="str">
        <x:v>Template hostileClaim</x:v>
      </x:c>
      <x:c r="I1292" s="31" t="n">
        <x:f>IF(G1292="Yes",'Controls &amp; Summary'!$B$5,'Controls &amp; Summary'!$B$4)</x:f>
        <x:v>3</x:v>
      </x:c>
      <x:c r="J1292" s="31" t="n">
        <x:v>2.03</x:v>
      </x:c>
      <x:c r="K1292" s="31" t="n">
        <x:v>8.28</x:v>
      </x:c>
      <x:c r="L1292" s="31" t="n">
        <x:f>ABS(J1292-K1292)</x:f>
        <x:v>6.25</x:v>
      </x:c>
      <x:c r="M1292" s="31" t="n">
        <x:v>3.51</x:v>
      </x:c>
      <x:c r="N1292" s="31" t="n">
        <x:v>3.46</x:v>
      </x:c>
      <x:c r="O1292" s="31" t="n">
        <x:f>ABS(M1292-N1292)</x:f>
        <x:v>0.04999999999999982</x:v>
      </x:c>
      <x:c r="P1292" s="31" t="n">
        <x:v>7.63</x:v>
      </x:c>
      <x:c r="Q1292" s="31" t="n">
        <x:v>7.91</x:v>
      </x:c>
      <x:c r="R1292" s="31" t="n">
        <x:f>ABS(P1292-Q1292)</x:f>
        <x:v>0.28000000000000025</x:v>
      </x:c>
      <x:c r="S1292" s="32" t="n">
        <x:v>43109.973503906265</x:v>
      </x:c>
      <x:c r="T1292" s="32" t="n">
        <x:v>45382.20795004541</x:v>
      </x:c>
      <x:c r="U1292" s="31" t="n">
        <x:f>MAX(S1292/T1292,T1292/S1292)</x:f>
        <x:v>1.0527078599557307</x:v>
      </x:c>
      <x:c r="V1292" s="31" t="n">
        <x:f>L1292*'Controls &amp; Summary'!$B$9+O1292*'Controls &amp; Summary'!$B$10+R1292*'Controls &amp; Summary'!$B$11+U1292*'Controls &amp; Summary'!$B$12</x:f>
        <x:v>7.6327078599557305</x:v>
      </x:c>
      <x:c r="W1292" s="31" t="n">
        <x:v>3.32</x:v>
      </x:c>
      <x:c r="X1292" s="31" t="n">
        <x:v>0.5</x:v>
      </x:c>
      <x:c r="Y1292" s="31" t="n">
        <x:f>((10-MIN(10,MAX(0,X1292)))/10)*'Controls &amp; Summary'!$B$15+((10-MIN(10,MAX(0,W1292)))/10)*'Controls &amp; Summary'!$B$16</x:f>
        <x:v>1.6179999999999999</x:v>
      </x:c>
      <x:c r="Z1292" s="31" t="n">
        <x:f>V1292*Y1292</x:f>
        <x:v>12.34972131740837</x:v>
      </x:c>
      <x:c r="AA1292" s="30" t="str">
        <x:f>IF(Z1292&lt;=I1292,"Peaceful","Hostile")</x:f>
        <x:v>Hostile</x:v>
      </x:c>
      <x:c r="AB1292" s="30" t="str">
        <x:f>IF(Z1292&lt;='Controls &amp; Summary'!$B$6,"Eligible","Blocked")</x:f>
        <x:v>Blocked</x:v>
      </x:c>
      <x:c r="AC1292" s="30" t="str">
        <x:v>2026_RUS</x:v>
      </x:c>
      <x:c r="AD1292" s="30" t="str">
        <x:v>2026_PRT</x:v>
      </x:c>
      <x:c r="AE1292" s="30" t="str">
        <x:v>2026_Portugal</x:v>
      </x:c>
      <x:c r="AF1292" s="30" t="str">
        <x:v>Explicit capitalClaim</x:v>
      </x:c>
      <x:c r="AG1292" s="30" t="str">
        <x:v>Claim2026_RUS2026_Portugal</x:v>
      </x:c>
      <x:c r="AH1292" s="30" t="str">
        <x:v>Project_ForwardRussia</x:v>
      </x:c>
    </x:row>
    <x:row r="1293">
      <x:c r="A1293" s="30" t="str">
        <x:v>2026</x:v>
      </x:c>
      <x:c r="B1293" s="30" t="str">
        <x:v>Base game</x:v>
      </x:c>
      <x:c r="C1293" s="30" t="str">
        <x:v>Russia</x:v>
      </x:c>
      <x:c r="D1293" s="30" t="str">
        <x:v>Romania</x:v>
      </x:c>
      <x:c r="E1293" s="30" t="str">
        <x:v>Project unlock</x:v>
      </x:c>
      <x:c r="F1293" s="30" t="str">
        <x:v>Restored Warsaw Pact</x:v>
      </x:c>
      <x:c r="G1293" s="30" t="str">
        <x:v>Yes</x:v>
      </x:c>
      <x:c r="H1293" s="30" t="str">
        <x:v>Approved expansion-project family</x:v>
      </x:c>
      <x:c r="I1293" s="31" t="n">
        <x:f>IF(G1293="Yes",'Controls &amp; Summary'!$B$5,'Controls &amp; Summary'!$B$4)</x:f>
        <x:v>3</x:v>
      </x:c>
      <x:c r="J1293" s="31" t="n">
        <x:v>2.03</x:v>
      </x:c>
      <x:c r="K1293" s="31" t="n">
        <x:v>6.11</x:v>
      </x:c>
      <x:c r="L1293" s="31" t="n">
        <x:f>ABS(J1293-K1293)</x:f>
        <x:v>4.08</x:v>
      </x:c>
      <x:c r="M1293" s="31" t="n">
        <x:v>3.51</x:v>
      </x:c>
      <x:c r="N1293" s="31" t="n">
        <x:v>3.39</x:v>
      </x:c>
      <x:c r="O1293" s="31" t="n">
        <x:f>ABS(M1293-N1293)</x:f>
        <x:v>0.11999999999999966</x:v>
      </x:c>
      <x:c r="P1293" s="31" t="n">
        <x:v>7.63</x:v>
      </x:c>
      <x:c r="Q1293" s="31" t="n">
        <x:v>7.61</x:v>
      </x:c>
      <x:c r="R1293" s="31" t="n">
        <x:f>ABS(P1293-Q1293)</x:f>
        <x:v>0.019999999999999574</x:v>
      </x:c>
      <x:c r="S1293" s="32" t="n">
        <x:v>43109.973503906265</x:v>
      </x:c>
      <x:c r="T1293" s="32" t="n">
        <x:v>43378.812543532506</x:v>
      </x:c>
      <x:c r="U1293" s="31" t="n">
        <x:f>MAX(S1293/T1293,T1293/S1293)</x:f>
        <x:v>1.0062361216622386</x:v>
      </x:c>
      <x:c r="V1293" s="31" t="n">
        <x:f>L1293*'Controls &amp; Summary'!$B$9+O1293*'Controls &amp; Summary'!$B$10+R1293*'Controls &amp; Summary'!$B$11+U1293*'Controls &amp; Summary'!$B$12</x:f>
        <x:v>5.226236121662238</x:v>
      </x:c>
      <x:c r="W1293" s="31" t="n">
        <x:v>3.32</x:v>
      </x:c>
      <x:c r="X1293" s="31" t="n">
        <x:v>1</x:v>
      </x:c>
      <x:c r="Y1293" s="31" t="n">
        <x:f>((10-MIN(10,MAX(0,X1293)))/10)*'Controls &amp; Summary'!$B$15+((10-MIN(10,MAX(0,W1293)))/10)*'Controls &amp; Summary'!$B$16</x:f>
        <x:v>1.568</x:v>
      </x:c>
      <x:c r="Z1293" s="31" t="n">
        <x:f>V1293*Y1293</x:f>
        <x:v>8.194738238766389</x:v>
      </x:c>
      <x:c r="AA1293" s="30" t="str">
        <x:f>IF(Z1293&lt;=I1293,"Peaceful","Hostile")</x:f>
        <x:v>Hostile</x:v>
      </x:c>
      <x:c r="AB1293" s="30" t="str">
        <x:f>IF(Z1293&lt;='Controls &amp; Summary'!$B$6,"Eligible","Blocked")</x:f>
        <x:v>Eligible</x:v>
      </x:c>
      <x:c r="AC1293" s="30" t="str">
        <x:v>2026_RUS</x:v>
      </x:c>
      <x:c r="AD1293" s="30" t="str">
        <x:v>2026_ROM</x:v>
      </x:c>
      <x:c r="AE1293" s="30" t="str">
        <x:v>2026_Romania</x:v>
      </x:c>
      <x:c r="AF1293" s="30" t="str">
        <x:v>Explicit capitalClaim</x:v>
      </x:c>
      <x:c r="AG1293" s="30" t="str">
        <x:v>Claim2026_RUS2026_Romania</x:v>
      </x:c>
      <x:c r="AH1293" s="30" t="str">
        <x:v>Project_RestoredWarsawPact</x:v>
      </x:c>
    </x:row>
    <x:row r="1294">
      <x:c r="A1294" s="30" t="str">
        <x:v>2026</x:v>
      </x:c>
      <x:c r="B1294" s="30" t="str">
        <x:v>Base game</x:v>
      </x:c>
      <x:c r="C1294" s="30" t="str">
        <x:v>Russia</x:v>
      </x:c>
      <x:c r="D1294" s="30" t="str">
        <x:v>Serbia</x:v>
      </x:c>
      <x:c r="E1294" s="30" t="str">
        <x:v>Project unlock</x:v>
      </x:c>
      <x:c r="F1294" s="30" t="str">
        <x:v>Forward Russia</x:v>
      </x:c>
      <x:c r="G1294" s="30" t="str">
        <x:v>Yes</x:v>
      </x:c>
      <x:c r="H1294" s="30" t="str">
        <x:v>Approved expansion-project family</x:v>
      </x:c>
      <x:c r="I1294" s="31" t="n">
        <x:f>IF(G1294="Yes",'Controls &amp; Summary'!$B$5,'Controls &amp; Summary'!$B$4)</x:f>
        <x:v>3</x:v>
      </x:c>
      <x:c r="J1294" s="31" t="n">
        <x:v>2.03</x:v>
      </x:c>
      <x:c r="K1294" s="31" t="n">
        <x:v>6.3</x:v>
      </x:c>
      <x:c r="L1294" s="31" t="n">
        <x:f>ABS(J1294-K1294)</x:f>
        <x:v>4.27</x:v>
      </x:c>
      <x:c r="M1294" s="31" t="n">
        <x:v>3.51</x:v>
      </x:c>
      <x:c r="N1294" s="31" t="n">
        <x:v>3.31</x:v>
      </x:c>
      <x:c r="O1294" s="31" t="n">
        <x:f>ABS(M1294-N1294)</x:f>
        <x:v>0.19999999999999973</x:v>
      </x:c>
      <x:c r="P1294" s="31" t="n">
        <x:v>7.63</x:v>
      </x:c>
      <x:c r="Q1294" s="31" t="n">
        <x:v>7.85</x:v>
      </x:c>
      <x:c r="R1294" s="31" t="n">
        <x:f>ABS(P1294-Q1294)</x:f>
        <x:v>0.21999999999999975</x:v>
      </x:c>
      <x:c r="S1294" s="32" t="n">
        <x:v>43109.973503906265</x:v>
      </x:c>
      <x:c r="T1294" s="32" t="n">
        <x:v>28647.321786146385</x:v>
      </x:c>
      <x:c r="U1294" s="31" t="n">
        <x:f>MAX(S1294/T1294,T1294/S1294)</x:f>
        <x:v>1.504851791232851</x:v>
      </x:c>
      <x:c r="V1294" s="31" t="n">
        <x:f>L1294*'Controls &amp; Summary'!$B$9+O1294*'Controls &amp; Summary'!$B$10+R1294*'Controls &amp; Summary'!$B$11+U1294*'Controls &amp; Summary'!$B$12</x:f>
        <x:v>6.19485179123285</x:v>
      </x:c>
      <x:c r="W1294" s="31" t="n">
        <x:v>3.32</x:v>
      </x:c>
      <x:c r="X1294" s="31" t="n">
        <x:v>1</x:v>
      </x:c>
      <x:c r="Y1294" s="31" t="n">
        <x:f>((10-MIN(10,MAX(0,X1294)))/10)*'Controls &amp; Summary'!$B$15+((10-MIN(10,MAX(0,W1294)))/10)*'Controls &amp; Summary'!$B$16</x:f>
        <x:v>1.568</x:v>
      </x:c>
      <x:c r="Z1294" s="31" t="n">
        <x:f>V1294*Y1294</x:f>
        <x:v>9.71352760865311</x:v>
      </x:c>
      <x:c r="AA1294" s="30" t="str">
        <x:f>IF(Z1294&lt;=I1294,"Peaceful","Hostile")</x:f>
        <x:v>Hostile</x:v>
      </x:c>
      <x:c r="AB1294" s="30" t="str">
        <x:f>IF(Z1294&lt;='Controls &amp; Summary'!$B$6,"Eligible","Blocked")</x:f>
        <x:v>Eligible</x:v>
      </x:c>
      <x:c r="AC1294" s="30" t="str">
        <x:v>2026_RUS</x:v>
      </x:c>
      <x:c r="AD1294" s="30" t="str">
        <x:v>2026_SER</x:v>
      </x:c>
      <x:c r="AE1294" s="30" t="str">
        <x:v>2026_Belgrade</x:v>
      </x:c>
      <x:c r="AF1294" s="30" t="str">
        <x:v>Explicit capitalClaim</x:v>
      </x:c>
      <x:c r="AG1294" s="30" t="str">
        <x:v>Claim2026_RUS2026_Belgrade</x:v>
      </x:c>
      <x:c r="AH1294" s="30" t="str">
        <x:v>Project_ForwardRussia</x:v>
      </x:c>
    </x:row>
    <x:row r="1295">
      <x:c r="A1295" s="30" t="str">
        <x:v>2026</x:v>
      </x:c>
      <x:c r="B1295" s="30" t="str">
        <x:v>Base game</x:v>
      </x:c>
      <x:c r="C1295" s="30" t="str">
        <x:v>Russia</x:v>
      </x:c>
      <x:c r="D1295" s="30" t="str">
        <x:v>Slovakia</x:v>
      </x:c>
      <x:c r="E1295" s="30" t="str">
        <x:v>Project unlock</x:v>
      </x:c>
      <x:c r="F1295" s="30" t="str">
        <x:v>Restored Warsaw Pact</x:v>
      </x:c>
      <x:c r="G1295" s="30" t="str">
        <x:v>Yes</x:v>
      </x:c>
      <x:c r="H1295" s="30" t="str">
        <x:v>Approved expansion-project family</x:v>
      </x:c>
      <x:c r="I1295" s="31" t="n">
        <x:f>IF(G1295="Yes",'Controls &amp; Summary'!$B$5,'Controls &amp; Summary'!$B$4)</x:f>
        <x:v>3</x:v>
      </x:c>
      <x:c r="J1295" s="31" t="n">
        <x:v>2.03</x:v>
      </x:c>
      <x:c r="K1295" s="31" t="n">
        <x:v>6.94</x:v>
      </x:c>
      <x:c r="L1295" s="31" t="n">
        <x:f>ABS(J1295-K1295)</x:f>
        <x:v>4.91</x:v>
      </x:c>
      <x:c r="M1295" s="31" t="n">
        <x:v>3.51</x:v>
      </x:c>
      <x:c r="N1295" s="31" t="n">
        <x:v>2.41</x:v>
      </x:c>
      <x:c r="O1295" s="31" t="n">
        <x:f>ABS(M1295-N1295)</x:f>
        <x:v>1.0999999999999996</x:v>
      </x:c>
      <x:c r="P1295" s="31" t="n">
        <x:v>7.63</x:v>
      </x:c>
      <x:c r="Q1295" s="31" t="n">
        <x:v>8.31</x:v>
      </x:c>
      <x:c r="R1295" s="31" t="n">
        <x:f>ABS(P1295-Q1295)</x:f>
        <x:v>0.6800000000000006</x:v>
      </x:c>
      <x:c r="S1295" s="32" t="n">
        <x:v>43109.973503906265</x:v>
      </x:c>
      <x:c r="T1295" s="32" t="n">
        <x:v>41490.26056336219</x:v>
      </x:c>
      <x:c r="U1295" s="31" t="n">
        <x:f>MAX(S1295/T1295,T1295/S1295)</x:f>
        <x:v>1.0390383892159587</x:v>
      </x:c>
      <x:c r="V1295" s="31" t="n">
        <x:f>L1295*'Controls &amp; Summary'!$B$9+O1295*'Controls &amp; Summary'!$B$10+R1295*'Controls &amp; Summary'!$B$11+U1295*'Controls &amp; Summary'!$B$12</x:f>
        <x:v>7.729038389215959</x:v>
      </x:c>
      <x:c r="W1295" s="31" t="n">
        <x:v>3.32</x:v>
      </x:c>
      <x:c r="X1295" s="31" t="n">
        <x:v>0.5</x:v>
      </x:c>
      <x:c r="Y1295" s="31" t="n">
        <x:f>((10-MIN(10,MAX(0,X1295)))/10)*'Controls &amp; Summary'!$B$15+((10-MIN(10,MAX(0,W1295)))/10)*'Controls &amp; Summary'!$B$16</x:f>
        <x:v>1.6179999999999999</x:v>
      </x:c>
      <x:c r="Z1295" s="31" t="n">
        <x:f>V1295*Y1295</x:f>
        <x:v>12.505584113751421</x:v>
      </x:c>
      <x:c r="AA1295" s="30" t="str">
        <x:f>IF(Z1295&lt;=I1295,"Peaceful","Hostile")</x:f>
        <x:v>Hostile</x:v>
      </x:c>
      <x:c r="AB1295" s="30" t="str">
        <x:f>IF(Z1295&lt;='Controls &amp; Summary'!$B$6,"Eligible","Blocked")</x:f>
        <x:v>Blocked</x:v>
      </x:c>
      <x:c r="AC1295" s="30" t="str">
        <x:v>2026_RUS</x:v>
      </x:c>
      <x:c r="AD1295" s="30" t="str">
        <x:v>2026_SLO</x:v>
      </x:c>
      <x:c r="AE1295" s="30" t="str">
        <x:v>2026_Slovakia</x:v>
      </x:c>
      <x:c r="AF1295" s="30" t="str">
        <x:v>Explicit capitalClaim</x:v>
      </x:c>
      <x:c r="AG1295" s="30" t="str">
        <x:v>Claim2026_RUS2026_Slovakia</x:v>
      </x:c>
      <x:c r="AH1295" s="30" t="str">
        <x:v>Project_RestoredWarsawPact</x:v>
      </x:c>
    </x:row>
    <x:row r="1296">
      <x:c r="A1296" s="30" t="str">
        <x:v>2026</x:v>
      </x:c>
      <x:c r="B1296" s="30" t="str">
        <x:v>Base game</x:v>
      </x:c>
      <x:c r="C1296" s="30" t="str">
        <x:v>Russia</x:v>
      </x:c>
      <x:c r="D1296" s="30" t="str">
        <x:v>Slovenia</x:v>
      </x:c>
      <x:c r="E1296" s="30" t="str">
        <x:v>Project unlock</x:v>
      </x:c>
      <x:c r="F1296" s="30" t="str">
        <x:v>Forward Russia</x:v>
      </x:c>
      <x:c r="G1296" s="30" t="str">
        <x:v>Yes</x:v>
      </x:c>
      <x:c r="H1296" s="30" t="str">
        <x:v>Template hostileClaim</x:v>
      </x:c>
      <x:c r="I1296" s="31" t="n">
        <x:f>IF(G1296="Yes",'Controls &amp; Summary'!$B$5,'Controls &amp; Summary'!$B$4)</x:f>
        <x:v>3</x:v>
      </x:c>
      <x:c r="J1296" s="31" t="n">
        <x:v>2.03</x:v>
      </x:c>
      <x:c r="K1296" s="31" t="n">
        <x:v>7.82</x:v>
      </x:c>
      <x:c r="L1296" s="31" t="n">
        <x:f>ABS(J1296-K1296)</x:f>
        <x:v>5.790000000000001</x:v>
      </x:c>
      <x:c r="M1296" s="31" t="n">
        <x:v>3.51</x:v>
      </x:c>
      <x:c r="N1296" s="31" t="n">
        <x:v>2.43</x:v>
      </x:c>
      <x:c r="O1296" s="31" t="n">
        <x:f>ABS(M1296-N1296)</x:f>
        <x:v>1.0799999999999996</x:v>
      </x:c>
      <x:c r="P1296" s="31" t="n">
        <x:v>7.63</x:v>
      </x:c>
      <x:c r="Q1296" s="31" t="n">
        <x:v>8.97</x:v>
      </x:c>
      <x:c r="R1296" s="31" t="n">
        <x:f>ABS(P1296-Q1296)</x:f>
        <x:v>1.3400000000000007</x:v>
      </x:c>
      <x:c r="S1296" s="32" t="n">
        <x:v>43109.973503906265</x:v>
      </x:c>
      <x:c r="T1296" s="32" t="n">
        <x:v>51376.135335124396</x:v>
      </x:c>
      <x:c r="U1296" s="31" t="n">
        <x:f>MAX(S1296/T1296,T1296/S1296)</x:f>
        <x:v>1.19174592697138</x:v>
      </x:c>
      <x:c r="V1296" s="31" t="n">
        <x:f>L1296*'Controls &amp; Summary'!$B$9+O1296*'Controls &amp; Summary'!$B$10+R1296*'Controls &amp; Summary'!$B$11+U1296*'Controls &amp; Summary'!$B$12</x:f>
        <x:v>9.401745926971381</x:v>
      </x:c>
      <x:c r="W1296" s="31" t="n">
        <x:v>3.32</x:v>
      </x:c>
      <x:c r="X1296" s="31" t="n">
        <x:v>0.5</x:v>
      </x:c>
      <x:c r="Y1296" s="31" t="n">
        <x:f>((10-MIN(10,MAX(0,X1296)))/10)*'Controls &amp; Summary'!$B$15+((10-MIN(10,MAX(0,W1296)))/10)*'Controls &amp; Summary'!$B$16</x:f>
        <x:v>1.6179999999999999</x:v>
      </x:c>
      <x:c r="Z1296" s="31" t="n">
        <x:f>V1296*Y1296</x:f>
        <x:v>15.212024909839695</x:v>
      </x:c>
      <x:c r="AA1296" s="30" t="str">
        <x:f>IF(Z1296&lt;=I1296,"Peaceful","Hostile")</x:f>
        <x:v>Hostile</x:v>
      </x:c>
      <x:c r="AB1296" s="30" t="str">
        <x:f>IF(Z1296&lt;='Controls &amp; Summary'!$B$6,"Eligible","Blocked")</x:f>
        <x:v>Blocked</x:v>
      </x:c>
      <x:c r="AC1296" s="30" t="str">
        <x:v>2026_RUS</x:v>
      </x:c>
      <x:c r="AD1296" s="30" t="str">
        <x:v>2026_SLV</x:v>
      </x:c>
      <x:c r="AE1296" s="30" t="str">
        <x:v>2026_Slovenia</x:v>
      </x:c>
      <x:c r="AF1296" s="30" t="str">
        <x:v>Explicit capitalClaim</x:v>
      </x:c>
      <x:c r="AG1296" s="30" t="str">
        <x:v>Claim2026_RUS2026_Slovenia</x:v>
      </x:c>
      <x:c r="AH1296" s="30" t="str">
        <x:v>Project_ForwardRussia</x:v>
      </x:c>
    </x:row>
    <x:row r="1297">
      <x:c r="A1297" s="30" t="str">
        <x:v>2026</x:v>
      </x:c>
      <x:c r="B1297" s="30" t="str">
        <x:v>Base game</x:v>
      </x:c>
      <x:c r="C1297" s="30" t="str">
        <x:v>Russia</x:v>
      </x:c>
      <x:c r="D1297" s="30" t="str">
        <x:v>Spain</x:v>
      </x:c>
      <x:c r="E1297" s="30" t="str">
        <x:v>Project unlock</x:v>
      </x:c>
      <x:c r="F1297" s="30" t="str">
        <x:v>Forward Russia</x:v>
      </x:c>
      <x:c r="G1297" s="30" t="str">
        <x:v>Yes</x:v>
      </x:c>
      <x:c r="H1297" s="30" t="str">
        <x:v>Template hostileClaim</x:v>
      </x:c>
      <x:c r="I1297" s="31" t="n">
        <x:f>IF(G1297="Yes",'Controls &amp; Summary'!$B$5,'Controls &amp; Summary'!$B$4)</x:f>
        <x:v>3</x:v>
      </x:c>
      <x:c r="J1297" s="31" t="n">
        <x:v>2.03</x:v>
      </x:c>
      <x:c r="K1297" s="31" t="n">
        <x:v>8.2</x:v>
      </x:c>
      <x:c r="L1297" s="31" t="n">
        <x:f>ABS(J1297-K1297)</x:f>
        <x:v>6.17</x:v>
      </x:c>
      <x:c r="M1297" s="31" t="n">
        <x:v>3.51</x:v>
      </x:c>
      <x:c r="N1297" s="31" t="n">
        <x:v>3.39</x:v>
      </x:c>
      <x:c r="O1297" s="31" t="n">
        <x:f>ABS(M1297-N1297)</x:f>
        <x:v>0.11999999999999966</x:v>
      </x:c>
      <x:c r="P1297" s="31" t="n">
        <x:v>7.63</x:v>
      </x:c>
      <x:c r="Q1297" s="31" t="n">
        <x:v>8.35</x:v>
      </x:c>
      <x:c r="R1297" s="31" t="n">
        <x:f>ABS(P1297-Q1297)</x:f>
        <x:v>0.7199999999999998</x:v>
      </x:c>
      <x:c r="S1297" s="32" t="n">
        <x:v>43109.973503906265</x:v>
      </x:c>
      <x:c r="T1297" s="32" t="n">
        <x:v>52017.71264271421</x:v>
      </x:c>
      <x:c r="U1297" s="31" t="n">
        <x:f>MAX(S1297/T1297,T1297/S1297)</x:f>
        <x:v>1.2066282675400113</x:v>
      </x:c>
      <x:c r="V1297" s="31" t="n">
        <x:f>L1297*'Controls &amp; Summary'!$B$9+O1297*'Controls &amp; Summary'!$B$10+R1297*'Controls &amp; Summary'!$B$11+U1297*'Controls &amp; Summary'!$B$12</x:f>
        <x:v>8.21662826754001</x:v>
      </x:c>
      <x:c r="W1297" s="31" t="n">
        <x:v>3.32</x:v>
      </x:c>
      <x:c r="X1297" s="31" t="n">
        <x:v>0.5</x:v>
      </x:c>
      <x:c r="Y1297" s="31" t="n">
        <x:f>((10-MIN(10,MAX(0,X1297)))/10)*'Controls &amp; Summary'!$B$15+((10-MIN(10,MAX(0,W1297)))/10)*'Controls &amp; Summary'!$B$16</x:f>
        <x:v>1.6179999999999999</x:v>
      </x:c>
      <x:c r="Z1297" s="31" t="n">
        <x:f>V1297*Y1297</x:f>
        <x:v>13.294504536879735</x:v>
      </x:c>
      <x:c r="AA1297" s="30" t="str">
        <x:f>IF(Z1297&lt;=I1297,"Peaceful","Hostile")</x:f>
        <x:v>Hostile</x:v>
      </x:c>
      <x:c r="AB1297" s="30" t="str">
        <x:f>IF(Z1297&lt;='Controls &amp; Summary'!$B$6,"Eligible","Blocked")</x:f>
        <x:v>Blocked</x:v>
      </x:c>
      <x:c r="AC1297" s="30" t="str">
        <x:v>2026_RUS</x:v>
      </x:c>
      <x:c r="AD1297" s="30" t="str">
        <x:v>2026_ESP</x:v>
      </x:c>
      <x:c r="AE1297" s="30" t="str">
        <x:v>2026_Spain</x:v>
      </x:c>
      <x:c r="AF1297" s="30" t="str">
        <x:v>Explicit capitalClaim</x:v>
      </x:c>
      <x:c r="AG1297" s="30" t="str">
        <x:v>Claim2026_RUS2026_Spain</x:v>
      </x:c>
      <x:c r="AH1297" s="30" t="str">
        <x:v>Project_ForwardRussia</x:v>
      </x:c>
    </x:row>
    <x:row r="1298">
      <x:c r="A1298" s="30" t="str">
        <x:v>2026</x:v>
      </x:c>
      <x:c r="B1298" s="30" t="str">
        <x:v>Base game</x:v>
      </x:c>
      <x:c r="C1298" s="30" t="str">
        <x:v>Russia</x:v>
      </x:c>
      <x:c r="D1298" s="30" t="str">
        <x:v>Sweden</x:v>
      </x:c>
      <x:c r="E1298" s="30" t="str">
        <x:v>Project unlock</x:v>
      </x:c>
      <x:c r="F1298" s="30" t="str">
        <x:v>Forward Russia</x:v>
      </x:c>
      <x:c r="G1298" s="30" t="str">
        <x:v>Yes</x:v>
      </x:c>
      <x:c r="H1298" s="30" t="str">
        <x:v>Template hostileClaim</x:v>
      </x:c>
      <x:c r="I1298" s="31" t="n">
        <x:f>IF(G1298="Yes",'Controls &amp; Summary'!$B$5,'Controls &amp; Summary'!$B$4)</x:f>
        <x:v>3</x:v>
      </x:c>
      <x:c r="J1298" s="31" t="n">
        <x:v>2.03</x:v>
      </x:c>
      <x:c r="K1298" s="31" t="n">
        <x:v>9.35</x:v>
      </x:c>
      <x:c r="L1298" s="31" t="n">
        <x:f>ABS(J1298-K1298)</x:f>
        <x:v>7.32</x:v>
      </x:c>
      <x:c r="M1298" s="31" t="n">
        <x:v>3.51</x:v>
      </x:c>
      <x:c r="N1298" s="31" t="n">
        <x:v>2.98</x:v>
      </x:c>
      <x:c r="O1298" s="31" t="n">
        <x:f>ABS(M1298-N1298)</x:f>
        <x:v>0.5299999999999998</x:v>
      </x:c>
      <x:c r="P1298" s="31" t="n">
        <x:v>7.63</x:v>
      </x:c>
      <x:c r="Q1298" s="31" t="n">
        <x:v>9.28</x:v>
      </x:c>
      <x:c r="R1298" s="31" t="n">
        <x:f>ABS(P1298-Q1298)</x:f>
        <x:v>1.6499999999999995</x:v>
      </x:c>
      <x:c r="S1298" s="32" t="n">
        <x:v>43109.973503906265</x:v>
      </x:c>
      <x:c r="T1298" s="32" t="n">
        <x:v>71066.01279295381</x:v>
      </x:c>
      <x:c r="U1298" s="31" t="n">
        <x:f>MAX(S1298/T1298,T1298/S1298)</x:f>
        <x:v>1.6484819408788178</x:v>
      </x:c>
      <x:c r="V1298" s="31" t="n">
        <x:f>L1298*'Controls &amp; Summary'!$B$9+O1298*'Controls &amp; Summary'!$B$10+R1298*'Controls &amp; Summary'!$B$11+U1298*'Controls &amp; Summary'!$B$12</x:f>
        <x:v>11.148481940878817</x:v>
      </x:c>
      <x:c r="W1298" s="31" t="n">
        <x:v>3.32</x:v>
      </x:c>
      <x:c r="X1298" s="31" t="n">
        <x:v>0.5</x:v>
      </x:c>
      <x:c r="Y1298" s="31" t="n">
        <x:f>((10-MIN(10,MAX(0,X1298)))/10)*'Controls &amp; Summary'!$B$15+((10-MIN(10,MAX(0,W1298)))/10)*'Controls &amp; Summary'!$B$16</x:f>
        <x:v>1.6179999999999999</x:v>
      </x:c>
      <x:c r="Z1298" s="31" t="n">
        <x:f>V1298*Y1298</x:f>
        <x:v>18.038243780341926</x:v>
      </x:c>
      <x:c r="AA1298" s="30" t="str">
        <x:f>IF(Z1298&lt;=I1298,"Peaceful","Hostile")</x:f>
        <x:v>Hostile</x:v>
      </x:c>
      <x:c r="AB1298" s="30" t="str">
        <x:f>IF(Z1298&lt;='Controls &amp; Summary'!$B$6,"Eligible","Blocked")</x:f>
        <x:v>Blocked</x:v>
      </x:c>
      <x:c r="AC1298" s="30" t="str">
        <x:v>2026_RUS</x:v>
      </x:c>
      <x:c r="AD1298" s="30" t="str">
        <x:v>2026_SCA</x:v>
      </x:c>
      <x:c r="AE1298" s="30" t="str">
        <x:v>2026_Sweden</x:v>
      </x:c>
      <x:c r="AF1298" s="30" t="str">
        <x:v>Explicit capitalClaim</x:v>
      </x:c>
      <x:c r="AG1298" s="30" t="str">
        <x:v>Claim2026_RUS2026_Sweden</x:v>
      </x:c>
      <x:c r="AH1298" s="30" t="str">
        <x:v>Project_ForwardRussia</x:v>
      </x:c>
    </x:row>
    <x:row r="1299">
      <x:c r="A1299" s="30" t="str">
        <x:v>2026</x:v>
      </x:c>
      <x:c r="B1299" s="30" t="str">
        <x:v>Base game</x:v>
      </x:c>
      <x:c r="C1299" s="30" t="str">
        <x:v>Russia</x:v>
      </x:c>
      <x:c r="D1299" s="30" t="str">
        <x:v>Switzerland</x:v>
      </x:c>
      <x:c r="E1299" s="30" t="str">
        <x:v>Project unlock</x:v>
      </x:c>
      <x:c r="F1299" s="30" t="str">
        <x:v>Forward Russia</x:v>
      </x:c>
      <x:c r="G1299" s="30" t="str">
        <x:v>Yes</x:v>
      </x:c>
      <x:c r="H1299" s="30" t="str">
        <x:v>Template hostileClaim</x:v>
      </x:c>
      <x:c r="I1299" s="31" t="n">
        <x:f>IF(G1299="Yes",'Controls &amp; Summary'!$B$5,'Controls &amp; Summary'!$B$4)</x:f>
        <x:v>3</x:v>
      </x:c>
      <x:c r="J1299" s="31" t="n">
        <x:v>2.03</x:v>
      </x:c>
      <x:c r="K1299" s="31" t="n">
        <x:v>9.32</x:v>
      </x:c>
      <x:c r="L1299" s="31" t="n">
        <x:f>ABS(J1299-K1299)</x:f>
        <x:v>7.290000000000001</x:v>
      </x:c>
      <x:c r="M1299" s="31" t="n">
        <x:v>3.51</x:v>
      </x:c>
      <x:c r="N1299" s="31" t="n">
        <x:v>3.37</x:v>
      </x:c>
      <x:c r="O1299" s="31" t="n">
        <x:f>ABS(M1299-N1299)</x:f>
        <x:v>0.13999999999999968</x:v>
      </x:c>
      <x:c r="P1299" s="31" t="n">
        <x:v>7.63</x:v>
      </x:c>
      <x:c r="Q1299" s="31" t="n">
        <x:v>9.05</x:v>
      </x:c>
      <x:c r="R1299" s="31" t="n">
        <x:f>ABS(P1299-Q1299)</x:f>
        <x:v>1.4200000000000008</x:v>
      </x:c>
      <x:c r="S1299" s="32" t="n">
        <x:v>43109.973503906265</x:v>
      </x:c>
      <x:c r="T1299" s="32" t="n">
        <x:v>106640.8280913937</x:v>
      </x:c>
      <x:c r="U1299" s="31" t="n">
        <x:f>MAX(S1299/T1299,T1299/S1299)</x:f>
        <x:v>2.4736927310273296</x:v>
      </x:c>
      <x:c r="V1299" s="31" t="n">
        <x:f>L1299*'Controls &amp; Summary'!$B$9+O1299*'Controls &amp; Summary'!$B$10+R1299*'Controls &amp; Summary'!$B$11+U1299*'Controls &amp; Summary'!$B$12</x:f>
        <x:v>11.32369273102733</x:v>
      </x:c>
      <x:c r="W1299" s="31" t="n">
        <x:v>3.32</x:v>
      </x:c>
      <x:c r="X1299" s="31" t="n">
        <x:v>0.5</x:v>
      </x:c>
      <x:c r="Y1299" s="31" t="n">
        <x:f>((10-MIN(10,MAX(0,X1299)))/10)*'Controls &amp; Summary'!$B$15+((10-MIN(10,MAX(0,W1299)))/10)*'Controls &amp; Summary'!$B$16</x:f>
        <x:v>1.6179999999999999</x:v>
      </x:c>
      <x:c r="Z1299" s="31" t="n">
        <x:f>V1299*Y1299</x:f>
        <x:v>18.321734838802218</x:v>
      </x:c>
      <x:c r="AA1299" s="30" t="str">
        <x:f>IF(Z1299&lt;=I1299,"Peaceful","Hostile")</x:f>
        <x:v>Hostile</x:v>
      </x:c>
      <x:c r="AB1299" s="30" t="str">
        <x:f>IF(Z1299&lt;='Controls &amp; Summary'!$B$6,"Eligible","Blocked")</x:f>
        <x:v>Blocked</x:v>
      </x:c>
      <x:c r="AC1299" s="30" t="str">
        <x:v>2026_RUS</x:v>
      </x:c>
      <x:c r="AD1299" s="30" t="str">
        <x:v>2026_SWI</x:v>
      </x:c>
      <x:c r="AE1299" s="30" t="str">
        <x:v>2026_Zurich</x:v>
      </x:c>
      <x:c r="AF1299" s="30" t="str">
        <x:v>Explicit capitalClaim</x:v>
      </x:c>
      <x:c r="AG1299" s="30" t="str">
        <x:v>Claim2026_RUS2026_Zurich</x:v>
      </x:c>
      <x:c r="AH1299" s="30" t="str">
        <x:v>Project_ForwardRussia</x:v>
      </x:c>
    </x:row>
    <x:row r="1300">
      <x:c r="A1300" s="30" t="str">
        <x:v>2026</x:v>
      </x:c>
      <x:c r="B1300" s="30" t="str">
        <x:v>Base game</x:v>
      </x:c>
      <x:c r="C1300" s="30" t="str">
        <x:v>Russia</x:v>
      </x:c>
      <x:c r="D1300" s="30" t="str">
        <x:v>Tajikistan</x:v>
      </x:c>
      <x:c r="E1300" s="30" t="str">
        <x:v>Starting claim</x:v>
      </x:c>
      <x:c r="F1300" s="30" t="str"/>
      <x:c r="G1300" s="30" t="str">
        <x:v>No</x:v>
      </x:c>
      <x:c r="H1300" s="30" t="str">
        <x:v>Ordinary claim</x:v>
      </x:c>
      <x:c r="I1300" s="31" t="n">
        <x:f>IF(G1300="Yes",'Controls &amp; Summary'!$B$5,'Controls &amp; Summary'!$B$4)</x:f>
        <x:v>6</x:v>
      </x:c>
      <x:c r="J1300" s="31" t="n">
        <x:v>2.03</x:v>
      </x:c>
      <x:c r="K1300" s="31" t="n">
        <x:v>1.94</x:v>
      </x:c>
      <x:c r="L1300" s="31" t="n">
        <x:f>ABS(J1300-K1300)</x:f>
        <x:v>0.08999999999999986</x:v>
      </x:c>
      <x:c r="M1300" s="31" t="n">
        <x:v>3.51</x:v>
      </x:c>
      <x:c r="N1300" s="31" t="n">
        <x:v>3.4</x:v>
      </x:c>
      <x:c r="O1300" s="31" t="n">
        <x:f>ABS(M1300-N1300)</x:f>
        <x:v>0.10999999999999988</x:v>
      </x:c>
      <x:c r="P1300" s="31" t="n">
        <x:v>7.63</x:v>
      </x:c>
      <x:c r="Q1300" s="31" t="n">
        <x:v>6.63</x:v>
      </x:c>
      <x:c r="R1300" s="31" t="n">
        <x:f>ABS(P1300-Q1300)</x:f>
        <x:v>1</x:v>
      </x:c>
      <x:c r="S1300" s="32" t="n">
        <x:v>43109.973503906265</x:v>
      </x:c>
      <x:c r="T1300" s="32" t="n">
        <x:v>5022.251017638954</x:v>
      </x:c>
      <x:c r="U1300" s="31" t="n">
        <x:f>MAX(S1300/T1300,T1300/S1300)</x:f>
        <x:v>8.58379506569805</x:v>
      </x:c>
      <x:c r="V1300" s="31" t="n">
        <x:f>L1300*'Controls &amp; Summary'!$B$9+O1300*'Controls &amp; Summary'!$B$10+R1300*'Controls &amp; Summary'!$B$11+U1300*'Controls &amp; Summary'!$B$12</x:f>
        <x:v>9.78379506569805</x:v>
      </x:c>
      <x:c r="W1300" s="31" t="n">
        <x:v>3.32</x:v>
      </x:c>
      <x:c r="X1300" s="31" t="n">
        <x:v>0</x:v>
      </x:c>
      <x:c r="Y1300" s="31" t="n">
        <x:f>((10-MIN(10,MAX(0,X1300)))/10)*'Controls &amp; Summary'!$B$15+((10-MIN(10,MAX(0,W1300)))/10)*'Controls &amp; Summary'!$B$16</x:f>
        <x:v>1.668</x:v>
      </x:c>
      <x:c r="Z1300" s="31" t="n">
        <x:f>V1300*Y1300</x:f>
        <x:v>16.319370169584346</x:v>
      </x:c>
      <x:c r="AA1300" s="30" t="str">
        <x:f>IF(Z1300&lt;=I1300,"Peaceful","Hostile")</x:f>
        <x:v>Hostile</x:v>
      </x:c>
      <x:c r="AB1300" s="30" t="str">
        <x:f>IF(Z1300&lt;='Controls &amp; Summary'!$B$6,"Eligible","Blocked")</x:f>
        <x:v>Blocked</x:v>
      </x:c>
      <x:c r="AC1300" s="30" t="str">
        <x:v>2026_RUS</x:v>
      </x:c>
      <x:c r="AD1300" s="30" t="str">
        <x:v>2026_TJK</x:v>
      </x:c>
      <x:c r="AE1300" s="30" t="str">
        <x:v>2026_Tajikistan</x:v>
      </x:c>
      <x:c r="AF1300" s="30" t="str">
        <x:v>Explicit capitalClaim</x:v>
      </x:c>
      <x:c r="AG1300" s="30" t="str">
        <x:v>Claim2026_RUS2026_Tajikistan</x:v>
      </x:c>
      <x:c r="AH1300" s="30" t="str"/>
    </x:row>
    <x:row r="1301">
      <x:c r="A1301" s="30" t="str">
        <x:v>2026</x:v>
      </x:c>
      <x:c r="B1301" s="30" t="str">
        <x:v>Base game</x:v>
      </x:c>
      <x:c r="C1301" s="30" t="str">
        <x:v>Russia</x:v>
      </x:c>
      <x:c r="D1301" s="30" t="str">
        <x:v>Turkmenistan</x:v>
      </x:c>
      <x:c r="E1301" s="30" t="str">
        <x:v>Starting claim</x:v>
      </x:c>
      <x:c r="F1301" s="30" t="str"/>
      <x:c r="G1301" s="30" t="str">
        <x:v>No</x:v>
      </x:c>
      <x:c r="H1301" s="30" t="str">
        <x:v>Ordinary claim</x:v>
      </x:c>
      <x:c r="I1301" s="31" t="n">
        <x:f>IF(G1301="Yes",'Controls &amp; Summary'!$B$5,'Controls &amp; Summary'!$B$4)</x:f>
        <x:v>6</x:v>
      </x:c>
      <x:c r="J1301" s="31" t="n">
        <x:v>2.03</x:v>
      </x:c>
      <x:c r="K1301" s="31" t="n">
        <x:v>1.54</x:v>
      </x:c>
      <x:c r="L1301" s="31" t="n">
        <x:f>ABS(J1301-K1301)</x:f>
        <x:v>0.48999999999999977</x:v>
      </x:c>
      <x:c r="M1301" s="31" t="n">
        <x:v>3.51</x:v>
      </x:c>
      <x:c r="N1301" s="31" t="n">
        <x:v>4.08</x:v>
      </x:c>
      <x:c r="O1301" s="31" t="n">
        <x:f>ABS(M1301-N1301)</x:f>
        <x:v>0.5700000000000003</x:v>
      </x:c>
      <x:c r="P1301" s="31" t="n">
        <x:v>7.63</x:v>
      </x:c>
      <x:c r="Q1301" s="31" t="n">
        <x:v>7.24</x:v>
      </x:c>
      <x:c r="R1301" s="31" t="n">
        <x:f>ABS(P1301-Q1301)</x:f>
        <x:v>0.3899999999999997</x:v>
      </x:c>
      <x:c r="S1301" s="32" t="n">
        <x:v>43109.973503906265</x:v>
      </x:c>
      <x:c r="T1301" s="32" t="n">
        <x:v>21168.549828917803</x:v>
      </x:c>
      <x:c r="U1301" s="31" t="n">
        <x:f>MAX(S1301/T1301,T1301/S1301)</x:f>
        <x:v>2.0365104767363356</x:v>
      </x:c>
      <x:c r="V1301" s="31" t="n">
        <x:f>L1301*'Controls &amp; Summary'!$B$9+O1301*'Controls &amp; Summary'!$B$10+R1301*'Controls &amp; Summary'!$B$11+U1301*'Controls &amp; Summary'!$B$12</x:f>
        <x:v>3.4865104767363353</x:v>
      </x:c>
      <x:c r="W1301" s="31" t="n">
        <x:v>3.32</x:v>
      </x:c>
      <x:c r="X1301" s="31" t="n">
        <x:v>0.25</x:v>
      </x:c>
      <x:c r="Y1301" s="31" t="n">
        <x:f>((10-MIN(10,MAX(0,X1301)))/10)*'Controls &amp; Summary'!$B$15+((10-MIN(10,MAX(0,W1301)))/10)*'Controls &amp; Summary'!$B$16</x:f>
        <x:v>1.6429999999999998</x:v>
      </x:c>
      <x:c r="Z1301" s="31" t="n">
        <x:f>V1301*Y1301</x:f>
        <x:v>5.728336713277798</x:v>
      </x:c>
      <x:c r="AA1301" s="30" t="str">
        <x:f>IF(Z1301&lt;=I1301,"Peaceful","Hostile")</x:f>
        <x:v>Peaceful</x:v>
      </x:c>
      <x:c r="AB1301" s="30" t="str">
        <x:f>IF(Z1301&lt;='Controls &amp; Summary'!$B$6,"Eligible","Blocked")</x:f>
        <x:v>Eligible</x:v>
      </x:c>
      <x:c r="AC1301" s="30" t="str">
        <x:v>2026_RUS</x:v>
      </x:c>
      <x:c r="AD1301" s="30" t="str">
        <x:v>2026_TKM</x:v>
      </x:c>
      <x:c r="AE1301" s="30" t="str">
        <x:v>2026_Turkmenistan</x:v>
      </x:c>
      <x:c r="AF1301" s="30" t="str">
        <x:v>Explicit capitalClaim</x:v>
      </x:c>
      <x:c r="AG1301" s="30" t="str">
        <x:v>Claim2026_RUS2026_Turkmenistan</x:v>
      </x:c>
      <x:c r="AH1301" s="30" t="str"/>
    </x:row>
    <x:row r="1302">
      <x:c r="A1302" s="30" t="str">
        <x:v>2026</x:v>
      </x:c>
      <x:c r="B1302" s="30" t="str">
        <x:v>Base game</x:v>
      </x:c>
      <x:c r="C1302" s="30" t="str">
        <x:v>Russia</x:v>
      </x:c>
      <x:c r="D1302" s="30" t="str">
        <x:v>Ukraine</x:v>
      </x:c>
      <x:c r="E1302" s="30" t="str">
        <x:v>Starting claim</x:v>
      </x:c>
      <x:c r="F1302" s="30" t="str"/>
      <x:c r="G1302" s="30" t="str">
        <x:v>Yes</x:v>
      </x:c>
      <x:c r="H1302" s="30" t="str">
        <x:v>Approved post-2014 Ukraine grievance</x:v>
      </x:c>
      <x:c r="I1302" s="31" t="n">
        <x:f>IF(G1302="Yes",'Controls &amp; Summary'!$B$5,'Controls &amp; Summary'!$B$4)</x:f>
        <x:v>3</x:v>
      </x:c>
      <x:c r="J1302" s="31" t="n">
        <x:v>2.03</x:v>
      </x:c>
      <x:c r="K1302" s="31" t="n">
        <x:v>4.79</x:v>
      </x:c>
      <x:c r="L1302" s="31" t="n">
        <x:f>ABS(J1302-K1302)</x:f>
        <x:v>2.7600000000000002</x:v>
      </x:c>
      <x:c r="M1302" s="31" t="n">
        <x:v>3.51</x:v>
      </x:c>
      <x:c r="N1302" s="31" t="n">
        <x:v>2.56</x:v>
      </x:c>
      <x:c r="O1302" s="31" t="n">
        <x:f>ABS(M1302-N1302)</x:f>
        <x:v>0.9499999999999997</x:v>
      </x:c>
      <x:c r="P1302" s="31" t="n">
        <x:v>7.63</x:v>
      </x:c>
      <x:c r="Q1302" s="31" t="n">
        <x:v>7.24</x:v>
      </x:c>
      <x:c r="R1302" s="31" t="n">
        <x:f>ABS(P1302-Q1302)</x:f>
        <x:v>0.3899999999999997</x:v>
      </x:c>
      <x:c r="S1302" s="32" t="n">
        <x:v>43109.973503906265</x:v>
      </x:c>
      <x:c r="T1302" s="32" t="n">
        <x:v>15359.526489490589</x:v>
      </x:c>
      <x:c r="U1302" s="31" t="n">
        <x:f>MAX(S1302/T1302,T1302/S1302)</x:f>
        <x:v>2.806725424341909</x:v>
      </x:c>
      <x:c r="V1302" s="31" t="n">
        <x:f>L1302*'Controls &amp; Summary'!$B$9+O1302*'Controls &amp; Summary'!$B$10+R1302*'Controls &amp; Summary'!$B$11+U1302*'Controls &amp; Summary'!$B$12</x:f>
        <x:v>6.906725424341909</x:v>
      </x:c>
      <x:c r="W1302" s="31" t="n">
        <x:v>3.32</x:v>
      </x:c>
      <x:c r="X1302" s="31" t="n">
        <x:v>3.5</x:v>
      </x:c>
      <x:c r="Y1302" s="31" t="n">
        <x:f>((10-MIN(10,MAX(0,X1302)))/10)*'Controls &amp; Summary'!$B$15+((10-MIN(10,MAX(0,W1302)))/10)*'Controls &amp; Summary'!$B$16</x:f>
        <x:v>1.318</x:v>
      </x:c>
      <x:c r="Z1302" s="31" t="n">
        <x:f>V1302*Y1302</x:f>
        <x:v>9.103064109282636</x:v>
      </x:c>
      <x:c r="AA1302" s="30" t="str">
        <x:f>IF(Z1302&lt;=I1302,"Peaceful","Hostile")</x:f>
        <x:v>Hostile</x:v>
      </x:c>
      <x:c r="AB1302" s="30" t="str">
        <x:f>IF(Z1302&lt;='Controls &amp; Summary'!$B$6,"Eligible","Blocked")</x:f>
        <x:v>Eligible</x:v>
      </x:c>
      <x:c r="AC1302" s="30" t="str">
        <x:v>2026_RUS</x:v>
      </x:c>
      <x:c r="AD1302" s="30" t="str">
        <x:v>2026_UKR</x:v>
      </x:c>
      <x:c r="AE1302" s="30" t="str">
        <x:v>2026_Kiev</x:v>
      </x:c>
      <x:c r="AF1302" s="30" t="str">
        <x:v>Explicit capitalClaim</x:v>
      </x:c>
      <x:c r="AG1302" s="30" t="str">
        <x:v>Claim2026_RUS2026_Kiev</x:v>
      </x:c>
      <x:c r="AH1302" s="30" t="str"/>
    </x:row>
    <x:row r="1303">
      <x:c r="A1303" s="30" t="str">
        <x:v>2026</x:v>
      </x:c>
      <x:c r="B1303" s="30" t="str">
        <x:v>Base game</x:v>
      </x:c>
      <x:c r="C1303" s="30" t="str">
        <x:v>Russia</x:v>
      </x:c>
      <x:c r="D1303" s="30" t="str">
        <x:v>Uzbekistan</x:v>
      </x:c>
      <x:c r="E1303" s="30" t="str">
        <x:v>Starting claim</x:v>
      </x:c>
      <x:c r="F1303" s="30" t="str"/>
      <x:c r="G1303" s="30" t="str">
        <x:v>No</x:v>
      </x:c>
      <x:c r="H1303" s="30" t="str">
        <x:v>Ordinary claim</x:v>
      </x:c>
      <x:c r="I1303" s="31" t="n">
        <x:f>IF(G1303="Yes",'Controls &amp; Summary'!$B$5,'Controls &amp; Summary'!$B$4)</x:f>
        <x:v>6</x:v>
      </x:c>
      <x:c r="J1303" s="31" t="n">
        <x:v>2.03</x:v>
      </x:c>
      <x:c r="K1303" s="31" t="n">
        <x:v>2.1</x:v>
      </x:c>
      <x:c r="L1303" s="31" t="n">
        <x:f>ABS(J1303-K1303)</x:f>
        <x:v>0.07000000000000028</x:v>
      </x:c>
      <x:c r="M1303" s="31" t="n">
        <x:v>3.51</x:v>
      </x:c>
      <x:c r="N1303" s="31" t="n">
        <x:v>3.12</x:v>
      </x:c>
      <x:c r="O1303" s="31" t="n">
        <x:f>ABS(M1303-N1303)</x:f>
        <x:v>0.3899999999999997</x:v>
      </x:c>
      <x:c r="P1303" s="31" t="n">
        <x:v>7.63</x:v>
      </x:c>
      <x:c r="Q1303" s="31" t="n">
        <x:v>7.28</x:v>
      </x:c>
      <x:c r="R1303" s="31" t="n">
        <x:f>ABS(P1303-Q1303)</x:f>
        <x:v>0.34999999999999964</x:v>
      </x:c>
      <x:c r="S1303" s="32" t="n">
        <x:v>43109.973503906265</x:v>
      </x:c>
      <x:c r="T1303" s="32" t="n">
        <x:v>10960.138794641312</x:v>
      </x:c>
      <x:c r="U1303" s="31" t="n">
        <x:f>MAX(S1303/T1303,T1303/S1303)</x:f>
        <x:v>3.933341932219309</x:v>
      </x:c>
      <x:c r="V1303" s="31" t="n">
        <x:f>L1303*'Controls &amp; Summary'!$B$9+O1303*'Controls &amp; Summary'!$B$10+R1303*'Controls &amp; Summary'!$B$11+U1303*'Controls &amp; Summary'!$B$12</x:f>
        <x:v>4.743341932219309</x:v>
      </x:c>
      <x:c r="W1303" s="31" t="n">
        <x:v>3.32</x:v>
      </x:c>
      <x:c r="X1303" s="31" t="n">
        <x:v>1</x:v>
      </x:c>
      <x:c r="Y1303" s="31" t="n">
        <x:f>((10-MIN(10,MAX(0,X1303)))/10)*'Controls &amp; Summary'!$B$15+((10-MIN(10,MAX(0,W1303)))/10)*'Controls &amp; Summary'!$B$16</x:f>
        <x:v>1.568</x:v>
      </x:c>
      <x:c r="Z1303" s="31" t="n">
        <x:f>V1303*Y1303</x:f>
        <x:v>7.437560149719877</x:v>
      </x:c>
      <x:c r="AA1303" s="30" t="str">
        <x:f>IF(Z1303&lt;=I1303,"Peaceful","Hostile")</x:f>
        <x:v>Hostile</x:v>
      </x:c>
      <x:c r="AB1303" s="30" t="str">
        <x:f>IF(Z1303&lt;='Controls &amp; Summary'!$B$6,"Eligible","Blocked")</x:f>
        <x:v>Eligible</x:v>
      </x:c>
      <x:c r="AC1303" s="30" t="str">
        <x:v>2026_RUS</x:v>
      </x:c>
      <x:c r="AD1303" s="30" t="str">
        <x:v>2026_UZB</x:v>
      </x:c>
      <x:c r="AE1303" s="30" t="str">
        <x:v>2026_Uzbekistan</x:v>
      </x:c>
      <x:c r="AF1303" s="30" t="str">
        <x:v>Explicit capitalClaim</x:v>
      </x:c>
      <x:c r="AG1303" s="30" t="str">
        <x:v>Claim2026_RUS2026_Uzbekistan</x:v>
      </x:c>
      <x:c r="AH1303" s="30" t="str"/>
    </x:row>
    <x:row r="1304">
      <x:c r="A1304" s="30" t="str">
        <x:v>2026</x:v>
      </x:c>
      <x:c r="B1304" s="30" t="str">
        <x:v>Base game</x:v>
      </x:c>
      <x:c r="C1304" s="30" t="str">
        <x:v>Saudi Arabia</x:v>
      </x:c>
      <x:c r="D1304" s="30" t="str">
        <x:v>Gulf States</x:v>
      </x:c>
      <x:c r="E1304" s="30" t="str">
        <x:v>Project unlock</x:v>
      </x:c>
      <x:c r="F1304" s="30" t="str">
        <x:v>Gulf Cooperation Council</x:v>
      </x:c>
      <x:c r="G1304" s="30" t="str">
        <x:v>No</x:v>
      </x:c>
      <x:c r="H1304" s="30" t="str">
        <x:v>Ordinary claim</x:v>
      </x:c>
      <x:c r="I1304" s="31" t="n">
        <x:f>IF(G1304="Yes",'Controls &amp; Summary'!$B$5,'Controls &amp; Summary'!$B$4)</x:f>
        <x:v>6</x:v>
      </x:c>
      <x:c r="J1304" s="31" t="n">
        <x:v>2.08</x:v>
      </x:c>
      <x:c r="K1304" s="31" t="n">
        <x:v>2.92</x:v>
      </x:c>
      <x:c r="L1304" s="31" t="n">
        <x:f>ABS(J1304-K1304)</x:f>
        <x:v>0.8399999999999999</x:v>
      </x:c>
      <x:c r="M1304" s="31" t="n">
        <x:v>4.56</x:v>
      </x:c>
      <x:c r="N1304" s="31" t="n">
        <x:v>4.37</x:v>
      </x:c>
      <x:c r="O1304" s="31" t="n">
        <x:f>ABS(M1304-N1304)</x:f>
        <x:v>0.1899999999999995</x:v>
      </x:c>
      <x:c r="P1304" s="31" t="n">
        <x:v>8.36</x:v>
      </x:c>
      <x:c r="Q1304" s="31" t="n">
        <x:v>7.38</x:v>
      </x:c>
      <x:c r="R1304" s="31" t="n">
        <x:f>ABS(P1304-Q1304)</x:f>
        <x:v>0.9799999999999995</x:v>
      </x:c>
      <x:c r="S1304" s="32" t="n">
        <x:v>67278.39192110217</x:v>
      </x:c>
      <x:c r="T1304" s="32" t="n">
        <x:v>89004.61360911882</x:v>
      </x:c>
      <x:c r="U1304" s="31" t="n">
        <x:f>MAX(S1304/T1304,T1304/S1304)</x:f>
        <x:v>1.3229301573303824</x:v>
      </x:c>
      <x:c r="V1304" s="31" t="n">
        <x:f>L1304*'Controls &amp; Summary'!$B$9+O1304*'Controls &amp; Summary'!$B$10+R1304*'Controls &amp; Summary'!$B$11+U1304*'Controls &amp; Summary'!$B$12</x:f>
        <x:v>3.3329301573303813</x:v>
      </x:c>
      <x:c r="W1304" s="31" t="n">
        <x:v>2.78</x:v>
      </x:c>
      <x:c r="X1304" s="31" t="n">
        <x:v>0.17</x:v>
      </x:c>
      <x:c r="Y1304" s="31" t="n">
        <x:f>((10-MIN(10,MAX(0,X1304)))/10)*'Controls &amp; Summary'!$B$15+((10-MIN(10,MAX(0,W1304)))/10)*'Controls &amp; Summary'!$B$16</x:f>
        <x:v>1.705</x:v>
      </x:c>
      <x:c r="Z1304" s="31" t="n">
        <x:f>V1304*Y1304</x:f>
        <x:v>5.6826459182483005</x:v>
      </x:c>
      <x:c r="AA1304" s="30" t="str">
        <x:f>IF(Z1304&lt;=I1304,"Peaceful","Hostile")</x:f>
        <x:v>Peaceful</x:v>
      </x:c>
      <x:c r="AB1304" s="30" t="str">
        <x:f>IF(Z1304&lt;='Controls &amp; Summary'!$B$6,"Eligible","Blocked")</x:f>
        <x:v>Eligible</x:v>
      </x:c>
      <x:c r="AC1304" s="30" t="str">
        <x:v>2026_SAU</x:v>
      </x:c>
      <x:c r="AD1304" s="30" t="str">
        <x:v>2026_GUS</x:v>
      </x:c>
      <x:c r="AE1304" s="30" t="str">
        <x:v>2026_GulfStates</x:v>
      </x:c>
      <x:c r="AF1304" s="30" t="str">
        <x:v>Explicit capitalClaim</x:v>
      </x:c>
      <x:c r="AG1304" s="30" t="str">
        <x:v>Claim2026_SAU2026_GulfStates</x:v>
      </x:c>
      <x:c r="AH1304" s="30" t="str">
        <x:v>Project_GulfCooperationCouncil</x:v>
      </x:c>
    </x:row>
    <x:row r="1305">
      <x:c r="A1305" s="30" t="str">
        <x:v>2026</x:v>
      </x:c>
      <x:c r="B1305" s="30" t="str">
        <x:v>Base game</x:v>
      </x:c>
      <x:c r="C1305" s="30" t="str">
        <x:v>Saudi Arabia</x:v>
      </x:c>
      <x:c r="D1305" s="30" t="str">
        <x:v>Kuwait</x:v>
      </x:c>
      <x:c r="E1305" s="30" t="str">
        <x:v>Project unlock</x:v>
      </x:c>
      <x:c r="F1305" s="30" t="str">
        <x:v>Gulf Cooperation Council</x:v>
      </x:c>
      <x:c r="G1305" s="30" t="str">
        <x:v>No</x:v>
      </x:c>
      <x:c r="H1305" s="30" t="str">
        <x:v>Ordinary claim</x:v>
      </x:c>
      <x:c r="I1305" s="31" t="n">
        <x:f>IF(G1305="Yes",'Controls &amp; Summary'!$B$5,'Controls &amp; Summary'!$B$4)</x:f>
        <x:v>6</x:v>
      </x:c>
      <x:c r="J1305" s="31" t="n">
        <x:v>2.08</x:v>
      </x:c>
      <x:c r="K1305" s="31" t="n">
        <x:v>2.78</x:v>
      </x:c>
      <x:c r="L1305" s="31" t="n">
        <x:f>ABS(J1305-K1305)</x:f>
        <x:v>0.6999999999999997</x:v>
      </x:c>
      <x:c r="M1305" s="31" t="n">
        <x:v>4.56</x:v>
      </x:c>
      <x:c r="N1305" s="31" t="n">
        <x:v>3.76</x:v>
      </x:c>
      <x:c r="O1305" s="31" t="n">
        <x:f>ABS(M1305-N1305)</x:f>
        <x:v>0.7999999999999998</x:v>
      </x:c>
      <x:c r="P1305" s="31" t="n">
        <x:v>8.36</x:v>
      </x:c>
      <x:c r="Q1305" s="31" t="n">
        <x:v>6.81</x:v>
      </x:c>
      <x:c r="R1305" s="31" t="n">
        <x:f>ABS(P1305-Q1305)</x:f>
        <x:v>1.5499999999999998</x:v>
      </x:c>
      <x:c r="S1305" s="32" t="n">
        <x:v>67278.39192110217</x:v>
      </x:c>
      <x:c r="T1305" s="32" t="n">
        <x:v>44925.11032726715</x:v>
      </x:c>
      <x:c r="U1305" s="31" t="n">
        <x:f>MAX(S1305/T1305,T1305/S1305)</x:f>
        <x:v>1.4975676504965145</x:v>
      </x:c>
      <x:c r="V1305" s="31" t="n">
        <x:f>L1305*'Controls &amp; Summary'!$B$9+O1305*'Controls &amp; Summary'!$B$10+R1305*'Controls &amp; Summary'!$B$11+U1305*'Controls &amp; Summary'!$B$12</x:f>
        <x:v>4.547567650496514</x:v>
      </x:c>
      <x:c r="W1305" s="31" t="n">
        <x:v>2.78</x:v>
      </x:c>
      <x:c r="X1305" s="31" t="n">
        <x:v>0</x:v>
      </x:c>
      <x:c r="Y1305" s="31" t="n">
        <x:f>((10-MIN(10,MAX(0,X1305)))/10)*'Controls &amp; Summary'!$B$15+((10-MIN(10,MAX(0,W1305)))/10)*'Controls &amp; Summary'!$B$16</x:f>
        <x:v>1.722</x:v>
      </x:c>
      <x:c r="Z1305" s="31" t="n">
        <x:f>V1305*Y1305</x:f>
        <x:v>7.830911494154997</x:v>
      </x:c>
      <x:c r="AA1305" s="30" t="str">
        <x:f>IF(Z1305&lt;=I1305,"Peaceful","Hostile")</x:f>
        <x:v>Hostile</x:v>
      </x:c>
      <x:c r="AB1305" s="30" t="str">
        <x:f>IF(Z1305&lt;='Controls &amp; Summary'!$B$6,"Eligible","Blocked")</x:f>
        <x:v>Eligible</x:v>
      </x:c>
      <x:c r="AC1305" s="30" t="str">
        <x:v>2026_SAU</x:v>
      </x:c>
      <x:c r="AD1305" s="30" t="str">
        <x:v>2026_KUW</x:v>
      </x:c>
      <x:c r="AE1305" s="30" t="str">
        <x:v>2026_Kuwait</x:v>
      </x:c>
      <x:c r="AF1305" s="30" t="str">
        <x:v>Explicit capitalClaim</x:v>
      </x:c>
      <x:c r="AG1305" s="30" t="str">
        <x:v>Claim2026_SAU2026_Kuwait</x:v>
      </x:c>
      <x:c r="AH1305" s="30" t="str">
        <x:v>Project_GulfCooperationCouncil</x:v>
      </x:c>
    </x:row>
    <x:row r="1306">
      <x:c r="A1306" s="30" t="str">
        <x:v>2026</x:v>
      </x:c>
      <x:c r="B1306" s="30" t="str">
        <x:v>Base game</x:v>
      </x:c>
      <x:c r="C1306" s="30" t="str">
        <x:v>Saudi Arabia</x:v>
      </x:c>
      <x:c r="D1306" s="30" t="str">
        <x:v>Oman</x:v>
      </x:c>
      <x:c r="E1306" s="30" t="str">
        <x:v>Project unlock</x:v>
      </x:c>
      <x:c r="F1306" s="30" t="str">
        <x:v>Gulf Cooperation Council</x:v>
      </x:c>
      <x:c r="G1306" s="30" t="str">
        <x:v>No</x:v>
      </x:c>
      <x:c r="H1306" s="30" t="str">
        <x:v>Ordinary claim</x:v>
      </x:c>
      <x:c r="I1306" s="31" t="n">
        <x:f>IF(G1306="Yes",'Controls &amp; Summary'!$B$5,'Controls &amp; Summary'!$B$4)</x:f>
        <x:v>6</x:v>
      </x:c>
      <x:c r="J1306" s="31" t="n">
        <x:v>2.08</x:v>
      </x:c>
      <x:c r="K1306" s="31" t="n">
        <x:v>3.05</x:v>
      </x:c>
      <x:c r="L1306" s="31" t="n">
        <x:f>ABS(J1306-K1306)</x:f>
        <x:v>0.9699999999999998</x:v>
      </x:c>
      <x:c r="M1306" s="31" t="n">
        <x:v>4.56</x:v>
      </x:c>
      <x:c r="N1306" s="31" t="n">
        <x:v>3.88</x:v>
      </x:c>
      <x:c r="O1306" s="31" t="n">
        <x:f>ABS(M1306-N1306)</x:f>
        <x:v>0.6799999999999997</x:v>
      </x:c>
      <x:c r="P1306" s="31" t="n">
        <x:v>8.36</x:v>
      </x:c>
      <x:c r="Q1306" s="31" t="n">
        <x:v>7.52</x:v>
      </x:c>
      <x:c r="R1306" s="31" t="n">
        <x:f>ABS(P1306-Q1306)</x:f>
        <x:v>0.8399999999999999</x:v>
      </x:c>
      <x:c r="S1306" s="32" t="n">
        <x:v>67278.39192110217</x:v>
      </x:c>
      <x:c r="T1306" s="32" t="n">
        <x:v>35867.45491776541</x:v>
      </x:c>
      <x:c r="U1306" s="31" t="n">
        <x:f>MAX(S1306/T1306,T1306/S1306)</x:f>
        <x:v>1.8757503724575308</x:v>
      </x:c>
      <x:c r="V1306" s="31" t="n">
        <x:f>L1306*'Controls &amp; Summary'!$B$9+O1306*'Controls &amp; Summary'!$B$10+R1306*'Controls &amp; Summary'!$B$11+U1306*'Controls &amp; Summary'!$B$12</x:f>
        <x:v>4.36575037245753</x:v>
      </x:c>
      <x:c r="W1306" s="31" t="n">
        <x:v>2.78</x:v>
      </x:c>
      <x:c r="X1306" s="31" t="n">
        <x:v>1</x:v>
      </x:c>
      <x:c r="Y1306" s="31" t="n">
        <x:f>((10-MIN(10,MAX(0,X1306)))/10)*'Controls &amp; Summary'!$B$15+((10-MIN(10,MAX(0,W1306)))/10)*'Controls &amp; Summary'!$B$16</x:f>
        <x:v>1.622</x:v>
      </x:c>
      <x:c r="Z1306" s="31" t="n">
        <x:f>V1306*Y1306</x:f>
        <x:v>7.081247104126114</x:v>
      </x:c>
      <x:c r="AA1306" s="30" t="str">
        <x:f>IF(Z1306&lt;=I1306,"Peaceful","Hostile")</x:f>
        <x:v>Hostile</x:v>
      </x:c>
      <x:c r="AB1306" s="30" t="str">
        <x:f>IF(Z1306&lt;='Controls &amp; Summary'!$B$6,"Eligible","Blocked")</x:f>
        <x:v>Eligible</x:v>
      </x:c>
      <x:c r="AC1306" s="30" t="str">
        <x:v>2026_SAU</x:v>
      </x:c>
      <x:c r="AD1306" s="30" t="str">
        <x:v>2026_OMN</x:v>
      </x:c>
      <x:c r="AE1306" s="30" t="str">
        <x:v>2026_Oman</x:v>
      </x:c>
      <x:c r="AF1306" s="30" t="str">
        <x:v>Explicit capitalClaim</x:v>
      </x:c>
      <x:c r="AG1306" s="30" t="str">
        <x:v>Claim2026_SAU2026_Oman</x:v>
      </x:c>
      <x:c r="AH1306" s="30" t="str">
        <x:v>Project_GulfCooperationCouncil</x:v>
      </x:c>
    </x:row>
    <x:row r="1307">
      <x:c r="A1307" s="30" t="str">
        <x:v>2026</x:v>
      </x:c>
      <x:c r="B1307" s="30" t="str">
        <x:v>Base game</x:v>
      </x:c>
      <x:c r="C1307" s="30" t="str">
        <x:v>Saudi Arabia</x:v>
      </x:c>
      <x:c r="D1307" s="30" t="str">
        <x:v>South Yemen</x:v>
      </x:c>
      <x:c r="E1307" s="30" t="str">
        <x:v>Starting claim</x:v>
      </x:c>
      <x:c r="F1307" s="30" t="str"/>
      <x:c r="G1307" s="30" t="str">
        <x:v>No</x:v>
      </x:c>
      <x:c r="H1307" s="30" t="str">
        <x:v>Ordinary claim</x:v>
      </x:c>
      <x:c r="I1307" s="31" t="n">
        <x:f>IF(G1307="Yes",'Controls &amp; Summary'!$B$5,'Controls &amp; Summary'!$B$4)</x:f>
        <x:v>6</x:v>
      </x:c>
      <x:c r="J1307" s="31" t="n">
        <x:v>2.08</x:v>
      </x:c>
      <x:c r="K1307" s="31" t="n">
        <x:v>2.02</x:v>
      </x:c>
      <x:c r="L1307" s="31" t="n">
        <x:f>ABS(J1307-K1307)</x:f>
        <x:v>0.06000000000000005</x:v>
      </x:c>
      <x:c r="M1307" s="31" t="n">
        <x:v>4.56</x:v>
      </x:c>
      <x:c r="N1307" s="31" t="n">
        <x:v>3.58</x:v>
      </x:c>
      <x:c r="O1307" s="31" t="n">
        <x:f>ABS(M1307-N1307)</x:f>
        <x:v>0.9799999999999995</x:v>
      </x:c>
      <x:c r="P1307" s="31" t="n">
        <x:v>8.36</x:v>
      </x:c>
      <x:c r="Q1307" s="31" t="n">
        <x:v>3.02</x:v>
      </x:c>
      <x:c r="R1307" s="31" t="n">
        <x:f>ABS(P1307-Q1307)</x:f>
        <x:v>5.34</x:v>
      </x:c>
      <x:c r="S1307" s="32" t="n">
        <x:v>67278.39192110217</x:v>
      </x:c>
      <x:c r="T1307" s="32" t="n">
        <x:v>2866.0351001998747</x:v>
      </x:c>
      <x:c r="U1307" s="31" t="n">
        <x:f>MAX(S1307/T1307,T1307/S1307)</x:f>
        <x:v>23.474378215539033</x:v>
      </x:c>
      <x:c r="V1307" s="31" t="n">
        <x:f>L1307*'Controls &amp; Summary'!$B$9+O1307*'Controls &amp; Summary'!$B$10+R1307*'Controls &amp; Summary'!$B$11+U1307*'Controls &amp; Summary'!$B$12</x:f>
        <x:v>29.854378215539032</x:v>
      </x:c>
      <x:c r="W1307" s="31" t="n">
        <x:v>2.78</x:v>
      </x:c>
      <x:c r="X1307" s="31" t="n">
        <x:v>5.25</x:v>
      </x:c>
      <x:c r="Y1307" s="31" t="n">
        <x:f>((10-MIN(10,MAX(0,X1307)))/10)*'Controls &amp; Summary'!$B$15+((10-MIN(10,MAX(0,W1307)))/10)*'Controls &amp; Summary'!$B$16</x:f>
        <x:v>1.197</x:v>
      </x:c>
      <x:c r="Z1307" s="31" t="n">
        <x:f>V1307*Y1307</x:f>
        <x:v>35.73569072400022</x:v>
      </x:c>
      <x:c r="AA1307" s="30" t="str">
        <x:f>IF(Z1307&lt;=I1307,"Peaceful","Hostile")</x:f>
        <x:v>Hostile</x:v>
      </x:c>
      <x:c r="AB1307" s="30" t="str">
        <x:f>IF(Z1307&lt;='Controls &amp; Summary'!$B$6,"Eligible","Blocked")</x:f>
        <x:v>Blocked</x:v>
      </x:c>
      <x:c r="AC1307" s="30" t="str">
        <x:v>2026_SAU</x:v>
      </x:c>
      <x:c r="AD1307" s="30" t="str">
        <x:v>2026_YMS</x:v>
      </x:c>
      <x:c r="AE1307" s="30" t="str">
        <x:v>2026_Aden</x:v>
      </x:c>
      <x:c r="AF1307" s="30" t="str">
        <x:v>Largest owned population fallback</x:v>
      </x:c>
      <x:c r="AG1307" s="30" t="str">
        <x:v>Claim2026_SAU2026_Aden</x:v>
      </x:c>
      <x:c r="AH1307" s="30" t="str"/>
    </x:row>
    <x:row r="1308">
      <x:c r="A1308" s="30" t="str">
        <x:v>2026</x:v>
      </x:c>
      <x:c r="B1308" s="30" t="str">
        <x:v>Base game</x:v>
      </x:c>
      <x:c r="C1308" s="30" t="str">
        <x:v>Saudi Arabia</x:v>
      </x:c>
      <x:c r="D1308" s="30" t="str">
        <x:v>United Arab Emirates</x:v>
      </x:c>
      <x:c r="E1308" s="30" t="str">
        <x:v>Project unlock</x:v>
      </x:c>
      <x:c r="F1308" s="30" t="str">
        <x:v>Gulf Cooperation Council</x:v>
      </x:c>
      <x:c r="G1308" s="30" t="str">
        <x:v>No</x:v>
      </x:c>
      <x:c r="H1308" s="30" t="str">
        <x:v>Ordinary claim</x:v>
      </x:c>
      <x:c r="I1308" s="31" t="n">
        <x:f>IF(G1308="Yes",'Controls &amp; Summary'!$B$5,'Controls &amp; Summary'!$B$4)</x:f>
        <x:v>6</x:v>
      </x:c>
      <x:c r="J1308" s="31" t="n">
        <x:v>2.08</x:v>
      </x:c>
      <x:c r="K1308" s="31" t="n">
        <x:v>3.18</x:v>
      </x:c>
      <x:c r="L1308" s="31" t="n">
        <x:f>ABS(J1308-K1308)</x:f>
        <x:v>1.1</x:v>
      </x:c>
      <x:c r="M1308" s="31" t="n">
        <x:v>4.56</x:v>
      </x:c>
      <x:c r="N1308" s="31" t="n">
        <x:v>2.64</x:v>
      </x:c>
      <x:c r="O1308" s="31" t="n">
        <x:f>ABS(M1308-N1308)</x:f>
        <x:v>1.9199999999999995</x:v>
      </x:c>
      <x:c r="P1308" s="31" t="n">
        <x:v>8.36</x:v>
      </x:c>
      <x:c r="Q1308" s="31" t="n">
        <x:v>8.46</x:v>
      </x:c>
      <x:c r="R1308" s="31" t="n">
        <x:f>ABS(P1308-Q1308)</x:f>
        <x:v>0.10000000000000142</x:v>
      </x:c>
      <x:c r="S1308" s="32" t="n">
        <x:v>67278.39192110217</x:v>
      </x:c>
      <x:c r="T1308" s="32" t="n">
        <x:v>68822.60437046996</x:v>
      </x:c>
      <x:c r="U1308" s="31" t="n">
        <x:f>MAX(S1308/T1308,T1308/S1308)</x:f>
        <x:v>1.0229525766783887</x:v>
      </x:c>
      <x:c r="V1308" s="31" t="n">
        <x:f>L1308*'Controls &amp; Summary'!$B$9+O1308*'Controls &amp; Summary'!$B$10+R1308*'Controls &amp; Summary'!$B$11+U1308*'Controls &amp; Summary'!$B$12</x:f>
        <x:v>4.14295257667839</x:v>
      </x:c>
      <x:c r="W1308" s="31" t="n">
        <x:v>2.78</x:v>
      </x:c>
      <x:c r="X1308" s="31" t="n">
        <x:v>0.25</x:v>
      </x:c>
      <x:c r="Y1308" s="31" t="n">
        <x:f>((10-MIN(10,MAX(0,X1308)))/10)*'Controls &amp; Summary'!$B$15+((10-MIN(10,MAX(0,W1308)))/10)*'Controls &amp; Summary'!$B$16</x:f>
        <x:v>1.697</x:v>
      </x:c>
      <x:c r="Z1308" s="31" t="n">
        <x:f>V1308*Y1308</x:f>
        <x:v>7.0305905226232275</x:v>
      </x:c>
      <x:c r="AA1308" s="30" t="str">
        <x:f>IF(Z1308&lt;=I1308,"Peaceful","Hostile")</x:f>
        <x:v>Hostile</x:v>
      </x:c>
      <x:c r="AB1308" s="30" t="str">
        <x:f>IF(Z1308&lt;='Controls &amp; Summary'!$B$6,"Eligible","Blocked")</x:f>
        <x:v>Eligible</x:v>
      </x:c>
      <x:c r="AC1308" s="30" t="str">
        <x:v>2026_SAU</x:v>
      </x:c>
      <x:c r="AD1308" s="30" t="str">
        <x:v>2026_UAE</x:v>
      </x:c>
      <x:c r="AE1308" s="30" t="str">
        <x:v>2026_Dubai</x:v>
      </x:c>
      <x:c r="AF1308" s="30" t="str">
        <x:v>Explicit capitalClaim</x:v>
      </x:c>
      <x:c r="AG1308" s="30" t="str">
        <x:v>Claim2026_SAU2026_Dubai</x:v>
      </x:c>
      <x:c r="AH1308" s="30" t="str">
        <x:v>Project_GulfCooperationCouncil</x:v>
      </x:c>
    </x:row>
    <x:row r="1309">
      <x:c r="A1309" s="30" t="str">
        <x:v>2026</x:v>
      </x:c>
      <x:c r="B1309" s="30" t="str">
        <x:v>Base game</x:v>
      </x:c>
      <x:c r="C1309" s="30" t="str">
        <x:v>Saudi Arabia</x:v>
      </x:c>
      <x:c r="D1309" s="30" t="str">
        <x:v>Yemen</x:v>
      </x:c>
      <x:c r="E1309" s="30" t="str">
        <x:v>Project unlock</x:v>
      </x:c>
      <x:c r="F1309" s="30" t="str">
        <x:v>Gulf Cooperation Council</x:v>
      </x:c>
      <x:c r="G1309" s="30" t="str">
        <x:v>No</x:v>
      </x:c>
      <x:c r="H1309" s="30" t="str">
        <x:v>Ordinary claim</x:v>
      </x:c>
      <x:c r="I1309" s="31" t="n">
        <x:f>IF(G1309="Yes",'Controls &amp; Summary'!$B$5,'Controls &amp; Summary'!$B$4)</x:f>
        <x:v>6</x:v>
      </x:c>
      <x:c r="J1309" s="31" t="n">
        <x:v>2.08</x:v>
      </x:c>
      <x:c r="K1309" s="31" t="n">
        <x:v>1.95</x:v>
      </x:c>
      <x:c r="L1309" s="31" t="n">
        <x:f>ABS(J1309-K1309)</x:f>
        <x:v>0.13000000000000012</x:v>
      </x:c>
      <x:c r="M1309" s="31" t="n">
        <x:v>4.56</x:v>
      </x:c>
      <x:c r="N1309" s="31" t="n">
        <x:v>3.67</x:v>
      </x:c>
      <x:c r="O1309" s="31" t="n">
        <x:f>ABS(M1309-N1309)</x:f>
        <x:v>0.8899999999999997</x:v>
      </x:c>
      <x:c r="P1309" s="31" t="n">
        <x:v>8.36</x:v>
      </x:c>
      <x:c r="Q1309" s="31" t="n">
        <x:v>3.88</x:v>
      </x:c>
      <x:c r="R1309" s="31" t="n">
        <x:f>ABS(P1309-Q1309)</x:f>
        <x:v>4.4799999999999995</x:v>
      </x:c>
      <x:c r="S1309" s="32" t="n">
        <x:v>67278.39192110217</x:v>
      </x:c>
      <x:c r="T1309" s="32" t="n">
        <x:v>886.9282118672596</x:v>
      </x:c>
      <x:c r="U1309" s="31" t="n">
        <x:f>MAX(S1309/T1309,T1309/S1309)</x:f>
        <x:v>75.85551008627884</x:v>
      </x:c>
      <x:c r="V1309" s="31" t="n">
        <x:f>L1309*'Controls &amp; Summary'!$B$9+O1309*'Controls &amp; Summary'!$B$10+R1309*'Controls &amp; Summary'!$B$11+U1309*'Controls &amp; Summary'!$B$12</x:f>
        <x:v>81.35551008627884</x:v>
      </x:c>
      <x:c r="W1309" s="31" t="n">
        <x:v>2.78</x:v>
      </x:c>
      <x:c r="X1309" s="31" t="n">
        <x:v>5.25</x:v>
      </x:c>
      <x:c r="Y1309" s="31" t="n">
        <x:f>((10-MIN(10,MAX(0,X1309)))/10)*'Controls &amp; Summary'!$B$15+((10-MIN(10,MAX(0,W1309)))/10)*'Controls &amp; Summary'!$B$16</x:f>
        <x:v>1.197</x:v>
      </x:c>
      <x:c r="Z1309" s="31" t="n">
        <x:f>V1309*Y1309</x:f>
        <x:v>97.38254557327578</x:v>
      </x:c>
      <x:c r="AA1309" s="30" t="str">
        <x:f>IF(Z1309&lt;=I1309,"Peaceful","Hostile")</x:f>
        <x:v>Hostile</x:v>
      </x:c>
      <x:c r="AB1309" s="30" t="str">
        <x:f>IF(Z1309&lt;='Controls &amp; Summary'!$B$6,"Eligible","Blocked")</x:f>
        <x:v>Blocked</x:v>
      </x:c>
      <x:c r="AC1309" s="30" t="str">
        <x:v>2026_SAU</x:v>
      </x:c>
      <x:c r="AD1309" s="30" t="str">
        <x:v>2026_YEM</x:v>
      </x:c>
      <x:c r="AE1309" s="30" t="str">
        <x:v>2026_Yemen</x:v>
      </x:c>
      <x:c r="AF1309" s="30" t="str">
        <x:v>Explicit capitalClaim</x:v>
      </x:c>
      <x:c r="AG1309" s="30" t="str">
        <x:v>Claim2026_SAU2026_Yemen</x:v>
      </x:c>
      <x:c r="AH1309" s="30" t="str">
        <x:v>Project_GulfCooperationCouncil</x:v>
      </x:c>
    </x:row>
    <x:row r="1310">
      <x:c r="A1310" s="30" t="str">
        <x:v>2026</x:v>
      </x:c>
      <x:c r="B1310" s="30" t="str">
        <x:v>Base game</x:v>
      </x:c>
      <x:c r="C1310" s="30" t="str">
        <x:v>Senegal</x:v>
      </x:c>
      <x:c r="D1310" s="30" t="str">
        <x:v>Gambia</x:v>
      </x:c>
      <x:c r="E1310" s="30" t="str">
        <x:v>Starting claim</x:v>
      </x:c>
      <x:c r="F1310" s="30" t="str"/>
      <x:c r="G1310" s="30" t="str">
        <x:v>No</x:v>
      </x:c>
      <x:c r="H1310" s="30" t="str">
        <x:v>Ordinary claim</x:v>
      </x:c>
      <x:c r="I1310" s="31" t="n">
        <x:f>IF(G1310="Yes",'Controls &amp; Summary'!$B$5,'Controls &amp; Summary'!$B$4)</x:f>
        <x:v>6</x:v>
      </x:c>
      <x:c r="J1310" s="31" t="n">
        <x:v>6.05</x:v>
      </x:c>
      <x:c r="K1310" s="31" t="n">
        <x:v>4.47</x:v>
      </x:c>
      <x:c r="L1310" s="31" t="n">
        <x:f>ABS(J1310-K1310)</x:f>
        <x:v>1.58</x:v>
      </x:c>
      <x:c r="M1310" s="31" t="n">
        <x:v>3.62</x:v>
      </x:c>
      <x:c r="N1310" s="31" t="n">
        <x:v>3.88</x:v>
      </x:c>
      <x:c r="O1310" s="31" t="n">
        <x:f>ABS(M1310-N1310)</x:f>
        <x:v>0.2599999999999998</x:v>
      </x:c>
      <x:c r="P1310" s="31" t="n">
        <x:v>3.47</x:v>
      </x:c>
      <x:c r="Q1310" s="31" t="n">
        <x:v>4.02</x:v>
      </x:c>
      <x:c r="R1310" s="31" t="n">
        <x:f>ABS(P1310-Q1310)</x:f>
        <x:v>0.5499999999999994</x:v>
      </x:c>
      <x:c r="S1310" s="32" t="n">
        <x:v>4790.652417766966</x:v>
      </x:c>
      <x:c r="T1310" s="32" t="n">
        <x:v>3156.5005129887218</x:v>
      </x:c>
      <x:c r="U1310" s="31" t="n">
        <x:f>MAX(S1310/T1310,T1310/S1310)</x:f>
        <x:v>1.517710007666355</x:v>
      </x:c>
      <x:c r="V1310" s="31" t="n">
        <x:f>L1310*'Controls &amp; Summary'!$B$9+O1310*'Controls &amp; Summary'!$B$10+R1310*'Controls &amp; Summary'!$B$11+U1310*'Controls &amp; Summary'!$B$12</x:f>
        <x:v>3.9077100076663545</x:v>
      </x:c>
      <x:c r="W1310" s="31" t="n">
        <x:v>2.9</x:v>
      </x:c>
      <x:c r="X1310" s="31" t="n">
        <x:v>0.5</x:v>
      </x:c>
      <x:c r="Y1310" s="31" t="n">
        <x:f>((10-MIN(10,MAX(0,X1310)))/10)*'Controls &amp; Summary'!$B$15+((10-MIN(10,MAX(0,W1310)))/10)*'Controls &amp; Summary'!$B$16</x:f>
        <x:v>1.66</x:v>
      </x:c>
      <x:c r="Z1310" s="31" t="n">
        <x:f>V1310*Y1310</x:f>
        <x:v>6.486798612726148</x:v>
      </x:c>
      <x:c r="AA1310" s="30" t="str">
        <x:f>IF(Z1310&lt;=I1310,"Peaceful","Hostile")</x:f>
        <x:v>Hostile</x:v>
      </x:c>
      <x:c r="AB1310" s="30" t="str">
        <x:f>IF(Z1310&lt;='Controls &amp; Summary'!$B$6,"Eligible","Blocked")</x:f>
        <x:v>Eligible</x:v>
      </x:c>
      <x:c r="AC1310" s="30" t="str">
        <x:v>2026_SEG</x:v>
      </x:c>
      <x:c r="AD1310" s="30" t="str">
        <x:v>2026_GAM</x:v>
      </x:c>
      <x:c r="AE1310" s="30" t="str">
        <x:v>2026_Gambia</x:v>
      </x:c>
      <x:c r="AF1310" s="30" t="str">
        <x:v>Explicit capitalClaim</x:v>
      </x:c>
      <x:c r="AG1310" s="30" t="str">
        <x:v>Claim2026_SEG2026_Gambia</x:v>
      </x:c>
      <x:c r="AH1310" s="30" t="str"/>
    </x:row>
    <x:row r="1311">
      <x:c r="A1311" s="30" t="str">
        <x:v>2026</x:v>
      </x:c>
      <x:c r="B1311" s="30" t="str">
        <x:v>Base game</x:v>
      </x:c>
      <x:c r="C1311" s="30" t="str">
        <x:v>Serbia</x:v>
      </x:c>
      <x:c r="D1311" s="30" t="str">
        <x:v>Bosnia and Herzegovina</x:v>
      </x:c>
      <x:c r="E1311" s="30" t="str">
        <x:v>Starting claim</x:v>
      </x:c>
      <x:c r="F1311" s="30" t="str"/>
      <x:c r="G1311" s="30" t="str">
        <x:v>Yes</x:v>
      </x:c>
      <x:c r="H1311" s="30" t="str">
        <x:v>Template hostileClaim</x:v>
      </x:c>
      <x:c r="I1311" s="31" t="n">
        <x:f>IF(G1311="Yes",'Controls &amp; Summary'!$B$5,'Controls &amp; Summary'!$B$4)</x:f>
        <x:v>3</x:v>
      </x:c>
      <x:c r="J1311" s="31" t="n">
        <x:v>6.3</x:v>
      </x:c>
      <x:c r="K1311" s="31" t="n">
        <x:v>5.23</x:v>
      </x:c>
      <x:c r="L1311" s="31" t="n">
        <x:f>ABS(J1311-K1311)</x:f>
        <x:v>1.0699999999999994</x:v>
      </x:c>
      <x:c r="M1311" s="31" t="n">
        <x:v>3.31</x:v>
      </x:c>
      <x:c r="N1311" s="31" t="n">
        <x:v>3.3</x:v>
      </x:c>
      <x:c r="O1311" s="31" t="n">
        <x:f>ABS(M1311-N1311)</x:f>
        <x:v>0.010000000000000231</x:v>
      </x:c>
      <x:c r="P1311" s="31" t="n">
        <x:v>7.85</x:v>
      </x:c>
      <x:c r="Q1311" s="31" t="n">
        <x:v>7.18</x:v>
      </x:c>
      <x:c r="R1311" s="31" t="n">
        <x:f>ABS(P1311-Q1311)</x:f>
        <x:v>0.6699999999999999</x:v>
      </x:c>
      <x:c r="S1311" s="32" t="n">
        <x:v>28647.321786146385</x:v>
      </x:c>
      <x:c r="T1311" s="32" t="n">
        <x:v>22225.761517569925</x:v>
      </x:c>
      <x:c r="U1311" s="31" t="n">
        <x:f>MAX(S1311/T1311,T1311/S1311)</x:f>
        <x:v>1.2889241956231774</x:v>
      </x:c>
      <x:c r="V1311" s="31" t="n">
        <x:f>L1311*'Controls &amp; Summary'!$B$9+O1311*'Controls &amp; Summary'!$B$10+R1311*'Controls &amp; Summary'!$B$11+U1311*'Controls &amp; Summary'!$B$12</x:f>
        <x:v>3.038924195623177</x:v>
      </x:c>
      <x:c r="W1311" s="31" t="n">
        <x:v>2.1</x:v>
      </x:c>
      <x:c r="X1311" s="31" t="n">
        <x:v>1</x:v>
      </x:c>
      <x:c r="Y1311" s="31" t="n">
        <x:f>((10-MIN(10,MAX(0,X1311)))/10)*'Controls &amp; Summary'!$B$15+((10-MIN(10,MAX(0,W1311)))/10)*'Controls &amp; Summary'!$B$16</x:f>
        <x:v>1.69</x:v>
      </x:c>
      <x:c r="Z1311" s="31" t="n">
        <x:f>V1311*Y1311</x:f>
        <x:v>5.135781890603169</x:v>
      </x:c>
      <x:c r="AA1311" s="30" t="str">
        <x:f>IF(Z1311&lt;=I1311,"Peaceful","Hostile")</x:f>
        <x:v>Hostile</x:v>
      </x:c>
      <x:c r="AB1311" s="30" t="str">
        <x:f>IF(Z1311&lt;='Controls &amp; Summary'!$B$6,"Eligible","Blocked")</x:f>
        <x:v>Eligible</x:v>
      </x:c>
      <x:c r="AC1311" s="30" t="str">
        <x:v>2026_SER</x:v>
      </x:c>
      <x:c r="AD1311" s="30" t="str">
        <x:v>2026_BSM</x:v>
      </x:c>
      <x:c r="AE1311" s="30" t="str">
        <x:v>2026_Sarajevo</x:v>
      </x:c>
      <x:c r="AF1311" s="30" t="str">
        <x:v>Explicit capitalClaim</x:v>
      </x:c>
      <x:c r="AG1311" s="30" t="str">
        <x:v>Claim2026_SER2026_Sarajevo</x:v>
      </x:c>
      <x:c r="AH1311" s="30" t="str"/>
    </x:row>
    <x:row r="1312">
      <x:c r="A1312" s="30" t="str">
        <x:v>2026</x:v>
      </x:c>
      <x:c r="B1312" s="30" t="str">
        <x:v>Base game</x:v>
      </x:c>
      <x:c r="C1312" s="30" t="str">
        <x:v>Serbia</x:v>
      </x:c>
      <x:c r="D1312" s="30" t="str">
        <x:v>Croatia</x:v>
      </x:c>
      <x:c r="E1312" s="30" t="str">
        <x:v>Starting claim</x:v>
      </x:c>
      <x:c r="F1312" s="30" t="str"/>
      <x:c r="G1312" s="30" t="str">
        <x:v>Yes</x:v>
      </x:c>
      <x:c r="H1312" s="30" t="str">
        <x:v>Template hostileClaim</x:v>
      </x:c>
      <x:c r="I1312" s="31" t="n">
        <x:f>IF(G1312="Yes",'Controls &amp; Summary'!$B$5,'Controls &amp; Summary'!$B$4)</x:f>
        <x:v>3</x:v>
      </x:c>
      <x:c r="J1312" s="31" t="n">
        <x:v>6.3</x:v>
      </x:c>
      <x:c r="K1312" s="31" t="n">
        <x:v>6.5</x:v>
      </x:c>
      <x:c r="L1312" s="31" t="n">
        <x:f>ABS(J1312-K1312)</x:f>
        <x:v>0.20000000000000018</x:v>
      </x:c>
      <x:c r="M1312" s="31" t="n">
        <x:v>3.31</x:v>
      </x:c>
      <x:c r="N1312" s="31" t="n">
        <x:v>2.89</x:v>
      </x:c>
      <x:c r="O1312" s="31" t="n">
        <x:f>ABS(M1312-N1312)</x:f>
        <x:v>0.41999999999999993</x:v>
      </x:c>
      <x:c r="P1312" s="31" t="n">
        <x:v>7.85</x:v>
      </x:c>
      <x:c r="Q1312" s="31" t="n">
        <x:v>8.36</x:v>
      </x:c>
      <x:c r="R1312" s="31" t="n">
        <x:f>ABS(P1312-Q1312)</x:f>
        <x:v>0.5099999999999998</x:v>
      </x:c>
      <x:c r="S1312" s="32" t="n">
        <x:v>28647.321786146385</x:v>
      </x:c>
      <x:c r="T1312" s="32" t="n">
        <x:v>45646.282583074004</x:v>
      </x:c>
      <x:c r="U1312" s="31" t="n">
        <x:f>MAX(S1312/T1312,T1312/S1312)</x:f>
        <x:v>1.5933874350916872</x:v>
      </x:c>
      <x:c r="V1312" s="31" t="n">
        <x:f>L1312*'Controls &amp; Summary'!$B$9+O1312*'Controls &amp; Summary'!$B$10+R1312*'Controls &amp; Summary'!$B$11+U1312*'Controls &amp; Summary'!$B$12</x:f>
        <x:v>2.723387435091687</x:v>
      </x:c>
      <x:c r="W1312" s="31" t="n">
        <x:v>2.1</x:v>
      </x:c>
      <x:c r="X1312" s="31" t="n">
        <x:v>1</x:v>
      </x:c>
      <x:c r="Y1312" s="31" t="n">
        <x:f>((10-MIN(10,MAX(0,X1312)))/10)*'Controls &amp; Summary'!$B$15+((10-MIN(10,MAX(0,W1312)))/10)*'Controls &amp; Summary'!$B$16</x:f>
        <x:v>1.69</x:v>
      </x:c>
      <x:c r="Z1312" s="31" t="n">
        <x:f>V1312*Y1312</x:f>
        <x:v>4.602524765304951</x:v>
      </x:c>
      <x:c r="AA1312" s="30" t="str">
        <x:f>IF(Z1312&lt;=I1312,"Peaceful","Hostile")</x:f>
        <x:v>Hostile</x:v>
      </x:c>
      <x:c r="AB1312" s="30" t="str">
        <x:f>IF(Z1312&lt;='Controls &amp; Summary'!$B$6,"Eligible","Blocked")</x:f>
        <x:v>Eligible</x:v>
      </x:c>
      <x:c r="AC1312" s="30" t="str">
        <x:v>2026_SER</x:v>
      </x:c>
      <x:c r="AD1312" s="30" t="str">
        <x:v>2026_CRS</x:v>
      </x:c>
      <x:c r="AE1312" s="30" t="str">
        <x:v>2026_Zagreb</x:v>
      </x:c>
      <x:c r="AF1312" s="30" t="str">
        <x:v>Explicit capitalClaim</x:v>
      </x:c>
      <x:c r="AG1312" s="30" t="str">
        <x:v>Claim2026_SER2026_Zagreb</x:v>
      </x:c>
      <x:c r="AH1312" s="30" t="str"/>
    </x:row>
    <x:row r="1313">
      <x:c r="A1313" s="30" t="str">
        <x:v>2026</x:v>
      </x:c>
      <x:c r="B1313" s="30" t="str">
        <x:v>Base game</x:v>
      </x:c>
      <x:c r="C1313" s="30" t="str">
        <x:v>Serbia</x:v>
      </x:c>
      <x:c r="D1313" s="30" t="str">
        <x:v>Kosovo</x:v>
      </x:c>
      <x:c r="E1313" s="30" t="str">
        <x:v>Starting claim</x:v>
      </x:c>
      <x:c r="F1313" s="30" t="str"/>
      <x:c r="G1313" s="30" t="str">
        <x:v>Yes</x:v>
      </x:c>
      <x:c r="H1313" s="30" t="str">
        <x:v>Template hostileClaim</x:v>
      </x:c>
      <x:c r="I1313" s="31" t="n">
        <x:f>IF(G1313="Yes",'Controls &amp; Summary'!$B$5,'Controls &amp; Summary'!$B$4)</x:f>
        <x:v>3</x:v>
      </x:c>
      <x:c r="J1313" s="31" t="n">
        <x:v>6.3</x:v>
      </x:c>
      <x:c r="K1313" s="31" t="n">
        <x:v>6</x:v>
      </x:c>
      <x:c r="L1313" s="31" t="n">
        <x:f>ABS(J1313-K1313)</x:f>
        <x:v>0.2999999999999998</x:v>
      </x:c>
      <x:c r="M1313" s="31" t="n">
        <x:v>3.31</x:v>
      </x:c>
      <x:c r="N1313" s="31" t="n">
        <x:v>2.9</x:v>
      </x:c>
      <x:c r="O1313" s="31" t="n">
        <x:f>ABS(M1313-N1313)</x:f>
        <x:v>0.41000000000000014</x:v>
      </x:c>
      <x:c r="P1313" s="31" t="n">
        <x:v>7.85</x:v>
      </x:c>
      <x:c r="Q1313" s="31" t="n">
        <x:v>7.62</x:v>
      </x:c>
      <x:c r="R1313" s="31" t="n">
        <x:f>ABS(P1313-Q1313)</x:f>
        <x:v>0.22999999999999954</x:v>
      </x:c>
      <x:c r="S1313" s="32" t="n">
        <x:v>28647.321786146385</x:v>
      </x:c>
      <x:c r="T1313" s="32" t="n">
        <x:v>16973.99867545855</x:v>
      </x:c>
      <x:c r="U1313" s="31" t="n">
        <x:f>MAX(S1313/T1313,T1313/S1313)</x:f>
        <x:v>1.687717922799501</x:v>
      </x:c>
      <x:c r="V1313" s="31" t="n">
        <x:f>L1313*'Controls &amp; Summary'!$B$9+O1313*'Controls &amp; Summary'!$B$10+R1313*'Controls &amp; Summary'!$B$11+U1313*'Controls &amp; Summary'!$B$12</x:f>
        <x:v>2.6277179227995004</x:v>
      </x:c>
      <x:c r="W1313" s="31" t="n">
        <x:v>2.1</x:v>
      </x:c>
      <x:c r="X1313" s="31" t="n">
        <x:v>1</x:v>
      </x:c>
      <x:c r="Y1313" s="31" t="n">
        <x:f>((10-MIN(10,MAX(0,X1313)))/10)*'Controls &amp; Summary'!$B$15+((10-MIN(10,MAX(0,W1313)))/10)*'Controls &amp; Summary'!$B$16</x:f>
        <x:v>1.69</x:v>
      </x:c>
      <x:c r="Z1313" s="31" t="n">
        <x:f>V1313*Y1313</x:f>
        <x:v>4.440843289531156</x:v>
      </x:c>
      <x:c r="AA1313" s="30" t="str">
        <x:f>IF(Z1313&lt;=I1313,"Peaceful","Hostile")</x:f>
        <x:v>Hostile</x:v>
      </x:c>
      <x:c r="AB1313" s="30" t="str">
        <x:f>IF(Z1313&lt;='Controls &amp; Summary'!$B$6,"Eligible","Blocked")</x:f>
        <x:v>Eligible</x:v>
      </x:c>
      <x:c r="AC1313" s="30" t="str">
        <x:v>2026_SER</x:v>
      </x:c>
      <x:c r="AD1313" s="30" t="str">
        <x:v>2026_KOS</x:v>
      </x:c>
      <x:c r="AE1313" s="30" t="str">
        <x:v>2026_Kosovo</x:v>
      </x:c>
      <x:c r="AF1313" s="30" t="str">
        <x:v>Explicit capitalClaim</x:v>
      </x:c>
      <x:c r="AG1313" s="30" t="str">
        <x:v>Claim2026_SER2026_Kosovo</x:v>
      </x:c>
      <x:c r="AH1313" s="30" t="str"/>
    </x:row>
    <x:row r="1314">
      <x:c r="A1314" s="30" t="str">
        <x:v>2026</x:v>
      </x:c>
      <x:c r="B1314" s="30" t="str">
        <x:v>Base game</x:v>
      </x:c>
      <x:c r="C1314" s="30" t="str">
        <x:v>Serbia</x:v>
      </x:c>
      <x:c r="D1314" s="30" t="str">
        <x:v>Montenegro</x:v>
      </x:c>
      <x:c r="E1314" s="30" t="str">
        <x:v>Starting claim</x:v>
      </x:c>
      <x:c r="F1314" s="30" t="str"/>
      <x:c r="G1314" s="30" t="str">
        <x:v>No</x:v>
      </x:c>
      <x:c r="H1314" s="30" t="str">
        <x:v>Ordinary claim</x:v>
      </x:c>
      <x:c r="I1314" s="31" t="n">
        <x:f>IF(G1314="Yes",'Controls &amp; Summary'!$B$5,'Controls &amp; Summary'!$B$4)</x:f>
        <x:v>6</x:v>
      </x:c>
      <x:c r="J1314" s="31" t="n">
        <x:v>6.3</x:v>
      </x:c>
      <x:c r="K1314" s="31" t="n">
        <x:v>6.73</x:v>
      </x:c>
      <x:c r="L1314" s="31" t="n">
        <x:f>ABS(J1314-K1314)</x:f>
        <x:v>0.4300000000000006</x:v>
      </x:c>
      <x:c r="M1314" s="31" t="n">
        <x:v>3.31</x:v>
      </x:c>
      <x:c r="N1314" s="31" t="n">
        <x:v>3.43</x:v>
      </x:c>
      <x:c r="O1314" s="31" t="n">
        <x:f>ABS(M1314-N1314)</x:f>
        <x:v>0.1200000000000001</x:v>
      </x:c>
      <x:c r="P1314" s="31" t="n">
        <x:v>7.85</x:v>
      </x:c>
      <x:c r="Q1314" s="31" t="n">
        <x:v>8.37</x:v>
      </x:c>
      <x:c r="R1314" s="31" t="n">
        <x:f>ABS(P1314-Q1314)</x:f>
        <x:v>0.5199999999999996</x:v>
      </x:c>
      <x:c r="S1314" s="32" t="n">
        <x:v>28647.321786146385</x:v>
      </x:c>
      <x:c r="T1314" s="32" t="n">
        <x:v>29943.99847979905</x:v>
      </x:c>
      <x:c r="U1314" s="31" t="n">
        <x:f>MAX(S1314/T1314,T1314/S1314)</x:f>
        <x:v>1.0452634526652236</x:v>
      </x:c>
      <x:c r="V1314" s="31" t="n">
        <x:f>L1314*'Controls &amp; Summary'!$B$9+O1314*'Controls &amp; Summary'!$B$10+R1314*'Controls &amp; Summary'!$B$11+U1314*'Controls &amp; Summary'!$B$12</x:f>
        <x:v>2.115263452665224</x:v>
      </x:c>
      <x:c r="W1314" s="31" t="n">
        <x:v>2.1</x:v>
      </x:c>
      <x:c r="X1314" s="31" t="n">
        <x:v>0.5</x:v>
      </x:c>
      <x:c r="Y1314" s="31" t="n">
        <x:f>((10-MIN(10,MAX(0,X1314)))/10)*'Controls &amp; Summary'!$B$15+((10-MIN(10,MAX(0,W1314)))/10)*'Controls &amp; Summary'!$B$16</x:f>
        <x:v>1.74</x:v>
      </x:c>
      <x:c r="Z1314" s="31" t="n">
        <x:f>V1314*Y1314</x:f>
        <x:v>3.68055840763749</x:v>
      </x:c>
      <x:c r="AA1314" s="30" t="str">
        <x:f>IF(Z1314&lt;=I1314,"Peaceful","Hostile")</x:f>
        <x:v>Peaceful</x:v>
      </x:c>
      <x:c r="AB1314" s="30" t="str">
        <x:f>IF(Z1314&lt;='Controls &amp; Summary'!$B$6,"Eligible","Blocked")</x:f>
        <x:v>Eligible</x:v>
      </x:c>
      <x:c r="AC1314" s="30" t="str">
        <x:v>2026_SER</x:v>
      </x:c>
      <x:c r="AD1314" s="30" t="str">
        <x:v>2026_MNE</x:v>
      </x:c>
      <x:c r="AE1314" s="30" t="str">
        <x:v>2026_Montenegro</x:v>
      </x:c>
      <x:c r="AF1314" s="30" t="str">
        <x:v>Explicit capitalClaim</x:v>
      </x:c>
      <x:c r="AG1314" s="30" t="str">
        <x:v>Claim2026_SER2026_Montenegro</x:v>
      </x:c>
      <x:c r="AH1314" s="30" t="str"/>
    </x:row>
    <x:row r="1315">
      <x:c r="A1315" s="30" t="str">
        <x:v>2026</x:v>
      </x:c>
      <x:c r="B1315" s="30" t="str">
        <x:v>Base game</x:v>
      </x:c>
      <x:c r="C1315" s="30" t="str">
        <x:v>Serbia</x:v>
      </x:c>
      <x:c r="D1315" s="30" t="str">
        <x:v>North Macedonia</x:v>
      </x:c>
      <x:c r="E1315" s="30" t="str">
        <x:v>Starting claim</x:v>
      </x:c>
      <x:c r="F1315" s="30" t="str"/>
      <x:c r="G1315" s="30" t="str">
        <x:v>Yes</x:v>
      </x:c>
      <x:c r="H1315" s="30" t="str">
        <x:v>Template hostileClaim</x:v>
      </x:c>
      <x:c r="I1315" s="31" t="n">
        <x:f>IF(G1315="Yes",'Controls &amp; Summary'!$B$5,'Controls &amp; Summary'!$B$4)</x:f>
        <x:v>3</x:v>
      </x:c>
      <x:c r="J1315" s="31" t="n">
        <x:v>6.3</x:v>
      </x:c>
      <x:c r="K1315" s="31" t="n">
        <x:v>6.28</x:v>
      </x:c>
      <x:c r="L1315" s="31" t="n">
        <x:f>ABS(J1315-K1315)</x:f>
        <x:v>0.019999999999999574</x:v>
      </x:c>
      <x:c r="M1315" s="31" t="n">
        <x:v>3.31</x:v>
      </x:c>
      <x:c r="N1315" s="31" t="n">
        <x:v>3.35</x:v>
      </x:c>
      <x:c r="O1315" s="31" t="n">
        <x:f>ABS(M1315-N1315)</x:f>
        <x:v>0.040000000000000036</x:v>
      </x:c>
      <x:c r="P1315" s="31" t="n">
        <x:v>7.85</x:v>
      </x:c>
      <x:c r="Q1315" s="31" t="n">
        <x:v>7.35</x:v>
      </x:c>
      <x:c r="R1315" s="31" t="n">
        <x:f>ABS(P1315-Q1315)</x:f>
        <x:v>0.5</x:v>
      </x:c>
      <x:c r="S1315" s="32" t="n">
        <x:v>28647.321786146385</x:v>
      </x:c>
      <x:c r="T1315" s="32" t="n">
        <x:v>26021.04250239598</x:v>
      </x:c>
      <x:c r="U1315" s="31" t="n">
        <x:f>MAX(S1315/T1315,T1315/S1315)</x:f>
        <x:v>1.1009290570701993</x:v>
      </x:c>
      <x:c r="V1315" s="31" t="n">
        <x:f>L1315*'Controls &amp; Summary'!$B$9+O1315*'Controls &amp; Summary'!$B$10+R1315*'Controls &amp; Summary'!$B$11+U1315*'Controls &amp; Summary'!$B$12</x:f>
        <x:v>1.6609290570701989</x:v>
      </x:c>
      <x:c r="W1315" s="31" t="n">
        <x:v>2.1</x:v>
      </x:c>
      <x:c r="X1315" s="31" t="n">
        <x:v>1</x:v>
      </x:c>
      <x:c r="Y1315" s="31" t="n">
        <x:f>((10-MIN(10,MAX(0,X1315)))/10)*'Controls &amp; Summary'!$B$15+((10-MIN(10,MAX(0,W1315)))/10)*'Controls &amp; Summary'!$B$16</x:f>
        <x:v>1.69</x:v>
      </x:c>
      <x:c r="Z1315" s="31" t="n">
        <x:f>V1315*Y1315</x:f>
        <x:v>2.806970106448636</x:v>
      </x:c>
      <x:c r="AA1315" s="30" t="str">
        <x:f>IF(Z1315&lt;=I1315,"Peaceful","Hostile")</x:f>
        <x:v>Peaceful</x:v>
      </x:c>
      <x:c r="AB1315" s="30" t="str">
        <x:f>IF(Z1315&lt;='Controls &amp; Summary'!$B$6,"Eligible","Blocked")</x:f>
        <x:v>Eligible</x:v>
      </x:c>
      <x:c r="AC1315" s="30" t="str">
        <x:v>2026_SER</x:v>
      </x:c>
      <x:c r="AD1315" s="30" t="str">
        <x:v>2026_MKD</x:v>
      </x:c>
      <x:c r="AE1315" s="30" t="str">
        <x:v>2026_NorthMacedonia</x:v>
      </x:c>
      <x:c r="AF1315" s="30" t="str">
        <x:v>Explicit capitalClaim</x:v>
      </x:c>
      <x:c r="AG1315" s="30" t="str">
        <x:v>Claim2026_SER2026_NorthMacedonia</x:v>
      </x:c>
      <x:c r="AH1315" s="30" t="str"/>
    </x:row>
    <x:row r="1316">
      <x:c r="A1316" s="30" t="str">
        <x:v>2026</x:v>
      </x:c>
      <x:c r="B1316" s="30" t="str">
        <x:v>Base game</x:v>
      </x:c>
      <x:c r="C1316" s="30" t="str">
        <x:v>Serbia</x:v>
      </x:c>
      <x:c r="D1316" s="30" t="str">
        <x:v>Slovenia</x:v>
      </x:c>
      <x:c r="E1316" s="30" t="str">
        <x:v>Starting claim</x:v>
      </x:c>
      <x:c r="F1316" s="30" t="str"/>
      <x:c r="G1316" s="30" t="str">
        <x:v>Yes</x:v>
      </x:c>
      <x:c r="H1316" s="30" t="str">
        <x:v>Template hostileClaim</x:v>
      </x:c>
      <x:c r="I1316" s="31" t="n">
        <x:f>IF(G1316="Yes",'Controls &amp; Summary'!$B$5,'Controls &amp; Summary'!$B$4)</x:f>
        <x:v>3</x:v>
      </x:c>
      <x:c r="J1316" s="31" t="n">
        <x:v>6.3</x:v>
      </x:c>
      <x:c r="K1316" s="31" t="n">
        <x:v>7.82</x:v>
      </x:c>
      <x:c r="L1316" s="31" t="n">
        <x:f>ABS(J1316-K1316)</x:f>
        <x:v>1.5200000000000005</x:v>
      </x:c>
      <x:c r="M1316" s="31" t="n">
        <x:v>3.31</x:v>
      </x:c>
      <x:c r="N1316" s="31" t="n">
        <x:v>2.43</x:v>
      </x:c>
      <x:c r="O1316" s="31" t="n">
        <x:f>ABS(M1316-N1316)</x:f>
        <x:v>0.8799999999999999</x:v>
      </x:c>
      <x:c r="P1316" s="31" t="n">
        <x:v>7.85</x:v>
      </x:c>
      <x:c r="Q1316" s="31" t="n">
        <x:v>8.97</x:v>
      </x:c>
      <x:c r="R1316" s="31" t="n">
        <x:f>ABS(P1316-Q1316)</x:f>
        <x:v>1.120000000000001</x:v>
      </x:c>
      <x:c r="S1316" s="32" t="n">
        <x:v>28647.321786146385</x:v>
      </x:c>
      <x:c r="T1316" s="32" t="n">
        <x:v>51376.135335124396</x:v>
      </x:c>
      <x:c r="U1316" s="31" t="n">
        <x:f>MAX(S1316/T1316,T1316/S1316)</x:f>
        <x:v>1.7934009928973353</x:v>
      </x:c>
      <x:c r="V1316" s="31" t="n">
        <x:f>L1316*'Controls &amp; Summary'!$B$9+O1316*'Controls &amp; Summary'!$B$10+R1316*'Controls &amp; Summary'!$B$11+U1316*'Controls &amp; Summary'!$B$12</x:f>
        <x:v>5.3134009928973365</x:v>
      </x:c>
      <x:c r="W1316" s="31" t="n">
        <x:v>2.1</x:v>
      </x:c>
      <x:c r="X1316" s="31" t="n">
        <x:v>0.5</x:v>
      </x:c>
      <x:c r="Y1316" s="31" t="n">
        <x:f>((10-MIN(10,MAX(0,X1316)))/10)*'Controls &amp; Summary'!$B$15+((10-MIN(10,MAX(0,W1316)))/10)*'Controls &amp; Summary'!$B$16</x:f>
        <x:v>1.74</x:v>
      </x:c>
      <x:c r="Z1316" s="31" t="n">
        <x:f>V1316*Y1316</x:f>
        <x:v>9.245317727641366</x:v>
      </x:c>
      <x:c r="AA1316" s="30" t="str">
        <x:f>IF(Z1316&lt;=I1316,"Peaceful","Hostile")</x:f>
        <x:v>Hostile</x:v>
      </x:c>
      <x:c r="AB1316" s="30" t="str">
        <x:f>IF(Z1316&lt;='Controls &amp; Summary'!$B$6,"Eligible","Blocked")</x:f>
        <x:v>Eligible</x:v>
      </x:c>
      <x:c r="AC1316" s="30" t="str">
        <x:v>2026_SER</x:v>
      </x:c>
      <x:c r="AD1316" s="30" t="str">
        <x:v>2026_SLV</x:v>
      </x:c>
      <x:c r="AE1316" s="30" t="str">
        <x:v>2026_Slovenia</x:v>
      </x:c>
      <x:c r="AF1316" s="30" t="str">
        <x:v>Explicit capitalClaim</x:v>
      </x:c>
      <x:c r="AG1316" s="30" t="str">
        <x:v>Claim2026_SER2026_Slovenia</x:v>
      </x:c>
      <x:c r="AH1316" s="30" t="str"/>
    </x:row>
    <x:row r="1317">
      <x:c r="A1317" s="30" t="str">
        <x:v>2026</x:v>
      </x:c>
      <x:c r="B1317" s="30" t="str">
        <x:v>Base game</x:v>
      </x:c>
      <x:c r="C1317" s="30" t="str">
        <x:v>Somalia</x:v>
      </x:c>
      <x:c r="D1317" s="30" t="str">
        <x:v>Somaliland</x:v>
      </x:c>
      <x:c r="E1317" s="30" t="str">
        <x:v>Starting claim</x:v>
      </x:c>
      <x:c r="F1317" s="30" t="str"/>
      <x:c r="G1317" s="30" t="str">
        <x:v>Yes</x:v>
      </x:c>
      <x:c r="H1317" s="30" t="str">
        <x:v>Template hostileClaim</x:v>
      </x:c>
      <x:c r="I1317" s="31" t="n">
        <x:f>IF(G1317="Yes",'Controls &amp; Summary'!$B$5,'Controls &amp; Summary'!$B$4)</x:f>
        <x:v>3</x:v>
      </x:c>
      <x:c r="J1317" s="31" t="n">
        <x:v>1.4</x:v>
      </x:c>
      <x:c r="K1317" s="31" t="n">
        <x:v>4.7</x:v>
      </x:c>
      <x:c r="L1317" s="31" t="n">
        <x:f>ABS(J1317-K1317)</x:f>
        <x:v>3.3000000000000003</x:v>
      </x:c>
      <x:c r="M1317" s="31" t="n">
        <x:v>4.42</x:v>
      </x:c>
      <x:c r="N1317" s="31" t="n">
        <x:v>3.9</x:v>
      </x:c>
      <x:c r="O1317" s="31" t="n">
        <x:f>ABS(M1317-N1317)</x:f>
        <x:v>0.52</x:v>
      </x:c>
      <x:c r="P1317" s="31" t="n">
        <x:v>2.72</x:v>
      </x:c>
      <x:c r="Q1317" s="31" t="n">
        <x:v>4</x:v>
      </x:c>
      <x:c r="R1317" s="31" t="n">
        <x:f>ABS(P1317-Q1317)</x:f>
        <x:v>1.2799999999999998</x:v>
      </x:c>
      <x:c r="S1317" s="32" t="n">
        <x:v>1679.695371433286</x:v>
      </x:c>
      <x:c r="T1317" s="32" t="n">
        <x:v>1322.4818903001526</x:v>
      </x:c>
      <x:c r="U1317" s="31" t="n">
        <x:f>MAX(S1317/T1317,T1317/S1317)</x:f>
        <x:v>1.2701084103707914</x:v>
      </x:c>
      <x:c r="V1317" s="31" t="n">
        <x:f>L1317*'Controls &amp; Summary'!$B$9+O1317*'Controls &amp; Summary'!$B$10+R1317*'Controls &amp; Summary'!$B$11+U1317*'Controls &amp; Summary'!$B$12</x:f>
        <x:v>6.370108410370791</x:v>
      </x:c>
      <x:c r="W1317" s="31" t="n">
        <x:v>2.13</x:v>
      </x:c>
      <x:c r="X1317" s="31" t="n">
        <x:v>2</x:v>
      </x:c>
      <x:c r="Y1317" s="31" t="n">
        <x:f>((10-MIN(10,MAX(0,X1317)))/10)*'Controls &amp; Summary'!$B$15+((10-MIN(10,MAX(0,W1317)))/10)*'Controls &amp; Summary'!$B$16</x:f>
        <x:v>1.5870000000000002</x:v>
      </x:c>
      <x:c r="Z1317" s="31" t="n">
        <x:f>V1317*Y1317</x:f>
        <x:v>10.109362047258447</x:v>
      </x:c>
      <x:c r="AA1317" s="30" t="str">
        <x:f>IF(Z1317&lt;=I1317,"Peaceful","Hostile")</x:f>
        <x:v>Hostile</x:v>
      </x:c>
      <x:c r="AB1317" s="30" t="str">
        <x:f>IF(Z1317&lt;='Controls &amp; Summary'!$B$6,"Eligible","Blocked")</x:f>
        <x:v>Eligible</x:v>
      </x:c>
      <x:c r="AC1317" s="30" t="str">
        <x:v>2026_SOM</x:v>
      </x:c>
      <x:c r="AD1317" s="30" t="str">
        <x:v>2026_SOL</x:v>
      </x:c>
      <x:c r="AE1317" s="30" t="str">
        <x:v>2026_Somaliland</x:v>
      </x:c>
      <x:c r="AF1317" s="30" t="str">
        <x:v>Explicit capitalClaim</x:v>
      </x:c>
      <x:c r="AG1317" s="30" t="str">
        <x:v>Claim2026_SOM2026_Somaliland</x:v>
      </x:c>
      <x:c r="AH1317" s="30" t="str"/>
    </x:row>
    <x:row r="1318">
      <x:c r="A1318" s="30" t="str">
        <x:v>2026</x:v>
      </x:c>
      <x:c r="B1318" s="30" t="str">
        <x:v>Base game</x:v>
      </x:c>
      <x:c r="C1318" s="30" t="str">
        <x:v>South Africa</x:v>
      </x:c>
      <x:c r="D1318" s="30" t="str">
        <x:v>Angola</x:v>
      </x:c>
      <x:c r="E1318" s="30" t="str">
        <x:v>Project unlock</x:v>
      </x:c>
      <x:c r="F1318" s="30" t="str">
        <x:v>Regional African Unions</x:v>
      </x:c>
      <x:c r="G1318" s="30" t="str">
        <x:v>No</x:v>
      </x:c>
      <x:c r="H1318" s="30" t="str">
        <x:v>Ordinary claim</x:v>
      </x:c>
      <x:c r="I1318" s="31" t="n">
        <x:f>IF(G1318="Yes",'Controls &amp; Summary'!$B$5,'Controls &amp; Summary'!$B$4)</x:f>
        <x:v>6</x:v>
      </x:c>
      <x:c r="J1318" s="31" t="n">
        <x:v>7.16</x:v>
      </x:c>
      <x:c r="K1318" s="31" t="n">
        <x:v>3.94</x:v>
      </x:c>
      <x:c r="L1318" s="31" t="n">
        <x:f>ABS(J1318-K1318)</x:f>
        <x:v>3.22</x:v>
      </x:c>
      <x:c r="M1318" s="31" t="n">
        <x:v>6.3</x:v>
      </x:c>
      <x:c r="N1318" s="31" t="n">
        <x:v>5.13</x:v>
      </x:c>
      <x:c r="O1318" s="31" t="n">
        <x:f>ABS(M1318-N1318)</x:f>
        <x:v>1.17</x:v>
      </x:c>
      <x:c r="P1318" s="31" t="n">
        <x:v>7.53</x:v>
      </x:c>
      <x:c r="Q1318" s="31" t="n">
        <x:v>5.3</x:v>
      </x:c>
      <x:c r="R1318" s="31" t="n">
        <x:f>ABS(P1318-Q1318)</x:f>
        <x:v>2.2300000000000004</x:v>
      </x:c>
      <x:c r="S1318" s="32" t="n">
        <x:v>13070.325752106652</x:v>
      </x:c>
      <x:c r="T1318" s="32" t="n">
        <x:v>8800.070023311348</x:v>
      </x:c>
      <x:c r="U1318" s="31" t="n">
        <x:f>MAX(S1318/T1318,T1318/S1318)</x:f>
        <x:v>1.4852524715693642</x:v>
      </x:c>
      <x:c r="V1318" s="31" t="n">
        <x:f>L1318*'Controls &amp; Summary'!$B$9+O1318*'Controls &amp; Summary'!$B$10+R1318*'Controls &amp; Summary'!$B$11+U1318*'Controls &amp; Summary'!$B$12</x:f>
        <x:v>8.105252471569365</x:v>
      </x:c>
      <x:c r="W1318" s="31" t="n">
        <x:v>2.43</x:v>
      </x:c>
      <x:c r="X1318" s="31" t="n">
        <x:v>2</x:v>
      </x:c>
      <x:c r="Y1318" s="31" t="n">
        <x:f>((10-MIN(10,MAX(0,X1318)))/10)*'Controls &amp; Summary'!$B$15+((10-MIN(10,MAX(0,W1318)))/10)*'Controls &amp; Summary'!$B$16</x:f>
        <x:v>1.557</x:v>
      </x:c>
      <x:c r="Z1318" s="31" t="n">
        <x:f>V1318*Y1318</x:f>
        <x:v>12.619878098233501</x:v>
      </x:c>
      <x:c r="AA1318" s="30" t="str">
        <x:f>IF(Z1318&lt;=I1318,"Peaceful","Hostile")</x:f>
        <x:v>Hostile</x:v>
      </x:c>
      <x:c r="AB1318" s="30" t="str">
        <x:f>IF(Z1318&lt;='Controls &amp; Summary'!$B$6,"Eligible","Blocked")</x:f>
        <x:v>Blocked</x:v>
      </x:c>
      <x:c r="AC1318" s="30" t="str">
        <x:v>2026_ZAF</x:v>
      </x:c>
      <x:c r="AD1318" s="30" t="str">
        <x:v>2026_AGO</x:v>
      </x:c>
      <x:c r="AE1318" s="30" t="str">
        <x:v>2026_Angola</x:v>
      </x:c>
      <x:c r="AF1318" s="30" t="str">
        <x:v>Explicit capitalClaim</x:v>
      </x:c>
      <x:c r="AG1318" s="30" t="str">
        <x:v>Claim2026_ZAF2026_Angola</x:v>
      </x:c>
      <x:c r="AH1318" s="30" t="str">
        <x:v>Project_RegionalAfricanUnions</x:v>
      </x:c>
    </x:row>
    <x:row r="1319">
      <x:c r="A1319" s="30" t="str">
        <x:v>2026</x:v>
      </x:c>
      <x:c r="B1319" s="30" t="str">
        <x:v>Base game</x:v>
      </x:c>
      <x:c r="C1319" s="30" t="str">
        <x:v>South Africa</x:v>
      </x:c>
      <x:c r="D1319" s="30" t="str">
        <x:v>Botswana</x:v>
      </x:c>
      <x:c r="E1319" s="30" t="str">
        <x:v>Project unlock</x:v>
      </x:c>
      <x:c r="F1319" s="30" t="str">
        <x:v>Regional African Unions</x:v>
      </x:c>
      <x:c r="G1319" s="30" t="str">
        <x:v>No</x:v>
      </x:c>
      <x:c r="H1319" s="30" t="str">
        <x:v>Ordinary claim</x:v>
      </x:c>
      <x:c r="I1319" s="31" t="n">
        <x:f>IF(G1319="Yes",'Controls &amp; Summary'!$B$5,'Controls &amp; Summary'!$B$4)</x:f>
        <x:v>6</x:v>
      </x:c>
      <x:c r="J1319" s="31" t="n">
        <x:v>7.16</x:v>
      </x:c>
      <x:c r="K1319" s="31" t="n">
        <x:v>7.63</x:v>
      </x:c>
      <x:c r="L1319" s="31" t="n">
        <x:f>ABS(J1319-K1319)</x:f>
        <x:v>0.46999999999999975</x:v>
      </x:c>
      <x:c r="M1319" s="31" t="n">
        <x:v>6.3</x:v>
      </x:c>
      <x:c r="N1319" s="31" t="n">
        <x:v>5.33</x:v>
      </x:c>
      <x:c r="O1319" s="31" t="n">
        <x:f>ABS(M1319-N1319)</x:f>
        <x:v>0.9699999999999998</x:v>
      </x:c>
      <x:c r="P1319" s="31" t="n">
        <x:v>7.53</x:v>
      </x:c>
      <x:c r="Q1319" s="31" t="n">
        <x:v>6.53</x:v>
      </x:c>
      <x:c r="R1319" s="31" t="n">
        <x:f>ABS(P1319-Q1319)</x:f>
        <x:v>1</x:v>
      </x:c>
      <x:c r="S1319" s="32" t="n">
        <x:v>13070.325752106652</x:v>
      </x:c>
      <x:c r="T1319" s="32" t="n">
        <x:v>17901.93394146397</x:v>
      </x:c>
      <x:c r="U1319" s="31" t="n">
        <x:f>MAX(S1319/T1319,T1319/S1319)</x:f>
        <x:v>1.3696624155353256</x:v>
      </x:c>
      <x:c r="V1319" s="31" t="n">
        <x:f>L1319*'Controls &amp; Summary'!$B$9+O1319*'Controls &amp; Summary'!$B$10+R1319*'Controls &amp; Summary'!$B$11+U1319*'Controls &amp; Summary'!$B$12</x:f>
        <x:v>3.809662415535325</x:v>
      </x:c>
      <x:c r="W1319" s="31" t="n">
        <x:v>2.43</x:v>
      </x:c>
      <x:c r="X1319" s="31" t="n">
        <x:v>0.5</x:v>
      </x:c>
      <x:c r="Y1319" s="31" t="n">
        <x:f>((10-MIN(10,MAX(0,X1319)))/10)*'Controls &amp; Summary'!$B$15+((10-MIN(10,MAX(0,W1319)))/10)*'Controls &amp; Summary'!$B$16</x:f>
        <x:v>1.7069999999999999</x:v>
      </x:c>
      <x:c r="Z1319" s="31" t="n">
        <x:f>V1319*Y1319</x:f>
        <x:v>6.503093743318799</x:v>
      </x:c>
      <x:c r="AA1319" s="30" t="str">
        <x:f>IF(Z1319&lt;=I1319,"Peaceful","Hostile")</x:f>
        <x:v>Hostile</x:v>
      </x:c>
      <x:c r="AB1319" s="30" t="str">
        <x:f>IF(Z1319&lt;='Controls &amp; Summary'!$B$6,"Eligible","Blocked")</x:f>
        <x:v>Eligible</x:v>
      </x:c>
      <x:c r="AC1319" s="30" t="str">
        <x:v>2026_ZAF</x:v>
      </x:c>
      <x:c r="AD1319" s="30" t="str">
        <x:v>2026_BWA</x:v>
      </x:c>
      <x:c r="AE1319" s="30" t="str">
        <x:v>2026_Botswana</x:v>
      </x:c>
      <x:c r="AF1319" s="30" t="str">
        <x:v>Explicit capitalClaim</x:v>
      </x:c>
      <x:c r="AG1319" s="30" t="str">
        <x:v>Claim2026_ZAF2026_Botswana</x:v>
      </x:c>
      <x:c r="AH1319" s="30" t="str">
        <x:v>Project_RegionalAfricanUnions</x:v>
      </x:c>
    </x:row>
    <x:row r="1320">
      <x:c r="A1320" s="30" t="str">
        <x:v>2026</x:v>
      </x:c>
      <x:c r="B1320" s="30" t="str">
        <x:v>Base game</x:v>
      </x:c>
      <x:c r="C1320" s="30" t="str">
        <x:v>South Africa</x:v>
      </x:c>
      <x:c r="D1320" s="30" t="str">
        <x:v>Congo</x:v>
      </x:c>
      <x:c r="E1320" s="30" t="str">
        <x:v>Project unlock</x:v>
      </x:c>
      <x:c r="F1320" s="30" t="str">
        <x:v>Regional African Unions</x:v>
      </x:c>
      <x:c r="G1320" s="30" t="str">
        <x:v>No</x:v>
      </x:c>
      <x:c r="H1320" s="30" t="str">
        <x:v>Ordinary claim</x:v>
      </x:c>
      <x:c r="I1320" s="31" t="n">
        <x:f>IF(G1320="Yes",'Controls &amp; Summary'!$B$5,'Controls &amp; Summary'!$B$4)</x:f>
        <x:v>6</x:v>
      </x:c>
      <x:c r="J1320" s="31" t="n">
        <x:v>7.16</x:v>
      </x:c>
      <x:c r="K1320" s="31" t="n">
        <x:v>1.92</x:v>
      </x:c>
      <x:c r="L1320" s="31" t="n">
        <x:f>ABS(J1320-K1320)</x:f>
        <x:v>5.24</x:v>
      </x:c>
      <x:c r="M1320" s="31" t="n">
        <x:v>6.3</x:v>
      </x:c>
      <x:c r="N1320" s="31" t="n">
        <x:v>4.47</x:v>
      </x:c>
      <x:c r="O1320" s="31" t="n">
        <x:f>ABS(M1320-N1320)</x:f>
        <x:v>1.83</x:v>
      </x:c>
      <x:c r="P1320" s="31" t="n">
        <x:v>7.53</x:v>
      </x:c>
      <x:c r="Q1320" s="31" t="n">
        <x:v>5.4</x:v>
      </x:c>
      <x:c r="R1320" s="31" t="n">
        <x:f>ABS(P1320-Q1320)</x:f>
        <x:v>2.13</x:v>
      </x:c>
      <x:c r="S1320" s="32" t="n">
        <x:v>13070.325752106652</x:v>
      </x:c>
      <x:c r="T1320" s="32" t="n">
        <x:v>1517.0933451626258</x:v>
      </x:c>
      <x:c r="U1320" s="31" t="n">
        <x:f>MAX(S1320/T1320,T1320/S1320)</x:f>
        <x:v>8.615373466492644</x:v>
      </x:c>
      <x:c r="V1320" s="31" t="n">
        <x:f>L1320*'Controls &amp; Summary'!$B$9+O1320*'Controls &amp; Summary'!$B$10+R1320*'Controls &amp; Summary'!$B$11+U1320*'Controls &amp; Summary'!$B$12</x:f>
        <x:v>17.815373466492645</x:v>
      </x:c>
      <x:c r="W1320" s="31" t="n">
        <x:v>2.43</x:v>
      </x:c>
      <x:c r="X1320" s="31" t="n">
        <x:v>5.5</x:v>
      </x:c>
      <x:c r="Y1320" s="31" t="n">
        <x:f>((10-MIN(10,MAX(0,X1320)))/10)*'Controls &amp; Summary'!$B$15+((10-MIN(10,MAX(0,W1320)))/10)*'Controls &amp; Summary'!$B$16</x:f>
        <x:v>1.207</x:v>
      </x:c>
      <x:c r="Z1320" s="31" t="n">
        <x:f>V1320*Y1320</x:f>
        <x:v>21.503155774056623</x:v>
      </x:c>
      <x:c r="AA1320" s="30" t="str">
        <x:f>IF(Z1320&lt;=I1320,"Peaceful","Hostile")</x:f>
        <x:v>Hostile</x:v>
      </x:c>
      <x:c r="AB1320" s="30" t="str">
        <x:f>IF(Z1320&lt;='Controls &amp; Summary'!$B$6,"Eligible","Blocked")</x:f>
        <x:v>Blocked</x:v>
      </x:c>
      <x:c r="AC1320" s="30" t="str">
        <x:v>2026_ZAF</x:v>
      </x:c>
      <x:c r="AD1320" s="30" t="str">
        <x:v>2026_COD</x:v>
      </x:c>
      <x:c r="AE1320" s="30" t="str">
        <x:v>2026_Kinshasa</x:v>
      </x:c>
      <x:c r="AF1320" s="30" t="str">
        <x:v>Explicit capitalClaim</x:v>
      </x:c>
      <x:c r="AG1320" s="30" t="str">
        <x:v>Claim2026_ZAF2026_Kinshasa</x:v>
      </x:c>
      <x:c r="AH1320" s="30" t="str">
        <x:v>Project_RegionalAfricanUnions</x:v>
      </x:c>
    </x:row>
    <x:row r="1321">
      <x:c r="A1321" s="30" t="str">
        <x:v>2026</x:v>
      </x:c>
      <x:c r="B1321" s="30" t="str">
        <x:v>Base game</x:v>
      </x:c>
      <x:c r="C1321" s="30" t="str">
        <x:v>South Africa</x:v>
      </x:c>
      <x:c r="D1321" s="30" t="str">
        <x:v>Eswatini</x:v>
      </x:c>
      <x:c r="E1321" s="30" t="str">
        <x:v>Project unlock</x:v>
      </x:c>
      <x:c r="F1321" s="30" t="str">
        <x:v>Regional African Unions</x:v>
      </x:c>
      <x:c r="G1321" s="30" t="str">
        <x:v>No</x:v>
      </x:c>
      <x:c r="H1321" s="30" t="str">
        <x:v>Ordinary claim</x:v>
      </x:c>
      <x:c r="I1321" s="31" t="n">
        <x:f>IF(G1321="Yes",'Controls &amp; Summary'!$B$5,'Controls &amp; Summary'!$B$4)</x:f>
        <x:v>6</x:v>
      </x:c>
      <x:c r="J1321" s="31" t="n">
        <x:v>7.16</x:v>
      </x:c>
      <x:c r="K1321" s="31" t="n">
        <x:v>2.6</x:v>
      </x:c>
      <x:c r="L1321" s="31" t="n">
        <x:f>ABS(J1321-K1321)</x:f>
        <x:v>4.5600000000000005</x:v>
      </x:c>
      <x:c r="M1321" s="31" t="n">
        <x:v>6.3</x:v>
      </x:c>
      <x:c r="N1321" s="31" t="n">
        <x:v>5.46</x:v>
      </x:c>
      <x:c r="O1321" s="31" t="n">
        <x:f>ABS(M1321-N1321)</x:f>
        <x:v>0.8399999999999999</x:v>
      </x:c>
      <x:c r="P1321" s="31" t="n">
        <x:v>7.53</x:v>
      </x:c>
      <x:c r="Q1321" s="31" t="n">
        <x:v>6.97</x:v>
      </x:c>
      <x:c r="R1321" s="31" t="n">
        <x:f>ABS(P1321-Q1321)</x:f>
        <x:v>0.5600000000000005</x:v>
      </x:c>
      <x:c r="S1321" s="32" t="n">
        <x:v>13070.325752106652</x:v>
      </x:c>
      <x:c r="T1321" s="32" t="n">
        <x:v>11310.988070329067</x:v>
      </x:c>
      <x:c r="U1321" s="31" t="n">
        <x:f>MAX(S1321/T1321,T1321/S1321)</x:f>
        <x:v>1.155542351458461</x:v>
      </x:c>
      <x:c r="V1321" s="31" t="n">
        <x:f>L1321*'Controls &amp; Summary'!$B$9+O1321*'Controls &amp; Summary'!$B$10+R1321*'Controls &amp; Summary'!$B$11+U1321*'Controls &amp; Summary'!$B$12</x:f>
        <x:v>7.115542351458462</x:v>
      </x:c>
      <x:c r="W1321" s="31" t="n">
        <x:v>2.43</x:v>
      </x:c>
      <x:c r="X1321" s="31" t="n">
        <x:v>1</x:v>
      </x:c>
      <x:c r="Y1321" s="31" t="n">
        <x:f>((10-MIN(10,MAX(0,X1321)))/10)*'Controls &amp; Summary'!$B$15+((10-MIN(10,MAX(0,W1321)))/10)*'Controls &amp; Summary'!$B$16</x:f>
        <x:v>1.657</x:v>
      </x:c>
      <x:c r="Z1321" s="31" t="n">
        <x:f>V1321*Y1321</x:f>
        <x:v>11.790453676366672</x:v>
      </x:c>
      <x:c r="AA1321" s="30" t="str">
        <x:f>IF(Z1321&lt;=I1321,"Peaceful","Hostile")</x:f>
        <x:v>Hostile</x:v>
      </x:c>
      <x:c r="AB1321" s="30" t="str">
        <x:f>IF(Z1321&lt;='Controls &amp; Summary'!$B$6,"Eligible","Blocked")</x:f>
        <x:v>Eligible</x:v>
      </x:c>
      <x:c r="AC1321" s="30" t="str">
        <x:v>2026_ZAF</x:v>
      </x:c>
      <x:c r="AD1321" s="30" t="str">
        <x:v>2026_ESW</x:v>
      </x:c>
      <x:c r="AE1321" s="30" t="str">
        <x:v>2026_Eswatini</x:v>
      </x:c>
      <x:c r="AF1321" s="30" t="str">
        <x:v>Explicit capitalClaim</x:v>
      </x:c>
      <x:c r="AG1321" s="30" t="str">
        <x:v>Claim2026_ZAF2026_Eswatini</x:v>
      </x:c>
      <x:c r="AH1321" s="30" t="str">
        <x:v>Project_RegionalAfricanUnions</x:v>
      </x:c>
    </x:row>
    <x:row r="1322">
      <x:c r="A1322" s="30" t="str">
        <x:v>2026</x:v>
      </x:c>
      <x:c r="B1322" s="30" t="str">
        <x:v>Base game</x:v>
      </x:c>
      <x:c r="C1322" s="30" t="str">
        <x:v>South Africa</x:v>
      </x:c>
      <x:c r="D1322" s="30" t="str">
        <x:v>Lesotho</x:v>
      </x:c>
      <x:c r="E1322" s="30" t="str">
        <x:v>Starting claim</x:v>
      </x:c>
      <x:c r="F1322" s="30" t="str"/>
      <x:c r="G1322" s="30" t="str">
        <x:v>No</x:v>
      </x:c>
      <x:c r="H1322" s="30" t="str">
        <x:v>Ordinary claim</x:v>
      </x:c>
      <x:c r="I1322" s="31" t="n">
        <x:f>IF(G1322="Yes",'Controls &amp; Summary'!$B$5,'Controls &amp; Summary'!$B$4)</x:f>
        <x:v>6</x:v>
      </x:c>
      <x:c r="J1322" s="31" t="n">
        <x:v>7.16</x:v>
      </x:c>
      <x:c r="K1322" s="31" t="n">
        <x:v>6.23</x:v>
      </x:c>
      <x:c r="L1322" s="31" t="n">
        <x:f>ABS(J1322-K1322)</x:f>
        <x:v>0.9299999999999997</x:v>
      </x:c>
      <x:c r="M1322" s="31" t="n">
        <x:v>6.3</x:v>
      </x:c>
      <x:c r="N1322" s="31" t="n">
        <x:v>4.49</x:v>
      </x:c>
      <x:c r="O1322" s="31" t="n">
        <x:f>ABS(M1322-N1322)</x:f>
        <x:v>1.8099999999999996</x:v>
      </x:c>
      <x:c r="P1322" s="31" t="n">
        <x:v>7.53</x:v>
      </x:c>
      <x:c r="Q1322" s="31" t="n">
        <x:v>5.53</x:v>
      </x:c>
      <x:c r="R1322" s="31" t="n">
        <x:f>ABS(P1322-Q1322)</x:f>
        <x:v>2</x:v>
      </x:c>
      <x:c r="S1322" s="32" t="n">
        <x:v>13070.325752106652</x:v>
      </x:c>
      <x:c r="T1322" s="32" t="n">
        <x:v>2729.126418385694</x:v>
      </x:c>
      <x:c r="U1322" s="31" t="n">
        <x:f>MAX(S1322/T1322,T1322/S1322)</x:f>
        <x:v>4.78919762164696</x:v>
      </x:c>
      <x:c r="V1322" s="31" t="n">
        <x:f>L1322*'Controls &amp; Summary'!$B$9+O1322*'Controls &amp; Summary'!$B$10+R1322*'Controls &amp; Summary'!$B$11+U1322*'Controls &amp; Summary'!$B$12</x:f>
        <x:v>9.52919762164696</x:v>
      </x:c>
      <x:c r="W1322" s="31" t="n">
        <x:v>2.43</x:v>
      </x:c>
      <x:c r="X1322" s="31" t="n">
        <x:v>1</x:v>
      </x:c>
      <x:c r="Y1322" s="31" t="n">
        <x:f>((10-MIN(10,MAX(0,X1322)))/10)*'Controls &amp; Summary'!$B$15+((10-MIN(10,MAX(0,W1322)))/10)*'Controls &amp; Summary'!$B$16</x:f>
        <x:v>1.657</x:v>
      </x:c>
      <x:c r="Z1322" s="31" t="n">
        <x:f>V1322*Y1322</x:f>
        <x:v>15.789880459069012</x:v>
      </x:c>
      <x:c r="AA1322" s="30" t="str">
        <x:f>IF(Z1322&lt;=I1322,"Peaceful","Hostile")</x:f>
        <x:v>Hostile</x:v>
      </x:c>
      <x:c r="AB1322" s="30" t="str">
        <x:f>IF(Z1322&lt;='Controls &amp; Summary'!$B$6,"Eligible","Blocked")</x:f>
        <x:v>Blocked</x:v>
      </x:c>
      <x:c r="AC1322" s="30" t="str">
        <x:v>2026_ZAF</x:v>
      </x:c>
      <x:c r="AD1322" s="30" t="str">
        <x:v>2026_LES</x:v>
      </x:c>
      <x:c r="AE1322" s="30" t="str">
        <x:v>2026_Lesotho</x:v>
      </x:c>
      <x:c r="AF1322" s="30" t="str">
        <x:v>Explicit capitalClaim</x:v>
      </x:c>
      <x:c r="AG1322" s="30" t="str">
        <x:v>Claim2026_ZAF2026_Lesotho</x:v>
      </x:c>
      <x:c r="AH1322" s="30" t="str"/>
    </x:row>
    <x:row r="1323">
      <x:c r="A1323" s="30" t="str">
        <x:v>2026</x:v>
      </x:c>
      <x:c r="B1323" s="30" t="str">
        <x:v>Base game</x:v>
      </x:c>
      <x:c r="C1323" s="30" t="str">
        <x:v>South Africa</x:v>
      </x:c>
      <x:c r="D1323" s="30" t="str">
        <x:v>Malawi</x:v>
      </x:c>
      <x:c r="E1323" s="30" t="str">
        <x:v>Project unlock</x:v>
      </x:c>
      <x:c r="F1323" s="30" t="str">
        <x:v>Regional African Unions</x:v>
      </x:c>
      <x:c r="G1323" s="30" t="str">
        <x:v>No</x:v>
      </x:c>
      <x:c r="H1323" s="30" t="str">
        <x:v>Ordinary claim</x:v>
      </x:c>
      <x:c r="I1323" s="31" t="n">
        <x:f>IF(G1323="Yes",'Controls &amp; Summary'!$B$5,'Controls &amp; Summary'!$B$4)</x:f>
        <x:v>6</x:v>
      </x:c>
      <x:c r="J1323" s="31" t="n">
        <x:v>7.16</x:v>
      </x:c>
      <x:c r="K1323" s="31" t="n">
        <x:v>6.1</x:v>
      </x:c>
      <x:c r="L1323" s="31" t="n">
        <x:f>ABS(J1323-K1323)</x:f>
        <x:v>1.0600000000000005</x:v>
      </x:c>
      <x:c r="M1323" s="31" t="n">
        <x:v>6.3</x:v>
      </x:c>
      <x:c r="N1323" s="31" t="n">
        <x:v>3.85</x:v>
      </x:c>
      <x:c r="O1323" s="31" t="n">
        <x:f>ABS(M1323-N1323)</x:f>
        <x:v>2.4499999999999997</x:v>
      </x:c>
      <x:c r="P1323" s="31" t="n">
        <x:v>7.53</x:v>
      </x:c>
      <x:c r="Q1323" s="31" t="n">
        <x:v>4.43</x:v>
      </x:c>
      <x:c r="R1323" s="31" t="n">
        <x:f>ABS(P1323-Q1323)</x:f>
        <x:v>3.1000000000000005</x:v>
      </x:c>
      <x:c r="S1323" s="32" t="n">
        <x:v>13070.325752106652</x:v>
      </x:c>
      <x:c r="T1323" s="32" t="n">
        <x:v>1651.8971356169604</x:v>
      </x:c>
      <x:c r="U1323" s="31" t="n">
        <x:f>MAX(S1323/T1323,T1323/S1323)</x:f>
        <x:v>7.912312135116736</x:v>
      </x:c>
      <x:c r="V1323" s="31" t="n">
        <x:f>L1323*'Controls &amp; Summary'!$B$9+O1323*'Controls &amp; Summary'!$B$10+R1323*'Controls &amp; Summary'!$B$11+U1323*'Controls &amp; Summary'!$B$12</x:f>
        <x:v>14.522312135116737</x:v>
      </x:c>
      <x:c r="W1323" s="31" t="n">
        <x:v>2.43</x:v>
      </x:c>
      <x:c r="X1323" s="31" t="n">
        <x:v>2.5</x:v>
      </x:c>
      <x:c r="Y1323" s="31" t="n">
        <x:f>((10-MIN(10,MAX(0,X1323)))/10)*'Controls &amp; Summary'!$B$15+((10-MIN(10,MAX(0,W1323)))/10)*'Controls &amp; Summary'!$B$16</x:f>
        <x:v>1.5070000000000001</x:v>
      </x:c>
      <x:c r="Z1323" s="31" t="n">
        <x:f>V1323*Y1323</x:f>
        <x:v>21.885124387620923</x:v>
      </x:c>
      <x:c r="AA1323" s="30" t="str">
        <x:f>IF(Z1323&lt;=I1323,"Peaceful","Hostile")</x:f>
        <x:v>Hostile</x:v>
      </x:c>
      <x:c r="AB1323" s="30" t="str">
        <x:f>IF(Z1323&lt;='Controls &amp; Summary'!$B$6,"Eligible","Blocked")</x:f>
        <x:v>Blocked</x:v>
      </x:c>
      <x:c r="AC1323" s="30" t="str">
        <x:v>2026_ZAF</x:v>
      </x:c>
      <x:c r="AD1323" s="30" t="str">
        <x:v>2026_MAL</x:v>
      </x:c>
      <x:c r="AE1323" s="30" t="str">
        <x:v>2026_Malawi</x:v>
      </x:c>
      <x:c r="AF1323" s="30" t="str">
        <x:v>Explicit capitalClaim</x:v>
      </x:c>
      <x:c r="AG1323" s="30" t="str">
        <x:v>Claim2026_ZAF2026_Malawi</x:v>
      </x:c>
      <x:c r="AH1323" s="30" t="str">
        <x:v>Project_RegionalAfricanUnions</x:v>
      </x:c>
    </x:row>
    <x:row r="1324">
      <x:c r="A1324" s="30" t="str">
        <x:v>2026</x:v>
      </x:c>
      <x:c r="B1324" s="30" t="str">
        <x:v>Base game</x:v>
      </x:c>
      <x:c r="C1324" s="30" t="str">
        <x:v>South Africa</x:v>
      </x:c>
      <x:c r="D1324" s="30" t="str">
        <x:v>Mozambique</x:v>
      </x:c>
      <x:c r="E1324" s="30" t="str">
        <x:v>Project unlock</x:v>
      </x:c>
      <x:c r="F1324" s="30" t="str">
        <x:v>Regional African Unions</x:v>
      </x:c>
      <x:c r="G1324" s="30" t="str">
        <x:v>No</x:v>
      </x:c>
      <x:c r="H1324" s="30" t="str">
        <x:v>Ordinary claim</x:v>
      </x:c>
      <x:c r="I1324" s="31" t="n">
        <x:f>IF(G1324="Yes",'Controls &amp; Summary'!$B$5,'Controls &amp; Summary'!$B$4)</x:f>
        <x:v>6</x:v>
      </x:c>
      <x:c r="J1324" s="31" t="n">
        <x:v>7.16</x:v>
      </x:c>
      <x:c r="K1324" s="31" t="n">
        <x:v>3.38</x:v>
      </x:c>
      <x:c r="L1324" s="31" t="n">
        <x:f>ABS(J1324-K1324)</x:f>
        <x:v>3.7800000000000002</x:v>
      </x:c>
      <x:c r="M1324" s="31" t="n">
        <x:v>6.3</x:v>
      </x:c>
      <x:c r="N1324" s="31" t="n">
        <x:v>5.03</x:v>
      </x:c>
      <x:c r="O1324" s="31" t="n">
        <x:f>ABS(M1324-N1324)</x:f>
        <x:v>1.2699999999999996</x:v>
      </x:c>
      <x:c r="P1324" s="31" t="n">
        <x:v>7.53</x:v>
      </x:c>
      <x:c r="Q1324" s="31" t="n">
        <x:v>4.47</x:v>
      </x:c>
      <x:c r="R1324" s="31" t="n">
        <x:f>ABS(P1324-Q1324)</x:f>
        <x:v>3.0600000000000005</x:v>
      </x:c>
      <x:c r="S1324" s="32" t="n">
        <x:v>13070.325752106652</x:v>
      </x:c>
      <x:c r="T1324" s="32" t="n">
        <x:v>1487.9601994014658</x:v>
      </x:c>
      <x:c r="U1324" s="31" t="n">
        <x:f>MAX(S1324/T1324,T1324/S1324)</x:f>
        <x:v>8.784056023383025</x:v>
      </x:c>
      <x:c r="V1324" s="31" t="n">
        <x:f>L1324*'Controls &amp; Summary'!$B$9+O1324*'Controls &amp; Summary'!$B$10+R1324*'Controls &amp; Summary'!$B$11+U1324*'Controls &amp; Summary'!$B$12</x:f>
        <x:v>16.894056023383023</x:v>
      </x:c>
      <x:c r="W1324" s="31" t="n">
        <x:v>2.43</x:v>
      </x:c>
      <x:c r="X1324" s="31" t="n">
        <x:v>4</x:v>
      </x:c>
      <x:c r="Y1324" s="31" t="n">
        <x:f>((10-MIN(10,MAX(0,X1324)))/10)*'Controls &amp; Summary'!$B$15+((10-MIN(10,MAX(0,W1324)))/10)*'Controls &amp; Summary'!$B$16</x:f>
        <x:v>1.357</x:v>
      </x:c>
      <x:c r="Z1324" s="31" t="n">
        <x:f>V1324*Y1324</x:f>
        <x:v>22.925234023730763</x:v>
      </x:c>
      <x:c r="AA1324" s="30" t="str">
        <x:f>IF(Z1324&lt;=I1324,"Peaceful","Hostile")</x:f>
        <x:v>Hostile</x:v>
      </x:c>
      <x:c r="AB1324" s="30" t="str">
        <x:f>IF(Z1324&lt;='Controls &amp; Summary'!$B$6,"Eligible","Blocked")</x:f>
        <x:v>Blocked</x:v>
      </x:c>
      <x:c r="AC1324" s="30" t="str">
        <x:v>2026_ZAF</x:v>
      </x:c>
      <x:c r="AD1324" s="30" t="str">
        <x:v>2026_MOZ</x:v>
      </x:c>
      <x:c r="AE1324" s="30" t="str">
        <x:v>2026_Mozambique</x:v>
      </x:c>
      <x:c r="AF1324" s="30" t="str">
        <x:v>Explicit capitalClaim</x:v>
      </x:c>
      <x:c r="AG1324" s="30" t="str">
        <x:v>Claim2026_ZAF2026_Mozambique</x:v>
      </x:c>
      <x:c r="AH1324" s="30" t="str">
        <x:v>Project_RegionalAfricanUnions</x:v>
      </x:c>
    </x:row>
    <x:row r="1325">
      <x:c r="A1325" s="30" t="str">
        <x:v>2026</x:v>
      </x:c>
      <x:c r="B1325" s="30" t="str">
        <x:v>Base game</x:v>
      </x:c>
      <x:c r="C1325" s="30" t="str">
        <x:v>South Africa</x:v>
      </x:c>
      <x:c r="D1325" s="30" t="str">
        <x:v>Namibia</x:v>
      </x:c>
      <x:c r="E1325" s="30" t="str">
        <x:v>Project unlock</x:v>
      </x:c>
      <x:c r="F1325" s="30" t="str">
        <x:v>Regional African Unions</x:v>
      </x:c>
      <x:c r="G1325" s="30" t="str">
        <x:v>No</x:v>
      </x:c>
      <x:c r="H1325" s="30" t="str">
        <x:v>Ordinary claim</x:v>
      </x:c>
      <x:c r="I1325" s="31" t="n">
        <x:f>IF(G1325="Yes",'Controls &amp; Summary'!$B$5,'Controls &amp; Summary'!$B$4)</x:f>
        <x:v>6</x:v>
      </x:c>
      <x:c r="J1325" s="31" t="n">
        <x:v>7.16</x:v>
      </x:c>
      <x:c r="K1325" s="31" t="n">
        <x:v>6.48</x:v>
      </x:c>
      <x:c r="L1325" s="31" t="n">
        <x:f>ABS(J1325-K1325)</x:f>
        <x:v>0.6799999999999997</x:v>
      </x:c>
      <x:c r="M1325" s="31" t="n">
        <x:v>6.3</x:v>
      </x:c>
      <x:c r="N1325" s="31" t="n">
        <x:v>5.91</x:v>
      </x:c>
      <x:c r="O1325" s="31" t="n">
        <x:f>ABS(M1325-N1325)</x:f>
        <x:v>0.3899999999999997</x:v>
      </x:c>
      <x:c r="P1325" s="31" t="n">
        <x:v>7.53</x:v>
      </x:c>
      <x:c r="Q1325" s="31" t="n">
        <x:v>5.61</x:v>
      </x:c>
      <x:c r="R1325" s="31" t="n">
        <x:f>ABS(P1325-Q1325)</x:f>
        <x:v>1.92</x:v>
      </x:c>
      <x:c r="S1325" s="32" t="n">
        <x:v>13070.325752106652</x:v>
      </x:c>
      <x:c r="T1325" s="32" t="n">
        <x:v>10529.035793591747</x:v>
      </x:c>
      <x:c r="U1325" s="31" t="n">
        <x:f>MAX(S1325/T1325,T1325/S1325)</x:f>
        <x:v>1.241360178494369</x:v>
      </x:c>
      <x:c r="V1325" s="31" t="n">
        <x:f>L1325*'Controls &amp; Summary'!$B$9+O1325*'Controls &amp; Summary'!$B$10+R1325*'Controls &amp; Summary'!$B$11+U1325*'Controls &amp; Summary'!$B$12</x:f>
        <x:v>4.231360178494368</x:v>
      </x:c>
      <x:c r="W1325" s="31" t="n">
        <x:v>2.43</x:v>
      </x:c>
      <x:c r="X1325" s="31" t="n">
        <x:v>1</x:v>
      </x:c>
      <x:c r="Y1325" s="31" t="n">
        <x:f>((10-MIN(10,MAX(0,X1325)))/10)*'Controls &amp; Summary'!$B$15+((10-MIN(10,MAX(0,W1325)))/10)*'Controls &amp; Summary'!$B$16</x:f>
        <x:v>1.657</x:v>
      </x:c>
      <x:c r="Z1325" s="31" t="n">
        <x:f>V1325*Y1325</x:f>
        <x:v>7.0113638157651685</x:v>
      </x:c>
      <x:c r="AA1325" s="30" t="str">
        <x:f>IF(Z1325&lt;=I1325,"Peaceful","Hostile")</x:f>
        <x:v>Hostile</x:v>
      </x:c>
      <x:c r="AB1325" s="30" t="str">
        <x:f>IF(Z1325&lt;='Controls &amp; Summary'!$B$6,"Eligible","Blocked")</x:f>
        <x:v>Eligible</x:v>
      </x:c>
      <x:c r="AC1325" s="30" t="str">
        <x:v>2026_ZAF</x:v>
      </x:c>
      <x:c r="AD1325" s="30" t="str">
        <x:v>2026_SWA</x:v>
      </x:c>
      <x:c r="AE1325" s="30" t="str">
        <x:v>2026_Namibia</x:v>
      </x:c>
      <x:c r="AF1325" s="30" t="str">
        <x:v>Explicit capitalClaim</x:v>
      </x:c>
      <x:c r="AG1325" s="30" t="str">
        <x:v>Claim2026_ZAF2026_Namibia</x:v>
      </x:c>
      <x:c r="AH1325" s="30" t="str">
        <x:v>Project_RegionalAfricanUnions</x:v>
      </x:c>
    </x:row>
    <x:row r="1326">
      <x:c r="A1326" s="30" t="str">
        <x:v>2026</x:v>
      </x:c>
      <x:c r="B1326" s="30" t="str">
        <x:v>Base game</x:v>
      </x:c>
      <x:c r="C1326" s="30" t="str">
        <x:v>South Africa</x:v>
      </x:c>
      <x:c r="D1326" s="30" t="str">
        <x:v>Zambia</x:v>
      </x:c>
      <x:c r="E1326" s="30" t="str">
        <x:v>Project unlock</x:v>
      </x:c>
      <x:c r="F1326" s="30" t="str">
        <x:v>Regional African Unions</x:v>
      </x:c>
      <x:c r="G1326" s="30" t="str">
        <x:v>No</x:v>
      </x:c>
      <x:c r="H1326" s="30" t="str">
        <x:v>Ordinary claim</x:v>
      </x:c>
      <x:c r="I1326" s="31" t="n">
        <x:f>IF(G1326="Yes",'Controls &amp; Summary'!$B$5,'Controls &amp; Summary'!$B$4)</x:f>
        <x:v>6</x:v>
      </x:c>
      <x:c r="J1326" s="31" t="n">
        <x:v>7.16</x:v>
      </x:c>
      <x:c r="K1326" s="31" t="n">
        <x:v>5.82</x:v>
      </x:c>
      <x:c r="L1326" s="31" t="n">
        <x:f>ABS(J1326-K1326)</x:f>
        <x:v>1.3399999999999999</x:v>
      </x:c>
      <x:c r="M1326" s="31" t="n">
        <x:v>6.3</x:v>
      </x:c>
      <x:c r="N1326" s="31" t="n">
        <x:v>5.15</x:v>
      </x:c>
      <x:c r="O1326" s="31" t="n">
        <x:f>ABS(M1326-N1326)</x:f>
        <x:v>1.1499999999999995</x:v>
      </x:c>
      <x:c r="P1326" s="31" t="n">
        <x:v>7.53</x:v>
      </x:c>
      <x:c r="Q1326" s="31" t="n">
        <x:v>5.43</x:v>
      </x:c>
      <x:c r="R1326" s="31" t="n">
        <x:f>ABS(P1326-Q1326)</x:f>
        <x:v>2.1000000000000005</x:v>
      </x:c>
      <x:c r="S1326" s="32" t="n">
        <x:v>13070.325752106652</x:v>
      </x:c>
      <x:c r="T1326" s="32" t="n">
        <x:v>3835.215440827301</x:v>
      </x:c>
      <x:c r="U1326" s="31" t="n">
        <x:f>MAX(S1326/T1326,T1326/S1326)</x:f>
        <x:v>3.4079769321348032</x:v>
      </x:c>
      <x:c r="V1326" s="31" t="n">
        <x:f>L1326*'Controls &amp; Summary'!$B$9+O1326*'Controls &amp; Summary'!$B$10+R1326*'Controls &amp; Summary'!$B$11+U1326*'Controls &amp; Summary'!$B$12</x:f>
        <x:v>7.997976932134803</x:v>
      </x:c>
      <x:c r="W1326" s="31" t="n">
        <x:v>2.43</x:v>
      </x:c>
      <x:c r="X1326" s="31" t="n">
        <x:v>1</x:v>
      </x:c>
      <x:c r="Y1326" s="31" t="n">
        <x:f>((10-MIN(10,MAX(0,X1326)))/10)*'Controls &amp; Summary'!$B$15+((10-MIN(10,MAX(0,W1326)))/10)*'Controls &amp; Summary'!$B$16</x:f>
        <x:v>1.657</x:v>
      </x:c>
      <x:c r="Z1326" s="31" t="n">
        <x:f>V1326*Y1326</x:f>
        <x:v>13.252647776547368</x:v>
      </x:c>
      <x:c r="AA1326" s="30" t="str">
        <x:f>IF(Z1326&lt;=I1326,"Peaceful","Hostile")</x:f>
        <x:v>Hostile</x:v>
      </x:c>
      <x:c r="AB1326" s="30" t="str">
        <x:f>IF(Z1326&lt;='Controls &amp; Summary'!$B$6,"Eligible","Blocked")</x:f>
        <x:v>Blocked</x:v>
      </x:c>
      <x:c r="AC1326" s="30" t="str">
        <x:v>2026_ZAF</x:v>
      </x:c>
      <x:c r="AD1326" s="30" t="str">
        <x:v>2026_ZMB</x:v>
      </x:c>
      <x:c r="AE1326" s="30" t="str">
        <x:v>2026_Zambia</x:v>
      </x:c>
      <x:c r="AF1326" s="30" t="str">
        <x:v>Explicit capitalClaim</x:v>
      </x:c>
      <x:c r="AG1326" s="30" t="str">
        <x:v>Claim2026_ZAF2026_Zambia</x:v>
      </x:c>
      <x:c r="AH1326" s="30" t="str">
        <x:v>Project_RegionalAfricanUnions</x:v>
      </x:c>
    </x:row>
    <x:row r="1327">
      <x:c r="A1327" s="30" t="str">
        <x:v>2026</x:v>
      </x:c>
      <x:c r="B1327" s="30" t="str">
        <x:v>Base game</x:v>
      </x:c>
      <x:c r="C1327" s="30" t="str">
        <x:v>South Africa</x:v>
      </x:c>
      <x:c r="D1327" s="30" t="str">
        <x:v>Zimbabwe</x:v>
      </x:c>
      <x:c r="E1327" s="30" t="str">
        <x:v>Project unlock</x:v>
      </x:c>
      <x:c r="F1327" s="30" t="str">
        <x:v>Regional African Unions</x:v>
      </x:c>
      <x:c r="G1327" s="30" t="str">
        <x:v>No</x:v>
      </x:c>
      <x:c r="H1327" s="30" t="str">
        <x:v>Ordinary claim</x:v>
      </x:c>
      <x:c r="I1327" s="31" t="n">
        <x:f>IF(G1327="Yes",'Controls &amp; Summary'!$B$5,'Controls &amp; Summary'!$B$4)</x:f>
        <x:v>6</x:v>
      </x:c>
      <x:c r="J1327" s="31" t="n">
        <x:v>7.16</x:v>
      </x:c>
      <x:c r="K1327" s="31" t="n">
        <x:v>2.98</x:v>
      </x:c>
      <x:c r="L1327" s="31" t="n">
        <x:f>ABS(J1327-K1327)</x:f>
        <x:v>4.18</x:v>
      </x:c>
      <x:c r="M1327" s="31" t="n">
        <x:v>6.3</x:v>
      </x:c>
      <x:c r="N1327" s="31" t="n">
        <x:v>5.03</x:v>
      </x:c>
      <x:c r="O1327" s="31" t="n">
        <x:f>ABS(M1327-N1327)</x:f>
        <x:v>1.2699999999999996</x:v>
      </x:c>
      <x:c r="P1327" s="31" t="n">
        <x:v>7.53</x:v>
      </x:c>
      <x:c r="Q1327" s="31" t="n">
        <x:v>5.94</x:v>
      </x:c>
      <x:c r="R1327" s="31" t="n">
        <x:f>ABS(P1327-Q1327)</x:f>
        <x:v>1.5899999999999999</x:v>
      </x:c>
      <x:c r="S1327" s="32" t="n">
        <x:v>13070.325752106652</x:v>
      </x:c>
      <x:c r="T1327" s="32" t="n">
        <x:v>4782.244329201011</x:v>
      </x:c>
      <x:c r="U1327" s="31" t="n">
        <x:f>MAX(S1327/T1327,T1327/S1327)</x:f>
        <x:v>2.7330945163754032</x:v>
      </x:c>
      <x:c r="V1327" s="31" t="n">
        <x:f>L1327*'Controls &amp; Summary'!$B$9+O1327*'Controls &amp; Summary'!$B$10+R1327*'Controls &amp; Summary'!$B$11+U1327*'Controls &amp; Summary'!$B$12</x:f>
        <x:v>9.773094516375401</x:v>
      </x:c>
      <x:c r="W1327" s="31" t="n">
        <x:v>2.43</x:v>
      </x:c>
      <x:c r="X1327" s="31" t="n">
        <x:v>1.25</x:v>
      </x:c>
      <x:c r="Y1327" s="31" t="n">
        <x:f>((10-MIN(10,MAX(0,X1327)))/10)*'Controls &amp; Summary'!$B$15+((10-MIN(10,MAX(0,W1327)))/10)*'Controls &amp; Summary'!$B$16</x:f>
        <x:v>1.6320000000000001</x:v>
      </x:c>
      <x:c r="Z1327" s="31" t="n">
        <x:f>V1327*Y1327</x:f>
        <x:v>15.949690250724656</x:v>
      </x:c>
      <x:c r="AA1327" s="30" t="str">
        <x:f>IF(Z1327&lt;=I1327,"Peaceful","Hostile")</x:f>
        <x:v>Hostile</x:v>
      </x:c>
      <x:c r="AB1327" s="30" t="str">
        <x:f>IF(Z1327&lt;='Controls &amp; Summary'!$B$6,"Eligible","Blocked")</x:f>
        <x:v>Blocked</x:v>
      </x:c>
      <x:c r="AC1327" s="30" t="str">
        <x:v>2026_ZAF</x:v>
      </x:c>
      <x:c r="AD1327" s="30" t="str">
        <x:v>2026_ZWE</x:v>
      </x:c>
      <x:c r="AE1327" s="30" t="str">
        <x:v>2026_Zimbabwe</x:v>
      </x:c>
      <x:c r="AF1327" s="30" t="str">
        <x:v>Explicit capitalClaim</x:v>
      </x:c>
      <x:c r="AG1327" s="30" t="str">
        <x:v>Claim2026_ZAF2026_Zimbabwe</x:v>
      </x:c>
      <x:c r="AH1327" s="30" t="str">
        <x:v>Project_RegionalAfricanUnions</x:v>
      </x:c>
    </x:row>
    <x:row r="1328">
      <x:c r="A1328" s="30" t="str">
        <x:v>2026</x:v>
      </x:c>
      <x:c r="B1328" s="30" t="str">
        <x:v>Base game</x:v>
      </x:c>
      <x:c r="C1328" s="30" t="str">
        <x:v>South Korea</x:v>
      </x:c>
      <x:c r="D1328" s="30" t="str">
        <x:v>North Korea</x:v>
      </x:c>
      <x:c r="E1328" s="30" t="str">
        <x:v>Starting claim</x:v>
      </x:c>
      <x:c r="F1328" s="30" t="str"/>
      <x:c r="G1328" s="30" t="str">
        <x:v>Yes</x:v>
      </x:c>
      <x:c r="H1328" s="30" t="str">
        <x:v>Approved bilateral grievance</x:v>
      </x:c>
      <x:c r="I1328" s="31" t="n">
        <x:f>IF(G1328="Yes",'Controls &amp; Summary'!$B$5,'Controls &amp; Summary'!$B$4)</x:f>
        <x:v>3</x:v>
      </x:c>
      <x:c r="J1328" s="31" t="n">
        <x:v>7.75</x:v>
      </x:c>
      <x:c r="K1328" s="31" t="n">
        <x:v>1.08</x:v>
      </x:c>
      <x:c r="L1328" s="31" t="n">
        <x:f>ABS(J1328-K1328)</x:f>
        <x:v>6.67</x:v>
      </x:c>
      <x:c r="M1328" s="31" t="n">
        <x:v>3.29</x:v>
      </x:c>
      <x:c r="N1328" s="31" t="n">
        <x:v>8.6</x:v>
      </x:c>
      <x:c r="O1328" s="31" t="n">
        <x:f>ABS(M1328-N1328)</x:f>
        <x:v>5.31</x:v>
      </x:c>
      <x:c r="P1328" s="31" t="n">
        <x:v>8.64</x:v>
      </x:c>
      <x:c r="Q1328" s="31" t="n">
        <x:v>4.85</x:v>
      </x:c>
      <x:c r="R1328" s="31" t="n">
        <x:f>ABS(P1328-Q1328)</x:f>
        <x:v>3.790000000000001</x:v>
      </x:c>
      <x:c r="S1328" s="32" t="n">
        <x:v>57360.20279537433</x:v>
      </x:c>
      <x:c r="T1328" s="32" t="n">
        <x:v>6241.452332573806</x:v>
      </x:c>
      <x:c r="U1328" s="31" t="n">
        <x:f>MAX(S1328/T1328,T1328/S1328)</x:f>
        <x:v>9.190201212627146</x:v>
      </x:c>
      <x:c r="V1328" s="31" t="n">
        <x:f>L1328*'Controls &amp; Summary'!$B$9+O1328*'Controls &amp; Summary'!$B$10+R1328*'Controls &amp; Summary'!$B$11+U1328*'Controls &amp; Summary'!$B$12</x:f>
        <x:v>24.960201212627148</x:v>
      </x:c>
      <x:c r="W1328" s="31" t="n">
        <x:v>5.83</x:v>
      </x:c>
      <x:c r="X1328" s="31" t="n">
        <x:v>0.5</x:v>
      </x:c>
      <x:c r="Y1328" s="31" t="n">
        <x:f>((10-MIN(10,MAX(0,X1328)))/10)*'Controls &amp; Summary'!$B$15+((10-MIN(10,MAX(0,W1328)))/10)*'Controls &amp; Summary'!$B$16</x:f>
        <x:v>1.367</x:v>
      </x:c>
      <x:c r="Z1328" s="31" t="n">
        <x:f>V1328*Y1328</x:f>
        <x:v>34.12059505766131</x:v>
      </x:c>
      <x:c r="AA1328" s="30" t="str">
        <x:f>IF(Z1328&lt;=I1328,"Peaceful","Hostile")</x:f>
        <x:v>Hostile</x:v>
      </x:c>
      <x:c r="AB1328" s="30" t="str">
        <x:f>IF(Z1328&lt;='Controls &amp; Summary'!$B$6,"Eligible","Blocked")</x:f>
        <x:v>Blocked</x:v>
      </x:c>
      <x:c r="AC1328" s="30" t="str">
        <x:v>2026_KOR</x:v>
      </x:c>
      <x:c r="AD1328" s="30" t="str">
        <x:v>2026_PRK</x:v>
      </x:c>
      <x:c r="AE1328" s="30" t="str">
        <x:v>2026_NorthKorea</x:v>
      </x:c>
      <x:c r="AF1328" s="30" t="str">
        <x:v>Explicit capitalClaim</x:v>
      </x:c>
      <x:c r="AG1328" s="30" t="str">
        <x:v>Claim2026_KOR2026_NorthKorea</x:v>
      </x:c>
      <x:c r="AH1328" s="30" t="str"/>
    </x:row>
    <x:row r="1329">
      <x:c r="A1329" s="30" t="str">
        <x:v>2026</x:v>
      </x:c>
      <x:c r="B1329" s="30" t="str">
        <x:v>Base game</x:v>
      </x:c>
      <x:c r="C1329" s="30" t="str">
        <x:v>South Yemen</x:v>
      </x:c>
      <x:c r="D1329" s="30" t="str">
        <x:v>Yemen</x:v>
      </x:c>
      <x:c r="E1329" s="30" t="str">
        <x:v>Starting claim</x:v>
      </x:c>
      <x:c r="F1329" s="30" t="str"/>
      <x:c r="G1329" s="30" t="str">
        <x:v>No</x:v>
      </x:c>
      <x:c r="H1329" s="30" t="str">
        <x:v>Ordinary claim</x:v>
      </x:c>
      <x:c r="I1329" s="31" t="n">
        <x:f>IF(G1329="Yes",'Controls &amp; Summary'!$B$5,'Controls &amp; Summary'!$B$4)</x:f>
        <x:v>6</x:v>
      </x:c>
      <x:c r="J1329" s="31" t="n">
        <x:v>2.02</x:v>
      </x:c>
      <x:c r="K1329" s="31" t="n">
        <x:v>1.95</x:v>
      </x:c>
      <x:c r="L1329" s="31" t="n">
        <x:f>ABS(J1329-K1329)</x:f>
        <x:v>0.07000000000000006</x:v>
      </x:c>
      <x:c r="M1329" s="31" t="n">
        <x:v>3.58</x:v>
      </x:c>
      <x:c r="N1329" s="31" t="n">
        <x:v>3.67</x:v>
      </x:c>
      <x:c r="O1329" s="31" t="n">
        <x:f>ABS(M1329-N1329)</x:f>
        <x:v>0.08999999999999986</x:v>
      </x:c>
      <x:c r="P1329" s="31" t="n">
        <x:v>3.02</x:v>
      </x:c>
      <x:c r="Q1329" s="31" t="n">
        <x:v>3.88</x:v>
      </x:c>
      <x:c r="R1329" s="31" t="n">
        <x:f>ABS(P1329-Q1329)</x:f>
        <x:v>0.8599999999999999</x:v>
      </x:c>
      <x:c r="S1329" s="32" t="n">
        <x:v>2866.0351001998747</x:v>
      </x:c>
      <x:c r="T1329" s="32" t="n">
        <x:v>886.9282118672596</x:v>
      </x:c>
      <x:c r="U1329" s="31" t="n">
        <x:f>MAX(S1329/T1329,T1329/S1329)</x:f>
        <x:v>3.2314172239103542</x:v>
      </x:c>
      <x:c r="V1329" s="31" t="n">
        <x:f>L1329*'Controls &amp; Summary'!$B$9+O1329*'Controls &amp; Summary'!$B$10+R1329*'Controls &amp; Summary'!$B$11+U1329*'Controls &amp; Summary'!$B$12</x:f>
        <x:v>4.251417223910354</x:v>
      </x:c>
      <x:c r="W1329" s="31" t="n">
        <x:v>3.45</x:v>
      </x:c>
      <x:c r="X1329" s="31" t="n">
        <x:v>5.25</x:v>
      </x:c>
      <x:c r="Y1329" s="31" t="n">
        <x:f>((10-MIN(10,MAX(0,X1329)))/10)*'Controls &amp; Summary'!$B$15+((10-MIN(10,MAX(0,W1329)))/10)*'Controls &amp; Summary'!$B$16</x:f>
        <x:v>1.13</x:v>
      </x:c>
      <x:c r="Z1329" s="31" t="n">
        <x:f>V1329*Y1329</x:f>
        <x:v>4.8041014630187</x:v>
      </x:c>
      <x:c r="AA1329" s="30" t="str">
        <x:f>IF(Z1329&lt;=I1329,"Peaceful","Hostile")</x:f>
        <x:v>Peaceful</x:v>
      </x:c>
      <x:c r="AB1329" s="30" t="str">
        <x:f>IF(Z1329&lt;='Controls &amp; Summary'!$B$6,"Eligible","Blocked")</x:f>
        <x:v>Eligible</x:v>
      </x:c>
      <x:c r="AC1329" s="30" t="str">
        <x:v>2026_YMS</x:v>
      </x:c>
      <x:c r="AD1329" s="30" t="str">
        <x:v>2026_YEM</x:v>
      </x:c>
      <x:c r="AE1329" s="30" t="str">
        <x:v>2026_Yemen</x:v>
      </x:c>
      <x:c r="AF1329" s="30" t="str">
        <x:v>Explicit capitalClaim</x:v>
      </x:c>
      <x:c r="AG1329" s="30" t="str">
        <x:v>Claim2026_YMS2026_Yemen</x:v>
      </x:c>
      <x:c r="AH1329" s="30" t="str"/>
    </x:row>
    <x:row r="1330">
      <x:c r="A1330" s="30" t="str">
        <x:v>2026</x:v>
      </x:c>
      <x:c r="B1330" s="30" t="str">
        <x:v>Base game</x:v>
      </x:c>
      <x:c r="C1330" s="30" t="str">
        <x:v>Sudan</x:v>
      </x:c>
      <x:c r="D1330" s="30" t="str">
        <x:v>South Sudan</x:v>
      </x:c>
      <x:c r="E1330" s="30" t="str">
        <x:v>Starting claim</x:v>
      </x:c>
      <x:c r="F1330" s="30" t="str"/>
      <x:c r="G1330" s="30" t="str">
        <x:v>Yes</x:v>
      </x:c>
      <x:c r="H1330" s="30" t="str">
        <x:v>Template hostileClaim</x:v>
      </x:c>
      <x:c r="I1330" s="31" t="n">
        <x:f>IF(G1330="Yes",'Controls &amp; Summary'!$B$5,'Controls &amp; Summary'!$B$4)</x:f>
        <x:v>3</x:v>
      </x:c>
      <x:c r="J1330" s="31" t="n">
        <x:v>1.46</x:v>
      </x:c>
      <x:c r="K1330" s="31" t="n">
        <x:v>0.7</x:v>
      </x:c>
      <x:c r="L1330" s="31" t="n">
        <x:f>ABS(J1330-K1330)</x:f>
        <x:v>0.76</x:v>
      </x:c>
      <x:c r="M1330" s="31" t="n">
        <x:v>3.42</x:v>
      </x:c>
      <x:c r="N1330" s="31" t="n">
        <x:v>4.41</x:v>
      </x:c>
      <x:c r="O1330" s="31" t="n">
        <x:f>ABS(M1330-N1330)</x:f>
        <x:v>0.9900000000000002</x:v>
      </x:c>
      <x:c r="P1330" s="31" t="n">
        <x:v>3.69</x:v>
      </x:c>
      <x:c r="Q1330" s="31" t="n">
        <x:v>3.43</x:v>
      </x:c>
      <x:c r="R1330" s="31" t="n">
        <x:f>ABS(P1330-Q1330)</x:f>
        <x:v>0.2599999999999998</x:v>
      </x:c>
      <x:c r="S1330" s="32" t="n">
        <x:v>1945.1004732885347</x:v>
      </x:c>
      <x:c r="T1330" s="32" t="n">
        <x:v>805.6971847221105</x:v>
      </x:c>
      <x:c r="U1330" s="31" t="n">
        <x:f>MAX(S1330/T1330,T1330/S1330)</x:f>
        <x:v>2.4141830332439485</x:v>
      </x:c>
      <x:c r="V1330" s="31" t="n">
        <x:f>L1330*'Controls &amp; Summary'!$B$9+O1330*'Controls &amp; Summary'!$B$10+R1330*'Controls &amp; Summary'!$B$11+U1330*'Controls &amp; Summary'!$B$12</x:f>
        <x:v>4.424183033243948</x:v>
      </x:c>
      <x:c r="W1330" s="31" t="n">
        <x:v>2.18</x:v>
      </x:c>
      <x:c r="X1330" s="31" t="n">
        <x:v>5.25</x:v>
      </x:c>
      <x:c r="Y1330" s="31" t="n">
        <x:f>((10-MIN(10,MAX(0,X1330)))/10)*'Controls &amp; Summary'!$B$15+((10-MIN(10,MAX(0,W1330)))/10)*'Controls &amp; Summary'!$B$16</x:f>
        <x:v>1.2570000000000001</x:v>
      </x:c>
      <x:c r="Z1330" s="31" t="n">
        <x:f>V1330*Y1330</x:f>
        <x:v>5.5611980727876436</x:v>
      </x:c>
      <x:c r="AA1330" s="30" t="str">
        <x:f>IF(Z1330&lt;=I1330,"Peaceful","Hostile")</x:f>
        <x:v>Hostile</x:v>
      </x:c>
      <x:c r="AB1330" s="30" t="str">
        <x:f>IF(Z1330&lt;='Controls &amp; Summary'!$B$6,"Eligible","Blocked")</x:f>
        <x:v>Eligible</x:v>
      </x:c>
      <x:c r="AC1330" s="30" t="str">
        <x:v>2026_SDN</x:v>
      </x:c>
      <x:c r="AD1330" s="30" t="str">
        <x:v>2026_SSD</x:v>
      </x:c>
      <x:c r="AE1330" s="30" t="str">
        <x:v>2026_SouthSudan</x:v>
      </x:c>
      <x:c r="AF1330" s="30" t="str">
        <x:v>Explicit capitalClaim</x:v>
      </x:c>
      <x:c r="AG1330" s="30" t="str">
        <x:v>Claim2026_SDN2026_SouthSudan</x:v>
      </x:c>
      <x:c r="AH1330" s="30" t="str"/>
    </x:row>
    <x:row r="1331">
      <x:c r="A1331" s="30" t="str">
        <x:v>2026</x:v>
      </x:c>
      <x:c r="B1331" s="30" t="str">
        <x:v>Base game</x:v>
      </x:c>
      <x:c r="C1331" s="30" t="str">
        <x:v>Sweden</x:v>
      </x:c>
      <x:c r="D1331" s="30" t="str">
        <x:v>Denmark</x:v>
      </x:c>
      <x:c r="E1331" s="30" t="str">
        <x:v>Project unlock</x:v>
      </x:c>
      <x:c r="F1331" s="30" t="str">
        <x:v>Nordic Federation</x:v>
      </x:c>
      <x:c r="G1331" s="30" t="str">
        <x:v>No</x:v>
      </x:c>
      <x:c r="H1331" s="30" t="str">
        <x:v>Ordinary claim</x:v>
      </x:c>
      <x:c r="I1331" s="31" t="n">
        <x:f>IF(G1331="Yes",'Controls &amp; Summary'!$B$5,'Controls &amp; Summary'!$B$4)</x:f>
        <x:v>6</x:v>
      </x:c>
      <x:c r="J1331" s="31" t="n">
        <x:v>9.35</x:v>
      </x:c>
      <x:c r="K1331" s="31" t="n">
        <x:v>9.42</x:v>
      </x:c>
      <x:c r="L1331" s="31" t="n">
        <x:f>ABS(J1331-K1331)</x:f>
        <x:v>0.07000000000000028</x:v>
      </x:c>
      <x:c r="M1331" s="31" t="n">
        <x:v>2.98</x:v>
      </x:c>
      <x:c r="N1331" s="31" t="n">
        <x:v>2.83</x:v>
      </x:c>
      <x:c r="O1331" s="31" t="n">
        <x:f>ABS(M1331-N1331)</x:f>
        <x:v>0.1499999999999999</x:v>
      </x:c>
      <x:c r="P1331" s="31" t="n">
        <x:v>9.28</x:v>
      </x:c>
      <x:c r="Q1331" s="31" t="n">
        <x:v>9.3</x:v>
      </x:c>
      <x:c r="R1331" s="31" t="n">
        <x:f>ABS(P1331-Q1331)</x:f>
        <x:v>0.02000000000000135</x:v>
      </x:c>
      <x:c r="S1331" s="32" t="n">
        <x:v>71066.01279295381</x:v>
      </x:c>
      <x:c r="T1331" s="32" t="n">
        <x:v>83593.50327812343</x:v>
      </x:c>
      <x:c r="U1331" s="31" t="n">
        <x:f>MAX(S1331/T1331,T1331/S1331)</x:f>
        <x:v>1.1762796306255094</x:v>
      </x:c>
      <x:c r="V1331" s="31" t="n">
        <x:f>L1331*'Controls &amp; Summary'!$B$9+O1331*'Controls &amp; Summary'!$B$10+R1331*'Controls &amp; Summary'!$B$11+U1331*'Controls &amp; Summary'!$B$12</x:f>
        <x:v>1.416279630625511</x:v>
      </x:c>
      <x:c r="W1331" s="31" t="n">
        <x:v>6.87</x:v>
      </x:c>
      <x:c r="X1331" s="31" t="n">
        <x:v>0.5</x:v>
      </x:c>
      <x:c r="Y1331" s="31" t="n">
        <x:f>((10-MIN(10,MAX(0,X1331)))/10)*'Controls &amp; Summary'!$B$15+((10-MIN(10,MAX(0,W1331)))/10)*'Controls &amp; Summary'!$B$16</x:f>
        <x:v>1.263</x:v>
      </x:c>
      <x:c r="Z1331" s="31" t="n">
        <x:f>V1331*Y1331</x:f>
        <x:v>1.7887611734800202</x:v>
      </x:c>
      <x:c r="AA1331" s="30" t="str">
        <x:f>IF(Z1331&lt;=I1331,"Peaceful","Hostile")</x:f>
        <x:v>Peaceful</x:v>
      </x:c>
      <x:c r="AB1331" s="30" t="str">
        <x:f>IF(Z1331&lt;='Controls &amp; Summary'!$B$6,"Eligible","Blocked")</x:f>
        <x:v>Eligible</x:v>
      </x:c>
      <x:c r="AC1331" s="30" t="str">
        <x:v>2026_SCA</x:v>
      </x:c>
      <x:c r="AD1331" s="30" t="str">
        <x:v>2026_DEN</x:v>
      </x:c>
      <x:c r="AE1331" s="30" t="str">
        <x:v>2026_Denmark</x:v>
      </x:c>
      <x:c r="AF1331" s="30" t="str">
        <x:v>Explicit capitalClaim</x:v>
      </x:c>
      <x:c r="AG1331" s="30" t="str">
        <x:v>Claim2026_SCA2026_Denmark</x:v>
      </x:c>
      <x:c r="AH1331" s="30" t="str">
        <x:v>Project_NordicFederation</x:v>
      </x:c>
    </x:row>
    <x:row r="1332">
      <x:c r="A1332" s="30" t="str">
        <x:v>2026</x:v>
      </x:c>
      <x:c r="B1332" s="30" t="str">
        <x:v>Base game</x:v>
      </x:c>
      <x:c r="C1332" s="30" t="str">
        <x:v>Sweden</x:v>
      </x:c>
      <x:c r="D1332" s="30" t="str">
        <x:v>Estonia</x:v>
      </x:c>
      <x:c r="E1332" s="30" t="str">
        <x:v>Project unlock</x:v>
      </x:c>
      <x:c r="F1332" s="30" t="str">
        <x:v>Nordic Federation</x:v>
      </x:c>
      <x:c r="G1332" s="30" t="str">
        <x:v>No</x:v>
      </x:c>
      <x:c r="H1332" s="30" t="str">
        <x:v>Ordinary claim</x:v>
      </x:c>
      <x:c r="I1332" s="31" t="n">
        <x:f>IF(G1332="Yes",'Controls &amp; Summary'!$B$5,'Controls &amp; Summary'!$B$4)</x:f>
        <x:v>6</x:v>
      </x:c>
      <x:c r="J1332" s="31" t="n">
        <x:v>9.35</x:v>
      </x:c>
      <x:c r="K1332" s="31" t="n">
        <x:v>8.07</x:v>
      </x:c>
      <x:c r="L1332" s="31" t="n">
        <x:f>ABS(J1332-K1332)</x:f>
        <x:v>1.2799999999999994</x:v>
      </x:c>
      <x:c r="M1332" s="31" t="n">
        <x:v>2.98</x:v>
      </x:c>
      <x:c r="N1332" s="31" t="n">
        <x:v>3.18</x:v>
      </x:c>
      <x:c r="O1332" s="31" t="n">
        <x:f>ABS(M1332-N1332)</x:f>
        <x:v>0.20000000000000018</x:v>
      </x:c>
      <x:c r="P1332" s="31" t="n">
        <x:v>9.28</x:v>
      </x:c>
      <x:c r="Q1332" s="31" t="n">
        <x:v>8.76</x:v>
      </x:c>
      <x:c r="R1332" s="31" t="n">
        <x:f>ABS(P1332-Q1332)</x:f>
        <x:v>0.5199999999999996</x:v>
      </x:c>
      <x:c r="S1332" s="32" t="n">
        <x:v>71066.01279295381</x:v>
      </x:c>
      <x:c r="T1332" s="32" t="n">
        <x:v>45111.94820376511</x:v>
      </x:c>
      <x:c r="U1332" s="31" t="n">
        <x:f>MAX(S1332/T1332,T1332/S1332)</x:f>
        <x:v>1.5753257312665236</x:v>
      </x:c>
      <x:c r="V1332" s="31" t="n">
        <x:f>L1332*'Controls &amp; Summary'!$B$9+O1332*'Controls &amp; Summary'!$B$10+R1332*'Controls &amp; Summary'!$B$11+U1332*'Controls &amp; Summary'!$B$12</x:f>
        <x:v>3.5753257312665228</x:v>
      </x:c>
      <x:c r="W1332" s="31" t="n">
        <x:v>6.87</x:v>
      </x:c>
      <x:c r="X1332" s="31" t="n">
        <x:v>0</x:v>
      </x:c>
      <x:c r="Y1332" s="31" t="n">
        <x:f>((10-MIN(10,MAX(0,X1332)))/10)*'Controls &amp; Summary'!$B$15+((10-MIN(10,MAX(0,W1332)))/10)*'Controls &amp; Summary'!$B$16</x:f>
        <x:v>1.313</x:v>
      </x:c>
      <x:c r="Z1332" s="31" t="n">
        <x:f>V1332*Y1332</x:f>
        <x:v>4.694402685152944</x:v>
      </x:c>
      <x:c r="AA1332" s="30" t="str">
        <x:f>IF(Z1332&lt;=I1332,"Peaceful","Hostile")</x:f>
        <x:v>Peaceful</x:v>
      </x:c>
      <x:c r="AB1332" s="30" t="str">
        <x:f>IF(Z1332&lt;='Controls &amp; Summary'!$B$6,"Eligible","Blocked")</x:f>
        <x:v>Eligible</x:v>
      </x:c>
      <x:c r="AC1332" s="30" t="str">
        <x:v>2026_SCA</x:v>
      </x:c>
      <x:c r="AD1332" s="30" t="str">
        <x:v>2026_EST</x:v>
      </x:c>
      <x:c r="AE1332" s="30" t="str">
        <x:v>2026_Estonia</x:v>
      </x:c>
      <x:c r="AF1332" s="30" t="str">
        <x:v>Explicit capitalClaim</x:v>
      </x:c>
      <x:c r="AG1332" s="30" t="str">
        <x:v>Claim2026_SCA2026_Estonia</x:v>
      </x:c>
      <x:c r="AH1332" s="30" t="str">
        <x:v>Project_NordicFederation</x:v>
      </x:c>
    </x:row>
    <x:row r="1333">
      <x:c r="A1333" s="30" t="str">
        <x:v>2026</x:v>
      </x:c>
      <x:c r="B1333" s="30" t="str">
        <x:v>Base game</x:v>
      </x:c>
      <x:c r="C1333" s="30" t="str">
        <x:v>Sweden</x:v>
      </x:c>
      <x:c r="D1333" s="30" t="str">
        <x:v>Finland</x:v>
      </x:c>
      <x:c r="E1333" s="30" t="str">
        <x:v>Project unlock</x:v>
      </x:c>
      <x:c r="F1333" s="30" t="str">
        <x:v>Nordic Federation</x:v>
      </x:c>
      <x:c r="G1333" s="30" t="str">
        <x:v>No</x:v>
      </x:c>
      <x:c r="H1333" s="30" t="str">
        <x:v>Ordinary claim</x:v>
      </x:c>
      <x:c r="I1333" s="31" t="n">
        <x:f>IF(G1333="Yes",'Controls &amp; Summary'!$B$5,'Controls &amp; Summary'!$B$4)</x:f>
        <x:v>6</x:v>
      </x:c>
      <x:c r="J1333" s="31" t="n">
        <x:v>9.35</x:v>
      </x:c>
      <x:c r="K1333" s="31" t="n">
        <x:v>9.37</x:v>
      </x:c>
      <x:c r="L1333" s="31" t="n">
        <x:f>ABS(J1333-K1333)</x:f>
        <x:v>0.019999999999999574</x:v>
      </x:c>
      <x:c r="M1333" s="31" t="n">
        <x:v>2.98</x:v>
      </x:c>
      <x:c r="N1333" s="31" t="n">
        <x:v>2.77</x:v>
      </x:c>
      <x:c r="O1333" s="31" t="n">
        <x:f>ABS(M1333-N1333)</x:f>
        <x:v>0.20999999999999996</x:v>
      </x:c>
      <x:c r="P1333" s="31" t="n">
        <x:v>9.28</x:v>
      </x:c>
      <x:c r="Q1333" s="31" t="n">
        <x:v>9.51</x:v>
      </x:c>
      <x:c r="R1333" s="31" t="n">
        <x:f>ABS(P1333-Q1333)</x:f>
        <x:v>0.23000000000000043</x:v>
      </x:c>
      <x:c r="S1333" s="32" t="n">
        <x:v>71066.01279295381</x:v>
      </x:c>
      <x:c r="T1333" s="32" t="n">
        <x:v>60064.842747057446</x:v>
      </x:c>
      <x:c r="U1333" s="31" t="n">
        <x:f>MAX(S1333/T1333,T1333/S1333)</x:f>
        <x:v>1.1831548963213645</x:v>
      </x:c>
      <x:c r="V1333" s="31" t="n">
        <x:f>L1333*'Controls &amp; Summary'!$B$9+O1333*'Controls &amp; Summary'!$B$10+R1333*'Controls &amp; Summary'!$B$11+U1333*'Controls &amp; Summary'!$B$12</x:f>
        <x:v>1.6431548963213645</x:v>
      </x:c>
      <x:c r="W1333" s="31" t="n">
        <x:v>6.87</x:v>
      </x:c>
      <x:c r="X1333" s="31" t="n">
        <x:v>0.5</x:v>
      </x:c>
      <x:c r="Y1333" s="31" t="n">
        <x:f>((10-MIN(10,MAX(0,X1333)))/10)*'Controls &amp; Summary'!$B$15+((10-MIN(10,MAX(0,W1333)))/10)*'Controls &amp; Summary'!$B$16</x:f>
        <x:v>1.263</x:v>
      </x:c>
      <x:c r="Z1333" s="31" t="n">
        <x:f>V1333*Y1333</x:f>
        <x:v>2.075304634053883</x:v>
      </x:c>
      <x:c r="AA1333" s="30" t="str">
        <x:f>IF(Z1333&lt;=I1333,"Peaceful","Hostile")</x:f>
        <x:v>Peaceful</x:v>
      </x:c>
      <x:c r="AB1333" s="30" t="str">
        <x:f>IF(Z1333&lt;='Controls &amp; Summary'!$B$6,"Eligible","Blocked")</x:f>
        <x:v>Eligible</x:v>
      </x:c>
      <x:c r="AC1333" s="30" t="str">
        <x:v>2026_SCA</x:v>
      </x:c>
      <x:c r="AD1333" s="30" t="str">
        <x:v>2026_FIN</x:v>
      </x:c>
      <x:c r="AE1333" s="30" t="str">
        <x:v>2026_Finland</x:v>
      </x:c>
      <x:c r="AF1333" s="30" t="str">
        <x:v>Explicit capitalClaim</x:v>
      </x:c>
      <x:c r="AG1333" s="30" t="str">
        <x:v>Claim2026_SCA2026_Finland</x:v>
      </x:c>
      <x:c r="AH1333" s="30" t="str">
        <x:v>Project_NordicFederation</x:v>
      </x:c>
    </x:row>
    <x:row r="1334">
      <x:c r="A1334" s="30" t="str">
        <x:v>2026</x:v>
      </x:c>
      <x:c r="B1334" s="30" t="str">
        <x:v>Base game</x:v>
      </x:c>
      <x:c r="C1334" s="30" t="str">
        <x:v>Sweden</x:v>
      </x:c>
      <x:c r="D1334" s="30" t="str">
        <x:v>Iceland</x:v>
      </x:c>
      <x:c r="E1334" s="30" t="str">
        <x:v>Project unlock</x:v>
      </x:c>
      <x:c r="F1334" s="30" t="str">
        <x:v>Nordic Federation</x:v>
      </x:c>
      <x:c r="G1334" s="30" t="str">
        <x:v>No</x:v>
      </x:c>
      <x:c r="H1334" s="30" t="str">
        <x:v>Ordinary claim</x:v>
      </x:c>
      <x:c r="I1334" s="31" t="n">
        <x:f>IF(G1334="Yes",'Controls &amp; Summary'!$B$5,'Controls &amp; Summary'!$B$4)</x:f>
        <x:v>6</x:v>
      </x:c>
      <x:c r="J1334" s="31" t="n">
        <x:v>9.35</x:v>
      </x:c>
      <x:c r="K1334" s="31" t="n">
        <x:v>9.38</x:v>
      </x:c>
      <x:c r="L1334" s="31" t="n">
        <x:f>ABS(J1334-K1334)</x:f>
        <x:v>0.030000000000001137</x:v>
      </x:c>
      <x:c r="M1334" s="31" t="n">
        <x:v>2.98</x:v>
      </x:c>
      <x:c r="N1334" s="31" t="n">
        <x:v>2.61</x:v>
      </x:c>
      <x:c r="O1334" s="31" t="n">
        <x:f>ABS(M1334-N1334)</x:f>
        <x:v>0.3700000000000001</x:v>
      </x:c>
      <x:c r="P1334" s="31" t="n">
        <x:v>9.28</x:v>
      </x:c>
      <x:c r="Q1334" s="31" t="n">
        <x:v>9.64</x:v>
      </x:c>
      <x:c r="R1334" s="31" t="n">
        <x:f>ABS(P1334-Q1334)</x:f>
        <x:v>0.3600000000000012</x:v>
      </x:c>
      <x:c r="S1334" s="32" t="n">
        <x:v>71066.01279295381</x:v>
      </x:c>
      <x:c r="T1334" s="32" t="n">
        <x:v>81842.53185825532</x:v>
      </x:c>
      <x:c r="U1334" s="31" t="n">
        <x:f>MAX(S1334/T1334,T1334/S1334)</x:f>
        <x:v>1.1516409693153629</x:v>
      </x:c>
      <x:c r="V1334" s="31" t="n">
        <x:f>L1334*'Controls &amp; Summary'!$B$9+O1334*'Controls &amp; Summary'!$B$10+R1334*'Controls &amp; Summary'!$B$11+U1334*'Controls &amp; Summary'!$B$12</x:f>
        <x:v>1.9116409693153653</x:v>
      </x:c>
      <x:c r="W1334" s="31" t="n">
        <x:v>6.87</x:v>
      </x:c>
      <x:c r="X1334" s="31" t="n">
        <x:v>0</x:v>
      </x:c>
      <x:c r="Y1334" s="31" t="n">
        <x:f>((10-MIN(10,MAX(0,X1334)))/10)*'Controls &amp; Summary'!$B$15+((10-MIN(10,MAX(0,W1334)))/10)*'Controls &amp; Summary'!$B$16</x:f>
        <x:v>1.313</x:v>
      </x:c>
      <x:c r="Z1334" s="31" t="n">
        <x:f>V1334*Y1334</x:f>
        <x:v>2.5099845927110747</x:v>
      </x:c>
      <x:c r="AA1334" s="30" t="str">
        <x:f>IF(Z1334&lt;=I1334,"Peaceful","Hostile")</x:f>
        <x:v>Peaceful</x:v>
      </x:c>
      <x:c r="AB1334" s="30" t="str">
        <x:f>IF(Z1334&lt;='Controls &amp; Summary'!$B$6,"Eligible","Blocked")</x:f>
        <x:v>Eligible</x:v>
      </x:c>
      <x:c r="AC1334" s="30" t="str">
        <x:v>2026_SCA</x:v>
      </x:c>
      <x:c r="AD1334" s="30" t="str">
        <x:v>2026_ISL</x:v>
      </x:c>
      <x:c r="AE1334" s="30" t="str">
        <x:v>2026_Iceland</x:v>
      </x:c>
      <x:c r="AF1334" s="30" t="str">
        <x:v>Explicit capitalClaim</x:v>
      </x:c>
      <x:c r="AG1334" s="30" t="str">
        <x:v>Claim2026_SCA2026_Iceland</x:v>
      </x:c>
      <x:c r="AH1334" s="30" t="str">
        <x:v>Project_NordicFederation</x:v>
      </x:c>
    </x:row>
    <x:row r="1335">
      <x:c r="A1335" s="30" t="str">
        <x:v>2026</x:v>
      </x:c>
      <x:c r="B1335" s="30" t="str">
        <x:v>Base game</x:v>
      </x:c>
      <x:c r="C1335" s="30" t="str">
        <x:v>Sweden</x:v>
      </x:c>
      <x:c r="D1335" s="30" t="str">
        <x:v>Norway</x:v>
      </x:c>
      <x:c r="E1335" s="30" t="str">
        <x:v>Project unlock</x:v>
      </x:c>
      <x:c r="F1335" s="30" t="str">
        <x:v>Nordic Federation</x:v>
      </x:c>
      <x:c r="G1335" s="30" t="str">
        <x:v>No</x:v>
      </x:c>
      <x:c r="H1335" s="30" t="str">
        <x:v>Ordinary claim</x:v>
      </x:c>
      <x:c r="I1335" s="31" t="n">
        <x:f>IF(G1335="Yes",'Controls &amp; Summary'!$B$5,'Controls &amp; Summary'!$B$4)</x:f>
        <x:v>6</x:v>
      </x:c>
      <x:c r="J1335" s="31" t="n">
        <x:v>9.35</x:v>
      </x:c>
      <x:c r="K1335" s="31" t="n">
        <x:v>9.81</x:v>
      </x:c>
      <x:c r="L1335" s="31" t="n">
        <x:f>ABS(J1335-K1335)</x:f>
        <x:v>0.46000000000000085</x:v>
      </x:c>
      <x:c r="M1335" s="31" t="n">
        <x:v>2.98</x:v>
      </x:c>
      <x:c r="N1335" s="31" t="n">
        <x:v>2.77</x:v>
      </x:c>
      <x:c r="O1335" s="31" t="n">
        <x:f>ABS(M1335-N1335)</x:f>
        <x:v>0.20999999999999996</x:v>
      </x:c>
      <x:c r="P1335" s="31" t="n">
        <x:v>9.28</x:v>
      </x:c>
      <x:c r="Q1335" s="31" t="n">
        <x:v>9.35</x:v>
      </x:c>
      <x:c r="R1335" s="31" t="n">
        <x:f>ABS(P1335-Q1335)</x:f>
        <x:v>0.07000000000000028</x:v>
      </x:c>
      <x:c r="S1335" s="32" t="n">
        <x:v>71066.01279295381</x:v>
      </x:c>
      <x:c r="T1335" s="32" t="n">
        <x:v>106033.50245330391</x:v>
      </x:c>
      <x:c r="U1335" s="31" t="n">
        <x:f>MAX(S1335/T1335,T1335/S1335)</x:f>
        <x:v>1.492042374210941</x:v>
      </x:c>
      <x:c r="V1335" s="31" t="n">
        <x:f>L1335*'Controls &amp; Summary'!$B$9+O1335*'Controls &amp; Summary'!$B$10+R1335*'Controls &amp; Summary'!$B$11+U1335*'Controls &amp; Summary'!$B$12</x:f>
        <x:v>2.232042374210942</x:v>
      </x:c>
      <x:c r="W1335" s="31" t="n">
        <x:v>6.87</x:v>
      </x:c>
      <x:c r="X1335" s="31" t="n">
        <x:v>0.5</x:v>
      </x:c>
      <x:c r="Y1335" s="31" t="n">
        <x:f>((10-MIN(10,MAX(0,X1335)))/10)*'Controls &amp; Summary'!$B$15+((10-MIN(10,MAX(0,W1335)))/10)*'Controls &amp; Summary'!$B$16</x:f>
        <x:v>1.263</x:v>
      </x:c>
      <x:c r="Z1335" s="31" t="n">
        <x:f>V1335*Y1335</x:f>
        <x:v>2.8190695186284196</x:v>
      </x:c>
      <x:c r="AA1335" s="30" t="str">
        <x:f>IF(Z1335&lt;=I1335,"Peaceful","Hostile")</x:f>
        <x:v>Peaceful</x:v>
      </x:c>
      <x:c r="AB1335" s="30" t="str">
        <x:f>IF(Z1335&lt;='Controls &amp; Summary'!$B$6,"Eligible","Blocked")</x:f>
        <x:v>Eligible</x:v>
      </x:c>
      <x:c r="AC1335" s="30" t="str">
        <x:v>2026_SCA</x:v>
      </x:c>
      <x:c r="AD1335" s="30" t="str">
        <x:v>2026_NOR</x:v>
      </x:c>
      <x:c r="AE1335" s="30" t="str">
        <x:v>2026_Norway</x:v>
      </x:c>
      <x:c r="AF1335" s="30" t="str">
        <x:v>Explicit capitalClaim</x:v>
      </x:c>
      <x:c r="AG1335" s="30" t="str">
        <x:v>Claim2026_SCA2026_Norway</x:v>
      </x:c>
      <x:c r="AH1335" s="30" t="str">
        <x:v>Project_NordicFederation</x:v>
      </x:c>
    </x:row>
    <x:row r="1336">
      <x:c r="A1336" s="30" t="str">
        <x:v>2026</x:v>
      </x:c>
      <x:c r="B1336" s="30" t="str">
        <x:v>Base game</x:v>
      </x:c>
      <x:c r="C1336" s="30" t="str">
        <x:v>Syria</x:v>
      </x:c>
      <x:c r="D1336" s="30" t="str">
        <x:v>Lebanon</x:v>
      </x:c>
      <x:c r="E1336" s="30" t="str">
        <x:v>Starting claim</x:v>
      </x:c>
      <x:c r="F1336" s="30" t="str"/>
      <x:c r="G1336" s="30" t="str">
        <x:v>Yes</x:v>
      </x:c>
      <x:c r="H1336" s="30" t="str">
        <x:v>Approved bilateral grievance</x:v>
      </x:c>
      <x:c r="I1336" s="31" t="n">
        <x:f>IF(G1336="Yes",'Controls &amp; Summary'!$B$5,'Controls &amp; Summary'!$B$4)</x:f>
        <x:v>3</x:v>
      </x:c>
      <x:c r="J1336" s="31" t="n">
        <x:v>1.37</x:v>
      </x:c>
      <x:c r="K1336" s="31" t="n">
        <x:v>3.81</x:v>
      </x:c>
      <x:c r="L1336" s="31" t="n">
        <x:f>ABS(J1336-K1336)</x:f>
        <x:v>2.44</x:v>
      </x:c>
      <x:c r="M1336" s="31" t="n">
        <x:v>2.66</x:v>
      </x:c>
      <x:c r="N1336" s="31" t="n">
        <x:v>3.18</x:v>
      </x:c>
      <x:c r="O1336" s="31" t="n">
        <x:f>ABS(M1336-N1336)</x:f>
        <x:v>0.52</x:v>
      </x:c>
      <x:c r="P1336" s="31" t="n">
        <x:v>3.98</x:v>
      </x:c>
      <x:c r="Q1336" s="31" t="n">
        <x:v>6.58</x:v>
      </x:c>
      <x:c r="R1336" s="31" t="n">
        <x:f>ABS(P1336-Q1336)</x:f>
        <x:v>2.6</x:v>
      </x:c>
      <x:c r="S1336" s="32" t="n">
        <x:v>4533.517182002136</x:v>
      </x:c>
      <x:c r="T1336" s="32" t="n">
        <x:v>9425.71446351459</x:v>
      </x:c>
      <x:c r="U1336" s="31" t="n">
        <x:f>MAX(S1336/T1336,T1336/S1336)</x:f>
        <x:v>2.0791174015914757</x:v>
      </x:c>
      <x:c r="V1336" s="31" t="n">
        <x:f>L1336*'Controls &amp; Summary'!$B$9+O1336*'Controls &amp; Summary'!$B$10+R1336*'Controls &amp; Summary'!$B$11+U1336*'Controls &amp; Summary'!$B$12</x:f>
        <x:v>7.639117401591476</x:v>
      </x:c>
      <x:c r="W1336" s="31" t="n">
        <x:v>2.95</x:v>
      </x:c>
      <x:c r="X1336" s="31" t="n">
        <x:v>6.75</x:v>
      </x:c>
      <x:c r="Y1336" s="31" t="n">
        <x:f>((10-MIN(10,MAX(0,X1336)))/10)*'Controls &amp; Summary'!$B$15+((10-MIN(10,MAX(0,W1336)))/10)*'Controls &amp; Summary'!$B$16</x:f>
        <x:v>1.03</x:v>
      </x:c>
      <x:c r="Z1336" s="31" t="n">
        <x:f>V1336*Y1336</x:f>
        <x:v>7.868290923639221</x:v>
      </x:c>
      <x:c r="AA1336" s="30" t="str">
        <x:f>IF(Z1336&lt;=I1336,"Peaceful","Hostile")</x:f>
        <x:v>Hostile</x:v>
      </x:c>
      <x:c r="AB1336" s="30" t="str">
        <x:f>IF(Z1336&lt;='Controls &amp; Summary'!$B$6,"Eligible","Blocked")</x:f>
        <x:v>Eligible</x:v>
      </x:c>
      <x:c r="AC1336" s="30" t="str">
        <x:v>2026_SYR</x:v>
      </x:c>
      <x:c r="AD1336" s="30" t="str">
        <x:v>2026_LEB</x:v>
      </x:c>
      <x:c r="AE1336" s="30" t="str">
        <x:v>2026_Lebanon</x:v>
      </x:c>
      <x:c r="AF1336" s="30" t="str">
        <x:v>Explicit capitalClaim</x:v>
      </x:c>
      <x:c r="AG1336" s="30" t="str">
        <x:v>Claim2026_SYR2026_Lebanon</x:v>
      </x:c>
      <x:c r="AH1336" s="30" t="str"/>
    </x:row>
    <x:row r="1337">
      <x:c r="A1337" s="30" t="str">
        <x:v>2026</x:v>
      </x:c>
      <x:c r="B1337" s="30" t="str">
        <x:v>Base game</x:v>
      </x:c>
      <x:c r="C1337" s="30" t="str">
        <x:v>Taiwan</x:v>
      </x:c>
      <x:c r="D1337" s="30" t="str">
        <x:v>China</x:v>
      </x:c>
      <x:c r="E1337" s="30" t="str">
        <x:v>Project unlock</x:v>
      </x:c>
      <x:c r="F1337" s="30" t="str">
        <x:v>Liberating Mainland China</x:v>
      </x:c>
      <x:c r="G1337" s="30" t="str">
        <x:v>Yes</x:v>
      </x:c>
      <x:c r="H1337" s="30" t="str">
        <x:v>Approved expansion-project family</x:v>
      </x:c>
      <x:c r="I1337" s="31" t="n">
        <x:f>IF(G1337="Yes",'Controls &amp; Summary'!$B$5,'Controls &amp; Summary'!$B$4)</x:f>
        <x:v>3</x:v>
      </x:c>
      <x:c r="J1337" s="31" t="n">
        <x:v>8.78</x:v>
      </x:c>
      <x:c r="K1337" s="31" t="n">
        <x:v>2.24</x:v>
      </x:c>
      <x:c r="L1337" s="31" t="n">
        <x:f>ABS(J1337-K1337)</x:f>
        <x:v>6.539999999999999</x:v>
      </x:c>
      <x:c r="M1337" s="31" t="n">
        <x:v>3.41</x:v>
      </x:c>
      <x:c r="N1337" s="31" t="n">
        <x:v>3.57</x:v>
      </x:c>
      <x:c r="O1337" s="31" t="n">
        <x:f>ABS(M1337-N1337)</x:f>
        <x:v>0.1599999999999997</x:v>
      </x:c>
      <x:c r="P1337" s="31" t="n">
        <x:v>9.26</x:v>
      </x:c>
      <x:c r="Q1337" s="31" t="n">
        <x:v>6.83</x:v>
      </x:c>
      <x:c r="R1337" s="31" t="n">
        <x:f>ABS(P1337-Q1337)</x:f>
        <x:v>2.4299999999999997</x:v>
      </x:c>
      <x:c r="S1337" s="32" t="n">
        <x:v>76112.01334927218</x:v>
      </x:c>
      <x:c r="T1337" s="32" t="n">
        <x:v>25545.732346042176</x:v>
      </x:c>
      <x:c r="U1337" s="31" t="n">
        <x:f>MAX(S1337/T1337,T1337/S1337)</x:f>
        <x:v>2.9794414314790347</x:v>
      </x:c>
      <x:c r="V1337" s="31" t="n">
        <x:f>L1337*'Controls &amp; Summary'!$B$9+O1337*'Controls &amp; Summary'!$B$10+R1337*'Controls &amp; Summary'!$B$11+U1337*'Controls &amp; Summary'!$B$12</x:f>
        <x:v>12.109441431479034</x:v>
      </x:c>
      <x:c r="W1337" s="31" t="n">
        <x:v>5</x:v>
      </x:c>
      <x:c r="X1337" s="31" t="n">
        <x:v>1.5</x:v>
      </x:c>
      <x:c r="Y1337" s="31" t="n">
        <x:f>((10-MIN(10,MAX(0,X1337)))/10)*'Controls &amp; Summary'!$B$15+((10-MIN(10,MAX(0,W1337)))/10)*'Controls &amp; Summary'!$B$16</x:f>
        <x:v>1.35</x:v>
      </x:c>
      <x:c r="Z1337" s="31" t="n">
        <x:f>V1337*Y1337</x:f>
        <x:v>16.347745932496696</x:v>
      </x:c>
      <x:c r="AA1337" s="30" t="str">
        <x:f>IF(Z1337&lt;=I1337,"Peaceful","Hostile")</x:f>
        <x:v>Hostile</x:v>
      </x:c>
      <x:c r="AB1337" s="30" t="str">
        <x:f>IF(Z1337&lt;='Controls &amp; Summary'!$B$6,"Eligible","Blocked")</x:f>
        <x:v>Blocked</x:v>
      </x:c>
      <x:c r="AC1337" s="30" t="str">
        <x:v>2026_TWN</x:v>
      </x:c>
      <x:c r="AD1337" s="30" t="str">
        <x:v>2026_CHN</x:v>
      </x:c>
      <x:c r="AE1337" s="30" t="str">
        <x:v>2026_Beijing</x:v>
      </x:c>
      <x:c r="AF1337" s="30" t="str">
        <x:v>Explicit capitalClaim</x:v>
      </x:c>
      <x:c r="AG1337" s="30" t="str">
        <x:v>Claim2026_TWN2026_Beijing</x:v>
      </x:c>
      <x:c r="AH1337" s="30" t="str">
        <x:v>Project_LiberatingMainlandChina</x:v>
      </x:c>
    </x:row>
    <x:row r="1338">
      <x:c r="A1338" s="30" t="str">
        <x:v>2026</x:v>
      </x:c>
      <x:c r="B1338" s="30" t="str">
        <x:v>Base game</x:v>
      </x:c>
      <x:c r="C1338" s="30" t="str">
        <x:v>Tanzania</x:v>
      </x:c>
      <x:c r="D1338" s="30" t="str">
        <x:v>Comoros</x:v>
      </x:c>
      <x:c r="E1338" s="30" t="str">
        <x:v>Project unlock</x:v>
      </x:c>
      <x:c r="F1338" s="30" t="str">
        <x:v>Regional African Unions</x:v>
      </x:c>
      <x:c r="G1338" s="30" t="str">
        <x:v>No</x:v>
      </x:c>
      <x:c r="H1338" s="30" t="str">
        <x:v>Ordinary claim</x:v>
      </x:c>
      <x:c r="I1338" s="31" t="n">
        <x:f>IF(G1338="Yes",'Controls &amp; Summary'!$B$5,'Controls &amp; Summary'!$B$4)</x:f>
        <x:v>6</x:v>
      </x:c>
      <x:c r="J1338" s="31" t="n">
        <x:v>5.13</x:v>
      </x:c>
      <x:c r="K1338" s="31" t="n">
        <x:v>2.81</x:v>
      </x:c>
      <x:c r="L1338" s="31" t="n">
        <x:f>ABS(J1338-K1338)</x:f>
        <x:v>2.32</x:v>
      </x:c>
      <x:c r="M1338" s="31" t="n">
        <x:v>4.05</x:v>
      </x:c>
      <x:c r="N1338" s="31" t="n">
        <x:v>4.53</x:v>
      </x:c>
      <x:c r="O1338" s="31" t="n">
        <x:f>ABS(M1338-N1338)</x:f>
        <x:v>0.4800000000000004</x:v>
      </x:c>
      <x:c r="P1338" s="31" t="n">
        <x:v>4.37</x:v>
      </x:c>
      <x:c r="Q1338" s="31" t="n">
        <x:v>5.6</x:v>
      </x:c>
      <x:c r="R1338" s="31" t="n">
        <x:f>ABS(P1338-Q1338)</x:f>
        <x:v>1.2299999999999995</x:v>
      </x:c>
      <x:c r="S1338" s="32" t="n">
        <x:v>3560.467170260424</x:v>
      </x:c>
      <x:c r="T1338" s="32" t="n">
        <x:v>3577.7132623663806</x:v>
      </x:c>
      <x:c r="U1338" s="31" t="n">
        <x:f>MAX(S1338/T1338,T1338/S1338)</x:f>
        <x:v>1.0048437722583172</x:v>
      </x:c>
      <x:c r="V1338" s="31" t="n">
        <x:f>L1338*'Controls &amp; Summary'!$B$9+O1338*'Controls &amp; Summary'!$B$10+R1338*'Controls &amp; Summary'!$B$11+U1338*'Controls &amp; Summary'!$B$12</x:f>
        <x:v>5.034843772258316</x:v>
      </x:c>
      <x:c r="W1338" s="31" t="n">
        <x:v>2.67</x:v>
      </x:c>
      <x:c r="X1338" s="31" t="n">
        <x:v>1</x:v>
      </x:c>
      <x:c r="Y1338" s="31" t="n">
        <x:f>((10-MIN(10,MAX(0,X1338)))/10)*'Controls &amp; Summary'!$B$15+((10-MIN(10,MAX(0,W1338)))/10)*'Controls &amp; Summary'!$B$16</x:f>
        <x:v>1.633</x:v>
      </x:c>
      <x:c r="Z1338" s="31" t="n">
        <x:f>V1338*Y1338</x:f>
        <x:v>8.22189988009783</x:v>
      </x:c>
      <x:c r="AA1338" s="30" t="str">
        <x:f>IF(Z1338&lt;=I1338,"Peaceful","Hostile")</x:f>
        <x:v>Hostile</x:v>
      </x:c>
      <x:c r="AB1338" s="30" t="str">
        <x:f>IF(Z1338&lt;='Controls &amp; Summary'!$B$6,"Eligible","Blocked")</x:f>
        <x:v>Eligible</x:v>
      </x:c>
      <x:c r="AC1338" s="30" t="str">
        <x:v>2026_TZA</x:v>
      </x:c>
      <x:c r="AD1338" s="30" t="str">
        <x:v>2026_RTK</x:v>
      </x:c>
      <x:c r="AE1338" s="30" t="str">
        <x:v>2026_Ratnakara</x:v>
      </x:c>
      <x:c r="AF1338" s="30" t="str">
        <x:v>Explicit capitalClaim</x:v>
      </x:c>
      <x:c r="AG1338" s="30" t="str">
        <x:v>Claim2026_TZA2026_Ratnakara</x:v>
      </x:c>
      <x:c r="AH1338" s="30" t="str">
        <x:v>Project_RegionalAfricanUnions</x:v>
      </x:c>
    </x:row>
    <x:row r="1339">
      <x:c r="A1339" s="30" t="str">
        <x:v>2026</x:v>
      </x:c>
      <x:c r="B1339" s="30" t="str">
        <x:v>Base game</x:v>
      </x:c>
      <x:c r="C1339" s="30" t="str">
        <x:v>Tanzania</x:v>
      </x:c>
      <x:c r="D1339" s="30" t="str">
        <x:v>Congo</x:v>
      </x:c>
      <x:c r="E1339" s="30" t="str">
        <x:v>Project unlock</x:v>
      </x:c>
      <x:c r="F1339" s="30" t="str">
        <x:v>African Confederations</x:v>
      </x:c>
      <x:c r="G1339" s="30" t="str">
        <x:v>No</x:v>
      </x:c>
      <x:c r="H1339" s="30" t="str">
        <x:v>Ordinary claim</x:v>
      </x:c>
      <x:c r="I1339" s="31" t="n">
        <x:f>IF(G1339="Yes",'Controls &amp; Summary'!$B$5,'Controls &amp; Summary'!$B$4)</x:f>
        <x:v>6</x:v>
      </x:c>
      <x:c r="J1339" s="31" t="n">
        <x:v>5.13</x:v>
      </x:c>
      <x:c r="K1339" s="31" t="n">
        <x:v>1.92</x:v>
      </x:c>
      <x:c r="L1339" s="31" t="n">
        <x:f>ABS(J1339-K1339)</x:f>
        <x:v>3.21</x:v>
      </x:c>
      <x:c r="M1339" s="31" t="n">
        <x:v>4.05</x:v>
      </x:c>
      <x:c r="N1339" s="31" t="n">
        <x:v>4.47</x:v>
      </x:c>
      <x:c r="O1339" s="31" t="n">
        <x:f>ABS(M1339-N1339)</x:f>
        <x:v>0.41999999999999993</x:v>
      </x:c>
      <x:c r="P1339" s="31" t="n">
        <x:v>4.37</x:v>
      </x:c>
      <x:c r="Q1339" s="31" t="n">
        <x:v>5.4</x:v>
      </x:c>
      <x:c r="R1339" s="31" t="n">
        <x:f>ABS(P1339-Q1339)</x:f>
        <x:v>1.0300000000000002</x:v>
      </x:c>
      <x:c r="S1339" s="32" t="n">
        <x:v>3560.467170260424</x:v>
      </x:c>
      <x:c r="T1339" s="32" t="n">
        <x:v>1517.0933451626258</x:v>
      </x:c>
      <x:c r="U1339" s="31" t="n">
        <x:f>MAX(S1339/T1339,T1339/S1339)</x:f>
        <x:v>2.346900526334296</x:v>
      </x:c>
      <x:c r="V1339" s="31" t="n">
        <x:f>L1339*'Controls &amp; Summary'!$B$9+O1339*'Controls &amp; Summary'!$B$10+R1339*'Controls &amp; Summary'!$B$11+U1339*'Controls &amp; Summary'!$B$12</x:f>
        <x:v>7.006900526334296</x:v>
      </x:c>
      <x:c r="W1339" s="31" t="n">
        <x:v>2.67</x:v>
      </x:c>
      <x:c r="X1339" s="31" t="n">
        <x:v>5.5</x:v>
      </x:c>
      <x:c r="Y1339" s="31" t="n">
        <x:f>((10-MIN(10,MAX(0,X1339)))/10)*'Controls &amp; Summary'!$B$15+((10-MIN(10,MAX(0,W1339)))/10)*'Controls &amp; Summary'!$B$16</x:f>
        <x:v>1.183</x:v>
      </x:c>
      <x:c r="Z1339" s="31" t="n">
        <x:f>V1339*Y1339</x:f>
        <x:v>8.289163322653472</x:v>
      </x:c>
      <x:c r="AA1339" s="30" t="str">
        <x:f>IF(Z1339&lt;=I1339,"Peaceful","Hostile")</x:f>
        <x:v>Hostile</x:v>
      </x:c>
      <x:c r="AB1339" s="30" t="str">
        <x:f>IF(Z1339&lt;='Controls &amp; Summary'!$B$6,"Eligible","Blocked")</x:f>
        <x:v>Eligible</x:v>
      </x:c>
      <x:c r="AC1339" s="30" t="str">
        <x:v>2026_TZA</x:v>
      </x:c>
      <x:c r="AD1339" s="30" t="str">
        <x:v>2026_COD</x:v>
      </x:c>
      <x:c r="AE1339" s="30" t="str">
        <x:v>2026_Kinshasa</x:v>
      </x:c>
      <x:c r="AF1339" s="30" t="str">
        <x:v>Explicit capitalClaim</x:v>
      </x:c>
      <x:c r="AG1339" s="30" t="str">
        <x:v>Claim2026_TZA2026_Kinshasa</x:v>
      </x:c>
      <x:c r="AH1339" s="30" t="str">
        <x:v>Project_EastAfricanFederation</x:v>
      </x:c>
    </x:row>
    <x:row r="1340">
      <x:c r="A1340" s="30" t="str">
        <x:v>2026</x:v>
      </x:c>
      <x:c r="B1340" s="30" t="str">
        <x:v>Base game</x:v>
      </x:c>
      <x:c r="C1340" s="30" t="str">
        <x:v>Tanzania</x:v>
      </x:c>
      <x:c r="D1340" s="30" t="str">
        <x:v>Djibouti</x:v>
      </x:c>
      <x:c r="E1340" s="30" t="str">
        <x:v>Project unlock</x:v>
      </x:c>
      <x:c r="F1340" s="30" t="str">
        <x:v>Regional African Unions</x:v>
      </x:c>
      <x:c r="G1340" s="30" t="str">
        <x:v>No</x:v>
      </x:c>
      <x:c r="H1340" s="30" t="str">
        <x:v>Ordinary claim</x:v>
      </x:c>
      <x:c r="I1340" s="31" t="n">
        <x:f>IF(G1340="Yes",'Controls &amp; Summary'!$B$5,'Controls &amp; Summary'!$B$4)</x:f>
        <x:v>6</x:v>
      </x:c>
      <x:c r="J1340" s="31" t="n">
        <x:v>5.13</x:v>
      </x:c>
      <x:c r="K1340" s="31" t="n">
        <x:v>2.7</x:v>
      </x:c>
      <x:c r="L1340" s="31" t="n">
        <x:f>ABS(J1340-K1340)</x:f>
        <x:v>2.4299999999999997</x:v>
      </x:c>
      <x:c r="M1340" s="31" t="n">
        <x:v>4.05</x:v>
      </x:c>
      <x:c r="N1340" s="31" t="n">
        <x:v>4.16</x:v>
      </x:c>
      <x:c r="O1340" s="31" t="n">
        <x:f>ABS(M1340-N1340)</x:f>
        <x:v>0.11000000000000032</x:v>
      </x:c>
      <x:c r="P1340" s="31" t="n">
        <x:v>4.37</x:v>
      </x:c>
      <x:c r="Q1340" s="31" t="n">
        <x:v>3.05</x:v>
      </x:c>
      <x:c r="R1340" s="31" t="n">
        <x:f>ABS(P1340-Q1340)</x:f>
        <x:v>1.3200000000000003</x:v>
      </x:c>
      <x:c r="S1340" s="32" t="n">
        <x:v>3560.467170260424</x:v>
      </x:c>
      <x:c r="T1340" s="32" t="n">
        <x:v>7294.082337120319</x:v>
      </x:c>
      <x:c r="U1340" s="31" t="n">
        <x:f>MAX(S1340/T1340,T1340/S1340)</x:f>
        <x:v>2.0486306960068967</x:v>
      </x:c>
      <x:c r="V1340" s="31" t="n">
        <x:f>L1340*'Controls &amp; Summary'!$B$9+O1340*'Controls &amp; Summary'!$B$10+R1340*'Controls &amp; Summary'!$B$11+U1340*'Controls &amp; Summary'!$B$12</x:f>
        <x:v>5.908630696006897</x:v>
      </x:c>
      <x:c r="W1340" s="31" t="n">
        <x:v>2.67</x:v>
      </x:c>
      <x:c r="X1340" s="31" t="n">
        <x:v>1</x:v>
      </x:c>
      <x:c r="Y1340" s="31" t="n">
        <x:f>((10-MIN(10,MAX(0,X1340)))/10)*'Controls &amp; Summary'!$B$15+((10-MIN(10,MAX(0,W1340)))/10)*'Controls &amp; Summary'!$B$16</x:f>
        <x:v>1.633</x:v>
      </x:c>
      <x:c r="Z1340" s="31" t="n">
        <x:f>V1340*Y1340</x:f>
        <x:v>9.648793926579263</x:v>
      </x:c>
      <x:c r="AA1340" s="30" t="str">
        <x:f>IF(Z1340&lt;=I1340,"Peaceful","Hostile")</x:f>
        <x:v>Hostile</x:v>
      </x:c>
      <x:c r="AB1340" s="30" t="str">
        <x:f>IF(Z1340&lt;='Controls &amp; Summary'!$B$6,"Eligible","Blocked")</x:f>
        <x:v>Eligible</x:v>
      </x:c>
      <x:c r="AC1340" s="30" t="str">
        <x:v>2026_TZA</x:v>
      </x:c>
      <x:c r="AD1340" s="30" t="str">
        <x:v>2026_DJI</x:v>
      </x:c>
      <x:c r="AE1340" s="30" t="str">
        <x:v>2026_Djibouti</x:v>
      </x:c>
      <x:c r="AF1340" s="30" t="str">
        <x:v>Explicit capitalClaim</x:v>
      </x:c>
      <x:c r="AG1340" s="30" t="str">
        <x:v>Claim2026_TZA2026_Djibouti</x:v>
      </x:c>
      <x:c r="AH1340" s="30" t="str">
        <x:v>Project_RegionalAfricanUnions</x:v>
      </x:c>
    </x:row>
    <x:row r="1341">
      <x:c r="A1341" s="30" t="str">
        <x:v>2026</x:v>
      </x:c>
      <x:c r="B1341" s="30" t="str">
        <x:v>Base game</x:v>
      </x:c>
      <x:c r="C1341" s="30" t="str">
        <x:v>Tanzania</x:v>
      </x:c>
      <x:c r="D1341" s="30" t="str">
        <x:v>Kenya</x:v>
      </x:c>
      <x:c r="E1341" s="30" t="str">
        <x:v>Project unlock</x:v>
      </x:c>
      <x:c r="F1341" s="30" t="str">
        <x:v>African Confederations</x:v>
      </x:c>
      <x:c r="G1341" s="30" t="str">
        <x:v>No</x:v>
      </x:c>
      <x:c r="H1341" s="30" t="str">
        <x:v>Ordinary claim</x:v>
      </x:c>
      <x:c r="I1341" s="31" t="n">
        <x:f>IF(G1341="Yes",'Controls &amp; Summary'!$B$5,'Controls &amp; Summary'!$B$4)</x:f>
        <x:v>6</x:v>
      </x:c>
      <x:c r="J1341" s="31" t="n">
        <x:v>5.13</x:v>
      </x:c>
      <x:c r="K1341" s="31" t="n">
        <x:v>5.05</x:v>
      </x:c>
      <x:c r="L1341" s="31" t="n">
        <x:f>ABS(J1341-K1341)</x:f>
        <x:v>0.08000000000000007</x:v>
      </x:c>
      <x:c r="M1341" s="31" t="n">
        <x:v>4.05</x:v>
      </x:c>
      <x:c r="N1341" s="31" t="n">
        <x:v>3.87</x:v>
      </x:c>
      <x:c r="O1341" s="31" t="n">
        <x:f>ABS(M1341-N1341)</x:f>
        <x:v>0.17999999999999972</x:v>
      </x:c>
      <x:c r="P1341" s="31" t="n">
        <x:v>4.37</x:v>
      </x:c>
      <x:c r="Q1341" s="31" t="n">
        <x:v>5.95</x:v>
      </x:c>
      <x:c r="R1341" s="31" t="n">
        <x:f>ABS(P1341-Q1341)</x:f>
        <x:v>1.58</x:v>
      </x:c>
      <x:c r="S1341" s="32" t="n">
        <x:v>3560.467170260424</x:v>
      </x:c>
      <x:c r="T1341" s="32" t="n">
        <x:v>6032.631158144533</x:v>
      </x:c>
      <x:c r="U1341" s="31" t="n">
        <x:f>MAX(S1341/T1341,T1341/S1341)</x:f>
        <x:v>1.6943369703092326</x:v>
      </x:c>
      <x:c r="V1341" s="31" t="n">
        <x:f>L1341*'Controls &amp; Summary'!$B$9+O1341*'Controls &amp; Summary'!$B$10+R1341*'Controls &amp; Summary'!$B$11+U1341*'Controls &amp; Summary'!$B$12</x:f>
        <x:v>3.5343369703092327</x:v>
      </x:c>
      <x:c r="W1341" s="31" t="n">
        <x:v>2.67</x:v>
      </x:c>
      <x:c r="X1341" s="31" t="n">
        <x:v>5</x:v>
      </x:c>
      <x:c r="Y1341" s="31" t="n">
        <x:f>((10-MIN(10,MAX(0,X1341)))/10)*'Controls &amp; Summary'!$B$15+((10-MIN(10,MAX(0,W1341)))/10)*'Controls &amp; Summary'!$B$16</x:f>
        <x:v>1.233</x:v>
      </x:c>
      <x:c r="Z1341" s="31" t="n">
        <x:f>V1341*Y1341</x:f>
        <x:v>4.357837484391284</x:v>
      </x:c>
      <x:c r="AA1341" s="30" t="str">
        <x:f>IF(Z1341&lt;=I1341,"Peaceful","Hostile")</x:f>
        <x:v>Peaceful</x:v>
      </x:c>
      <x:c r="AB1341" s="30" t="str">
        <x:f>IF(Z1341&lt;='Controls &amp; Summary'!$B$6,"Eligible","Blocked")</x:f>
        <x:v>Eligible</x:v>
      </x:c>
      <x:c r="AC1341" s="30" t="str">
        <x:v>2026_TZA</x:v>
      </x:c>
      <x:c r="AD1341" s="30" t="str">
        <x:v>2026_KEN</x:v>
      </x:c>
      <x:c r="AE1341" s="30" t="str">
        <x:v>2026_Kenya</x:v>
      </x:c>
      <x:c r="AF1341" s="30" t="str">
        <x:v>Explicit capitalClaim</x:v>
      </x:c>
      <x:c r="AG1341" s="30" t="str">
        <x:v>Claim2026_TZA2026_Kenya</x:v>
      </x:c>
      <x:c r="AH1341" s="30" t="str">
        <x:v>Project_EastAfricanFederation</x:v>
      </x:c>
    </x:row>
    <x:row r="1342">
      <x:c r="A1342" s="30" t="str">
        <x:v>2026</x:v>
      </x:c>
      <x:c r="B1342" s="30" t="str">
        <x:v>Base game</x:v>
      </x:c>
      <x:c r="C1342" s="30" t="str">
        <x:v>Tanzania</x:v>
      </x:c>
      <x:c r="D1342" s="30" t="str">
        <x:v>Rwanda-Burundi</x:v>
      </x:c>
      <x:c r="E1342" s="30" t="str">
        <x:v>Project unlock</x:v>
      </x:c>
      <x:c r="F1342" s="30" t="str">
        <x:v>African Confederations</x:v>
      </x:c>
      <x:c r="G1342" s="30" t="str">
        <x:v>No</x:v>
      </x:c>
      <x:c r="H1342" s="30" t="str">
        <x:v>Ordinary claim</x:v>
      </x:c>
      <x:c r="I1342" s="31" t="n">
        <x:f>IF(G1342="Yes",'Controls &amp; Summary'!$B$5,'Controls &amp; Summary'!$B$4)</x:f>
        <x:v>6</x:v>
      </x:c>
      <x:c r="J1342" s="31" t="n">
        <x:v>5.13</x:v>
      </x:c>
      <x:c r="K1342" s="31" t="n">
        <x:v>2.74</x:v>
      </x:c>
      <x:c r="L1342" s="31" t="n">
        <x:f>ABS(J1342-K1342)</x:f>
        <x:v>2.3899999999999997</x:v>
      </x:c>
      <x:c r="M1342" s="31" t="n">
        <x:v>4.05</x:v>
      </x:c>
      <x:c r="N1342" s="31" t="n">
        <x:v>4.06</x:v>
      </x:c>
      <x:c r="O1342" s="31" t="n">
        <x:f>ABS(M1342-N1342)</x:f>
        <x:v>0.009999999999999787</x:v>
      </x:c>
      <x:c r="P1342" s="31" t="n">
        <x:v>4.37</x:v>
      </x:c>
      <x:c r="Q1342" s="31" t="n">
        <x:v>4.46</x:v>
      </x:c>
      <x:c r="R1342" s="31" t="n">
        <x:f>ABS(P1342-Q1342)</x:f>
        <x:v>0.08999999999999986</x:v>
      </x:c>
      <x:c r="S1342" s="32" t="n">
        <x:v>3560.467170260424</x:v>
      </x:c>
      <x:c r="T1342" s="32" t="n">
        <x:v>2141.911654233706</x:v>
      </x:c>
      <x:c r="U1342" s="31" t="n">
        <x:f>MAX(S1342/T1342,T1342/S1342)</x:f>
        <x:v>1.6622847927564142</x:v>
      </x:c>
      <x:c r="V1342" s="31" t="n">
        <x:f>L1342*'Controls &amp; Summary'!$B$9+O1342*'Controls &amp; Summary'!$B$10+R1342*'Controls &amp; Summary'!$B$11+U1342*'Controls &amp; Summary'!$B$12</x:f>
        <x:v>4.152284792756413</x:v>
      </x:c>
      <x:c r="W1342" s="31" t="n">
        <x:v>2.67</x:v>
      </x:c>
      <x:c r="X1342" s="31" t="n">
        <x:v>2.49</x:v>
      </x:c>
      <x:c r="Y1342" s="31" t="n">
        <x:f>((10-MIN(10,MAX(0,X1342)))/10)*'Controls &amp; Summary'!$B$15+((10-MIN(10,MAX(0,W1342)))/10)*'Controls &amp; Summary'!$B$16</x:f>
        <x:v>1.484</x:v>
      </x:c>
      <x:c r="Z1342" s="31" t="n">
        <x:f>V1342*Y1342</x:f>
        <x:v>6.161990632450517</x:v>
      </x:c>
      <x:c r="AA1342" s="30" t="str">
        <x:f>IF(Z1342&lt;=I1342,"Peaceful","Hostile")</x:f>
        <x:v>Hostile</x:v>
      </x:c>
      <x:c r="AB1342" s="30" t="str">
        <x:f>IF(Z1342&lt;='Controls &amp; Summary'!$B$6,"Eligible","Blocked")</x:f>
        <x:v>Eligible</x:v>
      </x:c>
      <x:c r="AC1342" s="30" t="str">
        <x:v>2026_TZA</x:v>
      </x:c>
      <x:c r="AD1342" s="30" t="str">
        <x:v>2026_RWB</x:v>
      </x:c>
      <x:c r="AE1342" s="30" t="str">
        <x:v>2026_Kigali</x:v>
      </x:c>
      <x:c r="AF1342" s="30" t="str">
        <x:v>Explicit capitalClaim</x:v>
      </x:c>
      <x:c r="AG1342" s="30" t="str">
        <x:v>Claim2026_TZA2026_Kigali</x:v>
      </x:c>
      <x:c r="AH1342" s="30" t="str">
        <x:v>Project_EastAfricanFederation</x:v>
      </x:c>
    </x:row>
    <x:row r="1343">
      <x:c r="A1343" s="30" t="str">
        <x:v>2026</x:v>
      </x:c>
      <x:c r="B1343" s="30" t="str">
        <x:v>Base game</x:v>
      </x:c>
      <x:c r="C1343" s="30" t="str">
        <x:v>Tanzania</x:v>
      </x:c>
      <x:c r="D1343" s="30" t="str">
        <x:v>Seychelles</x:v>
      </x:c>
      <x:c r="E1343" s="30" t="str">
        <x:v>Project unlock</x:v>
      </x:c>
      <x:c r="F1343" s="30" t="str">
        <x:v>Regional African Unions</x:v>
      </x:c>
      <x:c r="G1343" s="30" t="str">
        <x:v>No</x:v>
      </x:c>
      <x:c r="H1343" s="30" t="str">
        <x:v>Ordinary claim</x:v>
      </x:c>
      <x:c r="I1343" s="31" t="n">
        <x:f>IF(G1343="Yes",'Controls &amp; Summary'!$B$5,'Controls &amp; Summary'!$B$4)</x:f>
        <x:v>6</x:v>
      </x:c>
      <x:c r="J1343" s="31" t="n">
        <x:v>5.13</x:v>
      </x:c>
      <x:c r="K1343" s="31" t="n">
        <x:v>8</x:v>
      </x:c>
      <x:c r="L1343" s="31" t="n">
        <x:f>ABS(J1343-K1343)</x:f>
        <x:v>2.87</x:v>
      </x:c>
      <x:c r="M1343" s="31" t="n">
        <x:v>4.05</x:v>
      </x:c>
      <x:c r="N1343" s="31" t="n">
        <x:v>3.21</x:v>
      </x:c>
      <x:c r="O1343" s="31" t="n">
        <x:f>ABS(M1343-N1343)</x:f>
        <x:v>0.8399999999999999</x:v>
      </x:c>
      <x:c r="P1343" s="31" t="n">
        <x:v>4.37</x:v>
      </x:c>
      <x:c r="Q1343" s="31" t="n">
        <x:v>8.58</x:v>
      </x:c>
      <x:c r="R1343" s="31" t="n">
        <x:f>ABS(P1343-Q1343)</x:f>
        <x:v>4.21</x:v>
      </x:c>
      <x:c r="S1343" s="32" t="n">
        <x:v>3560.467170260424</x:v>
      </x:c>
      <x:c r="T1343" s="32" t="n">
        <x:v>27829.488955905126</x:v>
      </x:c>
      <x:c r="U1343" s="31" t="n">
        <x:f>MAX(S1343/T1343,T1343/S1343)</x:f>
        <x:v>7.816246471349878</x:v>
      </x:c>
      <x:c r="V1343" s="31" t="n">
        <x:f>L1343*'Controls &amp; Summary'!$B$9+O1343*'Controls &amp; Summary'!$B$10+R1343*'Controls &amp; Summary'!$B$11+U1343*'Controls &amp; Summary'!$B$12</x:f>
        <x:v>15.736246471349878</x:v>
      </x:c>
      <x:c r="W1343" s="31" t="n">
        <x:v>2.67</x:v>
      </x:c>
      <x:c r="X1343" s="31" t="n">
        <x:v>0</x:v>
      </x:c>
      <x:c r="Y1343" s="31" t="n">
        <x:f>((10-MIN(10,MAX(0,X1343)))/10)*'Controls &amp; Summary'!$B$15+((10-MIN(10,MAX(0,W1343)))/10)*'Controls &amp; Summary'!$B$16</x:f>
        <x:v>1.733</x:v>
      </x:c>
      <x:c r="Z1343" s="31" t="n">
        <x:f>V1343*Y1343</x:f>
        <x:v>27.27091513484934</x:v>
      </x:c>
      <x:c r="AA1343" s="30" t="str">
        <x:f>IF(Z1343&lt;=I1343,"Peaceful","Hostile")</x:f>
        <x:v>Hostile</x:v>
      </x:c>
      <x:c r="AB1343" s="30" t="str">
        <x:f>IF(Z1343&lt;='Controls &amp; Summary'!$B$6,"Eligible","Blocked")</x:f>
        <x:v>Blocked</x:v>
      </x:c>
      <x:c r="AC1343" s="30" t="str">
        <x:v>2026_TZA</x:v>
      </x:c>
      <x:c r="AD1343" s="30" t="str">
        <x:v>2026_SYC</x:v>
      </x:c>
      <x:c r="AE1343" s="30" t="str">
        <x:v>2026_Seychelles</x:v>
      </x:c>
      <x:c r="AF1343" s="30" t="str">
        <x:v>Explicit capitalClaim</x:v>
      </x:c>
      <x:c r="AG1343" s="30" t="str">
        <x:v>Claim2026_TZA2026_Seychelles</x:v>
      </x:c>
      <x:c r="AH1343" s="30" t="str">
        <x:v>Project_RegionalAfricanUnions</x:v>
      </x:c>
    </x:row>
    <x:row r="1344">
      <x:c r="A1344" s="30" t="str">
        <x:v>2026</x:v>
      </x:c>
      <x:c r="B1344" s="30" t="str">
        <x:v>Base game</x:v>
      </x:c>
      <x:c r="C1344" s="30" t="str">
        <x:v>Tanzania</x:v>
      </x:c>
      <x:c r="D1344" s="30" t="str">
        <x:v>Somalia</x:v>
      </x:c>
      <x:c r="E1344" s="30" t="str">
        <x:v>Project unlock</x:v>
      </x:c>
      <x:c r="F1344" s="30" t="str">
        <x:v>African Confederations</x:v>
      </x:c>
      <x:c r="G1344" s="30" t="str">
        <x:v>No</x:v>
      </x:c>
      <x:c r="H1344" s="30" t="str">
        <x:v>Ordinary claim</x:v>
      </x:c>
      <x:c r="I1344" s="31" t="n">
        <x:f>IF(G1344="Yes",'Controls &amp; Summary'!$B$5,'Controls &amp; Summary'!$B$4)</x:f>
        <x:v>6</x:v>
      </x:c>
      <x:c r="J1344" s="31" t="n">
        <x:v>5.13</x:v>
      </x:c>
      <x:c r="K1344" s="31" t="n">
        <x:v>1.4</x:v>
      </x:c>
      <x:c r="L1344" s="31" t="n">
        <x:f>ABS(J1344-K1344)</x:f>
        <x:v>3.73</x:v>
      </x:c>
      <x:c r="M1344" s="31" t="n">
        <x:v>4.05</x:v>
      </x:c>
      <x:c r="N1344" s="31" t="n">
        <x:v>4.42</x:v>
      </x:c>
      <x:c r="O1344" s="31" t="n">
        <x:f>ABS(M1344-N1344)</x:f>
        <x:v>0.3700000000000001</x:v>
      </x:c>
      <x:c r="P1344" s="31" t="n">
        <x:v>4.37</x:v>
      </x:c>
      <x:c r="Q1344" s="31" t="n">
        <x:v>2.72</x:v>
      </x:c>
      <x:c r="R1344" s="31" t="n">
        <x:f>ABS(P1344-Q1344)</x:f>
        <x:v>1.65</x:v>
      </x:c>
      <x:c r="S1344" s="32" t="n">
        <x:v>3560.467170260424</x:v>
      </x:c>
      <x:c r="T1344" s="32" t="n">
        <x:v>1679.695371433286</x:v>
      </x:c>
      <x:c r="U1344" s="31" t="n">
        <x:f>MAX(S1344/T1344,T1344/S1344)</x:f>
        <x:v>2.1197100562480404</x:v>
      </x:c>
      <x:c r="V1344" s="31" t="n">
        <x:f>L1344*'Controls &amp; Summary'!$B$9+O1344*'Controls &amp; Summary'!$B$10+R1344*'Controls &amp; Summary'!$B$11+U1344*'Controls &amp; Summary'!$B$12</x:f>
        <x:v>7.86971005624804</x:v>
      </x:c>
      <x:c r="W1344" s="31" t="n">
        <x:v>2.67</x:v>
      </x:c>
      <x:c r="X1344" s="31" t="n">
        <x:v>5.25</x:v>
      </x:c>
      <x:c r="Y1344" s="31" t="n">
        <x:f>((10-MIN(10,MAX(0,X1344)))/10)*'Controls &amp; Summary'!$B$15+((10-MIN(10,MAX(0,W1344)))/10)*'Controls &amp; Summary'!$B$16</x:f>
        <x:v>1.208</x:v>
      </x:c>
      <x:c r="Z1344" s="31" t="n">
        <x:f>V1344*Y1344</x:f>
        <x:v>9.506609747947632</x:v>
      </x:c>
      <x:c r="AA1344" s="30" t="str">
        <x:f>IF(Z1344&lt;=I1344,"Peaceful","Hostile")</x:f>
        <x:v>Hostile</x:v>
      </x:c>
      <x:c r="AB1344" s="30" t="str">
        <x:f>IF(Z1344&lt;='Controls &amp; Summary'!$B$6,"Eligible","Blocked")</x:f>
        <x:v>Eligible</x:v>
      </x:c>
      <x:c r="AC1344" s="30" t="str">
        <x:v>2026_TZA</x:v>
      </x:c>
      <x:c r="AD1344" s="30" t="str">
        <x:v>2026_SOM</x:v>
      </x:c>
      <x:c r="AE1344" s="30" t="str">
        <x:v>2026_Somalia</x:v>
      </x:c>
      <x:c r="AF1344" s="30" t="str">
        <x:v>Explicit capitalClaim</x:v>
      </x:c>
      <x:c r="AG1344" s="30" t="str">
        <x:v>Claim2026_TZA2026_Somalia</x:v>
      </x:c>
      <x:c r="AH1344" s="30" t="str">
        <x:v>Project_EastAfricanFederation</x:v>
      </x:c>
    </x:row>
    <x:row r="1345">
      <x:c r="A1345" s="30" t="str">
        <x:v>2026</x:v>
      </x:c>
      <x:c r="B1345" s="30" t="str">
        <x:v>Base game</x:v>
      </x:c>
      <x:c r="C1345" s="30" t="str">
        <x:v>Tanzania</x:v>
      </x:c>
      <x:c r="D1345" s="30" t="str">
        <x:v>Somaliland</x:v>
      </x:c>
      <x:c r="E1345" s="30" t="str">
        <x:v>Project unlock</x:v>
      </x:c>
      <x:c r="F1345" s="30" t="str">
        <x:v>African Confederations</x:v>
      </x:c>
      <x:c r="G1345" s="30" t="str">
        <x:v>No</x:v>
      </x:c>
      <x:c r="H1345" s="30" t="str">
        <x:v>Ordinary claim</x:v>
      </x:c>
      <x:c r="I1345" s="31" t="n">
        <x:f>IF(G1345="Yes",'Controls &amp; Summary'!$B$5,'Controls &amp; Summary'!$B$4)</x:f>
        <x:v>6</x:v>
      </x:c>
      <x:c r="J1345" s="31" t="n">
        <x:v>5.13</x:v>
      </x:c>
      <x:c r="K1345" s="31" t="n">
        <x:v>4.7</x:v>
      </x:c>
      <x:c r="L1345" s="31" t="n">
        <x:f>ABS(J1345-K1345)</x:f>
        <x:v>0.4299999999999997</x:v>
      </x:c>
      <x:c r="M1345" s="31" t="n">
        <x:v>4.05</x:v>
      </x:c>
      <x:c r="N1345" s="31" t="n">
        <x:v>3.9</x:v>
      </x:c>
      <x:c r="O1345" s="31" t="n">
        <x:f>ABS(M1345-N1345)</x:f>
        <x:v>0.1499999999999999</x:v>
      </x:c>
      <x:c r="P1345" s="31" t="n">
        <x:v>4.37</x:v>
      </x:c>
      <x:c r="Q1345" s="31" t="n">
        <x:v>4</x:v>
      </x:c>
      <x:c r="R1345" s="31" t="n">
        <x:f>ABS(P1345-Q1345)</x:f>
        <x:v>0.3700000000000001</x:v>
      </x:c>
      <x:c r="S1345" s="32" t="n">
        <x:v>3560.467170260424</x:v>
      </x:c>
      <x:c r="T1345" s="32" t="n">
        <x:v>1322.4818903001526</x:v>
      </x:c>
      <x:c r="U1345" s="31" t="n">
        <x:f>MAX(S1345/T1345,T1345/S1345)</x:f>
        <x:v>2.6922615699881796</x:v>
      </x:c>
      <x:c r="V1345" s="31" t="n">
        <x:f>L1345*'Controls &amp; Summary'!$B$9+O1345*'Controls &amp; Summary'!$B$10+R1345*'Controls &amp; Summary'!$B$11+U1345*'Controls &amp; Summary'!$B$12</x:f>
        <x:v>3.6422615699881793</x:v>
      </x:c>
      <x:c r="W1345" s="31" t="n">
        <x:v>2.67</x:v>
      </x:c>
      <x:c r="X1345" s="31" t="n">
        <x:v>2</x:v>
      </x:c>
      <x:c r="Y1345" s="31" t="n">
        <x:f>((10-MIN(10,MAX(0,X1345)))/10)*'Controls &amp; Summary'!$B$15+((10-MIN(10,MAX(0,W1345)))/10)*'Controls &amp; Summary'!$B$16</x:f>
        <x:v>1.533</x:v>
      </x:c>
      <x:c r="Z1345" s="31" t="n">
        <x:f>V1345*Y1345</x:f>
        <x:v>5.583586986791879</x:v>
      </x:c>
      <x:c r="AA1345" s="30" t="str">
        <x:f>IF(Z1345&lt;=I1345,"Peaceful","Hostile")</x:f>
        <x:v>Peaceful</x:v>
      </x:c>
      <x:c r="AB1345" s="30" t="str">
        <x:f>IF(Z1345&lt;='Controls &amp; Summary'!$B$6,"Eligible","Blocked")</x:f>
        <x:v>Eligible</x:v>
      </x:c>
      <x:c r="AC1345" s="30" t="str">
        <x:v>2026_TZA</x:v>
      </x:c>
      <x:c r="AD1345" s="30" t="str">
        <x:v>2026_SOL</x:v>
      </x:c>
      <x:c r="AE1345" s="30" t="str">
        <x:v>2026_Somaliland</x:v>
      </x:c>
      <x:c r="AF1345" s="30" t="str">
        <x:v>Explicit capitalClaim</x:v>
      </x:c>
      <x:c r="AG1345" s="30" t="str">
        <x:v>Claim2026_TZA2026_Somaliland</x:v>
      </x:c>
      <x:c r="AH1345" s="30" t="str">
        <x:v>Project_EastAfricanFederation</x:v>
      </x:c>
    </x:row>
    <x:row r="1346">
      <x:c r="A1346" s="30" t="str">
        <x:v>2026</x:v>
      </x:c>
      <x:c r="B1346" s="30" t="str">
        <x:v>Base game</x:v>
      </x:c>
      <x:c r="C1346" s="30" t="str">
        <x:v>Tanzania</x:v>
      </x:c>
      <x:c r="D1346" s="30" t="str">
        <x:v>South Sudan</x:v>
      </x:c>
      <x:c r="E1346" s="30" t="str">
        <x:v>Project unlock</x:v>
      </x:c>
      <x:c r="F1346" s="30" t="str">
        <x:v>African Confederations</x:v>
      </x:c>
      <x:c r="G1346" s="30" t="str">
        <x:v>No</x:v>
      </x:c>
      <x:c r="H1346" s="30" t="str">
        <x:v>Ordinary claim</x:v>
      </x:c>
      <x:c r="I1346" s="31" t="n">
        <x:f>IF(G1346="Yes",'Controls &amp; Summary'!$B$5,'Controls &amp; Summary'!$B$4)</x:f>
        <x:v>6</x:v>
      </x:c>
      <x:c r="J1346" s="31" t="n">
        <x:v>5.13</x:v>
      </x:c>
      <x:c r="K1346" s="31" t="n">
        <x:v>0.7</x:v>
      </x:c>
      <x:c r="L1346" s="31" t="n">
        <x:f>ABS(J1346-K1346)</x:f>
        <x:v>4.43</x:v>
      </x:c>
      <x:c r="M1346" s="31" t="n">
        <x:v>4.05</x:v>
      </x:c>
      <x:c r="N1346" s="31" t="n">
        <x:v>4.41</x:v>
      </x:c>
      <x:c r="O1346" s="31" t="n">
        <x:f>ABS(M1346-N1346)</x:f>
        <x:v>0.3600000000000003</x:v>
      </x:c>
      <x:c r="P1346" s="31" t="n">
        <x:v>4.37</x:v>
      </x:c>
      <x:c r="Q1346" s="31" t="n">
        <x:v>3.43</x:v>
      </x:c>
      <x:c r="R1346" s="31" t="n">
        <x:f>ABS(P1346-Q1346)</x:f>
        <x:v>0.94</x:v>
      </x:c>
      <x:c r="S1346" s="32" t="n">
        <x:v>3560.467170260424</x:v>
      </x:c>
      <x:c r="T1346" s="32" t="n">
        <x:v>805.6971847221105</x:v>
      </x:c>
      <x:c r="U1346" s="31" t="n">
        <x:f>MAX(S1346/T1346,T1346/S1346)</x:f>
        <x:v>4.4191133316277496</x:v>
      </x:c>
      <x:c r="V1346" s="31" t="n">
        <x:f>L1346*'Controls &amp; Summary'!$B$9+O1346*'Controls &amp; Summary'!$B$10+R1346*'Controls &amp; Summary'!$B$11+U1346*'Controls &amp; Summary'!$B$12</x:f>
        <x:v>10.149113331627749</x:v>
      </x:c>
      <x:c r="W1346" s="31" t="n">
        <x:v>2.67</x:v>
      </x:c>
      <x:c r="X1346" s="31" t="n">
        <x:v>5.25</x:v>
      </x:c>
      <x:c r="Y1346" s="31" t="n">
        <x:f>((10-MIN(10,MAX(0,X1346)))/10)*'Controls &amp; Summary'!$B$15+((10-MIN(10,MAX(0,W1346)))/10)*'Controls &amp; Summary'!$B$16</x:f>
        <x:v>1.208</x:v>
      </x:c>
      <x:c r="Z1346" s="31" t="n">
        <x:f>V1346*Y1346</x:f>
        <x:v>12.26012890460632</x:v>
      </x:c>
      <x:c r="AA1346" s="30" t="str">
        <x:f>IF(Z1346&lt;=I1346,"Peaceful","Hostile")</x:f>
        <x:v>Hostile</x:v>
      </x:c>
      <x:c r="AB1346" s="30" t="str">
        <x:f>IF(Z1346&lt;='Controls &amp; Summary'!$B$6,"Eligible","Blocked")</x:f>
        <x:v>Blocked</x:v>
      </x:c>
      <x:c r="AC1346" s="30" t="str">
        <x:v>2026_TZA</x:v>
      </x:c>
      <x:c r="AD1346" s="30" t="str">
        <x:v>2026_SSD</x:v>
      </x:c>
      <x:c r="AE1346" s="30" t="str">
        <x:v>2026_SouthSudan</x:v>
      </x:c>
      <x:c r="AF1346" s="30" t="str">
        <x:v>Explicit capitalClaim</x:v>
      </x:c>
      <x:c r="AG1346" s="30" t="str">
        <x:v>Claim2026_TZA2026_SouthSudan</x:v>
      </x:c>
      <x:c r="AH1346" s="30" t="str">
        <x:v>Project_EastAfricanFederation</x:v>
      </x:c>
    </x:row>
    <x:row r="1347">
      <x:c r="A1347" s="30" t="str">
        <x:v>2026</x:v>
      </x:c>
      <x:c r="B1347" s="30" t="str">
        <x:v>Base game</x:v>
      </x:c>
      <x:c r="C1347" s="30" t="str">
        <x:v>Tanzania</x:v>
      </x:c>
      <x:c r="D1347" s="30" t="str">
        <x:v>Uganda</x:v>
      </x:c>
      <x:c r="E1347" s="30" t="str">
        <x:v>Project unlock</x:v>
      </x:c>
      <x:c r="F1347" s="30" t="str">
        <x:v>African Confederations</x:v>
      </x:c>
      <x:c r="G1347" s="30" t="str">
        <x:v>No</x:v>
      </x:c>
      <x:c r="H1347" s="30" t="str">
        <x:v>Ordinary claim</x:v>
      </x:c>
      <x:c r="I1347" s="31" t="n">
        <x:f>IF(G1347="Yes",'Controls &amp; Summary'!$B$5,'Controls &amp; Summary'!$B$4)</x:f>
        <x:v>6</x:v>
      </x:c>
      <x:c r="J1347" s="31" t="n">
        <x:v>5.13</x:v>
      </x:c>
      <x:c r="K1347" s="31" t="n">
        <x:v>4.31</x:v>
      </x:c>
      <x:c r="L1347" s="31" t="n">
        <x:f>ABS(J1347-K1347)</x:f>
        <x:v>0.8200000000000003</x:v>
      </x:c>
      <x:c r="M1347" s="31" t="n">
        <x:v>4.05</x:v>
      </x:c>
      <x:c r="N1347" s="31" t="n">
        <x:v>4.27</x:v>
      </x:c>
      <x:c r="O1347" s="31" t="n">
        <x:f>ABS(M1347-N1347)</x:f>
        <x:v>0.21999999999999975</x:v>
      </x:c>
      <x:c r="P1347" s="31" t="n">
        <x:v>4.37</x:v>
      </x:c>
      <x:c r="Q1347" s="31" t="n">
        <x:v>5.24</x:v>
      </x:c>
      <x:c r="R1347" s="31" t="n">
        <x:f>ABS(P1347-Q1347)</x:f>
        <x:v>0.8700000000000001</x:v>
      </x:c>
      <x:c r="S1347" s="32" t="n">
        <x:v>3560.467170260424</x:v>
      </x:c>
      <x:c r="T1347" s="32" t="n">
        <x:v>3120.760661137013</x:v>
      </x:c>
      <x:c r="U1347" s="31" t="n">
        <x:f>MAX(S1347/T1347,T1347/S1347)</x:f>
        <x:v>1.1408972224621703</x:v>
      </x:c>
      <x:c r="V1347" s="31" t="n">
        <x:f>L1347*'Controls &amp; Summary'!$B$9+O1347*'Controls &amp; Summary'!$B$10+R1347*'Controls &amp; Summary'!$B$11+U1347*'Controls &amp; Summary'!$B$12</x:f>
        <x:v>3.0508972224621704</x:v>
      </x:c>
      <x:c r="W1347" s="31" t="n">
        <x:v>2.67</x:v>
      </x:c>
      <x:c r="X1347" s="31" t="n">
        <x:v>3</x:v>
      </x:c>
      <x:c r="Y1347" s="31" t="n">
        <x:f>((10-MIN(10,MAX(0,X1347)))/10)*'Controls &amp; Summary'!$B$15+((10-MIN(10,MAX(0,W1347)))/10)*'Controls &amp; Summary'!$B$16</x:f>
        <x:v>1.4329999999999998</x:v>
      </x:c>
      <x:c r="Z1347" s="31" t="n">
        <x:f>V1347*Y1347</x:f>
        <x:v>4.37193571978829</x:v>
      </x:c>
      <x:c r="AA1347" s="30" t="str">
        <x:f>IF(Z1347&lt;=I1347,"Peaceful","Hostile")</x:f>
        <x:v>Peaceful</x:v>
      </x:c>
      <x:c r="AB1347" s="30" t="str">
        <x:f>IF(Z1347&lt;='Controls &amp; Summary'!$B$6,"Eligible","Blocked")</x:f>
        <x:v>Eligible</x:v>
      </x:c>
      <x:c r="AC1347" s="30" t="str">
        <x:v>2026_TZA</x:v>
      </x:c>
      <x:c r="AD1347" s="30" t="str">
        <x:v>2026_UGA</x:v>
      </x:c>
      <x:c r="AE1347" s="30" t="str">
        <x:v>2026_Uganda</x:v>
      </x:c>
      <x:c r="AF1347" s="30" t="str">
        <x:v>Explicit capitalClaim</x:v>
      </x:c>
      <x:c r="AG1347" s="30" t="str">
        <x:v>Claim2026_TZA2026_Uganda</x:v>
      </x:c>
      <x:c r="AH1347" s="30" t="str">
        <x:v>Project_EastAfricanFederation</x:v>
      </x:c>
    </x:row>
    <x:row r="1348">
      <x:c r="A1348" s="30" t="str">
        <x:v>2026</x:v>
      </x:c>
      <x:c r="B1348" s="30" t="str">
        <x:v>Base game</x:v>
      </x:c>
      <x:c r="C1348" s="30" t="str">
        <x:v>Thailand</x:v>
      </x:c>
      <x:c r="D1348" s="30" t="str">
        <x:v>Brunei</x:v>
      </x:c>
      <x:c r="E1348" s="30" t="str">
        <x:v>Project unlock</x:v>
      </x:c>
      <x:c r="F1348" s="30" t="str">
        <x:v>Southeast Asian Alliance</x:v>
      </x:c>
      <x:c r="G1348" s="30" t="str">
        <x:v>No</x:v>
      </x:c>
      <x:c r="H1348" s="30" t="str">
        <x:v>Ordinary claim</x:v>
      </x:c>
      <x:c r="I1348" s="31" t="n">
        <x:f>IF(G1348="Yes",'Controls &amp; Summary'!$B$5,'Controls &amp; Summary'!$B$4)</x:f>
        <x:v>6</x:v>
      </x:c>
      <x:c r="J1348" s="31" t="n">
        <x:v>6.59</x:v>
      </x:c>
      <x:c r="K1348" s="31" t="n">
        <x:v>2.7</x:v>
      </x:c>
      <x:c r="L1348" s="31" t="n">
        <x:f>ABS(J1348-K1348)</x:f>
        <x:v>3.8899999999999997</x:v>
      </x:c>
      <x:c r="M1348" s="31" t="n">
        <x:v>3.49</x:v>
      </x:c>
      <x:c r="N1348" s="31" t="n">
        <x:v>3.38</x:v>
      </x:c>
      <x:c r="O1348" s="31" t="n">
        <x:f>ABS(M1348-N1348)</x:f>
        <x:v>0.11000000000000032</x:v>
      </x:c>
      <x:c r="P1348" s="31" t="n">
        <x:v>7.12</x:v>
      </x:c>
      <x:c r="Q1348" s="31" t="n">
        <x:v>6.76</x:v>
      </x:c>
      <x:c r="R1348" s="31" t="n">
        <x:f>ABS(P1348-Q1348)</x:f>
        <x:v>0.3600000000000003</x:v>
      </x:c>
      <x:c r="S1348" s="32" t="n">
        <x:v>22796.63610259273</x:v>
      </x:c>
      <x:c r="T1348" s="32" t="n">
        <x:v>82109.60566228513</x:v>
      </x:c>
      <x:c r="U1348" s="31" t="n">
        <x:f>MAX(S1348/T1348,T1348/S1348)</x:f>
        <x:v>3.601829905638866</x:v>
      </x:c>
      <x:c r="V1348" s="31" t="n">
        <x:f>L1348*'Controls &amp; Summary'!$B$9+O1348*'Controls &amp; Summary'!$B$10+R1348*'Controls &amp; Summary'!$B$11+U1348*'Controls &amp; Summary'!$B$12</x:f>
        <x:v>7.961829905638867</x:v>
      </x:c>
      <x:c r="W1348" s="31" t="n">
        <x:v>1.97</x:v>
      </x:c>
      <x:c r="X1348" s="31" t="n">
        <x:v>0</x:v>
      </x:c>
      <x:c r="Y1348" s="31" t="n">
        <x:f>((10-MIN(10,MAX(0,X1348)))/10)*'Controls &amp; Summary'!$B$15+((10-MIN(10,MAX(0,W1348)))/10)*'Controls &amp; Summary'!$B$16</x:f>
        <x:v>1.803</x:v>
      </x:c>
      <x:c r="Z1348" s="31" t="n">
        <x:f>V1348*Y1348</x:f>
        <x:v>14.355179319866876</x:v>
      </x:c>
      <x:c r="AA1348" s="30" t="str">
        <x:f>IF(Z1348&lt;=I1348,"Peaceful","Hostile")</x:f>
        <x:v>Hostile</x:v>
      </x:c>
      <x:c r="AB1348" s="30" t="str">
        <x:f>IF(Z1348&lt;='Controls &amp; Summary'!$B$6,"Eligible","Blocked")</x:f>
        <x:v>Blocked</x:v>
      </x:c>
      <x:c r="AC1348" s="30" t="str">
        <x:v>2026_THA</x:v>
      </x:c>
      <x:c r="AD1348" s="30" t="str">
        <x:v>2026_BRU</x:v>
      </x:c>
      <x:c r="AE1348" s="30" t="str">
        <x:v>2026_Brunei</x:v>
      </x:c>
      <x:c r="AF1348" s="30" t="str">
        <x:v>Explicit capitalClaim</x:v>
      </x:c>
      <x:c r="AG1348" s="30" t="str">
        <x:v>Claim2026_THA2026_Brunei</x:v>
      </x:c>
      <x:c r="AH1348" s="30" t="str">
        <x:v>Project_SoutheastAsianAlliance</x:v>
      </x:c>
    </x:row>
    <x:row r="1349">
      <x:c r="A1349" s="30" t="str">
        <x:v>2026</x:v>
      </x:c>
      <x:c r="B1349" s="30" t="str">
        <x:v>Base game</x:v>
      </x:c>
      <x:c r="C1349" s="30" t="str">
        <x:v>Thailand</x:v>
      </x:c>
      <x:c r="D1349" s="30" t="str">
        <x:v>Cambodia</x:v>
      </x:c>
      <x:c r="E1349" s="30" t="str">
        <x:v>Project unlock</x:v>
      </x:c>
      <x:c r="F1349" s="30" t="str">
        <x:v>Southeast Asian Alliance</x:v>
      </x:c>
      <x:c r="G1349" s="30" t="str">
        <x:v>No</x:v>
      </x:c>
      <x:c r="H1349" s="30" t="str">
        <x:v>Ordinary claim</x:v>
      </x:c>
      <x:c r="I1349" s="31" t="n">
        <x:f>IF(G1349="Yes",'Controls &amp; Summary'!$B$5,'Controls &amp; Summary'!$B$4)</x:f>
        <x:v>6</x:v>
      </x:c>
      <x:c r="J1349" s="31" t="n">
        <x:v>6.59</x:v>
      </x:c>
      <x:c r="K1349" s="31" t="n">
        <x:v>2.7</x:v>
      </x:c>
      <x:c r="L1349" s="31" t="n">
        <x:f>ABS(J1349-K1349)</x:f>
        <x:v>3.8899999999999997</x:v>
      </x:c>
      <x:c r="M1349" s="31" t="n">
        <x:v>3.49</x:v>
      </x:c>
      <x:c r="N1349" s="31" t="n">
        <x:v>3.01</x:v>
      </x:c>
      <x:c r="O1349" s="31" t="n">
        <x:f>ABS(M1349-N1349)</x:f>
        <x:v>0.4800000000000004</x:v>
      </x:c>
      <x:c r="P1349" s="31" t="n">
        <x:v>7.12</x:v>
      </x:c>
      <x:c r="Q1349" s="31" t="n">
        <x:v>4.77</x:v>
      </x:c>
      <x:c r="R1349" s="31" t="n">
        <x:f>ABS(P1349-Q1349)</x:f>
        <x:v>2.3500000000000005</x:v>
      </x:c>
      <x:c r="S1349" s="32" t="n">
        <x:v>22796.63610259273</x:v>
      </x:c>
      <x:c r="T1349" s="32" t="n">
        <x:v>7314.816394671186</x:v>
      </x:c>
      <x:c r="U1349" s="31" t="n">
        <x:f>MAX(S1349/T1349,T1349/S1349)</x:f>
        <x:v>3.11650147763107</x:v>
      </x:c>
      <x:c r="V1349" s="31" t="n">
        <x:f>L1349*'Controls &amp; Summary'!$B$9+O1349*'Controls &amp; Summary'!$B$10+R1349*'Controls &amp; Summary'!$B$11+U1349*'Controls &amp; Summary'!$B$12</x:f>
        <x:v>9.83650147763107</x:v>
      </x:c>
      <x:c r="W1349" s="31" t="n">
        <x:v>1.97</x:v>
      </x:c>
      <x:c r="X1349" s="31" t="n">
        <x:v>0.25</x:v>
      </x:c>
      <x:c r="Y1349" s="31" t="n">
        <x:f>((10-MIN(10,MAX(0,X1349)))/10)*'Controls &amp; Summary'!$B$15+((10-MIN(10,MAX(0,W1349)))/10)*'Controls &amp; Summary'!$B$16</x:f>
        <x:v>1.778</x:v>
      </x:c>
      <x:c r="Z1349" s="31" t="n">
        <x:f>V1349*Y1349</x:f>
        <x:v>17.489299627228043</x:v>
      </x:c>
      <x:c r="AA1349" s="30" t="str">
        <x:f>IF(Z1349&lt;=I1349,"Peaceful","Hostile")</x:f>
        <x:v>Hostile</x:v>
      </x:c>
      <x:c r="AB1349" s="30" t="str">
        <x:f>IF(Z1349&lt;='Controls &amp; Summary'!$B$6,"Eligible","Blocked")</x:f>
        <x:v>Blocked</x:v>
      </x:c>
      <x:c r="AC1349" s="30" t="str">
        <x:v>2026_THA</x:v>
      </x:c>
      <x:c r="AD1349" s="30" t="str">
        <x:v>2026_KHM</x:v>
      </x:c>
      <x:c r="AE1349" s="30" t="str">
        <x:v>2026_Cambodia</x:v>
      </x:c>
      <x:c r="AF1349" s="30" t="str">
        <x:v>Explicit capitalClaim</x:v>
      </x:c>
      <x:c r="AG1349" s="30" t="str">
        <x:v>Claim2026_THA2026_Cambodia</x:v>
      </x:c>
      <x:c r="AH1349" s="30" t="str">
        <x:v>Project_SoutheastAsianAlliance</x:v>
      </x:c>
    </x:row>
    <x:row r="1350">
      <x:c r="A1350" s="30" t="str">
        <x:v>2026</x:v>
      </x:c>
      <x:c r="B1350" s="30" t="str">
        <x:v>Base game</x:v>
      </x:c>
      <x:c r="C1350" s="30" t="str">
        <x:v>Thailand</x:v>
      </x:c>
      <x:c r="D1350" s="30" t="str">
        <x:v>Indonesia</x:v>
      </x:c>
      <x:c r="E1350" s="30" t="str">
        <x:v>Project unlock</x:v>
      </x:c>
      <x:c r="F1350" s="30" t="str">
        <x:v>Southeast Asian Alliance</x:v>
      </x:c>
      <x:c r="G1350" s="30" t="str">
        <x:v>No</x:v>
      </x:c>
      <x:c r="H1350" s="30" t="str">
        <x:v>Ordinary claim</x:v>
      </x:c>
      <x:c r="I1350" s="31" t="n">
        <x:f>IF(G1350="Yes",'Controls &amp; Summary'!$B$5,'Controls &amp; Summary'!$B$4)</x:f>
        <x:v>6</x:v>
      </x:c>
      <x:c r="J1350" s="31" t="n">
        <x:v>6.59</x:v>
      </x:c>
      <x:c r="K1350" s="31" t="n">
        <x:v>6.37</x:v>
      </x:c>
      <x:c r="L1350" s="31" t="n">
        <x:f>ABS(J1350-K1350)</x:f>
        <x:v>0.21999999999999975</x:v>
      </x:c>
      <x:c r="M1350" s="31" t="n">
        <x:v>3.49</x:v>
      </x:c>
      <x:c r="N1350" s="31" t="n">
        <x:v>3.61</x:v>
      </x:c>
      <x:c r="O1350" s="31" t="n">
        <x:f>ABS(M1350-N1350)</x:f>
        <x:v>0.11999999999999966</x:v>
      </x:c>
      <x:c r="P1350" s="31" t="n">
        <x:v>7.12</x:v>
      </x:c>
      <x:c r="Q1350" s="31" t="n">
        <x:v>6.46</x:v>
      </x:c>
      <x:c r="R1350" s="31" t="n">
        <x:f>ABS(P1350-Q1350)</x:f>
        <x:v>0.6600000000000001</x:v>
      </x:c>
      <x:c r="S1350" s="32" t="n">
        <x:v>22796.63610259273</x:v>
      </x:c>
      <x:c r="T1350" s="32" t="n">
        <x:v>15341.497054185696</x:v>
      </x:c>
      <x:c r="U1350" s="31" t="n">
        <x:f>MAX(S1350/T1350,T1350/S1350)</x:f>
        <x:v>1.4859459948449432</x:v>
      </x:c>
      <x:c r="V1350" s="31" t="n">
        <x:f>L1350*'Controls &amp; Summary'!$B$9+O1350*'Controls &amp; Summary'!$B$10+R1350*'Controls &amp; Summary'!$B$11+U1350*'Controls &amp; Summary'!$B$12</x:f>
        <x:v>2.4859459948449425</x:v>
      </x:c>
      <x:c r="W1350" s="31" t="n">
        <x:v>1.97</x:v>
      </x:c>
      <x:c r="X1350" s="31" t="n">
        <x:v>4</x:v>
      </x:c>
      <x:c r="Y1350" s="31" t="n">
        <x:f>((10-MIN(10,MAX(0,X1350)))/10)*'Controls &amp; Summary'!$B$15+((10-MIN(10,MAX(0,W1350)))/10)*'Controls &amp; Summary'!$B$16</x:f>
        <x:v>1.403</x:v>
      </x:c>
      <x:c r="Z1350" s="31" t="n">
        <x:f>V1350*Y1350</x:f>
        <x:v>3.487782230767454</x:v>
      </x:c>
      <x:c r="AA1350" s="30" t="str">
        <x:f>IF(Z1350&lt;=I1350,"Peaceful","Hostile")</x:f>
        <x:v>Peaceful</x:v>
      </x:c>
      <x:c r="AB1350" s="30" t="str">
        <x:f>IF(Z1350&lt;='Controls &amp; Summary'!$B$6,"Eligible","Blocked")</x:f>
        <x:v>Eligible</x:v>
      </x:c>
      <x:c r="AC1350" s="30" t="str">
        <x:v>2026_THA</x:v>
      </x:c>
      <x:c r="AD1350" s="30" t="str">
        <x:v>2026_IDN</x:v>
      </x:c>
      <x:c r="AE1350" s="30" t="str">
        <x:v>2026_Java</x:v>
      </x:c>
      <x:c r="AF1350" s="30" t="str">
        <x:v>Explicit capitalClaim</x:v>
      </x:c>
      <x:c r="AG1350" s="30" t="str">
        <x:v>Claim2026_THA2026_Java</x:v>
      </x:c>
      <x:c r="AH1350" s="30" t="str">
        <x:v>Project_SoutheastAsianAlliance</x:v>
      </x:c>
    </x:row>
    <x:row r="1351">
      <x:c r="A1351" s="30" t="str">
        <x:v>2026</x:v>
      </x:c>
      <x:c r="B1351" s="30" t="str">
        <x:v>Base game</x:v>
      </x:c>
      <x:c r="C1351" s="30" t="str">
        <x:v>Thailand</x:v>
      </x:c>
      <x:c r="D1351" s="30" t="str">
        <x:v>Laos</x:v>
      </x:c>
      <x:c r="E1351" s="30" t="str">
        <x:v>Project unlock</x:v>
      </x:c>
      <x:c r="F1351" s="30" t="str">
        <x:v>Southeast Asian Alliance</x:v>
      </x:c>
      <x:c r="G1351" s="30" t="str">
        <x:v>No</x:v>
      </x:c>
      <x:c r="H1351" s="30" t="str">
        <x:v>Ordinary claim</x:v>
      </x:c>
      <x:c r="I1351" s="31" t="n">
        <x:f>IF(G1351="Yes",'Controls &amp; Summary'!$B$5,'Controls &amp; Summary'!$B$4)</x:f>
        <x:v>6</x:v>
      </x:c>
      <x:c r="J1351" s="31" t="n">
        <x:v>6.59</x:v>
      </x:c>
      <x:c r="K1351" s="31" t="n">
        <x:v>1.71</x:v>
      </x:c>
      <x:c r="L1351" s="31" t="n">
        <x:f>ABS(J1351-K1351)</x:f>
        <x:v>4.88</x:v>
      </x:c>
      <x:c r="M1351" s="31" t="n">
        <x:v>3.49</x:v>
      </x:c>
      <x:c r="N1351" s="31" t="n">
        <x:v>3.88</x:v>
      </x:c>
      <x:c r="O1351" s="31" t="n">
        <x:f>ABS(M1351-N1351)</x:f>
        <x:v>0.3899999999999997</x:v>
      </x:c>
      <x:c r="P1351" s="31" t="n">
        <x:v>7.12</x:v>
      </x:c>
      <x:c r="Q1351" s="31" t="n">
        <x:v>4.64</x:v>
      </x:c>
      <x:c r="R1351" s="31" t="n">
        <x:f>ABS(P1351-Q1351)</x:f>
        <x:v>2.4800000000000004</x:v>
      </x:c>
      <x:c r="S1351" s="32" t="n">
        <x:v>22796.63610259273</x:v>
      </x:c>
      <x:c r="T1351" s="32" t="n">
        <x:v>8701.650786297547</x:v>
      </x:c>
      <x:c r="U1351" s="31" t="n">
        <x:f>MAX(S1351/T1351,T1351/S1351)</x:f>
        <x:v>2.6198059037821304</x:v>
      </x:c>
      <x:c r="V1351" s="31" t="n">
        <x:f>L1351*'Controls &amp; Summary'!$B$9+O1351*'Controls &amp; Summary'!$B$10+R1351*'Controls &amp; Summary'!$B$11+U1351*'Controls &amp; Summary'!$B$12</x:f>
        <x:v>10.36980590378213</x:v>
      </x:c>
      <x:c r="W1351" s="31" t="n">
        <x:v>1.97</x:v>
      </x:c>
      <x:c r="X1351" s="31" t="n">
        <x:v>0</x:v>
      </x:c>
      <x:c r="Y1351" s="31" t="n">
        <x:f>((10-MIN(10,MAX(0,X1351)))/10)*'Controls &amp; Summary'!$B$15+((10-MIN(10,MAX(0,W1351)))/10)*'Controls &amp; Summary'!$B$16</x:f>
        <x:v>1.803</x:v>
      </x:c>
      <x:c r="Z1351" s="31" t="n">
        <x:f>V1351*Y1351</x:f>
        <x:v>18.69676004451918</x:v>
      </x:c>
      <x:c r="AA1351" s="30" t="str">
        <x:f>IF(Z1351&lt;=I1351,"Peaceful","Hostile")</x:f>
        <x:v>Hostile</x:v>
      </x:c>
      <x:c r="AB1351" s="30" t="str">
        <x:f>IF(Z1351&lt;='Controls &amp; Summary'!$B$6,"Eligible","Blocked")</x:f>
        <x:v>Blocked</x:v>
      </x:c>
      <x:c r="AC1351" s="30" t="str">
        <x:v>2026_THA</x:v>
      </x:c>
      <x:c r="AD1351" s="30" t="str">
        <x:v>2026_LAO</x:v>
      </x:c>
      <x:c r="AE1351" s="30" t="str">
        <x:v>2026_Laos</x:v>
      </x:c>
      <x:c r="AF1351" s="30" t="str">
        <x:v>Explicit capitalClaim</x:v>
      </x:c>
      <x:c r="AG1351" s="30" t="str">
        <x:v>Claim2026_THA2026_Laos</x:v>
      </x:c>
      <x:c r="AH1351" s="30" t="str">
        <x:v>Project_SoutheastAsianAlliance</x:v>
      </x:c>
    </x:row>
    <x:row r="1352">
      <x:c r="A1352" s="30" t="str">
        <x:v>2026</x:v>
      </x:c>
      <x:c r="B1352" s="30" t="str">
        <x:v>Base game</x:v>
      </x:c>
      <x:c r="C1352" s="30" t="str">
        <x:v>Thailand</x:v>
      </x:c>
      <x:c r="D1352" s="30" t="str">
        <x:v>Malaysia</x:v>
      </x:c>
      <x:c r="E1352" s="30" t="str">
        <x:v>Project unlock</x:v>
      </x:c>
      <x:c r="F1352" s="30" t="str">
        <x:v>Southeast Asian Alliance</x:v>
      </x:c>
      <x:c r="G1352" s="30" t="str">
        <x:v>No</x:v>
      </x:c>
      <x:c r="H1352" s="30" t="str">
        <x:v>Ordinary claim</x:v>
      </x:c>
      <x:c r="I1352" s="31" t="n">
        <x:f>IF(G1352="Yes",'Controls &amp; Summary'!$B$5,'Controls &amp; Summary'!$B$4)</x:f>
        <x:v>6</x:v>
      </x:c>
      <x:c r="J1352" s="31" t="n">
        <x:v>6.59</x:v>
      </x:c>
      <x:c r="K1352" s="31" t="n">
        <x:v>7.11</x:v>
      </x:c>
      <x:c r="L1352" s="31" t="n">
        <x:f>ABS(J1352-K1352)</x:f>
        <x:v>0.5200000000000005</x:v>
      </x:c>
      <x:c r="M1352" s="31" t="n">
        <x:v>3.49</x:v>
      </x:c>
      <x:c r="N1352" s="31" t="n">
        <x:v>4.07</x:v>
      </x:c>
      <x:c r="O1352" s="31" t="n">
        <x:f>ABS(M1352-N1352)</x:f>
        <x:v>0.5800000000000001</x:v>
      </x:c>
      <x:c r="P1352" s="31" t="n">
        <x:v>7.12</x:v>
      </x:c>
      <x:c r="Q1352" s="31" t="n">
        <x:v>7.08</x:v>
      </x:c>
      <x:c r="R1352" s="31" t="n">
        <x:f>ABS(P1352-Q1352)</x:f>
        <x:v>0.040000000000000036</x:v>
      </x:c>
      <x:c r="S1352" s="32" t="n">
        <x:v>22796.63610259273</x:v>
      </x:c>
      <x:c r="T1352" s="32" t="n">
        <x:v>35749.84868812425</x:v>
      </x:c>
      <x:c r="U1352" s="31" t="n">
        <x:f>MAX(S1352/T1352,T1352/S1352)</x:f>
        <x:v>1.5682071919399685</x:v>
      </x:c>
      <x:c r="V1352" s="31" t="n">
        <x:f>L1352*'Controls &amp; Summary'!$B$9+O1352*'Controls &amp; Summary'!$B$10+R1352*'Controls &amp; Summary'!$B$11+U1352*'Controls &amp; Summary'!$B$12</x:f>
        <x:v>2.708207191939969</x:v>
      </x:c>
      <x:c r="W1352" s="31" t="n">
        <x:v>1.97</x:v>
      </x:c>
      <x:c r="X1352" s="31" t="n">
        <x:v>1</x:v>
      </x:c>
      <x:c r="Y1352" s="31" t="n">
        <x:f>((10-MIN(10,MAX(0,X1352)))/10)*'Controls &amp; Summary'!$B$15+((10-MIN(10,MAX(0,W1352)))/10)*'Controls &amp; Summary'!$B$16</x:f>
        <x:v>1.7029999999999998</x:v>
      </x:c>
      <x:c r="Z1352" s="31" t="n">
        <x:f>V1352*Y1352</x:f>
        <x:v>4.612076847873767</x:v>
      </x:c>
      <x:c r="AA1352" s="30" t="str">
        <x:f>IF(Z1352&lt;=I1352,"Peaceful","Hostile")</x:f>
        <x:v>Peaceful</x:v>
      </x:c>
      <x:c r="AB1352" s="30" t="str">
        <x:f>IF(Z1352&lt;='Controls &amp; Summary'!$B$6,"Eligible","Blocked")</x:f>
        <x:v>Eligible</x:v>
      </x:c>
      <x:c r="AC1352" s="30" t="str">
        <x:v>2026_THA</x:v>
      </x:c>
      <x:c r="AD1352" s="30" t="str">
        <x:v>2026_MYS</x:v>
      </x:c>
      <x:c r="AE1352" s="30" t="str">
        <x:v>2026_MalayPeninsula</x:v>
      </x:c>
      <x:c r="AF1352" s="30" t="str">
        <x:v>Explicit capitalClaim</x:v>
      </x:c>
      <x:c r="AG1352" s="30" t="str">
        <x:v>Claim2026_THA2026_MalayPeninsula</x:v>
      </x:c>
      <x:c r="AH1352" s="30" t="str">
        <x:v>Project_SoutheastAsianAlliance</x:v>
      </x:c>
    </x:row>
    <x:row r="1353">
      <x:c r="A1353" s="30" t="str">
        <x:v>2026</x:v>
      </x:c>
      <x:c r="B1353" s="30" t="str">
        <x:v>Base game</x:v>
      </x:c>
      <x:c r="C1353" s="30" t="str">
        <x:v>Thailand</x:v>
      </x:c>
      <x:c r="D1353" s="30" t="str">
        <x:v>Myanmar</x:v>
      </x:c>
      <x:c r="E1353" s="30" t="str">
        <x:v>Project unlock</x:v>
      </x:c>
      <x:c r="F1353" s="30" t="str">
        <x:v>Southeast Asian Alliance</x:v>
      </x:c>
      <x:c r="G1353" s="30" t="str">
        <x:v>No</x:v>
      </x:c>
      <x:c r="H1353" s="30" t="str">
        <x:v>Ordinary claim</x:v>
      </x:c>
      <x:c r="I1353" s="31" t="n">
        <x:f>IF(G1353="Yes",'Controls &amp; Summary'!$B$5,'Controls &amp; Summary'!$B$4)</x:f>
        <x:v>6</x:v>
      </x:c>
      <x:c r="J1353" s="31" t="n">
        <x:v>6.59</x:v>
      </x:c>
      <x:c r="K1353" s="31" t="n">
        <x:v>0.96</x:v>
      </x:c>
      <x:c r="L1353" s="31" t="n">
        <x:f>ABS(J1353-K1353)</x:f>
        <x:v>5.63</x:v>
      </x:c>
      <x:c r="M1353" s="31" t="n">
        <x:v>3.49</x:v>
      </x:c>
      <x:c r="N1353" s="31" t="n">
        <x:v>3.07</x:v>
      </x:c>
      <x:c r="O1353" s="31" t="n">
        <x:f>ABS(M1353-N1353)</x:f>
        <x:v>0.4200000000000004</x:v>
      </x:c>
      <x:c r="P1353" s="31" t="n">
        <x:v>7.12</x:v>
      </x:c>
      <x:c r="Q1353" s="31" t="n">
        <x:v>5.24</x:v>
      </x:c>
      <x:c r="R1353" s="31" t="n">
        <x:f>ABS(P1353-Q1353)</x:f>
        <x:v>1.88</x:v>
      </x:c>
      <x:c r="S1353" s="32" t="n">
        <x:v>22796.63610259273</x:v>
      </x:c>
      <x:c r="T1353" s="32" t="n">
        <x:v>5212.7872341123375</x:v>
      </x:c>
      <x:c r="U1353" s="31" t="n">
        <x:f>MAX(S1353/T1353,T1353/S1353)</x:f>
        <x:v>4.373214382012787</x:v>
      </x:c>
      <x:c r="V1353" s="31" t="n">
        <x:f>L1353*'Controls &amp; Summary'!$B$9+O1353*'Controls &amp; Summary'!$B$10+R1353*'Controls &amp; Summary'!$B$11+U1353*'Controls &amp; Summary'!$B$12</x:f>
        <x:v>12.303214382012786</x:v>
      </x:c>
      <x:c r="W1353" s="31" t="n">
        <x:v>1.97</x:v>
      </x:c>
      <x:c r="X1353" s="31" t="n">
        <x:v>7.5</x:v>
      </x:c>
      <x:c r="Y1353" s="31" t="n">
        <x:f>((10-MIN(10,MAX(0,X1353)))/10)*'Controls &amp; Summary'!$B$15+((10-MIN(10,MAX(0,W1353)))/10)*'Controls &amp; Summary'!$B$16</x:f>
        <x:v>1.053</x:v>
      </x:c>
      <x:c r="Z1353" s="31" t="n">
        <x:f>V1353*Y1353</x:f>
        <x:v>12.955284744259464</x:v>
      </x:c>
      <x:c r="AA1353" s="30" t="str">
        <x:f>IF(Z1353&lt;=I1353,"Peaceful","Hostile")</x:f>
        <x:v>Hostile</x:v>
      </x:c>
      <x:c r="AB1353" s="30" t="str">
        <x:f>IF(Z1353&lt;='Controls &amp; Summary'!$B$6,"Eligible","Blocked")</x:f>
        <x:v>Blocked</x:v>
      </x:c>
      <x:c r="AC1353" s="30" t="str">
        <x:v>2026_THA</x:v>
      </x:c>
      <x:c r="AD1353" s="30" t="str">
        <x:v>2026_MMR</x:v>
      </x:c>
      <x:c r="AE1353" s="30" t="str">
        <x:v>2026_Myanmar</x:v>
      </x:c>
      <x:c r="AF1353" s="30" t="str">
        <x:v>Explicit capitalClaim</x:v>
      </x:c>
      <x:c r="AG1353" s="30" t="str">
        <x:v>Claim2026_THA2026_Myanmar</x:v>
      </x:c>
      <x:c r="AH1353" s="30" t="str">
        <x:v>Project_SoutheastAsianAlliance</x:v>
      </x:c>
    </x:row>
    <x:row r="1354">
      <x:c r="A1354" s="30" t="str">
        <x:v>2026</x:v>
      </x:c>
      <x:c r="B1354" s="30" t="str">
        <x:v>Base game</x:v>
      </x:c>
      <x:c r="C1354" s="30" t="str">
        <x:v>Thailand</x:v>
      </x:c>
      <x:c r="D1354" s="30" t="str">
        <x:v>Philippines</x:v>
      </x:c>
      <x:c r="E1354" s="30" t="str">
        <x:v>Project unlock</x:v>
      </x:c>
      <x:c r="F1354" s="30" t="str">
        <x:v>Southeast Asian Alliance</x:v>
      </x:c>
      <x:c r="G1354" s="30" t="str">
        <x:v>No</x:v>
      </x:c>
      <x:c r="H1354" s="30" t="str">
        <x:v>Ordinary claim</x:v>
      </x:c>
      <x:c r="I1354" s="31" t="n">
        <x:f>IF(G1354="Yes",'Controls &amp; Summary'!$B$5,'Controls &amp; Summary'!$B$4)</x:f>
        <x:v>6</x:v>
      </x:c>
      <x:c r="J1354" s="31" t="n">
        <x:v>6.59</x:v>
      </x:c>
      <x:c r="K1354" s="31" t="n">
        <x:v>6.31</x:v>
      </x:c>
      <x:c r="L1354" s="31" t="n">
        <x:f>ABS(J1354-K1354)</x:f>
        <x:v>0.28000000000000025</x:v>
      </x:c>
      <x:c r="M1354" s="31" t="n">
        <x:v>3.49</x:v>
      </x:c>
      <x:c r="N1354" s="31" t="n">
        <x:v>4.07</x:v>
      </x:c>
      <x:c r="O1354" s="31" t="n">
        <x:f>ABS(M1354-N1354)</x:f>
        <x:v>0.5800000000000001</x:v>
      </x:c>
      <x:c r="P1354" s="31" t="n">
        <x:v>7.12</x:v>
      </x:c>
      <x:c r="Q1354" s="31" t="n">
        <x:v>6.75</x:v>
      </x:c>
      <x:c r="R1354" s="31" t="n">
        <x:f>ABS(P1354-Q1354)</x:f>
        <x:v>0.3700000000000001</x:v>
      </x:c>
      <x:c r="S1354" s="32" t="n">
        <x:v>22796.63610259273</x:v>
      </x:c>
      <x:c r="T1354" s="32" t="n">
        <x:v>11046.009872951565</x:v>
      </x:c>
      <x:c r="U1354" s="31" t="n">
        <x:f>MAX(S1354/T1354,T1354/S1354)</x:f>
        <x:v>2.0637892202518304</x:v>
      </x:c>
      <x:c r="V1354" s="31" t="n">
        <x:f>L1354*'Controls &amp; Summary'!$B$9+O1354*'Controls &amp; Summary'!$B$10+R1354*'Controls &amp; Summary'!$B$11+U1354*'Controls &amp; Summary'!$B$12</x:f>
        <x:v>3.293789220251831</x:v>
      </x:c>
      <x:c r="W1354" s="31" t="n">
        <x:v>1.97</x:v>
      </x:c>
      <x:c r="X1354" s="31" t="n">
        <x:v>4.75</x:v>
      </x:c>
      <x:c r="Y1354" s="31" t="n">
        <x:f>((10-MIN(10,MAX(0,X1354)))/10)*'Controls &amp; Summary'!$B$15+((10-MIN(10,MAX(0,W1354)))/10)*'Controls &amp; Summary'!$B$16</x:f>
        <x:v>1.3279999999999998</x:v>
      </x:c>
      <x:c r="Z1354" s="31" t="n">
        <x:f>V1354*Y1354</x:f>
        <x:v>4.374152084494431</x:v>
      </x:c>
      <x:c r="AA1354" s="30" t="str">
        <x:f>IF(Z1354&lt;=I1354,"Peaceful","Hostile")</x:f>
        <x:v>Peaceful</x:v>
      </x:c>
      <x:c r="AB1354" s="30" t="str">
        <x:f>IF(Z1354&lt;='Controls &amp; Summary'!$B$6,"Eligible","Blocked")</x:f>
        <x:v>Eligible</x:v>
      </x:c>
      <x:c r="AC1354" s="30" t="str">
        <x:v>2026_THA</x:v>
      </x:c>
      <x:c r="AD1354" s="30" t="str">
        <x:v>2026_PHL</x:v>
      </x:c>
      <x:c r="AE1354" s="30" t="str">
        <x:v>2026_Luzon</x:v>
      </x:c>
      <x:c r="AF1354" s="30" t="str">
        <x:v>Explicit capitalClaim</x:v>
      </x:c>
      <x:c r="AG1354" s="30" t="str">
        <x:v>Claim2026_THA2026_Luzon</x:v>
      </x:c>
      <x:c r="AH1354" s="30" t="str">
        <x:v>Project_SoutheastAsianAlliance</x:v>
      </x:c>
    </x:row>
    <x:row r="1355">
      <x:c r="A1355" s="30" t="str">
        <x:v>2026</x:v>
      </x:c>
      <x:c r="B1355" s="30" t="str">
        <x:v>Base game</x:v>
      </x:c>
      <x:c r="C1355" s="30" t="str">
        <x:v>Thailand</x:v>
      </x:c>
      <x:c r="D1355" s="30" t="str">
        <x:v>Singapore</x:v>
      </x:c>
      <x:c r="E1355" s="30" t="str">
        <x:v>Project unlock</x:v>
      </x:c>
      <x:c r="F1355" s="30" t="str">
        <x:v>Southeast Asian Alliance</x:v>
      </x:c>
      <x:c r="G1355" s="30" t="str">
        <x:v>No</x:v>
      </x:c>
      <x:c r="H1355" s="30" t="str">
        <x:v>Ordinary claim</x:v>
      </x:c>
      <x:c r="I1355" s="31" t="n">
        <x:f>IF(G1355="Yes",'Controls &amp; Summary'!$B$5,'Controls &amp; Summary'!$B$4)</x:f>
        <x:v>6</x:v>
      </x:c>
      <x:c r="J1355" s="31" t="n">
        <x:v>6.59</x:v>
      </x:c>
      <x:c r="K1355" s="31" t="n">
        <x:v>6.18</x:v>
      </x:c>
      <x:c r="L1355" s="31" t="n">
        <x:f>ABS(J1355-K1355)</x:f>
        <x:v>0.41000000000000014</x:v>
      </x:c>
      <x:c r="M1355" s="31" t="n">
        <x:v>3.49</x:v>
      </x:c>
      <x:c r="N1355" s="31" t="n">
        <x:v>3.8</x:v>
      </x:c>
      <x:c r="O1355" s="31" t="n">
        <x:f>ABS(M1355-N1355)</x:f>
        <x:v>0.3099999999999996</x:v>
      </x:c>
      <x:c r="P1355" s="31" t="n">
        <x:v>7.12</x:v>
      </x:c>
      <x:c r="Q1355" s="31" t="n">
        <x:v>8.44</x:v>
      </x:c>
      <x:c r="R1355" s="31" t="n">
        <x:f>ABS(P1355-Q1355)</x:f>
        <x:v>1.3199999999999994</x:v>
      </x:c>
      <x:c r="S1355" s="32" t="n">
        <x:v>22796.63610259273</x:v>
      </x:c>
      <x:c r="T1355" s="32" t="n">
        <x:v>141950.98063784637</x:v>
      </x:c>
      <x:c r="U1355" s="31" t="n">
        <x:f>MAX(S1355/T1355,T1355/S1355)</x:f>
        <x:v>6.226838907241313</x:v>
      </x:c>
      <x:c r="V1355" s="31" t="n">
        <x:f>L1355*'Controls &amp; Summary'!$B$9+O1355*'Controls &amp; Summary'!$B$10+R1355*'Controls &amp; Summary'!$B$11+U1355*'Controls &amp; Summary'!$B$12</x:f>
        <x:v>8.266838907241311</x:v>
      </x:c>
      <x:c r="W1355" s="31" t="n">
        <x:v>1.97</x:v>
      </x:c>
      <x:c r="X1355" s="31" t="n">
        <x:v>0</x:v>
      </x:c>
      <x:c r="Y1355" s="31" t="n">
        <x:f>((10-MIN(10,MAX(0,X1355)))/10)*'Controls &amp; Summary'!$B$15+((10-MIN(10,MAX(0,W1355)))/10)*'Controls &amp; Summary'!$B$16</x:f>
        <x:v>1.803</x:v>
      </x:c>
      <x:c r="Z1355" s="31" t="n">
        <x:f>V1355*Y1355</x:f>
        <x:v>14.905110549756083</x:v>
      </x:c>
      <x:c r="AA1355" s="30" t="str">
        <x:f>IF(Z1355&lt;=I1355,"Peaceful","Hostile")</x:f>
        <x:v>Hostile</x:v>
      </x:c>
      <x:c r="AB1355" s="30" t="str">
        <x:f>IF(Z1355&lt;='Controls &amp; Summary'!$B$6,"Eligible","Blocked")</x:f>
        <x:v>Blocked</x:v>
      </x:c>
      <x:c r="AC1355" s="30" t="str">
        <x:v>2026_THA</x:v>
      </x:c>
      <x:c r="AD1355" s="30" t="str">
        <x:v>2026_SGP</x:v>
      </x:c>
      <x:c r="AE1355" s="30" t="str">
        <x:v>2026_Singapore</x:v>
      </x:c>
      <x:c r="AF1355" s="30" t="str">
        <x:v>Explicit capitalClaim</x:v>
      </x:c>
      <x:c r="AG1355" s="30" t="str">
        <x:v>Claim2026_THA2026_Singapore</x:v>
      </x:c>
      <x:c r="AH1355" s="30" t="str">
        <x:v>Project_SoutheastAsianAlliance</x:v>
      </x:c>
    </x:row>
    <x:row r="1356">
      <x:c r="A1356" s="30" t="str">
        <x:v>2026</x:v>
      </x:c>
      <x:c r="B1356" s="30" t="str">
        <x:v>Base game</x:v>
      </x:c>
      <x:c r="C1356" s="30" t="str">
        <x:v>Thailand</x:v>
      </x:c>
      <x:c r="D1356" s="30" t="str">
        <x:v>Timor-Leste</x:v>
      </x:c>
      <x:c r="E1356" s="30" t="str">
        <x:v>Project unlock</x:v>
      </x:c>
      <x:c r="F1356" s="30" t="str">
        <x:v>Southeast Asian Alliance</x:v>
      </x:c>
      <x:c r="G1356" s="30" t="str">
        <x:v>No</x:v>
      </x:c>
      <x:c r="H1356" s="30" t="str">
        <x:v>Ordinary claim</x:v>
      </x:c>
      <x:c r="I1356" s="31" t="n">
        <x:f>IF(G1356="Yes",'Controls &amp; Summary'!$B$5,'Controls &amp; Summary'!$B$4)</x:f>
        <x:v>6</x:v>
      </x:c>
      <x:c r="J1356" s="31" t="n">
        <x:v>6.59</x:v>
      </x:c>
      <x:c r="K1356" s="31" t="n">
        <x:v>6.97</x:v>
      </x:c>
      <x:c r="L1356" s="31" t="n">
        <x:f>ABS(J1356-K1356)</x:f>
        <x:v>0.3799999999999999</x:v>
      </x:c>
      <x:c r="M1356" s="31" t="n">
        <x:v>3.49</x:v>
      </x:c>
      <x:c r="N1356" s="31" t="n">
        <x:v>2.87</x:v>
      </x:c>
      <x:c r="O1356" s="31" t="n">
        <x:f>ABS(M1356-N1356)</x:f>
        <x:v>0.6200000000000001</x:v>
      </x:c>
      <x:c r="P1356" s="31" t="n">
        <x:v>7.12</x:v>
      </x:c>
      <x:c r="Q1356" s="31" t="n">
        <x:v>5.66</x:v>
      </x:c>
      <x:c r="R1356" s="31" t="n">
        <x:f>ABS(P1356-Q1356)</x:f>
        <x:v>1.46</x:v>
      </x:c>
      <x:c r="S1356" s="32" t="n">
        <x:v>22796.63610259273</x:v>
      </x:c>
      <x:c r="T1356" s="32" t="n">
        <x:v>4270.402798201435</x:v>
      </x:c>
      <x:c r="U1356" s="31" t="n">
        <x:f>MAX(S1356/T1356,T1356/S1356)</x:f>
        <x:v>5.3382870843457635</x:v>
      </x:c>
      <x:c r="V1356" s="31" t="n">
        <x:f>L1356*'Controls &amp; Summary'!$B$9+O1356*'Controls &amp; Summary'!$B$10+R1356*'Controls &amp; Summary'!$B$11+U1356*'Controls &amp; Summary'!$B$12</x:f>
        <x:v>7.7982870843457635</x:v>
      </x:c>
      <x:c r="W1356" s="31" t="n">
        <x:v>1.97</x:v>
      </x:c>
      <x:c r="X1356" s="31" t="n">
        <x:v>0.25</x:v>
      </x:c>
      <x:c r="Y1356" s="31" t="n">
        <x:f>((10-MIN(10,MAX(0,X1356)))/10)*'Controls &amp; Summary'!$B$15+((10-MIN(10,MAX(0,W1356)))/10)*'Controls &amp; Summary'!$B$16</x:f>
        <x:v>1.778</x:v>
      </x:c>
      <x:c r="Z1356" s="31" t="n">
        <x:f>V1356*Y1356</x:f>
        <x:v>13.865354435966768</x:v>
      </x:c>
      <x:c r="AA1356" s="30" t="str">
        <x:f>IF(Z1356&lt;=I1356,"Peaceful","Hostile")</x:f>
        <x:v>Hostile</x:v>
      </x:c>
      <x:c r="AB1356" s="30" t="str">
        <x:f>IF(Z1356&lt;='Controls &amp; Summary'!$B$6,"Eligible","Blocked")</x:f>
        <x:v>Blocked</x:v>
      </x:c>
      <x:c r="AC1356" s="30" t="str">
        <x:v>2026_THA</x:v>
      </x:c>
      <x:c r="AD1356" s="30" t="str">
        <x:v>2026_TLS</x:v>
      </x:c>
      <x:c r="AE1356" s="30" t="str">
        <x:v>2026_TimorLeste</x:v>
      </x:c>
      <x:c r="AF1356" s="30" t="str">
        <x:v>Explicit capitalClaim</x:v>
      </x:c>
      <x:c r="AG1356" s="30" t="str">
        <x:v>Claim2026_THA2026_TimorLeste</x:v>
      </x:c>
      <x:c r="AH1356" s="30" t="str">
        <x:v>Project_SoutheastAsianAlliance</x:v>
      </x:c>
    </x:row>
    <x:row r="1357">
      <x:c r="A1357" s="30" t="str">
        <x:v>2026</x:v>
      </x:c>
      <x:c r="B1357" s="30" t="str">
        <x:v>Base game</x:v>
      </x:c>
      <x:c r="C1357" s="30" t="str">
        <x:v>Thailand</x:v>
      </x:c>
      <x:c r="D1357" s="30" t="str">
        <x:v>Vietnam</x:v>
      </x:c>
      <x:c r="E1357" s="30" t="str">
        <x:v>Project unlock</x:v>
      </x:c>
      <x:c r="F1357" s="30" t="str">
        <x:v>Southeast Asian Alliance</x:v>
      </x:c>
      <x:c r="G1357" s="30" t="str">
        <x:v>No</x:v>
      </x:c>
      <x:c r="H1357" s="30" t="str">
        <x:v>Ordinary claim</x:v>
      </x:c>
      <x:c r="I1357" s="31" t="n">
        <x:f>IF(G1357="Yes",'Controls &amp; Summary'!$B$5,'Controls &amp; Summary'!$B$4)</x:f>
        <x:v>6</x:v>
      </x:c>
      <x:c r="J1357" s="31" t="n">
        <x:v>6.59</x:v>
      </x:c>
      <x:c r="K1357" s="31" t="n">
        <x:v>2.62</x:v>
      </x:c>
      <x:c r="L1357" s="31" t="n">
        <x:f>ABS(J1357-K1357)</x:f>
        <x:v>3.9699999999999998</x:v>
      </x:c>
      <x:c r="M1357" s="31" t="n">
        <x:v>3.49</x:v>
      </x:c>
      <x:c r="N1357" s="31" t="n">
        <x:v>3.61</x:v>
      </x:c>
      <x:c r="O1357" s="31" t="n">
        <x:f>ABS(M1357-N1357)</x:f>
        <x:v>0.11999999999999966</x:v>
      </x:c>
      <x:c r="P1357" s="31" t="n">
        <x:v>7.12</x:v>
      </x:c>
      <x:c r="Q1357" s="31" t="n">
        <x:v>7.15</x:v>
      </x:c>
      <x:c r="R1357" s="31" t="n">
        <x:f>ABS(P1357-Q1357)</x:f>
        <x:v>0.03000000000000025</x:v>
      </x:c>
      <x:c r="S1357" s="32" t="n">
        <x:v>22796.63610259273</x:v>
      </x:c>
      <x:c r="T1357" s="32" t="n">
        <x:v>15563.162867150184</x:v>
      </x:c>
      <x:c r="U1357" s="31" t="n">
        <x:f>MAX(S1357/T1357,T1357/S1357)</x:f>
        <x:v>1.4647816961878963</x:v>
      </x:c>
      <x:c r="V1357" s="31" t="n">
        <x:f>L1357*'Controls &amp; Summary'!$B$9+O1357*'Controls &amp; Summary'!$B$10+R1357*'Controls &amp; Summary'!$B$11+U1357*'Controls &amp; Summary'!$B$12</x:f>
        <x:v>5.584781696187896</x:v>
      </x:c>
      <x:c r="W1357" s="31" t="n">
        <x:v>1.97</x:v>
      </x:c>
      <x:c r="X1357" s="31" t="n">
        <x:v>0.5</x:v>
      </x:c>
      <x:c r="Y1357" s="31" t="n">
        <x:f>((10-MIN(10,MAX(0,X1357)))/10)*'Controls &amp; Summary'!$B$15+((10-MIN(10,MAX(0,W1357)))/10)*'Controls &amp; Summary'!$B$16</x:f>
        <x:v>1.753</x:v>
      </x:c>
      <x:c r="Z1357" s="31" t="n">
        <x:f>V1357*Y1357</x:f>
        <x:v>9.790122313417381</x:v>
      </x:c>
      <x:c r="AA1357" s="30" t="str">
        <x:f>IF(Z1357&lt;=I1357,"Peaceful","Hostile")</x:f>
        <x:v>Hostile</x:v>
      </x:c>
      <x:c r="AB1357" s="30" t="str">
        <x:f>IF(Z1357&lt;='Controls &amp; Summary'!$B$6,"Eligible","Blocked")</x:f>
        <x:v>Eligible</x:v>
      </x:c>
      <x:c r="AC1357" s="30" t="str">
        <x:v>2026_THA</x:v>
      </x:c>
      <x:c r="AD1357" s="30" t="str">
        <x:v>2026_VNM</x:v>
      </x:c>
      <x:c r="AE1357" s="30" t="str">
        <x:v>2026_Hanoi</x:v>
      </x:c>
      <x:c r="AF1357" s="30" t="str">
        <x:v>Explicit capitalClaim</x:v>
      </x:c>
      <x:c r="AG1357" s="30" t="str">
        <x:v>Claim2026_THA2026_Hanoi</x:v>
      </x:c>
      <x:c r="AH1357" s="30" t="str">
        <x:v>Project_SoutheastAsianAlliance</x:v>
      </x:c>
    </x:row>
    <x:row r="1358">
      <x:c r="A1358" s="30" t="str">
        <x:v>2026</x:v>
      </x:c>
      <x:c r="B1358" s="30" t="str">
        <x:v>Base game</x:v>
      </x:c>
      <x:c r="C1358" s="30" t="str">
        <x:v>Turkey</x:v>
      </x:c>
      <x:c r="D1358" s="30" t="str">
        <x:v>Armenia</x:v>
      </x:c>
      <x:c r="E1358" s="30" t="str">
        <x:v>Project unlock</x:v>
      </x:c>
      <x:c r="F1358" s="30" t="str">
        <x:v>United Turkestan</x:v>
      </x:c>
      <x:c r="G1358" s="30" t="str">
        <x:v>No</x:v>
      </x:c>
      <x:c r="H1358" s="30" t="str">
        <x:v>Ordinary claim</x:v>
      </x:c>
      <x:c r="I1358" s="31" t="n">
        <x:f>IF(G1358="Yes",'Controls &amp; Summary'!$B$5,'Controls &amp; Summary'!$B$4)</x:f>
        <x:v>6</x:v>
      </x:c>
      <x:c r="J1358" s="31" t="n">
        <x:v>4.26</x:v>
      </x:c>
      <x:c r="K1358" s="31" t="n">
        <x:v>5.35</x:v>
      </x:c>
      <x:c r="L1358" s="31" t="n">
        <x:f>ABS(J1358-K1358)</x:f>
        <x:v>1.0899999999999999</x:v>
      </x:c>
      <x:c r="M1358" s="31" t="n">
        <x:v>4.44</x:v>
      </x:c>
      <x:c r="N1358" s="31" t="n">
        <x:v>2.79</x:v>
      </x:c>
      <x:c r="O1358" s="31" t="n">
        <x:f>ABS(M1358-N1358)</x:f>
        <x:v>1.6500000000000004</x:v>
      </x:c>
      <x:c r="P1358" s="31" t="n">
        <x:v>8.3</x:v>
      </x:c>
      <x:c r="Q1358" s="31" t="n">
        <x:v>7.6</x:v>
      </x:c>
      <x:c r="R1358" s="31" t="n">
        <x:f>ABS(P1358-Q1358)</x:f>
        <x:v>0.7000000000000011</x:v>
      </x:c>
      <x:c r="S1358" s="32" t="n">
        <x:v>37699.32614876436</x:v>
      </x:c>
      <x:c r="T1358" s="32" t="n">
        <x:v>22306.59026276777</x:v>
      </x:c>
      <x:c r="U1358" s="31" t="n">
        <x:f>MAX(S1358/T1358,T1358/S1358)</x:f>
        <x:v>1.6900532849114467</x:v>
      </x:c>
      <x:c r="V1358" s="31" t="n">
        <x:f>L1358*'Controls &amp; Summary'!$B$9+O1358*'Controls &amp; Summary'!$B$10+R1358*'Controls &amp; Summary'!$B$11+U1358*'Controls &amp; Summary'!$B$12</x:f>
        <x:v>5.1300532849114475</x:v>
      </x:c>
      <x:c r="W1358" s="31" t="n">
        <x:v>0.7</x:v>
      </x:c>
      <x:c r="X1358" s="31" t="n">
        <x:v>1</x:v>
      </x:c>
      <x:c r="Y1358" s="31" t="n">
        <x:f>((10-MIN(10,MAX(0,X1358)))/10)*'Controls &amp; Summary'!$B$15+((10-MIN(10,MAX(0,W1358)))/10)*'Controls &amp; Summary'!$B$16</x:f>
        <x:v>1.83</x:v>
      </x:c>
      <x:c r="Z1358" s="31" t="n">
        <x:f>V1358*Y1358</x:f>
        <x:v>9.38799751138795</x:v>
      </x:c>
      <x:c r="AA1358" s="30" t="str">
        <x:f>IF(Z1358&lt;=I1358,"Peaceful","Hostile")</x:f>
        <x:v>Hostile</x:v>
      </x:c>
      <x:c r="AB1358" s="30" t="str">
        <x:f>IF(Z1358&lt;='Controls &amp; Summary'!$B$6,"Eligible","Blocked")</x:f>
        <x:v>Eligible</x:v>
      </x:c>
      <x:c r="AC1358" s="30" t="str">
        <x:v>2026_TUR</x:v>
      </x:c>
      <x:c r="AD1358" s="30" t="str">
        <x:v>2026_ARM</x:v>
      </x:c>
      <x:c r="AE1358" s="30" t="str">
        <x:v>2026_Armenia</x:v>
      </x:c>
      <x:c r="AF1358" s="30" t="str">
        <x:v>Explicit capitalClaim</x:v>
      </x:c>
      <x:c r="AG1358" s="30" t="str">
        <x:v>Claim2026_TUR2026_Armenia</x:v>
      </x:c>
      <x:c r="AH1358" s="30" t="str">
        <x:v>Project_UnitedTurkestan</x:v>
      </x:c>
    </x:row>
    <x:row r="1359">
      <x:c r="A1359" s="30" t="str">
        <x:v>2026</x:v>
      </x:c>
      <x:c r="B1359" s="30" t="str">
        <x:v>Base game</x:v>
      </x:c>
      <x:c r="C1359" s="30" t="str">
        <x:v>Turkey</x:v>
      </x:c>
      <x:c r="D1359" s="30" t="str">
        <x:v>Azerbaijan</x:v>
      </x:c>
      <x:c r="E1359" s="30" t="str">
        <x:v>Project unlock</x:v>
      </x:c>
      <x:c r="F1359" s="30" t="str">
        <x:v>United Turkestan</x:v>
      </x:c>
      <x:c r="G1359" s="30" t="str">
        <x:v>No</x:v>
      </x:c>
      <x:c r="H1359" s="30" t="str">
        <x:v>Ordinary claim</x:v>
      </x:c>
      <x:c r="I1359" s="31" t="n">
        <x:f>IF(G1359="Yes",'Controls &amp; Summary'!$B$5,'Controls &amp; Summary'!$B$4)</x:f>
        <x:v>6</x:v>
      </x:c>
      <x:c r="J1359" s="31" t="n">
        <x:v>4.26</x:v>
      </x:c>
      <x:c r="K1359" s="31" t="n">
        <x:v>2.8</x:v>
      </x:c>
      <x:c r="L1359" s="31" t="n">
        <x:f>ABS(J1359-K1359)</x:f>
        <x:v>1.46</x:v>
      </x:c>
      <x:c r="M1359" s="31" t="n">
        <x:v>4.44</x:v>
      </x:c>
      <x:c r="N1359" s="31" t="n">
        <x:v>2.12</x:v>
      </x:c>
      <x:c r="O1359" s="31" t="n">
        <x:f>ABS(M1359-N1359)</x:f>
        <x:v>2.3200000000000003</x:v>
      </x:c>
      <x:c r="P1359" s="31" t="n">
        <x:v>8.3</x:v>
      </x:c>
      <x:c r="Q1359" s="31" t="n">
        <x:v>7.13</x:v>
      </x:c>
      <x:c r="R1359" s="31" t="n">
        <x:f>ABS(P1359-Q1359)</x:f>
        <x:v>1.1700000000000008</x:v>
      </x:c>
      <x:c r="S1359" s="32" t="n">
        <x:v>37699.32614876436</x:v>
      </x:c>
      <x:c r="T1359" s="32" t="n">
        <x:v>22903.043609882683</x:v>
      </x:c>
      <x:c r="U1359" s="31" t="n">
        <x:f>MAX(S1359/T1359,T1359/S1359)</x:f>
        <x:v>1.6460400107039517</x:v>
      </x:c>
      <x:c r="V1359" s="31" t="n">
        <x:f>L1359*'Controls &amp; Summary'!$B$9+O1359*'Controls &amp; Summary'!$B$10+R1359*'Controls &amp; Summary'!$B$11+U1359*'Controls &amp; Summary'!$B$12</x:f>
        <x:v>6.596040010703953</x:v>
      </x:c>
      <x:c r="W1359" s="31" t="n">
        <x:v>0.7</x:v>
      </x:c>
      <x:c r="X1359" s="31" t="n">
        <x:v>1.25</x:v>
      </x:c>
      <x:c r="Y1359" s="31" t="n">
        <x:f>((10-MIN(10,MAX(0,X1359)))/10)*'Controls &amp; Summary'!$B$15+((10-MIN(10,MAX(0,W1359)))/10)*'Controls &amp; Summary'!$B$16</x:f>
        <x:v>1.8050000000000002</x:v>
      </x:c>
      <x:c r="Z1359" s="31" t="n">
        <x:f>V1359*Y1359</x:f>
        <x:v>11.905852219320636</x:v>
      </x:c>
      <x:c r="AA1359" s="30" t="str">
        <x:f>IF(Z1359&lt;=I1359,"Peaceful","Hostile")</x:f>
        <x:v>Hostile</x:v>
      </x:c>
      <x:c r="AB1359" s="30" t="str">
        <x:f>IF(Z1359&lt;='Controls &amp; Summary'!$B$6,"Eligible","Blocked")</x:f>
        <x:v>Eligible</x:v>
      </x:c>
      <x:c r="AC1359" s="30" t="str">
        <x:v>2026_TUR</x:v>
      </x:c>
      <x:c r="AD1359" s="30" t="str">
        <x:v>2026_AZE</x:v>
      </x:c>
      <x:c r="AE1359" s="30" t="str">
        <x:v>2026_Azerbaijan</x:v>
      </x:c>
      <x:c r="AF1359" s="30" t="str">
        <x:v>Explicit capitalClaim</x:v>
      </x:c>
      <x:c r="AG1359" s="30" t="str">
        <x:v>Claim2026_TUR2026_Azerbaijan</x:v>
      </x:c>
      <x:c r="AH1359" s="30" t="str">
        <x:v>Project_UnitedTurkestan</x:v>
      </x:c>
    </x:row>
    <x:row r="1360">
      <x:c r="A1360" s="30" t="str">
        <x:v>2026</x:v>
      </x:c>
      <x:c r="B1360" s="30" t="str">
        <x:v>Base game</x:v>
      </x:c>
      <x:c r="C1360" s="30" t="str">
        <x:v>Turkey</x:v>
      </x:c>
      <x:c r="D1360" s="30" t="str">
        <x:v>Kazakhstan</x:v>
      </x:c>
      <x:c r="E1360" s="30" t="str">
        <x:v>Project unlock</x:v>
      </x:c>
      <x:c r="F1360" s="30" t="str">
        <x:v>United Turkestan</x:v>
      </x:c>
      <x:c r="G1360" s="30" t="str">
        <x:v>No</x:v>
      </x:c>
      <x:c r="H1360" s="30" t="str">
        <x:v>Ordinary claim</x:v>
      </x:c>
      <x:c r="I1360" s="31" t="n">
        <x:f>IF(G1360="Yes",'Controls &amp; Summary'!$B$5,'Controls &amp; Summary'!$B$4)</x:f>
        <x:v>6</x:v>
      </x:c>
      <x:c r="J1360" s="31" t="n">
        <x:v>4.26</x:v>
      </x:c>
      <x:c r="K1360" s="31" t="n">
        <x:v>2.91</x:v>
      </x:c>
      <x:c r="L1360" s="31" t="n">
        <x:f>ABS(J1360-K1360)</x:f>
        <x:v>1.3499999999999996</x:v>
      </x:c>
      <x:c r="M1360" s="31" t="n">
        <x:v>4.44</x:v>
      </x:c>
      <x:c r="N1360" s="31" t="n">
        <x:v>2.92</x:v>
      </x:c>
      <x:c r="O1360" s="31" t="n">
        <x:f>ABS(M1360-N1360)</x:f>
        <x:v>1.5200000000000005</x:v>
      </x:c>
      <x:c r="P1360" s="31" t="n">
        <x:v>8.3</x:v>
      </x:c>
      <x:c r="Q1360" s="31" t="n">
        <x:v>7.87</x:v>
      </x:c>
      <x:c r="R1360" s="31" t="n">
        <x:f>ABS(P1360-Q1360)</x:f>
        <x:v>0.4300000000000006</x:v>
      </x:c>
      <x:c r="S1360" s="32" t="n">
        <x:v>37699.32614876436</x:v>
      </x:c>
      <x:c r="T1360" s="32" t="n">
        <x:v>37752.352465368145</x:v>
      </x:c>
      <x:c r="U1360" s="31" t="n">
        <x:f>MAX(S1360/T1360,T1360/S1360)</x:f>
        <x:v>1.0014065587378018</x:v>
      </x:c>
      <x:c r="V1360" s="31" t="n">
        <x:f>L1360*'Controls &amp; Summary'!$B$9+O1360*'Controls &amp; Summary'!$B$10+R1360*'Controls &amp; Summary'!$B$11+U1360*'Controls &amp; Summary'!$B$12</x:f>
        <x:v>4.301406558737803</x:v>
      </x:c>
      <x:c r="W1360" s="31" t="n">
        <x:v>0.7</x:v>
      </x:c>
      <x:c r="X1360" s="31" t="n">
        <x:v>1.25</x:v>
      </x:c>
      <x:c r="Y1360" s="31" t="n">
        <x:f>((10-MIN(10,MAX(0,X1360)))/10)*'Controls &amp; Summary'!$B$15+((10-MIN(10,MAX(0,W1360)))/10)*'Controls &amp; Summary'!$B$16</x:f>
        <x:v>1.8050000000000002</x:v>
      </x:c>
      <x:c r="Z1360" s="31" t="n">
        <x:f>V1360*Y1360</x:f>
        <x:v>7.764038838521735</x:v>
      </x:c>
      <x:c r="AA1360" s="30" t="str">
        <x:f>IF(Z1360&lt;=I1360,"Peaceful","Hostile")</x:f>
        <x:v>Hostile</x:v>
      </x:c>
      <x:c r="AB1360" s="30" t="str">
        <x:f>IF(Z1360&lt;='Controls &amp; Summary'!$B$6,"Eligible","Blocked")</x:f>
        <x:v>Eligible</x:v>
      </x:c>
      <x:c r="AC1360" s="30" t="str">
        <x:v>2026_TUR</x:v>
      </x:c>
      <x:c r="AD1360" s="30" t="str">
        <x:v>2026_KAZ</x:v>
      </x:c>
      <x:c r="AE1360" s="30" t="str">
        <x:v>2026_Astana</x:v>
      </x:c>
      <x:c r="AF1360" s="30" t="str">
        <x:v>Explicit capitalClaim</x:v>
      </x:c>
      <x:c r="AG1360" s="30" t="str">
        <x:v>Claim2026_TUR2026_Astana</x:v>
      </x:c>
      <x:c r="AH1360" s="30" t="str">
        <x:v>Project_UnitedTurkestan</x:v>
      </x:c>
    </x:row>
    <x:row r="1361">
      <x:c r="A1361" s="30" t="str">
        <x:v>2026</x:v>
      </x:c>
      <x:c r="B1361" s="30" t="str">
        <x:v>Base game</x:v>
      </x:c>
      <x:c r="C1361" s="30" t="str">
        <x:v>Turkey</x:v>
      </x:c>
      <x:c r="D1361" s="30" t="str">
        <x:v>Kyrgyzstan</x:v>
      </x:c>
      <x:c r="E1361" s="30" t="str">
        <x:v>Project unlock</x:v>
      </x:c>
      <x:c r="F1361" s="30" t="str">
        <x:v>United Turkestan</x:v>
      </x:c>
      <x:c r="G1361" s="30" t="str">
        <x:v>No</x:v>
      </x:c>
      <x:c r="H1361" s="30" t="str">
        <x:v>Ordinary claim</x:v>
      </x:c>
      <x:c r="I1361" s="31" t="n">
        <x:f>IF(G1361="Yes",'Controls &amp; Summary'!$B$5,'Controls &amp; Summary'!$B$4)</x:f>
        <x:v>6</x:v>
      </x:c>
      <x:c r="J1361" s="31" t="n">
        <x:v>4.26</x:v>
      </x:c>
      <x:c r="K1361" s="31" t="n">
        <x:v>3.27</x:v>
      </x:c>
      <x:c r="L1361" s="31" t="n">
        <x:f>ABS(J1361-K1361)</x:f>
        <x:v>0.9899999999999998</x:v>
      </x:c>
      <x:c r="M1361" s="31" t="n">
        <x:v>4.44</x:v>
      </x:c>
      <x:c r="N1361" s="31" t="n">
        <x:v>2.64</x:v>
      </x:c>
      <x:c r="O1361" s="31" t="n">
        <x:f>ABS(M1361-N1361)</x:f>
        <x:v>1.8000000000000003</x:v>
      </x:c>
      <x:c r="P1361" s="31" t="n">
        <x:v>8.3</x:v>
      </x:c>
      <x:c r="Q1361" s="31" t="n">
        <x:v>7.4</x:v>
      </x:c>
      <x:c r="R1361" s="31" t="n">
        <x:f>ABS(P1361-Q1361)</x:f>
        <x:v>0.9000000000000004</x:v>
      </x:c>
      <x:c r="S1361" s="32" t="n">
        <x:v>37699.32614876436</x:v>
      </x:c>
      <x:c r="T1361" s="32" t="n">
        <x:v>7545.525855469893</x:v>
      </x:c>
      <x:c r="U1361" s="31" t="n">
        <x:f>MAX(S1361/T1361,T1361/S1361)</x:f>
        <x:v>4.996249018408096</x:v>
      </x:c>
      <x:c r="V1361" s="31" t="n">
        <x:f>L1361*'Controls &amp; Summary'!$B$9+O1361*'Controls &amp; Summary'!$B$10+R1361*'Controls &amp; Summary'!$B$11+U1361*'Controls &amp; Summary'!$B$12</x:f>
        <x:v>8.686249018408096</x:v>
      </x:c>
      <x:c r="W1361" s="31" t="n">
        <x:v>0.7</x:v>
      </x:c>
      <x:c r="X1361" s="31" t="n">
        <x:v>1.25</x:v>
      </x:c>
      <x:c r="Y1361" s="31" t="n">
        <x:f>((10-MIN(10,MAX(0,X1361)))/10)*'Controls &amp; Summary'!$B$15+((10-MIN(10,MAX(0,W1361)))/10)*'Controls &amp; Summary'!$B$16</x:f>
        <x:v>1.8050000000000002</x:v>
      </x:c>
      <x:c r="Z1361" s="31" t="n">
        <x:f>V1361*Y1361</x:f>
        <x:v>15.678679478226616</x:v>
      </x:c>
      <x:c r="AA1361" s="30" t="str">
        <x:f>IF(Z1361&lt;=I1361,"Peaceful","Hostile")</x:f>
        <x:v>Hostile</x:v>
      </x:c>
      <x:c r="AB1361" s="30" t="str">
        <x:f>IF(Z1361&lt;='Controls &amp; Summary'!$B$6,"Eligible","Blocked")</x:f>
        <x:v>Blocked</x:v>
      </x:c>
      <x:c r="AC1361" s="30" t="str">
        <x:v>2026_TUR</x:v>
      </x:c>
      <x:c r="AD1361" s="30" t="str">
        <x:v>2026_KGZ</x:v>
      </x:c>
      <x:c r="AE1361" s="30" t="str">
        <x:v>2026_Kyrgyzstan</x:v>
      </x:c>
      <x:c r="AF1361" s="30" t="str">
        <x:v>Explicit capitalClaim</x:v>
      </x:c>
      <x:c r="AG1361" s="30" t="str">
        <x:v>Claim2026_TUR2026_Kyrgyzstan</x:v>
      </x:c>
      <x:c r="AH1361" s="30" t="str">
        <x:v>Project_UnitedTurkestan</x:v>
      </x:c>
    </x:row>
    <x:row r="1362">
      <x:c r="A1362" s="30" t="str">
        <x:v>2026</x:v>
      </x:c>
      <x:c r="B1362" s="30" t="str">
        <x:v>Base game</x:v>
      </x:c>
      <x:c r="C1362" s="30" t="str">
        <x:v>Turkey</x:v>
      </x:c>
      <x:c r="D1362" s="30" t="str">
        <x:v>Turkmenistan</x:v>
      </x:c>
      <x:c r="E1362" s="30" t="str">
        <x:v>Project unlock</x:v>
      </x:c>
      <x:c r="F1362" s="30" t="str">
        <x:v>United Turkestan</x:v>
      </x:c>
      <x:c r="G1362" s="30" t="str">
        <x:v>No</x:v>
      </x:c>
      <x:c r="H1362" s="30" t="str">
        <x:v>Ordinary claim</x:v>
      </x:c>
      <x:c r="I1362" s="31" t="n">
        <x:f>IF(G1362="Yes",'Controls &amp; Summary'!$B$5,'Controls &amp; Summary'!$B$4)</x:f>
        <x:v>6</x:v>
      </x:c>
      <x:c r="J1362" s="31" t="n">
        <x:v>4.26</x:v>
      </x:c>
      <x:c r="K1362" s="31" t="n">
        <x:v>1.54</x:v>
      </x:c>
      <x:c r="L1362" s="31" t="n">
        <x:f>ABS(J1362-K1362)</x:f>
        <x:v>2.7199999999999998</x:v>
      </x:c>
      <x:c r="M1362" s="31" t="n">
        <x:v>4.44</x:v>
      </x:c>
      <x:c r="N1362" s="31" t="n">
        <x:v>4.08</x:v>
      </x:c>
      <x:c r="O1362" s="31" t="n">
        <x:f>ABS(M1362-N1362)</x:f>
        <x:v>0.3600000000000003</x:v>
      </x:c>
      <x:c r="P1362" s="31" t="n">
        <x:v>8.3</x:v>
      </x:c>
      <x:c r="Q1362" s="31" t="n">
        <x:v>7.24</x:v>
      </x:c>
      <x:c r="R1362" s="31" t="n">
        <x:f>ABS(P1362-Q1362)</x:f>
        <x:v>1.0600000000000005</x:v>
      </x:c>
      <x:c r="S1362" s="32" t="n">
        <x:v>37699.32614876436</x:v>
      </x:c>
      <x:c r="T1362" s="32" t="n">
        <x:v>21168.549828917803</x:v>
      </x:c>
      <x:c r="U1362" s="31" t="n">
        <x:f>MAX(S1362/T1362,T1362/S1362)</x:f>
        <x:v>1.7809120820012099</x:v>
      </x:c>
      <x:c r="V1362" s="31" t="n">
        <x:f>L1362*'Controls &amp; Summary'!$B$9+O1362*'Controls &amp; Summary'!$B$10+R1362*'Controls &amp; Summary'!$B$11+U1362*'Controls &amp; Summary'!$B$12</x:f>
        <x:v>5.920912082001211</x:v>
      </x:c>
      <x:c r="W1362" s="31" t="n">
        <x:v>0.7</x:v>
      </x:c>
      <x:c r="X1362" s="31" t="n">
        <x:v>0.25</x:v>
      </x:c>
      <x:c r="Y1362" s="31" t="n">
        <x:f>((10-MIN(10,MAX(0,X1362)))/10)*'Controls &amp; Summary'!$B$15+((10-MIN(10,MAX(0,W1362)))/10)*'Controls &amp; Summary'!$B$16</x:f>
        <x:v>1.905</x:v>
      </x:c>
      <x:c r="Z1362" s="31" t="n">
        <x:f>V1362*Y1362</x:f>
        <x:v>11.279337516212307</x:v>
      </x:c>
      <x:c r="AA1362" s="30" t="str">
        <x:f>IF(Z1362&lt;=I1362,"Peaceful","Hostile")</x:f>
        <x:v>Hostile</x:v>
      </x:c>
      <x:c r="AB1362" s="30" t="str">
        <x:f>IF(Z1362&lt;='Controls &amp; Summary'!$B$6,"Eligible","Blocked")</x:f>
        <x:v>Eligible</x:v>
      </x:c>
      <x:c r="AC1362" s="30" t="str">
        <x:v>2026_TUR</x:v>
      </x:c>
      <x:c r="AD1362" s="30" t="str">
        <x:v>2026_TKM</x:v>
      </x:c>
      <x:c r="AE1362" s="30" t="str">
        <x:v>2026_Turkmenistan</x:v>
      </x:c>
      <x:c r="AF1362" s="30" t="str">
        <x:v>Explicit capitalClaim</x:v>
      </x:c>
      <x:c r="AG1362" s="30" t="str">
        <x:v>Claim2026_TUR2026_Turkmenistan</x:v>
      </x:c>
      <x:c r="AH1362" s="30" t="str">
        <x:v>Project_UnitedTurkestan</x:v>
      </x:c>
    </x:row>
    <x:row r="1363">
      <x:c r="A1363" s="30" t="str">
        <x:v>2026</x:v>
      </x:c>
      <x:c r="B1363" s="30" t="str">
        <x:v>Base game</x:v>
      </x:c>
      <x:c r="C1363" s="30" t="str">
        <x:v>Turkey</x:v>
      </x:c>
      <x:c r="D1363" s="30" t="str">
        <x:v>Uzbekistan</x:v>
      </x:c>
      <x:c r="E1363" s="30" t="str">
        <x:v>Project unlock</x:v>
      </x:c>
      <x:c r="F1363" s="30" t="str">
        <x:v>United Turkestan</x:v>
      </x:c>
      <x:c r="G1363" s="30" t="str">
        <x:v>No</x:v>
      </x:c>
      <x:c r="H1363" s="30" t="str">
        <x:v>Ordinary claim</x:v>
      </x:c>
      <x:c r="I1363" s="31" t="n">
        <x:f>IF(G1363="Yes",'Controls &amp; Summary'!$B$5,'Controls &amp; Summary'!$B$4)</x:f>
        <x:v>6</x:v>
      </x:c>
      <x:c r="J1363" s="31" t="n">
        <x:v>4.26</x:v>
      </x:c>
      <x:c r="K1363" s="31" t="n">
        <x:v>2.1</x:v>
      </x:c>
      <x:c r="L1363" s="31" t="n">
        <x:f>ABS(J1363-K1363)</x:f>
        <x:v>2.1599999999999997</x:v>
      </x:c>
      <x:c r="M1363" s="31" t="n">
        <x:v>4.44</x:v>
      </x:c>
      <x:c r="N1363" s="31" t="n">
        <x:v>3.12</x:v>
      </x:c>
      <x:c r="O1363" s="31" t="n">
        <x:f>ABS(M1363-N1363)</x:f>
        <x:v>1.3200000000000003</x:v>
      </x:c>
      <x:c r="P1363" s="31" t="n">
        <x:v>8.3</x:v>
      </x:c>
      <x:c r="Q1363" s="31" t="n">
        <x:v>7.28</x:v>
      </x:c>
      <x:c r="R1363" s="31" t="n">
        <x:f>ABS(P1363-Q1363)</x:f>
        <x:v>1.0200000000000005</x:v>
      </x:c>
      <x:c r="S1363" s="32" t="n">
        <x:v>37699.32614876436</x:v>
      </x:c>
      <x:c r="T1363" s="32" t="n">
        <x:v>10960.138794641312</x:v>
      </x:c>
      <x:c r="U1363" s="31" t="n">
        <x:f>MAX(S1363/T1363,T1363/S1363)</x:f>
        <x:v>3.4396759799425634</x:v>
      </x:c>
      <x:c r="V1363" s="31" t="n">
        <x:f>L1363*'Controls &amp; Summary'!$B$9+O1363*'Controls &amp; Summary'!$B$10+R1363*'Controls &amp; Summary'!$B$11+U1363*'Controls &amp; Summary'!$B$12</x:f>
        <x:v>7.939675979942564</x:v>
      </x:c>
      <x:c r="W1363" s="31" t="n">
        <x:v>0.7</x:v>
      </x:c>
      <x:c r="X1363" s="31" t="n">
        <x:v>1</x:v>
      </x:c>
      <x:c r="Y1363" s="31" t="n">
        <x:f>((10-MIN(10,MAX(0,X1363)))/10)*'Controls &amp; Summary'!$B$15+((10-MIN(10,MAX(0,W1363)))/10)*'Controls &amp; Summary'!$B$16</x:f>
        <x:v>1.83</x:v>
      </x:c>
      <x:c r="Z1363" s="31" t="n">
        <x:f>V1363*Y1363</x:f>
        <x:v>14.529607043294892</x:v>
      </x:c>
      <x:c r="AA1363" s="30" t="str">
        <x:f>IF(Z1363&lt;=I1363,"Peaceful","Hostile")</x:f>
        <x:v>Hostile</x:v>
      </x:c>
      <x:c r="AB1363" s="30" t="str">
        <x:f>IF(Z1363&lt;='Controls &amp; Summary'!$B$6,"Eligible","Blocked")</x:f>
        <x:v>Blocked</x:v>
      </x:c>
      <x:c r="AC1363" s="30" t="str">
        <x:v>2026_TUR</x:v>
      </x:c>
      <x:c r="AD1363" s="30" t="str">
        <x:v>2026_UZB</x:v>
      </x:c>
      <x:c r="AE1363" s="30" t="str">
        <x:v>2026_Uzbekistan</x:v>
      </x:c>
      <x:c r="AF1363" s="30" t="str">
        <x:v>Explicit capitalClaim</x:v>
      </x:c>
      <x:c r="AG1363" s="30" t="str">
        <x:v>Claim2026_TUR2026_Uzbekistan</x:v>
      </x:c>
      <x:c r="AH1363" s="30" t="str">
        <x:v>Project_UnitedTurkestan</x:v>
      </x:c>
    </x:row>
    <x:row r="1364">
      <x:c r="A1364" s="30" t="str">
        <x:v>2026</x:v>
      </x:c>
      <x:c r="B1364" s="30" t="str">
        <x:v>Base game</x:v>
      </x:c>
      <x:c r="C1364" s="30" t="str">
        <x:v>United Kingdom</x:v>
      </x:c>
      <x:c r="D1364" s="30" t="str">
        <x:v>Australia</x:v>
      </x:c>
      <x:c r="E1364" s="30" t="str">
        <x:v>Project unlock</x:v>
      </x:c>
      <x:c r="F1364" s="30" t="str">
        <x:v>Commonwealth Restored</x:v>
      </x:c>
      <x:c r="G1364" s="30" t="str">
        <x:v>No</x:v>
      </x:c>
      <x:c r="H1364" s="30" t="str">
        <x:v>Ordinary claim</x:v>
      </x:c>
      <x:c r="I1364" s="31" t="n">
        <x:f>IF(G1364="Yes",'Controls &amp; Summary'!$B$5,'Controls &amp; Summary'!$B$4)</x:f>
        <x:v>6</x:v>
      </x:c>
      <x:c r="J1364" s="31" t="n">
        <x:v>8.34</x:v>
      </x:c>
      <x:c r="K1364" s="31" t="n">
        <x:v>8.85</x:v>
      </x:c>
      <x:c r="L1364" s="31" t="n">
        <x:f>ABS(J1364-K1364)</x:f>
        <x:v>0.5099999999999998</x:v>
      </x:c>
      <x:c r="M1364" s="31" t="n">
        <x:v>3.24</x:v>
      </x:c>
      <x:c r="N1364" s="31" t="n">
        <x:v>3.43</x:v>
      </x:c>
      <x:c r="O1364" s="31" t="n">
        <x:f>ABS(M1364-N1364)</x:f>
        <x:v>0.18999999999999995</x:v>
      </x:c>
      <x:c r="P1364" s="31" t="n">
        <x:v>9.22</x:v>
      </x:c>
      <x:c r="Q1364" s="31" t="n">
        <x:v>9.8</x:v>
      </x:c>
      <x:c r="R1364" s="31" t="n">
        <x:f>ABS(P1364-Q1364)</x:f>
        <x:v>0.5800000000000001</x:v>
      </x:c>
      <x:c r="S1364" s="32" t="n">
        <x:v>61215.0143057371</x:v>
      </x:c>
      <x:c r="T1364" s="32" t="n">
        <x:v>77088.21653253067</x:v>
      </x:c>
      <x:c r="U1364" s="31" t="n">
        <x:f>MAX(S1364/T1364,T1364/S1364)</x:f>
        <x:v>1.2593024343262453</x:v>
      </x:c>
      <x:c r="V1364" s="31" t="n">
        <x:f>L1364*'Controls &amp; Summary'!$B$9+O1364*'Controls &amp; Summary'!$B$10+R1364*'Controls &amp; Summary'!$B$11+U1364*'Controls &amp; Summary'!$B$12</x:f>
        <x:v>2.5393024343262454</x:v>
      </x:c>
      <x:c r="W1364" s="31" t="n">
        <x:v>3.8</x:v>
      </x:c>
      <x:c r="X1364" s="31" t="n">
        <x:v>0.5</x:v>
      </x:c>
      <x:c r="Y1364" s="31" t="n">
        <x:f>((10-MIN(10,MAX(0,X1364)))/10)*'Controls &amp; Summary'!$B$15+((10-MIN(10,MAX(0,W1364)))/10)*'Controls &amp; Summary'!$B$16</x:f>
        <x:v>1.5699999999999998</x:v>
      </x:c>
      <x:c r="Z1364" s="31" t="n">
        <x:f>V1364*Y1364</x:f>
        <x:v>3.986704821892205</x:v>
      </x:c>
      <x:c r="AA1364" s="30" t="str">
        <x:f>IF(Z1364&lt;=I1364,"Peaceful","Hostile")</x:f>
        <x:v>Peaceful</x:v>
      </x:c>
      <x:c r="AB1364" s="30" t="str">
        <x:f>IF(Z1364&lt;='Controls &amp; Summary'!$B$6,"Eligible","Blocked")</x:f>
        <x:v>Eligible</x:v>
      </x:c>
      <x:c r="AC1364" s="30" t="str">
        <x:v>2026_GBR</x:v>
      </x:c>
      <x:c r="AD1364" s="30" t="str">
        <x:v>2026_AUS</x:v>
      </x:c>
      <x:c r="AE1364" s="30" t="str">
        <x:v>2026_Sydney</x:v>
      </x:c>
      <x:c r="AF1364" s="30" t="str">
        <x:v>Explicit capitalClaim</x:v>
      </x:c>
      <x:c r="AG1364" s="30" t="str">
        <x:v>Claim2026_GBR2026_Sydney</x:v>
      </x:c>
      <x:c r="AH1364" s="30" t="str">
        <x:v>Project_CommonwealthRestored</x:v>
      </x:c>
    </x:row>
    <x:row r="1365">
      <x:c r="A1365" s="30" t="str">
        <x:v>2026</x:v>
      </x:c>
      <x:c r="B1365" s="30" t="str">
        <x:v>Base game</x:v>
      </x:c>
      <x:c r="C1365" s="30" t="str">
        <x:v>United Kingdom</x:v>
      </x:c>
      <x:c r="D1365" s="30" t="str">
        <x:v>Belize</x:v>
      </x:c>
      <x:c r="E1365" s="30" t="str">
        <x:v>Project unlock</x:v>
      </x:c>
      <x:c r="F1365" s="30" t="str">
        <x:v>Commonwealth Restored</x:v>
      </x:c>
      <x:c r="G1365" s="30" t="str">
        <x:v>No</x:v>
      </x:c>
      <x:c r="H1365" s="30" t="str">
        <x:v>Ordinary claim</x:v>
      </x:c>
      <x:c r="I1365" s="31" t="n">
        <x:f>IF(G1365="Yes",'Controls &amp; Summary'!$B$5,'Controls &amp; Summary'!$B$4)</x:f>
        <x:v>6</x:v>
      </x:c>
      <x:c r="J1365" s="31" t="n">
        <x:v>8.34</x:v>
      </x:c>
      <x:c r="K1365" s="31" t="n">
        <x:v>8.2</x:v>
      </x:c>
      <x:c r="L1365" s="31" t="n">
        <x:f>ABS(J1365-K1365)</x:f>
        <x:v>0.14000000000000057</x:v>
      </x:c>
      <x:c r="M1365" s="31" t="n">
        <x:v>3.24</x:v>
      </x:c>
      <x:c r="N1365" s="31" t="n">
        <x:v>3.99</x:v>
      </x:c>
      <x:c r="O1365" s="31" t="n">
        <x:f>ABS(M1365-N1365)</x:f>
        <x:v>0.75</x:v>
      </x:c>
      <x:c r="P1365" s="31" t="n">
        <x:v>9.22</x:v>
      </x:c>
      <x:c r="Q1365" s="31" t="n">
        <x:v>6.15</x:v>
      </x:c>
      <x:c r="R1365" s="31" t="n">
        <x:f>ABS(P1365-Q1365)</x:f>
        <x:v>3.0700000000000003</x:v>
      </x:c>
      <x:c r="S1365" s="32" t="n">
        <x:v>61215.0143057371</x:v>
      </x:c>
      <x:c r="T1365" s="32" t="n">
        <x:v>13697.48859893058</x:v>
      </x:c>
      <x:c r="U1365" s="31" t="n">
        <x:f>MAX(S1365/T1365,T1365/S1365)</x:f>
        <x:v>4.469068461974585</x:v>
      </x:c>
      <x:c r="V1365" s="31" t="n">
        <x:f>L1365*'Controls &amp; Summary'!$B$9+O1365*'Controls &amp; Summary'!$B$10+R1365*'Controls &amp; Summary'!$B$11+U1365*'Controls &amp; Summary'!$B$12</x:f>
        <x:v>8.429068461974586</x:v>
      </x:c>
      <x:c r="W1365" s="31" t="n">
        <x:v>3.8</x:v>
      </x:c>
      <x:c r="X1365" s="31" t="n">
        <x:v>2.5</x:v>
      </x:c>
      <x:c r="Y1365" s="31" t="n">
        <x:f>((10-MIN(10,MAX(0,X1365)))/10)*'Controls &amp; Summary'!$B$15+((10-MIN(10,MAX(0,W1365)))/10)*'Controls &amp; Summary'!$B$16</x:f>
        <x:v>1.37</x:v>
      </x:c>
      <x:c r="Z1365" s="31" t="n">
        <x:f>V1365*Y1365</x:f>
        <x:v>11.547823792905183</x:v>
      </x:c>
      <x:c r="AA1365" s="30" t="str">
        <x:f>IF(Z1365&lt;=I1365,"Peaceful","Hostile")</x:f>
        <x:v>Hostile</x:v>
      </x:c>
      <x:c r="AB1365" s="30" t="str">
        <x:f>IF(Z1365&lt;='Controls &amp; Summary'!$B$6,"Eligible","Blocked")</x:f>
        <x:v>Eligible</x:v>
      </x:c>
      <x:c r="AC1365" s="30" t="str">
        <x:v>2026_GBR</x:v>
      </x:c>
      <x:c r="AD1365" s="30" t="str">
        <x:v>2026_BEL</x:v>
      </x:c>
      <x:c r="AE1365" s="30" t="str">
        <x:v>2026_Belize</x:v>
      </x:c>
      <x:c r="AF1365" s="30" t="str">
        <x:v>Explicit capitalClaim</x:v>
      </x:c>
      <x:c r="AG1365" s="30" t="str">
        <x:v>Claim2026_GBR2026_Belize</x:v>
      </x:c>
      <x:c r="AH1365" s="30" t="str">
        <x:v>Project_CommonwealthRestored</x:v>
      </x:c>
    </x:row>
    <x:row r="1366">
      <x:c r="A1366" s="30" t="str">
        <x:v>2026</x:v>
      </x:c>
      <x:c r="B1366" s="30" t="str">
        <x:v>Base game</x:v>
      </x:c>
      <x:c r="C1366" s="30" t="str">
        <x:v>United Kingdom</x:v>
      </x:c>
      <x:c r="D1366" s="30" t="str">
        <x:v>Canada</x:v>
      </x:c>
      <x:c r="E1366" s="30" t="str">
        <x:v>Project unlock</x:v>
      </x:c>
      <x:c r="F1366" s="30" t="str">
        <x:v>Commonwealth Restored</x:v>
      </x:c>
      <x:c r="G1366" s="30" t="str">
        <x:v>No</x:v>
      </x:c>
      <x:c r="H1366" s="30" t="str">
        <x:v>Ordinary claim</x:v>
      </x:c>
      <x:c r="I1366" s="31" t="n">
        <x:f>IF(G1366="Yes",'Controls &amp; Summary'!$B$5,'Controls &amp; Summary'!$B$4)</x:f>
        <x:v>6</x:v>
      </x:c>
      <x:c r="J1366" s="31" t="n">
        <x:v>8.34</x:v>
      </x:c>
      <x:c r="K1366" s="31" t="n">
        <x:v>9.08</x:v>
      </x:c>
      <x:c r="L1366" s="31" t="n">
        <x:f>ABS(J1366-K1366)</x:f>
        <x:v>0.7400000000000002</x:v>
      </x:c>
      <x:c r="M1366" s="31" t="n">
        <x:v>3.24</x:v>
      </x:c>
      <x:c r="N1366" s="31" t="n">
        <x:v>3.17</x:v>
      </x:c>
      <x:c r="O1366" s="31" t="n">
        <x:f>ABS(M1366-N1366)</x:f>
        <x:v>0.07000000000000028</x:v>
      </x:c>
      <x:c r="P1366" s="31" t="n">
        <x:v>9.22</x:v>
      </x:c>
      <x:c r="Q1366" s="31" t="n">
        <x:v>8.83</x:v>
      </x:c>
      <x:c r="R1366" s="31" t="n">
        <x:f>ABS(P1366-Q1366)</x:f>
        <x:v>0.39000000000000057</x:v>
      </x:c>
      <x:c r="S1366" s="32" t="n">
        <x:v>61215.0143057371</x:v>
      </x:c>
      <x:c r="T1366" s="32" t="n">
        <x:v>61959.01292012243</x:v>
      </x:c>
      <x:c r="U1366" s="31" t="n">
        <x:f>MAX(S1366/T1366,T1366/S1366)</x:f>
        <x:v>1.012153858376467</x:v>
      </x:c>
      <x:c r="V1366" s="31" t="n">
        <x:f>L1366*'Controls &amp; Summary'!$B$9+O1366*'Controls &amp; Summary'!$B$10+R1366*'Controls &amp; Summary'!$B$11+U1366*'Controls &amp; Summary'!$B$12</x:f>
        <x:v>2.2121538583764684</x:v>
      </x:c>
      <x:c r="W1366" s="31" t="n">
        <x:v>3.8</x:v>
      </x:c>
      <x:c r="X1366" s="31" t="n">
        <x:v>0.25</x:v>
      </x:c>
      <x:c r="Y1366" s="31" t="n">
        <x:f>((10-MIN(10,MAX(0,X1366)))/10)*'Controls &amp; Summary'!$B$15+((10-MIN(10,MAX(0,W1366)))/10)*'Controls &amp; Summary'!$B$16</x:f>
        <x:v>1.595</x:v>
      </x:c>
      <x:c r="Z1366" s="31" t="n">
        <x:f>V1366*Y1366</x:f>
        <x:v>3.528385404110467</x:v>
      </x:c>
      <x:c r="AA1366" s="30" t="str">
        <x:f>IF(Z1366&lt;=I1366,"Peaceful","Hostile")</x:f>
        <x:v>Peaceful</x:v>
      </x:c>
      <x:c r="AB1366" s="30" t="str">
        <x:f>IF(Z1366&lt;='Controls &amp; Summary'!$B$6,"Eligible","Blocked")</x:f>
        <x:v>Eligible</x:v>
      </x:c>
      <x:c r="AC1366" s="30" t="str">
        <x:v>2026_GBR</x:v>
      </x:c>
      <x:c r="AD1366" s="30" t="str">
        <x:v>2026_CAN</x:v>
      </x:c>
      <x:c r="AE1366" s="30" t="str">
        <x:v>2026_Ontario</x:v>
      </x:c>
      <x:c r="AF1366" s="30" t="str">
        <x:v>Explicit capitalClaim</x:v>
      </x:c>
      <x:c r="AG1366" s="30" t="str">
        <x:v>Claim2026_GBR2026_Ontario</x:v>
      </x:c>
      <x:c r="AH1366" s="30" t="str">
        <x:v>Project_CommonwealthRestored</x:v>
      </x:c>
    </x:row>
    <x:row r="1367">
      <x:c r="A1367" s="30" t="str">
        <x:v>2026</x:v>
      </x:c>
      <x:c r="B1367" s="30" t="str">
        <x:v>Base game</x:v>
      </x:c>
      <x:c r="C1367" s="30" t="str">
        <x:v>United Kingdom</x:v>
      </x:c>
      <x:c r="D1367" s="30" t="str">
        <x:v>New Zealand</x:v>
      </x:c>
      <x:c r="E1367" s="30" t="str">
        <x:v>Project unlock</x:v>
      </x:c>
      <x:c r="F1367" s="30" t="str">
        <x:v>Commonwealth Restored</x:v>
      </x:c>
      <x:c r="G1367" s="30" t="str">
        <x:v>No</x:v>
      </x:c>
      <x:c r="H1367" s="30" t="str">
        <x:v>Ordinary claim</x:v>
      </x:c>
      <x:c r="I1367" s="31" t="n">
        <x:f>IF(G1367="Yes",'Controls &amp; Summary'!$B$5,'Controls &amp; Summary'!$B$4)</x:f>
        <x:v>6</x:v>
      </x:c>
      <x:c r="J1367" s="31" t="n">
        <x:v>8.34</x:v>
      </x:c>
      <x:c r="K1367" s="31" t="n">
        <x:v>9.62</x:v>
      </x:c>
      <x:c r="L1367" s="31" t="n">
        <x:f>ABS(J1367-K1367)</x:f>
        <x:v>1.2799999999999994</x:v>
      </x:c>
      <x:c r="M1367" s="31" t="n">
        <x:v>3.24</x:v>
      </x:c>
      <x:c r="N1367" s="31" t="n">
        <x:v>3.45</x:v>
      </x:c>
      <x:c r="O1367" s="31" t="n">
        <x:f>ABS(M1367-N1367)</x:f>
        <x:v>0.20999999999999996</x:v>
      </x:c>
      <x:c r="P1367" s="31" t="n">
        <x:v>9.22</x:v>
      </x:c>
      <x:c r="Q1367" s="31" t="n">
        <x:v>9.42</x:v>
      </x:c>
      <x:c r="R1367" s="31" t="n">
        <x:f>ABS(P1367-Q1367)</x:f>
        <x:v>0.1999999999999993</x:v>
      </x:c>
      <x:c r="S1367" s="32" t="n">
        <x:v>61215.0143057371</x:v>
      </x:c>
      <x:c r="T1367" s="32" t="n">
        <x:v>52697.412698944056</x:v>
      </x:c>
      <x:c r="U1367" s="31" t="n">
        <x:f>MAX(S1367/T1367,T1367/S1367)</x:f>
        <x:v>1.1616322542333035</x:v>
      </x:c>
      <x:c r="V1367" s="31" t="n">
        <x:f>L1367*'Controls &amp; Summary'!$B$9+O1367*'Controls &amp; Summary'!$B$10+R1367*'Controls &amp; Summary'!$B$11+U1367*'Controls &amp; Summary'!$B$12</x:f>
        <x:v>2.8516322542333024</x:v>
      </x:c>
      <x:c r="W1367" s="31" t="n">
        <x:v>3.8</x:v>
      </x:c>
      <x:c r="X1367" s="31" t="n">
        <x:v>0</x:v>
      </x:c>
      <x:c r="Y1367" s="31" t="n">
        <x:f>((10-MIN(10,MAX(0,X1367)))/10)*'Controls &amp; Summary'!$B$15+((10-MIN(10,MAX(0,W1367)))/10)*'Controls &amp; Summary'!$B$16</x:f>
        <x:v>1.62</x:v>
      </x:c>
      <x:c r="Z1367" s="31" t="n">
        <x:f>V1367*Y1367</x:f>
        <x:v>4.61964425185795</x:v>
      </x:c>
      <x:c r="AA1367" s="30" t="str">
        <x:f>IF(Z1367&lt;=I1367,"Peaceful","Hostile")</x:f>
        <x:v>Peaceful</x:v>
      </x:c>
      <x:c r="AB1367" s="30" t="str">
        <x:f>IF(Z1367&lt;='Controls &amp; Summary'!$B$6,"Eligible","Blocked")</x:f>
        <x:v>Eligible</x:v>
      </x:c>
      <x:c r="AC1367" s="30" t="str">
        <x:v>2026_GBR</x:v>
      </x:c>
      <x:c r="AD1367" s="30" t="str">
        <x:v>2026_NZL</x:v>
      </x:c>
      <x:c r="AE1367" s="30" t="str">
        <x:v>2026_NewZealand</x:v>
      </x:c>
      <x:c r="AF1367" s="30" t="str">
        <x:v>Explicit capitalClaim</x:v>
      </x:c>
      <x:c r="AG1367" s="30" t="str">
        <x:v>Claim2026_GBR2026_NewZealand</x:v>
      </x:c>
      <x:c r="AH1367" s="30" t="str">
        <x:v>Project_CommonwealthRestored</x:v>
      </x:c>
    </x:row>
    <x:row r="1368">
      <x:c r="A1368" s="30" t="str">
        <x:v>2026</x:v>
      </x:c>
      <x:c r="B1368" s="30" t="str">
        <x:v>Base game</x:v>
      </x:c>
      <x:c r="C1368" s="30" t="str">
        <x:v>United States of America</x:v>
      </x:c>
      <x:c r="D1368" s="30" t="str">
        <x:v>Bahamas</x:v>
      </x:c>
      <x:c r="E1368" s="30" t="str">
        <x:v>Project unlock</x:v>
      </x:c>
      <x:c r="F1368" s="30" t="str">
        <x:v>Greater United North America</x:v>
      </x:c>
      <x:c r="G1368" s="30" t="str">
        <x:v>No</x:v>
      </x:c>
      <x:c r="H1368" s="30" t="str">
        <x:v>Ordinary claim</x:v>
      </x:c>
      <x:c r="I1368" s="31" t="n">
        <x:f>IF(G1368="Yes",'Controls &amp; Summary'!$B$5,'Controls &amp; Summary'!$B$4)</x:f>
        <x:v>6</x:v>
      </x:c>
      <x:c r="J1368" s="31" t="n">
        <x:v>7.65</x:v>
      </x:c>
      <x:c r="K1368" s="31" t="n">
        <x:v>8.4</x:v>
      </x:c>
      <x:c r="L1368" s="31" t="n">
        <x:f>ABS(J1368-K1368)</x:f>
        <x:v>0.75</x:v>
      </x:c>
      <x:c r="M1368" s="31" t="n">
        <x:v>4.17</x:v>
      </x:c>
      <x:c r="N1368" s="31" t="n">
        <x:v>4.7</x:v>
      </x:c>
      <x:c r="O1368" s="31" t="n">
        <x:f>ABS(M1368-N1368)</x:f>
        <x:v>0.5300000000000002</x:v>
      </x:c>
      <x:c r="P1368" s="31" t="n">
        <x:v>8.83</x:v>
      </x:c>
      <x:c r="Q1368" s="31" t="n">
        <x:v>7.41</x:v>
      </x:c>
      <x:c r="R1368" s="31" t="n">
        <x:f>ABS(P1368-Q1368)</x:f>
        <x:v>1.42</x:v>
      </x:c>
      <x:c r="S1368" s="32" t="n">
        <x:v>92252.5098252978</x:v>
      </x:c>
      <x:c r="T1368" s="32" t="n">
        <x:v>42118.852377986696</x:v>
      </x:c>
      <x:c r="U1368" s="31" t="n">
        <x:f>MAX(S1368/T1368,T1368/S1368)</x:f>
        <x:v>2.190290205378752</x:v>
      </x:c>
      <x:c r="V1368" s="31" t="n">
        <x:f>L1368*'Controls &amp; Summary'!$B$9+O1368*'Controls &amp; Summary'!$B$10+R1368*'Controls &amp; Summary'!$B$11+U1368*'Controls &amp; Summary'!$B$12</x:f>
        <x:v>4.8902902053787525</x:v>
      </x:c>
      <x:c r="W1368" s="31" t="n">
        <x:v>1.25</x:v>
      </x:c>
      <x:c r="X1368" s="31" t="n">
        <x:v>0.5</x:v>
      </x:c>
      <x:c r="Y1368" s="31" t="n">
        <x:f>((10-MIN(10,MAX(0,X1368)))/10)*'Controls &amp; Summary'!$B$15+((10-MIN(10,MAX(0,W1368)))/10)*'Controls &amp; Summary'!$B$16</x:f>
        <x:v>1.825</x:v>
      </x:c>
      <x:c r="Z1368" s="31" t="n">
        <x:f>V1368*Y1368</x:f>
        <x:v>8.924779624816223</x:v>
      </x:c>
      <x:c r="AA1368" s="30" t="str">
        <x:f>IF(Z1368&lt;=I1368,"Peaceful","Hostile")</x:f>
        <x:v>Hostile</x:v>
      </x:c>
      <x:c r="AB1368" s="30" t="str">
        <x:f>IF(Z1368&lt;='Controls &amp; Summary'!$B$6,"Eligible","Blocked")</x:f>
        <x:v>Eligible</x:v>
      </x:c>
      <x:c r="AC1368" s="30" t="str">
        <x:v>2026_USA</x:v>
      </x:c>
      <x:c r="AD1368" s="30" t="str">
        <x:v>2026_BAH</x:v>
      </x:c>
      <x:c r="AE1368" s="30" t="str">
        <x:v>2026_Bahamas</x:v>
      </x:c>
      <x:c r="AF1368" s="30" t="str">
        <x:v>Explicit capitalClaim</x:v>
      </x:c>
      <x:c r="AG1368" s="30" t="str">
        <x:v>Claim2026_USA2026_Bahamas</x:v>
      </x:c>
      <x:c r="AH1368" s="30" t="str">
        <x:v>Project_GreaterUnitedNorthAmerica</x:v>
      </x:c>
    </x:row>
    <x:row r="1369">
      <x:c r="A1369" s="30" t="str">
        <x:v>2026</x:v>
      </x:c>
      <x:c r="B1369" s="30" t="str">
        <x:v>Base game</x:v>
      </x:c>
      <x:c r="C1369" s="30" t="str">
        <x:v>United States of America</x:v>
      </x:c>
      <x:c r="D1369" s="30" t="str">
        <x:v>Belize</x:v>
      </x:c>
      <x:c r="E1369" s="30" t="str">
        <x:v>Project unlock</x:v>
      </x:c>
      <x:c r="F1369" s="30" t="str">
        <x:v>Greater United North America</x:v>
      </x:c>
      <x:c r="G1369" s="30" t="str">
        <x:v>No</x:v>
      </x:c>
      <x:c r="H1369" s="30" t="str">
        <x:v>Ordinary claim</x:v>
      </x:c>
      <x:c r="I1369" s="31" t="n">
        <x:f>IF(G1369="Yes",'Controls &amp; Summary'!$B$5,'Controls &amp; Summary'!$B$4)</x:f>
        <x:v>6</x:v>
      </x:c>
      <x:c r="J1369" s="31" t="n">
        <x:v>7.65</x:v>
      </x:c>
      <x:c r="K1369" s="31" t="n">
        <x:v>8.2</x:v>
      </x:c>
      <x:c r="L1369" s="31" t="n">
        <x:f>ABS(J1369-K1369)</x:f>
        <x:v>0.5499999999999989</x:v>
      </x:c>
      <x:c r="M1369" s="31" t="n">
        <x:v>4.17</x:v>
      </x:c>
      <x:c r="N1369" s="31" t="n">
        <x:v>3.99</x:v>
      </x:c>
      <x:c r="O1369" s="31" t="n">
        <x:f>ABS(M1369-N1369)</x:f>
        <x:v>0.17999999999999972</x:v>
      </x:c>
      <x:c r="P1369" s="31" t="n">
        <x:v>8.83</x:v>
      </x:c>
      <x:c r="Q1369" s="31" t="n">
        <x:v>6.15</x:v>
      </x:c>
      <x:c r="R1369" s="31" t="n">
        <x:f>ABS(P1369-Q1369)</x:f>
        <x:v>2.6799999999999997</x:v>
      </x:c>
      <x:c r="S1369" s="32" t="n">
        <x:v>92252.5098252978</x:v>
      </x:c>
      <x:c r="T1369" s="32" t="n">
        <x:v>13697.48859893058</x:v>
      </x:c>
      <x:c r="U1369" s="31" t="n">
        <x:f>MAX(S1369/T1369,T1369/S1369)</x:f>
        <x:v>6.7349944596778375</x:v>
      </x:c>
      <x:c r="V1369" s="31" t="n">
        <x:f>L1369*'Controls &amp; Summary'!$B$9+O1369*'Controls &amp; Summary'!$B$10+R1369*'Controls &amp; Summary'!$B$11+U1369*'Controls &amp; Summary'!$B$12</x:f>
        <x:v>10.144994459677836</x:v>
      </x:c>
      <x:c r="W1369" s="31" t="n">
        <x:v>1.25</x:v>
      </x:c>
      <x:c r="X1369" s="31" t="n">
        <x:v>2.5</x:v>
      </x:c>
      <x:c r="Y1369" s="31" t="n">
        <x:f>((10-MIN(10,MAX(0,X1369)))/10)*'Controls &amp; Summary'!$B$15+((10-MIN(10,MAX(0,W1369)))/10)*'Controls &amp; Summary'!$B$16</x:f>
        <x:v>1.625</x:v>
      </x:c>
      <x:c r="Z1369" s="31" t="n">
        <x:f>V1369*Y1369</x:f>
        <x:v>16.485615996976485</x:v>
      </x:c>
      <x:c r="AA1369" s="30" t="str">
        <x:f>IF(Z1369&lt;=I1369,"Peaceful","Hostile")</x:f>
        <x:v>Hostile</x:v>
      </x:c>
      <x:c r="AB1369" s="30" t="str">
        <x:f>IF(Z1369&lt;='Controls &amp; Summary'!$B$6,"Eligible","Blocked")</x:f>
        <x:v>Blocked</x:v>
      </x:c>
      <x:c r="AC1369" s="30" t="str">
        <x:v>2026_USA</x:v>
      </x:c>
      <x:c r="AD1369" s="30" t="str">
        <x:v>2026_BEL</x:v>
      </x:c>
      <x:c r="AE1369" s="30" t="str">
        <x:v>2026_Belize</x:v>
      </x:c>
      <x:c r="AF1369" s="30" t="str">
        <x:v>Explicit capitalClaim</x:v>
      </x:c>
      <x:c r="AG1369" s="30" t="str">
        <x:v>Claim2026_USA2026_Belize</x:v>
      </x:c>
      <x:c r="AH1369" s="30" t="str">
        <x:v>Project_GreaterUnitedNorthAmerica</x:v>
      </x:c>
    </x:row>
    <x:row r="1370">
      <x:c r="A1370" s="30" t="str">
        <x:v>2026</x:v>
      </x:c>
      <x:c r="B1370" s="30" t="str">
        <x:v>Base game</x:v>
      </x:c>
      <x:c r="C1370" s="30" t="str">
        <x:v>United States of America</x:v>
      </x:c>
      <x:c r="D1370" s="30" t="str">
        <x:v>Canada</x:v>
      </x:c>
      <x:c r="E1370" s="30" t="str">
        <x:v>Project unlock</x:v>
      </x:c>
      <x:c r="F1370" s="30" t="str">
        <x:v>United North America</x:v>
      </x:c>
      <x:c r="G1370" s="30" t="str">
        <x:v>No</x:v>
      </x:c>
      <x:c r="H1370" s="30" t="str">
        <x:v>Ordinary claim</x:v>
      </x:c>
      <x:c r="I1370" s="31" t="n">
        <x:f>IF(G1370="Yes",'Controls &amp; Summary'!$B$5,'Controls &amp; Summary'!$B$4)</x:f>
        <x:v>6</x:v>
      </x:c>
      <x:c r="J1370" s="31" t="n">
        <x:v>7.65</x:v>
      </x:c>
      <x:c r="K1370" s="31" t="n">
        <x:v>9.08</x:v>
      </x:c>
      <x:c r="L1370" s="31" t="n">
        <x:f>ABS(J1370-K1370)</x:f>
        <x:v>1.4299999999999997</x:v>
      </x:c>
      <x:c r="M1370" s="31" t="n">
        <x:v>4.17</x:v>
      </x:c>
      <x:c r="N1370" s="31" t="n">
        <x:v>3.17</x:v>
      </x:c>
      <x:c r="O1370" s="31" t="n">
        <x:f>ABS(M1370-N1370)</x:f>
        <x:v>1</x:v>
      </x:c>
      <x:c r="P1370" s="31" t="n">
        <x:v>8.83</x:v>
      </x:c>
      <x:c r="Q1370" s="31" t="n">
        <x:v>8.83</x:v>
      </x:c>
      <x:c r="R1370" s="31" t="n">
        <x:f>ABS(P1370-Q1370)</x:f>
        <x:v>0</x:v>
      </x:c>
      <x:c r="S1370" s="32" t="n">
        <x:v>92252.5098252978</x:v>
      </x:c>
      <x:c r="T1370" s="32" t="n">
        <x:v>61959.01292012243</x:v>
      </x:c>
      <x:c r="U1370" s="31" t="n">
        <x:f>MAX(S1370/T1370,T1370/S1370)</x:f>
        <x:v>1.4889280102675255</x:v>
      </x:c>
      <x:c r="V1370" s="31" t="n">
        <x:f>L1370*'Controls &amp; Summary'!$B$9+O1370*'Controls &amp; Summary'!$B$10+R1370*'Controls &amp; Summary'!$B$11+U1370*'Controls &amp; Summary'!$B$12</x:f>
        <x:v>3.9189280102675252</x:v>
      </x:c>
      <x:c r="W1370" s="31" t="n">
        <x:v>1.25</x:v>
      </x:c>
      <x:c r="X1370" s="31" t="n">
        <x:v>0.25</x:v>
      </x:c>
      <x:c r="Y1370" s="31" t="n">
        <x:f>((10-MIN(10,MAX(0,X1370)))/10)*'Controls &amp; Summary'!$B$15+((10-MIN(10,MAX(0,W1370)))/10)*'Controls &amp; Summary'!$B$16</x:f>
        <x:v>1.85</x:v>
      </x:c>
      <x:c r="Z1370" s="31" t="n">
        <x:f>V1370*Y1370</x:f>
        <x:v>7.250016818994922</x:v>
      </x:c>
      <x:c r="AA1370" s="30" t="str">
        <x:f>IF(Z1370&lt;=I1370,"Peaceful","Hostile")</x:f>
        <x:v>Hostile</x:v>
      </x:c>
      <x:c r="AB1370" s="30" t="str">
        <x:f>IF(Z1370&lt;='Controls &amp; Summary'!$B$6,"Eligible","Blocked")</x:f>
        <x:v>Eligible</x:v>
      </x:c>
      <x:c r="AC1370" s="30" t="str">
        <x:v>2026_USA</x:v>
      </x:c>
      <x:c r="AD1370" s="30" t="str">
        <x:v>2026_CAN</x:v>
      </x:c>
      <x:c r="AE1370" s="30" t="str">
        <x:v>2026_Ontario</x:v>
      </x:c>
      <x:c r="AF1370" s="30" t="str">
        <x:v>Explicit capitalClaim</x:v>
      </x:c>
      <x:c r="AG1370" s="30" t="str">
        <x:v>Claim2026_USA2026_Ontario</x:v>
      </x:c>
      <x:c r="AH1370" s="30" t="str">
        <x:v>Project_UnitedNorthAmerica</x:v>
      </x:c>
    </x:row>
    <x:row r="1371">
      <x:c r="A1371" s="30" t="str">
        <x:v>2026</x:v>
      </x:c>
      <x:c r="B1371" s="30" t="str">
        <x:v>Base game</x:v>
      </x:c>
      <x:c r="C1371" s="30" t="str">
        <x:v>United States of America</x:v>
      </x:c>
      <x:c r="D1371" s="30" t="str">
        <x:v>Costa Rica</x:v>
      </x:c>
      <x:c r="E1371" s="30" t="str">
        <x:v>Project unlock</x:v>
      </x:c>
      <x:c r="F1371" s="30" t="str">
        <x:v>Greater United North America</x:v>
      </x:c>
      <x:c r="G1371" s="30" t="str">
        <x:v>No</x:v>
      </x:c>
      <x:c r="H1371" s="30" t="str">
        <x:v>Ordinary claim</x:v>
      </x:c>
      <x:c r="I1371" s="31" t="n">
        <x:f>IF(G1371="Yes",'Controls &amp; Summary'!$B$5,'Controls &amp; Summary'!$B$4)</x:f>
        <x:v>6</x:v>
      </x:c>
      <x:c r="J1371" s="31" t="n">
        <x:v>7.65</x:v>
      </x:c>
      <x:c r="K1371" s="31" t="n">
        <x:v>8.29</x:v>
      </x:c>
      <x:c r="L1371" s="31" t="n">
        <x:f>ABS(J1371-K1371)</x:f>
        <x:v>0.6399999999999988</x:v>
      </x:c>
      <x:c r="M1371" s="31" t="n">
        <x:v>4.17</x:v>
      </x:c>
      <x:c r="N1371" s="31" t="n">
        <x:v>4.67</x:v>
      </x:c>
      <x:c r="O1371" s="31" t="n">
        <x:f>ABS(M1371-N1371)</x:f>
        <x:v>0.5</x:v>
      </x:c>
      <x:c r="P1371" s="31" t="n">
        <x:v>8.83</x:v>
      </x:c>
      <x:c r="Q1371" s="31" t="n">
        <x:v>7.3</x:v>
      </x:c>
      <x:c r="R1371" s="31" t="n">
        <x:f>ABS(P1371-Q1371)</x:f>
        <x:v>1.5300000000000002</x:v>
      </x:c>
      <x:c r="S1371" s="32" t="n">
        <x:v>92252.5098252978</x:v>
      </x:c>
      <x:c r="T1371" s="32" t="n">
        <x:v>28745.117916885112</x:v>
      </x:c>
      <x:c r="U1371" s="31" t="n">
        <x:f>MAX(S1371/T1371,T1371/S1371)</x:f>
        <x:v>3.2093279315131262</x:v>
      </x:c>
      <x:c r="V1371" s="31" t="n">
        <x:f>L1371*'Controls &amp; Summary'!$B$9+O1371*'Controls &amp; Summary'!$B$10+R1371*'Controls &amp; Summary'!$B$11+U1371*'Controls &amp; Summary'!$B$12</x:f>
        <x:v>5.879327931513125</x:v>
      </x:c>
      <x:c r="W1371" s="31" t="n">
        <x:v>1.25</x:v>
      </x:c>
      <x:c r="X1371" s="31" t="n">
        <x:v>1</x:v>
      </x:c>
      <x:c r="Y1371" s="31" t="n">
        <x:f>((10-MIN(10,MAX(0,X1371)))/10)*'Controls &amp; Summary'!$B$15+((10-MIN(10,MAX(0,W1371)))/10)*'Controls &amp; Summary'!$B$16</x:f>
        <x:v>1.775</x:v>
      </x:c>
      <x:c r="Z1371" s="31" t="n">
        <x:f>V1371*Y1371</x:f>
        <x:v>10.435807078435797</x:v>
      </x:c>
      <x:c r="AA1371" s="30" t="str">
        <x:f>IF(Z1371&lt;=I1371,"Peaceful","Hostile")</x:f>
        <x:v>Hostile</x:v>
      </x:c>
      <x:c r="AB1371" s="30" t="str">
        <x:f>IF(Z1371&lt;='Controls &amp; Summary'!$B$6,"Eligible","Blocked")</x:f>
        <x:v>Eligible</x:v>
      </x:c>
      <x:c r="AC1371" s="30" t="str">
        <x:v>2026_USA</x:v>
      </x:c>
      <x:c r="AD1371" s="30" t="str">
        <x:v>2026_COS</x:v>
      </x:c>
      <x:c r="AE1371" s="30" t="str">
        <x:v>2026_CostaRica</x:v>
      </x:c>
      <x:c r="AF1371" s="30" t="str">
        <x:v>Explicit capitalClaim</x:v>
      </x:c>
      <x:c r="AG1371" s="30" t="str">
        <x:v>Claim2026_USA2026_CostaRica</x:v>
      </x:c>
      <x:c r="AH1371" s="30" t="str">
        <x:v>Project_GreaterUnitedNorthAmerica</x:v>
      </x:c>
    </x:row>
    <x:row r="1372">
      <x:c r="A1372" s="30" t="str">
        <x:v>2026</x:v>
      </x:c>
      <x:c r="B1372" s="30" t="str">
        <x:v>Base game</x:v>
      </x:c>
      <x:c r="C1372" s="30" t="str">
        <x:v>United States of America</x:v>
      </x:c>
      <x:c r="D1372" s="30" t="str">
        <x:v>Cuba</x:v>
      </x:c>
      <x:c r="E1372" s="30" t="str">
        <x:v>Project unlock</x:v>
      </x:c>
      <x:c r="F1372" s="30" t="str">
        <x:v>Greater United North America</x:v>
      </x:c>
      <x:c r="G1372" s="30" t="str">
        <x:v>No</x:v>
      </x:c>
      <x:c r="H1372" s="30" t="str">
        <x:v>Ordinary claim</x:v>
      </x:c>
      <x:c r="I1372" s="31" t="n">
        <x:f>IF(G1372="Yes",'Controls &amp; Summary'!$B$5,'Controls &amp; Summary'!$B$4)</x:f>
        <x:v>6</x:v>
      </x:c>
      <x:c r="J1372" s="31" t="n">
        <x:v>7.65</x:v>
      </x:c>
      <x:c r="K1372" s="31" t="n">
        <x:v>2.58</x:v>
      </x:c>
      <x:c r="L1372" s="31" t="n">
        <x:f>ABS(J1372-K1372)</x:f>
        <x:v>5.07</x:v>
      </x:c>
      <x:c r="M1372" s="31" t="n">
        <x:v>4.17</x:v>
      </x:c>
      <x:c r="N1372" s="31" t="n">
        <x:v>3.8</x:v>
      </x:c>
      <x:c r="O1372" s="31" t="n">
        <x:f>ABS(M1372-N1372)</x:f>
        <x:v>0.3700000000000001</x:v>
      </x:c>
      <x:c r="P1372" s="31" t="n">
        <x:v>8.83</x:v>
      </x:c>
      <x:c r="Q1372" s="31" t="n">
        <x:v>7.24</x:v>
      </x:c>
      <x:c r="R1372" s="31" t="n">
        <x:f>ABS(P1372-Q1372)</x:f>
        <x:v>1.5899999999999999</x:v>
      </x:c>
      <x:c r="S1372" s="32" t="n">
        <x:v>92252.5098252978</x:v>
      </x:c>
      <x:c r="T1372" s="32" t="n">
        <x:v>15651.709018064368</x:v>
      </x:c>
      <x:c r="U1372" s="31" t="n">
        <x:f>MAX(S1372/T1372,T1372/S1372)</x:f>
        <x:v>5.894085413856396</x:v>
      </x:c>
      <x:c r="V1372" s="31" t="n">
        <x:f>L1372*'Controls &amp; Summary'!$B$9+O1372*'Controls &amp; Summary'!$B$10+R1372*'Controls &amp; Summary'!$B$11+U1372*'Controls &amp; Summary'!$B$12</x:f>
        <x:v>12.924085413856396</x:v>
      </x:c>
      <x:c r="W1372" s="31" t="n">
        <x:v>1.25</x:v>
      </x:c>
      <x:c r="X1372" s="31" t="n">
        <x:v>1.25</x:v>
      </x:c>
      <x:c r="Y1372" s="31" t="n">
        <x:f>((10-MIN(10,MAX(0,X1372)))/10)*'Controls &amp; Summary'!$B$15+((10-MIN(10,MAX(0,W1372)))/10)*'Controls &amp; Summary'!$B$16</x:f>
        <x:v>1.75</x:v>
      </x:c>
      <x:c r="Z1372" s="31" t="n">
        <x:f>V1372*Y1372</x:f>
        <x:v>22.61714947424869</x:v>
      </x:c>
      <x:c r="AA1372" s="30" t="str">
        <x:f>IF(Z1372&lt;=I1372,"Peaceful","Hostile")</x:f>
        <x:v>Hostile</x:v>
      </x:c>
      <x:c r="AB1372" s="30" t="str">
        <x:f>IF(Z1372&lt;='Controls &amp; Summary'!$B$6,"Eligible","Blocked")</x:f>
        <x:v>Blocked</x:v>
      </x:c>
      <x:c r="AC1372" s="30" t="str">
        <x:v>2026_USA</x:v>
      </x:c>
      <x:c r="AD1372" s="30" t="str">
        <x:v>2026_CUB</x:v>
      </x:c>
      <x:c r="AE1372" s="30" t="str">
        <x:v>2026_Cuba</x:v>
      </x:c>
      <x:c r="AF1372" s="30" t="str">
        <x:v>Explicit capitalClaim</x:v>
      </x:c>
      <x:c r="AG1372" s="30" t="str">
        <x:v>Claim2026_USA2026_Cuba</x:v>
      </x:c>
      <x:c r="AH1372" s="30" t="str">
        <x:v>Project_GreaterUnitedNorthAmerica</x:v>
      </x:c>
    </x:row>
    <x:row r="1373">
      <x:c r="A1373" s="30" t="str">
        <x:v>2026</x:v>
      </x:c>
      <x:c r="B1373" s="30" t="str">
        <x:v>Base game</x:v>
      </x:c>
      <x:c r="C1373" s="30" t="str">
        <x:v>United States of America</x:v>
      </x:c>
      <x:c r="D1373" s="30" t="str">
        <x:v>Dominican Republic</x:v>
      </x:c>
      <x:c r="E1373" s="30" t="str">
        <x:v>Project unlock</x:v>
      </x:c>
      <x:c r="F1373" s="30" t="str">
        <x:v>Greater United North America</x:v>
      </x:c>
      <x:c r="G1373" s="30" t="str">
        <x:v>No</x:v>
      </x:c>
      <x:c r="H1373" s="30" t="str">
        <x:v>Ordinary claim</x:v>
      </x:c>
      <x:c r="I1373" s="31" t="n">
        <x:f>IF(G1373="Yes",'Controls &amp; Summary'!$B$5,'Controls &amp; Summary'!$B$4)</x:f>
        <x:v>6</x:v>
      </x:c>
      <x:c r="J1373" s="31" t="n">
        <x:v>7.65</x:v>
      </x:c>
      <x:c r="K1373" s="31" t="n">
        <x:v>6.75</x:v>
      </x:c>
      <x:c r="L1373" s="31" t="n">
        <x:f>ABS(J1373-K1373)</x:f>
        <x:v>0.9000000000000004</x:v>
      </x:c>
      <x:c r="M1373" s="31" t="n">
        <x:v>4.17</x:v>
      </x:c>
      <x:c r="N1373" s="31" t="n">
        <x:v>3.7</x:v>
      </x:c>
      <x:c r="O1373" s="31" t="n">
        <x:f>ABS(M1373-N1373)</x:f>
        <x:v>0.46999999999999975</x:v>
      </x:c>
      <x:c r="P1373" s="31" t="n">
        <x:v>8.83</x:v>
      </x:c>
      <x:c r="Q1373" s="31" t="n">
        <x:v>6.77</x:v>
      </x:c>
      <x:c r="R1373" s="31" t="n">
        <x:f>ABS(P1373-Q1373)</x:f>
        <x:v>2.0600000000000005</x:v>
      </x:c>
      <x:c r="S1373" s="32" t="n">
        <x:v>92252.5098252978</x:v>
      </x:c>
      <x:c r="T1373" s="32" t="n">
        <x:v>25475.012705112193</x:v>
      </x:c>
      <x:c r="U1373" s="31" t="n">
        <x:f>MAX(S1373/T1373,T1373/S1373)</x:f>
        <x:v>3.621293967275826</x:v>
      </x:c>
      <x:c r="V1373" s="31" t="n">
        <x:f>L1373*'Controls &amp; Summary'!$B$9+O1373*'Controls &amp; Summary'!$B$10+R1373*'Controls &amp; Summary'!$B$11+U1373*'Controls &amp; Summary'!$B$12</x:f>
        <x:v>7.051293967275827</x:v>
      </x:c>
      <x:c r="W1373" s="31" t="n">
        <x:v>1.25</x:v>
      </x:c>
      <x:c r="X1373" s="31" t="n">
        <x:v>1</x:v>
      </x:c>
      <x:c r="Y1373" s="31" t="n">
        <x:f>((10-MIN(10,MAX(0,X1373)))/10)*'Controls &amp; Summary'!$B$15+((10-MIN(10,MAX(0,W1373)))/10)*'Controls &amp; Summary'!$B$16</x:f>
        <x:v>1.775</x:v>
      </x:c>
      <x:c r="Z1373" s="31" t="n">
        <x:f>V1373*Y1373</x:f>
        <x:v>12.516046791914592</x:v>
      </x:c>
      <x:c r="AA1373" s="30" t="str">
        <x:f>IF(Z1373&lt;=I1373,"Peaceful","Hostile")</x:f>
        <x:v>Hostile</x:v>
      </x:c>
      <x:c r="AB1373" s="30" t="str">
        <x:f>IF(Z1373&lt;='Controls &amp; Summary'!$B$6,"Eligible","Blocked")</x:f>
        <x:v>Blocked</x:v>
      </x:c>
      <x:c r="AC1373" s="30" t="str">
        <x:v>2026_USA</x:v>
      </x:c>
      <x:c r="AD1373" s="30" t="str">
        <x:v>2026_DOM</x:v>
      </x:c>
      <x:c r="AE1373" s="30" t="str">
        <x:v>2026_EastHispanola</x:v>
      </x:c>
      <x:c r="AF1373" s="30" t="str">
        <x:v>Explicit capitalClaim</x:v>
      </x:c>
      <x:c r="AG1373" s="30" t="str">
        <x:v>Claim2026_USA2026_EastHispanola</x:v>
      </x:c>
      <x:c r="AH1373" s="30" t="str">
        <x:v>Project_GreaterUnitedNorthAmerica</x:v>
      </x:c>
    </x:row>
    <x:row r="1374">
      <x:c r="A1374" s="30" t="str">
        <x:v>2026</x:v>
      </x:c>
      <x:c r="B1374" s="30" t="str">
        <x:v>Base game</x:v>
      </x:c>
      <x:c r="C1374" s="30" t="str">
        <x:v>United States of America</x:v>
      </x:c>
      <x:c r="D1374" s="30" t="str">
        <x:v>El Salvador</x:v>
      </x:c>
      <x:c r="E1374" s="30" t="str">
        <x:v>Project unlock</x:v>
      </x:c>
      <x:c r="F1374" s="30" t="str">
        <x:v>Greater United North America</x:v>
      </x:c>
      <x:c r="G1374" s="30" t="str">
        <x:v>No</x:v>
      </x:c>
      <x:c r="H1374" s="30" t="str">
        <x:v>Ordinary claim</x:v>
      </x:c>
      <x:c r="I1374" s="31" t="n">
        <x:f>IF(G1374="Yes",'Controls &amp; Summary'!$B$5,'Controls &amp; Summary'!$B$4)</x:f>
        <x:v>6</x:v>
      </x:c>
      <x:c r="J1374" s="31" t="n">
        <x:v>7.65</x:v>
      </x:c>
      <x:c r="K1374" s="31" t="n">
        <x:v>4.57</x:v>
      </x:c>
      <x:c r="L1374" s="31" t="n">
        <x:f>ABS(J1374-K1374)</x:f>
        <x:v>3.08</x:v>
      </x:c>
      <x:c r="M1374" s="31" t="n">
        <x:v>4.17</x:v>
      </x:c>
      <x:c r="N1374" s="31" t="n">
        <x:v>3.88</x:v>
      </x:c>
      <x:c r="O1374" s="31" t="n">
        <x:f>ABS(M1374-N1374)</x:f>
        <x:v>0.29000000000000004</x:v>
      </x:c>
      <x:c r="P1374" s="31" t="n">
        <x:v>8.83</x:v>
      </x:c>
      <x:c r="Q1374" s="31" t="n">
        <x:v>5.42</x:v>
      </x:c>
      <x:c r="R1374" s="31" t="n">
        <x:f>ABS(P1374-Q1374)</x:f>
        <x:v>3.41</x:v>
      </x:c>
      <x:c r="S1374" s="32" t="n">
        <x:v>92252.5098252978</x:v>
      </x:c>
      <x:c r="T1374" s="32" t="n">
        <x:v>12155.386094870599</x:v>
      </x:c>
      <x:c r="U1374" s="31" t="n">
        <x:f>MAX(S1374/T1374,T1374/S1374)</x:f>
        <x:v>7.5894347662249135</x:v>
      </x:c>
      <x:c r="V1374" s="31" t="n">
        <x:f>L1374*'Controls &amp; Summary'!$B$9+O1374*'Controls &amp; Summary'!$B$10+R1374*'Controls &amp; Summary'!$B$11+U1374*'Controls &amp; Summary'!$B$12</x:f>
        <x:v>14.369434766224913</x:v>
      </x:c>
      <x:c r="W1374" s="31" t="n">
        <x:v>1.25</x:v>
      </x:c>
      <x:c r="X1374" s="31" t="n">
        <x:v>1</x:v>
      </x:c>
      <x:c r="Y1374" s="31" t="n">
        <x:f>((10-MIN(10,MAX(0,X1374)))/10)*'Controls &amp; Summary'!$B$15+((10-MIN(10,MAX(0,W1374)))/10)*'Controls &amp; Summary'!$B$16</x:f>
        <x:v>1.775</x:v>
      </x:c>
      <x:c r="Z1374" s="31" t="n">
        <x:f>V1374*Y1374</x:f>
        <x:v>25.50574671004922</x:v>
      </x:c>
      <x:c r="AA1374" s="30" t="str">
        <x:f>IF(Z1374&lt;=I1374,"Peaceful","Hostile")</x:f>
        <x:v>Hostile</x:v>
      </x:c>
      <x:c r="AB1374" s="30" t="str">
        <x:f>IF(Z1374&lt;='Controls &amp; Summary'!$B$6,"Eligible","Blocked")</x:f>
        <x:v>Blocked</x:v>
      </x:c>
      <x:c r="AC1374" s="30" t="str">
        <x:v>2026_USA</x:v>
      </x:c>
      <x:c r="AD1374" s="30" t="str">
        <x:v>2026_ELS</x:v>
      </x:c>
      <x:c r="AE1374" s="30" t="str">
        <x:v>2026_ElSalvador</x:v>
      </x:c>
      <x:c r="AF1374" s="30" t="str">
        <x:v>Explicit capitalClaim</x:v>
      </x:c>
      <x:c r="AG1374" s="30" t="str">
        <x:v>Claim2026_USA2026_ElSalvador</x:v>
      </x:c>
      <x:c r="AH1374" s="30" t="str">
        <x:v>Project_GreaterUnitedNorthAmerica</x:v>
      </x:c>
    </x:row>
    <x:row r="1375">
      <x:c r="A1375" s="30" t="str">
        <x:v>2026</x:v>
      </x:c>
      <x:c r="B1375" s="30" t="str">
        <x:v>Base game</x:v>
      </x:c>
      <x:c r="C1375" s="30" t="str">
        <x:v>United States of America</x:v>
      </x:c>
      <x:c r="D1375" s="30" t="str">
        <x:v>Guatemala</x:v>
      </x:c>
      <x:c r="E1375" s="30" t="str">
        <x:v>Project unlock</x:v>
      </x:c>
      <x:c r="F1375" s="30" t="str">
        <x:v>Greater United North America</x:v>
      </x:c>
      <x:c r="G1375" s="30" t="str">
        <x:v>No</x:v>
      </x:c>
      <x:c r="H1375" s="30" t="str">
        <x:v>Ordinary claim</x:v>
      </x:c>
      <x:c r="I1375" s="31" t="n">
        <x:f>IF(G1375="Yes",'Controls &amp; Summary'!$B$5,'Controls &amp; Summary'!$B$4)</x:f>
        <x:v>6</x:v>
      </x:c>
      <x:c r="J1375" s="31" t="n">
        <x:v>7.65</x:v>
      </x:c>
      <x:c r="K1375" s="31" t="n">
        <x:v>4.65</x:v>
      </x:c>
      <x:c r="L1375" s="31" t="n">
        <x:f>ABS(J1375-K1375)</x:f>
        <x:v>3</x:v>
      </x:c>
      <x:c r="M1375" s="31" t="n">
        <x:v>4.17</x:v>
      </x:c>
      <x:c r="N1375" s="31" t="n">
        <x:v>4.83</x:v>
      </x:c>
      <x:c r="O1375" s="31" t="n">
        <x:f>ABS(M1375-N1375)</x:f>
        <x:v>0.6600000000000001</x:v>
      </x:c>
      <x:c r="P1375" s="31" t="n">
        <x:v>8.83</x:v>
      </x:c>
      <x:c r="Q1375" s="31" t="n">
        <x:v>4.83</x:v>
      </x:c>
      <x:c r="R1375" s="31" t="n">
        <x:f>ABS(P1375-Q1375)</x:f>
        <x:v>4</x:v>
      </x:c>
      <x:c r="S1375" s="32" t="n">
        <x:v>92252.5098252978</x:v>
      </x:c>
      <x:c r="T1375" s="32" t="n">
        <x:v>13121.748665039573</x:v>
      </x:c>
      <x:c r="U1375" s="31" t="n">
        <x:f>MAX(S1375/T1375,T1375/S1375)</x:f>
        <x:v>7.0305042552055</x:v>
      </x:c>
      <x:c r="V1375" s="31" t="n">
        <x:f>L1375*'Controls &amp; Summary'!$B$9+O1375*'Controls &amp; Summary'!$B$10+R1375*'Controls &amp; Summary'!$B$11+U1375*'Controls &amp; Summary'!$B$12</x:f>
        <x:v>14.6905042552055</x:v>
      </x:c>
      <x:c r="W1375" s="31" t="n">
        <x:v>1.25</x:v>
      </x:c>
      <x:c r="X1375" s="31" t="n">
        <x:v>4</x:v>
      </x:c>
      <x:c r="Y1375" s="31" t="n">
        <x:f>((10-MIN(10,MAX(0,X1375)))/10)*'Controls &amp; Summary'!$B$15+((10-MIN(10,MAX(0,W1375)))/10)*'Controls &amp; Summary'!$B$16</x:f>
        <x:v>1.475</x:v>
      </x:c>
      <x:c r="Z1375" s="31" t="n">
        <x:f>V1375*Y1375</x:f>
        <x:v>21.668493776428114</x:v>
      </x:c>
      <x:c r="AA1375" s="30" t="str">
        <x:f>IF(Z1375&lt;=I1375,"Peaceful","Hostile")</x:f>
        <x:v>Hostile</x:v>
      </x:c>
      <x:c r="AB1375" s="30" t="str">
        <x:f>IF(Z1375&lt;='Controls &amp; Summary'!$B$6,"Eligible","Blocked")</x:f>
        <x:v>Blocked</x:v>
      </x:c>
      <x:c r="AC1375" s="30" t="str">
        <x:v>2026_USA</x:v>
      </x:c>
      <x:c r="AD1375" s="30" t="str">
        <x:v>2026_GTM</x:v>
      </x:c>
      <x:c r="AE1375" s="30" t="str">
        <x:v>2026_Guatemala</x:v>
      </x:c>
      <x:c r="AF1375" s="30" t="str">
        <x:v>Explicit capitalClaim</x:v>
      </x:c>
      <x:c r="AG1375" s="30" t="str">
        <x:v>Claim2026_USA2026_Guatemala</x:v>
      </x:c>
      <x:c r="AH1375" s="30" t="str">
        <x:v>Project_GreaterUnitedNorthAmerica</x:v>
      </x:c>
    </x:row>
    <x:row r="1376">
      <x:c r="A1376" s="30" t="str">
        <x:v>2026</x:v>
      </x:c>
      <x:c r="B1376" s="30" t="str">
        <x:v>Base game</x:v>
      </x:c>
      <x:c r="C1376" s="30" t="str">
        <x:v>United States of America</x:v>
      </x:c>
      <x:c r="D1376" s="30" t="str">
        <x:v>Haiti</x:v>
      </x:c>
      <x:c r="E1376" s="30" t="str">
        <x:v>Project unlock</x:v>
      </x:c>
      <x:c r="F1376" s="30" t="str">
        <x:v>Greater United North America</x:v>
      </x:c>
      <x:c r="G1376" s="30" t="str">
        <x:v>No</x:v>
      </x:c>
      <x:c r="H1376" s="30" t="str">
        <x:v>Ordinary claim</x:v>
      </x:c>
      <x:c r="I1376" s="31" t="n">
        <x:f>IF(G1376="Yes",'Controls &amp; Summary'!$B$5,'Controls &amp; Summary'!$B$4)</x:f>
        <x:v>6</x:v>
      </x:c>
      <x:c r="J1376" s="31" t="n">
        <x:v>7.65</x:v>
      </x:c>
      <x:c r="K1376" s="31" t="n">
        <x:v>2.81</x:v>
      </x:c>
      <x:c r="L1376" s="31" t="n">
        <x:f>ABS(J1376-K1376)</x:f>
        <x:v>4.84</x:v>
      </x:c>
      <x:c r="M1376" s="31" t="n">
        <x:v>4.17</x:v>
      </x:c>
      <x:c r="N1376" s="31" t="n">
        <x:v>4.11</x:v>
      </x:c>
      <x:c r="O1376" s="31" t="n">
        <x:f>ABS(M1376-N1376)</x:f>
        <x:v>0.05999999999999961</x:v>
      </x:c>
      <x:c r="P1376" s="31" t="n">
        <x:v>8.83</x:v>
      </x:c>
      <x:c r="Q1376" s="31" t="n">
        <x:v>4.76</x:v>
      </x:c>
      <x:c r="R1376" s="31" t="n">
        <x:f>ABS(P1376-Q1376)</x:f>
        <x:v>4.07</x:v>
      </x:c>
      <x:c r="S1376" s="32" t="n">
        <x:v>92252.5098252978</x:v>
      </x:c>
      <x:c r="T1376" s="32" t="n">
        <x:v>3163.8023690289333</x:v>
      </x:c>
      <x:c r="U1376" s="31" t="n">
        <x:f>MAX(S1376/T1376,T1376/S1376)</x:f>
        <x:v>29.15874604822832</x:v>
      </x:c>
      <x:c r="V1376" s="31" t="n">
        <x:f>L1376*'Controls &amp; Summary'!$B$9+O1376*'Controls &amp; Summary'!$B$10+R1376*'Controls &amp; Summary'!$B$11+U1376*'Controls &amp; Summary'!$B$12</x:f>
        <x:v>38.12874604822832</x:v>
      </x:c>
      <x:c r="W1376" s="31" t="n">
        <x:v>1.25</x:v>
      </x:c>
      <x:c r="X1376" s="31" t="n">
        <x:v>5.5</x:v>
      </x:c>
      <x:c r="Y1376" s="31" t="n">
        <x:f>((10-MIN(10,MAX(0,X1376)))/10)*'Controls &amp; Summary'!$B$15+((10-MIN(10,MAX(0,W1376)))/10)*'Controls &amp; Summary'!$B$16</x:f>
        <x:v>1.325</x:v>
      </x:c>
      <x:c r="Z1376" s="31" t="n">
        <x:f>V1376*Y1376</x:f>
        <x:v>50.520588513902524</x:v>
      </x:c>
      <x:c r="AA1376" s="30" t="str">
        <x:f>IF(Z1376&lt;=I1376,"Peaceful","Hostile")</x:f>
        <x:v>Hostile</x:v>
      </x:c>
      <x:c r="AB1376" s="30" t="str">
        <x:f>IF(Z1376&lt;='Controls &amp; Summary'!$B$6,"Eligible","Blocked")</x:f>
        <x:v>Blocked</x:v>
      </x:c>
      <x:c r="AC1376" s="30" t="str">
        <x:v>2026_USA</x:v>
      </x:c>
      <x:c r="AD1376" s="30" t="str">
        <x:v>2026_HTI</x:v>
      </x:c>
      <x:c r="AE1376" s="30" t="str">
        <x:v>2026_WestHispanola</x:v>
      </x:c>
      <x:c r="AF1376" s="30" t="str">
        <x:v>Explicit capitalClaim</x:v>
      </x:c>
      <x:c r="AG1376" s="30" t="str">
        <x:v>Claim2026_USA2026_WestHispanola</x:v>
      </x:c>
      <x:c r="AH1376" s="30" t="str">
        <x:v>Project_GreaterUnitedNorthAmerica</x:v>
      </x:c>
    </x:row>
    <x:row r="1377">
      <x:c r="A1377" s="30" t="str">
        <x:v>2026</x:v>
      </x:c>
      <x:c r="B1377" s="30" t="str">
        <x:v>Base game</x:v>
      </x:c>
      <x:c r="C1377" s="30" t="str">
        <x:v>United States of America</x:v>
      </x:c>
      <x:c r="D1377" s="30" t="str">
        <x:v>Honduras</x:v>
      </x:c>
      <x:c r="E1377" s="30" t="str">
        <x:v>Project unlock</x:v>
      </x:c>
      <x:c r="F1377" s="30" t="str">
        <x:v>Greater United North America</x:v>
      </x:c>
      <x:c r="G1377" s="30" t="str">
        <x:v>No</x:v>
      </x:c>
      <x:c r="H1377" s="30" t="str">
        <x:v>Ordinary claim</x:v>
      </x:c>
      <x:c r="I1377" s="31" t="n">
        <x:f>IF(G1377="Yes",'Controls &amp; Summary'!$B$5,'Controls &amp; Summary'!$B$4)</x:f>
        <x:v>6</x:v>
      </x:c>
      <x:c r="J1377" s="31" t="n">
        <x:v>7.65</x:v>
      </x:c>
      <x:c r="K1377" s="31" t="n">
        <x:v>4.87</x:v>
      </x:c>
      <x:c r="L1377" s="31" t="n">
        <x:f>ABS(J1377-K1377)</x:f>
        <x:v>2.7800000000000002</x:v>
      </x:c>
      <x:c r="M1377" s="31" t="n">
        <x:v>4.17</x:v>
      </x:c>
      <x:c r="N1377" s="31" t="n">
        <x:v>4.82</x:v>
      </x:c>
      <x:c r="O1377" s="31" t="n">
        <x:f>ABS(M1377-N1377)</x:f>
        <x:v>0.6500000000000004</x:v>
      </x:c>
      <x:c r="P1377" s="31" t="n">
        <x:v>8.83</x:v>
      </x:c>
      <x:c r="Q1377" s="31" t="n">
        <x:v>5.25</x:v>
      </x:c>
      <x:c r="R1377" s="31" t="n">
        <x:f>ABS(P1377-Q1377)</x:f>
        <x:v>3.58</x:v>
      </x:c>
      <x:c r="S1377" s="32" t="n">
        <x:v>92252.5098252978</x:v>
      </x:c>
      <x:c r="T1377" s="32" t="n">
        <x:v>6765.091070349296</x:v>
      </x:c>
      <x:c r="U1377" s="31" t="n">
        <x:f>MAX(S1377/T1377,T1377/S1377)</x:f>
        <x:v>13.636551062798125</x:v>
      </x:c>
      <x:c r="V1377" s="31" t="n">
        <x:f>L1377*'Controls &amp; Summary'!$B$9+O1377*'Controls &amp; Summary'!$B$10+R1377*'Controls &amp; Summary'!$B$11+U1377*'Controls &amp; Summary'!$B$12</x:f>
        <x:v>20.646551062798125</x:v>
      </x:c>
      <x:c r="W1377" s="31" t="n">
        <x:v>1.25</x:v>
      </x:c>
      <x:c r="X1377" s="31" t="n">
        <x:v>4.75</x:v>
      </x:c>
      <x:c r="Y1377" s="31" t="n">
        <x:f>((10-MIN(10,MAX(0,X1377)))/10)*'Controls &amp; Summary'!$B$15+((10-MIN(10,MAX(0,W1377)))/10)*'Controls &amp; Summary'!$B$16</x:f>
        <x:v>1.4</x:v>
      </x:c>
      <x:c r="Z1377" s="31" t="n">
        <x:f>V1377*Y1377</x:f>
        <x:v>28.90517148791737</x:v>
      </x:c>
      <x:c r="AA1377" s="30" t="str">
        <x:f>IF(Z1377&lt;=I1377,"Peaceful","Hostile")</x:f>
        <x:v>Hostile</x:v>
      </x:c>
      <x:c r="AB1377" s="30" t="str">
        <x:f>IF(Z1377&lt;='Controls &amp; Summary'!$B$6,"Eligible","Blocked")</x:f>
        <x:v>Blocked</x:v>
      </x:c>
      <x:c r="AC1377" s="30" t="str">
        <x:v>2026_USA</x:v>
      </x:c>
      <x:c r="AD1377" s="30" t="str">
        <x:v>2026_HON</x:v>
      </x:c>
      <x:c r="AE1377" s="30" t="str">
        <x:v>2026_Honduras</x:v>
      </x:c>
      <x:c r="AF1377" s="30" t="str">
        <x:v>Explicit capitalClaim</x:v>
      </x:c>
      <x:c r="AG1377" s="30" t="str">
        <x:v>Claim2026_USA2026_Honduras</x:v>
      </x:c>
      <x:c r="AH1377" s="30" t="str">
        <x:v>Project_GreaterUnitedNorthAmerica</x:v>
      </x:c>
    </x:row>
    <x:row r="1378">
      <x:c r="A1378" s="30" t="str">
        <x:v>2026</x:v>
      </x:c>
      <x:c r="B1378" s="30" t="str">
        <x:v>Base game</x:v>
      </x:c>
      <x:c r="C1378" s="30" t="str">
        <x:v>United States of America</x:v>
      </x:c>
      <x:c r="D1378" s="30" t="str">
        <x:v>Jamaica</x:v>
      </x:c>
      <x:c r="E1378" s="30" t="str">
        <x:v>Project unlock</x:v>
      </x:c>
      <x:c r="F1378" s="30" t="str">
        <x:v>Greater United North America</x:v>
      </x:c>
      <x:c r="G1378" s="30" t="str">
        <x:v>No</x:v>
      </x:c>
      <x:c r="H1378" s="30" t="str">
        <x:v>Ordinary claim</x:v>
      </x:c>
      <x:c r="I1378" s="31" t="n">
        <x:f>IF(G1378="Yes",'Controls &amp; Summary'!$B$5,'Controls &amp; Summary'!$B$4)</x:f>
        <x:v>6</x:v>
      </x:c>
      <x:c r="J1378" s="31" t="n">
        <x:v>7.65</x:v>
      </x:c>
      <x:c r="K1378" s="31" t="n">
        <x:v>6.74</x:v>
      </x:c>
      <x:c r="L1378" s="31" t="n">
        <x:f>ABS(J1378-K1378)</x:f>
        <x:v>0.9100000000000001</x:v>
      </x:c>
      <x:c r="M1378" s="31" t="n">
        <x:v>4.17</x:v>
      </x:c>
      <x:c r="N1378" s="31" t="n">
        <x:v>4.02</x:v>
      </x:c>
      <x:c r="O1378" s="31" t="n">
        <x:f>ABS(M1378-N1378)</x:f>
        <x:v>0.15000000000000036</x:v>
      </x:c>
      <x:c r="P1378" s="31" t="n">
        <x:v>8.83</x:v>
      </x:c>
      <x:c r="Q1378" s="31" t="n">
        <x:v>6.64</x:v>
      </x:c>
      <x:c r="R1378" s="31" t="n">
        <x:f>ABS(P1378-Q1378)</x:f>
        <x:v>2.1900000000000004</x:v>
      </x:c>
      <x:c r="S1378" s="32" t="n">
        <x:v>92252.5098252978</x:v>
      </x:c>
      <x:c r="T1378" s="32" t="n">
        <x:v>10769.689038234237</x:v>
      </x:c>
      <x:c r="U1378" s="31" t="n">
        <x:f>MAX(S1378/T1378,T1378/S1378)</x:f>
        <x:v>8.565939972619972</x:v>
      </x:c>
      <x:c r="V1378" s="31" t="n">
        <x:f>L1378*'Controls &amp; Summary'!$B$9+O1378*'Controls &amp; Summary'!$B$10+R1378*'Controls &amp; Summary'!$B$11+U1378*'Controls &amp; Summary'!$B$12</x:f>
        <x:v>11.815939972619972</x:v>
      </x:c>
      <x:c r="W1378" s="31" t="n">
        <x:v>1.25</x:v>
      </x:c>
      <x:c r="X1378" s="31" t="n">
        <x:v>4.5</x:v>
      </x:c>
      <x:c r="Y1378" s="31" t="n">
        <x:f>((10-MIN(10,MAX(0,X1378)))/10)*'Controls &amp; Summary'!$B$15+((10-MIN(10,MAX(0,W1378)))/10)*'Controls &amp; Summary'!$B$16</x:f>
        <x:v>1.425</x:v>
      </x:c>
      <x:c r="Z1378" s="31" t="n">
        <x:f>V1378*Y1378</x:f>
        <x:v>16.83771446098346</x:v>
      </x:c>
      <x:c r="AA1378" s="30" t="str">
        <x:f>IF(Z1378&lt;=I1378,"Peaceful","Hostile")</x:f>
        <x:v>Hostile</x:v>
      </x:c>
      <x:c r="AB1378" s="30" t="str">
        <x:f>IF(Z1378&lt;='Controls &amp; Summary'!$B$6,"Eligible","Blocked")</x:f>
        <x:v>Blocked</x:v>
      </x:c>
      <x:c r="AC1378" s="30" t="str">
        <x:v>2026_USA</x:v>
      </x:c>
      <x:c r="AD1378" s="30" t="str">
        <x:v>2026_JAM</x:v>
      </x:c>
      <x:c r="AE1378" s="30" t="str">
        <x:v>2026_Jamaica</x:v>
      </x:c>
      <x:c r="AF1378" s="30" t="str">
        <x:v>Explicit capitalClaim</x:v>
      </x:c>
      <x:c r="AG1378" s="30" t="str">
        <x:v>Claim2026_USA2026_Jamaica</x:v>
      </x:c>
      <x:c r="AH1378" s="30" t="str">
        <x:v>Project_GreaterUnitedNorthAmerica</x:v>
      </x:c>
    </x:row>
    <x:row r="1379">
      <x:c r="A1379" s="30" t="str">
        <x:v>2026</x:v>
      </x:c>
      <x:c r="B1379" s="30" t="str">
        <x:v>Base game</x:v>
      </x:c>
      <x:c r="C1379" s="30" t="str">
        <x:v>United States of America</x:v>
      </x:c>
      <x:c r="D1379" s="30" t="str">
        <x:v>Lesser Antilles States</x:v>
      </x:c>
      <x:c r="E1379" s="30" t="str">
        <x:v>Project unlock</x:v>
      </x:c>
      <x:c r="F1379" s="30" t="str">
        <x:v>Greater United North America</x:v>
      </x:c>
      <x:c r="G1379" s="30" t="str">
        <x:v>No</x:v>
      </x:c>
      <x:c r="H1379" s="30" t="str">
        <x:v>Ordinary claim</x:v>
      </x:c>
      <x:c r="I1379" s="31" t="n">
        <x:f>IF(G1379="Yes",'Controls &amp; Summary'!$B$5,'Controls &amp; Summary'!$B$4)</x:f>
        <x:v>6</x:v>
      </x:c>
      <x:c r="J1379" s="31" t="n">
        <x:v>7.65</x:v>
      </x:c>
      <x:c r="K1379" s="31" t="n">
        <x:v>7.6</x:v>
      </x:c>
      <x:c r="L1379" s="31" t="n">
        <x:f>ABS(J1379-K1379)</x:f>
        <x:v>0.05000000000000071</x:v>
      </x:c>
      <x:c r="M1379" s="31" t="n">
        <x:v>4.17</x:v>
      </x:c>
      <x:c r="N1379" s="31" t="n">
        <x:v>4.53</x:v>
      </x:c>
      <x:c r="O1379" s="31" t="n">
        <x:f>ABS(M1379-N1379)</x:f>
        <x:v>0.3600000000000003</x:v>
      </x:c>
      <x:c r="P1379" s="31" t="n">
        <x:v>8.83</x:v>
      </x:c>
      <x:c r="Q1379" s="31" t="n">
        <x:v>7.42</x:v>
      </x:c>
      <x:c r="R1379" s="31" t="n">
        <x:f>ABS(P1379-Q1379)</x:f>
        <x:v>1.4100000000000001</x:v>
      </x:c>
      <x:c r="S1379" s="32" t="n">
        <x:v>92252.5098252978</x:v>
      </x:c>
      <x:c r="T1379" s="32" t="n">
        <x:v>32817.80555416679</x:v>
      </x:c>
      <x:c r="U1379" s="31" t="n">
        <x:f>MAX(S1379/T1379,T1379/S1379)</x:f>
        <x:v>2.811050533925317</x:v>
      </x:c>
      <x:c r="V1379" s="31" t="n">
        <x:f>L1379*'Controls &amp; Summary'!$B$9+O1379*'Controls &amp; Summary'!$B$10+R1379*'Controls &amp; Summary'!$B$11+U1379*'Controls &amp; Summary'!$B$12</x:f>
        <x:v>4.631050533925318</x:v>
      </x:c>
      <x:c r="W1379" s="31" t="n">
        <x:v>1.25</x:v>
      </x:c>
      <x:c r="X1379" s="31" t="n">
        <x:v>2.55</x:v>
      </x:c>
      <x:c r="Y1379" s="31" t="n">
        <x:f>((10-MIN(10,MAX(0,X1379)))/10)*'Controls &amp; Summary'!$B$15+((10-MIN(10,MAX(0,W1379)))/10)*'Controls &amp; Summary'!$B$16</x:f>
        <x:v>1.62</x:v>
      </x:c>
      <x:c r="Z1379" s="31" t="n">
        <x:f>V1379*Y1379</x:f>
        <x:v>7.5023018649590165</x:v>
      </x:c>
      <x:c r="AA1379" s="30" t="str">
        <x:f>IF(Z1379&lt;=I1379,"Peaceful","Hostile")</x:f>
        <x:v>Hostile</x:v>
      </x:c>
      <x:c r="AB1379" s="30" t="str">
        <x:f>IF(Z1379&lt;='Controls &amp; Summary'!$B$6,"Eligible","Blocked")</x:f>
        <x:v>Eligible</x:v>
      </x:c>
      <x:c r="AC1379" s="30" t="str">
        <x:v>2026_USA</x:v>
      </x:c>
      <x:c r="AD1379" s="30" t="str">
        <x:v>2026_CAB</x:v>
      </x:c>
      <x:c r="AE1379" s="30" t="str">
        <x:v>2026_WestIndies</x:v>
      </x:c>
      <x:c r="AF1379" s="30" t="str">
        <x:v>Explicit capitalClaim</x:v>
      </x:c>
      <x:c r="AG1379" s="30" t="str">
        <x:v>Claim2026_USA2026_WestIndies</x:v>
      </x:c>
      <x:c r="AH1379" s="30" t="str">
        <x:v>Project_GreaterUnitedNorthAmerica</x:v>
      </x:c>
    </x:row>
    <x:row r="1380">
      <x:c r="A1380" s="30" t="str">
        <x:v>2026</x:v>
      </x:c>
      <x:c r="B1380" s="30" t="str">
        <x:v>Base game</x:v>
      </x:c>
      <x:c r="C1380" s="30" t="str">
        <x:v>United States of America</x:v>
      </x:c>
      <x:c r="D1380" s="30" t="str">
        <x:v>Mexico</x:v>
      </x:c>
      <x:c r="E1380" s="30" t="str">
        <x:v>Project unlock</x:v>
      </x:c>
      <x:c r="F1380" s="30" t="str">
        <x:v>Greater United North America</x:v>
      </x:c>
      <x:c r="G1380" s="30" t="str">
        <x:v>No</x:v>
      </x:c>
      <x:c r="H1380" s="30" t="str">
        <x:v>Ordinary claim</x:v>
      </x:c>
      <x:c r="I1380" s="31" t="n">
        <x:f>IF(G1380="Yes",'Controls &amp; Summary'!$B$5,'Controls &amp; Summary'!$B$4)</x:f>
        <x:v>6</x:v>
      </x:c>
      <x:c r="J1380" s="31" t="n">
        <x:v>7.65</x:v>
      </x:c>
      <x:c r="K1380" s="31" t="n">
        <x:v>5.4</x:v>
      </x:c>
      <x:c r="L1380" s="31" t="n">
        <x:f>ABS(J1380-K1380)</x:f>
        <x:v>2.25</x:v>
      </x:c>
      <x:c r="M1380" s="31" t="n">
        <x:v>4.17</x:v>
      </x:c>
      <x:c r="N1380" s="31" t="n">
        <x:v>4.35</x:v>
      </x:c>
      <x:c r="O1380" s="31" t="n">
        <x:f>ABS(M1380-N1380)</x:f>
        <x:v>0.17999999999999972</x:v>
      </x:c>
      <x:c r="P1380" s="31" t="n">
        <x:v>8.83</x:v>
      </x:c>
      <x:c r="Q1380" s="31" t="n">
        <x:v>6.98</x:v>
      </x:c>
      <x:c r="R1380" s="31" t="n">
        <x:f>ABS(P1380-Q1380)</x:f>
        <x:v>1.8499999999999996</x:v>
      </x:c>
      <x:c r="S1380" s="32" t="n">
        <x:v>92252.5098252978</x:v>
      </x:c>
      <x:c r="T1380" s="32" t="n">
        <x:v>22740.98992028867</x:v>
      </x:c>
      <x:c r="U1380" s="31" t="n">
        <x:f>MAX(S1380/T1380,T1380/S1380)</x:f>
        <x:v>4.0566620076197095</x:v>
      </x:c>
      <x:c r="V1380" s="31" t="n">
        <x:f>L1380*'Controls &amp; Summary'!$B$9+O1380*'Controls &amp; Summary'!$B$10+R1380*'Controls &amp; Summary'!$B$11+U1380*'Controls &amp; Summary'!$B$12</x:f>
        <x:v>8.336662007619708</x:v>
      </x:c>
      <x:c r="W1380" s="31" t="n">
        <x:v>1.25</x:v>
      </x:c>
      <x:c r="X1380" s="31" t="n">
        <x:v>6.5</x:v>
      </x:c>
      <x:c r="Y1380" s="31" t="n">
        <x:f>((10-MIN(10,MAX(0,X1380)))/10)*'Controls &amp; Summary'!$B$15+((10-MIN(10,MAX(0,W1380)))/10)*'Controls &amp; Summary'!$B$16</x:f>
        <x:v>1.225</x:v>
      </x:c>
      <x:c r="Z1380" s="31" t="n">
        <x:f>V1380*Y1380</x:f>
        <x:v>10.212410959334143</x:v>
      </x:c>
      <x:c r="AA1380" s="30" t="str">
        <x:f>IF(Z1380&lt;=I1380,"Peaceful","Hostile")</x:f>
        <x:v>Hostile</x:v>
      </x:c>
      <x:c r="AB1380" s="30" t="str">
        <x:f>IF(Z1380&lt;='Controls &amp; Summary'!$B$6,"Eligible","Blocked")</x:f>
        <x:v>Eligible</x:v>
      </x:c>
      <x:c r="AC1380" s="30" t="str">
        <x:v>2026_USA</x:v>
      </x:c>
      <x:c r="AD1380" s="30" t="str">
        <x:v>2026_MEX</x:v>
      </x:c>
      <x:c r="AE1380" s="30" t="str">
        <x:v>2026_MexicoCity</x:v>
      </x:c>
      <x:c r="AF1380" s="30" t="str">
        <x:v>Explicit capitalClaim</x:v>
      </x:c>
      <x:c r="AG1380" s="30" t="str">
        <x:v>Claim2026_USA2026_MexicoCity</x:v>
      </x:c>
      <x:c r="AH1380" s="30" t="str">
        <x:v>Project_GreaterUnitedNorthAmerica</x:v>
      </x:c>
    </x:row>
    <x:row r="1381">
      <x:c r="A1381" s="30" t="str">
        <x:v>2026</x:v>
      </x:c>
      <x:c r="B1381" s="30" t="str">
        <x:v>Base game</x:v>
      </x:c>
      <x:c r="C1381" s="30" t="str">
        <x:v>United States of America</x:v>
      </x:c>
      <x:c r="D1381" s="30" t="str">
        <x:v>Micronesian States</x:v>
      </x:c>
      <x:c r="E1381" s="30" t="str">
        <x:v>Project unlock</x:v>
      </x:c>
      <x:c r="F1381" s="30" t="str">
        <x:v>United North America</x:v>
      </x:c>
      <x:c r="G1381" s="30" t="str">
        <x:v>No</x:v>
      </x:c>
      <x:c r="H1381" s="30" t="str">
        <x:v>Ordinary claim</x:v>
      </x:c>
      <x:c r="I1381" s="31" t="n">
        <x:f>IF(G1381="Yes",'Controls &amp; Summary'!$B$5,'Controls &amp; Summary'!$B$4)</x:f>
        <x:v>6</x:v>
      </x:c>
      <x:c r="J1381" s="31" t="n">
        <x:v>7.65</x:v>
      </x:c>
      <x:c r="K1381" s="31" t="n">
        <x:v>8.44</x:v>
      </x:c>
      <x:c r="L1381" s="31" t="n">
        <x:f>ABS(J1381-K1381)</x:f>
        <x:v>0.7899999999999991</x:v>
      </x:c>
      <x:c r="M1381" s="31" t="n">
        <x:v>4.17</x:v>
      </x:c>
      <x:c r="N1381" s="31" t="n">
        <x:v>3.44</x:v>
      </x:c>
      <x:c r="O1381" s="31" t="n">
        <x:f>ABS(M1381-N1381)</x:f>
        <x:v>0.73</x:v>
      </x:c>
      <x:c r="P1381" s="31" t="n">
        <x:v>8.83</x:v>
      </x:c>
      <x:c r="Q1381" s="31" t="n">
        <x:v>6.31</x:v>
      </x:c>
      <x:c r="R1381" s="31" t="n">
        <x:f>ABS(P1381-Q1381)</x:f>
        <x:v>2.5200000000000005</x:v>
      </x:c>
      <x:c r="S1381" s="32" t="n">
        <x:v>92252.5098252978</x:v>
      </x:c>
      <x:c r="T1381" s="32" t="n">
        <x:v>5608.000563925171</x:v>
      </x:c>
      <x:c r="U1381" s="31" t="n">
        <x:f>MAX(S1381/T1381,T1381/S1381)</x:f>
        <x:v>16.450160582852742</x:v>
      </x:c>
      <x:c r="V1381" s="31" t="n">
        <x:f>L1381*'Controls &amp; Summary'!$B$9+O1381*'Controls &amp; Summary'!$B$10+R1381*'Controls &amp; Summary'!$B$11+U1381*'Controls &amp; Summary'!$B$12</x:f>
        <x:v>20.49016058285274</x:v>
      </x:c>
      <x:c r="W1381" s="31" t="n">
        <x:v>1.25</x:v>
      </x:c>
      <x:c r="X1381" s="31" t="n">
        <x:v>0</x:v>
      </x:c>
      <x:c r="Y1381" s="31" t="n">
        <x:f>((10-MIN(10,MAX(0,X1381)))/10)*'Controls &amp; Summary'!$B$15+((10-MIN(10,MAX(0,W1381)))/10)*'Controls &amp; Summary'!$B$16</x:f>
        <x:v>1.875</x:v>
      </x:c>
      <x:c r="Z1381" s="31" t="n">
        <x:f>V1381*Y1381</x:f>
        <x:v>38.41905109284889</x:v>
      </x:c>
      <x:c r="AA1381" s="30" t="str">
        <x:f>IF(Z1381&lt;=I1381,"Peaceful","Hostile")</x:f>
        <x:v>Hostile</x:v>
      </x:c>
      <x:c r="AB1381" s="30" t="str">
        <x:f>IF(Z1381&lt;='Controls &amp; Summary'!$B$6,"Eligible","Blocked")</x:f>
        <x:v>Blocked</x:v>
      </x:c>
      <x:c r="AC1381" s="30" t="str">
        <x:v>2026_USA</x:v>
      </x:c>
      <x:c r="AD1381" s="30" t="str">
        <x:v>2026_MCS</x:v>
      </x:c>
      <x:c r="AE1381" s="30" t="str">
        <x:v>2026_Micronesia</x:v>
      </x:c>
      <x:c r="AF1381" s="30" t="str">
        <x:v>Explicit capitalClaim</x:v>
      </x:c>
      <x:c r="AG1381" s="30" t="str">
        <x:v>Claim2026_USA2026_Micronesia</x:v>
      </x:c>
      <x:c r="AH1381" s="30" t="str">
        <x:v>Project_UnitedNorthAmerica</x:v>
      </x:c>
    </x:row>
    <x:row r="1382">
      <x:c r="A1382" s="30" t="str">
        <x:v>2026</x:v>
      </x:c>
      <x:c r="B1382" s="30" t="str">
        <x:v>Base game</x:v>
      </x:c>
      <x:c r="C1382" s="30" t="str">
        <x:v>United States of America</x:v>
      </x:c>
      <x:c r="D1382" s="30" t="str">
        <x:v>Nicaragua</x:v>
      </x:c>
      <x:c r="E1382" s="30" t="str">
        <x:v>Project unlock</x:v>
      </x:c>
      <x:c r="F1382" s="30" t="str">
        <x:v>Greater United North America</x:v>
      </x:c>
      <x:c r="G1382" s="30" t="str">
        <x:v>No</x:v>
      </x:c>
      <x:c r="H1382" s="30" t="str">
        <x:v>Ordinary claim</x:v>
      </x:c>
      <x:c r="I1382" s="31" t="n">
        <x:f>IF(G1382="Yes",'Controls &amp; Summary'!$B$5,'Controls &amp; Summary'!$B$4)</x:f>
        <x:v>6</x:v>
      </x:c>
      <x:c r="J1382" s="31" t="n">
        <x:v>7.65</x:v>
      </x:c>
      <x:c r="K1382" s="31" t="n">
        <x:v>1.97</x:v>
      </x:c>
      <x:c r="L1382" s="31" t="n">
        <x:f>ABS(J1382-K1382)</x:f>
        <x:v>5.680000000000001</x:v>
      </x:c>
      <x:c r="M1382" s="31" t="n">
        <x:v>4.17</x:v>
      </x:c>
      <x:c r="N1382" s="31" t="n">
        <x:v>4.62</x:v>
      </x:c>
      <x:c r="O1382" s="31" t="n">
        <x:f>ABS(M1382-N1382)</x:f>
        <x:v>0.4500000000000002</x:v>
      </x:c>
      <x:c r="P1382" s="31" t="n">
        <x:v>8.83</x:v>
      </x:c>
      <x:c r="Q1382" s="31" t="n">
        <x:v>6.37</x:v>
      </x:c>
      <x:c r="R1382" s="31" t="n">
        <x:f>ABS(P1382-Q1382)</x:f>
        <x:v>2.46</x:v>
      </x:c>
      <x:c r="S1382" s="32" t="n">
        <x:v>92252.5098252978</x:v>
      </x:c>
      <x:c r="T1382" s="32" t="n">
        <x:v>7911.82147537475</x:v>
      </x:c>
      <x:c r="U1382" s="31" t="n">
        <x:f>MAX(S1382/T1382,T1382/S1382)</x:f>
        <x:v>11.660084863192417</x:v>
      </x:c>
      <x:c r="V1382" s="31" t="n">
        <x:f>L1382*'Controls &amp; Summary'!$B$9+O1382*'Controls &amp; Summary'!$B$10+R1382*'Controls &amp; Summary'!$B$11+U1382*'Controls &amp; Summary'!$B$12</x:f>
        <x:v>20.250084863192416</x:v>
      </x:c>
      <x:c r="W1382" s="31" t="n">
        <x:v>1.25</x:v>
      </x:c>
      <x:c r="X1382" s="31" t="n">
        <x:v>1</x:v>
      </x:c>
      <x:c r="Y1382" s="31" t="n">
        <x:f>((10-MIN(10,MAX(0,X1382)))/10)*'Controls &amp; Summary'!$B$15+((10-MIN(10,MAX(0,W1382)))/10)*'Controls &amp; Summary'!$B$16</x:f>
        <x:v>1.775</x:v>
      </x:c>
      <x:c r="Z1382" s="31" t="n">
        <x:f>V1382*Y1382</x:f>
        <x:v>35.94390063216654</x:v>
      </x:c>
      <x:c r="AA1382" s="30" t="str">
        <x:f>IF(Z1382&lt;=I1382,"Peaceful","Hostile")</x:f>
        <x:v>Hostile</x:v>
      </x:c>
      <x:c r="AB1382" s="30" t="str">
        <x:f>IF(Z1382&lt;='Controls &amp; Summary'!$B$6,"Eligible","Blocked")</x:f>
        <x:v>Blocked</x:v>
      </x:c>
      <x:c r="AC1382" s="30" t="str">
        <x:v>2026_USA</x:v>
      </x:c>
      <x:c r="AD1382" s="30" t="str">
        <x:v>2026_NIC</x:v>
      </x:c>
      <x:c r="AE1382" s="30" t="str">
        <x:v>2026_Nicaragua</x:v>
      </x:c>
      <x:c r="AF1382" s="30" t="str">
        <x:v>Explicit capitalClaim</x:v>
      </x:c>
      <x:c r="AG1382" s="30" t="str">
        <x:v>Claim2026_USA2026_Nicaragua</x:v>
      </x:c>
      <x:c r="AH1382" s="30" t="str">
        <x:v>Project_GreaterUnitedNorthAmerica</x:v>
      </x:c>
    </x:row>
    <x:row r="1383">
      <x:c r="A1383" s="30" t="str">
        <x:v>2026</x:v>
      </x:c>
      <x:c r="B1383" s="30" t="str">
        <x:v>Base game</x:v>
      </x:c>
      <x:c r="C1383" s="30" t="str">
        <x:v>United States of America</x:v>
      </x:c>
      <x:c r="D1383" s="30" t="str">
        <x:v>Panama</x:v>
      </x:c>
      <x:c r="E1383" s="30" t="str">
        <x:v>Project unlock</x:v>
      </x:c>
      <x:c r="F1383" s="30" t="str">
        <x:v>Greater United North America</x:v>
      </x:c>
      <x:c r="G1383" s="30" t="str">
        <x:v>No</x:v>
      </x:c>
      <x:c r="H1383" s="30" t="str">
        <x:v>Ordinary claim</x:v>
      </x:c>
      <x:c r="I1383" s="31" t="n">
        <x:f>IF(G1383="Yes",'Controls &amp; Summary'!$B$5,'Controls &amp; Summary'!$B$4)</x:f>
        <x:v>6</x:v>
      </x:c>
      <x:c r="J1383" s="31" t="n">
        <x:v>7.65</x:v>
      </x:c>
      <x:c r="K1383" s="31" t="n">
        <x:v>7.04</x:v>
      </x:c>
      <x:c r="L1383" s="31" t="n">
        <x:f>ABS(J1383-K1383)</x:f>
        <x:v>0.6100000000000003</x:v>
      </x:c>
      <x:c r="M1383" s="31" t="n">
        <x:v>4.17</x:v>
      </x:c>
      <x:c r="N1383" s="31" t="n">
        <x:v>4.89</x:v>
      </x:c>
      <x:c r="O1383" s="31" t="n">
        <x:f>ABS(M1383-N1383)</x:f>
        <x:v>0.7199999999999998</x:v>
      </x:c>
      <x:c r="P1383" s="31" t="n">
        <x:v>8.83</x:v>
      </x:c>
      <x:c r="Q1383" s="31" t="n">
        <x:v>7.14</x:v>
      </x:c>
      <x:c r="R1383" s="31" t="n">
        <x:f>ABS(P1383-Q1383)</x:f>
        <x:v>1.6900000000000004</x:v>
      </x:c>
      <x:c r="S1383" s="32" t="n">
        <x:v>92252.5098252978</x:v>
      </x:c>
      <x:c r="T1383" s="32" t="n">
        <x:v>38076.68344676437</x:v>
      </x:c>
      <x:c r="U1383" s="31" t="n">
        <x:f>MAX(S1383/T1383,T1383/S1383)</x:f>
        <x:v>2.4228084348332892</x:v>
      </x:c>
      <x:c r="V1383" s="31" t="n">
        <x:f>L1383*'Controls &amp; Summary'!$B$9+O1383*'Controls &amp; Summary'!$B$10+R1383*'Controls &amp; Summary'!$B$11+U1383*'Controls &amp; Summary'!$B$12</x:f>
        <x:v>5.44280843483329</x:v>
      </x:c>
      <x:c r="W1383" s="31" t="n">
        <x:v>1.25</x:v>
      </x:c>
      <x:c r="X1383" s="31" t="n">
        <x:v>1</x:v>
      </x:c>
      <x:c r="Y1383" s="31" t="n">
        <x:f>((10-MIN(10,MAX(0,X1383)))/10)*'Controls &amp; Summary'!$B$15+((10-MIN(10,MAX(0,W1383)))/10)*'Controls &amp; Summary'!$B$16</x:f>
        <x:v>1.775</x:v>
      </x:c>
      <x:c r="Z1383" s="31" t="n">
        <x:f>V1383*Y1383</x:f>
        <x:v>9.66098497182909</x:v>
      </x:c>
      <x:c r="AA1383" s="30" t="str">
        <x:f>IF(Z1383&lt;=I1383,"Peaceful","Hostile")</x:f>
        <x:v>Hostile</x:v>
      </x:c>
      <x:c r="AB1383" s="30" t="str">
        <x:f>IF(Z1383&lt;='Controls &amp; Summary'!$B$6,"Eligible","Blocked")</x:f>
        <x:v>Eligible</x:v>
      </x:c>
      <x:c r="AC1383" s="30" t="str">
        <x:v>2026_USA</x:v>
      </x:c>
      <x:c r="AD1383" s="30" t="str">
        <x:v>2026_PAN</x:v>
      </x:c>
      <x:c r="AE1383" s="30" t="str">
        <x:v>2026_Panama</x:v>
      </x:c>
      <x:c r="AF1383" s="30" t="str">
        <x:v>Explicit capitalClaim</x:v>
      </x:c>
      <x:c r="AG1383" s="30" t="str">
        <x:v>Claim2026_USA2026_Panama</x:v>
      </x:c>
      <x:c r="AH1383" s="30" t="str">
        <x:v>Project_GreaterUnitedNorthAmerica</x:v>
      </x:c>
    </x:row>
    <x:row r="1384">
      <x:c r="A1384" s="30" t="str">
        <x:v>2026</x:v>
      </x:c>
      <x:c r="B1384" s="30" t="str">
        <x:v>Base game</x:v>
      </x:c>
      <x:c r="C1384" s="30" t="str">
        <x:v>Venezuela</x:v>
      </x:c>
      <x:c r="D1384" s="30" t="str">
        <x:v>Guyana</x:v>
      </x:c>
      <x:c r="E1384" s="30" t="str">
        <x:v>Starting claim</x:v>
      </x:c>
      <x:c r="F1384" s="30" t="str"/>
      <x:c r="G1384" s="30" t="str">
        <x:v>Yes</x:v>
      </x:c>
      <x:c r="H1384" s="30" t="str">
        <x:v>Approved bilateral grievance</x:v>
      </x:c>
      <x:c r="I1384" s="31" t="n">
        <x:f>IF(G1384="Yes",'Controls &amp; Summary'!$B$5,'Controls &amp; Summary'!$B$4)</x:f>
        <x:v>3</x:v>
      </x:c>
      <x:c r="J1384" s="31" t="n">
        <x:v>2.13</x:v>
      </x:c>
      <x:c r="K1384" s="31" t="n">
        <x:v>6.09</x:v>
      </x:c>
      <x:c r="L1384" s="31" t="n">
        <x:f>ABS(J1384-K1384)</x:f>
        <x:v>3.96</x:v>
      </x:c>
      <x:c r="M1384" s="31" t="n">
        <x:v>3.35</x:v>
      </x:c>
      <x:c r="N1384" s="31" t="n">
        <x:v>4.67</x:v>
      </x:c>
      <x:c r="O1384" s="31" t="n">
        <x:f>ABS(M1384-N1384)</x:f>
        <x:v>1.3199999999999998</x:v>
      </x:c>
      <x:c r="P1384" s="31" t="n">
        <x:v>6.71</x:v>
      </x:c>
      <x:c r="Q1384" s="31" t="n">
        <x:v>6.38</x:v>
      </x:c>
      <x:c r="R1384" s="31" t="n">
        <x:f>ABS(P1384-Q1384)</x:f>
        <x:v>0.33000000000000007</x:v>
      </x:c>
      <x:c r="S1384" s="32" t="n">
        <x:v>6883.701522307046</x:v>
      </x:c>
      <x:c r="T1384" s="32" t="n">
        <x:v>78795.94239436787</x:v>
      </x:c>
      <x:c r="U1384" s="31" t="n">
        <x:f>MAX(S1384/T1384,T1384/S1384)</x:f>
        <x:v>11.446740120707576</x:v>
      </x:c>
      <x:c r="V1384" s="31" t="n">
        <x:f>L1384*'Controls &amp; Summary'!$B$9+O1384*'Controls &amp; Summary'!$B$10+R1384*'Controls &amp; Summary'!$B$11+U1384*'Controls &amp; Summary'!$B$12</x:f>
        <x:v>17.056740120707573</x:v>
      </x:c>
      <x:c r="W1384" s="31" t="n">
        <x:v>2.74</x:v>
      </x:c>
      <x:c r="X1384" s="31" t="n">
        <x:v>0.5</x:v>
      </x:c>
      <x:c r="Y1384" s="31" t="n">
        <x:f>((10-MIN(10,MAX(0,X1384)))/10)*'Controls &amp; Summary'!$B$15+((10-MIN(10,MAX(0,W1384)))/10)*'Controls &amp; Summary'!$B$16</x:f>
        <x:v>1.676</x:v>
      </x:c>
      <x:c r="Z1384" s="31" t="n">
        <x:f>V1384*Y1384</x:f>
        <x:v>28.587096442305892</x:v>
      </x:c>
      <x:c r="AA1384" s="30" t="str">
        <x:f>IF(Z1384&lt;=I1384,"Peaceful","Hostile")</x:f>
        <x:v>Hostile</x:v>
      </x:c>
      <x:c r="AB1384" s="30" t="str">
        <x:f>IF(Z1384&lt;='Controls &amp; Summary'!$B$6,"Eligible","Blocked")</x:f>
        <x:v>Blocked</x:v>
      </x:c>
      <x:c r="AC1384" s="30" t="str">
        <x:v>2026_VEN</x:v>
      </x:c>
      <x:c r="AD1384" s="30" t="str">
        <x:v>2026_GUY</x:v>
      </x:c>
      <x:c r="AE1384" s="30" t="str">
        <x:v>2026_Guyana</x:v>
      </x:c>
      <x:c r="AF1384" s="30" t="str">
        <x:v>Explicit capitalClaim</x:v>
      </x:c>
      <x:c r="AG1384" s="30" t="str">
        <x:v>Claim2026_VEN2026_Guyana</x:v>
      </x:c>
      <x:c r="AH1384" s="30" t="str"/>
    </x:row>
    <x:row r="1385">
      <x:c r="A1385" s="30" t="str">
        <x:v>2026</x:v>
      </x:c>
      <x:c r="B1385" s="30" t="str">
        <x:v>Base game</x:v>
      </x:c>
      <x:c r="C1385" s="30" t="str">
        <x:v>Vietnam</x:v>
      </x:c>
      <x:c r="D1385" s="30" t="str">
        <x:v>Cambodia</x:v>
      </x:c>
      <x:c r="E1385" s="30" t="str">
        <x:v>Project unlock</x:v>
      </x:c>
      <x:c r="F1385" s="30" t="str">
        <x:v>A Period of Unity</x:v>
      </x:c>
      <x:c r="G1385" s="30" t="str">
        <x:v>No</x:v>
      </x:c>
      <x:c r="H1385" s="30" t="str">
        <x:v>Ordinary claim</x:v>
      </x:c>
      <x:c r="I1385" s="31" t="n">
        <x:f>IF(G1385="Yes",'Controls &amp; Summary'!$B$5,'Controls &amp; Summary'!$B$4)</x:f>
        <x:v>6</x:v>
      </x:c>
      <x:c r="J1385" s="31" t="n">
        <x:v>2.62</x:v>
      </x:c>
      <x:c r="K1385" s="31" t="n">
        <x:v>2.7</x:v>
      </x:c>
      <x:c r="L1385" s="31" t="n">
        <x:f>ABS(J1385-K1385)</x:f>
        <x:v>0.08000000000000007</x:v>
      </x:c>
      <x:c r="M1385" s="31" t="n">
        <x:v>3.61</x:v>
      </x:c>
      <x:c r="N1385" s="31" t="n">
        <x:v>3.01</x:v>
      </x:c>
      <x:c r="O1385" s="31" t="n">
        <x:f>ABS(M1385-N1385)</x:f>
        <x:v>0.6000000000000001</x:v>
      </x:c>
      <x:c r="P1385" s="31" t="n">
        <x:v>7.15</x:v>
      </x:c>
      <x:c r="Q1385" s="31" t="n">
        <x:v>4.77</x:v>
      </x:c>
      <x:c r="R1385" s="31" t="n">
        <x:f>ABS(P1385-Q1385)</x:f>
        <x:v>2.380000000000001</x:v>
      </x:c>
      <x:c r="S1385" s="32" t="n">
        <x:v>15563.162867150184</x:v>
      </x:c>
      <x:c r="T1385" s="32" t="n">
        <x:v>7314.816394671186</x:v>
      </x:c>
      <x:c r="U1385" s="31" t="n">
        <x:f>MAX(S1385/T1385,T1385/S1385)</x:f>
        <x:v>2.1276218058580234</x:v>
      </x:c>
      <x:c r="V1385" s="31" t="n">
        <x:f>L1385*'Controls &amp; Summary'!$B$9+O1385*'Controls &amp; Summary'!$B$10+R1385*'Controls &amp; Summary'!$B$11+U1385*'Controls &amp; Summary'!$B$12</x:f>
        <x:v>5.187621805858024</x:v>
      </x:c>
      <x:c r="W1385" s="31" t="n">
        <x:v>4.5</x:v>
      </x:c>
      <x:c r="X1385" s="31" t="n">
        <x:v>0.25</x:v>
      </x:c>
      <x:c r="Y1385" s="31" t="n">
        <x:f>((10-MIN(10,MAX(0,X1385)))/10)*'Controls &amp; Summary'!$B$15+((10-MIN(10,MAX(0,W1385)))/10)*'Controls &amp; Summary'!$B$16</x:f>
        <x:v>1.525</x:v>
      </x:c>
      <x:c r="Z1385" s="31" t="n">
        <x:f>V1385*Y1385</x:f>
        <x:v>7.911123253933486</x:v>
      </x:c>
      <x:c r="AA1385" s="30" t="str">
        <x:f>IF(Z1385&lt;=I1385,"Peaceful","Hostile")</x:f>
        <x:v>Hostile</x:v>
      </x:c>
      <x:c r="AB1385" s="30" t="str">
        <x:f>IF(Z1385&lt;='Controls &amp; Summary'!$B$6,"Eligible","Blocked")</x:f>
        <x:v>Eligible</x:v>
      </x:c>
      <x:c r="AC1385" s="30" t="str">
        <x:v>2026_VNM</x:v>
      </x:c>
      <x:c r="AD1385" s="30" t="str">
        <x:v>2026_KHM</x:v>
      </x:c>
      <x:c r="AE1385" s="30" t="str">
        <x:v>2026_Cambodia</x:v>
      </x:c>
      <x:c r="AF1385" s="30" t="str">
        <x:v>Explicit capitalClaim</x:v>
      </x:c>
      <x:c r="AG1385" s="30" t="str">
        <x:v>Claim2026_VNM2026_Cambodia</x:v>
      </x:c>
      <x:c r="AH1385" s="30" t="str">
        <x:v>Project_APeriodofUnity</x:v>
      </x:c>
    </x:row>
    <x:row r="1386">
      <x:c r="A1386" s="30" t="str">
        <x:v>2026</x:v>
      </x:c>
      <x:c r="B1386" s="30" t="str">
        <x:v>Base game</x:v>
      </x:c>
      <x:c r="C1386" s="30" t="str">
        <x:v>Vietnam</x:v>
      </x:c>
      <x:c r="D1386" s="30" t="str">
        <x:v>Laos</x:v>
      </x:c>
      <x:c r="E1386" s="30" t="str">
        <x:v>Project unlock</x:v>
      </x:c>
      <x:c r="F1386" s="30" t="str">
        <x:v>A Period of Unity</x:v>
      </x:c>
      <x:c r="G1386" s="30" t="str">
        <x:v>No</x:v>
      </x:c>
      <x:c r="H1386" s="30" t="str">
        <x:v>Ordinary claim</x:v>
      </x:c>
      <x:c r="I1386" s="31" t="n">
        <x:f>IF(G1386="Yes",'Controls &amp; Summary'!$B$5,'Controls &amp; Summary'!$B$4)</x:f>
        <x:v>6</x:v>
      </x:c>
      <x:c r="J1386" s="31" t="n">
        <x:v>2.62</x:v>
      </x:c>
      <x:c r="K1386" s="31" t="n">
        <x:v>1.71</x:v>
      </x:c>
      <x:c r="L1386" s="31" t="n">
        <x:f>ABS(J1386-K1386)</x:f>
        <x:v>0.9100000000000001</x:v>
      </x:c>
      <x:c r="M1386" s="31" t="n">
        <x:v>3.61</x:v>
      </x:c>
      <x:c r="N1386" s="31" t="n">
        <x:v>3.88</x:v>
      </x:c>
      <x:c r="O1386" s="31" t="n">
        <x:f>ABS(M1386-N1386)</x:f>
        <x:v>0.27</x:v>
      </x:c>
      <x:c r="P1386" s="31" t="n">
        <x:v>7.15</x:v>
      </x:c>
      <x:c r="Q1386" s="31" t="n">
        <x:v>4.64</x:v>
      </x:c>
      <x:c r="R1386" s="31" t="n">
        <x:f>ABS(P1386-Q1386)</x:f>
        <x:v>2.5100000000000007</x:v>
      </x:c>
      <x:c r="S1386" s="32" t="n">
        <x:v>15563.162867150184</x:v>
      </x:c>
      <x:c r="T1386" s="32" t="n">
        <x:v>8701.650786297547</x:v>
      </x:c>
      <x:c r="U1386" s="31" t="n">
        <x:f>MAX(S1386/T1386,T1386/S1386)</x:f>
        <x:v>1.7885299294769943</x:v>
      </x:c>
      <x:c r="V1386" s="31" t="n">
        <x:f>L1386*'Controls &amp; Summary'!$B$9+O1386*'Controls &amp; Summary'!$B$10+R1386*'Controls &amp; Summary'!$B$11+U1386*'Controls &amp; Summary'!$B$12</x:f>
        <x:v>5.478529929476995</x:v>
      </x:c>
      <x:c r="W1386" s="31" t="n">
        <x:v>4.5</x:v>
      </x:c>
      <x:c r="X1386" s="31" t="n">
        <x:v>0</x:v>
      </x:c>
      <x:c r="Y1386" s="31" t="n">
        <x:f>((10-MIN(10,MAX(0,X1386)))/10)*'Controls &amp; Summary'!$B$15+((10-MIN(10,MAX(0,W1386)))/10)*'Controls &amp; Summary'!$B$16</x:f>
        <x:v>1.55</x:v>
      </x:c>
      <x:c r="Z1386" s="31" t="n">
        <x:f>V1386*Y1386</x:f>
        <x:v>8.491721390689342</x:v>
      </x:c>
      <x:c r="AA1386" s="30" t="str">
        <x:f>IF(Z1386&lt;=I1386,"Peaceful","Hostile")</x:f>
        <x:v>Hostile</x:v>
      </x:c>
      <x:c r="AB1386" s="30" t="str">
        <x:f>IF(Z1386&lt;='Controls &amp; Summary'!$B$6,"Eligible","Blocked")</x:f>
        <x:v>Eligible</x:v>
      </x:c>
      <x:c r="AC1386" s="30" t="str">
        <x:v>2026_VNM</x:v>
      </x:c>
      <x:c r="AD1386" s="30" t="str">
        <x:v>2026_LAO</x:v>
      </x:c>
      <x:c r="AE1386" s="30" t="str">
        <x:v>2026_Laos</x:v>
      </x:c>
      <x:c r="AF1386" s="30" t="str">
        <x:v>Explicit capitalClaim</x:v>
      </x:c>
      <x:c r="AG1386" s="30" t="str">
        <x:v>Claim2026_VNM2026_Laos</x:v>
      </x:c>
      <x:c r="AH1386" s="30" t="str">
        <x:v>Project_APeriodofUnity</x:v>
      </x:c>
    </x:row>
    <x:row r="1387">
      <x:c r="A1387" s="30" t="str">
        <x:v>2026</x:v>
      </x:c>
      <x:c r="B1387" s="30" t="str">
        <x:v>Base game</x:v>
      </x:c>
      <x:c r="C1387" s="30" t="str">
        <x:v>Yemen</x:v>
      </x:c>
      <x:c r="D1387" s="30" t="str">
        <x:v>South Yemen</x:v>
      </x:c>
      <x:c r="E1387" s="30" t="str">
        <x:v>Starting claim</x:v>
      </x:c>
      <x:c r="F1387" s="30" t="str"/>
      <x:c r="G1387" s="30" t="str">
        <x:v>Yes</x:v>
      </x:c>
      <x:c r="H1387" s="30" t="str">
        <x:v>Template hostileClaim</x:v>
      </x:c>
      <x:c r="I1387" s="31" t="n">
        <x:f>IF(G1387="Yes",'Controls &amp; Summary'!$B$5,'Controls &amp; Summary'!$B$4)</x:f>
        <x:v>3</x:v>
      </x:c>
      <x:c r="J1387" s="31" t="n">
        <x:v>1.95</x:v>
      </x:c>
      <x:c r="K1387" s="31" t="n">
        <x:v>2.02</x:v>
      </x:c>
      <x:c r="L1387" s="31" t="n">
        <x:f>ABS(J1387-K1387)</x:f>
        <x:v>0.07000000000000006</x:v>
      </x:c>
      <x:c r="M1387" s="31" t="n">
        <x:v>3.67</x:v>
      </x:c>
      <x:c r="N1387" s="31" t="n">
        <x:v>3.58</x:v>
      </x:c>
      <x:c r="O1387" s="31" t="n">
        <x:f>ABS(M1387-N1387)</x:f>
        <x:v>0.08999999999999986</x:v>
      </x:c>
      <x:c r="P1387" s="31" t="n">
        <x:v>3.88</x:v>
      </x:c>
      <x:c r="Q1387" s="31" t="n">
        <x:v>3.02</x:v>
      </x:c>
      <x:c r="R1387" s="31" t="n">
        <x:f>ABS(P1387-Q1387)</x:f>
        <x:v>0.8599999999999999</x:v>
      </x:c>
      <x:c r="S1387" s="32" t="n">
        <x:v>886.9282118672596</x:v>
      </x:c>
      <x:c r="T1387" s="32" t="n">
        <x:v>2866.0351001998747</x:v>
      </x:c>
      <x:c r="U1387" s="31" t="n">
        <x:f>MAX(S1387/T1387,T1387/S1387)</x:f>
        <x:v>3.2314172239103542</x:v>
      </x:c>
      <x:c r="V1387" s="31" t="n">
        <x:f>L1387*'Controls &amp; Summary'!$B$9+O1387*'Controls &amp; Summary'!$B$10+R1387*'Controls &amp; Summary'!$B$11+U1387*'Controls &amp; Summary'!$B$12</x:f>
        <x:v>4.251417223910354</x:v>
      </x:c>
      <x:c r="W1387" s="31" t="n">
        <x:v>1.71</x:v>
      </x:c>
      <x:c r="X1387" s="31" t="n">
        <x:v>5.25</x:v>
      </x:c>
      <x:c r="Y1387" s="31" t="n">
        <x:f>((10-MIN(10,MAX(0,X1387)))/10)*'Controls &amp; Summary'!$B$15+((10-MIN(10,MAX(0,W1387)))/10)*'Controls &amp; Summary'!$B$16</x:f>
        <x:v>1.3039999999999998</x:v>
      </x:c>
      <x:c r="Z1387" s="31" t="n">
        <x:f>V1387*Y1387</x:f>
        <x:v>5.543848059979101</x:v>
      </x:c>
      <x:c r="AA1387" s="30" t="str">
        <x:f>IF(Z1387&lt;=I1387,"Peaceful","Hostile")</x:f>
        <x:v>Hostile</x:v>
      </x:c>
      <x:c r="AB1387" s="30" t="str">
        <x:f>IF(Z1387&lt;='Controls &amp; Summary'!$B$6,"Eligible","Blocked")</x:f>
        <x:v>Eligible</x:v>
      </x:c>
      <x:c r="AC1387" s="30" t="str">
        <x:v>2026_YEM</x:v>
      </x:c>
      <x:c r="AD1387" s="30" t="str">
        <x:v>2026_YMS</x:v>
      </x:c>
      <x:c r="AE1387" s="30" t="str">
        <x:v>2026_Aden</x:v>
      </x:c>
      <x:c r="AF1387" s="30" t="str">
        <x:v>Largest owned population fallback</x:v>
      </x:c>
      <x:c r="AG1387" s="30" t="str">
        <x:v>Claim2026_YEM2026_Aden</x:v>
      </x:c>
      <x:c r="AH1387" s="30" t="str"/>
    </x:row>
    <x:row r="1388">
      <x:c r="A1388" s="30" t="str">
        <x:v>2070</x:v>
      </x:c>
      <x:c r="B1388" s="30" t="str">
        <x:v>Base game</x:v>
      </x:c>
      <x:c r="C1388" s="30" t="str">
        <x:v>Angola</x:v>
      </x:c>
      <x:c r="D1388" s="30" t="str">
        <x:v>Cameroon</x:v>
      </x:c>
      <x:c r="E1388" s="30" t="str">
        <x:v>Project unlock</x:v>
      </x:c>
      <x:c r="F1388" s="30" t="str">
        <x:v>Regional African Unions</x:v>
      </x:c>
      <x:c r="G1388" s="30" t="str">
        <x:v>No</x:v>
      </x:c>
      <x:c r="H1388" s="30" t="str">
        <x:v>Ordinary claim</x:v>
      </x:c>
      <x:c r="I1388" s="31" t="n">
        <x:f>IF(G1388="Yes",'Controls &amp; Summary'!$B$5,'Controls &amp; Summary'!$B$4)</x:f>
        <x:v>6</x:v>
      </x:c>
      <x:c r="J1388" s="31" t="n">
        <x:v>2.5</x:v>
      </x:c>
      <x:c r="K1388" s="31" t="n">
        <x:v>6</x:v>
      </x:c>
      <x:c r="L1388" s="31" t="n">
        <x:f>ABS(J1388-K1388)</x:f>
        <x:v>3.5</x:v>
      </x:c>
      <x:c r="M1388" s="31" t="n">
        <x:v>4.8</x:v>
      </x:c>
      <x:c r="N1388" s="31" t="n">
        <x:v>2.9</x:v>
      </x:c>
      <x:c r="O1388" s="31" t="n">
        <x:f>ABS(M1388-N1388)</x:f>
        <x:v>1.9</x:v>
      </x:c>
      <x:c r="P1388" s="31" t="n">
        <x:v>6.92</x:v>
      </x:c>
      <x:c r="Q1388" s="31" t="n">
        <x:v>7.39</x:v>
      </x:c>
      <x:c r="R1388" s="31" t="n">
        <x:f>ABS(P1388-Q1388)</x:f>
        <x:v>0.46999999999999975</x:v>
      </x:c>
      <x:c r="S1388" s="32" t="n">
        <x:v>20598.167393132157</x:v>
      </x:c>
      <x:c r="T1388" s="32" t="n">
        <x:v>10353.879463119005</x:v>
      </x:c>
      <x:c r="U1388" s="31" t="n">
        <x:f>MAX(S1388/T1388,T1388/S1388)</x:f>
        <x:v>1.989415413469297</x:v>
      </x:c>
      <x:c r="V1388" s="31" t="n">
        <x:f>L1388*'Controls &amp; Summary'!$B$9+O1388*'Controls &amp; Summary'!$B$10+R1388*'Controls &amp; Summary'!$B$11+U1388*'Controls &amp; Summary'!$B$12</x:f>
        <x:v>7.859415413469297</x:v>
      </x:c>
      <x:c r="W1388" s="31" t="n">
        <x:v>2.4</x:v>
      </x:c>
      <x:c r="X1388" s="31" t="n">
        <x:v>4.2</x:v>
      </x:c>
      <x:c r="Y1388" s="31" t="n">
        <x:f>((10-MIN(10,MAX(0,X1388)))/10)*'Controls &amp; Summary'!$B$15+((10-MIN(10,MAX(0,W1388)))/10)*'Controls &amp; Summary'!$B$16</x:f>
        <x:v>1.3399999999999999</x:v>
      </x:c>
      <x:c r="Z1388" s="31" t="n">
        <x:f>V1388*Y1388</x:f>
        <x:v>10.531616654048857</x:v>
      </x:c>
      <x:c r="AA1388" s="30" t="str">
        <x:f>IF(Z1388&lt;=I1388,"Peaceful","Hostile")</x:f>
        <x:v>Hostile</x:v>
      </x:c>
      <x:c r="AB1388" s="30" t="str">
        <x:f>IF(Z1388&lt;='Controls &amp; Summary'!$B$6,"Eligible","Blocked")</x:f>
        <x:v>Eligible</x:v>
      </x:c>
      <x:c r="AC1388" s="30" t="str">
        <x:v>2070_AGO</x:v>
      </x:c>
      <x:c r="AD1388" s="30" t="str">
        <x:v>2070_CMR</x:v>
      </x:c>
      <x:c r="AE1388" s="30" t="str">
        <x:v>2070_Cameroon</x:v>
      </x:c>
      <x:c r="AF1388" s="30" t="str">
        <x:v>Explicit capitalClaim</x:v>
      </x:c>
      <x:c r="AG1388" s="30" t="str">
        <x:v>Claim2070_AGO2070_Cameroon</x:v>
      </x:c>
      <x:c r="AH1388" s="30" t="str">
        <x:v>Project_RegionalAfricanUnions</x:v>
      </x:c>
    </x:row>
    <x:row r="1389">
      <x:c r="A1389" s="30" t="str">
        <x:v>2070</x:v>
      </x:c>
      <x:c r="B1389" s="30" t="str">
        <x:v>Base game</x:v>
      </x:c>
      <x:c r="C1389" s="30" t="str">
        <x:v>Angola</x:v>
      </x:c>
      <x:c r="D1389" s="30" t="str">
        <x:v>Congo</x:v>
      </x:c>
      <x:c r="E1389" s="30" t="str">
        <x:v>Project unlock</x:v>
      </x:c>
      <x:c r="F1389" s="30" t="str">
        <x:v>Regional African Unions</x:v>
      </x:c>
      <x:c r="G1389" s="30" t="str">
        <x:v>No</x:v>
      </x:c>
      <x:c r="H1389" s="30" t="str">
        <x:v>Ordinary claim</x:v>
      </x:c>
      <x:c r="I1389" s="31" t="n">
        <x:f>IF(G1389="Yes",'Controls &amp; Summary'!$B$5,'Controls &amp; Summary'!$B$4)</x:f>
        <x:v>6</x:v>
      </x:c>
      <x:c r="J1389" s="31" t="n">
        <x:v>2.5</x:v>
      </x:c>
      <x:c r="K1389" s="31" t="n">
        <x:v>2.8</x:v>
      </x:c>
      <x:c r="L1389" s="31" t="n">
        <x:f>ABS(J1389-K1389)</x:f>
        <x:v>0.2999999999999998</x:v>
      </x:c>
      <x:c r="M1389" s="31" t="n">
        <x:v>4.8</x:v>
      </x:c>
      <x:c r="N1389" s="31" t="n">
        <x:v>4</x:v>
      </x:c>
      <x:c r="O1389" s="31" t="n">
        <x:f>ABS(M1389-N1389)</x:f>
        <x:v>0.7999999999999998</x:v>
      </x:c>
      <x:c r="P1389" s="31" t="n">
        <x:v>6.92</x:v>
      </x:c>
      <x:c r="Q1389" s="31" t="n">
        <x:v>6.88</x:v>
      </x:c>
      <x:c r="R1389" s="31" t="n">
        <x:f>ABS(P1389-Q1389)</x:f>
        <x:v>0.040000000000000036</x:v>
      </x:c>
      <x:c r="S1389" s="32" t="n">
        <x:v>20598.167393132157</x:v>
      </x:c>
      <x:c r="T1389" s="32" t="n">
        <x:v>3690.5998014421943</x:v>
      </x:c>
      <x:c r="U1389" s="31" t="n">
        <x:f>MAX(S1389/T1389,T1389/S1389)</x:f>
        <x:v>5.581251964811494</x:v>
      </x:c>
      <x:c r="V1389" s="31" t="n">
        <x:f>L1389*'Controls &amp; Summary'!$B$9+O1389*'Controls &amp; Summary'!$B$10+R1389*'Controls &amp; Summary'!$B$11+U1389*'Controls &amp; Summary'!$B$12</x:f>
        <x:v>6.7212519648114935</x:v>
      </x:c>
      <x:c r="W1389" s="31" t="n">
        <x:v>2.4</x:v>
      </x:c>
      <x:c r="X1389" s="31" t="n">
        <x:v>6</x:v>
      </x:c>
      <x:c r="Y1389" s="31" t="n">
        <x:f>((10-MIN(10,MAX(0,X1389)))/10)*'Controls &amp; Summary'!$B$15+((10-MIN(10,MAX(0,W1389)))/10)*'Controls &amp; Summary'!$B$16</x:f>
        <x:v>1.1600000000000001</x:v>
      </x:c>
      <x:c r="Z1389" s="31" t="n">
        <x:f>V1389*Y1389</x:f>
        <x:v>7.796652279181333</x:v>
      </x:c>
      <x:c r="AA1389" s="30" t="str">
        <x:f>IF(Z1389&lt;=I1389,"Peaceful","Hostile")</x:f>
        <x:v>Hostile</x:v>
      </x:c>
      <x:c r="AB1389" s="30" t="str">
        <x:f>IF(Z1389&lt;='Controls &amp; Summary'!$B$6,"Eligible","Blocked")</x:f>
        <x:v>Eligible</x:v>
      </x:c>
      <x:c r="AC1389" s="30" t="str">
        <x:v>2070_AGO</x:v>
      </x:c>
      <x:c r="AD1389" s="30" t="str">
        <x:v>2070_COD</x:v>
      </x:c>
      <x:c r="AE1389" s="30" t="str">
        <x:v>2070_Kinshasa</x:v>
      </x:c>
      <x:c r="AF1389" s="30" t="str">
        <x:v>Explicit capitalClaim</x:v>
      </x:c>
      <x:c r="AG1389" s="30" t="str">
        <x:v>Claim2070_AGO2070_Kinshasa</x:v>
      </x:c>
      <x:c r="AH1389" s="30" t="str">
        <x:v>Project_RegionalAfricanUnions</x:v>
      </x:c>
    </x:row>
    <x:row r="1390">
      <x:c r="A1390" s="30" t="str">
        <x:v>2070</x:v>
      </x:c>
      <x:c r="B1390" s="30" t="str">
        <x:v>Base game</x:v>
      </x:c>
      <x:c r="C1390" s="30" t="str">
        <x:v>Angola</x:v>
      </x:c>
      <x:c r="D1390" s="30" t="str">
        <x:v>South Africa</x:v>
      </x:c>
      <x:c r="E1390" s="30" t="str">
        <x:v>Project unlock</x:v>
      </x:c>
      <x:c r="F1390" s="30" t="str">
        <x:v>Regional African Unions</x:v>
      </x:c>
      <x:c r="G1390" s="30" t="str">
        <x:v>No</x:v>
      </x:c>
      <x:c r="H1390" s="30" t="str">
        <x:v>Ordinary claim</x:v>
      </x:c>
      <x:c r="I1390" s="31" t="n">
        <x:f>IF(G1390="Yes",'Controls &amp; Summary'!$B$5,'Controls &amp; Summary'!$B$4)</x:f>
        <x:v>6</x:v>
      </x:c>
      <x:c r="J1390" s="31" t="n">
        <x:v>2.5</x:v>
      </x:c>
      <x:c r="K1390" s="31" t="n">
        <x:v>7.8</x:v>
      </x:c>
      <x:c r="L1390" s="31" t="n">
        <x:f>ABS(J1390-K1390)</x:f>
        <x:v>5.3</x:v>
      </x:c>
      <x:c r="M1390" s="31" t="n">
        <x:v>4.8</x:v>
      </x:c>
      <x:c r="N1390" s="31" t="n">
        <x:v>4</x:v>
      </x:c>
      <x:c r="O1390" s="31" t="n">
        <x:f>ABS(M1390-N1390)</x:f>
        <x:v>0.7999999999999998</x:v>
      </x:c>
      <x:c r="P1390" s="31" t="n">
        <x:v>6.92</x:v>
      </x:c>
      <x:c r="Q1390" s="31" t="n">
        <x:v>9.16</x:v>
      </x:c>
      <x:c r="R1390" s="31" t="n">
        <x:f>ABS(P1390-Q1390)</x:f>
        <x:v>2.24</x:v>
      </x:c>
      <x:c r="S1390" s="32" t="n">
        <x:v>20598.167393132157</x:v>
      </x:c>
      <x:c r="T1390" s="32" t="n">
        <x:v>18610.953947993487</x:v>
      </x:c>
      <x:c r="U1390" s="31" t="n">
        <x:f>MAX(S1390/T1390,T1390/S1390)</x:f>
        <x:v>1.106776549482189</x:v>
      </x:c>
      <x:c r="V1390" s="31" t="n">
        <x:f>L1390*'Controls &amp; Summary'!$B$9+O1390*'Controls &amp; Summary'!$B$10+R1390*'Controls &amp; Summary'!$B$11+U1390*'Controls &amp; Summary'!$B$12</x:f>
        <x:v>9.44677654948219</x:v>
      </x:c>
      <x:c r="W1390" s="31" t="n">
        <x:v>2.4</x:v>
      </x:c>
      <x:c r="X1390" s="31" t="n">
        <x:v>3</x:v>
      </x:c>
      <x:c r="Y1390" s="31" t="n">
        <x:f>((10-MIN(10,MAX(0,X1390)))/10)*'Controls &amp; Summary'!$B$15+((10-MIN(10,MAX(0,W1390)))/10)*'Controls &amp; Summary'!$B$16</x:f>
        <x:v>1.46</x:v>
      </x:c>
      <x:c r="Z1390" s="31" t="n">
        <x:f>V1390*Y1390</x:f>
        <x:v>13.792293762243997</x:v>
      </x:c>
      <x:c r="AA1390" s="30" t="str">
        <x:f>IF(Z1390&lt;=I1390,"Peaceful","Hostile")</x:f>
        <x:v>Hostile</x:v>
      </x:c>
      <x:c r="AB1390" s="30" t="str">
        <x:f>IF(Z1390&lt;='Controls &amp; Summary'!$B$6,"Eligible","Blocked")</x:f>
        <x:v>Blocked</x:v>
      </x:c>
      <x:c r="AC1390" s="30" t="str">
        <x:v>2070_AGO</x:v>
      </x:c>
      <x:c r="AD1390" s="30" t="str">
        <x:v>2070_ZAF</x:v>
      </x:c>
      <x:c r="AE1390" s="30" t="str">
        <x:v>2070_Johannesburg</x:v>
      </x:c>
      <x:c r="AF1390" s="30" t="str">
        <x:v>Explicit capitalClaim</x:v>
      </x:c>
      <x:c r="AG1390" s="30" t="str">
        <x:v>Claim2070_AGO2070_Johannesburg</x:v>
      </x:c>
      <x:c r="AH1390" s="30" t="str">
        <x:v>Project_RegionalAfricanUnions</x:v>
      </x:c>
    </x:row>
    <x:row r="1391">
      <x:c r="A1391" s="30" t="str">
        <x:v>2070</x:v>
      </x:c>
      <x:c r="B1391" s="30" t="str">
        <x:v>Base game</x:v>
      </x:c>
      <x:c r="C1391" s="30" t="str">
        <x:v>Angola</x:v>
      </x:c>
      <x:c r="D1391" s="30" t="str">
        <x:v>Tanzania</x:v>
      </x:c>
      <x:c r="E1391" s="30" t="str">
        <x:v>Project unlock</x:v>
      </x:c>
      <x:c r="F1391" s="30" t="str">
        <x:v>Regional African Unions</x:v>
      </x:c>
      <x:c r="G1391" s="30" t="str">
        <x:v>No</x:v>
      </x:c>
      <x:c r="H1391" s="30" t="str">
        <x:v>Ordinary claim</x:v>
      </x:c>
      <x:c r="I1391" s="31" t="n">
        <x:f>IF(G1391="Yes",'Controls &amp; Summary'!$B$5,'Controls &amp; Summary'!$B$4)</x:f>
        <x:v>6</x:v>
      </x:c>
      <x:c r="J1391" s="31" t="n">
        <x:v>2.5</x:v>
      </x:c>
      <x:c r="K1391" s="31" t="n">
        <x:v>7.4</x:v>
      </x:c>
      <x:c r="L1391" s="31" t="n">
        <x:f>ABS(J1391-K1391)</x:f>
        <x:v>4.9</x:v>
      </x:c>
      <x:c r="M1391" s="31" t="n">
        <x:v>4.8</x:v>
      </x:c>
      <x:c r="N1391" s="31" t="n">
        <x:v>3.7</x:v>
      </x:c>
      <x:c r="O1391" s="31" t="n">
        <x:f>ABS(M1391-N1391)</x:f>
        <x:v>1.0999999999999996</x:v>
      </x:c>
      <x:c r="P1391" s="31" t="n">
        <x:v>6.92</x:v>
      </x:c>
      <x:c r="Q1391" s="31" t="n">
        <x:v>6.85</x:v>
      </x:c>
      <x:c r="R1391" s="31" t="n">
        <x:f>ABS(P1391-Q1391)</x:f>
        <x:v>0.07000000000000028</x:v>
      </x:c>
      <x:c r="S1391" s="32" t="n">
        <x:v>20598.167393132157</x:v>
      </x:c>
      <x:c r="T1391" s="32" t="n">
        <x:v>12663.28381112296</x:v>
      </x:c>
      <x:c r="U1391" s="31" t="n">
        <x:f>MAX(S1391/T1391,T1391/S1391)</x:f>
        <x:v>1.6266055235245924</x:v>
      </x:c>
      <x:c r="V1391" s="31" t="n">
        <x:f>L1391*'Controls &amp; Summary'!$B$9+O1391*'Controls &amp; Summary'!$B$10+R1391*'Controls &amp; Summary'!$B$11+U1391*'Controls &amp; Summary'!$B$12</x:f>
        <x:v>7.6966055235245925</x:v>
      </x:c>
      <x:c r="W1391" s="31" t="n">
        <x:v>2.4</x:v>
      </x:c>
      <x:c r="X1391" s="31" t="n">
        <x:v>3.8</x:v>
      </x:c>
      <x:c r="Y1391" s="31" t="n">
        <x:f>((10-MIN(10,MAX(0,X1391)))/10)*'Controls &amp; Summary'!$B$15+((10-MIN(10,MAX(0,W1391)))/10)*'Controls &amp; Summary'!$B$16</x:f>
        <x:v>1.38</x:v>
      </x:c>
      <x:c r="Z1391" s="31" t="n">
        <x:f>V1391*Y1391</x:f>
        <x:v>10.621315622463937</x:v>
      </x:c>
      <x:c r="AA1391" s="30" t="str">
        <x:f>IF(Z1391&lt;=I1391,"Peaceful","Hostile")</x:f>
        <x:v>Hostile</x:v>
      </x:c>
      <x:c r="AB1391" s="30" t="str">
        <x:f>IF(Z1391&lt;='Controls &amp; Summary'!$B$6,"Eligible","Blocked")</x:f>
        <x:v>Eligible</x:v>
      </x:c>
      <x:c r="AC1391" s="30" t="str">
        <x:v>2070_AGO</x:v>
      </x:c>
      <x:c r="AD1391" s="30" t="str">
        <x:v>2070_TZA</x:v>
      </x:c>
      <x:c r="AE1391" s="30" t="str">
        <x:v>2070_WestTanzania</x:v>
      </x:c>
      <x:c r="AF1391" s="30" t="str">
        <x:v>Explicit capitalClaim</x:v>
      </x:c>
      <x:c r="AG1391" s="30" t="str">
        <x:v>Claim2070_AGO2070_WestTanzania</x:v>
      </x:c>
      <x:c r="AH1391" s="30" t="str">
        <x:v>Project_RegionalAfricanUnions</x:v>
      </x:c>
    </x:row>
    <x:row r="1392">
      <x:c r="A1392" s="30" t="str">
        <x:v>2070</x:v>
      </x:c>
      <x:c r="B1392" s="30" t="str">
        <x:v>Base game</x:v>
      </x:c>
      <x:c r="C1392" s="30" t="str">
        <x:v>Australia</x:v>
      </x:c>
      <x:c r="D1392" s="30" t="str">
        <x:v>MelanesianStates</x:v>
      </x:c>
      <x:c r="E1392" s="30" t="str">
        <x:v>Project unlock</x:v>
      </x:c>
      <x:c r="F1392" s="30" t="str">
        <x:v>Southern Cross</x:v>
      </x:c>
      <x:c r="G1392" s="30" t="str">
        <x:v>No</x:v>
      </x:c>
      <x:c r="H1392" s="30" t="str">
        <x:v>Ordinary claim</x:v>
      </x:c>
      <x:c r="I1392" s="31" t="n">
        <x:f>IF(G1392="Yes",'Controls &amp; Summary'!$B$5,'Controls &amp; Summary'!$B$4)</x:f>
        <x:v>6</x:v>
      </x:c>
      <x:c r="J1392" s="31" t="n">
        <x:v>8.8</x:v>
      </x:c>
      <x:c r="K1392" s="31" t="n">
        <x:v>9.1</x:v>
      </x:c>
      <x:c r="L1392" s="31" t="n">
        <x:f>ABS(J1392-K1392)</x:f>
        <x:v>0.29999999999999893</x:v>
      </x:c>
      <x:c r="M1392" s="31" t="n">
        <x:v>3.2</x:v>
      </x:c>
      <x:c r="N1392" s="31" t="n">
        <x:v>2.9</x:v>
      </x:c>
      <x:c r="O1392" s="31" t="n">
        <x:f>ABS(M1392-N1392)</x:f>
        <x:v>0.30000000000000027</x:v>
      </x:c>
      <x:c r="P1392" s="31" t="n">
        <x:v>11.16</x:v>
      </x:c>
      <x:c r="Q1392" s="31" t="n">
        <x:v>8.15</x:v>
      </x:c>
      <x:c r="R1392" s="31" t="n">
        <x:f>ABS(P1392-Q1392)</x:f>
        <x:v>3.01</x:v>
      </x:c>
      <x:c r="S1392" s="32" t="n">
        <x:v>102108.97096151301</x:v>
      </x:c>
      <x:c r="T1392" s="32" t="n">
        <x:v>14048.015630070144</x:v>
      </x:c>
      <x:c r="U1392" s="31" t="n">
        <x:f>MAX(S1392/T1392,T1392/S1392)</x:f>
        <x:v>7.26856900293776</x:v>
      </x:c>
      <x:c r="V1392" s="31" t="n">
        <x:f>L1392*'Controls &amp; Summary'!$B$9+O1392*'Controls &amp; Summary'!$B$10+R1392*'Controls &amp; Summary'!$B$11+U1392*'Controls &amp; Summary'!$B$12</x:f>
        <x:v>10.878569002937759</x:v>
      </x:c>
      <x:c r="W1392" s="31" t="n">
        <x:v>5</x:v>
      </x:c>
      <x:c r="X1392" s="31" t="n">
        <x:v>1</x:v>
      </x:c>
      <x:c r="Y1392" s="31" t="n">
        <x:f>((10-MIN(10,MAX(0,X1392)))/10)*'Controls &amp; Summary'!$B$15+((10-MIN(10,MAX(0,W1392)))/10)*'Controls &amp; Summary'!$B$16</x:f>
        <x:v>1.4</x:v>
      </x:c>
      <x:c r="Z1392" s="31" t="n">
        <x:f>V1392*Y1392</x:f>
        <x:v>15.229996604112861</x:v>
      </x:c>
      <x:c r="AA1392" s="30" t="str">
        <x:f>IF(Z1392&lt;=I1392,"Peaceful","Hostile")</x:f>
        <x:v>Hostile</x:v>
      </x:c>
      <x:c r="AB1392" s="30" t="str">
        <x:f>IF(Z1392&lt;='Controls &amp; Summary'!$B$6,"Eligible","Blocked")</x:f>
        <x:v>Blocked</x:v>
      </x:c>
      <x:c r="AC1392" s="30" t="str">
        <x:v>2070_AUS</x:v>
      </x:c>
      <x:c r="AD1392" s="30" t="str">
        <x:v>2070_PCS</x:v>
      </x:c>
      <x:c r="AE1392" s="30" t="str">
        <x:v>2070_Melanesia</x:v>
      </x:c>
      <x:c r="AF1392" s="30" t="str">
        <x:v>Explicit capitalClaim</x:v>
      </x:c>
      <x:c r="AG1392" s="30" t="str">
        <x:v>Claim2070_AUS2070_Melanesia</x:v>
      </x:c>
      <x:c r="AH1392" s="30" t="str">
        <x:v>Project_SouthernCross</x:v>
      </x:c>
    </x:row>
    <x:row r="1393">
      <x:c r="A1393" s="30" t="str">
        <x:v>2070</x:v>
      </x:c>
      <x:c r="B1393" s="30" t="str">
        <x:v>Base game</x:v>
      </x:c>
      <x:c r="C1393" s="30" t="str">
        <x:v>Australia</x:v>
      </x:c>
      <x:c r="D1393" s="30" t="str">
        <x:v>NewZealand</x:v>
      </x:c>
      <x:c r="E1393" s="30" t="str">
        <x:v>Starting claim</x:v>
      </x:c>
      <x:c r="F1393" s="30" t="str"/>
      <x:c r="G1393" s="30" t="str">
        <x:v>No</x:v>
      </x:c>
      <x:c r="H1393" s="30" t="str">
        <x:v>Ordinary claim</x:v>
      </x:c>
      <x:c r="I1393" s="31" t="n">
        <x:f>IF(G1393="Yes",'Controls &amp; Summary'!$B$5,'Controls &amp; Summary'!$B$4)</x:f>
        <x:v>6</x:v>
      </x:c>
      <x:c r="J1393" s="31" t="n">
        <x:v>8.8</x:v>
      </x:c>
      <x:c r="K1393" s="31" t="n">
        <x:v>9.2</x:v>
      </x:c>
      <x:c r="L1393" s="31" t="n">
        <x:f>ABS(J1393-K1393)</x:f>
        <x:v>0.3999999999999986</x:v>
      </x:c>
      <x:c r="M1393" s="31" t="n">
        <x:v>3.2</x:v>
      </x:c>
      <x:c r="N1393" s="31" t="n">
        <x:v>2.3</x:v>
      </x:c>
      <x:c r="O1393" s="31" t="n">
        <x:f>ABS(M1393-N1393)</x:f>
        <x:v>0.9000000000000004</x:v>
      </x:c>
      <x:c r="P1393" s="31" t="n">
        <x:v>11.16</x:v>
      </x:c>
      <x:c r="Q1393" s="31" t="n">
        <x:v>11.18</x:v>
      </x:c>
      <x:c r="R1393" s="31" t="n">
        <x:f>ABS(P1393-Q1393)</x:f>
        <x:v>0.019999999999999574</x:v>
      </x:c>
      <x:c r="S1393" s="32" t="n">
        <x:v>102108.97096151301</x:v>
      </x:c>
      <x:c r="T1393" s="32" t="n">
        <x:v>75916.51902131288</x:v>
      </x:c>
      <x:c r="U1393" s="31" t="n">
        <x:f>MAX(S1393/T1393,T1393/S1393)</x:f>
        <x:v>1.3450165033626849</x:v>
      </x:c>
      <x:c r="V1393" s="31" t="n">
        <x:f>L1393*'Controls &amp; Summary'!$B$9+O1393*'Controls &amp; Summary'!$B$10+R1393*'Controls &amp; Summary'!$B$11+U1393*'Controls &amp; Summary'!$B$12</x:f>
        <x:v>2.6650165033626836</x:v>
      </x:c>
      <x:c r="W1393" s="31" t="n">
        <x:v>5</x:v>
      </x:c>
      <x:c r="X1393" s="31" t="n">
        <x:v>0</x:v>
      </x:c>
      <x:c r="Y1393" s="31" t="n">
        <x:f>((10-MIN(10,MAX(0,X1393)))/10)*'Controls &amp; Summary'!$B$15+((10-MIN(10,MAX(0,W1393)))/10)*'Controls &amp; Summary'!$B$16</x:f>
        <x:v>1.5</x:v>
      </x:c>
      <x:c r="Z1393" s="31" t="n">
        <x:f>V1393*Y1393</x:f>
        <x:v>3.9975247550440254</x:v>
      </x:c>
      <x:c r="AA1393" s="30" t="str">
        <x:f>IF(Z1393&lt;=I1393,"Peaceful","Hostile")</x:f>
        <x:v>Peaceful</x:v>
      </x:c>
      <x:c r="AB1393" s="30" t="str">
        <x:f>IF(Z1393&lt;='Controls &amp; Summary'!$B$6,"Eligible","Blocked")</x:f>
        <x:v>Eligible</x:v>
      </x:c>
      <x:c r="AC1393" s="30" t="str">
        <x:v>2070_AUS</x:v>
      </x:c>
      <x:c r="AD1393" s="30" t="str">
        <x:v>2070_NZL</x:v>
      </x:c>
      <x:c r="AE1393" s="30" t="str">
        <x:v>2070_NewZealand</x:v>
      </x:c>
      <x:c r="AF1393" s="30" t="str">
        <x:v>Explicit capitalClaim</x:v>
      </x:c>
      <x:c r="AG1393" s="30" t="str">
        <x:v>Claim2070_AUS2070_NewZealand</x:v>
      </x:c>
      <x:c r="AH1393" s="30" t="str"/>
    </x:row>
    <x:row r="1394">
      <x:c r="A1394" s="30" t="str">
        <x:v>2070</x:v>
      </x:c>
      <x:c r="B1394" s="30" t="str">
        <x:v>Base game</x:v>
      </x:c>
      <x:c r="C1394" s="30" t="str">
        <x:v>Australia</x:v>
      </x:c>
      <x:c r="D1394" s="30" t="str">
        <x:v>Papua New Guinea</x:v>
      </x:c>
      <x:c r="E1394" s="30" t="str">
        <x:v>Project unlock</x:v>
      </x:c>
      <x:c r="F1394" s="30" t="str">
        <x:v>Southern Cross</x:v>
      </x:c>
      <x:c r="G1394" s="30" t="str">
        <x:v>No</x:v>
      </x:c>
      <x:c r="H1394" s="30" t="str">
        <x:v>Ordinary claim</x:v>
      </x:c>
      <x:c r="I1394" s="31" t="n">
        <x:f>IF(G1394="Yes",'Controls &amp; Summary'!$B$5,'Controls &amp; Summary'!$B$4)</x:f>
        <x:v>6</x:v>
      </x:c>
      <x:c r="J1394" s="31" t="n">
        <x:v>8.8</x:v>
      </x:c>
      <x:c r="K1394" s="31" t="n">
        <x:v>4.8</x:v>
      </x:c>
      <x:c r="L1394" s="31" t="n">
        <x:f>ABS(J1394-K1394)</x:f>
        <x:v>4.000000000000001</x:v>
      </x:c>
      <x:c r="M1394" s="31" t="n">
        <x:v>3.2</x:v>
      </x:c>
      <x:c r="N1394" s="31" t="n">
        <x:v>4.5</x:v>
      </x:c>
      <x:c r="O1394" s="31" t="n">
        <x:f>ABS(M1394-N1394)</x:f>
        <x:v>1.2999999999999998</x:v>
      </x:c>
      <x:c r="P1394" s="31" t="n">
        <x:v>11.16</x:v>
      </x:c>
      <x:c r="Q1394" s="31" t="n">
        <x:v>6.31</x:v>
      </x:c>
      <x:c r="R1394" s="31" t="n">
        <x:f>ABS(P1394-Q1394)</x:f>
        <x:v>4.8500000000000005</x:v>
      </x:c>
      <x:c r="S1394" s="32" t="n">
        <x:v>102108.97096151301</x:v>
      </x:c>
      <x:c r="T1394" s="32" t="n">
        <x:v>7032.078461507128</x:v>
      </x:c>
      <x:c r="U1394" s="31" t="n">
        <x:f>MAX(S1394/T1394,T1394/S1394)</x:f>
        <x:v>14.520453877249377</x:v>
      </x:c>
      <x:c r="V1394" s="31" t="n">
        <x:f>L1394*'Controls &amp; Summary'!$B$9+O1394*'Controls &amp; Summary'!$B$10+R1394*'Controls &amp; Summary'!$B$11+U1394*'Controls &amp; Summary'!$B$12</x:f>
        <x:v>24.67045387724938</x:v>
      </x:c>
      <x:c r="W1394" s="31" t="n">
        <x:v>5</x:v>
      </x:c>
      <x:c r="X1394" s="31" t="n">
        <x:v>4.5</x:v>
      </x:c>
      <x:c r="Y1394" s="31" t="n">
        <x:f>((10-MIN(10,MAX(0,X1394)))/10)*'Controls &amp; Summary'!$B$15+((10-MIN(10,MAX(0,W1394)))/10)*'Controls &amp; Summary'!$B$16</x:f>
        <x:v>1.05</x:v>
      </x:c>
      <x:c r="Z1394" s="31" t="n">
        <x:f>V1394*Y1394</x:f>
        <x:v>25.903976571111848</x:v>
      </x:c>
      <x:c r="AA1394" s="30" t="str">
        <x:f>IF(Z1394&lt;=I1394,"Peaceful","Hostile")</x:f>
        <x:v>Hostile</x:v>
      </x:c>
      <x:c r="AB1394" s="30" t="str">
        <x:f>IF(Z1394&lt;='Controls &amp; Summary'!$B$6,"Eligible","Blocked")</x:f>
        <x:v>Blocked</x:v>
      </x:c>
      <x:c r="AC1394" s="30" t="str">
        <x:v>2070_AUS</x:v>
      </x:c>
      <x:c r="AD1394" s="30" t="str">
        <x:v>2070_PNG</x:v>
      </x:c>
      <x:c r="AE1394" s="30" t="str">
        <x:v>2070_PortMorseby</x:v>
      </x:c>
      <x:c r="AF1394" s="30" t="str">
        <x:v>Explicit capitalClaim</x:v>
      </x:c>
      <x:c r="AG1394" s="30" t="str">
        <x:v>Claim2070_AUS2070_PortMorseby</x:v>
      </x:c>
      <x:c r="AH1394" s="30" t="str">
        <x:v>Project_SouthernCross</x:v>
      </x:c>
    </x:row>
    <x:row r="1395">
      <x:c r="A1395" s="30" t="str">
        <x:v>2070</x:v>
      </x:c>
      <x:c r="B1395" s="30" t="str">
        <x:v>Base game</x:v>
      </x:c>
      <x:c r="C1395" s="30" t="str">
        <x:v>Australia</x:v>
      </x:c>
      <x:c r="D1395" s="30" t="str">
        <x:v>PolynesianStates</x:v>
      </x:c>
      <x:c r="E1395" s="30" t="str">
        <x:v>Project unlock</x:v>
      </x:c>
      <x:c r="F1395" s="30" t="str">
        <x:v>Southern Cross</x:v>
      </x:c>
      <x:c r="G1395" s="30" t="str">
        <x:v>No</x:v>
      </x:c>
      <x:c r="H1395" s="30" t="str">
        <x:v>Ordinary claim</x:v>
      </x:c>
      <x:c r="I1395" s="31" t="n">
        <x:f>IF(G1395="Yes",'Controls &amp; Summary'!$B$5,'Controls &amp; Summary'!$B$4)</x:f>
        <x:v>6</x:v>
      </x:c>
      <x:c r="J1395" s="31" t="n">
        <x:v>8.8</x:v>
      </x:c>
      <x:c r="K1395" s="31" t="n">
        <x:v>8.2</x:v>
      </x:c>
      <x:c r="L1395" s="31" t="n">
        <x:f>ABS(J1395-K1395)</x:f>
        <x:v>0.6000000000000014</x:v>
      </x:c>
      <x:c r="M1395" s="31" t="n">
        <x:v>3.2</x:v>
      </x:c>
      <x:c r="N1395" s="31" t="n">
        <x:v>2.8</x:v>
      </x:c>
      <x:c r="O1395" s="31" t="n">
        <x:f>ABS(M1395-N1395)</x:f>
        <x:v>0.40000000000000036</x:v>
      </x:c>
      <x:c r="P1395" s="31" t="n">
        <x:v>11.16</x:v>
      </x:c>
      <x:c r="Q1395" s="31" t="n">
        <x:v>9.26</x:v>
      </x:c>
      <x:c r="R1395" s="31" t="n">
        <x:f>ABS(P1395-Q1395)</x:f>
        <x:v>1.9000000000000004</x:v>
      </x:c>
      <x:c r="S1395" s="32" t="n">
        <x:v>102108.97096151301</x:v>
      </x:c>
      <x:c r="T1395" s="32" t="n">
        <x:v>15410.570880530973</x:v>
      </x:c>
      <x:c r="U1395" s="31" t="n">
        <x:f>MAX(S1395/T1395,T1395/S1395)</x:f>
        <x:v>6.625904501079381</x:v>
      </x:c>
      <x:c r="V1395" s="31" t="n">
        <x:f>L1395*'Controls &amp; Summary'!$B$9+O1395*'Controls &amp; Summary'!$B$10+R1395*'Controls &amp; Summary'!$B$11+U1395*'Controls &amp; Summary'!$B$12</x:f>
        <x:v>9.525904501079383</x:v>
      </x:c>
      <x:c r="W1395" s="31" t="n">
        <x:v>5</x:v>
      </x:c>
      <x:c r="X1395" s="31" t="n">
        <x:v>0</x:v>
      </x:c>
      <x:c r="Y1395" s="31" t="n">
        <x:f>((10-MIN(10,MAX(0,X1395)))/10)*'Controls &amp; Summary'!$B$15+((10-MIN(10,MAX(0,W1395)))/10)*'Controls &amp; Summary'!$B$16</x:f>
        <x:v>1.5</x:v>
      </x:c>
      <x:c r="Z1395" s="31" t="n">
        <x:f>V1395*Y1395</x:f>
        <x:v>14.288856751619075</x:v>
      </x:c>
      <x:c r="AA1395" s="30" t="str">
        <x:f>IF(Z1395&lt;=I1395,"Peaceful","Hostile")</x:f>
        <x:v>Hostile</x:v>
      </x:c>
      <x:c r="AB1395" s="30" t="str">
        <x:f>IF(Z1395&lt;='Controls &amp; Summary'!$B$6,"Eligible","Blocked")</x:f>
        <x:v>Blocked</x:v>
      </x:c>
      <x:c r="AC1395" s="30" t="str">
        <x:v>2070_AUS</x:v>
      </x:c>
      <x:c r="AD1395" s="30" t="str">
        <x:v>2070_PLS</x:v>
      </x:c>
      <x:c r="AE1395" s="30" t="str">
        <x:v>2070_Polynesia</x:v>
      </x:c>
      <x:c r="AF1395" s="30" t="str">
        <x:v>Explicit capitalClaim</x:v>
      </x:c>
      <x:c r="AG1395" s="30" t="str">
        <x:v>Claim2070_AUS2070_Polynesia</x:v>
      </x:c>
      <x:c r="AH1395" s="30" t="str">
        <x:v>Project_SouthernCross</x:v>
      </x:c>
    </x:row>
    <x:row r="1396">
      <x:c r="A1396" s="30" t="str">
        <x:v>2070</x:v>
      </x:c>
      <x:c r="B1396" s="30" t="str">
        <x:v>Base game</x:v>
      </x:c>
      <x:c r="C1396" s="30" t="str">
        <x:v>Australia</x:v>
      </x:c>
      <x:c r="D1396" s="30" t="str">
        <x:v>Timor-Leste</x:v>
      </x:c>
      <x:c r="E1396" s="30" t="str">
        <x:v>Project unlock</x:v>
      </x:c>
      <x:c r="F1396" s="30" t="str">
        <x:v>Southern Cross</x:v>
      </x:c>
      <x:c r="G1396" s="30" t="str">
        <x:v>No</x:v>
      </x:c>
      <x:c r="H1396" s="30" t="str">
        <x:v>Ordinary claim</x:v>
      </x:c>
      <x:c r="I1396" s="31" t="n">
        <x:f>IF(G1396="Yes",'Controls &amp; Summary'!$B$5,'Controls &amp; Summary'!$B$4)</x:f>
        <x:v>6</x:v>
      </x:c>
      <x:c r="J1396" s="31" t="n">
        <x:v>8.8</x:v>
      </x:c>
      <x:c r="K1396" s="31" t="n">
        <x:v>8.2</x:v>
      </x:c>
      <x:c r="L1396" s="31" t="n">
        <x:f>ABS(J1396-K1396)</x:f>
        <x:v>0.6000000000000014</x:v>
      </x:c>
      <x:c r="M1396" s="31" t="n">
        <x:v>3.2</x:v>
      </x:c>
      <x:c r="N1396" s="31" t="n">
        <x:v>2.5</x:v>
      </x:c>
      <x:c r="O1396" s="31" t="n">
        <x:f>ABS(M1396-N1396)</x:f>
        <x:v>0.7000000000000002</x:v>
      </x:c>
      <x:c r="P1396" s="31" t="n">
        <x:v>11.16</x:v>
      </x:c>
      <x:c r="Q1396" s="31" t="n">
        <x:v>7.02</x:v>
      </x:c>
      <x:c r="R1396" s="31" t="n">
        <x:f>ABS(P1396-Q1396)</x:f>
        <x:v>4.140000000000001</x:v>
      </x:c>
      <x:c r="S1396" s="32" t="n">
        <x:v>102108.97096151301</x:v>
      </x:c>
      <x:c r="T1396" s="32" t="n">
        <x:v>6760.294047160733</x:v>
      </x:c>
      <x:c r="U1396" s="31" t="n">
        <x:f>MAX(S1396/T1396,T1396/S1396)</x:f>
        <x:v>15.10422035627251</x:v>
      </x:c>
      <x:c r="V1396" s="31" t="n">
        <x:f>L1396*'Controls &amp; Summary'!$B$9+O1396*'Controls &amp; Summary'!$B$10+R1396*'Controls &amp; Summary'!$B$11+U1396*'Controls &amp; Summary'!$B$12</x:f>
        <x:v>20.54422035627251</x:v>
      </x:c>
      <x:c r="W1396" s="31" t="n">
        <x:v>5</x:v>
      </x:c>
      <x:c r="X1396" s="31" t="n">
        <x:v>0.4</x:v>
      </x:c>
      <x:c r="Y1396" s="31" t="n">
        <x:f>((10-MIN(10,MAX(0,X1396)))/10)*'Controls &amp; Summary'!$B$15+((10-MIN(10,MAX(0,W1396)))/10)*'Controls &amp; Summary'!$B$16</x:f>
        <x:v>1.46</x:v>
      </x:c>
      <x:c r="Z1396" s="31" t="n">
        <x:f>V1396*Y1396</x:f>
        <x:v>29.994561720157865</x:v>
      </x:c>
      <x:c r="AA1396" s="30" t="str">
        <x:f>IF(Z1396&lt;=I1396,"Peaceful","Hostile")</x:f>
        <x:v>Hostile</x:v>
      </x:c>
      <x:c r="AB1396" s="30" t="str">
        <x:f>IF(Z1396&lt;='Controls &amp; Summary'!$B$6,"Eligible","Blocked")</x:f>
        <x:v>Blocked</x:v>
      </x:c>
      <x:c r="AC1396" s="30" t="str">
        <x:v>2070_AUS</x:v>
      </x:c>
      <x:c r="AD1396" s="30" t="str">
        <x:v>2070_TLS</x:v>
      </x:c>
      <x:c r="AE1396" s="30" t="str">
        <x:v>2070_TimorLeste</x:v>
      </x:c>
      <x:c r="AF1396" s="30" t="str">
        <x:v>Explicit capitalClaim</x:v>
      </x:c>
      <x:c r="AG1396" s="30" t="str">
        <x:v>Claim2070_AUS2070_TimorLeste</x:v>
      </x:c>
      <x:c r="AH1396" s="30" t="str">
        <x:v>Project_SouthernCross</x:v>
      </x:c>
    </x:row>
    <x:row r="1397">
      <x:c r="A1397" s="30" t="str">
        <x:v>2070</x:v>
      </x:c>
      <x:c r="B1397" s="30" t="str">
        <x:v>Base game</x:v>
      </x:c>
      <x:c r="C1397" s="30" t="str">
        <x:v>Bolivia</x:v>
      </x:c>
      <x:c r="D1397" s="30" t="str">
        <x:v>Brazil</x:v>
      </x:c>
      <x:c r="E1397" s="30" t="str">
        <x:v>Starting claim</x:v>
      </x:c>
      <x:c r="F1397" s="30" t="str"/>
      <x:c r="G1397" s="30" t="str">
        <x:v>No</x:v>
      </x:c>
      <x:c r="H1397" s="30" t="str">
        <x:v>Ordinary claim</x:v>
      </x:c>
      <x:c r="I1397" s="31" t="n">
        <x:f>IF(G1397="Yes",'Controls &amp; Summary'!$B$5,'Controls &amp; Summary'!$B$4)</x:f>
        <x:v>6</x:v>
      </x:c>
      <x:c r="J1397" s="31" t="n">
        <x:v>6.6</x:v>
      </x:c>
      <x:c r="K1397" s="31" t="n">
        <x:v>6.9</x:v>
      </x:c>
      <x:c r="L1397" s="31" t="n">
        <x:f>ABS(J1397-K1397)</x:f>
        <x:v>0.3000000000000007</x:v>
      </x:c>
      <x:c r="M1397" s="31" t="n">
        <x:v>3.4</x:v>
      </x:c>
      <x:c r="N1397" s="31" t="n">
        <x:v>4.2</x:v>
      </x:c>
      <x:c r="O1397" s="31" t="n">
        <x:f>ABS(M1397-N1397)</x:f>
        <x:v>0.8000000000000003</x:v>
      </x:c>
      <x:c r="P1397" s="31" t="n">
        <x:v>8.87</x:v>
      </x:c>
      <x:c r="Q1397" s="31" t="n">
        <x:v>8.86</x:v>
      </x:c>
      <x:c r="R1397" s="31" t="n">
        <x:f>ABS(P1397-Q1397)</x:f>
        <x:v>0.009999999999999787</x:v>
      </x:c>
      <x:c r="S1397" s="32" t="n">
        <x:v>45381.88580169127</x:v>
      </x:c>
      <x:c r="T1397" s="32" t="n">
        <x:v>46079.42646465033</x:v>
      </x:c>
      <x:c r="U1397" s="31" t="n">
        <x:f>MAX(S1397/T1397,T1397/S1397)</x:f>
        <x:v>1.0153704644625645</x:v>
      </x:c>
      <x:c r="V1397" s="31" t="n">
        <x:f>L1397*'Controls &amp; Summary'!$B$9+O1397*'Controls &amp; Summary'!$B$10+R1397*'Controls &amp; Summary'!$B$11+U1397*'Controls &amp; Summary'!$B$12</x:f>
        <x:v>2.1253704644625655</x:v>
      </x:c>
      <x:c r="W1397" s="31" t="n">
        <x:v>5.5</x:v>
      </x:c>
      <x:c r="X1397" s="31" t="n">
        <x:v>3.1</x:v>
      </x:c>
      <x:c r="Y1397" s="31" t="n">
        <x:f>((10-MIN(10,MAX(0,X1397)))/10)*'Controls &amp; Summary'!$B$15+((10-MIN(10,MAX(0,W1397)))/10)*'Controls &amp; Summary'!$B$16</x:f>
        <x:v>1.1400000000000001</x:v>
      </x:c>
      <x:c r="Z1397" s="31" t="n">
        <x:f>V1397*Y1397</x:f>
        <x:v>2.4229223294873248</x:v>
      </x:c>
      <x:c r="AA1397" s="30" t="str">
        <x:f>IF(Z1397&lt;=I1397,"Peaceful","Hostile")</x:f>
        <x:v>Peaceful</x:v>
      </x:c>
      <x:c r="AB1397" s="30" t="str">
        <x:f>IF(Z1397&lt;='Controls &amp; Summary'!$B$6,"Eligible","Blocked")</x:f>
        <x:v>Eligible</x:v>
      </x:c>
      <x:c r="AC1397" s="30" t="str">
        <x:v>2070_BOL</x:v>
      </x:c>
      <x:c r="AD1397" s="30" t="str">
        <x:v>2070_BRA</x:v>
      </x:c>
      <x:c r="AE1397" s="30" t="str">
        <x:v>2070_Brasilia</x:v>
      </x:c>
      <x:c r="AF1397" s="30" t="str">
        <x:v>Explicit capitalClaim</x:v>
      </x:c>
      <x:c r="AG1397" s="30" t="str">
        <x:v>Claim2070_BOL2070_Brasilia</x:v>
      </x:c>
      <x:c r="AH1397" s="30" t="str"/>
    </x:row>
    <x:row r="1398">
      <x:c r="A1398" s="30" t="str">
        <x:v>2070</x:v>
      </x:c>
      <x:c r="B1398" s="30" t="str">
        <x:v>Base game</x:v>
      </x:c>
      <x:c r="C1398" s="30" t="str">
        <x:v>Brazil</x:v>
      </x:c>
      <x:c r="D1398" s="30" t="str">
        <x:v>Bolivia</x:v>
      </x:c>
      <x:c r="E1398" s="30" t="str">
        <x:v>Project unlock</x:v>
      </x:c>
      <x:c r="F1398" s="30" t="str">
        <x:v>Steward of the South</x:v>
      </x:c>
      <x:c r="G1398" s="30" t="str">
        <x:v>Yes</x:v>
      </x:c>
      <x:c r="H1398" s="30" t="str">
        <x:v>Template hostileClaim</x:v>
      </x:c>
      <x:c r="I1398" s="31" t="n">
        <x:f>IF(G1398="Yes",'Controls &amp; Summary'!$B$5,'Controls &amp; Summary'!$B$4)</x:f>
        <x:v>3</x:v>
      </x:c>
      <x:c r="J1398" s="31" t="n">
        <x:v>6.9</x:v>
      </x:c>
      <x:c r="K1398" s="31" t="n">
        <x:v>6.6</x:v>
      </x:c>
      <x:c r="L1398" s="31" t="n">
        <x:f>ABS(J1398-K1398)</x:f>
        <x:v>0.3000000000000007</x:v>
      </x:c>
      <x:c r="M1398" s="31" t="n">
        <x:v>4.2</x:v>
      </x:c>
      <x:c r="N1398" s="31" t="n">
        <x:v>3.4</x:v>
      </x:c>
      <x:c r="O1398" s="31" t="n">
        <x:f>ABS(M1398-N1398)</x:f>
        <x:v>0.8000000000000003</x:v>
      </x:c>
      <x:c r="P1398" s="31" t="n">
        <x:v>8.86</x:v>
      </x:c>
      <x:c r="Q1398" s="31" t="n">
        <x:v>8.87</x:v>
      </x:c>
      <x:c r="R1398" s="31" t="n">
        <x:f>ABS(P1398-Q1398)</x:f>
        <x:v>0.009999999999999787</x:v>
      </x:c>
      <x:c r="S1398" s="32" t="n">
        <x:v>46079.42646465033</x:v>
      </x:c>
      <x:c r="T1398" s="32" t="n">
        <x:v>45381.88580169127</x:v>
      </x:c>
      <x:c r="U1398" s="31" t="n">
        <x:f>MAX(S1398/T1398,T1398/S1398)</x:f>
        <x:v>1.0153704644625645</x:v>
      </x:c>
      <x:c r="V1398" s="31" t="n">
        <x:f>L1398*'Controls &amp; Summary'!$B$9+O1398*'Controls &amp; Summary'!$B$10+R1398*'Controls &amp; Summary'!$B$11+U1398*'Controls &amp; Summary'!$B$12</x:f>
        <x:v>2.1253704644625655</x:v>
      </x:c>
      <x:c r="W1398" s="31" t="n">
        <x:v>1.7</x:v>
      </x:c>
      <x:c r="X1398" s="31" t="n">
        <x:v>2.2</x:v>
      </x:c>
      <x:c r="Y1398" s="31" t="n">
        <x:f>((10-MIN(10,MAX(0,X1398)))/10)*'Controls &amp; Summary'!$B$15+((10-MIN(10,MAX(0,W1398)))/10)*'Controls &amp; Summary'!$B$16</x:f>
        <x:v>1.61</x:v>
      </x:c>
      <x:c r="Z1398" s="31" t="n">
        <x:f>V1398*Y1398</x:f>
        <x:v>3.4218464477847306</x:v>
      </x:c>
      <x:c r="AA1398" s="30" t="str">
        <x:f>IF(Z1398&lt;=I1398,"Peaceful","Hostile")</x:f>
        <x:v>Hostile</x:v>
      </x:c>
      <x:c r="AB1398" s="30" t="str">
        <x:f>IF(Z1398&lt;='Controls &amp; Summary'!$B$6,"Eligible","Blocked")</x:f>
        <x:v>Eligible</x:v>
      </x:c>
      <x:c r="AC1398" s="30" t="str">
        <x:v>2070_BRA</x:v>
      </x:c>
      <x:c r="AD1398" s="30" t="str">
        <x:v>2070_BOL</x:v>
      </x:c>
      <x:c r="AE1398" s="30" t="str">
        <x:v>2070_Bolivia</x:v>
      </x:c>
      <x:c r="AF1398" s="30" t="str">
        <x:v>Explicit capitalClaim</x:v>
      </x:c>
      <x:c r="AG1398" s="30" t="str">
        <x:v>Claim2070_BRA2070_Bolivia</x:v>
      </x:c>
      <x:c r="AH1398" s="30" t="str">
        <x:v>Project_StewardoftheSouth</x:v>
      </x:c>
    </x:row>
    <x:row r="1399">
      <x:c r="A1399" s="30" t="str">
        <x:v>2070</x:v>
      </x:c>
      <x:c r="B1399" s="30" t="str">
        <x:v>Base game</x:v>
      </x:c>
      <x:c r="C1399" s="30" t="str">
        <x:v>Cameroon</x:v>
      </x:c>
      <x:c r="D1399" s="30" t="str">
        <x:v>Congo</x:v>
      </x:c>
      <x:c r="E1399" s="30" t="str">
        <x:v>Project unlock</x:v>
      </x:c>
      <x:c r="F1399" s="30" t="str">
        <x:v>Regional African Unions</x:v>
      </x:c>
      <x:c r="G1399" s="30" t="str">
        <x:v>No</x:v>
      </x:c>
      <x:c r="H1399" s="30" t="str">
        <x:v>Ordinary claim</x:v>
      </x:c>
      <x:c r="I1399" s="31" t="n">
        <x:f>IF(G1399="Yes",'Controls &amp; Summary'!$B$5,'Controls &amp; Summary'!$B$4)</x:f>
        <x:v>6</x:v>
      </x:c>
      <x:c r="J1399" s="31" t="n">
        <x:v>6</x:v>
      </x:c>
      <x:c r="K1399" s="31" t="n">
        <x:v>2.8</x:v>
      </x:c>
      <x:c r="L1399" s="31" t="n">
        <x:f>ABS(J1399-K1399)</x:f>
        <x:v>3.2</x:v>
      </x:c>
      <x:c r="M1399" s="31" t="n">
        <x:v>2.9</x:v>
      </x:c>
      <x:c r="N1399" s="31" t="n">
        <x:v>4</x:v>
      </x:c>
      <x:c r="O1399" s="31" t="n">
        <x:f>ABS(M1399-N1399)</x:f>
        <x:v>1.1</x:v>
      </x:c>
      <x:c r="P1399" s="31" t="n">
        <x:v>7.39</x:v>
      </x:c>
      <x:c r="Q1399" s="31" t="n">
        <x:v>6.88</x:v>
      </x:c>
      <x:c r="R1399" s="31" t="n">
        <x:f>ABS(P1399-Q1399)</x:f>
        <x:v>0.5099999999999998</x:v>
      </x:c>
      <x:c r="S1399" s="32" t="n">
        <x:v>10353.879463119005</x:v>
      </x:c>
      <x:c r="T1399" s="32" t="n">
        <x:v>3690.5998014421943</x:v>
      </x:c>
      <x:c r="U1399" s="31" t="n">
        <x:f>MAX(S1399/T1399,T1399/S1399)</x:f>
        <x:v>2.8054733702291337</x:v>
      </x:c>
      <x:c r="V1399" s="31" t="n">
        <x:f>L1399*'Controls &amp; Summary'!$B$9+O1399*'Controls &amp; Summary'!$B$10+R1399*'Controls &amp; Summary'!$B$11+U1399*'Controls &amp; Summary'!$B$12</x:f>
        <x:v>7.615473370229134</x:v>
      </x:c>
      <x:c r="W1399" s="31" t="n">
        <x:v>3.5</x:v>
      </x:c>
      <x:c r="X1399" s="31" t="n">
        <x:v>6</x:v>
      </x:c>
      <x:c r="Y1399" s="31" t="n">
        <x:f>((10-MIN(10,MAX(0,X1399)))/10)*'Controls &amp; Summary'!$B$15+((10-MIN(10,MAX(0,W1399)))/10)*'Controls &amp; Summary'!$B$16</x:f>
        <x:v>1.05</x:v>
      </x:c>
      <x:c r="Z1399" s="31" t="n">
        <x:f>V1399*Y1399</x:f>
        <x:v>7.9962470387405915</x:v>
      </x:c>
      <x:c r="AA1399" s="30" t="str">
        <x:f>IF(Z1399&lt;=I1399,"Peaceful","Hostile")</x:f>
        <x:v>Hostile</x:v>
      </x:c>
      <x:c r="AB1399" s="30" t="str">
        <x:f>IF(Z1399&lt;='Controls &amp; Summary'!$B$6,"Eligible","Blocked")</x:f>
        <x:v>Eligible</x:v>
      </x:c>
      <x:c r="AC1399" s="30" t="str">
        <x:v>2070_CMR</x:v>
      </x:c>
      <x:c r="AD1399" s="30" t="str">
        <x:v>2070_COD</x:v>
      </x:c>
      <x:c r="AE1399" s="30" t="str">
        <x:v>2070_Kinshasa</x:v>
      </x:c>
      <x:c r="AF1399" s="30" t="str">
        <x:v>Explicit capitalClaim</x:v>
      </x:c>
      <x:c r="AG1399" s="30" t="str">
        <x:v>Claim2070_CMR2070_Kinshasa</x:v>
      </x:c>
      <x:c r="AH1399" s="30" t="str">
        <x:v>Project_RegionalAfricanUnions</x:v>
      </x:c>
    </x:row>
    <x:row r="1400">
      <x:c r="A1400" s="30" t="str">
        <x:v>2070</x:v>
      </x:c>
      <x:c r="B1400" s="30" t="str">
        <x:v>Base game</x:v>
      </x:c>
      <x:c r="C1400" s="30" t="str">
        <x:v>China</x:v>
      </x:c>
      <x:c r="D1400" s="30" t="str">
        <x:v>Bhutan</x:v>
      </x:c>
      <x:c r="E1400" s="30" t="str">
        <x:v>Project unlock</x:v>
      </x:c>
      <x:c r="F1400" s="30" t="str">
        <x:v>Pan-Asian Cooperative</x:v>
      </x:c>
      <x:c r="G1400" s="30" t="str">
        <x:v>No</x:v>
      </x:c>
      <x:c r="H1400" s="30" t="str">
        <x:v>Ordinary claim</x:v>
      </x:c>
      <x:c r="I1400" s="31" t="n">
        <x:f>IF(G1400="Yes",'Controls &amp; Summary'!$B$5,'Controls &amp; Summary'!$B$4)</x:f>
        <x:v>6</x:v>
      </x:c>
      <x:c r="J1400" s="31" t="n">
        <x:v>4.2</x:v>
      </x:c>
      <x:c r="K1400" s="31" t="n">
        <x:v>7</x:v>
      </x:c>
      <x:c r="L1400" s="31" t="n">
        <x:f>ABS(J1400-K1400)</x:f>
        <x:v>2.8</x:v>
      </x:c>
      <x:c r="M1400" s="31" t="n">
        <x:v>4.3</x:v>
      </x:c>
      <x:c r="N1400" s="31" t="n">
        <x:v>2.6</x:v>
      </x:c>
      <x:c r="O1400" s="31" t="n">
        <x:f>ABS(M1400-N1400)</x:f>
        <x:v>1.6999999999999997</x:v>
      </x:c>
      <x:c r="P1400" s="31" t="n">
        <x:v>8.49</x:v>
      </x:c>
      <x:c r="Q1400" s="31" t="n">
        <x:v>6.88</x:v>
      </x:c>
      <x:c r="R1400" s="31" t="n">
        <x:f>ABS(P1400-Q1400)</x:f>
        <x:v>1.6100000000000003</x:v>
      </x:c>
      <x:c r="S1400" s="32" t="n">
        <x:v>66323.4156937256</x:v>
      </x:c>
      <x:c r="T1400" s="32" t="n">
        <x:v>35650.918296819786</x:v>
      </x:c>
      <x:c r="U1400" s="31" t="n">
        <x:f>MAX(S1400/T1400,T1400/S1400)</x:f>
        <x:v>1.860356446965405</x:v>
      </x:c>
      <x:c r="V1400" s="31" t="n">
        <x:f>L1400*'Controls &amp; Summary'!$B$9+O1400*'Controls &amp; Summary'!$B$10+R1400*'Controls &amp; Summary'!$B$11+U1400*'Controls &amp; Summary'!$B$12</x:f>
        <x:v>7.970356446965406</x:v>
      </x:c>
      <x:c r="W1400" s="31" t="n">
        <x:v>0.84</x:v>
      </x:c>
      <x:c r="X1400" s="31" t="n">
        <x:v>0</x:v>
      </x:c>
      <x:c r="Y1400" s="31" t="n">
        <x:f>((10-MIN(10,MAX(0,X1400)))/10)*'Controls &amp; Summary'!$B$15+((10-MIN(10,MAX(0,W1400)))/10)*'Controls &amp; Summary'!$B$16</x:f>
        <x:v>1.916</x:v>
      </x:c>
      <x:c r="Z1400" s="31" t="n">
        <x:f>V1400*Y1400</x:f>
        <x:v>15.271202952385718</x:v>
      </x:c>
      <x:c r="AA1400" s="30" t="str">
        <x:f>IF(Z1400&lt;=I1400,"Peaceful","Hostile")</x:f>
        <x:v>Hostile</x:v>
      </x:c>
      <x:c r="AB1400" s="30" t="str">
        <x:f>IF(Z1400&lt;='Controls &amp; Summary'!$B$6,"Eligible","Blocked")</x:f>
        <x:v>Blocked</x:v>
      </x:c>
      <x:c r="AC1400" s="30" t="str">
        <x:v>2070_CHN</x:v>
      </x:c>
      <x:c r="AD1400" s="30" t="str">
        <x:v>2070_BHU</x:v>
      </x:c>
      <x:c r="AE1400" s="30" t="str">
        <x:v>2070_Bhutan</x:v>
      </x:c>
      <x:c r="AF1400" s="30" t="str">
        <x:v>Explicit capitalClaim</x:v>
      </x:c>
      <x:c r="AG1400" s="30" t="str">
        <x:v>Claim2070_CHN2070_Bhutan</x:v>
      </x:c>
      <x:c r="AH1400" s="30" t="str">
        <x:v>Project_Pan-AsianCooperative</x:v>
      </x:c>
    </x:row>
    <x:row r="1401">
      <x:c r="A1401" s="30" t="str">
        <x:v>2070</x:v>
      </x:c>
      <x:c r="B1401" s="30" t="str">
        <x:v>Base game</x:v>
      </x:c>
      <x:c r="C1401" s="30" t="str">
        <x:v>China</x:v>
      </x:c>
      <x:c r="D1401" s="30" t="str">
        <x:v>Japan</x:v>
      </x:c>
      <x:c r="E1401" s="30" t="str">
        <x:v>Project unlock</x:v>
      </x:c>
      <x:c r="F1401" s="30" t="str">
        <x:v>Greater PanAsia</x:v>
      </x:c>
      <x:c r="G1401" s="30" t="str">
        <x:v>Yes</x:v>
      </x:c>
      <x:c r="H1401" s="30" t="str">
        <x:v>Template hostileClaim</x:v>
      </x:c>
      <x:c r="I1401" s="31" t="n">
        <x:f>IF(G1401="Yes",'Controls &amp; Summary'!$B$5,'Controls &amp; Summary'!$B$4)</x:f>
        <x:v>3</x:v>
      </x:c>
      <x:c r="J1401" s="31" t="n">
        <x:v>4.2</x:v>
      </x:c>
      <x:c r="K1401" s="31" t="n">
        <x:v>8.7</x:v>
      </x:c>
      <x:c r="L1401" s="31" t="n">
        <x:f>ABS(J1401-K1401)</x:f>
        <x:v>4.499999999999999</x:v>
      </x:c>
      <x:c r="M1401" s="31" t="n">
        <x:v>4.3</x:v>
      </x:c>
      <x:c r="N1401" s="31" t="n">
        <x:v>3.2</x:v>
      </x:c>
      <x:c r="O1401" s="31" t="n">
        <x:f>ABS(M1401-N1401)</x:f>
        <x:v>1.0999999999999996</x:v>
      </x:c>
      <x:c r="P1401" s="31" t="n">
        <x:v>8.49</x:v>
      </x:c>
      <x:c r="Q1401" s="31" t="n">
        <x:v>10.43</x:v>
      </x:c>
      <x:c r="R1401" s="31" t="n">
        <x:f>ABS(P1401-Q1401)</x:f>
        <x:v>1.9399999999999995</x:v>
      </x:c>
      <x:c r="S1401" s="32" t="n">
        <x:v>66323.4156937256</x:v>
      </x:c>
      <x:c r="T1401" s="32" t="n">
        <x:v>82281.43971195868</x:v>
      </x:c>
      <x:c r="U1401" s="31" t="n">
        <x:f>MAX(S1401/T1401,T1401/S1401)</x:f>
        <x:v>1.2406092004055629</x:v>
      </x:c>
      <x:c r="V1401" s="31" t="n">
        <x:f>L1401*'Controls &amp; Summary'!$B$9+O1401*'Controls &amp; Summary'!$B$10+R1401*'Controls &amp; Summary'!$B$11+U1401*'Controls &amp; Summary'!$B$12</x:f>
        <x:v>8.78060920040556</x:v>
      </x:c>
      <x:c r="W1401" s="31" t="n">
        <x:v>0.84</x:v>
      </x:c>
      <x:c r="X1401" s="31" t="n">
        <x:v>0</x:v>
      </x:c>
      <x:c r="Y1401" s="31" t="n">
        <x:f>((10-MIN(10,MAX(0,X1401)))/10)*'Controls &amp; Summary'!$B$15+((10-MIN(10,MAX(0,W1401)))/10)*'Controls &amp; Summary'!$B$16</x:f>
        <x:v>1.916</x:v>
      </x:c>
      <x:c r="Z1401" s="31" t="n">
        <x:f>V1401*Y1401</x:f>
        <x:v>16.823647227977055</x:v>
      </x:c>
      <x:c r="AA1401" s="30" t="str">
        <x:f>IF(Z1401&lt;=I1401,"Peaceful","Hostile")</x:f>
        <x:v>Hostile</x:v>
      </x:c>
      <x:c r="AB1401" s="30" t="str">
        <x:f>IF(Z1401&lt;='Controls &amp; Summary'!$B$6,"Eligible","Blocked")</x:f>
        <x:v>Blocked</x:v>
      </x:c>
      <x:c r="AC1401" s="30" t="str">
        <x:v>2070_CHN</x:v>
      </x:c>
      <x:c r="AD1401" s="30" t="str">
        <x:v>2070_JPN</x:v>
      </x:c>
      <x:c r="AE1401" s="30" t="str">
        <x:v>2070_NorthHonshu</x:v>
      </x:c>
      <x:c r="AF1401" s="30" t="str">
        <x:v>Explicit capitalClaim</x:v>
      </x:c>
      <x:c r="AG1401" s="30" t="str">
        <x:v>Claim2070_CHN2070_NorthHonshu</x:v>
      </x:c>
      <x:c r="AH1401" s="30" t="str">
        <x:v>Project_GreaterPanAsia</x:v>
      </x:c>
    </x:row>
    <x:row r="1402">
      <x:c r="A1402" s="30" t="str">
        <x:v>2070</x:v>
      </x:c>
      <x:c r="B1402" s="30" t="str">
        <x:v>Base game</x:v>
      </x:c>
      <x:c r="C1402" s="30" t="str">
        <x:v>China</x:v>
      </x:c>
      <x:c r="D1402" s="30" t="str">
        <x:v>Malaysia</x:v>
      </x:c>
      <x:c r="E1402" s="30" t="str">
        <x:v>Project unlock</x:v>
      </x:c>
      <x:c r="F1402" s="30" t="str">
        <x:v>Greater PanAsia</x:v>
      </x:c>
      <x:c r="G1402" s="30" t="str">
        <x:v>No</x:v>
      </x:c>
      <x:c r="H1402" s="30" t="str">
        <x:v>Ordinary claim</x:v>
      </x:c>
      <x:c r="I1402" s="31" t="n">
        <x:f>IF(G1402="Yes",'Controls &amp; Summary'!$B$5,'Controls &amp; Summary'!$B$4)</x:f>
        <x:v>6</x:v>
      </x:c>
      <x:c r="J1402" s="31" t="n">
        <x:v>4.2</x:v>
      </x:c>
      <x:c r="K1402" s="31" t="n">
        <x:v>8.2</x:v>
      </x:c>
      <x:c r="L1402" s="31" t="n">
        <x:f>ABS(J1402-K1402)</x:f>
        <x:v>3.999999999999999</x:v>
      </x:c>
      <x:c r="M1402" s="31" t="n">
        <x:v>4.3</x:v>
      </x:c>
      <x:c r="N1402" s="31" t="n">
        <x:v>3.2</x:v>
      </x:c>
      <x:c r="O1402" s="31" t="n">
        <x:f>ABS(M1402-N1402)</x:f>
        <x:v>1.0999999999999996</x:v>
      </x:c>
      <x:c r="P1402" s="31" t="n">
        <x:v>8.49</x:v>
      </x:c>
      <x:c r="Q1402" s="31" t="n">
        <x:v>9.18</x:v>
      </x:c>
      <x:c r="R1402" s="31" t="n">
        <x:f>ABS(P1402-Q1402)</x:f>
        <x:v>0.6899999999999995</x:v>
      </x:c>
      <x:c r="S1402" s="32" t="n">
        <x:v>66323.4156937256</x:v>
      </x:c>
      <x:c r="T1402" s="32" t="n">
        <x:v>72495.54134757294</x:v>
      </x:c>
      <x:c r="U1402" s="31" t="n">
        <x:f>MAX(S1402/T1402,T1402/S1402)</x:f>
        <x:v>1.0930610341655134</x:v>
      </x:c>
      <x:c r="V1402" s="31" t="n">
        <x:f>L1402*'Controls &amp; Summary'!$B$9+O1402*'Controls &amp; Summary'!$B$10+R1402*'Controls &amp; Summary'!$B$11+U1402*'Controls &amp; Summary'!$B$12</x:f>
        <x:v>6.883061034165512</x:v>
      </x:c>
      <x:c r="W1402" s="31" t="n">
        <x:v>0.84</x:v>
      </x:c>
      <x:c r="X1402" s="31" t="n">
        <x:v>0</x:v>
      </x:c>
      <x:c r="Y1402" s="31" t="n">
        <x:f>((10-MIN(10,MAX(0,X1402)))/10)*'Controls &amp; Summary'!$B$15+((10-MIN(10,MAX(0,W1402)))/10)*'Controls &amp; Summary'!$B$16</x:f>
        <x:v>1.916</x:v>
      </x:c>
      <x:c r="Z1402" s="31" t="n">
        <x:f>V1402*Y1402</x:f>
        <x:v>13.18794494146112</x:v>
      </x:c>
      <x:c r="AA1402" s="30" t="str">
        <x:f>IF(Z1402&lt;=I1402,"Peaceful","Hostile")</x:f>
        <x:v>Hostile</x:v>
      </x:c>
      <x:c r="AB1402" s="30" t="str">
        <x:f>IF(Z1402&lt;='Controls &amp; Summary'!$B$6,"Eligible","Blocked")</x:f>
        <x:v>Blocked</x:v>
      </x:c>
      <x:c r="AC1402" s="30" t="str">
        <x:v>2070_CHN</x:v>
      </x:c>
      <x:c r="AD1402" s="30" t="str">
        <x:v>2070_MYS</x:v>
      </x:c>
      <x:c r="AE1402" s="30" t="str">
        <x:v>2070_MalayPeninsula</x:v>
      </x:c>
      <x:c r="AF1402" s="30" t="str">
        <x:v>Explicit capitalClaim</x:v>
      </x:c>
      <x:c r="AG1402" s="30" t="str">
        <x:v>Claim2070_CHN2070_MalayPeninsula</x:v>
      </x:c>
      <x:c r="AH1402" s="30" t="str">
        <x:v>Project_GreaterPanAsia</x:v>
      </x:c>
    </x:row>
    <x:row r="1403">
      <x:c r="A1403" s="30" t="str">
        <x:v>2070</x:v>
      </x:c>
      <x:c r="B1403" s="30" t="str">
        <x:v>Base game</x:v>
      </x:c>
      <x:c r="C1403" s="30" t="str">
        <x:v>China</x:v>
      </x:c>
      <x:c r="D1403" s="30" t="str">
        <x:v>Mongolia</x:v>
      </x:c>
      <x:c r="E1403" s="30" t="str">
        <x:v>Project unlock</x:v>
      </x:c>
      <x:c r="F1403" s="30" t="str">
        <x:v>Pan-Asian Cooperative</x:v>
      </x:c>
      <x:c r="G1403" s="30" t="str">
        <x:v>No</x:v>
      </x:c>
      <x:c r="H1403" s="30" t="str">
        <x:v>Ordinary claim</x:v>
      </x:c>
      <x:c r="I1403" s="31" t="n">
        <x:f>IF(G1403="Yes",'Controls &amp; Summary'!$B$5,'Controls &amp; Summary'!$B$4)</x:f>
        <x:v>6</x:v>
      </x:c>
      <x:c r="J1403" s="31" t="n">
        <x:v>4.2</x:v>
      </x:c>
      <x:c r="K1403" s="31" t="n">
        <x:v>6.8</x:v>
      </x:c>
      <x:c r="L1403" s="31" t="n">
        <x:f>ABS(J1403-K1403)</x:f>
        <x:v>2.5999999999999996</x:v>
      </x:c>
      <x:c r="M1403" s="31" t="n">
        <x:v>4.3</x:v>
      </x:c>
      <x:c r="N1403" s="31" t="n">
        <x:v>4</x:v>
      </x:c>
      <x:c r="O1403" s="31" t="n">
        <x:f>ABS(M1403-N1403)</x:f>
        <x:v>0.2999999999999998</x:v>
      </x:c>
      <x:c r="P1403" s="31" t="n">
        <x:v>8.49</x:v>
      </x:c>
      <x:c r="Q1403" s="31" t="n">
        <x:v>9.2</x:v>
      </x:c>
      <x:c r="R1403" s="31" t="n">
        <x:f>ABS(P1403-Q1403)</x:f>
        <x:v>0.7099999999999991</x:v>
      </x:c>
      <x:c r="S1403" s="32" t="n">
        <x:v>66323.4156937256</x:v>
      </x:c>
      <x:c r="T1403" s="32" t="n">
        <x:v>28333.321507450826</x:v>
      </x:c>
      <x:c r="U1403" s="31" t="n">
        <x:f>MAX(S1403/T1403,T1403/S1403)</x:f>
        <x:v>2.340827413273255</x:v>
      </x:c>
      <x:c r="V1403" s="31" t="n">
        <x:f>L1403*'Controls &amp; Summary'!$B$9+O1403*'Controls &amp; Summary'!$B$10+R1403*'Controls &amp; Summary'!$B$11+U1403*'Controls &amp; Summary'!$B$12</x:f>
        <x:v>5.950827413273254</x:v>
      </x:c>
      <x:c r="W1403" s="31" t="n">
        <x:v>0.84</x:v>
      </x:c>
      <x:c r="X1403" s="31" t="n">
        <x:v>0.67</x:v>
      </x:c>
      <x:c r="Y1403" s="31" t="n">
        <x:f>((10-MIN(10,MAX(0,X1403)))/10)*'Controls &amp; Summary'!$B$15+((10-MIN(10,MAX(0,W1403)))/10)*'Controls &amp; Summary'!$B$16</x:f>
        <x:v>1.8490000000000002</x:v>
      </x:c>
      <x:c r="Z1403" s="31" t="n">
        <x:f>V1403*Y1403</x:f>
        <x:v>11.003079887142247</x:v>
      </x:c>
      <x:c r="AA1403" s="30" t="str">
        <x:f>IF(Z1403&lt;=I1403,"Peaceful","Hostile")</x:f>
        <x:v>Hostile</x:v>
      </x:c>
      <x:c r="AB1403" s="30" t="str">
        <x:f>IF(Z1403&lt;='Controls &amp; Summary'!$B$6,"Eligible","Blocked")</x:f>
        <x:v>Eligible</x:v>
      </x:c>
      <x:c r="AC1403" s="30" t="str">
        <x:v>2070_CHN</x:v>
      </x:c>
      <x:c r="AD1403" s="30" t="str">
        <x:v>2070_MNG</x:v>
      </x:c>
      <x:c r="AE1403" s="30" t="str">
        <x:v>2070_Mongolia</x:v>
      </x:c>
      <x:c r="AF1403" s="30" t="str">
        <x:v>Explicit capitalClaim</x:v>
      </x:c>
      <x:c r="AG1403" s="30" t="str">
        <x:v>Claim2070_CHN2070_Mongolia</x:v>
      </x:c>
      <x:c r="AH1403" s="30" t="str">
        <x:v>Project_Pan-AsianCooperative</x:v>
      </x:c>
    </x:row>
    <x:row r="1404">
      <x:c r="A1404" s="30" t="str">
        <x:v>2070</x:v>
      </x:c>
      <x:c r="B1404" s="30" t="str">
        <x:v>Base game</x:v>
      </x:c>
      <x:c r="C1404" s="30" t="str">
        <x:v>China</x:v>
      </x:c>
      <x:c r="D1404" s="30" t="str">
        <x:v>Nepal</x:v>
      </x:c>
      <x:c r="E1404" s="30" t="str">
        <x:v>Project unlock</x:v>
      </x:c>
      <x:c r="F1404" s="30" t="str">
        <x:v>Pan-Asian Cooperative</x:v>
      </x:c>
      <x:c r="G1404" s="30" t="str">
        <x:v>No</x:v>
      </x:c>
      <x:c r="H1404" s="30" t="str">
        <x:v>Ordinary claim</x:v>
      </x:c>
      <x:c r="I1404" s="31" t="n">
        <x:f>IF(G1404="Yes",'Controls &amp; Summary'!$B$5,'Controls &amp; Summary'!$B$4)</x:f>
        <x:v>6</x:v>
      </x:c>
      <x:c r="J1404" s="31" t="n">
        <x:v>4.2</x:v>
      </x:c>
      <x:c r="K1404" s="31" t="n">
        <x:v>6.1</x:v>
      </x:c>
      <x:c r="L1404" s="31" t="n">
        <x:f>ABS(J1404-K1404)</x:f>
        <x:v>1.8999999999999995</x:v>
      </x:c>
      <x:c r="M1404" s="31" t="n">
        <x:v>4.3</x:v>
      </x:c>
      <x:c r="N1404" s="31" t="n">
        <x:v>3.5</x:v>
      </x:c>
      <x:c r="O1404" s="31" t="n">
        <x:f>ABS(M1404-N1404)</x:f>
        <x:v>0.7999999999999998</x:v>
      </x:c>
      <x:c r="P1404" s="31" t="n">
        <x:v>8.49</x:v>
      </x:c>
      <x:c r="Q1404" s="31" t="n">
        <x:v>7.13</x:v>
      </x:c>
      <x:c r="R1404" s="31" t="n">
        <x:f>ABS(P1404-Q1404)</x:f>
        <x:v>1.3600000000000003</x:v>
      </x:c>
      <x:c r="S1404" s="32" t="n">
        <x:v>66323.4156937256</x:v>
      </x:c>
      <x:c r="T1404" s="32" t="n">
        <x:v>11874.562829492057</x:v>
      </x:c>
      <x:c r="U1404" s="31" t="n">
        <x:f>MAX(S1404/T1404,T1404/S1404)</x:f>
        <x:v>5.585335363168283</x:v>
      </x:c>
      <x:c r="V1404" s="31" t="n">
        <x:f>L1404*'Controls &amp; Summary'!$B$9+O1404*'Controls &amp; Summary'!$B$10+R1404*'Controls &amp; Summary'!$B$11+U1404*'Controls &amp; Summary'!$B$12</x:f>
        <x:v>9.645335363168282</x:v>
      </x:c>
      <x:c r="W1404" s="31" t="n">
        <x:v>0.84</x:v>
      </x:c>
      <x:c r="X1404" s="31" t="n">
        <x:v>3.7</x:v>
      </x:c>
      <x:c r="Y1404" s="31" t="n">
        <x:f>((10-MIN(10,MAX(0,X1404)))/10)*'Controls &amp; Summary'!$B$15+((10-MIN(10,MAX(0,W1404)))/10)*'Controls &amp; Summary'!$B$16</x:f>
        <x:v>1.546</x:v>
      </x:c>
      <x:c r="Z1404" s="31" t="n">
        <x:f>V1404*Y1404</x:f>
        <x:v>14.911688471458165</x:v>
      </x:c>
      <x:c r="AA1404" s="30" t="str">
        <x:f>IF(Z1404&lt;=I1404,"Peaceful","Hostile")</x:f>
        <x:v>Hostile</x:v>
      </x:c>
      <x:c r="AB1404" s="30" t="str">
        <x:f>IF(Z1404&lt;='Controls &amp; Summary'!$B$6,"Eligible","Blocked")</x:f>
        <x:v>Blocked</x:v>
      </x:c>
      <x:c r="AC1404" s="30" t="str">
        <x:v>2070_CHN</x:v>
      </x:c>
      <x:c r="AD1404" s="30" t="str">
        <x:v>2070_HYS</x:v>
      </x:c>
      <x:c r="AE1404" s="30" t="str">
        <x:v>2070_Himalayas</x:v>
      </x:c>
      <x:c r="AF1404" s="30" t="str">
        <x:v>Explicit capitalClaim</x:v>
      </x:c>
      <x:c r="AG1404" s="30" t="str">
        <x:v>Claim2070_CHN2070_Himalayas</x:v>
      </x:c>
      <x:c r="AH1404" s="30" t="str">
        <x:v>Project_Pan-AsianCooperative</x:v>
      </x:c>
    </x:row>
    <x:row r="1405">
      <x:c r="A1405" s="30" t="str">
        <x:v>2070</x:v>
      </x:c>
      <x:c r="B1405" s="30" t="str">
        <x:v>Base game</x:v>
      </x:c>
      <x:c r="C1405" s="30" t="str">
        <x:v>China</x:v>
      </x:c>
      <x:c r="D1405" s="30" t="str">
        <x:v>Singapore</x:v>
      </x:c>
      <x:c r="E1405" s="30" t="str">
        <x:v>Project unlock</x:v>
      </x:c>
      <x:c r="F1405" s="30" t="str">
        <x:v>Greater PanAsia</x:v>
      </x:c>
      <x:c r="G1405" s="30" t="str">
        <x:v>No</x:v>
      </x:c>
      <x:c r="H1405" s="30" t="str">
        <x:v>Ordinary claim</x:v>
      </x:c>
      <x:c r="I1405" s="31" t="n">
        <x:f>IF(G1405="Yes",'Controls &amp; Summary'!$B$5,'Controls &amp; Summary'!$B$4)</x:f>
        <x:v>6</x:v>
      </x:c>
      <x:c r="J1405" s="31" t="n">
        <x:v>4.2</x:v>
      </x:c>
      <x:c r="K1405" s="31" t="n">
        <x:v>5.8</x:v>
      </x:c>
      <x:c r="L1405" s="31" t="n">
        <x:f>ABS(J1405-K1405)</x:f>
        <x:v>1.5999999999999996</x:v>
      </x:c>
      <x:c r="M1405" s="31" t="n">
        <x:v>4.3</x:v>
      </x:c>
      <x:c r="N1405" s="31" t="n">
        <x:v>3.7</x:v>
      </x:c>
      <x:c r="O1405" s="31" t="n">
        <x:f>ABS(M1405-N1405)</x:f>
        <x:v>0.5999999999999996</x:v>
      </x:c>
      <x:c r="P1405" s="31" t="n">
        <x:v>8.49</x:v>
      </x:c>
      <x:c r="Q1405" s="31" t="n">
        <x:v>10.36</x:v>
      </x:c>
      <x:c r="R1405" s="31" t="n">
        <x:f>ABS(P1405-Q1405)</x:f>
        <x:v>1.8699999999999992</x:v>
      </x:c>
      <x:c r="S1405" s="32" t="n">
        <x:v>66323.4156937256</x:v>
      </x:c>
      <x:c r="T1405" s="32" t="n">
        <x:v>413433.6030625111</x:v>
      </x:c>
      <x:c r="U1405" s="31" t="n">
        <x:f>MAX(S1405/T1405,T1405/S1405)</x:f>
        <x:v>6.233599381728212</x:v>
      </x:c>
      <x:c r="V1405" s="31" t="n">
        <x:f>L1405*'Controls &amp; Summary'!$B$9+O1405*'Controls &amp; Summary'!$B$10+R1405*'Controls &amp; Summary'!$B$11+U1405*'Controls &amp; Summary'!$B$12</x:f>
        <x:v>10.30359938172821</x:v>
      </x:c>
      <x:c r="W1405" s="31" t="n">
        <x:v>0.84</x:v>
      </x:c>
      <x:c r="X1405" s="31" t="n">
        <x:v>0</x:v>
      </x:c>
      <x:c r="Y1405" s="31" t="n">
        <x:f>((10-MIN(10,MAX(0,X1405)))/10)*'Controls &amp; Summary'!$B$15+((10-MIN(10,MAX(0,W1405)))/10)*'Controls &amp; Summary'!$B$16</x:f>
        <x:v>1.916</x:v>
      </x:c>
      <x:c r="Z1405" s="31" t="n">
        <x:f>V1405*Y1405</x:f>
        <x:v>19.74169641539125</x:v>
      </x:c>
      <x:c r="AA1405" s="30" t="str">
        <x:f>IF(Z1405&lt;=I1405,"Peaceful","Hostile")</x:f>
        <x:v>Hostile</x:v>
      </x:c>
      <x:c r="AB1405" s="30" t="str">
        <x:f>IF(Z1405&lt;='Controls &amp; Summary'!$B$6,"Eligible","Blocked")</x:f>
        <x:v>Blocked</x:v>
      </x:c>
      <x:c r="AC1405" s="30" t="str">
        <x:v>2070_CHN</x:v>
      </x:c>
      <x:c r="AD1405" s="30" t="str">
        <x:v>2070_SGP</x:v>
      </x:c>
      <x:c r="AE1405" s="30" t="str">
        <x:v>2070_Singapore</x:v>
      </x:c>
      <x:c r="AF1405" s="30" t="str">
        <x:v>Explicit capitalClaim</x:v>
      </x:c>
      <x:c r="AG1405" s="30" t="str">
        <x:v>Claim2070_CHN2070_Singapore</x:v>
      </x:c>
      <x:c r="AH1405" s="30" t="str">
        <x:v>Project_GreaterPanAsia</x:v>
      </x:c>
    </x:row>
    <x:row r="1406">
      <x:c r="A1406" s="30" t="str">
        <x:v>2070</x:v>
      </x:c>
      <x:c r="B1406" s="30" t="str">
        <x:v>Base game</x:v>
      </x:c>
      <x:c r="C1406" s="30" t="str">
        <x:v>China</x:v>
      </x:c>
      <x:c r="D1406" s="30" t="str">
        <x:v>SouthKorea</x:v>
      </x:c>
      <x:c r="E1406" s="30" t="str">
        <x:v>Project unlock</x:v>
      </x:c>
      <x:c r="F1406" s="30" t="str">
        <x:v>Pan-Asian Cooperative</x:v>
      </x:c>
      <x:c r="G1406" s="30" t="str">
        <x:v>No</x:v>
      </x:c>
      <x:c r="H1406" s="30" t="str">
        <x:v>Ordinary claim</x:v>
      </x:c>
      <x:c r="I1406" s="31" t="n">
        <x:f>IF(G1406="Yes",'Controls &amp; Summary'!$B$5,'Controls &amp; Summary'!$B$4)</x:f>
        <x:v>6</x:v>
      </x:c>
      <x:c r="J1406" s="31" t="n">
        <x:v>4.2</x:v>
      </x:c>
      <x:c r="K1406" s="31" t="n">
        <x:v>8</x:v>
      </x:c>
      <x:c r="L1406" s="31" t="n">
        <x:f>ABS(J1406-K1406)</x:f>
        <x:v>3.8</x:v>
      </x:c>
      <x:c r="M1406" s="31" t="n">
        <x:v>4.3</x:v>
      </x:c>
      <x:c r="N1406" s="31" t="n">
        <x:v>3.5</x:v>
      </x:c>
      <x:c r="O1406" s="31" t="n">
        <x:f>ABS(M1406-N1406)</x:f>
        <x:v>0.7999999999999998</x:v>
      </x:c>
      <x:c r="P1406" s="31" t="n">
        <x:v>8.49</x:v>
      </x:c>
      <x:c r="Q1406" s="31" t="n">
        <x:v>10.57</x:v>
      </x:c>
      <x:c r="R1406" s="31" t="n">
        <x:f>ABS(P1406-Q1406)</x:f>
        <x:v>2.08</x:v>
      </x:c>
      <x:c r="S1406" s="32" t="n">
        <x:v>66323.4156937256</x:v>
      </x:c>
      <x:c r="T1406" s="32" t="n">
        <x:v>72794.86096705329</x:v>
      </x:c>
      <x:c r="U1406" s="31" t="n">
        <x:f>MAX(S1406/T1406,T1406/S1406)</x:f>
        <x:v>1.097574064991045</x:v>
      </x:c>
      <x:c r="V1406" s="31" t="n">
        <x:f>L1406*'Controls &amp; Summary'!$B$9+O1406*'Controls &amp; Summary'!$B$10+R1406*'Controls &amp; Summary'!$B$11+U1406*'Controls &amp; Summary'!$B$12</x:f>
        <x:v>7.777574064991045</x:v>
      </x:c>
      <x:c r="W1406" s="31" t="n">
        <x:v>0.84</x:v>
      </x:c>
      <x:c r="X1406" s="31" t="n">
        <x:v>0</x:v>
      </x:c>
      <x:c r="Y1406" s="31" t="n">
        <x:f>((10-MIN(10,MAX(0,X1406)))/10)*'Controls &amp; Summary'!$B$15+((10-MIN(10,MAX(0,W1406)))/10)*'Controls &amp; Summary'!$B$16</x:f>
        <x:v>1.916</x:v>
      </x:c>
      <x:c r="Z1406" s="31" t="n">
        <x:f>V1406*Y1406</x:f>
        <x:v>14.901831908522842</x:v>
      </x:c>
      <x:c r="AA1406" s="30" t="str">
        <x:f>IF(Z1406&lt;=I1406,"Peaceful","Hostile")</x:f>
        <x:v>Hostile</x:v>
      </x:c>
      <x:c r="AB1406" s="30" t="str">
        <x:f>IF(Z1406&lt;='Controls &amp; Summary'!$B$6,"Eligible","Blocked")</x:f>
        <x:v>Blocked</x:v>
      </x:c>
      <x:c r="AC1406" s="30" t="str">
        <x:v>2070_CHN</x:v>
      </x:c>
      <x:c r="AD1406" s="30" t="str">
        <x:v>2070_KOR</x:v>
      </x:c>
      <x:c r="AE1406" s="30" t="str">
        <x:v>2070_SouthKorea</x:v>
      </x:c>
      <x:c r="AF1406" s="30" t="str">
        <x:v>Explicit capitalClaim</x:v>
      </x:c>
      <x:c r="AG1406" s="30" t="str">
        <x:v>Claim2070_CHN2070_SouthKorea</x:v>
      </x:c>
      <x:c r="AH1406" s="30" t="str">
        <x:v>Project_Pan-AsianCooperative</x:v>
      </x:c>
    </x:row>
    <x:row r="1407">
      <x:c r="A1407" s="30" t="str">
        <x:v>2070</x:v>
      </x:c>
      <x:c r="B1407" s="30" t="str">
        <x:v>Base game</x:v>
      </x:c>
      <x:c r="C1407" s="30" t="str">
        <x:v>China</x:v>
      </x:c>
      <x:c r="D1407" s="30" t="str">
        <x:v>Thailand</x:v>
      </x:c>
      <x:c r="E1407" s="30" t="str">
        <x:v>Project unlock</x:v>
      </x:c>
      <x:c r="F1407" s="30" t="str">
        <x:v>Pan-Asian Cooperative</x:v>
      </x:c>
      <x:c r="G1407" s="30" t="str">
        <x:v>No</x:v>
      </x:c>
      <x:c r="H1407" s="30" t="str">
        <x:v>Ordinary claim</x:v>
      </x:c>
      <x:c r="I1407" s="31" t="n">
        <x:f>IF(G1407="Yes",'Controls &amp; Summary'!$B$5,'Controls &amp; Summary'!$B$4)</x:f>
        <x:v>6</x:v>
      </x:c>
      <x:c r="J1407" s="31" t="n">
        <x:v>4.2</x:v>
      </x:c>
      <x:c r="K1407" s="31" t="n">
        <x:v>7.1</x:v>
      </x:c>
      <x:c r="L1407" s="31" t="n">
        <x:f>ABS(J1407-K1407)</x:f>
        <x:v>2.8999999999999995</x:v>
      </x:c>
      <x:c r="M1407" s="31" t="n">
        <x:v>4.3</x:v>
      </x:c>
      <x:c r="N1407" s="31" t="n">
        <x:v>2.4</x:v>
      </x:c>
      <x:c r="O1407" s="31" t="n">
        <x:f>ABS(M1407-N1407)</x:f>
        <x:v>1.9</x:v>
      </x:c>
      <x:c r="P1407" s="31" t="n">
        <x:v>8.49</x:v>
      </x:c>
      <x:c r="Q1407" s="31" t="n">
        <x:v>8.74</x:v>
      </x:c>
      <x:c r="R1407" s="31" t="n">
        <x:f>ABS(P1407-Q1407)</x:f>
        <x:v>0.25</x:v>
      </x:c>
      <x:c r="S1407" s="32" t="n">
        <x:v>66323.4156937256</x:v>
      </x:c>
      <x:c r="T1407" s="32" t="n">
        <x:v>39240.24965574673</x:v>
      </x:c>
      <x:c r="U1407" s="31" t="n">
        <x:f>MAX(S1407/T1407,T1407/S1407)</x:f>
        <x:v>1.6901884232536362</x:v>
      </x:c>
      <x:c r="V1407" s="31" t="n">
        <x:f>L1407*'Controls &amp; Summary'!$B$9+O1407*'Controls &amp; Summary'!$B$10+R1407*'Controls &amp; Summary'!$B$11+U1407*'Controls &amp; Summary'!$B$12</x:f>
        <x:v>6.740188423253635</x:v>
      </x:c>
      <x:c r="W1407" s="31" t="n">
        <x:v>0.84</x:v>
      </x:c>
      <x:c r="X1407" s="31" t="n">
        <x:v>2.1</x:v>
      </x:c>
      <x:c r="Y1407" s="31" t="n">
        <x:f>((10-MIN(10,MAX(0,X1407)))/10)*'Controls &amp; Summary'!$B$15+((10-MIN(10,MAX(0,W1407)))/10)*'Controls &amp; Summary'!$B$16</x:f>
        <x:v>1.706</x:v>
      </x:c>
      <x:c r="Z1407" s="31" t="n">
        <x:f>V1407*Y1407</x:f>
        <x:v>11.4987614500707</x:v>
      </x:c>
      <x:c r="AA1407" s="30" t="str">
        <x:f>IF(Z1407&lt;=I1407,"Peaceful","Hostile")</x:f>
        <x:v>Hostile</x:v>
      </x:c>
      <x:c r="AB1407" s="30" t="str">
        <x:f>IF(Z1407&lt;='Controls &amp; Summary'!$B$6,"Eligible","Blocked")</x:f>
        <x:v>Eligible</x:v>
      </x:c>
      <x:c r="AC1407" s="30" t="str">
        <x:v>2070_CHN</x:v>
      </x:c>
      <x:c r="AD1407" s="30" t="str">
        <x:v>2070_THA</x:v>
      </x:c>
      <x:c r="AE1407" s="30" t="str">
        <x:v>2070_Bangkok</x:v>
      </x:c>
      <x:c r="AF1407" s="30" t="str">
        <x:v>Explicit capitalClaim</x:v>
      </x:c>
      <x:c r="AG1407" s="30" t="str">
        <x:v>Claim2070_CHN2070_Bangkok</x:v>
      </x:c>
      <x:c r="AH1407" s="30" t="str">
        <x:v>Project_Pan-AsianCooperative</x:v>
      </x:c>
    </x:row>
    <x:row r="1408">
      <x:c r="A1408" s="30" t="str">
        <x:v>2070</x:v>
      </x:c>
      <x:c r="B1408" s="30" t="str">
        <x:v>Base game</x:v>
      </x:c>
      <x:c r="C1408" s="30" t="str">
        <x:v>Egypt</x:v>
      </x:c>
      <x:c r="D1408" s="30" t="str">
        <x:v>Algeria</x:v>
      </x:c>
      <x:c r="E1408" s="30" t="str">
        <x:v>Project unlock</x:v>
      </x:c>
      <x:c r="F1408" s="30" t="str">
        <x:v>United Arab League</x:v>
      </x:c>
      <x:c r="G1408" s="30" t="str">
        <x:v>No</x:v>
      </x:c>
      <x:c r="H1408" s="30" t="str">
        <x:v>Ordinary claim</x:v>
      </x:c>
      <x:c r="I1408" s="31" t="n">
        <x:f>IF(G1408="Yes",'Controls &amp; Summary'!$B$5,'Controls &amp; Summary'!$B$4)</x:f>
        <x:v>6</x:v>
      </x:c>
      <x:c r="J1408" s="31" t="n">
        <x:v>4.2</x:v>
      </x:c>
      <x:c r="K1408" s="31" t="n">
        <x:v>3.5</x:v>
      </x:c>
      <x:c r="L1408" s="31" t="n">
        <x:f>ABS(J1408-K1408)</x:f>
        <x:v>0.7000000000000002</x:v>
      </x:c>
      <x:c r="M1408" s="31" t="n">
        <x:v>3.4</x:v>
      </x:c>
      <x:c r="N1408" s="31" t="n">
        <x:v>2.8</x:v>
      </x:c>
      <x:c r="O1408" s="31" t="n">
        <x:f>ABS(M1408-N1408)</x:f>
        <x:v>0.6000000000000001</x:v>
      </x:c>
      <x:c r="P1408" s="31" t="n">
        <x:v>8.1</x:v>
      </x:c>
      <x:c r="Q1408" s="31" t="n">
        <x:v>8.64</x:v>
      </x:c>
      <x:c r="R1408" s="31" t="n">
        <x:f>ABS(P1408-Q1408)</x:f>
        <x:v>0.5400000000000009</x:v>
      </x:c>
      <x:c r="S1408" s="32" t="n">
        <x:v>54767.88966355457</x:v>
      </x:c>
      <x:c r="T1408" s="32" t="n">
        <x:v>36946.91715449493</x:v>
      </x:c>
      <x:c r="U1408" s="31" t="n">
        <x:f>MAX(S1408/T1408,T1408/S1408)</x:f>
        <x:v>1.482339904965293</x:v>
      </x:c>
      <x:c r="V1408" s="31" t="n">
        <x:f>L1408*'Controls &amp; Summary'!$B$9+O1408*'Controls &amp; Summary'!$B$10+R1408*'Controls &amp; Summary'!$B$11+U1408*'Controls &amp; Summary'!$B$12</x:f>
        <x:v>3.322339904965294</x:v>
      </x:c>
      <x:c r="W1408" s="31" t="n">
        <x:v>4.7</x:v>
      </x:c>
      <x:c r="X1408" s="31" t="n">
        <x:v>0</x:v>
      </x:c>
      <x:c r="Y1408" s="31" t="n">
        <x:f>((10-MIN(10,MAX(0,X1408)))/10)*'Controls &amp; Summary'!$B$15+((10-MIN(10,MAX(0,W1408)))/10)*'Controls &amp; Summary'!$B$16</x:f>
        <x:v>1.53</x:v>
      </x:c>
      <x:c r="Z1408" s="31" t="n">
        <x:f>V1408*Y1408</x:f>
        <x:v>5.0831800545969</x:v>
      </x:c>
      <x:c r="AA1408" s="30" t="str">
        <x:f>IF(Z1408&lt;=I1408,"Peaceful","Hostile")</x:f>
        <x:v>Peaceful</x:v>
      </x:c>
      <x:c r="AB1408" s="30" t="str">
        <x:f>IF(Z1408&lt;='Controls &amp; Summary'!$B$6,"Eligible","Blocked")</x:f>
        <x:v>Eligible</x:v>
      </x:c>
      <x:c r="AC1408" s="30" t="str">
        <x:v>2070_EGY</x:v>
      </x:c>
      <x:c r="AD1408" s="30" t="str">
        <x:v>2070_DZA</x:v>
      </x:c>
      <x:c r="AE1408" s="30" t="str">
        <x:v>2070_Algeria</x:v>
      </x:c>
      <x:c r="AF1408" s="30" t="str">
        <x:v>Explicit capitalClaim</x:v>
      </x:c>
      <x:c r="AG1408" s="30" t="str">
        <x:v>Claim2070_EGY2070_Algeria</x:v>
      </x:c>
      <x:c r="AH1408" s="30" t="str">
        <x:v>Project_UnitedArabLeague</x:v>
      </x:c>
    </x:row>
    <x:row r="1409">
      <x:c r="A1409" s="30" t="str">
        <x:v>2070</x:v>
      </x:c>
      <x:c r="B1409" s="30" t="str">
        <x:v>Base game</x:v>
      </x:c>
      <x:c r="C1409" s="30" t="str">
        <x:v>Egypt</x:v>
      </x:c>
      <x:c r="D1409" s="30" t="str">
        <x:v>Iraq</x:v>
      </x:c>
      <x:c r="E1409" s="30" t="str">
        <x:v>Project unlock</x:v>
      </x:c>
      <x:c r="F1409" s="30" t="str">
        <x:v>United Arab League</x:v>
      </x:c>
      <x:c r="G1409" s="30" t="str">
        <x:v>No</x:v>
      </x:c>
      <x:c r="H1409" s="30" t="str">
        <x:v>Ordinary claim</x:v>
      </x:c>
      <x:c r="I1409" s="31" t="n">
        <x:f>IF(G1409="Yes",'Controls &amp; Summary'!$B$5,'Controls &amp; Summary'!$B$4)</x:f>
        <x:v>6</x:v>
      </x:c>
      <x:c r="J1409" s="31" t="n">
        <x:v>4.2</x:v>
      </x:c>
      <x:c r="K1409" s="31" t="n">
        <x:v>5.1</x:v>
      </x:c>
      <x:c r="L1409" s="31" t="n">
        <x:f>ABS(J1409-K1409)</x:f>
        <x:v>0.8999999999999995</x:v>
      </x:c>
      <x:c r="M1409" s="31" t="n">
        <x:v>3.4</x:v>
      </x:c>
      <x:c r="N1409" s="31" t="n">
        <x:v>4.2</x:v>
      </x:c>
      <x:c r="O1409" s="31" t="n">
        <x:f>ABS(M1409-N1409)</x:f>
        <x:v>0.8000000000000003</x:v>
      </x:c>
      <x:c r="P1409" s="31" t="n">
        <x:v>8.1</x:v>
      </x:c>
      <x:c r="Q1409" s="31" t="n">
        <x:v>7.49</x:v>
      </x:c>
      <x:c r="R1409" s="31" t="n">
        <x:f>ABS(P1409-Q1409)</x:f>
        <x:v>0.6099999999999994</x:v>
      </x:c>
      <x:c r="S1409" s="32" t="n">
        <x:v>54767.88966355457</x:v>
      </x:c>
      <x:c r="T1409" s="32" t="n">
        <x:v>24364.398249420425</x:v>
      </x:c>
      <x:c r="U1409" s="31" t="n">
        <x:f>MAX(S1409/T1409,T1409/S1409)</x:f>
        <x:v>2.24786547580166</x:v>
      </x:c>
      <x:c r="V1409" s="31" t="n">
        <x:f>L1409*'Controls &amp; Summary'!$B$9+O1409*'Controls &amp; Summary'!$B$10+R1409*'Controls &amp; Summary'!$B$11+U1409*'Controls &amp; Summary'!$B$12</x:f>
        <x:v>4.557865475801659</x:v>
      </x:c>
      <x:c r="W1409" s="31" t="n">
        <x:v>4.7</x:v>
      </x:c>
      <x:c r="X1409" s="31" t="n">
        <x:v>4.2</x:v>
      </x:c>
      <x:c r="Y1409" s="31" t="n">
        <x:f>((10-MIN(10,MAX(0,X1409)))/10)*'Controls &amp; Summary'!$B$15+((10-MIN(10,MAX(0,W1409)))/10)*'Controls &amp; Summary'!$B$16</x:f>
        <x:v>1.1099999999999999</x:v>
      </x:c>
      <x:c r="Z1409" s="31" t="n">
        <x:f>V1409*Y1409</x:f>
        <x:v>5.059230678139841</x:v>
      </x:c>
      <x:c r="AA1409" s="30" t="str">
        <x:f>IF(Z1409&lt;=I1409,"Peaceful","Hostile")</x:f>
        <x:v>Peaceful</x:v>
      </x:c>
      <x:c r="AB1409" s="30" t="str">
        <x:f>IF(Z1409&lt;='Controls &amp; Summary'!$B$6,"Eligible","Blocked")</x:f>
        <x:v>Eligible</x:v>
      </x:c>
      <x:c r="AC1409" s="30" t="str">
        <x:v>2070_EGY</x:v>
      </x:c>
      <x:c r="AD1409" s="30" t="str">
        <x:v>2070_IRQ</x:v>
      </x:c>
      <x:c r="AE1409" s="30" t="str">
        <x:v>2070_Baghdad</x:v>
      </x:c>
      <x:c r="AF1409" s="30" t="str">
        <x:v>Explicit capitalClaim</x:v>
      </x:c>
      <x:c r="AG1409" s="30" t="str">
        <x:v>Claim2070_EGY2070_Baghdad</x:v>
      </x:c>
      <x:c r="AH1409" s="30" t="str">
        <x:v>Project_UnitedArabLeague</x:v>
      </x:c>
    </x:row>
    <x:row r="1410">
      <x:c r="A1410" s="30" t="str">
        <x:v>2070</x:v>
      </x:c>
      <x:c r="B1410" s="30" t="str">
        <x:v>Base game</x:v>
      </x:c>
      <x:c r="C1410" s="30" t="str">
        <x:v>Egypt</x:v>
      </x:c>
      <x:c r="D1410" s="30" t="str">
        <x:v>Israel</x:v>
      </x:c>
      <x:c r="E1410" s="30" t="str">
        <x:v>Project unlock</x:v>
      </x:c>
      <x:c r="F1410" s="30" t="str">
        <x:v>United Arab League</x:v>
      </x:c>
      <x:c r="G1410" s="30" t="str">
        <x:v>Yes</x:v>
      </x:c>
      <x:c r="H1410" s="30" t="str">
        <x:v>Template hostileClaim</x:v>
      </x:c>
      <x:c r="I1410" s="31" t="n">
        <x:f>IF(G1410="Yes",'Controls &amp; Summary'!$B$5,'Controls &amp; Summary'!$B$4)</x:f>
        <x:v>3</x:v>
      </x:c>
      <x:c r="J1410" s="31" t="n">
        <x:v>4.2</x:v>
      </x:c>
      <x:c r="K1410" s="31" t="n">
        <x:v>5.4</x:v>
      </x:c>
      <x:c r="L1410" s="31" t="n">
        <x:f>ABS(J1410-K1410)</x:f>
        <x:v>1.2000000000000002</x:v>
      </x:c>
      <x:c r="M1410" s="31" t="n">
        <x:v>3.4</x:v>
      </x:c>
      <x:c r="N1410" s="31" t="n">
        <x:v>3</x:v>
      </x:c>
      <x:c r="O1410" s="31" t="n">
        <x:f>ABS(M1410-N1410)</x:f>
        <x:v>0.3999999999999999</x:v>
      </x:c>
      <x:c r="P1410" s="31" t="n">
        <x:v>8.1</x:v>
      </x:c>
      <x:c r="Q1410" s="31" t="n">
        <x:v>10.75</x:v>
      </x:c>
      <x:c r="R1410" s="31" t="n">
        <x:f>ABS(P1410-Q1410)</x:f>
        <x:v>2.6500000000000004</x:v>
      </x:c>
      <x:c r="S1410" s="32" t="n">
        <x:v>54767.88966355457</x:v>
      </x:c>
      <x:c r="T1410" s="32" t="n">
        <x:v>124884.35945984125</x:v>
      </x:c>
      <x:c r="U1410" s="31" t="n">
        <x:f>MAX(S1410/T1410,T1410/S1410)</x:f>
        <x:v>2.2802477916717296</x:v>
      </x:c>
      <x:c r="V1410" s="31" t="n">
        <x:f>L1410*'Controls &amp; Summary'!$B$9+O1410*'Controls &amp; Summary'!$B$10+R1410*'Controls &amp; Summary'!$B$11+U1410*'Controls &amp; Summary'!$B$12</x:f>
        <x:v>6.53024779167173</x:v>
      </x:c>
      <x:c r="W1410" s="31" t="n">
        <x:v>4.7</x:v>
      </x:c>
      <x:c r="X1410" s="31" t="n">
        <x:v>0</x:v>
      </x:c>
      <x:c r="Y1410" s="31" t="n">
        <x:f>((10-MIN(10,MAX(0,X1410)))/10)*'Controls &amp; Summary'!$B$15+((10-MIN(10,MAX(0,W1410)))/10)*'Controls &amp; Summary'!$B$16</x:f>
        <x:v>1.53</x:v>
      </x:c>
      <x:c r="Z1410" s="31" t="n">
        <x:f>V1410*Y1410</x:f>
        <x:v>9.991279121257747</x:v>
      </x:c>
      <x:c r="AA1410" s="30" t="str">
        <x:f>IF(Z1410&lt;=I1410,"Peaceful","Hostile")</x:f>
        <x:v>Hostile</x:v>
      </x:c>
      <x:c r="AB1410" s="30" t="str">
        <x:f>IF(Z1410&lt;='Controls &amp; Summary'!$B$6,"Eligible","Blocked")</x:f>
        <x:v>Eligible</x:v>
      </x:c>
      <x:c r="AC1410" s="30" t="str">
        <x:v>2070_EGY</x:v>
      </x:c>
      <x:c r="AD1410" s="30" t="str">
        <x:v>2070_ISR</x:v>
      </x:c>
      <x:c r="AE1410" s="30" t="str">
        <x:v>2070_Israel</x:v>
      </x:c>
      <x:c r="AF1410" s="30" t="str">
        <x:v>Explicit capitalClaim</x:v>
      </x:c>
      <x:c r="AG1410" s="30" t="str">
        <x:v>Claim2070_EGY2070_Israel</x:v>
      </x:c>
      <x:c r="AH1410" s="30" t="str">
        <x:v>Project_UnitedArabLeague</x:v>
      </x:c>
    </x:row>
    <x:row r="1411">
      <x:c r="A1411" s="30" t="str">
        <x:v>2070</x:v>
      </x:c>
      <x:c r="B1411" s="30" t="str">
        <x:v>Base game</x:v>
      </x:c>
      <x:c r="C1411" s="30" t="str">
        <x:v>Egypt</x:v>
      </x:c>
      <x:c r="D1411" s="30" t="str">
        <x:v>Jordan</x:v>
      </x:c>
      <x:c r="E1411" s="30" t="str">
        <x:v>Project unlock</x:v>
      </x:c>
      <x:c r="F1411" s="30" t="str">
        <x:v>United Arab League</x:v>
      </x:c>
      <x:c r="G1411" s="30" t="str">
        <x:v>No</x:v>
      </x:c>
      <x:c r="H1411" s="30" t="str">
        <x:v>Ordinary claim</x:v>
      </x:c>
      <x:c r="I1411" s="31" t="n">
        <x:f>IF(G1411="Yes",'Controls &amp; Summary'!$B$5,'Controls &amp; Summary'!$B$4)</x:f>
        <x:v>6</x:v>
      </x:c>
      <x:c r="J1411" s="31" t="n">
        <x:v>4.2</x:v>
      </x:c>
      <x:c r="K1411" s="31" t="n">
        <x:v>5.1</x:v>
      </x:c>
      <x:c r="L1411" s="31" t="n">
        <x:f>ABS(J1411-K1411)</x:f>
        <x:v>0.8999999999999995</x:v>
      </x:c>
      <x:c r="M1411" s="31" t="n">
        <x:v>3.4</x:v>
      </x:c>
      <x:c r="N1411" s="31" t="n">
        <x:v>2.9</x:v>
      </x:c>
      <x:c r="O1411" s="31" t="n">
        <x:f>ABS(M1411-N1411)</x:f>
        <x:v>0.5</x:v>
      </x:c>
      <x:c r="P1411" s="31" t="n">
        <x:v>8.1</x:v>
      </x:c>
      <x:c r="Q1411" s="31" t="n">
        <x:v>8.59</x:v>
      </x:c>
      <x:c r="R1411" s="31" t="n">
        <x:f>ABS(P1411-Q1411)</x:f>
        <x:v>0.4900000000000002</x:v>
      </x:c>
      <x:c r="S1411" s="32" t="n">
        <x:v>54767.88966355457</x:v>
      </x:c>
      <x:c r="T1411" s="32" t="n">
        <x:v>26724.115533647306</x:v>
      </x:c>
      <x:c r="U1411" s="31" t="n">
        <x:f>MAX(S1411/T1411,T1411/S1411)</x:f>
        <x:v>2.0493808146652572</x:v>
      </x:c>
      <x:c r="V1411" s="31" t="n">
        <x:f>L1411*'Controls &amp; Summary'!$B$9+O1411*'Controls &amp; Summary'!$B$10+R1411*'Controls &amp; Summary'!$B$11+U1411*'Controls &amp; Summary'!$B$12</x:f>
        <x:v>3.939380814665257</x:v>
      </x:c>
      <x:c r="W1411" s="31" t="n">
        <x:v>4.7</x:v>
      </x:c>
      <x:c r="X1411" s="31" t="n">
        <x:v>0</x:v>
      </x:c>
      <x:c r="Y1411" s="31" t="n">
        <x:f>((10-MIN(10,MAX(0,X1411)))/10)*'Controls &amp; Summary'!$B$15+((10-MIN(10,MAX(0,W1411)))/10)*'Controls &amp; Summary'!$B$16</x:f>
        <x:v>1.53</x:v>
      </x:c>
      <x:c r="Z1411" s="31" t="n">
        <x:f>V1411*Y1411</x:f>
        <x:v>6.0272526464378435</x:v>
      </x:c>
      <x:c r="AA1411" s="30" t="str">
        <x:f>IF(Z1411&lt;=I1411,"Peaceful","Hostile")</x:f>
        <x:v>Hostile</x:v>
      </x:c>
      <x:c r="AB1411" s="30" t="str">
        <x:f>IF(Z1411&lt;='Controls &amp; Summary'!$B$6,"Eligible","Blocked")</x:f>
        <x:v>Eligible</x:v>
      </x:c>
      <x:c r="AC1411" s="30" t="str">
        <x:v>2070_EGY</x:v>
      </x:c>
      <x:c r="AD1411" s="30" t="str">
        <x:v>2070_JOR</x:v>
      </x:c>
      <x:c r="AE1411" s="30" t="str">
        <x:v>2070_Jordan</x:v>
      </x:c>
      <x:c r="AF1411" s="30" t="str">
        <x:v>Explicit capitalClaim</x:v>
      </x:c>
      <x:c r="AG1411" s="30" t="str">
        <x:v>Claim2070_EGY2070_Jordan</x:v>
      </x:c>
      <x:c r="AH1411" s="30" t="str">
        <x:v>Project_UnitedArabLeague</x:v>
      </x:c>
    </x:row>
    <x:row r="1412">
      <x:c r="A1412" s="30" t="str">
        <x:v>2070</x:v>
      </x:c>
      <x:c r="B1412" s="30" t="str">
        <x:v>Base game</x:v>
      </x:c>
      <x:c r="C1412" s="30" t="str">
        <x:v>Egypt</x:v>
      </x:c>
      <x:c r="D1412" s="30" t="str">
        <x:v>Lebanon</x:v>
      </x:c>
      <x:c r="E1412" s="30" t="str">
        <x:v>Project unlock</x:v>
      </x:c>
      <x:c r="F1412" s="30" t="str">
        <x:v>United Arab League</x:v>
      </x:c>
      <x:c r="G1412" s="30" t="str">
        <x:v>No</x:v>
      </x:c>
      <x:c r="H1412" s="30" t="str">
        <x:v>Ordinary claim</x:v>
      </x:c>
      <x:c r="I1412" s="31" t="n">
        <x:f>IF(G1412="Yes",'Controls &amp; Summary'!$B$5,'Controls &amp; Summary'!$B$4)</x:f>
        <x:v>6</x:v>
      </x:c>
      <x:c r="J1412" s="31" t="n">
        <x:v>4.2</x:v>
      </x:c>
      <x:c r="K1412" s="31" t="n">
        <x:v>6.4</x:v>
      </x:c>
      <x:c r="L1412" s="31" t="n">
        <x:f>ABS(J1412-K1412)</x:f>
        <x:v>2.2</x:v>
      </x:c>
      <x:c r="M1412" s="31" t="n">
        <x:v>3.4</x:v>
      </x:c>
      <x:c r="N1412" s="31" t="n">
        <x:v>4.2</x:v>
      </x:c>
      <x:c r="O1412" s="31" t="n">
        <x:f>ABS(M1412-N1412)</x:f>
        <x:v>0.8000000000000003</x:v>
      </x:c>
      <x:c r="P1412" s="31" t="n">
        <x:v>8.1</x:v>
      </x:c>
      <x:c r="Q1412" s="31" t="n">
        <x:v>7.96</x:v>
      </x:c>
      <x:c r="R1412" s="31" t="n">
        <x:f>ABS(P1412-Q1412)</x:f>
        <x:v>0.13999999999999968</x:v>
      </x:c>
      <x:c r="S1412" s="32" t="n">
        <x:v>54767.88966355457</x:v>
      </x:c>
      <x:c r="T1412" s="32" t="n">
        <x:v>46549.91001952278</x:v>
      </x:c>
      <x:c r="U1412" s="31" t="n">
        <x:f>MAX(S1412/T1412,T1412/S1412)</x:f>
        <x:v>1.1765412573426073</x:v>
      </x:c>
      <x:c r="V1412" s="31" t="n">
        <x:f>L1412*'Controls &amp; Summary'!$B$9+O1412*'Controls &amp; Summary'!$B$10+R1412*'Controls &amp; Summary'!$B$11+U1412*'Controls &amp; Summary'!$B$12</x:f>
        <x:v>4.316541257342608</x:v>
      </x:c>
      <x:c r="W1412" s="31" t="n">
        <x:v>4.7</x:v>
      </x:c>
      <x:c r="X1412" s="31" t="n">
        <x:v>0.25</x:v>
      </x:c>
      <x:c r="Y1412" s="31" t="n">
        <x:f>((10-MIN(10,MAX(0,X1412)))/10)*'Controls &amp; Summary'!$B$15+((10-MIN(10,MAX(0,W1412)))/10)*'Controls &amp; Summary'!$B$16</x:f>
        <x:v>1.505</x:v>
      </x:c>
      <x:c r="Z1412" s="31" t="n">
        <x:f>V1412*Y1412</x:f>
        <x:v>6.496394592300624</x:v>
      </x:c>
      <x:c r="AA1412" s="30" t="str">
        <x:f>IF(Z1412&lt;=I1412,"Peaceful","Hostile")</x:f>
        <x:v>Hostile</x:v>
      </x:c>
      <x:c r="AB1412" s="30" t="str">
        <x:f>IF(Z1412&lt;='Controls &amp; Summary'!$B$6,"Eligible","Blocked")</x:f>
        <x:v>Eligible</x:v>
      </x:c>
      <x:c r="AC1412" s="30" t="str">
        <x:v>2070_EGY</x:v>
      </x:c>
      <x:c r="AD1412" s="30" t="str">
        <x:v>2070_LEB</x:v>
      </x:c>
      <x:c r="AE1412" s="30" t="str">
        <x:v>2070_Lebanon</x:v>
      </x:c>
      <x:c r="AF1412" s="30" t="str">
        <x:v>Explicit capitalClaim</x:v>
      </x:c>
      <x:c r="AG1412" s="30" t="str">
        <x:v>Claim2070_EGY2070_Lebanon</x:v>
      </x:c>
      <x:c r="AH1412" s="30" t="str">
        <x:v>Project_UnitedArabLeague</x:v>
      </x:c>
    </x:row>
    <x:row r="1413">
      <x:c r="A1413" s="30" t="str">
        <x:v>2070</x:v>
      </x:c>
      <x:c r="B1413" s="30" t="str">
        <x:v>Base game</x:v>
      </x:c>
      <x:c r="C1413" s="30" t="str">
        <x:v>Egypt</x:v>
      </x:c>
      <x:c r="D1413" s="30" t="str">
        <x:v>Palestine</x:v>
      </x:c>
      <x:c r="E1413" s="30" t="str">
        <x:v>Project unlock</x:v>
      </x:c>
      <x:c r="F1413" s="30" t="str">
        <x:v>United Arab League</x:v>
      </x:c>
      <x:c r="G1413" s="30" t="str">
        <x:v>No</x:v>
      </x:c>
      <x:c r="H1413" s="30" t="str">
        <x:v>Ordinary claim</x:v>
      </x:c>
      <x:c r="I1413" s="31" t="n">
        <x:f>IF(G1413="Yes",'Controls &amp; Summary'!$B$5,'Controls &amp; Summary'!$B$4)</x:f>
        <x:v>6</x:v>
      </x:c>
      <x:c r="J1413" s="31" t="n">
        <x:v>4.2</x:v>
      </x:c>
      <x:c r="K1413" s="31" t="n">
        <x:v>5</x:v>
      </x:c>
      <x:c r="L1413" s="31" t="n">
        <x:f>ABS(J1413-K1413)</x:f>
        <x:v>0.7999999999999998</x:v>
      </x:c>
      <x:c r="M1413" s="31" t="n">
        <x:v>3.4</x:v>
      </x:c>
      <x:c r="N1413" s="31" t="n">
        <x:v>2.9</x:v>
      </x:c>
      <x:c r="O1413" s="31" t="n">
        <x:f>ABS(M1413-N1413)</x:f>
        <x:v>0.5</x:v>
      </x:c>
      <x:c r="P1413" s="31" t="n">
        <x:v>8.1</x:v>
      </x:c>
      <x:c r="Q1413" s="31" t="n">
        <x:v>8.7</x:v>
      </x:c>
      <x:c r="R1413" s="31" t="n">
        <x:f>ABS(P1413-Q1413)</x:f>
        <x:v>0.5999999999999996</x:v>
      </x:c>
      <x:c r="S1413" s="32" t="n">
        <x:v>54767.88966355457</x:v>
      </x:c>
      <x:c r="T1413" s="32" t="n">
        <x:v>12513.13396295576</x:v>
      </x:c>
      <x:c r="U1413" s="31" t="n">
        <x:f>MAX(S1413/T1413,T1413/S1413)</x:f>
        <x:v>4.376832360757184</x:v>
      </x:c>
      <x:c r="V1413" s="31" t="n">
        <x:f>L1413*'Controls &amp; Summary'!$B$9+O1413*'Controls &amp; Summary'!$B$10+R1413*'Controls &amp; Summary'!$B$11+U1413*'Controls &amp; Summary'!$B$12</x:f>
        <x:v>6.276832360757184</x:v>
      </x:c>
      <x:c r="W1413" s="31" t="n">
        <x:v>4.7</x:v>
      </x:c>
      <x:c r="X1413" s="31" t="n">
        <x:v>3.1</x:v>
      </x:c>
      <x:c r="Y1413" s="31" t="n">
        <x:f>((10-MIN(10,MAX(0,X1413)))/10)*'Controls &amp; Summary'!$B$15+((10-MIN(10,MAX(0,W1413)))/10)*'Controls &amp; Summary'!$B$16</x:f>
        <x:v>1.2200000000000002</x:v>
      </x:c>
      <x:c r="Z1413" s="31" t="n">
        <x:f>V1413*Y1413</x:f>
        <x:v>7.657735480123765</x:v>
      </x:c>
      <x:c r="AA1413" s="30" t="str">
        <x:f>IF(Z1413&lt;=I1413,"Peaceful","Hostile")</x:f>
        <x:v>Hostile</x:v>
      </x:c>
      <x:c r="AB1413" s="30" t="str">
        <x:f>IF(Z1413&lt;='Controls &amp; Summary'!$B$6,"Eligible","Blocked")</x:f>
        <x:v>Eligible</x:v>
      </x:c>
      <x:c r="AC1413" s="30" t="str">
        <x:v>2070_EGY</x:v>
      </x:c>
      <x:c r="AD1413" s="30" t="str">
        <x:v>2070_PAL</x:v>
      </x:c>
      <x:c r="AE1413" s="30" t="str">
        <x:v>2070_Palestine</x:v>
      </x:c>
      <x:c r="AF1413" s="30" t="str">
        <x:v>Explicit capitalClaim</x:v>
      </x:c>
      <x:c r="AG1413" s="30" t="str">
        <x:v>Claim2070_EGY2070_Palestine</x:v>
      </x:c>
      <x:c r="AH1413" s="30" t="str">
        <x:v>Project_UnitedArabLeague</x:v>
      </x:c>
    </x:row>
    <x:row r="1414">
      <x:c r="A1414" s="30" t="str">
        <x:v>2070</x:v>
      </x:c>
      <x:c r="B1414" s="30" t="str">
        <x:v>Base game</x:v>
      </x:c>
      <x:c r="C1414" s="30" t="str">
        <x:v>Egypt</x:v>
      </x:c>
      <x:c r="D1414" s="30" t="str">
        <x:v>Saudi Arabia</x:v>
      </x:c>
      <x:c r="E1414" s="30" t="str">
        <x:v>Project unlock</x:v>
      </x:c>
      <x:c r="F1414" s="30" t="str">
        <x:v>United Arab League</x:v>
      </x:c>
      <x:c r="G1414" s="30" t="str">
        <x:v>No</x:v>
      </x:c>
      <x:c r="H1414" s="30" t="str">
        <x:v>Ordinary claim</x:v>
      </x:c>
      <x:c r="I1414" s="31" t="n">
        <x:f>IF(G1414="Yes",'Controls &amp; Summary'!$B$5,'Controls &amp; Summary'!$B$4)</x:f>
        <x:v>6</x:v>
      </x:c>
      <x:c r="J1414" s="31" t="n">
        <x:v>4.2</x:v>
      </x:c>
      <x:c r="K1414" s="31" t="n">
        <x:v>2.2</x:v>
      </x:c>
      <x:c r="L1414" s="31" t="n">
        <x:f>ABS(J1414-K1414)</x:f>
        <x:v>2</x:v>
      </x:c>
      <x:c r="M1414" s="31" t="n">
        <x:v>3.4</x:v>
      </x:c>
      <x:c r="N1414" s="31" t="n">
        <x:v>3.8</x:v>
      </x:c>
      <x:c r="O1414" s="31" t="n">
        <x:f>ABS(M1414-N1414)</x:f>
        <x:v>0.3999999999999999</x:v>
      </x:c>
      <x:c r="P1414" s="31" t="n">
        <x:v>8.1</x:v>
      </x:c>
      <x:c r="Q1414" s="31" t="n">
        <x:v>9.81</x:v>
      </x:c>
      <x:c r="R1414" s="31" t="n">
        <x:f>ABS(P1414-Q1414)</x:f>
        <x:v>1.7100000000000009</x:v>
      </x:c>
      <x:c r="S1414" s="32" t="n">
        <x:v>54767.88966355457</x:v>
      </x:c>
      <x:c r="T1414" s="32" t="n">
        <x:v>28745.40249265903</x:v>
      </x:c>
      <x:c r="U1414" s="31" t="n">
        <x:f>MAX(S1414/T1414,T1414/S1414)</x:f>
        <x:v>1.9052747540251398</x:v>
      </x:c>
      <x:c r="V1414" s="31" t="n">
        <x:f>L1414*'Controls &amp; Summary'!$B$9+O1414*'Controls &amp; Summary'!$B$10+R1414*'Controls &amp; Summary'!$B$11+U1414*'Controls &amp; Summary'!$B$12</x:f>
        <x:v>6.015274754025141</x:v>
      </x:c>
      <x:c r="W1414" s="31" t="n">
        <x:v>4.7</x:v>
      </x:c>
      <x:c r="X1414" s="31" t="n">
        <x:v>2</x:v>
      </x:c>
      <x:c r="Y1414" s="31" t="n">
        <x:f>((10-MIN(10,MAX(0,X1414)))/10)*'Controls &amp; Summary'!$B$15+((10-MIN(10,MAX(0,W1414)))/10)*'Controls &amp; Summary'!$B$16</x:f>
        <x:v>1.33</x:v>
      </x:c>
      <x:c r="Z1414" s="31" t="n">
        <x:f>V1414*Y1414</x:f>
        <x:v>8.000315422853438</x:v>
      </x:c>
      <x:c r="AA1414" s="30" t="str">
        <x:f>IF(Z1414&lt;=I1414,"Peaceful","Hostile")</x:f>
        <x:v>Hostile</x:v>
      </x:c>
      <x:c r="AB1414" s="30" t="str">
        <x:f>IF(Z1414&lt;='Controls &amp; Summary'!$B$6,"Eligible","Blocked")</x:f>
        <x:v>Eligible</x:v>
      </x:c>
      <x:c r="AC1414" s="30" t="str">
        <x:v>2070_EGY</x:v>
      </x:c>
      <x:c r="AD1414" s="30" t="str">
        <x:v>2070_SAU</x:v>
      </x:c>
      <x:c r="AE1414" s="30" t="str">
        <x:v>2070_Najd</x:v>
      </x:c>
      <x:c r="AF1414" s="30" t="str">
        <x:v>Explicit capitalClaim</x:v>
      </x:c>
      <x:c r="AG1414" s="30" t="str">
        <x:v>Claim2070_EGY2070_Najd</x:v>
      </x:c>
      <x:c r="AH1414" s="30" t="str">
        <x:v>Project_UnitedArabLeague</x:v>
      </x:c>
    </x:row>
    <x:row r="1415">
      <x:c r="A1415" s="30" t="str">
        <x:v>2070</x:v>
      </x:c>
      <x:c r="B1415" s="30" t="str">
        <x:v>Base game</x:v>
      </x:c>
      <x:c r="C1415" s="30" t="str">
        <x:v>Egypt</x:v>
      </x:c>
      <x:c r="D1415" s="30" t="str">
        <x:v>Sudan</x:v>
      </x:c>
      <x:c r="E1415" s="30" t="str">
        <x:v>Project unlock</x:v>
      </x:c>
      <x:c r="F1415" s="30" t="str">
        <x:v>United Arab League</x:v>
      </x:c>
      <x:c r="G1415" s="30" t="str">
        <x:v>No</x:v>
      </x:c>
      <x:c r="H1415" s="30" t="str">
        <x:v>Ordinary claim</x:v>
      </x:c>
      <x:c r="I1415" s="31" t="n">
        <x:f>IF(G1415="Yes",'Controls &amp; Summary'!$B$5,'Controls &amp; Summary'!$B$4)</x:f>
        <x:v>6</x:v>
      </x:c>
      <x:c r="J1415" s="31" t="n">
        <x:v>4.2</x:v>
      </x:c>
      <x:c r="K1415" s="31" t="n">
        <x:v>4.7</x:v>
      </x:c>
      <x:c r="L1415" s="31" t="n">
        <x:f>ABS(J1415-K1415)</x:f>
        <x:v>0.5</x:v>
      </x:c>
      <x:c r="M1415" s="31" t="n">
        <x:v>3.4</x:v>
      </x:c>
      <x:c r="N1415" s="31" t="n">
        <x:v>3.5</x:v>
      </x:c>
      <x:c r="O1415" s="31" t="n">
        <x:f>ABS(M1415-N1415)</x:f>
        <x:v>0.10000000000000009</x:v>
      </x:c>
      <x:c r="P1415" s="31" t="n">
        <x:v>8.1</x:v>
      </x:c>
      <x:c r="Q1415" s="31" t="n">
        <x:v>5.37</x:v>
      </x:c>
      <x:c r="R1415" s="31" t="n">
        <x:f>ABS(P1415-Q1415)</x:f>
        <x:v>2.7299999999999995</x:v>
      </x:c>
      <x:c r="S1415" s="32" t="n">
        <x:v>54767.88966355457</x:v>
      </x:c>
      <x:c r="T1415" s="32" t="n">
        <x:v>17046.74020155385</x:v>
      </x:c>
      <x:c r="U1415" s="31" t="n">
        <x:f>MAX(S1415/T1415,T1415/S1415)</x:f>
        <x:v>3.2128072004383776</x:v>
      </x:c>
      <x:c r="V1415" s="31" t="n">
        <x:f>L1415*'Controls &amp; Summary'!$B$9+O1415*'Controls &amp; Summary'!$B$10+R1415*'Controls &amp; Summary'!$B$11+U1415*'Controls &amp; Summary'!$B$12</x:f>
        <x:v>6.542807200438377</x:v>
      </x:c>
      <x:c r="W1415" s="31" t="n">
        <x:v>4.7</x:v>
      </x:c>
      <x:c r="X1415" s="31" t="n">
        <x:v>4.9</x:v>
      </x:c>
      <x:c r="Y1415" s="31" t="n">
        <x:f>((10-MIN(10,MAX(0,X1415)))/10)*'Controls &amp; Summary'!$B$15+((10-MIN(10,MAX(0,W1415)))/10)*'Controls &amp; Summary'!$B$16</x:f>
        <x:v>1.04</x:v>
      </x:c>
      <x:c r="Z1415" s="31" t="n">
        <x:f>V1415*Y1415</x:f>
        <x:v>6.804519488455912</x:v>
      </x:c>
      <x:c r="AA1415" s="30" t="str">
        <x:f>IF(Z1415&lt;=I1415,"Peaceful","Hostile")</x:f>
        <x:v>Hostile</x:v>
      </x:c>
      <x:c r="AB1415" s="30" t="str">
        <x:f>IF(Z1415&lt;='Controls &amp; Summary'!$B$6,"Eligible","Blocked")</x:f>
        <x:v>Eligible</x:v>
      </x:c>
      <x:c r="AC1415" s="30" t="str">
        <x:v>2070_EGY</x:v>
      </x:c>
      <x:c r="AD1415" s="30" t="str">
        <x:v>2070_SDN</x:v>
      </x:c>
      <x:c r="AE1415" s="30" t="str">
        <x:v>2070_Sudan</x:v>
      </x:c>
      <x:c r="AF1415" s="30" t="str">
        <x:v>Explicit capitalClaim</x:v>
      </x:c>
      <x:c r="AG1415" s="30" t="str">
        <x:v>Claim2070_EGY2070_Sudan</x:v>
      </x:c>
      <x:c r="AH1415" s="30" t="str">
        <x:v>Project_UnitedArabLeague</x:v>
      </x:c>
    </x:row>
    <x:row r="1416">
      <x:c r="A1416" s="30" t="str">
        <x:v>2070</x:v>
      </x:c>
      <x:c r="B1416" s="30" t="str">
        <x:v>Base game</x:v>
      </x:c>
      <x:c r="C1416" s="30" t="str">
        <x:v>Egypt</x:v>
      </x:c>
      <x:c r="D1416" s="30" t="str">
        <x:v>Syria</x:v>
      </x:c>
      <x:c r="E1416" s="30" t="str">
        <x:v>Project unlock</x:v>
      </x:c>
      <x:c r="F1416" s="30" t="str">
        <x:v>United Arab League</x:v>
      </x:c>
      <x:c r="G1416" s="30" t="str">
        <x:v>No</x:v>
      </x:c>
      <x:c r="H1416" s="30" t="str">
        <x:v>Ordinary claim</x:v>
      </x:c>
      <x:c r="I1416" s="31" t="n">
        <x:f>IF(G1416="Yes",'Controls &amp; Summary'!$B$5,'Controls &amp; Summary'!$B$4)</x:f>
        <x:v>6</x:v>
      </x:c>
      <x:c r="J1416" s="31" t="n">
        <x:v>4.2</x:v>
      </x:c>
      <x:c r="K1416" s="31" t="n">
        <x:v>3</x:v>
      </x:c>
      <x:c r="L1416" s="31" t="n">
        <x:f>ABS(J1416-K1416)</x:f>
        <x:v>1.2000000000000002</x:v>
      </x:c>
      <x:c r="M1416" s="31" t="n">
        <x:v>3.4</x:v>
      </x:c>
      <x:c r="N1416" s="31" t="n">
        <x:v>3.6</x:v>
      </x:c>
      <x:c r="O1416" s="31" t="n">
        <x:f>ABS(M1416-N1416)</x:f>
        <x:v>0.20000000000000018</x:v>
      </x:c>
      <x:c r="P1416" s="31" t="n">
        <x:v>8.1</x:v>
      </x:c>
      <x:c r="Q1416" s="31" t="n">
        <x:v>7.29</x:v>
      </x:c>
      <x:c r="R1416" s="31" t="n">
        <x:f>ABS(P1416-Q1416)</x:f>
        <x:v>0.8099999999999996</x:v>
      </x:c>
      <x:c r="S1416" s="32" t="n">
        <x:v>54767.88966355457</x:v>
      </x:c>
      <x:c r="T1416" s="32" t="n">
        <x:v>4889.591257735797</x:v>
      </x:c>
      <x:c r="U1416" s="31" t="n">
        <x:f>MAX(S1416/T1416,T1416/S1416)</x:f>
        <x:v>11.200913691283821</x:v>
      </x:c>
      <x:c r="V1416" s="31" t="n">
        <x:f>L1416*'Controls &amp; Summary'!$B$9+O1416*'Controls &amp; Summary'!$B$10+R1416*'Controls &amp; Summary'!$B$11+U1416*'Controls &amp; Summary'!$B$12</x:f>
        <x:v>13.41091369128382</x:v>
      </x:c>
      <x:c r="W1416" s="31" t="n">
        <x:v>4.7</x:v>
      </x:c>
      <x:c r="X1416" s="31" t="n">
        <x:v>3</x:v>
      </x:c>
      <x:c r="Y1416" s="31" t="n">
        <x:f>((10-MIN(10,MAX(0,X1416)))/10)*'Controls &amp; Summary'!$B$15+((10-MIN(10,MAX(0,W1416)))/10)*'Controls &amp; Summary'!$B$16</x:f>
        <x:v>1.23</x:v>
      </x:c>
      <x:c r="Z1416" s="31" t="n">
        <x:f>V1416*Y1416</x:f>
        <x:v>16.4954238402791</x:v>
      </x:c>
      <x:c r="AA1416" s="30" t="str">
        <x:f>IF(Z1416&lt;=I1416,"Peaceful","Hostile")</x:f>
        <x:v>Hostile</x:v>
      </x:c>
      <x:c r="AB1416" s="30" t="str">
        <x:f>IF(Z1416&lt;='Controls &amp; Summary'!$B$6,"Eligible","Blocked")</x:f>
        <x:v>Blocked</x:v>
      </x:c>
      <x:c r="AC1416" s="30" t="str">
        <x:v>2070_EGY</x:v>
      </x:c>
      <x:c r="AD1416" s="30" t="str">
        <x:v>2070_SYR</x:v>
      </x:c>
      <x:c r="AE1416" s="30" t="str">
        <x:v>2070_Syria</x:v>
      </x:c>
      <x:c r="AF1416" s="30" t="str">
        <x:v>Explicit capitalClaim</x:v>
      </x:c>
      <x:c r="AG1416" s="30" t="str">
        <x:v>Claim2070_EGY2070_Syria</x:v>
      </x:c>
      <x:c r="AH1416" s="30" t="str">
        <x:v>Project_UnitedArabLeague</x:v>
      </x:c>
    </x:row>
    <x:row r="1417">
      <x:c r="A1417" s="30" t="str">
        <x:v>2070</x:v>
      </x:c>
      <x:c r="B1417" s="30" t="str">
        <x:v>Base game</x:v>
      </x:c>
      <x:c r="C1417" s="30" t="str">
        <x:v>Ethiopia</x:v>
      </x:c>
      <x:c r="D1417" s="30" t="str">
        <x:v>Algeria</x:v>
      </x:c>
      <x:c r="E1417" s="30" t="str">
        <x:v>Project unlock</x:v>
      </x:c>
      <x:c r="F1417" s="30" t="str">
        <x:v>Great African Union</x:v>
      </x:c>
      <x:c r="G1417" s="30" t="str">
        <x:v>No</x:v>
      </x:c>
      <x:c r="H1417" s="30" t="str">
        <x:v>Ordinary claim</x:v>
      </x:c>
      <x:c r="I1417" s="31" t="n">
        <x:f>IF(G1417="Yes",'Controls &amp; Summary'!$B$5,'Controls &amp; Summary'!$B$4)</x:f>
        <x:v>6</x:v>
      </x:c>
      <x:c r="J1417" s="31" t="n">
        <x:v>5.7</x:v>
      </x:c>
      <x:c r="K1417" s="31" t="n">
        <x:v>3.5</x:v>
      </x:c>
      <x:c r="L1417" s="31" t="n">
        <x:f>ABS(J1417-K1417)</x:f>
        <x:v>2.2</x:v>
      </x:c>
      <x:c r="M1417" s="31" t="n">
        <x:v>3.5</x:v>
      </x:c>
      <x:c r="N1417" s="31" t="n">
        <x:v>2.8</x:v>
      </x:c>
      <x:c r="O1417" s="31" t="n">
        <x:f>ABS(M1417-N1417)</x:f>
        <x:v>0.7000000000000002</x:v>
      </x:c>
      <x:c r="P1417" s="31" t="n">
        <x:v>5.33</x:v>
      </x:c>
      <x:c r="Q1417" s="31" t="n">
        <x:v>8.64</x:v>
      </x:c>
      <x:c r="R1417" s="31" t="n">
        <x:f>ABS(P1417-Q1417)</x:f>
        <x:v>3.3100000000000005</x:v>
      </x:c>
      <x:c r="S1417" s="32" t="n">
        <x:v>22231.98254024619</x:v>
      </x:c>
      <x:c r="T1417" s="32" t="n">
        <x:v>36946.91715449493</x:v>
      </x:c>
      <x:c r="U1417" s="31" t="n">
        <x:f>MAX(S1417/T1417,T1417/S1417)</x:f>
        <x:v>1.66188134988009</x:v>
      </x:c>
      <x:c r="V1417" s="31" t="n">
        <x:f>L1417*'Controls &amp; Summary'!$B$9+O1417*'Controls &amp; Summary'!$B$10+R1417*'Controls &amp; Summary'!$B$11+U1417*'Controls &amp; Summary'!$B$12</x:f>
        <x:v>7.871881349880091</x:v>
      </x:c>
      <x:c r="W1417" s="31" t="n">
        <x:v>3.8</x:v>
      </x:c>
      <x:c r="X1417" s="31" t="n">
        <x:v>0</x:v>
      </x:c>
      <x:c r="Y1417" s="31" t="n">
        <x:f>((10-MIN(10,MAX(0,X1417)))/10)*'Controls &amp; Summary'!$B$15+((10-MIN(10,MAX(0,W1417)))/10)*'Controls &amp; Summary'!$B$16</x:f>
        <x:v>1.62</x:v>
      </x:c>
      <x:c r="Z1417" s="31" t="n">
        <x:f>V1417*Y1417</x:f>
        <x:v>12.75244778680575</x:v>
      </x:c>
      <x:c r="AA1417" s="30" t="str">
        <x:f>IF(Z1417&lt;=I1417,"Peaceful","Hostile")</x:f>
        <x:v>Hostile</x:v>
      </x:c>
      <x:c r="AB1417" s="30" t="str">
        <x:f>IF(Z1417&lt;='Controls &amp; Summary'!$B$6,"Eligible","Blocked")</x:f>
        <x:v>Blocked</x:v>
      </x:c>
      <x:c r="AC1417" s="30" t="str">
        <x:v>2070_ETH</x:v>
      </x:c>
      <x:c r="AD1417" s="30" t="str">
        <x:v>2070_DZA</x:v>
      </x:c>
      <x:c r="AE1417" s="30" t="str">
        <x:v>2070_Algeria</x:v>
      </x:c>
      <x:c r="AF1417" s="30" t="str">
        <x:v>Explicit capitalClaim</x:v>
      </x:c>
      <x:c r="AG1417" s="30" t="str">
        <x:v>Claim2070_ETH2070_Algeria</x:v>
      </x:c>
      <x:c r="AH1417" s="30" t="str">
        <x:v>Project_GreatAfricanUnion</x:v>
      </x:c>
    </x:row>
    <x:row r="1418">
      <x:c r="A1418" s="30" t="str">
        <x:v>2070</x:v>
      </x:c>
      <x:c r="B1418" s="30" t="str">
        <x:v>Base game</x:v>
      </x:c>
      <x:c r="C1418" s="30" t="str">
        <x:v>Ethiopia</x:v>
      </x:c>
      <x:c r="D1418" s="30" t="str">
        <x:v>Angola</x:v>
      </x:c>
      <x:c r="E1418" s="30" t="str">
        <x:v>Project unlock</x:v>
      </x:c>
      <x:c r="F1418" s="30" t="str">
        <x:v>African Union</x:v>
      </x:c>
      <x:c r="G1418" s="30" t="str">
        <x:v>No</x:v>
      </x:c>
      <x:c r="H1418" s="30" t="str">
        <x:v>Ordinary claim</x:v>
      </x:c>
      <x:c r="I1418" s="31" t="n">
        <x:f>IF(G1418="Yes",'Controls &amp; Summary'!$B$5,'Controls &amp; Summary'!$B$4)</x:f>
        <x:v>6</x:v>
      </x:c>
      <x:c r="J1418" s="31" t="n">
        <x:v>5.7</x:v>
      </x:c>
      <x:c r="K1418" s="31" t="n">
        <x:v>2.5</x:v>
      </x:c>
      <x:c r="L1418" s="31" t="n">
        <x:f>ABS(J1418-K1418)</x:f>
        <x:v>3.2</x:v>
      </x:c>
      <x:c r="M1418" s="31" t="n">
        <x:v>3.5</x:v>
      </x:c>
      <x:c r="N1418" s="31" t="n">
        <x:v>4.8</x:v>
      </x:c>
      <x:c r="O1418" s="31" t="n">
        <x:f>ABS(M1418-N1418)</x:f>
        <x:v>1.2999999999999998</x:v>
      </x:c>
      <x:c r="P1418" s="31" t="n">
        <x:v>5.33</x:v>
      </x:c>
      <x:c r="Q1418" s="31" t="n">
        <x:v>6.92</x:v>
      </x:c>
      <x:c r="R1418" s="31" t="n">
        <x:f>ABS(P1418-Q1418)</x:f>
        <x:v>1.5899999999999999</x:v>
      </x:c>
      <x:c r="S1418" s="32" t="n">
        <x:v>22231.98254024619</x:v>
      </x:c>
      <x:c r="T1418" s="32" t="n">
        <x:v>20598.167393132157</x:v>
      </x:c>
      <x:c r="U1418" s="31" t="n">
        <x:f>MAX(S1418/T1418,T1418/S1418)</x:f>
        <x:v>1.0793184711985</x:v>
      </x:c>
      <x:c r="V1418" s="31" t="n">
        <x:f>L1418*'Controls &amp; Summary'!$B$9+O1418*'Controls &amp; Summary'!$B$10+R1418*'Controls &amp; Summary'!$B$11+U1418*'Controls &amp; Summary'!$B$12</x:f>
        <x:v>7.169318471198499</x:v>
      </x:c>
      <x:c r="W1418" s="31" t="n">
        <x:v>3.8</x:v>
      </x:c>
      <x:c r="X1418" s="31" t="n">
        <x:v>4.4</x:v>
      </x:c>
      <x:c r="Y1418" s="31" t="n">
        <x:f>((10-MIN(10,MAX(0,X1418)))/10)*'Controls &amp; Summary'!$B$15+((10-MIN(10,MAX(0,W1418)))/10)*'Controls &amp; Summary'!$B$16</x:f>
        <x:v>1.18</x:v>
      </x:c>
      <x:c r="Z1418" s="31" t="n">
        <x:f>V1418*Y1418</x:f>
        <x:v>8.459795796014228</x:v>
      </x:c>
      <x:c r="AA1418" s="30" t="str">
        <x:f>IF(Z1418&lt;=I1418,"Peaceful","Hostile")</x:f>
        <x:v>Hostile</x:v>
      </x:c>
      <x:c r="AB1418" s="30" t="str">
        <x:f>IF(Z1418&lt;='Controls &amp; Summary'!$B$6,"Eligible","Blocked")</x:f>
        <x:v>Eligible</x:v>
      </x:c>
      <x:c r="AC1418" s="30" t="str">
        <x:v>2070_ETH</x:v>
      </x:c>
      <x:c r="AD1418" s="30" t="str">
        <x:v>2070_AGO</x:v>
      </x:c>
      <x:c r="AE1418" s="30" t="str">
        <x:v>2070_Angola</x:v>
      </x:c>
      <x:c r="AF1418" s="30" t="str">
        <x:v>Explicit capitalClaim</x:v>
      </x:c>
      <x:c r="AG1418" s="30" t="str">
        <x:v>Claim2070_ETH2070_Angola</x:v>
      </x:c>
      <x:c r="AH1418" s="30" t="str">
        <x:v>Project_AfricanUnion</x:v>
      </x:c>
    </x:row>
    <x:row r="1419">
      <x:c r="A1419" s="30" t="str">
        <x:v>2070</x:v>
      </x:c>
      <x:c r="B1419" s="30" t="str">
        <x:v>Base game</x:v>
      </x:c>
      <x:c r="C1419" s="30" t="str">
        <x:v>Ethiopia</x:v>
      </x:c>
      <x:c r="D1419" s="30" t="str">
        <x:v>Cameroon</x:v>
      </x:c>
      <x:c r="E1419" s="30" t="str">
        <x:v>Project unlock</x:v>
      </x:c>
      <x:c r="F1419" s="30" t="str">
        <x:v>African Union</x:v>
      </x:c>
      <x:c r="G1419" s="30" t="str">
        <x:v>No</x:v>
      </x:c>
      <x:c r="H1419" s="30" t="str">
        <x:v>Ordinary claim</x:v>
      </x:c>
      <x:c r="I1419" s="31" t="n">
        <x:f>IF(G1419="Yes",'Controls &amp; Summary'!$B$5,'Controls &amp; Summary'!$B$4)</x:f>
        <x:v>6</x:v>
      </x:c>
      <x:c r="J1419" s="31" t="n">
        <x:v>5.7</x:v>
      </x:c>
      <x:c r="K1419" s="31" t="n">
        <x:v>6</x:v>
      </x:c>
      <x:c r="L1419" s="31" t="n">
        <x:f>ABS(J1419-K1419)</x:f>
        <x:v>0.2999999999999998</x:v>
      </x:c>
      <x:c r="M1419" s="31" t="n">
        <x:v>3.5</x:v>
      </x:c>
      <x:c r="N1419" s="31" t="n">
        <x:v>2.9</x:v>
      </x:c>
      <x:c r="O1419" s="31" t="n">
        <x:f>ABS(M1419-N1419)</x:f>
        <x:v>0.6000000000000001</x:v>
      </x:c>
      <x:c r="P1419" s="31" t="n">
        <x:v>5.33</x:v>
      </x:c>
      <x:c r="Q1419" s="31" t="n">
        <x:v>7.39</x:v>
      </x:c>
      <x:c r="R1419" s="31" t="n">
        <x:f>ABS(P1419-Q1419)</x:f>
        <x:v>2.0599999999999996</x:v>
      </x:c>
      <x:c r="S1419" s="32" t="n">
        <x:v>22231.98254024619</x:v>
      </x:c>
      <x:c r="T1419" s="32" t="n">
        <x:v>10353.879463119005</x:v>
      </x:c>
      <x:c r="U1419" s="31" t="n">
        <x:f>MAX(S1419/T1419,T1419/S1419)</x:f>
        <x:v>2.1472128026444133</x:v>
      </x:c>
      <x:c r="V1419" s="31" t="n">
        <x:f>L1419*'Controls &amp; Summary'!$B$9+O1419*'Controls &amp; Summary'!$B$10+R1419*'Controls &amp; Summary'!$B$11+U1419*'Controls &amp; Summary'!$B$12</x:f>
        <x:v>5.107212802644413</x:v>
      </x:c>
      <x:c r="W1419" s="31" t="n">
        <x:v>3.8</x:v>
      </x:c>
      <x:c r="X1419" s="31" t="n">
        <x:v>4.2</x:v>
      </x:c>
      <x:c r="Y1419" s="31" t="n">
        <x:f>((10-MIN(10,MAX(0,X1419)))/10)*'Controls &amp; Summary'!$B$15+((10-MIN(10,MAX(0,W1419)))/10)*'Controls &amp; Summary'!$B$16</x:f>
        <x:v>1.2</x:v>
      </x:c>
      <x:c r="Z1419" s="31" t="n">
        <x:f>V1419*Y1419</x:f>
        <x:v>6.128655363173295</x:v>
      </x:c>
      <x:c r="AA1419" s="30" t="str">
        <x:f>IF(Z1419&lt;=I1419,"Peaceful","Hostile")</x:f>
        <x:v>Hostile</x:v>
      </x:c>
      <x:c r="AB1419" s="30" t="str">
        <x:f>IF(Z1419&lt;='Controls &amp; Summary'!$B$6,"Eligible","Blocked")</x:f>
        <x:v>Eligible</x:v>
      </x:c>
      <x:c r="AC1419" s="30" t="str">
        <x:v>2070_ETH</x:v>
      </x:c>
      <x:c r="AD1419" s="30" t="str">
        <x:v>2070_CMR</x:v>
      </x:c>
      <x:c r="AE1419" s="30" t="str">
        <x:v>2070_Cameroon</x:v>
      </x:c>
      <x:c r="AF1419" s="30" t="str">
        <x:v>Explicit capitalClaim</x:v>
      </x:c>
      <x:c r="AG1419" s="30" t="str">
        <x:v>Claim2070_ETH2070_Cameroon</x:v>
      </x:c>
      <x:c r="AH1419" s="30" t="str">
        <x:v>Project_AfricanUnion</x:v>
      </x:c>
    </x:row>
    <x:row r="1420">
      <x:c r="A1420" s="30" t="str">
        <x:v>2070</x:v>
      </x:c>
      <x:c r="B1420" s="30" t="str">
        <x:v>Base game</x:v>
      </x:c>
      <x:c r="C1420" s="30" t="str">
        <x:v>Ethiopia</x:v>
      </x:c>
      <x:c r="D1420" s="30" t="str">
        <x:v>Congo</x:v>
      </x:c>
      <x:c r="E1420" s="30" t="str">
        <x:v>Project unlock</x:v>
      </x:c>
      <x:c r="F1420" s="30" t="str">
        <x:v>African Union</x:v>
      </x:c>
      <x:c r="G1420" s="30" t="str">
        <x:v>No</x:v>
      </x:c>
      <x:c r="H1420" s="30" t="str">
        <x:v>Ordinary claim</x:v>
      </x:c>
      <x:c r="I1420" s="31" t="n">
        <x:f>IF(G1420="Yes",'Controls &amp; Summary'!$B$5,'Controls &amp; Summary'!$B$4)</x:f>
        <x:v>6</x:v>
      </x:c>
      <x:c r="J1420" s="31" t="n">
        <x:v>5.7</x:v>
      </x:c>
      <x:c r="K1420" s="31" t="n">
        <x:v>2.8</x:v>
      </x:c>
      <x:c r="L1420" s="31" t="n">
        <x:f>ABS(J1420-K1420)</x:f>
        <x:v>2.9000000000000004</x:v>
      </x:c>
      <x:c r="M1420" s="31" t="n">
        <x:v>3.5</x:v>
      </x:c>
      <x:c r="N1420" s="31" t="n">
        <x:v>4</x:v>
      </x:c>
      <x:c r="O1420" s="31" t="n">
        <x:f>ABS(M1420-N1420)</x:f>
        <x:v>0.5</x:v>
      </x:c>
      <x:c r="P1420" s="31" t="n">
        <x:v>5.33</x:v>
      </x:c>
      <x:c r="Q1420" s="31" t="n">
        <x:v>6.88</x:v>
      </x:c>
      <x:c r="R1420" s="31" t="n">
        <x:f>ABS(P1420-Q1420)</x:f>
        <x:v>1.5499999999999998</x:v>
      </x:c>
      <x:c r="S1420" s="32" t="n">
        <x:v>22231.98254024619</x:v>
      </x:c>
      <x:c r="T1420" s="32" t="n">
        <x:v>3690.5998014421943</x:v>
      </x:c>
      <x:c r="U1420" s="31" t="n">
        <x:f>MAX(S1420/T1420,T1420/S1420)</x:f>
        <x:v>6.023948338033966</x:v>
      </x:c>
      <x:c r="V1420" s="31" t="n">
        <x:f>L1420*'Controls &amp; Summary'!$B$9+O1420*'Controls &amp; Summary'!$B$10+R1420*'Controls &amp; Summary'!$B$11+U1420*'Controls &amp; Summary'!$B$12</x:f>
        <x:v>10.973948338033967</x:v>
      </x:c>
      <x:c r="W1420" s="31" t="n">
        <x:v>3.8</x:v>
      </x:c>
      <x:c r="X1420" s="31" t="n">
        <x:v>6</x:v>
      </x:c>
      <x:c r="Y1420" s="31" t="n">
        <x:f>((10-MIN(10,MAX(0,X1420)))/10)*'Controls &amp; Summary'!$B$15+((10-MIN(10,MAX(0,W1420)))/10)*'Controls &amp; Summary'!$B$16</x:f>
        <x:v>1.02</x:v>
      </x:c>
      <x:c r="Z1420" s="31" t="n">
        <x:f>V1420*Y1420</x:f>
        <x:v>11.193427304794646</x:v>
      </x:c>
      <x:c r="AA1420" s="30" t="str">
        <x:f>IF(Z1420&lt;=I1420,"Peaceful","Hostile")</x:f>
        <x:v>Hostile</x:v>
      </x:c>
      <x:c r="AB1420" s="30" t="str">
        <x:f>IF(Z1420&lt;='Controls &amp; Summary'!$B$6,"Eligible","Blocked")</x:f>
        <x:v>Eligible</x:v>
      </x:c>
      <x:c r="AC1420" s="30" t="str">
        <x:v>2070_ETH</x:v>
      </x:c>
      <x:c r="AD1420" s="30" t="str">
        <x:v>2070_COD</x:v>
      </x:c>
      <x:c r="AE1420" s="30" t="str">
        <x:v>2070_Kinshasa</x:v>
      </x:c>
      <x:c r="AF1420" s="30" t="str">
        <x:v>Explicit capitalClaim</x:v>
      </x:c>
      <x:c r="AG1420" s="30" t="str">
        <x:v>Claim2070_ETH2070_Kinshasa</x:v>
      </x:c>
      <x:c r="AH1420" s="30" t="str">
        <x:v>Project_AfricanUnion</x:v>
      </x:c>
    </x:row>
    <x:row r="1421">
      <x:c r="A1421" s="30" t="str">
        <x:v>2070</x:v>
      </x:c>
      <x:c r="B1421" s="30" t="str">
        <x:v>Base game</x:v>
      </x:c>
      <x:c r="C1421" s="30" t="str">
        <x:v>Ethiopia</x:v>
      </x:c>
      <x:c r="D1421" s="30" t="str">
        <x:v>Djibouti</x:v>
      </x:c>
      <x:c r="E1421" s="30" t="str">
        <x:v>Project unlock</x:v>
      </x:c>
      <x:c r="F1421" s="30" t="str">
        <x:v>African Union</x:v>
      </x:c>
      <x:c r="G1421" s="30" t="str">
        <x:v>No</x:v>
      </x:c>
      <x:c r="H1421" s="30" t="str">
        <x:v>Ordinary claim</x:v>
      </x:c>
      <x:c r="I1421" s="31" t="n">
        <x:f>IF(G1421="Yes",'Controls &amp; Summary'!$B$5,'Controls &amp; Summary'!$B$4)</x:f>
        <x:v>6</x:v>
      </x:c>
      <x:c r="J1421" s="31" t="n">
        <x:v>5.7</x:v>
      </x:c>
      <x:c r="K1421" s="31" t="n">
        <x:v>3.8</x:v>
      </x:c>
      <x:c r="L1421" s="31" t="n">
        <x:f>ABS(J1421-K1421)</x:f>
        <x:v>1.9000000000000004</x:v>
      </x:c>
      <x:c r="M1421" s="31" t="n">
        <x:v>3.5</x:v>
      </x:c>
      <x:c r="N1421" s="31" t="n">
        <x:v>4.4</x:v>
      </x:c>
      <x:c r="O1421" s="31" t="n">
        <x:f>ABS(M1421-N1421)</x:f>
        <x:v>0.9000000000000004</x:v>
      </x:c>
      <x:c r="P1421" s="31" t="n">
        <x:v>5.33</x:v>
      </x:c>
      <x:c r="Q1421" s="31" t="n">
        <x:v>5.17</x:v>
      </x:c>
      <x:c r="R1421" s="31" t="n">
        <x:f>ABS(P1421-Q1421)</x:f>
        <x:v>0.16000000000000014</x:v>
      </x:c>
      <x:c r="S1421" s="32" t="n">
        <x:v>22231.98254024619</x:v>
      </x:c>
      <x:c r="T1421" s="32" t="n">
        <x:v>35830.41097909408</x:v>
      </x:c>
      <x:c r="U1421" s="31" t="n">
        <x:f>MAX(S1421/T1421,T1421/S1421)</x:f>
        <x:v>1.6116606296460911</x:v>
      </x:c>
      <x:c r="V1421" s="31" t="n">
        <x:f>L1421*'Controls &amp; Summary'!$B$9+O1421*'Controls &amp; Summary'!$B$10+R1421*'Controls &amp; Summary'!$B$11+U1421*'Controls &amp; Summary'!$B$12</x:f>
        <x:v>4.571660629646092</x:v>
      </x:c>
      <x:c r="W1421" s="31" t="n">
        <x:v>3.8</x:v>
      </x:c>
      <x:c r="X1421" s="31" t="n">
        <x:v>0</x:v>
      </x:c>
      <x:c r="Y1421" s="31" t="n">
        <x:f>((10-MIN(10,MAX(0,X1421)))/10)*'Controls &amp; Summary'!$B$15+((10-MIN(10,MAX(0,W1421)))/10)*'Controls &amp; Summary'!$B$16</x:f>
        <x:v>1.62</x:v>
      </x:c>
      <x:c r="Z1421" s="31" t="n">
        <x:f>V1421*Y1421</x:f>
        <x:v>7.40609022002667</x:v>
      </x:c>
      <x:c r="AA1421" s="30" t="str">
        <x:f>IF(Z1421&lt;=I1421,"Peaceful","Hostile")</x:f>
        <x:v>Hostile</x:v>
      </x:c>
      <x:c r="AB1421" s="30" t="str">
        <x:f>IF(Z1421&lt;='Controls &amp; Summary'!$B$6,"Eligible","Blocked")</x:f>
        <x:v>Eligible</x:v>
      </x:c>
      <x:c r="AC1421" s="30" t="str">
        <x:v>2070_ETH</x:v>
      </x:c>
      <x:c r="AD1421" s="30" t="str">
        <x:v>2070_DJI</x:v>
      </x:c>
      <x:c r="AE1421" s="30" t="str">
        <x:v>2070_Djibouti</x:v>
      </x:c>
      <x:c r="AF1421" s="30" t="str">
        <x:v>Explicit capitalClaim</x:v>
      </x:c>
      <x:c r="AG1421" s="30" t="str">
        <x:v>Claim2070_ETH2070_Djibouti</x:v>
      </x:c>
      <x:c r="AH1421" s="30" t="str">
        <x:v>Project_AfricanUnion</x:v>
      </x:c>
    </x:row>
    <x:row r="1422">
      <x:c r="A1422" s="30" t="str">
        <x:v>2070</x:v>
      </x:c>
      <x:c r="B1422" s="30" t="str">
        <x:v>Base game</x:v>
      </x:c>
      <x:c r="C1422" s="30" t="str">
        <x:v>Ethiopia</x:v>
      </x:c>
      <x:c r="D1422" s="30" t="str">
        <x:v>Egypt</x:v>
      </x:c>
      <x:c r="E1422" s="30" t="str">
        <x:v>Project unlock</x:v>
      </x:c>
      <x:c r="F1422" s="30" t="str">
        <x:v>Great African Union</x:v>
      </x:c>
      <x:c r="G1422" s="30" t="str">
        <x:v>No</x:v>
      </x:c>
      <x:c r="H1422" s="30" t="str">
        <x:v>Ordinary claim</x:v>
      </x:c>
      <x:c r="I1422" s="31" t="n">
        <x:f>IF(G1422="Yes",'Controls &amp; Summary'!$B$5,'Controls &amp; Summary'!$B$4)</x:f>
        <x:v>6</x:v>
      </x:c>
      <x:c r="J1422" s="31" t="n">
        <x:v>5.7</x:v>
      </x:c>
      <x:c r="K1422" s="31" t="n">
        <x:v>4.2</x:v>
      </x:c>
      <x:c r="L1422" s="31" t="n">
        <x:f>ABS(J1422-K1422)</x:f>
        <x:v>1.5</x:v>
      </x:c>
      <x:c r="M1422" s="31" t="n">
        <x:v>3.5</x:v>
      </x:c>
      <x:c r="N1422" s="31" t="n">
        <x:v>3.4</x:v>
      </x:c>
      <x:c r="O1422" s="31" t="n">
        <x:f>ABS(M1422-N1422)</x:f>
        <x:v>0.10000000000000009</x:v>
      </x:c>
      <x:c r="P1422" s="31" t="n">
        <x:v>5.33</x:v>
      </x:c>
      <x:c r="Q1422" s="31" t="n">
        <x:v>8.1</x:v>
      </x:c>
      <x:c r="R1422" s="31" t="n">
        <x:f>ABS(P1422-Q1422)</x:f>
        <x:v>2.7699999999999996</x:v>
      </x:c>
      <x:c r="S1422" s="32" t="n">
        <x:v>22231.98254024619</x:v>
      </x:c>
      <x:c r="T1422" s="32" t="n">
        <x:v>54767.88966355457</x:v>
      </x:c>
      <x:c r="U1422" s="31" t="n">
        <x:f>MAX(S1422/T1422,T1422/S1422)</x:f>
        <x:v>2.4634730422448454</x:v>
      </x:c>
      <x:c r="V1422" s="31" t="n">
        <x:f>L1422*'Controls &amp; Summary'!$B$9+O1422*'Controls &amp; Summary'!$B$10+R1422*'Controls &amp; Summary'!$B$11+U1422*'Controls &amp; Summary'!$B$12</x:f>
        <x:v>6.833473042244845</x:v>
      </x:c>
      <x:c r="W1422" s="31" t="n">
        <x:v>3.8</x:v>
      </x:c>
      <x:c r="X1422" s="31" t="n">
        <x:v>0</x:v>
      </x:c>
      <x:c r="Y1422" s="31" t="n">
        <x:f>((10-MIN(10,MAX(0,X1422)))/10)*'Controls &amp; Summary'!$B$15+((10-MIN(10,MAX(0,W1422)))/10)*'Controls &amp; Summary'!$B$16</x:f>
        <x:v>1.62</x:v>
      </x:c>
      <x:c r="Z1422" s="31" t="n">
        <x:f>V1422*Y1422</x:f>
        <x:v>11.070226328436648</x:v>
      </x:c>
      <x:c r="AA1422" s="30" t="str">
        <x:f>IF(Z1422&lt;=I1422,"Peaceful","Hostile")</x:f>
        <x:v>Hostile</x:v>
      </x:c>
      <x:c r="AB1422" s="30" t="str">
        <x:f>IF(Z1422&lt;='Controls &amp; Summary'!$B$6,"Eligible","Blocked")</x:f>
        <x:v>Eligible</x:v>
      </x:c>
      <x:c r="AC1422" s="30" t="str">
        <x:v>2070_ETH</x:v>
      </x:c>
      <x:c r="AD1422" s="30" t="str">
        <x:v>2070_EGY</x:v>
      </x:c>
      <x:c r="AE1422" s="30" t="str">
        <x:v>2070_Cairo</x:v>
      </x:c>
      <x:c r="AF1422" s="30" t="str">
        <x:v>Explicit capitalClaim</x:v>
      </x:c>
      <x:c r="AG1422" s="30" t="str">
        <x:v>Claim2070_ETH2070_Cairo</x:v>
      </x:c>
      <x:c r="AH1422" s="30" t="str">
        <x:v>Project_GreatAfricanUnion</x:v>
      </x:c>
    </x:row>
    <x:row r="1423">
      <x:c r="A1423" s="30" t="str">
        <x:v>2070</x:v>
      </x:c>
      <x:c r="B1423" s="30" t="str">
        <x:v>Base game</x:v>
      </x:c>
      <x:c r="C1423" s="30" t="str">
        <x:v>Ethiopia</x:v>
      </x:c>
      <x:c r="D1423" s="30" t="str">
        <x:v>Madagascar</x:v>
      </x:c>
      <x:c r="E1423" s="30" t="str">
        <x:v>Project unlock</x:v>
      </x:c>
      <x:c r="F1423" s="30" t="str">
        <x:v>African Union</x:v>
      </x:c>
      <x:c r="G1423" s="30" t="str">
        <x:v>No</x:v>
      </x:c>
      <x:c r="H1423" s="30" t="str">
        <x:v>Ordinary claim</x:v>
      </x:c>
      <x:c r="I1423" s="31" t="n">
        <x:f>IF(G1423="Yes",'Controls &amp; Summary'!$B$5,'Controls &amp; Summary'!$B$4)</x:f>
        <x:v>6</x:v>
      </x:c>
      <x:c r="J1423" s="31" t="n">
        <x:v>5.7</x:v>
      </x:c>
      <x:c r="K1423" s="31" t="n">
        <x:v>3.2</x:v>
      </x:c>
      <x:c r="L1423" s="31" t="n">
        <x:f>ABS(J1423-K1423)</x:f>
        <x:v>2.5</x:v>
      </x:c>
      <x:c r="M1423" s="31" t="n">
        <x:v>3.5</x:v>
      </x:c>
      <x:c r="N1423" s="31" t="n">
        <x:v>4.7</x:v>
      </x:c>
      <x:c r="O1423" s="31" t="n">
        <x:f>ABS(M1423-N1423)</x:f>
        <x:v>1.2000000000000002</x:v>
      </x:c>
      <x:c r="P1423" s="31" t="n">
        <x:v>5.33</x:v>
      </x:c>
      <x:c r="Q1423" s="31" t="n">
        <x:v>6.78</x:v>
      </x:c>
      <x:c r="R1423" s="31" t="n">
        <x:f>ABS(P1423-Q1423)</x:f>
        <x:v>1.4500000000000002</x:v>
      </x:c>
      <x:c r="S1423" s="32" t="n">
        <x:v>22231.98254024619</x:v>
      </x:c>
      <x:c r="T1423" s="32" t="n">
        <x:v>6808.335561370165</x:v>
      </x:c>
      <x:c r="U1423" s="31" t="n">
        <x:f>MAX(S1423/T1423,T1423/S1423)</x:f>
        <x:v>3.265406403642661</x:v>
      </x:c>
      <x:c r="V1423" s="31" t="n">
        <x:f>L1423*'Controls &amp; Summary'!$B$9+O1423*'Controls &amp; Summary'!$B$10+R1423*'Controls &amp; Summary'!$B$11+U1423*'Controls &amp; Summary'!$B$12</x:f>
        <x:v>8.415406403642661</x:v>
      </x:c>
      <x:c r="W1423" s="31" t="n">
        <x:v>3.8</x:v>
      </x:c>
      <x:c r="X1423" s="31" t="n">
        <x:v>5.3</x:v>
      </x:c>
      <x:c r="Y1423" s="31" t="n">
        <x:f>((10-MIN(10,MAX(0,X1423)))/10)*'Controls &amp; Summary'!$B$15+((10-MIN(10,MAX(0,W1423)))/10)*'Controls &amp; Summary'!$B$16</x:f>
        <x:v>1.09</x:v>
      </x:c>
      <x:c r="Z1423" s="31" t="n">
        <x:f>V1423*Y1423</x:f>
        <x:v>9.172792979970502</x:v>
      </x:c>
      <x:c r="AA1423" s="30" t="str">
        <x:f>IF(Z1423&lt;=I1423,"Peaceful","Hostile")</x:f>
        <x:v>Hostile</x:v>
      </x:c>
      <x:c r="AB1423" s="30" t="str">
        <x:f>IF(Z1423&lt;='Controls &amp; Summary'!$B$6,"Eligible","Blocked")</x:f>
        <x:v>Eligible</x:v>
      </x:c>
      <x:c r="AC1423" s="30" t="str">
        <x:v>2070_ETH</x:v>
      </x:c>
      <x:c r="AD1423" s="30" t="str">
        <x:v>2070_MDG</x:v>
      </x:c>
      <x:c r="AE1423" s="30" t="str">
        <x:v>2070_Madagascar</x:v>
      </x:c>
      <x:c r="AF1423" s="30" t="str">
        <x:v>Explicit capitalClaim</x:v>
      </x:c>
      <x:c r="AG1423" s="30" t="str">
        <x:v>Claim2070_ETH2070_Madagascar</x:v>
      </x:c>
      <x:c r="AH1423" s="30" t="str">
        <x:v>Project_AfricanUnion</x:v>
      </x:c>
    </x:row>
    <x:row r="1424">
      <x:c r="A1424" s="30" t="str">
        <x:v>2070</x:v>
      </x:c>
      <x:c r="B1424" s="30" t="str">
        <x:v>Base game</x:v>
      </x:c>
      <x:c r="C1424" s="30" t="str">
        <x:v>Ethiopia</x:v>
      </x:c>
      <x:c r="D1424" s="30" t="str">
        <x:v>Mauritius</x:v>
      </x:c>
      <x:c r="E1424" s="30" t="str">
        <x:v>Project unlock</x:v>
      </x:c>
      <x:c r="F1424" s="30" t="str">
        <x:v>African Union</x:v>
      </x:c>
      <x:c r="G1424" s="30" t="str">
        <x:v>No</x:v>
      </x:c>
      <x:c r="H1424" s="30" t="str">
        <x:v>Ordinary claim</x:v>
      </x:c>
      <x:c r="I1424" s="31" t="n">
        <x:f>IF(G1424="Yes",'Controls &amp; Summary'!$B$5,'Controls &amp; Summary'!$B$4)</x:f>
        <x:v>6</x:v>
      </x:c>
      <x:c r="J1424" s="31" t="n">
        <x:v>5.7</x:v>
      </x:c>
      <x:c r="K1424" s="31" t="n">
        <x:v>9</x:v>
      </x:c>
      <x:c r="L1424" s="31" t="n">
        <x:f>ABS(J1424-K1424)</x:f>
        <x:v>3.3</x:v>
      </x:c>
      <x:c r="M1424" s="31" t="n">
        <x:v>3.5</x:v>
      </x:c>
      <x:c r="N1424" s="31" t="n">
        <x:v>3.4</x:v>
      </x:c>
      <x:c r="O1424" s="31" t="n">
        <x:f>ABS(M1424-N1424)</x:f>
        <x:v>0.10000000000000009</x:v>
      </x:c>
      <x:c r="P1424" s="31" t="n">
        <x:v>5.33</x:v>
      </x:c>
      <x:c r="Q1424" s="31" t="n">
        <x:v>9.2</x:v>
      </x:c>
      <x:c r="R1424" s="31" t="n">
        <x:f>ABS(P1424-Q1424)</x:f>
        <x:v>3.869999999999999</x:v>
      </x:c>
      <x:c r="S1424" s="32" t="n">
        <x:v>22231.98254024619</x:v>
      </x:c>
      <x:c r="T1424" s="32" t="n">
        <x:v>322812.16145810054</x:v>
      </x:c>
      <x:c r="U1424" s="31" t="n">
        <x:f>MAX(S1424/T1424,T1424/S1424)</x:f>
        <x:v>14.520169799239408</x:v>
      </x:c>
      <x:c r="V1424" s="31" t="n">
        <x:f>L1424*'Controls &amp; Summary'!$B$9+O1424*'Controls &amp; Summary'!$B$10+R1424*'Controls &amp; Summary'!$B$11+U1424*'Controls &amp; Summary'!$B$12</x:f>
        <x:v>21.790169799239408</x:v>
      </x:c>
      <x:c r="W1424" s="31" t="n">
        <x:v>3.8</x:v>
      </x:c>
      <x:c r="X1424" s="31" t="n">
        <x:v>0</x:v>
      </x:c>
      <x:c r="Y1424" s="31" t="n">
        <x:f>((10-MIN(10,MAX(0,X1424)))/10)*'Controls &amp; Summary'!$B$15+((10-MIN(10,MAX(0,W1424)))/10)*'Controls &amp; Summary'!$B$16</x:f>
        <x:v>1.62</x:v>
      </x:c>
      <x:c r="Z1424" s="31" t="n">
        <x:f>V1424*Y1424</x:f>
        <x:v>35.30007507476784</x:v>
      </x:c>
      <x:c r="AA1424" s="30" t="str">
        <x:f>IF(Z1424&lt;=I1424,"Peaceful","Hostile")</x:f>
        <x:v>Hostile</x:v>
      </x:c>
      <x:c r="AB1424" s="30" t="str">
        <x:f>IF(Z1424&lt;='Controls &amp; Summary'!$B$6,"Eligible","Blocked")</x:f>
        <x:v>Blocked</x:v>
      </x:c>
      <x:c r="AC1424" s="30" t="str">
        <x:v>2070_ETH</x:v>
      </x:c>
      <x:c r="AD1424" s="30" t="str">
        <x:v>2070_MRS</x:v>
      </x:c>
      <x:c r="AE1424" s="30" t="str">
        <x:v>2070_Mauritius</x:v>
      </x:c>
      <x:c r="AF1424" s="30" t="str">
        <x:v>Explicit capitalClaim</x:v>
      </x:c>
      <x:c r="AG1424" s="30" t="str">
        <x:v>Claim2070_ETH2070_Mauritius</x:v>
      </x:c>
      <x:c r="AH1424" s="30" t="str">
        <x:v>Project_AfricanUnion</x:v>
      </x:c>
    </x:row>
    <x:row r="1425">
      <x:c r="A1425" s="30" t="str">
        <x:v>2070</x:v>
      </x:c>
      <x:c r="B1425" s="30" t="str">
        <x:v>Base game</x:v>
      </x:c>
      <x:c r="C1425" s="30" t="str">
        <x:v>Ethiopia</x:v>
      </x:c>
      <x:c r="D1425" s="30" t="str">
        <x:v>Nigeria</x:v>
      </x:c>
      <x:c r="E1425" s="30" t="str">
        <x:v>Project unlock</x:v>
      </x:c>
      <x:c r="F1425" s="30" t="str">
        <x:v>African Union</x:v>
      </x:c>
      <x:c r="G1425" s="30" t="str">
        <x:v>No</x:v>
      </x:c>
      <x:c r="H1425" s="30" t="str">
        <x:v>Ordinary claim</x:v>
      </x:c>
      <x:c r="I1425" s="31" t="n">
        <x:f>IF(G1425="Yes",'Controls &amp; Summary'!$B$5,'Controls &amp; Summary'!$B$4)</x:f>
        <x:v>6</x:v>
      </x:c>
      <x:c r="J1425" s="31" t="n">
        <x:v>5.7</x:v>
      </x:c>
      <x:c r="K1425" s="31" t="n">
        <x:v>5.85</x:v>
      </x:c>
      <x:c r="L1425" s="31" t="n">
        <x:f>ABS(J1425-K1425)</x:f>
        <x:v>0.14999999999999947</x:v>
      </x:c>
      <x:c r="M1425" s="31" t="n">
        <x:v>3.5</x:v>
      </x:c>
      <x:c r="N1425" s="31" t="n">
        <x:v>3.9</x:v>
      </x:c>
      <x:c r="O1425" s="31" t="n">
        <x:f>ABS(M1425-N1425)</x:f>
        <x:v>0.3999999999999999</x:v>
      </x:c>
      <x:c r="P1425" s="31" t="n">
        <x:v>5.33</x:v>
      </x:c>
      <x:c r="Q1425" s="31" t="n">
        <x:v>6.9</x:v>
      </x:c>
      <x:c r="R1425" s="31" t="n">
        <x:f>ABS(P1425-Q1425)</x:f>
        <x:v>1.5700000000000003</x:v>
      </x:c>
      <x:c r="S1425" s="32" t="n">
        <x:v>22231.98254024619</x:v>
      </x:c>
      <x:c r="T1425" s="32" t="n">
        <x:v>25518.25827431671</x:v>
      </x:c>
      <x:c r="U1425" s="31" t="n">
        <x:f>MAX(S1425/T1425,T1425/S1425)</x:f>
        <x:v>1.147817484478563</x:v>
      </x:c>
      <x:c r="V1425" s="31" t="n">
        <x:f>L1425*'Controls &amp; Summary'!$B$9+O1425*'Controls &amp; Summary'!$B$10+R1425*'Controls &amp; Summary'!$B$11+U1425*'Controls &amp; Summary'!$B$12</x:f>
        <x:v>3.2678174844785626</x:v>
      </x:c>
      <x:c r="W1425" s="31" t="n">
        <x:v>3.8</x:v>
      </x:c>
      <x:c r="X1425" s="31" t="n">
        <x:v>3.7</x:v>
      </x:c>
      <x:c r="Y1425" s="31" t="n">
        <x:f>((10-MIN(10,MAX(0,X1425)))/10)*'Controls &amp; Summary'!$B$15+((10-MIN(10,MAX(0,W1425)))/10)*'Controls &amp; Summary'!$B$16</x:f>
        <x:v>1.25</x:v>
      </x:c>
      <x:c r="Z1425" s="31" t="n">
        <x:f>V1425*Y1425</x:f>
        <x:v>4.084771855598203</x:v>
      </x:c>
      <x:c r="AA1425" s="30" t="str">
        <x:f>IF(Z1425&lt;=I1425,"Peaceful","Hostile")</x:f>
        <x:v>Peaceful</x:v>
      </x:c>
      <x:c r="AB1425" s="30" t="str">
        <x:f>IF(Z1425&lt;='Controls &amp; Summary'!$B$6,"Eligible","Blocked")</x:f>
        <x:v>Eligible</x:v>
      </x:c>
      <x:c r="AC1425" s="30" t="str">
        <x:v>2070_ETH</x:v>
      </x:c>
      <x:c r="AD1425" s="30" t="str">
        <x:v>2070_NGA</x:v>
      </x:c>
      <x:c r="AE1425" s="30" t="str">
        <x:v>2070_Lagos</x:v>
      </x:c>
      <x:c r="AF1425" s="30" t="str">
        <x:v>Explicit capitalClaim</x:v>
      </x:c>
      <x:c r="AG1425" s="30" t="str">
        <x:v>Claim2070_ETH2070_Lagos</x:v>
      </x:c>
      <x:c r="AH1425" s="30" t="str">
        <x:v>Project_AfricanUnion</x:v>
      </x:c>
    </x:row>
    <x:row r="1426">
      <x:c r="A1426" s="30" t="str">
        <x:v>2070</x:v>
      </x:c>
      <x:c r="B1426" s="30" t="str">
        <x:v>Base game</x:v>
      </x:c>
      <x:c r="C1426" s="30" t="str">
        <x:v>Ethiopia</x:v>
      </x:c>
      <x:c r="D1426" s="30" t="str">
        <x:v>Seychelles</x:v>
      </x:c>
      <x:c r="E1426" s="30" t="str">
        <x:v>Project unlock</x:v>
      </x:c>
      <x:c r="F1426" s="30" t="str">
        <x:v>African Union</x:v>
      </x:c>
      <x:c r="G1426" s="30" t="str">
        <x:v>No</x:v>
      </x:c>
      <x:c r="H1426" s="30" t="str">
        <x:v>Ordinary claim</x:v>
      </x:c>
      <x:c r="I1426" s="31" t="n">
        <x:f>IF(G1426="Yes",'Controls &amp; Summary'!$B$5,'Controls &amp; Summary'!$B$4)</x:f>
        <x:v>6</x:v>
      </x:c>
      <x:c r="J1426" s="31" t="n">
        <x:v>5.7</x:v>
      </x:c>
      <x:c r="K1426" s="31" t="n">
        <x:v>7.5</x:v>
      </x:c>
      <x:c r="L1426" s="31" t="n">
        <x:f>ABS(J1426-K1426)</x:f>
        <x:v>1.7999999999999998</x:v>
      </x:c>
      <x:c r="M1426" s="31" t="n">
        <x:v>3.5</x:v>
      </x:c>
      <x:c r="N1426" s="31" t="n">
        <x:v>2.8</x:v>
      </x:c>
      <x:c r="O1426" s="31" t="n">
        <x:f>ABS(M1426-N1426)</x:f>
        <x:v>0.7000000000000002</x:v>
      </x:c>
      <x:c r="P1426" s="31" t="n">
        <x:v>5.33</x:v>
      </x:c>
      <x:c r="Q1426" s="31" t="n">
        <x:v>9.18</x:v>
      </x:c>
      <x:c r="R1426" s="31" t="n">
        <x:f>ABS(P1426-Q1426)</x:f>
        <x:v>3.8499999999999996</x:v>
      </x:c>
      <x:c r="S1426" s="32" t="n">
        <x:v>22231.98254024619</x:v>
      </x:c>
      <x:c r="T1426" s="32" t="n">
        <x:v>238940.117481203</x:v>
      </x:c>
      <x:c r="U1426" s="31" t="n">
        <x:f>MAX(S1426/T1426,T1426/S1426)</x:f>
        <x:v>10.747584793603254</x:v>
      </x:c>
      <x:c r="V1426" s="31" t="n">
        <x:f>L1426*'Controls &amp; Summary'!$B$9+O1426*'Controls &amp; Summary'!$B$10+R1426*'Controls &amp; Summary'!$B$11+U1426*'Controls &amp; Summary'!$B$12</x:f>
        <x:v>17.097584793603254</x:v>
      </x:c>
      <x:c r="W1426" s="31" t="n">
        <x:v>3.8</x:v>
      </x:c>
      <x:c r="X1426" s="31" t="n">
        <x:v>0</x:v>
      </x:c>
      <x:c r="Y1426" s="31" t="n">
        <x:f>((10-MIN(10,MAX(0,X1426)))/10)*'Controls &amp; Summary'!$B$15+((10-MIN(10,MAX(0,W1426)))/10)*'Controls &amp; Summary'!$B$16</x:f>
        <x:v>1.62</x:v>
      </x:c>
      <x:c r="Z1426" s="31" t="n">
        <x:f>V1426*Y1426</x:f>
        <x:v>27.698087365637274</x:v>
      </x:c>
      <x:c r="AA1426" s="30" t="str">
        <x:f>IF(Z1426&lt;=I1426,"Peaceful","Hostile")</x:f>
        <x:v>Hostile</x:v>
      </x:c>
      <x:c r="AB1426" s="30" t="str">
        <x:f>IF(Z1426&lt;='Controls &amp; Summary'!$B$6,"Eligible","Blocked")</x:f>
        <x:v>Blocked</x:v>
      </x:c>
      <x:c r="AC1426" s="30" t="str">
        <x:v>2070_ETH</x:v>
      </x:c>
      <x:c r="AD1426" s="30" t="str">
        <x:v>2070_SYC</x:v>
      </x:c>
      <x:c r="AE1426" s="30" t="str">
        <x:v>2070_Seychelles</x:v>
      </x:c>
      <x:c r="AF1426" s="30" t="str">
        <x:v>Explicit capitalClaim</x:v>
      </x:c>
      <x:c r="AG1426" s="30" t="str">
        <x:v>Claim2070_ETH2070_Seychelles</x:v>
      </x:c>
      <x:c r="AH1426" s="30" t="str">
        <x:v>Project_AfricanUnion</x:v>
      </x:c>
    </x:row>
    <x:row r="1427">
      <x:c r="A1427" s="30" t="str">
        <x:v>2070</x:v>
      </x:c>
      <x:c r="B1427" s="30" t="str">
        <x:v>Base game</x:v>
      </x:c>
      <x:c r="C1427" s="30" t="str">
        <x:v>Ethiopia</x:v>
      </x:c>
      <x:c r="D1427" s="30" t="str">
        <x:v>South Africa</x:v>
      </x:c>
      <x:c r="E1427" s="30" t="str">
        <x:v>Project unlock</x:v>
      </x:c>
      <x:c r="F1427" s="30" t="str">
        <x:v>African Union</x:v>
      </x:c>
      <x:c r="G1427" s="30" t="str">
        <x:v>No</x:v>
      </x:c>
      <x:c r="H1427" s="30" t="str">
        <x:v>Ordinary claim</x:v>
      </x:c>
      <x:c r="I1427" s="31" t="n">
        <x:f>IF(G1427="Yes",'Controls &amp; Summary'!$B$5,'Controls &amp; Summary'!$B$4)</x:f>
        <x:v>6</x:v>
      </x:c>
      <x:c r="J1427" s="31" t="n">
        <x:v>5.7</x:v>
      </x:c>
      <x:c r="K1427" s="31" t="n">
        <x:v>7.8</x:v>
      </x:c>
      <x:c r="L1427" s="31" t="n">
        <x:f>ABS(J1427-K1427)</x:f>
        <x:v>2.0999999999999996</x:v>
      </x:c>
      <x:c r="M1427" s="31" t="n">
        <x:v>3.5</x:v>
      </x:c>
      <x:c r="N1427" s="31" t="n">
        <x:v>4</x:v>
      </x:c>
      <x:c r="O1427" s="31" t="n">
        <x:f>ABS(M1427-N1427)</x:f>
        <x:v>0.5</x:v>
      </x:c>
      <x:c r="P1427" s="31" t="n">
        <x:v>5.33</x:v>
      </x:c>
      <x:c r="Q1427" s="31" t="n">
        <x:v>9.16</x:v>
      </x:c>
      <x:c r="R1427" s="31" t="n">
        <x:f>ABS(P1427-Q1427)</x:f>
        <x:v>3.83</x:v>
      </x:c>
      <x:c r="S1427" s="32" t="n">
        <x:v>22231.98254024619</x:v>
      </x:c>
      <x:c r="T1427" s="32" t="n">
        <x:v>18610.953947993487</x:v>
      </x:c>
      <x:c r="U1427" s="31" t="n">
        <x:f>MAX(S1427/T1427,T1427/S1427)</x:f>
        <x:v>1.1945643733454674</x:v>
      </x:c>
      <x:c r="V1427" s="31" t="n">
        <x:f>L1427*'Controls &amp; Summary'!$B$9+O1427*'Controls &amp; Summary'!$B$10+R1427*'Controls &amp; Summary'!$B$11+U1427*'Controls &amp; Summary'!$B$12</x:f>
        <x:v>7.624564373345467</x:v>
      </x:c>
      <x:c r="W1427" s="31" t="n">
        <x:v>3.8</x:v>
      </x:c>
      <x:c r="X1427" s="31" t="n">
        <x:v>3</x:v>
      </x:c>
      <x:c r="Y1427" s="31" t="n">
        <x:f>((10-MIN(10,MAX(0,X1427)))/10)*'Controls &amp; Summary'!$B$15+((10-MIN(10,MAX(0,W1427)))/10)*'Controls &amp; Summary'!$B$16</x:f>
        <x:v>1.3199999999999998</x:v>
      </x:c>
      <x:c r="Z1427" s="31" t="n">
        <x:f>V1427*Y1427</x:f>
        <x:v>10.064424972816015</x:v>
      </x:c>
      <x:c r="AA1427" s="30" t="str">
        <x:f>IF(Z1427&lt;=I1427,"Peaceful","Hostile")</x:f>
        <x:v>Hostile</x:v>
      </x:c>
      <x:c r="AB1427" s="30" t="str">
        <x:f>IF(Z1427&lt;='Controls &amp; Summary'!$B$6,"Eligible","Blocked")</x:f>
        <x:v>Eligible</x:v>
      </x:c>
      <x:c r="AC1427" s="30" t="str">
        <x:v>2070_ETH</x:v>
      </x:c>
      <x:c r="AD1427" s="30" t="str">
        <x:v>2070_ZAF</x:v>
      </x:c>
      <x:c r="AE1427" s="30" t="str">
        <x:v>2070_Johannesburg</x:v>
      </x:c>
      <x:c r="AF1427" s="30" t="str">
        <x:v>Explicit capitalClaim</x:v>
      </x:c>
      <x:c r="AG1427" s="30" t="str">
        <x:v>Claim2070_ETH2070_Johannesburg</x:v>
      </x:c>
      <x:c r="AH1427" s="30" t="str">
        <x:v>Project_AfricanUnion</x:v>
      </x:c>
    </x:row>
    <x:row r="1428">
      <x:c r="A1428" s="30" t="str">
        <x:v>2070</x:v>
      </x:c>
      <x:c r="B1428" s="30" t="str">
        <x:v>Base game</x:v>
      </x:c>
      <x:c r="C1428" s="30" t="str">
        <x:v>Ethiopia</x:v>
      </x:c>
      <x:c r="D1428" s="30" t="str">
        <x:v>Sudan</x:v>
      </x:c>
      <x:c r="E1428" s="30" t="str">
        <x:v>Project unlock</x:v>
      </x:c>
      <x:c r="F1428" s="30" t="str">
        <x:v>Great African Union</x:v>
      </x:c>
      <x:c r="G1428" s="30" t="str">
        <x:v>No</x:v>
      </x:c>
      <x:c r="H1428" s="30" t="str">
        <x:v>Ordinary claim</x:v>
      </x:c>
      <x:c r="I1428" s="31" t="n">
        <x:f>IF(G1428="Yes",'Controls &amp; Summary'!$B$5,'Controls &amp; Summary'!$B$4)</x:f>
        <x:v>6</x:v>
      </x:c>
      <x:c r="J1428" s="31" t="n">
        <x:v>5.7</x:v>
      </x:c>
      <x:c r="K1428" s="31" t="n">
        <x:v>4.7</x:v>
      </x:c>
      <x:c r="L1428" s="31" t="n">
        <x:f>ABS(J1428-K1428)</x:f>
        <x:v>1</x:v>
      </x:c>
      <x:c r="M1428" s="31" t="n">
        <x:v>3.5</x:v>
      </x:c>
      <x:c r="N1428" s="31" t="n">
        <x:v>3.5</x:v>
      </x:c>
      <x:c r="O1428" s="31" t="n">
        <x:f>ABS(M1428-N1428)</x:f>
        <x:v>0</x:v>
      </x:c>
      <x:c r="P1428" s="31" t="n">
        <x:v>5.33</x:v>
      </x:c>
      <x:c r="Q1428" s="31" t="n">
        <x:v>5.37</x:v>
      </x:c>
      <x:c r="R1428" s="31" t="n">
        <x:f>ABS(P1428-Q1428)</x:f>
        <x:v>0.040000000000000036</x:v>
      </x:c>
      <x:c r="S1428" s="32" t="n">
        <x:v>22231.98254024619</x:v>
      </x:c>
      <x:c r="T1428" s="32" t="n">
        <x:v>17046.74020155385</x:v>
      </x:c>
      <x:c r="U1428" s="31" t="n">
        <x:f>MAX(S1428/T1428,T1428/S1428)</x:f>
        <x:v>1.3041779412007284</x:v>
      </x:c>
      <x:c r="V1428" s="31" t="n">
        <x:f>L1428*'Controls &amp; Summary'!$B$9+O1428*'Controls &amp; Summary'!$B$10+R1428*'Controls &amp; Summary'!$B$11+U1428*'Controls &amp; Summary'!$B$12</x:f>
        <x:v>2.344177941200728</x:v>
      </x:c>
      <x:c r="W1428" s="31" t="n">
        <x:v>3.8</x:v>
      </x:c>
      <x:c r="X1428" s="31" t="n">
        <x:v>4.9</x:v>
      </x:c>
      <x:c r="Y1428" s="31" t="n">
        <x:f>((10-MIN(10,MAX(0,X1428)))/10)*'Controls &amp; Summary'!$B$15+((10-MIN(10,MAX(0,W1428)))/10)*'Controls &amp; Summary'!$B$16</x:f>
        <x:v>1.13</x:v>
      </x:c>
      <x:c r="Z1428" s="31" t="n">
        <x:f>V1428*Y1428</x:f>
        <x:v>2.6489210735568225</x:v>
      </x:c>
      <x:c r="AA1428" s="30" t="str">
        <x:f>IF(Z1428&lt;=I1428,"Peaceful","Hostile")</x:f>
        <x:v>Peaceful</x:v>
      </x:c>
      <x:c r="AB1428" s="30" t="str">
        <x:f>IF(Z1428&lt;='Controls &amp; Summary'!$B$6,"Eligible","Blocked")</x:f>
        <x:v>Eligible</x:v>
      </x:c>
      <x:c r="AC1428" s="30" t="str">
        <x:v>2070_ETH</x:v>
      </x:c>
      <x:c r="AD1428" s="30" t="str">
        <x:v>2070_SDN</x:v>
      </x:c>
      <x:c r="AE1428" s="30" t="str">
        <x:v>2070_Sudan</x:v>
      </x:c>
      <x:c r="AF1428" s="30" t="str">
        <x:v>Explicit capitalClaim</x:v>
      </x:c>
      <x:c r="AG1428" s="30" t="str">
        <x:v>Claim2070_ETH2070_Sudan</x:v>
      </x:c>
      <x:c r="AH1428" s="30" t="str">
        <x:v>Project_GreatAfricanUnion</x:v>
      </x:c>
    </x:row>
    <x:row r="1429">
      <x:c r="A1429" s="30" t="str">
        <x:v>2070</x:v>
      </x:c>
      <x:c r="B1429" s="30" t="str">
        <x:v>Base game</x:v>
      </x:c>
      <x:c r="C1429" s="30" t="str">
        <x:v>Ethiopia</x:v>
      </x:c>
      <x:c r="D1429" s="30" t="str">
        <x:v>Tanzania</x:v>
      </x:c>
      <x:c r="E1429" s="30" t="str">
        <x:v>Project unlock</x:v>
      </x:c>
      <x:c r="F1429" s="30" t="str">
        <x:v>African Union</x:v>
      </x:c>
      <x:c r="G1429" s="30" t="str">
        <x:v>No</x:v>
      </x:c>
      <x:c r="H1429" s="30" t="str">
        <x:v>Ordinary claim</x:v>
      </x:c>
      <x:c r="I1429" s="31" t="n">
        <x:f>IF(G1429="Yes",'Controls &amp; Summary'!$B$5,'Controls &amp; Summary'!$B$4)</x:f>
        <x:v>6</x:v>
      </x:c>
      <x:c r="J1429" s="31" t="n">
        <x:v>5.7</x:v>
      </x:c>
      <x:c r="K1429" s="31" t="n">
        <x:v>7.4</x:v>
      </x:c>
      <x:c r="L1429" s="31" t="n">
        <x:f>ABS(J1429-K1429)</x:f>
        <x:v>1.7000000000000002</x:v>
      </x:c>
      <x:c r="M1429" s="31" t="n">
        <x:v>3.5</x:v>
      </x:c>
      <x:c r="N1429" s="31" t="n">
        <x:v>3.7</x:v>
      </x:c>
      <x:c r="O1429" s="31" t="n">
        <x:f>ABS(M1429-N1429)</x:f>
        <x:v>0.20000000000000018</x:v>
      </x:c>
      <x:c r="P1429" s="31" t="n">
        <x:v>5.33</x:v>
      </x:c>
      <x:c r="Q1429" s="31" t="n">
        <x:v>6.85</x:v>
      </x:c>
      <x:c r="R1429" s="31" t="n">
        <x:f>ABS(P1429-Q1429)</x:f>
        <x:v>1.5199999999999996</x:v>
      </x:c>
      <x:c r="S1429" s="32" t="n">
        <x:v>22231.98254024619</x:v>
      </x:c>
      <x:c r="T1429" s="32" t="n">
        <x:v>12663.28381112296</x:v>
      </x:c>
      <x:c r="U1429" s="31" t="n">
        <x:f>MAX(S1429/T1429,T1429/S1429)</x:f>
        <x:v>1.7556253868935987</x:v>
      </x:c>
      <x:c r="V1429" s="31" t="n">
        <x:f>L1429*'Controls &amp; Summary'!$B$9+O1429*'Controls &amp; Summary'!$B$10+R1429*'Controls &amp; Summary'!$B$11+U1429*'Controls &amp; Summary'!$B$12</x:f>
        <x:v>5.175625386893598</x:v>
      </x:c>
      <x:c r="W1429" s="31" t="n">
        <x:v>3.8</x:v>
      </x:c>
      <x:c r="X1429" s="31" t="n">
        <x:v>3.8</x:v>
      </x:c>
      <x:c r="Y1429" s="31" t="n">
        <x:f>((10-MIN(10,MAX(0,X1429)))/10)*'Controls &amp; Summary'!$B$15+((10-MIN(10,MAX(0,W1429)))/10)*'Controls &amp; Summary'!$B$16</x:f>
        <x:v>1.24</x:v>
      </x:c>
      <x:c r="Z1429" s="31" t="n">
        <x:f>V1429*Y1429</x:f>
        <x:v>6.4177754797480615</x:v>
      </x:c>
      <x:c r="AA1429" s="30" t="str">
        <x:f>IF(Z1429&lt;=I1429,"Peaceful","Hostile")</x:f>
        <x:v>Hostile</x:v>
      </x:c>
      <x:c r="AB1429" s="30" t="str">
        <x:f>IF(Z1429&lt;='Controls &amp; Summary'!$B$6,"Eligible","Blocked")</x:f>
        <x:v>Eligible</x:v>
      </x:c>
      <x:c r="AC1429" s="30" t="str">
        <x:v>2070_ETH</x:v>
      </x:c>
      <x:c r="AD1429" s="30" t="str">
        <x:v>2070_TZA</x:v>
      </x:c>
      <x:c r="AE1429" s="30" t="str">
        <x:v>2070_WestTanzania</x:v>
      </x:c>
      <x:c r="AF1429" s="30" t="str">
        <x:v>Explicit capitalClaim</x:v>
      </x:c>
      <x:c r="AG1429" s="30" t="str">
        <x:v>Claim2070_ETH2070_WestTanzania</x:v>
      </x:c>
      <x:c r="AH1429" s="30" t="str">
        <x:v>Project_AfricanUnion</x:v>
      </x:c>
    </x:row>
    <x:row r="1430">
      <x:c r="A1430" s="30" t="str">
        <x:v>2070</x:v>
      </x:c>
      <x:c r="B1430" s="30" t="str">
        <x:v>Base game</x:v>
      </x:c>
      <x:c r="C1430" s="30" t="str">
        <x:v>France</x:v>
      </x:c>
      <x:c r="D1430" s="30" t="str">
        <x:v>Armenia</x:v>
      </x:c>
      <x:c r="E1430" s="30" t="str">
        <x:v>Project unlock</x:v>
      </x:c>
      <x:c r="F1430" s="30" t="str">
        <x:v>Europe Ascendant</x:v>
      </x:c>
      <x:c r="G1430" s="30" t="str">
        <x:v>No</x:v>
      </x:c>
      <x:c r="H1430" s="30" t="str">
        <x:v>Ordinary claim</x:v>
      </x:c>
      <x:c r="I1430" s="31" t="n">
        <x:f>IF(G1430="Yes",'Controls &amp; Summary'!$B$5,'Controls &amp; Summary'!$B$4)</x:f>
        <x:v>6</x:v>
      </x:c>
      <x:c r="J1430" s="31" t="n">
        <x:v>8.4</x:v>
      </x:c>
      <x:c r="K1430" s="31" t="n">
        <x:v>5.5</x:v>
      </x:c>
      <x:c r="L1430" s="31" t="n">
        <x:f>ABS(J1430-K1430)</x:f>
        <x:v>2.9000000000000004</x:v>
      </x:c>
      <x:c r="M1430" s="31" t="n">
        <x:v>3.8</x:v>
      </x:c>
      <x:c r="N1430" s="31" t="n">
        <x:v>2.6</x:v>
      </x:c>
      <x:c r="O1430" s="31" t="n">
        <x:f>ABS(M1430-N1430)</x:f>
        <x:v>1.1999999999999997</x:v>
      </x:c>
      <x:c r="P1430" s="31" t="n">
        <x:v>10.09</x:v>
      </x:c>
      <x:c r="Q1430" s="31" t="n">
        <x:v>9.32</x:v>
      </x:c>
      <x:c r="R1430" s="31" t="n">
        <x:f>ABS(P1430-Q1430)</x:f>
        <x:v>0.7699999999999996</x:v>
      </x:c>
      <x:c r="S1430" s="32" t="n">
        <x:v>87111.64322577155</x:v>
      </x:c>
      <x:c r="T1430" s="32" t="n">
        <x:v>37331.960160689334</x:v>
      </x:c>
      <x:c r="U1430" s="31" t="n">
        <x:f>MAX(S1430/T1430,T1430/S1430)</x:f>
        <x:v>2.3334334133759302</x:v>
      </x:c>
      <x:c r="V1430" s="31" t="n">
        <x:f>L1430*'Controls &amp; Summary'!$B$9+O1430*'Controls &amp; Summary'!$B$10+R1430*'Controls &amp; Summary'!$B$11+U1430*'Controls &amp; Summary'!$B$12</x:f>
        <x:v>7.2034334133759295</x:v>
      </x:c>
      <x:c r="W1430" s="31" t="n">
        <x:v>2.7</x:v>
      </x:c>
      <x:c r="X1430" s="31" t="n">
        <x:v>0</x:v>
      </x:c>
      <x:c r="Y1430" s="31" t="n">
        <x:f>((10-MIN(10,MAX(0,X1430)))/10)*'Controls &amp; Summary'!$B$15+((10-MIN(10,MAX(0,W1430)))/10)*'Controls &amp; Summary'!$B$16</x:f>
        <x:v>1.73</x:v>
      </x:c>
      <x:c r="Z1430" s="31" t="n">
        <x:f>V1430*Y1430</x:f>
        <x:v>12.461939805140357</x:v>
      </x:c>
      <x:c r="AA1430" s="30" t="str">
        <x:f>IF(Z1430&lt;=I1430,"Peaceful","Hostile")</x:f>
        <x:v>Hostile</x:v>
      </x:c>
      <x:c r="AB1430" s="30" t="str">
        <x:f>IF(Z1430&lt;='Controls &amp; Summary'!$B$6,"Eligible","Blocked")</x:f>
        <x:v>Blocked</x:v>
      </x:c>
      <x:c r="AC1430" s="30" t="str">
        <x:v>2070_EUA</x:v>
      </x:c>
      <x:c r="AD1430" s="30" t="str">
        <x:v>2070_ARM</x:v>
      </x:c>
      <x:c r="AE1430" s="30" t="str">
        <x:v>2070_Armenia</x:v>
      </x:c>
      <x:c r="AF1430" s="30" t="str">
        <x:v>Explicit capitalClaim</x:v>
      </x:c>
      <x:c r="AG1430" s="30" t="str">
        <x:v>Claim2070_EUA2070_Armenia</x:v>
      </x:c>
      <x:c r="AH1430" s="30" t="str">
        <x:v>Project_EuropeAscendant</x:v>
      </x:c>
    </x:row>
    <x:row r="1431">
      <x:c r="A1431" s="30" t="str">
        <x:v>2070</x:v>
      </x:c>
      <x:c r="B1431" s="30" t="str">
        <x:v>Base game</x:v>
      </x:c>
      <x:c r="C1431" s="30" t="str">
        <x:v>France</x:v>
      </x:c>
      <x:c r="D1431" s="30" t="str">
        <x:v>Azerbaijan</x:v>
      </x:c>
      <x:c r="E1431" s="30" t="str">
        <x:v>Project unlock</x:v>
      </x:c>
      <x:c r="F1431" s="30" t="str">
        <x:v>Great Europa</x:v>
      </x:c>
      <x:c r="G1431" s="30" t="str">
        <x:v>No</x:v>
      </x:c>
      <x:c r="H1431" s="30" t="str">
        <x:v>Ordinary claim</x:v>
      </x:c>
      <x:c r="I1431" s="31" t="n">
        <x:f>IF(G1431="Yes",'Controls &amp; Summary'!$B$5,'Controls &amp; Summary'!$B$4)</x:f>
        <x:v>6</x:v>
      </x:c>
      <x:c r="J1431" s="31" t="n">
        <x:v>8.4</x:v>
      </x:c>
      <x:c r="K1431" s="31" t="n">
        <x:v>6</x:v>
      </x:c>
      <x:c r="L1431" s="31" t="n">
        <x:f>ABS(J1431-K1431)</x:f>
        <x:v>2.4000000000000004</x:v>
      </x:c>
      <x:c r="M1431" s="31" t="n">
        <x:v>3.8</x:v>
      </x:c>
      <x:c r="N1431" s="31" t="n">
        <x:v>3.2</x:v>
      </x:c>
      <x:c r="O1431" s="31" t="n">
        <x:f>ABS(M1431-N1431)</x:f>
        <x:v>0.5999999999999996</x:v>
      </x:c>
      <x:c r="P1431" s="31" t="n">
        <x:v>10.09</x:v>
      </x:c>
      <x:c r="Q1431" s="31" t="n">
        <x:v>9.03</x:v>
      </x:c>
      <x:c r="R1431" s="31" t="n">
        <x:f>ABS(P1431-Q1431)</x:f>
        <x:v>1.0600000000000005</x:v>
      </x:c>
      <x:c r="S1431" s="32" t="n">
        <x:v>87111.64322577155</x:v>
      </x:c>
      <x:c r="T1431" s="32" t="n">
        <x:v>27469.022516320747</x:v>
      </x:c>
      <x:c r="U1431" s="31" t="n">
        <x:f>MAX(S1431/T1431,T1431/S1431)</x:f>
        <x:v>3.171268405128507</x:v>
      </x:c>
      <x:c r="V1431" s="31" t="n">
        <x:f>L1431*'Controls &amp; Summary'!$B$9+O1431*'Controls &amp; Summary'!$B$10+R1431*'Controls &amp; Summary'!$B$11+U1431*'Controls &amp; Summary'!$B$12</x:f>
        <x:v>7.231268405128508</x:v>
      </x:c>
      <x:c r="W1431" s="31" t="n">
        <x:v>2.7</x:v>
      </x:c>
      <x:c r="X1431" s="31" t="n">
        <x:v>1.1</x:v>
      </x:c>
      <x:c r="Y1431" s="31" t="n">
        <x:f>((10-MIN(10,MAX(0,X1431)))/10)*'Controls &amp; Summary'!$B$15+((10-MIN(10,MAX(0,W1431)))/10)*'Controls &amp; Summary'!$B$16</x:f>
        <x:v>1.62</x:v>
      </x:c>
      <x:c r="Z1431" s="31" t="n">
        <x:f>V1431*Y1431</x:f>
        <x:v>11.714654816308183</x:v>
      </x:c>
      <x:c r="AA1431" s="30" t="str">
        <x:f>IF(Z1431&lt;=I1431,"Peaceful","Hostile")</x:f>
        <x:v>Hostile</x:v>
      </x:c>
      <x:c r="AB1431" s="30" t="str">
        <x:f>IF(Z1431&lt;='Controls &amp; Summary'!$B$6,"Eligible","Blocked")</x:f>
        <x:v>Eligible</x:v>
      </x:c>
      <x:c r="AC1431" s="30" t="str">
        <x:v>2070_EUA</x:v>
      </x:c>
      <x:c r="AD1431" s="30" t="str">
        <x:v>2070_AZE</x:v>
      </x:c>
      <x:c r="AE1431" s="30" t="str">
        <x:v>2070_Azerbaijan</x:v>
      </x:c>
      <x:c r="AF1431" s="30" t="str">
        <x:v>Explicit capitalClaim</x:v>
      </x:c>
      <x:c r="AG1431" s="30" t="str">
        <x:v>Claim2070_EUA2070_Azerbaijan</x:v>
      </x:c>
      <x:c r="AH1431" s="30" t="str">
        <x:v>Project_GreatEuropa</x:v>
      </x:c>
    </x:row>
    <x:row r="1432">
      <x:c r="A1432" s="30" t="str">
        <x:v>2070</x:v>
      </x:c>
      <x:c r="B1432" s="30" t="str">
        <x:v>Base game</x:v>
      </x:c>
      <x:c r="C1432" s="30" t="str">
        <x:v>France</x:v>
      </x:c>
      <x:c r="D1432" s="30" t="str">
        <x:v>Georgia</x:v>
      </x:c>
      <x:c r="E1432" s="30" t="str">
        <x:v>Starting claim</x:v>
      </x:c>
      <x:c r="F1432" s="30" t="str"/>
      <x:c r="G1432" s="30" t="str">
        <x:v>No</x:v>
      </x:c>
      <x:c r="H1432" s="30" t="str">
        <x:v>Ordinary claim</x:v>
      </x:c>
      <x:c r="I1432" s="31" t="n">
        <x:f>IF(G1432="Yes",'Controls &amp; Summary'!$B$5,'Controls &amp; Summary'!$B$4)</x:f>
        <x:v>6</x:v>
      </x:c>
      <x:c r="J1432" s="31" t="n">
        <x:v>8.4</x:v>
      </x:c>
      <x:c r="K1432" s="31" t="n">
        <x:v>7.9</x:v>
      </x:c>
      <x:c r="L1432" s="31" t="n">
        <x:f>ABS(J1432-K1432)</x:f>
        <x:v>0.5</x:v>
      </x:c>
      <x:c r="M1432" s="31" t="n">
        <x:v>3.8</x:v>
      </x:c>
      <x:c r="N1432" s="31" t="n">
        <x:v>2.7</x:v>
      </x:c>
      <x:c r="O1432" s="31" t="n">
        <x:f>ABS(M1432-N1432)</x:f>
        <x:v>1.0999999999999996</x:v>
      </x:c>
      <x:c r="P1432" s="31" t="n">
        <x:v>10.09</x:v>
      </x:c>
      <x:c r="Q1432" s="31" t="n">
        <x:v>10.54</x:v>
      </x:c>
      <x:c r="R1432" s="31" t="n">
        <x:f>ABS(P1432-Q1432)</x:f>
        <x:v>0.4499999999999993</x:v>
      </x:c>
      <x:c r="S1432" s="32" t="n">
        <x:v>87111.64322577155</x:v>
      </x:c>
      <x:c r="T1432" s="32" t="n">
        <x:v>34716.27253992954</x:v>
      </x:c>
      <x:c r="U1432" s="31" t="n">
        <x:f>MAX(S1432/T1432,T1432/S1432)</x:f>
        <x:v>2.5092452862149455</x:v>
      </x:c>
      <x:c r="V1432" s="31" t="n">
        <x:f>L1432*'Controls &amp; Summary'!$B$9+O1432*'Controls &amp; Summary'!$B$10+R1432*'Controls &amp; Summary'!$B$11+U1432*'Controls &amp; Summary'!$B$12</x:f>
        <x:v>4.559245286214944</x:v>
      </x:c>
      <x:c r="W1432" s="31" t="n">
        <x:v>2.7</x:v>
      </x:c>
      <x:c r="X1432" s="31" t="n">
        <x:v>0</x:v>
      </x:c>
      <x:c r="Y1432" s="31" t="n">
        <x:f>((10-MIN(10,MAX(0,X1432)))/10)*'Controls &amp; Summary'!$B$15+((10-MIN(10,MAX(0,W1432)))/10)*'Controls &amp; Summary'!$B$16</x:f>
        <x:v>1.73</x:v>
      </x:c>
      <x:c r="Z1432" s="31" t="n">
        <x:f>V1432*Y1432</x:f>
        <x:v>7.887494345151853</x:v>
      </x:c>
      <x:c r="AA1432" s="30" t="str">
        <x:f>IF(Z1432&lt;=I1432,"Peaceful","Hostile")</x:f>
        <x:v>Hostile</x:v>
      </x:c>
      <x:c r="AB1432" s="30" t="str">
        <x:f>IF(Z1432&lt;='Controls &amp; Summary'!$B$6,"Eligible","Blocked")</x:f>
        <x:v>Eligible</x:v>
      </x:c>
      <x:c r="AC1432" s="30" t="str">
        <x:v>2070_EUA</x:v>
      </x:c>
      <x:c r="AD1432" s="30" t="str">
        <x:v>2070_GEO</x:v>
      </x:c>
      <x:c r="AE1432" s="30" t="str">
        <x:v>2070_Georgia</x:v>
      </x:c>
      <x:c r="AF1432" s="30" t="str">
        <x:v>Explicit capitalClaim</x:v>
      </x:c>
      <x:c r="AG1432" s="30" t="str">
        <x:v>Claim2070_EUA2070_Georgia</x:v>
      </x:c>
      <x:c r="AH1432" s="30" t="str"/>
    </x:row>
    <x:row r="1433">
      <x:c r="A1433" s="30" t="str">
        <x:v>2070</x:v>
      </x:c>
      <x:c r="B1433" s="30" t="str">
        <x:v>Base game</x:v>
      </x:c>
      <x:c r="C1433" s="30" t="str">
        <x:v>France</x:v>
      </x:c>
      <x:c r="D1433" s="30" t="str">
        <x:v>Hungary</x:v>
      </x:c>
      <x:c r="E1433" s="30" t="str">
        <x:v>Starting claim</x:v>
      </x:c>
      <x:c r="F1433" s="30" t="str"/>
      <x:c r="G1433" s="30" t="str">
        <x:v>No</x:v>
      </x:c>
      <x:c r="H1433" s="30" t="str">
        <x:v>Ordinary claim</x:v>
      </x:c>
      <x:c r="I1433" s="31" t="n">
        <x:f>IF(G1433="Yes",'Controls &amp; Summary'!$B$5,'Controls &amp; Summary'!$B$4)</x:f>
        <x:v>6</x:v>
      </x:c>
      <x:c r="J1433" s="31" t="n">
        <x:v>8.4</x:v>
      </x:c>
      <x:c r="K1433" s="31" t="n">
        <x:v>5.2</x:v>
      </x:c>
      <x:c r="L1433" s="31" t="n">
        <x:f>ABS(J1433-K1433)</x:f>
        <x:v>3.2</x:v>
      </x:c>
      <x:c r="M1433" s="31" t="n">
        <x:v>3.8</x:v>
      </x:c>
      <x:c r="N1433" s="31" t="n">
        <x:v>4.4</x:v>
      </x:c>
      <x:c r="O1433" s="31" t="n">
        <x:f>ABS(M1433-N1433)</x:f>
        <x:v>0.6000000000000005</x:v>
      </x:c>
      <x:c r="P1433" s="31" t="n">
        <x:v>10.09</x:v>
      </x:c>
      <x:c r="Q1433" s="31" t="n">
        <x:v>10.13</x:v>
      </x:c>
      <x:c r="R1433" s="31" t="n">
        <x:f>ABS(P1433-Q1433)</x:f>
        <x:v>0.040000000000000924</x:v>
      </x:c>
      <x:c r="S1433" s="32" t="n">
        <x:v>87111.64322577155</x:v>
      </x:c>
      <x:c r="T1433" s="32" t="n">
        <x:v>84702.40323874658</x:v>
      </x:c>
      <x:c r="U1433" s="31" t="n">
        <x:f>MAX(S1433/T1433,T1433/S1433)</x:f>
        <x:v>1.0284435847733169</x:v>
      </x:c>
      <x:c r="V1433" s="31" t="n">
        <x:f>L1433*'Controls &amp; Summary'!$B$9+O1433*'Controls &amp; Summary'!$B$10+R1433*'Controls &amp; Summary'!$B$11+U1433*'Controls &amp; Summary'!$B$12</x:f>
        <x:v>4.868443584773319</x:v>
      </x:c>
      <x:c r="W1433" s="31" t="n">
        <x:v>2.7</x:v>
      </x:c>
      <x:c r="X1433" s="31" t="n">
        <x:v>0</x:v>
      </x:c>
      <x:c r="Y1433" s="31" t="n">
        <x:f>((10-MIN(10,MAX(0,X1433)))/10)*'Controls &amp; Summary'!$B$15+((10-MIN(10,MAX(0,W1433)))/10)*'Controls &amp; Summary'!$B$16</x:f>
        <x:v>1.73</x:v>
      </x:c>
      <x:c r="Z1433" s="31" t="n">
        <x:f>V1433*Y1433</x:f>
        <x:v>8.422407401657841</x:v>
      </x:c>
      <x:c r="AA1433" s="30" t="str">
        <x:f>IF(Z1433&lt;=I1433,"Peaceful","Hostile")</x:f>
        <x:v>Hostile</x:v>
      </x:c>
      <x:c r="AB1433" s="30" t="str">
        <x:f>IF(Z1433&lt;='Controls &amp; Summary'!$B$6,"Eligible","Blocked")</x:f>
        <x:v>Eligible</x:v>
      </x:c>
      <x:c r="AC1433" s="30" t="str">
        <x:v>2070_EUA</x:v>
      </x:c>
      <x:c r="AD1433" s="30" t="str">
        <x:v>2070_HUN</x:v>
      </x:c>
      <x:c r="AE1433" s="30" t="str">
        <x:v>2070_Hungary</x:v>
      </x:c>
      <x:c r="AF1433" s="30" t="str">
        <x:v>Explicit capitalClaim</x:v>
      </x:c>
      <x:c r="AG1433" s="30" t="str">
        <x:v>Claim2070_EUA2070_Hungary</x:v>
      </x:c>
      <x:c r="AH1433" s="30" t="str"/>
    </x:row>
    <x:row r="1434">
      <x:c r="A1434" s="30" t="str">
        <x:v>2070</x:v>
      </x:c>
      <x:c r="B1434" s="30" t="str">
        <x:v>Base game</x:v>
      </x:c>
      <x:c r="C1434" s="30" t="str">
        <x:v>France</x:v>
      </x:c>
      <x:c r="D1434" s="30" t="str">
        <x:v>Russia</x:v>
      </x:c>
      <x:c r="E1434" s="30" t="str">
        <x:v>Project unlock</x:v>
      </x:c>
      <x:c r="F1434" s="30" t="str">
        <x:v>Great Europa</x:v>
      </x:c>
      <x:c r="G1434" s="30" t="str">
        <x:v>No</x:v>
      </x:c>
      <x:c r="H1434" s="30" t="str">
        <x:v>Ordinary claim</x:v>
      </x:c>
      <x:c r="I1434" s="31" t="n">
        <x:f>IF(G1434="Yes",'Controls &amp; Summary'!$B$5,'Controls &amp; Summary'!$B$4)</x:f>
        <x:v>6</x:v>
      </x:c>
      <x:c r="J1434" s="31" t="n">
        <x:v>8.4</x:v>
      </x:c>
      <x:c r="K1434" s="31" t="n">
        <x:v>1.9</x:v>
      </x:c>
      <x:c r="L1434" s="31" t="n">
        <x:f>ABS(J1434-K1434)</x:f>
        <x:v>6.5</x:v>
      </x:c>
      <x:c r="M1434" s="31" t="n">
        <x:v>3.8</x:v>
      </x:c>
      <x:c r="N1434" s="31" t="n">
        <x:v>4.7</x:v>
      </x:c>
      <x:c r="O1434" s="31" t="n">
        <x:f>ABS(M1434-N1434)</x:f>
        <x:v>0.9000000000000004</x:v>
      </x:c>
      <x:c r="P1434" s="31" t="n">
        <x:v>10.09</x:v>
      </x:c>
      <x:c r="Q1434" s="31" t="n">
        <x:v>10.15</x:v>
      </x:c>
      <x:c r="R1434" s="31" t="n">
        <x:f>ABS(P1434-Q1434)</x:f>
        <x:v>0.0600000000000005</x:v>
      </x:c>
      <x:c r="S1434" s="32" t="n">
        <x:v>87111.64322577155</x:v>
      </x:c>
      <x:c r="T1434" s="32" t="n">
        <x:v>64229.496190598846</x:v>
      </x:c>
      <x:c r="U1434" s="31" t="n">
        <x:f>MAX(S1434/T1434,T1434/S1434)</x:f>
        <x:v>1.3562560566763704</x:v>
      </x:c>
      <x:c r="V1434" s="31" t="n">
        <x:f>L1434*'Controls &amp; Summary'!$B$9+O1434*'Controls &amp; Summary'!$B$10+R1434*'Controls &amp; Summary'!$B$11+U1434*'Controls &amp; Summary'!$B$12</x:f>
        <x:v>8.816256056676371</x:v>
      </x:c>
      <x:c r="W1434" s="31" t="n">
        <x:v>2.7</x:v>
      </x:c>
      <x:c r="X1434" s="31" t="n">
        <x:v>0</x:v>
      </x:c>
      <x:c r="Y1434" s="31" t="n">
        <x:f>((10-MIN(10,MAX(0,X1434)))/10)*'Controls &amp; Summary'!$B$15+((10-MIN(10,MAX(0,W1434)))/10)*'Controls &amp; Summary'!$B$16</x:f>
        <x:v>1.73</x:v>
      </x:c>
      <x:c r="Z1434" s="31" t="n">
        <x:f>V1434*Y1434</x:f>
        <x:v>15.252122978050123</x:v>
      </x:c>
      <x:c r="AA1434" s="30" t="str">
        <x:f>IF(Z1434&lt;=I1434,"Peaceful","Hostile")</x:f>
        <x:v>Hostile</x:v>
      </x:c>
      <x:c r="AB1434" s="30" t="str">
        <x:f>IF(Z1434&lt;='Controls &amp; Summary'!$B$6,"Eligible","Blocked")</x:f>
        <x:v>Blocked</x:v>
      </x:c>
      <x:c r="AC1434" s="30" t="str">
        <x:v>2070_EUA</x:v>
      </x:c>
      <x:c r="AD1434" s="30" t="str">
        <x:v>2070_RUS</x:v>
      </x:c>
      <x:c r="AE1434" s="30" t="str">
        <x:v>2070_Moskva</x:v>
      </x:c>
      <x:c r="AF1434" s="30" t="str">
        <x:v>Explicit capitalClaim</x:v>
      </x:c>
      <x:c r="AG1434" s="30" t="str">
        <x:v>Claim2070_EUA2070_Moskva</x:v>
      </x:c>
      <x:c r="AH1434" s="30" t="str">
        <x:v>Project_GreatEuropa</x:v>
      </x:c>
    </x:row>
    <x:row r="1435">
      <x:c r="A1435" s="30" t="str">
        <x:v>2070</x:v>
      </x:c>
      <x:c r="B1435" s="30" t="str">
        <x:v>Base game</x:v>
      </x:c>
      <x:c r="C1435" s="30" t="str">
        <x:v>France</x:v>
      </x:c>
      <x:c r="D1435" s="30" t="str">
        <x:v>Serbia</x:v>
      </x:c>
      <x:c r="E1435" s="30" t="str">
        <x:v>Starting claim</x:v>
      </x:c>
      <x:c r="F1435" s="30" t="str"/>
      <x:c r="G1435" s="30" t="str">
        <x:v>No</x:v>
      </x:c>
      <x:c r="H1435" s="30" t="str">
        <x:v>Ordinary claim</x:v>
      </x:c>
      <x:c r="I1435" s="31" t="n">
        <x:f>IF(G1435="Yes",'Controls &amp; Summary'!$B$5,'Controls &amp; Summary'!$B$4)</x:f>
        <x:v>6</x:v>
      </x:c>
      <x:c r="J1435" s="31" t="n">
        <x:v>8.4</x:v>
      </x:c>
      <x:c r="K1435" s="31" t="n">
        <x:v>7.1</x:v>
      </x:c>
      <x:c r="L1435" s="31" t="n">
        <x:f>ABS(J1435-K1435)</x:f>
        <x:v>1.3000000000000007</x:v>
      </x:c>
      <x:c r="M1435" s="31" t="n">
        <x:v>3.8</x:v>
      </x:c>
      <x:c r="N1435" s="31" t="n">
        <x:v>3.4</x:v>
      </x:c>
      <x:c r="O1435" s="31" t="n">
        <x:f>ABS(M1435-N1435)</x:f>
        <x:v>0.3999999999999999</x:v>
      </x:c>
      <x:c r="P1435" s="31" t="n">
        <x:v>10.09</x:v>
      </x:c>
      <x:c r="Q1435" s="31" t="n">
        <x:v>9.75</x:v>
      </x:c>
      <x:c r="R1435" s="31" t="n">
        <x:f>ABS(P1435-Q1435)</x:f>
        <x:v>0.33999999999999986</x:v>
      </x:c>
      <x:c r="S1435" s="32" t="n">
        <x:v>87111.64322577155</x:v>
      </x:c>
      <x:c r="T1435" s="32" t="n">
        <x:v>59456.89229494263</x:v>
      </x:c>
      <x:c r="U1435" s="31" t="n">
        <x:f>MAX(S1435/T1435,T1435/S1435)</x:f>
        <x:v>1.4651227109826799</x:v>
      </x:c>
      <x:c r="V1435" s="31" t="n">
        <x:f>L1435*'Controls &amp; Summary'!$B$9+O1435*'Controls &amp; Summary'!$B$10+R1435*'Controls &amp; Summary'!$B$11+U1435*'Controls &amp; Summary'!$B$12</x:f>
        <x:v>3.5051227109826804</x:v>
      </x:c>
      <x:c r="W1435" s="31" t="n">
        <x:v>2.7</x:v>
      </x:c>
      <x:c r="X1435" s="31" t="n">
        <x:v>0</x:v>
      </x:c>
      <x:c r="Y1435" s="31" t="n">
        <x:f>((10-MIN(10,MAX(0,X1435)))/10)*'Controls &amp; Summary'!$B$15+((10-MIN(10,MAX(0,W1435)))/10)*'Controls &amp; Summary'!$B$16</x:f>
        <x:v>1.73</x:v>
      </x:c>
      <x:c r="Z1435" s="31" t="n">
        <x:f>V1435*Y1435</x:f>
        <x:v>6.063862290000037</x:v>
      </x:c>
      <x:c r="AA1435" s="30" t="str">
        <x:f>IF(Z1435&lt;=I1435,"Peaceful","Hostile")</x:f>
        <x:v>Hostile</x:v>
      </x:c>
      <x:c r="AB1435" s="30" t="str">
        <x:f>IF(Z1435&lt;='Controls &amp; Summary'!$B$6,"Eligible","Blocked")</x:f>
        <x:v>Eligible</x:v>
      </x:c>
      <x:c r="AC1435" s="30" t="str">
        <x:v>2070_EUA</x:v>
      </x:c>
      <x:c r="AD1435" s="30" t="str">
        <x:v>2070_SER</x:v>
      </x:c>
      <x:c r="AE1435" s="30" t="str">
        <x:v>2070_Belgrade</x:v>
      </x:c>
      <x:c r="AF1435" s="30" t="str">
        <x:v>Explicit capitalClaim</x:v>
      </x:c>
      <x:c r="AG1435" s="30" t="str">
        <x:v>Claim2070_EUA2070_Belgrade</x:v>
      </x:c>
      <x:c r="AH1435" s="30" t="str"/>
    </x:row>
    <x:row r="1436">
      <x:c r="A1436" s="30" t="str">
        <x:v>2070</x:v>
      </x:c>
      <x:c r="B1436" s="30" t="str">
        <x:v>Base game</x:v>
      </x:c>
      <x:c r="C1436" s="30" t="str">
        <x:v>France</x:v>
      </x:c>
      <x:c r="D1436" s="30" t="str">
        <x:v>Slovakia</x:v>
      </x:c>
      <x:c r="E1436" s="30" t="str">
        <x:v>Starting claim</x:v>
      </x:c>
      <x:c r="F1436" s="30" t="str"/>
      <x:c r="G1436" s="30" t="str">
        <x:v>No</x:v>
      </x:c>
      <x:c r="H1436" s="30" t="str">
        <x:v>Ordinary claim</x:v>
      </x:c>
      <x:c r="I1436" s="31" t="n">
        <x:f>IF(G1436="Yes",'Controls &amp; Summary'!$B$5,'Controls &amp; Summary'!$B$4)</x:f>
        <x:v>6</x:v>
      </x:c>
      <x:c r="J1436" s="31" t="n">
        <x:v>8.4</x:v>
      </x:c>
      <x:c r="K1436" s="31" t="n">
        <x:v>7.8</x:v>
      </x:c>
      <x:c r="L1436" s="31" t="n">
        <x:f>ABS(J1436-K1436)</x:f>
        <x:v>0.6000000000000005</x:v>
      </x:c>
      <x:c r="M1436" s="31" t="n">
        <x:v>3.8</x:v>
      </x:c>
      <x:c r="N1436" s="31" t="n">
        <x:v>3.2</x:v>
      </x:c>
      <x:c r="O1436" s="31" t="n">
        <x:f>ABS(M1436-N1436)</x:f>
        <x:v>0.5999999999999996</x:v>
      </x:c>
      <x:c r="P1436" s="31" t="n">
        <x:v>10.09</x:v>
      </x:c>
      <x:c r="Q1436" s="31" t="n">
        <x:v>10.18</x:v>
      </x:c>
      <x:c r="R1436" s="31" t="n">
        <x:f>ABS(P1436-Q1436)</x:f>
        <x:v>0.08999999999999986</x:v>
      </x:c>
      <x:c r="S1436" s="32" t="n">
        <x:v>87111.64322577155</x:v>
      </x:c>
      <x:c r="T1436" s="32" t="n">
        <x:v>84541.74981854367</x:v>
      </x:c>
      <x:c r="U1436" s="31" t="n">
        <x:f>MAX(S1436/T1436,T1436/S1436)</x:f>
        <x:v>1.0303979207047853</x:v>
      </x:c>
      <x:c r="V1436" s="31" t="n">
        <x:f>L1436*'Controls &amp; Summary'!$B$9+O1436*'Controls &amp; Summary'!$B$10+R1436*'Controls &amp; Summary'!$B$11+U1436*'Controls &amp; Summary'!$B$12</x:f>
        <x:v>2.320397920704785</x:v>
      </x:c>
      <x:c r="W1436" s="31" t="n">
        <x:v>2.7</x:v>
      </x:c>
      <x:c r="X1436" s="31" t="n">
        <x:v>0</x:v>
      </x:c>
      <x:c r="Y1436" s="31" t="n">
        <x:f>((10-MIN(10,MAX(0,X1436)))/10)*'Controls &amp; Summary'!$B$15+((10-MIN(10,MAX(0,W1436)))/10)*'Controls &amp; Summary'!$B$16</x:f>
        <x:v>1.73</x:v>
      </x:c>
      <x:c r="Z1436" s="31" t="n">
        <x:f>V1436*Y1436</x:f>
        <x:v>4.014288402819278</x:v>
      </x:c>
      <x:c r="AA1436" s="30" t="str">
        <x:f>IF(Z1436&lt;=I1436,"Peaceful","Hostile")</x:f>
        <x:v>Peaceful</x:v>
      </x:c>
      <x:c r="AB1436" s="30" t="str">
        <x:f>IF(Z1436&lt;='Controls &amp; Summary'!$B$6,"Eligible","Blocked")</x:f>
        <x:v>Eligible</x:v>
      </x:c>
      <x:c r="AC1436" s="30" t="str">
        <x:v>2070_EUA</x:v>
      </x:c>
      <x:c r="AD1436" s="30" t="str">
        <x:v>2070_SLO</x:v>
      </x:c>
      <x:c r="AE1436" s="30" t="str">
        <x:v>2070_Slovakia</x:v>
      </x:c>
      <x:c r="AF1436" s="30" t="str">
        <x:v>Explicit capitalClaim</x:v>
      </x:c>
      <x:c r="AG1436" s="30" t="str">
        <x:v>Claim2070_EUA2070_Slovakia</x:v>
      </x:c>
      <x:c r="AH1436" s="30" t="str"/>
    </x:row>
    <x:row r="1437">
      <x:c r="A1437" s="30" t="str">
        <x:v>2070</x:v>
      </x:c>
      <x:c r="B1437" s="30" t="str">
        <x:v>Base game</x:v>
      </x:c>
      <x:c r="C1437" s="30" t="str">
        <x:v>France</x:v>
      </x:c>
      <x:c r="D1437" s="30" t="str">
        <x:v>Sweden</x:v>
      </x:c>
      <x:c r="E1437" s="30" t="str">
        <x:v>Starting claim</x:v>
      </x:c>
      <x:c r="F1437" s="30" t="str"/>
      <x:c r="G1437" s="30" t="str">
        <x:v>No</x:v>
      </x:c>
      <x:c r="H1437" s="30" t="str">
        <x:v>Ordinary claim</x:v>
      </x:c>
      <x:c r="I1437" s="31" t="n">
        <x:f>IF(G1437="Yes",'Controls &amp; Summary'!$B$5,'Controls &amp; Summary'!$B$4)</x:f>
        <x:v>6</x:v>
      </x:c>
      <x:c r="J1437" s="31" t="n">
        <x:v>8.4</x:v>
      </x:c>
      <x:c r="K1437" s="31" t="n">
        <x:v>9.5</x:v>
      </x:c>
      <x:c r="L1437" s="31" t="n">
        <x:f>ABS(J1437-K1437)</x:f>
        <x:v>1.0999999999999996</x:v>
      </x:c>
      <x:c r="M1437" s="31" t="n">
        <x:v>3.8</x:v>
      </x:c>
      <x:c r="N1437" s="31" t="n">
        <x:v>2.9</x:v>
      </x:c>
      <x:c r="O1437" s="31" t="n">
        <x:f>ABS(M1437-N1437)</x:f>
        <x:v>0.8999999999999999</x:v>
      </x:c>
      <x:c r="P1437" s="31" t="n">
        <x:v>10.09</x:v>
      </x:c>
      <x:c r="Q1437" s="31" t="n">
        <x:v>11.1</x:v>
      </x:c>
      <x:c r="R1437" s="31" t="n">
        <x:f>ABS(P1437-Q1437)</x:f>
        <x:v>1.0099999999999998</x:v>
      </x:c>
      <x:c r="S1437" s="32" t="n">
        <x:v>87111.64322577155</x:v>
      </x:c>
      <x:c r="T1437" s="32" t="n">
        <x:v>93186.8197038068</x:v>
      </x:c>
      <x:c r="U1437" s="31" t="n">
        <x:f>MAX(S1437/T1437,T1437/S1437)</x:f>
        <x:v>1.0697401202993029</x:v>
      </x:c>
      <x:c r="V1437" s="31" t="n">
        <x:f>L1437*'Controls &amp; Summary'!$B$9+O1437*'Controls &amp; Summary'!$B$10+R1437*'Controls &amp; Summary'!$B$11+U1437*'Controls &amp; Summary'!$B$12</x:f>
        <x:v>4.079740120299302</x:v>
      </x:c>
      <x:c r="W1437" s="31" t="n">
        <x:v>2.7</x:v>
      </x:c>
      <x:c r="X1437" s="31" t="n">
        <x:v>0</x:v>
      </x:c>
      <x:c r="Y1437" s="31" t="n">
        <x:f>((10-MIN(10,MAX(0,X1437)))/10)*'Controls &amp; Summary'!$B$15+((10-MIN(10,MAX(0,W1437)))/10)*'Controls &amp; Summary'!$B$16</x:f>
        <x:v>1.73</x:v>
      </x:c>
      <x:c r="Z1437" s="31" t="n">
        <x:f>V1437*Y1437</x:f>
        <x:v>7.057950408117793</x:v>
      </x:c>
      <x:c r="AA1437" s="30" t="str">
        <x:f>IF(Z1437&lt;=I1437,"Peaceful","Hostile")</x:f>
        <x:v>Hostile</x:v>
      </x:c>
      <x:c r="AB1437" s="30" t="str">
        <x:f>IF(Z1437&lt;='Controls &amp; Summary'!$B$6,"Eligible","Blocked")</x:f>
        <x:v>Eligible</x:v>
      </x:c>
      <x:c r="AC1437" s="30" t="str">
        <x:v>2070_EUA</x:v>
      </x:c>
      <x:c r="AD1437" s="30" t="str">
        <x:v>2070_SCA</x:v>
      </x:c>
      <x:c r="AE1437" s="30" t="str">
        <x:v>2070_Sweden</x:v>
      </x:c>
      <x:c r="AF1437" s="30" t="str">
        <x:v>Explicit capitalClaim</x:v>
      </x:c>
      <x:c r="AG1437" s="30" t="str">
        <x:v>Claim2070_EUA2070_Sweden</x:v>
      </x:c>
      <x:c r="AH1437" s="30" t="str"/>
    </x:row>
    <x:row r="1438">
      <x:c r="A1438" s="30" t="str">
        <x:v>2070</x:v>
      </x:c>
      <x:c r="B1438" s="30" t="str">
        <x:v>Base game</x:v>
      </x:c>
      <x:c r="C1438" s="30" t="str">
        <x:v>France</x:v>
      </x:c>
      <x:c r="D1438" s="30" t="str">
        <x:v>Switzerland</x:v>
      </x:c>
      <x:c r="E1438" s="30" t="str">
        <x:v>Project unlock</x:v>
      </x:c>
      <x:c r="F1438" s="30" t="str">
        <x:v>Great Europa</x:v>
      </x:c>
      <x:c r="G1438" s="30" t="str">
        <x:v>No</x:v>
      </x:c>
      <x:c r="H1438" s="30" t="str">
        <x:v>Ordinary claim</x:v>
      </x:c>
      <x:c r="I1438" s="31" t="n">
        <x:f>IF(G1438="Yes",'Controls &amp; Summary'!$B$5,'Controls &amp; Summary'!$B$4)</x:f>
        <x:v>6</x:v>
      </x:c>
      <x:c r="J1438" s="31" t="n">
        <x:v>8.4</x:v>
      </x:c>
      <x:c r="K1438" s="31" t="n">
        <x:v>9.3</x:v>
      </x:c>
      <x:c r="L1438" s="31" t="n">
        <x:f>ABS(J1438-K1438)</x:f>
        <x:v>0.9000000000000004</x:v>
      </x:c>
      <x:c r="M1438" s="31" t="n">
        <x:v>3.8</x:v>
      </x:c>
      <x:c r="N1438" s="31" t="n">
        <x:v>3.3</x:v>
      </x:c>
      <x:c r="O1438" s="31" t="n">
        <x:f>ABS(M1438-N1438)</x:f>
        <x:v>0.5</x:v>
      </x:c>
      <x:c r="P1438" s="31" t="n">
        <x:v>10.09</x:v>
      </x:c>
      <x:c r="Q1438" s="31" t="n">
        <x:v>10.92</x:v>
      </x:c>
      <x:c r="R1438" s="31" t="n">
        <x:f>ABS(P1438-Q1438)</x:f>
        <x:v>0.8300000000000001</x:v>
      </x:c>
      <x:c r="S1438" s="32" t="n">
        <x:v>87111.64322577155</x:v>
      </x:c>
      <x:c r="T1438" s="32" t="n">
        <x:v>121691.30564711004</x:v>
      </x:c>
      <x:c r="U1438" s="31" t="n">
        <x:f>MAX(S1438/T1438,T1438/S1438)</x:f>
        <x:v>1.3969579856474141</x:v>
      </x:c>
      <x:c r="V1438" s="31" t="n">
        <x:f>L1438*'Controls &amp; Summary'!$B$9+O1438*'Controls &amp; Summary'!$B$10+R1438*'Controls &amp; Summary'!$B$11+U1438*'Controls &amp; Summary'!$B$12</x:f>
        <x:v>3.6269579856474143</x:v>
      </x:c>
      <x:c r="W1438" s="31" t="n">
        <x:v>2.7</x:v>
      </x:c>
      <x:c r="X1438" s="31" t="n">
        <x:v>0</x:v>
      </x:c>
      <x:c r="Y1438" s="31" t="n">
        <x:f>((10-MIN(10,MAX(0,X1438)))/10)*'Controls &amp; Summary'!$B$15+((10-MIN(10,MAX(0,W1438)))/10)*'Controls &amp; Summary'!$B$16</x:f>
        <x:v>1.73</x:v>
      </x:c>
      <x:c r="Z1438" s="31" t="n">
        <x:f>V1438*Y1438</x:f>
        <x:v>6.274637315170026</x:v>
      </x:c>
      <x:c r="AA1438" s="30" t="str">
        <x:f>IF(Z1438&lt;=I1438,"Peaceful","Hostile")</x:f>
        <x:v>Hostile</x:v>
      </x:c>
      <x:c r="AB1438" s="30" t="str">
        <x:f>IF(Z1438&lt;='Controls &amp; Summary'!$B$6,"Eligible","Blocked")</x:f>
        <x:v>Eligible</x:v>
      </x:c>
      <x:c r="AC1438" s="30" t="str">
        <x:v>2070_EUA</x:v>
      </x:c>
      <x:c r="AD1438" s="30" t="str">
        <x:v>2070_SWI</x:v>
      </x:c>
      <x:c r="AE1438" s="30" t="str">
        <x:v>2070_Zurich</x:v>
      </x:c>
      <x:c r="AF1438" s="30" t="str">
        <x:v>Explicit capitalClaim</x:v>
      </x:c>
      <x:c r="AG1438" s="30" t="str">
        <x:v>Claim2070_EUA2070_Zurich</x:v>
      </x:c>
      <x:c r="AH1438" s="30" t="str">
        <x:v>Project_GreatEuropa</x:v>
      </x:c>
    </x:row>
    <x:row r="1439">
      <x:c r="A1439" s="30" t="str">
        <x:v>2070</x:v>
      </x:c>
      <x:c r="B1439" s="30" t="str">
        <x:v>Base game</x:v>
      </x:c>
      <x:c r="C1439" s="30" t="str">
        <x:v>France</x:v>
      </x:c>
      <x:c r="D1439" s="30" t="str">
        <x:v>Turkey</x:v>
      </x:c>
      <x:c r="E1439" s="30" t="str">
        <x:v>Project unlock</x:v>
      </x:c>
      <x:c r="F1439" s="30" t="str">
        <x:v>Europe Ascendant</x:v>
      </x:c>
      <x:c r="G1439" s="30" t="str">
        <x:v>No</x:v>
      </x:c>
      <x:c r="H1439" s="30" t="str">
        <x:v>Ordinary claim</x:v>
      </x:c>
      <x:c r="I1439" s="31" t="n">
        <x:f>IF(G1439="Yes",'Controls &amp; Summary'!$B$5,'Controls &amp; Summary'!$B$4)</x:f>
        <x:v>6</x:v>
      </x:c>
      <x:c r="J1439" s="31" t="n">
        <x:v>8.4</x:v>
      </x:c>
      <x:c r="K1439" s="31" t="n">
        <x:v>6.1</x:v>
      </x:c>
      <x:c r="L1439" s="31" t="n">
        <x:f>ABS(J1439-K1439)</x:f>
        <x:v>2.3000000000000007</x:v>
      </x:c>
      <x:c r="M1439" s="31" t="n">
        <x:v>3.8</x:v>
      </x:c>
      <x:c r="N1439" s="31" t="n">
        <x:v>4.2</x:v>
      </x:c>
      <x:c r="O1439" s="31" t="n">
        <x:f>ABS(M1439-N1439)</x:f>
        <x:v>0.40000000000000036</x:v>
      </x:c>
      <x:c r="P1439" s="31" t="n">
        <x:v>10.09</x:v>
      </x:c>
      <x:c r="Q1439" s="31" t="n">
        <x:v>9.23</x:v>
      </x:c>
      <x:c r="R1439" s="31" t="n">
        <x:f>ABS(P1439-Q1439)</x:f>
        <x:v>0.8599999999999994</x:v>
      </x:c>
      <x:c r="S1439" s="32" t="n">
        <x:v>87111.64322577155</x:v>
      </x:c>
      <x:c r="T1439" s="32" t="n">
        <x:v>103771.60174334687</x:v>
      </x:c>
      <x:c r="U1439" s="31" t="n">
        <x:f>MAX(S1439/T1439,T1439/S1439)</x:f>
        <x:v>1.191248355565936</x:v>
      </x:c>
      <x:c r="V1439" s="31" t="n">
        <x:f>L1439*'Controls &amp; Summary'!$B$9+O1439*'Controls &amp; Summary'!$B$10+R1439*'Controls &amp; Summary'!$B$11+U1439*'Controls &amp; Summary'!$B$12</x:f>
        <x:v>4.751248355565936</x:v>
      </x:c>
      <x:c r="W1439" s="31" t="n">
        <x:v>2.7</x:v>
      </x:c>
      <x:c r="X1439" s="31" t="n">
        <x:v>0</x:v>
      </x:c>
      <x:c r="Y1439" s="31" t="n">
        <x:f>((10-MIN(10,MAX(0,X1439)))/10)*'Controls &amp; Summary'!$B$15+((10-MIN(10,MAX(0,W1439)))/10)*'Controls &amp; Summary'!$B$16</x:f>
        <x:v>1.73</x:v>
      </x:c>
      <x:c r="Z1439" s="31" t="n">
        <x:f>V1439*Y1439</x:f>
        <x:v>8.21965965512907</x:v>
      </x:c>
      <x:c r="AA1439" s="30" t="str">
        <x:f>IF(Z1439&lt;=I1439,"Peaceful","Hostile")</x:f>
        <x:v>Hostile</x:v>
      </x:c>
      <x:c r="AB1439" s="30" t="str">
        <x:f>IF(Z1439&lt;='Controls &amp; Summary'!$B$6,"Eligible","Blocked")</x:f>
        <x:v>Eligible</x:v>
      </x:c>
      <x:c r="AC1439" s="30" t="str">
        <x:v>2070_EUA</x:v>
      </x:c>
      <x:c r="AD1439" s="30" t="str">
        <x:v>2070_TUR</x:v>
      </x:c>
      <x:c r="AE1439" s="30" t="str">
        <x:v>2070_Anatolia</x:v>
      </x:c>
      <x:c r="AF1439" s="30" t="str">
        <x:v>Explicit capitalClaim</x:v>
      </x:c>
      <x:c r="AG1439" s="30" t="str">
        <x:v>Claim2070_EUA2070_Anatolia</x:v>
      </x:c>
      <x:c r="AH1439" s="30" t="str">
        <x:v>Project_EuropeAscendant</x:v>
      </x:c>
    </x:row>
    <x:row r="1440">
      <x:c r="A1440" s="30" t="str">
        <x:v>2070</x:v>
      </x:c>
      <x:c r="B1440" s="30" t="str">
        <x:v>Base game</x:v>
      </x:c>
      <x:c r="C1440" s="30" t="str">
        <x:v>France</x:v>
      </x:c>
      <x:c r="D1440" s="30" t="str">
        <x:v>United Kingdom</x:v>
      </x:c>
      <x:c r="E1440" s="30" t="str">
        <x:v>Starting claim</x:v>
      </x:c>
      <x:c r="F1440" s="30" t="str"/>
      <x:c r="G1440" s="30" t="str">
        <x:v>No</x:v>
      </x:c>
      <x:c r="H1440" s="30" t="str">
        <x:v>Ordinary claim</x:v>
      </x:c>
      <x:c r="I1440" s="31" t="n">
        <x:f>IF(G1440="Yes",'Controls &amp; Summary'!$B$5,'Controls &amp; Summary'!$B$4)</x:f>
        <x:v>6</x:v>
      </x:c>
      <x:c r="J1440" s="31" t="n">
        <x:v>8.4</x:v>
      </x:c>
      <x:c r="K1440" s="31" t="n">
        <x:v>8.4</x:v>
      </x:c>
      <x:c r="L1440" s="31" t="n">
        <x:f>ABS(J1440-K1440)</x:f>
        <x:v>0</x:v>
      </x:c>
      <x:c r="M1440" s="31" t="n">
        <x:v>3.8</x:v>
      </x:c>
      <x:c r="N1440" s="31" t="n">
        <x:v>3.8</x:v>
      </x:c>
      <x:c r="O1440" s="31" t="n">
        <x:f>ABS(M1440-N1440)</x:f>
        <x:v>0</x:v>
      </x:c>
      <x:c r="P1440" s="31" t="n">
        <x:v>10.09</x:v>
      </x:c>
      <x:c r="Q1440" s="31" t="n">
        <x:v>11.2</x:v>
      </x:c>
      <x:c r="R1440" s="31" t="n">
        <x:f>ABS(P1440-Q1440)</x:f>
        <x:v>1.1099999999999994</x:v>
      </x:c>
      <x:c r="S1440" s="32" t="n">
        <x:v>87111.64322577155</x:v>
      </x:c>
      <x:c r="T1440" s="32" t="n">
        <x:v>90078.66403669969</x:v>
      </x:c>
      <x:c r="U1440" s="31" t="n">
        <x:f>MAX(S1440/T1440,T1440/S1440)</x:f>
        <x:v>1.0340599798265584</x:v>
      </x:c>
      <x:c r="V1440" s="31" t="n">
        <x:f>L1440*'Controls &amp; Summary'!$B$9+O1440*'Controls &amp; Summary'!$B$10+R1440*'Controls &amp; Summary'!$B$11+U1440*'Controls &amp; Summary'!$B$12</x:f>
        <x:v>2.144059979826558</x:v>
      </x:c>
      <x:c r="W1440" s="31" t="n">
        <x:v>2.7</x:v>
      </x:c>
      <x:c r="X1440" s="31" t="n">
        <x:v>0</x:v>
      </x:c>
      <x:c r="Y1440" s="31" t="n">
        <x:f>((10-MIN(10,MAX(0,X1440)))/10)*'Controls &amp; Summary'!$B$15+((10-MIN(10,MAX(0,W1440)))/10)*'Controls &amp; Summary'!$B$16</x:f>
        <x:v>1.73</x:v>
      </x:c>
      <x:c r="Z1440" s="31" t="n">
        <x:f>V1440*Y1440</x:f>
        <x:v>3.7092237650999453</x:v>
      </x:c>
      <x:c r="AA1440" s="30" t="str">
        <x:f>IF(Z1440&lt;=I1440,"Peaceful","Hostile")</x:f>
        <x:v>Peaceful</x:v>
      </x:c>
      <x:c r="AB1440" s="30" t="str">
        <x:f>IF(Z1440&lt;='Controls &amp; Summary'!$B$6,"Eligible","Blocked")</x:f>
        <x:v>Eligible</x:v>
      </x:c>
      <x:c r="AC1440" s="30" t="str">
        <x:v>2070_EUA</x:v>
      </x:c>
      <x:c r="AD1440" s="30" t="str">
        <x:v>2070_GBR</x:v>
      </x:c>
      <x:c r="AE1440" s="30" t="str">
        <x:v>2070_England</x:v>
      </x:c>
      <x:c r="AF1440" s="30" t="str">
        <x:v>Explicit capitalClaim</x:v>
      </x:c>
      <x:c r="AG1440" s="30" t="str">
        <x:v>Claim2070_EUA2070_England</x:v>
      </x:c>
      <x:c r="AH1440" s="30" t="str"/>
    </x:row>
    <x:row r="1441">
      <x:c r="A1441" s="30" t="str">
        <x:v>2070</x:v>
      </x:c>
      <x:c r="B1441" s="30" t="str">
        <x:v>Base game</x:v>
      </x:c>
      <x:c r="C1441" s="30" t="str">
        <x:v>Hungary</x:v>
      </x:c>
      <x:c r="D1441" s="30" t="str">
        <x:v>Slovakia</x:v>
      </x:c>
      <x:c r="E1441" s="30" t="str">
        <x:v>Project unlock</x:v>
      </x:c>
      <x:c r="F1441" s="30" t="str">
        <x:v>Hungarian Irredentism</x:v>
      </x:c>
      <x:c r="G1441" s="30" t="str">
        <x:v>No</x:v>
      </x:c>
      <x:c r="H1441" s="30" t="str">
        <x:v>Ordinary claim</x:v>
      </x:c>
      <x:c r="I1441" s="31" t="n">
        <x:f>IF(G1441="Yes",'Controls &amp; Summary'!$B$5,'Controls &amp; Summary'!$B$4)</x:f>
        <x:v>6</x:v>
      </x:c>
      <x:c r="J1441" s="31" t="n">
        <x:v>5.2</x:v>
      </x:c>
      <x:c r="K1441" s="31" t="n">
        <x:v>7.8</x:v>
      </x:c>
      <x:c r="L1441" s="31" t="n">
        <x:f>ABS(J1441-K1441)</x:f>
        <x:v>2.5999999999999996</x:v>
      </x:c>
      <x:c r="M1441" s="31" t="n">
        <x:v>4.4</x:v>
      </x:c>
      <x:c r="N1441" s="31" t="n">
        <x:v>3.2</x:v>
      </x:c>
      <x:c r="O1441" s="31" t="n">
        <x:f>ABS(M1441-N1441)</x:f>
        <x:v>1.2000000000000002</x:v>
      </x:c>
      <x:c r="P1441" s="31" t="n">
        <x:v>10.13</x:v>
      </x:c>
      <x:c r="Q1441" s="31" t="n">
        <x:v>10.18</x:v>
      </x:c>
      <x:c r="R1441" s="31" t="n">
        <x:f>ABS(P1441-Q1441)</x:f>
        <x:v>0.049999999999998934</x:v>
      </x:c>
      <x:c r="S1441" s="32" t="n">
        <x:v>84702.40323874658</x:v>
      </x:c>
      <x:c r="T1441" s="32" t="n">
        <x:v>84541.74981854367</x:v>
      </x:c>
      <x:c r="U1441" s="31" t="n">
        <x:f>MAX(S1441/T1441,T1441/S1441)</x:f>
        <x:v>1.0019002850135907</x:v>
      </x:c>
      <x:c r="V1441" s="31" t="n">
        <x:f>L1441*'Controls &amp; Summary'!$B$9+O1441*'Controls &amp; Summary'!$B$10+R1441*'Controls &amp; Summary'!$B$11+U1441*'Controls &amp; Summary'!$B$12</x:f>
        <x:v>4.851900285013589</x:v>
      </x:c>
      <x:c r="W1441" s="31" t="n">
        <x:v>4.9</x:v>
      </x:c>
      <x:c r="X1441" s="31" t="n">
        <x:v>0</x:v>
      </x:c>
      <x:c r="Y1441" s="31" t="n">
        <x:f>((10-MIN(10,MAX(0,X1441)))/10)*'Controls &amp; Summary'!$B$15+((10-MIN(10,MAX(0,W1441)))/10)*'Controls &amp; Summary'!$B$16</x:f>
        <x:v>1.51</x:v>
      </x:c>
      <x:c r="Z1441" s="31" t="n">
        <x:f>V1441*Y1441</x:f>
        <x:v>7.32636943037052</x:v>
      </x:c>
      <x:c r="AA1441" s="30" t="str">
        <x:f>IF(Z1441&lt;=I1441,"Peaceful","Hostile")</x:f>
        <x:v>Hostile</x:v>
      </x:c>
      <x:c r="AB1441" s="30" t="str">
        <x:f>IF(Z1441&lt;='Controls &amp; Summary'!$B$6,"Eligible","Blocked")</x:f>
        <x:v>Eligible</x:v>
      </x:c>
      <x:c r="AC1441" s="30" t="str">
        <x:v>2070_HUN</x:v>
      </x:c>
      <x:c r="AD1441" s="30" t="str">
        <x:v>2070_SLO</x:v>
      </x:c>
      <x:c r="AE1441" s="30" t="str">
        <x:v>2070_Slovakia</x:v>
      </x:c>
      <x:c r="AF1441" s="30" t="str">
        <x:v>Explicit capitalClaim</x:v>
      </x:c>
      <x:c r="AG1441" s="30" t="str">
        <x:v>Claim2070_HUN2070_Slovakia</x:v>
      </x:c>
      <x:c r="AH1441" s="30" t="str">
        <x:v>Project_HungarianIrredentism</x:v>
      </x:c>
    </x:row>
    <x:row r="1442">
      <x:c r="A1442" s="30" t="str">
        <x:v>2070</x:v>
      </x:c>
      <x:c r="B1442" s="30" t="str">
        <x:v>Base game</x:v>
      </x:c>
      <x:c r="C1442" s="30" t="str">
        <x:v>India</x:v>
      </x:c>
      <x:c r="D1442" s="30" t="str">
        <x:v>Afghanistan</x:v>
      </x:c>
      <x:c r="E1442" s="30" t="str">
        <x:v>Project unlock</x:v>
      </x:c>
      <x:c r="F1442" s="30" t="str">
        <x:v>Greater India</x:v>
      </x:c>
      <x:c r="G1442" s="30" t="str">
        <x:v>Yes</x:v>
      </x:c>
      <x:c r="H1442" s="30" t="str">
        <x:v>Template hostileClaim</x:v>
      </x:c>
      <x:c r="I1442" s="31" t="n">
        <x:f>IF(G1442="Yes",'Controls &amp; Summary'!$B$5,'Controls &amp; Summary'!$B$4)</x:f>
        <x:v>3</x:v>
      </x:c>
      <x:c r="J1442" s="31" t="n">
        <x:v>6.9</x:v>
      </x:c>
      <x:c r="K1442" s="31" t="n">
        <x:v>1.2</x:v>
      </x:c>
      <x:c r="L1442" s="31" t="n">
        <x:f>ABS(J1442-K1442)</x:f>
        <x:v>5.7</x:v>
      </x:c>
      <x:c r="M1442" s="31" t="n">
        <x:v>4.1</x:v>
      </x:c>
      <x:c r="N1442" s="31" t="n">
        <x:v>5.4</x:v>
      </x:c>
      <x:c r="O1442" s="31" t="n">
        <x:f>ABS(M1442-N1442)</x:f>
        <x:v>1.3000000000000007</x:v>
      </x:c>
      <x:c r="P1442" s="31" t="n">
        <x:v>7.47</x:v>
      </x:c>
      <x:c r="Q1442" s="31" t="n">
        <x:v>6.06</x:v>
      </x:c>
      <x:c r="R1442" s="31" t="n">
        <x:f>ABS(P1442-Q1442)</x:f>
        <x:v>1.4100000000000001</x:v>
      </x:c>
      <x:c r="S1442" s="32" t="n">
        <x:v>35408.503454733975</x:v>
      </x:c>
      <x:c r="T1442" s="32" t="n">
        <x:v>3270.2797706373226</x:v>
      </x:c>
      <x:c r="U1442" s="31" t="n">
        <x:f>MAX(S1442/T1442,T1442/S1442)</x:f>
        <x:v>10.827362164134799</x:v>
      </x:c>
      <x:c r="V1442" s="31" t="n">
        <x:f>L1442*'Controls &amp; Summary'!$B$9+O1442*'Controls &amp; Summary'!$B$10+R1442*'Controls &amp; Summary'!$B$11+U1442*'Controls &amp; Summary'!$B$12</x:f>
        <x:v>19.2373621641348</x:v>
      </x:c>
      <x:c r="W1442" s="31" t="n">
        <x:v>1.4</x:v>
      </x:c>
      <x:c r="X1442" s="31" t="n">
        <x:v>7.8</x:v>
      </x:c>
      <x:c r="Y1442" s="31" t="n">
        <x:f>((10-MIN(10,MAX(0,X1442)))/10)*'Controls &amp; Summary'!$B$15+((10-MIN(10,MAX(0,W1442)))/10)*'Controls &amp; Summary'!$B$16</x:f>
        <x:v>1.08</x:v>
      </x:c>
      <x:c r="Z1442" s="31" t="n">
        <x:f>V1442*Y1442</x:f>
        <x:v>20.776351137265586</x:v>
      </x:c>
      <x:c r="AA1442" s="30" t="str">
        <x:f>IF(Z1442&lt;=I1442,"Peaceful","Hostile")</x:f>
        <x:v>Hostile</x:v>
      </x:c>
      <x:c r="AB1442" s="30" t="str">
        <x:f>IF(Z1442&lt;='Controls &amp; Summary'!$B$6,"Eligible","Blocked")</x:f>
        <x:v>Blocked</x:v>
      </x:c>
      <x:c r="AC1442" s="30" t="str">
        <x:v>2070_IND</x:v>
      </x:c>
      <x:c r="AD1442" s="30" t="str">
        <x:v>2070_AFG</x:v>
      </x:c>
      <x:c r="AE1442" s="30" t="str">
        <x:v>2070_Afghanistan</x:v>
      </x:c>
      <x:c r="AF1442" s="30" t="str">
        <x:v>Explicit capitalClaim</x:v>
      </x:c>
      <x:c r="AG1442" s="30" t="str">
        <x:v>Claim2070_IND2070_Afghanistan</x:v>
      </x:c>
      <x:c r="AH1442" s="30" t="str">
        <x:v>Project_GreaterIndia</x:v>
      </x:c>
    </x:row>
    <x:row r="1443">
      <x:c r="A1443" s="30" t="str">
        <x:v>2070</x:v>
      </x:c>
      <x:c r="B1443" s="30" t="str">
        <x:v>Base game</x:v>
      </x:c>
      <x:c r="C1443" s="30" t="str">
        <x:v>India</x:v>
      </x:c>
      <x:c r="D1443" s="30" t="str">
        <x:v>Bangladesh</x:v>
      </x:c>
      <x:c r="E1443" s="30" t="str">
        <x:v>Project unlock</x:v>
      </x:c>
      <x:c r="F1443" s="30" t="str">
        <x:v>Greater India</x:v>
      </x:c>
      <x:c r="G1443" s="30" t="str">
        <x:v>No</x:v>
      </x:c>
      <x:c r="H1443" s="30" t="str">
        <x:v>Ordinary claim</x:v>
      </x:c>
      <x:c r="I1443" s="31" t="n">
        <x:f>IF(G1443="Yes",'Controls &amp; Summary'!$B$5,'Controls &amp; Summary'!$B$4)</x:f>
        <x:v>6</x:v>
      </x:c>
      <x:c r="J1443" s="31" t="n">
        <x:v>6.9</x:v>
      </x:c>
      <x:c r="K1443" s="31" t="n">
        <x:v>3.4</x:v>
      </x:c>
      <x:c r="L1443" s="31" t="n">
        <x:f>ABS(J1443-K1443)</x:f>
        <x:v>3.5000000000000004</x:v>
      </x:c>
      <x:c r="M1443" s="31" t="n">
        <x:v>4.1</x:v>
      </x:c>
      <x:c r="N1443" s="31" t="n">
        <x:v>4.1</x:v>
      </x:c>
      <x:c r="O1443" s="31" t="n">
        <x:f>ABS(M1443-N1443)</x:f>
        <x:v>0</x:v>
      </x:c>
      <x:c r="P1443" s="31" t="n">
        <x:v>7.47</x:v>
      </x:c>
      <x:c r="Q1443" s="31" t="n">
        <x:v>7.2</x:v>
      </x:c>
      <x:c r="R1443" s="31" t="n">
        <x:f>ABS(P1443-Q1443)</x:f>
        <x:v>0.2699999999999996</x:v>
      </x:c>
      <x:c r="S1443" s="32" t="n">
        <x:v>35408.503454733975</x:v>
      </x:c>
      <x:c r="T1443" s="32" t="n">
        <x:v>28475.20295556902</x:v>
      </x:c>
      <x:c r="U1443" s="31" t="n">
        <x:f>MAX(S1443/T1443,T1443/S1443)</x:f>
        <x:v>1.2434855516212915</x:v>
      </x:c>
      <x:c r="V1443" s="31" t="n">
        <x:f>L1443*'Controls &amp; Summary'!$B$9+O1443*'Controls &amp; Summary'!$B$10+R1443*'Controls &amp; Summary'!$B$11+U1443*'Controls &amp; Summary'!$B$12</x:f>
        <x:v>5.013485551621292</x:v>
      </x:c>
      <x:c r="W1443" s="31" t="n">
        <x:v>1.4</x:v>
      </x:c>
      <x:c r="X1443" s="31" t="n">
        <x:v>3.5</x:v>
      </x:c>
      <x:c r="Y1443" s="31" t="n">
        <x:f>((10-MIN(10,MAX(0,X1443)))/10)*'Controls &amp; Summary'!$B$15+((10-MIN(10,MAX(0,W1443)))/10)*'Controls &amp; Summary'!$B$16</x:f>
        <x:v>1.51</x:v>
      </x:c>
      <x:c r="Z1443" s="31" t="n">
        <x:f>V1443*Y1443</x:f>
        <x:v>7.570363182948151</x:v>
      </x:c>
      <x:c r="AA1443" s="30" t="str">
        <x:f>IF(Z1443&lt;=I1443,"Peaceful","Hostile")</x:f>
        <x:v>Hostile</x:v>
      </x:c>
      <x:c r="AB1443" s="30" t="str">
        <x:f>IF(Z1443&lt;='Controls &amp; Summary'!$B$6,"Eligible","Blocked")</x:f>
        <x:v>Eligible</x:v>
      </x:c>
      <x:c r="AC1443" s="30" t="str">
        <x:v>2070_IND</x:v>
      </x:c>
      <x:c r="AD1443" s="30" t="str">
        <x:v>2070_BGD</x:v>
      </x:c>
      <x:c r="AE1443" s="30" t="str">
        <x:v>2070_Bangladesh</x:v>
      </x:c>
      <x:c r="AF1443" s="30" t="str">
        <x:v>Explicit capitalClaim</x:v>
      </x:c>
      <x:c r="AG1443" s="30" t="str">
        <x:v>Claim2070_IND2070_Bangladesh</x:v>
      </x:c>
      <x:c r="AH1443" s="30" t="str">
        <x:v>Project_GreaterIndia</x:v>
      </x:c>
    </x:row>
    <x:row r="1444">
      <x:c r="A1444" s="30" t="str">
        <x:v>2070</x:v>
      </x:c>
      <x:c r="B1444" s="30" t="str">
        <x:v>Base game</x:v>
      </x:c>
      <x:c r="C1444" s="30" t="str">
        <x:v>India</x:v>
      </x:c>
      <x:c r="D1444" s="30" t="str">
        <x:v>Bhutan</x:v>
      </x:c>
      <x:c r="E1444" s="30" t="str">
        <x:v>Project unlock</x:v>
      </x:c>
      <x:c r="F1444" s="30" t="str">
        <x:v>Greater India</x:v>
      </x:c>
      <x:c r="G1444" s="30" t="str">
        <x:v>No</x:v>
      </x:c>
      <x:c r="H1444" s="30" t="str">
        <x:v>Ordinary claim</x:v>
      </x:c>
      <x:c r="I1444" s="31" t="n">
        <x:f>IF(G1444="Yes",'Controls &amp; Summary'!$B$5,'Controls &amp; Summary'!$B$4)</x:f>
        <x:v>6</x:v>
      </x:c>
      <x:c r="J1444" s="31" t="n">
        <x:v>6.9</x:v>
      </x:c>
      <x:c r="K1444" s="31" t="n">
        <x:v>7</x:v>
      </x:c>
      <x:c r="L1444" s="31" t="n">
        <x:f>ABS(J1444-K1444)</x:f>
        <x:v>0.09999999999999964</x:v>
      </x:c>
      <x:c r="M1444" s="31" t="n">
        <x:v>4.1</x:v>
      </x:c>
      <x:c r="N1444" s="31" t="n">
        <x:v>2.6</x:v>
      </x:c>
      <x:c r="O1444" s="31" t="n">
        <x:f>ABS(M1444-N1444)</x:f>
        <x:v>1.4999999999999996</x:v>
      </x:c>
      <x:c r="P1444" s="31" t="n">
        <x:v>7.47</x:v>
      </x:c>
      <x:c r="Q1444" s="31" t="n">
        <x:v>6.88</x:v>
      </x:c>
      <x:c r="R1444" s="31" t="n">
        <x:f>ABS(P1444-Q1444)</x:f>
        <x:v>0.5899999999999999</x:v>
      </x:c>
      <x:c r="S1444" s="32" t="n">
        <x:v>35408.503454733975</x:v>
      </x:c>
      <x:c r="T1444" s="32" t="n">
        <x:v>35650.918296819786</x:v>
      </x:c>
      <x:c r="U1444" s="31" t="n">
        <x:f>MAX(S1444/T1444,T1444/S1444)</x:f>
        <x:v>1.0068462323575949</x:v>
      </x:c>
      <x:c r="V1444" s="31" t="n">
        <x:f>L1444*'Controls &amp; Summary'!$B$9+O1444*'Controls &amp; Summary'!$B$10+R1444*'Controls &amp; Summary'!$B$11+U1444*'Controls &amp; Summary'!$B$12</x:f>
        <x:v>3.196846232357594</x:v>
      </x:c>
      <x:c r="W1444" s="31" t="n">
        <x:v>1.4</x:v>
      </x:c>
      <x:c r="X1444" s="31" t="n">
        <x:v>0</x:v>
      </x:c>
      <x:c r="Y1444" s="31" t="n">
        <x:f>((10-MIN(10,MAX(0,X1444)))/10)*'Controls &amp; Summary'!$B$15+((10-MIN(10,MAX(0,W1444)))/10)*'Controls &amp; Summary'!$B$16</x:f>
        <x:v>1.8599999999999999</x:v>
      </x:c>
      <x:c r="Z1444" s="31" t="n">
        <x:f>V1444*Y1444</x:f>
        <x:v>5.946133992185124</x:v>
      </x:c>
      <x:c r="AA1444" s="30" t="str">
        <x:f>IF(Z1444&lt;=I1444,"Peaceful","Hostile")</x:f>
        <x:v>Peaceful</x:v>
      </x:c>
      <x:c r="AB1444" s="30" t="str">
        <x:f>IF(Z1444&lt;='Controls &amp; Summary'!$B$6,"Eligible","Blocked")</x:f>
        <x:v>Eligible</x:v>
      </x:c>
      <x:c r="AC1444" s="30" t="str">
        <x:v>2070_IND</x:v>
      </x:c>
      <x:c r="AD1444" s="30" t="str">
        <x:v>2070_BHU</x:v>
      </x:c>
      <x:c r="AE1444" s="30" t="str">
        <x:v>2070_Bhutan</x:v>
      </x:c>
      <x:c r="AF1444" s="30" t="str">
        <x:v>Explicit capitalClaim</x:v>
      </x:c>
      <x:c r="AG1444" s="30" t="str">
        <x:v>Claim2070_IND2070_Bhutan</x:v>
      </x:c>
      <x:c r="AH1444" s="30" t="str">
        <x:v>Project_GreaterIndia</x:v>
      </x:c>
    </x:row>
    <x:row r="1445">
      <x:c r="A1445" s="30" t="str">
        <x:v>2070</x:v>
      </x:c>
      <x:c r="B1445" s="30" t="str">
        <x:v>Base game</x:v>
      </x:c>
      <x:c r="C1445" s="30" t="str">
        <x:v>India</x:v>
      </x:c>
      <x:c r="D1445" s="30" t="str">
        <x:v>Brunei</x:v>
      </x:c>
      <x:c r="E1445" s="30" t="str">
        <x:v>Project unlock</x:v>
      </x:c>
      <x:c r="F1445" s="30" t="str">
        <x:v>United Indosphere</x:v>
      </x:c>
      <x:c r="G1445" s="30" t="str">
        <x:v>No</x:v>
      </x:c>
      <x:c r="H1445" s="30" t="str">
        <x:v>Ordinary claim</x:v>
      </x:c>
      <x:c r="I1445" s="31" t="n">
        <x:f>IF(G1445="Yes",'Controls &amp; Summary'!$B$5,'Controls &amp; Summary'!$B$4)</x:f>
        <x:v>6</x:v>
      </x:c>
      <x:c r="J1445" s="31" t="n">
        <x:v>6.9</x:v>
      </x:c>
      <x:c r="K1445" s="31" t="n">
        <x:v>2.8</x:v>
      </x:c>
      <x:c r="L1445" s="31" t="n">
        <x:f>ABS(J1445-K1445)</x:f>
        <x:v>4.1000000000000005</x:v>
      </x:c>
      <x:c r="M1445" s="31" t="n">
        <x:v>4.1</x:v>
      </x:c>
      <x:c r="N1445" s="31" t="n">
        <x:v>4.1</x:v>
      </x:c>
      <x:c r="O1445" s="31" t="n">
        <x:f>ABS(M1445-N1445)</x:f>
        <x:v>0</x:v>
      </x:c>
      <x:c r="P1445" s="31" t="n">
        <x:v>7.47</x:v>
      </x:c>
      <x:c r="Q1445" s="31" t="n">
        <x:v>8.94</x:v>
      </x:c>
      <x:c r="R1445" s="31" t="n">
        <x:f>ABS(P1445-Q1445)</x:f>
        <x:v>1.4699999999999998</x:v>
      </x:c>
      <x:c r="S1445" s="32" t="n">
        <x:v>35408.503454733975</x:v>
      </x:c>
      <x:c r="T1445" s="32" t="n">
        <x:v>246306.17522700588</x:v>
      </x:c>
      <x:c r="U1445" s="31" t="n">
        <x:f>MAX(S1445/T1445,T1445/S1445)</x:f>
        <x:v>6.9561306238735074</x:v>
      </x:c>
      <x:c r="V1445" s="31" t="n">
        <x:f>L1445*'Controls &amp; Summary'!$B$9+O1445*'Controls &amp; Summary'!$B$10+R1445*'Controls &amp; Summary'!$B$11+U1445*'Controls &amp; Summary'!$B$12</x:f>
        <x:v>12.526130623873508</x:v>
      </x:c>
      <x:c r="W1445" s="31" t="n">
        <x:v>1.4</x:v>
      </x:c>
      <x:c r="X1445" s="31" t="n">
        <x:v>0</x:v>
      </x:c>
      <x:c r="Y1445" s="31" t="n">
        <x:f>((10-MIN(10,MAX(0,X1445)))/10)*'Controls &amp; Summary'!$B$15+((10-MIN(10,MAX(0,W1445)))/10)*'Controls &amp; Summary'!$B$16</x:f>
        <x:v>1.8599999999999999</x:v>
      </x:c>
      <x:c r="Z1445" s="31" t="n">
        <x:f>V1445*Y1445</x:f>
        <x:v>23.298602960404722</x:v>
      </x:c>
      <x:c r="AA1445" s="30" t="str">
        <x:f>IF(Z1445&lt;=I1445,"Peaceful","Hostile")</x:f>
        <x:v>Hostile</x:v>
      </x:c>
      <x:c r="AB1445" s="30" t="str">
        <x:f>IF(Z1445&lt;='Controls &amp; Summary'!$B$6,"Eligible","Blocked")</x:f>
        <x:v>Blocked</x:v>
      </x:c>
      <x:c r="AC1445" s="30" t="str">
        <x:v>2070_IND</x:v>
      </x:c>
      <x:c r="AD1445" s="30" t="str">
        <x:v>2070_BRU</x:v>
      </x:c>
      <x:c r="AE1445" s="30" t="str">
        <x:v>2070_Brunei</x:v>
      </x:c>
      <x:c r="AF1445" s="30" t="str">
        <x:v>Explicit capitalClaim</x:v>
      </x:c>
      <x:c r="AG1445" s="30" t="str">
        <x:v>Claim2070_IND2070_Brunei</x:v>
      </x:c>
      <x:c r="AH1445" s="30" t="str">
        <x:v>Project_UnitedIndosphere</x:v>
      </x:c>
    </x:row>
    <x:row r="1446">
      <x:c r="A1446" s="30" t="str">
        <x:v>2070</x:v>
      </x:c>
      <x:c r="B1446" s="30" t="str">
        <x:v>Base game</x:v>
      </x:c>
      <x:c r="C1446" s="30" t="str">
        <x:v>India</x:v>
      </x:c>
      <x:c r="D1446" s="30" t="str">
        <x:v>Indonesia</x:v>
      </x:c>
      <x:c r="E1446" s="30" t="str">
        <x:v>Project unlock</x:v>
      </x:c>
      <x:c r="F1446" s="30" t="str">
        <x:v>United Indosphere</x:v>
      </x:c>
      <x:c r="G1446" s="30" t="str">
        <x:v>No</x:v>
      </x:c>
      <x:c r="H1446" s="30" t="str">
        <x:v>Ordinary claim</x:v>
      </x:c>
      <x:c r="I1446" s="31" t="n">
        <x:f>IF(G1446="Yes",'Controls &amp; Summary'!$B$5,'Controls &amp; Summary'!$B$4)</x:f>
        <x:v>6</x:v>
      </x:c>
      <x:c r="J1446" s="31" t="n">
        <x:v>6.9</x:v>
      </x:c>
      <x:c r="K1446" s="31" t="n">
        <x:v>7.8</x:v>
      </x:c>
      <x:c r="L1446" s="31" t="n">
        <x:f>ABS(J1446-K1446)</x:f>
        <x:v>0.8999999999999995</x:v>
      </x:c>
      <x:c r="M1446" s="31" t="n">
        <x:v>4.1</x:v>
      </x:c>
      <x:c r="N1446" s="31" t="n">
        <x:v>3.6</x:v>
      </x:c>
      <x:c r="O1446" s="31" t="n">
        <x:f>ABS(M1446-N1446)</x:f>
        <x:v>0.49999999999999956</x:v>
      </x:c>
      <x:c r="P1446" s="31" t="n">
        <x:v>7.47</x:v>
      </x:c>
      <x:c r="Q1446" s="31" t="n">
        <x:v>8.42</x:v>
      </x:c>
      <x:c r="R1446" s="31" t="n">
        <x:f>ABS(P1446-Q1446)</x:f>
        <x:v>0.9500000000000002</x:v>
      </x:c>
      <x:c r="S1446" s="32" t="n">
        <x:v>35408.503454733975</x:v>
      </x:c>
      <x:c r="T1446" s="32" t="n">
        <x:v>45979.808244614906</x:v>
      </x:c>
      <x:c r="U1446" s="31" t="n">
        <x:f>MAX(S1446/T1446,T1446/S1446)</x:f>
        <x:v>1.2985527135704908</x:v>
      </x:c>
      <x:c r="V1446" s="31" t="n">
        <x:f>L1446*'Controls &amp; Summary'!$B$9+O1446*'Controls &amp; Summary'!$B$10+R1446*'Controls &amp; Summary'!$B$11+U1446*'Controls &amp; Summary'!$B$12</x:f>
        <x:v>3.6485527135704903</x:v>
      </x:c>
      <x:c r="W1446" s="31" t="n">
        <x:v>1.4</x:v>
      </x:c>
      <x:c r="X1446" s="31" t="n">
        <x:v>3.1</x:v>
      </x:c>
      <x:c r="Y1446" s="31" t="n">
        <x:f>((10-MIN(10,MAX(0,X1446)))/10)*'Controls &amp; Summary'!$B$15+((10-MIN(10,MAX(0,W1446)))/10)*'Controls &amp; Summary'!$B$16</x:f>
        <x:v>1.55</x:v>
      </x:c>
      <x:c r="Z1446" s="31" t="n">
        <x:f>V1446*Y1446</x:f>
        <x:v>5.65525670603426</x:v>
      </x:c>
      <x:c r="AA1446" s="30" t="str">
        <x:f>IF(Z1446&lt;=I1446,"Peaceful","Hostile")</x:f>
        <x:v>Peaceful</x:v>
      </x:c>
      <x:c r="AB1446" s="30" t="str">
        <x:f>IF(Z1446&lt;='Controls &amp; Summary'!$B$6,"Eligible","Blocked")</x:f>
        <x:v>Eligible</x:v>
      </x:c>
      <x:c r="AC1446" s="30" t="str">
        <x:v>2070_IND</x:v>
      </x:c>
      <x:c r="AD1446" s="30" t="str">
        <x:v>2070_IDN</x:v>
      </x:c>
      <x:c r="AE1446" s="30" t="str">
        <x:v>2070_Borneo</x:v>
      </x:c>
      <x:c r="AF1446" s="30" t="str">
        <x:v>Explicit capitalClaim</x:v>
      </x:c>
      <x:c r="AG1446" s="30" t="str">
        <x:v>Claim2070_IND2070_Borneo</x:v>
      </x:c>
      <x:c r="AH1446" s="30" t="str">
        <x:v>Project_UnitedIndosphere</x:v>
      </x:c>
    </x:row>
    <x:row r="1447">
      <x:c r="A1447" s="30" t="str">
        <x:v>2070</x:v>
      </x:c>
      <x:c r="B1447" s="30" t="str">
        <x:v>Base game</x:v>
      </x:c>
      <x:c r="C1447" s="30" t="str">
        <x:v>India</x:v>
      </x:c>
      <x:c r="D1447" s="30" t="str">
        <x:v>Malaysia</x:v>
      </x:c>
      <x:c r="E1447" s="30" t="str">
        <x:v>Project unlock</x:v>
      </x:c>
      <x:c r="F1447" s="30" t="str">
        <x:v>United Indosphere</x:v>
      </x:c>
      <x:c r="G1447" s="30" t="str">
        <x:v>No</x:v>
      </x:c>
      <x:c r="H1447" s="30" t="str">
        <x:v>Ordinary claim</x:v>
      </x:c>
      <x:c r="I1447" s="31" t="n">
        <x:f>IF(G1447="Yes",'Controls &amp; Summary'!$B$5,'Controls &amp; Summary'!$B$4)</x:f>
        <x:v>6</x:v>
      </x:c>
      <x:c r="J1447" s="31" t="n">
        <x:v>6.9</x:v>
      </x:c>
      <x:c r="K1447" s="31" t="n">
        <x:v>8.2</x:v>
      </x:c>
      <x:c r="L1447" s="31" t="n">
        <x:f>ABS(J1447-K1447)</x:f>
        <x:v>1.299999999999999</x:v>
      </x:c>
      <x:c r="M1447" s="31" t="n">
        <x:v>4.1</x:v>
      </x:c>
      <x:c r="N1447" s="31" t="n">
        <x:v>3.2</x:v>
      </x:c>
      <x:c r="O1447" s="31" t="n">
        <x:f>ABS(M1447-N1447)</x:f>
        <x:v>0.8999999999999995</x:v>
      </x:c>
      <x:c r="P1447" s="31" t="n">
        <x:v>7.47</x:v>
      </x:c>
      <x:c r="Q1447" s="31" t="n">
        <x:v>9.18</x:v>
      </x:c>
      <x:c r="R1447" s="31" t="n">
        <x:f>ABS(P1447-Q1447)</x:f>
        <x:v>1.71</x:v>
      </x:c>
      <x:c r="S1447" s="32" t="n">
        <x:v>35408.503454733975</x:v>
      </x:c>
      <x:c r="T1447" s="32" t="n">
        <x:v>72495.54134757294</x:v>
      </x:c>
      <x:c r="U1447" s="31" t="n">
        <x:f>MAX(S1447/T1447,T1447/S1447)</x:f>
        <x:v>2.04740483992075</x:v>
      </x:c>
      <x:c r="V1447" s="31" t="n">
        <x:f>L1447*'Controls &amp; Summary'!$B$9+O1447*'Controls &amp; Summary'!$B$10+R1447*'Controls &amp; Summary'!$B$11+U1447*'Controls &amp; Summary'!$B$12</x:f>
        <x:v>5.957404839920748</x:v>
      </x:c>
      <x:c r="W1447" s="31" t="n">
        <x:v>1.4</x:v>
      </x:c>
      <x:c r="X1447" s="31" t="n">
        <x:v>0</x:v>
      </x:c>
      <x:c r="Y1447" s="31" t="n">
        <x:f>((10-MIN(10,MAX(0,X1447)))/10)*'Controls &amp; Summary'!$B$15+((10-MIN(10,MAX(0,W1447)))/10)*'Controls &amp; Summary'!$B$16</x:f>
        <x:v>1.8599999999999999</x:v>
      </x:c>
      <x:c r="Z1447" s="31" t="n">
        <x:f>V1447*Y1447</x:f>
        <x:v>11.080773002252592</x:v>
      </x:c>
      <x:c r="AA1447" s="30" t="str">
        <x:f>IF(Z1447&lt;=I1447,"Peaceful","Hostile")</x:f>
        <x:v>Hostile</x:v>
      </x:c>
      <x:c r="AB1447" s="30" t="str">
        <x:f>IF(Z1447&lt;='Controls &amp; Summary'!$B$6,"Eligible","Blocked")</x:f>
        <x:v>Eligible</x:v>
      </x:c>
      <x:c r="AC1447" s="30" t="str">
        <x:v>2070_IND</x:v>
      </x:c>
      <x:c r="AD1447" s="30" t="str">
        <x:v>2070_MYS</x:v>
      </x:c>
      <x:c r="AE1447" s="30" t="str">
        <x:v>2070_MalayPeninsula</x:v>
      </x:c>
      <x:c r="AF1447" s="30" t="str">
        <x:v>Explicit capitalClaim</x:v>
      </x:c>
      <x:c r="AG1447" s="30" t="str">
        <x:v>Claim2070_IND2070_MalayPeninsula</x:v>
      </x:c>
      <x:c r="AH1447" s="30" t="str">
        <x:v>Project_UnitedIndosphere</x:v>
      </x:c>
    </x:row>
    <x:row r="1448">
      <x:c r="A1448" s="30" t="str">
        <x:v>2070</x:v>
      </x:c>
      <x:c r="B1448" s="30" t="str">
        <x:v>Base game</x:v>
      </x:c>
      <x:c r="C1448" s="30" t="str">
        <x:v>India</x:v>
      </x:c>
      <x:c r="D1448" s="30" t="str">
        <x:v>Maldives</x:v>
      </x:c>
      <x:c r="E1448" s="30" t="str">
        <x:v>Project unlock</x:v>
      </x:c>
      <x:c r="F1448" s="30" t="str">
        <x:v>Greater India</x:v>
      </x:c>
      <x:c r="G1448" s="30" t="str">
        <x:v>No</x:v>
      </x:c>
      <x:c r="H1448" s="30" t="str">
        <x:v>Ordinary claim</x:v>
      </x:c>
      <x:c r="I1448" s="31" t="n">
        <x:f>IF(G1448="Yes",'Controls &amp; Summary'!$B$5,'Controls &amp; Summary'!$B$4)</x:f>
        <x:v>6</x:v>
      </x:c>
      <x:c r="J1448" s="31" t="n">
        <x:v>6.9</x:v>
      </x:c>
      <x:c r="K1448" s="31" t="n">
        <x:v>2.9</x:v>
      </x:c>
      <x:c r="L1448" s="31" t="n">
        <x:f>ABS(J1448-K1448)</x:f>
        <x:v>4</x:v>
      </x:c>
      <x:c r="M1448" s="31" t="n">
        <x:v>4.1</x:v>
      </x:c>
      <x:c r="N1448" s="31" t="n">
        <x:v>5.1</x:v>
      </x:c>
      <x:c r="O1448" s="31" t="n">
        <x:f>ABS(M1448-N1448)</x:f>
        <x:v>1</x:v>
      </x:c>
      <x:c r="P1448" s="31" t="n">
        <x:v>7.47</x:v>
      </x:c>
      <x:c r="Q1448" s="31" t="n">
        <x:v>7.65</x:v>
      </x:c>
      <x:c r="R1448" s="31" t="n">
        <x:f>ABS(P1448-Q1448)</x:f>
        <x:v>0.1800000000000006</x:v>
      </x:c>
      <x:c r="S1448" s="32" t="n">
        <x:v>35408.503454733975</x:v>
      </x:c>
      <x:c r="T1448" s="32" t="n">
        <x:v>60824.01976521739</x:v>
      </x:c>
      <x:c r="U1448" s="31" t="n">
        <x:f>MAX(S1448/T1448,T1448/S1448)</x:f>
        <x:v>1.7177800197902875</x:v>
      </x:c>
      <x:c r="V1448" s="31" t="n">
        <x:f>L1448*'Controls &amp; Summary'!$B$9+O1448*'Controls &amp; Summary'!$B$10+R1448*'Controls &amp; Summary'!$B$11+U1448*'Controls &amp; Summary'!$B$12</x:f>
        <x:v>6.897780019790288</x:v>
      </x:c>
      <x:c r="W1448" s="31" t="n">
        <x:v>1.4</x:v>
      </x:c>
      <x:c r="X1448" s="31" t="n">
        <x:v>1.8</x:v>
      </x:c>
      <x:c r="Y1448" s="31" t="n">
        <x:f>((10-MIN(10,MAX(0,X1448)))/10)*'Controls &amp; Summary'!$B$15+((10-MIN(10,MAX(0,W1448)))/10)*'Controls &amp; Summary'!$B$16</x:f>
        <x:v>1.68</x:v>
      </x:c>
      <x:c r="Z1448" s="31" t="n">
        <x:f>V1448*Y1448</x:f>
        <x:v>11.588270433247683</x:v>
      </x:c>
      <x:c r="AA1448" s="30" t="str">
        <x:f>IF(Z1448&lt;=I1448,"Peaceful","Hostile")</x:f>
        <x:v>Hostile</x:v>
      </x:c>
      <x:c r="AB1448" s="30" t="str">
        <x:f>IF(Z1448&lt;='Controls &amp; Summary'!$B$6,"Eligible","Blocked")</x:f>
        <x:v>Eligible</x:v>
      </x:c>
      <x:c r="AC1448" s="30" t="str">
        <x:v>2070_IND</x:v>
      </x:c>
      <x:c r="AD1448" s="30" t="str">
        <x:v>2070_MLD</x:v>
      </x:c>
      <x:c r="AE1448" s="30" t="str">
        <x:v>2070_Maldives</x:v>
      </x:c>
      <x:c r="AF1448" s="30" t="str">
        <x:v>Explicit capitalClaim</x:v>
      </x:c>
      <x:c r="AG1448" s="30" t="str">
        <x:v>Claim2070_IND2070_Maldives</x:v>
      </x:c>
      <x:c r="AH1448" s="30" t="str">
        <x:v>Project_GreaterIndia</x:v>
      </x:c>
    </x:row>
    <x:row r="1449">
      <x:c r="A1449" s="30" t="str">
        <x:v>2070</x:v>
      </x:c>
      <x:c r="B1449" s="30" t="str">
        <x:v>Base game</x:v>
      </x:c>
      <x:c r="C1449" s="30" t="str">
        <x:v>India</x:v>
      </x:c>
      <x:c r="D1449" s="30" t="str">
        <x:v>Mauritius</x:v>
      </x:c>
      <x:c r="E1449" s="30" t="str">
        <x:v>Project unlock</x:v>
      </x:c>
      <x:c r="F1449" s="30" t="str">
        <x:v>United Indosphere</x:v>
      </x:c>
      <x:c r="G1449" s="30" t="str">
        <x:v>No</x:v>
      </x:c>
      <x:c r="H1449" s="30" t="str">
        <x:v>Ordinary claim</x:v>
      </x:c>
      <x:c r="I1449" s="31" t="n">
        <x:f>IF(G1449="Yes",'Controls &amp; Summary'!$B$5,'Controls &amp; Summary'!$B$4)</x:f>
        <x:v>6</x:v>
      </x:c>
      <x:c r="J1449" s="31" t="n">
        <x:v>6.9</x:v>
      </x:c>
      <x:c r="K1449" s="31" t="n">
        <x:v>9</x:v>
      </x:c>
      <x:c r="L1449" s="31" t="n">
        <x:f>ABS(J1449-K1449)</x:f>
        <x:v>2.0999999999999996</x:v>
      </x:c>
      <x:c r="M1449" s="31" t="n">
        <x:v>4.1</x:v>
      </x:c>
      <x:c r="N1449" s="31" t="n">
        <x:v>3.4</x:v>
      </x:c>
      <x:c r="O1449" s="31" t="n">
        <x:f>ABS(M1449-N1449)</x:f>
        <x:v>0.6999999999999997</x:v>
      </x:c>
      <x:c r="P1449" s="31" t="n">
        <x:v>7.47</x:v>
      </x:c>
      <x:c r="Q1449" s="31" t="n">
        <x:v>9.2</x:v>
      </x:c>
      <x:c r="R1449" s="31" t="n">
        <x:f>ABS(P1449-Q1449)</x:f>
        <x:v>1.7299999999999995</x:v>
      </x:c>
      <x:c r="S1449" s="32" t="n">
        <x:v>35408.503454733975</x:v>
      </x:c>
      <x:c r="T1449" s="32" t="n">
        <x:v>322812.16145810054</x:v>
      </x:c>
      <x:c r="U1449" s="31" t="n">
        <x:f>MAX(S1449/T1449,T1449/S1449)</x:f>
        <x:v>9.116797660504961</x:v>
      </x:c>
      <x:c r="V1449" s="31" t="n">
        <x:f>L1449*'Controls &amp; Summary'!$B$9+O1449*'Controls &amp; Summary'!$B$10+R1449*'Controls &amp; Summary'!$B$11+U1449*'Controls &amp; Summary'!$B$12</x:f>
        <x:v>13.64679766050496</x:v>
      </x:c>
      <x:c r="W1449" s="31" t="n">
        <x:v>1.4</x:v>
      </x:c>
      <x:c r="X1449" s="31" t="n">
        <x:v>0</x:v>
      </x:c>
      <x:c r="Y1449" s="31" t="n">
        <x:f>((10-MIN(10,MAX(0,X1449)))/10)*'Controls &amp; Summary'!$B$15+((10-MIN(10,MAX(0,W1449)))/10)*'Controls &amp; Summary'!$B$16</x:f>
        <x:v>1.8599999999999999</x:v>
      </x:c>
      <x:c r="Z1449" s="31" t="n">
        <x:f>V1449*Y1449</x:f>
        <x:v>25.383043648539225</x:v>
      </x:c>
      <x:c r="AA1449" s="30" t="str">
        <x:f>IF(Z1449&lt;=I1449,"Peaceful","Hostile")</x:f>
        <x:v>Hostile</x:v>
      </x:c>
      <x:c r="AB1449" s="30" t="str">
        <x:f>IF(Z1449&lt;='Controls &amp; Summary'!$B$6,"Eligible","Blocked")</x:f>
        <x:v>Blocked</x:v>
      </x:c>
      <x:c r="AC1449" s="30" t="str">
        <x:v>2070_IND</x:v>
      </x:c>
      <x:c r="AD1449" s="30" t="str">
        <x:v>2070_MRS</x:v>
      </x:c>
      <x:c r="AE1449" s="30" t="str">
        <x:v>2070_Mauritius</x:v>
      </x:c>
      <x:c r="AF1449" s="30" t="str">
        <x:v>Explicit capitalClaim</x:v>
      </x:c>
      <x:c r="AG1449" s="30" t="str">
        <x:v>Claim2070_IND2070_Mauritius</x:v>
      </x:c>
      <x:c r="AH1449" s="30" t="str">
        <x:v>Project_UnitedIndosphere</x:v>
      </x:c>
    </x:row>
    <x:row r="1450">
      <x:c r="A1450" s="30" t="str">
        <x:v>2070</x:v>
      </x:c>
      <x:c r="B1450" s="30" t="str">
        <x:v>Base game</x:v>
      </x:c>
      <x:c r="C1450" s="30" t="str">
        <x:v>India</x:v>
      </x:c>
      <x:c r="D1450" s="30" t="str">
        <x:v>Nepal</x:v>
      </x:c>
      <x:c r="E1450" s="30" t="str">
        <x:v>Project unlock</x:v>
      </x:c>
      <x:c r="F1450" s="30" t="str">
        <x:v>Greater India</x:v>
      </x:c>
      <x:c r="G1450" s="30" t="str">
        <x:v>No</x:v>
      </x:c>
      <x:c r="H1450" s="30" t="str">
        <x:v>Ordinary claim</x:v>
      </x:c>
      <x:c r="I1450" s="31" t="n">
        <x:f>IF(G1450="Yes",'Controls &amp; Summary'!$B$5,'Controls &amp; Summary'!$B$4)</x:f>
        <x:v>6</x:v>
      </x:c>
      <x:c r="J1450" s="31" t="n">
        <x:v>6.9</x:v>
      </x:c>
      <x:c r="K1450" s="31" t="n">
        <x:v>6.1</x:v>
      </x:c>
      <x:c r="L1450" s="31" t="n">
        <x:f>ABS(J1450-K1450)</x:f>
        <x:v>0.8000000000000007</x:v>
      </x:c>
      <x:c r="M1450" s="31" t="n">
        <x:v>4.1</x:v>
      </x:c>
      <x:c r="N1450" s="31" t="n">
        <x:v>3.5</x:v>
      </x:c>
      <x:c r="O1450" s="31" t="n">
        <x:f>ABS(M1450-N1450)</x:f>
        <x:v>0.5999999999999996</x:v>
      </x:c>
      <x:c r="P1450" s="31" t="n">
        <x:v>7.47</x:v>
      </x:c>
      <x:c r="Q1450" s="31" t="n">
        <x:v>7.13</x:v>
      </x:c>
      <x:c r="R1450" s="31" t="n">
        <x:f>ABS(P1450-Q1450)</x:f>
        <x:v>0.33999999999999986</x:v>
      </x:c>
      <x:c r="S1450" s="32" t="n">
        <x:v>35408.503454733975</x:v>
      </x:c>
      <x:c r="T1450" s="32" t="n">
        <x:v>11874.562829492057</x:v>
      </x:c>
      <x:c r="U1450" s="31" t="n">
        <x:f>MAX(S1450/T1450,T1450/S1450)</x:f>
        <x:v>2.9818784879214455</x:v>
      </x:c>
      <x:c r="V1450" s="31" t="n">
        <x:f>L1450*'Controls &amp; Summary'!$B$9+O1450*'Controls &amp; Summary'!$B$10+R1450*'Controls &amp; Summary'!$B$11+U1450*'Controls &amp; Summary'!$B$12</x:f>
        <x:v>4.721878487921446</x:v>
      </x:c>
      <x:c r="W1450" s="31" t="n">
        <x:v>1.4</x:v>
      </x:c>
      <x:c r="X1450" s="31" t="n">
        <x:v>3.7</x:v>
      </x:c>
      <x:c r="Y1450" s="31" t="n">
        <x:f>((10-MIN(10,MAX(0,X1450)))/10)*'Controls &amp; Summary'!$B$15+((10-MIN(10,MAX(0,W1450)))/10)*'Controls &amp; Summary'!$B$16</x:f>
        <x:v>1.49</x:v>
      </x:c>
      <x:c r="Z1450" s="31" t="n">
        <x:f>V1450*Y1450</x:f>
        <x:v>7.035598947002954</x:v>
      </x:c>
      <x:c r="AA1450" s="30" t="str">
        <x:f>IF(Z1450&lt;=I1450,"Peaceful","Hostile")</x:f>
        <x:v>Hostile</x:v>
      </x:c>
      <x:c r="AB1450" s="30" t="str">
        <x:f>IF(Z1450&lt;='Controls &amp; Summary'!$B$6,"Eligible","Blocked")</x:f>
        <x:v>Eligible</x:v>
      </x:c>
      <x:c r="AC1450" s="30" t="str">
        <x:v>2070_IND</x:v>
      </x:c>
      <x:c r="AD1450" s="30" t="str">
        <x:v>2070_HYS</x:v>
      </x:c>
      <x:c r="AE1450" s="30" t="str">
        <x:v>2070_Himalayas</x:v>
      </x:c>
      <x:c r="AF1450" s="30" t="str">
        <x:v>Explicit capitalClaim</x:v>
      </x:c>
      <x:c r="AG1450" s="30" t="str">
        <x:v>Claim2070_IND2070_Himalayas</x:v>
      </x:c>
      <x:c r="AH1450" s="30" t="str">
        <x:v>Project_GreaterIndia</x:v>
      </x:c>
    </x:row>
    <x:row r="1451">
      <x:c r="A1451" s="30" t="str">
        <x:v>2070</x:v>
      </x:c>
      <x:c r="B1451" s="30" t="str">
        <x:v>Base game</x:v>
      </x:c>
      <x:c r="C1451" s="30" t="str">
        <x:v>India</x:v>
      </x:c>
      <x:c r="D1451" s="30" t="str">
        <x:v>Pakistan</x:v>
      </x:c>
      <x:c r="E1451" s="30" t="str">
        <x:v>Project unlock</x:v>
      </x:c>
      <x:c r="F1451" s="30" t="str">
        <x:v>Greater India</x:v>
      </x:c>
      <x:c r="G1451" s="30" t="str">
        <x:v>Yes</x:v>
      </x:c>
      <x:c r="H1451" s="30" t="str">
        <x:v>Template hostileClaim</x:v>
      </x:c>
      <x:c r="I1451" s="31" t="n">
        <x:f>IF(G1451="Yes",'Controls &amp; Summary'!$B$5,'Controls &amp; Summary'!$B$4)</x:f>
        <x:v>3</x:v>
      </x:c>
      <x:c r="J1451" s="31" t="n">
        <x:v>6.9</x:v>
      </x:c>
      <x:c r="K1451" s="31" t="n">
        <x:v>3.4</x:v>
      </x:c>
      <x:c r="L1451" s="31" t="n">
        <x:f>ABS(J1451-K1451)</x:f>
        <x:v>3.5000000000000004</x:v>
      </x:c>
      <x:c r="M1451" s="31" t="n">
        <x:v>4.1</x:v>
      </x:c>
      <x:c r="N1451" s="31" t="n">
        <x:v>3.2</x:v>
      </x:c>
      <x:c r="O1451" s="31" t="n">
        <x:f>ABS(M1451-N1451)</x:f>
        <x:v>0.8999999999999995</x:v>
      </x:c>
      <x:c r="P1451" s="31" t="n">
        <x:v>7.47</x:v>
      </x:c>
      <x:c r="Q1451" s="31" t="n">
        <x:v>5.94</x:v>
      </x:c>
      <x:c r="R1451" s="31" t="n">
        <x:f>ABS(P1451-Q1451)</x:f>
        <x:v>1.5299999999999994</x:v>
      </x:c>
      <x:c r="S1451" s="32" t="n">
        <x:v>35408.503454733975</x:v>
      </x:c>
      <x:c r="T1451" s="32" t="n">
        <x:v>29484.566301216593</x:v>
      </x:c>
      <x:c r="U1451" s="31" t="n">
        <x:f>MAX(S1451/T1451,T1451/S1451)</x:f>
        <x:v>1.2009165436926554</x:v>
      </x:c>
      <x:c r="V1451" s="31" t="n">
        <x:f>L1451*'Controls &amp; Summary'!$B$9+O1451*'Controls &amp; Summary'!$B$10+R1451*'Controls &amp; Summary'!$B$11+U1451*'Controls &amp; Summary'!$B$12</x:f>
        <x:v>7.130916543692655</x:v>
      </x:c>
      <x:c r="W1451" s="31" t="n">
        <x:v>1.4</x:v>
      </x:c>
      <x:c r="X1451" s="31" t="n">
        <x:v>4.5</x:v>
      </x:c>
      <x:c r="Y1451" s="31" t="n">
        <x:f>((10-MIN(10,MAX(0,X1451)))/10)*'Controls &amp; Summary'!$B$15+((10-MIN(10,MAX(0,W1451)))/10)*'Controls &amp; Summary'!$B$16</x:f>
        <x:v>1.4100000000000001</x:v>
      </x:c>
      <x:c r="Z1451" s="31" t="n">
        <x:f>V1451*Y1451</x:f>
        <x:v>10.054592326606645</x:v>
      </x:c>
      <x:c r="AA1451" s="30" t="str">
        <x:f>IF(Z1451&lt;=I1451,"Peaceful","Hostile")</x:f>
        <x:v>Hostile</x:v>
      </x:c>
      <x:c r="AB1451" s="30" t="str">
        <x:f>IF(Z1451&lt;='Controls &amp; Summary'!$B$6,"Eligible","Blocked")</x:f>
        <x:v>Eligible</x:v>
      </x:c>
      <x:c r="AC1451" s="30" t="str">
        <x:v>2070_IND</x:v>
      </x:c>
      <x:c r="AD1451" s="30" t="str">
        <x:v>2070_PAK</x:v>
      </x:c>
      <x:c r="AE1451" s="30" t="str">
        <x:v>2070_Punjab</x:v>
      </x:c>
      <x:c r="AF1451" s="30" t="str">
        <x:v>Explicit capitalClaim</x:v>
      </x:c>
      <x:c r="AG1451" s="30" t="str">
        <x:v>Claim2070_IND2070_Punjab</x:v>
      </x:c>
      <x:c r="AH1451" s="30" t="str">
        <x:v>Project_GreaterIndia</x:v>
      </x:c>
    </x:row>
    <x:row r="1452">
      <x:c r="A1452" s="30" t="str">
        <x:v>2070</x:v>
      </x:c>
      <x:c r="B1452" s="30" t="str">
        <x:v>Base game</x:v>
      </x:c>
      <x:c r="C1452" s="30" t="str">
        <x:v>India</x:v>
      </x:c>
      <x:c r="D1452" s="30" t="str">
        <x:v>Singapore</x:v>
      </x:c>
      <x:c r="E1452" s="30" t="str">
        <x:v>Project unlock</x:v>
      </x:c>
      <x:c r="F1452" s="30" t="str">
        <x:v>United Indosphere</x:v>
      </x:c>
      <x:c r="G1452" s="30" t="str">
        <x:v>No</x:v>
      </x:c>
      <x:c r="H1452" s="30" t="str">
        <x:v>Ordinary claim</x:v>
      </x:c>
      <x:c r="I1452" s="31" t="n">
        <x:f>IF(G1452="Yes",'Controls &amp; Summary'!$B$5,'Controls &amp; Summary'!$B$4)</x:f>
        <x:v>6</x:v>
      </x:c>
      <x:c r="J1452" s="31" t="n">
        <x:v>6.9</x:v>
      </x:c>
      <x:c r="K1452" s="31" t="n">
        <x:v>5.8</x:v>
      </x:c>
      <x:c r="L1452" s="31" t="n">
        <x:f>ABS(J1452-K1452)</x:f>
        <x:v>1.1000000000000005</x:v>
      </x:c>
      <x:c r="M1452" s="31" t="n">
        <x:v>4.1</x:v>
      </x:c>
      <x:c r="N1452" s="31" t="n">
        <x:v>3.7</x:v>
      </x:c>
      <x:c r="O1452" s="31" t="n">
        <x:f>ABS(M1452-N1452)</x:f>
        <x:v>0.39999999999999947</x:v>
      </x:c>
      <x:c r="P1452" s="31" t="n">
        <x:v>7.47</x:v>
      </x:c>
      <x:c r="Q1452" s="31" t="n">
        <x:v>10.36</x:v>
      </x:c>
      <x:c r="R1452" s="31" t="n">
        <x:f>ABS(P1452-Q1452)</x:f>
        <x:v>2.8899999999999997</x:v>
      </x:c>
      <x:c r="S1452" s="32" t="n">
        <x:v>35408.503454733975</x:v>
      </x:c>
      <x:c r="T1452" s="32" t="n">
        <x:v>413433.6030625111</x:v>
      </x:c>
      <x:c r="U1452" s="31" t="n">
        <x:f>MAX(S1452/T1452,T1452/S1452)</x:f>
        <x:v>11.676110615379217</x:v>
      </x:c>
      <x:c r="V1452" s="31" t="n">
        <x:f>L1452*'Controls &amp; Summary'!$B$9+O1452*'Controls &amp; Summary'!$B$10+R1452*'Controls &amp; Summary'!$B$11+U1452*'Controls &amp; Summary'!$B$12</x:f>
        <x:v>16.066110615379216</x:v>
      </x:c>
      <x:c r="W1452" s="31" t="n">
        <x:v>1.4</x:v>
      </x:c>
      <x:c r="X1452" s="31" t="n">
        <x:v>0</x:v>
      </x:c>
      <x:c r="Y1452" s="31" t="n">
        <x:f>((10-MIN(10,MAX(0,X1452)))/10)*'Controls &amp; Summary'!$B$15+((10-MIN(10,MAX(0,W1452)))/10)*'Controls &amp; Summary'!$B$16</x:f>
        <x:v>1.8599999999999999</x:v>
      </x:c>
      <x:c r="Z1452" s="31" t="n">
        <x:f>V1452*Y1452</x:f>
        <x:v>29.88296574460534</x:v>
      </x:c>
      <x:c r="AA1452" s="30" t="str">
        <x:f>IF(Z1452&lt;=I1452,"Peaceful","Hostile")</x:f>
        <x:v>Hostile</x:v>
      </x:c>
      <x:c r="AB1452" s="30" t="str">
        <x:f>IF(Z1452&lt;='Controls &amp; Summary'!$B$6,"Eligible","Blocked")</x:f>
        <x:v>Blocked</x:v>
      </x:c>
      <x:c r="AC1452" s="30" t="str">
        <x:v>2070_IND</x:v>
      </x:c>
      <x:c r="AD1452" s="30" t="str">
        <x:v>2070_SGP</x:v>
      </x:c>
      <x:c r="AE1452" s="30" t="str">
        <x:v>2070_Singapore</x:v>
      </x:c>
      <x:c r="AF1452" s="30" t="str">
        <x:v>Explicit capitalClaim</x:v>
      </x:c>
      <x:c r="AG1452" s="30" t="str">
        <x:v>Claim2070_IND2070_Singapore</x:v>
      </x:c>
      <x:c r="AH1452" s="30" t="str">
        <x:v>Project_UnitedIndosphere</x:v>
      </x:c>
    </x:row>
    <x:row r="1453">
      <x:c r="A1453" s="30" t="str">
        <x:v>2070</x:v>
      </x:c>
      <x:c r="B1453" s="30" t="str">
        <x:v>Base game</x:v>
      </x:c>
      <x:c r="C1453" s="30" t="str">
        <x:v>India</x:v>
      </x:c>
      <x:c r="D1453" s="30" t="str">
        <x:v>SriLanka</x:v>
      </x:c>
      <x:c r="E1453" s="30" t="str">
        <x:v>Project unlock</x:v>
      </x:c>
      <x:c r="F1453" s="30" t="str">
        <x:v>Greater India</x:v>
      </x:c>
      <x:c r="G1453" s="30" t="str">
        <x:v>No</x:v>
      </x:c>
      <x:c r="H1453" s="30" t="str">
        <x:v>Ordinary claim</x:v>
      </x:c>
      <x:c r="I1453" s="31" t="n">
        <x:f>IF(G1453="Yes",'Controls &amp; Summary'!$B$5,'Controls &amp; Summary'!$B$4)</x:f>
        <x:v>6</x:v>
      </x:c>
      <x:c r="J1453" s="31" t="n">
        <x:v>6.9</x:v>
      </x:c>
      <x:c r="K1453" s="31" t="n">
        <x:v>7.3</x:v>
      </x:c>
      <x:c r="L1453" s="31" t="n">
        <x:f>ABS(J1453-K1453)</x:f>
        <x:v>0.39999999999999947</x:v>
      </x:c>
      <x:c r="M1453" s="31" t="n">
        <x:v>4.1</x:v>
      </x:c>
      <x:c r="N1453" s="31" t="n">
        <x:v>2.8</x:v>
      </x:c>
      <x:c r="O1453" s="31" t="n">
        <x:f>ABS(M1453-N1453)</x:f>
        <x:v>1.2999999999999998</x:v>
      </x:c>
      <x:c r="P1453" s="31" t="n">
        <x:v>7.47</x:v>
      </x:c>
      <x:c r="Q1453" s="31" t="n">
        <x:v>9.38</x:v>
      </x:c>
      <x:c r="R1453" s="31" t="n">
        <x:f>ABS(P1453-Q1453)</x:f>
        <x:v>1.910000000000001</x:v>
      </x:c>
      <x:c r="S1453" s="32" t="n">
        <x:v>35408.503454733975</x:v>
      </x:c>
      <x:c r="T1453" s="32" t="n">
        <x:v>43320.416529684335</x:v>
      </x:c>
      <x:c r="U1453" s="31" t="n">
        <x:f>MAX(S1453/T1453,T1453/S1453)</x:f>
        <x:v>1.2234466950873792</x:v>
      </x:c>
      <x:c r="V1453" s="31" t="n">
        <x:f>L1453*'Controls &amp; Summary'!$B$9+O1453*'Controls &amp; Summary'!$B$10+R1453*'Controls &amp; Summary'!$B$11+U1453*'Controls &amp; Summary'!$B$12</x:f>
        <x:v>4.83344669508738</x:v>
      </x:c>
      <x:c r="W1453" s="31" t="n">
        <x:v>1.4</x:v>
      </x:c>
      <x:c r="X1453" s="31" t="n">
        <x:v>1.8</x:v>
      </x:c>
      <x:c r="Y1453" s="31" t="n">
        <x:f>((10-MIN(10,MAX(0,X1453)))/10)*'Controls &amp; Summary'!$B$15+((10-MIN(10,MAX(0,W1453)))/10)*'Controls &amp; Summary'!$B$16</x:f>
        <x:v>1.68</x:v>
      </x:c>
      <x:c r="Z1453" s="31" t="n">
        <x:f>V1453*Y1453</x:f>
        <x:v>8.120190447746799</x:v>
      </x:c>
      <x:c r="AA1453" s="30" t="str">
        <x:f>IF(Z1453&lt;=I1453,"Peaceful","Hostile")</x:f>
        <x:v>Hostile</x:v>
      </x:c>
      <x:c r="AB1453" s="30" t="str">
        <x:f>IF(Z1453&lt;='Controls &amp; Summary'!$B$6,"Eligible","Blocked")</x:f>
        <x:v>Eligible</x:v>
      </x:c>
      <x:c r="AC1453" s="30" t="str">
        <x:v>2070_IND</x:v>
      </x:c>
      <x:c r="AD1453" s="30" t="str">
        <x:v>2070_LKA</x:v>
      </x:c>
      <x:c r="AE1453" s="30" t="str">
        <x:v>2070_SriLanka</x:v>
      </x:c>
      <x:c r="AF1453" s="30" t="str">
        <x:v>Explicit capitalClaim</x:v>
      </x:c>
      <x:c r="AG1453" s="30" t="str">
        <x:v>Claim2070_IND2070_SriLanka</x:v>
      </x:c>
      <x:c r="AH1453" s="30" t="str">
        <x:v>Project_GreaterIndia</x:v>
      </x:c>
    </x:row>
    <x:row r="1454">
      <x:c r="A1454" s="30" t="str">
        <x:v>2070</x:v>
      </x:c>
      <x:c r="B1454" s="30" t="str">
        <x:v>Base game</x:v>
      </x:c>
      <x:c r="C1454" s="30" t="str">
        <x:v>India</x:v>
      </x:c>
      <x:c r="D1454" s="30" t="str">
        <x:v>Thailand</x:v>
      </x:c>
      <x:c r="E1454" s="30" t="str">
        <x:v>Project unlock</x:v>
      </x:c>
      <x:c r="F1454" s="30" t="str">
        <x:v>United Indosphere</x:v>
      </x:c>
      <x:c r="G1454" s="30" t="str">
        <x:v>No</x:v>
      </x:c>
      <x:c r="H1454" s="30" t="str">
        <x:v>Ordinary claim</x:v>
      </x:c>
      <x:c r="I1454" s="31" t="n">
        <x:f>IF(G1454="Yes",'Controls &amp; Summary'!$B$5,'Controls &amp; Summary'!$B$4)</x:f>
        <x:v>6</x:v>
      </x:c>
      <x:c r="J1454" s="31" t="n">
        <x:v>6.9</x:v>
      </x:c>
      <x:c r="K1454" s="31" t="n">
        <x:v>7.1</x:v>
      </x:c>
      <x:c r="L1454" s="31" t="n">
        <x:f>ABS(J1454-K1454)</x:f>
        <x:v>0.1999999999999993</x:v>
      </x:c>
      <x:c r="M1454" s="31" t="n">
        <x:v>4.1</x:v>
      </x:c>
      <x:c r="N1454" s="31" t="n">
        <x:v>2.4</x:v>
      </x:c>
      <x:c r="O1454" s="31" t="n">
        <x:f>ABS(M1454-N1454)</x:f>
        <x:v>1.6999999999999997</x:v>
      </x:c>
      <x:c r="P1454" s="31" t="n">
        <x:v>7.47</x:v>
      </x:c>
      <x:c r="Q1454" s="31" t="n">
        <x:v>8.74</x:v>
      </x:c>
      <x:c r="R1454" s="31" t="n">
        <x:f>ABS(P1454-Q1454)</x:f>
        <x:v>1.2700000000000005</x:v>
      </x:c>
      <x:c r="S1454" s="32" t="n">
        <x:v>35408.503454733975</x:v>
      </x:c>
      <x:c r="T1454" s="32" t="n">
        <x:v>39240.24965574673</x:v>
      </x:c>
      <x:c r="U1454" s="31" t="n">
        <x:f>MAX(S1454/T1454,T1454/S1454)</x:f>
        <x:v>1.1082154236174155</x:v>
      </x:c>
      <x:c r="V1454" s="31" t="n">
        <x:f>L1454*'Controls &amp; Summary'!$B$9+O1454*'Controls &amp; Summary'!$B$10+R1454*'Controls &amp; Summary'!$B$11+U1454*'Controls &amp; Summary'!$B$12</x:f>
        <x:v>4.278215423617415</x:v>
      </x:c>
      <x:c r="W1454" s="31" t="n">
        <x:v>1.4</x:v>
      </x:c>
      <x:c r="X1454" s="31" t="n">
        <x:v>2.1</x:v>
      </x:c>
      <x:c r="Y1454" s="31" t="n">
        <x:f>((10-MIN(10,MAX(0,X1454)))/10)*'Controls &amp; Summary'!$B$15+((10-MIN(10,MAX(0,W1454)))/10)*'Controls &amp; Summary'!$B$16</x:f>
        <x:v>1.65</x:v>
      </x:c>
      <x:c r="Z1454" s="31" t="n">
        <x:f>V1454*Y1454</x:f>
        <x:v>7.059055448968735</x:v>
      </x:c>
      <x:c r="AA1454" s="30" t="str">
        <x:f>IF(Z1454&lt;=I1454,"Peaceful","Hostile")</x:f>
        <x:v>Hostile</x:v>
      </x:c>
      <x:c r="AB1454" s="30" t="str">
        <x:f>IF(Z1454&lt;='Controls &amp; Summary'!$B$6,"Eligible","Blocked")</x:f>
        <x:v>Eligible</x:v>
      </x:c>
      <x:c r="AC1454" s="30" t="str">
        <x:v>2070_IND</x:v>
      </x:c>
      <x:c r="AD1454" s="30" t="str">
        <x:v>2070_THA</x:v>
      </x:c>
      <x:c r="AE1454" s="30" t="str">
        <x:v>2070_Bangkok</x:v>
      </x:c>
      <x:c r="AF1454" s="30" t="str">
        <x:v>Explicit capitalClaim</x:v>
      </x:c>
      <x:c r="AG1454" s="30" t="str">
        <x:v>Claim2070_IND2070_Bangkok</x:v>
      </x:c>
      <x:c r="AH1454" s="30" t="str">
        <x:v>Project_UnitedIndosphere</x:v>
      </x:c>
    </x:row>
    <x:row r="1455">
      <x:c r="A1455" s="30" t="str">
        <x:v>2070</x:v>
      </x:c>
      <x:c r="B1455" s="30" t="str">
        <x:v>Base game</x:v>
      </x:c>
      <x:c r="C1455" s="30" t="str">
        <x:v>Indonesia</x:v>
      </x:c>
      <x:c r="D1455" s="30" t="str">
        <x:v>Brunei</x:v>
      </x:c>
      <x:c r="E1455" s="30" t="str">
        <x:v>Project unlock</x:v>
      </x:c>
      <x:c r="F1455" s="30" t="str">
        <x:v>Greater Indonesia</x:v>
      </x:c>
      <x:c r="G1455" s="30" t="str">
        <x:v>No</x:v>
      </x:c>
      <x:c r="H1455" s="30" t="str">
        <x:v>Ordinary claim</x:v>
      </x:c>
      <x:c r="I1455" s="31" t="n">
        <x:f>IF(G1455="Yes",'Controls &amp; Summary'!$B$5,'Controls &amp; Summary'!$B$4)</x:f>
        <x:v>6</x:v>
      </x:c>
      <x:c r="J1455" s="31" t="n">
        <x:v>7.8</x:v>
      </x:c>
      <x:c r="K1455" s="31" t="n">
        <x:v>2.8</x:v>
      </x:c>
      <x:c r="L1455" s="31" t="n">
        <x:f>ABS(J1455-K1455)</x:f>
        <x:v>5</x:v>
      </x:c>
      <x:c r="M1455" s="31" t="n">
        <x:v>3.6</x:v>
      </x:c>
      <x:c r="N1455" s="31" t="n">
        <x:v>4.1</x:v>
      </x:c>
      <x:c r="O1455" s="31" t="n">
        <x:f>ABS(M1455-N1455)</x:f>
        <x:v>0.49999999999999956</x:v>
      </x:c>
      <x:c r="P1455" s="31" t="n">
        <x:v>8.42</x:v>
      </x:c>
      <x:c r="Q1455" s="31" t="n">
        <x:v>8.94</x:v>
      </x:c>
      <x:c r="R1455" s="31" t="n">
        <x:f>ABS(P1455-Q1455)</x:f>
        <x:v>0.5199999999999996</x:v>
      </x:c>
      <x:c r="S1455" s="32" t="n">
        <x:v>45979.808244614906</x:v>
      </x:c>
      <x:c r="T1455" s="32" t="n">
        <x:v>246306.17522700588</x:v>
      </x:c>
      <x:c r="U1455" s="31" t="n">
        <x:f>MAX(S1455/T1455,T1455/S1455)</x:f>
        <x:v>5.3568334586487305</x:v>
      </x:c>
      <x:c r="V1455" s="31" t="n">
        <x:f>L1455*'Controls &amp; Summary'!$B$9+O1455*'Controls &amp; Summary'!$B$10+R1455*'Controls &amp; Summary'!$B$11+U1455*'Controls &amp; Summary'!$B$12</x:f>
        <x:v>11.37683345864873</x:v>
      </x:c>
      <x:c r="W1455" s="31" t="n">
        <x:v>2.9</x:v>
      </x:c>
      <x:c r="X1455" s="31" t="n">
        <x:v>0</x:v>
      </x:c>
      <x:c r="Y1455" s="31" t="n">
        <x:f>((10-MIN(10,MAX(0,X1455)))/10)*'Controls &amp; Summary'!$B$15+((10-MIN(10,MAX(0,W1455)))/10)*'Controls &amp; Summary'!$B$16</x:f>
        <x:v>1.71</x:v>
      </x:c>
      <x:c r="Z1455" s="31" t="n">
        <x:f>V1455*Y1455</x:f>
        <x:v>19.454385214289328</x:v>
      </x:c>
      <x:c r="AA1455" s="30" t="str">
        <x:f>IF(Z1455&lt;=I1455,"Peaceful","Hostile")</x:f>
        <x:v>Hostile</x:v>
      </x:c>
      <x:c r="AB1455" s="30" t="str">
        <x:f>IF(Z1455&lt;='Controls &amp; Summary'!$B$6,"Eligible","Blocked")</x:f>
        <x:v>Blocked</x:v>
      </x:c>
      <x:c r="AC1455" s="30" t="str">
        <x:v>2070_IDN</x:v>
      </x:c>
      <x:c r="AD1455" s="30" t="str">
        <x:v>2070_BRU</x:v>
      </x:c>
      <x:c r="AE1455" s="30" t="str">
        <x:v>2070_Brunei</x:v>
      </x:c>
      <x:c r="AF1455" s="30" t="str">
        <x:v>Explicit capitalClaim</x:v>
      </x:c>
      <x:c r="AG1455" s="30" t="str">
        <x:v>Claim2070_IDN2070_Brunei</x:v>
      </x:c>
      <x:c r="AH1455" s="30" t="str">
        <x:v>Project_GreaterIndonesia</x:v>
      </x:c>
    </x:row>
    <x:row r="1456">
      <x:c r="A1456" s="30" t="str">
        <x:v>2070</x:v>
      </x:c>
      <x:c r="B1456" s="30" t="str">
        <x:v>Base game</x:v>
      </x:c>
      <x:c r="C1456" s="30" t="str">
        <x:v>Indonesia</x:v>
      </x:c>
      <x:c r="D1456" s="30" t="str">
        <x:v>Madagascar</x:v>
      </x:c>
      <x:c r="E1456" s="30" t="str">
        <x:v>Project unlock</x:v>
      </x:c>
      <x:c r="F1456" s="30" t="str">
        <x:v>Greater Austronesia</x:v>
      </x:c>
      <x:c r="G1456" s="30" t="str">
        <x:v>No</x:v>
      </x:c>
      <x:c r="H1456" s="30" t="str">
        <x:v>Ordinary claim</x:v>
      </x:c>
      <x:c r="I1456" s="31" t="n">
        <x:f>IF(G1456="Yes",'Controls &amp; Summary'!$B$5,'Controls &amp; Summary'!$B$4)</x:f>
        <x:v>6</x:v>
      </x:c>
      <x:c r="J1456" s="31" t="n">
        <x:v>7.8</x:v>
      </x:c>
      <x:c r="K1456" s="31" t="n">
        <x:v>3.2</x:v>
      </x:c>
      <x:c r="L1456" s="31" t="n">
        <x:f>ABS(J1456-K1456)</x:f>
        <x:v>4.6</x:v>
      </x:c>
      <x:c r="M1456" s="31" t="n">
        <x:v>3.6</x:v>
      </x:c>
      <x:c r="N1456" s="31" t="n">
        <x:v>4.7</x:v>
      </x:c>
      <x:c r="O1456" s="31" t="n">
        <x:f>ABS(M1456-N1456)</x:f>
        <x:v>1.1</x:v>
      </x:c>
      <x:c r="P1456" s="31" t="n">
        <x:v>8.42</x:v>
      </x:c>
      <x:c r="Q1456" s="31" t="n">
        <x:v>6.78</x:v>
      </x:c>
      <x:c r="R1456" s="31" t="n">
        <x:f>ABS(P1456-Q1456)</x:f>
        <x:v>1.6399999999999997</x:v>
      </x:c>
      <x:c r="S1456" s="32" t="n">
        <x:v>45979.808244614906</x:v>
      </x:c>
      <x:c r="T1456" s="32" t="n">
        <x:v>6808.335561370165</x:v>
      </x:c>
      <x:c r="U1456" s="31" t="n">
        <x:f>MAX(S1456/T1456,T1456/S1456)</x:f>
        <x:v>6.75345799720858</x:v>
      </x:c>
      <x:c r="V1456" s="31" t="n">
        <x:f>L1456*'Controls &amp; Summary'!$B$9+O1456*'Controls &amp; Summary'!$B$10+R1456*'Controls &amp; Summary'!$B$11+U1456*'Controls &amp; Summary'!$B$12</x:f>
        <x:v>14.093457997208578</x:v>
      </x:c>
      <x:c r="W1456" s="31" t="n">
        <x:v>2.9</x:v>
      </x:c>
      <x:c r="X1456" s="31" t="n">
        <x:v>5.3</x:v>
      </x:c>
      <x:c r="Y1456" s="31" t="n">
        <x:f>((10-MIN(10,MAX(0,X1456)))/10)*'Controls &amp; Summary'!$B$15+((10-MIN(10,MAX(0,W1456)))/10)*'Controls &amp; Summary'!$B$16</x:f>
        <x:v>1.18</x:v>
      </x:c>
      <x:c r="Z1456" s="31" t="n">
        <x:f>V1456*Y1456</x:f>
        <x:v>16.63028043670612</x:v>
      </x:c>
      <x:c r="AA1456" s="30" t="str">
        <x:f>IF(Z1456&lt;=I1456,"Peaceful","Hostile")</x:f>
        <x:v>Hostile</x:v>
      </x:c>
      <x:c r="AB1456" s="30" t="str">
        <x:f>IF(Z1456&lt;='Controls &amp; Summary'!$B$6,"Eligible","Blocked")</x:f>
        <x:v>Blocked</x:v>
      </x:c>
      <x:c r="AC1456" s="30" t="str">
        <x:v>2070_IDN</x:v>
      </x:c>
      <x:c r="AD1456" s="30" t="str">
        <x:v>2070_MDG</x:v>
      </x:c>
      <x:c r="AE1456" s="30" t="str">
        <x:v>2070_Madagascar</x:v>
      </x:c>
      <x:c r="AF1456" s="30" t="str">
        <x:v>Explicit capitalClaim</x:v>
      </x:c>
      <x:c r="AG1456" s="30" t="str">
        <x:v>Claim2070_IDN2070_Madagascar</x:v>
      </x:c>
      <x:c r="AH1456" s="30" t="str">
        <x:v>Project_GreaterAustronesia</x:v>
      </x:c>
    </x:row>
    <x:row r="1457">
      <x:c r="A1457" s="30" t="str">
        <x:v>2070</x:v>
      </x:c>
      <x:c r="B1457" s="30" t="str">
        <x:v>Base game</x:v>
      </x:c>
      <x:c r="C1457" s="30" t="str">
        <x:v>Indonesia</x:v>
      </x:c>
      <x:c r="D1457" s="30" t="str">
        <x:v>Malaysia</x:v>
      </x:c>
      <x:c r="E1457" s="30" t="str">
        <x:v>Project unlock</x:v>
      </x:c>
      <x:c r="F1457" s="30" t="str">
        <x:v>Greater Indonesia</x:v>
      </x:c>
      <x:c r="G1457" s="30" t="str">
        <x:v>No</x:v>
      </x:c>
      <x:c r="H1457" s="30" t="str">
        <x:v>Ordinary claim</x:v>
      </x:c>
      <x:c r="I1457" s="31" t="n">
        <x:f>IF(G1457="Yes",'Controls &amp; Summary'!$B$5,'Controls &amp; Summary'!$B$4)</x:f>
        <x:v>6</x:v>
      </x:c>
      <x:c r="J1457" s="31" t="n">
        <x:v>7.8</x:v>
      </x:c>
      <x:c r="K1457" s="31" t="n">
        <x:v>8.2</x:v>
      </x:c>
      <x:c r="L1457" s="31" t="n">
        <x:f>ABS(J1457-K1457)</x:f>
        <x:v>0.39999999999999947</x:v>
      </x:c>
      <x:c r="M1457" s="31" t="n">
        <x:v>3.6</x:v>
      </x:c>
      <x:c r="N1457" s="31" t="n">
        <x:v>3.2</x:v>
      </x:c>
      <x:c r="O1457" s="31" t="n">
        <x:f>ABS(M1457-N1457)</x:f>
        <x:v>0.3999999999999999</x:v>
      </x:c>
      <x:c r="P1457" s="31" t="n">
        <x:v>8.42</x:v>
      </x:c>
      <x:c r="Q1457" s="31" t="n">
        <x:v>9.18</x:v>
      </x:c>
      <x:c r="R1457" s="31" t="n">
        <x:f>ABS(P1457-Q1457)</x:f>
        <x:v>0.7599999999999998</x:v>
      </x:c>
      <x:c r="S1457" s="32" t="n">
        <x:v>45979.808244614906</x:v>
      </x:c>
      <x:c r="T1457" s="32" t="n">
        <x:v>72495.54134757294</x:v>
      </x:c>
      <x:c r="U1457" s="31" t="n">
        <x:f>MAX(S1457/T1457,T1457/S1457)</x:f>
        <x:v>1.5766821158081608</x:v>
      </x:c>
      <x:c r="V1457" s="31" t="n">
        <x:f>L1457*'Controls &amp; Summary'!$B$9+O1457*'Controls &amp; Summary'!$B$10+R1457*'Controls &amp; Summary'!$B$11+U1457*'Controls &amp; Summary'!$B$12</x:f>
        <x:v>3.13668211580816</x:v>
      </x:c>
      <x:c r="W1457" s="31" t="n">
        <x:v>2.9</x:v>
      </x:c>
      <x:c r="X1457" s="31" t="n">
        <x:v>0</x:v>
      </x:c>
      <x:c r="Y1457" s="31" t="n">
        <x:f>((10-MIN(10,MAX(0,X1457)))/10)*'Controls &amp; Summary'!$B$15+((10-MIN(10,MAX(0,W1457)))/10)*'Controls &amp; Summary'!$B$16</x:f>
        <x:v>1.71</x:v>
      </x:c>
      <x:c r="Z1457" s="31" t="n">
        <x:f>V1457*Y1457</x:f>
        <x:v>5.363726418031954</x:v>
      </x:c>
      <x:c r="AA1457" s="30" t="str">
        <x:f>IF(Z1457&lt;=I1457,"Peaceful","Hostile")</x:f>
        <x:v>Peaceful</x:v>
      </x:c>
      <x:c r="AB1457" s="30" t="str">
        <x:f>IF(Z1457&lt;='Controls &amp; Summary'!$B$6,"Eligible","Blocked")</x:f>
        <x:v>Eligible</x:v>
      </x:c>
      <x:c r="AC1457" s="30" t="str">
        <x:v>2070_IDN</x:v>
      </x:c>
      <x:c r="AD1457" s="30" t="str">
        <x:v>2070_MYS</x:v>
      </x:c>
      <x:c r="AE1457" s="30" t="str">
        <x:v>2070_MalayPeninsula</x:v>
      </x:c>
      <x:c r="AF1457" s="30" t="str">
        <x:v>Explicit capitalClaim</x:v>
      </x:c>
      <x:c r="AG1457" s="30" t="str">
        <x:v>Claim2070_IDN2070_MalayPeninsula</x:v>
      </x:c>
      <x:c r="AH1457" s="30" t="str">
        <x:v>Project_GreaterIndonesia</x:v>
      </x:c>
    </x:row>
    <x:row r="1458">
      <x:c r="A1458" s="30" t="str">
        <x:v>2070</x:v>
      </x:c>
      <x:c r="B1458" s="30" t="str">
        <x:v>Base game</x:v>
      </x:c>
      <x:c r="C1458" s="30" t="str">
        <x:v>Indonesia</x:v>
      </x:c>
      <x:c r="D1458" s="30" t="str">
        <x:v>MelanesianStates</x:v>
      </x:c>
      <x:c r="E1458" s="30" t="str">
        <x:v>Project unlock</x:v>
      </x:c>
      <x:c r="F1458" s="30" t="str">
        <x:v>Greater Indonesia</x:v>
      </x:c>
      <x:c r="G1458" s="30" t="str">
        <x:v>No</x:v>
      </x:c>
      <x:c r="H1458" s="30" t="str">
        <x:v>Ordinary claim</x:v>
      </x:c>
      <x:c r="I1458" s="31" t="n">
        <x:f>IF(G1458="Yes",'Controls &amp; Summary'!$B$5,'Controls &amp; Summary'!$B$4)</x:f>
        <x:v>6</x:v>
      </x:c>
      <x:c r="J1458" s="31" t="n">
        <x:v>7.8</x:v>
      </x:c>
      <x:c r="K1458" s="31" t="n">
        <x:v>9.1</x:v>
      </x:c>
      <x:c r="L1458" s="31" t="n">
        <x:f>ABS(J1458-K1458)</x:f>
        <x:v>1.2999999999999998</x:v>
      </x:c>
      <x:c r="M1458" s="31" t="n">
        <x:v>3.6</x:v>
      </x:c>
      <x:c r="N1458" s="31" t="n">
        <x:v>2.9</x:v>
      </x:c>
      <x:c r="O1458" s="31" t="n">
        <x:f>ABS(M1458-N1458)</x:f>
        <x:v>0.7000000000000002</x:v>
      </x:c>
      <x:c r="P1458" s="31" t="n">
        <x:v>8.42</x:v>
      </x:c>
      <x:c r="Q1458" s="31" t="n">
        <x:v>8.15</x:v>
      </x:c>
      <x:c r="R1458" s="31" t="n">
        <x:f>ABS(P1458-Q1458)</x:f>
        <x:v>0.2699999999999996</x:v>
      </x:c>
      <x:c r="S1458" s="32" t="n">
        <x:v>45979.808244614906</x:v>
      </x:c>
      <x:c r="T1458" s="32" t="n">
        <x:v>14048.015630070144</x:v>
      </x:c>
      <x:c r="U1458" s="31" t="n">
        <x:f>MAX(S1458/T1458,T1458/S1458)</x:f>
        <x:v>3.2730464896546616</x:v>
      </x:c>
      <x:c r="V1458" s="31" t="n">
        <x:f>L1458*'Controls &amp; Summary'!$B$9+O1458*'Controls &amp; Summary'!$B$10+R1458*'Controls &amp; Summary'!$B$11+U1458*'Controls &amp; Summary'!$B$12</x:f>
        <x:v>5.543046489654661</x:v>
      </x:c>
      <x:c r="W1458" s="31" t="n">
        <x:v>2.9</x:v>
      </x:c>
      <x:c r="X1458" s="31" t="n">
        <x:v>1</x:v>
      </x:c>
      <x:c r="Y1458" s="31" t="n">
        <x:f>((10-MIN(10,MAX(0,X1458)))/10)*'Controls &amp; Summary'!$B$15+((10-MIN(10,MAX(0,W1458)))/10)*'Controls &amp; Summary'!$B$16</x:f>
        <x:v>1.6099999999999999</x:v>
      </x:c>
      <x:c r="Z1458" s="31" t="n">
        <x:f>V1458*Y1458</x:f>
        <x:v>8.924304848344004</x:v>
      </x:c>
      <x:c r="AA1458" s="30" t="str">
        <x:f>IF(Z1458&lt;=I1458,"Peaceful","Hostile")</x:f>
        <x:v>Hostile</x:v>
      </x:c>
      <x:c r="AB1458" s="30" t="str">
        <x:f>IF(Z1458&lt;='Controls &amp; Summary'!$B$6,"Eligible","Blocked")</x:f>
        <x:v>Eligible</x:v>
      </x:c>
      <x:c r="AC1458" s="30" t="str">
        <x:v>2070_IDN</x:v>
      </x:c>
      <x:c r="AD1458" s="30" t="str">
        <x:v>2070_PCS</x:v>
      </x:c>
      <x:c r="AE1458" s="30" t="str">
        <x:v>2070_Melanesia</x:v>
      </x:c>
      <x:c r="AF1458" s="30" t="str">
        <x:v>Explicit capitalClaim</x:v>
      </x:c>
      <x:c r="AG1458" s="30" t="str">
        <x:v>Claim2070_IDN2070_Melanesia</x:v>
      </x:c>
      <x:c r="AH1458" s="30" t="str">
        <x:v>Project_GreaterIndonesia</x:v>
      </x:c>
    </x:row>
    <x:row r="1459">
      <x:c r="A1459" s="30" t="str">
        <x:v>2070</x:v>
      </x:c>
      <x:c r="B1459" s="30" t="str">
        <x:v>Base game</x:v>
      </x:c>
      <x:c r="C1459" s="30" t="str">
        <x:v>Indonesia</x:v>
      </x:c>
      <x:c r="D1459" s="30" t="str">
        <x:v>MicronesianStates</x:v>
      </x:c>
      <x:c r="E1459" s="30" t="str">
        <x:v>Project unlock</x:v>
      </x:c>
      <x:c r="F1459" s="30" t="str">
        <x:v>Greater Austronesia</x:v>
      </x:c>
      <x:c r="G1459" s="30" t="str">
        <x:v>No</x:v>
      </x:c>
      <x:c r="H1459" s="30" t="str">
        <x:v>Ordinary claim</x:v>
      </x:c>
      <x:c r="I1459" s="31" t="n">
        <x:f>IF(G1459="Yes",'Controls &amp; Summary'!$B$5,'Controls &amp; Summary'!$B$4)</x:f>
        <x:v>6</x:v>
      </x:c>
      <x:c r="J1459" s="31" t="n">
        <x:v>7.8</x:v>
      </x:c>
      <x:c r="K1459" s="31" t="n">
        <x:v>8</x:v>
      </x:c>
      <x:c r="L1459" s="31" t="n">
        <x:f>ABS(J1459-K1459)</x:f>
        <x:v>0.20000000000000018</x:v>
      </x:c>
      <x:c r="M1459" s="31" t="n">
        <x:v>3.6</x:v>
      </x:c>
      <x:c r="N1459" s="31" t="n">
        <x:v>2.6</x:v>
      </x:c>
      <x:c r="O1459" s="31" t="n">
        <x:f>ABS(M1459-N1459)</x:f>
        <x:v>1</x:v>
      </x:c>
      <x:c r="P1459" s="31" t="n">
        <x:v>8.42</x:v>
      </x:c>
      <x:c r="Q1459" s="31" t="n">
        <x:v>8.21</x:v>
      </x:c>
      <x:c r="R1459" s="31" t="n">
        <x:f>ABS(P1459-Q1459)</x:f>
        <x:v>0.20999999999999908</x:v>
      </x:c>
      <x:c r="S1459" s="32" t="n">
        <x:v>45979.808244614906</x:v>
      </x:c>
      <x:c r="T1459" s="32" t="n">
        <x:v>9859.622631313132</x:v>
      </x:c>
      <x:c r="U1459" s="31" t="n">
        <x:f>MAX(S1459/T1459,T1459/S1459)</x:f>
        <x:v>4.663445038818001</x:v>
      </x:c>
      <x:c r="V1459" s="31" t="n">
        <x:f>L1459*'Controls &amp; Summary'!$B$9+O1459*'Controls &amp; Summary'!$B$10+R1459*'Controls &amp; Summary'!$B$11+U1459*'Controls &amp; Summary'!$B$12</x:f>
        <x:v>6.073445038818</x:v>
      </x:c>
      <x:c r="W1459" s="31" t="n">
        <x:v>2.9</x:v>
      </x:c>
      <x:c r="X1459" s="31" t="n">
        <x:v>0.31</x:v>
      </x:c>
      <x:c r="Y1459" s="31" t="n">
        <x:f>((10-MIN(10,MAX(0,X1459)))/10)*'Controls &amp; Summary'!$B$15+((10-MIN(10,MAX(0,W1459)))/10)*'Controls &amp; Summary'!$B$16</x:f>
        <x:v>1.6789999999999998</x:v>
      </x:c>
      <x:c r="Z1459" s="31" t="n">
        <x:f>V1459*Y1459</x:f>
        <x:v>10.197314220175421</x:v>
      </x:c>
      <x:c r="AA1459" s="30" t="str">
        <x:f>IF(Z1459&lt;=I1459,"Peaceful","Hostile")</x:f>
        <x:v>Hostile</x:v>
      </x:c>
      <x:c r="AB1459" s="30" t="str">
        <x:f>IF(Z1459&lt;='Controls &amp; Summary'!$B$6,"Eligible","Blocked")</x:f>
        <x:v>Eligible</x:v>
      </x:c>
      <x:c r="AC1459" s="30" t="str">
        <x:v>2070_IDN</x:v>
      </x:c>
      <x:c r="AD1459" s="30" t="str">
        <x:v>2070_MCS</x:v>
      </x:c>
      <x:c r="AE1459" s="30" t="str">
        <x:v>2070_Micronesia</x:v>
      </x:c>
      <x:c r="AF1459" s="30" t="str">
        <x:v>Explicit capitalClaim</x:v>
      </x:c>
      <x:c r="AG1459" s="30" t="str">
        <x:v>Claim2070_IDN2070_Micronesia</x:v>
      </x:c>
      <x:c r="AH1459" s="30" t="str">
        <x:v>Project_GreaterAustronesia</x:v>
      </x:c>
    </x:row>
    <x:row r="1460">
      <x:c r="A1460" s="30" t="str">
        <x:v>2070</x:v>
      </x:c>
      <x:c r="B1460" s="30" t="str">
        <x:v>Base game</x:v>
      </x:c>
      <x:c r="C1460" s="30" t="str">
        <x:v>Indonesia</x:v>
      </x:c>
      <x:c r="D1460" s="30" t="str">
        <x:v>NewZealand</x:v>
      </x:c>
      <x:c r="E1460" s="30" t="str">
        <x:v>Project unlock</x:v>
      </x:c>
      <x:c r="F1460" s="30" t="str">
        <x:v>Greater Austronesia</x:v>
      </x:c>
      <x:c r="G1460" s="30" t="str">
        <x:v>No</x:v>
      </x:c>
      <x:c r="H1460" s="30" t="str">
        <x:v>Ordinary claim</x:v>
      </x:c>
      <x:c r="I1460" s="31" t="n">
        <x:f>IF(G1460="Yes",'Controls &amp; Summary'!$B$5,'Controls &amp; Summary'!$B$4)</x:f>
        <x:v>6</x:v>
      </x:c>
      <x:c r="J1460" s="31" t="n">
        <x:v>7.8</x:v>
      </x:c>
      <x:c r="K1460" s="31" t="n">
        <x:v>9.2</x:v>
      </x:c>
      <x:c r="L1460" s="31" t="n">
        <x:f>ABS(J1460-K1460)</x:f>
        <x:v>1.3999999999999995</x:v>
      </x:c>
      <x:c r="M1460" s="31" t="n">
        <x:v>3.6</x:v>
      </x:c>
      <x:c r="N1460" s="31" t="n">
        <x:v>2.3</x:v>
      </x:c>
      <x:c r="O1460" s="31" t="n">
        <x:f>ABS(M1460-N1460)</x:f>
        <x:v>1.3000000000000003</x:v>
      </x:c>
      <x:c r="P1460" s="31" t="n">
        <x:v>8.42</x:v>
      </x:c>
      <x:c r="Q1460" s="31" t="n">
        <x:v>11.18</x:v>
      </x:c>
      <x:c r="R1460" s="31" t="n">
        <x:f>ABS(P1460-Q1460)</x:f>
        <x:v>2.76</x:v>
      </x:c>
      <x:c r="S1460" s="32" t="n">
        <x:v>45979.808244614906</x:v>
      </x:c>
      <x:c r="T1460" s="32" t="n">
        <x:v>75916.51902131288</x:v>
      </x:c>
      <x:c r="U1460" s="31" t="n">
        <x:f>MAX(S1460/T1460,T1460/S1460)</x:f>
        <x:v>1.651083854404811</x:v>
      </x:c>
      <x:c r="V1460" s="31" t="n">
        <x:f>L1460*'Controls &amp; Summary'!$B$9+O1460*'Controls &amp; Summary'!$B$10+R1460*'Controls &amp; Summary'!$B$11+U1460*'Controls &amp; Summary'!$B$12</x:f>
        <x:v>7.11108385440481</x:v>
      </x:c>
      <x:c r="W1460" s="31" t="n">
        <x:v>2.9</x:v>
      </x:c>
      <x:c r="X1460" s="31" t="n">
        <x:v>0</x:v>
      </x:c>
      <x:c r="Y1460" s="31" t="n">
        <x:f>((10-MIN(10,MAX(0,X1460)))/10)*'Controls &amp; Summary'!$B$15+((10-MIN(10,MAX(0,W1460)))/10)*'Controls &amp; Summary'!$B$16</x:f>
        <x:v>1.71</x:v>
      </x:c>
      <x:c r="Z1460" s="31" t="n">
        <x:f>V1460*Y1460</x:f>
        <x:v>12.159953391032225</x:v>
      </x:c>
      <x:c r="AA1460" s="30" t="str">
        <x:f>IF(Z1460&lt;=I1460,"Peaceful","Hostile")</x:f>
        <x:v>Hostile</x:v>
      </x:c>
      <x:c r="AB1460" s="30" t="str">
        <x:f>IF(Z1460&lt;='Controls &amp; Summary'!$B$6,"Eligible","Blocked")</x:f>
        <x:v>Blocked</x:v>
      </x:c>
      <x:c r="AC1460" s="30" t="str">
        <x:v>2070_IDN</x:v>
      </x:c>
      <x:c r="AD1460" s="30" t="str">
        <x:v>2070_NZL</x:v>
      </x:c>
      <x:c r="AE1460" s="30" t="str">
        <x:v>2070_NewZealand</x:v>
      </x:c>
      <x:c r="AF1460" s="30" t="str">
        <x:v>Explicit capitalClaim</x:v>
      </x:c>
      <x:c r="AG1460" s="30" t="str">
        <x:v>Claim2070_IDN2070_NewZealand</x:v>
      </x:c>
      <x:c r="AH1460" s="30" t="str">
        <x:v>Project_GreaterAustronesia</x:v>
      </x:c>
    </x:row>
    <x:row r="1461">
      <x:c r="A1461" s="30" t="str">
        <x:v>2070</x:v>
      </x:c>
      <x:c r="B1461" s="30" t="str">
        <x:v>Base game</x:v>
      </x:c>
      <x:c r="C1461" s="30" t="str">
        <x:v>Indonesia</x:v>
      </x:c>
      <x:c r="D1461" s="30" t="str">
        <x:v>Papua New Guinea</x:v>
      </x:c>
      <x:c r="E1461" s="30" t="str">
        <x:v>Project unlock</x:v>
      </x:c>
      <x:c r="F1461" s="30" t="str">
        <x:v>Greater Indonesia</x:v>
      </x:c>
      <x:c r="G1461" s="30" t="str">
        <x:v>No</x:v>
      </x:c>
      <x:c r="H1461" s="30" t="str">
        <x:v>Ordinary claim</x:v>
      </x:c>
      <x:c r="I1461" s="31" t="n">
        <x:f>IF(G1461="Yes",'Controls &amp; Summary'!$B$5,'Controls &amp; Summary'!$B$4)</x:f>
        <x:v>6</x:v>
      </x:c>
      <x:c r="J1461" s="31" t="n">
        <x:v>7.8</x:v>
      </x:c>
      <x:c r="K1461" s="31" t="n">
        <x:v>4.8</x:v>
      </x:c>
      <x:c r="L1461" s="31" t="n">
        <x:f>ABS(J1461-K1461)</x:f>
        <x:v>3</x:v>
      </x:c>
      <x:c r="M1461" s="31" t="n">
        <x:v>3.6</x:v>
      </x:c>
      <x:c r="N1461" s="31" t="n">
        <x:v>4.5</x:v>
      </x:c>
      <x:c r="O1461" s="31" t="n">
        <x:f>ABS(M1461-N1461)</x:f>
        <x:v>0.8999999999999999</x:v>
      </x:c>
      <x:c r="P1461" s="31" t="n">
        <x:v>8.42</x:v>
      </x:c>
      <x:c r="Q1461" s="31" t="n">
        <x:v>6.31</x:v>
      </x:c>
      <x:c r="R1461" s="31" t="n">
        <x:f>ABS(P1461-Q1461)</x:f>
        <x:v>2.1100000000000003</x:v>
      </x:c>
      <x:c r="S1461" s="32" t="n">
        <x:v>45979.808244614906</x:v>
      </x:c>
      <x:c r="T1461" s="32" t="n">
        <x:v>7032.078461507128</x:v>
      </x:c>
      <x:c r="U1461" s="31" t="n">
        <x:f>MAX(S1461/T1461,T1461/S1461)</x:f>
        <x:v>6.538580093539006</x:v>
      </x:c>
      <x:c r="V1461" s="31" t="n">
        <x:f>L1461*'Controls &amp; Summary'!$B$9+O1461*'Controls &amp; Summary'!$B$10+R1461*'Controls &amp; Summary'!$B$11+U1461*'Controls &amp; Summary'!$B$12</x:f>
        <x:v>12.548580093539005</x:v>
      </x:c>
      <x:c r="W1461" s="31" t="n">
        <x:v>2.9</x:v>
      </x:c>
      <x:c r="X1461" s="31" t="n">
        <x:v>4.5</x:v>
      </x:c>
      <x:c r="Y1461" s="31" t="n">
        <x:f>((10-MIN(10,MAX(0,X1461)))/10)*'Controls &amp; Summary'!$B$15+((10-MIN(10,MAX(0,W1461)))/10)*'Controls &amp; Summary'!$B$16</x:f>
        <x:v>1.26</x:v>
      </x:c>
      <x:c r="Z1461" s="31" t="n">
        <x:f>V1461*Y1461</x:f>
        <x:v>15.811210917859146</x:v>
      </x:c>
      <x:c r="AA1461" s="30" t="str">
        <x:f>IF(Z1461&lt;=I1461,"Peaceful","Hostile")</x:f>
        <x:v>Hostile</x:v>
      </x:c>
      <x:c r="AB1461" s="30" t="str">
        <x:f>IF(Z1461&lt;='Controls &amp; Summary'!$B$6,"Eligible","Blocked")</x:f>
        <x:v>Blocked</x:v>
      </x:c>
      <x:c r="AC1461" s="30" t="str">
        <x:v>2070_IDN</x:v>
      </x:c>
      <x:c r="AD1461" s="30" t="str">
        <x:v>2070_PNG</x:v>
      </x:c>
      <x:c r="AE1461" s="30" t="str">
        <x:v>2070_PortMorseby</x:v>
      </x:c>
      <x:c r="AF1461" s="30" t="str">
        <x:v>Explicit capitalClaim</x:v>
      </x:c>
      <x:c r="AG1461" s="30" t="str">
        <x:v>Claim2070_IDN2070_PortMorseby</x:v>
      </x:c>
      <x:c r="AH1461" s="30" t="str">
        <x:v>Project_GreaterIndonesia</x:v>
      </x:c>
    </x:row>
    <x:row r="1462">
      <x:c r="A1462" s="30" t="str">
        <x:v>2070</x:v>
      </x:c>
      <x:c r="B1462" s="30" t="str">
        <x:v>Base game</x:v>
      </x:c>
      <x:c r="C1462" s="30" t="str">
        <x:v>Indonesia</x:v>
      </x:c>
      <x:c r="D1462" s="30" t="str">
        <x:v>PolynesianStates</x:v>
      </x:c>
      <x:c r="E1462" s="30" t="str">
        <x:v>Project unlock</x:v>
      </x:c>
      <x:c r="F1462" s="30" t="str">
        <x:v>Greater Austronesia</x:v>
      </x:c>
      <x:c r="G1462" s="30" t="str">
        <x:v>No</x:v>
      </x:c>
      <x:c r="H1462" s="30" t="str">
        <x:v>Ordinary claim</x:v>
      </x:c>
      <x:c r="I1462" s="31" t="n">
        <x:f>IF(G1462="Yes",'Controls &amp; Summary'!$B$5,'Controls &amp; Summary'!$B$4)</x:f>
        <x:v>6</x:v>
      </x:c>
      <x:c r="J1462" s="31" t="n">
        <x:v>7.8</x:v>
      </x:c>
      <x:c r="K1462" s="31" t="n">
        <x:v>8.2</x:v>
      </x:c>
      <x:c r="L1462" s="31" t="n">
        <x:f>ABS(J1462-K1462)</x:f>
        <x:v>0.39999999999999947</x:v>
      </x:c>
      <x:c r="M1462" s="31" t="n">
        <x:v>3.6</x:v>
      </x:c>
      <x:c r="N1462" s="31" t="n">
        <x:v>2.8</x:v>
      </x:c>
      <x:c r="O1462" s="31" t="n">
        <x:f>ABS(M1462-N1462)</x:f>
        <x:v>0.8000000000000003</x:v>
      </x:c>
      <x:c r="P1462" s="31" t="n">
        <x:v>8.42</x:v>
      </x:c>
      <x:c r="Q1462" s="31" t="n">
        <x:v>9.26</x:v>
      </x:c>
      <x:c r="R1462" s="31" t="n">
        <x:f>ABS(P1462-Q1462)</x:f>
        <x:v>0.8399999999999999</x:v>
      </x:c>
      <x:c r="S1462" s="32" t="n">
        <x:v>45979.808244614906</x:v>
      </x:c>
      <x:c r="T1462" s="32" t="n">
        <x:v>15410.570880530973</x:v>
      </x:c>
      <x:c r="U1462" s="31" t="n">
        <x:f>MAX(S1462/T1462,T1462/S1462)</x:f>
        <x:v>2.983653792002199</x:v>
      </x:c>
      <x:c r="V1462" s="31" t="n">
        <x:f>L1462*'Controls &amp; Summary'!$B$9+O1462*'Controls &amp; Summary'!$B$10+R1462*'Controls &amp; Summary'!$B$11+U1462*'Controls &amp; Summary'!$B$12</x:f>
        <x:v>5.023653792002198</x:v>
      </x:c>
      <x:c r="W1462" s="31" t="n">
        <x:v>2.9</x:v>
      </x:c>
      <x:c r="X1462" s="31" t="n">
        <x:v>0</x:v>
      </x:c>
      <x:c r="Y1462" s="31" t="n">
        <x:f>((10-MIN(10,MAX(0,X1462)))/10)*'Controls &amp; Summary'!$B$15+((10-MIN(10,MAX(0,W1462)))/10)*'Controls &amp; Summary'!$B$16</x:f>
        <x:v>1.71</x:v>
      </x:c>
      <x:c r="Z1462" s="31" t="n">
        <x:f>V1462*Y1462</x:f>
        <x:v>8.59044798432376</x:v>
      </x:c>
      <x:c r="AA1462" s="30" t="str">
        <x:f>IF(Z1462&lt;=I1462,"Peaceful","Hostile")</x:f>
        <x:v>Hostile</x:v>
      </x:c>
      <x:c r="AB1462" s="30" t="str">
        <x:f>IF(Z1462&lt;='Controls &amp; Summary'!$B$6,"Eligible","Blocked")</x:f>
        <x:v>Eligible</x:v>
      </x:c>
      <x:c r="AC1462" s="30" t="str">
        <x:v>2070_IDN</x:v>
      </x:c>
      <x:c r="AD1462" s="30" t="str">
        <x:v>2070_PLS</x:v>
      </x:c>
      <x:c r="AE1462" s="30" t="str">
        <x:v>2070_Polynesia</x:v>
      </x:c>
      <x:c r="AF1462" s="30" t="str">
        <x:v>Explicit capitalClaim</x:v>
      </x:c>
      <x:c r="AG1462" s="30" t="str">
        <x:v>Claim2070_IDN2070_Polynesia</x:v>
      </x:c>
      <x:c r="AH1462" s="30" t="str">
        <x:v>Project_GreaterAustronesia</x:v>
      </x:c>
    </x:row>
    <x:row r="1463">
      <x:c r="A1463" s="30" t="str">
        <x:v>2070</x:v>
      </x:c>
      <x:c r="B1463" s="30" t="str">
        <x:v>Base game</x:v>
      </x:c>
      <x:c r="C1463" s="30" t="str">
        <x:v>Indonesia</x:v>
      </x:c>
      <x:c r="D1463" s="30" t="str">
        <x:v>Singapore</x:v>
      </x:c>
      <x:c r="E1463" s="30" t="str">
        <x:v>Project unlock</x:v>
      </x:c>
      <x:c r="F1463" s="30" t="str">
        <x:v>Greater Indonesia</x:v>
      </x:c>
      <x:c r="G1463" s="30" t="str">
        <x:v>No</x:v>
      </x:c>
      <x:c r="H1463" s="30" t="str">
        <x:v>Ordinary claim</x:v>
      </x:c>
      <x:c r="I1463" s="31" t="n">
        <x:f>IF(G1463="Yes",'Controls &amp; Summary'!$B$5,'Controls &amp; Summary'!$B$4)</x:f>
        <x:v>6</x:v>
      </x:c>
      <x:c r="J1463" s="31" t="n">
        <x:v>7.8</x:v>
      </x:c>
      <x:c r="K1463" s="31" t="n">
        <x:v>5.8</x:v>
      </x:c>
      <x:c r="L1463" s="31" t="n">
        <x:f>ABS(J1463-K1463)</x:f>
        <x:v>2</x:v>
      </x:c>
      <x:c r="M1463" s="31" t="n">
        <x:v>3.6</x:v>
      </x:c>
      <x:c r="N1463" s="31" t="n">
        <x:v>3.7</x:v>
      </x:c>
      <x:c r="O1463" s="31" t="n">
        <x:f>ABS(M1463-N1463)</x:f>
        <x:v>0.10000000000000009</x:v>
      </x:c>
      <x:c r="P1463" s="31" t="n">
        <x:v>8.42</x:v>
      </x:c>
      <x:c r="Q1463" s="31" t="n">
        <x:v>10.36</x:v>
      </x:c>
      <x:c r="R1463" s="31" t="n">
        <x:f>ABS(P1463-Q1463)</x:f>
        <x:v>1.9399999999999995</x:v>
      </x:c>
      <x:c r="S1463" s="32" t="n">
        <x:v>45979.808244614906</x:v>
      </x:c>
      <x:c r="T1463" s="32" t="n">
        <x:v>413433.6030625111</x:v>
      </x:c>
      <x:c r="U1463" s="31" t="n">
        <x:f>MAX(S1463/T1463,T1463/S1463)</x:f>
        <x:v>8.991633911629718</x:v>
      </x:c>
      <x:c r="V1463" s="31" t="n">
        <x:f>L1463*'Controls &amp; Summary'!$B$9+O1463*'Controls &amp; Summary'!$B$10+R1463*'Controls &amp; Summary'!$B$11+U1463*'Controls &amp; Summary'!$B$12</x:f>
        <x:v>13.031633911629717</x:v>
      </x:c>
      <x:c r="W1463" s="31" t="n">
        <x:v>2.9</x:v>
      </x:c>
      <x:c r="X1463" s="31" t="n">
        <x:v>0</x:v>
      </x:c>
      <x:c r="Y1463" s="31" t="n">
        <x:f>((10-MIN(10,MAX(0,X1463)))/10)*'Controls &amp; Summary'!$B$15+((10-MIN(10,MAX(0,W1463)))/10)*'Controls &amp; Summary'!$B$16</x:f>
        <x:v>1.71</x:v>
      </x:c>
      <x:c r="Z1463" s="31" t="n">
        <x:f>V1463*Y1463</x:f>
        <x:v>22.284093988886816</x:v>
      </x:c>
      <x:c r="AA1463" s="30" t="str">
        <x:f>IF(Z1463&lt;=I1463,"Peaceful","Hostile")</x:f>
        <x:v>Hostile</x:v>
      </x:c>
      <x:c r="AB1463" s="30" t="str">
        <x:f>IF(Z1463&lt;='Controls &amp; Summary'!$B$6,"Eligible","Blocked")</x:f>
        <x:v>Blocked</x:v>
      </x:c>
      <x:c r="AC1463" s="30" t="str">
        <x:v>2070_IDN</x:v>
      </x:c>
      <x:c r="AD1463" s="30" t="str">
        <x:v>2070_SGP</x:v>
      </x:c>
      <x:c r="AE1463" s="30" t="str">
        <x:v>2070_Singapore</x:v>
      </x:c>
      <x:c r="AF1463" s="30" t="str">
        <x:v>Explicit capitalClaim</x:v>
      </x:c>
      <x:c r="AG1463" s="30" t="str">
        <x:v>Claim2070_IDN2070_Singapore</x:v>
      </x:c>
      <x:c r="AH1463" s="30" t="str">
        <x:v>Project_GreaterIndonesia</x:v>
      </x:c>
    </x:row>
    <x:row r="1464">
      <x:c r="A1464" s="30" t="str">
        <x:v>2070</x:v>
      </x:c>
      <x:c r="B1464" s="30" t="str">
        <x:v>Base game</x:v>
      </x:c>
      <x:c r="C1464" s="30" t="str">
        <x:v>Indonesia</x:v>
      </x:c>
      <x:c r="D1464" s="30" t="str">
        <x:v>Timor-Leste</x:v>
      </x:c>
      <x:c r="E1464" s="30" t="str">
        <x:v>Starting claim</x:v>
      </x:c>
      <x:c r="F1464" s="30" t="str"/>
      <x:c r="G1464" s="30" t="str">
        <x:v>Yes</x:v>
      </x:c>
      <x:c r="H1464" s="30" t="str">
        <x:v>Template hostileClaim</x:v>
      </x:c>
      <x:c r="I1464" s="31" t="n">
        <x:f>IF(G1464="Yes",'Controls &amp; Summary'!$B$5,'Controls &amp; Summary'!$B$4)</x:f>
        <x:v>3</x:v>
      </x:c>
      <x:c r="J1464" s="31" t="n">
        <x:v>7.8</x:v>
      </x:c>
      <x:c r="K1464" s="31" t="n">
        <x:v>8.2</x:v>
      </x:c>
      <x:c r="L1464" s="31" t="n">
        <x:f>ABS(J1464-K1464)</x:f>
        <x:v>0.39999999999999947</x:v>
      </x:c>
      <x:c r="M1464" s="31" t="n">
        <x:v>3.6</x:v>
      </x:c>
      <x:c r="N1464" s="31" t="n">
        <x:v>2.5</x:v>
      </x:c>
      <x:c r="O1464" s="31" t="n">
        <x:f>ABS(M1464-N1464)</x:f>
        <x:v>1.1</x:v>
      </x:c>
      <x:c r="P1464" s="31" t="n">
        <x:v>8.42</x:v>
      </x:c>
      <x:c r="Q1464" s="31" t="n">
        <x:v>7.02</x:v>
      </x:c>
      <x:c r="R1464" s="31" t="n">
        <x:f>ABS(P1464-Q1464)</x:f>
        <x:v>1.4000000000000004</x:v>
      </x:c>
      <x:c r="S1464" s="32" t="n">
        <x:v>45979.808244614906</x:v>
      </x:c>
      <x:c r="T1464" s="32" t="n">
        <x:v>6760.294047160733</x:v>
      </x:c>
      <x:c r="U1464" s="31" t="n">
        <x:f>MAX(S1464/T1464,T1464/S1464)</x:f>
        <x:v>6.80145093155024</x:v>
      </x:c>
      <x:c r="V1464" s="31" t="n">
        <x:f>L1464*'Controls &amp; Summary'!$B$9+O1464*'Controls &amp; Summary'!$B$10+R1464*'Controls &amp; Summary'!$B$11+U1464*'Controls &amp; Summary'!$B$12</x:f>
        <x:v>9.701450931550239</x:v>
      </x:c>
      <x:c r="W1464" s="31" t="n">
        <x:v>2.9</x:v>
      </x:c>
      <x:c r="X1464" s="31" t="n">
        <x:v>0.4</x:v>
      </x:c>
      <x:c r="Y1464" s="31" t="n">
        <x:f>((10-MIN(10,MAX(0,X1464)))/10)*'Controls &amp; Summary'!$B$15+((10-MIN(10,MAX(0,W1464)))/10)*'Controls &amp; Summary'!$B$16</x:f>
        <x:v>1.67</x:v>
      </x:c>
      <x:c r="Z1464" s="31" t="n">
        <x:f>V1464*Y1464</x:f>
        <x:v>16.2014230556889</x:v>
      </x:c>
      <x:c r="AA1464" s="30" t="str">
        <x:f>IF(Z1464&lt;=I1464,"Peaceful","Hostile")</x:f>
        <x:v>Hostile</x:v>
      </x:c>
      <x:c r="AB1464" s="30" t="str">
        <x:f>IF(Z1464&lt;='Controls &amp; Summary'!$B$6,"Eligible","Blocked")</x:f>
        <x:v>Blocked</x:v>
      </x:c>
      <x:c r="AC1464" s="30" t="str">
        <x:v>2070_IDN</x:v>
      </x:c>
      <x:c r="AD1464" s="30" t="str">
        <x:v>2070_TLS</x:v>
      </x:c>
      <x:c r="AE1464" s="30" t="str">
        <x:v>2070_TimorLeste</x:v>
      </x:c>
      <x:c r="AF1464" s="30" t="str">
        <x:v>Explicit capitalClaim</x:v>
      </x:c>
      <x:c r="AG1464" s="30" t="str">
        <x:v>Claim2070_IDN2070_TimorLeste</x:v>
      </x:c>
      <x:c r="AH1464" s="30" t="str"/>
    </x:row>
    <x:row r="1465">
      <x:c r="A1465" s="30" t="str">
        <x:v>2070</x:v>
      </x:c>
      <x:c r="B1465" s="30" t="str">
        <x:v>Base game</x:v>
      </x:c>
      <x:c r="C1465" s="30" t="str">
        <x:v>Iran</x:v>
      </x:c>
      <x:c r="D1465" s="30" t="str">
        <x:v>Azerbaijan</x:v>
      </x:c>
      <x:c r="E1465" s="30" t="str">
        <x:v>Project unlock</x:v>
      </x:c>
      <x:c r="F1465" s="30" t="str">
        <x:v>The Shia Nation</x:v>
      </x:c>
      <x:c r="G1465" s="30" t="str">
        <x:v>No</x:v>
      </x:c>
      <x:c r="H1465" s="30" t="str">
        <x:v>Ordinary claim</x:v>
      </x:c>
      <x:c r="I1465" s="31" t="n">
        <x:f>IF(G1465="Yes",'Controls &amp; Summary'!$B$5,'Controls &amp; Summary'!$B$4)</x:f>
        <x:v>6</x:v>
      </x:c>
      <x:c r="J1465" s="31" t="n">
        <x:v>8.8</x:v>
      </x:c>
      <x:c r="K1465" s="31" t="n">
        <x:v>6</x:v>
      </x:c>
      <x:c r="L1465" s="31" t="n">
        <x:f>ABS(J1465-K1465)</x:f>
        <x:v>2.8000000000000007</x:v>
      </x:c>
      <x:c r="M1465" s="31" t="n">
        <x:v>3.6</x:v>
      </x:c>
      <x:c r="N1465" s="31" t="n">
        <x:v>3.2</x:v>
      </x:c>
      <x:c r="O1465" s="31" t="n">
        <x:f>ABS(M1465-N1465)</x:f>
        <x:v>0.3999999999999999</x:v>
      </x:c>
      <x:c r="P1465" s="31" t="n">
        <x:v>9.48</x:v>
      </x:c>
      <x:c r="Q1465" s="31" t="n">
        <x:v>9.03</x:v>
      </x:c>
      <x:c r="R1465" s="31" t="n">
        <x:f>ABS(P1465-Q1465)</x:f>
        <x:v>0.45000000000000107</x:v>
      </x:c>
      <x:c r="S1465" s="32" t="n">
        <x:v>68008.56870196573</x:v>
      </x:c>
      <x:c r="T1465" s="32" t="n">
        <x:v>27469.022516320747</x:v>
      </x:c>
      <x:c r="U1465" s="31" t="n">
        <x:f>MAX(S1465/T1465,T1465/S1465)</x:f>
        <x:v>2.475827767863177</x:v>
      </x:c>
      <x:c r="V1465" s="31" t="n">
        <x:f>L1465*'Controls &amp; Summary'!$B$9+O1465*'Controls &amp; Summary'!$B$10+R1465*'Controls &amp; Summary'!$B$11+U1465*'Controls &amp; Summary'!$B$12</x:f>
        <x:v>6.1258277678631785</x:v>
      </x:c>
      <x:c r="W1465" s="31" t="n">
        <x:v>5</x:v>
      </x:c>
      <x:c r="X1465" s="31" t="n">
        <x:v>1.1</x:v>
      </x:c>
      <x:c r="Y1465" s="31" t="n">
        <x:f>((10-MIN(10,MAX(0,X1465)))/10)*'Controls &amp; Summary'!$B$15+((10-MIN(10,MAX(0,W1465)))/10)*'Controls &amp; Summary'!$B$16</x:f>
        <x:v>1.3900000000000001</x:v>
      </x:c>
      <x:c r="Z1465" s="31" t="n">
        <x:f>V1465*Y1465</x:f>
        <x:v>8.514900597329818</x:v>
      </x:c>
      <x:c r="AA1465" s="30" t="str">
        <x:f>IF(Z1465&lt;=I1465,"Peaceful","Hostile")</x:f>
        <x:v>Hostile</x:v>
      </x:c>
      <x:c r="AB1465" s="30" t="str">
        <x:f>IF(Z1465&lt;='Controls &amp; Summary'!$B$6,"Eligible","Blocked")</x:f>
        <x:v>Eligible</x:v>
      </x:c>
      <x:c r="AC1465" s="30" t="str">
        <x:v>2070_IRN</x:v>
      </x:c>
      <x:c r="AD1465" s="30" t="str">
        <x:v>2070_AZE</x:v>
      </x:c>
      <x:c r="AE1465" s="30" t="str">
        <x:v>2070_Azerbaijan</x:v>
      </x:c>
      <x:c r="AF1465" s="30" t="str">
        <x:v>Explicit capitalClaim</x:v>
      </x:c>
      <x:c r="AG1465" s="30" t="str">
        <x:v>Claim2070_IRN2070_Azerbaijan</x:v>
      </x:c>
      <x:c r="AH1465" s="30" t="str">
        <x:v>Project_TheShiaNation</x:v>
      </x:c>
    </x:row>
    <x:row r="1466">
      <x:c r="A1466" s="30" t="str">
        <x:v>2070</x:v>
      </x:c>
      <x:c r="B1466" s="30" t="str">
        <x:v>Base game</x:v>
      </x:c>
      <x:c r="C1466" s="30" t="str">
        <x:v>Iran</x:v>
      </x:c>
      <x:c r="D1466" s="30" t="str">
        <x:v>Iraq</x:v>
      </x:c>
      <x:c r="E1466" s="30" t="str">
        <x:v>Project unlock</x:v>
      </x:c>
      <x:c r="F1466" s="30" t="str">
        <x:v>The Shia Nation</x:v>
      </x:c>
      <x:c r="G1466" s="30" t="str">
        <x:v>No</x:v>
      </x:c>
      <x:c r="H1466" s="30" t="str">
        <x:v>Ordinary claim</x:v>
      </x:c>
      <x:c r="I1466" s="31" t="n">
        <x:f>IF(G1466="Yes",'Controls &amp; Summary'!$B$5,'Controls &amp; Summary'!$B$4)</x:f>
        <x:v>6</x:v>
      </x:c>
      <x:c r="J1466" s="31" t="n">
        <x:v>8.8</x:v>
      </x:c>
      <x:c r="K1466" s="31" t="n">
        <x:v>5.1</x:v>
      </x:c>
      <x:c r="L1466" s="31" t="n">
        <x:f>ABS(J1466-K1466)</x:f>
        <x:v>3.700000000000001</x:v>
      </x:c>
      <x:c r="M1466" s="31" t="n">
        <x:v>3.6</x:v>
      </x:c>
      <x:c r="N1466" s="31" t="n">
        <x:v>4.2</x:v>
      </x:c>
      <x:c r="O1466" s="31" t="n">
        <x:f>ABS(M1466-N1466)</x:f>
        <x:v>0.6000000000000001</x:v>
      </x:c>
      <x:c r="P1466" s="31" t="n">
        <x:v>9.48</x:v>
      </x:c>
      <x:c r="Q1466" s="31" t="n">
        <x:v>7.49</x:v>
      </x:c>
      <x:c r="R1466" s="31" t="n">
        <x:f>ABS(P1466-Q1466)</x:f>
        <x:v>1.9900000000000002</x:v>
      </x:c>
      <x:c r="S1466" s="32" t="n">
        <x:v>68008.56870196573</x:v>
      </x:c>
      <x:c r="T1466" s="32" t="n">
        <x:v>24364.398249420425</x:v>
      </x:c>
      <x:c r="U1466" s="31" t="n">
        <x:f>MAX(S1466/T1466,T1466/S1466)</x:f>
        <x:v>2.7913091883393224</x:v>
      </x:c>
      <x:c r="V1466" s="31" t="n">
        <x:f>L1466*'Controls &amp; Summary'!$B$9+O1466*'Controls &amp; Summary'!$B$10+R1466*'Controls &amp; Summary'!$B$11+U1466*'Controls &amp; Summary'!$B$12</x:f>
        <x:v>9.081309188339324</x:v>
      </x:c>
      <x:c r="W1466" s="31" t="n">
        <x:v>5</x:v>
      </x:c>
      <x:c r="X1466" s="31" t="n">
        <x:v>4.2</x:v>
      </x:c>
      <x:c r="Y1466" s="31" t="n">
        <x:f>((10-MIN(10,MAX(0,X1466)))/10)*'Controls &amp; Summary'!$B$15+((10-MIN(10,MAX(0,W1466)))/10)*'Controls &amp; Summary'!$B$16</x:f>
        <x:v>1.08</x:v>
      </x:c>
      <x:c r="Z1466" s="31" t="n">
        <x:f>V1466*Y1466</x:f>
        <x:v>9.80781392340647</x:v>
      </x:c>
      <x:c r="AA1466" s="30" t="str">
        <x:f>IF(Z1466&lt;=I1466,"Peaceful","Hostile")</x:f>
        <x:v>Hostile</x:v>
      </x:c>
      <x:c r="AB1466" s="30" t="str">
        <x:f>IF(Z1466&lt;='Controls &amp; Summary'!$B$6,"Eligible","Blocked")</x:f>
        <x:v>Eligible</x:v>
      </x:c>
      <x:c r="AC1466" s="30" t="str">
        <x:v>2070_IRN</x:v>
      </x:c>
      <x:c r="AD1466" s="30" t="str">
        <x:v>2070_IRQ</x:v>
      </x:c>
      <x:c r="AE1466" s="30" t="str">
        <x:v>2070_Baghdad</x:v>
      </x:c>
      <x:c r="AF1466" s="30" t="str">
        <x:v>Explicit capitalClaim</x:v>
      </x:c>
      <x:c r="AG1466" s="30" t="str">
        <x:v>Claim2070_IRN2070_Baghdad</x:v>
      </x:c>
      <x:c r="AH1466" s="30" t="str">
        <x:v>Project_TheShiaNation</x:v>
      </x:c>
    </x:row>
    <x:row r="1467">
      <x:c r="A1467" s="30" t="str">
        <x:v>2070</x:v>
      </x:c>
      <x:c r="B1467" s="30" t="str">
        <x:v>Base game</x:v>
      </x:c>
      <x:c r="C1467" s="30" t="str">
        <x:v>Israel</x:v>
      </x:c>
      <x:c r="D1467" s="30" t="str">
        <x:v>Palestine</x:v>
      </x:c>
      <x:c r="E1467" s="30" t="str">
        <x:v>Starting claim</x:v>
      </x:c>
      <x:c r="F1467" s="30" t="str"/>
      <x:c r="G1467" s="30" t="str">
        <x:v>Yes</x:v>
      </x:c>
      <x:c r="H1467" s="30" t="str">
        <x:v>Template hostileClaim</x:v>
      </x:c>
      <x:c r="I1467" s="31" t="n">
        <x:f>IF(G1467="Yes",'Controls &amp; Summary'!$B$5,'Controls &amp; Summary'!$B$4)</x:f>
        <x:v>3</x:v>
      </x:c>
      <x:c r="J1467" s="31" t="n">
        <x:v>5.4</x:v>
      </x:c>
      <x:c r="K1467" s="31" t="n">
        <x:v>5</x:v>
      </x:c>
      <x:c r="L1467" s="31" t="n">
        <x:f>ABS(J1467-K1467)</x:f>
        <x:v>0.40000000000000036</x:v>
      </x:c>
      <x:c r="M1467" s="31" t="n">
        <x:v>3</x:v>
      </x:c>
      <x:c r="N1467" s="31" t="n">
        <x:v>2.9</x:v>
      </x:c>
      <x:c r="O1467" s="31" t="n">
        <x:f>ABS(M1467-N1467)</x:f>
        <x:v>0.10000000000000009</x:v>
      </x:c>
      <x:c r="P1467" s="31" t="n">
        <x:v>10.75</x:v>
      </x:c>
      <x:c r="Q1467" s="31" t="n">
        <x:v>8.7</x:v>
      </x:c>
      <x:c r="R1467" s="31" t="n">
        <x:f>ABS(P1467-Q1467)</x:f>
        <x:v>2.0500000000000007</x:v>
      </x:c>
      <x:c r="S1467" s="32" t="n">
        <x:v>124884.35945984125</x:v>
      </x:c>
      <x:c r="T1467" s="32" t="n">
        <x:v>12513.13396295576</x:v>
      </x:c>
      <x:c r="U1467" s="31" t="n">
        <x:f>MAX(S1467/T1467,T1467/S1467)</x:f>
        <x:v>9.980262325133934</x:v>
      </x:c>
      <x:c r="V1467" s="31" t="n">
        <x:f>L1467*'Controls &amp; Summary'!$B$9+O1467*'Controls &amp; Summary'!$B$10+R1467*'Controls &amp; Summary'!$B$11+U1467*'Controls &amp; Summary'!$B$12</x:f>
        <x:v>12.530262325133934</x:v>
      </x:c>
      <x:c r="W1467" s="31" t="n">
        <x:v>5.6</x:v>
      </x:c>
      <x:c r="X1467" s="31" t="n">
        <x:v>3.1</x:v>
      </x:c>
      <x:c r="Y1467" s="31" t="n">
        <x:f>((10-MIN(10,MAX(0,X1467)))/10)*'Controls &amp; Summary'!$B$15+((10-MIN(10,MAX(0,W1467)))/10)*'Controls &amp; Summary'!$B$16</x:f>
        <x:v>1.1300000000000001</x:v>
      </x:c>
      <x:c r="Z1467" s="31" t="n">
        <x:f>V1467*Y1467</x:f>
        <x:v>14.159196427401348</x:v>
      </x:c>
      <x:c r="AA1467" s="30" t="str">
        <x:f>IF(Z1467&lt;=I1467,"Peaceful","Hostile")</x:f>
        <x:v>Hostile</x:v>
      </x:c>
      <x:c r="AB1467" s="30" t="str">
        <x:f>IF(Z1467&lt;='Controls &amp; Summary'!$B$6,"Eligible","Blocked")</x:f>
        <x:v>Blocked</x:v>
      </x:c>
      <x:c r="AC1467" s="30" t="str">
        <x:v>2070_ISR</x:v>
      </x:c>
      <x:c r="AD1467" s="30" t="str">
        <x:v>2070_PAL</x:v>
      </x:c>
      <x:c r="AE1467" s="30" t="str">
        <x:v>2070_Palestine</x:v>
      </x:c>
      <x:c r="AF1467" s="30" t="str">
        <x:v>Explicit capitalClaim</x:v>
      </x:c>
      <x:c r="AG1467" s="30" t="str">
        <x:v>Claim2070_ISR2070_Palestine</x:v>
      </x:c>
      <x:c r="AH1467" s="30" t="str"/>
    </x:row>
    <x:row r="1468">
      <x:c r="A1468" s="30" t="str">
        <x:v>2070</x:v>
      </x:c>
      <x:c r="B1468" s="30" t="str">
        <x:v>Base game</x:v>
      </x:c>
      <x:c r="C1468" s="30" t="str">
        <x:v>Japan</x:v>
      </x:c>
      <x:c r="D1468" s="30" t="str">
        <x:v>MelanesianStates</x:v>
      </x:c>
      <x:c r="E1468" s="30" t="str">
        <x:v>Project unlock</x:v>
      </x:c>
      <x:c r="F1468" s="30" t="str">
        <x:v>Pacific League</x:v>
      </x:c>
      <x:c r="G1468" s="30" t="str">
        <x:v>No</x:v>
      </x:c>
      <x:c r="H1468" s="30" t="str">
        <x:v>Ordinary claim</x:v>
      </x:c>
      <x:c r="I1468" s="31" t="n">
        <x:f>IF(G1468="Yes",'Controls &amp; Summary'!$B$5,'Controls &amp; Summary'!$B$4)</x:f>
        <x:v>6</x:v>
      </x:c>
      <x:c r="J1468" s="31" t="n">
        <x:v>8.7</x:v>
      </x:c>
      <x:c r="K1468" s="31" t="n">
        <x:v>9.1</x:v>
      </x:c>
      <x:c r="L1468" s="31" t="n">
        <x:f>ABS(J1468-K1468)</x:f>
        <x:v>0.40000000000000036</x:v>
      </x:c>
      <x:c r="M1468" s="31" t="n">
        <x:v>3.2</x:v>
      </x:c>
      <x:c r="N1468" s="31" t="n">
        <x:v>2.9</x:v>
      </x:c>
      <x:c r="O1468" s="31" t="n">
        <x:f>ABS(M1468-N1468)</x:f>
        <x:v>0.30000000000000027</x:v>
      </x:c>
      <x:c r="P1468" s="31" t="n">
        <x:v>10.43</x:v>
      </x:c>
      <x:c r="Q1468" s="31" t="n">
        <x:v>8.15</x:v>
      </x:c>
      <x:c r="R1468" s="31" t="n">
        <x:f>ABS(P1468-Q1468)</x:f>
        <x:v>2.2799999999999994</x:v>
      </x:c>
      <x:c r="S1468" s="32" t="n">
        <x:v>82281.43971195868</x:v>
      </x:c>
      <x:c r="T1468" s="32" t="n">
        <x:v>14048.015630070144</x:v>
      </x:c>
      <x:c r="U1468" s="31" t="n">
        <x:f>MAX(S1468/T1468,T1468/S1468)</x:f>
        <x:v>5.857157471823502</x:v>
      </x:c>
      <x:c r="V1468" s="31" t="n">
        <x:f>L1468*'Controls &amp; Summary'!$B$9+O1468*'Controls &amp; Summary'!$B$10+R1468*'Controls &amp; Summary'!$B$11+U1468*'Controls &amp; Summary'!$B$12</x:f>
        <x:v>8.837157471823502</x:v>
      </x:c>
      <x:c r="W1468" s="31" t="n">
        <x:v>5</x:v>
      </x:c>
      <x:c r="X1468" s="31" t="n">
        <x:v>1</x:v>
      </x:c>
      <x:c r="Y1468" s="31" t="n">
        <x:f>((10-MIN(10,MAX(0,X1468)))/10)*'Controls &amp; Summary'!$B$15+((10-MIN(10,MAX(0,W1468)))/10)*'Controls &amp; Summary'!$B$16</x:f>
        <x:v>1.4</x:v>
      </x:c>
      <x:c r="Z1468" s="31" t="n">
        <x:f>V1468*Y1468</x:f>
        <x:v>12.372020460552903</x:v>
      </x:c>
      <x:c r="AA1468" s="30" t="str">
        <x:f>IF(Z1468&lt;=I1468,"Peaceful","Hostile")</x:f>
        <x:v>Hostile</x:v>
      </x:c>
      <x:c r="AB1468" s="30" t="str">
        <x:f>IF(Z1468&lt;='Controls &amp; Summary'!$B$6,"Eligible","Blocked")</x:f>
        <x:v>Blocked</x:v>
      </x:c>
      <x:c r="AC1468" s="30" t="str">
        <x:v>2070_JPN</x:v>
      </x:c>
      <x:c r="AD1468" s="30" t="str">
        <x:v>2070_PCS</x:v>
      </x:c>
      <x:c r="AE1468" s="30" t="str">
        <x:v>2070_Melanesia</x:v>
      </x:c>
      <x:c r="AF1468" s="30" t="str">
        <x:v>Explicit capitalClaim</x:v>
      </x:c>
      <x:c r="AG1468" s="30" t="str">
        <x:v>Claim2070_JPN2070_Melanesia</x:v>
      </x:c>
      <x:c r="AH1468" s="30" t="str">
        <x:v>Project_PacificLeague</x:v>
      </x:c>
    </x:row>
    <x:row r="1469">
      <x:c r="A1469" s="30" t="str">
        <x:v>2070</x:v>
      </x:c>
      <x:c r="B1469" s="30" t="str">
        <x:v>Base game</x:v>
      </x:c>
      <x:c r="C1469" s="30" t="str">
        <x:v>Japan</x:v>
      </x:c>
      <x:c r="D1469" s="30" t="str">
        <x:v>MicronesianStates</x:v>
      </x:c>
      <x:c r="E1469" s="30" t="str">
        <x:v>Project unlock</x:v>
      </x:c>
      <x:c r="F1469" s="30" t="str">
        <x:v>Pacific League</x:v>
      </x:c>
      <x:c r="G1469" s="30" t="str">
        <x:v>No</x:v>
      </x:c>
      <x:c r="H1469" s="30" t="str">
        <x:v>Ordinary claim</x:v>
      </x:c>
      <x:c r="I1469" s="31" t="n">
        <x:f>IF(G1469="Yes",'Controls &amp; Summary'!$B$5,'Controls &amp; Summary'!$B$4)</x:f>
        <x:v>6</x:v>
      </x:c>
      <x:c r="J1469" s="31" t="n">
        <x:v>8.7</x:v>
      </x:c>
      <x:c r="K1469" s="31" t="n">
        <x:v>8</x:v>
      </x:c>
      <x:c r="L1469" s="31" t="n">
        <x:f>ABS(J1469-K1469)</x:f>
        <x:v>0.6999999999999993</x:v>
      </x:c>
      <x:c r="M1469" s="31" t="n">
        <x:v>3.2</x:v>
      </x:c>
      <x:c r="N1469" s="31" t="n">
        <x:v>2.6</x:v>
      </x:c>
      <x:c r="O1469" s="31" t="n">
        <x:f>ABS(M1469-N1469)</x:f>
        <x:v>0.6000000000000001</x:v>
      </x:c>
      <x:c r="P1469" s="31" t="n">
        <x:v>10.43</x:v>
      </x:c>
      <x:c r="Q1469" s="31" t="n">
        <x:v>8.21</x:v>
      </x:c>
      <x:c r="R1469" s="31" t="n">
        <x:f>ABS(P1469-Q1469)</x:f>
        <x:v>2.219999999999999</x:v>
      </x:c>
      <x:c r="S1469" s="32" t="n">
        <x:v>82281.43971195868</x:v>
      </x:c>
      <x:c r="T1469" s="32" t="n">
        <x:v>9859.622631313132</x:v>
      </x:c>
      <x:c r="U1469" s="31" t="n">
        <x:f>MAX(S1469/T1469,T1469/S1469)</x:f>
        <x:v>8.345292998399495</x:v>
      </x:c>
      <x:c r="V1469" s="31" t="n">
        <x:f>L1469*'Controls &amp; Summary'!$B$9+O1469*'Controls &amp; Summary'!$B$10+R1469*'Controls &amp; Summary'!$B$11+U1469*'Controls &amp; Summary'!$B$12</x:f>
        <x:v>11.865292998399493</x:v>
      </x:c>
      <x:c r="W1469" s="31" t="n">
        <x:v>5</x:v>
      </x:c>
      <x:c r="X1469" s="31" t="n">
        <x:v>0.31</x:v>
      </x:c>
      <x:c r="Y1469" s="31" t="n">
        <x:f>((10-MIN(10,MAX(0,X1469)))/10)*'Controls &amp; Summary'!$B$15+((10-MIN(10,MAX(0,W1469)))/10)*'Controls &amp; Summary'!$B$16</x:f>
        <x:v>1.4689999999999999</x:v>
      </x:c>
      <x:c r="Z1469" s="31" t="n">
        <x:f>V1469*Y1469</x:f>
        <x:v>17.430115414648853</x:v>
      </x:c>
      <x:c r="AA1469" s="30" t="str">
        <x:f>IF(Z1469&lt;=I1469,"Peaceful","Hostile")</x:f>
        <x:v>Hostile</x:v>
      </x:c>
      <x:c r="AB1469" s="30" t="str">
        <x:f>IF(Z1469&lt;='Controls &amp; Summary'!$B$6,"Eligible","Blocked")</x:f>
        <x:v>Blocked</x:v>
      </x:c>
      <x:c r="AC1469" s="30" t="str">
        <x:v>2070_JPN</x:v>
      </x:c>
      <x:c r="AD1469" s="30" t="str">
        <x:v>2070_MCS</x:v>
      </x:c>
      <x:c r="AE1469" s="30" t="str">
        <x:v>2070_Micronesia</x:v>
      </x:c>
      <x:c r="AF1469" s="30" t="str">
        <x:v>Explicit capitalClaim</x:v>
      </x:c>
      <x:c r="AG1469" s="30" t="str">
        <x:v>Claim2070_JPN2070_Micronesia</x:v>
      </x:c>
      <x:c r="AH1469" s="30" t="str">
        <x:v>Project_PacificLeague</x:v>
      </x:c>
    </x:row>
    <x:row r="1470">
      <x:c r="A1470" s="30" t="str">
        <x:v>2070</x:v>
      </x:c>
      <x:c r="B1470" s="30" t="str">
        <x:v>Base game</x:v>
      </x:c>
      <x:c r="C1470" s="30" t="str">
        <x:v>Japan</x:v>
      </x:c>
      <x:c r="D1470" s="30" t="str">
        <x:v>Papua New Guinea</x:v>
      </x:c>
      <x:c r="E1470" s="30" t="str">
        <x:v>Project unlock</x:v>
      </x:c>
      <x:c r="F1470" s="30" t="str">
        <x:v>Pacific League</x:v>
      </x:c>
      <x:c r="G1470" s="30" t="str">
        <x:v>No</x:v>
      </x:c>
      <x:c r="H1470" s="30" t="str">
        <x:v>Ordinary claim</x:v>
      </x:c>
      <x:c r="I1470" s="31" t="n">
        <x:f>IF(G1470="Yes",'Controls &amp; Summary'!$B$5,'Controls &amp; Summary'!$B$4)</x:f>
        <x:v>6</x:v>
      </x:c>
      <x:c r="J1470" s="31" t="n">
        <x:v>8.7</x:v>
      </x:c>
      <x:c r="K1470" s="31" t="n">
        <x:v>4.8</x:v>
      </x:c>
      <x:c r="L1470" s="31" t="n">
        <x:f>ABS(J1470-K1470)</x:f>
        <x:v>3.8999999999999995</x:v>
      </x:c>
      <x:c r="M1470" s="31" t="n">
        <x:v>3.2</x:v>
      </x:c>
      <x:c r="N1470" s="31" t="n">
        <x:v>4.5</x:v>
      </x:c>
      <x:c r="O1470" s="31" t="n">
        <x:f>ABS(M1470-N1470)</x:f>
        <x:v>1.2999999999999998</x:v>
      </x:c>
      <x:c r="P1470" s="31" t="n">
        <x:v>10.43</x:v>
      </x:c>
      <x:c r="Q1470" s="31" t="n">
        <x:v>6.31</x:v>
      </x:c>
      <x:c r="R1470" s="31" t="n">
        <x:f>ABS(P1470-Q1470)</x:f>
        <x:v>4.12</x:v>
      </x:c>
      <x:c r="S1470" s="32" t="n">
        <x:v>82281.43971195868</x:v>
      </x:c>
      <x:c r="T1470" s="32" t="n">
        <x:v>7032.078461507128</x:v>
      </x:c>
      <x:c r="U1470" s="31" t="n">
        <x:f>MAX(S1470/T1470,T1470/S1470)</x:f>
        <x:v>11.700870540958665</x:v>
      </x:c>
      <x:c r="V1470" s="31" t="n">
        <x:f>L1470*'Controls &amp; Summary'!$B$9+O1470*'Controls &amp; Summary'!$B$10+R1470*'Controls &amp; Summary'!$B$11+U1470*'Controls &amp; Summary'!$B$12</x:f>
        <x:v>21.020870540958665</x:v>
      </x:c>
      <x:c r="W1470" s="31" t="n">
        <x:v>5</x:v>
      </x:c>
      <x:c r="X1470" s="31" t="n">
        <x:v>4.5</x:v>
      </x:c>
      <x:c r="Y1470" s="31" t="n">
        <x:f>((10-MIN(10,MAX(0,X1470)))/10)*'Controls &amp; Summary'!$B$15+((10-MIN(10,MAX(0,W1470)))/10)*'Controls &amp; Summary'!$B$16</x:f>
        <x:v>1.05</x:v>
      </x:c>
      <x:c r="Z1470" s="31" t="n">
        <x:f>V1470*Y1470</x:f>
        <x:v>22.0719140680066</x:v>
      </x:c>
      <x:c r="AA1470" s="30" t="str">
        <x:f>IF(Z1470&lt;=I1470,"Peaceful","Hostile")</x:f>
        <x:v>Hostile</x:v>
      </x:c>
      <x:c r="AB1470" s="30" t="str">
        <x:f>IF(Z1470&lt;='Controls &amp; Summary'!$B$6,"Eligible","Blocked")</x:f>
        <x:v>Blocked</x:v>
      </x:c>
      <x:c r="AC1470" s="30" t="str">
        <x:v>2070_JPN</x:v>
      </x:c>
      <x:c r="AD1470" s="30" t="str">
        <x:v>2070_PNG</x:v>
      </x:c>
      <x:c r="AE1470" s="30" t="str">
        <x:v>2070_PortMorseby</x:v>
      </x:c>
      <x:c r="AF1470" s="30" t="str">
        <x:v>Explicit capitalClaim</x:v>
      </x:c>
      <x:c r="AG1470" s="30" t="str">
        <x:v>Claim2070_JPN2070_PortMorseby</x:v>
      </x:c>
      <x:c r="AH1470" s="30" t="str">
        <x:v>Project_PacificLeague</x:v>
      </x:c>
    </x:row>
    <x:row r="1471">
      <x:c r="A1471" s="30" t="str">
        <x:v>2070</x:v>
      </x:c>
      <x:c r="B1471" s="30" t="str">
        <x:v>Base game</x:v>
      </x:c>
      <x:c r="C1471" s="30" t="str">
        <x:v>Japan</x:v>
      </x:c>
      <x:c r="D1471" s="30" t="str">
        <x:v>SouthKorea</x:v>
      </x:c>
      <x:c r="E1471" s="30" t="str">
        <x:v>Project unlock</x:v>
      </x:c>
      <x:c r="F1471" s="30" t="str">
        <x:v>Pacific League</x:v>
      </x:c>
      <x:c r="G1471" s="30" t="str">
        <x:v>No</x:v>
      </x:c>
      <x:c r="H1471" s="30" t="str">
        <x:v>Ordinary claim</x:v>
      </x:c>
      <x:c r="I1471" s="31" t="n">
        <x:f>IF(G1471="Yes",'Controls &amp; Summary'!$B$5,'Controls &amp; Summary'!$B$4)</x:f>
        <x:v>6</x:v>
      </x:c>
      <x:c r="J1471" s="31" t="n">
        <x:v>8.7</x:v>
      </x:c>
      <x:c r="K1471" s="31" t="n">
        <x:v>8</x:v>
      </x:c>
      <x:c r="L1471" s="31" t="n">
        <x:f>ABS(J1471-K1471)</x:f>
        <x:v>0.6999999999999993</x:v>
      </x:c>
      <x:c r="M1471" s="31" t="n">
        <x:v>3.2</x:v>
      </x:c>
      <x:c r="N1471" s="31" t="n">
        <x:v>3.5</x:v>
      </x:c>
      <x:c r="O1471" s="31" t="n">
        <x:f>ABS(M1471-N1471)</x:f>
        <x:v>0.2999999999999998</x:v>
      </x:c>
      <x:c r="P1471" s="31" t="n">
        <x:v>10.43</x:v>
      </x:c>
      <x:c r="Q1471" s="31" t="n">
        <x:v>10.57</x:v>
      </x:c>
      <x:c r="R1471" s="31" t="n">
        <x:f>ABS(P1471-Q1471)</x:f>
        <x:v>0.14000000000000057</x:v>
      </x:c>
      <x:c r="S1471" s="32" t="n">
        <x:v>82281.43971195868</x:v>
      </x:c>
      <x:c r="T1471" s="32" t="n">
        <x:v>72794.86096705329</x:v>
      </x:c>
      <x:c r="U1471" s="31" t="n">
        <x:f>MAX(S1471/T1471,T1471/S1471)</x:f>
        <x:v>1.1303193469824606</x:v>
      </x:c>
      <x:c r="V1471" s="31" t="n">
        <x:f>L1471*'Controls &amp; Summary'!$B$9+O1471*'Controls &amp; Summary'!$B$10+R1471*'Controls &amp; Summary'!$B$11+U1471*'Controls &amp; Summary'!$B$12</x:f>
        <x:v>2.2703193469824603</x:v>
      </x:c>
      <x:c r="W1471" s="31" t="n">
        <x:v>5</x:v>
      </x:c>
      <x:c r="X1471" s="31" t="n">
        <x:v>0</x:v>
      </x:c>
      <x:c r="Y1471" s="31" t="n">
        <x:f>((10-MIN(10,MAX(0,X1471)))/10)*'Controls &amp; Summary'!$B$15+((10-MIN(10,MAX(0,W1471)))/10)*'Controls &amp; Summary'!$B$16</x:f>
        <x:v>1.5</x:v>
      </x:c>
      <x:c r="Z1471" s="31" t="n">
        <x:f>V1471*Y1471</x:f>
        <x:v>3.4054790204736904</x:v>
      </x:c>
      <x:c r="AA1471" s="30" t="str">
        <x:f>IF(Z1471&lt;=I1471,"Peaceful","Hostile")</x:f>
        <x:v>Peaceful</x:v>
      </x:c>
      <x:c r="AB1471" s="30" t="str">
        <x:f>IF(Z1471&lt;='Controls &amp; Summary'!$B$6,"Eligible","Blocked")</x:f>
        <x:v>Eligible</x:v>
      </x:c>
      <x:c r="AC1471" s="30" t="str">
        <x:v>2070_JPN</x:v>
      </x:c>
      <x:c r="AD1471" s="30" t="str">
        <x:v>2070_KOR</x:v>
      </x:c>
      <x:c r="AE1471" s="30" t="str">
        <x:v>2070_SouthKorea</x:v>
      </x:c>
      <x:c r="AF1471" s="30" t="str">
        <x:v>Explicit capitalClaim</x:v>
      </x:c>
      <x:c r="AG1471" s="30" t="str">
        <x:v>Claim2070_JPN2070_SouthKorea</x:v>
      </x:c>
      <x:c r="AH1471" s="30" t="str">
        <x:v>Project_PacificLeague</x:v>
      </x:c>
    </x:row>
    <x:row r="1472">
      <x:c r="A1472" s="30" t="str">
        <x:v>2070</x:v>
      </x:c>
      <x:c r="B1472" s="30" t="str">
        <x:v>Base game</x:v>
      </x:c>
      <x:c r="C1472" s="30" t="str">
        <x:v>Jordan</x:v>
      </x:c>
      <x:c r="D1472" s="30" t="str">
        <x:v>Palestine</x:v>
      </x:c>
      <x:c r="E1472" s="30" t="str">
        <x:v>Starting claim</x:v>
      </x:c>
      <x:c r="F1472" s="30" t="str"/>
      <x:c r="G1472" s="30" t="str">
        <x:v>No</x:v>
      </x:c>
      <x:c r="H1472" s="30" t="str">
        <x:v>Ordinary claim</x:v>
      </x:c>
      <x:c r="I1472" s="31" t="n">
        <x:f>IF(G1472="Yes",'Controls &amp; Summary'!$B$5,'Controls &amp; Summary'!$B$4)</x:f>
        <x:v>6</x:v>
      </x:c>
      <x:c r="J1472" s="31" t="n">
        <x:v>5.1</x:v>
      </x:c>
      <x:c r="K1472" s="31" t="n">
        <x:v>5</x:v>
      </x:c>
      <x:c r="L1472" s="31" t="n">
        <x:f>ABS(J1472-K1472)</x:f>
        <x:v>0.09999999999999964</x:v>
      </x:c>
      <x:c r="M1472" s="31" t="n">
        <x:v>2.9</x:v>
      </x:c>
      <x:c r="N1472" s="31" t="n">
        <x:v>2.9</x:v>
      </x:c>
      <x:c r="O1472" s="31" t="n">
        <x:f>ABS(M1472-N1472)</x:f>
        <x:v>0</x:v>
      </x:c>
      <x:c r="P1472" s="31" t="n">
        <x:v>8.59</x:v>
      </x:c>
      <x:c r="Q1472" s="31" t="n">
        <x:v>8.7</x:v>
      </x:c>
      <x:c r="R1472" s="31" t="n">
        <x:f>ABS(P1472-Q1472)</x:f>
        <x:v>0.10999999999999943</x:v>
      </x:c>
      <x:c r="S1472" s="32" t="n">
        <x:v>26724.115533647306</x:v>
      </x:c>
      <x:c r="T1472" s="32" t="n">
        <x:v>12513.13396295576</x:v>
      </x:c>
      <x:c r="U1472" s="31" t="n">
        <x:f>MAX(S1472/T1472,T1472/S1472)</x:f>
        <x:v>2.1356852418236825</x:v>
      </x:c>
      <x:c r="V1472" s="31" t="n">
        <x:f>L1472*'Controls &amp; Summary'!$B$9+O1472*'Controls &amp; Summary'!$B$10+R1472*'Controls &amp; Summary'!$B$11+U1472*'Controls &amp; Summary'!$B$12</x:f>
        <x:v>2.3456852418236815</x:v>
      </x:c>
      <x:c r="W1472" s="31" t="n">
        <x:v>5.5</x:v>
      </x:c>
      <x:c r="X1472" s="31" t="n">
        <x:v>3.1</x:v>
      </x:c>
      <x:c r="Y1472" s="31" t="n">
        <x:f>((10-MIN(10,MAX(0,X1472)))/10)*'Controls &amp; Summary'!$B$15+((10-MIN(10,MAX(0,W1472)))/10)*'Controls &amp; Summary'!$B$16</x:f>
        <x:v>1.1400000000000001</x:v>
      </x:c>
      <x:c r="Z1472" s="31" t="n">
        <x:f>V1472*Y1472</x:f>
        <x:v>2.6740811756789973</x:v>
      </x:c>
      <x:c r="AA1472" s="30" t="str">
        <x:f>IF(Z1472&lt;=I1472,"Peaceful","Hostile")</x:f>
        <x:v>Peaceful</x:v>
      </x:c>
      <x:c r="AB1472" s="30" t="str">
        <x:f>IF(Z1472&lt;='Controls &amp; Summary'!$B$6,"Eligible","Blocked")</x:f>
        <x:v>Eligible</x:v>
      </x:c>
      <x:c r="AC1472" s="30" t="str">
        <x:v>2070_JOR</x:v>
      </x:c>
      <x:c r="AD1472" s="30" t="str">
        <x:v>2070_PAL</x:v>
      </x:c>
      <x:c r="AE1472" s="30" t="str">
        <x:v>2070_Palestine</x:v>
      </x:c>
      <x:c r="AF1472" s="30" t="str">
        <x:v>Explicit capitalClaim</x:v>
      </x:c>
      <x:c r="AG1472" s="30" t="str">
        <x:v>Claim2070_JOR2070_Palestine</x:v>
      </x:c>
      <x:c r="AH1472" s="30" t="str"/>
    </x:row>
    <x:row r="1473">
      <x:c r="A1473" s="30" t="str">
        <x:v>2070</x:v>
      </x:c>
      <x:c r="B1473" s="30" t="str">
        <x:v>Base game</x:v>
      </x:c>
      <x:c r="C1473" s="30" t="str">
        <x:v>Malaysia</x:v>
      </x:c>
      <x:c r="D1473" s="30" t="str">
        <x:v>Brunei</x:v>
      </x:c>
      <x:c r="E1473" s="30" t="str">
        <x:v>Project unlock</x:v>
      </x:c>
      <x:c r="F1473" s="30" t="str">
        <x:v>United Malay Nation</x:v>
      </x:c>
      <x:c r="G1473" s="30" t="str">
        <x:v>No</x:v>
      </x:c>
      <x:c r="H1473" s="30" t="str">
        <x:v>Ordinary claim</x:v>
      </x:c>
      <x:c r="I1473" s="31" t="n">
        <x:f>IF(G1473="Yes",'Controls &amp; Summary'!$B$5,'Controls &amp; Summary'!$B$4)</x:f>
        <x:v>6</x:v>
      </x:c>
      <x:c r="J1473" s="31" t="n">
        <x:v>8.2</x:v>
      </x:c>
      <x:c r="K1473" s="31" t="n">
        <x:v>2.8</x:v>
      </x:c>
      <x:c r="L1473" s="31" t="n">
        <x:f>ABS(J1473-K1473)</x:f>
        <x:v>5.3999999999999995</x:v>
      </x:c>
      <x:c r="M1473" s="31" t="n">
        <x:v>3.2</x:v>
      </x:c>
      <x:c r="N1473" s="31" t="n">
        <x:v>4.1</x:v>
      </x:c>
      <x:c r="O1473" s="31" t="n">
        <x:f>ABS(M1473-N1473)</x:f>
        <x:v>0.8999999999999995</x:v>
      </x:c>
      <x:c r="P1473" s="31" t="n">
        <x:v>9.18</x:v>
      </x:c>
      <x:c r="Q1473" s="31" t="n">
        <x:v>8.94</x:v>
      </x:c>
      <x:c r="R1473" s="31" t="n">
        <x:f>ABS(P1473-Q1473)</x:f>
        <x:v>0.2400000000000002</x:v>
      </x:c>
      <x:c r="S1473" s="32" t="n">
        <x:v>72495.54134757294</x:v>
      </x:c>
      <x:c r="T1473" s="32" t="n">
        <x:v>246306.17522700588</x:v>
      </x:c>
      <x:c r="U1473" s="31" t="n">
        <x:f>MAX(S1473/T1473,T1473/S1473)</x:f>
        <x:v>3.3975354987159068</x:v>
      </x:c>
      <x:c r="V1473" s="31" t="n">
        <x:f>L1473*'Controls &amp; Summary'!$B$9+O1473*'Controls &amp; Summary'!$B$10+R1473*'Controls &amp; Summary'!$B$11+U1473*'Controls &amp; Summary'!$B$12</x:f>
        <x:v>9.937535498715906</x:v>
      </x:c>
      <x:c r="W1473" s="31" t="n">
        <x:v>6</x:v>
      </x:c>
      <x:c r="X1473" s="31" t="n">
        <x:v>0</x:v>
      </x:c>
      <x:c r="Y1473" s="31" t="n">
        <x:f>((10-MIN(10,MAX(0,X1473)))/10)*'Controls &amp; Summary'!$B$15+((10-MIN(10,MAX(0,W1473)))/10)*'Controls &amp; Summary'!$B$16</x:f>
        <x:v>1.4</x:v>
      </x:c>
      <x:c r="Z1473" s="31" t="n">
        <x:f>V1473*Y1473</x:f>
        <x:v>13.912549698202268</x:v>
      </x:c>
      <x:c r="AA1473" s="30" t="str">
        <x:f>IF(Z1473&lt;=I1473,"Peaceful","Hostile")</x:f>
        <x:v>Hostile</x:v>
      </x:c>
      <x:c r="AB1473" s="30" t="str">
        <x:f>IF(Z1473&lt;='Controls &amp; Summary'!$B$6,"Eligible","Blocked")</x:f>
        <x:v>Blocked</x:v>
      </x:c>
      <x:c r="AC1473" s="30" t="str">
        <x:v>2070_MYS</x:v>
      </x:c>
      <x:c r="AD1473" s="30" t="str">
        <x:v>2070_BRU</x:v>
      </x:c>
      <x:c r="AE1473" s="30" t="str">
        <x:v>2070_Brunei</x:v>
      </x:c>
      <x:c r="AF1473" s="30" t="str">
        <x:v>Explicit capitalClaim</x:v>
      </x:c>
      <x:c r="AG1473" s="30" t="str">
        <x:v>Claim2070_MYS2070_Brunei</x:v>
      </x:c>
      <x:c r="AH1473" s="30" t="str">
        <x:v>Project_UnitedMalayNation</x:v>
      </x:c>
    </x:row>
    <x:row r="1474">
      <x:c r="A1474" s="30" t="str">
        <x:v>2070</x:v>
      </x:c>
      <x:c r="B1474" s="30" t="str">
        <x:v>Base game</x:v>
      </x:c>
      <x:c r="C1474" s="30" t="str">
        <x:v>Malaysia</x:v>
      </x:c>
      <x:c r="D1474" s="30" t="str">
        <x:v>Indonesia</x:v>
      </x:c>
      <x:c r="E1474" s="30" t="str">
        <x:v>Project unlock</x:v>
      </x:c>
      <x:c r="F1474" s="30" t="str">
        <x:v>United Malay Nation</x:v>
      </x:c>
      <x:c r="G1474" s="30" t="str">
        <x:v>No</x:v>
      </x:c>
      <x:c r="H1474" s="30" t="str">
        <x:v>Ordinary claim</x:v>
      </x:c>
      <x:c r="I1474" s="31" t="n">
        <x:f>IF(G1474="Yes",'Controls &amp; Summary'!$B$5,'Controls &amp; Summary'!$B$4)</x:f>
        <x:v>6</x:v>
      </x:c>
      <x:c r="J1474" s="31" t="n">
        <x:v>8.2</x:v>
      </x:c>
      <x:c r="K1474" s="31" t="n">
        <x:v>7.8</x:v>
      </x:c>
      <x:c r="L1474" s="31" t="n">
        <x:f>ABS(J1474-K1474)</x:f>
        <x:v>0.39999999999999947</x:v>
      </x:c>
      <x:c r="M1474" s="31" t="n">
        <x:v>3.2</x:v>
      </x:c>
      <x:c r="N1474" s="31" t="n">
        <x:v>3.6</x:v>
      </x:c>
      <x:c r="O1474" s="31" t="n">
        <x:f>ABS(M1474-N1474)</x:f>
        <x:v>0.3999999999999999</x:v>
      </x:c>
      <x:c r="P1474" s="31" t="n">
        <x:v>9.18</x:v>
      </x:c>
      <x:c r="Q1474" s="31" t="n">
        <x:v>8.42</x:v>
      </x:c>
      <x:c r="R1474" s="31" t="n">
        <x:f>ABS(P1474-Q1474)</x:f>
        <x:v>0.7599999999999998</x:v>
      </x:c>
      <x:c r="S1474" s="32" t="n">
        <x:v>72495.54134757294</x:v>
      </x:c>
      <x:c r="T1474" s="32" t="n">
        <x:v>45979.808244614906</x:v>
      </x:c>
      <x:c r="U1474" s="31" t="n">
        <x:f>MAX(S1474/T1474,T1474/S1474)</x:f>
        <x:v>1.5766821158081608</x:v>
      </x:c>
      <x:c r="V1474" s="31" t="n">
        <x:f>L1474*'Controls &amp; Summary'!$B$9+O1474*'Controls &amp; Summary'!$B$10+R1474*'Controls &amp; Summary'!$B$11+U1474*'Controls &amp; Summary'!$B$12</x:f>
        <x:v>3.13668211580816</x:v>
      </x:c>
      <x:c r="W1474" s="31" t="n">
        <x:v>6</x:v>
      </x:c>
      <x:c r="X1474" s="31" t="n">
        <x:v>3.1</x:v>
      </x:c>
      <x:c r="Y1474" s="31" t="n">
        <x:f>((10-MIN(10,MAX(0,X1474)))/10)*'Controls &amp; Summary'!$B$15+((10-MIN(10,MAX(0,W1474)))/10)*'Controls &amp; Summary'!$B$16</x:f>
        <x:v>1.09</x:v>
      </x:c>
      <x:c r="Z1474" s="31" t="n">
        <x:f>V1474*Y1474</x:f>
        <x:v>3.4189835062308944</x:v>
      </x:c>
      <x:c r="AA1474" s="30" t="str">
        <x:f>IF(Z1474&lt;=I1474,"Peaceful","Hostile")</x:f>
        <x:v>Peaceful</x:v>
      </x:c>
      <x:c r="AB1474" s="30" t="str">
        <x:f>IF(Z1474&lt;='Controls &amp; Summary'!$B$6,"Eligible","Blocked")</x:f>
        <x:v>Eligible</x:v>
      </x:c>
      <x:c r="AC1474" s="30" t="str">
        <x:v>2070_MYS</x:v>
      </x:c>
      <x:c r="AD1474" s="30" t="str">
        <x:v>2070_IDN</x:v>
      </x:c>
      <x:c r="AE1474" s="30" t="str">
        <x:v>2070_Borneo</x:v>
      </x:c>
      <x:c r="AF1474" s="30" t="str">
        <x:v>Explicit capitalClaim</x:v>
      </x:c>
      <x:c r="AG1474" s="30" t="str">
        <x:v>Claim2070_MYS2070_Borneo</x:v>
      </x:c>
      <x:c r="AH1474" s="30" t="str">
        <x:v>Project_UnitedMalayNation</x:v>
      </x:c>
    </x:row>
    <x:row r="1475">
      <x:c r="A1475" s="30" t="str">
        <x:v>2070</x:v>
      </x:c>
      <x:c r="B1475" s="30" t="str">
        <x:v>Base game</x:v>
      </x:c>
      <x:c r="C1475" s="30" t="str">
        <x:v>Malaysia</x:v>
      </x:c>
      <x:c r="D1475" s="30" t="str">
        <x:v>Singapore</x:v>
      </x:c>
      <x:c r="E1475" s="30" t="str">
        <x:v>Project unlock</x:v>
      </x:c>
      <x:c r="F1475" s="30" t="str">
        <x:v>United Malay Nation</x:v>
      </x:c>
      <x:c r="G1475" s="30" t="str">
        <x:v>No</x:v>
      </x:c>
      <x:c r="H1475" s="30" t="str">
        <x:v>Ordinary claim</x:v>
      </x:c>
      <x:c r="I1475" s="31" t="n">
        <x:f>IF(G1475="Yes",'Controls &amp; Summary'!$B$5,'Controls &amp; Summary'!$B$4)</x:f>
        <x:v>6</x:v>
      </x:c>
      <x:c r="J1475" s="31" t="n">
        <x:v>8.2</x:v>
      </x:c>
      <x:c r="K1475" s="31" t="n">
        <x:v>5.8</x:v>
      </x:c>
      <x:c r="L1475" s="31" t="n">
        <x:f>ABS(J1475-K1475)</x:f>
        <x:v>2.3999999999999995</x:v>
      </x:c>
      <x:c r="M1475" s="31" t="n">
        <x:v>3.2</x:v>
      </x:c>
      <x:c r="N1475" s="31" t="n">
        <x:v>3.7</x:v>
      </x:c>
      <x:c r="O1475" s="31" t="n">
        <x:f>ABS(M1475-N1475)</x:f>
        <x:v>0.5</x:v>
      </x:c>
      <x:c r="P1475" s="31" t="n">
        <x:v>9.18</x:v>
      </x:c>
      <x:c r="Q1475" s="31" t="n">
        <x:v>10.36</x:v>
      </x:c>
      <x:c r="R1475" s="31" t="n">
        <x:f>ABS(P1475-Q1475)</x:f>
        <x:v>1.1799999999999997</x:v>
      </x:c>
      <x:c r="S1475" s="32" t="n">
        <x:v>72495.54134757294</x:v>
      </x:c>
      <x:c r="T1475" s="32" t="n">
        <x:v>413433.6030625111</x:v>
      </x:c>
      <x:c r="U1475" s="31" t="n">
        <x:f>MAX(S1475/T1475,T1475/S1475)</x:f>
        <x:v>5.702883175674807</x:v>
      </x:c>
      <x:c r="V1475" s="31" t="n">
        <x:f>L1475*'Controls &amp; Summary'!$B$9+O1475*'Controls &amp; Summary'!$B$10+R1475*'Controls &amp; Summary'!$B$11+U1475*'Controls &amp; Summary'!$B$12</x:f>
        <x:v>9.782883175674806</x:v>
      </x:c>
      <x:c r="W1475" s="31" t="n">
        <x:v>6</x:v>
      </x:c>
      <x:c r="X1475" s="31" t="n">
        <x:v>0</x:v>
      </x:c>
      <x:c r="Y1475" s="31" t="n">
        <x:f>((10-MIN(10,MAX(0,X1475)))/10)*'Controls &amp; Summary'!$B$15+((10-MIN(10,MAX(0,W1475)))/10)*'Controls &amp; Summary'!$B$16</x:f>
        <x:v>1.4</x:v>
      </x:c>
      <x:c r="Z1475" s="31" t="n">
        <x:f>V1475*Y1475</x:f>
        <x:v>13.696036445944728</x:v>
      </x:c>
      <x:c r="AA1475" s="30" t="str">
        <x:f>IF(Z1475&lt;=I1475,"Peaceful","Hostile")</x:f>
        <x:v>Hostile</x:v>
      </x:c>
      <x:c r="AB1475" s="30" t="str">
        <x:f>IF(Z1475&lt;='Controls &amp; Summary'!$B$6,"Eligible","Blocked")</x:f>
        <x:v>Blocked</x:v>
      </x:c>
      <x:c r="AC1475" s="30" t="str">
        <x:v>2070_MYS</x:v>
      </x:c>
      <x:c r="AD1475" s="30" t="str">
        <x:v>2070_SGP</x:v>
      </x:c>
      <x:c r="AE1475" s="30" t="str">
        <x:v>2070_Singapore</x:v>
      </x:c>
      <x:c r="AF1475" s="30" t="str">
        <x:v>Explicit capitalClaim</x:v>
      </x:c>
      <x:c r="AG1475" s="30" t="str">
        <x:v>Claim2070_MYS2070_Singapore</x:v>
      </x:c>
      <x:c r="AH1475" s="30" t="str">
        <x:v>Project_UnitedMalayNation</x:v>
      </x:c>
    </x:row>
    <x:row r="1476">
      <x:c r="A1476" s="30" t="str">
        <x:v>2070</x:v>
      </x:c>
      <x:c r="B1476" s="30" t="str">
        <x:v>Base game</x:v>
      </x:c>
      <x:c r="C1476" s="30" t="str">
        <x:v>Malaysia</x:v>
      </x:c>
      <x:c r="D1476" s="30" t="str">
        <x:v>SriLanka</x:v>
      </x:c>
      <x:c r="E1476" s="30" t="str">
        <x:v>Project unlock</x:v>
      </x:c>
      <x:c r="F1476" s="30" t="str">
        <x:v>Greater Malaysia</x:v>
      </x:c>
      <x:c r="G1476" s="30" t="str">
        <x:v>No</x:v>
      </x:c>
      <x:c r="H1476" s="30" t="str">
        <x:v>Ordinary claim</x:v>
      </x:c>
      <x:c r="I1476" s="31" t="n">
        <x:f>IF(G1476="Yes",'Controls &amp; Summary'!$B$5,'Controls &amp; Summary'!$B$4)</x:f>
        <x:v>6</x:v>
      </x:c>
      <x:c r="J1476" s="31" t="n">
        <x:v>8.2</x:v>
      </x:c>
      <x:c r="K1476" s="31" t="n">
        <x:v>7.3</x:v>
      </x:c>
      <x:c r="L1476" s="31" t="n">
        <x:f>ABS(J1476-K1476)</x:f>
        <x:v>0.8999999999999995</x:v>
      </x:c>
      <x:c r="M1476" s="31" t="n">
        <x:v>3.2</x:v>
      </x:c>
      <x:c r="N1476" s="31" t="n">
        <x:v>2.8</x:v>
      </x:c>
      <x:c r="O1476" s="31" t="n">
        <x:f>ABS(M1476-N1476)</x:f>
        <x:v>0.40000000000000036</x:v>
      </x:c>
      <x:c r="P1476" s="31" t="n">
        <x:v>9.18</x:v>
      </x:c>
      <x:c r="Q1476" s="31" t="n">
        <x:v>9.38</x:v>
      </x:c>
      <x:c r="R1476" s="31" t="n">
        <x:f>ABS(P1476-Q1476)</x:f>
        <x:v>0.20000000000000107</x:v>
      </x:c>
      <x:c r="S1476" s="32" t="n">
        <x:v>72495.54134757294</x:v>
      </x:c>
      <x:c r="T1476" s="32" t="n">
        <x:v>43320.416529684335</x:v>
      </x:c>
      <x:c r="U1476" s="31" t="n">
        <x:f>MAX(S1476/T1476,T1476/S1476)</x:f>
        <x:v>1.6734728600288737</x:v>
      </x:c>
      <x:c r="V1476" s="31" t="n">
        <x:f>L1476*'Controls &amp; Summary'!$B$9+O1476*'Controls &amp; Summary'!$B$10+R1476*'Controls &amp; Summary'!$B$11+U1476*'Controls &amp; Summary'!$B$12</x:f>
        <x:v>3.1734728600288746</x:v>
      </x:c>
      <x:c r="W1476" s="31" t="n">
        <x:v>6</x:v>
      </x:c>
      <x:c r="X1476" s="31" t="n">
        <x:v>1.8</x:v>
      </x:c>
      <x:c r="Y1476" s="31" t="n">
        <x:f>((10-MIN(10,MAX(0,X1476)))/10)*'Controls &amp; Summary'!$B$15+((10-MIN(10,MAX(0,W1476)))/10)*'Controls &amp; Summary'!$B$16</x:f>
        <x:v>1.22</x:v>
      </x:c>
      <x:c r="Z1476" s="31" t="n">
        <x:f>V1476*Y1476</x:f>
        <x:v>3.871636889235227</x:v>
      </x:c>
      <x:c r="AA1476" s="30" t="str">
        <x:f>IF(Z1476&lt;=I1476,"Peaceful","Hostile")</x:f>
        <x:v>Peaceful</x:v>
      </x:c>
      <x:c r="AB1476" s="30" t="str">
        <x:f>IF(Z1476&lt;='Controls &amp; Summary'!$B$6,"Eligible","Blocked")</x:f>
        <x:v>Eligible</x:v>
      </x:c>
      <x:c r="AC1476" s="30" t="str">
        <x:v>2070_MYS</x:v>
      </x:c>
      <x:c r="AD1476" s="30" t="str">
        <x:v>2070_LKA</x:v>
      </x:c>
      <x:c r="AE1476" s="30" t="str">
        <x:v>2070_SriLanka</x:v>
      </x:c>
      <x:c r="AF1476" s="30" t="str">
        <x:v>Explicit capitalClaim</x:v>
      </x:c>
      <x:c r="AG1476" s="30" t="str">
        <x:v>Claim2070_MYS2070_SriLanka</x:v>
      </x:c>
      <x:c r="AH1476" s="30" t="str">
        <x:v>Project_GreaterMalaysia</x:v>
      </x:c>
    </x:row>
    <x:row r="1477">
      <x:c r="A1477" s="30" t="str">
        <x:v>2070</x:v>
      </x:c>
      <x:c r="B1477" s="30" t="str">
        <x:v>Base game</x:v>
      </x:c>
      <x:c r="C1477" s="30" t="str">
        <x:v>Malaysia</x:v>
      </x:c>
      <x:c r="D1477" s="30" t="str">
        <x:v>Thailand</x:v>
      </x:c>
      <x:c r="E1477" s="30" t="str">
        <x:v>Project unlock</x:v>
      </x:c>
      <x:c r="F1477" s="30" t="str">
        <x:v>Greater Malaysia</x:v>
      </x:c>
      <x:c r="G1477" s="30" t="str">
        <x:v>No</x:v>
      </x:c>
      <x:c r="H1477" s="30" t="str">
        <x:v>Ordinary claim</x:v>
      </x:c>
      <x:c r="I1477" s="31" t="n">
        <x:f>IF(G1477="Yes",'Controls &amp; Summary'!$B$5,'Controls &amp; Summary'!$B$4)</x:f>
        <x:v>6</x:v>
      </x:c>
      <x:c r="J1477" s="31" t="n">
        <x:v>8.2</x:v>
      </x:c>
      <x:c r="K1477" s="31" t="n">
        <x:v>7.1</x:v>
      </x:c>
      <x:c r="L1477" s="31" t="n">
        <x:f>ABS(J1477-K1477)</x:f>
        <x:v>1.0999999999999996</x:v>
      </x:c>
      <x:c r="M1477" s="31" t="n">
        <x:v>3.2</x:v>
      </x:c>
      <x:c r="N1477" s="31" t="n">
        <x:v>2.4</x:v>
      </x:c>
      <x:c r="O1477" s="31" t="n">
        <x:f>ABS(M1477-N1477)</x:f>
        <x:v>0.8000000000000003</x:v>
      </x:c>
      <x:c r="P1477" s="31" t="n">
        <x:v>9.18</x:v>
      </x:c>
      <x:c r="Q1477" s="31" t="n">
        <x:v>8.74</x:v>
      </x:c>
      <x:c r="R1477" s="31" t="n">
        <x:f>ABS(P1477-Q1477)</x:f>
        <x:v>0.4399999999999995</x:v>
      </x:c>
      <x:c r="S1477" s="32" t="n">
        <x:v>72495.54134757294</x:v>
      </x:c>
      <x:c r="T1477" s="32" t="n">
        <x:v>39240.24965574673</x:v>
      </x:c>
      <x:c r="U1477" s="31" t="n">
        <x:f>MAX(S1477/T1477,T1477/S1477)</x:f>
        <x:v>1.8474791058561977</x:v>
      </x:c>
      <x:c r="V1477" s="31" t="n">
        <x:f>L1477*'Controls &amp; Summary'!$B$9+O1477*'Controls &amp; Summary'!$B$10+R1477*'Controls &amp; Summary'!$B$11+U1477*'Controls &amp; Summary'!$B$12</x:f>
        <x:v>4.187479105856197</x:v>
      </x:c>
      <x:c r="W1477" s="31" t="n">
        <x:v>6</x:v>
      </x:c>
      <x:c r="X1477" s="31" t="n">
        <x:v>2.1</x:v>
      </x:c>
      <x:c r="Y1477" s="31" t="n">
        <x:f>((10-MIN(10,MAX(0,X1477)))/10)*'Controls &amp; Summary'!$B$15+((10-MIN(10,MAX(0,W1477)))/10)*'Controls &amp; Summary'!$B$16</x:f>
        <x:v>1.19</x:v>
      </x:c>
      <x:c r="Z1477" s="31" t="n">
        <x:f>V1477*Y1477</x:f>
        <x:v>4.983100135968875</x:v>
      </x:c>
      <x:c r="AA1477" s="30" t="str">
        <x:f>IF(Z1477&lt;=I1477,"Peaceful","Hostile")</x:f>
        <x:v>Peaceful</x:v>
      </x:c>
      <x:c r="AB1477" s="30" t="str">
        <x:f>IF(Z1477&lt;='Controls &amp; Summary'!$B$6,"Eligible","Blocked")</x:f>
        <x:v>Eligible</x:v>
      </x:c>
      <x:c r="AC1477" s="30" t="str">
        <x:v>2070_MYS</x:v>
      </x:c>
      <x:c r="AD1477" s="30" t="str">
        <x:v>2070_THA</x:v>
      </x:c>
      <x:c r="AE1477" s="30" t="str">
        <x:v>2070_Bangkok</x:v>
      </x:c>
      <x:c r="AF1477" s="30" t="str">
        <x:v>Explicit capitalClaim</x:v>
      </x:c>
      <x:c r="AG1477" s="30" t="str">
        <x:v>Claim2070_MYS2070_Bangkok</x:v>
      </x:c>
      <x:c r="AH1477" s="30" t="str">
        <x:v>Project_GreaterMalaysia</x:v>
      </x:c>
    </x:row>
    <x:row r="1478">
      <x:c r="A1478" s="30" t="str">
        <x:v>2070</x:v>
      </x:c>
      <x:c r="B1478" s="30" t="str">
        <x:v>Base game</x:v>
      </x:c>
      <x:c r="C1478" s="30" t="str">
        <x:v>Nigeria</x:v>
      </x:c>
      <x:c r="D1478" s="30" t="str">
        <x:v>Cameroon</x:v>
      </x:c>
      <x:c r="E1478" s="30" t="str">
        <x:v>Project unlock</x:v>
      </x:c>
      <x:c r="F1478" s="30" t="str">
        <x:v>Nigerian Confederation</x:v>
      </x:c>
      <x:c r="G1478" s="30" t="str">
        <x:v>No</x:v>
      </x:c>
      <x:c r="H1478" s="30" t="str">
        <x:v>Ordinary claim</x:v>
      </x:c>
      <x:c r="I1478" s="31" t="n">
        <x:f>IF(G1478="Yes",'Controls &amp; Summary'!$B$5,'Controls &amp; Summary'!$B$4)</x:f>
        <x:v>6</x:v>
      </x:c>
      <x:c r="J1478" s="31" t="n">
        <x:v>5.85</x:v>
      </x:c>
      <x:c r="K1478" s="31" t="n">
        <x:v>6</x:v>
      </x:c>
      <x:c r="L1478" s="31" t="n">
        <x:f>ABS(J1478-K1478)</x:f>
        <x:v>0.15000000000000036</x:v>
      </x:c>
      <x:c r="M1478" s="31" t="n">
        <x:v>3.9</x:v>
      </x:c>
      <x:c r="N1478" s="31" t="n">
        <x:v>2.9</x:v>
      </x:c>
      <x:c r="O1478" s="31" t="n">
        <x:f>ABS(M1478-N1478)</x:f>
        <x:v>1</x:v>
      </x:c>
      <x:c r="P1478" s="31" t="n">
        <x:v>6.9</x:v>
      </x:c>
      <x:c r="Q1478" s="31" t="n">
        <x:v>7.39</x:v>
      </x:c>
      <x:c r="R1478" s="31" t="n">
        <x:f>ABS(P1478-Q1478)</x:f>
        <x:v>0.4899999999999993</x:v>
      </x:c>
      <x:c r="S1478" s="32" t="n">
        <x:v>25518.25827431671</x:v>
      </x:c>
      <x:c r="T1478" s="32" t="n">
        <x:v>10353.879463119005</x:v>
      </x:c>
      <x:c r="U1478" s="31" t="n">
        <x:f>MAX(S1478/T1478,T1478/S1478)</x:f>
        <x:v>2.464608397771475</x:v>
      </x:c>
      <x:c r="V1478" s="31" t="n">
        <x:f>L1478*'Controls &amp; Summary'!$B$9+O1478*'Controls &amp; Summary'!$B$10+R1478*'Controls &amp; Summary'!$B$11+U1478*'Controls &amp; Summary'!$B$12</x:f>
        <x:v>4.104608397771475</x:v>
      </x:c>
      <x:c r="W1478" s="31" t="n">
        <x:v>1.3</x:v>
      </x:c>
      <x:c r="X1478" s="31" t="n">
        <x:v>4.2</x:v>
      </x:c>
      <x:c r="Y1478" s="31" t="n">
        <x:f>((10-MIN(10,MAX(0,X1478)))/10)*'Controls &amp; Summary'!$B$15+((10-MIN(10,MAX(0,W1478)))/10)*'Controls &amp; Summary'!$B$16</x:f>
        <x:v>1.4499999999999997</x:v>
      </x:c>
      <x:c r="Z1478" s="31" t="n">
        <x:f>V1478*Y1478</x:f>
        <x:v>5.951682176768638</x:v>
      </x:c>
      <x:c r="AA1478" s="30" t="str">
        <x:f>IF(Z1478&lt;=I1478,"Peaceful","Hostile")</x:f>
        <x:v>Peaceful</x:v>
      </x:c>
      <x:c r="AB1478" s="30" t="str">
        <x:f>IF(Z1478&lt;='Controls &amp; Summary'!$B$6,"Eligible","Blocked")</x:f>
        <x:v>Eligible</x:v>
      </x:c>
      <x:c r="AC1478" s="30" t="str">
        <x:v>2070_NGA</x:v>
      </x:c>
      <x:c r="AD1478" s="30" t="str">
        <x:v>2070_CMR</x:v>
      </x:c>
      <x:c r="AE1478" s="30" t="str">
        <x:v>2070_Cameroon</x:v>
      </x:c>
      <x:c r="AF1478" s="30" t="str">
        <x:v>Explicit capitalClaim</x:v>
      </x:c>
      <x:c r="AG1478" s="30" t="str">
        <x:v>Claim2070_NGA2070_Cameroon</x:v>
      </x:c>
      <x:c r="AH1478" s="30" t="str">
        <x:v>Project_NigerianConfederation</x:v>
      </x:c>
    </x:row>
    <x:row r="1479">
      <x:c r="A1479" s="30" t="str">
        <x:v>2070</x:v>
      </x:c>
      <x:c r="B1479" s="30" t="str">
        <x:v>Base game</x:v>
      </x:c>
      <x:c r="C1479" s="30" t="str">
        <x:v>Palestine</x:v>
      </x:c>
      <x:c r="D1479" s="30" t="str">
        <x:v>Israel</x:v>
      </x:c>
      <x:c r="E1479" s="30" t="str">
        <x:v>Starting claim</x:v>
      </x:c>
      <x:c r="F1479" s="30" t="str"/>
      <x:c r="G1479" s="30" t="str">
        <x:v>Yes</x:v>
      </x:c>
      <x:c r="H1479" s="30" t="str">
        <x:v>Template hostileClaim</x:v>
      </x:c>
      <x:c r="I1479" s="31" t="n">
        <x:f>IF(G1479="Yes",'Controls &amp; Summary'!$B$5,'Controls &amp; Summary'!$B$4)</x:f>
        <x:v>3</x:v>
      </x:c>
      <x:c r="J1479" s="31" t="n">
        <x:v>5</x:v>
      </x:c>
      <x:c r="K1479" s="31" t="n">
        <x:v>5.4</x:v>
      </x:c>
      <x:c r="L1479" s="31" t="n">
        <x:f>ABS(J1479-K1479)</x:f>
        <x:v>0.40000000000000036</x:v>
      </x:c>
      <x:c r="M1479" s="31" t="n">
        <x:v>2.9</x:v>
      </x:c>
      <x:c r="N1479" s="31" t="n">
        <x:v>3</x:v>
      </x:c>
      <x:c r="O1479" s="31" t="n">
        <x:f>ABS(M1479-N1479)</x:f>
        <x:v>0.10000000000000009</x:v>
      </x:c>
      <x:c r="P1479" s="31" t="n">
        <x:v>8.7</x:v>
      </x:c>
      <x:c r="Q1479" s="31" t="n">
        <x:v>10.75</x:v>
      </x:c>
      <x:c r="R1479" s="31" t="n">
        <x:f>ABS(P1479-Q1479)</x:f>
        <x:v>2.0500000000000007</x:v>
      </x:c>
      <x:c r="S1479" s="32" t="n">
        <x:v>12513.13396295576</x:v>
      </x:c>
      <x:c r="T1479" s="32" t="n">
        <x:v>124884.35945984125</x:v>
      </x:c>
      <x:c r="U1479" s="31" t="n">
        <x:f>MAX(S1479/T1479,T1479/S1479)</x:f>
        <x:v>9.980262325133934</x:v>
      </x:c>
      <x:c r="V1479" s="31" t="n">
        <x:f>L1479*'Controls &amp; Summary'!$B$9+O1479*'Controls &amp; Summary'!$B$10+R1479*'Controls &amp; Summary'!$B$11+U1479*'Controls &amp; Summary'!$B$12</x:f>
        <x:v>12.530262325133934</x:v>
      </x:c>
      <x:c r="W1479" s="31" t="n">
        <x:v>6.1</x:v>
      </x:c>
      <x:c r="X1479" s="31" t="n">
        <x:v>0</x:v>
      </x:c>
      <x:c r="Y1479" s="31" t="n">
        <x:f>((10-MIN(10,MAX(0,X1479)))/10)*'Controls &amp; Summary'!$B$15+((10-MIN(10,MAX(0,W1479)))/10)*'Controls &amp; Summary'!$B$16</x:f>
        <x:v>1.3900000000000001</x:v>
      </x:c>
      <x:c r="Z1479" s="31" t="n">
        <x:f>V1479*Y1479</x:f>
        <x:v>17.41706463193617</x:v>
      </x:c>
      <x:c r="AA1479" s="30" t="str">
        <x:f>IF(Z1479&lt;=I1479,"Peaceful","Hostile")</x:f>
        <x:v>Hostile</x:v>
      </x:c>
      <x:c r="AB1479" s="30" t="str">
        <x:f>IF(Z1479&lt;='Controls &amp; Summary'!$B$6,"Eligible","Blocked")</x:f>
        <x:v>Blocked</x:v>
      </x:c>
      <x:c r="AC1479" s="30" t="str">
        <x:v>2070_PAL</x:v>
      </x:c>
      <x:c r="AD1479" s="30" t="str">
        <x:v>2070_ISR</x:v>
      </x:c>
      <x:c r="AE1479" s="30" t="str">
        <x:v>2070_Israel</x:v>
      </x:c>
      <x:c r="AF1479" s="30" t="str">
        <x:v>Explicit capitalClaim</x:v>
      </x:c>
      <x:c r="AG1479" s="30" t="str">
        <x:v>Claim2070_PAL2070_Israel</x:v>
      </x:c>
      <x:c r="AH1479" s="30" t="str"/>
    </x:row>
    <x:row r="1480">
      <x:c r="A1480" s="30" t="str">
        <x:v>2070</x:v>
      </x:c>
      <x:c r="B1480" s="30" t="str">
        <x:v>Base game</x:v>
      </x:c>
      <x:c r="C1480" s="30" t="str">
        <x:v>Russia</x:v>
      </x:c>
      <x:c r="D1480" s="30" t="str">
        <x:v>Armenia</x:v>
      </x:c>
      <x:c r="E1480" s="30" t="str">
        <x:v>Starting claim</x:v>
      </x:c>
      <x:c r="F1480" s="30" t="str"/>
      <x:c r="G1480" s="30" t="str">
        <x:v>No</x:v>
      </x:c>
      <x:c r="H1480" s="30" t="str">
        <x:v>Ordinary claim</x:v>
      </x:c>
      <x:c r="I1480" s="31" t="n">
        <x:f>IF(G1480="Yes",'Controls &amp; Summary'!$B$5,'Controls &amp; Summary'!$B$4)</x:f>
        <x:v>6</x:v>
      </x:c>
      <x:c r="J1480" s="31" t="n">
        <x:v>1.9</x:v>
      </x:c>
      <x:c r="K1480" s="31" t="n">
        <x:v>5.5</x:v>
      </x:c>
      <x:c r="L1480" s="31" t="n">
        <x:f>ABS(J1480-K1480)</x:f>
        <x:v>3.6</x:v>
      </x:c>
      <x:c r="M1480" s="31" t="n">
        <x:v>4.7</x:v>
      </x:c>
      <x:c r="N1480" s="31" t="n">
        <x:v>2.6</x:v>
      </x:c>
      <x:c r="O1480" s="31" t="n">
        <x:f>ABS(M1480-N1480)</x:f>
        <x:v>2.1</x:v>
      </x:c>
      <x:c r="P1480" s="31" t="n">
        <x:v>10.15</x:v>
      </x:c>
      <x:c r="Q1480" s="31" t="n">
        <x:v>9.32</x:v>
      </x:c>
      <x:c r="R1480" s="31" t="n">
        <x:f>ABS(P1480-Q1480)</x:f>
        <x:v>0.8300000000000001</x:v>
      </x:c>
      <x:c r="S1480" s="32" t="n">
        <x:v>64229.496190598846</x:v>
      </x:c>
      <x:c r="T1480" s="32" t="n">
        <x:v>37331.960160689334</x:v>
      </x:c>
      <x:c r="U1480" s="31" t="n">
        <x:f>MAX(S1480/T1480,T1480/S1480)</x:f>
        <x:v>1.7204962159536616</x:v>
      </x:c>
      <x:c r="V1480" s="31" t="n">
        <x:f>L1480*'Controls &amp; Summary'!$B$9+O1480*'Controls &amp; Summary'!$B$10+R1480*'Controls &amp; Summary'!$B$11+U1480*'Controls &amp; Summary'!$B$12</x:f>
        <x:v>8.250496215953662</x:v>
      </x:c>
      <x:c r="W1480" s="31" t="n">
        <x:v>1.1</x:v>
      </x:c>
      <x:c r="X1480" s="31" t="n">
        <x:v>0</x:v>
      </x:c>
      <x:c r="Y1480" s="31" t="n">
        <x:f>((10-MIN(10,MAX(0,X1480)))/10)*'Controls &amp; Summary'!$B$15+((10-MIN(10,MAX(0,W1480)))/10)*'Controls &amp; Summary'!$B$16</x:f>
        <x:v>1.8900000000000001</x:v>
      </x:c>
      <x:c r="Z1480" s="31" t="n">
        <x:f>V1480*Y1480</x:f>
        <x:v>15.593437848152423</x:v>
      </x:c>
      <x:c r="AA1480" s="30" t="str">
        <x:f>IF(Z1480&lt;=I1480,"Peaceful","Hostile")</x:f>
        <x:v>Hostile</x:v>
      </x:c>
      <x:c r="AB1480" s="30" t="str">
        <x:f>IF(Z1480&lt;='Controls &amp; Summary'!$B$6,"Eligible","Blocked")</x:f>
        <x:v>Blocked</x:v>
      </x:c>
      <x:c r="AC1480" s="30" t="str">
        <x:v>2070_RUS</x:v>
      </x:c>
      <x:c r="AD1480" s="30" t="str">
        <x:v>2070_ARM</x:v>
      </x:c>
      <x:c r="AE1480" s="30" t="str">
        <x:v>2070_Armenia</x:v>
      </x:c>
      <x:c r="AF1480" s="30" t="str">
        <x:v>Explicit capitalClaim</x:v>
      </x:c>
      <x:c r="AG1480" s="30" t="str">
        <x:v>Claim2070_RUS2070_Armenia</x:v>
      </x:c>
      <x:c r="AH1480" s="30" t="str"/>
    </x:row>
    <x:row r="1481">
      <x:c r="A1481" s="30" t="str">
        <x:v>2070</x:v>
      </x:c>
      <x:c r="B1481" s="30" t="str">
        <x:v>Base game</x:v>
      </x:c>
      <x:c r="C1481" s="30" t="str">
        <x:v>Russia</x:v>
      </x:c>
      <x:c r="D1481" s="30" t="str">
        <x:v>Azerbaijan</x:v>
      </x:c>
      <x:c r="E1481" s="30" t="str">
        <x:v>Starting claim</x:v>
      </x:c>
      <x:c r="F1481" s="30" t="str"/>
      <x:c r="G1481" s="30" t="str">
        <x:v>No</x:v>
      </x:c>
      <x:c r="H1481" s="30" t="str">
        <x:v>Ordinary claim</x:v>
      </x:c>
      <x:c r="I1481" s="31" t="n">
        <x:f>IF(G1481="Yes",'Controls &amp; Summary'!$B$5,'Controls &amp; Summary'!$B$4)</x:f>
        <x:v>6</x:v>
      </x:c>
      <x:c r="J1481" s="31" t="n">
        <x:v>1.9</x:v>
      </x:c>
      <x:c r="K1481" s="31" t="n">
        <x:v>6</x:v>
      </x:c>
      <x:c r="L1481" s="31" t="n">
        <x:f>ABS(J1481-K1481)</x:f>
        <x:v>4.1</x:v>
      </x:c>
      <x:c r="M1481" s="31" t="n">
        <x:v>4.7</x:v>
      </x:c>
      <x:c r="N1481" s="31" t="n">
        <x:v>3.2</x:v>
      </x:c>
      <x:c r="O1481" s="31" t="n">
        <x:f>ABS(M1481-N1481)</x:f>
        <x:v>1.5</x:v>
      </x:c>
      <x:c r="P1481" s="31" t="n">
        <x:v>10.15</x:v>
      </x:c>
      <x:c r="Q1481" s="31" t="n">
        <x:v>9.03</x:v>
      </x:c>
      <x:c r="R1481" s="31" t="n">
        <x:f>ABS(P1481-Q1481)</x:f>
        <x:v>1.120000000000001</x:v>
      </x:c>
      <x:c r="S1481" s="32" t="n">
        <x:v>64229.496190598846</x:v>
      </x:c>
      <x:c r="T1481" s="32" t="n">
        <x:v>27469.022516320747</x:v>
      </x:c>
      <x:c r="U1481" s="31" t="n">
        <x:f>MAX(S1481/T1481,T1481/S1481)</x:f>
        <x:v>2.338251976474111</x:v>
      </x:c>
      <x:c r="V1481" s="31" t="n">
        <x:f>L1481*'Controls &amp; Summary'!$B$9+O1481*'Controls &amp; Summary'!$B$10+R1481*'Controls &amp; Summary'!$B$11+U1481*'Controls &amp; Summary'!$B$12</x:f>
        <x:v>9.05825197647411</x:v>
      </x:c>
      <x:c r="W1481" s="31" t="n">
        <x:v>1.1</x:v>
      </x:c>
      <x:c r="X1481" s="31" t="n">
        <x:v>1.1</x:v>
      </x:c>
      <x:c r="Y1481" s="31" t="n">
        <x:f>((10-MIN(10,MAX(0,X1481)))/10)*'Controls &amp; Summary'!$B$15+((10-MIN(10,MAX(0,W1481)))/10)*'Controls &amp; Summary'!$B$16</x:f>
        <x:v>1.78</x:v>
      </x:c>
      <x:c r="Z1481" s="31" t="n">
        <x:f>V1481*Y1481</x:f>
        <x:v>16.123688518123917</x:v>
      </x:c>
      <x:c r="AA1481" s="30" t="str">
        <x:f>IF(Z1481&lt;=I1481,"Peaceful","Hostile")</x:f>
        <x:v>Hostile</x:v>
      </x:c>
      <x:c r="AB1481" s="30" t="str">
        <x:f>IF(Z1481&lt;='Controls &amp; Summary'!$B$6,"Eligible","Blocked")</x:f>
        <x:v>Blocked</x:v>
      </x:c>
      <x:c r="AC1481" s="30" t="str">
        <x:v>2070_RUS</x:v>
      </x:c>
      <x:c r="AD1481" s="30" t="str">
        <x:v>2070_AZE</x:v>
      </x:c>
      <x:c r="AE1481" s="30" t="str">
        <x:v>2070_Azerbaijan</x:v>
      </x:c>
      <x:c r="AF1481" s="30" t="str">
        <x:v>Explicit capitalClaim</x:v>
      </x:c>
      <x:c r="AG1481" s="30" t="str">
        <x:v>Claim2070_RUS2070_Azerbaijan</x:v>
      </x:c>
      <x:c r="AH1481" s="30" t="str"/>
    </x:row>
    <x:row r="1482">
      <x:c r="A1482" s="30" t="str">
        <x:v>2070</x:v>
      </x:c>
      <x:c r="B1482" s="30" t="str">
        <x:v>Base game</x:v>
      </x:c>
      <x:c r="C1482" s="30" t="str">
        <x:v>Russia</x:v>
      </x:c>
      <x:c r="D1482" s="30" t="str">
        <x:v>France</x:v>
      </x:c>
      <x:c r="E1482" s="30" t="str">
        <x:v>Project unlock</x:v>
      </x:c>
      <x:c r="F1482" s="30" t="str">
        <x:v>Forward Russia</x:v>
      </x:c>
      <x:c r="G1482" s="30" t="str">
        <x:v>Yes</x:v>
      </x:c>
      <x:c r="H1482" s="30" t="str">
        <x:v>Template hostileClaim</x:v>
      </x:c>
      <x:c r="I1482" s="31" t="n">
        <x:f>IF(G1482="Yes",'Controls &amp; Summary'!$B$5,'Controls &amp; Summary'!$B$4)</x:f>
        <x:v>3</x:v>
      </x:c>
      <x:c r="J1482" s="31" t="n">
        <x:v>1.9</x:v>
      </x:c>
      <x:c r="K1482" s="31" t="n">
        <x:v>8.4</x:v>
      </x:c>
      <x:c r="L1482" s="31" t="n">
        <x:f>ABS(J1482-K1482)</x:f>
        <x:v>6.5</x:v>
      </x:c>
      <x:c r="M1482" s="31" t="n">
        <x:v>4.7</x:v>
      </x:c>
      <x:c r="N1482" s="31" t="n">
        <x:v>3.8</x:v>
      </x:c>
      <x:c r="O1482" s="31" t="n">
        <x:f>ABS(M1482-N1482)</x:f>
        <x:v>0.9000000000000004</x:v>
      </x:c>
      <x:c r="P1482" s="31" t="n">
        <x:v>10.15</x:v>
      </x:c>
      <x:c r="Q1482" s="31" t="n">
        <x:v>10.09</x:v>
      </x:c>
      <x:c r="R1482" s="31" t="n">
        <x:f>ABS(P1482-Q1482)</x:f>
        <x:v>0.0600000000000005</x:v>
      </x:c>
      <x:c r="S1482" s="32" t="n">
        <x:v>64229.496190598846</x:v>
      </x:c>
      <x:c r="T1482" s="32" t="n">
        <x:v>87111.64322577155</x:v>
      </x:c>
      <x:c r="U1482" s="31" t="n">
        <x:f>MAX(S1482/T1482,T1482/S1482)</x:f>
        <x:v>1.3562560566763704</x:v>
      </x:c>
      <x:c r="V1482" s="31" t="n">
        <x:f>L1482*'Controls &amp; Summary'!$B$9+O1482*'Controls &amp; Summary'!$B$10+R1482*'Controls &amp; Summary'!$B$11+U1482*'Controls &amp; Summary'!$B$12</x:f>
        <x:v>8.816256056676371</x:v>
      </x:c>
      <x:c r="W1482" s="31" t="n">
        <x:v>1.1</x:v>
      </x:c>
      <x:c r="X1482" s="31" t="n">
        <x:v>1.5</x:v>
      </x:c>
      <x:c r="Y1482" s="31" t="n">
        <x:f>((10-MIN(10,MAX(0,X1482)))/10)*'Controls &amp; Summary'!$B$15+((10-MIN(10,MAX(0,W1482)))/10)*'Controls &amp; Summary'!$B$16</x:f>
        <x:v>1.74</x:v>
      </x:c>
      <x:c r="Z1482" s="31" t="n">
        <x:f>V1482*Y1482</x:f>
        <x:v>15.340285538616886</x:v>
      </x:c>
      <x:c r="AA1482" s="30" t="str">
        <x:f>IF(Z1482&lt;=I1482,"Peaceful","Hostile")</x:f>
        <x:v>Hostile</x:v>
      </x:c>
      <x:c r="AB1482" s="30" t="str">
        <x:f>IF(Z1482&lt;='Controls &amp; Summary'!$B$6,"Eligible","Blocked")</x:f>
        <x:v>Blocked</x:v>
      </x:c>
      <x:c r="AC1482" s="30" t="str">
        <x:v>2070_RUS</x:v>
      </x:c>
      <x:c r="AD1482" s="30" t="str">
        <x:v>2070_EUA</x:v>
      </x:c>
      <x:c r="AE1482" s="30" t="str">
        <x:v>2070_Paris</x:v>
      </x:c>
      <x:c r="AF1482" s="30" t="str">
        <x:v>Explicit capitalClaim</x:v>
      </x:c>
      <x:c r="AG1482" s="30" t="str">
        <x:v>Claim2070_RUS2070_Paris</x:v>
      </x:c>
      <x:c r="AH1482" s="30" t="str">
        <x:v>Project_ForwardRussia</x:v>
      </x:c>
    </x:row>
    <x:row r="1483">
      <x:c r="A1483" s="30" t="str">
        <x:v>2070</x:v>
      </x:c>
      <x:c r="B1483" s="30" t="str">
        <x:v>Base game</x:v>
      </x:c>
      <x:c r="C1483" s="30" t="str">
        <x:v>Russia</x:v>
      </x:c>
      <x:c r="D1483" s="30" t="str">
        <x:v>Georgia</x:v>
      </x:c>
      <x:c r="E1483" s="30" t="str">
        <x:v>Starting claim</x:v>
      </x:c>
      <x:c r="F1483" s="30" t="str"/>
      <x:c r="G1483" s="30" t="str">
        <x:v>Yes</x:v>
      </x:c>
      <x:c r="H1483" s="30" t="str">
        <x:v>Approved Russia-neighbor grievance</x:v>
      </x:c>
      <x:c r="I1483" s="31" t="n">
        <x:f>IF(G1483="Yes",'Controls &amp; Summary'!$B$5,'Controls &amp; Summary'!$B$4)</x:f>
        <x:v>3</x:v>
      </x:c>
      <x:c r="J1483" s="31" t="n">
        <x:v>1.9</x:v>
      </x:c>
      <x:c r="K1483" s="31" t="n">
        <x:v>7.9</x:v>
      </x:c>
      <x:c r="L1483" s="31" t="n">
        <x:f>ABS(J1483-K1483)</x:f>
        <x:v>6</x:v>
      </x:c>
      <x:c r="M1483" s="31" t="n">
        <x:v>4.7</x:v>
      </x:c>
      <x:c r="N1483" s="31" t="n">
        <x:v>2.7</x:v>
      </x:c>
      <x:c r="O1483" s="31" t="n">
        <x:f>ABS(M1483-N1483)</x:f>
        <x:v>2</x:v>
      </x:c>
      <x:c r="P1483" s="31" t="n">
        <x:v>10.15</x:v>
      </x:c>
      <x:c r="Q1483" s="31" t="n">
        <x:v>10.54</x:v>
      </x:c>
      <x:c r="R1483" s="31" t="n">
        <x:f>ABS(P1483-Q1483)</x:f>
        <x:v>0.3899999999999988</x:v>
      </x:c>
      <x:c r="S1483" s="32" t="n">
        <x:v>64229.496190598846</x:v>
      </x:c>
      <x:c r="T1483" s="32" t="n">
        <x:v>34716.27253992954</x:v>
      </x:c>
      <x:c r="U1483" s="31" t="n">
        <x:f>MAX(S1483/T1483,T1483/S1483)</x:f>
        <x:v>1.8501265110395753</x:v>
      </x:c>
      <x:c r="V1483" s="31" t="n">
        <x:f>L1483*'Controls &amp; Summary'!$B$9+O1483*'Controls &amp; Summary'!$B$10+R1483*'Controls &amp; Summary'!$B$11+U1483*'Controls &amp; Summary'!$B$12</x:f>
        <x:v>10.240126511039573</x:v>
      </x:c>
      <x:c r="W1483" s="31" t="n">
        <x:v>1.1</x:v>
      </x:c>
      <x:c r="X1483" s="31" t="n">
        <x:v>0</x:v>
      </x:c>
      <x:c r="Y1483" s="31" t="n">
        <x:f>((10-MIN(10,MAX(0,X1483)))/10)*'Controls &amp; Summary'!$B$15+((10-MIN(10,MAX(0,W1483)))/10)*'Controls &amp; Summary'!$B$16</x:f>
        <x:v>1.8900000000000001</x:v>
      </x:c>
      <x:c r="Z1483" s="31" t="n">
        <x:f>V1483*Y1483</x:f>
        <x:v>19.353839105864797</x:v>
      </x:c>
      <x:c r="AA1483" s="30" t="str">
        <x:f>IF(Z1483&lt;=I1483,"Peaceful","Hostile")</x:f>
        <x:v>Hostile</x:v>
      </x:c>
      <x:c r="AB1483" s="30" t="str">
        <x:f>IF(Z1483&lt;='Controls &amp; Summary'!$B$6,"Eligible","Blocked")</x:f>
        <x:v>Blocked</x:v>
      </x:c>
      <x:c r="AC1483" s="30" t="str">
        <x:v>2070_RUS</x:v>
      </x:c>
      <x:c r="AD1483" s="30" t="str">
        <x:v>2070_GEO</x:v>
      </x:c>
      <x:c r="AE1483" s="30" t="str">
        <x:v>2070_Georgia</x:v>
      </x:c>
      <x:c r="AF1483" s="30" t="str">
        <x:v>Explicit capitalClaim</x:v>
      </x:c>
      <x:c r="AG1483" s="30" t="str">
        <x:v>Claim2070_RUS2070_Georgia</x:v>
      </x:c>
      <x:c r="AH1483" s="30" t="str"/>
    </x:row>
    <x:row r="1484">
      <x:c r="A1484" s="30" t="str">
        <x:v>2070</x:v>
      </x:c>
      <x:c r="B1484" s="30" t="str">
        <x:v>Base game</x:v>
      </x:c>
      <x:c r="C1484" s="30" t="str">
        <x:v>Russia</x:v>
      </x:c>
      <x:c r="D1484" s="30" t="str">
        <x:v>Hungary</x:v>
      </x:c>
      <x:c r="E1484" s="30" t="str">
        <x:v>Project unlock</x:v>
      </x:c>
      <x:c r="F1484" s="30" t="str">
        <x:v>Restored Warsaw Pact</x:v>
      </x:c>
      <x:c r="G1484" s="30" t="str">
        <x:v>Yes</x:v>
      </x:c>
      <x:c r="H1484" s="30" t="str">
        <x:v>Approved expansion-project family</x:v>
      </x:c>
      <x:c r="I1484" s="31" t="n">
        <x:f>IF(G1484="Yes",'Controls &amp; Summary'!$B$5,'Controls &amp; Summary'!$B$4)</x:f>
        <x:v>3</x:v>
      </x:c>
      <x:c r="J1484" s="31" t="n">
        <x:v>1.9</x:v>
      </x:c>
      <x:c r="K1484" s="31" t="n">
        <x:v>5.2</x:v>
      </x:c>
      <x:c r="L1484" s="31" t="n">
        <x:f>ABS(J1484-K1484)</x:f>
        <x:v>3.3000000000000003</x:v>
      </x:c>
      <x:c r="M1484" s="31" t="n">
        <x:v>4.7</x:v>
      </x:c>
      <x:c r="N1484" s="31" t="n">
        <x:v>4.4</x:v>
      </x:c>
      <x:c r="O1484" s="31" t="n">
        <x:f>ABS(M1484-N1484)</x:f>
        <x:v>0.2999999999999998</x:v>
      </x:c>
      <x:c r="P1484" s="31" t="n">
        <x:v>10.15</x:v>
      </x:c>
      <x:c r="Q1484" s="31" t="n">
        <x:v>10.13</x:v>
      </x:c>
      <x:c r="R1484" s="31" t="n">
        <x:f>ABS(P1484-Q1484)</x:f>
        <x:v>0.019999999999999574</x:v>
      </x:c>
      <x:c r="S1484" s="32" t="n">
        <x:v>64229.496190598846</x:v>
      </x:c>
      <x:c r="T1484" s="32" t="n">
        <x:v>84702.40323874658</x:v>
      </x:c>
      <x:c r="U1484" s="31" t="n">
        <x:f>MAX(S1484/T1484,T1484/S1484)</x:f>
        <x:v>1.3187461876922573</x:v>
      </x:c>
      <x:c r="V1484" s="31" t="n">
        <x:f>L1484*'Controls &amp; Summary'!$B$9+O1484*'Controls &amp; Summary'!$B$10+R1484*'Controls &amp; Summary'!$B$11+U1484*'Controls &amp; Summary'!$B$12</x:f>
        <x:v>4.9387461876922565</x:v>
      </x:c>
      <x:c r="W1484" s="31" t="n">
        <x:v>1.1</x:v>
      </x:c>
      <x:c r="X1484" s="31" t="n">
        <x:v>0</x:v>
      </x:c>
      <x:c r="Y1484" s="31" t="n">
        <x:f>((10-MIN(10,MAX(0,X1484)))/10)*'Controls &amp; Summary'!$B$15+((10-MIN(10,MAX(0,W1484)))/10)*'Controls &amp; Summary'!$B$16</x:f>
        <x:v>1.8900000000000001</x:v>
      </x:c>
      <x:c r="Z1484" s="31" t="n">
        <x:f>V1484*Y1484</x:f>
        <x:v>9.334230294738365</x:v>
      </x:c>
      <x:c r="AA1484" s="30" t="str">
        <x:f>IF(Z1484&lt;=I1484,"Peaceful","Hostile")</x:f>
        <x:v>Hostile</x:v>
      </x:c>
      <x:c r="AB1484" s="30" t="str">
        <x:f>IF(Z1484&lt;='Controls &amp; Summary'!$B$6,"Eligible","Blocked")</x:f>
        <x:v>Eligible</x:v>
      </x:c>
      <x:c r="AC1484" s="30" t="str">
        <x:v>2070_RUS</x:v>
      </x:c>
      <x:c r="AD1484" s="30" t="str">
        <x:v>2070_HUN</x:v>
      </x:c>
      <x:c r="AE1484" s="30" t="str">
        <x:v>2070_Hungary</x:v>
      </x:c>
      <x:c r="AF1484" s="30" t="str">
        <x:v>Explicit capitalClaim</x:v>
      </x:c>
      <x:c r="AG1484" s="30" t="str">
        <x:v>Claim2070_RUS2070_Hungary</x:v>
      </x:c>
      <x:c r="AH1484" s="30" t="str">
        <x:v>Project_RestoredWarsawPact</x:v>
      </x:c>
    </x:row>
    <x:row r="1485">
      <x:c r="A1485" s="30" t="str">
        <x:v>2070</x:v>
      </x:c>
      <x:c r="B1485" s="30" t="str">
        <x:v>Base game</x:v>
      </x:c>
      <x:c r="C1485" s="30" t="str">
        <x:v>Russia</x:v>
      </x:c>
      <x:c r="D1485" s="30" t="str">
        <x:v>Kazakhstan</x:v>
      </x:c>
      <x:c r="E1485" s="30" t="str">
        <x:v>Starting claim</x:v>
      </x:c>
      <x:c r="F1485" s="30" t="str"/>
      <x:c r="G1485" s="30" t="str">
        <x:v>No</x:v>
      </x:c>
      <x:c r="H1485" s="30" t="str">
        <x:v>Ordinary claim</x:v>
      </x:c>
      <x:c r="I1485" s="31" t="n">
        <x:f>IF(G1485="Yes",'Controls &amp; Summary'!$B$5,'Controls &amp; Summary'!$B$4)</x:f>
        <x:v>6</x:v>
      </x:c>
      <x:c r="J1485" s="31" t="n">
        <x:v>1.9</x:v>
      </x:c>
      <x:c r="K1485" s="31" t="n">
        <x:v>4.7</x:v>
      </x:c>
      <x:c r="L1485" s="31" t="n">
        <x:f>ABS(J1485-K1485)</x:f>
        <x:v>2.8000000000000003</x:v>
      </x:c>
      <x:c r="M1485" s="31" t="n">
        <x:v>4.7</x:v>
      </x:c>
      <x:c r="N1485" s="31" t="n">
        <x:v>3.3</x:v>
      </x:c>
      <x:c r="O1485" s="31" t="n">
        <x:f>ABS(M1485-N1485)</x:f>
        <x:v>1.4000000000000004</x:v>
      </x:c>
      <x:c r="P1485" s="31" t="n">
        <x:v>10.15</x:v>
      </x:c>
      <x:c r="Q1485" s="31" t="n">
        <x:v>10.22</x:v>
      </x:c>
      <x:c r="R1485" s="31" t="n">
        <x:f>ABS(P1485-Q1485)</x:f>
        <x:v>0.07000000000000028</x:v>
      </x:c>
      <x:c r="S1485" s="32" t="n">
        <x:v>64229.496190598846</x:v>
      </x:c>
      <x:c r="T1485" s="32" t="n">
        <x:v>22032.96384408829</x:v>
      </x:c>
      <x:c r="U1485" s="31" t="n">
        <x:f>MAX(S1485/T1485,T1485/S1485)</x:f>
        <x:v>2.915154613110863</x:v>
      </x:c>
      <x:c r="V1485" s="31" t="n">
        <x:f>L1485*'Controls &amp; Summary'!$B$9+O1485*'Controls &amp; Summary'!$B$10+R1485*'Controls &amp; Summary'!$B$11+U1485*'Controls &amp; Summary'!$B$12</x:f>
        <x:v>7.185154613110864</x:v>
      </x:c>
      <x:c r="W1485" s="31" t="n">
        <x:v>1.1</x:v>
      </x:c>
      <x:c r="X1485" s="31" t="n">
        <x:v>3</x:v>
      </x:c>
      <x:c r="Y1485" s="31" t="n">
        <x:f>((10-MIN(10,MAX(0,X1485)))/10)*'Controls &amp; Summary'!$B$15+((10-MIN(10,MAX(0,W1485)))/10)*'Controls &amp; Summary'!$B$16</x:f>
        <x:v>1.5899999999999999</x:v>
      </x:c>
      <x:c r="Z1485" s="31" t="n">
        <x:f>V1485*Y1485</x:f>
        <x:v>11.424395834846273</x:v>
      </x:c>
      <x:c r="AA1485" s="30" t="str">
        <x:f>IF(Z1485&lt;=I1485,"Peaceful","Hostile")</x:f>
        <x:v>Hostile</x:v>
      </x:c>
      <x:c r="AB1485" s="30" t="str">
        <x:f>IF(Z1485&lt;='Controls &amp; Summary'!$B$6,"Eligible","Blocked")</x:f>
        <x:v>Eligible</x:v>
      </x:c>
      <x:c r="AC1485" s="30" t="str">
        <x:v>2070_RUS</x:v>
      </x:c>
      <x:c r="AD1485" s="30" t="str">
        <x:v>2070_KAZ</x:v>
      </x:c>
      <x:c r="AE1485" s="30" t="str">
        <x:v>2070_Astana</x:v>
      </x:c>
      <x:c r="AF1485" s="30" t="str">
        <x:v>Explicit capitalClaim</x:v>
      </x:c>
      <x:c r="AG1485" s="30" t="str">
        <x:v>Claim2070_RUS2070_Astana</x:v>
      </x:c>
      <x:c r="AH1485" s="30" t="str"/>
    </x:row>
    <x:row r="1486">
      <x:c r="A1486" s="30" t="str">
        <x:v>2070</x:v>
      </x:c>
      <x:c r="B1486" s="30" t="str">
        <x:v>Base game</x:v>
      </x:c>
      <x:c r="C1486" s="30" t="str">
        <x:v>Russia</x:v>
      </x:c>
      <x:c r="D1486" s="30" t="str">
        <x:v>Mongolia</x:v>
      </x:c>
      <x:c r="E1486" s="30" t="str">
        <x:v>Project unlock</x:v>
      </x:c>
      <x:c r="F1486" s="30" t="str">
        <x:v>Forward Russia</x:v>
      </x:c>
      <x:c r="G1486" s="30" t="str">
        <x:v>Yes</x:v>
      </x:c>
      <x:c r="H1486" s="30" t="str">
        <x:v>Approved expansion-project family</x:v>
      </x:c>
      <x:c r="I1486" s="31" t="n">
        <x:f>IF(G1486="Yes",'Controls &amp; Summary'!$B$5,'Controls &amp; Summary'!$B$4)</x:f>
        <x:v>3</x:v>
      </x:c>
      <x:c r="J1486" s="31" t="n">
        <x:v>1.9</x:v>
      </x:c>
      <x:c r="K1486" s="31" t="n">
        <x:v>6.8</x:v>
      </x:c>
      <x:c r="L1486" s="31" t="n">
        <x:f>ABS(J1486-K1486)</x:f>
        <x:v>4.9</x:v>
      </x:c>
      <x:c r="M1486" s="31" t="n">
        <x:v>4.7</x:v>
      </x:c>
      <x:c r="N1486" s="31" t="n">
        <x:v>4</x:v>
      </x:c>
      <x:c r="O1486" s="31" t="n">
        <x:f>ABS(M1486-N1486)</x:f>
        <x:v>0.7000000000000002</x:v>
      </x:c>
      <x:c r="P1486" s="31" t="n">
        <x:v>10.15</x:v>
      </x:c>
      <x:c r="Q1486" s="31" t="n">
        <x:v>9.2</x:v>
      </x:c>
      <x:c r="R1486" s="31" t="n">
        <x:f>ABS(P1486-Q1486)</x:f>
        <x:v>0.9500000000000011</x:v>
      </x:c>
      <x:c r="S1486" s="32" t="n">
        <x:v>64229.496190598846</x:v>
      </x:c>
      <x:c r="T1486" s="32" t="n">
        <x:v>28333.321507450826</x:v>
      </x:c>
      <x:c r="U1486" s="31" t="n">
        <x:f>MAX(S1486/T1486,T1486/S1486)</x:f>
        <x:v>2.266924341140462</x:v>
      </x:c>
      <x:c r="V1486" s="31" t="n">
        <x:f>L1486*'Controls &amp; Summary'!$B$9+O1486*'Controls &amp; Summary'!$B$10+R1486*'Controls &amp; Summary'!$B$11+U1486*'Controls &amp; Summary'!$B$12</x:f>
        <x:v>8.816924341140464</x:v>
      </x:c>
      <x:c r="W1486" s="31" t="n">
        <x:v>1.1</x:v>
      </x:c>
      <x:c r="X1486" s="31" t="n">
        <x:v>0.67</x:v>
      </x:c>
      <x:c r="Y1486" s="31" t="n">
        <x:f>((10-MIN(10,MAX(0,X1486)))/10)*'Controls &amp; Summary'!$B$15+((10-MIN(10,MAX(0,W1486)))/10)*'Controls &amp; Summary'!$B$16</x:f>
        <x:v>1.823</x:v>
      </x:c>
      <x:c r="Z1486" s="31" t="n">
        <x:f>V1486*Y1486</x:f>
        <x:v>16.073253073899064</x:v>
      </x:c>
      <x:c r="AA1486" s="30" t="str">
        <x:f>IF(Z1486&lt;=I1486,"Peaceful","Hostile")</x:f>
        <x:v>Hostile</x:v>
      </x:c>
      <x:c r="AB1486" s="30" t="str">
        <x:f>IF(Z1486&lt;='Controls &amp; Summary'!$B$6,"Eligible","Blocked")</x:f>
        <x:v>Blocked</x:v>
      </x:c>
      <x:c r="AC1486" s="30" t="str">
        <x:v>2070_RUS</x:v>
      </x:c>
      <x:c r="AD1486" s="30" t="str">
        <x:v>2070_MNG</x:v>
      </x:c>
      <x:c r="AE1486" s="30" t="str">
        <x:v>2070_Mongolia</x:v>
      </x:c>
      <x:c r="AF1486" s="30" t="str">
        <x:v>Explicit capitalClaim</x:v>
      </x:c>
      <x:c r="AG1486" s="30" t="str">
        <x:v>Claim2070_RUS2070_Mongolia</x:v>
      </x:c>
      <x:c r="AH1486" s="30" t="str">
        <x:v>Project_ForwardRussia</x:v>
      </x:c>
    </x:row>
    <x:row r="1487">
      <x:c r="A1487" s="30" t="str">
        <x:v>2070</x:v>
      </x:c>
      <x:c r="B1487" s="30" t="str">
        <x:v>Base game</x:v>
      </x:c>
      <x:c r="C1487" s="30" t="str">
        <x:v>Russia</x:v>
      </x:c>
      <x:c r="D1487" s="30" t="str">
        <x:v>Serbia</x:v>
      </x:c>
      <x:c r="E1487" s="30" t="str">
        <x:v>Project unlock</x:v>
      </x:c>
      <x:c r="F1487" s="30" t="str">
        <x:v>Forward Russia</x:v>
      </x:c>
      <x:c r="G1487" s="30" t="str">
        <x:v>Yes</x:v>
      </x:c>
      <x:c r="H1487" s="30" t="str">
        <x:v>Approved expansion-project family</x:v>
      </x:c>
      <x:c r="I1487" s="31" t="n">
        <x:f>IF(G1487="Yes",'Controls &amp; Summary'!$B$5,'Controls &amp; Summary'!$B$4)</x:f>
        <x:v>3</x:v>
      </x:c>
      <x:c r="J1487" s="31" t="n">
        <x:v>1.9</x:v>
      </x:c>
      <x:c r="K1487" s="31" t="n">
        <x:v>7.1</x:v>
      </x:c>
      <x:c r="L1487" s="31" t="n">
        <x:f>ABS(J1487-K1487)</x:f>
        <x:v>5.199999999999999</x:v>
      </x:c>
      <x:c r="M1487" s="31" t="n">
        <x:v>4.7</x:v>
      </x:c>
      <x:c r="N1487" s="31" t="n">
        <x:v>3.4</x:v>
      </x:c>
      <x:c r="O1487" s="31" t="n">
        <x:f>ABS(M1487-N1487)</x:f>
        <x:v>1.3000000000000003</x:v>
      </x:c>
      <x:c r="P1487" s="31" t="n">
        <x:v>10.15</x:v>
      </x:c>
      <x:c r="Q1487" s="31" t="n">
        <x:v>9.75</x:v>
      </x:c>
      <x:c r="R1487" s="31" t="n">
        <x:f>ABS(P1487-Q1487)</x:f>
        <x:v>0.40000000000000036</x:v>
      </x:c>
      <x:c r="S1487" s="32" t="n">
        <x:v>64229.496190598846</x:v>
      </x:c>
      <x:c r="T1487" s="32" t="n">
        <x:v>59456.89229494263</x:v>
      </x:c>
      <x:c r="U1487" s="31" t="n">
        <x:f>MAX(S1487/T1487,T1487/S1487)</x:f>
        <x:v>1.0802699857231215</x:v>
      </x:c>
      <x:c r="V1487" s="31" t="n">
        <x:f>L1487*'Controls &amp; Summary'!$B$9+O1487*'Controls &amp; Summary'!$B$10+R1487*'Controls &amp; Summary'!$B$11+U1487*'Controls &amp; Summary'!$B$12</x:f>
        <x:v>7.980269985723122</x:v>
      </x:c>
      <x:c r="W1487" s="31" t="n">
        <x:v>1.1</x:v>
      </x:c>
      <x:c r="X1487" s="31" t="n">
        <x:v>0</x:v>
      </x:c>
      <x:c r="Y1487" s="31" t="n">
        <x:f>((10-MIN(10,MAX(0,X1487)))/10)*'Controls &amp; Summary'!$B$15+((10-MIN(10,MAX(0,W1487)))/10)*'Controls &amp; Summary'!$B$16</x:f>
        <x:v>1.8900000000000001</x:v>
      </x:c>
      <x:c r="Z1487" s="31" t="n">
        <x:f>V1487*Y1487</x:f>
        <x:v>15.082710273016701</x:v>
      </x:c>
      <x:c r="AA1487" s="30" t="str">
        <x:f>IF(Z1487&lt;=I1487,"Peaceful","Hostile")</x:f>
        <x:v>Hostile</x:v>
      </x:c>
      <x:c r="AB1487" s="30" t="str">
        <x:f>IF(Z1487&lt;='Controls &amp; Summary'!$B$6,"Eligible","Blocked")</x:f>
        <x:v>Blocked</x:v>
      </x:c>
      <x:c r="AC1487" s="30" t="str">
        <x:v>2070_RUS</x:v>
      </x:c>
      <x:c r="AD1487" s="30" t="str">
        <x:v>2070_SER</x:v>
      </x:c>
      <x:c r="AE1487" s="30" t="str">
        <x:v>2070_Belgrade</x:v>
      </x:c>
      <x:c r="AF1487" s="30" t="str">
        <x:v>Explicit capitalClaim</x:v>
      </x:c>
      <x:c r="AG1487" s="30" t="str">
        <x:v>Claim2070_RUS2070_Belgrade</x:v>
      </x:c>
      <x:c r="AH1487" s="30" t="str">
        <x:v>Project_ForwardRussia</x:v>
      </x:c>
    </x:row>
    <x:row r="1488">
      <x:c r="A1488" s="30" t="str">
        <x:v>2070</x:v>
      </x:c>
      <x:c r="B1488" s="30" t="str">
        <x:v>Base game</x:v>
      </x:c>
      <x:c r="C1488" s="30" t="str">
        <x:v>Russia</x:v>
      </x:c>
      <x:c r="D1488" s="30" t="str">
        <x:v>Slovakia</x:v>
      </x:c>
      <x:c r="E1488" s="30" t="str">
        <x:v>Project unlock</x:v>
      </x:c>
      <x:c r="F1488" s="30" t="str">
        <x:v>Restored Warsaw Pact</x:v>
      </x:c>
      <x:c r="G1488" s="30" t="str">
        <x:v>Yes</x:v>
      </x:c>
      <x:c r="H1488" s="30" t="str">
        <x:v>Approved expansion-project family</x:v>
      </x:c>
      <x:c r="I1488" s="31" t="n">
        <x:f>IF(G1488="Yes",'Controls &amp; Summary'!$B$5,'Controls &amp; Summary'!$B$4)</x:f>
        <x:v>3</x:v>
      </x:c>
      <x:c r="J1488" s="31" t="n">
        <x:v>1.9</x:v>
      </x:c>
      <x:c r="K1488" s="31" t="n">
        <x:v>7.8</x:v>
      </x:c>
      <x:c r="L1488" s="31" t="n">
        <x:f>ABS(J1488-K1488)</x:f>
        <x:v>5.9</x:v>
      </x:c>
      <x:c r="M1488" s="31" t="n">
        <x:v>4.7</x:v>
      </x:c>
      <x:c r="N1488" s="31" t="n">
        <x:v>3.2</x:v>
      </x:c>
      <x:c r="O1488" s="31" t="n">
        <x:f>ABS(M1488-N1488)</x:f>
        <x:v>1.5</x:v>
      </x:c>
      <x:c r="P1488" s="31" t="n">
        <x:v>10.15</x:v>
      </x:c>
      <x:c r="Q1488" s="31" t="n">
        <x:v>10.18</x:v>
      </x:c>
      <x:c r="R1488" s="31" t="n">
        <x:f>ABS(P1488-Q1488)</x:f>
        <x:v>0.02999999999999936</x:v>
      </x:c>
      <x:c r="S1488" s="32" t="n">
        <x:v>64229.496190598846</x:v>
      </x:c>
      <x:c r="T1488" s="32" t="n">
        <x:v>84541.74981854367</x:v>
      </x:c>
      <x:c r="U1488" s="31" t="n">
        <x:f>MAX(S1488/T1488,T1488/S1488)</x:f>
        <x:v>1.316244947144983</x:v>
      </x:c>
      <x:c r="V1488" s="31" t="n">
        <x:f>L1488*'Controls &amp; Summary'!$B$9+O1488*'Controls &amp; Summary'!$B$10+R1488*'Controls &amp; Summary'!$B$11+U1488*'Controls &amp; Summary'!$B$12</x:f>
        <x:v>8.746244947144984</x:v>
      </x:c>
      <x:c r="W1488" s="31" t="n">
        <x:v>1.1</x:v>
      </x:c>
      <x:c r="X1488" s="31" t="n">
        <x:v>0</x:v>
      </x:c>
      <x:c r="Y1488" s="31" t="n">
        <x:f>((10-MIN(10,MAX(0,X1488)))/10)*'Controls &amp; Summary'!$B$15+((10-MIN(10,MAX(0,W1488)))/10)*'Controls &amp; Summary'!$B$16</x:f>
        <x:v>1.8900000000000001</x:v>
      </x:c>
      <x:c r="Z1488" s="31" t="n">
        <x:f>V1488*Y1488</x:f>
        <x:v>16.53040295010402</x:v>
      </x:c>
      <x:c r="AA1488" s="30" t="str">
        <x:f>IF(Z1488&lt;=I1488,"Peaceful","Hostile")</x:f>
        <x:v>Hostile</x:v>
      </x:c>
      <x:c r="AB1488" s="30" t="str">
        <x:f>IF(Z1488&lt;='Controls &amp; Summary'!$B$6,"Eligible","Blocked")</x:f>
        <x:v>Blocked</x:v>
      </x:c>
      <x:c r="AC1488" s="30" t="str">
        <x:v>2070_RUS</x:v>
      </x:c>
      <x:c r="AD1488" s="30" t="str">
        <x:v>2070_SLO</x:v>
      </x:c>
      <x:c r="AE1488" s="30" t="str">
        <x:v>2070_Slovakia</x:v>
      </x:c>
      <x:c r="AF1488" s="30" t="str">
        <x:v>Explicit capitalClaim</x:v>
      </x:c>
      <x:c r="AG1488" s="30" t="str">
        <x:v>Claim2070_RUS2070_Slovakia</x:v>
      </x:c>
      <x:c r="AH1488" s="30" t="str">
        <x:v>Project_RestoredWarsawPact</x:v>
      </x:c>
    </x:row>
    <x:row r="1489">
      <x:c r="A1489" s="30" t="str">
        <x:v>2070</x:v>
      </x:c>
      <x:c r="B1489" s="30" t="str">
        <x:v>Base game</x:v>
      </x:c>
      <x:c r="C1489" s="30" t="str">
        <x:v>Russia</x:v>
      </x:c>
      <x:c r="D1489" s="30" t="str">
        <x:v>Sweden</x:v>
      </x:c>
      <x:c r="E1489" s="30" t="str">
        <x:v>Project unlock</x:v>
      </x:c>
      <x:c r="F1489" s="30" t="str">
        <x:v>Forward Russia</x:v>
      </x:c>
      <x:c r="G1489" s="30" t="str">
        <x:v>Yes</x:v>
      </x:c>
      <x:c r="H1489" s="30" t="str">
        <x:v>Template hostileClaim</x:v>
      </x:c>
      <x:c r="I1489" s="31" t="n">
        <x:f>IF(G1489="Yes",'Controls &amp; Summary'!$B$5,'Controls &amp; Summary'!$B$4)</x:f>
        <x:v>3</x:v>
      </x:c>
      <x:c r="J1489" s="31" t="n">
        <x:v>1.9</x:v>
      </x:c>
      <x:c r="K1489" s="31" t="n">
        <x:v>9.5</x:v>
      </x:c>
      <x:c r="L1489" s="31" t="n">
        <x:f>ABS(J1489-K1489)</x:f>
        <x:v>7.6</x:v>
      </x:c>
      <x:c r="M1489" s="31" t="n">
        <x:v>4.7</x:v>
      </x:c>
      <x:c r="N1489" s="31" t="n">
        <x:v>2.9</x:v>
      </x:c>
      <x:c r="O1489" s="31" t="n">
        <x:f>ABS(M1489-N1489)</x:f>
        <x:v>1.8000000000000003</x:v>
      </x:c>
      <x:c r="P1489" s="31" t="n">
        <x:v>10.15</x:v>
      </x:c>
      <x:c r="Q1489" s="31" t="n">
        <x:v>11.1</x:v>
      </x:c>
      <x:c r="R1489" s="31" t="n">
        <x:f>ABS(P1489-Q1489)</x:f>
        <x:v>0.9499999999999993</x:v>
      </x:c>
      <x:c r="S1489" s="32" t="n">
        <x:v>64229.496190598846</x:v>
      </x:c>
      <x:c r="T1489" s="32" t="n">
        <x:v>93186.8197038068</x:v>
      </x:c>
      <x:c r="U1489" s="31" t="n">
        <x:f>MAX(S1489/T1489,T1489/S1489)</x:f>
        <x:v>1.4508415172256386</x:v>
      </x:c>
      <x:c r="V1489" s="31" t="n">
        <x:f>L1489*'Controls &amp; Summary'!$B$9+O1489*'Controls &amp; Summary'!$B$10+R1489*'Controls &amp; Summary'!$B$11+U1489*'Controls &amp; Summary'!$B$12</x:f>
        <x:v>11.800841517225638</x:v>
      </x:c>
      <x:c r="W1489" s="31" t="n">
        <x:v>1.1</x:v>
      </x:c>
      <x:c r="X1489" s="31" t="n">
        <x:v>0</x:v>
      </x:c>
      <x:c r="Y1489" s="31" t="n">
        <x:f>((10-MIN(10,MAX(0,X1489)))/10)*'Controls &amp; Summary'!$B$15+((10-MIN(10,MAX(0,W1489)))/10)*'Controls &amp; Summary'!$B$16</x:f>
        <x:v>1.8900000000000001</x:v>
      </x:c>
      <x:c r="Z1489" s="31" t="n">
        <x:f>V1489*Y1489</x:f>
        <x:v>22.303590467556457</x:v>
      </x:c>
      <x:c r="AA1489" s="30" t="str">
        <x:f>IF(Z1489&lt;=I1489,"Peaceful","Hostile")</x:f>
        <x:v>Hostile</x:v>
      </x:c>
      <x:c r="AB1489" s="30" t="str">
        <x:f>IF(Z1489&lt;='Controls &amp; Summary'!$B$6,"Eligible","Blocked")</x:f>
        <x:v>Blocked</x:v>
      </x:c>
      <x:c r="AC1489" s="30" t="str">
        <x:v>2070_RUS</x:v>
      </x:c>
      <x:c r="AD1489" s="30" t="str">
        <x:v>2070_SCA</x:v>
      </x:c>
      <x:c r="AE1489" s="30" t="str">
        <x:v>2070_Sweden</x:v>
      </x:c>
      <x:c r="AF1489" s="30" t="str">
        <x:v>Explicit capitalClaim</x:v>
      </x:c>
      <x:c r="AG1489" s="30" t="str">
        <x:v>Claim2070_RUS2070_Sweden</x:v>
      </x:c>
      <x:c r="AH1489" s="30" t="str">
        <x:v>Project_ForwardRussia</x:v>
      </x:c>
    </x:row>
    <x:row r="1490">
      <x:c r="A1490" s="30" t="str">
        <x:v>2070</x:v>
      </x:c>
      <x:c r="B1490" s="30" t="str">
        <x:v>Base game</x:v>
      </x:c>
      <x:c r="C1490" s="30" t="str">
        <x:v>Russia</x:v>
      </x:c>
      <x:c r="D1490" s="30" t="str">
        <x:v>Switzerland</x:v>
      </x:c>
      <x:c r="E1490" s="30" t="str">
        <x:v>Project unlock</x:v>
      </x:c>
      <x:c r="F1490" s="30" t="str">
        <x:v>Forward Russia</x:v>
      </x:c>
      <x:c r="G1490" s="30" t="str">
        <x:v>Yes</x:v>
      </x:c>
      <x:c r="H1490" s="30" t="str">
        <x:v>Template hostileClaim</x:v>
      </x:c>
      <x:c r="I1490" s="31" t="n">
        <x:f>IF(G1490="Yes",'Controls &amp; Summary'!$B$5,'Controls &amp; Summary'!$B$4)</x:f>
        <x:v>3</x:v>
      </x:c>
      <x:c r="J1490" s="31" t="n">
        <x:v>1.9</x:v>
      </x:c>
      <x:c r="K1490" s="31" t="n">
        <x:v>9.3</x:v>
      </x:c>
      <x:c r="L1490" s="31" t="n">
        <x:f>ABS(J1490-K1490)</x:f>
        <x:v>7.4</x:v>
      </x:c>
      <x:c r="M1490" s="31" t="n">
        <x:v>4.7</x:v>
      </x:c>
      <x:c r="N1490" s="31" t="n">
        <x:v>3.3</x:v>
      </x:c>
      <x:c r="O1490" s="31" t="n">
        <x:f>ABS(M1490-N1490)</x:f>
        <x:v>1.4000000000000004</x:v>
      </x:c>
      <x:c r="P1490" s="31" t="n">
        <x:v>10.15</x:v>
      </x:c>
      <x:c r="Q1490" s="31" t="n">
        <x:v>10.92</x:v>
      </x:c>
      <x:c r="R1490" s="31" t="n">
        <x:f>ABS(P1490-Q1490)</x:f>
        <x:v>0.7699999999999996</x:v>
      </x:c>
      <x:c r="S1490" s="32" t="n">
        <x:v>64229.496190598846</x:v>
      </x:c>
      <x:c r="T1490" s="32" t="n">
        <x:v>121691.30564711004</x:v>
      </x:c>
      <x:c r="U1490" s="31" t="n">
        <x:f>MAX(S1490/T1490,T1490/S1490)</x:f>
        <x:v>1.8946327289567277</x:v>
      </x:c>
      <x:c r="V1490" s="31" t="n">
        <x:f>L1490*'Controls &amp; Summary'!$B$9+O1490*'Controls &amp; Summary'!$B$10+R1490*'Controls &amp; Summary'!$B$11+U1490*'Controls &amp; Summary'!$B$12</x:f>
        <x:v>11.464632728956728</x:v>
      </x:c>
      <x:c r="W1490" s="31" t="n">
        <x:v>1.1</x:v>
      </x:c>
      <x:c r="X1490" s="31" t="n">
        <x:v>0</x:v>
      </x:c>
      <x:c r="Y1490" s="31" t="n">
        <x:f>((10-MIN(10,MAX(0,X1490)))/10)*'Controls &amp; Summary'!$B$15+((10-MIN(10,MAX(0,W1490)))/10)*'Controls &amp; Summary'!$B$16</x:f>
        <x:v>1.8900000000000001</x:v>
      </x:c>
      <x:c r="Z1490" s="31" t="n">
        <x:f>V1490*Y1490</x:f>
        <x:v>21.668155857728216</x:v>
      </x:c>
      <x:c r="AA1490" s="30" t="str">
        <x:f>IF(Z1490&lt;=I1490,"Peaceful","Hostile")</x:f>
        <x:v>Hostile</x:v>
      </x:c>
      <x:c r="AB1490" s="30" t="str">
        <x:f>IF(Z1490&lt;='Controls &amp; Summary'!$B$6,"Eligible","Blocked")</x:f>
        <x:v>Blocked</x:v>
      </x:c>
      <x:c r="AC1490" s="30" t="str">
        <x:v>2070_RUS</x:v>
      </x:c>
      <x:c r="AD1490" s="30" t="str">
        <x:v>2070_SWI</x:v>
      </x:c>
      <x:c r="AE1490" s="30" t="str">
        <x:v>2070_Zurich</x:v>
      </x:c>
      <x:c r="AF1490" s="30" t="str">
        <x:v>Explicit capitalClaim</x:v>
      </x:c>
      <x:c r="AG1490" s="30" t="str">
        <x:v>Claim2070_RUS2070_Zurich</x:v>
      </x:c>
      <x:c r="AH1490" s="30" t="str">
        <x:v>Project_ForwardRussia</x:v>
      </x:c>
    </x:row>
    <x:row r="1491">
      <x:c r="A1491" s="30" t="str">
        <x:v>2070</x:v>
      </x:c>
      <x:c r="B1491" s="30" t="str">
        <x:v>Base game</x:v>
      </x:c>
      <x:c r="C1491" s="30" t="str">
        <x:v>South Africa</x:v>
      </x:c>
      <x:c r="D1491" s="30" t="str">
        <x:v>Angola</x:v>
      </x:c>
      <x:c r="E1491" s="30" t="str">
        <x:v>Starting claim</x:v>
      </x:c>
      <x:c r="F1491" s="30" t="str"/>
      <x:c r="G1491" s="30" t="str">
        <x:v>No</x:v>
      </x:c>
      <x:c r="H1491" s="30" t="str">
        <x:v>Ordinary claim</x:v>
      </x:c>
      <x:c r="I1491" s="31" t="n">
        <x:f>IF(G1491="Yes",'Controls &amp; Summary'!$B$5,'Controls &amp; Summary'!$B$4)</x:f>
        <x:v>6</x:v>
      </x:c>
      <x:c r="J1491" s="31" t="n">
        <x:v>7.8</x:v>
      </x:c>
      <x:c r="K1491" s="31" t="n">
        <x:v>2.5</x:v>
      </x:c>
      <x:c r="L1491" s="31" t="n">
        <x:f>ABS(J1491-K1491)</x:f>
        <x:v>5.3</x:v>
      </x:c>
      <x:c r="M1491" s="31" t="n">
        <x:v>4</x:v>
      </x:c>
      <x:c r="N1491" s="31" t="n">
        <x:v>4.8</x:v>
      </x:c>
      <x:c r="O1491" s="31" t="n">
        <x:f>ABS(M1491-N1491)</x:f>
        <x:v>0.7999999999999998</x:v>
      </x:c>
      <x:c r="P1491" s="31" t="n">
        <x:v>9.16</x:v>
      </x:c>
      <x:c r="Q1491" s="31" t="n">
        <x:v>6.92</x:v>
      </x:c>
      <x:c r="R1491" s="31" t="n">
        <x:f>ABS(P1491-Q1491)</x:f>
        <x:v>2.24</x:v>
      </x:c>
      <x:c r="S1491" s="32" t="n">
        <x:v>18610.953947993487</x:v>
      </x:c>
      <x:c r="T1491" s="32" t="n">
        <x:v>20598.167393132157</x:v>
      </x:c>
      <x:c r="U1491" s="31" t="n">
        <x:f>MAX(S1491/T1491,T1491/S1491)</x:f>
        <x:v>1.106776549482189</x:v>
      </x:c>
      <x:c r="V1491" s="31" t="n">
        <x:f>L1491*'Controls &amp; Summary'!$B$9+O1491*'Controls &amp; Summary'!$B$10+R1491*'Controls &amp; Summary'!$B$11+U1491*'Controls &amp; Summary'!$B$12</x:f>
        <x:v>9.44677654948219</x:v>
      </x:c>
      <x:c r="W1491" s="31" t="n">
        <x:v>0</x:v>
      </x:c>
      <x:c r="X1491" s="31" t="n">
        <x:v>4.4</x:v>
      </x:c>
      <x:c r="Y1491" s="31" t="n">
        <x:f>((10-MIN(10,MAX(0,X1491)))/10)*'Controls &amp; Summary'!$B$15+((10-MIN(10,MAX(0,W1491)))/10)*'Controls &amp; Summary'!$B$16</x:f>
        <x:v>1.56</x:v>
      </x:c>
      <x:c r="Z1491" s="31" t="n">
        <x:f>V1491*Y1491</x:f>
        <x:v>14.736971417192215</x:v>
      </x:c>
      <x:c r="AA1491" s="30" t="str">
        <x:f>IF(Z1491&lt;=I1491,"Peaceful","Hostile")</x:f>
        <x:v>Hostile</x:v>
      </x:c>
      <x:c r="AB1491" s="30" t="str">
        <x:f>IF(Z1491&lt;='Controls &amp; Summary'!$B$6,"Eligible","Blocked")</x:f>
        <x:v>Blocked</x:v>
      </x:c>
      <x:c r="AC1491" s="30" t="str">
        <x:v>2070_ZAF</x:v>
      </x:c>
      <x:c r="AD1491" s="30" t="str">
        <x:v>2070_AGO</x:v>
      </x:c>
      <x:c r="AE1491" s="30" t="str">
        <x:v>2070_Angola</x:v>
      </x:c>
      <x:c r="AF1491" s="30" t="str">
        <x:v>Explicit capitalClaim</x:v>
      </x:c>
      <x:c r="AG1491" s="30" t="str">
        <x:v>Claim2070_ZAF2070_Angola</x:v>
      </x:c>
      <x:c r="AH1491" s="30" t="str"/>
    </x:row>
    <x:row r="1492">
      <x:c r="A1492" s="30" t="str">
        <x:v>2070</x:v>
      </x:c>
      <x:c r="B1492" s="30" t="str">
        <x:v>Base game</x:v>
      </x:c>
      <x:c r="C1492" s="30" t="str">
        <x:v>South Africa</x:v>
      </x:c>
      <x:c r="D1492" s="30" t="str">
        <x:v>Congo</x:v>
      </x:c>
      <x:c r="E1492" s="30" t="str">
        <x:v>Starting claim</x:v>
      </x:c>
      <x:c r="F1492" s="30" t="str"/>
      <x:c r="G1492" s="30" t="str">
        <x:v>No</x:v>
      </x:c>
      <x:c r="H1492" s="30" t="str">
        <x:v>Ordinary claim</x:v>
      </x:c>
      <x:c r="I1492" s="31" t="n">
        <x:f>IF(G1492="Yes",'Controls &amp; Summary'!$B$5,'Controls &amp; Summary'!$B$4)</x:f>
        <x:v>6</x:v>
      </x:c>
      <x:c r="J1492" s="31" t="n">
        <x:v>7.8</x:v>
      </x:c>
      <x:c r="K1492" s="31" t="n">
        <x:v>2.8</x:v>
      </x:c>
      <x:c r="L1492" s="31" t="n">
        <x:f>ABS(J1492-K1492)</x:f>
        <x:v>5</x:v>
      </x:c>
      <x:c r="M1492" s="31" t="n">
        <x:v>4</x:v>
      </x:c>
      <x:c r="N1492" s="31" t="n">
        <x:v>4</x:v>
      </x:c>
      <x:c r="O1492" s="31" t="n">
        <x:f>ABS(M1492-N1492)</x:f>
        <x:v>0</x:v>
      </x:c>
      <x:c r="P1492" s="31" t="n">
        <x:v>9.16</x:v>
      </x:c>
      <x:c r="Q1492" s="31" t="n">
        <x:v>6.88</x:v>
      </x:c>
      <x:c r="R1492" s="31" t="n">
        <x:f>ABS(P1492-Q1492)</x:f>
        <x:v>2.2800000000000002</x:v>
      </x:c>
      <x:c r="S1492" s="32" t="n">
        <x:v>18610.953947993487</x:v>
      </x:c>
      <x:c r="T1492" s="32" t="n">
        <x:v>3690.5998014421943</x:v>
      </x:c>
      <x:c r="U1492" s="31" t="n">
        <x:f>MAX(S1492/T1492,T1492/S1492)</x:f>
        <x:v>5.042799260087965</x:v>
      </x:c>
      <x:c r="V1492" s="31" t="n">
        <x:f>L1492*'Controls &amp; Summary'!$B$9+O1492*'Controls &amp; Summary'!$B$10+R1492*'Controls &amp; Summary'!$B$11+U1492*'Controls &amp; Summary'!$B$12</x:f>
        <x:v>12.322799260087965</x:v>
      </x:c>
      <x:c r="W1492" s="31" t="n">
        <x:v>0</x:v>
      </x:c>
      <x:c r="X1492" s="31" t="n">
        <x:v>6</x:v>
      </x:c>
      <x:c r="Y1492" s="31" t="n">
        <x:f>((10-MIN(10,MAX(0,X1492)))/10)*'Controls &amp; Summary'!$B$15+((10-MIN(10,MAX(0,W1492)))/10)*'Controls &amp; Summary'!$B$16</x:f>
        <x:v>1.4</x:v>
      </x:c>
      <x:c r="Z1492" s="31" t="n">
        <x:f>V1492*Y1492</x:f>
        <x:v>17.25191896412315</x:v>
      </x:c>
      <x:c r="AA1492" s="30" t="str">
        <x:f>IF(Z1492&lt;=I1492,"Peaceful","Hostile")</x:f>
        <x:v>Hostile</x:v>
      </x:c>
      <x:c r="AB1492" s="30" t="str">
        <x:f>IF(Z1492&lt;='Controls &amp; Summary'!$B$6,"Eligible","Blocked")</x:f>
        <x:v>Blocked</x:v>
      </x:c>
      <x:c r="AC1492" s="30" t="str">
        <x:v>2070_ZAF</x:v>
      </x:c>
      <x:c r="AD1492" s="30" t="str">
        <x:v>2070_COD</x:v>
      </x:c>
      <x:c r="AE1492" s="30" t="str">
        <x:v>2070_Kinshasa</x:v>
      </x:c>
      <x:c r="AF1492" s="30" t="str">
        <x:v>Explicit capitalClaim</x:v>
      </x:c>
      <x:c r="AG1492" s="30" t="str">
        <x:v>Claim2070_ZAF2070_Kinshasa</x:v>
      </x:c>
      <x:c r="AH1492" s="30" t="str"/>
    </x:row>
    <x:row r="1493">
      <x:c r="A1493" s="30" t="str">
        <x:v>2070</x:v>
      </x:c>
      <x:c r="B1493" s="30" t="str">
        <x:v>Base game</x:v>
      </x:c>
      <x:c r="C1493" s="30" t="str">
        <x:v>Syria</x:v>
      </x:c>
      <x:c r="D1493" s="30" t="str">
        <x:v>Lebanon</x:v>
      </x:c>
      <x:c r="E1493" s="30" t="str">
        <x:v>Starting claim</x:v>
      </x:c>
      <x:c r="F1493" s="30" t="str"/>
      <x:c r="G1493" s="30" t="str">
        <x:v>Yes</x:v>
      </x:c>
      <x:c r="H1493" s="30" t="str">
        <x:v>Approved bilateral grievance</x:v>
      </x:c>
      <x:c r="I1493" s="31" t="n">
        <x:f>IF(G1493="Yes",'Controls &amp; Summary'!$B$5,'Controls &amp; Summary'!$B$4)</x:f>
        <x:v>3</x:v>
      </x:c>
      <x:c r="J1493" s="31" t="n">
        <x:v>3</x:v>
      </x:c>
      <x:c r="K1493" s="31" t="n">
        <x:v>6.4</x:v>
      </x:c>
      <x:c r="L1493" s="31" t="n">
        <x:f>ABS(J1493-K1493)</x:f>
        <x:v>3.4000000000000004</x:v>
      </x:c>
      <x:c r="M1493" s="31" t="n">
        <x:v>3.6</x:v>
      </x:c>
      <x:c r="N1493" s="31" t="n">
        <x:v>4.2</x:v>
      </x:c>
      <x:c r="O1493" s="31" t="n">
        <x:f>ABS(M1493-N1493)</x:f>
        <x:v>0.6000000000000001</x:v>
      </x:c>
      <x:c r="P1493" s="31" t="n">
        <x:v>7.29</x:v>
      </x:c>
      <x:c r="Q1493" s="31" t="n">
        <x:v>7.96</x:v>
      </x:c>
      <x:c r="R1493" s="31" t="n">
        <x:f>ABS(P1493-Q1493)</x:f>
        <x:v>0.6699999999999999</x:v>
      </x:c>
      <x:c r="S1493" s="32" t="n">
        <x:v>4889.591257735797</x:v>
      </x:c>
      <x:c r="T1493" s="32" t="n">
        <x:v>46549.91001952278</x:v>
      </x:c>
      <x:c r="U1493" s="31" t="n">
        <x:f>MAX(S1493/T1493,T1493/S1493)</x:f>
        <x:v>9.52020477087454</x:v>
      </x:c>
      <x:c r="V1493" s="31" t="n">
        <x:f>L1493*'Controls &amp; Summary'!$B$9+O1493*'Controls &amp; Summary'!$B$10+R1493*'Controls &amp; Summary'!$B$11+U1493*'Controls &amp; Summary'!$B$12</x:f>
        <x:v>14.19020477087454</x:v>
      </x:c>
      <x:c r="W1493" s="31" t="n">
        <x:v>7.9</x:v>
      </x:c>
      <x:c r="X1493" s="31" t="n">
        <x:v>0.25</x:v>
      </x:c>
      <x:c r="Y1493" s="31" t="n">
        <x:f>((10-MIN(10,MAX(0,X1493)))/10)*'Controls &amp; Summary'!$B$15+((10-MIN(10,MAX(0,W1493)))/10)*'Controls &amp; Summary'!$B$16</x:f>
        <x:v>1.185</x:v>
      </x:c>
      <x:c r="Z1493" s="31" t="n">
        <x:f>V1493*Y1493</x:f>
        <x:v>16.81539265348633</x:v>
      </x:c>
      <x:c r="AA1493" s="30" t="str">
        <x:f>IF(Z1493&lt;=I1493,"Peaceful","Hostile")</x:f>
        <x:v>Hostile</x:v>
      </x:c>
      <x:c r="AB1493" s="30" t="str">
        <x:f>IF(Z1493&lt;='Controls &amp; Summary'!$B$6,"Eligible","Blocked")</x:f>
        <x:v>Blocked</x:v>
      </x:c>
      <x:c r="AC1493" s="30" t="str">
        <x:v>2070_SYR</x:v>
      </x:c>
      <x:c r="AD1493" s="30" t="str">
        <x:v>2070_LEB</x:v>
      </x:c>
      <x:c r="AE1493" s="30" t="str">
        <x:v>2070_Lebanon</x:v>
      </x:c>
      <x:c r="AF1493" s="30" t="str">
        <x:v>Explicit capitalClaim</x:v>
      </x:c>
      <x:c r="AG1493" s="30" t="str">
        <x:v>Claim2070_SYR2070_Lebanon</x:v>
      </x:c>
      <x:c r="AH1493" s="30" t="str"/>
    </x:row>
    <x:row r="1494">
      <x:c r="A1494" s="30" t="str">
        <x:v>2070</x:v>
      </x:c>
      <x:c r="B1494" s="30" t="str">
        <x:v>Base game</x:v>
      </x:c>
      <x:c r="C1494" s="30" t="str">
        <x:v>Tanzania</x:v>
      </x:c>
      <x:c r="D1494" s="30" t="str">
        <x:v>Congo</x:v>
      </x:c>
      <x:c r="E1494" s="30" t="str">
        <x:v>Starting claim</x:v>
      </x:c>
      <x:c r="F1494" s="30" t="str"/>
      <x:c r="G1494" s="30" t="str">
        <x:v>No</x:v>
      </x:c>
      <x:c r="H1494" s="30" t="str">
        <x:v>Ordinary claim</x:v>
      </x:c>
      <x:c r="I1494" s="31" t="n">
        <x:f>IF(G1494="Yes",'Controls &amp; Summary'!$B$5,'Controls &amp; Summary'!$B$4)</x:f>
        <x:v>6</x:v>
      </x:c>
      <x:c r="J1494" s="31" t="n">
        <x:v>7.4</x:v>
      </x:c>
      <x:c r="K1494" s="31" t="n">
        <x:v>2.8</x:v>
      </x:c>
      <x:c r="L1494" s="31" t="n">
        <x:f>ABS(J1494-K1494)</x:f>
        <x:v>4.6000000000000005</x:v>
      </x:c>
      <x:c r="M1494" s="31" t="n">
        <x:v>3.7</x:v>
      </x:c>
      <x:c r="N1494" s="31" t="n">
        <x:v>4</x:v>
      </x:c>
      <x:c r="O1494" s="31" t="n">
        <x:f>ABS(M1494-N1494)</x:f>
        <x:v>0.2999999999999998</x:v>
      </x:c>
      <x:c r="P1494" s="31" t="n">
        <x:v>6.85</x:v>
      </x:c>
      <x:c r="Q1494" s="31" t="n">
        <x:v>6.88</x:v>
      </x:c>
      <x:c r="R1494" s="31" t="n">
        <x:f>ABS(P1494-Q1494)</x:f>
        <x:v>0.03000000000000025</x:v>
      </x:c>
      <x:c r="S1494" s="32" t="n">
        <x:v>12663.28381112296</x:v>
      </x:c>
      <x:c r="T1494" s="32" t="n">
        <x:v>3690.5998014421943</x:v>
      </x:c>
      <x:c r="U1494" s="31" t="n">
        <x:f>MAX(S1494/T1494,T1494/S1494)</x:f>
        <x:v>3.431226492283033</x:v>
      </x:c>
      <x:c r="V1494" s="31" t="n">
        <x:f>L1494*'Controls &amp; Summary'!$B$9+O1494*'Controls &amp; Summary'!$B$10+R1494*'Controls &amp; Summary'!$B$11+U1494*'Controls &amp; Summary'!$B$12</x:f>
        <x:v>8.361226492283034</x:v>
      </x:c>
      <x:c r="W1494" s="31" t="n">
        <x:v>2.7</x:v>
      </x:c>
      <x:c r="X1494" s="31" t="n">
        <x:v>6</x:v>
      </x:c>
      <x:c r="Y1494" s="31" t="n">
        <x:f>((10-MIN(10,MAX(0,X1494)))/10)*'Controls &amp; Summary'!$B$15+((10-MIN(10,MAX(0,W1494)))/10)*'Controls &amp; Summary'!$B$16</x:f>
        <x:v>1.13</x:v>
      </x:c>
      <x:c r="Z1494" s="31" t="n">
        <x:f>V1494*Y1494</x:f>
        <x:v>9.448185936279828</x:v>
      </x:c>
      <x:c r="AA1494" s="30" t="str">
        <x:f>IF(Z1494&lt;=I1494,"Peaceful","Hostile")</x:f>
        <x:v>Hostile</x:v>
      </x:c>
      <x:c r="AB1494" s="30" t="str">
        <x:f>IF(Z1494&lt;='Controls &amp; Summary'!$B$6,"Eligible","Blocked")</x:f>
        <x:v>Eligible</x:v>
      </x:c>
      <x:c r="AC1494" s="30" t="str">
        <x:v>2070_TZA</x:v>
      </x:c>
      <x:c r="AD1494" s="30" t="str">
        <x:v>2070_COD</x:v>
      </x:c>
      <x:c r="AE1494" s="30" t="str">
        <x:v>2070_Kinshasa</x:v>
      </x:c>
      <x:c r="AF1494" s="30" t="str">
        <x:v>Explicit capitalClaim</x:v>
      </x:c>
      <x:c r="AG1494" s="30" t="str">
        <x:v>Claim2070_TZA2070_Kinshasa</x:v>
      </x:c>
      <x:c r="AH1494" s="30" t="str"/>
    </x:row>
    <x:row r="1495">
      <x:c r="A1495" s="30" t="str">
        <x:v>2070</x:v>
      </x:c>
      <x:c r="B1495" s="30" t="str">
        <x:v>Base game</x:v>
      </x:c>
      <x:c r="C1495" s="30" t="str">
        <x:v>Tanzania</x:v>
      </x:c>
      <x:c r="D1495" s="30" t="str">
        <x:v>Djibouti</x:v>
      </x:c>
      <x:c r="E1495" s="30" t="str">
        <x:v>Starting claim</x:v>
      </x:c>
      <x:c r="F1495" s="30" t="str"/>
      <x:c r="G1495" s="30" t="str">
        <x:v>No</x:v>
      </x:c>
      <x:c r="H1495" s="30" t="str">
        <x:v>Ordinary claim</x:v>
      </x:c>
      <x:c r="I1495" s="31" t="n">
        <x:f>IF(G1495="Yes",'Controls &amp; Summary'!$B$5,'Controls &amp; Summary'!$B$4)</x:f>
        <x:v>6</x:v>
      </x:c>
      <x:c r="J1495" s="31" t="n">
        <x:v>7.4</x:v>
      </x:c>
      <x:c r="K1495" s="31" t="n">
        <x:v>3.8</x:v>
      </x:c>
      <x:c r="L1495" s="31" t="n">
        <x:f>ABS(J1495-K1495)</x:f>
        <x:v>3.6000000000000005</x:v>
      </x:c>
      <x:c r="M1495" s="31" t="n">
        <x:v>3.7</x:v>
      </x:c>
      <x:c r="N1495" s="31" t="n">
        <x:v>4.4</x:v>
      </x:c>
      <x:c r="O1495" s="31" t="n">
        <x:f>ABS(M1495-N1495)</x:f>
        <x:v>0.7000000000000002</x:v>
      </x:c>
      <x:c r="P1495" s="31" t="n">
        <x:v>6.85</x:v>
      </x:c>
      <x:c r="Q1495" s="31" t="n">
        <x:v>5.17</x:v>
      </x:c>
      <x:c r="R1495" s="31" t="n">
        <x:f>ABS(P1495-Q1495)</x:f>
        <x:v>1.6799999999999997</x:v>
      </x:c>
      <x:c r="S1495" s="32" t="n">
        <x:v>12663.28381112296</x:v>
      </x:c>
      <x:c r="T1495" s="32" t="n">
        <x:v>35830.41097909408</x:v>
      </x:c>
      <x:c r="U1495" s="31" t="n">
        <x:f>MAX(S1495/T1495,T1495/S1495)</x:f>
        <x:v>2.8294723164635993</x:v>
      </x:c>
      <x:c r="V1495" s="31" t="n">
        <x:f>L1495*'Controls &amp; Summary'!$B$9+O1495*'Controls &amp; Summary'!$B$10+R1495*'Controls &amp; Summary'!$B$11+U1495*'Controls &amp; Summary'!$B$12</x:f>
        <x:v>8.8094723164636</x:v>
      </x:c>
      <x:c r="W1495" s="31" t="n">
        <x:v>2.7</x:v>
      </x:c>
      <x:c r="X1495" s="31" t="n">
        <x:v>0</x:v>
      </x:c>
      <x:c r="Y1495" s="31" t="n">
        <x:f>((10-MIN(10,MAX(0,X1495)))/10)*'Controls &amp; Summary'!$B$15+((10-MIN(10,MAX(0,W1495)))/10)*'Controls &amp; Summary'!$B$16</x:f>
        <x:v>1.73</x:v>
      </x:c>
      <x:c r="Z1495" s="31" t="n">
        <x:f>V1495*Y1495</x:f>
        <x:v>15.240387107482027</x:v>
      </x:c>
      <x:c r="AA1495" s="30" t="str">
        <x:f>IF(Z1495&lt;=I1495,"Peaceful","Hostile")</x:f>
        <x:v>Hostile</x:v>
      </x:c>
      <x:c r="AB1495" s="30" t="str">
        <x:f>IF(Z1495&lt;='Controls &amp; Summary'!$B$6,"Eligible","Blocked")</x:f>
        <x:v>Blocked</x:v>
      </x:c>
      <x:c r="AC1495" s="30" t="str">
        <x:v>2070_TZA</x:v>
      </x:c>
      <x:c r="AD1495" s="30" t="str">
        <x:v>2070_DJI</x:v>
      </x:c>
      <x:c r="AE1495" s="30" t="str">
        <x:v>2070_Djibouti</x:v>
      </x:c>
      <x:c r="AF1495" s="30" t="str">
        <x:v>Explicit capitalClaim</x:v>
      </x:c>
      <x:c r="AG1495" s="30" t="str">
        <x:v>Claim2070_TZA2070_Djibouti</x:v>
      </x:c>
      <x:c r="AH1495" s="30" t="str"/>
    </x:row>
    <x:row r="1496">
      <x:c r="A1496" s="30" t="str">
        <x:v>2070</x:v>
      </x:c>
      <x:c r="B1496" s="30" t="str">
        <x:v>Base game</x:v>
      </x:c>
      <x:c r="C1496" s="30" t="str">
        <x:v>Tanzania</x:v>
      </x:c>
      <x:c r="D1496" s="30" t="str">
        <x:v>Seychelles</x:v>
      </x:c>
      <x:c r="E1496" s="30" t="str">
        <x:v>Starting claim</x:v>
      </x:c>
      <x:c r="F1496" s="30" t="str"/>
      <x:c r="G1496" s="30" t="str">
        <x:v>No</x:v>
      </x:c>
      <x:c r="H1496" s="30" t="str">
        <x:v>Ordinary claim</x:v>
      </x:c>
      <x:c r="I1496" s="31" t="n">
        <x:f>IF(G1496="Yes",'Controls &amp; Summary'!$B$5,'Controls &amp; Summary'!$B$4)</x:f>
        <x:v>6</x:v>
      </x:c>
      <x:c r="J1496" s="31" t="n">
        <x:v>7.4</x:v>
      </x:c>
      <x:c r="K1496" s="31" t="n">
        <x:v>7.5</x:v>
      </x:c>
      <x:c r="L1496" s="31" t="n">
        <x:f>ABS(J1496-K1496)</x:f>
        <x:v>0.09999999999999964</x:v>
      </x:c>
      <x:c r="M1496" s="31" t="n">
        <x:v>3.7</x:v>
      </x:c>
      <x:c r="N1496" s="31" t="n">
        <x:v>2.8</x:v>
      </x:c>
      <x:c r="O1496" s="31" t="n">
        <x:f>ABS(M1496-N1496)</x:f>
        <x:v>0.9000000000000004</x:v>
      </x:c>
      <x:c r="P1496" s="31" t="n">
        <x:v>6.85</x:v>
      </x:c>
      <x:c r="Q1496" s="31" t="n">
        <x:v>9.18</x:v>
      </x:c>
      <x:c r="R1496" s="31" t="n">
        <x:f>ABS(P1496-Q1496)</x:f>
        <x:v>2.33</x:v>
      </x:c>
      <x:c r="S1496" s="32" t="n">
        <x:v>12663.28381112296</x:v>
      </x:c>
      <x:c r="T1496" s="32" t="n">
        <x:v>238940.117481203</x:v>
      </x:c>
      <x:c r="U1496" s="31" t="n">
        <x:f>MAX(S1496/T1496,T1496/S1496)</x:f>
        <x:v>18.86873271144147</x:v>
      </x:c>
      <x:c r="V1496" s="31" t="n">
        <x:f>L1496*'Controls &amp; Summary'!$B$9+O1496*'Controls &amp; Summary'!$B$10+R1496*'Controls &amp; Summary'!$B$11+U1496*'Controls &amp; Summary'!$B$12</x:f>
        <x:v>22.198732711441473</x:v>
      </x:c>
      <x:c r="W1496" s="31" t="n">
        <x:v>2.7</x:v>
      </x:c>
      <x:c r="X1496" s="31" t="n">
        <x:v>0</x:v>
      </x:c>
      <x:c r="Y1496" s="31" t="n">
        <x:f>((10-MIN(10,MAX(0,X1496)))/10)*'Controls &amp; Summary'!$B$15+((10-MIN(10,MAX(0,W1496)))/10)*'Controls &amp; Summary'!$B$16</x:f>
        <x:v>1.73</x:v>
      </x:c>
      <x:c r="Z1496" s="31" t="n">
        <x:f>V1496*Y1496</x:f>
        <x:v>38.40380759079375</x:v>
      </x:c>
      <x:c r="AA1496" s="30" t="str">
        <x:f>IF(Z1496&lt;=I1496,"Peaceful","Hostile")</x:f>
        <x:v>Hostile</x:v>
      </x:c>
      <x:c r="AB1496" s="30" t="str">
        <x:f>IF(Z1496&lt;='Controls &amp; Summary'!$B$6,"Eligible","Blocked")</x:f>
        <x:v>Blocked</x:v>
      </x:c>
      <x:c r="AC1496" s="30" t="str">
        <x:v>2070_TZA</x:v>
      </x:c>
      <x:c r="AD1496" s="30" t="str">
        <x:v>2070_SYC</x:v>
      </x:c>
      <x:c r="AE1496" s="30" t="str">
        <x:v>2070_Seychelles</x:v>
      </x:c>
      <x:c r="AF1496" s="30" t="str">
        <x:v>Explicit capitalClaim</x:v>
      </x:c>
      <x:c r="AG1496" s="30" t="str">
        <x:v>Claim2070_TZA2070_Seychelles</x:v>
      </x:c>
      <x:c r="AH1496" s="30" t="str"/>
    </x:row>
    <x:row r="1497">
      <x:c r="A1497" s="30" t="str">
        <x:v>2070</x:v>
      </x:c>
      <x:c r="B1497" s="30" t="str">
        <x:v>Base game</x:v>
      </x:c>
      <x:c r="C1497" s="30" t="str">
        <x:v>Thailand</x:v>
      </x:c>
      <x:c r="D1497" s="30" t="str">
        <x:v>Brunei</x:v>
      </x:c>
      <x:c r="E1497" s="30" t="str">
        <x:v>Project unlock</x:v>
      </x:c>
      <x:c r="F1497" s="30" t="str">
        <x:v>Southeast Asian Alliance</x:v>
      </x:c>
      <x:c r="G1497" s="30" t="str">
        <x:v>No</x:v>
      </x:c>
      <x:c r="H1497" s="30" t="str">
        <x:v>Ordinary claim</x:v>
      </x:c>
      <x:c r="I1497" s="31" t="n">
        <x:f>IF(G1497="Yes",'Controls &amp; Summary'!$B$5,'Controls &amp; Summary'!$B$4)</x:f>
        <x:v>6</x:v>
      </x:c>
      <x:c r="J1497" s="31" t="n">
        <x:v>7.1</x:v>
      </x:c>
      <x:c r="K1497" s="31" t="n">
        <x:v>2.8</x:v>
      </x:c>
      <x:c r="L1497" s="31" t="n">
        <x:f>ABS(J1497-K1497)</x:f>
        <x:v>4.3</x:v>
      </x:c>
      <x:c r="M1497" s="31" t="n">
        <x:v>2.4</x:v>
      </x:c>
      <x:c r="N1497" s="31" t="n">
        <x:v>4.1</x:v>
      </x:c>
      <x:c r="O1497" s="31" t="n">
        <x:f>ABS(M1497-N1497)</x:f>
        <x:v>1.6999999999999997</x:v>
      </x:c>
      <x:c r="P1497" s="31" t="n">
        <x:v>8.74</x:v>
      </x:c>
      <x:c r="Q1497" s="31" t="n">
        <x:v>8.94</x:v>
      </x:c>
      <x:c r="R1497" s="31" t="n">
        <x:f>ABS(P1497-Q1497)</x:f>
        <x:v>0.1999999999999993</x:v>
      </x:c>
      <x:c r="S1497" s="32" t="n">
        <x:v>39240.24965574673</x:v>
      </x:c>
      <x:c r="T1497" s="32" t="n">
        <x:v>246306.17522700588</x:v>
      </x:c>
      <x:c r="U1497" s="31" t="n">
        <x:f>MAX(S1497/T1497,T1497/S1497)</x:f>
        <x:v>6.276875845282355</x:v>
      </x:c>
      <x:c r="V1497" s="31" t="n">
        <x:f>L1497*'Controls &amp; Summary'!$B$9+O1497*'Controls &amp; Summary'!$B$10+R1497*'Controls &amp; Summary'!$B$11+U1497*'Controls &amp; Summary'!$B$12</x:f>
        <x:v>12.476875845282354</x:v>
      </x:c>
      <x:c r="W1497" s="31" t="n">
        <x:v>4.5</x:v>
      </x:c>
      <x:c r="X1497" s="31" t="n">
        <x:v>0</x:v>
      </x:c>
      <x:c r="Y1497" s="31" t="n">
        <x:f>((10-MIN(10,MAX(0,X1497)))/10)*'Controls &amp; Summary'!$B$15+((10-MIN(10,MAX(0,W1497)))/10)*'Controls &amp; Summary'!$B$16</x:f>
        <x:v>1.55</x:v>
      </x:c>
      <x:c r="Z1497" s="31" t="n">
        <x:f>V1497*Y1497</x:f>
        <x:v>19.33915756018765</x:v>
      </x:c>
      <x:c r="AA1497" s="30" t="str">
        <x:f>IF(Z1497&lt;=I1497,"Peaceful","Hostile")</x:f>
        <x:v>Hostile</x:v>
      </x:c>
      <x:c r="AB1497" s="30" t="str">
        <x:f>IF(Z1497&lt;='Controls &amp; Summary'!$B$6,"Eligible","Blocked")</x:f>
        <x:v>Blocked</x:v>
      </x:c>
      <x:c r="AC1497" s="30" t="str">
        <x:v>2070_THA</x:v>
      </x:c>
      <x:c r="AD1497" s="30" t="str">
        <x:v>2070_BRU</x:v>
      </x:c>
      <x:c r="AE1497" s="30" t="str">
        <x:v>2070_Brunei</x:v>
      </x:c>
      <x:c r="AF1497" s="30" t="str">
        <x:v>Explicit capitalClaim</x:v>
      </x:c>
      <x:c r="AG1497" s="30" t="str">
        <x:v>Claim2070_THA2070_Brunei</x:v>
      </x:c>
      <x:c r="AH1497" s="30" t="str">
        <x:v>Project_SoutheastAsianAlliance</x:v>
      </x:c>
    </x:row>
    <x:row r="1498">
      <x:c r="A1498" s="30" t="str">
        <x:v>2070</x:v>
      </x:c>
      <x:c r="B1498" s="30" t="str">
        <x:v>Base game</x:v>
      </x:c>
      <x:c r="C1498" s="30" t="str">
        <x:v>Thailand</x:v>
      </x:c>
      <x:c r="D1498" s="30" t="str">
        <x:v>Indonesia</x:v>
      </x:c>
      <x:c r="E1498" s="30" t="str">
        <x:v>Project unlock</x:v>
      </x:c>
      <x:c r="F1498" s="30" t="str">
        <x:v>Southeast Asian Alliance</x:v>
      </x:c>
      <x:c r="G1498" s="30" t="str">
        <x:v>No</x:v>
      </x:c>
      <x:c r="H1498" s="30" t="str">
        <x:v>Ordinary claim</x:v>
      </x:c>
      <x:c r="I1498" s="31" t="n">
        <x:f>IF(G1498="Yes",'Controls &amp; Summary'!$B$5,'Controls &amp; Summary'!$B$4)</x:f>
        <x:v>6</x:v>
      </x:c>
      <x:c r="J1498" s="31" t="n">
        <x:v>7.1</x:v>
      </x:c>
      <x:c r="K1498" s="31" t="n">
        <x:v>7.8</x:v>
      </x:c>
      <x:c r="L1498" s="31" t="n">
        <x:f>ABS(J1498-K1498)</x:f>
        <x:v>0.7000000000000002</x:v>
      </x:c>
      <x:c r="M1498" s="31" t="n">
        <x:v>2.4</x:v>
      </x:c>
      <x:c r="N1498" s="31" t="n">
        <x:v>3.6</x:v>
      </x:c>
      <x:c r="O1498" s="31" t="n">
        <x:f>ABS(M1498-N1498)</x:f>
        <x:v>1.2000000000000002</x:v>
      </x:c>
      <x:c r="P1498" s="31" t="n">
        <x:v>8.74</x:v>
      </x:c>
      <x:c r="Q1498" s="31" t="n">
        <x:v>8.42</x:v>
      </x:c>
      <x:c r="R1498" s="31" t="n">
        <x:f>ABS(P1498-Q1498)</x:f>
        <x:v>0.3200000000000003</x:v>
      </x:c>
      <x:c r="S1498" s="32" t="n">
        <x:v>39240.24965574673</x:v>
      </x:c>
      <x:c r="T1498" s="32" t="n">
        <x:v>45979.808244614906</x:v>
      </x:c>
      <x:c r="U1498" s="31" t="n">
        <x:f>MAX(S1498/T1498,T1498/S1498)</x:f>
        <x:v>1.1717511648879422</x:v>
      </x:c>
      <x:c r="V1498" s="31" t="n">
        <x:f>L1498*'Controls &amp; Summary'!$B$9+O1498*'Controls &amp; Summary'!$B$10+R1498*'Controls &amp; Summary'!$B$11+U1498*'Controls &amp; Summary'!$B$12</x:f>
        <x:v>3.3917511648879426</x:v>
      </x:c>
      <x:c r="W1498" s="31" t="n">
        <x:v>4.5</x:v>
      </x:c>
      <x:c r="X1498" s="31" t="n">
        <x:v>3.1</x:v>
      </x:c>
      <x:c r="Y1498" s="31" t="n">
        <x:f>((10-MIN(10,MAX(0,X1498)))/10)*'Controls &amp; Summary'!$B$15+((10-MIN(10,MAX(0,W1498)))/10)*'Controls &amp; Summary'!$B$16</x:f>
        <x:v>1.2400000000000002</x:v>
      </x:c>
      <x:c r="Z1498" s="31" t="n">
        <x:f>V1498*Y1498</x:f>
        <x:v>4.20577144446105</x:v>
      </x:c>
      <x:c r="AA1498" s="30" t="str">
        <x:f>IF(Z1498&lt;=I1498,"Peaceful","Hostile")</x:f>
        <x:v>Peaceful</x:v>
      </x:c>
      <x:c r="AB1498" s="30" t="str">
        <x:f>IF(Z1498&lt;='Controls &amp; Summary'!$B$6,"Eligible","Blocked")</x:f>
        <x:v>Eligible</x:v>
      </x:c>
      <x:c r="AC1498" s="30" t="str">
        <x:v>2070_THA</x:v>
      </x:c>
      <x:c r="AD1498" s="30" t="str">
        <x:v>2070_IDN</x:v>
      </x:c>
      <x:c r="AE1498" s="30" t="str">
        <x:v>2070_Borneo</x:v>
      </x:c>
      <x:c r="AF1498" s="30" t="str">
        <x:v>Explicit capitalClaim</x:v>
      </x:c>
      <x:c r="AG1498" s="30" t="str">
        <x:v>Claim2070_THA2070_Borneo</x:v>
      </x:c>
      <x:c r="AH1498" s="30" t="str">
        <x:v>Project_SoutheastAsianAlliance</x:v>
      </x:c>
    </x:row>
    <x:row r="1499">
      <x:c r="A1499" s="30" t="str">
        <x:v>2070</x:v>
      </x:c>
      <x:c r="B1499" s="30" t="str">
        <x:v>Base game</x:v>
      </x:c>
      <x:c r="C1499" s="30" t="str">
        <x:v>Thailand</x:v>
      </x:c>
      <x:c r="D1499" s="30" t="str">
        <x:v>Malaysia</x:v>
      </x:c>
      <x:c r="E1499" s="30" t="str">
        <x:v>Project unlock</x:v>
      </x:c>
      <x:c r="F1499" s="30" t="str">
        <x:v>Southeast Asian Alliance</x:v>
      </x:c>
      <x:c r="G1499" s="30" t="str">
        <x:v>No</x:v>
      </x:c>
      <x:c r="H1499" s="30" t="str">
        <x:v>Ordinary claim</x:v>
      </x:c>
      <x:c r="I1499" s="31" t="n">
        <x:f>IF(G1499="Yes",'Controls &amp; Summary'!$B$5,'Controls &amp; Summary'!$B$4)</x:f>
        <x:v>6</x:v>
      </x:c>
      <x:c r="J1499" s="31" t="n">
        <x:v>7.1</x:v>
      </x:c>
      <x:c r="K1499" s="31" t="n">
        <x:v>8.2</x:v>
      </x:c>
      <x:c r="L1499" s="31" t="n">
        <x:f>ABS(J1499-K1499)</x:f>
        <x:v>1.0999999999999996</x:v>
      </x:c>
      <x:c r="M1499" s="31" t="n">
        <x:v>2.4</x:v>
      </x:c>
      <x:c r="N1499" s="31" t="n">
        <x:v>3.2</x:v>
      </x:c>
      <x:c r="O1499" s="31" t="n">
        <x:f>ABS(M1499-N1499)</x:f>
        <x:v>0.8000000000000003</x:v>
      </x:c>
      <x:c r="P1499" s="31" t="n">
        <x:v>8.74</x:v>
      </x:c>
      <x:c r="Q1499" s="31" t="n">
        <x:v>9.18</x:v>
      </x:c>
      <x:c r="R1499" s="31" t="n">
        <x:f>ABS(P1499-Q1499)</x:f>
        <x:v>0.4399999999999995</x:v>
      </x:c>
      <x:c r="S1499" s="32" t="n">
        <x:v>39240.24965574673</x:v>
      </x:c>
      <x:c r="T1499" s="32" t="n">
        <x:v>72495.54134757294</x:v>
      </x:c>
      <x:c r="U1499" s="31" t="n">
        <x:f>MAX(S1499/T1499,T1499/S1499)</x:f>
        <x:v>1.8474791058561977</x:v>
      </x:c>
      <x:c r="V1499" s="31" t="n">
        <x:f>L1499*'Controls &amp; Summary'!$B$9+O1499*'Controls &amp; Summary'!$B$10+R1499*'Controls &amp; Summary'!$B$11+U1499*'Controls &amp; Summary'!$B$12</x:f>
        <x:v>4.187479105856197</x:v>
      </x:c>
      <x:c r="W1499" s="31" t="n">
        <x:v>4.5</x:v>
      </x:c>
      <x:c r="X1499" s="31" t="n">
        <x:v>0</x:v>
      </x:c>
      <x:c r="Y1499" s="31" t="n">
        <x:f>((10-MIN(10,MAX(0,X1499)))/10)*'Controls &amp; Summary'!$B$15+((10-MIN(10,MAX(0,W1499)))/10)*'Controls &amp; Summary'!$B$16</x:f>
        <x:v>1.55</x:v>
      </x:c>
      <x:c r="Z1499" s="31" t="n">
        <x:f>V1499*Y1499</x:f>
        <x:v>6.490592614077106</x:v>
      </x:c>
      <x:c r="AA1499" s="30" t="str">
        <x:f>IF(Z1499&lt;=I1499,"Peaceful","Hostile")</x:f>
        <x:v>Hostile</x:v>
      </x:c>
      <x:c r="AB1499" s="30" t="str">
        <x:f>IF(Z1499&lt;='Controls &amp; Summary'!$B$6,"Eligible","Blocked")</x:f>
        <x:v>Eligible</x:v>
      </x:c>
      <x:c r="AC1499" s="30" t="str">
        <x:v>2070_THA</x:v>
      </x:c>
      <x:c r="AD1499" s="30" t="str">
        <x:v>2070_MYS</x:v>
      </x:c>
      <x:c r="AE1499" s="30" t="str">
        <x:v>2070_MalayPeninsula</x:v>
      </x:c>
      <x:c r="AF1499" s="30" t="str">
        <x:v>Explicit capitalClaim</x:v>
      </x:c>
      <x:c r="AG1499" s="30" t="str">
        <x:v>Claim2070_THA2070_MalayPeninsula</x:v>
      </x:c>
      <x:c r="AH1499" s="30" t="str">
        <x:v>Project_SoutheastAsianAlliance</x:v>
      </x:c>
    </x:row>
    <x:row r="1500">
      <x:c r="A1500" s="30" t="str">
        <x:v>2070</x:v>
      </x:c>
      <x:c r="B1500" s="30" t="str">
        <x:v>Base game</x:v>
      </x:c>
      <x:c r="C1500" s="30" t="str">
        <x:v>Thailand</x:v>
      </x:c>
      <x:c r="D1500" s="30" t="str">
        <x:v>Singapore</x:v>
      </x:c>
      <x:c r="E1500" s="30" t="str">
        <x:v>Project unlock</x:v>
      </x:c>
      <x:c r="F1500" s="30" t="str">
        <x:v>Southeast Asian Alliance</x:v>
      </x:c>
      <x:c r="G1500" s="30" t="str">
        <x:v>No</x:v>
      </x:c>
      <x:c r="H1500" s="30" t="str">
        <x:v>Ordinary claim</x:v>
      </x:c>
      <x:c r="I1500" s="31" t="n">
        <x:f>IF(G1500="Yes",'Controls &amp; Summary'!$B$5,'Controls &amp; Summary'!$B$4)</x:f>
        <x:v>6</x:v>
      </x:c>
      <x:c r="J1500" s="31" t="n">
        <x:v>7.1</x:v>
      </x:c>
      <x:c r="K1500" s="31" t="n">
        <x:v>5.8</x:v>
      </x:c>
      <x:c r="L1500" s="31" t="n">
        <x:f>ABS(J1500-K1500)</x:f>
        <x:v>1.2999999999999998</x:v>
      </x:c>
      <x:c r="M1500" s="31" t="n">
        <x:v>2.4</x:v>
      </x:c>
      <x:c r="N1500" s="31" t="n">
        <x:v>3.7</x:v>
      </x:c>
      <x:c r="O1500" s="31" t="n">
        <x:f>ABS(M1500-N1500)</x:f>
        <x:v>1.3000000000000003</x:v>
      </x:c>
      <x:c r="P1500" s="31" t="n">
        <x:v>8.74</x:v>
      </x:c>
      <x:c r="Q1500" s="31" t="n">
        <x:v>10.36</x:v>
      </x:c>
      <x:c r="R1500" s="31" t="n">
        <x:f>ABS(P1500-Q1500)</x:f>
        <x:v>1.6199999999999992</x:v>
      </x:c>
      <x:c r="S1500" s="32" t="n">
        <x:v>39240.24965574673</x:v>
      </x:c>
      <x:c r="T1500" s="32" t="n">
        <x:v>413433.6030625111</x:v>
      </x:c>
      <x:c r="U1500" s="31" t="n">
        <x:f>MAX(S1500/T1500,T1500/S1500)</x:f>
        <x:v>10.535957510198047</x:v>
      </x:c>
      <x:c r="V1500" s="31" t="n">
        <x:f>L1500*'Controls &amp; Summary'!$B$9+O1500*'Controls &amp; Summary'!$B$10+R1500*'Controls &amp; Summary'!$B$11+U1500*'Controls &amp; Summary'!$B$12</x:f>
        <x:v>14.755957510198046</x:v>
      </x:c>
      <x:c r="W1500" s="31" t="n">
        <x:v>4.5</x:v>
      </x:c>
      <x:c r="X1500" s="31" t="n">
        <x:v>0</x:v>
      </x:c>
      <x:c r="Y1500" s="31" t="n">
        <x:f>((10-MIN(10,MAX(0,X1500)))/10)*'Controls &amp; Summary'!$B$15+((10-MIN(10,MAX(0,W1500)))/10)*'Controls &amp; Summary'!$B$16</x:f>
        <x:v>1.55</x:v>
      </x:c>
      <x:c r="Z1500" s="31" t="n">
        <x:f>V1500*Y1500</x:f>
        <x:v>22.87173414080697</x:v>
      </x:c>
      <x:c r="AA1500" s="30" t="str">
        <x:f>IF(Z1500&lt;=I1500,"Peaceful","Hostile")</x:f>
        <x:v>Hostile</x:v>
      </x:c>
      <x:c r="AB1500" s="30" t="str">
        <x:f>IF(Z1500&lt;='Controls &amp; Summary'!$B$6,"Eligible","Blocked")</x:f>
        <x:v>Blocked</x:v>
      </x:c>
      <x:c r="AC1500" s="30" t="str">
        <x:v>2070_THA</x:v>
      </x:c>
      <x:c r="AD1500" s="30" t="str">
        <x:v>2070_SGP</x:v>
      </x:c>
      <x:c r="AE1500" s="30" t="str">
        <x:v>2070_Singapore</x:v>
      </x:c>
      <x:c r="AF1500" s="30" t="str">
        <x:v>Explicit capitalClaim</x:v>
      </x:c>
      <x:c r="AG1500" s="30" t="str">
        <x:v>Claim2070_THA2070_Singapore</x:v>
      </x:c>
      <x:c r="AH1500" s="30" t="str">
        <x:v>Project_SoutheastAsianAlliance</x:v>
      </x:c>
    </x:row>
    <x:row r="1501">
      <x:c r="A1501" s="30" t="str">
        <x:v>2070</x:v>
      </x:c>
      <x:c r="B1501" s="30" t="str">
        <x:v>Base game</x:v>
      </x:c>
      <x:c r="C1501" s="30" t="str">
        <x:v>Thailand</x:v>
      </x:c>
      <x:c r="D1501" s="30" t="str">
        <x:v>Timor-Leste</x:v>
      </x:c>
      <x:c r="E1501" s="30" t="str">
        <x:v>Project unlock</x:v>
      </x:c>
      <x:c r="F1501" s="30" t="str">
        <x:v>Southeast Asian Alliance</x:v>
      </x:c>
      <x:c r="G1501" s="30" t="str">
        <x:v>No</x:v>
      </x:c>
      <x:c r="H1501" s="30" t="str">
        <x:v>Ordinary claim</x:v>
      </x:c>
      <x:c r="I1501" s="31" t="n">
        <x:f>IF(G1501="Yes",'Controls &amp; Summary'!$B$5,'Controls &amp; Summary'!$B$4)</x:f>
        <x:v>6</x:v>
      </x:c>
      <x:c r="J1501" s="31" t="n">
        <x:v>7.1</x:v>
      </x:c>
      <x:c r="K1501" s="31" t="n">
        <x:v>8.2</x:v>
      </x:c>
      <x:c r="L1501" s="31" t="n">
        <x:f>ABS(J1501-K1501)</x:f>
        <x:v>1.0999999999999996</x:v>
      </x:c>
      <x:c r="M1501" s="31" t="n">
        <x:v>2.4</x:v>
      </x:c>
      <x:c r="N1501" s="31" t="n">
        <x:v>2.5</x:v>
      </x:c>
      <x:c r="O1501" s="31" t="n">
        <x:f>ABS(M1501-N1501)</x:f>
        <x:v>0.10000000000000009</x:v>
      </x:c>
      <x:c r="P1501" s="31" t="n">
        <x:v>8.74</x:v>
      </x:c>
      <x:c r="Q1501" s="31" t="n">
        <x:v>7.02</x:v>
      </x:c>
      <x:c r="R1501" s="31" t="n">
        <x:f>ABS(P1501-Q1501)</x:f>
        <x:v>1.7200000000000006</x:v>
      </x:c>
      <x:c r="S1501" s="32" t="n">
        <x:v>39240.24965574673</x:v>
      </x:c>
      <x:c r="T1501" s="32" t="n">
        <x:v>6760.294047160733</x:v>
      </x:c>
      <x:c r="U1501" s="31" t="n">
        <x:f>MAX(S1501/T1501,T1501/S1501)</x:f>
        <x:v>5.8045181736181</x:v>
      </x:c>
      <x:c r="V1501" s="31" t="n">
        <x:f>L1501*'Controls &amp; Summary'!$B$9+O1501*'Controls &amp; Summary'!$B$10+R1501*'Controls &amp; Summary'!$B$11+U1501*'Controls &amp; Summary'!$B$12</x:f>
        <x:v>8.724518173618101</x:v>
      </x:c>
      <x:c r="W1501" s="31" t="n">
        <x:v>4.5</x:v>
      </x:c>
      <x:c r="X1501" s="31" t="n">
        <x:v>0.4</x:v>
      </x:c>
      <x:c r="Y1501" s="31" t="n">
        <x:f>((10-MIN(10,MAX(0,X1501)))/10)*'Controls &amp; Summary'!$B$15+((10-MIN(10,MAX(0,W1501)))/10)*'Controls &amp; Summary'!$B$16</x:f>
        <x:v>1.51</x:v>
      </x:c>
      <x:c r="Z1501" s="31" t="n">
        <x:f>V1501*Y1501</x:f>
        <x:v>13.174022442163333</x:v>
      </x:c>
      <x:c r="AA1501" s="30" t="str">
        <x:f>IF(Z1501&lt;=I1501,"Peaceful","Hostile")</x:f>
        <x:v>Hostile</x:v>
      </x:c>
      <x:c r="AB1501" s="30" t="str">
        <x:f>IF(Z1501&lt;='Controls &amp; Summary'!$B$6,"Eligible","Blocked")</x:f>
        <x:v>Blocked</x:v>
      </x:c>
      <x:c r="AC1501" s="30" t="str">
        <x:v>2070_THA</x:v>
      </x:c>
      <x:c r="AD1501" s="30" t="str">
        <x:v>2070_TLS</x:v>
      </x:c>
      <x:c r="AE1501" s="30" t="str">
        <x:v>2070_TimorLeste</x:v>
      </x:c>
      <x:c r="AF1501" s="30" t="str">
        <x:v>Explicit capitalClaim</x:v>
      </x:c>
      <x:c r="AG1501" s="30" t="str">
        <x:v>Claim2070_THA2070_TimorLeste</x:v>
      </x:c>
      <x:c r="AH1501" s="30" t="str">
        <x:v>Project_SoutheastAsianAlliance</x:v>
      </x:c>
    </x:row>
    <x:row r="1502">
      <x:c r="A1502" s="30" t="str">
        <x:v>2070</x:v>
      </x:c>
      <x:c r="B1502" s="30" t="str">
        <x:v>Base game</x:v>
      </x:c>
      <x:c r="C1502" s="30" t="str">
        <x:v>Turkey</x:v>
      </x:c>
      <x:c r="D1502" s="30" t="str">
        <x:v>Armenia</x:v>
      </x:c>
      <x:c r="E1502" s="30" t="str">
        <x:v>Project unlock</x:v>
      </x:c>
      <x:c r="F1502" s="30" t="str">
        <x:v>United Turkestan</x:v>
      </x:c>
      <x:c r="G1502" s="30" t="str">
        <x:v>No</x:v>
      </x:c>
      <x:c r="H1502" s="30" t="str">
        <x:v>Ordinary claim</x:v>
      </x:c>
      <x:c r="I1502" s="31" t="n">
        <x:f>IF(G1502="Yes",'Controls &amp; Summary'!$B$5,'Controls &amp; Summary'!$B$4)</x:f>
        <x:v>6</x:v>
      </x:c>
      <x:c r="J1502" s="31" t="n">
        <x:v>6.1</x:v>
      </x:c>
      <x:c r="K1502" s="31" t="n">
        <x:v>5.5</x:v>
      </x:c>
      <x:c r="L1502" s="31" t="n">
        <x:f>ABS(J1502-K1502)</x:f>
        <x:v>0.5999999999999996</x:v>
      </x:c>
      <x:c r="M1502" s="31" t="n">
        <x:v>4.2</x:v>
      </x:c>
      <x:c r="N1502" s="31" t="n">
        <x:v>2.6</x:v>
      </x:c>
      <x:c r="O1502" s="31" t="n">
        <x:f>ABS(M1502-N1502)</x:f>
        <x:v>1.6</x:v>
      </x:c>
      <x:c r="P1502" s="31" t="n">
        <x:v>9.23</x:v>
      </x:c>
      <x:c r="Q1502" s="31" t="n">
        <x:v>9.32</x:v>
      </x:c>
      <x:c r="R1502" s="31" t="n">
        <x:f>ABS(P1502-Q1502)</x:f>
        <x:v>0.08999999999999986</x:v>
      </x:c>
      <x:c r="S1502" s="32" t="n">
        <x:v>103771.60174334687</x:v>
      </x:c>
      <x:c r="T1502" s="32" t="n">
        <x:v>37331.960160689334</x:v>
      </x:c>
      <x:c r="U1502" s="31" t="n">
        <x:f>MAX(S1502/T1502,T1502/S1502)</x:f>
        <x:v>2.7796987165066858</x:v>
      </x:c>
      <x:c r="V1502" s="31" t="n">
        <x:f>L1502*'Controls &amp; Summary'!$B$9+O1502*'Controls &amp; Summary'!$B$10+R1502*'Controls &amp; Summary'!$B$11+U1502*'Controls &amp; Summary'!$B$12</x:f>
        <x:v>5.069698716506686</x:v>
      </x:c>
      <x:c r="W1502" s="31" t="n">
        <x:v>1.9</x:v>
      </x:c>
      <x:c r="X1502" s="31" t="n">
        <x:v>0</x:v>
      </x:c>
      <x:c r="Y1502" s="31" t="n">
        <x:f>((10-MIN(10,MAX(0,X1502)))/10)*'Controls &amp; Summary'!$B$15+((10-MIN(10,MAX(0,W1502)))/10)*'Controls &amp; Summary'!$B$16</x:f>
        <x:v>1.81</x:v>
      </x:c>
      <x:c r="Z1502" s="31" t="n">
        <x:f>V1502*Y1502</x:f>
        <x:v>9.176154676877102</x:v>
      </x:c>
      <x:c r="AA1502" s="30" t="str">
        <x:f>IF(Z1502&lt;=I1502,"Peaceful","Hostile")</x:f>
        <x:v>Hostile</x:v>
      </x:c>
      <x:c r="AB1502" s="30" t="str">
        <x:f>IF(Z1502&lt;='Controls &amp; Summary'!$B$6,"Eligible","Blocked")</x:f>
        <x:v>Eligible</x:v>
      </x:c>
      <x:c r="AC1502" s="30" t="str">
        <x:v>2070_TUR</x:v>
      </x:c>
      <x:c r="AD1502" s="30" t="str">
        <x:v>2070_ARM</x:v>
      </x:c>
      <x:c r="AE1502" s="30" t="str">
        <x:v>2070_Armenia</x:v>
      </x:c>
      <x:c r="AF1502" s="30" t="str">
        <x:v>Explicit capitalClaim</x:v>
      </x:c>
      <x:c r="AG1502" s="30" t="str">
        <x:v>Claim2070_TUR2070_Armenia</x:v>
      </x:c>
      <x:c r="AH1502" s="30" t="str">
        <x:v>Project_UnitedTurkestan</x:v>
      </x:c>
    </x:row>
    <x:row r="1503">
      <x:c r="A1503" s="30" t="str">
        <x:v>2070</x:v>
      </x:c>
      <x:c r="B1503" s="30" t="str">
        <x:v>Base game</x:v>
      </x:c>
      <x:c r="C1503" s="30" t="str">
        <x:v>Turkey</x:v>
      </x:c>
      <x:c r="D1503" s="30" t="str">
        <x:v>Azerbaijan</x:v>
      </x:c>
      <x:c r="E1503" s="30" t="str">
        <x:v>Project unlock</x:v>
      </x:c>
      <x:c r="F1503" s="30" t="str">
        <x:v>United Turkestan</x:v>
      </x:c>
      <x:c r="G1503" s="30" t="str">
        <x:v>No</x:v>
      </x:c>
      <x:c r="H1503" s="30" t="str">
        <x:v>Ordinary claim</x:v>
      </x:c>
      <x:c r="I1503" s="31" t="n">
        <x:f>IF(G1503="Yes",'Controls &amp; Summary'!$B$5,'Controls &amp; Summary'!$B$4)</x:f>
        <x:v>6</x:v>
      </x:c>
      <x:c r="J1503" s="31" t="n">
        <x:v>6.1</x:v>
      </x:c>
      <x:c r="K1503" s="31" t="n">
        <x:v>6</x:v>
      </x:c>
      <x:c r="L1503" s="31" t="n">
        <x:f>ABS(J1503-K1503)</x:f>
        <x:v>0.09999999999999964</x:v>
      </x:c>
      <x:c r="M1503" s="31" t="n">
        <x:v>4.2</x:v>
      </x:c>
      <x:c r="N1503" s="31" t="n">
        <x:v>3.2</x:v>
      </x:c>
      <x:c r="O1503" s="31" t="n">
        <x:f>ABS(M1503-N1503)</x:f>
        <x:v>1</x:v>
      </x:c>
      <x:c r="P1503" s="31" t="n">
        <x:v>9.23</x:v>
      </x:c>
      <x:c r="Q1503" s="31" t="n">
        <x:v>9.03</x:v>
      </x:c>
      <x:c r="R1503" s="31" t="n">
        <x:f>ABS(P1503-Q1503)</x:f>
        <x:v>0.20000000000000107</x:v>
      </x:c>
      <x:c r="S1503" s="32" t="n">
        <x:v>103771.60174334687</x:v>
      </x:c>
      <x:c r="T1503" s="32" t="n">
        <x:v>27469.022516320747</x:v>
      </x:c>
      <x:c r="U1503" s="31" t="n">
        <x:f>MAX(S1503/T1503,T1503/S1503)</x:f>
        <x:v>3.777768272667543</x:v>
      </x:c>
      <x:c r="V1503" s="31" t="n">
        <x:f>L1503*'Controls &amp; Summary'!$B$9+O1503*'Controls &amp; Summary'!$B$10+R1503*'Controls &amp; Summary'!$B$11+U1503*'Controls &amp; Summary'!$B$12</x:f>
        <x:v>5.0777682726675435</x:v>
      </x:c>
      <x:c r="W1503" s="31" t="n">
        <x:v>1.9</x:v>
      </x:c>
      <x:c r="X1503" s="31" t="n">
        <x:v>1.1</x:v>
      </x:c>
      <x:c r="Y1503" s="31" t="n">
        <x:f>((10-MIN(10,MAX(0,X1503)))/10)*'Controls &amp; Summary'!$B$15+((10-MIN(10,MAX(0,W1503)))/10)*'Controls &amp; Summary'!$B$16</x:f>
        <x:v>1.7</x:v>
      </x:c>
      <x:c r="Z1503" s="31" t="n">
        <x:f>V1503*Y1503</x:f>
        <x:v>8.632206063534824</x:v>
      </x:c>
      <x:c r="AA1503" s="30" t="str">
        <x:f>IF(Z1503&lt;=I1503,"Peaceful","Hostile")</x:f>
        <x:v>Hostile</x:v>
      </x:c>
      <x:c r="AB1503" s="30" t="str">
        <x:f>IF(Z1503&lt;='Controls &amp; Summary'!$B$6,"Eligible","Blocked")</x:f>
        <x:v>Eligible</x:v>
      </x:c>
      <x:c r="AC1503" s="30" t="str">
        <x:v>2070_TUR</x:v>
      </x:c>
      <x:c r="AD1503" s="30" t="str">
        <x:v>2070_AZE</x:v>
      </x:c>
      <x:c r="AE1503" s="30" t="str">
        <x:v>2070_Azerbaijan</x:v>
      </x:c>
      <x:c r="AF1503" s="30" t="str">
        <x:v>Explicit capitalClaim</x:v>
      </x:c>
      <x:c r="AG1503" s="30" t="str">
        <x:v>Claim2070_TUR2070_Azerbaijan</x:v>
      </x:c>
      <x:c r="AH1503" s="30" t="str">
        <x:v>Project_UnitedTurkestan</x:v>
      </x:c>
    </x:row>
    <x:row r="1504">
      <x:c r="A1504" s="30" t="str">
        <x:v>2070</x:v>
      </x:c>
      <x:c r="B1504" s="30" t="str">
        <x:v>Base game</x:v>
      </x:c>
      <x:c r="C1504" s="30" t="str">
        <x:v>Turkey</x:v>
      </x:c>
      <x:c r="D1504" s="30" t="str">
        <x:v>Kazakhstan</x:v>
      </x:c>
      <x:c r="E1504" s="30" t="str">
        <x:v>Project unlock</x:v>
      </x:c>
      <x:c r="F1504" s="30" t="str">
        <x:v>United Turkestan</x:v>
      </x:c>
      <x:c r="G1504" s="30" t="str">
        <x:v>No</x:v>
      </x:c>
      <x:c r="H1504" s="30" t="str">
        <x:v>Ordinary claim</x:v>
      </x:c>
      <x:c r="I1504" s="31" t="n">
        <x:f>IF(G1504="Yes",'Controls &amp; Summary'!$B$5,'Controls &amp; Summary'!$B$4)</x:f>
        <x:v>6</x:v>
      </x:c>
      <x:c r="J1504" s="31" t="n">
        <x:v>6.1</x:v>
      </x:c>
      <x:c r="K1504" s="31" t="n">
        <x:v>4.7</x:v>
      </x:c>
      <x:c r="L1504" s="31" t="n">
        <x:f>ABS(J1504-K1504)</x:f>
        <x:v>1.3999999999999995</x:v>
      </x:c>
      <x:c r="M1504" s="31" t="n">
        <x:v>4.2</x:v>
      </x:c>
      <x:c r="N1504" s="31" t="n">
        <x:v>3.3</x:v>
      </x:c>
      <x:c r="O1504" s="31" t="n">
        <x:f>ABS(M1504-N1504)</x:f>
        <x:v>0.9000000000000004</x:v>
      </x:c>
      <x:c r="P1504" s="31" t="n">
        <x:v>9.23</x:v>
      </x:c>
      <x:c r="Q1504" s="31" t="n">
        <x:v>10.22</x:v>
      </x:c>
      <x:c r="R1504" s="31" t="n">
        <x:f>ABS(P1504-Q1504)</x:f>
        <x:v>0.9900000000000002</x:v>
      </x:c>
      <x:c r="S1504" s="32" t="n">
        <x:v>103771.60174334687</x:v>
      </x:c>
      <x:c r="T1504" s="32" t="n">
        <x:v>22032.96384408829</x:v>
      </x:c>
      <x:c r="U1504" s="31" t="n">
        <x:f>MAX(S1504/T1504,T1504/S1504)</x:f>
        <x:v>4.709833977746486</x:v>
      </x:c>
      <x:c r="V1504" s="31" t="n">
        <x:f>L1504*'Controls &amp; Summary'!$B$9+O1504*'Controls &amp; Summary'!$B$10+R1504*'Controls &amp; Summary'!$B$11+U1504*'Controls &amp; Summary'!$B$12</x:f>
        <x:v>7.999833977746486</x:v>
      </x:c>
      <x:c r="W1504" s="31" t="n">
        <x:v>1.9</x:v>
      </x:c>
      <x:c r="X1504" s="31" t="n">
        <x:v>3</x:v>
      </x:c>
      <x:c r="Y1504" s="31" t="n">
        <x:f>((10-MIN(10,MAX(0,X1504)))/10)*'Controls &amp; Summary'!$B$15+((10-MIN(10,MAX(0,W1504)))/10)*'Controls &amp; Summary'!$B$16</x:f>
        <x:v>1.5099999999999998</x:v>
      </x:c>
      <x:c r="Z1504" s="31" t="n">
        <x:f>V1504*Y1504</x:f>
        <x:v>12.079749306397192</x:v>
      </x:c>
      <x:c r="AA1504" s="30" t="str">
        <x:f>IF(Z1504&lt;=I1504,"Peaceful","Hostile")</x:f>
        <x:v>Hostile</x:v>
      </x:c>
      <x:c r="AB1504" s="30" t="str">
        <x:f>IF(Z1504&lt;='Controls &amp; Summary'!$B$6,"Eligible","Blocked")</x:f>
        <x:v>Blocked</x:v>
      </x:c>
      <x:c r="AC1504" s="30" t="str">
        <x:v>2070_TUR</x:v>
      </x:c>
      <x:c r="AD1504" s="30" t="str">
        <x:v>2070_KAZ</x:v>
      </x:c>
      <x:c r="AE1504" s="30" t="str">
        <x:v>2070_Astana</x:v>
      </x:c>
      <x:c r="AF1504" s="30" t="str">
        <x:v>Explicit capitalClaim</x:v>
      </x:c>
      <x:c r="AG1504" s="30" t="str">
        <x:v>Claim2070_TUR2070_Astana</x:v>
      </x:c>
      <x:c r="AH1504" s="30" t="str">
        <x:v>Project_UnitedTurkestan</x:v>
      </x:c>
    </x:row>
    <x:row r="1505">
      <x:c r="A1505" s="30" t="str">
        <x:v>2070</x:v>
      </x:c>
      <x:c r="B1505" s="30" t="str">
        <x:v>Base game</x:v>
      </x:c>
      <x:c r="C1505" s="30" t="str">
        <x:v>United Kingdom</x:v>
      </x:c>
      <x:c r="D1505" s="30" t="str">
        <x:v>Australia</x:v>
      </x:c>
      <x:c r="E1505" s="30" t="str">
        <x:v>Project unlock</x:v>
      </x:c>
      <x:c r="F1505" s="30" t="str">
        <x:v>Commonwealth Restored</x:v>
      </x:c>
      <x:c r="G1505" s="30" t="str">
        <x:v>No</x:v>
      </x:c>
      <x:c r="H1505" s="30" t="str">
        <x:v>Ordinary claim</x:v>
      </x:c>
      <x:c r="I1505" s="31" t="n">
        <x:f>IF(G1505="Yes",'Controls &amp; Summary'!$B$5,'Controls &amp; Summary'!$B$4)</x:f>
        <x:v>6</x:v>
      </x:c>
      <x:c r="J1505" s="31" t="n">
        <x:v>8.4</x:v>
      </x:c>
      <x:c r="K1505" s="31" t="n">
        <x:v>8.8</x:v>
      </x:c>
      <x:c r="L1505" s="31" t="n">
        <x:f>ABS(J1505-K1505)</x:f>
        <x:v>0.40000000000000036</x:v>
      </x:c>
      <x:c r="M1505" s="31" t="n">
        <x:v>3.8</x:v>
      </x:c>
      <x:c r="N1505" s="31" t="n">
        <x:v>3.2</x:v>
      </x:c>
      <x:c r="O1505" s="31" t="n">
        <x:f>ABS(M1505-N1505)</x:f>
        <x:v>0.5999999999999996</x:v>
      </x:c>
      <x:c r="P1505" s="31" t="n">
        <x:v>11.2</x:v>
      </x:c>
      <x:c r="Q1505" s="31" t="n">
        <x:v>11.16</x:v>
      </x:c>
      <x:c r="R1505" s="31" t="n">
        <x:f>ABS(P1505-Q1505)</x:f>
        <x:v>0.03999999999999915</x:v>
      </x:c>
      <x:c r="S1505" s="32" t="n">
        <x:v>90078.66403669969</x:v>
      </x:c>
      <x:c r="T1505" s="32" t="n">
        <x:v>102108.97096151301</x:v>
      </x:c>
      <x:c r="U1505" s="31" t="n">
        <x:f>MAX(S1505/T1505,T1505/S1505)</x:f>
        <x:v>1.1335533453283895</x:v>
      </x:c>
      <x:c r="V1505" s="31" t="n">
        <x:f>L1505*'Controls &amp; Summary'!$B$9+O1505*'Controls &amp; Summary'!$B$10+R1505*'Controls &amp; Summary'!$B$11+U1505*'Controls &amp; Summary'!$B$12</x:f>
        <x:v>2.1735533453283886</x:v>
      </x:c>
      <x:c r="W1505" s="31" t="n">
        <x:v>5</x:v>
      </x:c>
      <x:c r="X1505" s="31" t="n">
        <x:v>0</x:v>
      </x:c>
      <x:c r="Y1505" s="31" t="n">
        <x:f>((10-MIN(10,MAX(0,X1505)))/10)*'Controls &amp; Summary'!$B$15+((10-MIN(10,MAX(0,W1505)))/10)*'Controls &amp; Summary'!$B$16</x:f>
        <x:v>1.5</x:v>
      </x:c>
      <x:c r="Z1505" s="31" t="n">
        <x:f>V1505*Y1505</x:f>
        <x:v>3.260330017992583</x:v>
      </x:c>
      <x:c r="AA1505" s="30" t="str">
        <x:f>IF(Z1505&lt;=I1505,"Peaceful","Hostile")</x:f>
        <x:v>Peaceful</x:v>
      </x:c>
      <x:c r="AB1505" s="30" t="str">
        <x:f>IF(Z1505&lt;='Controls &amp; Summary'!$B$6,"Eligible","Blocked")</x:f>
        <x:v>Eligible</x:v>
      </x:c>
      <x:c r="AC1505" s="30" t="str">
        <x:v>2070_GBR</x:v>
      </x:c>
      <x:c r="AD1505" s="30" t="str">
        <x:v>2070_AUS</x:v>
      </x:c>
      <x:c r="AE1505" s="30" t="str">
        <x:v>2070_Sydney</x:v>
      </x:c>
      <x:c r="AF1505" s="30" t="str">
        <x:v>Explicit capitalClaim</x:v>
      </x:c>
      <x:c r="AG1505" s="30" t="str">
        <x:v>Claim2070_GBR2070_Sydney</x:v>
      </x:c>
      <x:c r="AH1505" s="30" t="str">
        <x:v>Project_CommonwealthRestored</x:v>
      </x:c>
    </x:row>
    <x:row r="1506">
      <x:c r="A1506" s="30" t="str">
        <x:v>2070</x:v>
      </x:c>
      <x:c r="B1506" s="30" t="str">
        <x:v>Base game</x:v>
      </x:c>
      <x:c r="C1506" s="30" t="str">
        <x:v>United Kingdom</x:v>
      </x:c>
      <x:c r="D1506" s="30" t="str">
        <x:v>Canada</x:v>
      </x:c>
      <x:c r="E1506" s="30" t="str">
        <x:v>Project unlock</x:v>
      </x:c>
      <x:c r="F1506" s="30" t="str">
        <x:v>Commonwealth Restored</x:v>
      </x:c>
      <x:c r="G1506" s="30" t="str">
        <x:v>No</x:v>
      </x:c>
      <x:c r="H1506" s="30" t="str">
        <x:v>Ordinary claim</x:v>
      </x:c>
      <x:c r="I1506" s="31" t="n">
        <x:f>IF(G1506="Yes",'Controls &amp; Summary'!$B$5,'Controls &amp; Summary'!$B$4)</x:f>
        <x:v>6</x:v>
      </x:c>
      <x:c r="J1506" s="31" t="n">
        <x:v>8.4</x:v>
      </x:c>
      <x:c r="K1506" s="31" t="n">
        <x:v>9.2</x:v>
      </x:c>
      <x:c r="L1506" s="31" t="n">
        <x:f>ABS(J1506-K1506)</x:f>
        <x:v>0.7999999999999989</x:v>
      </x:c>
      <x:c r="M1506" s="31" t="n">
        <x:v>3.8</x:v>
      </x:c>
      <x:c r="N1506" s="31" t="n">
        <x:v>3.3</x:v>
      </x:c>
      <x:c r="O1506" s="31" t="n">
        <x:f>ABS(M1506-N1506)</x:f>
        <x:v>0.5</x:v>
      </x:c>
      <x:c r="P1506" s="31" t="n">
        <x:v>11.2</x:v>
      </x:c>
      <x:c r="Q1506" s="31" t="n">
        <x:v>10.86</x:v>
      </x:c>
      <x:c r="R1506" s="31" t="n">
        <x:f>ABS(P1506-Q1506)</x:f>
        <x:v>0.33999999999999986</x:v>
      </x:c>
      <x:c r="S1506" s="32" t="n">
        <x:v>90078.66403669969</x:v>
      </x:c>
      <x:c r="T1506" s="32" t="n">
        <x:v>94114.55268525114</x:v>
      </x:c>
      <x:c r="U1506" s="31" t="n">
        <x:f>MAX(S1506/T1506,T1506/S1506)</x:f>
        <x:v>1.0448040464599604</x:v>
      </x:c>
      <x:c r="V1506" s="31" t="n">
        <x:f>L1506*'Controls &amp; Summary'!$B$9+O1506*'Controls &amp; Summary'!$B$10+R1506*'Controls &amp; Summary'!$B$11+U1506*'Controls &amp; Summary'!$B$12</x:f>
        <x:v>2.684804046459959</x:v>
      </x:c>
      <x:c r="W1506" s="31" t="n">
        <x:v>5</x:v>
      </x:c>
      <x:c r="X1506" s="31" t="n">
        <x:v>1</x:v>
      </x:c>
      <x:c r="Y1506" s="31" t="n">
        <x:f>((10-MIN(10,MAX(0,X1506)))/10)*'Controls &amp; Summary'!$B$15+((10-MIN(10,MAX(0,W1506)))/10)*'Controls &amp; Summary'!$B$16</x:f>
        <x:v>1.4</x:v>
      </x:c>
      <x:c r="Z1506" s="31" t="n">
        <x:f>V1506*Y1506</x:f>
        <x:v>3.7587256650439427</x:v>
      </x:c>
      <x:c r="AA1506" s="30" t="str">
        <x:f>IF(Z1506&lt;=I1506,"Peaceful","Hostile")</x:f>
        <x:v>Peaceful</x:v>
      </x:c>
      <x:c r="AB1506" s="30" t="str">
        <x:f>IF(Z1506&lt;='Controls &amp; Summary'!$B$6,"Eligible","Blocked")</x:f>
        <x:v>Eligible</x:v>
      </x:c>
      <x:c r="AC1506" s="30" t="str">
        <x:v>2070_GBR</x:v>
      </x:c>
      <x:c r="AD1506" s="30" t="str">
        <x:v>2070_CAN</x:v>
      </x:c>
      <x:c r="AE1506" s="30" t="str">
        <x:v>2070_Ontario</x:v>
      </x:c>
      <x:c r="AF1506" s="30" t="str">
        <x:v>Explicit capitalClaim</x:v>
      </x:c>
      <x:c r="AG1506" s="30" t="str">
        <x:v>Claim2070_GBR2070_Ontario</x:v>
      </x:c>
      <x:c r="AH1506" s="30" t="str">
        <x:v>Project_CommonwealthRestored</x:v>
      </x:c>
    </x:row>
    <x:row r="1507">
      <x:c r="A1507" s="30" t="str">
        <x:v>2070</x:v>
      </x:c>
      <x:c r="B1507" s="30" t="str">
        <x:v>Base game</x:v>
      </x:c>
      <x:c r="C1507" s="30" t="str">
        <x:v>United Kingdom</x:v>
      </x:c>
      <x:c r="D1507" s="30" t="str">
        <x:v>NewZealand</x:v>
      </x:c>
      <x:c r="E1507" s="30" t="str">
        <x:v>Project unlock</x:v>
      </x:c>
      <x:c r="F1507" s="30" t="str">
        <x:v>Commonwealth Restored</x:v>
      </x:c>
      <x:c r="G1507" s="30" t="str">
        <x:v>No</x:v>
      </x:c>
      <x:c r="H1507" s="30" t="str">
        <x:v>Ordinary claim</x:v>
      </x:c>
      <x:c r="I1507" s="31" t="n">
        <x:f>IF(G1507="Yes",'Controls &amp; Summary'!$B$5,'Controls &amp; Summary'!$B$4)</x:f>
        <x:v>6</x:v>
      </x:c>
      <x:c r="J1507" s="31" t="n">
        <x:v>8.4</x:v>
      </x:c>
      <x:c r="K1507" s="31" t="n">
        <x:v>9.2</x:v>
      </x:c>
      <x:c r="L1507" s="31" t="n">
        <x:f>ABS(J1507-K1507)</x:f>
        <x:v>0.7999999999999989</x:v>
      </x:c>
      <x:c r="M1507" s="31" t="n">
        <x:v>3.8</x:v>
      </x:c>
      <x:c r="N1507" s="31" t="n">
        <x:v>2.3</x:v>
      </x:c>
      <x:c r="O1507" s="31" t="n">
        <x:f>ABS(M1507-N1507)</x:f>
        <x:v>1.5</x:v>
      </x:c>
      <x:c r="P1507" s="31" t="n">
        <x:v>11.2</x:v>
      </x:c>
      <x:c r="Q1507" s="31" t="n">
        <x:v>11.18</x:v>
      </x:c>
      <x:c r="R1507" s="31" t="n">
        <x:f>ABS(P1507-Q1507)</x:f>
        <x:v>0.019999999999999574</x:v>
      </x:c>
      <x:c r="S1507" s="32" t="n">
        <x:v>90078.66403669969</x:v>
      </x:c>
      <x:c r="T1507" s="32" t="n">
        <x:v>75916.51902131288</x:v>
      </x:c>
      <x:c r="U1507" s="31" t="n">
        <x:f>MAX(S1507/T1507,T1507/S1507)</x:f>
        <x:v>1.1865489250292274</x:v>
      </x:c>
      <x:c r="V1507" s="31" t="n">
        <x:f>L1507*'Controls &amp; Summary'!$B$9+O1507*'Controls &amp; Summary'!$B$10+R1507*'Controls &amp; Summary'!$B$11+U1507*'Controls &amp; Summary'!$B$12</x:f>
        <x:v>3.506548925029226</x:v>
      </x:c>
      <x:c r="W1507" s="31" t="n">
        <x:v>5</x:v>
      </x:c>
      <x:c r="X1507" s="31" t="n">
        <x:v>0</x:v>
      </x:c>
      <x:c r="Y1507" s="31" t="n">
        <x:f>((10-MIN(10,MAX(0,X1507)))/10)*'Controls &amp; Summary'!$B$15+((10-MIN(10,MAX(0,W1507)))/10)*'Controls &amp; Summary'!$B$16</x:f>
        <x:v>1.5</x:v>
      </x:c>
      <x:c r="Z1507" s="31" t="n">
        <x:f>V1507*Y1507</x:f>
        <x:v>5.25982338754384</x:v>
      </x:c>
      <x:c r="AA1507" s="30" t="str">
        <x:f>IF(Z1507&lt;=I1507,"Peaceful","Hostile")</x:f>
        <x:v>Peaceful</x:v>
      </x:c>
      <x:c r="AB1507" s="30" t="str">
        <x:f>IF(Z1507&lt;='Controls &amp; Summary'!$B$6,"Eligible","Blocked")</x:f>
        <x:v>Eligible</x:v>
      </x:c>
      <x:c r="AC1507" s="30" t="str">
        <x:v>2070_GBR</x:v>
      </x:c>
      <x:c r="AD1507" s="30" t="str">
        <x:v>2070_NZL</x:v>
      </x:c>
      <x:c r="AE1507" s="30" t="str">
        <x:v>2070_NewZealand</x:v>
      </x:c>
      <x:c r="AF1507" s="30" t="str">
        <x:v>Explicit capitalClaim</x:v>
      </x:c>
      <x:c r="AG1507" s="30" t="str">
        <x:v>Claim2070_GBR2070_NewZealand</x:v>
      </x:c>
      <x:c r="AH1507" s="30" t="str">
        <x:v>Project_CommonwealthRestored</x:v>
      </x:c>
    </x:row>
    <x:row r="1508">
      <x:c r="A1508" s="30" t="str">
        <x:v>2070</x:v>
      </x:c>
      <x:c r="B1508" s="30" t="str">
        <x:v>Base game</x:v>
      </x:c>
      <x:c r="C1508" s="30" t="str">
        <x:v>United States of America</x:v>
      </x:c>
      <x:c r="D1508" s="30" t="str">
        <x:v>Canada</x:v>
      </x:c>
      <x:c r="E1508" s="30" t="str">
        <x:v>Project unlock</x:v>
      </x:c>
      <x:c r="F1508" s="30" t="str">
        <x:v>United North America</x:v>
      </x:c>
      <x:c r="G1508" s="30" t="str">
        <x:v>No</x:v>
      </x:c>
      <x:c r="H1508" s="30" t="str">
        <x:v>Ordinary claim</x:v>
      </x:c>
      <x:c r="I1508" s="31" t="n">
        <x:f>IF(G1508="Yes",'Controls &amp; Summary'!$B$5,'Controls &amp; Summary'!$B$4)</x:f>
        <x:v>6</x:v>
      </x:c>
      <x:c r="J1508" s="31" t="n">
        <x:v>5.9</x:v>
      </x:c>
      <x:c r="K1508" s="31" t="n">
        <x:v>9.2</x:v>
      </x:c>
      <x:c r="L1508" s="31" t="n">
        <x:f>ABS(J1508-K1508)</x:f>
        <x:v>3.299999999999999</x:v>
      </x:c>
      <x:c r="M1508" s="31" t="n">
        <x:v>4.3</x:v>
      </x:c>
      <x:c r="N1508" s="31" t="n">
        <x:v>3.3</x:v>
      </x:c>
      <x:c r="O1508" s="31" t="n">
        <x:f>ABS(M1508-N1508)</x:f>
        <x:v>1</x:v>
      </x:c>
      <x:c r="P1508" s="31" t="n">
        <x:v>10.92</x:v>
      </x:c>
      <x:c r="Q1508" s="31" t="n">
        <x:v>10.86</x:v>
      </x:c>
      <x:c r="R1508" s="31" t="n">
        <x:f>ABS(P1508-Q1508)</x:f>
        <x:v>0.0600000000000005</x:v>
      </x:c>
      <x:c r="S1508" s="32" t="n">
        <x:v>115137.7502999143</x:v>
      </x:c>
      <x:c r="T1508" s="32" t="n">
        <x:v>94114.55268525114</x:v>
      </x:c>
      <x:c r="U1508" s="31" t="n">
        <x:f>MAX(S1508/T1508,T1508/S1508)</x:f>
        <x:v>1.2233788188418788</x:v>
      </x:c>
      <x:c r="V1508" s="31" t="n">
        <x:f>L1508*'Controls &amp; Summary'!$B$9+O1508*'Controls &amp; Summary'!$B$10+R1508*'Controls &amp; Summary'!$B$11+U1508*'Controls &amp; Summary'!$B$12</x:f>
        <x:v>5.5833788188418785</x:v>
      </x:c>
      <x:c r="W1508" s="31" t="n">
        <x:v>0</x:v>
      </x:c>
      <x:c r="X1508" s="31" t="n">
        <x:v>1</x:v>
      </x:c>
      <x:c r="Y1508" s="31" t="n">
        <x:f>((10-MIN(10,MAX(0,X1508)))/10)*'Controls &amp; Summary'!$B$15+((10-MIN(10,MAX(0,W1508)))/10)*'Controls &amp; Summary'!$B$16</x:f>
        <x:v>1.9</x:v>
      </x:c>
      <x:c r="Z1508" s="31" t="n">
        <x:f>V1508*Y1508</x:f>
        <x:v>10.608419755799568</x:v>
      </x:c>
      <x:c r="AA1508" s="30" t="str">
        <x:f>IF(Z1508&lt;=I1508,"Peaceful","Hostile")</x:f>
        <x:v>Hostile</x:v>
      </x:c>
      <x:c r="AB1508" s="30" t="str">
        <x:f>IF(Z1508&lt;='Controls &amp; Summary'!$B$6,"Eligible","Blocked")</x:f>
        <x:v>Eligible</x:v>
      </x:c>
      <x:c r="AC1508" s="30" t="str">
        <x:v>2070_USA</x:v>
      </x:c>
      <x:c r="AD1508" s="30" t="str">
        <x:v>2070_CAN</x:v>
      </x:c>
      <x:c r="AE1508" s="30" t="str">
        <x:v>2070_Ontario</x:v>
      </x:c>
      <x:c r="AF1508" s="30" t="str">
        <x:v>Explicit capitalClaim</x:v>
      </x:c>
      <x:c r="AG1508" s="30" t="str">
        <x:v>Claim2070_USA2070_Ontario</x:v>
      </x:c>
      <x:c r="AH1508" s="30" t="str">
        <x:v>Project_UnitedNorthAmerica</x:v>
      </x:c>
    </x:row>
    <x:row r="1509">
      <x:c r="A1509" s="30" t="str">
        <x:v>2070</x:v>
      </x:c>
      <x:c r="B1509" s="30" t="str">
        <x:v>Base game</x:v>
      </x:c>
      <x:c r="C1509" s="30" t="str">
        <x:v>United States of America</x:v>
      </x:c>
      <x:c r="D1509" s="30" t="str">
        <x:v>Guatemala</x:v>
      </x:c>
      <x:c r="E1509" s="30" t="str">
        <x:v>Project unlock</x:v>
      </x:c>
      <x:c r="F1509" s="30" t="str">
        <x:v>Greater United North America</x:v>
      </x:c>
      <x:c r="G1509" s="30" t="str">
        <x:v>No</x:v>
      </x:c>
      <x:c r="H1509" s="30" t="str">
        <x:v>Ordinary claim</x:v>
      </x:c>
      <x:c r="I1509" s="31" t="n">
        <x:f>IF(G1509="Yes",'Controls &amp; Summary'!$B$5,'Controls &amp; Summary'!$B$4)</x:f>
        <x:v>6</x:v>
      </x:c>
      <x:c r="J1509" s="31" t="n">
        <x:v>5.9</x:v>
      </x:c>
      <x:c r="K1509" s="31" t="n">
        <x:v>7</x:v>
      </x:c>
      <x:c r="L1509" s="31" t="n">
        <x:f>ABS(J1509-K1509)</x:f>
        <x:v>1.0999999999999996</x:v>
      </x:c>
      <x:c r="M1509" s="31" t="n">
        <x:v>4.3</x:v>
      </x:c>
      <x:c r="N1509" s="31" t="n">
        <x:v>4.2</x:v>
      </x:c>
      <x:c r="O1509" s="31" t="n">
        <x:f>ABS(M1509-N1509)</x:f>
        <x:v>0.09999999999999964</x:v>
      </x:c>
      <x:c r="P1509" s="31" t="n">
        <x:v>10.92</x:v>
      </x:c>
      <x:c r="Q1509" s="31" t="n">
        <x:v>7.11</x:v>
      </x:c>
      <x:c r="R1509" s="31" t="n">
        <x:f>ABS(P1509-Q1509)</x:f>
        <x:v>3.8099999999999996</x:v>
      </x:c>
      <x:c r="S1509" s="32" t="n">
        <x:v>115137.7502999143</x:v>
      </x:c>
      <x:c r="T1509" s="32" t="n">
        <x:v>26579.761354350027</x:v>
      </x:c>
      <x:c r="U1509" s="31" t="n">
        <x:f>MAX(S1509/T1509,T1509/S1509)</x:f>
        <x:v>4.331782696050088</x:v>
      </x:c>
      <x:c r="V1509" s="31" t="n">
        <x:f>L1509*'Controls &amp; Summary'!$B$9+O1509*'Controls &amp; Summary'!$B$10+R1509*'Controls &amp; Summary'!$B$11+U1509*'Controls &amp; Summary'!$B$12</x:f>
        <x:v>9.341782696050087</x:v>
      </x:c>
      <x:c r="W1509" s="31" t="n">
        <x:v>0</x:v>
      </x:c>
      <x:c r="X1509" s="31" t="n">
        <x:v>3.2</x:v>
      </x:c>
      <x:c r="Y1509" s="31" t="n">
        <x:f>((10-MIN(10,MAX(0,X1509)))/10)*'Controls &amp; Summary'!$B$15+((10-MIN(10,MAX(0,W1509)))/10)*'Controls &amp; Summary'!$B$16</x:f>
        <x:v>1.68</x:v>
      </x:c>
      <x:c r="Z1509" s="31" t="n">
        <x:f>V1509*Y1509</x:f>
        <x:v>15.694194929364146</x:v>
      </x:c>
      <x:c r="AA1509" s="30" t="str">
        <x:f>IF(Z1509&lt;=I1509,"Peaceful","Hostile")</x:f>
        <x:v>Hostile</x:v>
      </x:c>
      <x:c r="AB1509" s="30" t="str">
        <x:f>IF(Z1509&lt;='Controls &amp; Summary'!$B$6,"Eligible","Blocked")</x:f>
        <x:v>Blocked</x:v>
      </x:c>
      <x:c r="AC1509" s="30" t="str">
        <x:v>2070_USA</x:v>
      </x:c>
      <x:c r="AD1509" s="30" t="str">
        <x:v>2070_GTM</x:v>
      </x:c>
      <x:c r="AE1509" s="30" t="str">
        <x:v>2070_Guatemala</x:v>
      </x:c>
      <x:c r="AF1509" s="30" t="str">
        <x:v>Explicit capitalClaim</x:v>
      </x:c>
      <x:c r="AG1509" s="30" t="str">
        <x:v>Claim2070_USA2070_Guatemala</x:v>
      </x:c>
      <x:c r="AH1509" s="30" t="str">
        <x:v>Project_GreaterUnitedNorthAmerica</x:v>
      </x:c>
    </x:row>
    <x:row r="1510">
      <x:c r="A1510" s="30" t="str">
        <x:v>2070</x:v>
      </x:c>
      <x:c r="B1510" s="30" t="str">
        <x:v>Base game</x:v>
      </x:c>
      <x:c r="C1510" s="30" t="str">
        <x:v>United States of America</x:v>
      </x:c>
      <x:c r="D1510" s="30" t="str">
        <x:v>Jamaica</x:v>
      </x:c>
      <x:c r="E1510" s="30" t="str">
        <x:v>Project unlock</x:v>
      </x:c>
      <x:c r="F1510" s="30" t="str">
        <x:v>Greater United North America</x:v>
      </x:c>
      <x:c r="G1510" s="30" t="str">
        <x:v>No</x:v>
      </x:c>
      <x:c r="H1510" s="30" t="str">
        <x:v>Ordinary claim</x:v>
      </x:c>
      <x:c r="I1510" s="31" t="n">
        <x:f>IF(G1510="Yes",'Controls &amp; Summary'!$B$5,'Controls &amp; Summary'!$B$4)</x:f>
        <x:v>6</x:v>
      </x:c>
      <x:c r="J1510" s="31" t="n">
        <x:v>5.9</x:v>
      </x:c>
      <x:c r="K1510" s="31" t="n">
        <x:v>8.3</x:v>
      </x:c>
      <x:c r="L1510" s="31" t="n">
        <x:f>ABS(J1510-K1510)</x:f>
        <x:v>2.4000000000000004</x:v>
      </x:c>
      <x:c r="M1510" s="31" t="n">
        <x:v>4.3</x:v>
      </x:c>
      <x:c r="N1510" s="31" t="n">
        <x:v>2.9</x:v>
      </x:c>
      <x:c r="O1510" s="31" t="n">
        <x:f>ABS(M1510-N1510)</x:f>
        <x:v>1.4</x:v>
      </x:c>
      <x:c r="P1510" s="31" t="n">
        <x:v>10.92</x:v>
      </x:c>
      <x:c r="Q1510" s="31" t="n">
        <x:v>8.81</x:v>
      </x:c>
      <x:c r="R1510" s="31" t="n">
        <x:f>ABS(P1510-Q1510)</x:f>
        <x:v>2.1099999999999994</x:v>
      </x:c>
      <x:c r="S1510" s="32" t="n">
        <x:v>115137.7502999143</x:v>
      </x:c>
      <x:c r="T1510" s="32" t="n">
        <x:v>46506.11248087217</x:v>
      </x:c>
      <x:c r="U1510" s="31" t="n">
        <x:f>MAX(S1510/T1510,T1510/S1510)</x:f>
        <x:v>2.475755210613876</x:v>
      </x:c>
      <x:c r="V1510" s="31" t="n">
        <x:f>L1510*'Controls &amp; Summary'!$B$9+O1510*'Controls &amp; Summary'!$B$10+R1510*'Controls &amp; Summary'!$B$11+U1510*'Controls &amp; Summary'!$B$12</x:f>
        <x:v>8.385755210613876</x:v>
      </x:c>
      <x:c r="W1510" s="31" t="n">
        <x:v>0</x:v>
      </x:c>
      <x:c r="X1510" s="31" t="n">
        <x:v>0.65</x:v>
      </x:c>
      <x:c r="Y1510" s="31" t="n">
        <x:f>((10-MIN(10,MAX(0,X1510)))/10)*'Controls &amp; Summary'!$B$15+((10-MIN(10,MAX(0,W1510)))/10)*'Controls &amp; Summary'!$B$16</x:f>
        <x:v>1.935</x:v>
      </x:c>
      <x:c r="Z1510" s="31" t="n">
        <x:f>V1510*Y1510</x:f>
        <x:v>16.22643633253785</x:v>
      </x:c>
      <x:c r="AA1510" s="30" t="str">
        <x:f>IF(Z1510&lt;=I1510,"Peaceful","Hostile")</x:f>
        <x:v>Hostile</x:v>
      </x:c>
      <x:c r="AB1510" s="30" t="str">
        <x:f>IF(Z1510&lt;='Controls &amp; Summary'!$B$6,"Eligible","Blocked")</x:f>
        <x:v>Blocked</x:v>
      </x:c>
      <x:c r="AC1510" s="30" t="str">
        <x:v>2070_USA</x:v>
      </x:c>
      <x:c r="AD1510" s="30" t="str">
        <x:v>2070_JAM</x:v>
      </x:c>
      <x:c r="AE1510" s="30" t="str">
        <x:v>2070_Jamaica</x:v>
      </x:c>
      <x:c r="AF1510" s="30" t="str">
        <x:v>Explicit capitalClaim</x:v>
      </x:c>
      <x:c r="AG1510" s="30" t="str">
        <x:v>Claim2070_USA2070_Jamaica</x:v>
      </x:c>
      <x:c r="AH1510" s="30" t="str">
        <x:v>Project_GreaterUnitedNorthAmerica</x:v>
      </x:c>
    </x:row>
    <x:row r="1511">
      <x:c r="A1511" s="30" t="str">
        <x:v>2070</x:v>
      </x:c>
      <x:c r="B1511" s="30" t="str">
        <x:v>Base game</x:v>
      </x:c>
      <x:c r="C1511" s="30" t="str">
        <x:v>United States of America</x:v>
      </x:c>
      <x:c r="D1511" s="30" t="str">
        <x:v>Mexico</x:v>
      </x:c>
      <x:c r="E1511" s="30" t="str">
        <x:v>Project unlock</x:v>
      </x:c>
      <x:c r="F1511" s="30" t="str">
        <x:v>Greater United North America</x:v>
      </x:c>
      <x:c r="G1511" s="30" t="str">
        <x:v>No</x:v>
      </x:c>
      <x:c r="H1511" s="30" t="str">
        <x:v>Ordinary claim</x:v>
      </x:c>
      <x:c r="I1511" s="31" t="n">
        <x:f>IF(G1511="Yes",'Controls &amp; Summary'!$B$5,'Controls &amp; Summary'!$B$4)</x:f>
        <x:v>6</x:v>
      </x:c>
      <x:c r="J1511" s="31" t="n">
        <x:v>5.9</x:v>
      </x:c>
      <x:c r="K1511" s="31" t="n">
        <x:v>6.9</x:v>
      </x:c>
      <x:c r="L1511" s="31" t="n">
        <x:f>ABS(J1511-K1511)</x:f>
        <x:v>1</x:v>
      </x:c>
      <x:c r="M1511" s="31" t="n">
        <x:v>4.3</x:v>
      </x:c>
      <x:c r="N1511" s="31" t="n">
        <x:v>4.1</x:v>
      </x:c>
      <x:c r="O1511" s="31" t="n">
        <x:f>ABS(M1511-N1511)</x:f>
        <x:v>0.20000000000000018</x:v>
      </x:c>
      <x:c r="P1511" s="31" t="n">
        <x:v>10.92</x:v>
      </x:c>
      <x:c r="Q1511" s="31" t="n">
        <x:v>8.9</x:v>
      </x:c>
      <x:c r="R1511" s="31" t="n">
        <x:f>ABS(P1511-Q1511)</x:f>
        <x:v>2.0199999999999996</x:v>
      </x:c>
      <x:c r="S1511" s="32" t="n">
        <x:v>115137.7502999143</x:v>
      </x:c>
      <x:c r="T1511" s="32" t="n">
        <x:v>50650.46798685019</x:v>
      </x:c>
      <x:c r="U1511" s="31" t="n">
        <x:f>MAX(S1511/T1511,T1511/S1511)</x:f>
        <x:v>2.273182358942986</x:v>
      </x:c>
      <x:c r="V1511" s="31" t="n">
        <x:f>L1511*'Controls &amp; Summary'!$B$9+O1511*'Controls &amp; Summary'!$B$10+R1511*'Controls &amp; Summary'!$B$11+U1511*'Controls &amp; Summary'!$B$12</x:f>
        <x:v>5.493182358942986</x:v>
      </x:c>
      <x:c r="W1511" s="31" t="n">
        <x:v>0</x:v>
      </x:c>
      <x:c r="X1511" s="31" t="n">
        <x:v>2.5</x:v>
      </x:c>
      <x:c r="Y1511" s="31" t="n">
        <x:f>((10-MIN(10,MAX(0,X1511)))/10)*'Controls &amp; Summary'!$B$15+((10-MIN(10,MAX(0,W1511)))/10)*'Controls &amp; Summary'!$B$16</x:f>
        <x:v>1.75</x:v>
      </x:c>
      <x:c r="Z1511" s="31" t="n">
        <x:f>V1511*Y1511</x:f>
        <x:v>9.613069128150224</x:v>
      </x:c>
      <x:c r="AA1511" s="30" t="str">
        <x:f>IF(Z1511&lt;=I1511,"Peaceful","Hostile")</x:f>
        <x:v>Hostile</x:v>
      </x:c>
      <x:c r="AB1511" s="30" t="str">
        <x:f>IF(Z1511&lt;='Controls &amp; Summary'!$B$6,"Eligible","Blocked")</x:f>
        <x:v>Eligible</x:v>
      </x:c>
      <x:c r="AC1511" s="30" t="str">
        <x:v>2070_USA</x:v>
      </x:c>
      <x:c r="AD1511" s="30" t="str">
        <x:v>2070_MEX</x:v>
      </x:c>
      <x:c r="AE1511" s="30" t="str">
        <x:v>2070_MexicoCity</x:v>
      </x:c>
      <x:c r="AF1511" s="30" t="str">
        <x:v>Explicit capitalClaim</x:v>
      </x:c>
      <x:c r="AG1511" s="30" t="str">
        <x:v>Claim2070_USA2070_MexicoCity</x:v>
      </x:c>
      <x:c r="AH1511" s="30" t="str">
        <x:v>Project_GreaterUnitedNorthAmerica</x:v>
      </x:c>
    </x:row>
    <x:row r="1512">
      <x:c r="A1512" s="30" t="str">
        <x:v>2070</x:v>
      </x:c>
      <x:c r="B1512" s="30" t="str">
        <x:v>Base game</x:v>
      </x:c>
      <x:c r="C1512" s="30" t="str">
        <x:v>United States of America</x:v>
      </x:c>
      <x:c r="D1512" s="30" t="str">
        <x:v>MicronesianStates</x:v>
      </x:c>
      <x:c r="E1512" s="30" t="str">
        <x:v>Project unlock</x:v>
      </x:c>
      <x:c r="F1512" s="30" t="str">
        <x:v>United North America</x:v>
      </x:c>
      <x:c r="G1512" s="30" t="str">
        <x:v>No</x:v>
      </x:c>
      <x:c r="H1512" s="30" t="str">
        <x:v>Ordinary claim</x:v>
      </x:c>
      <x:c r="I1512" s="31" t="n">
        <x:f>IF(G1512="Yes",'Controls &amp; Summary'!$B$5,'Controls &amp; Summary'!$B$4)</x:f>
        <x:v>6</x:v>
      </x:c>
      <x:c r="J1512" s="31" t="n">
        <x:v>5.9</x:v>
      </x:c>
      <x:c r="K1512" s="31" t="n">
        <x:v>8</x:v>
      </x:c>
      <x:c r="L1512" s="31" t="n">
        <x:f>ABS(J1512-K1512)</x:f>
        <x:v>2.0999999999999996</x:v>
      </x:c>
      <x:c r="M1512" s="31" t="n">
        <x:v>4.3</x:v>
      </x:c>
      <x:c r="N1512" s="31" t="n">
        <x:v>2.6</x:v>
      </x:c>
      <x:c r="O1512" s="31" t="n">
        <x:f>ABS(M1512-N1512)</x:f>
        <x:v>1.6999999999999997</x:v>
      </x:c>
      <x:c r="P1512" s="31" t="n">
        <x:v>10.92</x:v>
      </x:c>
      <x:c r="Q1512" s="31" t="n">
        <x:v>8.21</x:v>
      </x:c>
      <x:c r="R1512" s="31" t="n">
        <x:f>ABS(P1512-Q1512)</x:f>
        <x:v>2.709999999999999</x:v>
      </x:c>
      <x:c r="S1512" s="32" t="n">
        <x:v>115137.7502999143</x:v>
      </x:c>
      <x:c r="T1512" s="32" t="n">
        <x:v>9859.622631313132</x:v>
      </x:c>
      <x:c r="U1512" s="31" t="n">
        <x:f>MAX(S1512/T1512,T1512/S1512)</x:f>
        <x:v>11.67770355979435</x:v>
      </x:c>
      <x:c r="V1512" s="31" t="n">
        <x:f>L1512*'Controls &amp; Summary'!$B$9+O1512*'Controls &amp; Summary'!$B$10+R1512*'Controls &amp; Summary'!$B$11+U1512*'Controls &amp; Summary'!$B$12</x:f>
        <x:v>18.18770355979435</x:v>
      </x:c>
      <x:c r="W1512" s="31" t="n">
        <x:v>0</x:v>
      </x:c>
      <x:c r="X1512" s="31" t="n">
        <x:v>0.31</x:v>
      </x:c>
      <x:c r="Y1512" s="31" t="n">
        <x:f>((10-MIN(10,MAX(0,X1512)))/10)*'Controls &amp; Summary'!$B$15+((10-MIN(10,MAX(0,W1512)))/10)*'Controls &amp; Summary'!$B$16</x:f>
        <x:v>1.9689999999999999</x:v>
      </x:c>
      <x:c r="Z1512" s="31" t="n">
        <x:f>V1512*Y1512</x:f>
        <x:v>35.81158830923507</x:v>
      </x:c>
      <x:c r="AA1512" s="30" t="str">
        <x:f>IF(Z1512&lt;=I1512,"Peaceful","Hostile")</x:f>
        <x:v>Hostile</x:v>
      </x:c>
      <x:c r="AB1512" s="30" t="str">
        <x:f>IF(Z1512&lt;='Controls &amp; Summary'!$B$6,"Eligible","Blocked")</x:f>
        <x:v>Blocked</x:v>
      </x:c>
      <x:c r="AC1512" s="30" t="str">
        <x:v>2070_USA</x:v>
      </x:c>
      <x:c r="AD1512" s="30" t="str">
        <x:v>2070_MCS</x:v>
      </x:c>
      <x:c r="AE1512" s="30" t="str">
        <x:v>2070_Micronesia</x:v>
      </x:c>
      <x:c r="AF1512" s="30" t="str">
        <x:v>Explicit capitalClaim</x:v>
      </x:c>
      <x:c r="AG1512" s="30" t="str">
        <x:v>Claim2070_USA2070_Micronesia</x:v>
      </x:c>
      <x:c r="AH1512" s="30" t="str">
        <x:v>Project_UnitedNorthAmerica</x:v>
      </x:c>
    </x:row>
  </x:sheetData>
  <x:conditionalFormatting sqref="Z2:Z1512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AA2:AA1512">
    <x:cfRule type="containsText" dxfId="0" priority="2" operator="containsText" text="Peaceful"/>
    <x:cfRule type="containsText" dxfId="1" priority="3" operator="containsText" text="Hostile"/>
  </x:conditionalFormatting>
  <x:conditionalFormatting sqref="AB2:AB1512">
    <x:cfRule type="containsText" dxfId="2" priority="4" operator="containsText" text="Eligible"/>
    <x:cfRule type="containsText" dxfId="3" priority="5" operator="containsText" text="Blocked"/>
  </x:conditionalFormatting>
  <x:conditionalFormatting sqref="G2:G1512">
    <x:cfRule type="containsText" dxfId="4" priority="6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6bc3edae7a4447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0" hidden="0" customWidth="1"/>
  </x:cols>
  <x:sheetData>
    <x:row r="1">
      <x:c r="A1" s="3" t="str">
        <x:v>Methodology and Coverage</x:v>
      </x:c>
      <x:c r="B1" s="3"/>
    </x:row>
    <x:row r="3" ht="46" customHeight="1">
      <x:c r="A3" s="33" t="str">
        <x:v>Scope</x:v>
      </x:c>
      <x:c r="B3" s="36" t="str">
        <x:v>Every directional human-nation claim on another start-extant nation's capital that can be evaluated from scenario-start values. Breakaway/parent special-case reunifications are excluded because TI does not route them through the ordinary capital-claim harmonization requirement.</x:v>
      </x:c>
    </x:row>
    <x:row r="4" ht="46" customHeight="1">
      <x:c r="A4" s="33" t="str">
        <x:v>Direction</x:v>
      </x:c>
      <x:c r="B4" s="36" t="str">
        <x:v>Each row is Unifier -&gt; Annexed neighbor. No inverse row is invented. If both directions appear, the game contains two real directional capital claims.</x:v>
      </x:c>
    </x:row>
    <x:row r="5" ht="46" customHeight="1">
      <x:c r="A5" s="33" t="str">
        <x:v>Projects</x:v>
      </x:c>
      <x:c r="B5" s="36" t="str">
        <x:v>Project-gated capital claims are included even though the project is not complete at scenario start. Claim availability and project name are separate filterable columns.</x:v>
      </x:c>
    </x:row>
    <x:row r="6" ht="46" customHeight="1">
      <x:c r="A6" s="33" t="str">
        <x:v>Scenarios</x:v>
      </x:c>
      <x:c r="B6" s="36" t="str">
        <x:v>Dark Skies 2003, base 2022, 2026, and 2070 are included. The 2003 data is DLC content and remains gated in the mod/runtime.</x:v>
      </x:c>
    </x:row>
    <x:row r="7" ht="46" customHeight="1">
      <x:c r="A7" s="33" t="str">
        <x:v>Effective economic values</x:v>
      </x:c>
      <x:c r="B7" s="36" t="str">
        <x:v>Government, Inequality, Knowledge, Cohesion, and Unrest come from installed TI 1.0.51 scenario templates. GDP and regional populations are overlaid with this mod's generated starting-economic templates where present, so GDP/c matches the deployed mod's effective start values.</x:v>
      </x:c>
    </x:row>
    <x:row r="8" ht="46" customHeight="1">
      <x:c r="A8" s="33" t="str">
        <x:v>Capital identification</x:v>
      </x:c>
      <x:c r="B8" s="36" t="str">
        <x:v>Explicit initial-owner capitalClaim records are authoritative. When TI provides no explicit capital tag, the table uses the largest start-owned population region, matching TI's current-capital startup fallback; the Capital basis column exposes every fallback row.</x:v>
      </x:c>
    </x:row>
    <x:row r="9" ht="46" customHeight="1">
      <x:c r="A9" s="33" t="str">
        <x:v>Historical status</x:v>
      </x:c>
      <x:c r="B9" s="36" t="str">
        <x:v>Template hostileClaim flags plus the deployed HistoricalClaimRegistry additions are applied. This includes the approved bilateral grievances and all Restored Warsaw Pact, Forward Russia, and Liberating Mainland China project claims.</x:v>
      </x:c>
    </x:row>
    <x:row r="10" ht="46" customHeight="1">
      <x:c r="A10" s="33" t="str">
        <x:v>Formula</x:v>
      </x:c>
      <x:c r="B10" s="36" t="str">
        <x:v>core = |Government gap| + |Inequality gap| + |Knowledge gap| + max(source GDP/c / target GDP/c, inverse). modifier = (10 - target Unrest)/10 + (10 - source Cohesion)/10. score = core x modifier. Workbook controls can weight each term.</x:v>
      </x:c>
    </x:row>
    <x:row r="11" ht="46" customHeight="1">
      <x:c r="A11" s="33" t="str">
        <x:v>Default gates</x:v>
      </x:c>
      <x:c r="B11" s="36" t="str">
        <x:v>Ordinary integration &lt;= 6; historical integration &lt;= 3; federation &lt;= 12. Thresholds are inclusive.</x:v>
      </x:c>
    </x:row>
    <x:row r="12" ht="46" customHeight="1">
      <x:c r="A12" s="33" t="str">
        <x:v>Tuning direction</x:v>
      </x:c>
      <x:c r="B12" s="36" t="str">
        <x:v>Lower thresholds make the system stricter. Raising component or modifier weights also makes it stricter. Lowering weights lowers scores and therefore makes annexation more permissive.</x:v>
      </x:c>
    </x:row>
    <x:row r="13" ht="46" customHeight="1">
      <x:c r="A13" s="33" t="str">
        <x:v>Other eligibility rules</x:v>
      </x:c>
      <x:c r="B13" s="36" t="str">
        <x:v>The table does not assert immediate policy availability. Federation membership, alliances, rivals/enemies, wars, cooldowns, executive control, faction control, breakaway exemptions, and project completion still apply in game.</x:v>
      </x:c>
    </x:row>
    <x:row r="14" ht="46" customHeight="1">
      <x:c r="A14" s="33" t="str">
        <x:v>Coverage</x:v>
      </x:c>
      <x:c r="B14" s="36" t="str">
        <x:v>1,511 directional rows: 246 starting claims and 1,265 project-gated claims.</x:v>
      </x:c>
    </x:row>
    <x:row r="15" ht="46" customHeight="1">
      <x:c r="A15" s="33" t="str">
        <x:v>Sources</x:v>
      </x:c>
      <x:c r="B15" s="36" t="str">
        <x:v>Installed Terra Invicta 1.0.51 TINationTemplate.json, TIRegionTemplate.json, TIBilateralTemplate.json, TIProjectTemplate.json; Dark Skies 2003 templates; TIEconomyMod generated nation/region overrides; NationalHarmonizationPatches.cs historical registry.</x:v>
      </x:c>
    </x:row>
    <x:row r="16" ht="46" customHeight="1">
      <x:c r="A16" s="33" t="str">
        <x:v>Generated</x:v>
      </x:c>
      <x:c r="B16" s="36" t="str">
        <x:v>2026-08-21 (America/Los_Angeles).</x:v>
      </x:c>
    </x:row>
  </x:sheetData>
  <x:mergeCells>
    <x:mergeCell ref="A1:B1"/>
  </x:mergeCells>
  <x:pageMargins left="0.7" right="0.7" top="0.75" bottom="0.75" header="0.3" footer="0.3"/>
</x:worksheet>
</file>