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b9f6a4710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5aec12b50f4dcb"/>
    <x:sheet xmlns:r="http://schemas.openxmlformats.org/officeDocument/2006/relationships" name="Policy" sheetId="2" r:id="Rb94943bc972842e8"/>
    <x:sheet xmlns:r="http://schemas.openxmlformats.org/officeDocument/2006/relationships" name="Proposal" sheetId="3" r:id="R6f735d2f1f3a4f20"/>
    <x:sheet xmlns:r="http://schemas.openxmlformats.org/officeDocument/2006/relationships" name="Gap Log" sheetId="4" r:id="Raed12cdd59c3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.0000"/>
    <x:numFmt numFmtId="203" formatCode="&quot;$&quot;#,##0"/>
  </x:numFmts>
  <x:fonts count="6">
    <x:font>
      <x:sz val="11"/>
      <x:name val="Carlito"/>
    </x:font>
    <x:font>
      <x:b/>
      <x:sz val="16"/>
      <x:color rgb="FFFFFFFF"/>
      <x:name val="Aptos Display"/>
    </x:font>
    <x:font>
      <x:b/>
      <x:sz val="9"/>
      <x:color rgb="FFFFFFFF"/>
      <x:name val="Aptos"/>
    </x:font>
    <x:font>
      <x:b/>
      <x:sz val="9"/>
      <x:name val="Aptos"/>
    </x:font>
    <x:font>
      <x:sz val="9"/>
      <x:name val="Aptos"/>
    </x:font>
    <x:font>
      <x:i/>
      <x:sz val="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5" borderId="0" xfId="0" applyNumberFormat="1" applyFont="1" applyFill="1" applyBorder="1"/>
    <x:xf numFmtId="203" fontId="4" fillId="0" borderId="0" xfId="0" applyNumberFormat="1" applyFont="1" applyFill="1" applyBorder="1"/>
    <x:xf numFmtId="203" fontId="4" fillId="5" borderId="0" xfId="0" applyNumberFormat="1" applyFont="1" applyFill="1" applyBorder="1"/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d9b0de386482e" /><Relationship Type="http://schemas.openxmlformats.org/officeDocument/2006/relationships/theme" Target="/xl/theme/theme1.xml" Id="Rb053b144acb749e6" /><Relationship Type="http://schemas.openxmlformats.org/officeDocument/2006/relationships/sharedStrings" Target="/xl/sharedStrings.xml" Id="R69e04ae362654b92" /><Relationship Type="http://schemas.openxmlformats.org/officeDocument/2006/relationships/worksheet" Target="/xl/worksheets/sheet1.xml" Id="Rbf5aec12b50f4dcb" /><Relationship Type="http://schemas.openxmlformats.org/officeDocument/2006/relationships/worksheet" Target="/xl/worksheets/sheet2.xml" Id="Rb94943bc972842e8" /><Relationship Type="http://schemas.openxmlformats.org/officeDocument/2006/relationships/worksheet" Target="/xl/worksheets/sheet3.xml" Id="R6f735d2f1f3a4f20" /><Relationship Type="http://schemas.openxmlformats.org/officeDocument/2006/relationships/worksheet" Target="/xl/worksheets/sheet4.xml" Id="Raed12cdd59c347f4" /></Relationships>
</file>

<file path=xl/tables/table1.xml><?xml version="1.0" encoding="utf-8"?>
<x:table xmlns:x="http://schemas.openxmlformats.org/spreadsheetml/2006/main" id="1" name="CountryClampProposal" displayName="CountryClampProposal" ref="A3:Y521" headerRowCount="1" totalsRowCount="0" totalsRowShown="0">
  <x:tableColumns count="25">
    <x:tableColumn id="1" name="country id"/>
    <x:tableColumn id="2" name="country"/>
    <x:tableColumn id="3" name="ISO components"/>
    <x:tableColumn id="4" name="scenario year"/>
    <x:tableColumn id="5" name="GDP scaler"/>
    <x:tableColumn id="6" name="vanilla population"/>
    <x:tableColumn id="7" name="proposed population"/>
    <x:tableColumn id="8" name="population scale"/>
    <x:tableColumn id="9" name="vanilla JSON initialGDP"/>
    <x:tableColumn id="10" name="vanilla effective GDP"/>
    <x:tableColumn id="11" name="vanilla GDP/c"/>
    <x:tableColumn id="12" name="nominal GDP/c after scenario scaler"/>
    <x:tableColumn id="13" name="PPP GDP/c after scenario scaler"/>
    <x:tableColumn id="14" name="lower bound GDP/c"/>
    <x:tableColumn id="15" name="upper bound GDP/c"/>
    <x:tableColumn id="16" name="proposed GDP/c"/>
    <x:tableColumn id="17" name="decision"/>
    <x:tableColumn id="18" name="proposed effective GDP"/>
    <x:tableColumn id="19" name="proposed JSON initialGDP"/>
    <x:tableColumn id="20" name="population method"/>
    <x:tableColumn id="21" name="nominal method"/>
    <x:tableColumn id="22" name="PPP method"/>
    <x:tableColumn id="23" name="review flag"/>
    <x:tableColumn id="24" name="IMF source"/>
    <x:tableColumn id="25" name="World Bank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FillLog" displayName="GapFillLog" ref="A3:J90" headerRowCount="1" totalsRowCount="0" totalsRowShown="0">
  <x:tableColumns count="10">
    <x:tableColumn id="1" name="country id"/>
    <x:tableColumn id="2" name="country"/>
    <x:tableColumn id="3" name="year"/>
    <x:tableColumn id="4" name="ISO component"/>
    <x:tableColumn id="5" name="measure"/>
    <x:tableColumn id="6" name="filled value"/>
    <x:tableColumn id="7" name="units"/>
    <x:tableColumn id="8" name="method"/>
    <x:tableColumn id="9" name="source URL"/>
    <x:tableColumn id="10" name="review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db1ee3354e741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662b6f4bfaf4c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2" t="str">
        <x:v>GDP-per-capita clamp proposal — review summary</x:v>
      </x:c>
      <x:c r="B1" s="22"/>
      <x:c r="C1" s="22"/>
      <x:c r="D1" s="22"/>
      <x:c r="E1" s="22"/>
      <x:c r="F1" s="22"/>
    </x:row>
    <x:row r="3">
      <x:c r="A3" s="12" t="str">
        <x:v>Scenario year</x:v>
      </x:c>
      <x:c r="B3" s="13" t="str">
        <x:v>kept_vanilla</x:v>
      </x:c>
      <x:c r="C3" s="13" t="str">
        <x:v>clamped_to_nominal</x:v>
      </x:c>
      <x:c r="D3" s="13" t="str">
        <x:v>clamped_to_ppp</x:v>
      </x:c>
      <x:c r="E3" s="13" t="str">
        <x:v>non-primary rows</x:v>
      </x:c>
      <x:c r="F3" s="14" t="str">
        <x:v>total countries</x:v>
      </x:c>
    </x:row>
    <x:row r="4">
      <x:c r="A4" t="n">
        <x:v>2003</x:v>
      </x:c>
      <x:c r="B4" t="n">
        <x:f>COUNTIFS('Proposal'!$D$4:$D$521,$A4,'Proposal'!$Q$4:$Q$521,B$3)</x:f>
        <x:v>135</x:v>
      </x:c>
      <x:c r="C4" t="n">
        <x:f>COUNTIFS('Proposal'!$D$4:$D$521,$A4,'Proposal'!$Q$4:$Q$521,C$3)</x:f>
        <x:v>28</x:v>
      </x:c>
      <x:c r="D4" t="n">
        <x:f>COUNTIFS('Proposal'!$D$4:$D$521,$A4,'Proposal'!$Q$4:$Q$521,D$3)</x:f>
        <x:v>9</x:v>
      </x:c>
      <x:c r="E4" t="n">
        <x:f>COUNTIFS('Proposal'!$D$4:$D$521,$A4,'Proposal'!$W$4:$W$521,"&lt;&gt;complete_primary")</x:f>
        <x:v>8</x:v>
      </x:c>
      <x:c r="F4" t="n">
        <x:f>COUNTIF('Proposal'!$D$4:$D$521,$A4)</x:f>
        <x:v>172</x:v>
      </x:c>
    </x:row>
    <x:row r="5">
      <x:c r="A5" t="n">
        <x:v>2022</x:v>
      </x:c>
      <x:c r="B5" t="n">
        <x:f>COUNTIFS('Proposal'!$D$4:$D$521,$A5,'Proposal'!$Q$4:$Q$521,B$3)</x:f>
        <x:v>155</x:v>
      </x:c>
      <x:c r="C5" t="n">
        <x:f>COUNTIFS('Proposal'!$D$4:$D$521,$A5,'Proposal'!$Q$4:$Q$521,C$3)</x:f>
        <x:v>10</x:v>
      </x:c>
      <x:c r="D5" t="n">
        <x:f>COUNTIFS('Proposal'!$D$4:$D$521,$A5,'Proposal'!$Q$4:$Q$521,D$3)</x:f>
        <x:v>8</x:v>
      </x:c>
      <x:c r="E5" t="n">
        <x:f>COUNTIFS('Proposal'!$D$4:$D$521,$A5,'Proposal'!$W$4:$W$521,"&lt;&gt;complete_primary")</x:f>
        <x:v>7</x:v>
      </x:c>
      <x:c r="F5" t="n">
        <x:f>COUNTIF('Proposal'!$D$4:$D$521,$A5)</x:f>
        <x:v>173</x:v>
      </x:c>
    </x:row>
    <x:row r="6">
      <x:c r="A6" t="n">
        <x:v>2026</x:v>
      </x:c>
      <x:c r="B6" t="n">
        <x:f>COUNTIFS('Proposal'!$D$4:$D$521,$A6,'Proposal'!$Q$4:$Q$521,B$3)</x:f>
        <x:v>148</x:v>
      </x:c>
      <x:c r="C6" t="n">
        <x:f>COUNTIFS('Proposal'!$D$4:$D$521,$A6,'Proposal'!$Q$4:$Q$521,C$3)</x:f>
        <x:v>16</x:v>
      </x:c>
      <x:c r="D6" t="n">
        <x:f>COUNTIFS('Proposal'!$D$4:$D$521,$A6,'Proposal'!$Q$4:$Q$521,D$3)</x:f>
        <x:v>9</x:v>
      </x:c>
      <x:c r="E6" t="n">
        <x:f>COUNTIFS('Proposal'!$D$4:$D$521,$A6,'Proposal'!$W$4:$W$521,"&lt;&gt;complete_primary")</x:f>
        <x:v>12</x:v>
      </x:c>
      <x:c r="F6" t="n">
        <x:f>COUNTIF('Proposal'!$D$4:$D$521,$A6)</x:f>
        <x:v>173</x:v>
      </x:c>
    </x:row>
    <x:row r="9">
      <x:c r="A9" s="17" t="str">
        <x:v>Rule: preserve vanilla GDP/c when it lies between the filled nominal and PPP values; otherwise clamp it to the nearer boundary.</x:v>
      </x:c>
      <x:c r="B9" s="17"/>
      <x:c r="C9" s="17"/>
      <x:c r="D9" s="17"/>
      <x:c r="E9" s="17"/>
      <x:c r="F9" s="17"/>
    </x:row>
    <x:row r="11">
      <x:c r="A11" s="21" t="str">
        <x:v>Nominal and PPP boundaries are historical target-year values multiplied by the existing 1.59 / 1.00 / 0.87 scenario scaler. Proposed JSON initialGDP is effective GDP ÷ that same scaler, so the start multiplier performs the operational normalization.</x:v>
      </x:c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</x:sheetData>
  <x:mergeCells>
    <x:mergeCell ref="A1:F1"/>
    <x:mergeCell ref="A9:F9"/>
    <x:mergeCell ref="A11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Policy, sources, and gap-filling hierarchy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Item</x:v>
      </x:c>
      <x:c r="B3" s="14" t="str">
        <x:v>Definition</x:v>
      </x:c>
    </x:row>
    <x:row r="4" ht="42" customHeight="1">
      <x:c r="A4" s="27" t="str">
        <x:v>Clamp rule</x:v>
      </x:c>
      <x:c r="B4" s="28" t="str">
        <x:v>lower = MIN(nominal GDP/c, PPP GDP/c); upper = MAX(...); proposed GDP/c = MAX(lower, MIN(vanilla GDP/c, upper)).</x:v>
      </x:c>
    </x:row>
    <x:row r="5" ht="42" customHeight="1">
      <x:c r="A5" s="29" t="str">
        <x:v>Primary source</x:v>
      </x:c>
      <x:c r="B5" s="30" t="str">
        <x:v>IMF World Economic Outlook dataflow 9.0.0: https://api.imf.org/external/sdmx/3.0/data/dataflow/IMF.RES/WEO/9.0.0/</x:v>
      </x:c>
    </x:row>
    <x:row r="6" ht="42" customHeight="1">
      <x:c r="A6" s="29" t="str">
        <x:v>Secondary source</x:v>
      </x:c>
      <x:c r="B6" s="30" t="str">
        <x:v>World Bank World Development Indicators, last updated 2026-07-13: https://api.worldbank.org/v2/</x:v>
      </x:c>
    </x:row>
    <x:row r="7" ht="42" customHeight="1">
      <x:c r="A7" s="29" t="str">
        <x:v>World Bank indicators</x:v>
      </x:c>
      <x:c r="B7" s="30" t="str">
        <x:v>SP.POP.TOTL; NY.GDP.MKTP.CD; NY.GDP.MKTP.PP.CD.</x:v>
      </x:c>
    </x:row>
    <x:row r="8" ht="42" customHeight="1">
      <x:c r="A8" s="29" t="str">
        <x:v>Normalization basis</x:v>
      </x:c>
      <x:c r="B8" s="30" t="str">
        <x:v>Target-year nominal and PPP values are multiplied by the existing scenario-wide GDP scaler (1.59 / 1.00 / 0.87) before applying the clamp. The IMF US GDP deflator is used only to compare non-target anchor years during inference.</x:v>
      </x:c>
    </x:row>
    <x:row r="9" ht="42" customHeight="1">
      <x:c r="A9" s="29" t="str">
        <x:v>Population fallback</x:v>
      </x:c>
      <x:c r="B9" s="30" t="str">
        <x:v>IMF exact → World Bank exact → log-linear interpolation → same-country CAGR extrapolation capped at ±5%/year → vanilla only if no external series exists.</x:v>
      </x:c>
    </x:row>
    <x:row r="10" ht="42" customHeight="1">
      <x:c r="A10" s="29" t="str">
        <x:v>GDP fallback</x:v>
      </x:c>
      <x:c r="B10" s="30" t="str">
        <x:v>IMF exact → World Bank exact → nearest country observation grown/backcast by same-region/same-income median real GDP/c growth capped at ±8%/year → peer GDP/c level.</x:v>
      </x:c>
    </x:row>
    <x:row r="11" ht="42" customHeight="1">
      <x:c r="A11" s="29" t="str">
        <x:v>PPP-only fallback</x:v>
      </x:c>
      <x:c r="B11" s="30" t="str">
        <x:v>When a country has no PPP history, filled nominal GDP is multiplied by the same-region/same-income median PPP/nominal ratio.</x:v>
      </x:c>
    </x:row>
    <x:row r="12" ht="42" customHeight="1">
      <x:c r="A12" s="29" t="str">
        <x:v>Peer group fallback</x:v>
      </x:c>
      <x:c r="B12" s="30" t="str">
        <x:v>Use region+income when at least five observations exist; otherwise region, then income, then all available countries.</x:v>
      </x:c>
    </x:row>
    <x:row r="13" ht="42" customHeight="1">
      <x:c r="A13" s="29" t="str">
        <x:v>Jersey proxy</x:v>
      </x:c>
      <x:c r="B13" s="30" t="str">
        <x:v>World Bank Channel Islands (CHI) is used for the missing JEY component; this slightly overstates Jersey because CHI also includes Guernsey, but the effect on the UK aggregate is small and is flagged.</x:v>
      </x:c>
    </x:row>
    <x:row r="14" ht="42" customHeight="1">
      <x:c r="A14" s="29" t="str">
        <x:v>Implementation meaning</x:v>
      </x:c>
      <x:c r="B14" s="30" t="str">
        <x:v>proposed_json_initial_gdp is the value suitable for nation JSON if the existing scenario multiplier is retained.</x:v>
      </x:c>
    </x:row>
    <x:row r="15" ht="42" customHeight="1">
      <x:c r="A15" s="31" t="str">
        <x:v>Scope</x:v>
      </x:c>
      <x:c r="B15" s="32" t="str">
        <x:v>Research proposal only. No gameplay JSON, region population, build, or deployment changes are included.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3" hidden="0" customWidth="1"/>
    <x:col min="5" max="5" width="13" hidden="0" customWidth="1"/>
    <x:col min="6" max="6" width="17" hidden="0" customWidth="1"/>
    <x:col min="7" max="7" width="17" hidden="0" customWidth="1"/>
    <x:col min="8" max="8" width="14" hidden="0" customWidth="1"/>
    <x:col min="9" max="9" width="20" hidden="0" customWidth="1"/>
    <x:col min="10" max="10" width="20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22" hidden="0" customWidth="1"/>
    <x:col min="18" max="18" width="22" hidden="0" customWidth="1"/>
    <x:col min="19" max="19" width="22" hidden="0" customWidth="1"/>
    <x:col min="20" max="20" width="48" hidden="0" customWidth="1"/>
    <x:col min="21" max="21" width="48" hidden="0" customWidth="1"/>
    <x:col min="22" max="22" width="48" hidden="0" customWidth="1"/>
    <x:col min="23" max="23" width="22" hidden="0" customWidth="1"/>
    <x:col min="24" max="24" width="46" hidden="0" customWidth="1"/>
    <x:col min="25" max="25" width="46" hidden="0" customWidth="1"/>
  </x:cols>
  <x:sheetData>
    <x:row r="1">
      <x:c r="A1" s="3" t="str">
        <x:v>Country-year proposal — source values, clamp result, and JSON-ready GDP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>
      <x:c r="A2" s="33" t="str">
        <x:v>Blue/cream columns are sourced inputs and provenance; green columns are formula-derived policy outputs.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</x:row>
    <x:row r="3" ht="42" customHeight="1">
      <x:c r="A3" s="12" t="str">
        <x:v>country id</x:v>
      </x:c>
      <x:c r="B3" s="13" t="str">
        <x:v>country</x:v>
      </x:c>
      <x:c r="C3" s="13" t="str">
        <x:v>ISO components</x:v>
      </x:c>
      <x:c r="D3" s="13" t="str">
        <x:v>scenario year</x:v>
      </x:c>
      <x:c r="E3" s="13" t="str">
        <x:v>GDP scaler</x:v>
      </x:c>
      <x:c r="F3" s="13" t="str">
        <x:v>vanilla population</x:v>
      </x:c>
      <x:c r="G3" s="13" t="str">
        <x:v>proposed population</x:v>
      </x:c>
      <x:c r="H3" s="13" t="str">
        <x:v>population scale</x:v>
      </x:c>
      <x:c r="I3" s="13" t="str">
        <x:v>vanilla JSON initialGDP</x:v>
      </x:c>
      <x:c r="J3" s="13" t="str">
        <x:v>vanilla effective GDP</x:v>
      </x:c>
      <x:c r="K3" s="13" t="str">
        <x:v>vanilla GDP/c</x:v>
      </x:c>
      <x:c r="L3" s="13" t="str">
        <x:v>nominal GDP/c after scenario scaler</x:v>
      </x:c>
      <x:c r="M3" s="13" t="str">
        <x:v>PPP GDP/c after scenario scaler</x:v>
      </x:c>
      <x:c r="N3" s="13" t="str">
        <x:v>lower bound GDP/c</x:v>
      </x:c>
      <x:c r="O3" s="13" t="str">
        <x:v>upper bound GDP/c</x:v>
      </x:c>
      <x:c r="P3" s="13" t="str">
        <x:v>proposed GDP/c</x:v>
      </x:c>
      <x:c r="Q3" s="13" t="str">
        <x:v>decision</x:v>
      </x:c>
      <x:c r="R3" s="13" t="str">
        <x:v>proposed effective GDP</x:v>
      </x:c>
      <x:c r="S3" s="13" t="str">
        <x:v>proposed JSON initialGDP</x:v>
      </x:c>
      <x:c r="T3" s="13" t="str">
        <x:v>population method</x:v>
      </x:c>
      <x:c r="U3" s="13" t="str">
        <x:v>nominal method</x:v>
      </x:c>
      <x:c r="V3" s="13" t="str">
        <x:v>PPP method</x:v>
      </x:c>
      <x:c r="W3" s="13" t="str">
        <x:v>review flag</x:v>
      </x:c>
      <x:c r="X3" s="13" t="str">
        <x:v>IMF source</x:v>
      </x:c>
      <x:c r="Y3" s="14" t="str">
        <x:v>World Bank source</x:v>
      </x:c>
    </x:row>
    <x:row r="4">
      <x:c r="A4" s="24" t="str">
        <x:v>AFG</x:v>
      </x:c>
      <x:c r="B4" s="24" t="str">
        <x:v>Afghanistan</x:v>
      </x:c>
      <x:c r="C4" s="24" t="str">
        <x:v>AFG</x:v>
      </x:c>
      <x:c r="D4" s="24" t="n">
        <x:v>2003</x:v>
      </x:c>
      <x:c r="E4" s="37" t="n">
        <x:v>1.59</x:v>
      </x:c>
      <x:c r="F4" s="38" t="n">
        <x:v>22733049</x:v>
      </x:c>
      <x:c r="G4" s="38" t="n">
        <x:v>22645130</x:v>
      </x:c>
      <x:c r="H4" s="39" t="n">
        <x:f>G4/F4</x:f>
        <x:v>0.9961325469364009</x:v>
      </x:c>
      <x:c r="I4" s="40" t="n">
        <x:v>14740350877</x:v>
      </x:c>
      <x:c r="J4" s="40" t="n">
        <x:v>23437157894</x:v>
      </x:c>
      <x:c r="K4" s="40" t="n">
        <x:v>1031</x:v>
      </x:c>
      <x:c r="L4" s="40" t="n">
        <x:v>320</x:v>
      </x:c>
      <x:c r="M4" s="40" t="n">
        <x:v>1770</x:v>
      </x:c>
      <x:c r="N4" s="41" t="n">
        <x:f>MIN(L4,M4)</x:f>
        <x:v>320</x:v>
      </x:c>
      <x:c r="O4" s="41" t="n">
        <x:f>MAX(L4,M4)</x:f>
        <x:v>1770</x:v>
      </x:c>
      <x:c r="P4" s="41" t="n">
        <x:f>MAX(N4,MIN(K4,O4))</x:f>
        <x:v>1031</x:v>
      </x:c>
      <x:c r="Q4" s="19" t="str">
        <x:f>IF(K4&lt;N4,IF(N4=L4,"clamped_to_nominal","clamped_to_ppp"),IF(K4&gt;O4,IF(O4=L4,"clamped_to_nominal","clamped_to_ppp"),"kept_vanilla"))</x:f>
        <x:v>kept_vanilla</x:v>
      </x:c>
      <x:c r="R4" s="41" t="n">
        <x:f>P4*G4</x:f>
        <x:v>23347129030</x:v>
      </x:c>
      <x:c r="S4" s="41" t="n">
        <x:f>R4/E4</x:f>
        <x:v>14683728949.685534</x:v>
      </x:c>
      <x:c r="T4" s="36" t="str">
        <x:v>AFG: IMF exact 2003</x:v>
      </x:c>
      <x:c r="U4" s="36" t="str">
        <x:v>AFG: IMF exact 2003</x:v>
      </x:c>
      <x:c r="V4" s="36" t="str">
        <x:v>AFG: IMF exact 2003</x:v>
      </x:c>
      <x:c r="W4" s="36" t="str">
        <x:v>complete_primary</x:v>
      </x:c>
      <x:c r="X4" s="36" t="str">
        <x:v>https://api.imf.org/external/sdmx/3.0/data/dataflow/IMF.RES/WEO/9.0.0/</x:v>
      </x:c>
      <x:c r="Y4" s="36" t="str">
        <x:v>https://api.worldbank.org/v2/</x:v>
      </x:c>
    </x:row>
    <x:row r="5">
      <x:c r="A5" s="24" t="str">
        <x:v>AFG</x:v>
      </x:c>
      <x:c r="B5" s="24" t="str">
        <x:v>Afghanistan</x:v>
      </x:c>
      <x:c r="C5" s="24" t="str">
        <x:v>AFG</x:v>
      </x:c>
      <x:c r="D5" s="24" t="n">
        <x:v>2022</x:v>
      </x:c>
      <x:c r="E5" s="37" t="n">
        <x:v>1</x:v>
      </x:c>
      <x:c r="F5" s="38" t="n">
        <x:v>41044223</x:v>
      </x:c>
      <x:c r="G5" s="38" t="n">
        <x:v>40579000</x:v>
      </x:c>
      <x:c r="H5" s="39" t="n">
        <x:f>G5/F5</x:f>
        <x:v>0.9886653232538962</x:v>
      </x:c>
      <x:c r="I5" s="40" t="n">
        <x:v>71202560000</x:v>
      </x:c>
      <x:c r="J5" s="40" t="n">
        <x:v>71202560000</x:v>
      </x:c>
      <x:c r="K5" s="40" t="n">
        <x:v>1735</x:v>
      </x:c>
      <x:c r="L5" s="40" t="n">
        <x:v>357</x:v>
      </x:c>
      <x:c r="M5" s="40" t="n">
        <x:v>2123</x:v>
      </x:c>
      <x:c r="N5" s="41" t="n">
        <x:f>MIN(L5,M5)</x:f>
        <x:v>357</x:v>
      </x:c>
      <x:c r="O5" s="41" t="n">
        <x:f>MAX(L5,M5)</x:f>
        <x:v>2123</x:v>
      </x:c>
      <x:c r="P5" s="41" t="n">
        <x:f>MAX(N5,MIN(K5,O5))</x:f>
        <x:v>1735</x:v>
      </x:c>
      <x:c r="Q5" s="19" t="str">
        <x:f>IF(K5&lt;N5,IF(N5=L5,"clamped_to_nominal","clamped_to_ppp"),IF(K5&gt;O5,IF(O5=L5,"clamped_to_nominal","clamped_to_ppp"),"kept_vanilla"))</x:f>
        <x:v>kept_vanilla</x:v>
      </x:c>
      <x:c r="R5" s="41" t="n">
        <x:f>P5*G5</x:f>
        <x:v>70404565000</x:v>
      </x:c>
      <x:c r="S5" s="41" t="n">
        <x:f>R5/E5</x:f>
        <x:v>70404565000</x:v>
      </x:c>
      <x:c r="T5" s="36" t="str">
        <x:v>AFG: IMF exact 2022</x:v>
      </x:c>
      <x:c r="U5" s="36" t="str">
        <x:v>AFG: IMF exact 2022</x:v>
      </x:c>
      <x:c r="V5" s="36" t="str">
        <x:v>AFG: IMF exact 2022</x:v>
      </x:c>
      <x:c r="W5" s="36" t="str">
        <x:v>complete_primary</x:v>
      </x:c>
      <x:c r="X5" s="36" t="str">
        <x:v>https://api.imf.org/external/sdmx/3.0/data/dataflow/IMF.RES/WEO/9.0.0/</x:v>
      </x:c>
      <x:c r="Y5" s="36" t="str">
        <x:v>https://api.worldbank.org/v2/</x:v>
      </x:c>
    </x:row>
    <x:row r="6">
      <x:c r="A6" s="24" t="str">
        <x:v>AFG</x:v>
      </x:c>
      <x:c r="B6" s="24" t="str">
        <x:v>Afghanistan</x:v>
      </x:c>
      <x:c r="C6" s="24" t="str">
        <x:v>AFG</x:v>
      </x:c>
      <x:c r="D6" s="24" t="n">
        <x:v>2026</x:v>
      </x:c>
      <x:c r="E6" s="37" t="n">
        <x:v>0.87</x:v>
      </x:c>
      <x:c r="F6" s="38" t="n">
        <x:v>45047069</x:v>
      </x:c>
      <x:c r="G6" s="38" t="n">
        <x:v>45074328</x:v>
      </x:c>
      <x:c r="H6" s="39" t="n">
        <x:f>G6/F6</x:f>
        <x:v>1.000605122610752</x:v>
      </x:c>
      <x:c r="I6" s="40" t="n">
        <x:v>63810560000</x:v>
      </x:c>
      <x:c r="J6" s="40" t="n">
        <x:v>55515187200</x:v>
      </x:c>
      <x:c r="K6" s="40" t="n">
        <x:v>1232</x:v>
      </x:c>
      <x:c r="L6" s="40" t="n">
        <x:v>416</x:v>
      </x:c>
      <x:c r="M6" s="40" t="n">
        <x:v>2096</x:v>
      </x:c>
      <x:c r="N6" s="41" t="n">
        <x:f>MIN(L6,M6)</x:f>
        <x:v>416</x:v>
      </x:c>
      <x:c r="O6" s="41" t="n">
        <x:f>MAX(L6,M6)</x:f>
        <x:v>2096</x:v>
      </x:c>
      <x:c r="P6" s="41" t="n">
        <x:f>MAX(N6,MIN(K6,O6))</x:f>
        <x:v>1232</x:v>
      </x:c>
      <x:c r="Q6" s="19" t="str">
        <x:f>IF(K6&lt;N6,IF(N6=L6,"clamped_to_nominal","clamped_to_ppp"),IF(K6&gt;O6,IF(O6=L6,"clamped_to_nominal","clamped_to_ppp"),"kept_vanilla"))</x:f>
        <x:v>kept_vanilla</x:v>
      </x:c>
      <x:c r="R6" s="41" t="n">
        <x:f>P6*G6</x:f>
        <x:v>55531572096</x:v>
      </x:c>
      <x:c r="S6" s="41" t="n">
        <x:f>R6/E6</x:f>
        <x:v>63829393213.793106</x:v>
      </x:c>
      <x:c r="T6" s="36" t="str">
        <x:v>AFG: population extrapolation from IMF 2024-2025 CAGR (2.81%/yr, capped at ±5%)</x:v>
      </x:c>
      <x:c r="U6" s="36" t="str">
        <x:v>AFG: peer-growth inference from IMF 2025; Middle East, North Africa, Afghanistan &amp; Pakistan median 3.66%/yr (18 peers, capped at ±8%)</x:v>
      </x:c>
      <x:c r="V6" s="36" t="str">
        <x:v>AFG: peer-growth inference from IMF 2025; Middle East, North Africa, Afghanistan &amp; Pakistan median 1.63%/yr (19 peers, capped at ±8%)</x:v>
      </x:c>
      <x:c r="W6" s="36" t="str">
        <x:v>inferred</x:v>
      </x:c>
      <x:c r="X6" s="36" t="str">
        <x:v>https://api.imf.org/external/sdmx/3.0/data/dataflow/IMF.RES/WEO/9.0.0/</x:v>
      </x:c>
      <x:c r="Y6" s="36" t="str">
        <x:v>https://api.worldbank.org/v2/</x:v>
      </x:c>
    </x:row>
    <x:row r="7">
      <x:c r="A7" s="24" t="str">
        <x:v>SBK</x:v>
      </x:c>
      <x:c r="B7" s="24" t="str">
        <x:v>Albania</x:v>
      </x:c>
      <x:c r="C7" s="24" t="str">
        <x:v>ALB</x:v>
      </x:c>
      <x:c r="D7" s="24" t="n">
        <x:v>2003</x:v>
      </x:c>
      <x:c r="E7" s="37" t="n">
        <x:v>1.59</x:v>
      </x:c>
      <x:c r="F7" s="38" t="n">
        <x:v>3118088</x:v>
      </x:c>
      <x:c r="G7" s="38" t="n">
        <x:v>3039616</x:v>
      </x:c>
      <x:c r="H7" s="39" t="n">
        <x:f>G7/F7</x:f>
        <x:v>0.9748332952758229</x:v>
      </x:c>
      <x:c r="I7" s="40" t="n">
        <x:v>9792397661</x:v>
      </x:c>
      <x:c r="J7" s="40" t="n">
        <x:v>15569912281</x:v>
      </x:c>
      <x:c r="K7" s="40" t="n">
        <x:v>4993</x:v>
      </x:c>
      <x:c r="L7" s="40" t="n">
        <x:v>2909</x:v>
      </x:c>
      <x:c r="M7" s="40" t="n">
        <x:v>8752</x:v>
      </x:c>
      <x:c r="N7" s="41" t="n">
        <x:f>MIN(L7,M7)</x:f>
        <x:v>2909</x:v>
      </x:c>
      <x:c r="O7" s="41" t="n">
        <x:f>MAX(L7,M7)</x:f>
        <x:v>8752</x:v>
      </x:c>
      <x:c r="P7" s="41" t="n">
        <x:f>MAX(N7,MIN(K7,O7))</x:f>
        <x:v>4993</x:v>
      </x:c>
      <x:c r="Q7" s="19" t="str">
        <x:f>IF(K7&lt;N7,IF(N7=L7,"clamped_to_nominal","clamped_to_ppp"),IF(K7&gt;O7,IF(O7=L7,"clamped_to_nominal","clamped_to_ppp"),"kept_vanilla"))</x:f>
        <x:v>kept_vanilla</x:v>
      </x:c>
      <x:c r="R7" s="41" t="n">
        <x:f>P7*G7</x:f>
        <x:v>15176802688</x:v>
      </x:c>
      <x:c r="S7" s="41" t="n">
        <x:f>R7/E7</x:f>
        <x:v>9545158923.27044</x:v>
      </x:c>
      <x:c r="T7" s="36" t="str">
        <x:v>ALB: IMF exact 2003</x:v>
      </x:c>
      <x:c r="U7" s="36" t="str">
        <x:v>ALB: IMF exact 2003</x:v>
      </x:c>
      <x:c r="V7" s="36" t="str">
        <x:v>ALB: IMF exact 2003</x:v>
      </x:c>
      <x:c r="W7" s="36" t="str">
        <x:v>complete_primary</x:v>
      </x:c>
      <x:c r="X7" s="36" t="str">
        <x:v>https://api.imf.org/external/sdmx/3.0/data/dataflow/IMF.RES/WEO/9.0.0/</x:v>
      </x:c>
      <x:c r="Y7" s="36" t="str">
        <x:v>https://api.worldbank.org/v2/</x:v>
      </x:c>
    </x:row>
    <x:row r="8">
      <x:c r="A8" s="24" t="str">
        <x:v>SBK</x:v>
      </x:c>
      <x:c r="B8" s="24" t="str">
        <x:v>Albania</x:v>
      </x:c>
      <x:c r="C8" s="24" t="str">
        <x:v>ALB</x:v>
      </x:c>
      <x:c r="D8" s="24" t="n">
        <x:v>2022</x:v>
      </x:c>
      <x:c r="E8" s="37" t="n">
        <x:v>1</x:v>
      </x:c>
      <x:c r="F8" s="38" t="n">
        <x:v>2864358</x:v>
      </x:c>
      <x:c r="G8" s="38" t="n">
        <x:v>2777689</x:v>
      </x:c>
      <x:c r="H8" s="39" t="n">
        <x:f>G8/F8</x:f>
        <x:v>0.9697422598711474</x:v>
      </x:c>
      <x:c r="I8" s="40" t="n">
        <x:v>43847760000</x:v>
      </x:c>
      <x:c r="J8" s="40" t="n">
        <x:v>43847760000</x:v>
      </x:c>
      <x:c r="K8" s="40" t="n">
        <x:v>15308</x:v>
      </x:c>
      <x:c r="L8" s="40" t="n">
        <x:v>6908</x:v>
      </x:c>
      <x:c r="M8" s="40" t="n">
        <x:v>18588</x:v>
      </x:c>
      <x:c r="N8" s="41" t="n">
        <x:f>MIN(L8,M8)</x:f>
        <x:v>6908</x:v>
      </x:c>
      <x:c r="O8" s="41" t="n">
        <x:f>MAX(L8,M8)</x:f>
        <x:v>18588</x:v>
      </x:c>
      <x:c r="P8" s="41" t="n">
        <x:f>MAX(N8,MIN(K8,O8))</x:f>
        <x:v>15308</x:v>
      </x:c>
      <x:c r="Q8" s="19" t="str">
        <x:f>IF(K8&lt;N8,IF(N8=L8,"clamped_to_nominal","clamped_to_ppp"),IF(K8&gt;O8,IF(O8=L8,"clamped_to_nominal","clamped_to_ppp"),"kept_vanilla"))</x:f>
        <x:v>kept_vanilla</x:v>
      </x:c>
      <x:c r="R8" s="41" t="n">
        <x:f>P8*G8</x:f>
        <x:v>42520863212</x:v>
      </x:c>
      <x:c r="S8" s="41" t="n">
        <x:f>R8/E8</x:f>
        <x:v>42520863212</x:v>
      </x:c>
      <x:c r="T8" s="36" t="str">
        <x:v>ALB: IMF exact 2022</x:v>
      </x:c>
      <x:c r="U8" s="36" t="str">
        <x:v>ALB: IMF exact 2022</x:v>
      </x:c>
      <x:c r="V8" s="36" t="str">
        <x:v>ALB: IMF exact 2022</x:v>
      </x:c>
      <x:c r="W8" s="36" t="str">
        <x:v>complete_primary</x:v>
      </x:c>
      <x:c r="X8" s="36" t="str">
        <x:v>https://api.imf.org/external/sdmx/3.0/data/dataflow/IMF.RES/WEO/9.0.0/</x:v>
      </x:c>
      <x:c r="Y8" s="36" t="str">
        <x:v>https://api.worldbank.org/v2/</x:v>
      </x:c>
    </x:row>
    <x:row r="9">
      <x:c r="A9" s="24" t="str">
        <x:v>SBK</x:v>
      </x:c>
      <x:c r="B9" s="24" t="str">
        <x:v>Albania</x:v>
      </x:c>
      <x:c r="C9" s="24" t="str">
        <x:v>ALB</x:v>
      </x:c>
      <x:c r="D9" s="24" t="n">
        <x:v>2026</x:v>
      </x:c>
      <x:c r="E9" s="37" t="n">
        <x:v>0.87</x:v>
      </x:c>
      <x:c r="F9" s="38" t="n">
        <x:v>2751025</x:v>
      </x:c>
      <x:c r="G9" s="38" t="n">
        <x:v>2668237</x:v>
      </x:c>
      <x:c r="H9" s="39" t="n">
        <x:f>G9/F9</x:f>
        <x:v>0.9699064893994057</x:v>
      </x:c>
      <x:c r="I9" s="40" t="n">
        <x:v>55510400000</x:v>
      </x:c>
      <x:c r="J9" s="40" t="n">
        <x:v>48294048000</x:v>
      </x:c>
      <x:c r="K9" s="40" t="n">
        <x:v>17555</x:v>
      </x:c>
      <x:c r="L9" s="40" t="n">
        <x:v>10869</x:v>
      </x:c>
      <x:c r="M9" s="40" t="n">
        <x:v>21965</x:v>
      </x:c>
      <x:c r="N9" s="41" t="n">
        <x:f>MIN(L9,M9)</x:f>
        <x:v>10869</x:v>
      </x:c>
      <x:c r="O9" s="41" t="n">
        <x:f>MAX(L9,M9)</x:f>
        <x:v>21965</x:v>
      </x:c>
      <x:c r="P9" s="41" t="n">
        <x:f>MAX(N9,MIN(K9,O9))</x:f>
        <x:v>17555</x:v>
      </x:c>
      <x:c r="Q9" s="19" t="str">
        <x:f>IF(K9&lt;N9,IF(N9=L9,"clamped_to_nominal","clamped_to_ppp"),IF(K9&gt;O9,IF(O9=L9,"clamped_to_nominal","clamped_to_ppp"),"kept_vanilla"))</x:f>
        <x:v>kept_vanilla</x:v>
      </x:c>
      <x:c r="R9" s="41" t="n">
        <x:f>P9*G9</x:f>
        <x:v>46840900535</x:v>
      </x:c>
      <x:c r="S9" s="41" t="n">
        <x:f>R9/E9</x:f>
        <x:v>53840115557.47127</x:v>
      </x:c>
      <x:c r="T9" s="36" t="str">
        <x:v>ALB: IMF exact 2026</x:v>
      </x:c>
      <x:c r="U9" s="36" t="str">
        <x:v>ALB: IMF exact 2026</x:v>
      </x:c>
      <x:c r="V9" s="36" t="str">
        <x:v>ALB: IMF exact 2026</x:v>
      </x:c>
      <x:c r="W9" s="36" t="str">
        <x:v>complete_primary</x:v>
      </x:c>
      <x:c r="X9" s="36" t="str">
        <x:v>https://api.imf.org/external/sdmx/3.0/data/dataflow/IMF.RES/WEO/9.0.0/</x:v>
      </x:c>
      <x:c r="Y9" s="36" t="str">
        <x:v>https://api.worldbank.org/v2/</x:v>
      </x:c>
    </x:row>
    <x:row r="10">
      <x:c r="A10" s="24" t="str">
        <x:v>DZA</x:v>
      </x:c>
      <x:c r="B10" s="24" t="str">
        <x:v>Algeria</x:v>
      </x:c>
      <x:c r="C10" s="24" t="str">
        <x:v>DZA</x:v>
      </x:c>
      <x:c r="D10" s="24" t="n">
        <x:v>2003</x:v>
      </x:c>
      <x:c r="E10" s="37" t="n">
        <x:v>1.59</x:v>
      </x:c>
      <x:c r="F10" s="38" t="n">
        <x:v>32175818</x:v>
      </x:c>
      <x:c r="G10" s="38" t="n">
        <x:v>31885000</x:v>
      </x:c>
      <x:c r="H10" s="39" t="n">
        <x:f>G10/F10</x:f>
        <x:v>0.9909615973088858</x:v>
      </x:c>
      <x:c r="I10" s="40" t="n">
        <x:v>162825146199</x:v>
      </x:c>
      <x:c r="J10" s="40" t="n">
        <x:v>258891982456</x:v>
      </x:c>
      <x:c r="K10" s="40" t="n">
        <x:v>8046</x:v>
      </x:c>
      <x:c r="L10" s="40" t="n">
        <x:v>3664</x:v>
      </x:c>
      <x:c r="M10" s="40" t="n">
        <x:v>13871</x:v>
      </x:c>
      <x:c r="N10" s="41" t="n">
        <x:f>MIN(L10,M10)</x:f>
        <x:v>3664</x:v>
      </x:c>
      <x:c r="O10" s="41" t="n">
        <x:f>MAX(L10,M10)</x:f>
        <x:v>13871</x:v>
      </x:c>
      <x:c r="P10" s="41" t="n">
        <x:f>MAX(N10,MIN(K10,O10))</x:f>
        <x:v>8046</x:v>
      </x:c>
      <x:c r="Q10" s="19" t="str">
        <x:f>IF(K10&lt;N10,IF(N10=L10,"clamped_to_nominal","clamped_to_ppp"),IF(K10&gt;O10,IF(O10=L10,"clamped_to_nominal","clamped_to_ppp"),"kept_vanilla"))</x:f>
        <x:v>kept_vanilla</x:v>
      </x:c>
      <x:c r="R10" s="41" t="n">
        <x:f>P10*G10</x:f>
        <x:v>256546710000</x:v>
      </x:c>
      <x:c r="S10" s="41" t="n">
        <x:f>R10/E10</x:f>
        <x:v>161350132075.47168</x:v>
      </x:c>
      <x:c r="T10" s="36" t="str">
        <x:v>DZA: IMF exact 2003</x:v>
      </x:c>
      <x:c r="U10" s="36" t="str">
        <x:v>DZA: IMF exact 2003</x:v>
      </x:c>
      <x:c r="V10" s="36" t="str">
        <x:v>DZA: IMF exact 2003</x:v>
      </x:c>
      <x:c r="W10" s="36" t="str">
        <x:v>complete_primary</x:v>
      </x:c>
      <x:c r="X10" s="36" t="str">
        <x:v>https://api.imf.org/external/sdmx/3.0/data/dataflow/IMF.RES/WEO/9.0.0/</x:v>
      </x:c>
      <x:c r="Y10" s="36" t="str">
        <x:v>https://api.worldbank.org/v2/</x:v>
      </x:c>
    </x:row>
    <x:row r="11">
      <x:c r="A11" s="24" t="str">
        <x:v>DZA</x:v>
      </x:c>
      <x:c r="B11" s="24" t="str">
        <x:v>Algeria</x:v>
      </x:c>
      <x:c r="C11" s="24" t="str">
        <x:v>DZA</x:v>
      </x:c>
      <x:c r="D11" s="24" t="n">
        <x:v>2022</x:v>
      </x:c>
      <x:c r="E11" s="37" t="n">
        <x:v>1</x:v>
      </x:c>
      <x:c r="F11" s="38" t="n">
        <x:v>45578284</x:v>
      </x:c>
      <x:c r="G11" s="38" t="n">
        <x:v>45290853</x:v>
      </x:c>
      <x:c r="H11" s="39" t="n">
        <x:f>G11/F11</x:f>
        <x:v>0.9936936853524367</x:v>
      </x:c>
      <x:c r="I11" s="40" t="n">
        <x:v>515834000000</x:v>
      </x:c>
      <x:c r="J11" s="40" t="n">
        <x:v>515834000000</x:v>
      </x:c>
      <x:c r="K11" s="40" t="n">
        <x:v>11318</x:v>
      </x:c>
      <x:c r="L11" s="40" t="n">
        <x:v>4984</x:v>
      </x:c>
      <x:c r="M11" s="40" t="n">
        <x:v>15899</x:v>
      </x:c>
      <x:c r="N11" s="41" t="n">
        <x:f>MIN(L11,M11)</x:f>
        <x:v>4984</x:v>
      </x:c>
      <x:c r="O11" s="41" t="n">
        <x:f>MAX(L11,M11)</x:f>
        <x:v>15899</x:v>
      </x:c>
      <x:c r="P11" s="41" t="n">
        <x:f>MAX(N11,MIN(K11,O11))</x:f>
        <x:v>11318</x:v>
      </x:c>
      <x:c r="Q11" s="19" t="str">
        <x:f>IF(K11&lt;N11,IF(N11=L11,"clamped_to_nominal","clamped_to_ppp"),IF(K11&gt;O11,IF(O11=L11,"clamped_to_nominal","clamped_to_ppp"),"kept_vanilla"))</x:f>
        <x:v>kept_vanilla</x:v>
      </x:c>
      <x:c r="R11" s="41" t="n">
        <x:f>P11*G11</x:f>
        <x:v>512601874254</x:v>
      </x:c>
      <x:c r="S11" s="41" t="n">
        <x:f>R11/E11</x:f>
        <x:v>512601874254</x:v>
      </x:c>
      <x:c r="T11" s="36" t="str">
        <x:v>DZA: IMF exact 2022</x:v>
      </x:c>
      <x:c r="U11" s="36" t="str">
        <x:v>DZA: IMF exact 2022</x:v>
      </x:c>
      <x:c r="V11" s="36" t="str">
        <x:v>DZA: IMF exact 2022</x:v>
      </x:c>
      <x:c r="W11" s="36" t="str">
        <x:v>complete_primary</x:v>
      </x:c>
      <x:c r="X11" s="36" t="str">
        <x:v>https://api.imf.org/external/sdmx/3.0/data/dataflow/IMF.RES/WEO/9.0.0/</x:v>
      </x:c>
      <x:c r="Y11" s="36" t="str">
        <x:v>https://api.worldbank.org/v2/</x:v>
      </x:c>
    </x:row>
    <x:row r="12">
      <x:c r="A12" s="24" t="str">
        <x:v>DZA</x:v>
      </x:c>
      <x:c r="B12" s="24" t="str">
        <x:v>Algeria</x:v>
      </x:c>
      <x:c r="C12" s="24" t="str">
        <x:v>DZA</x:v>
      </x:c>
      <x:c r="D12" s="24" t="n">
        <x:v>2026</x:v>
      </x:c>
      <x:c r="E12" s="37" t="n">
        <x:v>0.87</x:v>
      </x:c>
      <x:c r="F12" s="38" t="n">
        <x:v>48028334</x:v>
      </x:c>
      <x:c r="G12" s="38" t="n">
        <x:v>47850615</x:v>
      </x:c>
      <x:c r="H12" s="39" t="n">
        <x:f>G12/F12</x:f>
        <x:v>0.9962997050865849</x:v>
      </x:c>
      <x:c r="I12" s="40" t="n">
        <x:v>770293920000</x:v>
      </x:c>
      <x:c r="J12" s="40" t="n">
        <x:v>670155710400</x:v>
      </x:c>
      <x:c r="K12" s="40" t="n">
        <x:v>13953</x:v>
      </x:c>
      <x:c r="L12" s="40" t="n">
        <x:v>5767</x:v>
      </x:c>
      <x:c r="M12" s="40" t="n">
        <x:v>17119</x:v>
      </x:c>
      <x:c r="N12" s="41" t="n">
        <x:f>MIN(L12,M12)</x:f>
        <x:v>5767</x:v>
      </x:c>
      <x:c r="O12" s="41" t="n">
        <x:f>MAX(L12,M12)</x:f>
        <x:v>17119</x:v>
      </x:c>
      <x:c r="P12" s="41" t="n">
        <x:f>MAX(N12,MIN(K12,O12))</x:f>
        <x:v>13953</x:v>
      </x:c>
      <x:c r="Q12" s="19" t="str">
        <x:f>IF(K12&lt;N12,IF(N12=L12,"clamped_to_nominal","clamped_to_ppp"),IF(K12&gt;O12,IF(O12=L12,"clamped_to_nominal","clamped_to_ppp"),"kept_vanilla"))</x:f>
        <x:v>kept_vanilla</x:v>
      </x:c>
      <x:c r="R12" s="41" t="n">
        <x:f>P12*G12</x:f>
        <x:v>667659631095</x:v>
      </x:c>
      <x:c r="S12" s="41" t="n">
        <x:f>R12/E12</x:f>
        <x:v>767424863327.5862</x:v>
      </x:c>
      <x:c r="T12" s="36" t="str">
        <x:v>DZA: IMF exact 2026</x:v>
      </x:c>
      <x:c r="U12" s="36" t="str">
        <x:v>DZA: IMF exact 2026</x:v>
      </x:c>
      <x:c r="V12" s="36" t="str">
        <x:v>DZA: IMF exact 2026</x:v>
      </x:c>
      <x:c r="W12" s="36" t="str">
        <x:v>complete_primary</x:v>
      </x:c>
      <x:c r="X12" s="36" t="str">
        <x:v>https://api.imf.org/external/sdmx/3.0/data/dataflow/IMF.RES/WEO/9.0.0/</x:v>
      </x:c>
      <x:c r="Y12" s="36" t="str">
        <x:v>https://api.worldbank.org/v2/</x:v>
      </x:c>
    </x:row>
    <x:row r="13">
      <x:c r="A13" s="24" t="str">
        <x:v>AGO</x:v>
      </x:c>
      <x:c r="B13" s="24" t="str">
        <x:v>Angola</x:v>
      </x:c>
      <x:c r="C13" s="24" t="str">
        <x:v>AGO</x:v>
      </x:c>
      <x:c r="D13" s="24" t="n">
        <x:v>2003</x:v>
      </x:c>
      <x:c r="E13" s="37" t="n">
        <x:v>1.59</x:v>
      </x:c>
      <x:c r="F13" s="38" t="n">
        <x:v>17943712</x:v>
      </x:c>
      <x:c r="G13" s="38" t="n">
        <x:v>17943712</x:v>
      </x:c>
      <x:c r="H13" s="39" t="n">
        <x:f>G13/F13</x:f>
        <x:v>1</x:v>
      </x:c>
      <x:c r="I13" s="40" t="n">
        <x:v>46713450292</x:v>
      </x:c>
      <x:c r="J13" s="40" t="n">
        <x:v>74274385964</x:v>
      </x:c>
      <x:c r="K13" s="40" t="n">
        <x:v>4139</x:v>
      </x:c>
      <x:c r="L13" s="40" t="n">
        <x:v>1803</x:v>
      </x:c>
      <x:c r="M13" s="40" t="n">
        <x:v>7183</x:v>
      </x:c>
      <x:c r="N13" s="41" t="n">
        <x:f>MIN(L13,M13)</x:f>
        <x:v>1803</x:v>
      </x:c>
      <x:c r="O13" s="41" t="n">
        <x:f>MAX(L13,M13)</x:f>
        <x:v>7183</x:v>
      </x:c>
      <x:c r="P13" s="41" t="n">
        <x:f>MAX(N13,MIN(K13,O13))</x:f>
        <x:v>4139</x:v>
      </x:c>
      <x:c r="Q13" s="19" t="str">
        <x:f>IF(K13&lt;N13,IF(N13=L13,"clamped_to_nominal","clamped_to_ppp"),IF(K13&gt;O13,IF(O13=L13,"clamped_to_nominal","clamped_to_ppp"),"kept_vanilla"))</x:f>
        <x:v>kept_vanilla</x:v>
      </x:c>
      <x:c r="R13" s="41" t="n">
        <x:f>P13*G13</x:f>
        <x:v>74269023968</x:v>
      </x:c>
      <x:c r="S13" s="41" t="n">
        <x:f>R13/E13</x:f>
        <x:v>46710077967.29559</x:v>
      </x:c>
      <x:c r="T13" s="36" t="str">
        <x:v>AGO: IMF exact 2003</x:v>
      </x:c>
      <x:c r="U13" s="36" t="str">
        <x:v>AGO: IMF exact 2003</x:v>
      </x:c>
      <x:c r="V13" s="36" t="str">
        <x:v>AGO: IMF exact 2003</x:v>
      </x:c>
      <x:c r="W13" s="36" t="str">
        <x:v>complete_primary</x:v>
      </x:c>
      <x:c r="X13" s="36" t="str">
        <x:v>https://api.imf.org/external/sdmx/3.0/data/dataflow/IMF.RES/WEO/9.0.0/</x:v>
      </x:c>
      <x:c r="Y13" s="36" t="str">
        <x:v>https://api.worldbank.org/v2/</x:v>
      </x:c>
    </x:row>
    <x:row r="14">
      <x:c r="A14" s="24" t="str">
        <x:v>AGO</x:v>
      </x:c>
      <x:c r="B14" s="24" t="str">
        <x:v>Angola</x:v>
      </x:c>
      <x:c r="C14" s="24" t="str">
        <x:v>AGO</x:v>
      </x:c>
      <x:c r="D14" s="24" t="n">
        <x:v>2022</x:v>
      </x:c>
      <x:c r="E14" s="37" t="n">
        <x:v>1</x:v>
      </x:c>
      <x:c r="F14" s="38" t="n">
        <x:v>35373918</x:v>
      </x:c>
      <x:c r="G14" s="38" t="n">
        <x:v>35635029</x:v>
      </x:c>
      <x:c r="H14" s="39" t="n">
        <x:f>G14/F14</x:f>
        <x:v>1.0073814554554008</x:v>
      </x:c>
      <x:c r="I14" s="40" t="n">
        <x:v>213211680000</x:v>
      </x:c>
      <x:c r="J14" s="40" t="n">
        <x:v>213211680000</x:v>
      </x:c>
      <x:c r="K14" s="40" t="n">
        <x:v>6027</x:v>
      </x:c>
      <x:c r="L14" s="40" t="n">
        <x:v>3905</x:v>
      </x:c>
      <x:c r="M14" s="40" t="n">
        <x:v>9433</x:v>
      </x:c>
      <x:c r="N14" s="41" t="n">
        <x:f>MIN(L14,M14)</x:f>
        <x:v>3905</x:v>
      </x:c>
      <x:c r="O14" s="41" t="n">
        <x:f>MAX(L14,M14)</x:f>
        <x:v>9433</x:v>
      </x:c>
      <x:c r="P14" s="41" t="n">
        <x:f>MAX(N14,MIN(K14,O14))</x:f>
        <x:v>6027</x:v>
      </x:c>
      <x:c r="Q14" s="19" t="str">
        <x:f>IF(K14&lt;N14,IF(N14=L14,"clamped_to_nominal","clamped_to_ppp"),IF(K14&gt;O14,IF(O14=L14,"clamped_to_nominal","clamped_to_ppp"),"kept_vanilla"))</x:f>
        <x:v>kept_vanilla</x:v>
      </x:c>
      <x:c r="R14" s="41" t="n">
        <x:f>P14*G14</x:f>
        <x:v>214772319783</x:v>
      </x:c>
      <x:c r="S14" s="41" t="n">
        <x:f>R14/E14</x:f>
        <x:v>214772319783</x:v>
      </x:c>
      <x:c r="T14" s="36" t="str">
        <x:v>AGO: IMF exact 2022</x:v>
      </x:c>
      <x:c r="U14" s="36" t="str">
        <x:v>AGO: IMF exact 2022</x:v>
      </x:c>
      <x:c r="V14" s="36" t="str">
        <x:v>AGO: IMF exact 2022</x:v>
      </x:c>
      <x:c r="W14" s="36" t="str">
        <x:v>complete_primary</x:v>
      </x:c>
      <x:c r="X14" s="36" t="str">
        <x:v>https://api.imf.org/external/sdmx/3.0/data/dataflow/IMF.RES/WEO/9.0.0/</x:v>
      </x:c>
      <x:c r="Y14" s="36" t="str">
        <x:v>https://api.worldbank.org/v2/</x:v>
      </x:c>
    </x:row>
    <x:row r="15">
      <x:c r="A15" s="24" t="str">
        <x:v>AGO</x:v>
      </x:c>
      <x:c r="B15" s="24" t="str">
        <x:v>Angola</x:v>
      </x:c>
      <x:c r="C15" s="24" t="str">
        <x:v>AGO</x:v>
      </x:c>
      <x:c r="D15" s="24" t="n">
        <x:v>2026</x:v>
      </x:c>
      <x:c r="E15" s="37" t="n">
        <x:v>0.87</x:v>
      </x:c>
      <x:c r="F15" s="38" t="n">
        <x:v>40215180</x:v>
      </x:c>
      <x:c r="G15" s="38" t="n">
        <x:v>40584269</x:v>
      </x:c>
      <x:c r="H15" s="39" t="n">
        <x:f>G15/F15</x:f>
        <x:v>1.0091778527411788</x:v>
      </x:c>
      <x:c r="I15" s="40" t="n">
        <x:v>353896400000</x:v>
      </x:c>
      <x:c r="J15" s="40" t="n">
        <x:v>307889868000</x:v>
      </x:c>
      <x:c r="K15" s="40" t="n">
        <x:v>7656</x:v>
      </x:c>
      <x:c r="L15" s="40" t="n">
        <x:v>3266</x:v>
      </x:c>
      <x:c r="M15" s="40" t="n">
        <x:v>9088</x:v>
      </x:c>
      <x:c r="N15" s="41" t="n">
        <x:f>MIN(L15,M15)</x:f>
        <x:v>3266</x:v>
      </x:c>
      <x:c r="O15" s="41" t="n">
        <x:f>MAX(L15,M15)</x:f>
        <x:v>9088</x:v>
      </x:c>
      <x:c r="P15" s="41" t="n">
        <x:f>MAX(N15,MIN(K15,O15))</x:f>
        <x:v>7656</x:v>
      </x:c>
      <x:c r="Q15" s="19" t="str">
        <x:f>IF(K15&lt;N15,IF(N15=L15,"clamped_to_nominal","clamped_to_ppp"),IF(K15&gt;O15,IF(O15=L15,"clamped_to_nominal","clamped_to_ppp"),"kept_vanilla"))</x:f>
        <x:v>kept_vanilla</x:v>
      </x:c>
      <x:c r="R15" s="41" t="n">
        <x:f>P15*G15</x:f>
        <x:v>310713163464</x:v>
      </x:c>
      <x:c r="S15" s="41" t="n">
        <x:f>R15/E15</x:f>
        <x:v>357141567200</x:v>
      </x:c>
      <x:c r="T15" s="36" t="str">
        <x:v>AGO: IMF exact 2026</x:v>
      </x:c>
      <x:c r="U15" s="36" t="str">
        <x:v>AGO: IMF exact 2026</x:v>
      </x:c>
      <x:c r="V15" s="36" t="str">
        <x:v>AGO: IMF exact 2026</x:v>
      </x:c>
      <x:c r="W15" s="36" t="str">
        <x:v>complete_primary</x:v>
      </x:c>
      <x:c r="X15" s="36" t="str">
        <x:v>https://api.imf.org/external/sdmx/3.0/data/dataflow/IMF.RES/WEO/9.0.0/</x:v>
      </x:c>
      <x:c r="Y15" s="36" t="str">
        <x:v>https://api.worldbank.org/v2/</x:v>
      </x:c>
    </x:row>
    <x:row r="16">
      <x:c r="A16" s="24" t="str">
        <x:v>ARG</x:v>
      </x:c>
      <x:c r="B16" s="24" t="str">
        <x:v>Argentina</x:v>
      </x:c>
      <x:c r="C16" s="24" t="str">
        <x:v>ARG</x:v>
      </x:c>
      <x:c r="D16" s="24" t="n">
        <x:v>2003</x:v>
      </x:c>
      <x:c r="E16" s="37" t="n">
        <x:v>1.59</x:v>
      </x:c>
      <x:c r="F16" s="38" t="n">
        <x:v>38424280</x:v>
      </x:c>
      <x:c r="G16" s="38" t="n">
        <x:v>37869730</x:v>
      </x:c>
      <x:c r="H16" s="39" t="n">
        <x:f>G16/F16</x:f>
        <x:v>0.9855677191609056</x:v>
      </x:c>
      <x:c r="I16" s="40" t="n">
        <x:v>285999415205</x:v>
      </x:c>
      <x:c r="J16" s="40" t="n">
        <x:v>454739070176</x:v>
      </x:c>
      <x:c r="K16" s="40" t="n">
        <x:v>11835</x:v>
      </x:c>
      <x:c r="L16" s="40" t="n">
        <x:v>5980</x:v>
      </x:c>
      <x:c r="M16" s="40" t="n">
        <x:v>20534</x:v>
      </x:c>
      <x:c r="N16" s="41" t="n">
        <x:f>MIN(L16,M16)</x:f>
        <x:v>5980</x:v>
      </x:c>
      <x:c r="O16" s="41" t="n">
        <x:f>MAX(L16,M16)</x:f>
        <x:v>20534</x:v>
      </x:c>
      <x:c r="P16" s="41" t="n">
        <x:f>MAX(N16,MIN(K16,O16))</x:f>
        <x:v>11835</x:v>
      </x:c>
      <x:c r="Q16" s="19" t="str">
        <x:f>IF(K16&lt;N16,IF(N16=L16,"clamped_to_nominal","clamped_to_ppp"),IF(K16&gt;O16,IF(O16=L16,"clamped_to_nominal","clamped_to_ppp"),"kept_vanilla"))</x:f>
        <x:v>kept_vanilla</x:v>
      </x:c>
      <x:c r="R16" s="41" t="n">
        <x:f>P16*G16</x:f>
        <x:v>448188254550</x:v>
      </x:c>
      <x:c r="S16" s="41" t="n">
        <x:f>R16/E16</x:f>
        <x:v>281879405377.35846</x:v>
      </x:c>
      <x:c r="T16" s="36" t="str">
        <x:v>ARG: IMF exact 2003</x:v>
      </x:c>
      <x:c r="U16" s="36" t="str">
        <x:v>ARG: IMF exact 2003</x:v>
      </x:c>
      <x:c r="V16" s="36" t="str">
        <x:v>ARG: IMF exact 2003</x:v>
      </x:c>
      <x:c r="W16" s="36" t="str">
        <x:v>complete_primary</x:v>
      </x:c>
      <x:c r="X16" s="36" t="str">
        <x:v>https://api.imf.org/external/sdmx/3.0/data/dataflow/IMF.RES/WEO/9.0.0/</x:v>
      </x:c>
      <x:c r="Y16" s="36" t="str">
        <x:v>https://api.worldbank.org/v2/</x:v>
      </x:c>
    </x:row>
    <x:row r="17">
      <x:c r="A17" s="24" t="str">
        <x:v>ARG</x:v>
      </x:c>
      <x:c r="B17" s="24" t="str">
        <x:v>Argentina</x:v>
      </x:c>
      <x:c r="C17" s="24" t="str">
        <x:v>ARG</x:v>
      </x:c>
      <x:c r="D17" s="24" t="n">
        <x:v>2022</x:v>
      </x:c>
      <x:c r="E17" s="37" t="n">
        <x:v>1</x:v>
      </x:c>
      <x:c r="F17" s="38" t="n">
        <x:v>46135796</x:v>
      </x:c>
      <x:c r="G17" s="38" t="n">
        <x:v>46234830</x:v>
      </x:c>
      <x:c r="H17" s="39" t="n">
        <x:f>G17/F17</x:f>
        <x:v>1.0021465761639834</x:v>
      </x:c>
      <x:c r="I17" s="40" t="n">
        <x:v>1052111280000</x:v>
      </x:c>
      <x:c r="J17" s="40" t="n">
        <x:v>1052111280000</x:v>
      </x:c>
      <x:c r="K17" s="40" t="n">
        <x:v>22805</x:v>
      </x:c>
      <x:c r="L17" s="40" t="n">
        <x:v>13702</x:v>
      </x:c>
      <x:c r="M17" s="40" t="n">
        <x:v>29271</x:v>
      </x:c>
      <x:c r="N17" s="41" t="n">
        <x:f>MIN(L17,M17)</x:f>
        <x:v>13702</x:v>
      </x:c>
      <x:c r="O17" s="41" t="n">
        <x:f>MAX(L17,M17)</x:f>
        <x:v>29271</x:v>
      </x:c>
      <x:c r="P17" s="41" t="n">
        <x:f>MAX(N17,MIN(K17,O17))</x:f>
        <x:v>22805</x:v>
      </x:c>
      <x:c r="Q17" s="19" t="str">
        <x:f>IF(K17&lt;N17,IF(N17=L17,"clamped_to_nominal","clamped_to_ppp"),IF(K17&gt;O17,IF(O17=L17,"clamped_to_nominal","clamped_to_ppp"),"kept_vanilla"))</x:f>
        <x:v>kept_vanilla</x:v>
      </x:c>
      <x:c r="R17" s="41" t="n">
        <x:f>P17*G17</x:f>
        <x:v>1054385298150</x:v>
      </x:c>
      <x:c r="S17" s="41" t="n">
        <x:f>R17/E17</x:f>
        <x:v>1054385298150</x:v>
      </x:c>
      <x:c r="T17" s="36" t="str">
        <x:v>ARG: IMF exact 2022</x:v>
      </x:c>
      <x:c r="U17" s="36" t="str">
        <x:v>ARG: IMF exact 2022</x:v>
      </x:c>
      <x:c r="V17" s="36" t="str">
        <x:v>ARG: IMF exact 2022</x:v>
      </x:c>
      <x:c r="W17" s="36" t="str">
        <x:v>complete_primary</x:v>
      </x:c>
      <x:c r="X17" s="36" t="str">
        <x:v>https://api.imf.org/external/sdmx/3.0/data/dataflow/IMF.RES/WEO/9.0.0/</x:v>
      </x:c>
      <x:c r="Y17" s="36" t="str">
        <x:v>https://api.worldbank.org/v2/</x:v>
      </x:c>
    </x:row>
    <x:row r="18">
      <x:c r="A18" s="24" t="str">
        <x:v>ARG</x:v>
      </x:c>
      <x:c r="B18" s="24" t="str">
        <x:v>Argentina</x:v>
      </x:c>
      <x:c r="C18" s="24" t="str">
        <x:v>ARG</x:v>
      </x:c>
      <x:c r="D18" s="24" t="n">
        <x:v>2026</x:v>
      </x:c>
      <x:c r="E18" s="37" t="n">
        <x:v>0.87</x:v>
      </x:c>
      <x:c r="F18" s="38" t="n">
        <x:v>46003732</x:v>
      </x:c>
      <x:c r="G18" s="38" t="n">
        <x:v>47948498</x:v>
      </x:c>
      <x:c r="H18" s="39" t="n">
        <x:f>G18/F18</x:f>
        <x:v>1.0422740920236646</x:v>
      </x:c>
      <x:c r="I18" s="40" t="n">
        <x:v>1311344320000</x:v>
      </x:c>
      <x:c r="J18" s="40" t="n">
        <x:v>1140869558400</x:v>
      </x:c>
      <x:c r="K18" s="40" t="n">
        <x:v>24800</x:v>
      </x:c>
      <x:c r="L18" s="40" t="n">
        <x:v>12490</x:v>
      </x:c>
      <x:c r="M18" s="40" t="n">
        <x:v>28873</x:v>
      </x:c>
      <x:c r="N18" s="41" t="n">
        <x:f>MIN(L18,M18)</x:f>
        <x:v>12490</x:v>
      </x:c>
      <x:c r="O18" s="41" t="n">
        <x:f>MAX(L18,M18)</x:f>
        <x:v>28873</x:v>
      </x:c>
      <x:c r="P18" s="41" t="n">
        <x:f>MAX(N18,MIN(K18,O18))</x:f>
        <x:v>24800</x:v>
      </x:c>
      <x:c r="Q18" s="19" t="str">
        <x:f>IF(K18&lt;N18,IF(N18=L18,"clamped_to_nominal","clamped_to_ppp"),IF(K18&gt;O18,IF(O18=L18,"clamped_to_nominal","clamped_to_ppp"),"kept_vanilla"))</x:f>
        <x:v>kept_vanilla</x:v>
      </x:c>
      <x:c r="R18" s="41" t="n">
        <x:f>P18*G18</x:f>
        <x:v>1189122750400</x:v>
      </x:c>
      <x:c r="S18" s="41" t="n">
        <x:f>R18/E18</x:f>
        <x:v>1366807759080.4597</x:v>
      </x:c>
      <x:c r="T18" s="36" t="str">
        <x:v>ARG: IMF exact 2026</x:v>
      </x:c>
      <x:c r="U18" s="36" t="str">
        <x:v>ARG: IMF exact 2026</x:v>
      </x:c>
      <x:c r="V18" s="36" t="str">
        <x:v>ARG: IMF exact 2026</x:v>
      </x:c>
      <x:c r="W18" s="36" t="str">
        <x:v>complete_primary</x:v>
      </x:c>
      <x:c r="X18" s="36" t="str">
        <x:v>https://api.imf.org/external/sdmx/3.0/data/dataflow/IMF.RES/WEO/9.0.0/</x:v>
      </x:c>
      <x:c r="Y18" s="36" t="str">
        <x:v>https://api.worldbank.org/v2/</x:v>
      </x:c>
    </x:row>
    <x:row r="19">
      <x:c r="A19" s="24" t="str">
        <x:v>ARM</x:v>
      </x:c>
      <x:c r="B19" s="24" t="str">
        <x:v>Armenia</x:v>
      </x:c>
      <x:c r="C19" s="24" t="str">
        <x:v>ARM</x:v>
      </x:c>
      <x:c r="D19" s="24" t="n">
        <x:v>2003</x:v>
      </x:c>
      <x:c r="E19" s="37" t="n">
        <x:v>1.59</x:v>
      </x:c>
      <x:c r="F19" s="38" t="n">
        <x:v>3038968</x:v>
      </x:c>
      <x:c r="G19" s="38" t="n">
        <x:v>3164900</x:v>
      </x:c>
      <x:c r="H19" s="39" t="n">
        <x:f>G19/F19</x:f>
        <x:v>1.0414390674729053</x:v>
      </x:c>
      <x:c r="I19" s="40" t="n">
        <x:v>7950877193</x:v>
      </x:c>
      <x:c r="J19" s="40" t="n">
        <x:v>12641894737</x:v>
      </x:c>
      <x:c r="K19" s="40" t="n">
        <x:v>4160</x:v>
      </x:c>
      <x:c r="L19" s="40" t="n">
        <x:v>1410</x:v>
      </x:c>
      <x:c r="M19" s="40" t="n">
        <x:v>6856</x:v>
      </x:c>
      <x:c r="N19" s="41" t="n">
        <x:f>MIN(L19,M19)</x:f>
        <x:v>1410</x:v>
      </x:c>
      <x:c r="O19" s="41" t="n">
        <x:f>MAX(L19,M19)</x:f>
        <x:v>6856</x:v>
      </x:c>
      <x:c r="P19" s="41" t="n">
        <x:f>MAX(N19,MIN(K19,O19))</x:f>
        <x:v>4160</x:v>
      </x:c>
      <x:c r="Q19" s="19" t="str">
        <x:f>IF(K19&lt;N19,IF(N19=L19,"clamped_to_nominal","clamped_to_ppp"),IF(K19&gt;O19,IF(O19=L19,"clamped_to_nominal","clamped_to_ppp"),"kept_vanilla"))</x:f>
        <x:v>kept_vanilla</x:v>
      </x:c>
      <x:c r="R19" s="41" t="n">
        <x:f>P19*G19</x:f>
        <x:v>13165984000</x:v>
      </x:c>
      <x:c r="S19" s="41" t="n">
        <x:f>R19/E19</x:f>
        <x:v>8280493081.761005</x:v>
      </x:c>
      <x:c r="T19" s="36" t="str">
        <x:v>ARM: IMF exact 2003</x:v>
      </x:c>
      <x:c r="U19" s="36" t="str">
        <x:v>ARM: IMF exact 2003</x:v>
      </x:c>
      <x:c r="V19" s="36" t="str">
        <x:v>ARM: IMF exact 2003</x:v>
      </x:c>
      <x:c r="W19" s="36" t="str">
        <x:v>complete_primary</x:v>
      </x:c>
      <x:c r="X19" s="36" t="str">
        <x:v>https://api.imf.org/external/sdmx/3.0/data/dataflow/IMF.RES/WEO/9.0.0/</x:v>
      </x:c>
      <x:c r="Y19" s="36" t="str">
        <x:v>https://api.worldbank.org/v2/</x:v>
      </x:c>
    </x:row>
    <x:row r="20">
      <x:c r="A20" s="24" t="str">
        <x:v>ARM</x:v>
      </x:c>
      <x:c r="B20" s="24" t="str">
        <x:v>Armenia</x:v>
      </x:c>
      <x:c r="C20" s="24" t="str">
        <x:v>ARM</x:v>
      </x:c>
      <x:c r="D20" s="24" t="n">
        <x:v>2022</x:v>
      </x:c>
      <x:c r="E20" s="37" t="n">
        <x:v>1</x:v>
      </x:c>
      <x:c r="F20" s="38" t="n">
        <x:v>2973185</x:v>
      </x:c>
      <x:c r="G20" s="38" t="n">
        <x:v>2984150</x:v>
      </x:c>
      <x:c r="H20" s="39" t="n">
        <x:f>G20/F20</x:f>
        <x:v>1.0036879642538221</x:v>
      </x:c>
      <x:c r="I20" s="40" t="n">
        <x:v>41240320000</x:v>
      </x:c>
      <x:c r="J20" s="40" t="n">
        <x:v>41240320000</x:v>
      </x:c>
      <x:c r="K20" s="40" t="n">
        <x:v>13871</x:v>
      </x:c>
      <x:c r="L20" s="40" t="n">
        <x:v>6539</x:v>
      </x:c>
      <x:c r="M20" s="40" t="n">
        <x:v>19057</x:v>
      </x:c>
      <x:c r="N20" s="41" t="n">
        <x:f>MIN(L20,M20)</x:f>
        <x:v>6539</x:v>
      </x:c>
      <x:c r="O20" s="41" t="n">
        <x:f>MAX(L20,M20)</x:f>
        <x:v>19057</x:v>
      </x:c>
      <x:c r="P20" s="41" t="n">
        <x:f>MAX(N20,MIN(K20,O20))</x:f>
        <x:v>13871</x:v>
      </x:c>
      <x:c r="Q20" s="19" t="str">
        <x:f>IF(K20&lt;N20,IF(N20=L20,"clamped_to_nominal","clamped_to_ppp"),IF(K20&gt;O20,IF(O20=L20,"clamped_to_nominal","clamped_to_ppp"),"kept_vanilla"))</x:f>
        <x:v>kept_vanilla</x:v>
      </x:c>
      <x:c r="R20" s="41" t="n">
        <x:f>P20*G20</x:f>
        <x:v>41393144650</x:v>
      </x:c>
      <x:c r="S20" s="41" t="n">
        <x:f>R20/E20</x:f>
        <x:v>41393144650</x:v>
      </x:c>
      <x:c r="T20" s="36" t="str">
        <x:v>ARM: IMF exact 2022</x:v>
      </x:c>
      <x:c r="U20" s="36" t="str">
        <x:v>ARM: IMF exact 2022</x:v>
      </x:c>
      <x:c r="V20" s="36" t="str">
        <x:v>ARM: IMF exact 2022</x:v>
      </x:c>
      <x:c r="W20" s="36" t="str">
        <x:v>complete_primary</x:v>
      </x:c>
      <x:c r="X20" s="36" t="str">
        <x:v>https://api.imf.org/external/sdmx/3.0/data/dataflow/IMF.RES/WEO/9.0.0/</x:v>
      </x:c>
      <x:c r="Y20" s="36" t="str">
        <x:v>https://api.worldbank.org/v2/</x:v>
      </x:c>
    </x:row>
    <x:row r="21">
      <x:c r="A21" s="24" t="str">
        <x:v>ARM</x:v>
      </x:c>
      <x:c r="B21" s="24" t="str">
        <x:v>Armenia</x:v>
      </x:c>
      <x:c r="C21" s="24" t="str">
        <x:v>ARM</x:v>
      </x:c>
      <x:c r="D21" s="24" t="n">
        <x:v>2026</x:v>
      </x:c>
      <x:c r="E21" s="37" t="n">
        <x:v>0.87</x:v>
      </x:c>
      <x:c r="F21" s="38" t="n">
        <x:v>2930915</x:v>
      </x:c>
      <x:c r="G21" s="38" t="n">
        <x:v>3061817</x:v>
      </x:c>
      <x:c r="H21" s="39" t="n">
        <x:f>G21/F21</x:f>
        <x:v>1.0446625030067402</x:v>
      </x:c>
      <x:c r="I21" s="40" t="n">
        <x:v>65378720000</x:v>
      </x:c>
      <x:c r="J21" s="40" t="n">
        <x:v>56879486400</x:v>
      </x:c>
      <x:c r="K21" s="40" t="n">
        <x:v>19407</x:v>
      </x:c>
      <x:c r="L21" s="40" t="n">
        <x:v>9057</x:v>
      </x:c>
      <x:c r="M21" s="40" t="n">
        <x:v>23511</x:v>
      </x:c>
      <x:c r="N21" s="41" t="n">
        <x:f>MIN(L21,M21)</x:f>
        <x:v>9057</x:v>
      </x:c>
      <x:c r="O21" s="41" t="n">
        <x:f>MAX(L21,M21)</x:f>
        <x:v>23511</x:v>
      </x:c>
      <x:c r="P21" s="41" t="n">
        <x:f>MAX(N21,MIN(K21,O21))</x:f>
        <x:v>19407</x:v>
      </x:c>
      <x:c r="Q21" s="19" t="str">
        <x:f>IF(K21&lt;N21,IF(N21=L21,"clamped_to_nominal","clamped_to_ppp"),IF(K21&gt;O21,IF(O21=L21,"clamped_to_nominal","clamped_to_ppp"),"kept_vanilla"))</x:f>
        <x:v>kept_vanilla</x:v>
      </x:c>
      <x:c r="R21" s="41" t="n">
        <x:f>P21*G21</x:f>
        <x:v>59420682519</x:v>
      </x:c>
      <x:c r="S21" s="41" t="n">
        <x:f>R21/E21</x:f>
        <x:v>68299635079.31035</x:v>
      </x:c>
      <x:c r="T21" s="36" t="str">
        <x:v>ARM: IMF exact 2026</x:v>
      </x:c>
      <x:c r="U21" s="36" t="str">
        <x:v>ARM: IMF exact 2026</x:v>
      </x:c>
      <x:c r="V21" s="36" t="str">
        <x:v>ARM: IMF exact 2026</x:v>
      </x:c>
      <x:c r="W21" s="36" t="str">
        <x:v>complete_primary</x:v>
      </x:c>
      <x:c r="X21" s="36" t="str">
        <x:v>https://api.imf.org/external/sdmx/3.0/data/dataflow/IMF.RES/WEO/9.0.0/</x:v>
      </x:c>
      <x:c r="Y21" s="36" t="str">
        <x:v>https://api.worldbank.org/v2/</x:v>
      </x:c>
    </x:row>
    <x:row r="22">
      <x:c r="A22" s="24" t="str">
        <x:v>AUS</x:v>
      </x:c>
      <x:c r="B22" s="24" t="str">
        <x:v>Australia</x:v>
      </x:c>
      <x:c r="C22" s="24" t="str">
        <x:v>AUS</x:v>
      </x:c>
      <x:c r="D22" s="24" t="n">
        <x:v>2003</x:v>
      </x:c>
      <x:c r="E22" s="37" t="n">
        <x:v>1.59</x:v>
      </x:c>
      <x:c r="F22" s="38" t="n">
        <x:v>19819451</x:v>
      </x:c>
      <x:c r="G22" s="38" t="n">
        <x:v>19827155</x:v>
      </x:c>
      <x:c r="H22" s="39" t="n">
        <x:f>G22/F22</x:f>
        <x:v>1.000388709051527</x:v>
      </x:c>
      <x:c r="I22" s="40" t="n">
        <x:v>370715789474</x:v>
      </x:c>
      <x:c r="J22" s="40" t="n">
        <x:v>589438105264</x:v>
      </x:c>
      <x:c r="K22" s="40" t="n">
        <x:v>29740</x:v>
      </x:c>
      <x:c r="L22" s="40" t="n">
        <x:v>43467</x:v>
      </x:c>
      <x:c r="M22" s="40" t="n">
        <x:v>50933</x:v>
      </x:c>
      <x:c r="N22" s="41" t="n">
        <x:f>MIN(L22,M22)</x:f>
        <x:v>43467</x:v>
      </x:c>
      <x:c r="O22" s="41" t="n">
        <x:f>MAX(L22,M22)</x:f>
        <x:v>50933</x:v>
      </x:c>
      <x:c r="P22" s="41" t="n">
        <x:f>MAX(N22,MIN(K22,O22))</x:f>
        <x:v>43467</x:v>
      </x:c>
      <x:c r="Q22" s="19" t="str">
        <x:f>IF(K22&lt;N22,IF(N22=L22,"clamped_to_nominal","clamped_to_ppp"),IF(K22&gt;O22,IF(O22=L22,"clamped_to_nominal","clamped_to_ppp"),"kept_vanilla"))</x:f>
        <x:v>clamped_to_nominal</x:v>
      </x:c>
      <x:c r="R22" s="41" t="n">
        <x:f>P22*G22</x:f>
        <x:v>861826946385</x:v>
      </x:c>
      <x:c r="S22" s="41" t="n">
        <x:f>R22/E22</x:f>
        <x:v>542029526028.3019</x:v>
      </x:c>
      <x:c r="T22" s="36" t="str">
        <x:v>AUS: IMF exact 2003</x:v>
      </x:c>
      <x:c r="U22" s="36" t="str">
        <x:v>AUS: IMF exact 2003</x:v>
      </x:c>
      <x:c r="V22" s="36" t="str">
        <x:v>AUS: IMF exact 2003</x:v>
      </x:c>
      <x:c r="W22" s="36" t="str">
        <x:v>complete_primary</x:v>
      </x:c>
      <x:c r="X22" s="36" t="str">
        <x:v>https://api.imf.org/external/sdmx/3.0/data/dataflow/IMF.RES/WEO/9.0.0/</x:v>
      </x:c>
      <x:c r="Y22" s="36" t="str">
        <x:v>https://api.worldbank.org/v2/</x:v>
      </x:c>
    </x:row>
    <x:row r="23">
      <x:c r="A23" s="24" t="str">
        <x:v>AUS</x:v>
      </x:c>
      <x:c r="B23" s="24" t="str">
        <x:v>Australia</x:v>
      </x:c>
      <x:c r="C23" s="24" t="str">
        <x:v>AUS</x:v>
      </x:c>
      <x:c r="D23" s="24" t="n">
        <x:v>2022</x:v>
      </x:c>
      <x:c r="E23" s="37" t="n">
        <x:v>1</x:v>
      </x:c>
      <x:c r="F23" s="38" t="n">
        <x:v>26155303</x:v>
      </x:c>
      <x:c r="G23" s="38" t="n">
        <x:v>26320285</x:v>
      </x:c>
      <x:c r="H23" s="39" t="n">
        <x:f>G23/F23</x:f>
        <x:v>1.0063077839320003</x:v>
      </x:c>
      <x:c r="I23" s="40" t="n">
        <x:v>1412572480000</x:v>
      </x:c>
      <x:c r="J23" s="40" t="n">
        <x:v>1412572480000</x:v>
      </x:c>
      <x:c r="K23" s="40" t="n">
        <x:v>54007</x:v>
      </x:c>
      <x:c r="L23" s="40" t="n">
        <x:v>65776</x:v>
      </x:c>
      <x:c r="M23" s="40" t="n">
        <x:v>66104</x:v>
      </x:c>
      <x:c r="N23" s="41" t="n">
        <x:f>MIN(L23,M23)</x:f>
        <x:v>65776</x:v>
      </x:c>
      <x:c r="O23" s="41" t="n">
        <x:f>MAX(L23,M23)</x:f>
        <x:v>66104</x:v>
      </x:c>
      <x:c r="P23" s="41" t="n">
        <x:f>MAX(N23,MIN(K23,O23))</x:f>
        <x:v>65776</x:v>
      </x:c>
      <x:c r="Q23" s="19" t="str">
        <x:f>IF(K23&lt;N23,IF(N23=L23,"clamped_to_nominal","clamped_to_ppp"),IF(K23&gt;O23,IF(O23=L23,"clamped_to_nominal","clamped_to_ppp"),"kept_vanilla"))</x:f>
        <x:v>clamped_to_nominal</x:v>
      </x:c>
      <x:c r="R23" s="41" t="n">
        <x:f>P23*G23</x:f>
        <x:v>1731243066160</x:v>
      </x:c>
      <x:c r="S23" s="41" t="n">
        <x:f>R23/E23</x:f>
        <x:v>1731243066160</x:v>
      </x:c>
      <x:c r="T23" s="36" t="str">
        <x:v>AUS: IMF exact 2022</x:v>
      </x:c>
      <x:c r="U23" s="36" t="str">
        <x:v>AUS: IMF exact 2022</x:v>
      </x:c>
      <x:c r="V23" s="36" t="str">
        <x:v>AUS: IMF exact 2022</x:v>
      </x:c>
      <x:c r="W23" s="36" t="str">
        <x:v>complete_primary</x:v>
      </x:c>
      <x:c r="X23" s="36" t="str">
        <x:v>https://api.imf.org/external/sdmx/3.0/data/dataflow/IMF.RES/WEO/9.0.0/</x:v>
      </x:c>
      <x:c r="Y23" s="36" t="str">
        <x:v>https://api.worldbank.org/v2/</x:v>
      </x:c>
    </x:row>
    <x:row r="24">
      <x:c r="A24" s="24" t="str">
        <x:v>AUS</x:v>
      </x:c>
      <x:c r="B24" s="24" t="str">
        <x:v>Australia</x:v>
      </x:c>
      <x:c r="C24" s="24" t="str">
        <x:v>AUS</x:v>
      </x:c>
      <x:c r="D24" s="24" t="n">
        <x:v>2026</x:v>
      </x:c>
      <x:c r="E24" s="37" t="n">
        <x:v>0.87</x:v>
      </x:c>
      <x:c r="F24" s="38" t="n">
        <x:v>27227093</x:v>
      </x:c>
      <x:c r="G24" s="38" t="n">
        <x:v>28076986</x:v>
      </x:c>
      <x:c r="H24" s="39" t="n">
        <x:f>G24/F24</x:f>
        <x:v>1.0312149739966732</x:v>
      </x:c>
      <x:c r="I24" s="40" t="n">
        <x:v>1743871360000</x:v>
      </x:c>
      <x:c r="J24" s="40" t="n">
        <x:v>1517168083200</x:v>
      </x:c>
      <x:c r="K24" s="40" t="n">
        <x:v>55723</x:v>
      </x:c>
      <x:c r="L24" s="40" t="n">
        <x:v>65814</x:v>
      </x:c>
      <x:c r="M24" s="40" t="n">
        <x:v>65037</x:v>
      </x:c>
      <x:c r="N24" s="41" t="n">
        <x:f>MIN(L24,M24)</x:f>
        <x:v>65037</x:v>
      </x:c>
      <x:c r="O24" s="41" t="n">
        <x:f>MAX(L24,M24)</x:f>
        <x:v>65814</x:v>
      </x:c>
      <x:c r="P24" s="41" t="n">
        <x:f>MAX(N24,MIN(K24,O24))</x:f>
        <x:v>65037</x:v>
      </x:c>
      <x:c r="Q24" s="19" t="str">
        <x:f>IF(K24&lt;N24,IF(N24=L24,"clamped_to_nominal","clamped_to_ppp"),IF(K24&gt;O24,IF(O24=L24,"clamped_to_nominal","clamped_to_ppp"),"kept_vanilla"))</x:f>
        <x:v>clamped_to_ppp</x:v>
      </x:c>
      <x:c r="R24" s="41" t="n">
        <x:f>P24*G24</x:f>
        <x:v>1826042938482</x:v>
      </x:c>
      <x:c r="S24" s="41" t="n">
        <x:f>R24/E24</x:f>
        <x:v>2098899929289.6553</x:v>
      </x:c>
      <x:c r="T24" s="36" t="str">
        <x:v>AUS: IMF exact 2026</x:v>
      </x:c>
      <x:c r="U24" s="36" t="str">
        <x:v>AUS: IMF exact 2026</x:v>
      </x:c>
      <x:c r="V24" s="36" t="str">
        <x:v>AUS: IMF exact 2026</x:v>
      </x:c>
      <x:c r="W24" s="36" t="str">
        <x:v>complete_primary</x:v>
      </x:c>
      <x:c r="X24" s="36" t="str">
        <x:v>https://api.imf.org/external/sdmx/3.0/data/dataflow/IMF.RES/WEO/9.0.0/</x:v>
      </x:c>
      <x:c r="Y24" s="36" t="str">
        <x:v>https://api.worldbank.org/v2/</x:v>
      </x:c>
    </x:row>
    <x:row r="25">
      <x:c r="A25" s="24" t="str">
        <x:v>ALP</x:v>
      </x:c>
      <x:c r="B25" s="24" t="str">
        <x:v>Austria</x:v>
      </x:c>
      <x:c r="C25" s="24" t="str">
        <x:v>AUT+LIE</x:v>
      </x:c>
      <x:c r="D25" s="24" t="n">
        <x:v>2003</x:v>
      </x:c>
      <x:c r="E25" s="37" t="n">
        <x:v>1.59</x:v>
      </x:c>
      <x:c r="F25" s="38" t="n">
        <x:v>8122602</x:v>
      </x:c>
      <x:c r="G25" s="38" t="n">
        <x:v>8152539</x:v>
      </x:c>
      <x:c r="H25" s="39" t="n">
        <x:f>G25/F25</x:f>
        <x:v>1.0036856416207516</x:v>
      </x:c>
      <x:c r="I25" s="40" t="n">
        <x:v>174208771930</x:v>
      </x:c>
      <x:c r="J25" s="40" t="n">
        <x:v>276991947369</x:v>
      </x:c>
      <x:c r="K25" s="40" t="n">
        <x:v>34101</x:v>
      </x:c>
      <x:c r="L25" s="40" t="n">
        <x:v>51498</x:v>
      </x:c>
      <x:c r="M25" s="40" t="n">
        <x:v>58304</x:v>
      </x:c>
      <x:c r="N25" s="41" t="n">
        <x:f>MIN(L25,M25)</x:f>
        <x:v>51498</x:v>
      </x:c>
      <x:c r="O25" s="41" t="n">
        <x:f>MAX(L25,M25)</x:f>
        <x:v>58304</x:v>
      </x:c>
      <x:c r="P25" s="41" t="n">
        <x:f>MAX(N25,MIN(K25,O25))</x:f>
        <x:v>51498</x:v>
      </x:c>
      <x:c r="Q25" s="19" t="str">
        <x:f>IF(K25&lt;N25,IF(N25=L25,"clamped_to_nominal","clamped_to_ppp"),IF(K25&gt;O25,IF(O25=L25,"clamped_to_nominal","clamped_to_ppp"),"kept_vanilla"))</x:f>
        <x:v>clamped_to_nominal</x:v>
      </x:c>
      <x:c r="R25" s="41" t="n">
        <x:f>P25*G25</x:f>
        <x:v>419839453422</x:v>
      </x:c>
      <x:c r="S25" s="41" t="n">
        <x:f>R25/E25</x:f>
        <x:v>264049970705.66037</x:v>
      </x:c>
      <x:c r="T25" s="36" t="str">
        <x:v>AUT: IMF exact 2003; LIE: IMF exact 2003</x:v>
      </x:c>
      <x:c r="U25" s="36" t="str">
        <x:v>AUT: IMF exact 2003; LIE: IMF exact 2003</x:v>
      </x:c>
      <x:c r="V25" s="36" t="str">
        <x:v>AUT: IMF exact 2003; LIE: IMF exact 2003</x:v>
      </x:c>
      <x:c r="W25" s="36" t="str">
        <x:v>complete_primary</x:v>
      </x:c>
      <x:c r="X25" s="36" t="str">
        <x:v>https://api.imf.org/external/sdmx/3.0/data/dataflow/IMF.RES/WEO/9.0.0/</x:v>
      </x:c>
      <x:c r="Y25" s="36" t="str">
        <x:v>https://api.worldbank.org/v2/</x:v>
      </x:c>
    </x:row>
    <x:row r="26">
      <x:c r="A26" s="24" t="str">
        <x:v>ALP</x:v>
      </x:c>
      <x:c r="B26" s="24" t="str">
        <x:v>Austria</x:v>
      </x:c>
      <x:c r="C26" s="24" t="str">
        <x:v>AUT+LIE</x:v>
      </x:c>
      <x:c r="D26" s="24" t="n">
        <x:v>2022</x:v>
      </x:c>
      <x:c r="E26" s="37" t="n">
        <x:v>1</x:v>
      </x:c>
      <x:c r="F26" s="38" t="n">
        <x:v>9072935</x:v>
      </x:c>
      <x:c r="G26" s="38" t="n">
        <x:v>9017967</x:v>
      </x:c>
      <x:c r="H26" s="39" t="n">
        <x:f>G26/F26</x:f>
        <x:v>0.993941541518814</x:v>
      </x:c>
      <x:c r="I26" s="40" t="n">
        <x:v>512271760000</x:v>
      </x:c>
      <x:c r="J26" s="40" t="n">
        <x:v>512271760000</x:v>
      </x:c>
      <x:c r="K26" s="40" t="n">
        <x:v>56462</x:v>
      </x:c>
      <x:c r="L26" s="40" t="n">
        <x:v>53340</x:v>
      </x:c>
      <x:c r="M26" s="40" t="n">
        <x:v>72015</x:v>
      </x:c>
      <x:c r="N26" s="41" t="n">
        <x:f>MIN(L26,M26)</x:f>
        <x:v>53340</x:v>
      </x:c>
      <x:c r="O26" s="41" t="n">
        <x:f>MAX(L26,M26)</x:f>
        <x:v>72015</x:v>
      </x:c>
      <x:c r="P26" s="41" t="n">
        <x:f>MAX(N26,MIN(K26,O26))</x:f>
        <x:v>56462</x:v>
      </x:c>
      <x:c r="Q26" s="19" t="str">
        <x:f>IF(K26&lt;N26,IF(N26=L26,"clamped_to_nominal","clamped_to_ppp"),IF(K26&gt;O26,IF(O26=L26,"clamped_to_nominal","clamped_to_ppp"),"kept_vanilla"))</x:f>
        <x:v>kept_vanilla</x:v>
      </x:c>
      <x:c r="R26" s="41" t="n">
        <x:f>P26*G26</x:f>
        <x:v>509172452754</x:v>
      </x:c>
      <x:c r="S26" s="41" t="n">
        <x:f>R26/E26</x:f>
        <x:v>509172452754</x:v>
      </x:c>
      <x:c r="T26" s="36" t="str">
        <x:v>AUT: IMF exact 2022; LIE: IMF exact 2022</x:v>
      </x:c>
      <x:c r="U26" s="36" t="str">
        <x:v>AUT: IMF exact 2022; LIE: IMF exact 2022</x:v>
      </x:c>
      <x:c r="V26" s="36" t="str">
        <x:v>AUT: IMF exact 2022; LIE: IMF exact 2022</x:v>
      </x:c>
      <x:c r="W26" s="36" t="str">
        <x:v>complete_primary</x:v>
      </x:c>
      <x:c r="X26" s="36" t="str">
        <x:v>https://api.imf.org/external/sdmx/3.0/data/dataflow/IMF.RES/WEO/9.0.0/</x:v>
      </x:c>
      <x:c r="Y26" s="36" t="str">
        <x:v>https://api.worldbank.org/v2/</x:v>
      </x:c>
    </x:row>
    <x:row r="27">
      <x:c r="A27" s="24" t="str">
        <x:v>ALP</x:v>
      </x:c>
      <x:c r="B27" s="24" t="str">
        <x:v>Austria</x:v>
      </x:c>
      <x:c r="C27" s="24" t="str">
        <x:v>AUT+LIE</x:v>
      </x:c>
      <x:c r="D27" s="24" t="n">
        <x:v>2026</x:v>
      </x:c>
      <x:c r="E27" s="37" t="n">
        <x:v>0.87</x:v>
      </x:c>
      <x:c r="F27" s="38" t="n">
        <x:v>9107266</x:v>
      </x:c>
      <x:c r="G27" s="38" t="n">
        <x:v>9246281</x:v>
      </x:c>
      <x:c r="H27" s="39" t="n">
        <x:f>G27/F27</x:f>
        <x:v>1.0152641857611275</x:v>
      </x:c>
      <x:c r="I27" s="40" t="n">
        <x:v>528807558400</x:v>
      </x:c>
      <x:c r="J27" s="40" t="n">
        <x:v>460062575808</x:v>
      </x:c>
      <x:c r="K27" s="40" t="n">
        <x:v>50516</x:v>
      </x:c>
      <x:c r="L27" s="40" t="n">
        <x:v>59575</x:v>
      </x:c>
      <x:c r="M27" s="40" t="n">
        <x:v>68609</x:v>
      </x:c>
      <x:c r="N27" s="41" t="n">
        <x:f>MIN(L27,M27)</x:f>
        <x:v>59575</x:v>
      </x:c>
      <x:c r="O27" s="41" t="n">
        <x:f>MAX(L27,M27)</x:f>
        <x:v>68609</x:v>
      </x:c>
      <x:c r="P27" s="41" t="n">
        <x:f>MAX(N27,MIN(K27,O27))</x:f>
        <x:v>59575</x:v>
      </x:c>
      <x:c r="Q27" s="19" t="str">
        <x:f>IF(K27&lt;N27,IF(N27=L27,"clamped_to_nominal","clamped_to_ppp"),IF(K27&gt;O27,IF(O27=L27,"clamped_to_nominal","clamped_to_ppp"),"kept_vanilla"))</x:f>
        <x:v>clamped_to_nominal</x:v>
      </x:c>
      <x:c r="R27" s="41" t="n">
        <x:f>P27*G27</x:f>
        <x:v>550847190575</x:v>
      </x:c>
      <x:c r="S27" s="41" t="n">
        <x:f>R27/E27</x:f>
        <x:v>633157690316.0919</x:v>
      </x:c>
      <x:c r="T27" s="36" t="str">
        <x:v>AUT: IMF exact 2026; LIE: IMF exact 2026</x:v>
      </x:c>
      <x:c r="U27" s="36" t="str">
        <x:v>AUT: IMF exact 2026; LIE: IMF exact 2026</x:v>
      </x:c>
      <x:c r="V27" s="36" t="str">
        <x:v>AUT: IMF exact 2026; LIE: IMF exact 2026</x:v>
      </x:c>
      <x:c r="W27" s="36" t="str">
        <x:v>complete_primary</x:v>
      </x:c>
      <x:c r="X27" s="36" t="str">
        <x:v>https://api.imf.org/external/sdmx/3.0/data/dataflow/IMF.RES/WEO/9.0.0/</x:v>
      </x:c>
      <x:c r="Y27" s="36" t="str">
        <x:v>https://api.worldbank.org/v2/</x:v>
      </x:c>
    </x:row>
    <x:row r="28">
      <x:c r="A28" s="24" t="str">
        <x:v>AZE</x:v>
      </x:c>
      <x:c r="B28" s="24" t="str">
        <x:v>Azerbaijan</x:v>
      </x:c>
      <x:c r="C28" s="24" t="str">
        <x:v>AZE</x:v>
      </x:c>
      <x:c r="D28" s="24" t="n">
        <x:v>2003</x:v>
      </x:c>
      <x:c r="E28" s="37" t="n">
        <x:v>1.59</x:v>
      </x:c>
      <x:c r="F28" s="38" t="n">
        <x:v>8400530</x:v>
      </x:c>
      <x:c r="G28" s="38" t="n">
        <x:v>8269200</x:v>
      </x:c>
      <x:c r="H28" s="39" t="n">
        <x:f>G28/F28</x:f>
        <x:v>0.9843664625922413</x:v>
      </x:c>
      <x:c r="I28" s="40" t="n">
        <x:v>19721637427</x:v>
      </x:c>
      <x:c r="J28" s="40" t="n">
        <x:v>31357403509</x:v>
      </x:c>
      <x:c r="K28" s="40" t="n">
        <x:v>3733</x:v>
      </x:c>
      <x:c r="L28" s="40" t="n">
        <x:v>1399</x:v>
      </x:c>
      <x:c r="M28" s="40" t="n">
        <x:v>6485</x:v>
      </x:c>
      <x:c r="N28" s="41" t="n">
        <x:f>MIN(L28,M28)</x:f>
        <x:v>1399</x:v>
      </x:c>
      <x:c r="O28" s="41" t="n">
        <x:f>MAX(L28,M28)</x:f>
        <x:v>6485</x:v>
      </x:c>
      <x:c r="P28" s="41" t="n">
        <x:f>MAX(N28,MIN(K28,O28))</x:f>
        <x:v>3733</x:v>
      </x:c>
      <x:c r="Q28" s="19" t="str">
        <x:f>IF(K28&lt;N28,IF(N28=L28,"clamped_to_nominal","clamped_to_ppp"),IF(K28&gt;O28,IF(O28=L28,"clamped_to_nominal","clamped_to_ppp"),"kept_vanilla"))</x:f>
        <x:v>kept_vanilla</x:v>
      </x:c>
      <x:c r="R28" s="41" t="n">
        <x:f>P28*G28</x:f>
        <x:v>30868923600</x:v>
      </x:c>
      <x:c r="S28" s="41" t="n">
        <x:f>R28/E28</x:f>
        <x:v>19414417358.490566</x:v>
      </x:c>
      <x:c r="T28" s="36" t="str">
        <x:v>AZE: IMF exact 2003</x:v>
      </x:c>
      <x:c r="U28" s="36" t="str">
        <x:v>AZE: IMF exact 2003</x:v>
      </x:c>
      <x:c r="V28" s="36" t="str">
        <x:v>AZE: IMF exact 2003</x:v>
      </x:c>
      <x:c r="W28" s="36" t="str">
        <x:v>complete_primary</x:v>
      </x:c>
      <x:c r="X28" s="36" t="str">
        <x:v>https://api.imf.org/external/sdmx/3.0/data/dataflow/IMF.RES/WEO/9.0.0/</x:v>
      </x:c>
      <x:c r="Y28" s="36" t="str">
        <x:v>https://api.worldbank.org/v2/</x:v>
      </x:c>
    </x:row>
    <x:row r="29">
      <x:c r="A29" s="24" t="str">
        <x:v>AZE</x:v>
      </x:c>
      <x:c r="B29" s="24" t="str">
        <x:v>Azerbaijan</x:v>
      </x:c>
      <x:c r="C29" s="24" t="str">
        <x:v>AZE</x:v>
      </x:c>
      <x:c r="D29" s="24" t="n">
        <x:v>2022</x:v>
      </x:c>
      <x:c r="E29" s="37" t="n">
        <x:v>1</x:v>
      </x:c>
      <x:c r="F29" s="38" t="n">
        <x:v>10323606</x:v>
      </x:c>
      <x:c r="G29" s="38" t="n">
        <x:v>10063300</x:v>
      </x:c>
      <x:c r="H29" s="39" t="n">
        <x:f>G29/F29</x:f>
        <x:v>0.9747853608516249</x:v>
      </x:c>
      <x:c r="I29" s="40" t="n">
        <x:v>154579040000</x:v>
      </x:c>
      <x:c r="J29" s="40" t="n">
        <x:v>154579040000</x:v>
      </x:c>
      <x:c r="K29" s="40" t="n">
        <x:v>14973</x:v>
      </x:c>
      <x:c r="L29" s="40" t="n">
        <x:v>7831</x:v>
      </x:c>
      <x:c r="M29" s="40" t="n">
        <x:v>22724</x:v>
      </x:c>
      <x:c r="N29" s="41" t="n">
        <x:f>MIN(L29,M29)</x:f>
        <x:v>7831</x:v>
      </x:c>
      <x:c r="O29" s="41" t="n">
        <x:f>MAX(L29,M29)</x:f>
        <x:v>22724</x:v>
      </x:c>
      <x:c r="P29" s="41" t="n">
        <x:f>MAX(N29,MIN(K29,O29))</x:f>
        <x:v>14973</x:v>
      </x:c>
      <x:c r="Q29" s="19" t="str">
        <x:f>IF(K29&lt;N29,IF(N29=L29,"clamped_to_nominal","clamped_to_ppp"),IF(K29&gt;O29,IF(O29=L29,"clamped_to_nominal","clamped_to_ppp"),"kept_vanilla"))</x:f>
        <x:v>kept_vanilla</x:v>
      </x:c>
      <x:c r="R29" s="41" t="n">
        <x:f>P29*G29</x:f>
        <x:v>150677790900</x:v>
      </x:c>
      <x:c r="S29" s="41" t="n">
        <x:f>R29/E29</x:f>
        <x:v>150677790900</x:v>
      </x:c>
      <x:c r="T29" s="36" t="str">
        <x:v>AZE: IMF exact 2022</x:v>
      </x:c>
      <x:c r="U29" s="36" t="str">
        <x:v>AZE: IMF exact 2022</x:v>
      </x:c>
      <x:c r="V29" s="36" t="str">
        <x:v>AZE: IMF exact 2022</x:v>
      </x:c>
      <x:c r="W29" s="36" t="str">
        <x:v>complete_primary</x:v>
      </x:c>
      <x:c r="X29" s="36" t="str">
        <x:v>https://api.imf.org/external/sdmx/3.0/data/dataflow/IMF.RES/WEO/9.0.0/</x:v>
      </x:c>
      <x:c r="Y29" s="36" t="str">
        <x:v>https://api.worldbank.org/v2/</x:v>
      </x:c>
    </x:row>
    <x:row r="30">
      <x:c r="A30" s="24" t="str">
        <x:v>AZE</x:v>
      </x:c>
      <x:c r="B30" s="24" t="str">
        <x:v>Azerbaijan</x:v>
      </x:c>
      <x:c r="C30" s="24" t="str">
        <x:v>AZE</x:v>
      </x:c>
      <x:c r="D30" s="24" t="n">
        <x:v>2026</x:v>
      </x:c>
      <x:c r="E30" s="37" t="n">
        <x:v>0.87</x:v>
      </x:c>
      <x:c r="F30" s="38" t="n">
        <x:v>10454855</x:v>
      </x:c>
      <x:c r="G30" s="38" t="n">
        <x:v>10496068</x:v>
      </x:c>
      <x:c r="H30" s="39" t="n">
        <x:f>G30/F30</x:f>
        <x:v>1.0039419963261087</x:v>
      </x:c>
      <x:c r="I30" s="40" t="n">
        <x:v>239448000000</x:v>
      </x:c>
      <x:c r="J30" s="40" t="n">
        <x:v>208319760000</x:v>
      </x:c>
      <x:c r="K30" s="40" t="n">
        <x:v>19926</x:v>
      </x:c>
      <x:c r="L30" s="40" t="n">
        <x:v>6496</x:v>
      </x:c>
      <x:c r="M30" s="40" t="n">
        <x:v>23316</x:v>
      </x:c>
      <x:c r="N30" s="41" t="n">
        <x:f>MIN(L30,M30)</x:f>
        <x:v>6496</x:v>
      </x:c>
      <x:c r="O30" s="41" t="n">
        <x:f>MAX(L30,M30)</x:f>
        <x:v>23316</x:v>
      </x:c>
      <x:c r="P30" s="41" t="n">
        <x:f>MAX(N30,MIN(K30,O30))</x:f>
        <x:v>19926</x:v>
      </x:c>
      <x:c r="Q30" s="19" t="str">
        <x:f>IF(K30&lt;N30,IF(N30=L30,"clamped_to_nominal","clamped_to_ppp"),IF(K30&gt;O30,IF(O30=L30,"clamped_to_nominal","clamped_to_ppp"),"kept_vanilla"))</x:f>
        <x:v>kept_vanilla</x:v>
      </x:c>
      <x:c r="R30" s="41" t="n">
        <x:f>P30*G30</x:f>
        <x:v>209144650968</x:v>
      </x:c>
      <x:c r="S30" s="41" t="n">
        <x:f>R30/E30</x:f>
        <x:v>240396150537.93103</x:v>
      </x:c>
      <x:c r="T30" s="36" t="str">
        <x:v>AZE: IMF exact 2026</x:v>
      </x:c>
      <x:c r="U30" s="36" t="str">
        <x:v>AZE: IMF exact 2026</x:v>
      </x:c>
      <x:c r="V30" s="36" t="str">
        <x:v>AZE: IMF exact 2026</x:v>
      </x:c>
      <x:c r="W30" s="36" t="str">
        <x:v>complete_primary</x:v>
      </x:c>
      <x:c r="X30" s="36" t="str">
        <x:v>https://api.imf.org/external/sdmx/3.0/data/dataflow/IMF.RES/WEO/9.0.0/</x:v>
      </x:c>
      <x:c r="Y30" s="36" t="str">
        <x:v>https://api.worldbank.org/v2/</x:v>
      </x:c>
    </x:row>
    <x:row r="31">
      <x:c r="A31" s="24" t="str">
        <x:v>BAH</x:v>
      </x:c>
      <x:c r="B31" s="24" t="str">
        <x:v>Bahamas</x:v>
      </x:c>
      <x:c r="C31" s="24" t="str">
        <x:v>BHS</x:v>
      </x:c>
      <x:c r="D31" s="24" t="n">
        <x:v>2003</x:v>
      </x:c>
      <x:c r="E31" s="37" t="n">
        <x:v>1.59</x:v>
      </x:c>
      <x:c r="F31" s="38" t="n">
        <x:v>335618</x:v>
      </x:c>
      <x:c r="G31" s="38" t="n">
        <x:v>317966</x:v>
      </x:c>
      <x:c r="H31" s="39" t="n">
        <x:f>G31/F31</x:f>
        <x:v>0.9474044896280891</x:v>
      </x:c>
      <x:c r="I31" s="40" t="n">
        <x:v>5448538012</x:v>
      </x:c>
      <x:c r="J31" s="40" t="n">
        <x:v>8663175439</x:v>
      </x:c>
      <x:c r="K31" s="40" t="n">
        <x:v>25813</x:v>
      </x:c>
      <x:c r="L31" s="40" t="n">
        <x:v>44355</x:v>
      </x:c>
      <x:c r="M31" s="40" t="n">
        <x:v>46532</x:v>
      </x:c>
      <x:c r="N31" s="41" t="n">
        <x:f>MIN(L31,M31)</x:f>
        <x:v>44355</x:v>
      </x:c>
      <x:c r="O31" s="41" t="n">
        <x:f>MAX(L31,M31)</x:f>
        <x:v>46532</x:v>
      </x:c>
      <x:c r="P31" s="41" t="n">
        <x:f>MAX(N31,MIN(K31,O31))</x:f>
        <x:v>44355</x:v>
      </x:c>
      <x:c r="Q31" s="19" t="str">
        <x:f>IF(K31&lt;N31,IF(N31=L31,"clamped_to_nominal","clamped_to_ppp"),IF(K31&gt;O31,IF(O31=L31,"clamped_to_nominal","clamped_to_ppp"),"kept_vanilla"))</x:f>
        <x:v>clamped_to_nominal</x:v>
      </x:c>
      <x:c r="R31" s="41" t="n">
        <x:f>P31*G31</x:f>
        <x:v>14103381930</x:v>
      </x:c>
      <x:c r="S31" s="41" t="n">
        <x:f>R31/E31</x:f>
        <x:v>8870051528.301886</x:v>
      </x:c>
      <x:c r="T31" s="36" t="str">
        <x:v>BHS: IMF exact 2003</x:v>
      </x:c>
      <x:c r="U31" s="36" t="str">
        <x:v>BHS: IMF exact 2003</x:v>
      </x:c>
      <x:c r="V31" s="36" t="str">
        <x:v>BHS: IMF exact 2003</x:v>
      </x:c>
      <x:c r="W31" s="36" t="str">
        <x:v>complete_primary</x:v>
      </x:c>
      <x:c r="X31" s="36" t="str">
        <x:v>https://api.imf.org/external/sdmx/3.0/data/dataflow/IMF.RES/WEO/9.0.0/</x:v>
      </x:c>
      <x:c r="Y31" s="36" t="str">
        <x:v>https://api.worldbank.org/v2/</x:v>
      </x:c>
    </x:row>
    <x:row r="32">
      <x:c r="A32" s="24" t="str">
        <x:v>BAH</x:v>
      </x:c>
      <x:c r="B32" s="24" t="str">
        <x:v>Bahamas</x:v>
      </x:c>
      <x:c r="C32" s="24" t="str">
        <x:v>BHS</x:v>
      </x:c>
      <x:c r="D32" s="24" t="n">
        <x:v>2022</x:v>
      </x:c>
      <x:c r="E32" s="37" t="n">
        <x:v>1</x:v>
      </x:c>
      <x:c r="F32" s="38" t="n">
        <x:v>401623</x:v>
      </x:c>
      <x:c r="G32" s="38" t="n">
        <x:v>399314</x:v>
      </x:c>
      <x:c r="H32" s="39" t="n">
        <x:f>G32/F32</x:f>
        <x:v>0.9942508272683587</x:v>
      </x:c>
      <x:c r="I32" s="40" t="n">
        <x:v>13951520000</x:v>
      </x:c>
      <x:c r="J32" s="40" t="n">
        <x:v>13951520000</x:v>
      </x:c>
      <x:c r="K32" s="40" t="n">
        <x:v>34738</x:v>
      </x:c>
      <x:c r="L32" s="40" t="n">
        <x:v>34802</x:v>
      </x:c>
      <x:c r="M32" s="40" t="n">
        <x:v>36622</x:v>
      </x:c>
      <x:c r="N32" s="41" t="n">
        <x:f>MIN(L32,M32)</x:f>
        <x:v>34802</x:v>
      </x:c>
      <x:c r="O32" s="41" t="n">
        <x:f>MAX(L32,M32)</x:f>
        <x:v>36622</x:v>
      </x:c>
      <x:c r="P32" s="41" t="n">
        <x:f>MAX(N32,MIN(K32,O32))</x:f>
        <x:v>34802</x:v>
      </x:c>
      <x:c r="Q32" s="19" t="str">
        <x:f>IF(K32&lt;N32,IF(N32=L32,"clamped_to_nominal","clamped_to_ppp"),IF(K32&gt;O32,IF(O32=L32,"clamped_to_nominal","clamped_to_ppp"),"kept_vanilla"))</x:f>
        <x:v>clamped_to_nominal</x:v>
      </x:c>
      <x:c r="R32" s="41" t="n">
        <x:f>P32*G32</x:f>
        <x:v>13896925828</x:v>
      </x:c>
      <x:c r="S32" s="41" t="n">
        <x:f>R32/E32</x:f>
        <x:v>13896925828</x:v>
      </x:c>
      <x:c r="T32" s="36" t="str">
        <x:v>BHS: IMF exact 2022</x:v>
      </x:c>
      <x:c r="U32" s="36" t="str">
        <x:v>BHS: IMF exact 2022</x:v>
      </x:c>
      <x:c r="V32" s="36" t="str">
        <x:v>BHS: IMF exact 2022</x:v>
      </x:c>
      <x:c r="W32" s="36" t="str">
        <x:v>complete_primary</x:v>
      </x:c>
      <x:c r="X32" s="36" t="str">
        <x:v>https://api.imf.org/external/sdmx/3.0/data/dataflow/IMF.RES/WEO/9.0.0/</x:v>
      </x:c>
      <x:c r="Y32" s="36" t="str">
        <x:v>https://api.worldbank.org/v2/</x:v>
      </x:c>
    </x:row>
    <x:row r="33">
      <x:c r="A33" s="24" t="str">
        <x:v>BAH</x:v>
      </x:c>
      <x:c r="B33" s="24" t="str">
        <x:v>Bahamas</x:v>
      </x:c>
      <x:c r="C33" s="24" t="str">
        <x:v>BHS</x:v>
      </x:c>
      <x:c r="D33" s="24" t="n">
        <x:v>2026</x:v>
      </x:c>
      <x:c r="E33" s="37" t="n">
        <x:v>0.87</x:v>
      </x:c>
      <x:c r="F33" s="38" t="n">
        <x:v>404629</x:v>
      </x:c>
      <x:c r="G33" s="38" t="n">
        <x:v>416763</x:v>
      </x:c>
      <x:c r="H33" s="39" t="n">
        <x:f>G33/F33</x:f>
        <x:v>1.0299879642833312</x:v>
      </x:c>
      <x:c r="I33" s="40" t="n">
        <x:v>14099360000</x:v>
      </x:c>
      <x:c r="J33" s="40" t="n">
        <x:v>12266443200</x:v>
      </x:c>
      <x:c r="K33" s="40" t="n">
        <x:v>30315</x:v>
      </x:c>
      <x:c r="L33" s="40" t="n">
        <x:v>35576</x:v>
      </x:c>
      <x:c r="M33" s="40" t="n">
        <x:v>38373</x:v>
      </x:c>
      <x:c r="N33" s="41" t="n">
        <x:f>MIN(L33,M33)</x:f>
        <x:v>35576</x:v>
      </x:c>
      <x:c r="O33" s="41" t="n">
        <x:f>MAX(L33,M33)</x:f>
        <x:v>38373</x:v>
      </x:c>
      <x:c r="P33" s="41" t="n">
        <x:f>MAX(N33,MIN(K33,O33))</x:f>
        <x:v>35576</x:v>
      </x:c>
      <x:c r="Q33" s="19" t="str">
        <x:f>IF(K33&lt;N33,IF(N33=L33,"clamped_to_nominal","clamped_to_ppp"),IF(K33&gt;O33,IF(O33=L33,"clamped_to_nominal","clamped_to_ppp"),"kept_vanilla"))</x:f>
        <x:v>clamped_to_nominal</x:v>
      </x:c>
      <x:c r="R33" s="41" t="n">
        <x:f>P33*G33</x:f>
        <x:v>14826760488</x:v>
      </x:c>
      <x:c r="S33" s="41" t="n">
        <x:f>R33/E33</x:f>
        <x:v>17042253434.48276</x:v>
      </x:c>
      <x:c r="T33" s="36" t="str">
        <x:v>BHS: IMF exact 2026</x:v>
      </x:c>
      <x:c r="U33" s="36" t="str">
        <x:v>BHS: IMF exact 2026</x:v>
      </x:c>
      <x:c r="V33" s="36" t="str">
        <x:v>BHS: IMF exact 2026</x:v>
      </x:c>
      <x:c r="W33" s="36" t="str">
        <x:v>complete_primary</x:v>
      </x:c>
      <x:c r="X33" s="36" t="str">
        <x:v>https://api.imf.org/external/sdmx/3.0/data/dataflow/IMF.RES/WEO/9.0.0/</x:v>
      </x:c>
      <x:c r="Y33" s="36" t="str">
        <x:v>https://api.worldbank.org/v2/</x:v>
      </x:c>
    </x:row>
    <x:row r="34">
      <x:c r="A34" s="24" t="str">
        <x:v>BGD</x:v>
      </x:c>
      <x:c r="B34" s="24" t="str">
        <x:v>Bangladesh</x:v>
      </x:c>
      <x:c r="C34" s="24" t="str">
        <x:v>BGD</x:v>
      </x:c>
      <x:c r="D34" s="24" t="n">
        <x:v>2003</x:v>
      </x:c>
      <x:c r="E34" s="37" t="n">
        <x:v>1.59</x:v>
      </x:c>
      <x:c r="F34" s="38" t="n">
        <x:v>140970351</x:v>
      </x:c>
      <x:c r="G34" s="38" t="n">
        <x:v>134791603</x:v>
      </x:c>
      <x:c r="H34" s="39" t="n">
        <x:f>G34/F34</x:f>
        <x:v>0.956169875749263</x:v>
      </x:c>
      <x:c r="I34" s="40" t="n">
        <x:v>152713450292</x:v>
      </x:c>
      <x:c r="J34" s="40" t="n">
        <x:v>242814385964</x:v>
      </x:c>
      <x:c r="K34" s="40" t="n">
        <x:v>1722</x:v>
      </x:c>
      <x:c r="L34" s="40" t="n">
        <x:v>846</x:v>
      </x:c>
      <x:c r="M34" s="40" t="n">
        <x:v>3080</x:v>
      </x:c>
      <x:c r="N34" s="41" t="n">
        <x:f>MIN(L34,M34)</x:f>
        <x:v>846</x:v>
      </x:c>
      <x:c r="O34" s="41" t="n">
        <x:f>MAX(L34,M34)</x:f>
        <x:v>3080</x:v>
      </x:c>
      <x:c r="P34" s="41" t="n">
        <x:f>MAX(N34,MIN(K34,O34))</x:f>
        <x:v>1722</x:v>
      </x:c>
      <x:c r="Q34" s="19" t="str">
        <x:f>IF(K34&lt;N34,IF(N34=L34,"clamped_to_nominal","clamped_to_ppp"),IF(K34&gt;O34,IF(O34=L34,"clamped_to_nominal","clamped_to_ppp"),"kept_vanilla"))</x:f>
        <x:v>kept_vanilla</x:v>
      </x:c>
      <x:c r="R34" s="41" t="n">
        <x:f>P34*G34</x:f>
        <x:v>232111140366</x:v>
      </x:c>
      <x:c r="S34" s="41" t="n">
        <x:f>R34/E34</x:f>
        <x:v>145981849286.79245</x:v>
      </x:c>
      <x:c r="T34" s="36" t="str">
        <x:v>BGD: IMF exact 2003</x:v>
      </x:c>
      <x:c r="U34" s="36" t="str">
        <x:v>BGD: IMF exact 2003</x:v>
      </x:c>
      <x:c r="V34" s="36" t="str">
        <x:v>BGD: IMF exact 2003</x:v>
      </x:c>
      <x:c r="W34" s="36" t="str">
        <x:v>complete_primary</x:v>
      </x:c>
      <x:c r="X34" s="36" t="str">
        <x:v>https://api.imf.org/external/sdmx/3.0/data/dataflow/IMF.RES/WEO/9.0.0/</x:v>
      </x:c>
      <x:c r="Y34" s="36" t="str">
        <x:v>https://api.worldbank.org/v2/</x:v>
      </x:c>
    </x:row>
    <x:row r="35">
      <x:c r="A35" s="24" t="str">
        <x:v>BGD</x:v>
      </x:c>
      <x:c r="B35" s="24" t="str">
        <x:v>Bangladesh</x:v>
      </x:c>
      <x:c r="C35" s="24" t="str">
        <x:v>BGD</x:v>
      </x:c>
      <x:c r="D35" s="24" t="n">
        <x:v>2022</x:v>
      </x:c>
      <x:c r="E35" s="37" t="n">
        <x:v>1</x:v>
      </x:c>
      <x:c r="F35" s="38" t="n">
        <x:v>168375408</x:v>
      </x:c>
      <x:c r="G35" s="38" t="n">
        <x:v>168519572</x:v>
      </x:c>
      <x:c r="H35" s="39" t="n">
        <x:f>G35/F35</x:f>
        <x:v>1.0008562057946133</x:v>
      </x:c>
      <x:c r="I35" s="40" t="n">
        <x:v>979968000000</x:v>
      </x:c>
      <x:c r="J35" s="40" t="n">
        <x:v>979968000000</x:v>
      </x:c>
      <x:c r="K35" s="40" t="n">
        <x:v>5820</x:v>
      </x:c>
      <x:c r="L35" s="40" t="n">
        <x:v>2731</x:v>
      </x:c>
      <x:c r="M35" s="40" t="n">
        <x:v>8493</x:v>
      </x:c>
      <x:c r="N35" s="41" t="n">
        <x:f>MIN(L35,M35)</x:f>
        <x:v>2731</x:v>
      </x:c>
      <x:c r="O35" s="41" t="n">
        <x:f>MAX(L35,M35)</x:f>
        <x:v>8493</x:v>
      </x:c>
      <x:c r="P35" s="41" t="n">
        <x:f>MAX(N35,MIN(K35,O35))</x:f>
        <x:v>5820</x:v>
      </x:c>
      <x:c r="Q35" s="19" t="str">
        <x:f>IF(K35&lt;N35,IF(N35=L35,"clamped_to_nominal","clamped_to_ppp"),IF(K35&gt;O35,IF(O35=L35,"clamped_to_nominal","clamped_to_ppp"),"kept_vanilla"))</x:f>
        <x:v>kept_vanilla</x:v>
      </x:c>
      <x:c r="R35" s="41" t="n">
        <x:f>P35*G35</x:f>
        <x:v>980783909040</x:v>
      </x:c>
      <x:c r="S35" s="41" t="n">
        <x:f>R35/E35</x:f>
        <x:v>980783909040</x:v>
      </x:c>
      <x:c r="T35" s="36" t="str">
        <x:v>BGD: IMF exact 2022</x:v>
      </x:c>
      <x:c r="U35" s="36" t="str">
        <x:v>BGD: IMF exact 2022</x:v>
      </x:c>
      <x:c r="V35" s="36" t="str">
        <x:v>BGD: IMF exact 2022</x:v>
      </x:c>
      <x:c r="W35" s="36" t="str">
        <x:v>complete_primary</x:v>
      </x:c>
      <x:c r="X35" s="36" t="str">
        <x:v>https://api.imf.org/external/sdmx/3.0/data/dataflow/IMF.RES/WEO/9.0.0/</x:v>
      </x:c>
      <x:c r="Y35" s="36" t="str">
        <x:v>https://api.worldbank.org/v2/</x:v>
      </x:c>
    </x:row>
    <x:row r="36">
      <x:c r="A36" s="24" t="str">
        <x:v>BGD</x:v>
      </x:c>
      <x:c r="B36" s="24" t="str">
        <x:v>Bangladesh</x:v>
      </x:c>
      <x:c r="C36" s="24" t="str">
        <x:v>BGD</x:v>
      </x:c>
      <x:c r="D36" s="24" t="n">
        <x:v>2026</x:v>
      </x:c>
      <x:c r="E36" s="37" t="n">
        <x:v>0.87</x:v>
      </x:c>
      <x:c r="F36" s="38" t="n">
        <x:v>177818045</x:v>
      </x:c>
      <x:c r="G36" s="38" t="n">
        <x:v>175423223</x:v>
      </x:c>
      <x:c r="H36" s="39" t="n">
        <x:f>G36/F36</x:f>
        <x:v>0.9865321767540521</x:v>
      </x:c>
      <x:c r="I36" s="40" t="n">
        <x:v>1568252400000</x:v>
      </x:c>
      <x:c r="J36" s="40" t="n">
        <x:v>1364379588000</x:v>
      </x:c>
      <x:c r="K36" s="40" t="n">
        <x:v>7673</x:v>
      </x:c>
      <x:c r="L36" s="40" t="n">
        <x:v>2533</x:v>
      </x:c>
      <x:c r="M36" s="40" t="n">
        <x:v>9531</x:v>
      </x:c>
      <x:c r="N36" s="41" t="n">
        <x:f>MIN(L36,M36)</x:f>
        <x:v>2533</x:v>
      </x:c>
      <x:c r="O36" s="41" t="n">
        <x:f>MAX(L36,M36)</x:f>
        <x:v>9531</x:v>
      </x:c>
      <x:c r="P36" s="41" t="n">
        <x:f>MAX(N36,MIN(K36,O36))</x:f>
        <x:v>7673</x:v>
      </x:c>
      <x:c r="Q36" s="19" t="str">
        <x:f>IF(K36&lt;N36,IF(N36=L36,"clamped_to_nominal","clamped_to_ppp"),IF(K36&gt;O36,IF(O36=L36,"clamped_to_nominal","clamped_to_ppp"),"kept_vanilla"))</x:f>
        <x:v>kept_vanilla</x:v>
      </x:c>
      <x:c r="R36" s="41" t="n">
        <x:f>P36*G36</x:f>
        <x:v>1346022390079</x:v>
      </x:c>
      <x:c r="S36" s="41" t="n">
        <x:f>R36/E36</x:f>
        <x:v>1547152172504.5977</x:v>
      </x:c>
      <x:c r="T36" s="36" t="str">
        <x:v>BGD: IMF exact 2026</x:v>
      </x:c>
      <x:c r="U36" s="36" t="str">
        <x:v>BGD: IMF exact 2026</x:v>
      </x:c>
      <x:c r="V36" s="36" t="str">
        <x:v>BGD: IMF exact 2026</x:v>
      </x:c>
      <x:c r="W36" s="36" t="str">
        <x:v>complete_primary</x:v>
      </x:c>
      <x:c r="X36" s="36" t="str">
        <x:v>https://api.imf.org/external/sdmx/3.0/data/dataflow/IMF.RES/WEO/9.0.0/</x:v>
      </x:c>
      <x:c r="Y36" s="36" t="str">
        <x:v>https://api.worldbank.org/v2/</x:v>
      </x:c>
    </x:row>
    <x:row r="37">
      <x:c r="A37" s="24" t="str">
        <x:v>BLR</x:v>
      </x:c>
      <x:c r="B37" s="24" t="str">
        <x:v>Belarus</x:v>
      </x:c>
      <x:c r="C37" s="24" t="str">
        <x:v>BLR</x:v>
      </x:c>
      <x:c r="D37" s="24" t="n">
        <x:v>2003</x:v>
      </x:c>
      <x:c r="E37" s="37" t="n">
        <x:v>1.59</x:v>
      </x:c>
      <x:c r="F37" s="38" t="n">
        <x:v>9803176</x:v>
      </x:c>
      <x:c r="G37" s="38" t="n">
        <x:v>9796749</x:v>
      </x:c>
      <x:c r="H37" s="39" t="n">
        <x:f>G37/F37</x:f>
        <x:v>0.9993443961426378</x:v>
      </x:c>
      <x:c r="I37" s="40" t="n">
        <x:v>42814619883</x:v>
      </x:c>
      <x:c r="J37" s="40" t="n">
        <x:v>68075245614</x:v>
      </x:c>
      <x:c r="K37" s="40" t="n">
        <x:v>6944</x:v>
      </x:c>
      <x:c r="L37" s="40" t="n">
        <x:v>2990</x:v>
      </x:c>
      <x:c r="M37" s="40" t="n">
        <x:v>11794</x:v>
      </x:c>
      <x:c r="N37" s="41" t="n">
        <x:f>MIN(L37,M37)</x:f>
        <x:v>2990</x:v>
      </x:c>
      <x:c r="O37" s="41" t="n">
        <x:f>MAX(L37,M37)</x:f>
        <x:v>11794</x:v>
      </x:c>
      <x:c r="P37" s="41" t="n">
        <x:f>MAX(N37,MIN(K37,O37))</x:f>
        <x:v>6944</x:v>
      </x:c>
      <x:c r="Q37" s="19" t="str">
        <x:f>IF(K37&lt;N37,IF(N37=L37,"clamped_to_nominal","clamped_to_ppp"),IF(K37&gt;O37,IF(O37=L37,"clamped_to_nominal","clamped_to_ppp"),"kept_vanilla"))</x:f>
        <x:v>kept_vanilla</x:v>
      </x:c>
      <x:c r="R37" s="41" t="n">
        <x:f>P37*G37</x:f>
        <x:v>68028625056</x:v>
      </x:c>
      <x:c r="S37" s="41" t="n">
        <x:f>R37/E37</x:f>
        <x:v>42785298777.35849</x:v>
      </x:c>
      <x:c r="T37" s="36" t="str">
        <x:v>BLR: IMF exact 2003</x:v>
      </x:c>
      <x:c r="U37" s="36" t="str">
        <x:v>BLR: IMF exact 2003</x:v>
      </x:c>
      <x:c r="V37" s="36" t="str">
        <x:v>BLR: IMF exact 2003</x:v>
      </x:c>
      <x:c r="W37" s="36" t="str">
        <x:v>complete_primary</x:v>
      </x:c>
      <x:c r="X37" s="36" t="str">
        <x:v>https://api.imf.org/external/sdmx/3.0/data/dataflow/IMF.RES/WEO/9.0.0/</x:v>
      </x:c>
      <x:c r="Y37" s="36" t="str">
        <x:v>https://api.worldbank.org/v2/</x:v>
      </x:c>
    </x:row>
    <x:row r="38">
      <x:c r="A38" s="24" t="str">
        <x:v>BLR</x:v>
      </x:c>
      <x:c r="B38" s="24" t="str">
        <x:v>Belarus</x:v>
      </x:c>
      <x:c r="C38" s="24" t="str">
        <x:v>BLR</x:v>
      </x:c>
      <x:c r="D38" s="24" t="n">
        <x:v>2022</x:v>
      </x:c>
      <x:c r="E38" s="37" t="n">
        <x:v>1</x:v>
      </x:c>
      <x:c r="F38" s="38" t="n">
        <x:v>9429534</x:v>
      </x:c>
      <x:c r="G38" s="38" t="n">
        <x:v>9228071</x:v>
      </x:c>
      <x:c r="H38" s="39" t="n">
        <x:f>G38/F38</x:f>
        <x:v>0.9786348933043775</x:v>
      </x:c>
      <x:c r="I38" s="40" t="n">
        <x:v>177539120000</x:v>
      </x:c>
      <x:c r="J38" s="40" t="n">
        <x:v>177539120000</x:v>
      </x:c>
      <x:c r="K38" s="40" t="n">
        <x:v>18828</x:v>
      </x:c>
      <x:c r="L38" s="40" t="n">
        <x:v>7990</x:v>
      </x:c>
      <x:c r="M38" s="40" t="n">
        <x:v>27871</x:v>
      </x:c>
      <x:c r="N38" s="41" t="n">
        <x:f>MIN(L38,M38)</x:f>
        <x:v>7990</x:v>
      </x:c>
      <x:c r="O38" s="41" t="n">
        <x:f>MAX(L38,M38)</x:f>
        <x:v>27871</x:v>
      </x:c>
      <x:c r="P38" s="41" t="n">
        <x:f>MAX(N38,MIN(K38,O38))</x:f>
        <x:v>18828</x:v>
      </x:c>
      <x:c r="Q38" s="19" t="str">
        <x:f>IF(K38&lt;N38,IF(N38=L38,"clamped_to_nominal","clamped_to_ppp"),IF(K38&gt;O38,IF(O38=L38,"clamped_to_nominal","clamped_to_ppp"),"kept_vanilla"))</x:f>
        <x:v>kept_vanilla</x:v>
      </x:c>
      <x:c r="R38" s="41" t="n">
        <x:f>P38*G38</x:f>
        <x:v>173746120788</x:v>
      </x:c>
      <x:c r="S38" s="41" t="n">
        <x:f>R38/E38</x:f>
        <x:v>173746120788</x:v>
      </x:c>
      <x:c r="T38" s="36" t="str">
        <x:v>BLR: IMF exact 2022</x:v>
      </x:c>
      <x:c r="U38" s="36" t="str">
        <x:v>BLR: IMF exact 2022</x:v>
      </x:c>
      <x:c r="V38" s="36" t="str">
        <x:v>BLR: IMF exact 2022</x:v>
      </x:c>
      <x:c r="W38" s="36" t="str">
        <x:v>complete_primary</x:v>
      </x:c>
      <x:c r="X38" s="36" t="str">
        <x:v>https://api.imf.org/external/sdmx/3.0/data/dataflow/IMF.RES/WEO/9.0.0/</x:v>
      </x:c>
      <x:c r="Y38" s="36" t="str">
        <x:v>https://api.worldbank.org/v2/</x:v>
      </x:c>
    </x:row>
    <x:row r="39">
      <x:c r="A39" s="24" t="str">
        <x:v>BLR</x:v>
      </x:c>
      <x:c r="B39" s="24" t="str">
        <x:v>Belarus</x:v>
      </x:c>
      <x:c r="C39" s="24" t="str">
        <x:v>BLR</x:v>
      </x:c>
      <x:c r="D39" s="24" t="n">
        <x:v>2026</x:v>
      </x:c>
      <x:c r="E39" s="37" t="n">
        <x:v>0.87</x:v>
      </x:c>
      <x:c r="F39" s="38" t="n">
        <x:v>8937018</x:v>
      </x:c>
      <x:c r="G39" s="38" t="n">
        <x:v>9041531</x:v>
      </x:c>
      <x:c r="H39" s="39" t="n">
        <x:f>G39/F39</x:f>
        <x:v>1.01169439291719</x:v>
      </x:c>
      <x:c r="I39" s="40" t="n">
        <x:v>274376080000</x:v>
      </x:c>
      <x:c r="J39" s="40" t="n">
        <x:v>238707189600</x:v>
      </x:c>
      <x:c r="K39" s="40" t="n">
        <x:v>26710</x:v>
      </x:c>
      <x:c r="L39" s="40" t="n">
        <x:v>9819</x:v>
      </x:c>
      <x:c r="M39" s="40" t="n">
        <x:v>30986</x:v>
      </x:c>
      <x:c r="N39" s="41" t="n">
        <x:f>MIN(L39,M39)</x:f>
        <x:v>9819</x:v>
      </x:c>
      <x:c r="O39" s="41" t="n">
        <x:f>MAX(L39,M39)</x:f>
        <x:v>30986</x:v>
      </x:c>
      <x:c r="P39" s="41" t="n">
        <x:f>MAX(N39,MIN(K39,O39))</x:f>
        <x:v>26710</x:v>
      </x:c>
      <x:c r="Q39" s="19" t="str">
        <x:f>IF(K39&lt;N39,IF(N39=L39,"clamped_to_nominal","clamped_to_ppp"),IF(K39&gt;O39,IF(O39=L39,"clamped_to_nominal","clamped_to_ppp"),"kept_vanilla"))</x:f>
        <x:v>kept_vanilla</x:v>
      </x:c>
      <x:c r="R39" s="41" t="n">
        <x:f>P39*G39</x:f>
        <x:v>241499293010</x:v>
      </x:c>
      <x:c r="S39" s="41" t="n">
        <x:f>R39/E39</x:f>
        <x:v>277585394264.3678</x:v>
      </x:c>
      <x:c r="T39" s="36" t="str">
        <x:v>BLR: IMF exact 2026</x:v>
      </x:c>
      <x:c r="U39" s="36" t="str">
        <x:v>BLR: IMF exact 2026</x:v>
      </x:c>
      <x:c r="V39" s="36" t="str">
        <x:v>BLR: IMF exact 2026</x:v>
      </x:c>
      <x:c r="W39" s="36" t="str">
        <x:v>complete_primary</x:v>
      </x:c>
      <x:c r="X39" s="36" t="str">
        <x:v>https://api.imf.org/external/sdmx/3.0/data/dataflow/IMF.RES/WEO/9.0.0/</x:v>
      </x:c>
      <x:c r="Y39" s="36" t="str">
        <x:v>https://api.worldbank.org/v2/</x:v>
      </x:c>
    </x:row>
    <x:row r="40">
      <x:c r="A40" s="24" t="str">
        <x:v>BGM</x:v>
      </x:c>
      <x:c r="B40" s="24" t="str">
        <x:v>Belgium</x:v>
      </x:c>
      <x:c r="C40" s="24" t="str">
        <x:v>BEL+LUX</x:v>
      </x:c>
      <x:c r="D40" s="24" t="n">
        <x:v>2003</x:v>
      </x:c>
      <x:c r="E40" s="37" t="n">
        <x:v>1.59</x:v>
      </x:c>
      <x:c r="F40" s="38" t="n">
        <x:v>10376260</x:v>
      </x:c>
      <x:c r="G40" s="38" t="n">
        <x:v>10804144</x:v>
      </x:c>
      <x:c r="H40" s="39" t="n">
        <x:f>G40/F40</x:f>
        <x:v>1.0412368232870033</x:v>
      </x:c>
      <x:c r="I40" s="40" t="n">
        <x:v>206349122807</x:v>
      </x:c>
      <x:c r="J40" s="40" t="n">
        <x:v>328095105263</x:v>
      </x:c>
      <x:c r="K40" s="40" t="n">
        <x:v>31620</x:v>
      </x:c>
      <x:c r="L40" s="40" t="n">
        <x:v>51164</x:v>
      </x:c>
      <x:c r="M40" s="40" t="n">
        <x:v>57651</x:v>
      </x:c>
      <x:c r="N40" s="41" t="n">
        <x:f>MIN(L40,M40)</x:f>
        <x:v>51164</x:v>
      </x:c>
      <x:c r="O40" s="41" t="n">
        <x:f>MAX(L40,M40)</x:f>
        <x:v>57651</x:v>
      </x:c>
      <x:c r="P40" s="41" t="n">
        <x:f>MAX(N40,MIN(K40,O40))</x:f>
        <x:v>51164</x:v>
      </x:c>
      <x:c r="Q40" s="19" t="str">
        <x:f>IF(K40&lt;N40,IF(N40=L40,"clamped_to_nominal","clamped_to_ppp"),IF(K40&gt;O40,IF(O40=L40,"clamped_to_nominal","clamped_to_ppp"),"kept_vanilla"))</x:f>
        <x:v>clamped_to_nominal</x:v>
      </x:c>
      <x:c r="R40" s="41" t="n">
        <x:f>P40*G40</x:f>
        <x:v>552783223616</x:v>
      </x:c>
      <x:c r="S40" s="41" t="n">
        <x:f>R40/E40</x:f>
        <x:v>347662404789.9371</x:v>
      </x:c>
      <x:c r="T40" s="36" t="str">
        <x:v>BEL: IMF exact 2003; LUX: IMF exact 2003</x:v>
      </x:c>
      <x:c r="U40" s="36" t="str">
        <x:v>BEL: IMF exact 2003; LUX: IMF exact 2003</x:v>
      </x:c>
      <x:c r="V40" s="36" t="str">
        <x:v>BEL: IMF exact 2003; LUX: IMF exact 2003</x:v>
      </x:c>
      <x:c r="W40" s="36" t="str">
        <x:v>complete_primary</x:v>
      </x:c>
      <x:c r="X40" s="36" t="str">
        <x:v>https://api.imf.org/external/sdmx/3.0/data/dataflow/IMF.RES/WEO/9.0.0/</x:v>
      </x:c>
      <x:c r="Y40" s="36" t="str">
        <x:v>https://api.worldbank.org/v2/</x:v>
      </x:c>
    </x:row>
    <x:row r="41">
      <x:c r="A41" s="24" t="str">
        <x:v>BGM</x:v>
      </x:c>
      <x:c r="B41" s="24" t="str">
        <x:v>Belgium</x:v>
      </x:c>
      <x:c r="C41" s="24" t="str">
        <x:v>BEL+LUX</x:v>
      </x:c>
      <x:c r="D41" s="24" t="n">
        <x:v>2022</x:v>
      </x:c>
      <x:c r="E41" s="37" t="n">
        <x:v>1</x:v>
      </x:c>
      <x:c r="F41" s="38" t="n">
        <x:v>11678732</x:v>
      </x:c>
      <x:c r="G41" s="38" t="n">
        <x:v>12263020</x:v>
      </x:c>
      <x:c r="H41" s="39" t="n">
        <x:f>G41/F41</x:f>
        <x:v>1.050030088882937</x:v>
      </x:c>
      <x:c r="I41" s="40" t="n">
        <x:v>629779040000</x:v>
      </x:c>
      <x:c r="J41" s="40" t="n">
        <x:v>629779040000</x:v>
      </x:c>
      <x:c r="K41" s="40" t="n">
        <x:v>53925</x:v>
      </x:c>
      <x:c r="L41" s="40" t="n">
        <x:v>54833</x:v>
      </x:c>
      <x:c r="M41" s="40" t="n">
        <x:v>72796</x:v>
      </x:c>
      <x:c r="N41" s="41" t="n">
        <x:f>MIN(L41,M41)</x:f>
        <x:v>54833</x:v>
      </x:c>
      <x:c r="O41" s="41" t="n">
        <x:f>MAX(L41,M41)</x:f>
        <x:v>72796</x:v>
      </x:c>
      <x:c r="P41" s="41" t="n">
        <x:f>MAX(N41,MIN(K41,O41))</x:f>
        <x:v>54833</x:v>
      </x:c>
      <x:c r="Q41" s="19" t="str">
        <x:f>IF(K41&lt;N41,IF(N41=L41,"clamped_to_nominal","clamped_to_ppp"),IF(K41&gt;O41,IF(O41=L41,"clamped_to_nominal","clamped_to_ppp"),"kept_vanilla"))</x:f>
        <x:v>clamped_to_nominal</x:v>
      </x:c>
      <x:c r="R41" s="41" t="n">
        <x:f>P41*G41</x:f>
        <x:v>672418175660</x:v>
      </x:c>
      <x:c r="S41" s="41" t="n">
        <x:f>R41/E41</x:f>
        <x:v>672418175660</x:v>
      </x:c>
      <x:c r="T41" s="36" t="str">
        <x:v>BEL: IMF exact 2022; LUX: IMF exact 2022</x:v>
      </x:c>
      <x:c r="U41" s="36" t="str">
        <x:v>BEL: IMF exact 2022; LUX: IMF exact 2022</x:v>
      </x:c>
      <x:c r="V41" s="36" t="str">
        <x:v>BEL: IMF exact 2022; LUX: IMF exact 2022</x:v>
      </x:c>
      <x:c r="W41" s="36" t="str">
        <x:v>complete_primary</x:v>
      </x:c>
      <x:c r="X41" s="36" t="str">
        <x:v>https://api.imf.org/external/sdmx/3.0/data/dataflow/IMF.RES/WEO/9.0.0/</x:v>
      </x:c>
      <x:c r="Y41" s="36" t="str">
        <x:v>https://api.worldbank.org/v2/</x:v>
      </x:c>
    </x:row>
    <x:row r="42">
      <x:c r="A42" s="24" t="str">
        <x:v>BGM</x:v>
      </x:c>
      <x:c r="B42" s="24" t="str">
        <x:v>Belgium</x:v>
      </x:c>
      <x:c r="C42" s="24" t="str">
        <x:v>BEL+LUX</x:v>
      </x:c>
      <x:c r="D42" s="24" t="n">
        <x:v>2026</x:v>
      </x:c>
      <x:c r="E42" s="37" t="n">
        <x:v>0.87</x:v>
      </x:c>
      <x:c r="F42" s="38" t="n">
        <x:v>11774643</x:v>
      </x:c>
      <x:c r="G42" s="38" t="n">
        <x:v>12624834</x:v>
      </x:c>
      <x:c r="H42" s="39" t="n">
        <x:f>G42/F42</x:f>
        <x:v>1.0722052464775365</x:v>
      </x:c>
      <x:c r="I42" s="40" t="n">
        <x:v>791220320000</x:v>
      </x:c>
      <x:c r="J42" s="40" t="n">
        <x:v>688361678400</x:v>
      </x:c>
      <x:c r="K42" s="40" t="n">
        <x:v>58461</x:v>
      </x:c>
      <x:c r="L42" s="40" t="n">
        <x:v>61135</x:v>
      </x:c>
      <x:c r="M42" s="40" t="n">
        <x:v>72132</x:v>
      </x:c>
      <x:c r="N42" s="41" t="n">
        <x:f>MIN(L42,M42)</x:f>
        <x:v>61135</x:v>
      </x:c>
      <x:c r="O42" s="41" t="n">
        <x:f>MAX(L42,M42)</x:f>
        <x:v>72132</x:v>
      </x:c>
      <x:c r="P42" s="41" t="n">
        <x:f>MAX(N42,MIN(K42,O42))</x:f>
        <x:v>61135</x:v>
      </x:c>
      <x:c r="Q42" s="19" t="str">
        <x:f>IF(K42&lt;N42,IF(N42=L42,"clamped_to_nominal","clamped_to_ppp"),IF(K42&gt;O42,IF(O42=L42,"clamped_to_nominal","clamped_to_ppp"),"kept_vanilla"))</x:f>
        <x:v>clamped_to_nominal</x:v>
      </x:c>
      <x:c r="R42" s="41" t="n">
        <x:f>P42*G42</x:f>
        <x:v>771819226590</x:v>
      </x:c>
      <x:c r="S42" s="41" t="n">
        <x:f>R42/E42</x:f>
        <x:v>887148536310.3448</x:v>
      </x:c>
      <x:c r="T42" s="36" t="str">
        <x:v>BEL: IMF exact 2026; LUX: IMF exact 2026</x:v>
      </x:c>
      <x:c r="U42" s="36" t="str">
        <x:v>BEL: IMF exact 2026; LUX: IMF exact 2026</x:v>
      </x:c>
      <x:c r="V42" s="36" t="str">
        <x:v>BEL: IMF exact 2026; LUX: IMF exact 2026</x:v>
      </x:c>
      <x:c r="W42" s="36" t="str">
        <x:v>complete_primary</x:v>
      </x:c>
      <x:c r="X42" s="36" t="str">
        <x:v>https://api.imf.org/external/sdmx/3.0/data/dataflow/IMF.RES/WEO/9.0.0/</x:v>
      </x:c>
      <x:c r="Y42" s="36" t="str">
        <x:v>https://api.worldbank.org/v2/</x:v>
      </x:c>
    </x:row>
    <x:row r="43">
      <x:c r="A43" s="24" t="str">
        <x:v>BEL</x:v>
      </x:c>
      <x:c r="B43" s="24" t="str">
        <x:v>Belize</x:v>
      </x:c>
      <x:c r="C43" s="24" t="str">
        <x:v>BLZ</x:v>
      </x:c>
      <x:c r="D43" s="24" t="n">
        <x:v>2003</x:v>
      </x:c>
      <x:c r="E43" s="37" t="n">
        <x:v>1.59</x:v>
      </x:c>
      <x:c r="F43" s="38" t="n">
        <x:v>263780</x:v>
      </x:c>
      <x:c r="G43" s="38" t="n">
        <x:v>269379</x:v>
      </x:c>
      <x:c r="H43" s="39" t="n">
        <x:f>G43/F43</x:f>
        <x:v>1.0212260216847373</x:v>
      </x:c>
      <x:c r="I43" s="40" t="n">
        <x:v>1176023392</x:v>
      </x:c>
      <x:c r="J43" s="40" t="n">
        <x:v>1869877193</x:v>
      </x:c>
      <x:c r="K43" s="40" t="n">
        <x:v>7089</x:v>
      </x:c>
      <x:c r="L43" s="40" t="n">
        <x:v>7722</x:v>
      </x:c>
      <x:c r="M43" s="40" t="n">
        <x:v>11896</x:v>
      </x:c>
      <x:c r="N43" s="41" t="n">
        <x:f>MIN(L43,M43)</x:f>
        <x:v>7722</x:v>
      </x:c>
      <x:c r="O43" s="41" t="n">
        <x:f>MAX(L43,M43)</x:f>
        <x:v>11896</x:v>
      </x:c>
      <x:c r="P43" s="41" t="n">
        <x:f>MAX(N43,MIN(K43,O43))</x:f>
        <x:v>7722</x:v>
      </x:c>
      <x:c r="Q43" s="19" t="str">
        <x:f>IF(K43&lt;N43,IF(N43=L43,"clamped_to_nominal","clamped_to_ppp"),IF(K43&gt;O43,IF(O43=L43,"clamped_to_nominal","clamped_to_ppp"),"kept_vanilla"))</x:f>
        <x:v>clamped_to_nominal</x:v>
      </x:c>
      <x:c r="R43" s="41" t="n">
        <x:f>P43*G43</x:f>
        <x:v>2080144638</x:v>
      </x:c>
      <x:c r="S43" s="41" t="n">
        <x:f>R43/E43</x:f>
        <x:v>1308267067.9245281</x:v>
      </x:c>
      <x:c r="T43" s="36" t="str">
        <x:v>BLZ: IMF exact 2003</x:v>
      </x:c>
      <x:c r="U43" s="36" t="str">
        <x:v>BLZ: IMF exact 2003</x:v>
      </x:c>
      <x:c r="V43" s="36" t="str">
        <x:v>BLZ: IMF exact 2003</x:v>
      </x:c>
      <x:c r="W43" s="36" t="str">
        <x:v>complete_primary</x:v>
      </x:c>
      <x:c r="X43" s="36" t="str">
        <x:v>https://api.imf.org/external/sdmx/3.0/data/dataflow/IMF.RES/WEO/9.0.0/</x:v>
      </x:c>
      <x:c r="Y43" s="36" t="str">
        <x:v>https://api.worldbank.org/v2/</x:v>
      </x:c>
    </x:row>
    <x:row r="44">
      <x:c r="A44" s="24" t="str">
        <x:v>BEL</x:v>
      </x:c>
      <x:c r="B44" s="24" t="str">
        <x:v>Belize</x:v>
      </x:c>
      <x:c r="C44" s="24" t="str">
        <x:v>BLZ</x:v>
      </x:c>
      <x:c r="D44" s="24" t="n">
        <x:v>2022</x:v>
      </x:c>
      <x:c r="E44" s="37" t="n">
        <x:v>1</x:v>
      </x:c>
      <x:c r="F44" s="38" t="n">
        <x:v>414463</x:v>
      </x:c>
      <x:c r="G44" s="38" t="n">
        <x:v>397484</x:v>
      </x:c>
      <x:c r="H44" s="39" t="n">
        <x:f>G44/F44</x:f>
        <x:v>0.959033737631586</x:v>
      </x:c>
      <x:c r="I44" s="40" t="n">
        <x:v>2770240000</x:v>
      </x:c>
      <x:c r="J44" s="40" t="n">
        <x:v>2770240000</x:v>
      </x:c>
      <x:c r="K44" s="40" t="n">
        <x:v>6684</x:v>
      </x:c>
      <x:c r="L44" s="40" t="n">
        <x:v>7162</x:v>
      </x:c>
      <x:c r="M44" s="40" t="n">
        <x:v>13637</x:v>
      </x:c>
      <x:c r="N44" s="41" t="n">
        <x:f>MIN(L44,M44)</x:f>
        <x:v>7162</x:v>
      </x:c>
      <x:c r="O44" s="41" t="n">
        <x:f>MAX(L44,M44)</x:f>
        <x:v>13637</x:v>
      </x:c>
      <x:c r="P44" s="41" t="n">
        <x:f>MAX(N44,MIN(K44,O44))</x:f>
        <x:v>7162</x:v>
      </x:c>
      <x:c r="Q44" s="19" t="str">
        <x:f>IF(K44&lt;N44,IF(N44=L44,"clamped_to_nominal","clamped_to_ppp"),IF(K44&gt;O44,IF(O44=L44,"clamped_to_nominal","clamped_to_ppp"),"kept_vanilla"))</x:f>
        <x:v>clamped_to_nominal</x:v>
      </x:c>
      <x:c r="R44" s="41" t="n">
        <x:f>P44*G44</x:f>
        <x:v>2846780408</x:v>
      </x:c>
      <x:c r="S44" s="41" t="n">
        <x:f>R44/E44</x:f>
        <x:v>2846780408</x:v>
      </x:c>
      <x:c r="T44" s="36" t="str">
        <x:v>BLZ: IMF exact 2022</x:v>
      </x:c>
      <x:c r="U44" s="36" t="str">
        <x:v>BLZ: IMF exact 2022</x:v>
      </x:c>
      <x:c r="V44" s="36" t="str">
        <x:v>BLZ: IMF exact 2022</x:v>
      </x:c>
      <x:c r="W44" s="36" t="str">
        <x:v>complete_primary</x:v>
      </x:c>
      <x:c r="X44" s="36" t="str">
        <x:v>https://api.imf.org/external/sdmx/3.0/data/dataflow/IMF.RES/WEO/9.0.0/</x:v>
      </x:c>
      <x:c r="Y44" s="36" t="str">
        <x:v>https://api.worldbank.org/v2/</x:v>
      </x:c>
    </x:row>
    <x:row r="45">
      <x:c r="A45" s="24" t="str">
        <x:v>BEL</x:v>
      </x:c>
      <x:c r="B45" s="24" t="str">
        <x:v>Belize</x:v>
      </x:c>
      <x:c r="C45" s="24" t="str">
        <x:v>BLZ</x:v>
      </x:c>
      <x:c r="D45" s="24" t="n">
        <x:v>2026</x:v>
      </x:c>
      <x:c r="E45" s="37" t="n">
        <x:v>0.87</x:v>
      </x:c>
      <x:c r="F45" s="38" t="n">
        <x:v>428645</x:v>
      </x:c>
      <x:c r="G45" s="38" t="n">
        <x:v>424090</x:v>
      </x:c>
      <x:c r="H45" s="39" t="n">
        <x:f>G45/F45</x:f>
        <x:v>0.9893734908840649</x:v>
      </x:c>
      <x:c r="I45" s="40" t="n">
        <x:v>5871360000</x:v>
      </x:c>
      <x:c r="J45" s="40" t="n">
        <x:v>5108083200</x:v>
      </x:c>
      <x:c r="K45" s="40" t="n">
        <x:v>11917</x:v>
      </x:c>
      <x:c r="L45" s="40" t="n">
        <x:v>7077</x:v>
      </x:c>
      <x:c r="M45" s="40" t="n">
        <x:v>13654</x:v>
      </x:c>
      <x:c r="N45" s="41" t="n">
        <x:f>MIN(L45,M45)</x:f>
        <x:v>7077</x:v>
      </x:c>
      <x:c r="O45" s="41" t="n">
        <x:f>MAX(L45,M45)</x:f>
        <x:v>13654</x:v>
      </x:c>
      <x:c r="P45" s="41" t="n">
        <x:f>MAX(N45,MIN(K45,O45))</x:f>
        <x:v>11917</x:v>
      </x:c>
      <x:c r="Q45" s="19" t="str">
        <x:f>IF(K45&lt;N45,IF(N45=L45,"clamped_to_nominal","clamped_to_ppp"),IF(K45&gt;O45,IF(O45=L45,"clamped_to_nominal","clamped_to_ppp"),"kept_vanilla"))</x:f>
        <x:v>kept_vanilla</x:v>
      </x:c>
      <x:c r="R45" s="41" t="n">
        <x:f>P45*G45</x:f>
        <x:v>5053880530</x:v>
      </x:c>
      <x:c r="S45" s="41" t="n">
        <x:f>R45/E45</x:f>
        <x:v>5809058080.45977</x:v>
      </x:c>
      <x:c r="T45" s="36" t="str">
        <x:v>BLZ: IMF exact 2026</x:v>
      </x:c>
      <x:c r="U45" s="36" t="str">
        <x:v>BLZ: IMF exact 2026</x:v>
      </x:c>
      <x:c r="V45" s="36" t="str">
        <x:v>BLZ: IMF exact 2026</x:v>
      </x:c>
      <x:c r="W45" s="36" t="str">
        <x:v>complete_primary</x:v>
      </x:c>
      <x:c r="X45" s="36" t="str">
        <x:v>https://api.imf.org/external/sdmx/3.0/data/dataflow/IMF.RES/WEO/9.0.0/</x:v>
      </x:c>
      <x:c r="Y45" s="36" t="str">
        <x:v>https://api.worldbank.org/v2/</x:v>
      </x:c>
    </x:row>
    <x:row r="46">
      <x:c r="A46" s="24" t="str">
        <x:v>BEN</x:v>
      </x:c>
      <x:c r="B46" s="24" t="str">
        <x:v>Benin</x:v>
      </x:c>
      <x:c r="C46" s="24" t="str">
        <x:v>BEN</x:v>
      </x:c>
      <x:c r="D46" s="24" t="n">
        <x:v>2003</x:v>
      </x:c>
      <x:c r="E46" s="37" t="n">
        <x:v>1.59</x:v>
      </x:c>
      <x:c r="F46" s="38" t="n">
        <x:v>7913070</x:v>
      </x:c>
      <x:c r="G46" s="38" t="n">
        <x:v>7913070</x:v>
      </x:c>
      <x:c r="H46" s="39" t="n">
        <x:f>G46/F46</x:f>
        <x:v>1</x:v>
      </x:c>
      <x:c r="I46" s="40" t="n">
        <x:v>8922222222</x:v>
      </x:c>
      <x:c r="J46" s="40" t="n">
        <x:v>14186333333</x:v>
      </x:c>
      <x:c r="K46" s="40" t="n">
        <x:v>1793</x:v>
      </x:c>
      <x:c r="L46" s="40" t="n">
        <x:v>1075</x:v>
      </x:c>
      <x:c r="M46" s="40" t="n">
        <x:v>3084</x:v>
      </x:c>
      <x:c r="N46" s="41" t="n">
        <x:f>MIN(L46,M46)</x:f>
        <x:v>1075</x:v>
      </x:c>
      <x:c r="O46" s="41" t="n">
        <x:f>MAX(L46,M46)</x:f>
        <x:v>3084</x:v>
      </x:c>
      <x:c r="P46" s="41" t="n">
        <x:f>MAX(N46,MIN(K46,O46))</x:f>
        <x:v>1793</x:v>
      </x:c>
      <x:c r="Q46" s="19" t="str">
        <x:f>IF(K46&lt;N46,IF(N46=L46,"clamped_to_nominal","clamped_to_ppp"),IF(K46&gt;O46,IF(O46=L46,"clamped_to_nominal","clamped_to_ppp"),"kept_vanilla"))</x:f>
        <x:v>kept_vanilla</x:v>
      </x:c>
      <x:c r="R46" s="41" t="n">
        <x:f>P46*G46</x:f>
        <x:v>14188134510</x:v>
      </x:c>
      <x:c r="S46" s="41" t="n">
        <x:f>R46/E46</x:f>
        <x:v>8923355037.73585</x:v>
      </x:c>
      <x:c r="T46" s="36" t="str">
        <x:v>BEN: IMF exact 2003</x:v>
      </x:c>
      <x:c r="U46" s="36" t="str">
        <x:v>BEN: IMF exact 2003</x:v>
      </x:c>
      <x:c r="V46" s="36" t="str">
        <x:v>BEN: IMF exact 2003</x:v>
      </x:c>
      <x:c r="W46" s="36" t="str">
        <x:v>complete_primary</x:v>
      </x:c>
      <x:c r="X46" s="36" t="str">
        <x:v>https://api.imf.org/external/sdmx/3.0/data/dataflow/IMF.RES/WEO/9.0.0/</x:v>
      </x:c>
      <x:c r="Y46" s="36" t="str">
        <x:v>https://api.worldbank.org/v2/</x:v>
      </x:c>
    </x:row>
    <x:row r="47">
      <x:c r="A47" s="24" t="str">
        <x:v>BEN</x:v>
      </x:c>
      <x:c r="B47" s="24" t="str">
        <x:v>Benin</x:v>
      </x:c>
      <x:c r="C47" s="24" t="str">
        <x:v>BEN</x:v>
      </x:c>
      <x:c r="D47" s="24" t="n">
        <x:v>2022</x:v>
      </x:c>
      <x:c r="E47" s="37" t="n">
        <x:v>1</x:v>
      </x:c>
      <x:c r="F47" s="38" t="n">
        <x:v>12890081</x:v>
      </x:c>
      <x:c r="G47" s="38" t="n">
        <x:v>13759501</x:v>
      </x:c>
      <x:c r="H47" s="39" t="n">
        <x:f>G47/F47</x:f>
        <x:v>1.0674487615710095</x:v>
      </x:c>
      <x:c r="I47" s="40" t="n">
        <x:v>46735040000</x:v>
      </x:c>
      <x:c r="J47" s="40" t="n">
        <x:v>46735040000</x:v>
      </x:c>
      <x:c r="K47" s="40" t="n">
        <x:v>3626</x:v>
      </x:c>
      <x:c r="L47" s="40" t="n">
        <x:v>1267</x:v>
      </x:c>
      <x:c r="M47" s="40" t="n">
        <x:v>3844</x:v>
      </x:c>
      <x:c r="N47" s="41" t="n">
        <x:f>MIN(L47,M47)</x:f>
        <x:v>1267</x:v>
      </x:c>
      <x:c r="O47" s="41" t="n">
        <x:f>MAX(L47,M47)</x:f>
        <x:v>3844</x:v>
      </x:c>
      <x:c r="P47" s="41" t="n">
        <x:f>MAX(N47,MIN(K47,O47))</x:f>
        <x:v>3626</x:v>
      </x:c>
      <x:c r="Q47" s="19" t="str">
        <x:f>IF(K47&lt;N47,IF(N47=L47,"clamped_to_nominal","clamped_to_ppp"),IF(K47&gt;O47,IF(O47=L47,"clamped_to_nominal","clamped_to_ppp"),"kept_vanilla"))</x:f>
        <x:v>kept_vanilla</x:v>
      </x:c>
      <x:c r="R47" s="41" t="n">
        <x:f>P47*G47</x:f>
        <x:v>49891950626</x:v>
      </x:c>
      <x:c r="S47" s="41" t="n">
        <x:f>R47/E47</x:f>
        <x:v>49891950626</x:v>
      </x:c>
      <x:c r="T47" s="36" t="str">
        <x:v>BEN: IMF exact 2022</x:v>
      </x:c>
      <x:c r="U47" s="36" t="str">
        <x:v>BEN: IMF exact 2022</x:v>
      </x:c>
      <x:c r="V47" s="36" t="str">
        <x:v>BEN: IMF exact 2022</x:v>
      </x:c>
      <x:c r="W47" s="36" t="str">
        <x:v>complete_primary</x:v>
      </x:c>
      <x:c r="X47" s="36" t="str">
        <x:v>https://api.imf.org/external/sdmx/3.0/data/dataflow/IMF.RES/WEO/9.0.0/</x:v>
      </x:c>
      <x:c r="Y47" s="36" t="str">
        <x:v>https://api.worldbank.org/v2/</x:v>
      </x:c>
    </x:row>
    <x:row r="48">
      <x:c r="A48" s="24" t="str">
        <x:v>BEN</x:v>
      </x:c>
      <x:c r="B48" s="24" t="str">
        <x:v>Benin</x:v>
      </x:c>
      <x:c r="C48" s="24" t="str">
        <x:v>BEN</x:v>
      </x:c>
      <x:c r="D48" s="24" t="n">
        <x:v>2026</x:v>
      </x:c>
      <x:c r="E48" s="37" t="n">
        <x:v>0.87</x:v>
      </x:c>
      <x:c r="F48" s="38" t="n">
        <x:v>15170420</x:v>
      </x:c>
      <x:c r="G48" s="38" t="n">
        <x:v>15357095</x:v>
      </x:c>
      <x:c r="H48" s="39" t="n">
        <x:f>G48/F48</x:f>
        <x:v>1.012305196560148</x:v>
      </x:c>
      <x:c r="I48" s="40" t="n">
        <x:v>61167920000</x:v>
      </x:c>
      <x:c r="J48" s="40" t="n">
        <x:v>53216090400</x:v>
      </x:c>
      <x:c r="K48" s="40" t="n">
        <x:v>3508</x:v>
      </x:c>
      <x:c r="L48" s="40" t="n">
        <x:v>1574</x:v>
      </x:c>
      <x:c r="M48" s="40" t="n">
        <x:v>4426</x:v>
      </x:c>
      <x:c r="N48" s="41" t="n">
        <x:f>MIN(L48,M48)</x:f>
        <x:v>1574</x:v>
      </x:c>
      <x:c r="O48" s="41" t="n">
        <x:f>MAX(L48,M48)</x:f>
        <x:v>4426</x:v>
      </x:c>
      <x:c r="P48" s="41" t="n">
        <x:f>MAX(N48,MIN(K48,O48))</x:f>
        <x:v>3508</x:v>
      </x:c>
      <x:c r="Q48" s="19" t="str">
        <x:f>IF(K48&lt;N48,IF(N48=L48,"clamped_to_nominal","clamped_to_ppp"),IF(K48&gt;O48,IF(O48=L48,"clamped_to_nominal","clamped_to_ppp"),"kept_vanilla"))</x:f>
        <x:v>kept_vanilla</x:v>
      </x:c>
      <x:c r="R48" s="41" t="n">
        <x:f>P48*G48</x:f>
        <x:v>53872689260</x:v>
      </x:c>
      <x:c r="S48" s="41" t="n">
        <x:f>R48/E48</x:f>
        <x:v>61922631333.333336</x:v>
      </x:c>
      <x:c r="T48" s="36" t="str">
        <x:v>BEN: IMF exact 2026</x:v>
      </x:c>
      <x:c r="U48" s="36" t="str">
        <x:v>BEN: IMF exact 2026</x:v>
      </x:c>
      <x:c r="V48" s="36" t="str">
        <x:v>BEN: IMF exact 2026</x:v>
      </x:c>
      <x:c r="W48" s="36" t="str">
        <x:v>complete_primary</x:v>
      </x:c>
      <x:c r="X48" s="36" t="str">
        <x:v>https://api.imf.org/external/sdmx/3.0/data/dataflow/IMF.RES/WEO/9.0.0/</x:v>
      </x:c>
      <x:c r="Y48" s="36" t="str">
        <x:v>https://api.worldbank.org/v2/</x:v>
      </x:c>
    </x:row>
    <x:row r="49">
      <x:c r="A49" s="24" t="str">
        <x:v>BHU</x:v>
      </x:c>
      <x:c r="B49" s="24" t="str">
        <x:v>Bhutan</x:v>
      </x:c>
      <x:c r="C49" s="24" t="str">
        <x:v>BTN</x:v>
      </x:c>
      <x:c r="D49" s="24" t="n">
        <x:v>2003</x:v>
      </x:c>
      <x:c r="E49" s="37" t="n">
        <x:v>1.59</x:v>
      </x:c>
      <x:c r="F49" s="38" t="n">
        <x:v>637663</x:v>
      </x:c>
      <x:c r="G49" s="38" t="n">
        <x:v>631036</x:v>
      </x:c>
      <x:c r="H49" s="39" t="n">
        <x:f>G49/F49</x:f>
        <x:v>0.9896073631369547</x:v>
      </x:c>
      <x:c r="I49" s="40" t="n">
        <x:v>1473099415</x:v>
      </x:c>
      <x:c r="J49" s="40" t="n">
        <x:v>2342228070</x:v>
      </x:c>
      <x:c r="K49" s="40" t="n">
        <x:v>3673</x:v>
      </x:c>
      <x:c r="L49" s="40" t="n">
        <x:v>1552</x:v>
      </x:c>
      <x:c r="M49" s="40" t="n">
        <x:v>6348</x:v>
      </x:c>
      <x:c r="N49" s="41" t="n">
        <x:f>MIN(L49,M49)</x:f>
        <x:v>1552</x:v>
      </x:c>
      <x:c r="O49" s="41" t="n">
        <x:f>MAX(L49,M49)</x:f>
        <x:v>6348</x:v>
      </x:c>
      <x:c r="P49" s="41" t="n">
        <x:f>MAX(N49,MIN(K49,O49))</x:f>
        <x:v>3673</x:v>
      </x:c>
      <x:c r="Q49" s="19" t="str">
        <x:f>IF(K49&lt;N49,IF(N49=L49,"clamped_to_nominal","clamped_to_ppp"),IF(K49&gt;O49,IF(O49=L49,"clamped_to_nominal","clamped_to_ppp"),"kept_vanilla"))</x:f>
        <x:v>kept_vanilla</x:v>
      </x:c>
      <x:c r="R49" s="41" t="n">
        <x:f>P49*G49</x:f>
        <x:v>2317795228</x:v>
      </x:c>
      <x:c r="S49" s="41" t="n">
        <x:f>R49/E49</x:f>
        <x:v>1457732847.798742</x:v>
      </x:c>
      <x:c r="T49" s="36" t="str">
        <x:v>BTN: IMF exact 2003</x:v>
      </x:c>
      <x:c r="U49" s="36" t="str">
        <x:v>BTN: IMF exact 2003</x:v>
      </x:c>
      <x:c r="V49" s="36" t="str">
        <x:v>BTN: IMF exact 2003</x:v>
      </x:c>
      <x:c r="W49" s="36" t="str">
        <x:v>complete_primary</x:v>
      </x:c>
      <x:c r="X49" s="36" t="str">
        <x:v>https://api.imf.org/external/sdmx/3.0/data/dataflow/IMF.RES/WEO/9.0.0/</x:v>
      </x:c>
      <x:c r="Y49" s="36" t="str">
        <x:v>https://api.worldbank.org/v2/</x:v>
      </x:c>
    </x:row>
    <x:row r="50">
      <x:c r="A50" s="24" t="str">
        <x:v>BHU</x:v>
      </x:c>
      <x:c r="B50" s="24" t="str">
        <x:v>Bhutan</x:v>
      </x:c>
      <x:c r="C50" s="24" t="str">
        <x:v>BTN</x:v>
      </x:c>
      <x:c r="D50" s="24" t="n">
        <x:v>2022</x:v>
      </x:c>
      <x:c r="E50" s="37" t="n">
        <x:v>1</x:v>
      </x:c>
      <x:c r="F50" s="38" t="n">
        <x:v>790424</x:v>
      </x:c>
      <x:c r="G50" s="38" t="n">
        <x:v>778178</x:v>
      </x:c>
      <x:c r="H50" s="39" t="n">
        <x:f>G50/F50</x:f>
        <x:v>0.9845070493810917</x:v>
      </x:c>
      <x:c r="I50" s="40" t="n">
        <x:v>8670640000</x:v>
      </x:c>
      <x:c r="J50" s="40" t="n">
        <x:v>8670640000</x:v>
      </x:c>
      <x:c r="K50" s="40" t="n">
        <x:v>10970</x:v>
      </x:c>
      <x:c r="L50" s="40" t="n">
        <x:v>3683</x:v>
      </x:c>
      <x:c r="M50" s="40" t="n">
        <x:v>14229</x:v>
      </x:c>
      <x:c r="N50" s="41" t="n">
        <x:f>MIN(L50,M50)</x:f>
        <x:v>3683</x:v>
      </x:c>
      <x:c r="O50" s="41" t="n">
        <x:f>MAX(L50,M50)</x:f>
        <x:v>14229</x:v>
      </x:c>
      <x:c r="P50" s="41" t="n">
        <x:f>MAX(N50,MIN(K50,O50))</x:f>
        <x:v>10970</x:v>
      </x:c>
      <x:c r="Q50" s="19" t="str">
        <x:f>IF(K50&lt;N50,IF(N50=L50,"clamped_to_nominal","clamped_to_ppp"),IF(K50&gt;O50,IF(O50=L50,"clamped_to_nominal","clamped_to_ppp"),"kept_vanilla"))</x:f>
        <x:v>kept_vanilla</x:v>
      </x:c>
      <x:c r="R50" s="41" t="n">
        <x:f>P50*G50</x:f>
        <x:v>8536612660</x:v>
      </x:c>
      <x:c r="S50" s="41" t="n">
        <x:f>R50/E50</x:f>
        <x:v>8536612660</x:v>
      </x:c>
      <x:c r="T50" s="36" t="str">
        <x:v>BTN: IMF exact 2022</x:v>
      </x:c>
      <x:c r="U50" s="36" t="str">
        <x:v>BTN: IMF exact 2022</x:v>
      </x:c>
      <x:c r="V50" s="36" t="str">
        <x:v>BTN: IMF exact 2022</x:v>
      </x:c>
      <x:c r="W50" s="36" t="str">
        <x:v>complete_primary</x:v>
      </x:c>
      <x:c r="X50" s="36" t="str">
        <x:v>https://api.imf.org/external/sdmx/3.0/data/dataflow/IMF.RES/WEO/9.0.0/</x:v>
      </x:c>
      <x:c r="Y50" s="36" t="str">
        <x:v>https://api.worldbank.org/v2/</x:v>
      </x:c>
    </x:row>
    <x:row r="51">
      <x:c r="A51" s="24" t="str">
        <x:v>BHU</x:v>
      </x:c>
      <x:c r="B51" s="24" t="str">
        <x:v>Bhutan</x:v>
      </x:c>
      <x:c r="C51" s="24" t="str">
        <x:v>BTN</x:v>
      </x:c>
      <x:c r="D51" s="24" t="n">
        <x:v>2026</x:v>
      </x:c>
      <x:c r="E51" s="37" t="n">
        <x:v>0.87</x:v>
      </x:c>
      <x:c r="F51" s="38" t="n">
        <x:v>802214</x:v>
      </x:c>
      <x:c r="G51" s="38" t="n">
        <x:v>792312</x:v>
      </x:c>
      <x:c r="H51" s="39" t="n">
        <x:f>G51/F51</x:f>
        <x:v>0.9876566601929161</x:v>
      </x:c>
      <x:c r="I51" s="40" t="n">
        <x:v>12413280000</x:v>
      </x:c>
      <x:c r="J51" s="40" t="n">
        <x:v>10799553600</x:v>
      </x:c>
      <x:c r="K51" s="40" t="n">
        <x:v>13462</x:v>
      </x:c>
      <x:c r="L51" s="40" t="n">
        <x:v>4234</x:v>
      </x:c>
      <x:c r="M51" s="40" t="n">
        <x:v>17517</x:v>
      </x:c>
      <x:c r="N51" s="41" t="n">
        <x:f>MIN(L51,M51)</x:f>
        <x:v>4234</x:v>
      </x:c>
      <x:c r="O51" s="41" t="n">
        <x:f>MAX(L51,M51)</x:f>
        <x:v>17517</x:v>
      </x:c>
      <x:c r="P51" s="41" t="n">
        <x:f>MAX(N51,MIN(K51,O51))</x:f>
        <x:v>13462</x:v>
      </x:c>
      <x:c r="Q51" s="19" t="str">
        <x:f>IF(K51&lt;N51,IF(N51=L51,"clamped_to_nominal","clamped_to_ppp"),IF(K51&gt;O51,IF(O51=L51,"clamped_to_nominal","clamped_to_ppp"),"kept_vanilla"))</x:f>
        <x:v>kept_vanilla</x:v>
      </x:c>
      <x:c r="R51" s="41" t="n">
        <x:f>P51*G51</x:f>
        <x:v>10666104144</x:v>
      </x:c>
      <x:c r="S51" s="41" t="n">
        <x:f>R51/E51</x:f>
        <x:v>12259889820.689655</x:v>
      </x:c>
      <x:c r="T51" s="36" t="str">
        <x:v>BTN: IMF exact 2026</x:v>
      </x:c>
      <x:c r="U51" s="36" t="str">
        <x:v>BTN: IMF exact 2026</x:v>
      </x:c>
      <x:c r="V51" s="36" t="str">
        <x:v>BTN: IMF exact 2026</x:v>
      </x:c>
      <x:c r="W51" s="36" t="str">
        <x:v>complete_primary</x:v>
      </x:c>
      <x:c r="X51" s="36" t="str">
        <x:v>https://api.imf.org/external/sdmx/3.0/data/dataflow/IMF.RES/WEO/9.0.0/</x:v>
      </x:c>
      <x:c r="Y51" s="36" t="str">
        <x:v>https://api.worldbank.org/v2/</x:v>
      </x:c>
    </x:row>
    <x:row r="52">
      <x:c r="A52" s="24" t="str">
        <x:v>BOL</x:v>
      </x:c>
      <x:c r="B52" s="24" t="str">
        <x:v>Bolivia</x:v>
      </x:c>
      <x:c r="C52" s="24" t="str">
        <x:v>BOL</x:v>
      </x:c>
      <x:c r="D52" s="24" t="n">
        <x:v>2003</x:v>
      </x:c>
      <x:c r="E52" s="37" t="n">
        <x:v>1.59</x:v>
      </x:c>
      <x:c r="F52" s="38" t="n">
        <x:v>9050700</x:v>
      </x:c>
      <x:c r="G52" s="38" t="n">
        <x:v>9050700</x:v>
      </x:c>
      <x:c r="H52" s="39" t="n">
        <x:f>G52/F52</x:f>
        <x:v>1</x:v>
      </x:c>
      <x:c r="I52" s="40" t="n">
        <x:v>22501754386</x:v>
      </x:c>
      <x:c r="J52" s="40" t="n">
        <x:v>35777789474</x:v>
      </x:c>
      <x:c r="K52" s="40" t="n">
        <x:v>3953</x:v>
      </x:c>
      <x:c r="L52" s="40" t="n">
        <x:v>1591</x:v>
      </x:c>
      <x:c r="M52" s="40" t="n">
        <x:v>8121</x:v>
      </x:c>
      <x:c r="N52" s="41" t="n">
        <x:f>MIN(L52,M52)</x:f>
        <x:v>1591</x:v>
      </x:c>
      <x:c r="O52" s="41" t="n">
        <x:f>MAX(L52,M52)</x:f>
        <x:v>8121</x:v>
      </x:c>
      <x:c r="P52" s="41" t="n">
        <x:f>MAX(N52,MIN(K52,O52))</x:f>
        <x:v>3953</x:v>
      </x:c>
      <x:c r="Q52" s="19" t="str">
        <x:f>IF(K52&lt;N52,IF(N52=L52,"clamped_to_nominal","clamped_to_ppp"),IF(K52&gt;O52,IF(O52=L52,"clamped_to_nominal","clamped_to_ppp"),"kept_vanilla"))</x:f>
        <x:v>kept_vanilla</x:v>
      </x:c>
      <x:c r="R52" s="41" t="n">
        <x:f>P52*G52</x:f>
        <x:v>35777417100</x:v>
      </x:c>
      <x:c r="S52" s="41" t="n">
        <x:f>R52/E52</x:f>
        <x:v>22501520188.679245</x:v>
      </x:c>
      <x:c r="T52" s="36" t="str">
        <x:v>BOL: IMF exact 2003</x:v>
      </x:c>
      <x:c r="U52" s="36" t="str">
        <x:v>BOL: IMF exact 2003</x:v>
      </x:c>
      <x:c r="V52" s="36" t="str">
        <x:v>BOL: IMF exact 2003</x:v>
      </x:c>
      <x:c r="W52" s="36" t="str">
        <x:v>complete_primary</x:v>
      </x:c>
      <x:c r="X52" s="36" t="str">
        <x:v>https://api.imf.org/external/sdmx/3.0/data/dataflow/IMF.RES/WEO/9.0.0/</x:v>
      </x:c>
      <x:c r="Y52" s="36" t="str">
        <x:v>https://api.worldbank.org/v2/</x:v>
      </x:c>
    </x:row>
    <x:row r="53">
      <x:c r="A53" s="24" t="str">
        <x:v>BOL</x:v>
      </x:c>
      <x:c r="B53" s="24" t="str">
        <x:v>Bolivia</x:v>
      </x:c>
      <x:c r="C53" s="24" t="str">
        <x:v>BOL</x:v>
      </x:c>
      <x:c r="D53" s="24" t="n">
        <x:v>2022</x:v>
      </x:c>
      <x:c r="E53" s="37" t="n">
        <x:v>1</x:v>
      </x:c>
      <x:c r="F53" s="38" t="n">
        <x:v>12042349</x:v>
      </x:c>
      <x:c r="G53" s="38" t="n">
        <x:v>12077154</x:v>
      </x:c>
      <x:c r="H53" s="39" t="n">
        <x:f>G53/F53</x:f>
        <x:v>1.0028902168505496</x:v>
      </x:c>
      <x:c r="I53" s="40" t="n">
        <x:v>103731760000</x:v>
      </x:c>
      <x:c r="J53" s="40" t="n">
        <x:v>103731760000</x:v>
      </x:c>
      <x:c r="K53" s="40" t="n">
        <x:v>8614</x:v>
      </x:c>
      <x:c r="L53" s="40" t="n">
        <x:v>4250</x:v>
      </x:c>
      <x:c r="M53" s="40" t="n">
        <x:v>12305</x:v>
      </x:c>
      <x:c r="N53" s="41" t="n">
        <x:f>MIN(L53,M53)</x:f>
        <x:v>4250</x:v>
      </x:c>
      <x:c r="O53" s="41" t="n">
        <x:f>MAX(L53,M53)</x:f>
        <x:v>12305</x:v>
      </x:c>
      <x:c r="P53" s="41" t="n">
        <x:f>MAX(N53,MIN(K53,O53))</x:f>
        <x:v>8614</x:v>
      </x:c>
      <x:c r="Q53" s="19" t="str">
        <x:f>IF(K53&lt;N53,IF(N53=L53,"clamped_to_nominal","clamped_to_ppp"),IF(K53&gt;O53,IF(O53=L53,"clamped_to_nominal","clamped_to_ppp"),"kept_vanilla"))</x:f>
        <x:v>kept_vanilla</x:v>
      </x:c>
      <x:c r="R53" s="41" t="n">
        <x:f>P53*G53</x:f>
        <x:v>104032604556</x:v>
      </x:c>
      <x:c r="S53" s="41" t="n">
        <x:f>R53/E53</x:f>
        <x:v>104032604556</x:v>
      </x:c>
      <x:c r="T53" s="36" t="str">
        <x:v>BOL: IMF exact 2022</x:v>
      </x:c>
      <x:c r="U53" s="36" t="str">
        <x:v>BOL: IMF exact 2022</x:v>
      </x:c>
      <x:c r="V53" s="36" t="str">
        <x:v>BOL: IMF exact 2022</x:v>
      </x:c>
      <x:c r="W53" s="36" t="str">
        <x:v>complete_primary</x:v>
      </x:c>
      <x:c r="X53" s="36" t="str">
        <x:v>https://api.imf.org/external/sdmx/3.0/data/dataflow/IMF.RES/WEO/9.0.0/</x:v>
      </x:c>
      <x:c r="Y53" s="36" t="str">
        <x:v>https://api.worldbank.org/v2/</x:v>
      </x:c>
    </x:row>
    <x:row r="54">
      <x:c r="A54" s="24" t="str">
        <x:v>BOL</x:v>
      </x:c>
      <x:c r="B54" s="24" t="str">
        <x:v>Bolivia</x:v>
      </x:c>
      <x:c r="C54" s="24" t="str">
        <x:v>BOL</x:v>
      </x:c>
      <x:c r="D54" s="24" t="n">
        <x:v>2026</x:v>
      </x:c>
      <x:c r="E54" s="37" t="n">
        <x:v>0.87</x:v>
      </x:c>
      <x:c r="F54" s="38" t="n">
        <x:v>12749291</x:v>
      </x:c>
      <x:c r="G54" s="38" t="n">
        <x:v>12749291</x:v>
      </x:c>
      <x:c r="H54" s="39" t="n">
        <x:f>G54/F54</x:f>
        <x:v>1</x:v>
      </x:c>
      <x:c r="I54" s="40" t="n">
        <x:v>126806240000</x:v>
      </x:c>
      <x:c r="J54" s="40" t="n">
        <x:v>110321428800</x:v>
      </x:c>
      <x:c r="K54" s="40" t="n">
        <x:v>8653</x:v>
      </x:c>
      <x:c r="L54" s="40" t="n">
        <x:v>5510</x:v>
      </x:c>
      <x:c r="M54" s="40" t="n">
        <x:v>11042</x:v>
      </x:c>
      <x:c r="N54" s="41" t="n">
        <x:f>MIN(L54,M54)</x:f>
        <x:v>5510</x:v>
      </x:c>
      <x:c r="O54" s="41" t="n">
        <x:f>MAX(L54,M54)</x:f>
        <x:v>11042</x:v>
      </x:c>
      <x:c r="P54" s="41" t="n">
        <x:f>MAX(N54,MIN(K54,O54))</x:f>
        <x:v>8653</x:v>
      </x:c>
      <x:c r="Q54" s="19" t="str">
        <x:f>IF(K54&lt;N54,IF(N54=L54,"clamped_to_nominal","clamped_to_ppp"),IF(K54&gt;O54,IF(O54=L54,"clamped_to_nominal","clamped_to_ppp"),"kept_vanilla"))</x:f>
        <x:v>kept_vanilla</x:v>
      </x:c>
      <x:c r="R54" s="41" t="n">
        <x:f>P54*G54</x:f>
        <x:v>110319615023</x:v>
      </x:c>
      <x:c r="S54" s="41" t="n">
        <x:f>R54/E54</x:f>
        <x:v>126804155198.85057</x:v>
      </x:c>
      <x:c r="T54" s="36" t="str">
        <x:v>BOL: IMF exact 2026</x:v>
      </x:c>
      <x:c r="U54" s="36" t="str">
        <x:v>BOL: IMF exact 2026</x:v>
      </x:c>
      <x:c r="V54" s="36" t="str">
        <x:v>BOL: IMF exact 2026</x:v>
      </x:c>
      <x:c r="W54" s="36" t="str">
        <x:v>complete_primary</x:v>
      </x:c>
      <x:c r="X54" s="36" t="str">
        <x:v>https://api.imf.org/external/sdmx/3.0/data/dataflow/IMF.RES/WEO/9.0.0/</x:v>
      </x:c>
      <x:c r="Y54" s="36" t="str">
        <x:v>https://api.worldbank.org/v2/</x:v>
      </x:c>
    </x:row>
    <x:row r="55">
      <x:c r="A55" s="24" t="str">
        <x:v>BSM</x:v>
      </x:c>
      <x:c r="B55" s="24" t="str">
        <x:v>Bosnia and Herzegovina</x:v>
      </x:c>
      <x:c r="C55" s="24" t="str">
        <x:v>BIH</x:v>
      </x:c>
      <x:c r="D55" s="24" t="n">
        <x:v>2003</x:v>
      </x:c>
      <x:c r="E55" s="37" t="n">
        <x:v>1.59</x:v>
      </x:c>
      <x:c r="F55" s="38" t="n">
        <x:v>4178523</x:v>
      </x:c>
      <x:c r="G55" s="38" t="n">
        <x:v>3760000</x:v>
      </x:c>
      <x:c r="H55" s="39" t="n">
        <x:f>G55/F55</x:f>
        <x:v>0.8998394887380062</x:v>
      </x:c>
      <x:c r="I55" s="40" t="n">
        <x:v>13933918129</x:v>
      </x:c>
      <x:c r="J55" s="40" t="n">
        <x:v>22154929825</x:v>
      </x:c>
      <x:c r="K55" s="40" t="n">
        <x:v>5302</x:v>
      </x:c>
      <x:c r="L55" s="40" t="n">
        <x:v>3594</x:v>
      </x:c>
      <x:c r="M55" s="40" t="n">
        <x:v>10383</x:v>
      </x:c>
      <x:c r="N55" s="41" t="n">
        <x:f>MIN(L55,M55)</x:f>
        <x:v>3594</x:v>
      </x:c>
      <x:c r="O55" s="41" t="n">
        <x:f>MAX(L55,M55)</x:f>
        <x:v>10383</x:v>
      </x:c>
      <x:c r="P55" s="41" t="n">
        <x:f>MAX(N55,MIN(K55,O55))</x:f>
        <x:v>5302</x:v>
      </x:c>
      <x:c r="Q55" s="19" t="str">
        <x:f>IF(K55&lt;N55,IF(N55=L55,"clamped_to_nominal","clamped_to_ppp"),IF(K55&gt;O55,IF(O55=L55,"clamped_to_nominal","clamped_to_ppp"),"kept_vanilla"))</x:f>
        <x:v>kept_vanilla</x:v>
      </x:c>
      <x:c r="R55" s="41" t="n">
        <x:f>P55*G55</x:f>
        <x:v>19935520000</x:v>
      </x:c>
      <x:c r="S55" s="41" t="n">
        <x:f>R55/E55</x:f>
        <x:v>12538062893.08176</x:v>
      </x:c>
      <x:c r="T55" s="36" t="str">
        <x:v>BIH: IMF exact 2003</x:v>
      </x:c>
      <x:c r="U55" s="36" t="str">
        <x:v>BIH: IMF exact 2003</x:v>
      </x:c>
      <x:c r="V55" s="36" t="str">
        <x:v>BIH: IMF exact 2003</x:v>
      </x:c>
      <x:c r="W55" s="36" t="str">
        <x:v>complete_primary</x:v>
      </x:c>
      <x:c r="X55" s="36" t="str">
        <x:v>https://api.imf.org/external/sdmx/3.0/data/dataflow/IMF.RES/WEO/9.0.0/</x:v>
      </x:c>
      <x:c r="Y55" s="36" t="str">
        <x:v>https://api.worldbank.org/v2/</x:v>
      </x:c>
    </x:row>
    <x:row r="56">
      <x:c r="A56" s="24" t="str">
        <x:v>BSM</x:v>
      </x:c>
      <x:c r="B56" s="24" t="str">
        <x:v>Bosnia and Herzegovina</x:v>
      </x:c>
      <x:c r="C56" s="24" t="str">
        <x:v>BIH</x:v>
      </x:c>
      <x:c r="D56" s="24" t="n">
        <x:v>2022</x:v>
      </x:c>
      <x:c r="E56" s="37" t="n">
        <x:v>1</x:v>
      </x:c>
      <x:c r="F56" s="38" t="n">
        <x:v>3245671</x:v>
      </x:c>
      <x:c r="G56" s="38" t="n">
        <x:v>3473057</x:v>
      </x:c>
      <x:c r="H56" s="39" t="n">
        <x:f>G56/F56</x:f>
        <x:v>1.0700582406534735</x:v>
      </x:c>
      <x:c r="I56" s="40" t="n">
        <x:v>53397520000</x:v>
      </x:c>
      <x:c r="J56" s="40" t="n">
        <x:v>53397520000</x:v>
      </x:c>
      <x:c r="K56" s="40" t="n">
        <x:v>16452</x:v>
      </x:c>
      <x:c r="L56" s="40" t="n">
        <x:v>7078</x:v>
      </x:c>
      <x:c r="M56" s="40" t="n">
        <x:v>19344</x:v>
      </x:c>
      <x:c r="N56" s="41" t="n">
        <x:f>MIN(L56,M56)</x:f>
        <x:v>7078</x:v>
      </x:c>
      <x:c r="O56" s="41" t="n">
        <x:f>MAX(L56,M56)</x:f>
        <x:v>19344</x:v>
      </x:c>
      <x:c r="P56" s="41" t="n">
        <x:f>MAX(N56,MIN(K56,O56))</x:f>
        <x:v>16452</x:v>
      </x:c>
      <x:c r="Q56" s="19" t="str">
        <x:f>IF(K56&lt;N56,IF(N56=L56,"clamped_to_nominal","clamped_to_ppp"),IF(K56&gt;O56,IF(O56=L56,"clamped_to_nominal","clamped_to_ppp"),"kept_vanilla"))</x:f>
        <x:v>kept_vanilla</x:v>
      </x:c>
      <x:c r="R56" s="41" t="n">
        <x:f>P56*G56</x:f>
        <x:v>57138733764</x:v>
      </x:c>
      <x:c r="S56" s="41" t="n">
        <x:f>R56/E56</x:f>
        <x:v>57138733764</x:v>
      </x:c>
      <x:c r="T56" s="36" t="str">
        <x:v>BIH: IMF exact 2022</x:v>
      </x:c>
      <x:c r="U56" s="36" t="str">
        <x:v>BIH: IMF exact 2022</x:v>
      </x:c>
      <x:c r="V56" s="36" t="str">
        <x:v>BIH: IMF exact 2022</x:v>
      </x:c>
      <x:c r="W56" s="36" t="str">
        <x:v>complete_primary</x:v>
      </x:c>
      <x:c r="X56" s="36" t="str">
        <x:v>https://api.imf.org/external/sdmx/3.0/data/dataflow/IMF.RES/WEO/9.0.0/</x:v>
      </x:c>
      <x:c r="Y56" s="36" t="str">
        <x:v>https://api.worldbank.org/v2/</x:v>
      </x:c>
    </x:row>
    <x:row r="57">
      <x:c r="A57" s="24" t="str">
        <x:v>BSM</x:v>
      </x:c>
      <x:c r="B57" s="24" t="str">
        <x:v>Bosnia and Herzegovina</x:v>
      </x:c>
      <x:c r="C57" s="24" t="str">
        <x:v>BIH</x:v>
      </x:c>
      <x:c r="D57" s="24" t="n">
        <x:v>2026</x:v>
      </x:c>
      <x:c r="E57" s="37" t="n">
        <x:v>0.87</x:v>
      </x:c>
      <x:c r="F57" s="38" t="n">
        <x:v>3114242</x:v>
      </x:c>
      <x:c r="G57" s="38" t="n">
        <x:v>3436173</x:v>
      </x:c>
      <x:c r="H57" s="39" t="n">
        <x:f>G57/F57</x:f>
        <x:v>1.1033737904761416</x:v>
      </x:c>
      <x:c r="I57" s="40" t="n">
        <x:v>69216400000</x:v>
      </x:c>
      <x:c r="J57" s="40" t="n">
        <x:v>60218268000</x:v>
      </x:c>
      <x:c r="K57" s="40" t="n">
        <x:v>19336</x:v>
      </x:c>
      <x:c r="L57" s="40" t="n">
        <x:v>9310</x:v>
      </x:c>
      <x:c r="M57" s="40" t="n">
        <x:v>20987</x:v>
      </x:c>
      <x:c r="N57" s="41" t="n">
        <x:f>MIN(L57,M57)</x:f>
        <x:v>9310</x:v>
      </x:c>
      <x:c r="O57" s="41" t="n">
        <x:f>MAX(L57,M57)</x:f>
        <x:v>20987</x:v>
      </x:c>
      <x:c r="P57" s="41" t="n">
        <x:f>MAX(N57,MIN(K57,O57))</x:f>
        <x:v>19336</x:v>
      </x:c>
      <x:c r="Q57" s="19" t="str">
        <x:f>IF(K57&lt;N57,IF(N57=L57,"clamped_to_nominal","clamped_to_ppp"),IF(K57&gt;O57,IF(O57=L57,"clamped_to_nominal","clamped_to_ppp"),"kept_vanilla"))</x:f>
        <x:v>kept_vanilla</x:v>
      </x:c>
      <x:c r="R57" s="41" t="n">
        <x:f>P57*G57</x:f>
        <x:v>66441841128</x:v>
      </x:c>
      <x:c r="S57" s="41" t="n">
        <x:f>R57/E57</x:f>
        <x:v>76369932331.03448</x:v>
      </x:c>
      <x:c r="T57" s="36" t="str">
        <x:v>BIH: IMF exact 2026</x:v>
      </x:c>
      <x:c r="U57" s="36" t="str">
        <x:v>BIH: IMF exact 2026</x:v>
      </x:c>
      <x:c r="V57" s="36" t="str">
        <x:v>BIH: IMF exact 2026</x:v>
      </x:c>
      <x:c r="W57" s="36" t="str">
        <x:v>complete_primary</x:v>
      </x:c>
      <x:c r="X57" s="36" t="str">
        <x:v>https://api.imf.org/external/sdmx/3.0/data/dataflow/IMF.RES/WEO/9.0.0/</x:v>
      </x:c>
      <x:c r="Y57" s="36" t="str">
        <x:v>https://api.worldbank.org/v2/</x:v>
      </x:c>
    </x:row>
    <x:row r="58">
      <x:c r="A58" s="24" t="str">
        <x:v>BWA</x:v>
      </x:c>
      <x:c r="B58" s="24" t="str">
        <x:v>Botswana</x:v>
      </x:c>
      <x:c r="C58" s="24" t="str">
        <x:v>BWA</x:v>
      </x:c>
      <x:c r="D58" s="24" t="n">
        <x:v>2003</x:v>
      </x:c>
      <x:c r="E58" s="37" t="n">
        <x:v>1.59</x:v>
      </x:c>
      <x:c r="F58" s="38" t="n">
        <x:v>1775736</x:v>
      </x:c>
      <x:c r="G58" s="38" t="n">
        <x:v>1775736</x:v>
      </x:c>
      <x:c r="H58" s="39" t="n">
        <x:f>G58/F58</x:f>
        <x:v>1</x:v>
      </x:c>
      <x:c r="I58" s="40" t="n">
        <x:v>10337426901</x:v>
      </x:c>
      <x:c r="J58" s="40" t="n">
        <x:v>16436508773</x:v>
      </x:c>
      <x:c r="K58" s="40" t="n">
        <x:v>9256</x:v>
      </x:c>
      <x:c r="L58" s="40" t="n">
        <x:v>6688</x:v>
      </x:c>
      <x:c r="M58" s="40" t="n">
        <x:v>15828</x:v>
      </x:c>
      <x:c r="N58" s="41" t="n">
        <x:f>MIN(L58,M58)</x:f>
        <x:v>6688</x:v>
      </x:c>
      <x:c r="O58" s="41" t="n">
        <x:f>MAX(L58,M58)</x:f>
        <x:v>15828</x:v>
      </x:c>
      <x:c r="P58" s="41" t="n">
        <x:f>MAX(N58,MIN(K58,O58))</x:f>
        <x:v>9256</x:v>
      </x:c>
      <x:c r="Q58" s="19" t="str">
        <x:f>IF(K58&lt;N58,IF(N58=L58,"clamped_to_nominal","clamped_to_ppp"),IF(K58&gt;O58,IF(O58=L58,"clamped_to_nominal","clamped_to_ppp"),"kept_vanilla"))</x:f>
        <x:v>kept_vanilla</x:v>
      </x:c>
      <x:c r="R58" s="41" t="n">
        <x:f>P58*G58</x:f>
        <x:v>16436212416</x:v>
      </x:c>
      <x:c r="S58" s="41" t="n">
        <x:f>R58/E58</x:f>
        <x:v>10337240513.207546</x:v>
      </x:c>
      <x:c r="T58" s="36" t="str">
        <x:v>BWA: IMF exact 2003</x:v>
      </x:c>
      <x:c r="U58" s="36" t="str">
        <x:v>BWA: IMF exact 2003</x:v>
      </x:c>
      <x:c r="V58" s="36" t="str">
        <x:v>BWA: IMF exact 2003</x:v>
      </x:c>
      <x:c r="W58" s="36" t="str">
        <x:v>complete_primary</x:v>
      </x:c>
      <x:c r="X58" s="36" t="str">
        <x:v>https://api.imf.org/external/sdmx/3.0/data/dataflow/IMF.RES/WEO/9.0.0/</x:v>
      </x:c>
      <x:c r="Y58" s="36" t="str">
        <x:v>https://api.worldbank.org/v2/</x:v>
      </x:c>
    </x:row>
    <x:row r="59">
      <x:c r="A59" s="24" t="str">
        <x:v>BWA</x:v>
      </x:c>
      <x:c r="B59" s="24" t="str">
        <x:v>Botswana</x:v>
      </x:c>
      <x:c r="C59" s="24" t="str">
        <x:v>BWA</x:v>
      </x:c>
      <x:c r="D59" s="24" t="n">
        <x:v>2022</x:v>
      </x:c>
      <x:c r="E59" s="37" t="n">
        <x:v>1</x:v>
      </x:c>
      <x:c r="F59" s="38" t="n">
        <x:v>2454875</x:v>
      </x:c>
      <x:c r="G59" s="38" t="n">
        <x:v>2439892</x:v>
      </x:c>
      <x:c r="H59" s="39" t="n">
        <x:f>G59/F59</x:f>
        <x:v>0.9938966342481796</x:v>
      </x:c>
      <x:c r="I59" s="40" t="n">
        <x:v>41590560000</x:v>
      </x:c>
      <x:c r="J59" s="40" t="n">
        <x:v>41590560000</x:v>
      </x:c>
      <x:c r="K59" s="40" t="n">
        <x:v>16942</x:v>
      </x:c>
      <x:c r="L59" s="40" t="n">
        <x:v>8329</x:v>
      </x:c>
      <x:c r="M59" s="40" t="n">
        <x:v>19974</x:v>
      </x:c>
      <x:c r="N59" s="41" t="n">
        <x:f>MIN(L59,M59)</x:f>
        <x:v>8329</x:v>
      </x:c>
      <x:c r="O59" s="41" t="n">
        <x:f>MAX(L59,M59)</x:f>
        <x:v>19974</x:v>
      </x:c>
      <x:c r="P59" s="41" t="n">
        <x:f>MAX(N59,MIN(K59,O59))</x:f>
        <x:v>16942</x:v>
      </x:c>
      <x:c r="Q59" s="19" t="str">
        <x:f>IF(K59&lt;N59,IF(N59=L59,"clamped_to_nominal","clamped_to_ppp"),IF(K59&gt;O59,IF(O59=L59,"clamped_to_nominal","clamped_to_ppp"),"kept_vanilla"))</x:f>
        <x:v>kept_vanilla</x:v>
      </x:c>
      <x:c r="R59" s="41" t="n">
        <x:f>P59*G59</x:f>
        <x:v>41336650264</x:v>
      </x:c>
      <x:c r="S59" s="41" t="n">
        <x:f>R59/E59</x:f>
        <x:v>41336650264</x:v>
      </x:c>
      <x:c r="T59" s="36" t="str">
        <x:v>BWA: IMF exact 2022</x:v>
      </x:c>
      <x:c r="U59" s="36" t="str">
        <x:v>BWA: IMF exact 2022</x:v>
      </x:c>
      <x:c r="V59" s="36" t="str">
        <x:v>BWA: IMF exact 2022</x:v>
      </x:c>
      <x:c r="W59" s="36" t="str">
        <x:v>complete_primary</x:v>
      </x:c>
      <x:c r="X59" s="36" t="str">
        <x:v>https://api.imf.org/external/sdmx/3.0/data/dataflow/IMF.RES/WEO/9.0.0/</x:v>
      </x:c>
      <x:c r="Y59" s="36" t="str">
        <x:v>https://api.worldbank.org/v2/</x:v>
      </x:c>
    </x:row>
    <x:row r="60">
      <x:c r="A60" s="24" t="str">
        <x:v>BWA</x:v>
      </x:c>
      <x:c r="B60" s="24" t="str">
        <x:v>Botswana</x:v>
      </x:c>
      <x:c r="C60" s="24" t="str">
        <x:v>BWA</x:v>
      </x:c>
      <x:c r="D60" s="24" t="n">
        <x:v>2026</x:v>
      </x:c>
      <x:c r="E60" s="37" t="n">
        <x:v>0.87</x:v>
      </x:c>
      <x:c r="F60" s="38" t="n">
        <x:v>2603388</x:v>
      </x:c>
      <x:c r="G60" s="38" t="n">
        <x:v>2583946</x:v>
      </x:c>
      <x:c r="H60" s="39" t="n">
        <x:f>G60/F60</x:f>
        <x:v>0.9925320390199233</x:v>
      </x:c>
      <x:c r="I60" s="40" t="n">
        <x:v>46605680000</x:v>
      </x:c>
      <x:c r="J60" s="40" t="n">
        <x:v>40546941600</x:v>
      </x:c>
      <x:c r="K60" s="40" t="n">
        <x:v>15575</x:v>
      </x:c>
      <x:c r="L60" s="40" t="n">
        <x:v>7386</x:v>
      </x:c>
      <x:c r="M60" s="40" t="n">
        <x:v>19174</x:v>
      </x:c>
      <x:c r="N60" s="41" t="n">
        <x:f>MIN(L60,M60)</x:f>
        <x:v>7386</x:v>
      </x:c>
      <x:c r="O60" s="41" t="n">
        <x:f>MAX(L60,M60)</x:f>
        <x:v>19174</x:v>
      </x:c>
      <x:c r="P60" s="41" t="n">
        <x:f>MAX(N60,MIN(K60,O60))</x:f>
        <x:v>15575</x:v>
      </x:c>
      <x:c r="Q60" s="19" t="str">
        <x:f>IF(K60&lt;N60,IF(N60=L60,"clamped_to_nominal","clamped_to_ppp"),IF(K60&gt;O60,IF(O60=L60,"clamped_to_nominal","clamped_to_ppp"),"kept_vanilla"))</x:f>
        <x:v>kept_vanilla</x:v>
      </x:c>
      <x:c r="R60" s="41" t="n">
        <x:f>P60*G60</x:f>
        <x:v>40244958950</x:v>
      </x:c>
      <x:c r="S60" s="41" t="n">
        <x:f>R60/E60</x:f>
        <x:v>46258573505.74712</x:v>
      </x:c>
      <x:c r="T60" s="36" t="str">
        <x:v>BWA: IMF exact 2026</x:v>
      </x:c>
      <x:c r="U60" s="36" t="str">
        <x:v>BWA: IMF exact 2026</x:v>
      </x:c>
      <x:c r="V60" s="36" t="str">
        <x:v>BWA: IMF exact 2026</x:v>
      </x:c>
      <x:c r="W60" s="36" t="str">
        <x:v>complete_primary</x:v>
      </x:c>
      <x:c r="X60" s="36" t="str">
        <x:v>https://api.imf.org/external/sdmx/3.0/data/dataflow/IMF.RES/WEO/9.0.0/</x:v>
      </x:c>
      <x:c r="Y60" s="36" t="str">
        <x:v>https://api.worldbank.org/v2/</x:v>
      </x:c>
    </x:row>
    <x:row r="61">
      <x:c r="A61" s="24" t="str">
        <x:v>BRA</x:v>
      </x:c>
      <x:c r="B61" s="24" t="str">
        <x:v>Brazil</x:v>
      </x:c>
      <x:c r="C61" s="24" t="str">
        <x:v>BRA</x:v>
      </x:c>
      <x:c r="D61" s="24" t="n">
        <x:v>2003</x:v>
      </x:c>
      <x:c r="E61" s="37" t="n">
        <x:v>1.59</x:v>
      </x:c>
      <x:c r="F61" s="38" t="n">
        <x:v>180622688</x:v>
      </x:c>
      <x:c r="G61" s="38" t="n">
        <x:v>181377654</x:v>
      </x:c>
      <x:c r="H61" s="39" t="n">
        <x:f>G61/F61</x:f>
        <x:v>1.0041797960619432</x:v>
      </x:c>
      <x:c r="I61" s="40" t="n">
        <x:v>952711695906</x:v>
      </x:c>
      <x:c r="J61" s="40" t="n">
        <x:v>1514811596491</x:v>
      </x:c>
      <x:c r="K61" s="40" t="n">
        <x:v>8387</x:v>
      </x:c>
      <x:c r="L61" s="40" t="n">
        <x:v>4894</x:v>
      </x:c>
      <x:c r="M61" s="40" t="n">
        <x:v>14281</x:v>
      </x:c>
      <x:c r="N61" s="41" t="n">
        <x:f>MIN(L61,M61)</x:f>
        <x:v>4894</x:v>
      </x:c>
      <x:c r="O61" s="41" t="n">
        <x:f>MAX(L61,M61)</x:f>
        <x:v>14281</x:v>
      </x:c>
      <x:c r="P61" s="41" t="n">
        <x:f>MAX(N61,MIN(K61,O61))</x:f>
        <x:v>8387</x:v>
      </x:c>
      <x:c r="Q61" s="19" t="str">
        <x:f>IF(K61&lt;N61,IF(N61=L61,"clamped_to_nominal","clamped_to_ppp"),IF(K61&gt;O61,IF(O61=L61,"clamped_to_nominal","clamped_to_ppp"),"kept_vanilla"))</x:f>
        <x:v>kept_vanilla</x:v>
      </x:c>
      <x:c r="R61" s="41" t="n">
        <x:f>P61*G61</x:f>
        <x:v>1521214384098</x:v>
      </x:c>
      <x:c r="S61" s="41" t="n">
        <x:f>R61/E61</x:f>
        <x:v>956738606350.9434</x:v>
      </x:c>
      <x:c r="T61" s="36" t="str">
        <x:v>BRA: IMF exact 2003</x:v>
      </x:c>
      <x:c r="U61" s="36" t="str">
        <x:v>BRA: IMF exact 2003</x:v>
      </x:c>
      <x:c r="V61" s="36" t="str">
        <x:v>BRA: IMF exact 2003</x:v>
      </x:c>
      <x:c r="W61" s="36" t="str">
        <x:v>complete_primary</x:v>
      </x:c>
      <x:c r="X61" s="36" t="str">
        <x:v>https://api.imf.org/external/sdmx/3.0/data/dataflow/IMF.RES/WEO/9.0.0/</x:v>
      </x:c>
      <x:c r="Y61" s="36" t="str">
        <x:v>https://api.worldbank.org/v2/</x:v>
      </x:c>
    </x:row>
    <x:row r="62">
      <x:c r="A62" s="24" t="str">
        <x:v>BRA</x:v>
      </x:c>
      <x:c r="B62" s="24" t="str">
        <x:v>Brazil</x:v>
      </x:c>
      <x:c r="C62" s="24" t="str">
        <x:v>BRA</x:v>
      </x:c>
      <x:c r="D62" s="24" t="n">
        <x:v>2022</x:v>
      </x:c>
      <x:c r="E62" s="37" t="n">
        <x:v>1</x:v>
      </x:c>
      <x:c r="F62" s="38" t="n">
        <x:v>215777182</x:v>
      </x:c>
      <x:c r="G62" s="38" t="n">
        <x:v>210862983</x:v>
      </x:c>
      <x:c r="H62" s="39" t="n">
        <x:f>G62/F62</x:f>
        <x:v>0.9772255854189439</x:v>
      </x:c>
      <x:c r="I62" s="40" t="n">
        <x:v>3239228960000</x:v>
      </x:c>
      <x:c r="J62" s="40" t="n">
        <x:v>3239228960000</x:v>
      </x:c>
      <x:c r="K62" s="40" t="n">
        <x:v>15012</x:v>
      </x:c>
      <x:c r="L62" s="40" t="n">
        <x:v>9256</x:v>
      </x:c>
      <x:c r="M62" s="40" t="n">
        <x:v>19821</x:v>
      </x:c>
      <x:c r="N62" s="41" t="n">
        <x:f>MIN(L62,M62)</x:f>
        <x:v>9256</x:v>
      </x:c>
      <x:c r="O62" s="41" t="n">
        <x:f>MAX(L62,M62)</x:f>
        <x:v>19821</x:v>
      </x:c>
      <x:c r="P62" s="41" t="n">
        <x:f>MAX(N62,MIN(K62,O62))</x:f>
        <x:v>15012</x:v>
      </x:c>
      <x:c r="Q62" s="19" t="str">
        <x:f>IF(K62&lt;N62,IF(N62=L62,"clamped_to_nominal","clamped_to_ppp"),IF(K62&gt;O62,IF(O62=L62,"clamped_to_nominal","clamped_to_ppp"),"kept_vanilla"))</x:f>
        <x:v>kept_vanilla</x:v>
      </x:c>
      <x:c r="R62" s="41" t="n">
        <x:f>P62*G62</x:f>
        <x:v>3165475100796</x:v>
      </x:c>
      <x:c r="S62" s="41" t="n">
        <x:f>R62/E62</x:f>
        <x:v>3165475100796</x:v>
      </x:c>
      <x:c r="T62" s="36" t="str">
        <x:v>BRA: IMF exact 2022</x:v>
      </x:c>
      <x:c r="U62" s="36" t="str">
        <x:v>BRA: IMF exact 2022</x:v>
      </x:c>
      <x:c r="V62" s="36" t="str">
        <x:v>BRA: IMF exact 2022</x:v>
      </x:c>
      <x:c r="W62" s="36" t="str">
        <x:v>complete_primary</x:v>
      </x:c>
      <x:c r="X62" s="36" t="str">
        <x:v>https://api.imf.org/external/sdmx/3.0/data/dataflow/IMF.RES/WEO/9.0.0/</x:v>
      </x:c>
      <x:c r="Y62" s="36" t="str">
        <x:v>https://api.worldbank.org/v2/</x:v>
      </x:c>
    </x:row>
    <x:row r="63">
      <x:c r="A63" s="24" t="str">
        <x:v>BRA</x:v>
      </x:c>
      <x:c r="B63" s="24" t="str">
        <x:v>Brazil</x:v>
      </x:c>
      <x:c r="C63" s="24" t="str">
        <x:v>BRA</x:v>
      </x:c>
      <x:c r="D63" s="24" t="n">
        <x:v>2026</x:v>
      </x:c>
      <x:c r="E63" s="37" t="n">
        <x:v>0.87</x:v>
      </x:c>
      <x:c r="F63" s="38" t="n">
        <x:v>213562666</x:v>
      </x:c>
      <x:c r="G63" s="38" t="n">
        <x:v>214082969</x:v>
      </x:c>
      <x:c r="H63" s="39" t="n">
        <x:f>G63/F63</x:f>
        <x:v>1.00243630129622</x:v>
      </x:c>
      <x:c r="I63" s="40" t="n">
        <x:v>4376578800000</x:v>
      </x:c>
      <x:c r="J63" s="40" t="n">
        <x:v>3807623556000</x:v>
      </x:c>
      <x:c r="K63" s="40" t="n">
        <x:v>17829</x:v>
      </x:c>
      <x:c r="L63" s="40" t="n">
        <x:v>10712</x:v>
      </x:c>
      <x:c r="M63" s="40" t="n">
        <x:v>21252</x:v>
      </x:c>
      <x:c r="N63" s="41" t="n">
        <x:f>MIN(L63,M63)</x:f>
        <x:v>10712</x:v>
      </x:c>
      <x:c r="O63" s="41" t="n">
        <x:f>MAX(L63,M63)</x:f>
        <x:v>21252</x:v>
      </x:c>
      <x:c r="P63" s="41" t="n">
        <x:f>MAX(N63,MIN(K63,O63))</x:f>
        <x:v>17829</x:v>
      </x:c>
      <x:c r="Q63" s="19" t="str">
        <x:f>IF(K63&lt;N63,IF(N63=L63,"clamped_to_nominal","clamped_to_ppp"),IF(K63&gt;O63,IF(O63=L63,"clamped_to_nominal","clamped_to_ppp"),"kept_vanilla"))</x:f>
        <x:v>kept_vanilla</x:v>
      </x:c>
      <x:c r="R63" s="41" t="n">
        <x:f>P63*G63</x:f>
        <x:v>3816885254301</x:v>
      </x:c>
      <x:c r="S63" s="41" t="n">
        <x:f>R63/E63</x:f>
        <x:v>4387224430231.0347</x:v>
      </x:c>
      <x:c r="T63" s="36" t="str">
        <x:v>BRA: IMF exact 2026</x:v>
      </x:c>
      <x:c r="U63" s="36" t="str">
        <x:v>BRA: IMF exact 2026</x:v>
      </x:c>
      <x:c r="V63" s="36" t="str">
        <x:v>BRA: IMF exact 2026</x:v>
      </x:c>
      <x:c r="W63" s="36" t="str">
        <x:v>complete_primary</x:v>
      </x:c>
      <x:c r="X63" s="36" t="str">
        <x:v>https://api.imf.org/external/sdmx/3.0/data/dataflow/IMF.RES/WEO/9.0.0/</x:v>
      </x:c>
      <x:c r="Y63" s="36" t="str">
        <x:v>https://api.worldbank.org/v2/</x:v>
      </x:c>
    </x:row>
    <x:row r="64">
      <x:c r="A64" s="24" t="str">
        <x:v>BRU</x:v>
      </x:c>
      <x:c r="B64" s="24" t="str">
        <x:v>Brunei</x:v>
      </x:c>
      <x:c r="C64" s="24" t="str">
        <x:v>BRN</x:v>
      </x:c>
      <x:c r="D64" s="24" t="n">
        <x:v>2003</x:v>
      </x:c>
      <x:c r="E64" s="37" t="n">
        <x:v>1.59</x:v>
      </x:c>
      <x:c r="F64" s="38" t="n">
        <x:v>346637</x:v>
      </x:c>
      <x:c r="G64" s="38" t="n">
        <x:v>346400</x:v>
      </x:c>
      <x:c r="H64" s="39" t="n">
        <x:f>G64/F64</x:f>
        <x:v>0.9993162876438464</x:v>
      </x:c>
      <x:c r="I64" s="40" t="n">
        <x:v>11721052632</x:v>
      </x:c>
      <x:c r="J64" s="40" t="n">
        <x:v>18636473685</x:v>
      </x:c>
      <x:c r="K64" s="40" t="n">
        <x:v>53764</x:v>
      </x:c>
      <x:c r="L64" s="40" t="n">
        <x:v>33351</x:v>
      </x:c>
      <x:c r="M64" s="40" t="n">
        <x:v>98753</x:v>
      </x:c>
      <x:c r="N64" s="41" t="n">
        <x:f>MIN(L64,M64)</x:f>
        <x:v>33351</x:v>
      </x:c>
      <x:c r="O64" s="41" t="n">
        <x:f>MAX(L64,M64)</x:f>
        <x:v>98753</x:v>
      </x:c>
      <x:c r="P64" s="41" t="n">
        <x:f>MAX(N64,MIN(K64,O64))</x:f>
        <x:v>53764</x:v>
      </x:c>
      <x:c r="Q64" s="19" t="str">
        <x:f>IF(K64&lt;N64,IF(N64=L64,"clamped_to_nominal","clamped_to_ppp"),IF(K64&gt;O64,IF(O64=L64,"clamped_to_nominal","clamped_to_ppp"),"kept_vanilla"))</x:f>
        <x:v>kept_vanilla</x:v>
      </x:c>
      <x:c r="R64" s="41" t="n">
        <x:f>P64*G64</x:f>
        <x:v>18623849600</x:v>
      </x:c>
      <x:c r="S64" s="41" t="n">
        <x:f>R64/E64</x:f>
        <x:v>11713112955.974842</x:v>
      </x:c>
      <x:c r="T64" s="36" t="str">
        <x:v>BRN: IMF exact 2003</x:v>
      </x:c>
      <x:c r="U64" s="36" t="str">
        <x:v>BRN: IMF exact 2003</x:v>
      </x:c>
      <x:c r="V64" s="36" t="str">
        <x:v>BRN: IMF exact 2003</x:v>
      </x:c>
      <x:c r="W64" s="36" t="str">
        <x:v>complete_primary</x:v>
      </x:c>
      <x:c r="X64" s="36" t="str">
        <x:v>https://api.imf.org/external/sdmx/3.0/data/dataflow/IMF.RES/WEO/9.0.0/</x:v>
      </x:c>
      <x:c r="Y64" s="36" t="str">
        <x:v>https://api.worldbank.org/v2/</x:v>
      </x:c>
    </x:row>
    <x:row r="65">
      <x:c r="A65" s="24" t="str">
        <x:v>BRU</x:v>
      </x:c>
      <x:c r="B65" s="24" t="str">
        <x:v>Brunei</x:v>
      </x:c>
      <x:c r="C65" s="24" t="str">
        <x:v>BRN</x:v>
      </x:c>
      <x:c r="D65" s="24" t="n">
        <x:v>2022</x:v>
      </x:c>
      <x:c r="E65" s="37" t="n">
        <x:v>1</x:v>
      </x:c>
      <x:c r="F65" s="38" t="n">
        <x:v>446604</x:v>
      </x:c>
      <x:c r="G65" s="38" t="n">
        <x:v>445400</x:v>
      </x:c>
      <x:c r="H65" s="39" t="n">
        <x:f>G65/F65</x:f>
        <x:v>0.9973040993811072</x:v>
      </x:c>
      <x:c r="I65" s="40" t="n">
        <x:v>33389000000</x:v>
      </x:c>
      <x:c r="J65" s="40" t="n">
        <x:v>33389000000</x:v>
      </x:c>
      <x:c r="K65" s="40" t="n">
        <x:v>74762</x:v>
      </x:c>
      <x:c r="L65" s="40" t="n">
        <x:v>37459</x:v>
      </x:c>
      <x:c r="M65" s="40" t="n">
        <x:v>83620</x:v>
      </x:c>
      <x:c r="N65" s="41" t="n">
        <x:f>MIN(L65,M65)</x:f>
        <x:v>37459</x:v>
      </x:c>
      <x:c r="O65" s="41" t="n">
        <x:f>MAX(L65,M65)</x:f>
        <x:v>83620</x:v>
      </x:c>
      <x:c r="P65" s="41" t="n">
        <x:f>MAX(N65,MIN(K65,O65))</x:f>
        <x:v>74762</x:v>
      </x:c>
      <x:c r="Q65" s="19" t="str">
        <x:f>IF(K65&lt;N65,IF(N65=L65,"clamped_to_nominal","clamped_to_ppp"),IF(K65&gt;O65,IF(O65=L65,"clamped_to_nominal","clamped_to_ppp"),"kept_vanilla"))</x:f>
        <x:v>kept_vanilla</x:v>
      </x:c>
      <x:c r="R65" s="41" t="n">
        <x:f>P65*G65</x:f>
        <x:v>33298994800</x:v>
      </x:c>
      <x:c r="S65" s="41" t="n">
        <x:f>R65/E65</x:f>
        <x:v>33298994800</x:v>
      </x:c>
      <x:c r="T65" s="36" t="str">
        <x:v>BRN: IMF exact 2022</x:v>
      </x:c>
      <x:c r="U65" s="36" t="str">
        <x:v>BRN: IMF exact 2022</x:v>
      </x:c>
      <x:c r="V65" s="36" t="str">
        <x:v>BRN: IMF exact 2022</x:v>
      </x:c>
      <x:c r="W65" s="36" t="str">
        <x:v>complete_primary</x:v>
      </x:c>
      <x:c r="X65" s="36" t="str">
        <x:v>https://api.imf.org/external/sdmx/3.0/data/dataflow/IMF.RES/WEO/9.0.0/</x:v>
      </x:c>
      <x:c r="Y65" s="36" t="str">
        <x:v>https://api.worldbank.org/v2/</x:v>
      </x:c>
    </x:row>
    <x:row r="66">
      <x:c r="A66" s="24" t="str">
        <x:v>BRU</x:v>
      </x:c>
      <x:c r="B66" s="24" t="str">
        <x:v>Brunei</x:v>
      </x:c>
      <x:c r="C66" s="24" t="str">
        <x:v>BRN</x:v>
      </x:c>
      <x:c r="D66" s="24" t="n">
        <x:v>2026</x:v>
      </x:c>
      <x:c r="E66" s="37" t="n">
        <x:v>0.87</x:v>
      </x:c>
      <x:c r="F66" s="38" t="n">
        <x:v>469775</x:v>
      </x:c>
      <x:c r="G66" s="38" t="n">
        <x:v>464700</x:v>
      </x:c>
      <x:c r="H66" s="39" t="n">
        <x:f>G66/F66</x:f>
        <x:v>0.9891969559895695</x:v>
      </x:c>
      <x:c r="I66" s="40" t="n">
        <x:v>38573040000</x:v>
      </x:c>
      <x:c r="J66" s="40" t="n">
        <x:v>33558544800</x:v>
      </x:c>
      <x:c r="K66" s="40" t="n">
        <x:v>71435</x:v>
      </x:c>
      <x:c r="L66" s="40" t="n">
        <x:v>31570</x:v>
      </x:c>
      <x:c r="M66" s="40" t="n">
        <x:v>85137</x:v>
      </x:c>
      <x:c r="N66" s="41" t="n">
        <x:f>MIN(L66,M66)</x:f>
        <x:v>31570</x:v>
      </x:c>
      <x:c r="O66" s="41" t="n">
        <x:f>MAX(L66,M66)</x:f>
        <x:v>85137</x:v>
      </x:c>
      <x:c r="P66" s="41" t="n">
        <x:f>MAX(N66,MIN(K66,O66))</x:f>
        <x:v>71435</x:v>
      </x:c>
      <x:c r="Q66" s="19" t="str">
        <x:f>IF(K66&lt;N66,IF(N66=L66,"clamped_to_nominal","clamped_to_ppp"),IF(K66&gt;O66,IF(O66=L66,"clamped_to_nominal","clamped_to_ppp"),"kept_vanilla"))</x:f>
        <x:v>kept_vanilla</x:v>
      </x:c>
      <x:c r="R66" s="41" t="n">
        <x:f>P66*G66</x:f>
        <x:v>33195844500</x:v>
      </x:c>
      <x:c r="S66" s="41" t="n">
        <x:f>R66/E66</x:f>
        <x:v>38156143103.44827</x:v>
      </x:c>
      <x:c r="T66" s="36" t="str">
        <x:v>BRN: IMF exact 2026</x:v>
      </x:c>
      <x:c r="U66" s="36" t="str">
        <x:v>BRN: IMF exact 2026</x:v>
      </x:c>
      <x:c r="V66" s="36" t="str">
        <x:v>BRN: IMF exact 2026</x:v>
      </x:c>
      <x:c r="W66" s="36" t="str">
        <x:v>complete_primary</x:v>
      </x:c>
      <x:c r="X66" s="36" t="str">
        <x:v>https://api.imf.org/external/sdmx/3.0/data/dataflow/IMF.RES/WEO/9.0.0/</x:v>
      </x:c>
      <x:c r="Y66" s="36" t="str">
        <x:v>https://api.worldbank.org/v2/</x:v>
      </x:c>
    </x:row>
    <x:row r="67">
      <x:c r="A67" s="24" t="str">
        <x:v>BUL</x:v>
      </x:c>
      <x:c r="B67" s="24" t="str">
        <x:v>Bulgaria</x:v>
      </x:c>
      <x:c r="C67" s="24" t="str">
        <x:v>BGR</x:v>
      </x:c>
      <x:c r="D67" s="24" t="n">
        <x:v>2003</x:v>
      </x:c>
      <x:c r="E67" s="37" t="n">
        <x:v>1.59</x:v>
      </x:c>
      <x:c r="F67" s="38" t="n">
        <x:v>7804409</x:v>
      </x:c>
      <x:c r="G67" s="38" t="n">
        <x:v>7801273</x:v>
      </x:c>
      <x:c r="H67" s="39" t="n">
        <x:f>G67/F67</x:f>
        <x:v>0.9995981758516244</x:v>
      </x:c>
      <x:c r="I67" s="40" t="n">
        <x:v>44708771930</x:v>
      </x:c>
      <x:c r="J67" s="40" t="n">
        <x:v>71086947369</x:v>
      </x:c>
      <x:c r="K67" s="40" t="n">
        <x:v>9109</x:v>
      </x:c>
      <x:c r="L67" s="40" t="n">
        <x:v>4318</x:v>
      </x:c>
      <x:c r="M67" s="40" t="n">
        <x:v>15582</x:v>
      </x:c>
      <x:c r="N67" s="41" t="n">
        <x:f>MIN(L67,M67)</x:f>
        <x:v>4318</x:v>
      </x:c>
      <x:c r="O67" s="41" t="n">
        <x:f>MAX(L67,M67)</x:f>
        <x:v>15582</x:v>
      </x:c>
      <x:c r="P67" s="41" t="n">
        <x:f>MAX(N67,MIN(K67,O67))</x:f>
        <x:v>9109</x:v>
      </x:c>
      <x:c r="Q67" s="19" t="str">
        <x:f>IF(K67&lt;N67,IF(N67=L67,"clamped_to_nominal","clamped_to_ppp"),IF(K67&gt;O67,IF(O67=L67,"clamped_to_nominal","clamped_to_ppp"),"kept_vanilla"))</x:f>
        <x:v>kept_vanilla</x:v>
      </x:c>
      <x:c r="R67" s="41" t="n">
        <x:f>P67*G67</x:f>
        <x:v>71061795757</x:v>
      </x:c>
      <x:c r="S67" s="41" t="n">
        <x:f>R67/E67</x:f>
        <x:v>44692953306.28931</x:v>
      </x:c>
      <x:c r="T67" s="36" t="str">
        <x:v>BGR: IMF exact 2003</x:v>
      </x:c>
      <x:c r="U67" s="36" t="str">
        <x:v>BGR: IMF exact 2003</x:v>
      </x:c>
      <x:c r="V67" s="36" t="str">
        <x:v>BGR: IMF exact 2003</x:v>
      </x:c>
      <x:c r="W67" s="36" t="str">
        <x:v>complete_primary</x:v>
      </x:c>
      <x:c r="X67" s="36" t="str">
        <x:v>https://api.imf.org/external/sdmx/3.0/data/dataflow/IMF.RES/WEO/9.0.0/</x:v>
      </x:c>
      <x:c r="Y67" s="36" t="str">
        <x:v>https://api.worldbank.org/v2/</x:v>
      </x:c>
    </x:row>
    <x:row r="68">
      <x:c r="A68" s="24" t="str">
        <x:v>BUL</x:v>
      </x:c>
      <x:c r="B68" s="24" t="str">
        <x:v>Bulgaria</x:v>
      </x:c>
      <x:c r="C68" s="24" t="str">
        <x:v>BGR</x:v>
      </x:c>
      <x:c r="D68" s="24" t="n">
        <x:v>2022</x:v>
      </x:c>
      <x:c r="E68" s="37" t="n">
        <x:v>1</x:v>
      </x:c>
      <x:c r="F68" s="38" t="n">
        <x:v>6829004</x:v>
      </x:c>
      <x:c r="G68" s="38" t="n">
        <x:v>6447710</x:v>
      </x:c>
      <x:c r="H68" s="39" t="n">
        <x:f>G68/F68</x:f>
        <x:v>0.9441655034906994</x:v>
      </x:c>
      <x:c r="I68" s="40" t="n">
        <x:v>195399000000</x:v>
      </x:c>
      <x:c r="J68" s="40" t="n">
        <x:v>195399000000</x:v>
      </x:c>
      <x:c r="K68" s="40" t="n">
        <x:v>28613</x:v>
      </x:c>
      <x:c r="L68" s="40" t="n">
        <x:v>14069</x:v>
      </x:c>
      <x:c r="M68" s="40" t="n">
        <x:v>35111</x:v>
      </x:c>
      <x:c r="N68" s="41" t="n">
        <x:f>MIN(L68,M68)</x:f>
        <x:v>14069</x:v>
      </x:c>
      <x:c r="O68" s="41" t="n">
        <x:f>MAX(L68,M68)</x:f>
        <x:v>35111</x:v>
      </x:c>
      <x:c r="P68" s="41" t="n">
        <x:f>MAX(N68,MIN(K68,O68))</x:f>
        <x:v>28613</x:v>
      </x:c>
      <x:c r="Q68" s="19" t="str">
        <x:f>IF(K68&lt;N68,IF(N68=L68,"clamped_to_nominal","clamped_to_ppp"),IF(K68&gt;O68,IF(O68=L68,"clamped_to_nominal","clamped_to_ppp"),"kept_vanilla"))</x:f>
        <x:v>kept_vanilla</x:v>
      </x:c>
      <x:c r="R68" s="41" t="n">
        <x:f>P68*G68</x:f>
        <x:v>184488326230</x:v>
      </x:c>
      <x:c r="S68" s="41" t="n">
        <x:f>R68/E68</x:f>
        <x:v>184488326230</x:v>
      </x:c>
      <x:c r="T68" s="36" t="str">
        <x:v>BGR: IMF exact 2022</x:v>
      </x:c>
      <x:c r="U68" s="36" t="str">
        <x:v>BGR: IMF exact 2022</x:v>
      </x:c>
      <x:c r="V68" s="36" t="str">
        <x:v>BGR: IMF exact 2022</x:v>
      </x:c>
      <x:c r="W68" s="36" t="str">
        <x:v>complete_primary</x:v>
      </x:c>
      <x:c r="X68" s="36" t="str">
        <x:v>https://api.imf.org/external/sdmx/3.0/data/dataflow/IMF.RES/WEO/9.0.0/</x:v>
      </x:c>
      <x:c r="Y68" s="36" t="str">
        <x:v>https://api.worldbank.org/v2/</x:v>
      </x:c>
    </x:row>
    <x:row r="69">
      <x:c r="A69" s="24" t="str">
        <x:v>BUL</x:v>
      </x:c>
      <x:c r="B69" s="24" t="str">
        <x:v>Bulgaria</x:v>
      </x:c>
      <x:c r="C69" s="24" t="str">
        <x:v>BGR</x:v>
      </x:c>
      <x:c r="D69" s="24" t="n">
        <x:v>2026</x:v>
      </x:c>
      <x:c r="E69" s="37" t="n">
        <x:v>0.87</x:v>
      </x:c>
      <x:c r="F69" s="38" t="n">
        <x:v>6667660</x:v>
      </x:c>
      <x:c r="G69" s="38" t="n">
        <x:v>6210925</x:v>
      </x:c>
      <x:c r="H69" s="39" t="n">
        <x:f>G69/F69</x:f>
        <x:v>0.9314999565064805</x:v>
      </x:c>
      <x:c r="I69" s="40" t="n">
        <x:v>232935120000</x:v>
      </x:c>
      <x:c r="J69" s="40" t="n">
        <x:v>202653554400</x:v>
      </x:c>
      <x:c r="K69" s="40" t="n">
        <x:v>30394</x:v>
      </x:c>
      <x:c r="L69" s="40" t="n">
        <x:v>20748</x:v>
      </x:c>
      <x:c r="M69" s="40" t="n">
        <x:v>39709</x:v>
      </x:c>
      <x:c r="N69" s="41" t="n">
        <x:f>MIN(L69,M69)</x:f>
        <x:v>20748</x:v>
      </x:c>
      <x:c r="O69" s="41" t="n">
        <x:f>MAX(L69,M69)</x:f>
        <x:v>39709</x:v>
      </x:c>
      <x:c r="P69" s="41" t="n">
        <x:f>MAX(N69,MIN(K69,O69))</x:f>
        <x:v>30394</x:v>
      </x:c>
      <x:c r="Q69" s="19" t="str">
        <x:f>IF(K69&lt;N69,IF(N69=L69,"clamped_to_nominal","clamped_to_ppp"),IF(K69&gt;O69,IF(O69=L69,"clamped_to_nominal","clamped_to_ppp"),"kept_vanilla"))</x:f>
        <x:v>kept_vanilla</x:v>
      </x:c>
      <x:c r="R69" s="41" t="n">
        <x:f>P69*G69</x:f>
        <x:v>188774854450</x:v>
      </x:c>
      <x:c r="S69" s="41" t="n">
        <x:f>R69/E69</x:f>
        <x:v>216982591321.83908</x:v>
      </x:c>
      <x:c r="T69" s="36" t="str">
        <x:v>BGR: IMF exact 2026</x:v>
      </x:c>
      <x:c r="U69" s="36" t="str">
        <x:v>BGR: IMF exact 2026</x:v>
      </x:c>
      <x:c r="V69" s="36" t="str">
        <x:v>BGR: IMF exact 2026</x:v>
      </x:c>
      <x:c r="W69" s="36" t="str">
        <x:v>complete_primary</x:v>
      </x:c>
      <x:c r="X69" s="36" t="str">
        <x:v>https://api.imf.org/external/sdmx/3.0/data/dataflow/IMF.RES/WEO/9.0.0/</x:v>
      </x:c>
      <x:c r="Y69" s="36" t="str">
        <x:v>https://api.worldbank.org/v2/</x:v>
      </x:c>
    </x:row>
    <x:row r="70">
      <x:c r="A70" s="24" t="str">
        <x:v>BKF</x:v>
      </x:c>
      <x:c r="B70" s="24" t="str">
        <x:v>Burkina Faso</x:v>
      </x:c>
      <x:c r="C70" s="24" t="str">
        <x:v>BFA</x:v>
      </x:c>
      <x:c r="D70" s="24" t="n">
        <x:v>2003</x:v>
      </x:c>
      <x:c r="E70" s="37" t="n">
        <x:v>1.59</x:v>
      </x:c>
      <x:c r="F70" s="38" t="n">
        <x:v>13082532</x:v>
      </x:c>
      <x:c r="G70" s="38" t="n">
        <x:v>13082532</x:v>
      </x:c>
      <x:c r="H70" s="39" t="n">
        <x:f>G70/F70</x:f>
        <x:v>1</x:v>
      </x:c>
      <x:c r="I70" s="40" t="n">
        <x:v>8414035088</x:v>
      </x:c>
      <x:c r="J70" s="40" t="n">
        <x:v>13378315790</x:v>
      </x:c>
      <x:c r="K70" s="40" t="n">
        <x:v>1023</x:v>
      </x:c>
      <x:c r="L70" s="40" t="n">
        <x:v>576</x:v>
      </x:c>
      <x:c r="M70" s="40" t="n">
        <x:v>1749</x:v>
      </x:c>
      <x:c r="N70" s="41" t="n">
        <x:f>MIN(L70,M70)</x:f>
        <x:v>576</x:v>
      </x:c>
      <x:c r="O70" s="41" t="n">
        <x:f>MAX(L70,M70)</x:f>
        <x:v>1749</x:v>
      </x:c>
      <x:c r="P70" s="41" t="n">
        <x:f>MAX(N70,MIN(K70,O70))</x:f>
        <x:v>1023</x:v>
      </x:c>
      <x:c r="Q70" s="19" t="str">
        <x:f>IF(K70&lt;N70,IF(N70=L70,"clamped_to_nominal","clamped_to_ppp"),IF(K70&gt;O70,IF(O70=L70,"clamped_to_nominal","clamped_to_ppp"),"kept_vanilla"))</x:f>
        <x:v>kept_vanilla</x:v>
      </x:c>
      <x:c r="R70" s="41" t="n">
        <x:f>P70*G70</x:f>
        <x:v>13383430236</x:v>
      </x:c>
      <x:c r="S70" s="41" t="n">
        <x:f>R70/E70</x:f>
        <x:v>8417251720.754717</x:v>
      </x:c>
      <x:c r="T70" s="36" t="str">
        <x:v>BFA: IMF exact 2003</x:v>
      </x:c>
      <x:c r="U70" s="36" t="str">
        <x:v>BFA: IMF exact 2003</x:v>
      </x:c>
      <x:c r="V70" s="36" t="str">
        <x:v>BFA: IMF exact 2003</x:v>
      </x:c>
      <x:c r="W70" s="36" t="str">
        <x:v>complete_primary</x:v>
      </x:c>
      <x:c r="X70" s="36" t="str">
        <x:v>https://api.imf.org/external/sdmx/3.0/data/dataflow/IMF.RES/WEO/9.0.0/</x:v>
      </x:c>
      <x:c r="Y70" s="36" t="str">
        <x:v>https://api.worldbank.org/v2/</x:v>
      </x:c>
    </x:row>
    <x:row r="71">
      <x:c r="A71" s="24" t="str">
        <x:v>BKF</x:v>
      </x:c>
      <x:c r="B71" s="24" t="str">
        <x:v>Burkina Faso</x:v>
      </x:c>
      <x:c r="C71" s="24" t="str">
        <x:v>BFA</x:v>
      </x:c>
      <x:c r="D71" s="24" t="n">
        <x:v>2022</x:v>
      </x:c>
      <x:c r="E71" s="37" t="n">
        <x:v>1</x:v>
      </x:c>
      <x:c r="F71" s="38" t="n">
        <x:v>22294537</x:v>
      </x:c>
      <x:c r="G71" s="38" t="n">
        <x:v>22509038</x:v>
      </x:c>
      <x:c r="H71" s="39" t="n">
        <x:f>G71/F71</x:f>
        <x:v>1.0096212359108423</x:v>
      </x:c>
      <x:c r="I71" s="40" t="n">
        <x:v>51906800000</x:v>
      </x:c>
      <x:c r="J71" s="40" t="n">
        <x:v>51906800000</x:v>
      </x:c>
      <x:c r="K71" s="40" t="n">
        <x:v>2328</x:v>
      </x:c>
      <x:c r="L71" s="40" t="n">
        <x:v>829</x:v>
      </x:c>
      <x:c r="M71" s="40" t="n">
        <x:v>2645</x:v>
      </x:c>
      <x:c r="N71" s="41" t="n">
        <x:f>MIN(L71,M71)</x:f>
        <x:v>829</x:v>
      </x:c>
      <x:c r="O71" s="41" t="n">
        <x:f>MAX(L71,M71)</x:f>
        <x:v>2645</x:v>
      </x:c>
      <x:c r="P71" s="41" t="n">
        <x:f>MAX(N71,MIN(K71,O71))</x:f>
        <x:v>2328</x:v>
      </x:c>
      <x:c r="Q71" s="19" t="str">
        <x:f>IF(K71&lt;N71,IF(N71=L71,"clamped_to_nominal","clamped_to_ppp"),IF(K71&gt;O71,IF(O71=L71,"clamped_to_nominal","clamped_to_ppp"),"kept_vanilla"))</x:f>
        <x:v>kept_vanilla</x:v>
      </x:c>
      <x:c r="R71" s="41" t="n">
        <x:f>P71*G71</x:f>
        <x:v>52401040464</x:v>
      </x:c>
      <x:c r="S71" s="41" t="n">
        <x:f>R71/E71</x:f>
        <x:v>52401040464</x:v>
      </x:c>
      <x:c r="T71" s="36" t="str">
        <x:v>BFA: IMF exact 2022</x:v>
      </x:c>
      <x:c r="U71" s="36" t="str">
        <x:v>BFA: IMF exact 2022</x:v>
      </x:c>
      <x:c r="V71" s="36" t="str">
        <x:v>BFA: IMF exact 2022</x:v>
      </x:c>
      <x:c r="W71" s="36" t="str">
        <x:v>complete_primary</x:v>
      </x:c>
      <x:c r="X71" s="36" t="str">
        <x:v>https://api.imf.org/external/sdmx/3.0/data/dataflow/IMF.RES/WEO/9.0.0/</x:v>
      </x:c>
      <x:c r="Y71" s="36" t="str">
        <x:v>https://api.worldbank.org/v2/</x:v>
      </x:c>
    </x:row>
    <x:row r="72">
      <x:c r="A72" s="24" t="str">
        <x:v>BKF</x:v>
      </x:c>
      <x:c r="B72" s="24" t="str">
        <x:v>Burkina Faso</x:v>
      </x:c>
      <x:c r="C72" s="24" t="str">
        <x:v>BFA</x:v>
      </x:c>
      <x:c r="D72" s="24" t="n">
        <x:v>2026</x:v>
      </x:c>
      <x:c r="E72" s="37" t="n">
        <x:v>0.87</x:v>
      </x:c>
      <x:c r="F72" s="38" t="n">
        <x:v>24601700</x:v>
      </x:c>
      <x:c r="G72" s="38" t="n">
        <x:v>24648262</x:v>
      </x:c>
      <x:c r="H72" s="39" t="n">
        <x:f>G72/F72</x:f>
        <x:v>1.0018926334359008</x:v>
      </x:c>
      <x:c r="I72" s="40" t="n">
        <x:v>64081600000</x:v>
      </x:c>
      <x:c r="J72" s="40" t="n">
        <x:v>55750992000</x:v>
      </x:c>
      <x:c r="K72" s="40" t="n">
        <x:v>2266</x:v>
      </x:c>
      <x:c r="L72" s="40" t="n">
        <x:v>1148</x:v>
      </x:c>
      <x:c r="M72" s="40" t="n">
        <x:v>2807</x:v>
      </x:c>
      <x:c r="N72" s="41" t="n">
        <x:f>MIN(L72,M72)</x:f>
        <x:v>1148</x:v>
      </x:c>
      <x:c r="O72" s="41" t="n">
        <x:f>MAX(L72,M72)</x:f>
        <x:v>2807</x:v>
      </x:c>
      <x:c r="P72" s="41" t="n">
        <x:f>MAX(N72,MIN(K72,O72))</x:f>
        <x:v>2266</x:v>
      </x:c>
      <x:c r="Q72" s="19" t="str">
        <x:f>IF(K72&lt;N72,IF(N72=L72,"clamped_to_nominal","clamped_to_ppp"),IF(K72&gt;O72,IF(O72=L72,"clamped_to_nominal","clamped_to_ppp"),"kept_vanilla"))</x:f>
        <x:v>kept_vanilla</x:v>
      </x:c>
      <x:c r="R72" s="41" t="n">
        <x:f>P72*G72</x:f>
        <x:v>55852961692</x:v>
      </x:c>
      <x:c r="S72" s="41" t="n">
        <x:f>R72/E72</x:f>
        <x:v>64198806542.52873</x:v>
      </x:c>
      <x:c r="T72" s="36" t="str">
        <x:v>BFA: IMF exact 2026</x:v>
      </x:c>
      <x:c r="U72" s="36" t="str">
        <x:v>BFA: IMF exact 2026</x:v>
      </x:c>
      <x:c r="V72" s="36" t="str">
        <x:v>BFA: IMF exact 2026</x:v>
      </x:c>
      <x:c r="W72" s="36" t="str">
        <x:v>complete_primary</x:v>
      </x:c>
      <x:c r="X72" s="36" t="str">
        <x:v>https://api.imf.org/external/sdmx/3.0/data/dataflow/IMF.RES/WEO/9.0.0/</x:v>
      </x:c>
      <x:c r="Y72" s="36" t="str">
        <x:v>https://api.worldbank.org/v2/</x:v>
      </x:c>
    </x:row>
    <x:row r="73">
      <x:c r="A73" s="24" t="str">
        <x:v>CPV</x:v>
      </x:c>
      <x:c r="B73" s="24" t="str">
        <x:v>Cabo Verde</x:v>
      </x:c>
      <x:c r="C73" s="24" t="str">
        <x:v>CPV</x:v>
      </x:c>
      <x:c r="D73" s="24" t="n">
        <x:v>2003</x:v>
      </x:c>
      <x:c r="E73" s="37" t="n">
        <x:v>1.59</x:v>
      </x:c>
      <x:c r="F73" s="38" t="n">
        <x:v>473383</x:v>
      </x:c>
      <x:c r="G73" s="38" t="n">
        <x:v>437684</x:v>
      </x:c>
      <x:c r="H73" s="39" t="n">
        <x:f>G73/F73</x:f>
        <x:v>0.9245874904675495</x:v>
      </x:c>
      <x:c r="I73" s="40" t="n">
        <x:v>1044444444</x:v>
      </x:c>
      <x:c r="J73" s="40" t="n">
        <x:v>1660666666</x:v>
      </x:c>
      <x:c r="K73" s="40" t="n">
        <x:v>3508</x:v>
      </x:c>
      <x:c r="L73" s="40" t="n">
        <x:v>4014</x:v>
      </x:c>
      <x:c r="M73" s="40" t="n">
        <x:v>6487</x:v>
      </x:c>
      <x:c r="N73" s="41" t="n">
        <x:f>MIN(L73,M73)</x:f>
        <x:v>4014</x:v>
      </x:c>
      <x:c r="O73" s="41" t="n">
        <x:f>MAX(L73,M73)</x:f>
        <x:v>6487</x:v>
      </x:c>
      <x:c r="P73" s="41" t="n">
        <x:f>MAX(N73,MIN(K73,O73))</x:f>
        <x:v>4014</x:v>
      </x:c>
      <x:c r="Q73" s="19" t="str">
        <x:f>IF(K73&lt;N73,IF(N73=L73,"clamped_to_nominal","clamped_to_ppp"),IF(K73&gt;O73,IF(O73=L73,"clamped_to_nominal","clamped_to_ppp"),"kept_vanilla"))</x:f>
        <x:v>clamped_to_nominal</x:v>
      </x:c>
      <x:c r="R73" s="41" t="n">
        <x:f>P73*G73</x:f>
        <x:v>1756863576</x:v>
      </x:c>
      <x:c r="S73" s="41" t="n">
        <x:f>R73/E73</x:f>
        <x:v>1104945645.2830188</x:v>
      </x:c>
      <x:c r="T73" s="36" t="str">
        <x:v>CPV: IMF exact 2003</x:v>
      </x:c>
      <x:c r="U73" s="36" t="str">
        <x:v>CPV: IMF exact 2003</x:v>
      </x:c>
      <x:c r="V73" s="36" t="str">
        <x:v>CPV: IMF exact 2003</x:v>
      </x:c>
      <x:c r="W73" s="36" t="str">
        <x:v>complete_primary</x:v>
      </x:c>
      <x:c r="X73" s="36" t="str">
        <x:v>https://api.imf.org/external/sdmx/3.0/data/dataflow/IMF.RES/WEO/9.0.0/</x:v>
      </x:c>
      <x:c r="Y73" s="36" t="str">
        <x:v>https://api.worldbank.org/v2/</x:v>
      </x:c>
    </x:row>
    <x:row r="74">
      <x:c r="A74" s="24" t="str">
        <x:v>CPV</x:v>
      </x:c>
      <x:c r="B74" s="24" t="str">
        <x:v>Cabo Verde</x:v>
      </x:c>
      <x:c r="C74" s="24" t="str">
        <x:v>CPV</x:v>
      </x:c>
      <x:c r="D74" s="24" t="n">
        <x:v>2022</x:v>
      </x:c>
      <x:c r="E74" s="37" t="n">
        <x:v>1</x:v>
      </x:c>
      <x:c r="F74" s="38" t="n">
        <x:v>569457</x:v>
      </x:c>
      <x:c r="G74" s="38" t="n">
        <x:v>506595</x:v>
      </x:c>
      <x:c r="H74" s="39" t="n">
        <x:f>G74/F74</x:f>
        <x:v>0.889610629072959</x:v>
      </x:c>
      <x:c r="I74" s="40" t="n">
        <x:v>3883440000</x:v>
      </x:c>
      <x:c r="J74" s="40" t="n">
        <x:v>3883440000</x:v>
      </x:c>
      <x:c r="K74" s="40" t="n">
        <x:v>6820</x:v>
      </x:c>
      <x:c r="L74" s="40" t="n">
        <x:v>4445</x:v>
      </x:c>
      <x:c r="M74" s="40" t="n">
        <x:v>9726</x:v>
      </x:c>
      <x:c r="N74" s="41" t="n">
        <x:f>MIN(L74,M74)</x:f>
        <x:v>4445</x:v>
      </x:c>
      <x:c r="O74" s="41" t="n">
        <x:f>MAX(L74,M74)</x:f>
        <x:v>9726</x:v>
      </x:c>
      <x:c r="P74" s="41" t="n">
        <x:f>MAX(N74,MIN(K74,O74))</x:f>
        <x:v>6820</x:v>
      </x:c>
      <x:c r="Q74" s="19" t="str">
        <x:f>IF(K74&lt;N74,IF(N74=L74,"clamped_to_nominal","clamped_to_ppp"),IF(K74&gt;O74,IF(O74=L74,"clamped_to_nominal","clamped_to_ppp"),"kept_vanilla"))</x:f>
        <x:v>kept_vanilla</x:v>
      </x:c>
      <x:c r="R74" s="41" t="n">
        <x:f>P74*G74</x:f>
        <x:v>3454977900</x:v>
      </x:c>
      <x:c r="S74" s="41" t="n">
        <x:f>R74/E74</x:f>
        <x:v>3454977900</x:v>
      </x:c>
      <x:c r="T74" s="36" t="str">
        <x:v>CPV: IMF exact 2022</x:v>
      </x:c>
      <x:c r="U74" s="36" t="str">
        <x:v>CPV: IMF exact 2022</x:v>
      </x:c>
      <x:c r="V74" s="36" t="str">
        <x:v>CPV: IMF exact 2022</x:v>
      </x:c>
      <x:c r="W74" s="36" t="str">
        <x:v>complete_primary</x:v>
      </x:c>
      <x:c r="X74" s="36" t="str">
        <x:v>https://api.imf.org/external/sdmx/3.0/data/dataflow/IMF.RES/WEO/9.0.0/</x:v>
      </x:c>
      <x:c r="Y74" s="36" t="str">
        <x:v>https://api.worldbank.org/v2/</x:v>
      </x:c>
    </x:row>
    <x:row r="75">
      <x:c r="A75" s="24" t="str">
        <x:v>CPV</x:v>
      </x:c>
      <x:c r="B75" s="24" t="str">
        <x:v>Cabo Verde</x:v>
      </x:c>
      <x:c r="C75" s="24" t="str">
        <x:v>CPV</x:v>
      </x:c>
      <x:c r="D75" s="24" t="n">
        <x:v>2026</x:v>
      </x:c>
      <x:c r="E75" s="37" t="n">
        <x:v>0.87</x:v>
      </x:c>
      <x:c r="F75" s="38" t="n">
        <x:v>529630</x:v>
      </x:c>
      <x:c r="G75" s="38" t="n">
        <x:v>516943</x:v>
      </x:c>
      <x:c r="H75" s="39" t="n">
        <x:f>G75/F75</x:f>
        <x:v>0.9760455412268942</x:v>
      </x:c>
      <x:c r="I75" s="40" t="n">
        <x:v>5543120000</x:v>
      </x:c>
      <x:c r="J75" s="40" t="n">
        <x:v>4822514400</x:v>
      </x:c>
      <x:c r="K75" s="40" t="n">
        <x:v>9105</x:v>
      </x:c>
      <x:c r="L75" s="40" t="n">
        <x:v>5803</x:v>
      </x:c>
      <x:c r="M75" s="40" t="n">
        <x:v>11583</x:v>
      </x:c>
      <x:c r="N75" s="41" t="n">
        <x:f>MIN(L75,M75)</x:f>
        <x:v>5803</x:v>
      </x:c>
      <x:c r="O75" s="41" t="n">
        <x:f>MAX(L75,M75)</x:f>
        <x:v>11583</x:v>
      </x:c>
      <x:c r="P75" s="41" t="n">
        <x:f>MAX(N75,MIN(K75,O75))</x:f>
        <x:v>9105</x:v>
      </x:c>
      <x:c r="Q75" s="19" t="str">
        <x:f>IF(K75&lt;N75,IF(N75=L75,"clamped_to_nominal","clamped_to_ppp"),IF(K75&gt;O75,IF(O75=L75,"clamped_to_nominal","clamped_to_ppp"),"kept_vanilla"))</x:f>
        <x:v>kept_vanilla</x:v>
      </x:c>
      <x:c r="R75" s="41" t="n">
        <x:f>P75*G75</x:f>
        <x:v>4706766015</x:v>
      </x:c>
      <x:c r="S75" s="41" t="n">
        <x:f>R75/E75</x:f>
        <x:v>5410075879.310345</x:v>
      </x:c>
      <x:c r="T75" s="36" t="str">
        <x:v>CPV: IMF exact 2026</x:v>
      </x:c>
      <x:c r="U75" s="36" t="str">
        <x:v>CPV: IMF exact 2026</x:v>
      </x:c>
      <x:c r="V75" s="36" t="str">
        <x:v>CPV: IMF exact 2026</x:v>
      </x:c>
      <x:c r="W75" s="36" t="str">
        <x:v>complete_primary</x:v>
      </x:c>
      <x:c r="X75" s="36" t="str">
        <x:v>https://api.imf.org/external/sdmx/3.0/data/dataflow/IMF.RES/WEO/9.0.0/</x:v>
      </x:c>
      <x:c r="Y75" s="36" t="str">
        <x:v>https://api.worldbank.org/v2/</x:v>
      </x:c>
    </x:row>
    <x:row r="76">
      <x:c r="A76" s="24" t="str">
        <x:v>KHM</x:v>
      </x:c>
      <x:c r="B76" s="24" t="str">
        <x:v>Cambodia</x:v>
      </x:c>
      <x:c r="C76" s="24" t="str">
        <x:v>KHM</x:v>
      </x:c>
      <x:c r="D76" s="24" t="n">
        <x:v>2003</x:v>
      </x:c>
      <x:c r="E76" s="37" t="n">
        <x:v>1.59</x:v>
      </x:c>
      <x:c r="F76" s="38" t="n">
        <x:v>13050968</x:v>
      </x:c>
      <x:c r="G76" s="38" t="n">
        <x:v>13050968</x:v>
      </x:c>
      <x:c r="H76" s="39" t="n">
        <x:f>G76/F76</x:f>
        <x:v>1</x:v>
      </x:c>
      <x:c r="I76" s="40" t="n">
        <x:v>12172514620</x:v>
      </x:c>
      <x:c r="J76" s="40" t="n">
        <x:v>19354298246</x:v>
      </x:c>
      <x:c r="K76" s="40" t="n">
        <x:v>1483</x:v>
      </x:c>
      <x:c r="L76" s="40" t="n">
        <x:v>618</x:v>
      </x:c>
      <x:c r="M76" s="40" t="n">
        <x:v>2484</x:v>
      </x:c>
      <x:c r="N76" s="41" t="n">
        <x:f>MIN(L76,M76)</x:f>
        <x:v>618</x:v>
      </x:c>
      <x:c r="O76" s="41" t="n">
        <x:f>MAX(L76,M76)</x:f>
        <x:v>2484</x:v>
      </x:c>
      <x:c r="P76" s="41" t="n">
        <x:f>MAX(N76,MIN(K76,O76))</x:f>
        <x:v>1483</x:v>
      </x:c>
      <x:c r="Q76" s="19" t="str">
        <x:f>IF(K76&lt;N76,IF(N76=L76,"clamped_to_nominal","clamped_to_ppp"),IF(K76&gt;O76,IF(O76=L76,"clamped_to_nominal","clamped_to_ppp"),"kept_vanilla"))</x:f>
        <x:v>kept_vanilla</x:v>
      </x:c>
      <x:c r="R76" s="41" t="n">
        <x:f>P76*G76</x:f>
        <x:v>19354585544</x:v>
      </x:c>
      <x:c r="S76" s="41" t="n">
        <x:f>R76/E76</x:f>
        <x:v>12172695310.691824</x:v>
      </x:c>
      <x:c r="T76" s="36" t="str">
        <x:v>KHM: IMF exact 2003</x:v>
      </x:c>
      <x:c r="U76" s="36" t="str">
        <x:v>KHM: IMF exact 2003</x:v>
      </x:c>
      <x:c r="V76" s="36" t="str">
        <x:v>KHM: IMF exact 2003</x:v>
      </x:c>
      <x:c r="W76" s="36" t="str">
        <x:v>complete_primary</x:v>
      </x:c>
      <x:c r="X76" s="36" t="str">
        <x:v>https://api.imf.org/external/sdmx/3.0/data/dataflow/IMF.RES/WEO/9.0.0/</x:v>
      </x:c>
      <x:c r="Y76" s="36" t="str">
        <x:v>https://api.worldbank.org/v2/</x:v>
      </x:c>
    </x:row>
    <x:row r="77">
      <x:c r="A77" s="24" t="str">
        <x:v>KHM</x:v>
      </x:c>
      <x:c r="B77" s="24" t="str">
        <x:v>Cambodia</x:v>
      </x:c>
      <x:c r="C77" s="24" t="str">
        <x:v>KHM</x:v>
      </x:c>
      <x:c r="D77" s="24" t="n">
        <x:v>2022</x:v>
      </x:c>
      <x:c r="E77" s="37" t="n">
        <x:v>1</x:v>
      </x:c>
      <x:c r="F77" s="38" t="n">
        <x:v>17237584</x:v>
      </x:c>
      <x:c r="G77" s="38" t="n">
        <x:v>17201724</x:v>
      </x:c>
      <x:c r="H77" s="39" t="n">
        <x:f>G77/F77</x:f>
        <x:v>0.9979196620593698</x:v>
      </x:c>
      <x:c r="I77" s="40" t="n">
        <x:v>77313280000</x:v>
      </x:c>
      <x:c r="J77" s="40" t="n">
        <x:v>77313280000</x:v>
      </x:c>
      <x:c r="K77" s="40" t="n">
        <x:v>4485</x:v>
      </x:c>
      <x:c r="L77" s="40" t="n">
        <x:v>2294</x:v>
      </x:c>
      <x:c r="M77" s="40" t="n">
        <x:v>6824</x:v>
      </x:c>
      <x:c r="N77" s="41" t="n">
        <x:f>MIN(L77,M77)</x:f>
        <x:v>2294</x:v>
      </x:c>
      <x:c r="O77" s="41" t="n">
        <x:f>MAX(L77,M77)</x:f>
        <x:v>6824</x:v>
      </x:c>
      <x:c r="P77" s="41" t="n">
        <x:f>MAX(N77,MIN(K77,O77))</x:f>
        <x:v>4485</x:v>
      </x:c>
      <x:c r="Q77" s="19" t="str">
        <x:f>IF(K77&lt;N77,IF(N77=L77,"clamped_to_nominal","clamped_to_ppp"),IF(K77&gt;O77,IF(O77=L77,"clamped_to_nominal","clamped_to_ppp"),"kept_vanilla"))</x:f>
        <x:v>kept_vanilla</x:v>
      </x:c>
      <x:c r="R77" s="41" t="n">
        <x:f>P77*G77</x:f>
        <x:v>77149732140</x:v>
      </x:c>
      <x:c r="S77" s="41" t="n">
        <x:f>R77/E77</x:f>
        <x:v>77149732140</x:v>
      </x:c>
      <x:c r="T77" s="36" t="str">
        <x:v>KHM: IMF exact 2022</x:v>
      </x:c>
      <x:c r="U77" s="36" t="str">
        <x:v>KHM: IMF exact 2022</x:v>
      </x:c>
      <x:c r="V77" s="36" t="str">
        <x:v>KHM: IMF exact 2022</x:v>
      </x:c>
      <x:c r="W77" s="36" t="str">
        <x:v>complete_primary</x:v>
      </x:c>
      <x:c r="X77" s="36" t="str">
        <x:v>https://api.imf.org/external/sdmx/3.0/data/dataflow/IMF.RES/WEO/9.0.0/</x:v>
      </x:c>
      <x:c r="Y77" s="36" t="str">
        <x:v>https://api.worldbank.org/v2/</x:v>
      </x:c>
    </x:row>
    <x:row r="78">
      <x:c r="A78" s="24" t="str">
        <x:v>KHM</x:v>
      </x:c>
      <x:c r="B78" s="24" t="str">
        <x:v>Cambodia</x:v>
      </x:c>
      <x:c r="C78" s="24" t="str">
        <x:v>KHM</x:v>
      </x:c>
      <x:c r="D78" s="24" t="n">
        <x:v>2026</x:v>
      </x:c>
      <x:c r="E78" s="37" t="n">
        <x:v>0.87</x:v>
      </x:c>
      <x:c r="F78" s="38" t="n">
        <x:v>18051220</x:v>
      </x:c>
      <x:c r="G78" s="38" t="n">
        <x:v>18051220</x:v>
      </x:c>
      <x:c r="H78" s="39" t="n">
        <x:f>G78/F78</x:f>
        <x:v>1</x:v>
      </x:c>
      <x:c r="I78" s="40" t="n">
        <x:v>132041360000</x:v>
      </x:c>
      <x:c r="J78" s="40" t="n">
        <x:v>114875983200</x:v>
      </x:c>
      <x:c r="K78" s="40" t="n">
        <x:v>6364</x:v>
      </x:c>
      <x:c r="L78" s="40" t="n">
        <x:v>2524</x:v>
      </x:c>
      <x:c r="M78" s="40" t="n">
        <x:v>7735</x:v>
      </x:c>
      <x:c r="N78" s="41" t="n">
        <x:f>MIN(L78,M78)</x:f>
        <x:v>2524</x:v>
      </x:c>
      <x:c r="O78" s="41" t="n">
        <x:f>MAX(L78,M78)</x:f>
        <x:v>7735</x:v>
      </x:c>
      <x:c r="P78" s="41" t="n">
        <x:f>MAX(N78,MIN(K78,O78))</x:f>
        <x:v>6364</x:v>
      </x:c>
      <x:c r="Q78" s="19" t="str">
        <x:f>IF(K78&lt;N78,IF(N78=L78,"clamped_to_nominal","clamped_to_ppp"),IF(K78&gt;O78,IF(O78=L78,"clamped_to_nominal","clamped_to_ppp"),"kept_vanilla"))</x:f>
        <x:v>kept_vanilla</x:v>
      </x:c>
      <x:c r="R78" s="41" t="n">
        <x:f>P78*G78</x:f>
        <x:v>114877964080</x:v>
      </x:c>
      <x:c r="S78" s="41" t="n">
        <x:f>R78/E78</x:f>
        <x:v>132043636873.56322</x:v>
      </x:c>
      <x:c r="T78" s="36" t="str">
        <x:v>KHM: IMF exact 2026</x:v>
      </x:c>
      <x:c r="U78" s="36" t="str">
        <x:v>KHM: IMF exact 2026</x:v>
      </x:c>
      <x:c r="V78" s="36" t="str">
        <x:v>KHM: IMF exact 2026</x:v>
      </x:c>
      <x:c r="W78" s="36" t="str">
        <x:v>complete_primary</x:v>
      </x:c>
      <x:c r="X78" s="36" t="str">
        <x:v>https://api.imf.org/external/sdmx/3.0/data/dataflow/IMF.RES/WEO/9.0.0/</x:v>
      </x:c>
      <x:c r="Y78" s="36" t="str">
        <x:v>https://api.worldbank.org/v2/</x:v>
      </x:c>
    </x:row>
    <x:row r="79">
      <x:c r="A79" s="24" t="str">
        <x:v>CMR</x:v>
      </x:c>
      <x:c r="B79" s="24" t="str">
        <x:v>Cameroon</x:v>
      </x:c>
      <x:c r="C79" s="24" t="str">
        <x:v>CMR</x:v>
      </x:c>
      <x:c r="D79" s="24" t="n">
        <x:v>2003</x:v>
      </x:c>
      <x:c r="E79" s="37" t="n">
        <x:v>1.59</x:v>
      </x:c>
      <x:c r="F79" s="38" t="n">
        <x:v>16160340</x:v>
      </x:c>
      <x:c r="G79" s="38" t="n">
        <x:v>16160340</x:v>
      </x:c>
      <x:c r="H79" s="39" t="n">
        <x:f>G79/F79</x:f>
        <x:v>1</x:v>
      </x:c>
      <x:c r="I79" s="40" t="n">
        <x:v>23624561404</x:v>
      </x:c>
      <x:c r="J79" s="40" t="n">
        <x:v>37563052632</x:v>
      </x:c>
      <x:c r="K79" s="40" t="n">
        <x:v>2324</x:v>
      </x:c>
      <x:c r="L79" s="40" t="n">
        <x:v>1569</x:v>
      </x:c>
      <x:c r="M79" s="40" t="n">
        <x:v>3898</x:v>
      </x:c>
      <x:c r="N79" s="41" t="n">
        <x:f>MIN(L79,M79)</x:f>
        <x:v>1569</x:v>
      </x:c>
      <x:c r="O79" s="41" t="n">
        <x:f>MAX(L79,M79)</x:f>
        <x:v>3898</x:v>
      </x:c>
      <x:c r="P79" s="41" t="n">
        <x:f>MAX(N79,MIN(K79,O79))</x:f>
        <x:v>2324</x:v>
      </x:c>
      <x:c r="Q79" s="19" t="str">
        <x:f>IF(K79&lt;N79,IF(N79=L79,"clamped_to_nominal","clamped_to_ppp"),IF(K79&gt;O79,IF(O79=L79,"clamped_to_nominal","clamped_to_ppp"),"kept_vanilla"))</x:f>
        <x:v>kept_vanilla</x:v>
      </x:c>
      <x:c r="R79" s="41" t="n">
        <x:f>P79*G79</x:f>
        <x:v>37556630160</x:v>
      </x:c>
      <x:c r="S79" s="41" t="n">
        <x:f>R79/E79</x:f>
        <x:v>23620522113.207546</x:v>
      </x:c>
      <x:c r="T79" s="36" t="str">
        <x:v>CMR: IMF exact 2003</x:v>
      </x:c>
      <x:c r="U79" s="36" t="str">
        <x:v>CMR: IMF exact 2003</x:v>
      </x:c>
      <x:c r="V79" s="36" t="str">
        <x:v>CMR: IMF exact 2003</x:v>
      </x:c>
      <x:c r="W79" s="36" t="str">
        <x:v>complete_primary</x:v>
      </x:c>
      <x:c r="X79" s="36" t="str">
        <x:v>https://api.imf.org/external/sdmx/3.0/data/dataflow/IMF.RES/WEO/9.0.0/</x:v>
      </x:c>
      <x:c r="Y79" s="36" t="str">
        <x:v>https://api.worldbank.org/v2/</x:v>
      </x:c>
    </x:row>
    <x:row r="80">
      <x:c r="A80" s="24" t="str">
        <x:v>CMR</x:v>
      </x:c>
      <x:c r="B80" s="24" t="str">
        <x:v>Cameroon</x:v>
      </x:c>
      <x:c r="C80" s="24" t="str">
        <x:v>CMR</x:v>
      </x:c>
      <x:c r="D80" s="24" t="n">
        <x:v>2022</x:v>
      </x:c>
      <x:c r="E80" s="37" t="n">
        <x:v>1</x:v>
      </x:c>
      <x:c r="F80" s="38" t="n">
        <x:v>28127452</x:v>
      </x:c>
      <x:c r="G80" s="38" t="n">
        <x:v>27632772</x:v>
      </x:c>
      <x:c r="H80" s="39" t="n">
        <x:f>G80/F80</x:f>
        <x:v>0.9824129110592741</x:v>
      </x:c>
      <x:c r="I80" s="40" t="n">
        <x:v>108032320000</x:v>
      </x:c>
      <x:c r="J80" s="40" t="n">
        <x:v>108032320000</x:v>
      </x:c>
      <x:c r="K80" s="40" t="n">
        <x:v>3841</x:v>
      </x:c>
      <x:c r="L80" s="40" t="n">
        <x:v>1608</x:v>
      </x:c>
      <x:c r="M80" s="40" t="n">
        <x:v>5188</x:v>
      </x:c>
      <x:c r="N80" s="41" t="n">
        <x:f>MIN(L80,M80)</x:f>
        <x:v>1608</x:v>
      </x:c>
      <x:c r="O80" s="41" t="n">
        <x:f>MAX(L80,M80)</x:f>
        <x:v>5188</x:v>
      </x:c>
      <x:c r="P80" s="41" t="n">
        <x:f>MAX(N80,MIN(K80,O80))</x:f>
        <x:v>3841</x:v>
      </x:c>
      <x:c r="Q80" s="19" t="str">
        <x:f>IF(K80&lt;N80,IF(N80=L80,"clamped_to_nominal","clamped_to_ppp"),IF(K80&gt;O80,IF(O80=L80,"clamped_to_nominal","clamped_to_ppp"),"kept_vanilla"))</x:f>
        <x:v>kept_vanilla</x:v>
      </x:c>
      <x:c r="R80" s="41" t="n">
        <x:f>P80*G80</x:f>
        <x:v>106137477252</x:v>
      </x:c>
      <x:c r="S80" s="41" t="n">
        <x:f>R80/E80</x:f>
        <x:v>106137477252</x:v>
      </x:c>
      <x:c r="T80" s="36" t="str">
        <x:v>CMR: IMF exact 2022</x:v>
      </x:c>
      <x:c r="U80" s="36" t="str">
        <x:v>CMR: IMF exact 2022</x:v>
      </x:c>
      <x:c r="V80" s="36" t="str">
        <x:v>CMR: IMF exact 2022</x:v>
      </x:c>
      <x:c r="W80" s="36" t="str">
        <x:v>complete_primary</x:v>
      </x:c>
      <x:c r="X80" s="36" t="str">
        <x:v>https://api.imf.org/external/sdmx/3.0/data/dataflow/IMF.RES/WEO/9.0.0/</x:v>
      </x:c>
      <x:c r="Y80" s="36" t="str">
        <x:v>https://api.worldbank.org/v2/</x:v>
      </x:c>
    </x:row>
    <x:row r="81">
      <x:c r="A81" s="24" t="str">
        <x:v>CMR</x:v>
      </x:c>
      <x:c r="B81" s="24" t="str">
        <x:v>Cameroon</x:v>
      </x:c>
      <x:c r="C81" s="24" t="str">
        <x:v>CMR</x:v>
      </x:c>
      <x:c r="D81" s="24" t="n">
        <x:v>2026</x:v>
      </x:c>
      <x:c r="E81" s="37" t="n">
        <x:v>0.87</x:v>
      </x:c>
      <x:c r="F81" s="38" t="n">
        <x:v>30640817</x:v>
      </x:c>
      <x:c r="G81" s="38" t="n">
        <x:v>30645570</x:v>
      </x:c>
      <x:c r="H81" s="39" t="n">
        <x:f>G81/F81</x:f>
        <x:v>1.000155119884695</x:v>
      </x:c>
      <x:c r="I81" s="40" t="n">
        <x:v>152217120000</x:v>
      </x:c>
      <x:c r="J81" s="40" t="n">
        <x:v>132428894400</x:v>
      </x:c>
      <x:c r="K81" s="40" t="n">
        <x:v>4322</x:v>
      </x:c>
      <x:c r="L81" s="40" t="n">
        <x:v>1849</x:v>
      </x:c>
      <x:c r="M81" s="40" t="n">
        <x:v>5214</x:v>
      </x:c>
      <x:c r="N81" s="41" t="n">
        <x:f>MIN(L81,M81)</x:f>
        <x:v>1849</x:v>
      </x:c>
      <x:c r="O81" s="41" t="n">
        <x:f>MAX(L81,M81)</x:f>
        <x:v>5214</x:v>
      </x:c>
      <x:c r="P81" s="41" t="n">
        <x:f>MAX(N81,MIN(K81,O81))</x:f>
        <x:v>4322</x:v>
      </x:c>
      <x:c r="Q81" s="19" t="str">
        <x:f>IF(K81&lt;N81,IF(N81=L81,"clamped_to_nominal","clamped_to_ppp"),IF(K81&gt;O81,IF(O81=L81,"clamped_to_nominal","clamped_to_ppp"),"kept_vanilla"))</x:f>
        <x:v>kept_vanilla</x:v>
      </x:c>
      <x:c r="R81" s="41" t="n">
        <x:f>P81*G81</x:f>
        <x:v>132450153540</x:v>
      </x:c>
      <x:c r="S81" s="41" t="n">
        <x:f>R81/E81</x:f>
        <x:v>152241555793.10345</x:v>
      </x:c>
      <x:c r="T81" s="36" t="str">
        <x:v>CMR: IMF exact 2026</x:v>
      </x:c>
      <x:c r="U81" s="36" t="str">
        <x:v>CMR: IMF exact 2026</x:v>
      </x:c>
      <x:c r="V81" s="36" t="str">
        <x:v>CMR: IMF exact 2026</x:v>
      </x:c>
      <x:c r="W81" s="36" t="str">
        <x:v>complete_primary</x:v>
      </x:c>
      <x:c r="X81" s="36" t="str">
        <x:v>https://api.imf.org/external/sdmx/3.0/data/dataflow/IMF.RES/WEO/9.0.0/</x:v>
      </x:c>
      <x:c r="Y81" s="36" t="str">
        <x:v>https://api.worldbank.org/v2/</x:v>
      </x:c>
    </x:row>
    <x:row r="82">
      <x:c r="A82" s="24" t="str">
        <x:v>CAN</x:v>
      </x:c>
      <x:c r="B82" s="24" t="str">
        <x:v>Canada</x:v>
      </x:c>
      <x:c r="C82" s="24" t="str">
        <x:v>CAN</x:v>
      </x:c>
      <x:c r="D82" s="24" t="n">
        <x:v>2003</x:v>
      </x:c>
      <x:c r="E82" s="37" t="n">
        <x:v>1.59</x:v>
      </x:c>
      <x:c r="F82" s="38" t="n">
        <x:v>31836482</x:v>
      </x:c>
      <x:c r="G82" s="38" t="n">
        <x:v>31601840</x:v>
      </x:c>
      <x:c r="H82" s="39" t="n">
        <x:f>G82/F82</x:f>
        <x:v>0.9926297761165948</x:v>
      </x:c>
      <x:c r="I82" s="40" t="n">
        <x:v>609781871345</x:v>
      </x:c>
      <x:c r="J82" s="40" t="n">
        <x:v>969553175439</x:v>
      </x:c>
      <x:c r="K82" s="40" t="n">
        <x:v>30454</x:v>
      </x:c>
      <x:c r="L82" s="40" t="n">
        <x:v>45061</x:v>
      </x:c>
      <x:c r="M82" s="40" t="n">
        <x:v>52463</x:v>
      </x:c>
      <x:c r="N82" s="41" t="n">
        <x:f>MIN(L82,M82)</x:f>
        <x:v>45061</x:v>
      </x:c>
      <x:c r="O82" s="41" t="n">
        <x:f>MAX(L82,M82)</x:f>
        <x:v>52463</x:v>
      </x:c>
      <x:c r="P82" s="41" t="n">
        <x:f>MAX(N82,MIN(K82,O82))</x:f>
        <x:v>45061</x:v>
      </x:c>
      <x:c r="Q82" s="19" t="str">
        <x:f>IF(K82&lt;N82,IF(N82=L82,"clamped_to_nominal","clamped_to_ppp"),IF(K82&gt;O82,IF(O82=L82,"clamped_to_nominal","clamped_to_ppp"),"kept_vanilla"))</x:f>
        <x:v>clamped_to_nominal</x:v>
      </x:c>
      <x:c r="R82" s="41" t="n">
        <x:f>P82*G82</x:f>
        <x:v>1424010512240</x:v>
      </x:c>
      <x:c r="S82" s="41" t="n">
        <x:f>R82/E82</x:f>
        <x:v>895604095748.4276</x:v>
      </x:c>
      <x:c r="T82" s="36" t="str">
        <x:v>CAN: IMF exact 2003</x:v>
      </x:c>
      <x:c r="U82" s="36" t="str">
        <x:v>CAN: IMF exact 2003</x:v>
      </x:c>
      <x:c r="V82" s="36" t="str">
        <x:v>CAN: IMF exact 2003</x:v>
      </x:c>
      <x:c r="W82" s="36" t="str">
        <x:v>complete_primary</x:v>
      </x:c>
      <x:c r="X82" s="36" t="str">
        <x:v>https://api.imf.org/external/sdmx/3.0/data/dataflow/IMF.RES/WEO/9.0.0/</x:v>
      </x:c>
      <x:c r="Y82" s="36" t="str">
        <x:v>https://api.worldbank.org/v2/</x:v>
      </x:c>
    </x:row>
    <x:row r="83">
      <x:c r="A83" s="24" t="str">
        <x:v>CAN</x:v>
      </x:c>
      <x:c r="B83" s="24" t="str">
        <x:v>Canada</x:v>
      </x:c>
      <x:c r="C83" s="24" t="str">
        <x:v>CAN</x:v>
      </x:c>
      <x:c r="D83" s="24" t="n">
        <x:v>2022</x:v>
      </x:c>
      <x:c r="E83" s="37" t="n">
        <x:v>1</x:v>
      </x:c>
      <x:c r="F83" s="38" t="n">
        <x:v>38939056</x:v>
      </x:c>
      <x:c r="G83" s="38" t="n">
        <x:v>38873253</x:v>
      </x:c>
      <x:c r="H83" s="39" t="n">
        <x:f>G83/F83</x:f>
        <x:v>0.9983101028437875</x:v>
      </x:c>
      <x:c r="I83" s="40" t="n">
        <x:v>1968496640000</x:v>
      </x:c>
      <x:c r="J83" s="40" t="n">
        <x:v>1968496640000</x:v>
      </x:c>
      <x:c r="K83" s="40" t="n">
        <x:v>50553</x:v>
      </x:c>
      <x:c r="L83" s="40" t="n">
        <x:v>56609</x:v>
      </x:c>
      <x:c r="M83" s="40" t="n">
        <x:v>61992</x:v>
      </x:c>
      <x:c r="N83" s="41" t="n">
        <x:f>MIN(L83,M83)</x:f>
        <x:v>56609</x:v>
      </x:c>
      <x:c r="O83" s="41" t="n">
        <x:f>MAX(L83,M83)</x:f>
        <x:v>61992</x:v>
      </x:c>
      <x:c r="P83" s="41" t="n">
        <x:f>MAX(N83,MIN(K83,O83))</x:f>
        <x:v>56609</x:v>
      </x:c>
      <x:c r="Q83" s="19" t="str">
        <x:f>IF(K83&lt;N83,IF(N83=L83,"clamped_to_nominal","clamped_to_ppp"),IF(K83&gt;O83,IF(O83=L83,"clamped_to_nominal","clamped_to_ppp"),"kept_vanilla"))</x:f>
        <x:v>clamped_to_nominal</x:v>
      </x:c>
      <x:c r="R83" s="41" t="n">
        <x:f>P83*G83</x:f>
        <x:v>2200575979077</x:v>
      </x:c>
      <x:c r="S83" s="41" t="n">
        <x:f>R83/E83</x:f>
        <x:v>2200575979077</x:v>
      </x:c>
      <x:c r="T83" s="36" t="str">
        <x:v>CAN: IMF exact 2022</x:v>
      </x:c>
      <x:c r="U83" s="36" t="str">
        <x:v>CAN: IMF exact 2022</x:v>
      </x:c>
      <x:c r="V83" s="36" t="str">
        <x:v>CAN: IMF exact 2022</x:v>
      </x:c>
      <x:c r="W83" s="36" t="str">
        <x:v>complete_primary</x:v>
      </x:c>
      <x:c r="X83" s="36" t="str">
        <x:v>https://api.imf.org/external/sdmx/3.0/data/dataflow/IMF.RES/WEO/9.0.0/</x:v>
      </x:c>
      <x:c r="Y83" s="36" t="str">
        <x:v>https://api.worldbank.org/v2/</x:v>
      </x:c>
    </x:row>
    <x:row r="84">
      <x:c r="A84" s="24" t="str">
        <x:v>CAN</x:v>
      </x:c>
      <x:c r="B84" s="24" t="str">
        <x:v>Canada</x:v>
      </x:c>
      <x:c r="C84" s="24" t="str">
        <x:v>CAN</x:v>
      </x:c>
      <x:c r="D84" s="24" t="n">
        <x:v>2026</x:v>
      </x:c>
      <x:c r="E84" s="37" t="n">
        <x:v>0.87</x:v>
      </x:c>
      <x:c r="F84" s="38" t="n">
        <x:v>40467728</x:v>
      </x:c>
      <x:c r="G84" s="38" t="n">
        <x:v>41577956</x:v>
      </x:c>
      <x:c r="H84" s="39" t="n">
        <x:f>G84/F84</x:f>
        <x:v>1.0274348982478088</x:v>
      </x:c>
      <x:c r="I84" s="40" t="n">
        <x:v>2396059600000</x:v>
      </x:c>
      <x:c r="J84" s="40" t="n">
        <x:v>2084571852000</x:v>
      </x:c>
      <x:c r="K84" s="40" t="n">
        <x:v>51512</x:v>
      </x:c>
      <x:c r="L84" s="40" t="n">
        <x:v>52465</x:v>
      </x:c>
      <x:c r="M84" s="40" t="n">
        <x:v>60905</x:v>
      </x:c>
      <x:c r="N84" s="41" t="n">
        <x:f>MIN(L84,M84)</x:f>
        <x:v>52465</x:v>
      </x:c>
      <x:c r="O84" s="41" t="n">
        <x:f>MAX(L84,M84)</x:f>
        <x:v>60905</x:v>
      </x:c>
      <x:c r="P84" s="41" t="n">
        <x:f>MAX(N84,MIN(K84,O84))</x:f>
        <x:v>52465</x:v>
      </x:c>
      <x:c r="Q84" s="19" t="str">
        <x:f>IF(K84&lt;N84,IF(N84=L84,"clamped_to_nominal","clamped_to_ppp"),IF(K84&gt;O84,IF(O84=L84,"clamped_to_nominal","clamped_to_ppp"),"kept_vanilla"))</x:f>
        <x:v>clamped_to_nominal</x:v>
      </x:c>
      <x:c r="R84" s="41" t="n">
        <x:f>P84*G84</x:f>
        <x:v>2181387461540</x:v>
      </x:c>
      <x:c r="S84" s="41" t="n">
        <x:f>R84/E84</x:f>
        <x:v>2507341909816.092</x:v>
      </x:c>
      <x:c r="T84" s="36" t="str">
        <x:v>CAN: IMF exact 2026</x:v>
      </x:c>
      <x:c r="U84" s="36" t="str">
        <x:v>CAN: IMF exact 2026</x:v>
      </x:c>
      <x:c r="V84" s="36" t="str">
        <x:v>CAN: IMF exact 2026</x:v>
      </x:c>
      <x:c r="W84" s="36" t="str">
        <x:v>complete_primary</x:v>
      </x:c>
      <x:c r="X84" s="36" t="str">
        <x:v>https://api.imf.org/external/sdmx/3.0/data/dataflow/IMF.RES/WEO/9.0.0/</x:v>
      </x:c>
      <x:c r="Y84" s="36" t="str">
        <x:v>https://api.worldbank.org/v2/</x:v>
      </x:c>
    </x:row>
    <x:row r="85">
      <x:c r="A85" s="24" t="str">
        <x:v>CAF</x:v>
      </x:c>
      <x:c r="B85" s="24" t="str">
        <x:v>Central African Republic</x:v>
      </x:c>
      <x:c r="C85" s="24" t="str">
        <x:v>CAF</x:v>
      </x:c>
      <x:c r="D85" s="24" t="n">
        <x:v>2003</x:v>
      </x:c>
      <x:c r="E85" s="37" t="n">
        <x:v>1.59</x:v>
      </x:c>
      <x:c r="F85" s="38" t="n">
        <x:v>4103086</x:v>
      </x:c>
      <x:c r="G85" s="38" t="n">
        <x:v>4059364</x:v>
      </x:c>
      <x:c r="H85" s="39" t="n">
        <x:f>G85/F85</x:f>
        <x:v>0.9893441180613811</x:v>
      </x:c>
      <x:c r="I85" s="40" t="n">
        <x:v>1937426901</x:v>
      </x:c>
      <x:c r="J85" s="40" t="n">
        <x:v>3080508773</x:v>
      </x:c>
      <x:c r="K85" s="40" t="n">
        <x:v>751</x:v>
      </x:c>
      <x:c r="L85" s="40" t="n">
        <x:v>466</x:v>
      </x:c>
      <x:c r="M85" s="40" t="n">
        <x:v>1377</x:v>
      </x:c>
      <x:c r="N85" s="41" t="n">
        <x:f>MIN(L85,M85)</x:f>
        <x:v>466</x:v>
      </x:c>
      <x:c r="O85" s="41" t="n">
        <x:f>MAX(L85,M85)</x:f>
        <x:v>1377</x:v>
      </x:c>
      <x:c r="P85" s="41" t="n">
        <x:f>MAX(N85,MIN(K85,O85))</x:f>
        <x:v>751</x:v>
      </x:c>
      <x:c r="Q85" s="19" t="str">
        <x:f>IF(K85&lt;N85,IF(N85=L85,"clamped_to_nominal","clamped_to_ppp"),IF(K85&gt;O85,IF(O85=L85,"clamped_to_nominal","clamped_to_ppp"),"kept_vanilla"))</x:f>
        <x:v>kept_vanilla</x:v>
      </x:c>
      <x:c r="R85" s="41" t="n">
        <x:f>P85*G85</x:f>
        <x:v>3048582364</x:v>
      </x:c>
      <x:c r="S85" s="41" t="n">
        <x:f>R85/E85</x:f>
        <x:v>1917347398.7421384</x:v>
      </x:c>
      <x:c r="T85" s="36" t="str">
        <x:v>CAF: IMF exact 2003</x:v>
      </x:c>
      <x:c r="U85" s="36" t="str">
        <x:v>CAF: IMF exact 2003</x:v>
      </x:c>
      <x:c r="V85" s="36" t="str">
        <x:v>CAF: IMF exact 2003</x:v>
      </x:c>
      <x:c r="W85" s="36" t="str">
        <x:v>complete_primary</x:v>
      </x:c>
      <x:c r="X85" s="36" t="str">
        <x:v>https://api.imf.org/external/sdmx/3.0/data/dataflow/IMF.RES/WEO/9.0.0/</x:v>
      </x:c>
      <x:c r="Y85" s="36" t="str">
        <x:v>https://api.worldbank.org/v2/</x:v>
      </x:c>
    </x:row>
    <x:row r="86">
      <x:c r="A86" s="24" t="str">
        <x:v>CAF</x:v>
      </x:c>
      <x:c r="B86" s="24" t="str">
        <x:v>Central African Republic</x:v>
      </x:c>
      <x:c r="C86" s="24" t="str">
        <x:v>CAF</x:v>
      </x:c>
      <x:c r="D86" s="24" t="n">
        <x:v>2022</x:v>
      </x:c>
      <x:c r="E86" s="37" t="n">
        <x:v>1</x:v>
      </x:c>
      <x:c r="F86" s="38" t="n">
        <x:v>5047395</x:v>
      </x:c>
      <x:c r="G86" s="38" t="n">
        <x:v>5131487</x:v>
      </x:c>
      <x:c r="H86" s="39" t="n">
        <x:f>G86/F86</x:f>
        <x:v>1.0166604753541184</x:v>
      </x:c>
      <x:c r="I86" s="40" t="n">
        <x:v>4864640000</x:v>
      </x:c>
      <x:c r="J86" s="40" t="n">
        <x:v>4864640000</x:v>
      </x:c>
      <x:c r="K86" s="40" t="n">
        <x:v>964</x:v>
      </x:c>
      <x:c r="L86" s="40" t="n">
        <x:v>500</x:v>
      </x:c>
      <x:c r="M86" s="40" t="n">
        <x:v>1307</x:v>
      </x:c>
      <x:c r="N86" s="41" t="n">
        <x:f>MIN(L86,M86)</x:f>
        <x:v>500</x:v>
      </x:c>
      <x:c r="O86" s="41" t="n">
        <x:f>MAX(L86,M86)</x:f>
        <x:v>1307</x:v>
      </x:c>
      <x:c r="P86" s="41" t="n">
        <x:f>MAX(N86,MIN(K86,O86))</x:f>
        <x:v>964</x:v>
      </x:c>
      <x:c r="Q86" s="19" t="str">
        <x:f>IF(K86&lt;N86,IF(N86=L86,"clamped_to_nominal","clamped_to_ppp"),IF(K86&gt;O86,IF(O86=L86,"clamped_to_nominal","clamped_to_ppp"),"kept_vanilla"))</x:f>
        <x:v>kept_vanilla</x:v>
      </x:c>
      <x:c r="R86" s="41" t="n">
        <x:f>P86*G86</x:f>
        <x:v>4946753468</x:v>
      </x:c>
      <x:c r="S86" s="41" t="n">
        <x:f>R86/E86</x:f>
        <x:v>4946753468</x:v>
      </x:c>
      <x:c r="T86" s="36" t="str">
        <x:v>CAF: IMF exact 2022</x:v>
      </x:c>
      <x:c r="U86" s="36" t="str">
        <x:v>CAF: IMF exact 2022</x:v>
      </x:c>
      <x:c r="V86" s="36" t="str">
        <x:v>CAF: IMF exact 2022</x:v>
      </x:c>
      <x:c r="W86" s="36" t="str">
        <x:v>complete_primary</x:v>
      </x:c>
      <x:c r="X86" s="36" t="str">
        <x:v>https://api.imf.org/external/sdmx/3.0/data/dataflow/IMF.RES/WEO/9.0.0/</x:v>
      </x:c>
      <x:c r="Y86" s="36" t="str">
        <x:v>https://api.worldbank.org/v2/</x:v>
      </x:c>
    </x:row>
    <x:row r="87">
      <x:c r="A87" s="24" t="str">
        <x:v>CAF</x:v>
      </x:c>
      <x:c r="B87" s="24" t="str">
        <x:v>Central African Republic</x:v>
      </x:c>
      <x:c r="C87" s="24" t="str">
        <x:v>CAF</x:v>
      </x:c>
      <x:c r="D87" s="24" t="n">
        <x:v>2026</x:v>
      </x:c>
      <x:c r="E87" s="37" t="n">
        <x:v>0.87</x:v>
      </x:c>
      <x:c r="F87" s="38" t="n">
        <x:v>5698984</x:v>
      </x:c>
      <x:c r="G87" s="38" t="n">
        <x:v>5698984</x:v>
      </x:c>
      <x:c r="H87" s="39" t="n">
        <x:f>G87/F87</x:f>
        <x:v>1</x:v>
      </x:c>
      <x:c r="I87" s="40" t="n">
        <x:v>6452160000</x:v>
      </x:c>
      <x:c r="J87" s="40" t="n">
        <x:v>5613379200</x:v>
      </x:c>
      <x:c r="K87" s="40" t="n">
        <x:v>985</x:v>
      </x:c>
      <x:c r="L87" s="40" t="n">
        <x:v>533</x:v>
      </x:c>
      <x:c r="M87" s="40" t="n">
        <x:v>1277</x:v>
      </x:c>
      <x:c r="N87" s="41" t="n">
        <x:f>MIN(L87,M87)</x:f>
        <x:v>533</x:v>
      </x:c>
      <x:c r="O87" s="41" t="n">
        <x:f>MAX(L87,M87)</x:f>
        <x:v>1277</x:v>
      </x:c>
      <x:c r="P87" s="41" t="n">
        <x:f>MAX(N87,MIN(K87,O87))</x:f>
        <x:v>985</x:v>
      </x:c>
      <x:c r="Q87" s="19" t="str">
        <x:f>IF(K87&lt;N87,IF(N87=L87,"clamped_to_nominal","clamped_to_ppp"),IF(K87&gt;O87,IF(O87=L87,"clamped_to_nominal","clamped_to_ppp"),"kept_vanilla"))</x:f>
        <x:v>kept_vanilla</x:v>
      </x:c>
      <x:c r="R87" s="41" t="n">
        <x:f>P87*G87</x:f>
        <x:v>5613499240</x:v>
      </x:c>
      <x:c r="S87" s="41" t="n">
        <x:f>R87/E87</x:f>
        <x:v>6452297977.011495</x:v>
      </x:c>
      <x:c r="T87" s="36" t="str">
        <x:v>CAF: IMF exact 2026</x:v>
      </x:c>
      <x:c r="U87" s="36" t="str">
        <x:v>CAF: IMF exact 2026</x:v>
      </x:c>
      <x:c r="V87" s="36" t="str">
        <x:v>CAF: IMF exact 2026</x:v>
      </x:c>
      <x:c r="W87" s="36" t="str">
        <x:v>complete_primary</x:v>
      </x:c>
      <x:c r="X87" s="36" t="str">
        <x:v>https://api.imf.org/external/sdmx/3.0/data/dataflow/IMF.RES/WEO/9.0.0/</x:v>
      </x:c>
      <x:c r="Y87" s="36" t="str">
        <x:v>https://api.worldbank.org/v2/</x:v>
      </x:c>
    </x:row>
    <x:row r="88">
      <x:c r="A88" s="24" t="str">
        <x:v>TCD</x:v>
      </x:c>
      <x:c r="B88" s="24" t="str">
        <x:v>Chad</x:v>
      </x:c>
      <x:c r="C88" s="24" t="str">
        <x:v>TCD</x:v>
      </x:c>
      <x:c r="D88" s="24" t="n">
        <x:v>2003</x:v>
      </x:c>
      <x:c r="E88" s="37" t="n">
        <x:v>1.59</x:v>
      </x:c>
      <x:c r="F88" s="38" t="n">
        <x:v>9487833</x:v>
      </x:c>
      <x:c r="G88" s="38" t="n">
        <x:v>9373913</x:v>
      </x:c>
      <x:c r="H88" s="39" t="n">
        <x:f>G88/F88</x:f>
        <x:v>0.9879930433008254</x:v>
      </x:c>
      <x:c r="I88" s="40" t="n">
        <x:v>7223391813</x:v>
      </x:c>
      <x:c r="J88" s="40" t="n">
        <x:v>11485192983</x:v>
      </x:c>
      <x:c r="K88" s="40" t="n">
        <x:v>1211</x:v>
      </x:c>
      <x:c r="L88" s="40" t="n">
        <x:v>683</x:v>
      </x:c>
      <x:c r="M88" s="40" t="n">
        <x:v>2111</x:v>
      </x:c>
      <x:c r="N88" s="41" t="n">
        <x:f>MIN(L88,M88)</x:f>
        <x:v>683</x:v>
      </x:c>
      <x:c r="O88" s="41" t="n">
        <x:f>MAX(L88,M88)</x:f>
        <x:v>2111</x:v>
      </x:c>
      <x:c r="P88" s="41" t="n">
        <x:f>MAX(N88,MIN(K88,O88))</x:f>
        <x:v>1211</x:v>
      </x:c>
      <x:c r="Q88" s="19" t="str">
        <x:f>IF(K88&lt;N88,IF(N88=L88,"clamped_to_nominal","clamped_to_ppp"),IF(K88&gt;O88,IF(O88=L88,"clamped_to_nominal","clamped_to_ppp"),"kept_vanilla"))</x:f>
        <x:v>kept_vanilla</x:v>
      </x:c>
      <x:c r="R88" s="41" t="n">
        <x:f>P88*G88</x:f>
        <x:v>11351808643</x:v>
      </x:c>
      <x:c r="S88" s="41" t="n">
        <x:f>R88/E88</x:f>
        <x:v>7139502291.194968</x:v>
      </x:c>
      <x:c r="T88" s="36" t="str">
        <x:v>TCD: IMF exact 2003</x:v>
      </x:c>
      <x:c r="U88" s="36" t="str">
        <x:v>TCD: IMF exact 2003</x:v>
      </x:c>
      <x:c r="V88" s="36" t="str">
        <x:v>TCD: IMF exact 2003</x:v>
      </x:c>
      <x:c r="W88" s="36" t="str">
        <x:v>complete_primary</x:v>
      </x:c>
      <x:c r="X88" s="36" t="str">
        <x:v>https://api.imf.org/external/sdmx/3.0/data/dataflow/IMF.RES/WEO/9.0.0/</x:v>
      </x:c>
      <x:c r="Y88" s="36" t="str">
        <x:v>https://api.worldbank.org/v2/</x:v>
      </x:c>
    </x:row>
    <x:row r="89">
      <x:c r="A89" s="24" t="str">
        <x:v>TCD</x:v>
      </x:c>
      <x:c r="B89" s="24" t="str">
        <x:v>Chad</x:v>
      </x:c>
      <x:c r="C89" s="24" t="str">
        <x:v>TCD</x:v>
      </x:c>
      <x:c r="D89" s="24" t="n">
        <x:v>2022</x:v>
      </x:c>
      <x:c r="E89" s="37" t="n">
        <x:v>1</x:v>
      </x:c>
      <x:c r="F89" s="38" t="n">
        <x:v>17571864</x:v>
      </x:c>
      <x:c r="G89" s="38" t="n">
        <x:v>17414000</x:v>
      </x:c>
      <x:c r="H89" s="39" t="n">
        <x:f>G89/F89</x:f>
        <x:v>0.9910160925443083</x:v>
      </x:c>
      <x:c r="I89" s="40" t="n">
        <x:v>26121920000</x:v>
      </x:c>
      <x:c r="J89" s="40" t="n">
        <x:v>26121920000</x:v>
      </x:c>
      <x:c r="K89" s="40" t="n">
        <x:v>1487</x:v>
      </x:c>
      <x:c r="L89" s="40" t="n">
        <x:v>1037</x:v>
      </x:c>
      <x:c r="M89" s="40" t="n">
        <x:v>2810</x:v>
      </x:c>
      <x:c r="N89" s="41" t="n">
        <x:f>MIN(L89,M89)</x:f>
        <x:v>1037</x:v>
      </x:c>
      <x:c r="O89" s="41" t="n">
        <x:f>MAX(L89,M89)</x:f>
        <x:v>2810</x:v>
      </x:c>
      <x:c r="P89" s="41" t="n">
        <x:f>MAX(N89,MIN(K89,O89))</x:f>
        <x:v>1487</x:v>
      </x:c>
      <x:c r="Q89" s="19" t="str">
        <x:f>IF(K89&lt;N89,IF(N89=L89,"clamped_to_nominal","clamped_to_ppp"),IF(K89&gt;O89,IF(O89=L89,"clamped_to_nominal","clamped_to_ppp"),"kept_vanilla"))</x:f>
        <x:v>kept_vanilla</x:v>
      </x:c>
      <x:c r="R89" s="41" t="n">
        <x:f>P89*G89</x:f>
        <x:v>25894618000</x:v>
      </x:c>
      <x:c r="S89" s="41" t="n">
        <x:f>R89/E89</x:f>
        <x:v>25894618000</x:v>
      </x:c>
      <x:c r="T89" s="36" t="str">
        <x:v>TCD: IMF exact 2022</x:v>
      </x:c>
      <x:c r="U89" s="36" t="str">
        <x:v>TCD: IMF exact 2022</x:v>
      </x:c>
      <x:c r="V89" s="36" t="str">
        <x:v>TCD: IMF exact 2022</x:v>
      </x:c>
      <x:c r="W89" s="36" t="str">
        <x:v>complete_primary</x:v>
      </x:c>
      <x:c r="X89" s="36" t="str">
        <x:v>https://api.imf.org/external/sdmx/3.0/data/dataflow/IMF.RES/WEO/9.0.0/</x:v>
      </x:c>
      <x:c r="Y89" s="36" t="str">
        <x:v>https://api.worldbank.org/v2/</x:v>
      </x:c>
    </x:row>
    <x:row r="90">
      <x:c r="A90" s="24" t="str">
        <x:v>TCD</x:v>
      </x:c>
      <x:c r="B90" s="24" t="str">
        <x:v>Chad</x:v>
      </x:c>
      <x:c r="C90" s="24" t="str">
        <x:v>TCD</x:v>
      </x:c>
      <x:c r="D90" s="24" t="n">
        <x:v>2026</x:v>
      </x:c>
      <x:c r="E90" s="37" t="n">
        <x:v>0.87</x:v>
      </x:c>
      <x:c r="F90" s="38" t="n">
        <x:v>21560380</x:v>
      </x:c>
      <x:c r="G90" s="38" t="n">
        <x:v>19491000</x:v>
      </x:c>
      <x:c r="H90" s="39" t="n">
        <x:f>G90/F90</x:f>
        <x:v>0.9040193169137093</x:v>
      </x:c>
      <x:c r="I90" s="40" t="n">
        <x:v>49854640000</x:v>
      </x:c>
      <x:c r="J90" s="40" t="n">
        <x:v>43373536800</x:v>
      </x:c>
      <x:c r="K90" s="40" t="n">
        <x:v>2012</x:v>
      </x:c>
      <x:c r="L90" s="40" t="n">
        <x:v>1144</x:v>
      </x:c>
      <x:c r="M90" s="40" t="n">
        <x:v>3009</x:v>
      </x:c>
      <x:c r="N90" s="41" t="n">
        <x:f>MIN(L90,M90)</x:f>
        <x:v>1144</x:v>
      </x:c>
      <x:c r="O90" s="41" t="n">
        <x:f>MAX(L90,M90)</x:f>
        <x:v>3009</x:v>
      </x:c>
      <x:c r="P90" s="41" t="n">
        <x:f>MAX(N90,MIN(K90,O90))</x:f>
        <x:v>2012</x:v>
      </x:c>
      <x:c r="Q90" s="19" t="str">
        <x:f>IF(K90&lt;N90,IF(N90=L90,"clamped_to_nominal","clamped_to_ppp"),IF(K90&gt;O90,IF(O90=L90,"clamped_to_nominal","clamped_to_ppp"),"kept_vanilla"))</x:f>
        <x:v>kept_vanilla</x:v>
      </x:c>
      <x:c r="R90" s="41" t="n">
        <x:f>P90*G90</x:f>
        <x:v>39215892000</x:v>
      </x:c>
      <x:c r="S90" s="41" t="n">
        <x:f>R90/E90</x:f>
        <x:v>45075737931.034485</x:v>
      </x:c>
      <x:c r="T90" s="36" t="str">
        <x:v>TCD: IMF exact 2026</x:v>
      </x:c>
      <x:c r="U90" s="36" t="str">
        <x:v>TCD: IMF exact 2026</x:v>
      </x:c>
      <x:c r="V90" s="36" t="str">
        <x:v>TCD: IMF exact 2026</x:v>
      </x:c>
      <x:c r="W90" s="36" t="str">
        <x:v>complete_primary</x:v>
      </x:c>
      <x:c r="X90" s="36" t="str">
        <x:v>https://api.imf.org/external/sdmx/3.0/data/dataflow/IMF.RES/WEO/9.0.0/</x:v>
      </x:c>
      <x:c r="Y90" s="36" t="str">
        <x:v>https://api.worldbank.org/v2/</x:v>
      </x:c>
    </x:row>
    <x:row r="91">
      <x:c r="A91" s="24" t="str">
        <x:v>CHL</x:v>
      </x:c>
      <x:c r="B91" s="24" t="str">
        <x:v>Chile</x:v>
      </x:c>
      <x:c r="C91" s="24" t="str">
        <x:v>CHL</x:v>
      </x:c>
      <x:c r="D91" s="24" t="n">
        <x:v>2003</x:v>
      </x:c>
      <x:c r="E91" s="37" t="n">
        <x:v>1.59</x:v>
      </x:c>
      <x:c r="F91" s="38" t="n">
        <x:v>16024752</x:v>
      </x:c>
      <x:c r="G91" s="38" t="n">
        <x:v>15882092</x:v>
      </x:c>
      <x:c r="H91" s="39" t="n">
        <x:f>G91/F91</x:f>
        <x:v>0.9910975221332599</x:v>
      </x:c>
      <x:c r="I91" s="40" t="n">
        <x:v>118815789474</x:v>
      </x:c>
      <x:c r="J91" s="40" t="n">
        <x:v>188917105264</x:v>
      </x:c>
      <x:c r="K91" s="40" t="n">
        <x:v>11789</x:v>
      </x:c>
      <x:c r="L91" s="40" t="n">
        <x:v>7659</x:v>
      </x:c>
      <x:c r="M91" s="40" t="n">
        <x:v>20340</x:v>
      </x:c>
      <x:c r="N91" s="41" t="n">
        <x:f>MIN(L91,M91)</x:f>
        <x:v>7659</x:v>
      </x:c>
      <x:c r="O91" s="41" t="n">
        <x:f>MAX(L91,M91)</x:f>
        <x:v>20340</x:v>
      </x:c>
      <x:c r="P91" s="41" t="n">
        <x:f>MAX(N91,MIN(K91,O91))</x:f>
        <x:v>11789</x:v>
      </x:c>
      <x:c r="Q91" s="19" t="str">
        <x:f>IF(K91&lt;N91,IF(N91=L91,"clamped_to_nominal","clamped_to_ppp"),IF(K91&gt;O91,IF(O91=L91,"clamped_to_nominal","clamped_to_ppp"),"kept_vanilla"))</x:f>
        <x:v>kept_vanilla</x:v>
      </x:c>
      <x:c r="R91" s="41" t="n">
        <x:f>P91*G91</x:f>
        <x:v>187233982588</x:v>
      </x:c>
      <x:c r="S91" s="41" t="n">
        <x:f>R91/E91</x:f>
        <x:v>117757221753.4591</x:v>
      </x:c>
      <x:c r="T91" s="36" t="str">
        <x:v>CHL: IMF exact 2003</x:v>
      </x:c>
      <x:c r="U91" s="36" t="str">
        <x:v>CHL: IMF exact 2003</x:v>
      </x:c>
      <x:c r="V91" s="36" t="str">
        <x:v>CHL: IMF exact 2003</x:v>
      </x:c>
      <x:c r="W91" s="36" t="str">
        <x:v>complete_primary</x:v>
      </x:c>
      <x:c r="X91" s="36" t="str">
        <x:v>https://api.imf.org/external/sdmx/3.0/data/dataflow/IMF.RES/WEO/9.0.0/</x:v>
      </x:c>
      <x:c r="Y91" s="36" t="str">
        <x:v>https://api.worldbank.org/v2/</x:v>
      </x:c>
    </x:row>
    <x:row r="92">
      <x:c r="A92" s="24" t="str">
        <x:v>CHL</x:v>
      </x:c>
      <x:c r="B92" s="24" t="str">
        <x:v>Chile</x:v>
      </x:c>
      <x:c r="C92" s="24" t="str">
        <x:v>CHL</x:v>
      </x:c>
      <x:c r="D92" s="24" t="n">
        <x:v>2022</x:v>
      </x:c>
      <x:c r="E92" s="37" t="n">
        <x:v>1</x:v>
      </x:c>
      <x:c r="F92" s="38" t="n">
        <x:v>19256615</x:v>
      </x:c>
      <x:c r="G92" s="38" t="n">
        <x:v>19581575</x:v>
      </x:c>
      <x:c r="H92" s="39" t="n">
        <x:f>G92/F92</x:f>
        <x:v>1.0168752400149248</x:v>
      </x:c>
      <x:c r="I92" s="40" t="n">
        <x:v>500120720000</x:v>
      </x:c>
      <x:c r="J92" s="40" t="n">
        <x:v>500120720000</x:v>
      </x:c>
      <x:c r="K92" s="40" t="n">
        <x:v>25971</x:v>
      </x:c>
      <x:c r="L92" s="40" t="n">
        <x:v>15385</x:v>
      </x:c>
      <x:c r="M92" s="40" t="n">
        <x:v>31624</x:v>
      </x:c>
      <x:c r="N92" s="41" t="n">
        <x:f>MIN(L92,M92)</x:f>
        <x:v>15385</x:v>
      </x:c>
      <x:c r="O92" s="41" t="n">
        <x:f>MAX(L92,M92)</x:f>
        <x:v>31624</x:v>
      </x:c>
      <x:c r="P92" s="41" t="n">
        <x:f>MAX(N92,MIN(K92,O92))</x:f>
        <x:v>25971</x:v>
      </x:c>
      <x:c r="Q92" s="19" t="str">
        <x:f>IF(K92&lt;N92,IF(N92=L92,"clamped_to_nominal","clamped_to_ppp"),IF(K92&gt;O92,IF(O92=L92,"clamped_to_nominal","clamped_to_ppp"),"kept_vanilla"))</x:f>
        <x:v>kept_vanilla</x:v>
      </x:c>
      <x:c r="R92" s="41" t="n">
        <x:f>P92*G92</x:f>
        <x:v>508553084325</x:v>
      </x:c>
      <x:c r="S92" s="41" t="n">
        <x:f>R92/E92</x:f>
        <x:v>508553084325</x:v>
      </x:c>
      <x:c r="T92" s="36" t="str">
        <x:v>CHL: IMF exact 2022</x:v>
      </x:c>
      <x:c r="U92" s="36" t="str">
        <x:v>CHL: IMF exact 2022</x:v>
      </x:c>
      <x:c r="V92" s="36" t="str">
        <x:v>CHL: IMF exact 2022</x:v>
      </x:c>
      <x:c r="W92" s="36" t="str">
        <x:v>complete_primary</x:v>
      </x:c>
      <x:c r="X92" s="36" t="str">
        <x:v>https://api.imf.org/external/sdmx/3.0/data/dataflow/IMF.RES/WEO/9.0.0/</x:v>
      </x:c>
      <x:c r="Y92" s="36" t="str">
        <x:v>https://api.worldbank.org/v2/</x:v>
      </x:c>
    </x:row>
    <x:row r="93">
      <x:c r="A93" s="24" t="str">
        <x:v>CHL</x:v>
      </x:c>
      <x:c r="B93" s="24" t="str">
        <x:v>Chile</x:v>
      </x:c>
      <x:c r="C93" s="24" t="str">
        <x:v>CHL</x:v>
      </x:c>
      <x:c r="D93" s="24" t="n">
        <x:v>2026</x:v>
      </x:c>
      <x:c r="E93" s="37" t="n">
        <x:v>0.87</x:v>
      </x:c>
      <x:c r="F93" s="38" t="n">
        <x:v>19945850</x:v>
      </x:c>
      <x:c r="G93" s="38" t="n">
        <x:v>20150948</x:v>
      </x:c>
      <x:c r="H93" s="39" t="n">
        <x:f>G93/F93</x:f>
        <x:v>1.0102827405199577</x:v>
      </x:c>
      <x:c r="I93" s="40" t="n">
        <x:v>624971600000</x:v>
      </x:c>
      <x:c r="J93" s="40" t="n">
        <x:v>543725292000</x:v>
      </x:c>
      <x:c r="K93" s="40" t="n">
        <x:v>27260</x:v>
      </x:c>
      <x:c r="L93" s="40" t="n">
        <x:v>17609</x:v>
      </x:c>
      <x:c r="M93" s="40" t="n">
        <x:v>32482</x:v>
      </x:c>
      <x:c r="N93" s="41" t="n">
        <x:f>MIN(L93,M93)</x:f>
        <x:v>17609</x:v>
      </x:c>
      <x:c r="O93" s="41" t="n">
        <x:f>MAX(L93,M93)</x:f>
        <x:v>32482</x:v>
      </x:c>
      <x:c r="P93" s="41" t="n">
        <x:f>MAX(N93,MIN(K93,O93))</x:f>
        <x:v>27260</x:v>
      </x:c>
      <x:c r="Q93" s="19" t="str">
        <x:f>IF(K93&lt;N93,IF(N93=L93,"clamped_to_nominal","clamped_to_ppp"),IF(K93&gt;O93,IF(O93=L93,"clamped_to_nominal","clamped_to_ppp"),"kept_vanilla"))</x:f>
        <x:v>kept_vanilla</x:v>
      </x:c>
      <x:c r="R93" s="41" t="n">
        <x:f>P93*G93</x:f>
        <x:v>549314842480</x:v>
      </x:c>
      <x:c r="S93" s="41" t="n">
        <x:f>R93/E93</x:f>
        <x:v>631396370666.6666</x:v>
      </x:c>
      <x:c r="T93" s="36" t="str">
        <x:v>CHL: IMF exact 2026</x:v>
      </x:c>
      <x:c r="U93" s="36" t="str">
        <x:v>CHL: IMF exact 2026</x:v>
      </x:c>
      <x:c r="V93" s="36" t="str">
        <x:v>CHL: IMF exact 2026</x:v>
      </x:c>
      <x:c r="W93" s="36" t="str">
        <x:v>complete_primary</x:v>
      </x:c>
      <x:c r="X93" s="36" t="str">
        <x:v>https://api.imf.org/external/sdmx/3.0/data/dataflow/IMF.RES/WEO/9.0.0/</x:v>
      </x:c>
      <x:c r="Y93" s="36" t="str">
        <x:v>https://api.worldbank.org/v2/</x:v>
      </x:c>
    </x:row>
    <x:row r="94">
      <x:c r="A94" s="24" t="str">
        <x:v>CHN</x:v>
      </x:c>
      <x:c r="B94" s="24" t="str">
        <x:v>China</x:v>
      </x:c>
      <x:c r="C94" s="24" t="str">
        <x:v>CHN</x:v>
      </x:c>
      <x:c r="D94" s="24" t="n">
        <x:v>2003</x:v>
      </x:c>
      <x:c r="E94" s="37" t="n">
        <x:v>1.59</x:v>
      </x:c>
      <x:c r="F94" s="38" t="n">
        <x:v>1294517327</x:v>
      </x:c>
      <x:c r="G94" s="38" t="n">
        <x:v>1292270000</x:v>
      </x:c>
      <x:c r="H94" s="39" t="n">
        <x:f>G94/F94</x:f>
        <x:v>0.9982639652995544</x:v>
      </x:c>
      <x:c r="I94" s="40" t="n">
        <x:v>2637080116959</x:v>
      </x:c>
      <x:c r="J94" s="40" t="n">
        <x:v>4192957385965</x:v>
      </x:c>
      <x:c r="K94" s="40" t="n">
        <x:v>3239</x:v>
      </x:c>
      <x:c r="L94" s="40" t="n">
        <x:v>2068</x:v>
      </x:c>
      <x:c r="M94" s="40" t="n">
        <x:v>5666</x:v>
      </x:c>
      <x:c r="N94" s="41" t="n">
        <x:f>MIN(L94,M94)</x:f>
        <x:v>2068</x:v>
      </x:c>
      <x:c r="O94" s="41" t="n">
        <x:f>MAX(L94,M94)</x:f>
        <x:v>5666</x:v>
      </x:c>
      <x:c r="P94" s="41" t="n">
        <x:f>MAX(N94,MIN(K94,O94))</x:f>
        <x:v>3239</x:v>
      </x:c>
      <x:c r="Q94" s="19" t="str">
        <x:f>IF(K94&lt;N94,IF(N94=L94,"clamped_to_nominal","clamped_to_ppp"),IF(K94&gt;O94,IF(O94=L94,"clamped_to_nominal","clamped_to_ppp"),"kept_vanilla"))</x:f>
        <x:v>kept_vanilla</x:v>
      </x:c>
      <x:c r="R94" s="41" t="n">
        <x:f>P94*G94</x:f>
        <x:v>4185662530000</x:v>
      </x:c>
      <x:c r="S94" s="41" t="n">
        <x:f>R94/E94</x:f>
        <x:v>2632492157232.704</x:v>
      </x:c>
      <x:c r="T94" s="36" t="str">
        <x:v>CHN: IMF exact 2003</x:v>
      </x:c>
      <x:c r="U94" s="36" t="str">
        <x:v>CHN: IMF exact 2003</x:v>
      </x:c>
      <x:c r="V94" s="36" t="str">
        <x:v>CHN: IMF exact 2003</x:v>
      </x:c>
      <x:c r="W94" s="36" t="str">
        <x:v>complete_primary</x:v>
      </x:c>
      <x:c r="X94" s="36" t="str">
        <x:v>https://api.imf.org/external/sdmx/3.0/data/dataflow/IMF.RES/WEO/9.0.0/</x:v>
      </x:c>
      <x:c r="Y94" s="36" t="str">
        <x:v>https://api.worldbank.org/v2/</x:v>
      </x:c>
    </x:row>
    <x:row r="95">
      <x:c r="A95" s="24" t="str">
        <x:v>CHN</x:v>
      </x:c>
      <x:c r="B95" s="24" t="str">
        <x:v>China</x:v>
      </x:c>
      <x:c r="C95" s="24" t="str">
        <x:v>CHN</x:v>
      </x:c>
      <x:c r="D95" s="24" t="n">
        <x:v>2022</x:v>
      </x:c>
      <x:c r="E95" s="37" t="n">
        <x:v>1</x:v>
      </x:c>
      <x:c r="F95" s="38" t="n">
        <x:v>1449737297</x:v>
      </x:c>
      <x:c r="G95" s="38" t="n">
        <x:v>1411750000</x:v>
      </x:c>
      <x:c r="H95" s="39" t="n">
        <x:f>G95/F95</x:f>
        <x:v>0.9737971168441285</x:v>
      </x:c>
      <x:c r="I95" s="40" t="n">
        <x:v>26556574880000</x:v>
      </x:c>
      <x:c r="J95" s="40" t="n">
        <x:v>26556574880000</x:v>
      </x:c>
      <x:c r="K95" s="40" t="n">
        <x:v>18318</x:v>
      </x:c>
      <x:c r="L95" s="40" t="n">
        <x:v>12989</x:v>
      </x:c>
      <x:c r="M95" s="40" t="n">
        <x:v>23017</x:v>
      </x:c>
      <x:c r="N95" s="41" t="n">
        <x:f>MIN(L95,M95)</x:f>
        <x:v>12989</x:v>
      </x:c>
      <x:c r="O95" s="41" t="n">
        <x:f>MAX(L95,M95)</x:f>
        <x:v>23017</x:v>
      </x:c>
      <x:c r="P95" s="41" t="n">
        <x:f>MAX(N95,MIN(K95,O95))</x:f>
        <x:v>18318</x:v>
      </x:c>
      <x:c r="Q95" s="19" t="str">
        <x:f>IF(K95&lt;N95,IF(N95=L95,"clamped_to_nominal","clamped_to_ppp"),IF(K95&gt;O95,IF(O95=L95,"clamped_to_nominal","clamped_to_ppp"),"kept_vanilla"))</x:f>
        <x:v>kept_vanilla</x:v>
      </x:c>
      <x:c r="R95" s="41" t="n">
        <x:f>P95*G95</x:f>
        <x:v>25860436500000</x:v>
      </x:c>
      <x:c r="S95" s="41" t="n">
        <x:f>R95/E95</x:f>
        <x:v>25860436500000</x:v>
      </x:c>
      <x:c r="T95" s="36" t="str">
        <x:v>CHN: IMF exact 2022</x:v>
      </x:c>
      <x:c r="U95" s="36" t="str">
        <x:v>CHN: IMF exact 2022</x:v>
      </x:c>
      <x:c r="V95" s="36" t="str">
        <x:v>CHN: IMF exact 2022</x:v>
      </x:c>
      <x:c r="W95" s="36" t="str">
        <x:v>complete_primary</x:v>
      </x:c>
      <x:c r="X95" s="36" t="str">
        <x:v>https://api.imf.org/external/sdmx/3.0/data/dataflow/IMF.RES/WEO/9.0.0/</x:v>
      </x:c>
      <x:c r="Y95" s="36" t="str">
        <x:v>https://api.worldbank.org/v2/</x:v>
      </x:c>
    </x:row>
    <x:row r="96">
      <x:c r="A96" s="24" t="str">
        <x:v>CHN</x:v>
      </x:c>
      <x:c r="B96" s="24" t="str">
        <x:v>China</x:v>
      </x:c>
      <x:c r="C96" s="24" t="str">
        <x:v>CHN</x:v>
      </x:c>
      <x:c r="D96" s="24" t="n">
        <x:v>2026</x:v>
      </x:c>
      <x:c r="E96" s="37" t="n">
        <x:v>0.87</x:v>
      </x:c>
      <x:c r="F96" s="38" t="n">
        <x:v>1412914088</x:v>
      </x:c>
      <x:c r="G96" s="38" t="n">
        <x:v>1401922654</x:v>
      </x:c>
      <x:c r="H96" s="39" t="n">
        <x:f>G96/F96</x:f>
        <x:v>0.9922207343720675</x:v>
      </x:c>
      <x:c r="I96" s="40" t="n">
        <x:v>36093925120000</x:v>
      </x:c>
      <x:c r="J96" s="40" t="n">
        <x:v>31401714854400</x:v>
      </x:c>
      <x:c r="K96" s="40" t="n">
        <x:v>22225</x:v>
      </x:c>
      <x:c r="L96" s="40" t="n">
        <x:v>12940</x:v>
      </x:c>
      <x:c r="M96" s="40" t="n">
        <x:v>27489</x:v>
      </x:c>
      <x:c r="N96" s="41" t="n">
        <x:f>MIN(L96,M96)</x:f>
        <x:v>12940</x:v>
      </x:c>
      <x:c r="O96" s="41" t="n">
        <x:f>MAX(L96,M96)</x:f>
        <x:v>27489</x:v>
      </x:c>
      <x:c r="P96" s="41" t="n">
        <x:f>MAX(N96,MIN(K96,O96))</x:f>
        <x:v>22225</x:v>
      </x:c>
      <x:c r="Q96" s="19" t="str">
        <x:f>IF(K96&lt;N96,IF(N96=L96,"clamped_to_nominal","clamped_to_ppp"),IF(K96&gt;O96,IF(O96=L96,"clamped_to_nominal","clamped_to_ppp"),"kept_vanilla"))</x:f>
        <x:v>kept_vanilla</x:v>
      </x:c>
      <x:c r="R96" s="41" t="n">
        <x:f>P96*G96</x:f>
        <x:v>31157730985150</x:v>
      </x:c>
      <x:c r="S96" s="41" t="n">
        <x:f>R96/E96</x:f>
        <x:v>35813483890977.01</x:v>
      </x:c>
      <x:c r="T96" s="36" t="str">
        <x:v>CHN: IMF exact 2026</x:v>
      </x:c>
      <x:c r="U96" s="36" t="str">
        <x:v>CHN: IMF exact 2026</x:v>
      </x:c>
      <x:c r="V96" s="36" t="str">
        <x:v>CHN: IMF exact 2026</x:v>
      </x:c>
      <x:c r="W96" s="36" t="str">
        <x:v>complete_primary</x:v>
      </x:c>
      <x:c r="X96" s="36" t="str">
        <x:v>https://api.imf.org/external/sdmx/3.0/data/dataflow/IMF.RES/WEO/9.0.0/</x:v>
      </x:c>
      <x:c r="Y96" s="36" t="str">
        <x:v>https://api.worldbank.org/v2/</x:v>
      </x:c>
    </x:row>
    <x:row r="97">
      <x:c r="A97" s="24" t="str">
        <x:v>COL</x:v>
      </x:c>
      <x:c r="B97" s="24" t="str">
        <x:v>Colombia</x:v>
      </x:c>
      <x:c r="C97" s="24" t="str">
        <x:v>COL</x:v>
      </x:c>
      <x:c r="D97" s="24" t="n">
        <x:v>2003</x:v>
      </x:c>
      <x:c r="E97" s="37" t="n">
        <x:v>1.59</x:v>
      </x:c>
      <x:c r="F97" s="38" t="n">
        <x:v>40937429</x:v>
      </x:c>
      <x:c r="G97" s="38" t="n">
        <x:v>40661511</x:v>
      </x:c>
      <x:c r="H97" s="39" t="n">
        <x:f>G97/F97</x:f>
        <x:v>0.9932600066310955</x:v>
      </x:c>
      <x:c r="I97" s="40" t="n">
        <x:v>175425146199</x:v>
      </x:c>
      <x:c r="J97" s="40" t="n">
        <x:v>278925982456</x:v>
      </x:c>
      <x:c r="K97" s="40" t="n">
        <x:v>6813</x:v>
      </x:c>
      <x:c r="L97" s="40" t="n">
        <x:v>3679</x:v>
      </x:c>
      <x:c r="M97" s="40" t="n">
        <x:v>11730</x:v>
      </x:c>
      <x:c r="N97" s="41" t="n">
        <x:f>MIN(L97,M97)</x:f>
        <x:v>3679</x:v>
      </x:c>
      <x:c r="O97" s="41" t="n">
        <x:f>MAX(L97,M97)</x:f>
        <x:v>11730</x:v>
      </x:c>
      <x:c r="P97" s="41" t="n">
        <x:f>MAX(N97,MIN(K97,O97))</x:f>
        <x:v>6813</x:v>
      </x:c>
      <x:c r="Q97" s="19" t="str">
        <x:f>IF(K97&lt;N97,IF(N97=L97,"clamped_to_nominal","clamped_to_ppp"),IF(K97&gt;O97,IF(O97=L97,"clamped_to_nominal","clamped_to_ppp"),"kept_vanilla"))</x:f>
        <x:v>kept_vanilla</x:v>
      </x:c>
      <x:c r="R97" s="41" t="n">
        <x:f>P97*G97</x:f>
        <x:v>277026874443</x:v>
      </x:c>
      <x:c r="S97" s="41" t="n">
        <x:f>R97/E97</x:f>
        <x:v>174230738643.3962</x:v>
      </x:c>
      <x:c r="T97" s="36" t="str">
        <x:v>COL: IMF exact 2003</x:v>
      </x:c>
      <x:c r="U97" s="36" t="str">
        <x:v>COL: IMF exact 2003</x:v>
      </x:c>
      <x:c r="V97" s="36" t="str">
        <x:v>COL: IMF exact 2003</x:v>
      </x:c>
      <x:c r="W97" s="36" t="str">
        <x:v>complete_primary</x:v>
      </x:c>
      <x:c r="X97" s="36" t="str">
        <x:v>https://api.imf.org/external/sdmx/3.0/data/dataflow/IMF.RES/WEO/9.0.0/</x:v>
      </x:c>
      <x:c r="Y97" s="36" t="str">
        <x:v>https://api.worldbank.org/v2/</x:v>
      </x:c>
    </x:row>
    <x:row r="98">
      <x:c r="A98" s="24" t="str">
        <x:v>COL</x:v>
      </x:c>
      <x:c r="B98" s="24" t="str">
        <x:v>Colombia</x:v>
      </x:c>
      <x:c r="C98" s="24" t="str">
        <x:v>COL</x:v>
      </x:c>
      <x:c r="D98" s="24" t="n">
        <x:v>2022</x:v>
      </x:c>
      <x:c r="E98" s="37" t="n">
        <x:v>1</x:v>
      </x:c>
      <x:c r="F98" s="38" t="n">
        <x:v>51574932</x:v>
      </x:c>
      <x:c r="G98" s="38" t="n">
        <x:v>51683000</x:v>
      </x:c>
      <x:c r="H98" s="39" t="n">
        <x:f>G98/F98</x:f>
        <x:v>1.0020953590399304</x:v>
      </x:c>
      <x:c r="I98" s="40" t="n">
        <x:v>827718320000</x:v>
      </x:c>
      <x:c r="J98" s="40" t="n">
        <x:v>827718320000</x:v>
      </x:c>
      <x:c r="K98" s="40" t="n">
        <x:v>16049</x:v>
      </x:c>
      <x:c r="L98" s="40" t="n">
        <x:v>6688</x:v>
      </x:c>
      <x:c r="M98" s="40" t="n">
        <x:v>20154</x:v>
      </x:c>
      <x:c r="N98" s="41" t="n">
        <x:f>MIN(L98,M98)</x:f>
        <x:v>6688</x:v>
      </x:c>
      <x:c r="O98" s="41" t="n">
        <x:f>MAX(L98,M98)</x:f>
        <x:v>20154</x:v>
      </x:c>
      <x:c r="P98" s="41" t="n">
        <x:f>MAX(N98,MIN(K98,O98))</x:f>
        <x:v>16049</x:v>
      </x:c>
      <x:c r="Q98" s="19" t="str">
        <x:f>IF(K98&lt;N98,IF(N98=L98,"clamped_to_nominal","clamped_to_ppp"),IF(K98&gt;O98,IF(O98=L98,"clamped_to_nominal","clamped_to_ppp"),"kept_vanilla"))</x:f>
        <x:v>kept_vanilla</x:v>
      </x:c>
      <x:c r="R98" s="41" t="n">
        <x:f>P98*G98</x:f>
        <x:v>829460467000</x:v>
      </x:c>
      <x:c r="S98" s="41" t="n">
        <x:f>R98/E98</x:f>
        <x:v>829460467000</x:v>
      </x:c>
      <x:c r="T98" s="36" t="str">
        <x:v>COL: IMF exact 2022</x:v>
      </x:c>
      <x:c r="U98" s="36" t="str">
        <x:v>COL: IMF exact 2022</x:v>
      </x:c>
      <x:c r="V98" s="36" t="str">
        <x:v>COL: IMF exact 2022</x:v>
      </x:c>
      <x:c r="W98" s="36" t="str">
        <x:v>complete_primary</x:v>
      </x:c>
      <x:c r="X98" s="36" t="str">
        <x:v>https://api.imf.org/external/sdmx/3.0/data/dataflow/IMF.RES/WEO/9.0.0/</x:v>
      </x:c>
      <x:c r="Y98" s="36" t="str">
        <x:v>https://api.worldbank.org/v2/</x:v>
      </x:c>
    </x:row>
    <x:row r="99">
      <x:c r="A99" s="24" t="str">
        <x:v>COL</x:v>
      </x:c>
      <x:c r="B99" s="24" t="str">
        <x:v>Colombia</x:v>
      </x:c>
      <x:c r="C99" s="24" t="str">
        <x:v>COL</x:v>
      </x:c>
      <x:c r="D99" s="24" t="n">
        <x:v>2026</x:v>
      </x:c>
      <x:c r="E99" s="37" t="n">
        <x:v>0.87</x:v>
      </x:c>
      <x:c r="F99" s="38" t="n">
        <x:v>53936226</x:v>
      </x:c>
      <x:c r="G99" s="38" t="n">
        <x:v>53399171</x:v>
      </x:c>
      <x:c r="H99" s="39" t="n">
        <x:f>G99/F99</x:f>
        <x:v>0.9900427775573323</x:v>
      </x:c>
      <x:c r="I99" s="40" t="n">
        <x:v>1046729200000</x:v>
      </x:c>
      <x:c r="J99" s="40" t="n">
        <x:v>910654404000</x:v>
      </x:c>
      <x:c r="K99" s="40" t="n">
        <x:v>16884</x:v>
      </x:c>
      <x:c r="L99" s="40" t="n">
        <x:v>8790</x:v>
      </x:c>
      <x:c r="M99" s="40" t="n">
        <x:v>20511</x:v>
      </x:c>
      <x:c r="N99" s="41" t="n">
        <x:f>MIN(L99,M99)</x:f>
        <x:v>8790</x:v>
      </x:c>
      <x:c r="O99" s="41" t="n">
        <x:f>MAX(L99,M99)</x:f>
        <x:v>20511</x:v>
      </x:c>
      <x:c r="P99" s="41" t="n">
        <x:f>MAX(N99,MIN(K99,O99))</x:f>
        <x:v>16884</x:v>
      </x:c>
      <x:c r="Q99" s="19" t="str">
        <x:f>IF(K99&lt;N99,IF(N99=L99,"clamped_to_nominal","clamped_to_ppp"),IF(K99&gt;O99,IF(O99=L99,"clamped_to_nominal","clamped_to_ppp"),"kept_vanilla"))</x:f>
        <x:v>kept_vanilla</x:v>
      </x:c>
      <x:c r="R99" s="41" t="n">
        <x:f>P99*G99</x:f>
        <x:v>901591603164</x:v>
      </x:c>
      <x:c r="S99" s="41" t="n">
        <x:f>R99/E99</x:f>
        <x:v>1036312187544.8276</x:v>
      </x:c>
      <x:c r="T99" s="36" t="str">
        <x:v>COL: IMF exact 2026</x:v>
      </x:c>
      <x:c r="U99" s="36" t="str">
        <x:v>COL: IMF exact 2026</x:v>
      </x:c>
      <x:c r="V99" s="36" t="str">
        <x:v>COL: IMF exact 2026</x:v>
      </x:c>
      <x:c r="W99" s="36" t="str">
        <x:v>complete_primary</x:v>
      </x:c>
      <x:c r="X99" s="36" t="str">
        <x:v>https://api.imf.org/external/sdmx/3.0/data/dataflow/IMF.RES/WEO/9.0.0/</x:v>
      </x:c>
      <x:c r="Y99" s="36" t="str">
        <x:v>https://api.worldbank.org/v2/</x:v>
      </x:c>
    </x:row>
    <x:row r="100">
      <x:c r="A100" s="24" t="str">
        <x:v>RTK</x:v>
      </x:c>
      <x:c r="B100" s="24" t="str">
        <x:v>Comoros</x:v>
      </x:c>
      <x:c r="C100" s="24" t="str">
        <x:v>COM</x:v>
      </x:c>
      <x:c r="D100" s="24" t="n">
        <x:v>2003</x:v>
      </x:c>
      <x:c r="E100" s="37" t="n">
        <x:v>1.59</x:v>
      </x:c>
      <x:c r="F100" s="38" t="n">
        <x:v>569798</x:v>
      </x:c>
      <x:c r="G100" s="38" t="n">
        <x:v>570130</x:v>
      </x:c>
      <x:c r="H100" s="39" t="n">
        <x:f>G100/F100</x:f>
        <x:v>1.0005826626278085</x:v>
      </x:c>
      <x:c r="I100" s="40" t="n">
        <x:v>763157895</x:v>
      </x:c>
      <x:c r="J100" s="40" t="n">
        <x:v>1213421053</x:v>
      </x:c>
      <x:c r="K100" s="40" t="n">
        <x:v>2130</x:v>
      </x:c>
      <x:c r="L100" s="40" t="n">
        <x:v>1525</x:v>
      </x:c>
      <x:c r="M100" s="40" t="n">
        <x:v>3640</x:v>
      </x:c>
      <x:c r="N100" s="41" t="n">
        <x:f>MIN(L100,M100)</x:f>
        <x:v>1525</x:v>
      </x:c>
      <x:c r="O100" s="41" t="n">
        <x:f>MAX(L100,M100)</x:f>
        <x:v>3640</x:v>
      </x:c>
      <x:c r="P100" s="41" t="n">
        <x:f>MAX(N100,MIN(K100,O100))</x:f>
        <x:v>2130</x:v>
      </x:c>
      <x:c r="Q100" s="19" t="str">
        <x:f>IF(K100&lt;N100,IF(N100=L100,"clamped_to_nominal","clamped_to_ppp"),IF(K100&gt;O100,IF(O100=L100,"clamped_to_nominal","clamped_to_ppp"),"kept_vanilla"))</x:f>
        <x:v>kept_vanilla</x:v>
      </x:c>
      <x:c r="R100" s="41" t="n">
        <x:f>P100*G100</x:f>
        <x:v>1214376900</x:v>
      </x:c>
      <x:c r="S100" s="41" t="n">
        <x:f>R100/E100</x:f>
        <x:v>763759056.6037736</x:v>
      </x:c>
      <x:c r="T100" s="36" t="str">
        <x:v>COM: IMF exact 2003</x:v>
      </x:c>
      <x:c r="U100" s="36" t="str">
        <x:v>COM: IMF exact 2003</x:v>
      </x:c>
      <x:c r="V100" s="36" t="str">
        <x:v>COM: IMF exact 2003</x:v>
      </x:c>
      <x:c r="W100" s="36" t="str">
        <x:v>complete_primary</x:v>
      </x:c>
      <x:c r="X100" s="36" t="str">
        <x:v>https://api.imf.org/external/sdmx/3.0/data/dataflow/IMF.RES/WEO/9.0.0/</x:v>
      </x:c>
      <x:c r="Y100" s="36" t="str">
        <x:v>https://api.worldbank.org/v2/</x:v>
      </x:c>
    </x:row>
    <x:row r="101">
      <x:c r="A101" s="24" t="str">
        <x:v>RTK</x:v>
      </x:c>
      <x:c r="B101" s="24" t="str">
        <x:v>Comoros</x:v>
      </x:c>
      <x:c r="C101" s="24" t="str">
        <x:v>COM</x:v>
      </x:c>
      <x:c r="D101" s="24" t="n">
        <x:v>2022</x:v>
      </x:c>
      <x:c r="E101" s="37" t="n">
        <x:v>1</x:v>
      </x:c>
      <x:c r="F101" s="38" t="n">
        <x:v>913269</x:v>
      </x:c>
      <x:c r="G101" s="38" t="n">
        <x:v>850694</x:v>
      </x:c>
      <x:c r="H101" s="39" t="n">
        <x:f>G101/F101</x:f>
        <x:v>0.9314824000376669</x:v>
      </x:c>
      <x:c r="I101" s="40" t="n">
        <x:v>2821280000</x:v>
      </x:c>
      <x:c r="J101" s="40" t="n">
        <x:v>2821280000</x:v>
      </x:c>
      <x:c r="K101" s="40" t="n">
        <x:v>3089</x:v>
      </x:c>
      <x:c r="L101" s="40" t="n">
        <x:v>1439</x:v>
      </x:c>
      <x:c r="M101" s="40" t="n">
        <x:v>3570</x:v>
      </x:c>
      <x:c r="N101" s="41" t="n">
        <x:f>MIN(L101,M101)</x:f>
        <x:v>1439</x:v>
      </x:c>
      <x:c r="O101" s="41" t="n">
        <x:f>MAX(L101,M101)</x:f>
        <x:v>3570</x:v>
      </x:c>
      <x:c r="P101" s="41" t="n">
        <x:f>MAX(N101,MIN(K101,O101))</x:f>
        <x:v>3089</x:v>
      </x:c>
      <x:c r="Q101" s="19" t="str">
        <x:f>IF(K101&lt;N101,IF(N101=L101,"clamped_to_nominal","clamped_to_ppp"),IF(K101&gt;O101,IF(O101=L101,"clamped_to_nominal","clamped_to_ppp"),"kept_vanilla"))</x:f>
        <x:v>kept_vanilla</x:v>
      </x:c>
      <x:c r="R101" s="41" t="n">
        <x:f>P101*G101</x:f>
        <x:v>2627793766</x:v>
      </x:c>
      <x:c r="S101" s="41" t="n">
        <x:f>R101/E101</x:f>
        <x:v>2627793766</x:v>
      </x:c>
      <x:c r="T101" s="36" t="str">
        <x:v>COM: IMF exact 2022</x:v>
      </x:c>
      <x:c r="U101" s="36" t="str">
        <x:v>COM: IMF exact 2022</x:v>
      </x:c>
      <x:c r="V101" s="36" t="str">
        <x:v>COM: IMF exact 2022</x:v>
      </x:c>
      <x:c r="W101" s="36" t="str">
        <x:v>complete_primary</x:v>
      </x:c>
      <x:c r="X101" s="36" t="str">
        <x:v>https://api.imf.org/external/sdmx/3.0/data/dataflow/IMF.RES/WEO/9.0.0/</x:v>
      </x:c>
      <x:c r="Y101" s="36" t="str">
        <x:v>https://api.worldbank.org/v2/</x:v>
      </x:c>
    </x:row>
    <x:row r="102">
      <x:c r="A102" s="24" t="str">
        <x:v>RTK</x:v>
      </x:c>
      <x:c r="B102" s="24" t="str">
        <x:v>Comoros</x:v>
      </x:c>
      <x:c r="C102" s="24" t="str">
        <x:v>COM</x:v>
      </x:c>
      <x:c r="D102" s="24" t="n">
        <x:v>2026</x:v>
      </x:c>
      <x:c r="E102" s="37" t="n">
        <x:v>0.87</x:v>
      </x:c>
      <x:c r="F102" s="38" t="n">
        <x:v>899010</x:v>
      </x:c>
      <x:c r="G102" s="38" t="n">
        <x:v>929650</x:v>
      </x:c>
      <x:c r="H102" s="39" t="n">
        <x:f>G102/F102</x:f>
        <x:v>1.034081934572474</x:v>
      </x:c>
      <x:c r="I102" s="40" t="n">
        <x:v>3216400000</x:v>
      </x:c>
      <x:c r="J102" s="40" t="n">
        <x:v>2798268000</x:v>
      </x:c>
      <x:c r="K102" s="40" t="n">
        <x:v>3113</x:v>
      </x:c>
      <x:c r="L102" s="40" t="n">
        <x:v>1697</x:v>
      </x:c>
      <x:c r="M102" s="40" t="n">
        <x:v>3674</x:v>
      </x:c>
      <x:c r="N102" s="41" t="n">
        <x:f>MIN(L102,M102)</x:f>
        <x:v>1697</x:v>
      </x:c>
      <x:c r="O102" s="41" t="n">
        <x:f>MAX(L102,M102)</x:f>
        <x:v>3674</x:v>
      </x:c>
      <x:c r="P102" s="41" t="n">
        <x:f>MAX(N102,MIN(K102,O102))</x:f>
        <x:v>3113</x:v>
      </x:c>
      <x:c r="Q102" s="19" t="str">
        <x:f>IF(K102&lt;N102,IF(N102=L102,"clamped_to_nominal","clamped_to_ppp"),IF(K102&gt;O102,IF(O102=L102,"clamped_to_nominal","clamped_to_ppp"),"kept_vanilla"))</x:f>
        <x:v>kept_vanilla</x:v>
      </x:c>
      <x:c r="R102" s="41" t="n">
        <x:f>P102*G102</x:f>
        <x:v>2894000450</x:v>
      </x:c>
      <x:c r="S102" s="41" t="n">
        <x:f>R102/E102</x:f>
        <x:v>3326437298.8505745</x:v>
      </x:c>
      <x:c r="T102" s="36" t="str">
        <x:v>COM: IMF exact 2026</x:v>
      </x:c>
      <x:c r="U102" s="36" t="str">
        <x:v>COM: IMF exact 2026</x:v>
      </x:c>
      <x:c r="V102" s="36" t="str">
        <x:v>COM: IMF exact 2026</x:v>
      </x:c>
      <x:c r="W102" s="36" t="str">
        <x:v>complete_primary</x:v>
      </x:c>
      <x:c r="X102" s="36" t="str">
        <x:v>https://api.imf.org/external/sdmx/3.0/data/dataflow/IMF.RES/WEO/9.0.0/</x:v>
      </x:c>
      <x:c r="Y102" s="36" t="str">
        <x:v>https://api.worldbank.org/v2/</x:v>
      </x:c>
    </x:row>
    <x:row r="103">
      <x:c r="A103" s="24" t="str">
        <x:v>COD</x:v>
      </x:c>
      <x:c r="B103" s="24" t="str">
        <x:v>Congo</x:v>
      </x:c>
      <x:c r="C103" s="24" t="str">
        <x:v>COD</x:v>
      </x:c>
      <x:c r="D103" s="24" t="n">
        <x:v>2003</x:v>
      </x:c>
      <x:c r="E103" s="37" t="n">
        <x:v>1.59</x:v>
      </x:c>
      <x:c r="F103" s="38" t="n">
        <x:v>55343867</x:v>
      </x:c>
      <x:c r="G103" s="38" t="n">
        <x:v>52602208</x:v>
      </x:c>
      <x:c r="H103" s="39" t="n">
        <x:f>G103/F103</x:f>
        <x:v>0.9504613763255827</x:v>
      </x:c>
      <x:c r="I103" s="40" t="n">
        <x:v>17094736842</x:v>
      </x:c>
      <x:c r="J103" s="40" t="n">
        <x:v>27180631579</x:v>
      </x:c>
      <x:c r="K103" s="40" t="n">
        <x:v>491</x:v>
      </x:c>
      <x:c r="L103" s="40" t="n">
        <x:v>273</x:v>
      </x:c>
      <x:c r="M103" s="40" t="n">
        <x:v>835</x:v>
      </x:c>
      <x:c r="N103" s="41" t="n">
        <x:f>MIN(L103,M103)</x:f>
        <x:v>273</x:v>
      </x:c>
      <x:c r="O103" s="41" t="n">
        <x:f>MAX(L103,M103)</x:f>
        <x:v>835</x:v>
      </x:c>
      <x:c r="P103" s="41" t="n">
        <x:f>MAX(N103,MIN(K103,O103))</x:f>
        <x:v>491</x:v>
      </x:c>
      <x:c r="Q103" s="19" t="str">
        <x:f>IF(K103&lt;N103,IF(N103=L103,"clamped_to_nominal","clamped_to_ppp"),IF(K103&gt;O103,IF(O103=L103,"clamped_to_nominal","clamped_to_ppp"),"kept_vanilla"))</x:f>
        <x:v>kept_vanilla</x:v>
      </x:c>
      <x:c r="R103" s="41" t="n">
        <x:f>P103*G103</x:f>
        <x:v>25827684128</x:v>
      </x:c>
      <x:c r="S103" s="41" t="n">
        <x:f>R103/E103</x:f>
        <x:v>16243826495.597483</x:v>
      </x:c>
      <x:c r="T103" s="36" t="str">
        <x:v>COD: IMF exact 2003</x:v>
      </x:c>
      <x:c r="U103" s="36" t="str">
        <x:v>COD: IMF exact 2003</x:v>
      </x:c>
      <x:c r="V103" s="36" t="str">
        <x:v>COD: IMF exact 2003</x:v>
      </x:c>
      <x:c r="W103" s="36" t="str">
        <x:v>complete_primary</x:v>
      </x:c>
      <x:c r="X103" s="36" t="str">
        <x:v>https://api.imf.org/external/sdmx/3.0/data/dataflow/IMF.RES/WEO/9.0.0/</x:v>
      </x:c>
      <x:c r="Y103" s="36" t="str">
        <x:v>https://api.worldbank.org/v2/</x:v>
      </x:c>
    </x:row>
    <x:row r="104">
      <x:c r="A104" s="24" t="str">
        <x:v>COD</x:v>
      </x:c>
      <x:c r="B104" s="24" t="str">
        <x:v>Congo</x:v>
      </x:c>
      <x:c r="C104" s="24" t="str">
        <x:v>COD</x:v>
      </x:c>
      <x:c r="D104" s="24" t="n">
        <x:v>2022</x:v>
      </x:c>
      <x:c r="E104" s="37" t="n">
        <x:v>1</x:v>
      </x:c>
      <x:c r="F104" s="38" t="n">
        <x:v>96149852</x:v>
      </x:c>
      <x:c r="G104" s="38" t="n">
        <x:v>96800700</x:v>
      </x:c>
      <x:c r="H104" s="39" t="n">
        <x:f>G104/F104</x:f>
        <x:v>1.0067691003830146</x:v>
      </x:c>
      <x:c r="I104" s="40" t="n">
        <x:v>112097920000</x:v>
      </x:c>
      <x:c r="J104" s="40" t="n">
        <x:v>112097920000</x:v>
      </x:c>
      <x:c r="K104" s="40" t="n">
        <x:v>1166</x:v>
      </x:c>
      <x:c r="L104" s="40" t="n">
        <x:v>727</x:v>
      </x:c>
      <x:c r="M104" s="40" t="n">
        <x:v>1682</x:v>
      </x:c>
      <x:c r="N104" s="41" t="n">
        <x:f>MIN(L104,M104)</x:f>
        <x:v>727</x:v>
      </x:c>
      <x:c r="O104" s="41" t="n">
        <x:f>MAX(L104,M104)</x:f>
        <x:v>1682</x:v>
      </x:c>
      <x:c r="P104" s="41" t="n">
        <x:f>MAX(N104,MIN(K104,O104))</x:f>
        <x:v>1166</x:v>
      </x:c>
      <x:c r="Q104" s="19" t="str">
        <x:f>IF(K104&lt;N104,IF(N104=L104,"clamped_to_nominal","clamped_to_ppp"),IF(K104&gt;O104,IF(O104=L104,"clamped_to_nominal","clamped_to_ppp"),"kept_vanilla"))</x:f>
        <x:v>kept_vanilla</x:v>
      </x:c>
      <x:c r="R104" s="41" t="n">
        <x:f>P104*G104</x:f>
        <x:v>112869616200</x:v>
      </x:c>
      <x:c r="S104" s="41" t="n">
        <x:f>R104/E104</x:f>
        <x:v>112869616200</x:v>
      </x:c>
      <x:c r="T104" s="36" t="str">
        <x:v>COD: IMF exact 2022</x:v>
      </x:c>
      <x:c r="U104" s="36" t="str">
        <x:v>COD: IMF exact 2022</x:v>
      </x:c>
      <x:c r="V104" s="36" t="str">
        <x:v>COD: IMF exact 2022</x:v>
      </x:c>
      <x:c r="W104" s="36" t="str">
        <x:v>complete_primary</x:v>
      </x:c>
      <x:c r="X104" s="36" t="str">
        <x:v>https://api.imf.org/external/sdmx/3.0/data/dataflow/IMF.RES/WEO/9.0.0/</x:v>
      </x:c>
      <x:c r="Y104" s="36" t="str">
        <x:v>https://api.worldbank.org/v2/</x:v>
      </x:c>
    </x:row>
    <x:row r="105">
      <x:c r="A105" s="24" t="str">
        <x:v>COD</x:v>
      </x:c>
      <x:c r="B105" s="24" t="str">
        <x:v>Congo</x:v>
      </x:c>
      <x:c r="C105" s="24" t="str">
        <x:v>COD</x:v>
      </x:c>
      <x:c r="D105" s="24" t="n">
        <x:v>2026</x:v>
      </x:c>
      <x:c r="E105" s="37" t="n">
        <x:v>0.87</x:v>
      </x:c>
      <x:c r="F105" s="38" t="n">
        <x:v>116452162</x:v>
      </x:c>
      <x:c r="G105" s="38" t="n">
        <x:v>110020021</x:v>
      </x:c>
      <x:c r="H105" s="39" t="n">
        <x:f>G105/F105</x:f>
        <x:v>0.9447658086416635</x:v>
      </x:c>
      <x:c r="I105" s="40" t="n">
        <x:v>176668800000</x:v>
      </x:c>
      <x:c r="J105" s="40" t="n">
        <x:v>153701856000</x:v>
      </x:c>
      <x:c r="K105" s="40" t="n">
        <x:v>1320</x:v>
      </x:c>
      <x:c r="L105" s="40" t="n">
        <x:v>976</x:v>
      </x:c>
      <x:c r="M105" s="40" t="n">
        <x:v>1866</x:v>
      </x:c>
      <x:c r="N105" s="41" t="n">
        <x:f>MIN(L105,M105)</x:f>
        <x:v>976</x:v>
      </x:c>
      <x:c r="O105" s="41" t="n">
        <x:f>MAX(L105,M105)</x:f>
        <x:v>1866</x:v>
      </x:c>
      <x:c r="P105" s="41" t="n">
        <x:f>MAX(N105,MIN(K105,O105))</x:f>
        <x:v>1320</x:v>
      </x:c>
      <x:c r="Q105" s="19" t="str">
        <x:f>IF(K105&lt;N105,IF(N105=L105,"clamped_to_nominal","clamped_to_ppp"),IF(K105&gt;O105,IF(O105=L105,"clamped_to_nominal","clamped_to_ppp"),"kept_vanilla"))</x:f>
        <x:v>kept_vanilla</x:v>
      </x:c>
      <x:c r="R105" s="41" t="n">
        <x:f>P105*G105</x:f>
        <x:v>145226427720</x:v>
      </x:c>
      <x:c r="S105" s="41" t="n">
        <x:f>R105/E105</x:f>
        <x:v>166926928413.7931</x:v>
      </x:c>
      <x:c r="T105" s="36" t="str">
        <x:v>COD: IMF exact 2026</x:v>
      </x:c>
      <x:c r="U105" s="36" t="str">
        <x:v>COD: IMF exact 2026</x:v>
      </x:c>
      <x:c r="V105" s="36" t="str">
        <x:v>COD: IMF exact 2026</x:v>
      </x:c>
      <x:c r="W105" s="36" t="str">
        <x:v>complete_primary</x:v>
      </x:c>
      <x:c r="X105" s="36" t="str">
        <x:v>https://api.imf.org/external/sdmx/3.0/data/dataflow/IMF.RES/WEO/9.0.0/</x:v>
      </x:c>
      <x:c r="Y105" s="36" t="str">
        <x:v>https://api.worldbank.org/v2/</x:v>
      </x:c>
    </x:row>
    <x:row r="106">
      <x:c r="A106" s="24" t="str">
        <x:v>COS</x:v>
      </x:c>
      <x:c r="B106" s="24" t="str">
        <x:v>Costa Rica</x:v>
      </x:c>
      <x:c r="C106" s="24" t="str">
        <x:v>CRI</x:v>
      </x:c>
      <x:c r="D106" s="24" t="n">
        <x:v>2003</x:v>
      </x:c>
      <x:c r="E106" s="37" t="n">
        <x:v>1.59</x:v>
      </x:c>
      <x:c r="F106" s="38" t="n">
        <x:v>4138784</x:v>
      </x:c>
      <x:c r="G106" s="38" t="n">
        <x:v>4086405</x:v>
      </x:c>
      <x:c r="H106" s="39" t="n">
        <x:f>G106/F106</x:f>
        <x:v>0.9873443504179005</x:v>
      </x:c>
      <x:c r="I106" s="40" t="n">
        <x:v>25149707602</x:v>
      </x:c>
      <x:c r="J106" s="40" t="n">
        <x:v>39988035087</x:v>
      </x:c>
      <x:c r="K106" s="40" t="n">
        <x:v>9662</x:v>
      </x:c>
      <x:c r="L106" s="40" t="n">
        <x:v>6722</x:v>
      </x:c>
      <x:c r="M106" s="40" t="n">
        <x:v>16733</x:v>
      </x:c>
      <x:c r="N106" s="41" t="n">
        <x:f>MIN(L106,M106)</x:f>
        <x:v>6722</x:v>
      </x:c>
      <x:c r="O106" s="41" t="n">
        <x:f>MAX(L106,M106)</x:f>
        <x:v>16733</x:v>
      </x:c>
      <x:c r="P106" s="41" t="n">
        <x:f>MAX(N106,MIN(K106,O106))</x:f>
        <x:v>9662</x:v>
      </x:c>
      <x:c r="Q106" s="19" t="str">
        <x:f>IF(K106&lt;N106,IF(N106=L106,"clamped_to_nominal","clamped_to_ppp"),IF(K106&gt;O106,IF(O106=L106,"clamped_to_nominal","clamped_to_ppp"),"kept_vanilla"))</x:f>
        <x:v>kept_vanilla</x:v>
      </x:c>
      <x:c r="R106" s="41" t="n">
        <x:f>P106*G106</x:f>
        <x:v>39482845110</x:v>
      </x:c>
      <x:c r="S106" s="41" t="n">
        <x:f>R106/E106</x:f>
        <x:v>24831978056.60377</x:v>
      </x:c>
      <x:c r="T106" s="36" t="str">
        <x:v>CRI: IMF exact 2003</x:v>
      </x:c>
      <x:c r="U106" s="36" t="str">
        <x:v>CRI: IMF exact 2003</x:v>
      </x:c>
      <x:c r="V106" s="36" t="str">
        <x:v>CRI: IMF exact 2003</x:v>
      </x:c>
      <x:c r="W106" s="36" t="str">
        <x:v>complete_primary</x:v>
      </x:c>
      <x:c r="X106" s="36" t="str">
        <x:v>https://api.imf.org/external/sdmx/3.0/data/dataflow/IMF.RES/WEO/9.0.0/</x:v>
      </x:c>
      <x:c r="Y106" s="36" t="str">
        <x:v>https://api.worldbank.org/v2/</x:v>
      </x:c>
    </x:row>
    <x:row r="107">
      <x:c r="A107" s="24" t="str">
        <x:v>COS</x:v>
      </x:c>
      <x:c r="B107" s="24" t="str">
        <x:v>Costa Rica</x:v>
      </x:c>
      <x:c r="C107" s="24" t="str">
        <x:v>CRI</x:v>
      </x:c>
      <x:c r="D107" s="24" t="n">
        <x:v>2022</x:v>
      </x:c>
      <x:c r="E107" s="37" t="n">
        <x:v>1</x:v>
      </x:c>
      <x:c r="F107" s="38" t="n">
        <x:v>5195682</x:v>
      </x:c>
      <x:c r="G107" s="38" t="n">
        <x:v>5229297</x:v>
      </x:c>
      <x:c r="H107" s="39" t="n">
        <x:f>G107/F107</x:f>
        <x:v>1.0064697954955673</x:v>
      </x:c>
      <x:c r="I107" s="40" t="n">
        <x:v>112757920000</x:v>
      </x:c>
      <x:c r="J107" s="40" t="n">
        <x:v>112757920000</x:v>
      </x:c>
      <x:c r="K107" s="40" t="n">
        <x:v>21702</x:v>
      </x:c>
      <x:c r="L107" s="40" t="n">
        <x:v>13576</x:v>
      </x:c>
      <x:c r="M107" s="40" t="n">
        <x:v>26642</x:v>
      </x:c>
      <x:c r="N107" s="41" t="n">
        <x:f>MIN(L107,M107)</x:f>
        <x:v>13576</x:v>
      </x:c>
      <x:c r="O107" s="41" t="n">
        <x:f>MAX(L107,M107)</x:f>
        <x:v>26642</x:v>
      </x:c>
      <x:c r="P107" s="41" t="n">
        <x:f>MAX(N107,MIN(K107,O107))</x:f>
        <x:v>21702</x:v>
      </x:c>
      <x:c r="Q107" s="19" t="str">
        <x:f>IF(K107&lt;N107,IF(N107=L107,"clamped_to_nominal","clamped_to_ppp"),IF(K107&gt;O107,IF(O107=L107,"clamped_to_nominal","clamped_to_ppp"),"kept_vanilla"))</x:f>
        <x:v>kept_vanilla</x:v>
      </x:c>
      <x:c r="R107" s="41" t="n">
        <x:f>P107*G107</x:f>
        <x:v>113486203494</x:v>
      </x:c>
      <x:c r="S107" s="41" t="n">
        <x:f>R107/E107</x:f>
        <x:v>113486203494</x:v>
      </x:c>
      <x:c r="T107" s="36" t="str">
        <x:v>CRI: IMF exact 2022</x:v>
      </x:c>
      <x:c r="U107" s="36" t="str">
        <x:v>CRI: IMF exact 2022</x:v>
      </x:c>
      <x:c r="V107" s="36" t="str">
        <x:v>CRI: IMF exact 2022</x:v>
      </x:c>
      <x:c r="W107" s="36" t="str">
        <x:v>complete_primary</x:v>
      </x:c>
      <x:c r="X107" s="36" t="str">
        <x:v>https://api.imf.org/external/sdmx/3.0/data/dataflow/IMF.RES/WEO/9.0.0/</x:v>
      </x:c>
      <x:c r="Y107" s="36" t="str">
        <x:v>https://api.worldbank.org/v2/</x:v>
      </x:c>
    </x:row>
    <x:row r="108">
      <x:c r="A108" s="24" t="str">
        <x:v>COS</x:v>
      </x:c>
      <x:c r="B108" s="24" t="str">
        <x:v>Costa Rica</x:v>
      </x:c>
      <x:c r="C108" s="24" t="str">
        <x:v>CRI</x:v>
      </x:c>
      <x:c r="D108" s="24" t="n">
        <x:v>2026</x:v>
      </x:c>
      <x:c r="E108" s="37" t="n">
        <x:v>0.87</x:v>
      </x:c>
      <x:c r="F108" s="38" t="n">
        <x:v>5174789</x:v>
      </x:c>
      <x:c r="G108" s="38" t="n">
        <x:v>5415538</x:v>
      </x:c>
      <x:c r="H108" s="39" t="n">
        <x:f>G108/F108</x:f>
        <x:v>1.0465234427915804</x:v>
      </x:c>
      <x:c r="I108" s="40" t="n">
        <x:v>148749920000</x:v>
      </x:c>
      <x:c r="J108" s="40" t="n">
        <x:v>129412430400</x:v>
      </x:c>
      <x:c r="K108" s="40" t="n">
        <x:v>25008</x:v>
      </x:c>
      <x:c r="L108" s="40" t="n">
        <x:v>17660</x:v>
      </x:c>
      <x:c r="M108" s="40" t="n">
        <x:v>29716</x:v>
      </x:c>
      <x:c r="N108" s="41" t="n">
        <x:f>MIN(L108,M108)</x:f>
        <x:v>17660</x:v>
      </x:c>
      <x:c r="O108" s="41" t="n">
        <x:f>MAX(L108,M108)</x:f>
        <x:v>29716</x:v>
      </x:c>
      <x:c r="P108" s="41" t="n">
        <x:f>MAX(N108,MIN(K108,O108))</x:f>
        <x:v>25008</x:v>
      </x:c>
      <x:c r="Q108" s="19" t="str">
        <x:f>IF(K108&lt;N108,IF(N108=L108,"clamped_to_nominal","clamped_to_ppp"),IF(K108&gt;O108,IF(O108=L108,"clamped_to_nominal","clamped_to_ppp"),"kept_vanilla"))</x:f>
        <x:v>kept_vanilla</x:v>
      </x:c>
      <x:c r="R108" s="41" t="n">
        <x:f>P108*G108</x:f>
        <x:v>135431774304</x:v>
      </x:c>
      <x:c r="S108" s="41" t="n">
        <x:f>R108/E108</x:f>
        <x:v>155668706096.55173</x:v>
      </x:c>
      <x:c r="T108" s="36" t="str">
        <x:v>CRI: IMF exact 2026</x:v>
      </x:c>
      <x:c r="U108" s="36" t="str">
        <x:v>CRI: IMF exact 2026</x:v>
      </x:c>
      <x:c r="V108" s="36" t="str">
        <x:v>CRI: IMF exact 2026</x:v>
      </x:c>
      <x:c r="W108" s="36" t="str">
        <x:v>complete_primary</x:v>
      </x:c>
      <x:c r="X108" s="36" t="str">
        <x:v>https://api.imf.org/external/sdmx/3.0/data/dataflow/IMF.RES/WEO/9.0.0/</x:v>
      </x:c>
      <x:c r="Y108" s="36" t="str">
        <x:v>https://api.worldbank.org/v2/</x:v>
      </x:c>
    </x:row>
    <x:row r="109">
      <x:c r="A109" s="24" t="str">
        <x:v>CRS</x:v>
      </x:c>
      <x:c r="B109" s="24" t="str">
        <x:v>Croatia</x:v>
      </x:c>
      <x:c r="C109" s="24" t="str">
        <x:v>HRV</x:v>
      </x:c>
      <x:c r="D109" s="24" t="n">
        <x:v>2003</x:v>
      </x:c>
      <x:c r="E109" s="37" t="n">
        <x:v>1.59</x:v>
      </x:c>
      <x:c r="F109" s="38" t="n">
        <x:v>4306686</x:v>
      </x:c>
      <x:c r="G109" s="38" t="n">
        <x:v>4303000</x:v>
      </x:c>
      <x:c r="H109" s="39" t="n">
        <x:f>G109/F109</x:f>
        <x:v>0.9991441214892379</x:v>
      </x:c>
      <x:c r="I109" s="40" t="n">
        <x:v>42554970760</x:v>
      </x:c>
      <x:c r="J109" s="40" t="n">
        <x:v>67662403508</x:v>
      </x:c>
      <x:c r="K109" s="40" t="n">
        <x:v>15711</x:v>
      </x:c>
      <x:c r="L109" s="40" t="n">
        <x:v>13022</x:v>
      </x:c>
      <x:c r="M109" s="40" t="n">
        <x:v>26892</x:v>
      </x:c>
      <x:c r="N109" s="41" t="n">
        <x:f>MIN(L109,M109)</x:f>
        <x:v>13022</x:v>
      </x:c>
      <x:c r="O109" s="41" t="n">
        <x:f>MAX(L109,M109)</x:f>
        <x:v>26892</x:v>
      </x:c>
      <x:c r="P109" s="41" t="n">
        <x:f>MAX(N109,MIN(K109,O109))</x:f>
        <x:v>15711</x:v>
      </x:c>
      <x:c r="Q109" s="19" t="str">
        <x:f>IF(K109&lt;N109,IF(N109=L109,"clamped_to_nominal","clamped_to_ppp"),IF(K109&gt;O109,IF(O109=L109,"clamped_to_nominal","clamped_to_ppp"),"kept_vanilla"))</x:f>
        <x:v>kept_vanilla</x:v>
      </x:c>
      <x:c r="R109" s="41" t="n">
        <x:f>P109*G109</x:f>
        <x:v>67604433000</x:v>
      </x:c>
      <x:c r="S109" s="41" t="n">
        <x:f>R109/E109</x:f>
        <x:v>42518511320.754715</x:v>
      </x:c>
      <x:c r="T109" s="36" t="str">
        <x:v>HRV: IMF exact 2003</x:v>
      </x:c>
      <x:c r="U109" s="36" t="str">
        <x:v>HRV: IMF exact 2003</x:v>
      </x:c>
      <x:c r="V109" s="36" t="str">
        <x:v>HRV: IMF exact 2003</x:v>
      </x:c>
      <x:c r="W109" s="36" t="str">
        <x:v>complete_primary</x:v>
      </x:c>
      <x:c r="X109" s="36" t="str">
        <x:v>https://api.imf.org/external/sdmx/3.0/data/dataflow/IMF.RES/WEO/9.0.0/</x:v>
      </x:c>
      <x:c r="Y109" s="36" t="str">
        <x:v>https://api.worldbank.org/v2/</x:v>
      </x:c>
    </x:row>
    <x:row r="110">
      <x:c r="A110" s="24" t="str">
        <x:v>CRS</x:v>
      </x:c>
      <x:c r="B110" s="24" t="str">
        <x:v>Croatia</x:v>
      </x:c>
      <x:c r="C110" s="24" t="str">
        <x:v>HRV</x:v>
      </x:c>
      <x:c r="D110" s="24" t="n">
        <x:v>2022</x:v>
      </x:c>
      <x:c r="E110" s="37" t="n">
        <x:v>1</x:v>
      </x:c>
      <x:c r="F110" s="38" t="n">
        <x:v>4052597</x:v>
      </x:c>
      <x:c r="G110" s="38" t="n">
        <x:v>3856000</x:v>
      </x:c>
      <x:c r="H110" s="39" t="n">
        <x:f>G110/F110</x:f>
        <x:v>0.9514886380264309</x:v>
      </x:c>
      <x:c r="I110" s="40" t="n">
        <x:v>127628160000</x:v>
      </x:c>
      <x:c r="J110" s="40" t="n">
        <x:v>127628160000</x:v>
      </x:c>
      <x:c r="K110" s="40" t="n">
        <x:v>31493</x:v>
      </x:c>
      <x:c r="L110" s="40" t="n">
        <x:v>18479</x:v>
      </x:c>
      <x:c r="M110" s="40" t="n">
        <x:v>42678</x:v>
      </x:c>
      <x:c r="N110" s="41" t="n">
        <x:f>MIN(L110,M110)</x:f>
        <x:v>18479</x:v>
      </x:c>
      <x:c r="O110" s="41" t="n">
        <x:f>MAX(L110,M110)</x:f>
        <x:v>42678</x:v>
      </x:c>
      <x:c r="P110" s="41" t="n">
        <x:f>MAX(N110,MIN(K110,O110))</x:f>
        <x:v>31493</x:v>
      </x:c>
      <x:c r="Q110" s="19" t="str">
        <x:f>IF(K110&lt;N110,IF(N110=L110,"clamped_to_nominal","clamped_to_ppp"),IF(K110&gt;O110,IF(O110=L110,"clamped_to_nominal","clamped_to_ppp"),"kept_vanilla"))</x:f>
        <x:v>kept_vanilla</x:v>
      </x:c>
      <x:c r="R110" s="41" t="n">
        <x:f>P110*G110</x:f>
        <x:v>121437008000</x:v>
      </x:c>
      <x:c r="S110" s="41" t="n">
        <x:f>R110/E110</x:f>
        <x:v>121437008000</x:v>
      </x:c>
      <x:c r="T110" s="36" t="str">
        <x:v>HRV: IMF exact 2022</x:v>
      </x:c>
      <x:c r="U110" s="36" t="str">
        <x:v>HRV: IMF exact 2022</x:v>
      </x:c>
      <x:c r="V110" s="36" t="str">
        <x:v>HRV: IMF exact 2022</x:v>
      </x:c>
      <x:c r="W110" s="36" t="str">
        <x:v>complete_primary</x:v>
      </x:c>
      <x:c r="X110" s="36" t="str">
        <x:v>https://api.imf.org/external/sdmx/3.0/data/dataflow/IMF.RES/WEO/9.0.0/</x:v>
      </x:c>
      <x:c r="Y110" s="36" t="str">
        <x:v>https://api.worldbank.org/v2/</x:v>
      </x:c>
    </x:row>
    <x:row r="111">
      <x:c r="A111" s="24" t="str">
        <x:v>CRS</x:v>
      </x:c>
      <x:c r="B111" s="24" t="str">
        <x:v>Croatia</x:v>
      </x:c>
      <x:c r="C111" s="24" t="str">
        <x:v>HRV</x:v>
      </x:c>
      <x:c r="D111" s="24" t="n">
        <x:v>2026</x:v>
      </x:c>
      <x:c r="E111" s="37" t="n">
        <x:v>0.87</x:v>
      </x:c>
      <x:c r="F111" s="38" t="n">
        <x:v>3822345</x:v>
      </x:c>
      <x:c r="G111" s="38" t="n">
        <x:v>3881901</x:v>
      </x:c>
      <x:c r="H111" s="39" t="n">
        <x:f>G111/F111</x:f>
        <x:v>1.015581011133218</x:v>
      </x:c>
      <x:c r="I111" s="40" t="n">
        <x:v>174475840000</x:v>
      </x:c>
      <x:c r="J111" s="40" t="n">
        <x:v>151793980800</x:v>
      </x:c>
      <x:c r="K111" s="40" t="n">
        <x:v>39712</x:v>
      </x:c>
      <x:c r="L111" s="40" t="n">
        <x:v>26126</x:v>
      </x:c>
      <x:c r="M111" s="40" t="n">
        <x:v>47292</x:v>
      </x:c>
      <x:c r="N111" s="41" t="n">
        <x:f>MIN(L111,M111)</x:f>
        <x:v>26126</x:v>
      </x:c>
      <x:c r="O111" s="41" t="n">
        <x:f>MAX(L111,M111)</x:f>
        <x:v>47292</x:v>
      </x:c>
      <x:c r="P111" s="41" t="n">
        <x:f>MAX(N111,MIN(K111,O111))</x:f>
        <x:v>39712</x:v>
      </x:c>
      <x:c r="Q111" s="19" t="str">
        <x:f>IF(K111&lt;N111,IF(N111=L111,"clamped_to_nominal","clamped_to_ppp"),IF(K111&gt;O111,IF(O111=L111,"clamped_to_nominal","clamped_to_ppp"),"kept_vanilla"))</x:f>
        <x:v>kept_vanilla</x:v>
      </x:c>
      <x:c r="R111" s="41" t="n">
        <x:f>P111*G111</x:f>
        <x:v>154158052512</x:v>
      </x:c>
      <x:c r="S111" s="41" t="n">
        <x:f>R111/E111</x:f>
        <x:v>177193163806.89655</x:v>
      </x:c>
      <x:c r="T111" s="36" t="str">
        <x:v>HRV: IMF exact 2026</x:v>
      </x:c>
      <x:c r="U111" s="36" t="str">
        <x:v>HRV: IMF exact 2026</x:v>
      </x:c>
      <x:c r="V111" s="36" t="str">
        <x:v>HRV: IMF exact 2026</x:v>
      </x:c>
      <x:c r="W111" s="36" t="str">
        <x:v>complete_primary</x:v>
      </x:c>
      <x:c r="X111" s="36" t="str">
        <x:v>https://api.imf.org/external/sdmx/3.0/data/dataflow/IMF.RES/WEO/9.0.0/</x:v>
      </x:c>
      <x:c r="Y111" s="36" t="str">
        <x:v>https://api.worldbank.org/v2/</x:v>
      </x:c>
    </x:row>
    <x:row r="112">
      <x:c r="A112" s="24" t="str">
        <x:v>CUB</x:v>
      </x:c>
      <x:c r="B112" s="24" t="str">
        <x:v>Cuba</x:v>
      </x:c>
      <x:c r="C112" s="24" t="str">
        <x:v>CUB</x:v>
      </x:c>
      <x:c r="D112" s="24" t="n">
        <x:v>2003</x:v>
      </x:c>
      <x:c r="E112" s="37" t="n">
        <x:v>1.59</x:v>
      </x:c>
      <x:c r="F112" s="38" t="n">
        <x:v>11209383</x:v>
      </x:c>
      <x:c r="G112" s="38" t="n">
        <x:v>11209383</x:v>
      </x:c>
      <x:c r="H112" s="39" t="n">
        <x:f>G112/F112</x:f>
        <x:v>1</x:v>
      </x:c>
      <x:c r="I112" s="40" t="n">
        <x:v>32130000000</x:v>
      </x:c>
      <x:c r="J112" s="40" t="n">
        <x:v>51086700000</x:v>
      </x:c>
      <x:c r="K112" s="40" t="n">
        <x:v>4557</x:v>
      </x:c>
      <x:c r="L112" s="40" t="n">
        <x:v>5092</x:v>
      </x:c>
      <x:c r="M112" s="40" t="n">
        <x:v>13122</x:v>
      </x:c>
      <x:c r="N112" s="41" t="n">
        <x:f>MIN(L112,M112)</x:f>
        <x:v>5092</x:v>
      </x:c>
      <x:c r="O112" s="41" t="n">
        <x:f>MAX(L112,M112)</x:f>
        <x:v>13122</x:v>
      </x:c>
      <x:c r="P112" s="41" t="n">
        <x:f>MAX(N112,MIN(K112,O112))</x:f>
        <x:v>5092</x:v>
      </x:c>
      <x:c r="Q112" s="19" t="str">
        <x:f>IF(K112&lt;N112,IF(N112=L112,"clamped_to_nominal","clamped_to_ppp"),IF(K112&gt;O112,IF(O112=L112,"clamped_to_nominal","clamped_to_ppp"),"kept_vanilla"))</x:f>
        <x:v>clamped_to_nominal</x:v>
      </x:c>
      <x:c r="R112" s="41" t="n">
        <x:f>P112*G112</x:f>
        <x:v>57078178236</x:v>
      </x:c>
      <x:c r="S112" s="41" t="n">
        <x:f>R112/E112</x:f>
        <x:v>35898225305.66038</x:v>
      </x:c>
      <x:c r="T112" s="36" t="str">
        <x:v>CUB: World Bank exact 2003</x:v>
      </x:c>
      <x:c r="U112" s="36" t="str">
        <x:v>CUB: World Bank exact 2003</x:v>
      </x:c>
      <x:c r="V112" s="36" t="str">
        <x:v>CUB: PPP inferred from filled nominal GDP using Latin America &amp; Caribbean ; Upper middle income median PPP/nominal ratio 2.577 (17 peers)</x:v>
      </x:c>
      <x:c r="W112" s="36" t="str">
        <x:v>inferred+secondary_source</x:v>
      </x:c>
      <x:c r="X112" s="36" t="str">
        <x:v>https://api.imf.org/external/sdmx/3.0/data/dataflow/IMF.RES/WEO/9.0.0/</x:v>
      </x:c>
      <x:c r="Y112" s="36" t="str">
        <x:v>https://api.worldbank.org/v2/</x:v>
      </x:c>
    </x:row>
    <x:row r="113">
      <x:c r="A113" s="24" t="str">
        <x:v>CUB</x:v>
      </x:c>
      <x:c r="B113" s="24" t="str">
        <x:v>Cuba</x:v>
      </x:c>
      <x:c r="C113" s="24" t="str">
        <x:v>CUB</x:v>
      </x:c>
      <x:c r="D113" s="24" t="n">
        <x:v>2022</x:v>
      </x:c>
      <x:c r="E113" s="37" t="n">
        <x:v>1</x:v>
      </x:c>
      <x:c r="F113" s="38" t="n">
        <x:v>11302134</x:v>
      </x:c>
      <x:c r="G113" s="38" t="n">
        <x:v>11059820</x:v>
      </x:c>
      <x:c r="H113" s="39" t="n">
        <x:f>G113/F113</x:f>
        <x:v>0.978560332057645</x:v>
      </x:c>
      <x:c r="I113" s="40" t="n">
        <x:v>139016249504</x:v>
      </x:c>
      <x:c r="J113" s="40" t="n">
        <x:v>139016249504</x:v>
      </x:c>
      <x:c r="K113" s="40" t="n">
        <x:v>12300</x:v>
      </x:c>
      <x:c r="L113" s="40" t="n">
        <x:v>11977</x:v>
      </x:c>
      <x:c r="M113" s="40" t="n">
        <x:v>25647</x:v>
      </x:c>
      <x:c r="N113" s="41" t="n">
        <x:f>MIN(L113,M113)</x:f>
        <x:v>11977</x:v>
      </x:c>
      <x:c r="O113" s="41" t="n">
        <x:f>MAX(L113,M113)</x:f>
        <x:v>25647</x:v>
      </x:c>
      <x:c r="P113" s="41" t="n">
        <x:f>MAX(N113,MIN(K113,O113))</x:f>
        <x:v>12300</x:v>
      </x:c>
      <x:c r="Q113" s="19" t="str">
        <x:f>IF(K113&lt;N113,IF(N113=L113,"clamped_to_nominal","clamped_to_ppp"),IF(K113&gt;O113,IF(O113=L113,"clamped_to_nominal","clamped_to_ppp"),"kept_vanilla"))</x:f>
        <x:v>kept_vanilla</x:v>
      </x:c>
      <x:c r="R113" s="41" t="n">
        <x:f>P113*G113</x:f>
        <x:v>136035786000</x:v>
      </x:c>
      <x:c r="S113" s="41" t="n">
        <x:f>R113/E113</x:f>
        <x:v>136035786000</x:v>
      </x:c>
      <x:c r="T113" s="36" t="str">
        <x:v>CUB: World Bank exact 2022</x:v>
      </x:c>
      <x:c r="U113" s="36" t="str">
        <x:v>CUB: peer-growth inference from World Bank 2020; Latin America &amp; Caribbean ; Upper middle income median 5.51%/yr (17 peers, capped at ±8%)</x:v>
      </x:c>
      <x:c r="V113" s="36" t="str">
        <x:v>CUB: PPP inferred from filled nominal GDP using Latin America &amp; Caribbean ; Upper middle income median PPP/nominal ratio 2.141 (17 peers)</x:v>
      </x:c>
      <x:c r="W113" s="36" t="str">
        <x:v>inferred+secondary_source</x:v>
      </x:c>
      <x:c r="X113" s="36" t="str">
        <x:v>https://api.imf.org/external/sdmx/3.0/data/dataflow/IMF.RES/WEO/9.0.0/</x:v>
      </x:c>
      <x:c r="Y113" s="36" t="str">
        <x:v>https://api.worldbank.org/v2/</x:v>
      </x:c>
    </x:row>
    <x:row r="114">
      <x:c r="A114" s="24" t="str">
        <x:v>CUB</x:v>
      </x:c>
      <x:c r="B114" s="24" t="str">
        <x:v>Cuba</x:v>
      </x:c>
      <x:c r="C114" s="24" t="str">
        <x:v>CUB</x:v>
      </x:c>
      <x:c r="D114" s="24" t="n">
        <x:v>2026</x:v>
      </x:c>
      <x:c r="E114" s="37" t="n">
        <x:v>0.87</x:v>
      </x:c>
      <x:c r="F114" s="38" t="n">
        <x:v>10892659</x:v>
      </x:c>
      <x:c r="G114" s="38" t="n">
        <x:v>10894788</x:v>
      </x:c>
      <x:c r="H114" s="39" t="n">
        <x:f>G114/F114</x:f>
        <x:v>1.0001954527356451</x:v>
      </x:c>
      <x:c r="I114" s="40" t="n">
        <x:v>85331845201</x:v>
      </x:c>
      <x:c r="J114" s="40" t="n">
        <x:v>74238705325</x:v>
      </x:c>
      <x:c r="K114" s="40" t="n">
        <x:v>6815</x:v>
      </x:c>
      <x:c r="L114" s="40" t="n">
        <x:v>13953</x:v>
      </x:c>
      <x:c r="M114" s="40" t="n">
        <x:v>32407</x:v>
      </x:c>
      <x:c r="N114" s="41" t="n">
        <x:f>MIN(L114,M114)</x:f>
        <x:v>13953</x:v>
      </x:c>
      <x:c r="O114" s="41" t="n">
        <x:f>MAX(L114,M114)</x:f>
        <x:v>32407</x:v>
      </x:c>
      <x:c r="P114" s="41" t="n">
        <x:f>MAX(N114,MIN(K114,O114))</x:f>
        <x:v>13953</x:v>
      </x:c>
      <x:c r="Q114" s="19" t="str">
        <x:f>IF(K114&lt;N114,IF(N114=L114,"clamped_to_nominal","clamped_to_ppp"),IF(K114&gt;O114,IF(O114=L114,"clamped_to_nominal","clamped_to_ppp"),"kept_vanilla"))</x:f>
        <x:v>clamped_to_nominal</x:v>
      </x:c>
      <x:c r="R114" s="41" t="n">
        <x:f>P114*G114</x:f>
        <x:v>152014976964</x:v>
      </x:c>
      <x:c r="S114" s="41" t="n">
        <x:f>R114/E114</x:f>
        <x:v>174729858579.31033</x:v>
      </x:c>
      <x:c r="T114" s="36" t="str">
        <x:v>CUB: population extrapolation from World Bank 2024-2025 CAGR (-0.39%/yr, capped at ±5%)</x:v>
      </x:c>
      <x:c r="U114" s="36" t="str">
        <x:v>CUB: peer-growth inference from World Bank 2020; Latin America &amp; Caribbean ; Upper middle income median 4.82%/yr (14 peers, capped at ±8%)</x:v>
      </x:c>
      <x:c r="V114" s="36" t="str">
        <x:v>CUB: PPP inferred from filled nominal GDP using Latin America &amp; Caribbean ; Upper middle income median PPP/nominal ratio 2.323 (14 peers)</x:v>
      </x:c>
      <x:c r="W114" s="36" t="str">
        <x:v>inferred</x:v>
      </x:c>
      <x:c r="X114" s="36" t="str">
        <x:v>https://api.imf.org/external/sdmx/3.0/data/dataflow/IMF.RES/WEO/9.0.0/</x:v>
      </x:c>
      <x:c r="Y114" s="36" t="str">
        <x:v>https://api.worldbank.org/v2/</x:v>
      </x:c>
    </x:row>
    <x:row r="115">
      <x:c r="A115" s="24" t="str">
        <x:v>CZE</x:v>
      </x:c>
      <x:c r="B115" s="24" t="str">
        <x:v>Czechia</x:v>
      </x:c>
      <x:c r="C115" s="24" t="str">
        <x:v>CZE</x:v>
      </x:c>
      <x:c r="D115" s="24" t="n">
        <x:v>2003</x:v>
      </x:c>
      <x:c r="E115" s="37" t="n">
        <x:v>1.59</x:v>
      </x:c>
      <x:c r="F115" s="38" t="n">
        <x:v>10248912</x:v>
      </x:c>
      <x:c r="G115" s="38" t="n">
        <x:v>10192649</x:v>
      </x:c>
      <x:c r="H115" s="39" t="n">
        <x:f>G115/F115</x:f>
        <x:v>0.994510344122381</x:v>
      </x:c>
      <x:c r="I115" s="40" t="n">
        <x:v>127736257310</x:v>
      </x:c>
      <x:c r="J115" s="40" t="n">
        <x:v>203100649123</x:v>
      </x:c>
      <x:c r="K115" s="40" t="n">
        <x:v>19817</x:v>
      </x:c>
      <x:c r="L115" s="40" t="n">
        <x:v>15673</x:v>
      </x:c>
      <x:c r="M115" s="40" t="n">
        <x:v>34074</x:v>
      </x:c>
      <x:c r="N115" s="41" t="n">
        <x:f>MIN(L115,M115)</x:f>
        <x:v>15673</x:v>
      </x:c>
      <x:c r="O115" s="41" t="n">
        <x:f>MAX(L115,M115)</x:f>
        <x:v>34074</x:v>
      </x:c>
      <x:c r="P115" s="41" t="n">
        <x:f>MAX(N115,MIN(K115,O115))</x:f>
        <x:v>19817</x:v>
      </x:c>
      <x:c r="Q115" s="19" t="str">
        <x:f>IF(K115&lt;N115,IF(N115=L115,"clamped_to_nominal","clamped_to_ppp"),IF(K115&gt;O115,IF(O115=L115,"clamped_to_nominal","clamped_to_ppp"),"kept_vanilla"))</x:f>
        <x:v>kept_vanilla</x:v>
      </x:c>
      <x:c r="R115" s="41" t="n">
        <x:f>P115*G115</x:f>
        <x:v>201987725233</x:v>
      </x:c>
      <x:c r="S115" s="41" t="n">
        <x:f>R115/E115</x:f>
        <x:v>127036305177.98741</x:v>
      </x:c>
      <x:c r="T115" s="36" t="str">
        <x:v>CZE: IMF exact 2003</x:v>
      </x:c>
      <x:c r="U115" s="36" t="str">
        <x:v>CZE: IMF exact 2003</x:v>
      </x:c>
      <x:c r="V115" s="36" t="str">
        <x:v>CZE: IMF exact 2003</x:v>
      </x:c>
      <x:c r="W115" s="36" t="str">
        <x:v>complete_primary</x:v>
      </x:c>
      <x:c r="X115" s="36" t="str">
        <x:v>https://api.imf.org/external/sdmx/3.0/data/dataflow/IMF.RES/WEO/9.0.0/</x:v>
      </x:c>
      <x:c r="Y115" s="36" t="str">
        <x:v>https://api.worldbank.org/v2/</x:v>
      </x:c>
    </x:row>
    <x:row r="116">
      <x:c r="A116" s="24" t="str">
        <x:v>CZE</x:v>
      </x:c>
      <x:c r="B116" s="24" t="str">
        <x:v>Czechia</x:v>
      </x:c>
      <x:c r="C116" s="24" t="str">
        <x:v>CZE</x:v>
      </x:c>
      <x:c r="D116" s="24" t="n">
        <x:v>2022</x:v>
      </x:c>
      <x:c r="E116" s="37" t="n">
        <x:v>1</x:v>
      </x:c>
      <x:c r="F116" s="38" t="n">
        <x:v>10740409</x:v>
      </x:c>
      <x:c r="G116" s="38" t="n">
        <x:v>10827529</x:v>
      </x:c>
      <x:c r="H116" s="39" t="n">
        <x:f>G116/F116</x:f>
        <x:v>1.0081114229448804</x:v>
      </x:c>
      <x:c r="I116" s="40" t="n">
        <x:v>448758640000</x:v>
      </x:c>
      <x:c r="J116" s="40" t="n">
        <x:v>448758640000</x:v>
      </x:c>
      <x:c r="K116" s="40" t="n">
        <x:v>41782</x:v>
      </x:c>
      <x:c r="L116" s="40" t="n">
        <x:v>27876</x:v>
      </x:c>
      <x:c r="M116" s="40" t="n">
        <x:v>53440</x:v>
      </x:c>
      <x:c r="N116" s="41" t="n">
        <x:f>MIN(L116,M116)</x:f>
        <x:v>27876</x:v>
      </x:c>
      <x:c r="O116" s="41" t="n">
        <x:f>MAX(L116,M116)</x:f>
        <x:v>53440</x:v>
      </x:c>
      <x:c r="P116" s="41" t="n">
        <x:f>MAX(N116,MIN(K116,O116))</x:f>
        <x:v>41782</x:v>
      </x:c>
      <x:c r="Q116" s="19" t="str">
        <x:f>IF(K116&lt;N116,IF(N116=L116,"clamped_to_nominal","clamped_to_ppp"),IF(K116&gt;O116,IF(O116=L116,"clamped_to_nominal","clamped_to_ppp"),"kept_vanilla"))</x:f>
        <x:v>kept_vanilla</x:v>
      </x:c>
      <x:c r="R116" s="41" t="n">
        <x:f>P116*G116</x:f>
        <x:v>452395816678</x:v>
      </x:c>
      <x:c r="S116" s="41" t="n">
        <x:f>R116/E116</x:f>
        <x:v>452395816678</x:v>
      </x:c>
      <x:c r="T116" s="36" t="str">
        <x:v>CZE: IMF exact 2022</x:v>
      </x:c>
      <x:c r="U116" s="36" t="str">
        <x:v>CZE: IMF exact 2022</x:v>
      </x:c>
      <x:c r="V116" s="36" t="str">
        <x:v>CZE: IMF exact 2022</x:v>
      </x:c>
      <x:c r="W116" s="36" t="str">
        <x:v>complete_primary</x:v>
      </x:c>
      <x:c r="X116" s="36" t="str">
        <x:v>https://api.imf.org/external/sdmx/3.0/data/dataflow/IMF.RES/WEO/9.0.0/</x:v>
      </x:c>
      <x:c r="Y116" s="36" t="str">
        <x:v>https://api.worldbank.org/v2/</x:v>
      </x:c>
    </x:row>
    <x:row r="117">
      <x:c r="A117" s="24" t="str">
        <x:v>CZE</x:v>
      </x:c>
      <x:c r="B117" s="24" t="str">
        <x:v>Czechia</x:v>
      </x:c>
      <x:c r="C117" s="24" t="str">
        <x:v>CZE</x:v>
      </x:c>
      <x:c r="D117" s="24" t="n">
        <x:v>2026</x:v>
      </x:c>
      <x:c r="E117" s="37" t="n">
        <x:v>0.87</x:v>
      </x:c>
      <x:c r="F117" s="38" t="n">
        <x:v>10527781</x:v>
      </x:c>
      <x:c r="G117" s="38" t="n">
        <x:v>10870587</x:v>
      </x:c>
      <x:c r="H117" s="39" t="n">
        <x:f>G117/F117</x:f>
        <x:v>1.0325620375271864</x:v>
      </x:c>
      <x:c r="I117" s="40" t="n">
        <x:v>569643360000</x:v>
      </x:c>
      <x:c r="J117" s="40" t="n">
        <x:v>495589723200</x:v>
      </x:c>
      <x:c r="K117" s="40" t="n">
        <x:v>47074</x:v>
      </x:c>
      <x:c r="L117" s="40" t="n">
        <x:v>34622</x:v>
      </x:c>
      <x:c r="M117" s="40" t="n">
        <x:v>55288</x:v>
      </x:c>
      <x:c r="N117" s="41" t="n">
        <x:f>MIN(L117,M117)</x:f>
        <x:v>34622</x:v>
      </x:c>
      <x:c r="O117" s="41" t="n">
        <x:f>MAX(L117,M117)</x:f>
        <x:v>55288</x:v>
      </x:c>
      <x:c r="P117" s="41" t="n">
        <x:f>MAX(N117,MIN(K117,O117))</x:f>
        <x:v>47074</x:v>
      </x:c>
      <x:c r="Q117" s="19" t="str">
        <x:f>IF(K117&lt;N117,IF(N117=L117,"clamped_to_nominal","clamped_to_ppp"),IF(K117&gt;O117,IF(O117=L117,"clamped_to_nominal","clamped_to_ppp"),"kept_vanilla"))</x:f>
        <x:v>kept_vanilla</x:v>
      </x:c>
      <x:c r="R117" s="41" t="n">
        <x:f>P117*G117</x:f>
        <x:v>511722012438</x:v>
      </x:c>
      <x:c r="S117" s="41" t="n">
        <x:f>R117/E117</x:f>
        <x:v>588186221193.1034</x:v>
      </x:c>
      <x:c r="T117" s="36" t="str">
        <x:v>CZE: IMF exact 2026</x:v>
      </x:c>
      <x:c r="U117" s="36" t="str">
        <x:v>CZE: IMF exact 2026</x:v>
      </x:c>
      <x:c r="V117" s="36" t="str">
        <x:v>CZE: IMF exact 2026</x:v>
      </x:c>
      <x:c r="W117" s="36" t="str">
        <x:v>complete_primary</x:v>
      </x:c>
      <x:c r="X117" s="36" t="str">
        <x:v>https://api.imf.org/external/sdmx/3.0/data/dataflow/IMF.RES/WEO/9.0.0/</x:v>
      </x:c>
      <x:c r="Y117" s="36" t="str">
        <x:v>https://api.worldbank.org/v2/</x:v>
      </x:c>
    </x:row>
    <x:row r="118">
      <x:c r="A118" s="24" t="str">
        <x:v>DEN</x:v>
      </x:c>
      <x:c r="B118" s="24" t="str">
        <x:v>Denmark</x:v>
      </x:c>
      <x:c r="C118" s="24" t="str">
        <x:v>DNK</x:v>
      </x:c>
      <x:c r="D118" s="24" t="n">
        <x:v>2003</x:v>
      </x:c>
      <x:c r="E118" s="37" t="n">
        <x:v>1.59</x:v>
      </x:c>
      <x:c r="F118" s="38" t="n">
        <x:v>5494804</x:v>
      </x:c>
      <x:c r="G118" s="38" t="n">
        <x:v>5383507</x:v>
      </x:c>
      <x:c r="H118" s="39" t="n">
        <x:f>G118/F118</x:f>
        <x:v>0.9797450464111186</x:v>
      </x:c>
      <x:c r="I118" s="40" t="n">
        <x:v>119951461988</x:v>
      </x:c>
      <x:c r="J118" s="40" t="n">
        <x:v>190722824561</x:v>
      </x:c>
      <x:c r="K118" s="40" t="n">
        <x:v>34710</x:v>
      </x:c>
      <x:c r="L118" s="40" t="n">
        <x:v>64510</x:v>
      </x:c>
      <x:c r="M118" s="40" t="n">
        <x:v>60581</x:v>
      </x:c>
      <x:c r="N118" s="41" t="n">
        <x:f>MIN(L118,M118)</x:f>
        <x:v>60581</x:v>
      </x:c>
      <x:c r="O118" s="41" t="n">
        <x:f>MAX(L118,M118)</x:f>
        <x:v>64510</x:v>
      </x:c>
      <x:c r="P118" s="41" t="n">
        <x:f>MAX(N118,MIN(K118,O118))</x:f>
        <x:v>60581</x:v>
      </x:c>
      <x:c r="Q118" s="19" t="str">
        <x:f>IF(K118&lt;N118,IF(N118=L118,"clamped_to_nominal","clamped_to_ppp"),IF(K118&gt;O118,IF(O118=L118,"clamped_to_nominal","clamped_to_ppp"),"kept_vanilla"))</x:f>
        <x:v>clamped_to_ppp</x:v>
      </x:c>
      <x:c r="R118" s="41" t="n">
        <x:f>P118*G118</x:f>
        <x:v>326138237567</x:v>
      </x:c>
      <x:c r="S118" s="41" t="n">
        <x:f>R118/E118</x:f>
        <x:v>205118388406.91824</x:v>
      </x:c>
      <x:c r="T118" s="36" t="str">
        <x:v>DNK: IMF exact 2003</x:v>
      </x:c>
      <x:c r="U118" s="36" t="str">
        <x:v>DNK: IMF exact 2003</x:v>
      </x:c>
      <x:c r="V118" s="36" t="str">
        <x:v>DNK: IMF exact 2003</x:v>
      </x:c>
      <x:c r="W118" s="36" t="str">
        <x:v>complete_primary</x:v>
      </x:c>
      <x:c r="X118" s="36" t="str">
        <x:v>https://api.imf.org/external/sdmx/3.0/data/dataflow/IMF.RES/WEO/9.0.0/</x:v>
      </x:c>
      <x:c r="Y118" s="36" t="str">
        <x:v>https://api.worldbank.org/v2/</x:v>
      </x:c>
    </x:row>
    <x:row r="119">
      <x:c r="A119" s="24" t="str">
        <x:v>DEN</x:v>
      </x:c>
      <x:c r="B119" s="24" t="str">
        <x:v>Denmark</x:v>
      </x:c>
      <x:c r="C119" s="24" t="str">
        <x:v>DNK</x:v>
      </x:c>
      <x:c r="D119" s="24" t="n">
        <x:v>2022</x:v>
      </x:c>
      <x:c r="E119" s="37" t="n">
        <x:v>1</x:v>
      </x:c>
      <x:c r="F119" s="38" t="n">
        <x:v>5947882</x:v>
      </x:c>
      <x:c r="G119" s="38" t="n">
        <x:v>5873420</x:v>
      </x:c>
      <x:c r="H119" s="39" t="n">
        <x:f>G119/F119</x:f>
        <x:v>0.9874809217802236</x:v>
      </x:c>
      <x:c r="I119" s="40" t="n">
        <x:v>357289680000</x:v>
      </x:c>
      <x:c r="J119" s="40" t="n">
        <x:v>357289680000</x:v>
      </x:c>
      <x:c r="K119" s="40" t="n">
        <x:v>60070</x:v>
      </x:c>
      <x:c r="L119" s="40" t="n">
        <x:v>68123</x:v>
      </x:c>
      <x:c r="M119" s="40" t="n">
        <x:v>75046</x:v>
      </x:c>
      <x:c r="N119" s="41" t="n">
        <x:f>MIN(L119,M119)</x:f>
        <x:v>68123</x:v>
      </x:c>
      <x:c r="O119" s="41" t="n">
        <x:f>MAX(L119,M119)</x:f>
        <x:v>75046</x:v>
      </x:c>
      <x:c r="P119" s="41" t="n">
        <x:f>MAX(N119,MIN(K119,O119))</x:f>
        <x:v>68123</x:v>
      </x:c>
      <x:c r="Q119" s="19" t="str">
        <x:f>IF(K119&lt;N119,IF(N119=L119,"clamped_to_nominal","clamped_to_ppp"),IF(K119&gt;O119,IF(O119=L119,"clamped_to_nominal","clamped_to_ppp"),"kept_vanilla"))</x:f>
        <x:v>clamped_to_nominal</x:v>
      </x:c>
      <x:c r="R119" s="41" t="n">
        <x:f>P119*G119</x:f>
        <x:v>400114990660</x:v>
      </x:c>
      <x:c r="S119" s="41" t="n">
        <x:f>R119/E119</x:f>
        <x:v>400114990660</x:v>
      </x:c>
      <x:c r="T119" s="36" t="str">
        <x:v>DNK: IMF exact 2022</x:v>
      </x:c>
      <x:c r="U119" s="36" t="str">
        <x:v>DNK: IMF exact 2022</x:v>
      </x:c>
      <x:c r="V119" s="36" t="str">
        <x:v>DNK: IMF exact 2022</x:v>
      </x:c>
      <x:c r="W119" s="36" t="str">
        <x:v>complete_primary</x:v>
      </x:c>
      <x:c r="X119" s="36" t="str">
        <x:v>https://api.imf.org/external/sdmx/3.0/data/dataflow/IMF.RES/WEO/9.0.0/</x:v>
      </x:c>
      <x:c r="Y119" s="36" t="str">
        <x:v>https://api.worldbank.org/v2/</x:v>
      </x:c>
    </x:row>
    <x:row r="120">
      <x:c r="A120" s="24" t="str">
        <x:v>DEN</x:v>
      </x:c>
      <x:c r="B120" s="24" t="str">
        <x:v>Denmark</x:v>
      </x:c>
      <x:c r="C120" s="24" t="str">
        <x:v>DNK</x:v>
      </x:c>
      <x:c r="D120" s="24" t="n">
        <x:v>2026</x:v>
      </x:c>
      <x:c r="E120" s="37" t="n">
        <x:v>0.87</x:v>
      </x:c>
      <x:c r="F120" s="38" t="n">
        <x:v>6135676</x:v>
      </x:c>
      <x:c r="G120" s="38" t="n">
        <x:v>6037152</x:v>
      </x:c>
      <x:c r="H120" s="39" t="n">
        <x:f>G120/F120</x:f>
        <x:v>0.9839424376384933</x:v>
      </x:c>
      <x:c r="I120" s="40" t="n">
        <x:v>469701760000</x:v>
      </x:c>
      <x:c r="J120" s="40" t="n">
        <x:v>408640531200</x:v>
      </x:c>
      <x:c r="K120" s="40" t="n">
        <x:v>66601</x:v>
      </x:c>
      <x:c r="L120" s="40" t="n">
        <x:v>72597</x:v>
      </x:c>
      <x:c r="M120" s="40" t="n">
        <x:v>78011</x:v>
      </x:c>
      <x:c r="N120" s="41" t="n">
        <x:f>MIN(L120,M120)</x:f>
        <x:v>72597</x:v>
      </x:c>
      <x:c r="O120" s="41" t="n">
        <x:f>MAX(L120,M120)</x:f>
        <x:v>78011</x:v>
      </x:c>
      <x:c r="P120" s="41" t="n">
        <x:f>MAX(N120,MIN(K120,O120))</x:f>
        <x:v>72597</x:v>
      </x:c>
      <x:c r="Q120" s="19" t="str">
        <x:f>IF(K120&lt;N120,IF(N120=L120,"clamped_to_nominal","clamped_to_ppp"),IF(K120&gt;O120,IF(O120=L120,"clamped_to_nominal","clamped_to_ppp"),"kept_vanilla"))</x:f>
        <x:v>clamped_to_nominal</x:v>
      </x:c>
      <x:c r="R120" s="41" t="n">
        <x:f>P120*G120</x:f>
        <x:v>438279123744</x:v>
      </x:c>
      <x:c r="S120" s="41" t="n">
        <x:f>R120/E120</x:f>
        <x:v>503769107751.7241</x:v>
      </x:c>
      <x:c r="T120" s="36" t="str">
        <x:v>DNK: IMF exact 2026</x:v>
      </x:c>
      <x:c r="U120" s="36" t="str">
        <x:v>DNK: IMF exact 2026</x:v>
      </x:c>
      <x:c r="V120" s="36" t="str">
        <x:v>DNK: IMF exact 2026</x:v>
      </x:c>
      <x:c r="W120" s="36" t="str">
        <x:v>complete_primary</x:v>
      </x:c>
      <x:c r="X120" s="36" t="str">
        <x:v>https://api.imf.org/external/sdmx/3.0/data/dataflow/IMF.RES/WEO/9.0.0/</x:v>
      </x:c>
      <x:c r="Y120" s="36" t="str">
        <x:v>https://api.worldbank.org/v2/</x:v>
      </x:c>
    </x:row>
    <x:row r="121">
      <x:c r="A121" s="24" t="str">
        <x:v>DJI</x:v>
      </x:c>
      <x:c r="B121" s="24" t="str">
        <x:v>Djibouti</x:v>
      </x:c>
      <x:c r="C121" s="24" t="str">
        <x:v>DJI</x:v>
      </x:c>
      <x:c r="D121" s="24" t="n">
        <x:v>2003</x:v>
      </x:c>
      <x:c r="E121" s="37" t="n">
        <x:v>1.59</x:v>
      </x:c>
      <x:c r="F121" s="38" t="n">
        <x:v>813519</x:v>
      </x:c>
      <x:c r="G121" s="38" t="n">
        <x:v>759639</x:v>
      </x:c>
      <x:c r="H121" s="39" t="n">
        <x:f>G121/F121</x:f>
        <x:v>0.9337692174368392</x:v>
      </x:c>
      <x:c r="I121" s="40" t="n">
        <x:v>1108187135</x:v>
      </x:c>
      <x:c r="J121" s="40" t="n">
        <x:v>1762017545</x:v>
      </x:c>
      <x:c r="K121" s="40" t="n">
        <x:v>2166</x:v>
      </x:c>
      <x:c r="L121" s="40" t="n">
        <x:v>1845</x:v>
      </x:c>
      <x:c r="M121" s="40" t="n">
        <x:v>3966</x:v>
      </x:c>
      <x:c r="N121" s="41" t="n">
        <x:f>MIN(L121,M121)</x:f>
        <x:v>1845</x:v>
      </x:c>
      <x:c r="O121" s="41" t="n">
        <x:f>MAX(L121,M121)</x:f>
        <x:v>3966</x:v>
      </x:c>
      <x:c r="P121" s="41" t="n">
        <x:f>MAX(N121,MIN(K121,O121))</x:f>
        <x:v>2166</x:v>
      </x:c>
      <x:c r="Q121" s="19" t="str">
        <x:f>IF(K121&lt;N121,IF(N121=L121,"clamped_to_nominal","clamped_to_ppp"),IF(K121&gt;O121,IF(O121=L121,"clamped_to_nominal","clamped_to_ppp"),"kept_vanilla"))</x:f>
        <x:v>kept_vanilla</x:v>
      </x:c>
      <x:c r="R121" s="41" t="n">
        <x:f>P121*G121</x:f>
        <x:v>1645378074</x:v>
      </x:c>
      <x:c r="S121" s="41" t="n">
        <x:f>R121/E121</x:f>
        <x:v>1034828977.3584905</x:v>
      </x:c>
      <x:c r="T121" s="36" t="str">
        <x:v>DJI: IMF exact 2003</x:v>
      </x:c>
      <x:c r="U121" s="36" t="str">
        <x:v>DJI: IMF exact 2003</x:v>
      </x:c>
      <x:c r="V121" s="36" t="str">
        <x:v>DJI: IMF exact 2003</x:v>
      </x:c>
      <x:c r="W121" s="36" t="str">
        <x:v>complete_primary</x:v>
      </x:c>
      <x:c r="X121" s="36" t="str">
        <x:v>https://api.imf.org/external/sdmx/3.0/data/dataflow/IMF.RES/WEO/9.0.0/</x:v>
      </x:c>
      <x:c r="Y121" s="36" t="str">
        <x:v>https://api.worldbank.org/v2/</x:v>
      </x:c>
    </x:row>
    <x:row r="122">
      <x:c r="A122" s="24" t="str">
        <x:v>DJI</x:v>
      </x:c>
      <x:c r="B122" s="24" t="str">
        <x:v>Djibouti</x:v>
      </x:c>
      <x:c r="C122" s="24" t="str">
        <x:v>DJI</x:v>
      </x:c>
      <x:c r="D122" s="24" t="n">
        <x:v>2022</x:v>
      </x:c>
      <x:c r="E122" s="37" t="n">
        <x:v>1</x:v>
      </x:c>
      <x:c r="F122" s="38" t="n">
        <x:v>1020434</x:v>
      </x:c>
      <x:c r="G122" s="38" t="n">
        <x:v>1016098</x:v>
      </x:c>
      <x:c r="H122" s="39" t="n">
        <x:f>G122/F122</x:f>
        <x:v>0.9957508275890454</x:v>
      </x:c>
      <x:c r="I122" s="40" t="n">
        <x:v>5961120000</x:v>
      </x:c>
      <x:c r="J122" s="40" t="n">
        <x:v>5961120000</x:v>
      </x:c>
      <x:c r="K122" s="40" t="n">
        <x:v>5842</x:v>
      </x:c>
      <x:c r="L122" s="40" t="n">
        <x:v>3506</x:v>
      </x:c>
      <x:c r="M122" s="40" t="n">
        <x:v>7409</x:v>
      </x:c>
      <x:c r="N122" s="41" t="n">
        <x:f>MIN(L122,M122)</x:f>
        <x:v>3506</x:v>
      </x:c>
      <x:c r="O122" s="41" t="n">
        <x:f>MAX(L122,M122)</x:f>
        <x:v>7409</x:v>
      </x:c>
      <x:c r="P122" s="41" t="n">
        <x:f>MAX(N122,MIN(K122,O122))</x:f>
        <x:v>5842</x:v>
      </x:c>
      <x:c r="Q122" s="19" t="str">
        <x:f>IF(K122&lt;N122,IF(N122=L122,"clamped_to_nominal","clamped_to_ppp"),IF(K122&gt;O122,IF(O122=L122,"clamped_to_nominal","clamped_to_ppp"),"kept_vanilla"))</x:f>
        <x:v>kept_vanilla</x:v>
      </x:c>
      <x:c r="R122" s="41" t="n">
        <x:f>P122*G122</x:f>
        <x:v>5936044516</x:v>
      </x:c>
      <x:c r="S122" s="41" t="n">
        <x:f>R122/E122</x:f>
        <x:v>5936044516</x:v>
      </x:c>
      <x:c r="T122" s="36" t="str">
        <x:v>DJI: IMF exact 2022</x:v>
      </x:c>
      <x:c r="U122" s="36" t="str">
        <x:v>DJI: IMF exact 2022</x:v>
      </x:c>
      <x:c r="V122" s="36" t="str">
        <x:v>DJI: IMF exact 2022</x:v>
      </x:c>
      <x:c r="W122" s="36" t="str">
        <x:v>complete_primary</x:v>
      </x:c>
      <x:c r="X122" s="36" t="str">
        <x:v>https://api.imf.org/external/sdmx/3.0/data/dataflow/IMF.RES/WEO/9.0.0/</x:v>
      </x:c>
      <x:c r="Y122" s="36" t="str">
        <x:v>https://api.worldbank.org/v2/</x:v>
      </x:c>
    </x:row>
    <x:row r="123">
      <x:c r="A123" s="24" t="str">
        <x:v>DJI</x:v>
      </x:c>
      <x:c r="B123" s="24" t="str">
        <x:v>Djibouti</x:v>
      </x:c>
      <x:c r="C123" s="24" t="str">
        <x:v>DJI</x:v>
      </x:c>
      <x:c r="D123" s="24" t="n">
        <x:v>2026</x:v>
      </x:c>
      <x:c r="E123" s="37" t="n">
        <x:v>0.87</x:v>
      </x:c>
      <x:c r="F123" s="38" t="n">
        <x:v>1199460</x:v>
      </x:c>
      <x:c r="G123" s="38" t="n">
        <x:v>1068802</x:v>
      </x:c>
      <x:c r="H123" s="39" t="n">
        <x:f>G123/F123</x:f>
        <x:v>0.8910693145248695</x:v>
      </x:c>
      <x:c r="I123" s="40" t="n">
        <x:v>8748960000</x:v>
      </x:c>
      <x:c r="J123" s="40" t="n">
        <x:v>7611595200</x:v>
      </x:c>
      <x:c r="K123" s="40" t="n">
        <x:v>6346</x:v>
      </x:c>
      <x:c r="L123" s="40" t="n">
        <x:v>3846</x:v>
      </x:c>
      <x:c r="M123" s="40" t="n">
        <x:v>8844</x:v>
      </x:c>
      <x:c r="N123" s="41" t="n">
        <x:f>MIN(L123,M123)</x:f>
        <x:v>3846</x:v>
      </x:c>
      <x:c r="O123" s="41" t="n">
        <x:f>MAX(L123,M123)</x:f>
        <x:v>8844</x:v>
      </x:c>
      <x:c r="P123" s="41" t="n">
        <x:f>MAX(N123,MIN(K123,O123))</x:f>
        <x:v>6346</x:v>
      </x:c>
      <x:c r="Q123" s="19" t="str">
        <x:f>IF(K123&lt;N123,IF(N123=L123,"clamped_to_nominal","clamped_to_ppp"),IF(K123&gt;O123,IF(O123=L123,"clamped_to_nominal","clamped_to_ppp"),"kept_vanilla"))</x:f>
        <x:v>kept_vanilla</x:v>
      </x:c>
      <x:c r="R123" s="41" t="n">
        <x:f>P123*G123</x:f>
        <x:v>6782617492</x:v>
      </x:c>
      <x:c r="S123" s="41" t="n">
        <x:f>R123/E123</x:f>
        <x:v>7796112059.770115</x:v>
      </x:c>
      <x:c r="T123" s="36" t="str">
        <x:v>DJI: IMF exact 2026</x:v>
      </x:c>
      <x:c r="U123" s="36" t="str">
        <x:v>DJI: IMF exact 2026</x:v>
      </x:c>
      <x:c r="V123" s="36" t="str">
        <x:v>DJI: IMF exact 2026</x:v>
      </x:c>
      <x:c r="W123" s="36" t="str">
        <x:v>complete_primary</x:v>
      </x:c>
      <x:c r="X123" s="36" t="str">
        <x:v>https://api.imf.org/external/sdmx/3.0/data/dataflow/IMF.RES/WEO/9.0.0/</x:v>
      </x:c>
      <x:c r="Y123" s="36" t="str">
        <x:v>https://api.worldbank.org/v2/</x:v>
      </x:c>
    </x:row>
    <x:row r="124">
      <x:c r="A124" s="24" t="str">
        <x:v>DOM</x:v>
      </x:c>
      <x:c r="B124" s="24" t="str">
        <x:v>Dominican Republic</x:v>
      </x:c>
      <x:c r="C124" s="24" t="str">
        <x:v>DOM</x:v>
      </x:c>
      <x:c r="D124" s="24" t="n">
        <x:v>2003</x:v>
      </x:c>
      <x:c r="E124" s="37" t="n">
        <x:v>1.59</x:v>
      </x:c>
      <x:c r="F124" s="38" t="n">
        <x:v>8980620</x:v>
      </x:c>
      <x:c r="G124" s="38" t="n">
        <x:v>8745084</x:v>
      </x:c>
      <x:c r="H124" s="39" t="n">
        <x:f>G124/F124</x:f>
        <x:v>0.9737728575532647</x:v>
      </x:c>
      <x:c r="I124" s="40" t="n">
        <x:v>38814619883</x:v>
      </x:c>
      <x:c r="J124" s="40" t="n">
        <x:v>61715245614</x:v>
      </x:c>
      <x:c r="K124" s="40" t="n">
        <x:v>6872</x:v>
      </x:c>
      <x:c r="L124" s="40" t="n">
        <x:v>3912</x:v>
      </x:c>
      <x:c r="M124" s="40" t="n">
        <x:v>11949</x:v>
      </x:c>
      <x:c r="N124" s="41" t="n">
        <x:f>MIN(L124,M124)</x:f>
        <x:v>3912</x:v>
      </x:c>
      <x:c r="O124" s="41" t="n">
        <x:f>MAX(L124,M124)</x:f>
        <x:v>11949</x:v>
      </x:c>
      <x:c r="P124" s="41" t="n">
        <x:f>MAX(N124,MIN(K124,O124))</x:f>
        <x:v>6872</x:v>
      </x:c>
      <x:c r="Q124" s="19" t="str">
        <x:f>IF(K124&lt;N124,IF(N124=L124,"clamped_to_nominal","clamped_to_ppp"),IF(K124&gt;O124,IF(O124=L124,"clamped_to_nominal","clamped_to_ppp"),"kept_vanilla"))</x:f>
        <x:v>kept_vanilla</x:v>
      </x:c>
      <x:c r="R124" s="41" t="n">
        <x:f>P124*G124</x:f>
        <x:v>60096217248</x:v>
      </x:c>
      <x:c r="S124" s="41" t="n">
        <x:f>R124/E124</x:f>
        <x:v>37796363049.0566</x:v>
      </x:c>
      <x:c r="T124" s="36" t="str">
        <x:v>DOM: IMF exact 2003</x:v>
      </x:c>
      <x:c r="U124" s="36" t="str">
        <x:v>DOM: IMF exact 2003</x:v>
      </x:c>
      <x:c r="V124" s="36" t="str">
        <x:v>DOM: IMF exact 2003</x:v>
      </x:c>
      <x:c r="W124" s="36" t="str">
        <x:v>complete_primary</x:v>
      </x:c>
      <x:c r="X124" s="36" t="str">
        <x:v>https://api.imf.org/external/sdmx/3.0/data/dataflow/IMF.RES/WEO/9.0.0/</x:v>
      </x:c>
      <x:c r="Y124" s="36" t="str">
        <x:v>https://api.worldbank.org/v2/</x:v>
      </x:c>
    </x:row>
    <x:row r="125">
      <x:c r="A125" s="24" t="str">
        <x:v>DOM</x:v>
      </x:c>
      <x:c r="B125" s="24" t="str">
        <x:v>Dominican Republic</x:v>
      </x:c>
      <x:c r="C125" s="24" t="str">
        <x:v>DOM</x:v>
      </x:c>
      <x:c r="D125" s="24" t="n">
        <x:v>2022</x:v>
      </x:c>
      <x:c r="E125" s="37" t="n">
        <x:v>1</x:v>
      </x:c>
      <x:c r="F125" s="38" t="n">
        <x:v>11088230</x:v>
      </x:c>
      <x:c r="G125" s="38" t="n">
        <x:v>10621938</x:v>
      </x:c>
      <x:c r="H125" s="39" t="n">
        <x:f>G125/F125</x:f>
        <x:v>0.9579471205052564</x:v>
      </x:c>
      <x:c r="I125" s="40" t="n">
        <x:v>224392960000</x:v>
      </x:c>
      <x:c r="J125" s="40" t="n">
        <x:v>224392960000</x:v>
      </x:c>
      <x:c r="K125" s="40" t="n">
        <x:v>20237</x:v>
      </x:c>
      <x:c r="L125" s="40" t="n">
        <x:v>10715</x:v>
      </x:c>
      <x:c r="M125" s="40" t="n">
        <x:v>26033</x:v>
      </x:c>
      <x:c r="N125" s="41" t="n">
        <x:f>MIN(L125,M125)</x:f>
        <x:v>10715</x:v>
      </x:c>
      <x:c r="O125" s="41" t="n">
        <x:f>MAX(L125,M125)</x:f>
        <x:v>26033</x:v>
      </x:c>
      <x:c r="P125" s="41" t="n">
        <x:f>MAX(N125,MIN(K125,O125))</x:f>
        <x:v>20237</x:v>
      </x:c>
      <x:c r="Q125" s="19" t="str">
        <x:f>IF(K125&lt;N125,IF(N125=L125,"clamped_to_nominal","clamped_to_ppp"),IF(K125&gt;O125,IF(O125=L125,"clamped_to_nominal","clamped_to_ppp"),"kept_vanilla"))</x:f>
        <x:v>kept_vanilla</x:v>
      </x:c>
      <x:c r="R125" s="41" t="n">
        <x:f>P125*G125</x:f>
        <x:v>214956159306</x:v>
      </x:c>
      <x:c r="S125" s="41" t="n">
        <x:f>R125/E125</x:f>
        <x:v>214956159306</x:v>
      </x:c>
      <x:c r="T125" s="36" t="str">
        <x:v>DOM: IMF exact 2022</x:v>
      </x:c>
      <x:c r="U125" s="36" t="str">
        <x:v>DOM: IMF exact 2022</x:v>
      </x:c>
      <x:c r="V125" s="36" t="str">
        <x:v>DOM: IMF exact 2022</x:v>
      </x:c>
      <x:c r="W125" s="36" t="str">
        <x:v>complete_primary</x:v>
      </x:c>
      <x:c r="X125" s="36" t="str">
        <x:v>https://api.imf.org/external/sdmx/3.0/data/dataflow/IMF.RES/WEO/9.0.0/</x:v>
      </x:c>
      <x:c r="Y125" s="36" t="str">
        <x:v>https://api.worldbank.org/v2/</x:v>
      </x:c>
    </x:row>
    <x:row r="126">
      <x:c r="A126" s="24" t="str">
        <x:v>DOM</x:v>
      </x:c>
      <x:c r="B126" s="24" t="str">
        <x:v>Dominican Republic</x:v>
      </x:c>
      <x:c r="C126" s="24" t="str">
        <x:v>DOM</x:v>
      </x:c>
      <x:c r="D126" s="24" t="n">
        <x:v>2026</x:v>
      </x:c>
      <x:c r="E126" s="37" t="n">
        <x:v>0.87</x:v>
      </x:c>
      <x:c r="F126" s="38" t="n">
        <x:v>11609500</x:v>
      </x:c>
      <x:c r="G126" s="38" t="n">
        <x:v>10974694</x:v>
      </x:c>
      <x:c r="H126" s="39" t="n">
        <x:f>G126/F126</x:f>
        <x:v>0.9453201257590766</x:v>
      </x:c>
      <x:c r="I126" s="40" t="n">
        <x:v>295752160000</x:v>
      </x:c>
      <x:c r="J126" s="40" t="n">
        <x:v>257304379200</x:v>
      </x:c>
      <x:c r="K126" s="40" t="n">
        <x:v>22163</x:v>
      </x:c>
      <x:c r="L126" s="40" t="n">
        <x:v>10793</x:v>
      </x:c>
      <x:c r="M126" s="40" t="n">
        <x:v>27995</x:v>
      </x:c>
      <x:c r="N126" s="41" t="n">
        <x:f>MIN(L126,M126)</x:f>
        <x:v>10793</x:v>
      </x:c>
      <x:c r="O126" s="41" t="n">
        <x:f>MAX(L126,M126)</x:f>
        <x:v>27995</x:v>
      </x:c>
      <x:c r="P126" s="41" t="n">
        <x:f>MAX(N126,MIN(K126,O126))</x:f>
        <x:v>22163</x:v>
      </x:c>
      <x:c r="Q126" s="19" t="str">
        <x:f>IF(K126&lt;N126,IF(N126=L126,"clamped_to_nominal","clamped_to_ppp"),IF(K126&gt;O126,IF(O126=L126,"clamped_to_nominal","clamped_to_ppp"),"kept_vanilla"))</x:f>
        <x:v>kept_vanilla</x:v>
      </x:c>
      <x:c r="R126" s="41" t="n">
        <x:f>P126*G126</x:f>
        <x:v>243232143122</x:v>
      </x:c>
      <x:c r="S126" s="41" t="n">
        <x:f>R126/E126</x:f>
        <x:v>279577176002.2988</x:v>
      </x:c>
      <x:c r="T126" s="36" t="str">
        <x:v>DOM: IMF exact 2026</x:v>
      </x:c>
      <x:c r="U126" s="36" t="str">
        <x:v>DOM: IMF exact 2026</x:v>
      </x:c>
      <x:c r="V126" s="36" t="str">
        <x:v>DOM: IMF exact 2026</x:v>
      </x:c>
      <x:c r="W126" s="36" t="str">
        <x:v>complete_primary</x:v>
      </x:c>
      <x:c r="X126" s="36" t="str">
        <x:v>https://api.imf.org/external/sdmx/3.0/data/dataflow/IMF.RES/WEO/9.0.0/</x:v>
      </x:c>
      <x:c r="Y126" s="36" t="str">
        <x:v>https://api.worldbank.org/v2/</x:v>
      </x:c>
    </x:row>
    <x:row r="127">
      <x:c r="A127" s="24" t="str">
        <x:v>ECU</x:v>
      </x:c>
      <x:c r="B127" s="24" t="str">
        <x:v>Ecuador</x:v>
      </x:c>
      <x:c r="C127" s="24" t="str">
        <x:v>ECU</x:v>
      </x:c>
      <x:c r="D127" s="24" t="n">
        <x:v>2003</x:v>
      </x:c>
      <x:c r="E127" s="37" t="n">
        <x:v>1.59</x:v>
      </x:c>
      <x:c r="F127" s="38" t="n">
        <x:v>13372306</x:v>
      </x:c>
      <x:c r="G127" s="38" t="n">
        <x:v>13131753</x:v>
      </x:c>
      <x:c r="H127" s="39" t="n">
        <x:f>G127/F127</x:f>
        <x:v>0.9820111056387731</x:v>
      </x:c>
      <x:c r="I127" s="40" t="n">
        <x:v>49099415205</x:v>
      </x:c>
      <x:c r="J127" s="40" t="n">
        <x:v>78068070176</x:v>
      </x:c>
      <x:c r="K127" s="40" t="n">
        <x:v>5838</x:v>
      </x:c>
      <x:c r="L127" s="40" t="n">
        <x:v>3749</x:v>
      </x:c>
      <x:c r="M127" s="40" t="n">
        <x:v>10166</x:v>
      </x:c>
      <x:c r="N127" s="41" t="n">
        <x:f>MIN(L127,M127)</x:f>
        <x:v>3749</x:v>
      </x:c>
      <x:c r="O127" s="41" t="n">
        <x:f>MAX(L127,M127)</x:f>
        <x:v>10166</x:v>
      </x:c>
      <x:c r="P127" s="41" t="n">
        <x:f>MAX(N127,MIN(K127,O127))</x:f>
        <x:v>5838</x:v>
      </x:c>
      <x:c r="Q127" s="19" t="str">
        <x:f>IF(K127&lt;N127,IF(N127=L127,"clamped_to_nominal","clamped_to_ppp"),IF(K127&gt;O127,IF(O127=L127,"clamped_to_nominal","clamped_to_ppp"),"kept_vanilla"))</x:f>
        <x:v>kept_vanilla</x:v>
      </x:c>
      <x:c r="R127" s="41" t="n">
        <x:f>P127*G127</x:f>
        <x:v>76663174014</x:v>
      </x:c>
      <x:c r="S127" s="41" t="n">
        <x:f>R127/E127</x:f>
        <x:v>48215832713.20754</x:v>
      </x:c>
      <x:c r="T127" s="36" t="str">
        <x:v>ECU: IMF exact 2003</x:v>
      </x:c>
      <x:c r="U127" s="36" t="str">
        <x:v>ECU: IMF exact 2003</x:v>
      </x:c>
      <x:c r="V127" s="36" t="str">
        <x:v>ECU: IMF exact 2003</x:v>
      </x:c>
      <x:c r="W127" s="36" t="str">
        <x:v>complete_primary</x:v>
      </x:c>
      <x:c r="X127" s="36" t="str">
        <x:v>https://api.imf.org/external/sdmx/3.0/data/dataflow/IMF.RES/WEO/9.0.0/</x:v>
      </x:c>
      <x:c r="Y127" s="36" t="str">
        <x:v>https://api.worldbank.org/v2/</x:v>
      </x:c>
    </x:row>
    <x:row r="128">
      <x:c r="A128" s="24" t="str">
        <x:v>ECU</x:v>
      </x:c>
      <x:c r="B128" s="24" t="str">
        <x:v>Ecuador</x:v>
      </x:c>
      <x:c r="C128" s="24" t="str">
        <x:v>ECU</x:v>
      </x:c>
      <x:c r="D128" s="24" t="n">
        <x:v>2022</x:v>
      </x:c>
      <x:c r="E128" s="37" t="n">
        <x:v>1</x:v>
      </x:c>
      <x:c r="F128" s="38" t="n">
        <x:v>18181827</x:v>
      </x:c>
      <x:c r="G128" s="38" t="n">
        <x:v>17715301</x:v>
      </x:c>
      <x:c r="H128" s="39" t="n">
        <x:f>G128/F128</x:f>
        <x:v>0.9743410824445751</x:v>
      </x:c>
      <x:c r="I128" s="40" t="n">
        <x:v>200662000000</x:v>
      </x:c>
      <x:c r="J128" s="40" t="n">
        <x:v>200662000000</x:v>
      </x:c>
      <x:c r="K128" s="40" t="n">
        <x:v>11036</x:v>
      </x:c>
      <x:c r="L128" s="40" t="n">
        <x:v>6556</x:v>
      </x:c>
      <x:c r="M128" s="40" t="n">
        <x:v>15289</x:v>
      </x:c>
      <x:c r="N128" s="41" t="n">
        <x:f>MIN(L128,M128)</x:f>
        <x:v>6556</x:v>
      </x:c>
      <x:c r="O128" s="41" t="n">
        <x:f>MAX(L128,M128)</x:f>
        <x:v>15289</x:v>
      </x:c>
      <x:c r="P128" s="41" t="n">
        <x:f>MAX(N128,MIN(K128,O128))</x:f>
        <x:v>11036</x:v>
      </x:c>
      <x:c r="Q128" s="19" t="str">
        <x:f>IF(K128&lt;N128,IF(N128=L128,"clamped_to_nominal","clamped_to_ppp"),IF(K128&gt;O128,IF(O128=L128,"clamped_to_nominal","clamped_to_ppp"),"kept_vanilla"))</x:f>
        <x:v>kept_vanilla</x:v>
      </x:c>
      <x:c r="R128" s="41" t="n">
        <x:f>P128*G128</x:f>
        <x:v>195506061836</x:v>
      </x:c>
      <x:c r="S128" s="41" t="n">
        <x:f>R128/E128</x:f>
        <x:v>195506061836</x:v>
      </x:c>
      <x:c r="T128" s="36" t="str">
        <x:v>ECU: IMF exact 2022</x:v>
      </x:c>
      <x:c r="U128" s="36" t="str">
        <x:v>ECU: IMF exact 2022</x:v>
      </x:c>
      <x:c r="V128" s="36" t="str">
        <x:v>ECU: IMF exact 2022</x:v>
      </x:c>
      <x:c r="W128" s="36" t="str">
        <x:v>complete_primary</x:v>
      </x:c>
      <x:c r="X128" s="36" t="str">
        <x:v>https://api.imf.org/external/sdmx/3.0/data/dataflow/IMF.RES/WEO/9.0.0/</x:v>
      </x:c>
      <x:c r="Y128" s="36" t="str">
        <x:v>https://api.worldbank.org/v2/</x:v>
      </x:c>
    </x:row>
    <x:row r="129">
      <x:c r="A129" s="24" t="str">
        <x:v>ECU</x:v>
      </x:c>
      <x:c r="B129" s="24" t="str">
        <x:v>Ecuador</x:v>
      </x:c>
      <x:c r="C129" s="24" t="str">
        <x:v>ECU</x:v>
      </x:c>
      <x:c r="D129" s="24" t="n">
        <x:v>2026</x:v>
      </x:c>
      <x:c r="E129" s="37" t="n">
        <x:v>0.87</x:v>
      </x:c>
      <x:c r="F129" s="38" t="n">
        <x:v>18444507</x:v>
      </x:c>
      <x:c r="G129" s="38" t="n">
        <x:v>18243816</x:v>
      </x:c>
      <x:c r="H129" s="39" t="n">
        <x:f>G129/F129</x:f>
        <x:v>0.9891191995535581</x:v>
      </x:c>
      <x:c r="I129" s="40" t="n">
        <x:v>264107360000</x:v>
      </x:c>
      <x:c r="J129" s="40" t="n">
        <x:v>229773403200</x:v>
      </x:c>
      <x:c r="K129" s="40" t="n">
        <x:v>12458</x:v>
      </x:c>
      <x:c r="L129" s="40" t="n">
        <x:v>6590</x:v>
      </x:c>
      <x:c r="M129" s="40" t="n">
        <x:v>15416</x:v>
      </x:c>
      <x:c r="N129" s="41" t="n">
        <x:f>MIN(L129,M129)</x:f>
        <x:v>6590</x:v>
      </x:c>
      <x:c r="O129" s="41" t="n">
        <x:f>MAX(L129,M129)</x:f>
        <x:v>15416</x:v>
      </x:c>
      <x:c r="P129" s="41" t="n">
        <x:f>MAX(N129,MIN(K129,O129))</x:f>
        <x:v>12458</x:v>
      </x:c>
      <x:c r="Q129" s="19" t="str">
        <x:f>IF(K129&lt;N129,IF(N129=L129,"clamped_to_nominal","clamped_to_ppp"),IF(K129&gt;O129,IF(O129=L129,"clamped_to_nominal","clamped_to_ppp"),"kept_vanilla"))</x:f>
        <x:v>kept_vanilla</x:v>
      </x:c>
      <x:c r="R129" s="41" t="n">
        <x:f>P129*G129</x:f>
        <x:v>227281459728</x:v>
      </x:c>
      <x:c r="S129" s="41" t="n">
        <x:f>R129/E129</x:f>
        <x:v>261243057158.6207</x:v>
      </x:c>
      <x:c r="T129" s="36" t="str">
        <x:v>ECU: IMF exact 2026</x:v>
      </x:c>
      <x:c r="U129" s="36" t="str">
        <x:v>ECU: IMF exact 2026</x:v>
      </x:c>
      <x:c r="V129" s="36" t="str">
        <x:v>ECU: IMF exact 2026</x:v>
      </x:c>
      <x:c r="W129" s="36" t="str">
        <x:v>complete_primary</x:v>
      </x:c>
      <x:c r="X129" s="36" t="str">
        <x:v>https://api.imf.org/external/sdmx/3.0/data/dataflow/IMF.RES/WEO/9.0.0/</x:v>
      </x:c>
      <x:c r="Y129" s="36" t="str">
        <x:v>https://api.worldbank.org/v2/</x:v>
      </x:c>
    </x:row>
    <x:row r="130">
      <x:c r="A130" s="24" t="str">
        <x:v>EGY</x:v>
      </x:c>
      <x:c r="B130" s="24" t="str">
        <x:v>Egypt</x:v>
      </x:c>
      <x:c r="C130" s="24" t="str">
        <x:v>EGY</x:v>
      </x:c>
      <x:c r="D130" s="24" t="n">
        <x:v>2003</x:v>
      </x:c>
      <x:c r="E130" s="37" t="n">
        <x:v>1.59</x:v>
      </x:c>
      <x:c r="F130" s="38" t="n">
        <x:v>77853547</x:v>
      </x:c>
      <x:c r="G130" s="38" t="n">
        <x:v>68000000</x:v>
      </x:c>
      <x:c r="H130" s="39" t="n">
        <x:f>G130/F130</x:f>
        <x:v>0.8734348352811723</x:v>
      </x:c>
      <x:c r="I130" s="40" t="n">
        <x:v>282095321637</x:v>
      </x:c>
      <x:c r="J130" s="40" t="n">
        <x:v>448531561403</x:v>
      </x:c>
      <x:c r="K130" s="40" t="n">
        <x:v>5761</x:v>
      </x:c>
      <x:c r="L130" s="40" t="n">
        <x:v>1991</x:v>
      </x:c>
      <x:c r="M130" s="40" t="n">
        <x:v>11279</x:v>
      </x:c>
      <x:c r="N130" s="41" t="n">
        <x:f>MIN(L130,M130)</x:f>
        <x:v>1991</x:v>
      </x:c>
      <x:c r="O130" s="41" t="n">
        <x:f>MAX(L130,M130)</x:f>
        <x:v>11279</x:v>
      </x:c>
      <x:c r="P130" s="41" t="n">
        <x:f>MAX(N130,MIN(K130,O130))</x:f>
        <x:v>5761</x:v>
      </x:c>
      <x:c r="Q130" s="19" t="str">
        <x:f>IF(K130&lt;N130,IF(N130=L130,"clamped_to_nominal","clamped_to_ppp"),IF(K130&gt;O130,IF(O130=L130,"clamped_to_nominal","clamped_to_ppp"),"kept_vanilla"))</x:f>
        <x:v>kept_vanilla</x:v>
      </x:c>
      <x:c r="R130" s="41" t="n">
        <x:f>P130*G130</x:f>
        <x:v>391748000000</x:v>
      </x:c>
      <x:c r="S130" s="41" t="n">
        <x:f>R130/E130</x:f>
        <x:v>246382389937.1069</x:v>
      </x:c>
      <x:c r="T130" s="36" t="str">
        <x:v>EGY: IMF exact 2003</x:v>
      </x:c>
      <x:c r="U130" s="36" t="str">
        <x:v>EGY: IMF exact 2003</x:v>
      </x:c>
      <x:c r="V130" s="36" t="str">
        <x:v>EGY: IMF exact 2003</x:v>
      </x:c>
      <x:c r="W130" s="36" t="str">
        <x:v>complete_primary</x:v>
      </x:c>
      <x:c r="X130" s="36" t="str">
        <x:v>https://api.imf.org/external/sdmx/3.0/data/dataflow/IMF.RES/WEO/9.0.0/</x:v>
      </x:c>
      <x:c r="Y130" s="36" t="str">
        <x:v>https://api.worldbank.org/v2/</x:v>
      </x:c>
    </x:row>
    <x:row r="131">
      <x:c r="A131" s="24" t="str">
        <x:v>EGY</x:v>
      </x:c>
      <x:c r="B131" s="24" t="str">
        <x:v>Egypt</x:v>
      </x:c>
      <x:c r="C131" s="24" t="str">
        <x:v>EGY</x:v>
      </x:c>
      <x:c r="D131" s="24" t="n">
        <x:v>2022</x:v>
      </x:c>
      <x:c r="E131" s="37" t="n">
        <x:v>1</x:v>
      </x:c>
      <x:c r="F131" s="38" t="n">
        <x:v>106749118</x:v>
      </x:c>
      <x:c r="G131" s="38" t="n">
        <x:v>103600000</x:v>
      </x:c>
      <x:c r="H131" s="39" t="n">
        <x:f>G131/F131</x:f>
        <x:v>0.9704998218345935</x:v>
      </x:c>
      <x:c r="I131" s="40" t="n">
        <x:v>1374891760000</x:v>
      </x:c>
      <x:c r="J131" s="40" t="n">
        <x:v>1374891760000</x:v>
      </x:c>
      <x:c r="K131" s="40" t="n">
        <x:v>12880</x:v>
      </x:c>
      <x:c r="L131" s="40" t="n">
        <x:v>4587</x:v>
      </x:c>
      <x:c r="M131" s="40" t="n">
        <x:v>19061</x:v>
      </x:c>
      <x:c r="N131" s="41" t="n">
        <x:f>MIN(L131,M131)</x:f>
        <x:v>4587</x:v>
      </x:c>
      <x:c r="O131" s="41" t="n">
        <x:f>MAX(L131,M131)</x:f>
        <x:v>19061</x:v>
      </x:c>
      <x:c r="P131" s="41" t="n">
        <x:f>MAX(N131,MIN(K131,O131))</x:f>
        <x:v>12880</x:v>
      </x:c>
      <x:c r="Q131" s="19" t="str">
        <x:f>IF(K131&lt;N131,IF(N131=L131,"clamped_to_nominal","clamped_to_ppp"),IF(K131&gt;O131,IF(O131=L131,"clamped_to_nominal","clamped_to_ppp"),"kept_vanilla"))</x:f>
        <x:v>kept_vanilla</x:v>
      </x:c>
      <x:c r="R131" s="41" t="n">
        <x:f>P131*G131</x:f>
        <x:v>1334368000000</x:v>
      </x:c>
      <x:c r="S131" s="41" t="n">
        <x:f>R131/E131</x:f>
        <x:v>1334368000000</x:v>
      </x:c>
      <x:c r="T131" s="36" t="str">
        <x:v>EGY: IMF exact 2022</x:v>
      </x:c>
      <x:c r="U131" s="36" t="str">
        <x:v>EGY: IMF exact 2022</x:v>
      </x:c>
      <x:c r="V131" s="36" t="str">
        <x:v>EGY: IMF exact 2022</x:v>
      </x:c>
      <x:c r="W131" s="36" t="str">
        <x:v>complete_primary</x:v>
      </x:c>
      <x:c r="X131" s="36" t="str">
        <x:v>https://api.imf.org/external/sdmx/3.0/data/dataflow/IMF.RES/WEO/9.0.0/</x:v>
      </x:c>
      <x:c r="Y131" s="36" t="str">
        <x:v>https://api.worldbank.org/v2/</x:v>
      </x:c>
    </x:row>
    <x:row r="132">
      <x:c r="A132" s="24" t="str">
        <x:v>EGY</x:v>
      </x:c>
      <x:c r="B132" s="24" t="str">
        <x:v>Egypt</x:v>
      </x:c>
      <x:c r="C132" s="24" t="str">
        <x:v>EGY</x:v>
      </x:c>
      <x:c r="D132" s="24" t="n">
        <x:v>2026</x:v>
      </x:c>
      <x:c r="E132" s="37" t="n">
        <x:v>0.87</x:v>
      </x:c>
      <x:c r="F132" s="38" t="n">
        <x:v>120101175</x:v>
      </x:c>
      <x:c r="G132" s="38" t="n">
        <x:v>110058000</x:v>
      </x:c>
      <x:c r="H132" s="39" t="n">
        <x:f>G132/F132</x:f>
        <x:v>0.9163773793220591</x:v>
      </x:c>
      <x:c r="I132" s="40" t="n">
        <x:v>2095726160000</x:v>
      </x:c>
      <x:c r="J132" s="40" t="n">
        <x:v>1823281759200</x:v>
      </x:c>
      <x:c r="K132" s="40" t="n">
        <x:v>15181</x:v>
      </x:c>
      <x:c r="L132" s="40" t="n">
        <x:v>3396</x:v>
      </x:c>
      <x:c r="M132" s="40" t="n">
        <x:v>20289</x:v>
      </x:c>
      <x:c r="N132" s="41" t="n">
        <x:f>MIN(L132,M132)</x:f>
        <x:v>3396</x:v>
      </x:c>
      <x:c r="O132" s="41" t="n">
        <x:f>MAX(L132,M132)</x:f>
        <x:v>20289</x:v>
      </x:c>
      <x:c r="P132" s="41" t="n">
        <x:f>MAX(N132,MIN(K132,O132))</x:f>
        <x:v>15181</x:v>
      </x:c>
      <x:c r="Q132" s="19" t="str">
        <x:f>IF(K132&lt;N132,IF(N132=L132,"clamped_to_nominal","clamped_to_ppp"),IF(K132&gt;O132,IF(O132=L132,"clamped_to_nominal","clamped_to_ppp"),"kept_vanilla"))</x:f>
        <x:v>kept_vanilla</x:v>
      </x:c>
      <x:c r="R132" s="41" t="n">
        <x:f>P132*G132</x:f>
        <x:v>1670790498000</x:v>
      </x:c>
      <x:c r="S132" s="41" t="n">
        <x:f>R132/E132</x:f>
        <x:v>1920448848275.862</x:v>
      </x:c>
      <x:c r="T132" s="36" t="str">
        <x:v>EGY: IMF exact 2026</x:v>
      </x:c>
      <x:c r="U132" s="36" t="str">
        <x:v>EGY: IMF exact 2026</x:v>
      </x:c>
      <x:c r="V132" s="36" t="str">
        <x:v>EGY: IMF exact 2026</x:v>
      </x:c>
      <x:c r="W132" s="36" t="str">
        <x:v>complete_primary</x:v>
      </x:c>
      <x:c r="X132" s="36" t="str">
        <x:v>https://api.imf.org/external/sdmx/3.0/data/dataflow/IMF.RES/WEO/9.0.0/</x:v>
      </x:c>
      <x:c r="Y132" s="36" t="str">
        <x:v>https://api.worldbank.org/v2/</x:v>
      </x:c>
    </x:row>
    <x:row r="133">
      <x:c r="A133" s="24" t="str">
        <x:v>ELS</x:v>
      </x:c>
      <x:c r="B133" s="24" t="str">
        <x:v>El Salvador</x:v>
      </x:c>
      <x:c r="C133" s="24" t="str">
        <x:v>SLV</x:v>
      </x:c>
      <x:c r="D133" s="24" t="n">
        <x:v>2003</x:v>
      </x:c>
      <x:c r="E133" s="37" t="n">
        <x:v>1.59</x:v>
      </x:c>
      <x:c r="F133" s="38" t="n">
        <x:v>5998599</x:v>
      </x:c>
      <x:c r="G133" s="38" t="n">
        <x:v>5998600</x:v>
      </x:c>
      <x:c r="H133" s="39" t="n">
        <x:f>G133/F133</x:f>
        <x:v>1.0000001667055924</x:v>
      </x:c>
      <x:c r="I133" s="40" t="n">
        <x:v>18721052632</x:v>
      </x:c>
      <x:c r="J133" s="40" t="n">
        <x:v>29766473685</x:v>
      </x:c>
      <x:c r="K133" s="40" t="n">
        <x:v>4962</x:v>
      </x:c>
      <x:c r="L133" s="40" t="n">
        <x:v>3510</x:v>
      </x:c>
      <x:c r="M133" s="40" t="n">
        <x:v>8485</x:v>
      </x:c>
      <x:c r="N133" s="41" t="n">
        <x:f>MIN(L133,M133)</x:f>
        <x:v>3510</x:v>
      </x:c>
      <x:c r="O133" s="41" t="n">
        <x:f>MAX(L133,M133)</x:f>
        <x:v>8485</x:v>
      </x:c>
      <x:c r="P133" s="41" t="n">
        <x:f>MAX(N133,MIN(K133,O133))</x:f>
        <x:v>4962</x:v>
      </x:c>
      <x:c r="Q133" s="19" t="str">
        <x:f>IF(K133&lt;N133,IF(N133=L133,"clamped_to_nominal","clamped_to_ppp"),IF(K133&gt;O133,IF(O133=L133,"clamped_to_nominal","clamped_to_ppp"),"kept_vanilla"))</x:f>
        <x:v>kept_vanilla</x:v>
      </x:c>
      <x:c r="R133" s="41" t="n">
        <x:f>P133*G133</x:f>
        <x:v>29765053200</x:v>
      </x:c>
      <x:c r="S133" s="41" t="n">
        <x:f>R133/E133</x:f>
        <x:v>18720159245.283016</x:v>
      </x:c>
      <x:c r="T133" s="36" t="str">
        <x:v>SLV: IMF exact 2003</x:v>
      </x:c>
      <x:c r="U133" s="36" t="str">
        <x:v>SLV: IMF exact 2003</x:v>
      </x:c>
      <x:c r="V133" s="36" t="str">
        <x:v>SLV: IMF exact 2003</x:v>
      </x:c>
      <x:c r="W133" s="36" t="str">
        <x:v>complete_primary</x:v>
      </x:c>
      <x:c r="X133" s="36" t="str">
        <x:v>https://api.imf.org/external/sdmx/3.0/data/dataflow/IMF.RES/WEO/9.0.0/</x:v>
      </x:c>
      <x:c r="Y133" s="36" t="str">
        <x:v>https://api.worldbank.org/v2/</x:v>
      </x:c>
    </x:row>
    <x:row r="134">
      <x:c r="A134" s="24" t="str">
        <x:v>ELS</x:v>
      </x:c>
      <x:c r="B134" s="24" t="str">
        <x:v>El Salvador</x:v>
      </x:c>
      <x:c r="C134" s="24" t="str">
        <x:v>SLV</x:v>
      </x:c>
      <x:c r="D134" s="24" t="n">
        <x:v>2022</x:v>
      </x:c>
      <x:c r="E134" s="37" t="n">
        <x:v>1</x:v>
      </x:c>
      <x:c r="F134" s="38" t="n">
        <x:v>6560298</x:v>
      </x:c>
      <x:c r="G134" s="38" t="n">
        <x:v>6280300</x:v>
      </x:c>
      <x:c r="H134" s="39" t="n">
        <x:f>G134/F134</x:f>
        <x:v>0.9573193168968849</x:v>
      </x:c>
      <x:c r="I134" s="40" t="n">
        <x:v>60996320000</x:v>
      </x:c>
      <x:c r="J134" s="40" t="n">
        <x:v>60996320000</x:v>
      </x:c>
      <x:c r="K134" s="40" t="n">
        <x:v>9298</x:v>
      </x:c>
      <x:c r="L134" s="40" t="n">
        <x:v>5075</x:v>
      </x:c>
      <x:c r="M134" s="40" t="n">
        <x:v>11874</x:v>
      </x:c>
      <x:c r="N134" s="41" t="n">
        <x:f>MIN(L134,M134)</x:f>
        <x:v>5075</x:v>
      </x:c>
      <x:c r="O134" s="41" t="n">
        <x:f>MAX(L134,M134)</x:f>
        <x:v>11874</x:v>
      </x:c>
      <x:c r="P134" s="41" t="n">
        <x:f>MAX(N134,MIN(K134,O134))</x:f>
        <x:v>9298</x:v>
      </x:c>
      <x:c r="Q134" s="19" t="str">
        <x:f>IF(K134&lt;N134,IF(N134=L134,"clamped_to_nominal","clamped_to_ppp"),IF(K134&gt;O134,IF(O134=L134,"clamped_to_nominal","clamped_to_ppp"),"kept_vanilla"))</x:f>
        <x:v>kept_vanilla</x:v>
      </x:c>
      <x:c r="R134" s="41" t="n">
        <x:f>P134*G134</x:f>
        <x:v>58394229400</x:v>
      </x:c>
      <x:c r="S134" s="41" t="n">
        <x:f>R134/E134</x:f>
        <x:v>58394229400</x:v>
      </x:c>
      <x:c r="T134" s="36" t="str">
        <x:v>SLV: IMF exact 2022</x:v>
      </x:c>
      <x:c r="U134" s="36" t="str">
        <x:v>SLV: IMF exact 2022</x:v>
      </x:c>
      <x:c r="V134" s="36" t="str">
        <x:v>SLV: IMF exact 2022</x:v>
      </x:c>
      <x:c r="W134" s="36" t="str">
        <x:v>complete_primary</x:v>
      </x:c>
      <x:c r="X134" s="36" t="str">
        <x:v>https://api.imf.org/external/sdmx/3.0/data/dataflow/IMF.RES/WEO/9.0.0/</x:v>
      </x:c>
      <x:c r="Y134" s="36" t="str">
        <x:v>https://api.worldbank.org/v2/</x:v>
      </x:c>
    </x:row>
    <x:row r="135">
      <x:c r="A135" s="24" t="str">
        <x:v>ELS</x:v>
      </x:c>
      <x:c r="B135" s="24" t="str">
        <x:v>El Salvador</x:v>
      </x:c>
      <x:c r="C135" s="24" t="str">
        <x:v>SLV</x:v>
      </x:c>
      <x:c r="D135" s="24" t="n">
        <x:v>2026</x:v>
      </x:c>
      <x:c r="E135" s="37" t="n">
        <x:v>0.87</x:v>
      </x:c>
      <x:c r="F135" s="38" t="n">
        <x:v>6391254</x:v>
      </x:c>
      <x:c r="G135" s="38" t="n">
        <x:v>6429798</x:v>
      </x:c>
      <x:c r="H135" s="39" t="n">
        <x:f>G135/F135</x:f>
        <x:v>1.006030741385024</x:v>
      </x:c>
      <x:c r="I135" s="40" t="n">
        <x:v>77688160000</x:v>
      </x:c>
      <x:c r="J135" s="40" t="n">
        <x:v>67588699200</x:v>
      </x:c>
      <x:c r="K135" s="40" t="n">
        <x:v>10575</x:v>
      </x:c>
      <x:c r="L135" s="40" t="n">
        <x:v>5390</x:v>
      </x:c>
      <x:c r="M135" s="40" t="n">
        <x:v>12909</x:v>
      </x:c>
      <x:c r="N135" s="41" t="n">
        <x:f>MIN(L135,M135)</x:f>
        <x:v>5390</x:v>
      </x:c>
      <x:c r="O135" s="41" t="n">
        <x:f>MAX(L135,M135)</x:f>
        <x:v>12909</x:v>
      </x:c>
      <x:c r="P135" s="41" t="n">
        <x:f>MAX(N135,MIN(K135,O135))</x:f>
        <x:v>10575</x:v>
      </x:c>
      <x:c r="Q135" s="19" t="str">
        <x:f>IF(K135&lt;N135,IF(N135=L135,"clamped_to_nominal","clamped_to_ppp"),IF(K135&gt;O135,IF(O135=L135,"clamped_to_nominal","clamped_to_ppp"),"kept_vanilla"))</x:f>
        <x:v>kept_vanilla</x:v>
      </x:c>
      <x:c r="R135" s="41" t="n">
        <x:f>P135*G135</x:f>
        <x:v>67995113850</x:v>
      </x:c>
      <x:c r="S135" s="41" t="n">
        <x:f>R135/E135</x:f>
        <x:v>78155303275.86208</x:v>
      </x:c>
      <x:c r="T135" s="36" t="str">
        <x:v>SLV: IMF exact 2026</x:v>
      </x:c>
      <x:c r="U135" s="36" t="str">
        <x:v>SLV: IMF exact 2026</x:v>
      </x:c>
      <x:c r="V135" s="36" t="str">
        <x:v>SLV: IMF exact 2026</x:v>
      </x:c>
      <x:c r="W135" s="36" t="str">
        <x:v>complete_primary</x:v>
      </x:c>
      <x:c r="X135" s="36" t="str">
        <x:v>https://api.imf.org/external/sdmx/3.0/data/dataflow/IMF.RES/WEO/9.0.0/</x:v>
      </x:c>
      <x:c r="Y135" s="36" t="str">
        <x:v>https://api.worldbank.org/v2/</x:v>
      </x:c>
    </x:row>
    <x:row r="136">
      <x:c r="A136" s="24" t="str">
        <x:v>EQG</x:v>
      </x:c>
      <x:c r="B136" s="24" t="str">
        <x:v>Equatorial Guinea</x:v>
      </x:c>
      <x:c r="C136" s="24" t="str">
        <x:v>GNQ</x:v>
      </x:c>
      <x:c r="D136" s="24" t="n">
        <x:v>2003</x:v>
      </x:c>
      <x:c r="E136" s="37" t="n">
        <x:v>1.59</x:v>
      </x:c>
      <x:c r="F136" s="38" t="n">
        <x:v>847862</x:v>
      </x:c>
      <x:c r="G136" s="38" t="n">
        <x:v>694611</x:v>
      </x:c>
      <x:c r="H136" s="39" t="n">
        <x:f>G136/F136</x:f>
        <x:v>0.8192500666382029</x:v>
      </x:c>
      <x:c r="I136" s="40" t="n">
        <x:v>7930409357</x:v>
      </x:c>
      <x:c r="J136" s="40" t="n">
        <x:v>12609350878</x:v>
      </x:c>
      <x:c r="K136" s="40" t="n">
        <x:v>14872</x:v>
      </x:c>
      <x:c r="L136" s="40" t="n">
        <x:v>8544</x:v>
      </x:c>
      <x:c r="M136" s="40" t="n">
        <x:v>31042</x:v>
      </x:c>
      <x:c r="N136" s="41" t="n">
        <x:f>MIN(L136,M136)</x:f>
        <x:v>8544</x:v>
      </x:c>
      <x:c r="O136" s="41" t="n">
        <x:f>MAX(L136,M136)</x:f>
        <x:v>31042</x:v>
      </x:c>
      <x:c r="P136" s="41" t="n">
        <x:f>MAX(N136,MIN(K136,O136))</x:f>
        <x:v>14872</x:v>
      </x:c>
      <x:c r="Q136" s="19" t="str">
        <x:f>IF(K136&lt;N136,IF(N136=L136,"clamped_to_nominal","clamped_to_ppp"),IF(K136&gt;O136,IF(O136=L136,"clamped_to_nominal","clamped_to_ppp"),"kept_vanilla"))</x:f>
        <x:v>kept_vanilla</x:v>
      </x:c>
      <x:c r="R136" s="41" t="n">
        <x:f>P136*G136</x:f>
        <x:v>10330254792</x:v>
      </x:c>
      <x:c r="S136" s="41" t="n">
        <x:f>R136/E136</x:f>
        <x:v>6497015592.45283</x:v>
      </x:c>
      <x:c r="T136" s="36" t="str">
        <x:v>GNQ: IMF exact 2003</x:v>
      </x:c>
      <x:c r="U136" s="36" t="str">
        <x:v>GNQ: IMF exact 2003</x:v>
      </x:c>
      <x:c r="V136" s="36" t="str">
        <x:v>GNQ: IMF exact 2003</x:v>
      </x:c>
      <x:c r="W136" s="36" t="str">
        <x:v>complete_primary</x:v>
      </x:c>
      <x:c r="X136" s="36" t="str">
        <x:v>https://api.imf.org/external/sdmx/3.0/data/dataflow/IMF.RES/WEO/9.0.0/</x:v>
      </x:c>
      <x:c r="Y136" s="36" t="str">
        <x:v>https://api.worldbank.org/v2/</x:v>
      </x:c>
    </x:row>
    <x:row r="137">
      <x:c r="A137" s="24" t="str">
        <x:v>EQG</x:v>
      </x:c>
      <x:c r="B137" s="24" t="str">
        <x:v>Equatorial Guinea</x:v>
      </x:c>
      <x:c r="C137" s="24" t="str">
        <x:v>GNQ</x:v>
      </x:c>
      <x:c r="D137" s="24" t="n">
        <x:v>2022</x:v>
      </x:c>
      <x:c r="E137" s="37" t="n">
        <x:v>1</x:v>
      </x:c>
      <x:c r="F137" s="38" t="n">
        <x:v>1511571</x:v>
      </x:c>
      <x:c r="G137" s="38" t="n">
        <x:v>1498287</x:v>
      </x:c>
      <x:c r="H137" s="39" t="n">
        <x:f>G137/F137</x:f>
        <x:v>0.9912117922347015</x:v>
      </x:c>
      <x:c r="I137" s="40" t="n">
        <x:v>25099360000</x:v>
      </x:c>
      <x:c r="J137" s="40" t="n">
        <x:v>25099360000</x:v>
      </x:c>
      <x:c r="K137" s="40" t="n">
        <x:v>16605</x:v>
      </x:c>
      <x:c r="L137" s="40" t="n">
        <x:v>9155</x:v>
      </x:c>
      <x:c r="M137" s="40" t="n">
        <x:v>21832</x:v>
      </x:c>
      <x:c r="N137" s="41" t="n">
        <x:f>MIN(L137,M137)</x:f>
        <x:v>9155</x:v>
      </x:c>
      <x:c r="O137" s="41" t="n">
        <x:f>MAX(L137,M137)</x:f>
        <x:v>21832</x:v>
      </x:c>
      <x:c r="P137" s="41" t="n">
        <x:f>MAX(N137,MIN(K137,O137))</x:f>
        <x:v>16605</x:v>
      </x:c>
      <x:c r="Q137" s="19" t="str">
        <x:f>IF(K137&lt;N137,IF(N137=L137,"clamped_to_nominal","clamped_to_ppp"),IF(K137&gt;O137,IF(O137=L137,"clamped_to_nominal","clamped_to_ppp"),"kept_vanilla"))</x:f>
        <x:v>kept_vanilla</x:v>
      </x:c>
      <x:c r="R137" s="41" t="n">
        <x:f>P137*G137</x:f>
        <x:v>24879055635</x:v>
      </x:c>
      <x:c r="S137" s="41" t="n">
        <x:f>R137/E137</x:f>
        <x:v>24879055635</x:v>
      </x:c>
      <x:c r="T137" s="36" t="str">
        <x:v>GNQ: IMF exact 2022</x:v>
      </x:c>
      <x:c r="U137" s="36" t="str">
        <x:v>GNQ: IMF exact 2022</x:v>
      </x:c>
      <x:c r="V137" s="36" t="str">
        <x:v>GNQ: IMF exact 2022</x:v>
      </x:c>
      <x:c r="W137" s="36" t="str">
        <x:v>complete_primary</x:v>
      </x:c>
      <x:c r="X137" s="36" t="str">
        <x:v>https://api.imf.org/external/sdmx/3.0/data/dataflow/IMF.RES/WEO/9.0.0/</x:v>
      </x:c>
      <x:c r="Y137" s="36" t="str">
        <x:v>https://api.worldbank.org/v2/</x:v>
      </x:c>
    </x:row>
    <x:row r="138">
      <x:c r="A138" s="24" t="str">
        <x:v>EQG</x:v>
      </x:c>
      <x:c r="B138" s="24" t="str">
        <x:v>Equatorial Guinea</x:v>
      </x:c>
      <x:c r="C138" s="24" t="str">
        <x:v>GNQ</x:v>
      </x:c>
      <x:c r="D138" s="24" t="n">
        <x:v>2026</x:v>
      </x:c>
      <x:c r="E138" s="37" t="n">
        <x:v>0.87</x:v>
      </x:c>
      <x:c r="F138" s="38" t="n">
        <x:v>1984468</x:v>
      </x:c>
      <x:c r="G138" s="38" t="n">
        <x:v>1683298</x:v>
      </x:c>
      <x:c r="H138" s="39" t="n">
        <x:f>G138/F138</x:f>
        <x:v>0.8482364039127867</x:v>
      </x:c>
      <x:c r="I138" s="40" t="n">
        <x:v>29042640000</x:v>
      </x:c>
      <x:c r="J138" s="40" t="n">
        <x:v>25267096800</x:v>
      </x:c>
      <x:c r="K138" s="40" t="n">
        <x:v>12732</x:v>
      </x:c>
      <x:c r="L138" s="40" t="n">
        <x:v>7092</x:v>
      </x:c>
      <x:c r="M138" s="40" t="n">
        <x:v>16583</x:v>
      </x:c>
      <x:c r="N138" s="41" t="n">
        <x:f>MIN(L138,M138)</x:f>
        <x:v>7092</x:v>
      </x:c>
      <x:c r="O138" s="41" t="n">
        <x:f>MAX(L138,M138)</x:f>
        <x:v>16583</x:v>
      </x:c>
      <x:c r="P138" s="41" t="n">
        <x:f>MAX(N138,MIN(K138,O138))</x:f>
        <x:v>12732</x:v>
      </x:c>
      <x:c r="Q138" s="19" t="str">
        <x:f>IF(K138&lt;N138,IF(N138=L138,"clamped_to_nominal","clamped_to_ppp"),IF(K138&gt;O138,IF(O138=L138,"clamped_to_nominal","clamped_to_ppp"),"kept_vanilla"))</x:f>
        <x:v>kept_vanilla</x:v>
      </x:c>
      <x:c r="R138" s="41" t="n">
        <x:f>P138*G138</x:f>
        <x:v>21431750136</x:v>
      </x:c>
      <x:c r="S138" s="41" t="n">
        <x:f>R138/E138</x:f>
        <x:v>24634195558.62069</x:v>
      </x:c>
      <x:c r="T138" s="36" t="str">
        <x:v>GNQ: IMF exact 2026</x:v>
      </x:c>
      <x:c r="U138" s="36" t="str">
        <x:v>GNQ: IMF exact 2026</x:v>
      </x:c>
      <x:c r="V138" s="36" t="str">
        <x:v>GNQ: IMF exact 2026</x:v>
      </x:c>
      <x:c r="W138" s="36" t="str">
        <x:v>complete_primary</x:v>
      </x:c>
      <x:c r="X138" s="36" t="str">
        <x:v>https://api.imf.org/external/sdmx/3.0/data/dataflow/IMF.RES/WEO/9.0.0/</x:v>
      </x:c>
      <x:c r="Y138" s="36" t="str">
        <x:v>https://api.worldbank.org/v2/</x:v>
      </x:c>
    </x:row>
    <x:row r="139">
      <x:c r="A139" s="24" t="str">
        <x:v>ERI</x:v>
      </x:c>
      <x:c r="B139" s="24" t="str">
        <x:v>Eritrea</x:v>
      </x:c>
      <x:c r="C139" s="24" t="str">
        <x:v>ERI</x:v>
      </x:c>
      <x:c r="D139" s="24" t="n">
        <x:v>2003</x:v>
      </x:c>
      <x:c r="E139" s="37" t="n">
        <x:v>1.59</x:v>
      </x:c>
      <x:c r="F139" s="38" t="n">
        <x:v>2493903</x:v>
      </x:c>
      <x:c r="G139" s="38" t="n">
        <x:v>2601000</x:v>
      </x:c>
      <x:c r="H139" s="39" t="n">
        <x:f>G139/F139</x:f>
        <x:v>1.042943530682629</x:v>
      </x:c>
      <x:c r="I139" s="40" t="n">
        <x:v>1987134503</x:v>
      </x:c>
      <x:c r="J139" s="40" t="n">
        <x:v>3159543860</x:v>
      </x:c>
      <x:c r="K139" s="40" t="n">
        <x:v>1267</x:v>
      </x:c>
      <x:c r="L139" s="40" t="n">
        <x:v>412</x:v>
      </x:c>
      <x:c r="M139" s="40" t="n">
        <x:v>2077</x:v>
      </x:c>
      <x:c r="N139" s="41" t="n">
        <x:f>MIN(L139,M139)</x:f>
        <x:v>412</x:v>
      </x:c>
      <x:c r="O139" s="41" t="n">
        <x:f>MAX(L139,M139)</x:f>
        <x:v>2077</x:v>
      </x:c>
      <x:c r="P139" s="41" t="n">
        <x:f>MAX(N139,MIN(K139,O139))</x:f>
        <x:v>1267</x:v>
      </x:c>
      <x:c r="Q139" s="19" t="str">
        <x:f>IF(K139&lt;N139,IF(N139=L139,"clamped_to_nominal","clamped_to_ppp"),IF(K139&gt;O139,IF(O139=L139,"clamped_to_nominal","clamped_to_ppp"),"kept_vanilla"))</x:f>
        <x:v>kept_vanilla</x:v>
      </x:c>
      <x:c r="R139" s="41" t="n">
        <x:f>P139*G139</x:f>
        <x:v>3295467000</x:v>
      </x:c>
      <x:c r="S139" s="41" t="n">
        <x:f>R139/E139</x:f>
        <x:v>2072620754.716981</x:v>
      </x:c>
      <x:c r="T139" s="36" t="str">
        <x:v>ERI: IMF exact 2003</x:v>
      </x:c>
      <x:c r="U139" s="36" t="str">
        <x:v>ERI: IMF exact 2003</x:v>
      </x:c>
      <x:c r="V139" s="36" t="str">
        <x:v>ERI: IMF exact 2003</x:v>
      </x:c>
      <x:c r="W139" s="36" t="str">
        <x:v>complete_primary</x:v>
      </x:c>
      <x:c r="X139" s="36" t="str">
        <x:v>https://api.imf.org/external/sdmx/3.0/data/dataflow/IMF.RES/WEO/9.0.0/</x:v>
      </x:c>
      <x:c r="Y139" s="36" t="str">
        <x:v>https://api.worldbank.org/v2/</x:v>
      </x:c>
    </x:row>
    <x:row r="140">
      <x:c r="A140" s="24" t="str">
        <x:v>ERI</x:v>
      </x:c>
      <x:c r="B140" s="24" t="str">
        <x:v>Eritrea</x:v>
      </x:c>
      <x:c r="C140" s="24" t="str">
        <x:v>ERI</x:v>
      </x:c>
      <x:c r="D140" s="24" t="n">
        <x:v>2022</x:v>
      </x:c>
      <x:c r="E140" s="37" t="n">
        <x:v>1</x:v>
      </x:c>
      <x:c r="F140" s="38" t="n">
        <x:v>3681556</x:v>
      </x:c>
      <x:c r="G140" s="38" t="n">
        <x:v>3409447</x:v>
      </x:c>
      <x:c r="H140" s="39" t="n">
        <x:f>G140/F140</x:f>
        <x:v>0.926088588629373</x:v>
      </x:c>
      <x:c r="I140" s="40" t="n">
        <x:v>6771600000</x:v>
      </x:c>
      <x:c r="J140" s="40" t="n">
        <x:v>6771600000</x:v>
      </x:c>
      <x:c r="K140" s="40" t="n">
        <x:v>1839</x:v>
      </x:c>
      <x:c r="L140" s="40" t="n">
        <x:v>618</x:v>
      </x:c>
      <x:c r="M140" s="40" t="n">
        <x:v>2154</x:v>
      </x:c>
      <x:c r="N140" s="41" t="n">
        <x:f>MIN(L140,M140)</x:f>
        <x:v>618</x:v>
      </x:c>
      <x:c r="O140" s="41" t="n">
        <x:f>MAX(L140,M140)</x:f>
        <x:v>2154</x:v>
      </x:c>
      <x:c r="P140" s="41" t="n">
        <x:f>MAX(N140,MIN(K140,O140))</x:f>
        <x:v>1839</x:v>
      </x:c>
      <x:c r="Q140" s="19" t="str">
        <x:f>IF(K140&lt;N140,IF(N140=L140,"clamped_to_nominal","clamped_to_ppp"),IF(K140&gt;O140,IF(O140=L140,"clamped_to_nominal","clamped_to_ppp"),"kept_vanilla"))</x:f>
        <x:v>kept_vanilla</x:v>
      </x:c>
      <x:c r="R140" s="41" t="n">
        <x:f>P140*G140</x:f>
        <x:v>6269973033</x:v>
      </x:c>
      <x:c r="S140" s="41" t="n">
        <x:f>R140/E140</x:f>
        <x:v>6269973033</x:v>
      </x:c>
      <x:c r="T140" s="36" t="str">
        <x:v>ERI: World Bank exact 2022</x:v>
      </x:c>
      <x:c r="U140" s="36" t="str">
        <x:v>ERI: peer-growth inference from IMF 2019; Sub-Saharan Africa ; Low income median -1.31%/yr (20 peers, capped at ±8%)</x:v>
      </x:c>
      <x:c r="V140" s="36" t="str">
        <x:v>ERI: peer-growth inference from IMF 2019; Sub-Saharan Africa ; Low income median 1.39%/yr (20 peers, capped at ±8%)</x:v>
      </x:c>
      <x:c r="W140" s="36" t="str">
        <x:v>inferred+secondary_source</x:v>
      </x:c>
      <x:c r="X140" s="36" t="str">
        <x:v>https://api.imf.org/external/sdmx/3.0/data/dataflow/IMF.RES/WEO/9.0.0/</x:v>
      </x:c>
      <x:c r="Y140" s="36" t="str">
        <x:v>https://api.worldbank.org/v2/</x:v>
      </x:c>
    </x:row>
    <x:row r="141">
      <x:c r="A141" s="24" t="str">
        <x:v>ERI</x:v>
      </x:c>
      <x:c r="B141" s="24" t="str">
        <x:v>Eritrea</x:v>
      </x:c>
      <x:c r="C141" s="24" t="str">
        <x:v>ERI</x:v>
      </x:c>
      <x:c r="D141" s="24" t="n">
        <x:v>2026</x:v>
      </x:c>
      <x:c r="E141" s="37" t="n">
        <x:v>0.87</x:v>
      </x:c>
      <x:c r="F141" s="38" t="n">
        <x:v>3682669</x:v>
      </x:c>
      <x:c r="G141" s="38" t="n">
        <x:v>3679845</x:v>
      </x:c>
      <x:c r="H141" s="39" t="n">
        <x:f>G141/F141</x:f>
        <x:v>0.9992331648595082</x:v>
      </x:c>
      <x:c r="I141" s="40" t="n">
        <x:v>5636400000</x:v>
      </x:c>
      <x:c r="J141" s="40" t="n">
        <x:v>4903668000</x:v>
      </x:c>
      <x:c r="K141" s="40" t="n">
        <x:v>1332</x:v>
      </x:c>
      <x:c r="L141" s="40" t="n">
        <x:v>665</x:v>
      </x:c>
      <x:c r="M141" s="40" t="n">
        <x:v>2261</x:v>
      </x:c>
      <x:c r="N141" s="41" t="n">
        <x:f>MIN(L141,M141)</x:f>
        <x:v>665</x:v>
      </x:c>
      <x:c r="O141" s="41" t="n">
        <x:f>MAX(L141,M141)</x:f>
        <x:v>2261</x:v>
      </x:c>
      <x:c r="P141" s="41" t="n">
        <x:f>MAX(N141,MIN(K141,O141))</x:f>
        <x:v>1332</x:v>
      </x:c>
      <x:c r="Q141" s="19" t="str">
        <x:f>IF(K141&lt;N141,IF(N141=L141,"clamped_to_nominal","clamped_to_ppp"),IF(K141&gt;O141,IF(O141=L141,"clamped_to_nominal","clamped_to_ppp"),"kept_vanilla"))</x:f>
        <x:v>kept_vanilla</x:v>
      </x:c>
      <x:c r="R141" s="41" t="n">
        <x:f>P141*G141</x:f>
        <x:v>4901553540</x:v>
      </x:c>
      <x:c r="S141" s="41" t="n">
        <x:f>R141/E141</x:f>
        <x:v>5633969586.206897</x:v>
      </x:c>
      <x:c r="T141" s="36" t="str">
        <x:v>ERI: population extrapolation from World Bank 2024-2025 CAGR (2.02%/yr, capped at ±5%)</x:v>
      </x:c>
      <x:c r="U141" s="36" t="str">
        <x:v>ERI: peer-growth inference from IMF 2019; Sub-Saharan Africa ; Low income median 0.80%/yr (20 peers, capped at ±8%)</x:v>
      </x:c>
      <x:c r="V141" s="36" t="str">
        <x:v>ERI: peer-growth inference from IMF 2019; Sub-Saharan Africa ; Low income median 1.61%/yr (20 peers, capped at ±8%)</x:v>
      </x:c>
      <x:c r="W141" s="36" t="str">
        <x:v>inferred</x:v>
      </x:c>
      <x:c r="X141" s="36" t="str">
        <x:v>https://api.imf.org/external/sdmx/3.0/data/dataflow/IMF.RES/WEO/9.0.0/</x:v>
      </x:c>
      <x:c r="Y141" s="36" t="str">
        <x:v>https://api.worldbank.org/v2/</x:v>
      </x:c>
    </x:row>
    <x:row r="142">
      <x:c r="A142" s="24" t="str">
        <x:v>EST</x:v>
      </x:c>
      <x:c r="B142" s="24" t="str">
        <x:v>Estonia</x:v>
      </x:c>
      <x:c r="C142" s="24" t="str">
        <x:v>EST</x:v>
      </x:c>
      <x:c r="D142" s="24" t="n">
        <x:v>2003</x:v>
      </x:c>
      <x:c r="E142" s="37" t="n">
        <x:v>1.59</x:v>
      </x:c>
      <x:c r="F142" s="38" t="n">
        <x:v>1370850</x:v>
      </x:c>
      <x:c r="G142" s="38" t="n">
        <x:v>1370720</x:v>
      </x:c>
      <x:c r="H142" s="39" t="n">
        <x:f>G142/F142</x:f>
        <x:v>0.999905168326221</x:v>
      </x:c>
      <x:c r="I142" s="40" t="n">
        <x:v>13732163743</x:v>
      </x:c>
      <x:c r="J142" s="40" t="n">
        <x:v>21834140351</x:v>
      </x:c>
      <x:c r="K142" s="40" t="n">
        <x:v>15927</x:v>
      </x:c>
      <x:c r="L142" s="40" t="n">
        <x:v>11477</x:v>
      </x:c>
      <x:c r="M142" s="40" t="n">
        <x:v>27239</x:v>
      </x:c>
      <x:c r="N142" s="41" t="n">
        <x:f>MIN(L142,M142)</x:f>
        <x:v>11477</x:v>
      </x:c>
      <x:c r="O142" s="41" t="n">
        <x:f>MAX(L142,M142)</x:f>
        <x:v>27239</x:v>
      </x:c>
      <x:c r="P142" s="41" t="n">
        <x:f>MAX(N142,MIN(K142,O142))</x:f>
        <x:v>15927</x:v>
      </x:c>
      <x:c r="Q142" s="19" t="str">
        <x:f>IF(K142&lt;N142,IF(N142=L142,"clamped_to_nominal","clamped_to_ppp"),IF(K142&gt;O142,IF(O142=L142,"clamped_to_nominal","clamped_to_ppp"),"kept_vanilla"))</x:f>
        <x:v>kept_vanilla</x:v>
      </x:c>
      <x:c r="R142" s="41" t="n">
        <x:f>P142*G142</x:f>
        <x:v>21831457440</x:v>
      </x:c>
      <x:c r="S142" s="41" t="n">
        <x:f>R142/E142</x:f>
        <x:v>13730476377.35849</x:v>
      </x:c>
      <x:c r="T142" s="36" t="str">
        <x:v>EST: IMF exact 2003</x:v>
      </x:c>
      <x:c r="U142" s="36" t="str">
        <x:v>EST: IMF exact 2003</x:v>
      </x:c>
      <x:c r="V142" s="36" t="str">
        <x:v>EST: IMF exact 2003</x:v>
      </x:c>
      <x:c r="W142" s="36" t="str">
        <x:v>complete_primary</x:v>
      </x:c>
      <x:c r="X142" s="36" t="str">
        <x:v>https://api.imf.org/external/sdmx/3.0/data/dataflow/IMF.RES/WEO/9.0.0/</x:v>
      </x:c>
      <x:c r="Y142" s="36" t="str">
        <x:v>https://api.worldbank.org/v2/</x:v>
      </x:c>
    </x:row>
    <x:row r="143">
      <x:c r="A143" s="24" t="str">
        <x:v>EST</x:v>
      </x:c>
      <x:c r="B143" s="24" t="str">
        <x:v>Estonia</x:v>
      </x:c>
      <x:c r="C143" s="24" t="str">
        <x:v>EST</x:v>
      </x:c>
      <x:c r="D143" s="24" t="n">
        <x:v>2022</x:v>
      </x:c>
      <x:c r="E143" s="37" t="n">
        <x:v>1</x:v>
      </x:c>
      <x:c r="F143" s="38" t="n">
        <x:v>1320755</x:v>
      </x:c>
      <x:c r="G143" s="38" t="n">
        <x:v>1348840</x:v>
      </x:c>
      <x:c r="H143" s="39" t="n">
        <x:f>G143/F143</x:f>
        <x:v>1.0212643525862102</x:v>
      </x:c>
      <x:c r="I143" s="40" t="n">
        <x:v>52410160000</x:v>
      </x:c>
      <x:c r="J143" s="40" t="n">
        <x:v>52410160000</x:v>
      </x:c>
      <x:c r="K143" s="40" t="n">
        <x:v>39682</x:v>
      </x:c>
      <x:c r="L143" s="40" t="n">
        <x:v>28363</x:v>
      </x:c>
      <x:c r="M143" s="40" t="n">
        <x:v>47039</x:v>
      </x:c>
      <x:c r="N143" s="41" t="n">
        <x:f>MIN(L143,M143)</x:f>
        <x:v>28363</x:v>
      </x:c>
      <x:c r="O143" s="41" t="n">
        <x:f>MAX(L143,M143)</x:f>
        <x:v>47039</x:v>
      </x:c>
      <x:c r="P143" s="41" t="n">
        <x:f>MAX(N143,MIN(K143,O143))</x:f>
        <x:v>39682</x:v>
      </x:c>
      <x:c r="Q143" s="19" t="str">
        <x:f>IF(K143&lt;N143,IF(N143=L143,"clamped_to_nominal","clamped_to_ppp"),IF(K143&gt;O143,IF(O143=L143,"clamped_to_nominal","clamped_to_ppp"),"kept_vanilla"))</x:f>
        <x:v>kept_vanilla</x:v>
      </x:c>
      <x:c r="R143" s="41" t="n">
        <x:f>P143*G143</x:f>
        <x:v>53524668880</x:v>
      </x:c>
      <x:c r="S143" s="41" t="n">
        <x:f>R143/E143</x:f>
        <x:v>53524668880</x:v>
      </x:c>
      <x:c r="T143" s="36" t="str">
        <x:v>EST: IMF exact 2022</x:v>
      </x:c>
      <x:c r="U143" s="36" t="str">
        <x:v>EST: IMF exact 2022</x:v>
      </x:c>
      <x:c r="V143" s="36" t="str">
        <x:v>EST: IMF exact 2022</x:v>
      </x:c>
      <x:c r="W143" s="36" t="str">
        <x:v>complete_primary</x:v>
      </x:c>
      <x:c r="X143" s="36" t="str">
        <x:v>https://api.imf.org/external/sdmx/3.0/data/dataflow/IMF.RES/WEO/9.0.0/</x:v>
      </x:c>
      <x:c r="Y143" s="36" t="str">
        <x:v>https://api.worldbank.org/v2/</x:v>
      </x:c>
    </x:row>
    <x:row r="144">
      <x:c r="A144" s="24" t="str">
        <x:v>EST</x:v>
      </x:c>
      <x:c r="B144" s="24" t="str">
        <x:v>Estonia</x:v>
      </x:c>
      <x:c r="C144" s="24" t="str">
        <x:v>EST</x:v>
      </x:c>
      <x:c r="D144" s="24" t="n">
        <x:v>2026</x:v>
      </x:c>
      <x:c r="E144" s="37" t="n">
        <x:v>0.87</x:v>
      </x:c>
      <x:c r="F144" s="38" t="n">
        <x:v>1331062</x:v>
      </x:c>
      <x:c r="G144" s="38" t="n">
        <x:v>1368959</x:v>
      </x:c>
      <x:c r="H144" s="39" t="n">
        <x:f>G144/F144</x:f>
        <x:v>1.0284712507756963</x:v>
      </x:c>
      <x:c r="I144" s="40" t="n">
        <x:v>60046800000</x:v>
      </x:c>
      <x:c r="J144" s="40" t="n">
        <x:v>52240716000</x:v>
      </x:c>
      <x:c r="K144" s="40" t="n">
        <x:v>39247</x:v>
      </x:c>
      <x:c r="L144" s="40" t="n">
        <x:v>32815</x:v>
      </x:c>
      <x:c r="M144" s="40" t="n">
        <x:v>44938</x:v>
      </x:c>
      <x:c r="N144" s="41" t="n">
        <x:f>MIN(L144,M144)</x:f>
        <x:v>32815</x:v>
      </x:c>
      <x:c r="O144" s="41" t="n">
        <x:f>MAX(L144,M144)</x:f>
        <x:v>44938</x:v>
      </x:c>
      <x:c r="P144" s="41" t="n">
        <x:f>MAX(N144,MIN(K144,O144))</x:f>
        <x:v>39247</x:v>
      </x:c>
      <x:c r="Q144" s="19" t="str">
        <x:f>IF(K144&lt;N144,IF(N144=L144,"clamped_to_nominal","clamped_to_ppp"),IF(K144&gt;O144,IF(O144=L144,"clamped_to_nominal","clamped_to_ppp"),"kept_vanilla"))</x:f>
        <x:v>kept_vanilla</x:v>
      </x:c>
      <x:c r="R144" s="41" t="n">
        <x:f>P144*G144</x:f>
        <x:v>53727533873</x:v>
      </x:c>
      <x:c r="S144" s="41" t="n">
        <x:f>R144/E144</x:f>
        <x:v>61755786060.91954</x:v>
      </x:c>
      <x:c r="T144" s="36" t="str">
        <x:v>EST: IMF exact 2026</x:v>
      </x:c>
      <x:c r="U144" s="36" t="str">
        <x:v>EST: IMF exact 2026</x:v>
      </x:c>
      <x:c r="V144" s="36" t="str">
        <x:v>EST: IMF exact 2026</x:v>
      </x:c>
      <x:c r="W144" s="36" t="str">
        <x:v>complete_primary</x:v>
      </x:c>
      <x:c r="X144" s="36" t="str">
        <x:v>https://api.imf.org/external/sdmx/3.0/data/dataflow/IMF.RES/WEO/9.0.0/</x:v>
      </x:c>
      <x:c r="Y144" s="36" t="str">
        <x:v>https://api.worldbank.org/v2/</x:v>
      </x:c>
    </x:row>
    <x:row r="145">
      <x:c r="A145" s="24" t="str">
        <x:v>ESW</x:v>
      </x:c>
      <x:c r="B145" s="24" t="str">
        <x:v>Eswatini</x:v>
      </x:c>
      <x:c r="C145" s="24" t="str">
        <x:v>SWZ</x:v>
      </x:c>
      <x:c r="D145" s="24" t="n">
        <x:v>2003</x:v>
      </x:c>
      <x:c r="E145" s="37" t="n">
        <x:v>1.59</x:v>
      </x:c>
      <x:c r="F145" s="38" t="n">
        <x:v>1066700</x:v>
      </x:c>
      <x:c r="G145" s="38" t="n">
        <x:v>985193</x:v>
      </x:c>
      <x:c r="H145" s="39" t="n">
        <x:f>G145/F145</x:f>
        <x:v>0.923589575325771</x:v>
      </x:c>
      <x:c r="I145" s="40" t="n">
        <x:v>2870760234</x:v>
      </x:c>
      <x:c r="J145" s="40" t="n">
        <x:v>4564508772</x:v>
      </x:c>
      <x:c r="K145" s="40" t="n">
        <x:v>4279</x:v>
      </x:c>
      <x:c r="L145" s="40" t="n">
        <x:v>3443</x:v>
      </x:c>
      <x:c r="M145" s="40" t="n">
        <x:v>7723</x:v>
      </x:c>
      <x:c r="N145" s="41" t="n">
        <x:f>MIN(L145,M145)</x:f>
        <x:v>3443</x:v>
      </x:c>
      <x:c r="O145" s="41" t="n">
        <x:f>MAX(L145,M145)</x:f>
        <x:v>7723</x:v>
      </x:c>
      <x:c r="P145" s="41" t="n">
        <x:f>MAX(N145,MIN(K145,O145))</x:f>
        <x:v>4279</x:v>
      </x:c>
      <x:c r="Q145" s="19" t="str">
        <x:f>IF(K145&lt;N145,IF(N145=L145,"clamped_to_nominal","clamped_to_ppp"),IF(K145&gt;O145,IF(O145=L145,"clamped_to_nominal","clamped_to_ppp"),"kept_vanilla"))</x:f>
        <x:v>kept_vanilla</x:v>
      </x:c>
      <x:c r="R145" s="41" t="n">
        <x:f>P145*G145</x:f>
        <x:v>4215640847</x:v>
      </x:c>
      <x:c r="S145" s="41" t="n">
        <x:f>R145/E145</x:f>
        <x:v>2651346444.654088</x:v>
      </x:c>
      <x:c r="T145" s="36" t="str">
        <x:v>SWZ: IMF exact 2003</x:v>
      </x:c>
      <x:c r="U145" s="36" t="str">
        <x:v>SWZ: IMF exact 2003</x:v>
      </x:c>
      <x:c r="V145" s="36" t="str">
        <x:v>SWZ: IMF exact 2003</x:v>
      </x:c>
      <x:c r="W145" s="36" t="str">
        <x:v>complete_primary</x:v>
      </x:c>
      <x:c r="X145" s="36" t="str">
        <x:v>https://api.imf.org/external/sdmx/3.0/data/dataflow/IMF.RES/WEO/9.0.0/</x:v>
      </x:c>
      <x:c r="Y145" s="36" t="str">
        <x:v>https://api.worldbank.org/v2/</x:v>
      </x:c>
    </x:row>
    <x:row r="146">
      <x:c r="A146" s="24" t="str">
        <x:v>ESW</x:v>
      </x:c>
      <x:c r="B146" s="24" t="str">
        <x:v>Eswatini</x:v>
      </x:c>
      <x:c r="C146" s="24" t="str">
        <x:v>SWZ</x:v>
      </x:c>
      <x:c r="D146" s="24" t="n">
        <x:v>2022</x:v>
      </x:c>
      <x:c r="E146" s="37" t="n">
        <x:v>1</x:v>
      </x:c>
      <x:c r="F146" s="38" t="n">
        <x:v>1188663</x:v>
      </x:c>
      <x:c r="G146" s="38" t="n">
        <x:v>1125728</x:v>
      </x:c>
      <x:c r="H146" s="39" t="n">
        <x:f>G146/F146</x:f>
        <x:v>0.9470539589437881</x:v>
      </x:c>
      <x:c r="I146" s="40" t="n">
        <x:v>10546800000</x:v>
      </x:c>
      <x:c r="J146" s="40" t="n">
        <x:v>10546800000</x:v>
      </x:c>
      <x:c r="K146" s="40" t="n">
        <x:v>8873</x:v>
      </x:c>
      <x:c r="L146" s="40" t="n">
        <x:v>4216</x:v>
      </x:c>
      <x:c r="M146" s="40" t="n">
        <x:v>11514</x:v>
      </x:c>
      <x:c r="N146" s="41" t="n">
        <x:f>MIN(L146,M146)</x:f>
        <x:v>4216</x:v>
      </x:c>
      <x:c r="O146" s="41" t="n">
        <x:f>MAX(L146,M146)</x:f>
        <x:v>11514</x:v>
      </x:c>
      <x:c r="P146" s="41" t="n">
        <x:f>MAX(N146,MIN(K146,O146))</x:f>
        <x:v>8873</x:v>
      </x:c>
      <x:c r="Q146" s="19" t="str">
        <x:f>IF(K146&lt;N146,IF(N146=L146,"clamped_to_nominal","clamped_to_ppp"),IF(K146&gt;O146,IF(O146=L146,"clamped_to_nominal","clamped_to_ppp"),"kept_vanilla"))</x:f>
        <x:v>kept_vanilla</x:v>
      </x:c>
      <x:c r="R146" s="41" t="n">
        <x:f>P146*G146</x:f>
        <x:v>9988584544</x:v>
      </x:c>
      <x:c r="S146" s="41" t="n">
        <x:f>R146/E146</x:f>
        <x:v>9988584544</x:v>
      </x:c>
      <x:c r="T146" s="36" t="str">
        <x:v>SWZ: IMF exact 2022</x:v>
      </x:c>
      <x:c r="U146" s="36" t="str">
        <x:v>SWZ: IMF exact 2022</x:v>
      </x:c>
      <x:c r="V146" s="36" t="str">
        <x:v>SWZ: IMF exact 2022</x:v>
      </x:c>
      <x:c r="W146" s="36" t="str">
        <x:v>complete_primary</x:v>
      </x:c>
      <x:c r="X146" s="36" t="str">
        <x:v>https://api.imf.org/external/sdmx/3.0/data/dataflow/IMF.RES/WEO/9.0.0/</x:v>
      </x:c>
      <x:c r="Y146" s="36" t="str">
        <x:v>https://api.worldbank.org/v2/</x:v>
      </x:c>
    </x:row>
    <x:row r="147">
      <x:c r="A147" s="24" t="str">
        <x:v>ESW</x:v>
      </x:c>
      <x:c r="B147" s="24" t="str">
        <x:v>Eswatini</x:v>
      </x:c>
      <x:c r="C147" s="24" t="str">
        <x:v>SWZ</x:v>
      </x:c>
      <x:c r="D147" s="24" t="n">
        <x:v>2026</x:v>
      </x:c>
      <x:c r="E147" s="37" t="n">
        <x:v>0.87</x:v>
      </x:c>
      <x:c r="F147" s="38" t="n">
        <x:v>1269859</x:v>
      </x:c>
      <x:c r="G147" s="38" t="n">
        <x:v>1175595</x:v>
      </x:c>
      <x:c r="H147" s="39" t="n">
        <x:f>G147/F147</x:f>
        <x:v>0.9257681364623946</x:v>
      </x:c>
      <x:c r="I147" s="40" t="n">
        <x:v>14363360000</x:v>
      </x:c>
      <x:c r="J147" s="40" t="n">
        <x:v>12496123200</x:v>
      </x:c>
      <x:c r="K147" s="40" t="n">
        <x:v>9841</x:v>
      </x:c>
      <x:c r="L147" s="40" t="n">
        <x:v>4287</x:v>
      </x:c>
      <x:c r="M147" s="40" t="n">
        <x:v>12393</x:v>
      </x:c>
      <x:c r="N147" s="41" t="n">
        <x:f>MIN(L147,M147)</x:f>
        <x:v>4287</x:v>
      </x:c>
      <x:c r="O147" s="41" t="n">
        <x:f>MAX(L147,M147)</x:f>
        <x:v>12393</x:v>
      </x:c>
      <x:c r="P147" s="41" t="n">
        <x:f>MAX(N147,MIN(K147,O147))</x:f>
        <x:v>9841</x:v>
      </x:c>
      <x:c r="Q147" s="19" t="str">
        <x:f>IF(K147&lt;N147,IF(N147=L147,"clamped_to_nominal","clamped_to_ppp"),IF(K147&gt;O147,IF(O147=L147,"clamped_to_nominal","clamped_to_ppp"),"kept_vanilla"))</x:f>
        <x:v>kept_vanilla</x:v>
      </x:c>
      <x:c r="R147" s="41" t="n">
        <x:f>P147*G147</x:f>
        <x:v>11569030395</x:v>
      </x:c>
      <x:c r="S147" s="41" t="n">
        <x:f>R147/E147</x:f>
        <x:v>13297736086.206896</x:v>
      </x:c>
      <x:c r="T147" s="36" t="str">
        <x:v>SWZ: IMF exact 2026</x:v>
      </x:c>
      <x:c r="U147" s="36" t="str">
        <x:v>SWZ: IMF exact 2026</x:v>
      </x:c>
      <x:c r="V147" s="36" t="str">
        <x:v>SWZ: IMF exact 2026</x:v>
      </x:c>
      <x:c r="W147" s="36" t="str">
        <x:v>complete_primary</x:v>
      </x:c>
      <x:c r="X147" s="36" t="str">
        <x:v>https://api.imf.org/external/sdmx/3.0/data/dataflow/IMF.RES/WEO/9.0.0/</x:v>
      </x:c>
      <x:c r="Y147" s="36" t="str">
        <x:v>https://api.worldbank.org/v2/</x:v>
      </x:c>
    </x:row>
    <x:row r="148">
      <x:c r="A148" s="24" t="str">
        <x:v>ETH</x:v>
      </x:c>
      <x:c r="B148" s="24" t="str">
        <x:v>Ethiopia</x:v>
      </x:c>
      <x:c r="C148" s="24" t="str">
        <x:v>ETH</x:v>
      </x:c>
      <x:c r="D148" s="24" t="n">
        <x:v>2003</x:v>
      </x:c>
      <x:c r="E148" s="37" t="n">
        <x:v>1.59</x:v>
      </x:c>
      <x:c r="F148" s="38" t="n">
        <x:v>73832663</x:v>
      </x:c>
      <x:c r="G148" s="38" t="n">
        <x:v>64835096</x:v>
      </x:c>
      <x:c r="H148" s="39" t="n">
        <x:f>G148/F148</x:f>
        <x:v>0.8781356836607668</x:v>
      </x:c>
      <x:c r="I148" s="40" t="n">
        <x:v>24199415205</x:v>
      </x:c>
      <x:c r="J148" s="40" t="n">
        <x:v>38477070176</x:v>
      </x:c>
      <x:c r="K148" s="40" t="n">
        <x:v>521</x:v>
      </x:c>
      <x:c r="L148" s="40" t="n">
        <x:v>211</x:v>
      </x:c>
      <x:c r="M148" s="40" t="n">
        <x:v>1015</x:v>
      </x:c>
      <x:c r="N148" s="41" t="n">
        <x:f>MIN(L148,M148)</x:f>
        <x:v>211</x:v>
      </x:c>
      <x:c r="O148" s="41" t="n">
        <x:f>MAX(L148,M148)</x:f>
        <x:v>1015</x:v>
      </x:c>
      <x:c r="P148" s="41" t="n">
        <x:f>MAX(N148,MIN(K148,O148))</x:f>
        <x:v>521</x:v>
      </x:c>
      <x:c r="Q148" s="19" t="str">
        <x:f>IF(K148&lt;N148,IF(N148=L148,"clamped_to_nominal","clamped_to_ppp"),IF(K148&gt;O148,IF(O148=L148,"clamped_to_nominal","clamped_to_ppp"),"kept_vanilla"))</x:f>
        <x:v>kept_vanilla</x:v>
      </x:c>
      <x:c r="R148" s="41" t="n">
        <x:f>P148*G148</x:f>
        <x:v>33779085016</x:v>
      </x:c>
      <x:c r="S148" s="41" t="n">
        <x:f>R148/E148</x:f>
        <x:v>21244707557.232704</x:v>
      </x:c>
      <x:c r="T148" s="36" t="str">
        <x:v>ETH: IMF exact 2003</x:v>
      </x:c>
      <x:c r="U148" s="36" t="str">
        <x:v>ETH: IMF exact 2003</x:v>
      </x:c>
      <x:c r="V148" s="36" t="str">
        <x:v>ETH: IMF exact 2003</x:v>
      </x:c>
      <x:c r="W148" s="36" t="str">
        <x:v>complete_primary</x:v>
      </x:c>
      <x:c r="X148" s="36" t="str">
        <x:v>https://api.imf.org/external/sdmx/3.0/data/dataflow/IMF.RES/WEO/9.0.0/</x:v>
      </x:c>
      <x:c r="Y148" s="36" t="str">
        <x:v>https://api.worldbank.org/v2/</x:v>
      </x:c>
    </x:row>
    <x:row r="149">
      <x:c r="A149" s="24" t="str">
        <x:v>ETH</x:v>
      </x:c>
      <x:c r="B149" s="24" t="str">
        <x:v>Ethiopia</x:v>
      </x:c>
      <x:c r="C149" s="24" t="str">
        <x:v>ETH</x:v>
      </x:c>
      <x:c r="D149" s="24" t="n">
        <x:v>2022</x:v>
      </x:c>
      <x:c r="E149" s="37" t="n">
        <x:v>1</x:v>
      </x:c>
      <x:c r="F149" s="38" t="n">
        <x:v>121738154</x:v>
      </x:c>
      <x:c r="G149" s="38" t="n">
        <x:v>104082000</x:v>
      </x:c>
      <x:c r="H149" s="39" t="n">
        <x:f>G149/F149</x:f>
        <x:v>0.8549661431534439</x:v>
      </x:c>
      <x:c r="I149" s="40" t="n">
        <x:v>303721440000</x:v>
      </x:c>
      <x:c r="J149" s="40" t="n">
        <x:v>303721440000</x:v>
      </x:c>
      <x:c r="K149" s="40" t="n">
        <x:v>2495</x:v>
      </x:c>
      <x:c r="L149" s="40" t="n">
        <x:v>1143</x:v>
      </x:c>
      <x:c r="M149" s="40" t="n">
        <x:v>3460</x:v>
      </x:c>
      <x:c r="N149" s="41" t="n">
        <x:f>MIN(L149,M149)</x:f>
        <x:v>1143</x:v>
      </x:c>
      <x:c r="O149" s="41" t="n">
        <x:f>MAX(L149,M149)</x:f>
        <x:v>3460</x:v>
      </x:c>
      <x:c r="P149" s="41" t="n">
        <x:f>MAX(N149,MIN(K149,O149))</x:f>
        <x:v>2495</x:v>
      </x:c>
      <x:c r="Q149" s="19" t="str">
        <x:f>IF(K149&lt;N149,IF(N149=L149,"clamped_to_nominal","clamped_to_ppp"),IF(K149&gt;O149,IF(O149=L149,"clamped_to_nominal","clamped_to_ppp"),"kept_vanilla"))</x:f>
        <x:v>kept_vanilla</x:v>
      </x:c>
      <x:c r="R149" s="41" t="n">
        <x:f>P149*G149</x:f>
        <x:v>259684590000</x:v>
      </x:c>
      <x:c r="S149" s="41" t="n">
        <x:f>R149/E149</x:f>
        <x:v>259684590000</x:v>
      </x:c>
      <x:c r="T149" s="36" t="str">
        <x:v>ETH: IMF exact 2022</x:v>
      </x:c>
      <x:c r="U149" s="36" t="str">
        <x:v>ETH: IMF exact 2022</x:v>
      </x:c>
      <x:c r="V149" s="36" t="str">
        <x:v>ETH: IMF exact 2022</x:v>
      </x:c>
      <x:c r="W149" s="36" t="str">
        <x:v>complete_primary</x:v>
      </x:c>
      <x:c r="X149" s="36" t="str">
        <x:v>https://api.imf.org/external/sdmx/3.0/data/dataflow/IMF.RES/WEO/9.0.0/</x:v>
      </x:c>
      <x:c r="Y149" s="36" t="str">
        <x:v>https://api.worldbank.org/v2/</x:v>
      </x:c>
    </x:row>
    <x:row r="150">
      <x:c r="A150" s="24" t="str">
        <x:v>ETH</x:v>
      </x:c>
      <x:c r="B150" s="24" t="str">
        <x:v>Ethiopia</x:v>
      </x:c>
      <x:c r="C150" s="24" t="str">
        <x:v>ETH</x:v>
      </x:c>
      <x:c r="D150" s="24" t="n">
        <x:v>2026</x:v>
      </x:c>
      <x:c r="E150" s="37" t="n">
        <x:v>0.87</x:v>
      </x:c>
      <x:c r="F150" s="38" t="n">
        <x:v>138902185</x:v>
      </x:c>
      <x:c r="G150" s="38" t="n">
        <x:v>112369600</x:v>
      </x:c>
      <x:c r="H150" s="39" t="n">
        <x:f>G150/F150</x:f>
        <x:v>0.8089836743748847</x:v>
      </x:c>
      <x:c r="I150" s="40" t="n">
        <x:v>426279040000</x:v>
      </x:c>
      <x:c r="J150" s="40" t="n">
        <x:v>370862764800</x:v>
      </x:c>
      <x:c r="K150" s="40" t="n">
        <x:v>2670</x:v>
      </x:c>
      <x:c r="L150" s="40" t="n">
        <x:v>941</x:v>
      </x:c>
      <x:c r="M150" s="40" t="n">
        <x:v>4327</x:v>
      </x:c>
      <x:c r="N150" s="41" t="n">
        <x:f>MIN(L150,M150)</x:f>
        <x:v>941</x:v>
      </x:c>
      <x:c r="O150" s="41" t="n">
        <x:f>MAX(L150,M150)</x:f>
        <x:v>4327</x:v>
      </x:c>
      <x:c r="P150" s="41" t="n">
        <x:f>MAX(N150,MIN(K150,O150))</x:f>
        <x:v>2670</x:v>
      </x:c>
      <x:c r="Q150" s="19" t="str">
        <x:f>IF(K150&lt;N150,IF(N150=L150,"clamped_to_nominal","clamped_to_ppp"),IF(K150&gt;O150,IF(O150=L150,"clamped_to_nominal","clamped_to_ppp"),"kept_vanilla"))</x:f>
        <x:v>kept_vanilla</x:v>
      </x:c>
      <x:c r="R150" s="41" t="n">
        <x:f>P150*G150</x:f>
        <x:v>300026832000</x:v>
      </x:c>
      <x:c r="S150" s="41" t="n">
        <x:f>R150/E150</x:f>
        <x:v>344858427586.2069</x:v>
      </x:c>
      <x:c r="T150" s="36" t="str">
        <x:v>ETH: IMF exact 2026</x:v>
      </x:c>
      <x:c r="U150" s="36" t="str">
        <x:v>ETH: IMF exact 2026</x:v>
      </x:c>
      <x:c r="V150" s="36" t="str">
        <x:v>ETH: IMF exact 2026</x:v>
      </x:c>
      <x:c r="W150" s="36" t="str">
        <x:v>complete_primary</x:v>
      </x:c>
      <x:c r="X150" s="36" t="str">
        <x:v>https://api.imf.org/external/sdmx/3.0/data/dataflow/IMF.RES/WEO/9.0.0/</x:v>
      </x:c>
      <x:c r="Y150" s="36" t="str">
        <x:v>https://api.worldbank.org/v2/</x:v>
      </x:c>
    </x:row>
    <x:row r="151">
      <x:c r="A151" s="24" t="str">
        <x:v>FIN</x:v>
      </x:c>
      <x:c r="B151" s="24" t="str">
        <x:v>Finland</x:v>
      </x:c>
      <x:c r="C151" s="24" t="str">
        <x:v>FIN</x:v>
      </x:c>
      <x:c r="D151" s="24" t="n">
        <x:v>2003</x:v>
      </x:c>
      <x:c r="E151" s="37" t="n">
        <x:v>1.59</x:v>
      </x:c>
      <x:c r="F151" s="38" t="n">
        <x:v>5212955</x:v>
      </x:c>
      <x:c r="G151" s="38" t="n">
        <x:v>5206295</x:v>
      </x:c>
      <x:c r="H151" s="39" t="n">
        <x:f>G151/F151</x:f>
        <x:v>0.9987224136789978</x:v>
      </x:c>
      <x:c r="I151" s="40" t="n">
        <x:v>98966666667</x:v>
      </x:c>
      <x:c r="J151" s="40" t="n">
        <x:v>157357000001</x:v>
      </x:c>
      <x:c r="K151" s="40" t="n">
        <x:v>30186</x:v>
      </x:c>
      <x:c r="L151" s="40" t="n">
        <x:v>52397</x:v>
      </x:c>
      <x:c r="M151" s="40" t="n">
        <x:v>51684</x:v>
      </x:c>
      <x:c r="N151" s="41" t="n">
        <x:f>MIN(L151,M151)</x:f>
        <x:v>51684</x:v>
      </x:c>
      <x:c r="O151" s="41" t="n">
        <x:f>MAX(L151,M151)</x:f>
        <x:v>52397</x:v>
      </x:c>
      <x:c r="P151" s="41" t="n">
        <x:f>MAX(N151,MIN(K151,O151))</x:f>
        <x:v>51684</x:v>
      </x:c>
      <x:c r="Q151" s="19" t="str">
        <x:f>IF(K151&lt;N151,IF(N151=L151,"clamped_to_nominal","clamped_to_ppp"),IF(K151&gt;O151,IF(O151=L151,"clamped_to_nominal","clamped_to_ppp"),"kept_vanilla"))</x:f>
        <x:v>clamped_to_ppp</x:v>
      </x:c>
      <x:c r="R151" s="41" t="n">
        <x:f>P151*G151</x:f>
        <x:v>269082150780</x:v>
      </x:c>
      <x:c r="S151" s="41" t="n">
        <x:f>R151/E151</x:f>
        <x:v>169234057094.3396</x:v>
      </x:c>
      <x:c r="T151" s="36" t="str">
        <x:v>FIN: IMF exact 2003</x:v>
      </x:c>
      <x:c r="U151" s="36" t="str">
        <x:v>FIN: IMF exact 2003</x:v>
      </x:c>
      <x:c r="V151" s="36" t="str">
        <x:v>FIN: IMF exact 2003</x:v>
      </x:c>
      <x:c r="W151" s="36" t="str">
        <x:v>complete_primary</x:v>
      </x:c>
      <x:c r="X151" s="36" t="str">
        <x:v>https://api.imf.org/external/sdmx/3.0/data/dataflow/IMF.RES/WEO/9.0.0/</x:v>
      </x:c>
      <x:c r="Y151" s="36" t="str">
        <x:v>https://api.worldbank.org/v2/</x:v>
      </x:c>
    </x:row>
    <x:row r="152">
      <x:c r="A152" s="24" t="str">
        <x:v>FIN</x:v>
      </x:c>
      <x:c r="B152" s="24" t="str">
        <x:v>Finland</x:v>
      </x:c>
      <x:c r="C152" s="24" t="str">
        <x:v>FIN</x:v>
      </x:c>
      <x:c r="D152" s="24" t="n">
        <x:v>2022</x:v>
      </x:c>
      <x:c r="E152" s="37" t="n">
        <x:v>1</x:v>
      </x:c>
      <x:c r="F152" s="38" t="n">
        <x:v>5556939</x:v>
      </x:c>
      <x:c r="G152" s="38" t="n">
        <x:v>5548241</x:v>
      </x:c>
      <x:c r="H152" s="39" t="n">
        <x:f>G152/F152</x:f>
        <x:v>0.9984347497786101</x:v>
      </x:c>
      <x:c r="I152" s="40" t="n">
        <x:v>282685040000</x:v>
      </x:c>
      <x:c r="J152" s="40" t="n">
        <x:v>282685040000</x:v>
      </x:c>
      <x:c r="K152" s="40" t="n">
        <x:v>50871</x:v>
      </x:c>
      <x:c r="L152" s="40" t="n">
        <x:v>50552</x:v>
      </x:c>
      <x:c r="M152" s="40" t="n">
        <x:v>61818</x:v>
      </x:c>
      <x:c r="N152" s="41" t="n">
        <x:f>MIN(L152,M152)</x:f>
        <x:v>50552</x:v>
      </x:c>
      <x:c r="O152" s="41" t="n">
        <x:f>MAX(L152,M152)</x:f>
        <x:v>61818</x:v>
      </x:c>
      <x:c r="P152" s="41" t="n">
        <x:f>MAX(N152,MIN(K152,O152))</x:f>
        <x:v>50871</x:v>
      </x:c>
      <x:c r="Q152" s="19" t="str">
        <x:f>IF(K152&lt;N152,IF(N152=L152,"clamped_to_nominal","clamped_to_ppp"),IF(K152&gt;O152,IF(O152=L152,"clamped_to_nominal","clamped_to_ppp"),"kept_vanilla"))</x:f>
        <x:v>kept_vanilla</x:v>
      </x:c>
      <x:c r="R152" s="41" t="n">
        <x:f>P152*G152</x:f>
        <x:v>282244567911</x:v>
      </x:c>
      <x:c r="S152" s="41" t="n">
        <x:f>R152/E152</x:f>
        <x:v>282244567911</x:v>
      </x:c>
      <x:c r="T152" s="36" t="str">
        <x:v>FIN: IMF exact 2022</x:v>
      </x:c>
      <x:c r="U152" s="36" t="str">
        <x:v>FIN: IMF exact 2022</x:v>
      </x:c>
      <x:c r="V152" s="36" t="str">
        <x:v>FIN: IMF exact 2022</x:v>
      </x:c>
      <x:c r="W152" s="36" t="str">
        <x:v>complete_primary</x:v>
      </x:c>
      <x:c r="X152" s="36" t="str">
        <x:v>https://api.imf.org/external/sdmx/3.0/data/dataflow/IMF.RES/WEO/9.0.0/</x:v>
      </x:c>
      <x:c r="Y152" s="36" t="str">
        <x:v>https://api.worldbank.org/v2/</x:v>
      </x:c>
    </x:row>
    <x:row r="153">
      <x:c r="A153" s="24" t="str">
        <x:v>FIN</x:v>
      </x:c>
      <x:c r="B153" s="24" t="str">
        <x:v>Finland</x:v>
      </x:c>
      <x:c r="C153" s="24" t="str">
        <x:v>FIN</x:v>
      </x:c>
      <x:c r="D153" s="24" t="n">
        <x:v>2026</x:v>
      </x:c>
      <x:c r="E153" s="37" t="n">
        <x:v>0.87</x:v>
      </x:c>
      <x:c r="F153" s="38" t="n">
        <x:v>5621739</x:v>
      </x:c>
      <x:c r="G153" s="38" t="n">
        <x:v>5615676</x:v>
      </x:c>
      <x:c r="H153" s="39" t="n">
        <x:f>G153/F153</x:f>
        <x:v>0.9989215080956266</x:v>
      </x:c>
      <x:c r="I153" s="40" t="n">
        <x:v>328377280000</x:v>
      </x:c>
      <x:c r="J153" s="40" t="n">
        <x:v>285688233600</x:v>
      </x:c>
      <x:c r="K153" s="40" t="n">
        <x:v>50818</x:v>
      </x:c>
      <x:c r="L153" s="40" t="n">
        <x:v>52313</x:v>
      </x:c>
      <x:c r="M153" s="40" t="n">
        <x:v>59909</x:v>
      </x:c>
      <x:c r="N153" s="41" t="n">
        <x:f>MIN(L153,M153)</x:f>
        <x:v>52313</x:v>
      </x:c>
      <x:c r="O153" s="41" t="n">
        <x:f>MAX(L153,M153)</x:f>
        <x:v>59909</x:v>
      </x:c>
      <x:c r="P153" s="41" t="n">
        <x:f>MAX(N153,MIN(K153,O153))</x:f>
        <x:v>52313</x:v>
      </x:c>
      <x:c r="Q153" s="19" t="str">
        <x:f>IF(K153&lt;N153,IF(N153=L153,"clamped_to_nominal","clamped_to_ppp"),IF(K153&gt;O153,IF(O153=L153,"clamped_to_nominal","clamped_to_ppp"),"kept_vanilla"))</x:f>
        <x:v>clamped_to_nominal</x:v>
      </x:c>
      <x:c r="R153" s="41" t="n">
        <x:f>P153*G153</x:f>
        <x:v>293772858588</x:v>
      </x:c>
      <x:c r="S153" s="41" t="n">
        <x:f>R153/E153</x:f>
        <x:v>337669952400</x:v>
      </x:c>
      <x:c r="T153" s="36" t="str">
        <x:v>FIN: IMF exact 2026</x:v>
      </x:c>
      <x:c r="U153" s="36" t="str">
        <x:v>FIN: IMF exact 2026</x:v>
      </x:c>
      <x:c r="V153" s="36" t="str">
        <x:v>FIN: IMF exact 2026</x:v>
      </x:c>
      <x:c r="W153" s="36" t="str">
        <x:v>complete_primary</x:v>
      </x:c>
      <x:c r="X153" s="36" t="str">
        <x:v>https://api.imf.org/external/sdmx/3.0/data/dataflow/IMF.RES/WEO/9.0.0/</x:v>
      </x:c>
      <x:c r="Y153" s="36" t="str">
        <x:v>https://api.worldbank.org/v2/</x:v>
      </x:c>
    </x:row>
    <x:row r="154">
      <x:c r="A154" s="24" t="str">
        <x:v>EUA</x:v>
      </x:c>
      <x:c r="B154" s="24" t="str">
        <x:v>France</x:v>
      </x:c>
      <x:c r="C154" s="24" t="str">
        <x:v>FRA+MCO+AND</x:v>
      </x:c>
      <x:c r="D154" s="24" t="n">
        <x:v>2003</x:v>
      </x:c>
      <x:c r="E154" s="37" t="n">
        <x:v>1.59</x:v>
      </x:c>
      <x:c r="F154" s="38" t="n">
        <x:v>63253713</x:v>
      </x:c>
      <x:c r="G154" s="38" t="n">
        <x:v>61925890</x:v>
      </x:c>
      <x:c r="H154" s="39" t="n">
        <x:f>G154/F154</x:f>
        <x:v>0.9790079832941981</x:v>
      </x:c>
      <x:c r="I154" s="40" t="n">
        <x:v>1122812280702</x:v>
      </x:c>
      <x:c r="J154" s="40" t="n">
        <x:v>1785271526316</x:v>
      </x:c>
      <x:c r="K154" s="40" t="n">
        <x:v>28224</x:v>
      </x:c>
      <x:c r="L154" s="40" t="n">
        <x:v>47259</x:v>
      </x:c>
      <x:c r="M154" s="40" t="n">
        <x:v>49487</x:v>
      </x:c>
      <x:c r="N154" s="41" t="n">
        <x:f>MIN(L154,M154)</x:f>
        <x:v>47259</x:v>
      </x:c>
      <x:c r="O154" s="41" t="n">
        <x:f>MAX(L154,M154)</x:f>
        <x:v>49487</x:v>
      </x:c>
      <x:c r="P154" s="41" t="n">
        <x:f>MAX(N154,MIN(K154,O154))</x:f>
        <x:v>47259</x:v>
      </x:c>
      <x:c r="Q154" s="19" t="str">
        <x:f>IF(K154&lt;N154,IF(N154=L154,"clamped_to_nominal","clamped_to_ppp"),IF(K154&gt;O154,IF(O154=L154,"clamped_to_nominal","clamped_to_ppp"),"kept_vanilla"))</x:f>
        <x:v>clamped_to_nominal</x:v>
      </x:c>
      <x:c r="R154" s="41" t="n">
        <x:f>P154*G154</x:f>
        <x:v>2926555635510</x:v>
      </x:c>
      <x:c r="S154" s="41" t="n">
        <x:f>R154/E154</x:f>
        <x:v>1840601028622.6414</x:v>
      </x:c>
      <x:c r="T154" s="36" t="str">
        <x:v>FRA: IMF exact 2003; MCO: World Bank exact 2003; AND: World Bank exact 2003</x:v>
      </x:c>
      <x:c r="U154" s="36" t="str">
        <x:v>FRA: IMF exact 2003; MCO: World Bank exact 2003; AND: IMF exact 2003</x:v>
      </x:c>
      <x:c r="V154" s="36" t="str">
        <x:v>FRA: IMF exact 2003; MCO: PPP inferred from filled nominal GDP using Europe &amp; Central Asia; High income median PPP/nominal ratio 1.228 (35 peers); AND: IMF exact 2003</x:v>
      </x:c>
      <x:c r="W154" s="36" t="str">
        <x:v>inferred+secondary_source</x:v>
      </x:c>
      <x:c r="X154" s="36" t="str">
        <x:v>https://api.imf.org/external/sdmx/3.0/data/dataflow/IMF.RES/WEO/9.0.0/</x:v>
      </x:c>
      <x:c r="Y154" s="36" t="str">
        <x:v>https://api.worldbank.org/v2/</x:v>
      </x:c>
    </x:row>
    <x:row r="155">
      <x:c r="A155" s="24" t="str">
        <x:v>EUA</x:v>
      </x:c>
      <x:c r="B155" s="24" t="str">
        <x:v>France</x:v>
      </x:c>
      <x:c r="C155" s="24" t="str">
        <x:v>FRA+MCO+AND</x:v>
      </x:c>
      <x:c r="D155" s="24" t="n">
        <x:v>2022</x:v>
      </x:c>
      <x:c r="E155" s="37" t="n">
        <x:v>1</x:v>
      </x:c>
      <x:c r="F155" s="38" t="n">
        <x:v>68676947</x:v>
      </x:c>
      <x:c r="G155" s="38" t="n">
        <x:v>68180726</x:v>
      </x:c>
      <x:c r="H155" s="39" t="n">
        <x:f>G155/F155</x:f>
        <x:v>0.9927745623287535</x:v>
      </x:c>
      <x:c r="I155" s="40" t="n">
        <x:v>3249098520000</x:v>
      </x:c>
      <x:c r="J155" s="40" t="n">
        <x:v>3249098520000</x:v>
      </x:c>
      <x:c r="K155" s="40" t="n">
        <x:v>47310</x:v>
      </x:c>
      <x:c r="L155" s="40" t="n">
        <x:v>41202</x:v>
      </x:c>
      <x:c r="M155" s="40" t="n">
        <x:v>59331</x:v>
      </x:c>
      <x:c r="N155" s="41" t="n">
        <x:f>MIN(L155,M155)</x:f>
        <x:v>41202</x:v>
      </x:c>
      <x:c r="O155" s="41" t="n">
        <x:f>MAX(L155,M155)</x:f>
        <x:v>59331</x:v>
      </x:c>
      <x:c r="P155" s="41" t="n">
        <x:f>MAX(N155,MIN(K155,O155))</x:f>
        <x:v>47310</x:v>
      </x:c>
      <x:c r="Q155" s="19" t="str">
        <x:f>IF(K155&lt;N155,IF(N155=L155,"clamped_to_nominal","clamped_to_ppp"),IF(K155&gt;O155,IF(O155=L155,"clamped_to_nominal","clamped_to_ppp"),"kept_vanilla"))</x:f>
        <x:v>kept_vanilla</x:v>
      </x:c>
      <x:c r="R155" s="41" t="n">
        <x:f>P155*G155</x:f>
        <x:v>3225630147060</x:v>
      </x:c>
      <x:c r="S155" s="41" t="n">
        <x:f>R155/E155</x:f>
        <x:v>3225630147060</x:v>
      </x:c>
      <x:c r="T155" s="36" t="str">
        <x:v>FRA: IMF exact 2022; MCO: World Bank exact 2022; AND: IMF exact 2022</x:v>
      </x:c>
      <x:c r="U155" s="36" t="str">
        <x:v>FRA: IMF exact 2022; MCO: World Bank exact 2022; AND: IMF exact 2022</x:v>
      </x:c>
      <x:c r="V155" s="36" t="str">
        <x:v>FRA: IMF exact 2022; MCO: PPP inferred from filled nominal GDP using Europe &amp; Central Asia; High income median PPP/nominal ratio 1.515 (36 peers); AND: IMF exact 2022</x:v>
      </x:c>
      <x:c r="W155" s="36" t="str">
        <x:v>inferred+secondary_source</x:v>
      </x:c>
      <x:c r="X155" s="36" t="str">
        <x:v>https://api.imf.org/external/sdmx/3.0/data/dataflow/IMF.RES/WEO/9.0.0/</x:v>
      </x:c>
      <x:c r="Y155" s="36" t="str">
        <x:v>https://api.worldbank.org/v2/</x:v>
      </x:c>
    </x:row>
    <x:row r="156">
      <x:c r="A156" s="24" t="str">
        <x:v>EUA</x:v>
      </x:c>
      <x:c r="B156" s="24" t="str">
        <x:v>France</x:v>
      </x:c>
      <x:c r="C156" s="24" t="str">
        <x:v>FRA+MCO+AND</x:v>
      </x:c>
      <x:c r="D156" s="24" t="n">
        <x:v>2026</x:v>
      </x:c>
      <x:c r="E156" s="37" t="n">
        <x:v>0.87</x:v>
      </x:c>
      <x:c r="F156" s="38" t="n">
        <x:v>69636800</x:v>
      </x:c>
      <x:c r="G156" s="38" t="n">
        <x:v>69174301</x:v>
      </x:c>
      <x:c r="H156" s="39" t="n">
        <x:f>G156/F156</x:f>
        <x:v>0.993358411070009</x:v>
      </x:c>
      <x:c r="I156" s="40" t="n">
        <x:v>3989597040000</x:v>
      </x:c>
      <x:c r="J156" s="40" t="n">
        <x:v>3470949424800</x:v>
      </x:c>
      <x:c r="K156" s="40" t="n">
        <x:v>49844</x:v>
      </x:c>
      <x:c r="L156" s="40" t="n">
        <x:v>45452</x:v>
      </x:c>
      <x:c r="M156" s="40" t="n">
        <x:v>59856</x:v>
      </x:c>
      <x:c r="N156" s="41" t="n">
        <x:f>MIN(L156,M156)</x:f>
        <x:v>45452</x:v>
      </x:c>
      <x:c r="O156" s="41" t="n">
        <x:f>MAX(L156,M156)</x:f>
        <x:v>59856</x:v>
      </x:c>
      <x:c r="P156" s="41" t="n">
        <x:f>MAX(N156,MIN(K156,O156))</x:f>
        <x:v>49844</x:v>
      </x:c>
      <x:c r="Q156" s="19" t="str">
        <x:f>IF(K156&lt;N156,IF(N156=L156,"clamped_to_nominal","clamped_to_ppp"),IF(K156&gt;O156,IF(O156=L156,"clamped_to_nominal","clamped_to_ppp"),"kept_vanilla"))</x:f>
        <x:v>kept_vanilla</x:v>
      </x:c>
      <x:c r="R156" s="41" t="n">
        <x:f>P156*G156</x:f>
        <x:v>3447923859044</x:v>
      </x:c>
      <x:c r="S156" s="41" t="n">
        <x:f>R156/E156</x:f>
        <x:v>3963130872464.3677</x:v>
      </x:c>
      <x:c r="T156" s="36" t="str">
        <x:v>FRA: IMF exact 2026; MCO: population extrapolation from World Bank 2024-2025 CAGR (-0.75%/yr, capped at ±5%); AND: IMF exact 2026</x:v>
      </x:c>
      <x:c r="U156" s="36" t="str">
        <x:v>FRA: IMF exact 2026; MCO: peer-growth inference from World Bank 2024; Europe &amp; Central Asia; High income median 5.74%/yr (34 peers, capped at ±8%); AND: IMF exact 2026</x:v>
      </x:c>
      <x:c r="V156" s="36" t="str">
        <x:v>FRA: IMF exact 2026; MCO: PPP inferred from filled nominal GDP using Europe &amp; Central Asia; High income median PPP/nominal ratio 1.392 (34 peers); AND: IMF exact 2026</x:v>
      </x:c>
      <x:c r="W156" s="36" t="str">
        <x:v>inferred</x:v>
      </x:c>
      <x:c r="X156" s="36" t="str">
        <x:v>https://api.imf.org/external/sdmx/3.0/data/dataflow/IMF.RES/WEO/9.0.0/</x:v>
      </x:c>
      <x:c r="Y156" s="36" t="str">
        <x:v>https://api.worldbank.org/v2/</x:v>
      </x:c>
    </x:row>
    <x:row r="157">
      <x:c r="A157" s="24" t="str">
        <x:v>LWG</x:v>
      </x:c>
      <x:c r="B157" s="24" t="str">
        <x:v>Gabon</x:v>
      </x:c>
      <x:c r="C157" s="24" t="str">
        <x:v>GAB</x:v>
      </x:c>
      <x:c r="D157" s="24" t="n">
        <x:v>2003</x:v>
      </x:c>
      <x:c r="E157" s="37" t="n">
        <x:v>1.59</x:v>
      </x:c>
      <x:c r="F157" s="38" t="n">
        <x:v>1382350</x:v>
      </x:c>
      <x:c r="G157" s="38" t="n">
        <x:v>1298006</x:v>
      </x:c>
      <x:c r="H157" s="39" t="n">
        <x:f>G157/F157</x:f>
        <x:v>0.938985061670344</x:v>
      </x:c>
      <x:c r="I157" s="40" t="n">
        <x:v>9822807018</x:v>
      </x:c>
      <x:c r="J157" s="40" t="n">
        <x:v>15618263159</x:v>
      </x:c>
      <x:c r="K157" s="40" t="n">
        <x:v>11298</x:v>
      </x:c>
      <x:c r="L157" s="40" t="n">
        <x:v>7975</x:v>
      </x:c>
      <x:c r="M157" s="40" t="n">
        <x:v>20597</x:v>
      </x:c>
      <x:c r="N157" s="41" t="n">
        <x:f>MIN(L157,M157)</x:f>
        <x:v>7975</x:v>
      </x:c>
      <x:c r="O157" s="41" t="n">
        <x:f>MAX(L157,M157)</x:f>
        <x:v>20597</x:v>
      </x:c>
      <x:c r="P157" s="41" t="n">
        <x:f>MAX(N157,MIN(K157,O157))</x:f>
        <x:v>11298</x:v>
      </x:c>
      <x:c r="Q157" s="19" t="str">
        <x:f>IF(K157&lt;N157,IF(N157=L157,"clamped_to_nominal","clamped_to_ppp"),IF(K157&gt;O157,IF(O157=L157,"clamped_to_nominal","clamped_to_ppp"),"kept_vanilla"))</x:f>
        <x:v>kept_vanilla</x:v>
      </x:c>
      <x:c r="R157" s="41" t="n">
        <x:f>P157*G157</x:f>
        <x:v>14664871788</x:v>
      </x:c>
      <x:c r="S157" s="41" t="n">
        <x:f>R157/E157</x:f>
        <x:v>9223189803.773584</x:v>
      </x:c>
      <x:c r="T157" s="36" t="str">
        <x:v>GAB: IMF exact 2003</x:v>
      </x:c>
      <x:c r="U157" s="36" t="str">
        <x:v>GAB: IMF exact 2003</x:v>
      </x:c>
      <x:c r="V157" s="36" t="str">
        <x:v>GAB: IMF exact 2003</x:v>
      </x:c>
      <x:c r="W157" s="36" t="str">
        <x:v>complete_primary</x:v>
      </x:c>
      <x:c r="X157" s="36" t="str">
        <x:v>https://api.imf.org/external/sdmx/3.0/data/dataflow/IMF.RES/WEO/9.0.0/</x:v>
      </x:c>
      <x:c r="Y157" s="36" t="str">
        <x:v>https://api.worldbank.org/v2/</x:v>
      </x:c>
    </x:row>
    <x:row r="158">
      <x:c r="A158" s="24" t="str">
        <x:v>LWG</x:v>
      </x:c>
      <x:c r="B158" s="24" t="str">
        <x:v>Gabon</x:v>
      </x:c>
      <x:c r="C158" s="24" t="str">
        <x:v>GAB</x:v>
      </x:c>
      <x:c r="D158" s="24" t="n">
        <x:v>2022</x:v>
      </x:c>
      <x:c r="E158" s="37" t="n">
        <x:v>1</x:v>
      </x:c>
      <x:c r="F158" s="38" t="n">
        <x:v>2347945</x:v>
      </x:c>
      <x:c r="G158" s="38" t="n">
        <x:v>2161219</x:v>
      </x:c>
      <x:c r="H158" s="39" t="n">
        <x:f>G158/F158</x:f>
        <x:v>0.9204725834719297</x:v>
      </x:c>
      <x:c r="I158" s="40" t="n">
        <x:v>33945120000</x:v>
      </x:c>
      <x:c r="J158" s="40" t="n">
        <x:v>33945120000</x:v>
      </x:c>
      <x:c r="K158" s="40" t="n">
        <x:v>14457</x:v>
      </x:c>
      <x:c r="L158" s="40" t="n">
        <x:v>9478</x:v>
      </x:c>
      <x:c r="M158" s="40" t="n">
        <x:v>22482</x:v>
      </x:c>
      <x:c r="N158" s="41" t="n">
        <x:f>MIN(L158,M158)</x:f>
        <x:v>9478</x:v>
      </x:c>
      <x:c r="O158" s="41" t="n">
        <x:f>MAX(L158,M158)</x:f>
        <x:v>22482</x:v>
      </x:c>
      <x:c r="P158" s="41" t="n">
        <x:f>MAX(N158,MIN(K158,O158))</x:f>
        <x:v>14457</x:v>
      </x:c>
      <x:c r="Q158" s="19" t="str">
        <x:f>IF(K158&lt;N158,IF(N158=L158,"clamped_to_nominal","clamped_to_ppp"),IF(K158&gt;O158,IF(O158=L158,"clamped_to_nominal","clamped_to_ppp"),"kept_vanilla"))</x:f>
        <x:v>kept_vanilla</x:v>
      </x:c>
      <x:c r="R158" s="41" t="n">
        <x:f>P158*G158</x:f>
        <x:v>31244743083</x:v>
      </x:c>
      <x:c r="S158" s="41" t="n">
        <x:f>R158/E158</x:f>
        <x:v>31244743083</x:v>
      </x:c>
      <x:c r="T158" s="36" t="str">
        <x:v>GAB: IMF exact 2022</x:v>
      </x:c>
      <x:c r="U158" s="36" t="str">
        <x:v>GAB: IMF exact 2022</x:v>
      </x:c>
      <x:c r="V158" s="36" t="str">
        <x:v>GAB: IMF exact 2022</x:v>
      </x:c>
      <x:c r="W158" s="36" t="str">
        <x:v>complete_primary</x:v>
      </x:c>
      <x:c r="X158" s="36" t="str">
        <x:v>https://api.imf.org/external/sdmx/3.0/data/dataflow/IMF.RES/WEO/9.0.0/</x:v>
      </x:c>
      <x:c r="Y158" s="36" t="str">
        <x:v>https://api.worldbank.org/v2/</x:v>
      </x:c>
    </x:row>
    <x:row r="159">
      <x:c r="A159" s="24" t="str">
        <x:v>LWG</x:v>
      </x:c>
      <x:c r="B159" s="24" t="str">
        <x:v>Gabon</x:v>
      </x:c>
      <x:c r="C159" s="24" t="str">
        <x:v>GAB</x:v>
      </x:c>
      <x:c r="D159" s="24" t="n">
        <x:v>2026</x:v>
      </x:c>
      <x:c r="E159" s="37" t="n">
        <x:v>0.87</x:v>
      </x:c>
      <x:c r="F159" s="38" t="n">
        <x:v>2647400</x:v>
      </x:c>
      <x:c r="G159" s="38" t="n">
        <x:v>2355747</x:v>
      </x:c>
      <x:c r="H159" s="39" t="n">
        <x:f>G159/F159</x:f>
        <x:v>0.889834176928307</x:v>
      </x:c>
      <x:c r="I159" s="40" t="n">
        <x:v>50551600000</x:v>
      </x:c>
      <x:c r="J159" s="40" t="n">
        <x:v>43979892000</x:v>
      </x:c>
      <x:c r="K159" s="40" t="n">
        <x:v>16612</x:v>
      </x:c>
      <x:c r="L159" s="40" t="n">
        <x:v>8628</x:v>
      </x:c>
      <x:c r="M159" s="40" t="n">
        <x:v>22487</x:v>
      </x:c>
      <x:c r="N159" s="41" t="n">
        <x:f>MIN(L159,M159)</x:f>
        <x:v>8628</x:v>
      </x:c>
      <x:c r="O159" s="41" t="n">
        <x:f>MAX(L159,M159)</x:f>
        <x:v>22487</x:v>
      </x:c>
      <x:c r="P159" s="41" t="n">
        <x:f>MAX(N159,MIN(K159,O159))</x:f>
        <x:v>16612</x:v>
      </x:c>
      <x:c r="Q159" s="19" t="str">
        <x:f>IF(K159&lt;N159,IF(N159=L159,"clamped_to_nominal","clamped_to_ppp"),IF(K159&gt;O159,IF(O159=L159,"clamped_to_nominal","clamped_to_ppp"),"kept_vanilla"))</x:f>
        <x:v>kept_vanilla</x:v>
      </x:c>
      <x:c r="R159" s="41" t="n">
        <x:f>P159*G159</x:f>
        <x:v>39133669164</x:v>
      </x:c>
      <x:c r="S159" s="41" t="n">
        <x:f>R159/E159</x:f>
        <x:v>44981228924.13793</x:v>
      </x:c>
      <x:c r="T159" s="36" t="str">
        <x:v>GAB: IMF exact 2026</x:v>
      </x:c>
      <x:c r="U159" s="36" t="str">
        <x:v>GAB: IMF exact 2026</x:v>
      </x:c>
      <x:c r="V159" s="36" t="str">
        <x:v>GAB: IMF exact 2026</x:v>
      </x:c>
      <x:c r="W159" s="36" t="str">
        <x:v>complete_primary</x:v>
      </x:c>
      <x:c r="X159" s="36" t="str">
        <x:v>https://api.imf.org/external/sdmx/3.0/data/dataflow/IMF.RES/WEO/9.0.0/</x:v>
      </x:c>
      <x:c r="Y159" s="36" t="str">
        <x:v>https://api.worldbank.org/v2/</x:v>
      </x:c>
    </x:row>
    <x:row r="160">
      <x:c r="A160" s="24" t="str">
        <x:v>GAM</x:v>
      </x:c>
      <x:c r="B160" s="24" t="str">
        <x:v>Gambia</x:v>
      </x:c>
      <x:c r="C160" s="24" t="str">
        <x:v>GMB</x:v>
      </x:c>
      <x:c r="D160" s="24" t="n">
        <x:v>2003</x:v>
      </x:c>
      <x:c r="E160" s="37" t="n">
        <x:v>1.59</x:v>
      </x:c>
      <x:c r="F160" s="38" t="n">
        <x:v>1577611</x:v>
      </x:c>
      <x:c r="G160" s="38" t="n">
        <x:v>1577611</x:v>
      </x:c>
      <x:c r="H160" s="39" t="n">
        <x:f>G160/F160</x:f>
        <x:v>1</x:v>
      </x:c>
      <x:c r="I160" s="40" t="n">
        <x:v>1533918129</x:v>
      </x:c>
      <x:c r="J160" s="40" t="n">
        <x:v>2438929825</x:v>
      </x:c>
      <x:c r="K160" s="40" t="n">
        <x:v>1546</x:v>
      </x:c>
      <x:c r="L160" s="40" t="n">
        <x:v>849</x:v>
      </x:c>
      <x:c r="M160" s="40" t="n">
        <x:v>2644</x:v>
      </x:c>
      <x:c r="N160" s="41" t="n">
        <x:f>MIN(L160,M160)</x:f>
        <x:v>849</x:v>
      </x:c>
      <x:c r="O160" s="41" t="n">
        <x:f>MAX(L160,M160)</x:f>
        <x:v>2644</x:v>
      </x:c>
      <x:c r="P160" s="41" t="n">
        <x:f>MAX(N160,MIN(K160,O160))</x:f>
        <x:v>1546</x:v>
      </x:c>
      <x:c r="Q160" s="19" t="str">
        <x:f>IF(K160&lt;N160,IF(N160=L160,"clamped_to_nominal","clamped_to_ppp"),IF(K160&gt;O160,IF(O160=L160,"clamped_to_nominal","clamped_to_ppp"),"kept_vanilla"))</x:f>
        <x:v>kept_vanilla</x:v>
      </x:c>
      <x:c r="R160" s="41" t="n">
        <x:f>P160*G160</x:f>
        <x:v>2438986606</x:v>
      </x:c>
      <x:c r="S160" s="41" t="n">
        <x:f>R160/E160</x:f>
        <x:v>1533953840.2515721</x:v>
      </x:c>
      <x:c r="T160" s="36" t="str">
        <x:v>GMB: IMF exact 2003</x:v>
      </x:c>
      <x:c r="U160" s="36" t="str">
        <x:v>GMB: IMF exact 2003</x:v>
      </x:c>
      <x:c r="V160" s="36" t="str">
        <x:v>GMB: IMF exact 2003</x:v>
      </x:c>
      <x:c r="W160" s="36" t="str">
        <x:v>complete_primary</x:v>
      </x:c>
      <x:c r="X160" s="36" t="str">
        <x:v>https://api.imf.org/external/sdmx/3.0/data/dataflow/IMF.RES/WEO/9.0.0/</x:v>
      </x:c>
      <x:c r="Y160" s="36" t="str">
        <x:v>https://api.worldbank.org/v2/</x:v>
      </x:c>
    </x:row>
    <x:row r="161">
      <x:c r="A161" s="24" t="str">
        <x:v>GAM</x:v>
      </x:c>
      <x:c r="B161" s="24" t="str">
        <x:v>Gambia</x:v>
      </x:c>
      <x:c r="C161" s="24" t="str">
        <x:v>GMB</x:v>
      </x:c>
      <x:c r="D161" s="24" t="n">
        <x:v>2022</x:v>
      </x:c>
      <x:c r="E161" s="37" t="n">
        <x:v>1</x:v>
      </x:c>
      <x:c r="F161" s="38" t="n">
        <x:v>2581165</x:v>
      </x:c>
      <x:c r="G161" s="38" t="n">
        <x:v>2651908</x:v>
      </x:c>
      <x:c r="H161" s="39" t="n">
        <x:f>G161/F161</x:f>
        <x:v>1.0274073916235498</x:v>
      </x:c>
      <x:c r="I161" s="40" t="n">
        <x:v>5976960000</x:v>
      </x:c>
      <x:c r="J161" s="40" t="n">
        <x:v>5976960000</x:v>
      </x:c>
      <x:c r="K161" s="40" t="n">
        <x:v>2316</x:v>
      </x:c>
      <x:c r="L161" s="40" t="n">
        <x:v>805</x:v>
      </x:c>
      <x:c r="M161" s="40" t="n">
        <x:v>3049</x:v>
      </x:c>
      <x:c r="N161" s="41" t="n">
        <x:f>MIN(L161,M161)</x:f>
        <x:v>805</x:v>
      </x:c>
      <x:c r="O161" s="41" t="n">
        <x:f>MAX(L161,M161)</x:f>
        <x:v>3049</x:v>
      </x:c>
      <x:c r="P161" s="41" t="n">
        <x:f>MAX(N161,MIN(K161,O161))</x:f>
        <x:v>2316</x:v>
      </x:c>
      <x:c r="Q161" s="19" t="str">
        <x:f>IF(K161&lt;N161,IF(N161=L161,"clamped_to_nominal","clamped_to_ppp"),IF(K161&gt;O161,IF(O161=L161,"clamped_to_nominal","clamped_to_ppp"),"kept_vanilla"))</x:f>
        <x:v>kept_vanilla</x:v>
      </x:c>
      <x:c r="R161" s="41" t="n">
        <x:f>P161*G161</x:f>
        <x:v>6141818928</x:v>
      </x:c>
      <x:c r="S161" s="41" t="n">
        <x:f>R161/E161</x:f>
        <x:v>6141818928</x:v>
      </x:c>
      <x:c r="T161" s="36" t="str">
        <x:v>GMB: IMF exact 2022</x:v>
      </x:c>
      <x:c r="U161" s="36" t="str">
        <x:v>GMB: IMF exact 2022</x:v>
      </x:c>
      <x:c r="V161" s="36" t="str">
        <x:v>GMB: IMF exact 2022</x:v>
      </x:c>
      <x:c r="W161" s="36" t="str">
        <x:v>complete_primary</x:v>
      </x:c>
      <x:c r="X161" s="36" t="str">
        <x:v>https://api.imf.org/external/sdmx/3.0/data/dataflow/IMF.RES/WEO/9.0.0/</x:v>
      </x:c>
      <x:c r="Y161" s="36" t="str">
        <x:v>https://api.worldbank.org/v2/</x:v>
      </x:c>
    </x:row>
    <x:row r="162">
      <x:c r="A162" s="24" t="str">
        <x:v>GAM</x:v>
      </x:c>
      <x:c r="B162" s="24" t="str">
        <x:v>Gambia</x:v>
      </x:c>
      <x:c r="C162" s="24" t="str">
        <x:v>GMB</x:v>
      </x:c>
      <x:c r="D162" s="24" t="n">
        <x:v>2026</x:v>
      </x:c>
      <x:c r="E162" s="37" t="n">
        <x:v>0.87</x:v>
      </x:c>
      <x:c r="F162" s="38" t="n">
        <x:v>2884080</x:v>
      </x:c>
      <x:c r="G162" s="38" t="n">
        <x:v>2929760</x:v>
      </x:c>
      <x:c r="H162" s="39" t="n">
        <x:f>G162/F162</x:f>
        <x:v>1.0158386729910405</x:v>
      </x:c>
      <x:c r="I162" s="40" t="n">
        <x:v>9103600000</x:v>
      </x:c>
      <x:c r="J162" s="40" t="n">
        <x:v>7920132000</x:v>
      </x:c>
      <x:c r="K162" s="40" t="n">
        <x:v>2746</x:v>
      </x:c>
      <x:c r="L162" s="40" t="n">
        <x:v>829</x:v>
      </x:c>
      <x:c r="M162" s="40" t="n">
        <x:v>3362</x:v>
      </x:c>
      <x:c r="N162" s="41" t="n">
        <x:f>MIN(L162,M162)</x:f>
        <x:v>829</x:v>
      </x:c>
      <x:c r="O162" s="41" t="n">
        <x:f>MAX(L162,M162)</x:f>
        <x:v>3362</x:v>
      </x:c>
      <x:c r="P162" s="41" t="n">
        <x:f>MAX(N162,MIN(K162,O162))</x:f>
        <x:v>2746</x:v>
      </x:c>
      <x:c r="Q162" s="19" t="str">
        <x:f>IF(K162&lt;N162,IF(N162=L162,"clamped_to_nominal","clamped_to_ppp"),IF(K162&gt;O162,IF(O162=L162,"clamped_to_nominal","clamped_to_ppp"),"kept_vanilla"))</x:f>
        <x:v>kept_vanilla</x:v>
      </x:c>
      <x:c r="R162" s="41" t="n">
        <x:f>P162*G162</x:f>
        <x:v>8045120960</x:v>
      </x:c>
      <x:c r="S162" s="41" t="n">
        <x:f>R162/E162</x:f>
        <x:v>9247265471.264368</x:v>
      </x:c>
      <x:c r="T162" s="36" t="str">
        <x:v>GMB: IMF exact 2026</x:v>
      </x:c>
      <x:c r="U162" s="36" t="str">
        <x:v>GMB: IMF exact 2026</x:v>
      </x:c>
      <x:c r="V162" s="36" t="str">
        <x:v>GMB: IMF exact 2026</x:v>
      </x:c>
      <x:c r="W162" s="36" t="str">
        <x:v>complete_primary</x:v>
      </x:c>
      <x:c r="X162" s="36" t="str">
        <x:v>https://api.imf.org/external/sdmx/3.0/data/dataflow/IMF.RES/WEO/9.0.0/</x:v>
      </x:c>
      <x:c r="Y162" s="36" t="str">
        <x:v>https://api.worldbank.org/v2/</x:v>
      </x:c>
    </x:row>
    <x:row r="163">
      <x:c r="A163" s="24" t="str">
        <x:v>GEO</x:v>
      </x:c>
      <x:c r="B163" s="24" t="str">
        <x:v>Georgia</x:v>
      </x:c>
      <x:c r="C163" s="24" t="str">
        <x:v>GEO</x:v>
      </x:c>
      <x:c r="D163" s="24" t="n">
        <x:v>2003</x:v>
      </x:c>
      <x:c r="E163" s="37" t="n">
        <x:v>1.59</x:v>
      </x:c>
      <x:c r="F163" s="38" t="n">
        <x:v>4085483</x:v>
      </x:c>
      <x:c r="G163" s="38" t="n">
        <x:v>3965800</x:v>
      </x:c>
      <x:c r="H163" s="39" t="n">
        <x:f>G163/F163</x:f>
        <x:v>0.9707052997160923</x:v>
      </x:c>
      <x:c r="I163" s="40" t="n">
        <x:v>10794736842</x:v>
      </x:c>
      <x:c r="J163" s="40" t="n">
        <x:v>17163631579</x:v>
      </x:c>
      <x:c r="K163" s="40" t="n">
        <x:v>4201</x:v>
      </x:c>
      <x:c r="L163" s="40" t="n">
        <x:v>1645</x:v>
      </x:c>
      <x:c r="M163" s="40" t="n">
        <x:v>7401</x:v>
      </x:c>
      <x:c r="N163" s="41" t="n">
        <x:f>MIN(L163,M163)</x:f>
        <x:v>1645</x:v>
      </x:c>
      <x:c r="O163" s="41" t="n">
        <x:f>MAX(L163,M163)</x:f>
        <x:v>7401</x:v>
      </x:c>
      <x:c r="P163" s="41" t="n">
        <x:f>MAX(N163,MIN(K163,O163))</x:f>
        <x:v>4201</x:v>
      </x:c>
      <x:c r="Q163" s="19" t="str">
        <x:f>IF(K163&lt;N163,IF(N163=L163,"clamped_to_nominal","clamped_to_ppp"),IF(K163&gt;O163,IF(O163=L163,"clamped_to_nominal","clamped_to_ppp"),"kept_vanilla"))</x:f>
        <x:v>kept_vanilla</x:v>
      </x:c>
      <x:c r="R163" s="41" t="n">
        <x:f>P163*G163</x:f>
        <x:v>16660325800</x:v>
      </x:c>
      <x:c r="S163" s="41" t="n">
        <x:f>R163/E163</x:f>
        <x:v>10478192327.044025</x:v>
      </x:c>
      <x:c r="T163" s="36" t="str">
        <x:v>GEO: IMF exact 2003</x:v>
      </x:c>
      <x:c r="U163" s="36" t="str">
        <x:v>GEO: IMF exact 2003</x:v>
      </x:c>
      <x:c r="V163" s="36" t="str">
        <x:v>GEO: IMF exact 2003</x:v>
      </x:c>
      <x:c r="W163" s="36" t="str">
        <x:v>complete_primary</x:v>
      </x:c>
      <x:c r="X163" s="36" t="str">
        <x:v>https://api.imf.org/external/sdmx/3.0/data/dataflow/IMF.RES/WEO/9.0.0/</x:v>
      </x:c>
      <x:c r="Y163" s="36" t="str">
        <x:v>https://api.worldbank.org/v2/</x:v>
      </x:c>
    </x:row>
    <x:row r="164">
      <x:c r="A164" s="24" t="str">
        <x:v>GEO</x:v>
      </x:c>
      <x:c r="B164" s="24" t="str">
        <x:v>Georgia</x:v>
      </x:c>
      <x:c r="C164" s="24" t="str">
        <x:v>GEO</x:v>
      </x:c>
      <x:c r="D164" s="24" t="n">
        <x:v>2022</x:v>
      </x:c>
      <x:c r="E164" s="37" t="n">
        <x:v>1</x:v>
      </x:c>
      <x:c r="F164" s="38" t="n">
        <x:v>3965244</x:v>
      </x:c>
      <x:c r="G164" s="38" t="n">
        <x:v>3688600</x:v>
      </x:c>
      <x:c r="H164" s="39" t="n">
        <x:f>G164/F164</x:f>
        <x:v>0.9302327927360838</x:v>
      </x:c>
      <x:c r="I164" s="40" t="n">
        <x:v>60839680000</x:v>
      </x:c>
      <x:c r="J164" s="40" t="n">
        <x:v>60839680000</x:v>
      </x:c>
      <x:c r="K164" s="40" t="n">
        <x:v>15343</x:v>
      </x:c>
      <x:c r="L164" s="40" t="n">
        <x:v>6774</x:v>
      </x:c>
      <x:c r="M164" s="40" t="n">
        <x:v>22604</x:v>
      </x:c>
      <x:c r="N164" s="41" t="n">
        <x:f>MIN(L164,M164)</x:f>
        <x:v>6774</x:v>
      </x:c>
      <x:c r="O164" s="41" t="n">
        <x:f>MAX(L164,M164)</x:f>
        <x:v>22604</x:v>
      </x:c>
      <x:c r="P164" s="41" t="n">
        <x:f>MAX(N164,MIN(K164,O164))</x:f>
        <x:v>15343</x:v>
      </x:c>
      <x:c r="Q164" s="19" t="str">
        <x:f>IF(K164&lt;N164,IF(N164=L164,"clamped_to_nominal","clamped_to_ppp"),IF(K164&gt;O164,IF(O164=L164,"clamped_to_nominal","clamped_to_ppp"),"kept_vanilla"))</x:f>
        <x:v>kept_vanilla</x:v>
      </x:c>
      <x:c r="R164" s="41" t="n">
        <x:f>P164*G164</x:f>
        <x:v>56594189800</x:v>
      </x:c>
      <x:c r="S164" s="41" t="n">
        <x:f>R164/E164</x:f>
        <x:v>56594189800</x:v>
      </x:c>
      <x:c r="T164" s="36" t="str">
        <x:v>GEO: IMF exact 2022</x:v>
      </x:c>
      <x:c r="U164" s="36" t="str">
        <x:v>GEO: IMF exact 2022</x:v>
      </x:c>
      <x:c r="V164" s="36" t="str">
        <x:v>GEO: IMF exact 2022</x:v>
      </x:c>
      <x:c r="W164" s="36" t="str">
        <x:v>complete_primary</x:v>
      </x:c>
      <x:c r="X164" s="36" t="str">
        <x:v>https://api.imf.org/external/sdmx/3.0/data/dataflow/IMF.RES/WEO/9.0.0/</x:v>
      </x:c>
      <x:c r="Y164" s="36" t="str">
        <x:v>https://api.worldbank.org/v2/</x:v>
      </x:c>
    </x:row>
    <x:row r="165">
      <x:c r="A165" s="24" t="str">
        <x:v>GEO</x:v>
      </x:c>
      <x:c r="B165" s="24" t="str">
        <x:v>Georgia</x:v>
      </x:c>
      <x:c r="C165" s="24" t="str">
        <x:v>GEO</x:v>
      </x:c>
      <x:c r="D165" s="24" t="n">
        <x:v>2026</x:v>
      </x:c>
      <x:c r="E165" s="37" t="n">
        <x:v>0.87</x:v>
      </x:c>
      <x:c r="F165" s="38" t="n">
        <x:v>3804642</x:v>
      </x:c>
      <x:c r="G165" s="38" t="n">
        <x:v>3690673</x:v>
      </x:c>
      <x:c r="H165" s="39" t="n">
        <x:f>G165/F165</x:f>
        <x:v>0.970044750596771</x:v>
      </x:c>
      <x:c r="I165" s="40" t="n">
        <x:v>99953040000</x:v>
      </x:c>
      <x:c r="J165" s="40" t="n">
        <x:v>86959144800</x:v>
      </x:c>
      <x:c r="K165" s="40" t="n">
        <x:v>22856</x:v>
      </x:c>
      <x:c r="L165" s="40" t="n">
        <x:v>10069</x:v>
      </x:c>
      <x:c r="M165" s="40" t="n">
        <x:v>29572</x:v>
      </x:c>
      <x:c r="N165" s="41" t="n">
        <x:f>MIN(L165,M165)</x:f>
        <x:v>10069</x:v>
      </x:c>
      <x:c r="O165" s="41" t="n">
        <x:f>MAX(L165,M165)</x:f>
        <x:v>29572</x:v>
      </x:c>
      <x:c r="P165" s="41" t="n">
        <x:f>MAX(N165,MIN(K165,O165))</x:f>
        <x:v>22856</x:v>
      </x:c>
      <x:c r="Q165" s="19" t="str">
        <x:f>IF(K165&lt;N165,IF(N165=L165,"clamped_to_nominal","clamped_to_ppp"),IF(K165&gt;O165,IF(O165=L165,"clamped_to_nominal","clamped_to_ppp"),"kept_vanilla"))</x:f>
        <x:v>kept_vanilla</x:v>
      </x:c>
      <x:c r="R165" s="41" t="n">
        <x:f>P165*G165</x:f>
        <x:v>84354022088</x:v>
      </x:c>
      <x:c r="S165" s="41" t="n">
        <x:f>R165/E165</x:f>
        <x:v>96958646078.16092</x:v>
      </x:c>
      <x:c r="T165" s="36" t="str">
        <x:v>GEO: IMF exact 2026</x:v>
      </x:c>
      <x:c r="U165" s="36" t="str">
        <x:v>GEO: IMF exact 2026</x:v>
      </x:c>
      <x:c r="V165" s="36" t="str">
        <x:v>GEO: IMF exact 2026</x:v>
      </x:c>
      <x:c r="W165" s="36" t="str">
        <x:v>complete_primary</x:v>
      </x:c>
      <x:c r="X165" s="36" t="str">
        <x:v>https://api.imf.org/external/sdmx/3.0/data/dataflow/IMF.RES/WEO/9.0.0/</x:v>
      </x:c>
      <x:c r="Y165" s="36" t="str">
        <x:v>https://api.worldbank.org/v2/</x:v>
      </x:c>
    </x:row>
    <x:row r="166">
      <x:c r="A166" s="24" t="str">
        <x:v>DEU</x:v>
      </x:c>
      <x:c r="B166" s="24" t="str">
        <x:v>Germany</x:v>
      </x:c>
      <x:c r="C166" s="24" t="str">
        <x:v>DEU</x:v>
      </x:c>
      <x:c r="D166" s="24" t="n">
        <x:v>2003</x:v>
      </x:c>
      <x:c r="E166" s="37" t="n">
        <x:v>1.59</x:v>
      </x:c>
      <x:c r="F166" s="38" t="n">
        <x:v>82111616</x:v>
      </x:c>
      <x:c r="G166" s="38" t="n">
        <x:v>81548750</x:v>
      </x:c>
      <x:c r="H166" s="39" t="n">
        <x:f>G166/F166</x:f>
        <x:v>0.9931451111618604</x:v>
      </x:c>
      <x:c r="I166" s="40" t="n">
        <x:v>1629042105263</x:v>
      </x:c>
      <x:c r="J166" s="40" t="n">
        <x:v>2590176947368</x:v>
      </x:c>
      <x:c r="K166" s="40" t="n">
        <x:v>31545</x:v>
      </x:c>
      <x:c r="L166" s="40" t="n">
        <x:v>49408</x:v>
      </x:c>
      <x:c r="M166" s="40" t="n">
        <x:v>54344</x:v>
      </x:c>
      <x:c r="N166" s="41" t="n">
        <x:f>MIN(L166,M166)</x:f>
        <x:v>49408</x:v>
      </x:c>
      <x:c r="O166" s="41" t="n">
        <x:f>MAX(L166,M166)</x:f>
        <x:v>54344</x:v>
      </x:c>
      <x:c r="P166" s="41" t="n">
        <x:f>MAX(N166,MIN(K166,O166))</x:f>
        <x:v>49408</x:v>
      </x:c>
      <x:c r="Q166" s="19" t="str">
        <x:f>IF(K166&lt;N166,IF(N166=L166,"clamped_to_nominal","clamped_to_ppp"),IF(K166&gt;O166,IF(O166=L166,"clamped_to_nominal","clamped_to_ppp"),"kept_vanilla"))</x:f>
        <x:v>clamped_to_nominal</x:v>
      </x:c>
      <x:c r="R166" s="41" t="n">
        <x:f>P166*G166</x:f>
        <x:v>4029160640000</x:v>
      </x:c>
      <x:c r="S166" s="41" t="n">
        <x:f>R166/E166</x:f>
        <x:v>2534063295597.4844</x:v>
      </x:c>
      <x:c r="T166" s="36" t="str">
        <x:v>DEU: IMF exact 2003</x:v>
      </x:c>
      <x:c r="U166" s="36" t="str">
        <x:v>DEU: IMF exact 2003</x:v>
      </x:c>
      <x:c r="V166" s="36" t="str">
        <x:v>DEU: IMF exact 2003</x:v>
      </x:c>
      <x:c r="W166" s="36" t="str">
        <x:v>complete_primary</x:v>
      </x:c>
      <x:c r="X166" s="36" t="str">
        <x:v>https://api.imf.org/external/sdmx/3.0/data/dataflow/IMF.RES/WEO/9.0.0/</x:v>
      </x:c>
      <x:c r="Y166" s="36" t="str">
        <x:v>https://api.worldbank.org/v2/</x:v>
      </x:c>
    </x:row>
    <x:row r="167">
      <x:c r="A167" s="24" t="str">
        <x:v>DEU</x:v>
      </x:c>
      <x:c r="B167" s="24" t="str">
        <x:v>Germany</x:v>
      </x:c>
      <x:c r="C167" s="24" t="str">
        <x:v>DEU</x:v>
      </x:c>
      <x:c r="D167" s="24" t="n">
        <x:v>2022</x:v>
      </x:c>
      <x:c r="E167" s="37" t="n">
        <x:v>1</x:v>
      </x:c>
      <x:c r="F167" s="38" t="n">
        <x:v>83868087</x:v>
      </x:c>
      <x:c r="G167" s="38" t="n">
        <x:v>82529000</x:v>
      </x:c>
      <x:c r="H167" s="39" t="n">
        <x:f>G167/F167</x:f>
        <x:v>0.9840334142830752</x:v>
      </x:c>
      <x:c r="I167" s="40" t="n">
        <x:v>4637567440000</x:v>
      </x:c>
      <x:c r="J167" s="40" t="n">
        <x:v>4637567440000</x:v>
      </x:c>
      <x:c r="K167" s="40" t="n">
        <x:v>55296</x:v>
      </x:c>
      <x:c r="L167" s="40" t="n">
        <x:v>50944</x:v>
      </x:c>
      <x:c r="M167" s="40" t="n">
        <x:v>69311</x:v>
      </x:c>
      <x:c r="N167" s="41" t="n">
        <x:f>MIN(L167,M167)</x:f>
        <x:v>50944</x:v>
      </x:c>
      <x:c r="O167" s="41" t="n">
        <x:f>MAX(L167,M167)</x:f>
        <x:v>69311</x:v>
      </x:c>
      <x:c r="P167" s="41" t="n">
        <x:f>MAX(N167,MIN(K167,O167))</x:f>
        <x:v>55296</x:v>
      </x:c>
      <x:c r="Q167" s="19" t="str">
        <x:f>IF(K167&lt;N167,IF(N167=L167,"clamped_to_nominal","clamped_to_ppp"),IF(K167&gt;O167,IF(O167=L167,"clamped_to_nominal","clamped_to_ppp"),"kept_vanilla"))</x:f>
        <x:v>kept_vanilla</x:v>
      </x:c>
      <x:c r="R167" s="41" t="n">
        <x:f>P167*G167</x:f>
        <x:v>4563523584000</x:v>
      </x:c>
      <x:c r="S167" s="41" t="n">
        <x:f>R167/E167</x:f>
        <x:v>4563523584000</x:v>
      </x:c>
      <x:c r="T167" s="36" t="str">
        <x:v>DEU: IMF exact 2022</x:v>
      </x:c>
      <x:c r="U167" s="36" t="str">
        <x:v>DEU: IMF exact 2022</x:v>
      </x:c>
      <x:c r="V167" s="36" t="str">
        <x:v>DEU: IMF exact 2022</x:v>
      </x:c>
      <x:c r="W167" s="36" t="str">
        <x:v>complete_primary</x:v>
      </x:c>
      <x:c r="X167" s="36" t="str">
        <x:v>https://api.imf.org/external/sdmx/3.0/data/dataflow/IMF.RES/WEO/9.0.0/</x:v>
      </x:c>
      <x:c r="Y167" s="36" t="str">
        <x:v>https://api.worldbank.org/v2/</x:v>
      </x:c>
    </x:row>
    <x:row r="168">
      <x:c r="A168" s="24" t="str">
        <x:v>DEU</x:v>
      </x:c>
      <x:c r="B168" s="24" t="str">
        <x:v>Germany</x:v>
      </x:c>
      <x:c r="C168" s="24" t="str">
        <x:v>DEU</x:v>
      </x:c>
      <x:c r="D168" s="24" t="n">
        <x:v>2026</x:v>
      </x:c>
      <x:c r="E168" s="37" t="n">
        <x:v>0.87</x:v>
      </x:c>
      <x:c r="F168" s="38" t="n">
        <x:v>83644258</x:v>
      </x:c>
      <x:c r="G168" s="38" t="n">
        <x:v>83501017</x:v>
      </x:c>
      <x:c r="H168" s="39" t="n">
        <x:f>G168/F168</x:f>
        <x:v>0.998287497511186</x:v>
      </x:c>
      <x:c r="I168" s="40" t="n">
        <x:v>5415292080000</x:v>
      </x:c>
      <x:c r="J168" s="40" t="n">
        <x:v>4711304109600</x:v>
      </x:c>
      <x:c r="K168" s="40" t="n">
        <x:v>56325</x:v>
      </x:c>
      <x:c r="L168" s="40" t="n">
        <x:v>56814</x:v>
      </x:c>
      <x:c r="M168" s="40" t="n">
        <x:v>66770</x:v>
      </x:c>
      <x:c r="N168" s="41" t="n">
        <x:f>MIN(L168,M168)</x:f>
        <x:v>56814</x:v>
      </x:c>
      <x:c r="O168" s="41" t="n">
        <x:f>MAX(L168,M168)</x:f>
        <x:v>66770</x:v>
      </x:c>
      <x:c r="P168" s="41" t="n">
        <x:f>MAX(N168,MIN(K168,O168))</x:f>
        <x:v>56814</x:v>
      </x:c>
      <x:c r="Q168" s="19" t="str">
        <x:f>IF(K168&lt;N168,IF(N168=L168,"clamped_to_nominal","clamped_to_ppp"),IF(K168&gt;O168,IF(O168=L168,"clamped_to_nominal","clamped_to_ppp"),"kept_vanilla"))</x:f>
        <x:v>clamped_to_nominal</x:v>
      </x:c>
      <x:c r="R168" s="41" t="n">
        <x:f>P168*G168</x:f>
        <x:v>4744026779838</x:v>
      </x:c>
      <x:c r="S168" s="41" t="n">
        <x:f>R168/E168</x:f>
        <x:v>5452904344641.379</x:v>
      </x:c>
      <x:c r="T168" s="36" t="str">
        <x:v>DEU: IMF exact 2026</x:v>
      </x:c>
      <x:c r="U168" s="36" t="str">
        <x:v>DEU: IMF exact 2026</x:v>
      </x:c>
      <x:c r="V168" s="36" t="str">
        <x:v>DEU: IMF exact 2026</x:v>
      </x:c>
      <x:c r="W168" s="36" t="str">
        <x:v>complete_primary</x:v>
      </x:c>
      <x:c r="X168" s="36" t="str">
        <x:v>https://api.imf.org/external/sdmx/3.0/data/dataflow/IMF.RES/WEO/9.0.0/</x:v>
      </x:c>
      <x:c r="Y168" s="36" t="str">
        <x:v>https://api.worldbank.org/v2/</x:v>
      </x:c>
    </x:row>
    <x:row r="169">
      <x:c r="A169" s="24" t="str">
        <x:v>GHA</x:v>
      </x:c>
      <x:c r="B169" s="24" t="str">
        <x:v>Ghana</x:v>
      </x:c>
      <x:c r="C169" s="24" t="str">
        <x:v>GHA</x:v>
      </x:c>
      <x:c r="D169" s="24" t="n">
        <x:v>2003</x:v>
      </x:c>
      <x:c r="E169" s="37" t="n">
        <x:v>1.59</x:v>
      </x:c>
      <x:c r="F169" s="38" t="n">
        <x:v>21296705</x:v>
      </x:c>
      <x:c r="G169" s="38" t="n">
        <x:v>21296705</x:v>
      </x:c>
      <x:c r="H169" s="39" t="n">
        <x:f>G169/F169</x:f>
        <x:v>1</x:v>
      </x:c>
      <x:c r="I169" s="40" t="n">
        <x:v>29340350877</x:v>
      </x:c>
      <x:c r="J169" s="40" t="n">
        <x:v>46651157894</x:v>
      </x:c>
      <x:c r="K169" s="40" t="n">
        <x:v>2191</x:v>
      </x:c>
      <x:c r="L169" s="40" t="n">
        <x:v>1403</x:v>
      </x:c>
      <x:c r="M169" s="40" t="n">
        <x:v>3746</x:v>
      </x:c>
      <x:c r="N169" s="41" t="n">
        <x:f>MIN(L169,M169)</x:f>
        <x:v>1403</x:v>
      </x:c>
      <x:c r="O169" s="41" t="n">
        <x:f>MAX(L169,M169)</x:f>
        <x:v>3746</x:v>
      </x:c>
      <x:c r="P169" s="41" t="n">
        <x:f>MAX(N169,MIN(K169,O169))</x:f>
        <x:v>2191</x:v>
      </x:c>
      <x:c r="Q169" s="19" t="str">
        <x:f>IF(K169&lt;N169,IF(N169=L169,"clamped_to_nominal","clamped_to_ppp"),IF(K169&gt;O169,IF(O169=L169,"clamped_to_nominal","clamped_to_ppp"),"kept_vanilla"))</x:f>
        <x:v>kept_vanilla</x:v>
      </x:c>
      <x:c r="R169" s="41" t="n">
        <x:f>P169*G169</x:f>
        <x:v>46661080655</x:v>
      </x:c>
      <x:c r="S169" s="41" t="n">
        <x:f>R169/E169</x:f>
        <x:v>29346591606.918236</x:v>
      </x:c>
      <x:c r="T169" s="36" t="str">
        <x:v>GHA: IMF exact 2003</x:v>
      </x:c>
      <x:c r="U169" s="36" t="str">
        <x:v>GHA: IMF exact 2003</x:v>
      </x:c>
      <x:c r="V169" s="36" t="str">
        <x:v>GHA: IMF exact 2003</x:v>
      </x:c>
      <x:c r="W169" s="36" t="str">
        <x:v>complete_primary</x:v>
      </x:c>
      <x:c r="X169" s="36" t="str">
        <x:v>https://api.imf.org/external/sdmx/3.0/data/dataflow/IMF.RES/WEO/9.0.0/</x:v>
      </x:c>
      <x:c r="Y169" s="36" t="str">
        <x:v>https://api.worldbank.org/v2/</x:v>
      </x:c>
    </x:row>
    <x:row r="170">
      <x:c r="A170" s="24" t="str">
        <x:v>GHA</x:v>
      </x:c>
      <x:c r="B170" s="24" t="str">
        <x:v>Ghana</x:v>
      </x:c>
      <x:c r="C170" s="24" t="str">
        <x:v>GHA</x:v>
      </x:c>
      <x:c r="D170" s="24" t="n">
        <x:v>2022</x:v>
      </x:c>
      <x:c r="E170" s="37" t="n">
        <x:v>1</x:v>
      </x:c>
      <x:c r="F170" s="38" t="n">
        <x:v>32603382</x:v>
      </x:c>
      <x:c r="G170" s="38" t="n">
        <x:v>33149152</x:v>
      </x:c>
      <x:c r="H170" s="39" t="n">
        <x:f>G170/F170</x:f>
        <x:v>1.0167396744300945</x:v>
      </x:c>
      <x:c r="I170" s="40" t="n">
        <x:v>190674880000</x:v>
      </x:c>
      <x:c r="J170" s="40" t="n">
        <x:v>190674880000</x:v>
      </x:c>
      <x:c r="K170" s="40" t="n">
        <x:v>5848</x:v>
      </x:c>
      <x:c r="L170" s="40" t="n">
        <x:v>2230</x:v>
      </x:c>
      <x:c r="M170" s="40" t="n">
        <x:v>7208</x:v>
      </x:c>
      <x:c r="N170" s="41" t="n">
        <x:f>MIN(L170,M170)</x:f>
        <x:v>2230</x:v>
      </x:c>
      <x:c r="O170" s="41" t="n">
        <x:f>MAX(L170,M170)</x:f>
        <x:v>7208</x:v>
      </x:c>
      <x:c r="P170" s="41" t="n">
        <x:f>MAX(N170,MIN(K170,O170))</x:f>
        <x:v>5848</x:v>
      </x:c>
      <x:c r="Q170" s="19" t="str">
        <x:f>IF(K170&lt;N170,IF(N170=L170,"clamped_to_nominal","clamped_to_ppp"),IF(K170&gt;O170,IF(O170=L170,"clamped_to_nominal","clamped_to_ppp"),"kept_vanilla"))</x:f>
        <x:v>kept_vanilla</x:v>
      </x:c>
      <x:c r="R170" s="41" t="n">
        <x:f>P170*G170</x:f>
        <x:v>193856240896</x:v>
      </x:c>
      <x:c r="S170" s="41" t="n">
        <x:f>R170/E170</x:f>
        <x:v>193856240896</x:v>
      </x:c>
      <x:c r="T170" s="36" t="str">
        <x:v>GHA: IMF exact 2022</x:v>
      </x:c>
      <x:c r="U170" s="36" t="str">
        <x:v>GHA: IMF exact 2022</x:v>
      </x:c>
      <x:c r="V170" s="36" t="str">
        <x:v>GHA: IMF exact 2022</x:v>
      </x:c>
      <x:c r="W170" s="36" t="str">
        <x:v>complete_primary</x:v>
      </x:c>
      <x:c r="X170" s="36" t="str">
        <x:v>https://api.imf.org/external/sdmx/3.0/data/dataflow/IMF.RES/WEO/9.0.0/</x:v>
      </x:c>
      <x:c r="Y170" s="36" t="str">
        <x:v>https://api.worldbank.org/v2/</x:v>
      </x:c>
    </x:row>
    <x:row r="171">
      <x:c r="A171" s="24" t="str">
        <x:v>GHA</x:v>
      </x:c>
      <x:c r="B171" s="24" t="str">
        <x:v>Ghana</x:v>
      </x:c>
      <x:c r="C171" s="24" t="str">
        <x:v>GHA</x:v>
      </x:c>
      <x:c r="D171" s="24" t="n">
        <x:v>2026</x:v>
      </x:c>
      <x:c r="E171" s="37" t="n">
        <x:v>0.87</x:v>
      </x:c>
      <x:c r="F171" s="38" t="n">
        <x:v>35697557</x:v>
      </x:c>
      <x:c r="G171" s="38" t="n">
        <x:v>35697557</x:v>
      </x:c>
      <x:c r="H171" s="39" t="n">
        <x:f>G171/F171</x:f>
        <x:v>1</x:v>
      </x:c>
      <x:c r="I171" s="40" t="n">
        <x:v>259703840000</x:v>
      </x:c>
      <x:c r="J171" s="40" t="n">
        <x:v>225942340800</x:v>
      </x:c>
      <x:c r="K171" s="40" t="n">
        <x:v>6329</x:v>
      </x:c>
      <x:c r="L171" s="40" t="n">
        <x:v>2883</x:v>
      </x:c>
      <x:c r="M171" s="40" t="n">
        <x:v>7931</x:v>
      </x:c>
      <x:c r="N171" s="41" t="n">
        <x:f>MIN(L171,M171)</x:f>
        <x:v>2883</x:v>
      </x:c>
      <x:c r="O171" s="41" t="n">
        <x:f>MAX(L171,M171)</x:f>
        <x:v>7931</x:v>
      </x:c>
      <x:c r="P171" s="41" t="n">
        <x:f>MAX(N171,MIN(K171,O171))</x:f>
        <x:v>6329</x:v>
      </x:c>
      <x:c r="Q171" s="19" t="str">
        <x:f>IF(K171&lt;N171,IF(N171=L171,"clamped_to_nominal","clamped_to_ppp"),IF(K171&gt;O171,IF(O171=L171,"clamped_to_nominal","clamped_to_ppp"),"kept_vanilla"))</x:f>
        <x:v>kept_vanilla</x:v>
      </x:c>
      <x:c r="R171" s="41" t="n">
        <x:f>P171*G171</x:f>
        <x:v>225929838253</x:v>
      </x:c>
      <x:c r="S171" s="41" t="n">
        <x:f>R171/E171</x:f>
        <x:v>259689469256.32184</x:v>
      </x:c>
      <x:c r="T171" s="36" t="str">
        <x:v>GHA: IMF exact 2026</x:v>
      </x:c>
      <x:c r="U171" s="36" t="str">
        <x:v>GHA: IMF exact 2026</x:v>
      </x:c>
      <x:c r="V171" s="36" t="str">
        <x:v>GHA: IMF exact 2026</x:v>
      </x:c>
      <x:c r="W171" s="36" t="str">
        <x:v>complete_primary</x:v>
      </x:c>
      <x:c r="X171" s="36" t="str">
        <x:v>https://api.imf.org/external/sdmx/3.0/data/dataflow/IMF.RES/WEO/9.0.0/</x:v>
      </x:c>
      <x:c r="Y171" s="36" t="str">
        <x:v>https://api.worldbank.org/v2/</x:v>
      </x:c>
    </x:row>
    <x:row r="172">
      <x:c r="A172" s="24" t="str">
        <x:v>GRE</x:v>
      </x:c>
      <x:c r="B172" s="24" t="str">
        <x:v>Greece</x:v>
      </x:c>
      <x:c r="C172" s="24" t="str">
        <x:v>GRC+CYP</x:v>
      </x:c>
      <x:c r="D172" s="24" t="n">
        <x:v>2003</x:v>
      </x:c>
      <x:c r="E172" s="37" t="n">
        <x:v>1.59</x:v>
      </x:c>
      <x:c r="F172" s="38" t="n">
        <x:v>11918061</x:v>
      </x:c>
      <x:c r="G172" s="38" t="n">
        <x:v>11629490</x:v>
      </x:c>
      <x:c r="H172" s="39" t="n">
        <x:f>G172/F172</x:f>
        <x:v>0.9757870848286478</x:v>
      </x:c>
      <x:c r="I172" s="40" t="n">
        <x:v>162307602339</x:v>
      </x:c>
      <x:c r="J172" s="40" t="n">
        <x:v>258069087719</x:v>
      </x:c>
      <x:c r="K172" s="40" t="n">
        <x:v>21654</x:v>
      </x:c>
      <x:c r="L172" s="40" t="n">
        <x:v>28907</x:v>
      </x:c>
      <x:c r="M172" s="40" t="n">
        <x:v>39763</x:v>
      </x:c>
      <x:c r="N172" s="41" t="n">
        <x:f>MIN(L172,M172)</x:f>
        <x:v>28907</x:v>
      </x:c>
      <x:c r="O172" s="41" t="n">
        <x:f>MAX(L172,M172)</x:f>
        <x:v>39763</x:v>
      </x:c>
      <x:c r="P172" s="41" t="n">
        <x:f>MAX(N172,MIN(K172,O172))</x:f>
        <x:v>28907</x:v>
      </x:c>
      <x:c r="Q172" s="19" t="str">
        <x:f>IF(K172&lt;N172,IF(N172=L172,"clamped_to_nominal","clamped_to_ppp"),IF(K172&gt;O172,IF(O172=L172,"clamped_to_nominal","clamped_to_ppp"),"kept_vanilla"))</x:f>
        <x:v>clamped_to_nominal</x:v>
      </x:c>
      <x:c r="R172" s="41" t="n">
        <x:f>P172*G172</x:f>
        <x:v>336173667430</x:v>
      </x:c>
      <x:c r="S172" s="41" t="n">
        <x:f>R172/E172</x:f>
        <x:v>211429979515.72327</x:v>
      </x:c>
      <x:c r="T172" s="36" t="str">
        <x:v>GRC: IMF exact 2003; CYP: IMF exact 2003</x:v>
      </x:c>
      <x:c r="U172" s="36" t="str">
        <x:v>GRC: IMF exact 2003; CYP: IMF exact 2003</x:v>
      </x:c>
      <x:c r="V172" s="36" t="str">
        <x:v>GRC: IMF exact 2003; CYP: IMF exact 2003</x:v>
      </x:c>
      <x:c r="W172" s="36" t="str">
        <x:v>complete_primary</x:v>
      </x:c>
      <x:c r="X172" s="36" t="str">
        <x:v>https://api.imf.org/external/sdmx/3.0/data/dataflow/IMF.RES/WEO/9.0.0/</x:v>
      </x:c>
      <x:c r="Y172" s="36" t="str">
        <x:v>https://api.worldbank.org/v2/</x:v>
      </x:c>
    </x:row>
    <x:row r="173">
      <x:c r="A173" s="24" t="str">
        <x:v>GRE</x:v>
      </x:c>
      <x:c r="B173" s="24" t="str">
        <x:v>Greece</x:v>
      </x:c>
      <x:c r="C173" s="24" t="str">
        <x:v>GRC+CYP</x:v>
      </x:c>
      <x:c r="D173" s="24" t="n">
        <x:v>2022</x:v>
      </x:c>
      <x:c r="E173" s="37" t="n">
        <x:v>1</x:v>
      </x:c>
      <x:c r="F173" s="38" t="n">
        <x:v>11140449</x:v>
      </x:c>
      <x:c r="G173" s="38" t="n">
        <x:v>11391391</x:v>
      </x:c>
      <x:c r="H173" s="39" t="n">
        <x:f>G173/F173</x:f>
        <x:v>1.0225253039621653</x:v>
      </x:c>
      <x:c r="I173" s="40" t="n">
        <x:v>371795600000</x:v>
      </x:c>
      <x:c r="J173" s="40" t="n">
        <x:v>371795600000</x:v>
      </x:c>
      <x:c r="K173" s="40" t="n">
        <x:v>33373</x:v>
      </x:c>
      <x:c r="L173" s="40" t="n">
        <x:v>21894</x:v>
      </x:c>
      <x:c r="M173" s="40" t="n">
        <x:v>39789</x:v>
      </x:c>
      <x:c r="N173" s="41" t="n">
        <x:f>MIN(L173,M173)</x:f>
        <x:v>21894</x:v>
      </x:c>
      <x:c r="O173" s="41" t="n">
        <x:f>MAX(L173,M173)</x:f>
        <x:v>39789</x:v>
      </x:c>
      <x:c r="P173" s="41" t="n">
        <x:f>MAX(N173,MIN(K173,O173))</x:f>
        <x:v>33373</x:v>
      </x:c>
      <x:c r="Q173" s="19" t="str">
        <x:f>IF(K173&lt;N173,IF(N173=L173,"clamped_to_nominal","clamped_to_ppp"),IF(K173&gt;O173,IF(O173=L173,"clamped_to_nominal","clamped_to_ppp"),"kept_vanilla"))</x:f>
        <x:v>kept_vanilla</x:v>
      </x:c>
      <x:c r="R173" s="41" t="n">
        <x:f>P173*G173</x:f>
        <x:v>380164891843</x:v>
      </x:c>
      <x:c r="S173" s="41" t="n">
        <x:f>R173/E173</x:f>
        <x:v>380164891843</x:v>
      </x:c>
      <x:c r="T173" s="36" t="str">
        <x:v>GRC: IMF exact 2022; CYP: IMF exact 2022</x:v>
      </x:c>
      <x:c r="U173" s="36" t="str">
        <x:v>GRC: IMF exact 2022; CYP: IMF exact 2022</x:v>
      </x:c>
      <x:c r="V173" s="36" t="str">
        <x:v>GRC: IMF exact 2022; CYP: IMF exact 2022</x:v>
      </x:c>
      <x:c r="W173" s="36" t="str">
        <x:v>complete_primary</x:v>
      </x:c>
      <x:c r="X173" s="36" t="str">
        <x:v>https://api.imf.org/external/sdmx/3.0/data/dataflow/IMF.RES/WEO/9.0.0/</x:v>
      </x:c>
      <x:c r="Y173" s="36" t="str">
        <x:v>https://api.worldbank.org/v2/</x:v>
      </x:c>
    </x:row>
    <x:row r="174">
      <x:c r="A174" s="24" t="str">
        <x:v>GRE</x:v>
      </x:c>
      <x:c r="B174" s="24" t="str">
        <x:v>Greece</x:v>
      </x:c>
      <x:c r="C174" s="24" t="str">
        <x:v>GRC+CYP</x:v>
      </x:c>
      <x:c r="D174" s="24" t="n">
        <x:v>2026</x:v>
      </x:c>
      <x:c r="E174" s="37" t="n">
        <x:v>0.87</x:v>
      </x:c>
      <x:c r="F174" s="38" t="n">
        <x:v>11279450</x:v>
      </x:c>
      <x:c r="G174" s="38" t="n">
        <x:v>11351538</x:v>
      </x:c>
      <x:c r="H174" s="39" t="n">
        <x:f>G174/F174</x:f>
        <x:v>1.006391091764226</x:v>
      </x:c>
      <x:c r="I174" s="40" t="n">
        <x:v>411479200000</x:v>
      </x:c>
      <x:c r="J174" s="40" t="n">
        <x:v>357986904000</x:v>
      </x:c>
      <x:c r="K174" s="40" t="n">
        <x:v>31738</x:v>
      </x:c>
      <x:c r="L174" s="40" t="n">
        <x:v>27033</x:v>
      </x:c>
      <x:c r="M174" s="40" t="n">
        <x:v>42614</x:v>
      </x:c>
      <x:c r="N174" s="41" t="n">
        <x:f>MIN(L174,M174)</x:f>
        <x:v>27033</x:v>
      </x:c>
      <x:c r="O174" s="41" t="n">
        <x:f>MAX(L174,M174)</x:f>
        <x:v>42614</x:v>
      </x:c>
      <x:c r="P174" s="41" t="n">
        <x:f>MAX(N174,MIN(K174,O174))</x:f>
        <x:v>31738</x:v>
      </x:c>
      <x:c r="Q174" s="19" t="str">
        <x:f>IF(K174&lt;N174,IF(N174=L174,"clamped_to_nominal","clamped_to_ppp"),IF(K174&gt;O174,IF(O174=L174,"clamped_to_nominal","clamped_to_ppp"),"kept_vanilla"))</x:f>
        <x:v>kept_vanilla</x:v>
      </x:c>
      <x:c r="R174" s="41" t="n">
        <x:f>P174*G174</x:f>
        <x:v>360275113044</x:v>
      </x:c>
      <x:c r="S174" s="41" t="n">
        <x:f>R174/E174</x:f>
        <x:v>414109325337.931</x:v>
      </x:c>
      <x:c r="T174" s="36" t="str">
        <x:v>GRC: IMF exact 2026; CYP: IMF exact 2026</x:v>
      </x:c>
      <x:c r="U174" s="36" t="str">
        <x:v>GRC: IMF exact 2026; CYP: IMF exact 2026</x:v>
      </x:c>
      <x:c r="V174" s="36" t="str">
        <x:v>GRC: IMF exact 2026; CYP: IMF exact 2026</x:v>
      </x:c>
      <x:c r="W174" s="36" t="str">
        <x:v>complete_primary</x:v>
      </x:c>
      <x:c r="X174" s="36" t="str">
        <x:v>https://api.imf.org/external/sdmx/3.0/data/dataflow/IMF.RES/WEO/9.0.0/</x:v>
      </x:c>
      <x:c r="Y174" s="36" t="str">
        <x:v>https://api.worldbank.org/v2/</x:v>
      </x:c>
    </x:row>
    <x:row r="175">
      <x:c r="A175" s="24" t="str">
        <x:v>GTM</x:v>
      </x:c>
      <x:c r="B175" s="24" t="str">
        <x:v>Guatemala</x:v>
      </x:c>
      <x:c r="C175" s="24" t="str">
        <x:v>GTM</x:v>
      </x:c>
      <x:c r="D175" s="24" t="n">
        <x:v>2003</x:v>
      </x:c>
      <x:c r="E175" s="37" t="n">
        <x:v>1.59</x:v>
      </x:c>
      <x:c r="F175" s="38" t="n">
        <x:v>12525842</x:v>
      </x:c>
      <x:c r="G175" s="38" t="n">
        <x:v>12525842</x:v>
      </x:c>
      <x:c r="H175" s="39" t="n">
        <x:f>G175/F175</x:f>
        <x:v>1</x:v>
      </x:c>
      <x:c r="I175" s="40" t="n">
        <x:v>43738011696</x:v>
      </x:c>
      <x:c r="J175" s="40" t="n">
        <x:v>69543438597</x:v>
      </x:c>
      <x:c r="K175" s="40" t="n">
        <x:v>5552</x:v>
      </x:c>
      <x:c r="L175" s="40" t="n">
        <x:v>2931</x:v>
      </x:c>
      <x:c r="M175" s="40" t="n">
        <x:v>9494</x:v>
      </x:c>
      <x:c r="N175" s="41" t="n">
        <x:f>MIN(L175,M175)</x:f>
        <x:v>2931</x:v>
      </x:c>
      <x:c r="O175" s="41" t="n">
        <x:f>MAX(L175,M175)</x:f>
        <x:v>9494</x:v>
      </x:c>
      <x:c r="P175" s="41" t="n">
        <x:f>MAX(N175,MIN(K175,O175))</x:f>
        <x:v>5552</x:v>
      </x:c>
      <x:c r="Q175" s="19" t="str">
        <x:f>IF(K175&lt;N175,IF(N175=L175,"clamped_to_nominal","clamped_to_ppp"),IF(K175&gt;O175,IF(O175=L175,"clamped_to_nominal","clamped_to_ppp"),"kept_vanilla"))</x:f>
        <x:v>kept_vanilla</x:v>
      </x:c>
      <x:c r="R175" s="41" t="n">
        <x:f>P175*G175</x:f>
        <x:v>69543474784</x:v>
      </x:c>
      <x:c r="S175" s="41" t="n">
        <x:f>R175/E175</x:f>
        <x:v>43738034455.34591</x:v>
      </x:c>
      <x:c r="T175" s="36" t="str">
        <x:v>GTM: IMF exact 2003</x:v>
      </x:c>
      <x:c r="U175" s="36" t="str">
        <x:v>GTM: IMF exact 2003</x:v>
      </x:c>
      <x:c r="V175" s="36" t="str">
        <x:v>GTM: IMF exact 2003</x:v>
      </x:c>
      <x:c r="W175" s="36" t="str">
        <x:v>complete_primary</x:v>
      </x:c>
      <x:c r="X175" s="36" t="str">
        <x:v>https://api.imf.org/external/sdmx/3.0/data/dataflow/IMF.RES/WEO/9.0.0/</x:v>
      </x:c>
      <x:c r="Y175" s="36" t="str">
        <x:v>https://api.worldbank.org/v2/</x:v>
      </x:c>
    </x:row>
    <x:row r="176">
      <x:c r="A176" s="24" t="str">
        <x:v>GTM</x:v>
      </x:c>
      <x:c r="B176" s="24" t="str">
        <x:v>Guatemala</x:v>
      </x:c>
      <x:c r="C176" s="24" t="str">
        <x:v>GTM</x:v>
      </x:c>
      <x:c r="D176" s="24" t="n">
        <x:v>2022</x:v>
      </x:c>
      <x:c r="E176" s="37" t="n">
        <x:v>1</x:v>
      </x:c>
      <x:c r="F176" s="38" t="n">
        <x:v>18688544</x:v>
      </x:c>
      <x:c r="G176" s="38" t="n">
        <x:v>17847877</x:v>
      </x:c>
      <x:c r="H176" s="39" t="n">
        <x:f>G176/F176</x:f>
        <x:v>0.9550169879472686</x:v>
      </x:c>
      <x:c r="I176" s="40" t="n">
        <x:v>163216240000</x:v>
      </x:c>
      <x:c r="J176" s="40" t="n">
        <x:v>163216240000</x:v>
      </x:c>
      <x:c r="K176" s="40" t="n">
        <x:v>8733</x:v>
      </x:c>
      <x:c r="L176" s="40" t="n">
        <x:v>5359</x:v>
      </x:c>
      <x:c r="M176" s="40" t="n">
        <x:v>13012</x:v>
      </x:c>
      <x:c r="N176" s="41" t="n">
        <x:f>MIN(L176,M176)</x:f>
        <x:v>5359</x:v>
      </x:c>
      <x:c r="O176" s="41" t="n">
        <x:f>MAX(L176,M176)</x:f>
        <x:v>13012</x:v>
      </x:c>
      <x:c r="P176" s="41" t="n">
        <x:f>MAX(N176,MIN(K176,O176))</x:f>
        <x:v>8733</x:v>
      </x:c>
      <x:c r="Q176" s="19" t="str">
        <x:f>IF(K176&lt;N176,IF(N176=L176,"clamped_to_nominal","clamped_to_ppp"),IF(K176&gt;O176,IF(O176=L176,"clamped_to_nominal","clamped_to_ppp"),"kept_vanilla"))</x:f>
        <x:v>kept_vanilla</x:v>
      </x:c>
      <x:c r="R176" s="41" t="n">
        <x:f>P176*G176</x:f>
        <x:v>155865509841</x:v>
      </x:c>
      <x:c r="S176" s="41" t="n">
        <x:f>R176/E176</x:f>
        <x:v>155865509841</x:v>
      </x:c>
      <x:c r="T176" s="36" t="str">
        <x:v>GTM: IMF exact 2022</x:v>
      </x:c>
      <x:c r="U176" s="36" t="str">
        <x:v>GTM: IMF exact 2022</x:v>
      </x:c>
      <x:c r="V176" s="36" t="str">
        <x:v>GTM: IMF exact 2022</x:v>
      </x:c>
      <x:c r="W176" s="36" t="str">
        <x:v>complete_primary</x:v>
      </x:c>
      <x:c r="X176" s="36" t="str">
        <x:v>https://api.imf.org/external/sdmx/3.0/data/dataflow/IMF.RES/WEO/9.0.0/</x:v>
      </x:c>
      <x:c r="Y176" s="36" t="str">
        <x:v>https://api.worldbank.org/v2/</x:v>
      </x:c>
    </x:row>
    <x:row r="177">
      <x:c r="A177" s="24" t="str">
        <x:v>GTM</x:v>
      </x:c>
      <x:c r="B177" s="24" t="str">
        <x:v>Guatemala</x:v>
      </x:c>
      <x:c r="C177" s="24" t="str">
        <x:v>GTM</x:v>
      </x:c>
      <x:c r="D177" s="24" t="n">
        <x:v>2026</x:v>
      </x:c>
      <x:c r="E177" s="37" t="n">
        <x:v>0.87</x:v>
      </x:c>
      <x:c r="F177" s="38" t="n">
        <x:v>18967978</x:v>
      </x:c>
      <x:c r="G177" s="38" t="n">
        <x:v>18925345</x:v>
      </x:c>
      <x:c r="H177" s="39" t="n">
        <x:f>G177/F177</x:f>
        <x:v>0.9977523698097921</x:v>
      </x:c>
      <x:c r="I177" s="40" t="n">
        <x:v>248893040000</x:v>
      </x:c>
      <x:c r="J177" s="40" t="n">
        <x:v>216536944800</x:v>
      </x:c>
      <x:c r="K177" s="40" t="n">
        <x:v>11416</x:v>
      </x:c>
      <x:c r="L177" s="40" t="n">
        <x:v>5925</x:v>
      </x:c>
      <x:c r="M177" s="40" t="n">
        <x:v>13938</x:v>
      </x:c>
      <x:c r="N177" s="41" t="n">
        <x:f>MIN(L177,M177)</x:f>
        <x:v>5925</x:v>
      </x:c>
      <x:c r="O177" s="41" t="n">
        <x:f>MAX(L177,M177)</x:f>
        <x:v>13938</x:v>
      </x:c>
      <x:c r="P177" s="41" t="n">
        <x:f>MAX(N177,MIN(K177,O177))</x:f>
        <x:v>11416</x:v>
      </x:c>
      <x:c r="Q177" s="19" t="str">
        <x:f>IF(K177&lt;N177,IF(N177=L177,"clamped_to_nominal","clamped_to_ppp"),IF(K177&gt;O177,IF(O177=L177,"clamped_to_nominal","clamped_to_ppp"),"kept_vanilla"))</x:f>
        <x:v>kept_vanilla</x:v>
      </x:c>
      <x:c r="R177" s="41" t="n">
        <x:f>P177*G177</x:f>
        <x:v>216051738520</x:v>
      </x:c>
      <x:c r="S177" s="41" t="n">
        <x:f>R177/E177</x:f>
        <x:v>248335331632.1839</x:v>
      </x:c>
      <x:c r="T177" s="36" t="str">
        <x:v>GTM: IMF exact 2026</x:v>
      </x:c>
      <x:c r="U177" s="36" t="str">
        <x:v>GTM: IMF exact 2026</x:v>
      </x:c>
      <x:c r="V177" s="36" t="str">
        <x:v>GTM: IMF exact 2026</x:v>
      </x:c>
      <x:c r="W177" s="36" t="str">
        <x:v>complete_primary</x:v>
      </x:c>
      <x:c r="X177" s="36" t="str">
        <x:v>https://api.imf.org/external/sdmx/3.0/data/dataflow/IMF.RES/WEO/9.0.0/</x:v>
      </x:c>
      <x:c r="Y177" s="36" t="str">
        <x:v>https://api.worldbank.org/v2/</x:v>
      </x:c>
    </x:row>
    <x:row r="178">
      <x:c r="A178" s="24" t="str">
        <x:v>GIN</x:v>
      </x:c>
      <x:c r="B178" s="24" t="str">
        <x:v>Guinea</x:v>
      </x:c>
      <x:c r="C178" s="24" t="str">
        <x:v>GIN</x:v>
      </x:c>
      <x:c r="D178" s="24" t="n">
        <x:v>2003</x:v>
      </x:c>
      <x:c r="E178" s="37" t="n">
        <x:v>1.59</x:v>
      </x:c>
      <x:c r="F178" s="38" t="n">
        <x:v>8870781</x:v>
      </x:c>
      <x:c r="G178" s="38" t="n">
        <x:v>9204581</x:v>
      </x:c>
      <x:c r="H178" s="39" t="n">
        <x:f>G178/F178</x:f>
        <x:v>1.0376291557643007</x:v>
      </x:c>
      <x:c r="I178" s="40" t="n">
        <x:v>7964912281</x:v>
      </x:c>
      <x:c r="J178" s="40" t="n">
        <x:v>12664210527</x:v>
      </x:c>
      <x:c r="K178" s="40" t="n">
        <x:v>1428</x:v>
      </x:c>
      <x:c r="L178" s="40" t="n">
        <x:v>822</x:v>
      </x:c>
      <x:c r="M178" s="40" t="n">
        <x:v>2353</x:v>
      </x:c>
      <x:c r="N178" s="41" t="n">
        <x:f>MIN(L178,M178)</x:f>
        <x:v>822</x:v>
      </x:c>
      <x:c r="O178" s="41" t="n">
        <x:f>MAX(L178,M178)</x:f>
        <x:v>2353</x:v>
      </x:c>
      <x:c r="P178" s="41" t="n">
        <x:f>MAX(N178,MIN(K178,O178))</x:f>
        <x:v>1428</x:v>
      </x:c>
      <x:c r="Q178" s="19" t="str">
        <x:f>IF(K178&lt;N178,IF(N178=L178,"clamped_to_nominal","clamped_to_ppp"),IF(K178&gt;O178,IF(O178=L178,"clamped_to_nominal","clamped_to_ppp"),"kept_vanilla"))</x:f>
        <x:v>kept_vanilla</x:v>
      </x:c>
      <x:c r="R178" s="41" t="n">
        <x:f>P178*G178</x:f>
        <x:v>13144141668</x:v>
      </x:c>
      <x:c r="S178" s="41" t="n">
        <x:f>R178/E178</x:f>
        <x:v>8266755766.037735</x:v>
      </x:c>
      <x:c r="T178" s="36" t="str">
        <x:v>GIN: IMF exact 2003</x:v>
      </x:c>
      <x:c r="U178" s="36" t="str">
        <x:v>GIN: IMF exact 2003</x:v>
      </x:c>
      <x:c r="V178" s="36" t="str">
        <x:v>GIN: IMF exact 2003</x:v>
      </x:c>
      <x:c r="W178" s="36" t="str">
        <x:v>complete_primary</x:v>
      </x:c>
      <x:c r="X178" s="36" t="str">
        <x:v>https://api.imf.org/external/sdmx/3.0/data/dataflow/IMF.RES/WEO/9.0.0/</x:v>
      </x:c>
      <x:c r="Y178" s="36" t="str">
        <x:v>https://api.worldbank.org/v2/</x:v>
      </x:c>
    </x:row>
    <x:row r="179">
      <x:c r="A179" s="24" t="str">
        <x:v>GIN</x:v>
      </x:c>
      <x:c r="B179" s="24" t="str">
        <x:v>Guinea</x:v>
      </x:c>
      <x:c r="C179" s="24" t="str">
        <x:v>GIN</x:v>
      </x:c>
      <x:c r="D179" s="24" t="n">
        <x:v>2022</x:v>
      </x:c>
      <x:c r="E179" s="37" t="n">
        <x:v>1</x:v>
      </x:c>
      <x:c r="F179" s="38" t="n">
        <x:v>13982341</x:v>
      </x:c>
      <x:c r="G179" s="38" t="n">
        <x:v>14674444</x:v>
      </x:c>
      <x:c r="H179" s="39" t="n">
        <x:f>G179/F179</x:f>
        <x:v>1.0494983636860238</x:v>
      </x:c>
      <x:c r="I179" s="40" t="n">
        <x:v>39120400000</x:v>
      </x:c>
      <x:c r="J179" s="40" t="n">
        <x:v>39120400000</x:v>
      </x:c>
      <x:c r="K179" s="40" t="n">
        <x:v>2798</x:v>
      </x:c>
      <x:c r="L179" s="40" t="n">
        <x:v>1335</x:v>
      </x:c>
      <x:c r="M179" s="40" t="n">
        <x:v>3890</x:v>
      </x:c>
      <x:c r="N179" s="41" t="n">
        <x:f>MIN(L179,M179)</x:f>
        <x:v>1335</x:v>
      </x:c>
      <x:c r="O179" s="41" t="n">
        <x:f>MAX(L179,M179)</x:f>
        <x:v>3890</x:v>
      </x:c>
      <x:c r="P179" s="41" t="n">
        <x:f>MAX(N179,MIN(K179,O179))</x:f>
        <x:v>2798</x:v>
      </x:c>
      <x:c r="Q179" s="19" t="str">
        <x:f>IF(K179&lt;N179,IF(N179=L179,"clamped_to_nominal","clamped_to_ppp"),IF(K179&gt;O179,IF(O179=L179,"clamped_to_nominal","clamped_to_ppp"),"kept_vanilla"))</x:f>
        <x:v>kept_vanilla</x:v>
      </x:c>
      <x:c r="R179" s="41" t="n">
        <x:f>P179*G179</x:f>
        <x:v>41059094312</x:v>
      </x:c>
      <x:c r="S179" s="41" t="n">
        <x:f>R179/E179</x:f>
        <x:v>41059094312</x:v>
      </x:c>
      <x:c r="T179" s="36" t="str">
        <x:v>GIN: IMF exact 2022</x:v>
      </x:c>
      <x:c r="U179" s="36" t="str">
        <x:v>GIN: IMF exact 2022</x:v>
      </x:c>
      <x:c r="V179" s="36" t="str">
        <x:v>GIN: IMF exact 2022</x:v>
      </x:c>
      <x:c r="W179" s="36" t="str">
        <x:v>complete_primary</x:v>
      </x:c>
      <x:c r="X179" s="36" t="str">
        <x:v>https://api.imf.org/external/sdmx/3.0/data/dataflow/IMF.RES/WEO/9.0.0/</x:v>
      </x:c>
      <x:c r="Y179" s="36" t="str">
        <x:v>https://api.worldbank.org/v2/</x:v>
      </x:c>
    </x:row>
    <x:row r="180">
      <x:c r="A180" s="24" t="str">
        <x:v>GIN</x:v>
      </x:c>
      <x:c r="B180" s="24" t="str">
        <x:v>Guinea</x:v>
      </x:c>
      <x:c r="C180" s="24" t="str">
        <x:v>GIN</x:v>
      </x:c>
      <x:c r="D180" s="24" t="n">
        <x:v>2026</x:v>
      </x:c>
      <x:c r="E180" s="37" t="n">
        <x:v>0.87</x:v>
      </x:c>
      <x:c r="F180" s="38" t="n">
        <x:v>15441993</x:v>
      </x:c>
      <x:c r="G180" s="38" t="n">
        <x:v>16197841</x:v>
      </x:c>
      <x:c r="H180" s="39" t="n">
        <x:f>G180/F180</x:f>
        <x:v>1.0489475678430886</x:v>
      </x:c>
      <x:c r="I180" s="40" t="n">
        <x:v>66045760000</x:v>
      </x:c>
      <x:c r="J180" s="40" t="n">
        <x:v>57459811200</x:v>
      </x:c>
      <x:c r="K180" s="40" t="n">
        <x:v>3721</x:v>
      </x:c>
      <x:c r="L180" s="40" t="n">
        <x:v>1608</x:v>
      </x:c>
      <x:c r="M180" s="40" t="n">
        <x:v>4504</x:v>
      </x:c>
      <x:c r="N180" s="41" t="n">
        <x:f>MIN(L180,M180)</x:f>
        <x:v>1608</x:v>
      </x:c>
      <x:c r="O180" s="41" t="n">
        <x:f>MAX(L180,M180)</x:f>
        <x:v>4504</x:v>
      </x:c>
      <x:c r="P180" s="41" t="n">
        <x:f>MAX(N180,MIN(K180,O180))</x:f>
        <x:v>3721</x:v>
      </x:c>
      <x:c r="Q180" s="19" t="str">
        <x:f>IF(K180&lt;N180,IF(N180=L180,"clamped_to_nominal","clamped_to_ppp"),IF(K180&gt;O180,IF(O180=L180,"clamped_to_nominal","clamped_to_ppp"),"kept_vanilla"))</x:f>
        <x:v>kept_vanilla</x:v>
      </x:c>
      <x:c r="R180" s="41" t="n">
        <x:f>P180*G180</x:f>
        <x:v>60272166361</x:v>
      </x:c>
      <x:c r="S180" s="41" t="n">
        <x:f>R180/E180</x:f>
        <x:v>69278352139.08046</x:v>
      </x:c>
      <x:c r="T180" s="36" t="str">
        <x:v>GIN: IMF exact 2026</x:v>
      </x:c>
      <x:c r="U180" s="36" t="str">
        <x:v>GIN: IMF exact 2026</x:v>
      </x:c>
      <x:c r="V180" s="36" t="str">
        <x:v>GIN: IMF exact 2026</x:v>
      </x:c>
      <x:c r="W180" s="36" t="str">
        <x:v>complete_primary</x:v>
      </x:c>
      <x:c r="X180" s="36" t="str">
        <x:v>https://api.imf.org/external/sdmx/3.0/data/dataflow/IMF.RES/WEO/9.0.0/</x:v>
      </x:c>
      <x:c r="Y180" s="36" t="str">
        <x:v>https://api.worldbank.org/v2/</x:v>
      </x:c>
    </x:row>
    <x:row r="181">
      <x:c r="A181" s="24" t="str">
        <x:v>GNB</x:v>
      </x:c>
      <x:c r="B181" s="24" t="str">
        <x:v>Guinea-Bissau</x:v>
      </x:c>
      <x:c r="C181" s="24" t="str">
        <x:v>GNB</x:v>
      </x:c>
      <x:c r="D181" s="24" t="n">
        <x:v>2003</x:v>
      </x:c>
      <x:c r="E181" s="37" t="n">
        <x:v>1.59</x:v>
      </x:c>
      <x:c r="F181" s="38" t="n">
        <x:v>1318806</x:v>
      </x:c>
      <x:c r="G181" s="38" t="n">
        <x:v>1272149</x:v>
      </x:c>
      <x:c r="H181" s="39" t="n">
        <x:f>G181/F181</x:f>
        <x:v>0.9646217866767364</x:v>
      </x:c>
      <x:c r="I181" s="40" t="n">
        <x:v>1056725146</x:v>
      </x:c>
      <x:c r="J181" s="40" t="n">
        <x:v>1680192982</x:v>
      </x:c>
      <x:c r="K181" s="40" t="n">
        <x:v>1274</x:v>
      </x:c>
      <x:c r="L181" s="40" t="n">
        <x:v>692</x:v>
      </x:c>
      <x:c r="M181" s="40" t="n">
        <x:v>2259</x:v>
      </x:c>
      <x:c r="N181" s="41" t="n">
        <x:f>MIN(L181,M181)</x:f>
        <x:v>692</x:v>
      </x:c>
      <x:c r="O181" s="41" t="n">
        <x:f>MAX(L181,M181)</x:f>
        <x:v>2259</x:v>
      </x:c>
      <x:c r="P181" s="41" t="n">
        <x:f>MAX(N181,MIN(K181,O181))</x:f>
        <x:v>1274</x:v>
      </x:c>
      <x:c r="Q181" s="19" t="str">
        <x:f>IF(K181&lt;N181,IF(N181=L181,"clamped_to_nominal","clamped_to_ppp"),IF(K181&gt;O181,IF(O181=L181,"clamped_to_nominal","clamped_to_ppp"),"kept_vanilla"))</x:f>
        <x:v>kept_vanilla</x:v>
      </x:c>
      <x:c r="R181" s="41" t="n">
        <x:f>P181*G181</x:f>
        <x:v>1620717826</x:v>
      </x:c>
      <x:c r="S181" s="41" t="n">
        <x:f>R181/E181</x:f>
        <x:v>1019319387.4213836</x:v>
      </x:c>
      <x:c r="T181" s="36" t="str">
        <x:v>GNB: IMF exact 2003</x:v>
      </x:c>
      <x:c r="U181" s="36" t="str">
        <x:v>GNB: IMF exact 2003</x:v>
      </x:c>
      <x:c r="V181" s="36" t="str">
        <x:v>GNB: IMF exact 2003</x:v>
      </x:c>
      <x:c r="W181" s="36" t="str">
        <x:v>complete_primary</x:v>
      </x:c>
      <x:c r="X181" s="36" t="str">
        <x:v>https://api.imf.org/external/sdmx/3.0/data/dataflow/IMF.RES/WEO/9.0.0/</x:v>
      </x:c>
      <x:c r="Y181" s="36" t="str">
        <x:v>https://api.worldbank.org/v2/</x:v>
      </x:c>
    </x:row>
    <x:row r="182">
      <x:c r="A182" s="24" t="str">
        <x:v>GNB</x:v>
      </x:c>
      <x:c r="B182" s="24" t="str">
        <x:v>Guinea-Bissau</x:v>
      </x:c>
      <x:c r="C182" s="24" t="str">
        <x:v>GNB</x:v>
      </x:c>
      <x:c r="D182" s="24" t="n">
        <x:v>2022</x:v>
      </x:c>
      <x:c r="E182" s="37" t="n">
        <x:v>1</x:v>
      </x:c>
      <x:c r="F182" s="38" t="n">
        <x:v>2078481</x:v>
      </x:c>
      <x:c r="G182" s="38" t="n">
        <x:v>1896385</x:v>
      </x:c>
      <x:c r="H182" s="39" t="n">
        <x:f>G182/F182</x:f>
        <x:v>0.9123898654834949</x:v>
      </x:c>
      <x:c r="I182" s="40" t="n">
        <x:v>4645520000</x:v>
      </x:c>
      <x:c r="J182" s="40" t="n">
        <x:v>4645520000</x:v>
      </x:c>
      <x:c r="K182" s="40" t="n">
        <x:v>2235</x:v>
      </x:c>
      <x:c r="L182" s="40" t="n">
        <x:v>908</x:v>
      </x:c>
      <x:c r="M182" s="40" t="n">
        <x:v>2768</x:v>
      </x:c>
      <x:c r="N182" s="41" t="n">
        <x:f>MIN(L182,M182)</x:f>
        <x:v>908</x:v>
      </x:c>
      <x:c r="O182" s="41" t="n">
        <x:f>MAX(L182,M182)</x:f>
        <x:v>2768</x:v>
      </x:c>
      <x:c r="P182" s="41" t="n">
        <x:f>MAX(N182,MIN(K182,O182))</x:f>
        <x:v>2235</x:v>
      </x:c>
      <x:c r="Q182" s="19" t="str">
        <x:f>IF(K182&lt;N182,IF(N182=L182,"clamped_to_nominal","clamped_to_ppp"),IF(K182&gt;O182,IF(O182=L182,"clamped_to_nominal","clamped_to_ppp"),"kept_vanilla"))</x:f>
        <x:v>kept_vanilla</x:v>
      </x:c>
      <x:c r="R182" s="41" t="n">
        <x:f>P182*G182</x:f>
        <x:v>4238420475</x:v>
      </x:c>
      <x:c r="S182" s="41" t="n">
        <x:f>R182/E182</x:f>
        <x:v>4238420475</x:v>
      </x:c>
      <x:c r="T182" s="36" t="str">
        <x:v>GNB: IMF exact 2022</x:v>
      </x:c>
      <x:c r="U182" s="36" t="str">
        <x:v>GNB: IMF exact 2022</x:v>
      </x:c>
      <x:c r="V182" s="36" t="str">
        <x:v>GNB: IMF exact 2022</x:v>
      </x:c>
      <x:c r="W182" s="36" t="str">
        <x:v>complete_primary</x:v>
      </x:c>
      <x:c r="X182" s="36" t="str">
        <x:v>https://api.imf.org/external/sdmx/3.0/data/dataflow/IMF.RES/WEO/9.0.0/</x:v>
      </x:c>
      <x:c r="Y182" s="36" t="str">
        <x:v>https://api.worldbank.org/v2/</x:v>
      </x:c>
    </x:row>
    <x:row r="183">
      <x:c r="A183" s="24" t="str">
        <x:v>GNB</x:v>
      </x:c>
      <x:c r="B183" s="24" t="str">
        <x:v>Guinea-Bissau</x:v>
      </x:c>
      <x:c r="C183" s="24" t="str">
        <x:v>GNB</x:v>
      </x:c>
      <x:c r="D183" s="24" t="n">
        <x:v>2026</x:v>
      </x:c>
      <x:c r="E183" s="37" t="n">
        <x:v>0.87</x:v>
      </x:c>
      <x:c r="F183" s="38" t="n">
        <x:v>2297808</x:v>
      </x:c>
      <x:c r="G183" s="38" t="n">
        <x:v>2060486</x:v>
      </x:c>
      <x:c r="H183" s="39" t="n">
        <x:f>G183/F183</x:f>
        <x:v>0.8967180895879899</x:v>
      </x:c>
      <x:c r="I183" s="40" t="n">
        <x:v>5825600000</x:v>
      </x:c>
      <x:c r="J183" s="40" t="n">
        <x:v>5068272000</x:v>
      </x:c>
      <x:c r="K183" s="40" t="n">
        <x:v>2206</x:v>
      </x:c>
      <x:c r="L183" s="40" t="n">
        <x:v>1260</x:v>
      </x:c>
      <x:c r="M183" s="40" t="n">
        <x:v>3040</x:v>
      </x:c>
      <x:c r="N183" s="41" t="n">
        <x:f>MIN(L183,M183)</x:f>
        <x:v>1260</x:v>
      </x:c>
      <x:c r="O183" s="41" t="n">
        <x:f>MAX(L183,M183)</x:f>
        <x:v>3040</x:v>
      </x:c>
      <x:c r="P183" s="41" t="n">
        <x:f>MAX(N183,MIN(K183,O183))</x:f>
        <x:v>2206</x:v>
      </x:c>
      <x:c r="Q183" s="19" t="str">
        <x:f>IF(K183&lt;N183,IF(N183=L183,"clamped_to_nominal","clamped_to_ppp"),IF(K183&gt;O183,IF(O183=L183,"clamped_to_nominal","clamped_to_ppp"),"kept_vanilla"))</x:f>
        <x:v>kept_vanilla</x:v>
      </x:c>
      <x:c r="R183" s="41" t="n">
        <x:f>P183*G183</x:f>
        <x:v>4545432116</x:v>
      </x:c>
      <x:c r="S183" s="41" t="n">
        <x:f>R183/E183</x:f>
        <x:v>5224634616.091954</x:v>
      </x:c>
      <x:c r="T183" s="36" t="str">
        <x:v>GNB: IMF exact 2026</x:v>
      </x:c>
      <x:c r="U183" s="36" t="str">
        <x:v>GNB: IMF exact 2026</x:v>
      </x:c>
      <x:c r="V183" s="36" t="str">
        <x:v>GNB: IMF exact 2026</x:v>
      </x:c>
      <x:c r="W183" s="36" t="str">
        <x:v>complete_primary</x:v>
      </x:c>
      <x:c r="X183" s="36" t="str">
        <x:v>https://api.imf.org/external/sdmx/3.0/data/dataflow/IMF.RES/WEO/9.0.0/</x:v>
      </x:c>
      <x:c r="Y183" s="36" t="str">
        <x:v>https://api.worldbank.org/v2/</x:v>
      </x:c>
    </x:row>
    <x:row r="184">
      <x:c r="A184" s="24" t="str">
        <x:v>GUS</x:v>
      </x:c>
      <x:c r="B184" s="24" t="str">
        <x:v>Gulf States</x:v>
      </x:c>
      <x:c r="C184" s="24" t="str">
        <x:v>QAT+BHR</x:v>
      </x:c>
      <x:c r="D184" s="24" t="n">
        <x:v>2003</x:v>
      </x:c>
      <x:c r="E184" s="37" t="n">
        <x:v>1.59</x:v>
      </x:c>
      <x:c r="F184" s="38" t="n">
        <x:v>1555958</x:v>
      </x:c>
      <x:c r="G184" s="38" t="n">
        <x:v>1424755</x:v>
      </x:c>
      <x:c r="H184" s="39" t="n">
        <x:f>G184/F184</x:f>
        <x:v>0.9156770298427078</x:v>
      </x:c>
      <x:c r="I184" s="40" t="n">
        <x:v>44619883041</x:v>
      </x:c>
      <x:c r="J184" s="40" t="n">
        <x:v>70945614035</x:v>
      </x:c>
      <x:c r="K184" s="40" t="n">
        <x:v>45596</x:v>
      </x:c>
      <x:c r="L184" s="40" t="n">
        <x:v>39351</x:v>
      </x:c>
      <x:c r="M184" s="40" t="n">
        <x:v>85149</x:v>
      </x:c>
      <x:c r="N184" s="41" t="n">
        <x:f>MIN(L184,M184)</x:f>
        <x:v>39351</x:v>
      </x:c>
      <x:c r="O184" s="41" t="n">
        <x:f>MAX(L184,M184)</x:f>
        <x:v>85149</x:v>
      </x:c>
      <x:c r="P184" s="41" t="n">
        <x:f>MAX(N184,MIN(K184,O184))</x:f>
        <x:v>45596</x:v>
      </x:c>
      <x:c r="Q184" s="19" t="str">
        <x:f>IF(K184&lt;N184,IF(N184=L184,"clamped_to_nominal","clamped_to_ppp"),IF(K184&gt;O184,IF(O184=L184,"clamped_to_nominal","clamped_to_ppp"),"kept_vanilla"))</x:f>
        <x:v>kept_vanilla</x:v>
      </x:c>
      <x:c r="R184" s="41" t="n">
        <x:f>P184*G184</x:f>
        <x:v>64963128980</x:v>
      </x:c>
      <x:c r="S184" s="41" t="n">
        <x:f>R184/E184</x:f>
        <x:v>40857313823.89937</x:v>
      </x:c>
      <x:c r="T184" s="36" t="str">
        <x:v>QAT: IMF exact 2003; BHR: IMF exact 2003</x:v>
      </x:c>
      <x:c r="U184" s="36" t="str">
        <x:v>QAT: IMF exact 2003; BHR: IMF exact 2003</x:v>
      </x:c>
      <x:c r="V184" s="36" t="str">
        <x:v>QAT: IMF exact 2003; BHR: IMF exact 2003</x:v>
      </x:c>
      <x:c r="W184" s="36" t="str">
        <x:v>complete_primary</x:v>
      </x:c>
      <x:c r="X184" s="36" t="str">
        <x:v>https://api.imf.org/external/sdmx/3.0/data/dataflow/IMF.RES/WEO/9.0.0/</x:v>
      </x:c>
      <x:c r="Y184" s="36" t="str">
        <x:v>https://api.worldbank.org/v2/</x:v>
      </x:c>
    </x:row>
    <x:row r="185">
      <x:c r="A185" s="24" t="str">
        <x:v>GUS</x:v>
      </x:c>
      <x:c r="B185" s="24" t="str">
        <x:v>Gulf States</x:v>
      </x:c>
      <x:c r="C185" s="24" t="str">
        <x:v>QAT+BHR</x:v>
      </x:c>
      <x:c r="D185" s="24" t="n">
        <x:v>2022</x:v>
      </x:c>
      <x:c r="E185" s="37" t="n">
        <x:v>1</x:v>
      </x:c>
      <x:c r="F185" s="38" t="n">
        <x:v>4789451</x:v>
      </x:c>
      <x:c r="G185" s="38" t="n">
        <x:v>4456934</x:v>
      </x:c>
      <x:c r="H185" s="39" t="n">
        <x:f>G185/F185</x:f>
        <x:v>0.9305730448020034</x:v>
      </x:c>
      <x:c r="I185" s="40" t="n">
        <x:v>341775280000</x:v>
      </x:c>
      <x:c r="J185" s="40" t="n">
        <x:v>341775280000</x:v>
      </x:c>
      <x:c r="K185" s="40" t="n">
        <x:v>71360</x:v>
      </x:c>
      <x:c r="L185" s="40" t="n">
        <x:v>63310</x:v>
      </x:c>
      <x:c r="M185" s="40" t="n">
        <x:v>94373</x:v>
      </x:c>
      <x:c r="N185" s="41" t="n">
        <x:f>MIN(L185,M185)</x:f>
        <x:v>63310</x:v>
      </x:c>
      <x:c r="O185" s="41" t="n">
        <x:f>MAX(L185,M185)</x:f>
        <x:v>94373</x:v>
      </x:c>
      <x:c r="P185" s="41" t="n">
        <x:f>MAX(N185,MIN(K185,O185))</x:f>
        <x:v>71360</x:v>
      </x:c>
      <x:c r="Q185" s="19" t="str">
        <x:f>IF(K185&lt;N185,IF(N185=L185,"clamped_to_nominal","clamped_to_ppp"),IF(K185&gt;O185,IF(O185=L185,"clamped_to_nominal","clamped_to_ppp"),"kept_vanilla"))</x:f>
        <x:v>kept_vanilla</x:v>
      </x:c>
      <x:c r="R185" s="41" t="n">
        <x:f>P185*G185</x:f>
        <x:v>318046810240</x:v>
      </x:c>
      <x:c r="S185" s="41" t="n">
        <x:f>R185/E185</x:f>
        <x:v>318046810240</x:v>
      </x:c>
      <x:c r="T185" s="36" t="str">
        <x:v>QAT: IMF exact 2022; BHR: IMF exact 2022</x:v>
      </x:c>
      <x:c r="U185" s="36" t="str">
        <x:v>QAT: IMF exact 2022; BHR: IMF exact 2022</x:v>
      </x:c>
      <x:c r="V185" s="36" t="str">
        <x:v>QAT: IMF exact 2022; BHR: IMF exact 2022</x:v>
      </x:c>
      <x:c r="W185" s="36" t="str">
        <x:v>complete_primary</x:v>
      </x:c>
      <x:c r="X185" s="36" t="str">
        <x:v>https://api.imf.org/external/sdmx/3.0/data/dataflow/IMF.RES/WEO/9.0.0/</x:v>
      </x:c>
      <x:c r="Y185" s="36" t="str">
        <x:v>https://api.worldbank.org/v2/</x:v>
      </x:c>
    </x:row>
    <x:row r="186">
      <x:c r="A186" s="24" t="str">
        <x:v>GUS</x:v>
      </x:c>
      <x:c r="B186" s="24" t="str">
        <x:v>Gulf States</x:v>
      </x:c>
      <x:c r="C186" s="24" t="str">
        <x:v>QAT+BHR</x:v>
      </x:c>
      <x:c r="D186" s="24" t="n">
        <x:v>2026</x:v>
      </x:c>
      <x:c r="E186" s="37" t="n">
        <x:v>0.87</x:v>
      </x:c>
      <x:c r="F186" s="38" t="n">
        <x:v>4849132</x:v>
      </x:c>
      <x:c r="G186" s="38" t="n">
        <x:v>4842832</x:v>
      </x:c>
      <x:c r="H186" s="39" t="n">
        <x:f>G186/F186</x:f>
        <x:v>0.9987007984109321</x:v>
      </x:c>
      <x:c r="I186" s="40" t="n">
        <x:v>431595120000</x:v>
      </x:c>
      <x:c r="J186" s="40" t="n">
        <x:v>375487754400</x:v>
      </x:c>
      <x:c r="K186" s="40" t="n">
        <x:v>77434</x:v>
      </x:c>
      <x:c r="L186" s="40" t="n">
        <x:v>47834</x:v>
      </x:c>
      <x:c r="M186" s="40" t="n">
        <x:v>85203</x:v>
      </x:c>
      <x:c r="N186" s="41" t="n">
        <x:f>MIN(L186,M186)</x:f>
        <x:v>47834</x:v>
      </x:c>
      <x:c r="O186" s="41" t="n">
        <x:f>MAX(L186,M186)</x:f>
        <x:v>85203</x:v>
      </x:c>
      <x:c r="P186" s="41" t="n">
        <x:f>MAX(N186,MIN(K186,O186))</x:f>
        <x:v>77434</x:v>
      </x:c>
      <x:c r="Q186" s="19" t="str">
        <x:f>IF(K186&lt;N186,IF(N186=L186,"clamped_to_nominal","clamped_to_ppp"),IF(K186&gt;O186,IF(O186=L186,"clamped_to_nominal","clamped_to_ppp"),"kept_vanilla"))</x:f>
        <x:v>kept_vanilla</x:v>
      </x:c>
      <x:c r="R186" s="41" t="n">
        <x:f>P186*G186</x:f>
        <x:v>374999853088</x:v>
      </x:c>
      <x:c r="S186" s="41" t="n">
        <x:f>R186/E186</x:f>
        <x:v>431034313894.25287</x:v>
      </x:c>
      <x:c r="T186" s="36" t="str">
        <x:v>QAT: IMF exact 2026; BHR: IMF exact 2026</x:v>
      </x:c>
      <x:c r="U186" s="36" t="str">
        <x:v>QAT: IMF exact 2026; BHR: IMF exact 2026</x:v>
      </x:c>
      <x:c r="V186" s="36" t="str">
        <x:v>QAT: IMF exact 2026; BHR: IMF exact 2026</x:v>
      </x:c>
      <x:c r="W186" s="36" t="str">
        <x:v>complete_primary</x:v>
      </x:c>
      <x:c r="X186" s="36" t="str">
        <x:v>https://api.imf.org/external/sdmx/3.0/data/dataflow/IMF.RES/WEO/9.0.0/</x:v>
      </x:c>
      <x:c r="Y186" s="36" t="str">
        <x:v>https://api.worldbank.org/v2/</x:v>
      </x:c>
    </x:row>
    <x:row r="187">
      <x:c r="A187" s="24" t="str">
        <x:v>GUY</x:v>
      </x:c>
      <x:c r="B187" s="24" t="str">
        <x:v>Guyana</x:v>
      </x:c>
      <x:c r="C187" s="24" t="str">
        <x:v>GUY</x:v>
      </x:c>
      <x:c r="D187" s="24" t="n">
        <x:v>2003</x:v>
      </x:c>
      <x:c r="E187" s="37" t="n">
        <x:v>1.59</x:v>
      </x:c>
      <x:c r="F187" s="38" t="n">
        <x:v>763101</x:v>
      </x:c>
      <x:c r="G187" s="38" t="n">
        <x:v>742537</x:v>
      </x:c>
      <x:c r="H187" s="39" t="n">
        <x:f>G187/F187</x:f>
        <x:v>0.9730520599501246</x:v>
      </x:c>
      <x:c r="I187" s="40" t="n">
        <x:v>2716959064</x:v>
      </x:c>
      <x:c r="J187" s="40" t="n">
        <x:v>4319964912</x:v>
      </x:c>
      <x:c r="K187" s="40" t="n">
        <x:v>5661</x:v>
      </x:c>
      <x:c r="L187" s="40" t="n">
        <x:v>3409</x:v>
      </x:c>
      <x:c r="M187" s="40" t="n">
        <x:v>9948</x:v>
      </x:c>
      <x:c r="N187" s="41" t="n">
        <x:f>MIN(L187,M187)</x:f>
        <x:v>3409</x:v>
      </x:c>
      <x:c r="O187" s="41" t="n">
        <x:f>MAX(L187,M187)</x:f>
        <x:v>9948</x:v>
      </x:c>
      <x:c r="P187" s="41" t="n">
        <x:f>MAX(N187,MIN(K187,O187))</x:f>
        <x:v>5661</x:v>
      </x:c>
      <x:c r="Q187" s="19" t="str">
        <x:f>IF(K187&lt;N187,IF(N187=L187,"clamped_to_nominal","clamped_to_ppp"),IF(K187&gt;O187,IF(O187=L187,"clamped_to_nominal","clamped_to_ppp"),"kept_vanilla"))</x:f>
        <x:v>kept_vanilla</x:v>
      </x:c>
      <x:c r="R187" s="41" t="n">
        <x:f>P187*G187</x:f>
        <x:v>4203501957</x:v>
      </x:c>
      <x:c r="S187" s="41" t="n">
        <x:f>R187/E187</x:f>
        <x:v>2643711922.6415095</x:v>
      </x:c>
      <x:c r="T187" s="36" t="str">
        <x:v>GUY: IMF exact 2003</x:v>
      </x:c>
      <x:c r="U187" s="36" t="str">
        <x:v>GUY: IMF exact 2003</x:v>
      </x:c>
      <x:c r="V187" s="36" t="str">
        <x:v>GUY: IMF exact 2003</x:v>
      </x:c>
      <x:c r="W187" s="36" t="str">
        <x:v>complete_primary</x:v>
      </x:c>
      <x:c r="X187" s="36" t="str">
        <x:v>https://api.imf.org/external/sdmx/3.0/data/dataflow/IMF.RES/WEO/9.0.0/</x:v>
      </x:c>
      <x:c r="Y187" s="36" t="str">
        <x:v>https://api.worldbank.org/v2/</x:v>
      </x:c>
    </x:row>
    <x:row r="188">
      <x:c r="A188" s="24" t="str">
        <x:v>GUY</x:v>
      </x:c>
      <x:c r="B188" s="24" t="str">
        <x:v>Guyana</x:v>
      </x:c>
      <x:c r="C188" s="24" t="str">
        <x:v>GUY</x:v>
      </x:c>
      <x:c r="D188" s="24" t="n">
        <x:v>2022</x:v>
      </x:c>
      <x:c r="E188" s="37" t="n">
        <x:v>1</x:v>
      </x:c>
      <x:c r="F188" s="38" t="n">
        <x:v>795197</x:v>
      </x:c>
      <x:c r="G188" s="38" t="n">
        <x:v>896094</x:v>
      </x:c>
      <x:c r="H188" s="39" t="n">
        <x:f>G188/F188</x:f>
        <x:v>1.1268830239550702</x:v>
      </x:c>
      <x:c r="I188" s="40" t="n">
        <x:v>26652560000</x:v>
      </x:c>
      <x:c r="J188" s="40" t="n">
        <x:v>26652560000</x:v>
      </x:c>
      <x:c r="K188" s="40" t="n">
        <x:v>33517</x:v>
      </x:c>
      <x:c r="L188" s="40" t="n">
        <x:v>16425</x:v>
      </x:c>
      <x:c r="M188" s="40" t="n">
        <x:v>36406</x:v>
      </x:c>
      <x:c r="N188" s="41" t="n">
        <x:f>MIN(L188,M188)</x:f>
        <x:v>16425</x:v>
      </x:c>
      <x:c r="O188" s="41" t="n">
        <x:f>MAX(L188,M188)</x:f>
        <x:v>36406</x:v>
      </x:c>
      <x:c r="P188" s="41" t="n">
        <x:f>MAX(N188,MIN(K188,O188))</x:f>
        <x:v>33517</x:v>
      </x:c>
      <x:c r="Q188" s="19" t="str">
        <x:f>IF(K188&lt;N188,IF(N188=L188,"clamped_to_nominal","clamped_to_ppp"),IF(K188&gt;O188,IF(O188=L188,"clamped_to_nominal","clamped_to_ppp"),"kept_vanilla"))</x:f>
        <x:v>kept_vanilla</x:v>
      </x:c>
      <x:c r="R188" s="41" t="n">
        <x:f>P188*G188</x:f>
        <x:v>30034382598</x:v>
      </x:c>
      <x:c r="S188" s="41" t="n">
        <x:f>R188/E188</x:f>
        <x:v>30034382598</x:v>
      </x:c>
      <x:c r="T188" s="36" t="str">
        <x:v>GUY: IMF exact 2022</x:v>
      </x:c>
      <x:c r="U188" s="36" t="str">
        <x:v>GUY: IMF exact 2022</x:v>
      </x:c>
      <x:c r="V188" s="36" t="str">
        <x:v>GUY: IMF exact 2022</x:v>
      </x:c>
      <x:c r="W188" s="36" t="str">
        <x:v>complete_primary</x:v>
      </x:c>
      <x:c r="X188" s="36" t="str">
        <x:v>https://api.imf.org/external/sdmx/3.0/data/dataflow/IMF.RES/WEO/9.0.0/</x:v>
      </x:c>
      <x:c r="Y188" s="36" t="str">
        <x:v>https://api.worldbank.org/v2/</x:v>
      </x:c>
    </x:row>
    <x:row r="189">
      <x:c r="A189" s="24" t="str">
        <x:v>GUY</x:v>
      </x:c>
      <x:c r="B189" s="24" t="str">
        <x:v>Guyana</x:v>
      </x:c>
      <x:c r="C189" s="24" t="str">
        <x:v>GUY</x:v>
      </x:c>
      <x:c r="D189" s="24" t="n">
        <x:v>2026</x:v>
      </x:c>
      <x:c r="E189" s="37" t="n">
        <x:v>0.87</x:v>
      </x:c>
      <x:c r="F189" s="38" t="n">
        <x:v>840890</x:v>
      </x:c>
      <x:c r="G189" s="38" t="n">
        <x:v>1023923</x:v>
      </x:c>
      <x:c r="H189" s="39" t="n">
        <x:f>G189/F189</x:f>
        <x:v>1.2176658064669577</x:v>
      </x:c>
      <x:c r="I189" s="40" t="n">
        <x:v>66258720000</x:v>
      </x:c>
      <x:c r="J189" s="40" t="n">
        <x:v>57645086400</x:v>
      </x:c>
      <x:c r="K189" s="40" t="n">
        <x:v>68552</x:v>
      </x:c>
      <x:c r="L189" s="40" t="n">
        <x:v>28855</x:v>
      </x:c>
      <x:c r="M189" s="40" t="n">
        <x:v>83065</x:v>
      </x:c>
      <x:c r="N189" s="41" t="n">
        <x:f>MIN(L189,M189)</x:f>
        <x:v>28855</x:v>
      </x:c>
      <x:c r="O189" s="41" t="n">
        <x:f>MAX(L189,M189)</x:f>
        <x:v>83065</x:v>
      </x:c>
      <x:c r="P189" s="41" t="n">
        <x:f>MAX(N189,MIN(K189,O189))</x:f>
        <x:v>68552</x:v>
      </x:c>
      <x:c r="Q189" s="19" t="str">
        <x:f>IF(K189&lt;N189,IF(N189=L189,"clamped_to_nominal","clamped_to_ppp"),IF(K189&gt;O189,IF(O189=L189,"clamped_to_nominal","clamped_to_ppp"),"kept_vanilla"))</x:f>
        <x:v>kept_vanilla</x:v>
      </x:c>
      <x:c r="R189" s="41" t="n">
        <x:f>P189*G189</x:f>
        <x:v>70191969496</x:v>
      </x:c>
      <x:c r="S189" s="41" t="n">
        <x:f>R189/E189</x:f>
        <x:v>80680424708.04597</x:v>
      </x:c>
      <x:c r="T189" s="36" t="str">
        <x:v>GUY: IMF exact 2026</x:v>
      </x:c>
      <x:c r="U189" s="36" t="str">
        <x:v>GUY: IMF exact 2026</x:v>
      </x:c>
      <x:c r="V189" s="36" t="str">
        <x:v>GUY: IMF exact 2026</x:v>
      </x:c>
      <x:c r="W189" s="36" t="str">
        <x:v>complete_primary</x:v>
      </x:c>
      <x:c r="X189" s="36" t="str">
        <x:v>https://api.imf.org/external/sdmx/3.0/data/dataflow/IMF.RES/WEO/9.0.0/</x:v>
      </x:c>
      <x:c r="Y189" s="36" t="str">
        <x:v>https://api.worldbank.org/v2/</x:v>
      </x:c>
    </x:row>
    <x:row r="190">
      <x:c r="A190" s="24" t="str">
        <x:v>HTI</x:v>
      </x:c>
      <x:c r="B190" s="24" t="str">
        <x:v>Haiti</x:v>
      </x:c>
      <x:c r="C190" s="24" t="str">
        <x:v>HTI</x:v>
      </x:c>
      <x:c r="D190" s="24" t="n">
        <x:v>2003</x:v>
      </x:c>
      <x:c r="E190" s="37" t="n">
        <x:v>1.59</x:v>
      </x:c>
      <x:c r="F190" s="38" t="n">
        <x:v>8759912</x:v>
      </x:c>
      <x:c r="G190" s="38" t="n">
        <x:v>9001471</x:v>
      </x:c>
      <x:c r="H190" s="39" t="n">
        <x:f>G190/F190</x:f>
        <x:v>1.027575505324711</x:v>
      </x:c>
      <x:c r="I190" s="40" t="n">
        <x:v>12150292398</x:v>
      </x:c>
      <x:c r="J190" s="40" t="n">
        <x:v>19318964913</x:v>
      </x:c>
      <x:c r="K190" s="40" t="n">
        <x:v>2205</x:v>
      </x:c>
      <x:c r="L190" s="40" t="n">
        <x:v>859</x:v>
      </x:c>
      <x:c r="M190" s="40" t="n">
        <x:v>3670</x:v>
      </x:c>
      <x:c r="N190" s="41" t="n">
        <x:f>MIN(L190,M190)</x:f>
        <x:v>859</x:v>
      </x:c>
      <x:c r="O190" s="41" t="n">
        <x:f>MAX(L190,M190)</x:f>
        <x:v>3670</x:v>
      </x:c>
      <x:c r="P190" s="41" t="n">
        <x:f>MAX(N190,MIN(K190,O190))</x:f>
        <x:v>2205</x:v>
      </x:c>
      <x:c r="Q190" s="19" t="str">
        <x:f>IF(K190&lt;N190,IF(N190=L190,"clamped_to_nominal","clamped_to_ppp"),IF(K190&gt;O190,IF(O190=L190,"clamped_to_nominal","clamped_to_ppp"),"kept_vanilla"))</x:f>
        <x:v>kept_vanilla</x:v>
      </x:c>
      <x:c r="R190" s="41" t="n">
        <x:f>P190*G190</x:f>
        <x:v>19848243555</x:v>
      </x:c>
      <x:c r="S190" s="41" t="n">
        <x:f>R190/E190</x:f>
        <x:v>12483172047.169811</x:v>
      </x:c>
      <x:c r="T190" s="36" t="str">
        <x:v>HTI: IMF exact 2003</x:v>
      </x:c>
      <x:c r="U190" s="36" t="str">
        <x:v>HTI: IMF exact 2003</x:v>
      </x:c>
      <x:c r="V190" s="36" t="str">
        <x:v>HTI: IMF exact 2003</x:v>
      </x:c>
      <x:c r="W190" s="36" t="str">
        <x:v>complete_primary</x:v>
      </x:c>
      <x:c r="X190" s="36" t="str">
        <x:v>https://api.imf.org/external/sdmx/3.0/data/dataflow/IMF.RES/WEO/9.0.0/</x:v>
      </x:c>
      <x:c r="Y190" s="36" t="str">
        <x:v>https://api.worldbank.org/v2/</x:v>
      </x:c>
    </x:row>
    <x:row r="191">
      <x:c r="A191" s="24" t="str">
        <x:v>HTI</x:v>
      </x:c>
      <x:c r="B191" s="24" t="str">
        <x:v>Haiti</x:v>
      </x:c>
      <x:c r="C191" s="24" t="str">
        <x:v>HTI</x:v>
      </x:c>
      <x:c r="D191" s="24" t="n">
        <x:v>2022</x:v>
      </x:c>
      <x:c r="E191" s="37" t="n">
        <x:v>1</x:v>
      </x:c>
      <x:c r="F191" s="38" t="n">
        <x:v>11723285</x:v>
      </x:c>
      <x:c r="G191" s="38" t="n">
        <x:v>12065436</x:v>
      </x:c>
      <x:c r="H191" s="39" t="n">
        <x:f>G191/F191</x:f>
        <x:v>1.0291855908987968</x:v>
      </x:c>
      <x:c r="I191" s="40" t="n">
        <x:v>33858880000</x:v>
      </x:c>
      <x:c r="J191" s="40" t="n">
        <x:v>33858880000</x:v>
      </x:c>
      <x:c r="K191" s="40" t="n">
        <x:v>2888</x:v>
      </x:c>
      <x:c r="L191" s="40" t="n">
        <x:v>1643</x:v>
      </x:c>
      <x:c r="M191" s="40" t="n">
        <x:v>3122</x:v>
      </x:c>
      <x:c r="N191" s="41" t="n">
        <x:f>MIN(L191,M191)</x:f>
        <x:v>1643</x:v>
      </x:c>
      <x:c r="O191" s="41" t="n">
        <x:f>MAX(L191,M191)</x:f>
        <x:v>3122</x:v>
      </x:c>
      <x:c r="P191" s="41" t="n">
        <x:f>MAX(N191,MIN(K191,O191))</x:f>
        <x:v>2888</x:v>
      </x:c>
      <x:c r="Q191" s="19" t="str">
        <x:f>IF(K191&lt;N191,IF(N191=L191,"clamped_to_nominal","clamped_to_ppp"),IF(K191&gt;O191,IF(O191=L191,"clamped_to_nominal","clamped_to_ppp"),"kept_vanilla"))</x:f>
        <x:v>kept_vanilla</x:v>
      </x:c>
      <x:c r="R191" s="41" t="n">
        <x:f>P191*G191</x:f>
        <x:v>34844979168</x:v>
      </x:c>
      <x:c r="S191" s="41" t="n">
        <x:f>R191/E191</x:f>
        <x:v>34844979168</x:v>
      </x:c>
      <x:c r="T191" s="36" t="str">
        <x:v>HTI: IMF exact 2022</x:v>
      </x:c>
      <x:c r="U191" s="36" t="str">
        <x:v>HTI: IMF exact 2022</x:v>
      </x:c>
      <x:c r="V191" s="36" t="str">
        <x:v>HTI: IMF exact 2022</x:v>
      </x:c>
      <x:c r="W191" s="36" t="str">
        <x:v>complete_primary</x:v>
      </x:c>
      <x:c r="X191" s="36" t="str">
        <x:v>https://api.imf.org/external/sdmx/3.0/data/dataflow/IMF.RES/WEO/9.0.0/</x:v>
      </x:c>
      <x:c r="Y191" s="36" t="str">
        <x:v>https://api.worldbank.org/v2/</x:v>
      </x:c>
    </x:row>
    <x:row r="192">
      <x:c r="A192" s="24" t="str">
        <x:v>HTI</x:v>
      </x:c>
      <x:c r="B192" s="24" t="str">
        <x:v>Haiti</x:v>
      </x:c>
      <x:c r="C192" s="24" t="str">
        <x:v>HTI</x:v>
      </x:c>
      <x:c r="D192" s="24" t="n">
        <x:v>2026</x:v>
      </x:c>
      <x:c r="E192" s="37" t="n">
        <x:v>0.87</x:v>
      </x:c>
      <x:c r="F192" s="38" t="n">
        <x:v>12037506</x:v>
      </x:c>
      <x:c r="G192" s="38" t="n">
        <x:v>12725259</x:v>
      </x:c>
      <x:c r="H192" s="39" t="n">
        <x:f>G192/F192</x:f>
        <x:v>1.057134177129382</x:v>
      </x:c>
      <x:c r="I192" s="40" t="n">
        <x:v>33614240000</x:v>
      </x:c>
      <x:c r="J192" s="40" t="n">
        <x:v>29244388800</x:v>
      </x:c>
      <x:c r="K192" s="40" t="n">
        <x:v>2429</x:v>
      </x:c>
      <x:c r="L192" s="40" t="n">
        <x:v>2679</x:v>
      </x:c>
      <x:c r="M192" s="40" t="n">
        <x:v>2604</x:v>
      </x:c>
      <x:c r="N192" s="41" t="n">
        <x:f>MIN(L192,M192)</x:f>
        <x:v>2604</x:v>
      </x:c>
      <x:c r="O192" s="41" t="n">
        <x:f>MAX(L192,M192)</x:f>
        <x:v>2679</x:v>
      </x:c>
      <x:c r="P192" s="41" t="n">
        <x:f>MAX(N192,MIN(K192,O192))</x:f>
        <x:v>2604</x:v>
      </x:c>
      <x:c r="Q192" s="19" t="str">
        <x:f>IF(K192&lt;N192,IF(N192=L192,"clamped_to_nominal","clamped_to_ppp"),IF(K192&gt;O192,IF(O192=L192,"clamped_to_nominal","clamped_to_ppp"),"kept_vanilla"))</x:f>
        <x:v>clamped_to_ppp</x:v>
      </x:c>
      <x:c r="R192" s="41" t="n">
        <x:f>P192*G192</x:f>
        <x:v>33136574436</x:v>
      </x:c>
      <x:c r="S192" s="41" t="n">
        <x:f>R192/E192</x:f>
        <x:v>38088016593.10345</x:v>
      </x:c>
      <x:c r="T192" s="36" t="str">
        <x:v>HTI: IMF exact 2026</x:v>
      </x:c>
      <x:c r="U192" s="36" t="str">
        <x:v>HTI: IMF exact 2026</x:v>
      </x:c>
      <x:c r="V192" s="36" t="str">
        <x:v>HTI: IMF exact 2026</x:v>
      </x:c>
      <x:c r="W192" s="36" t="str">
        <x:v>complete_primary</x:v>
      </x:c>
      <x:c r="X192" s="36" t="str">
        <x:v>https://api.imf.org/external/sdmx/3.0/data/dataflow/IMF.RES/WEO/9.0.0/</x:v>
      </x:c>
      <x:c r="Y192" s="36" t="str">
        <x:v>https://api.worldbank.org/v2/</x:v>
      </x:c>
    </x:row>
    <x:row r="193">
      <x:c r="A193" s="24" t="str">
        <x:v>HON</x:v>
      </x:c>
      <x:c r="B193" s="24" t="str">
        <x:v>Honduras</x:v>
      </x:c>
      <x:c r="C193" s="24" t="str">
        <x:v>HND</x:v>
      </x:c>
      <x:c r="D193" s="24" t="n">
        <x:v>2003</x:v>
      </x:c>
      <x:c r="E193" s="37" t="n">
        <x:v>1.59</x:v>
      </x:c>
      <x:c r="F193" s="38" t="n">
        <x:v>7119213</x:v>
      </x:c>
      <x:c r="G193" s="38" t="n">
        <x:v>7119213</x:v>
      </x:c>
      <x:c r="H193" s="39" t="n">
        <x:f>G193/F193</x:f>
        <x:v>1</x:v>
      </x:c>
      <x:c r="I193" s="40" t="n">
        <x:v>13928654971</x:v>
      </x:c>
      <x:c r="J193" s="40" t="n">
        <x:v>22146561404</x:v>
      </x:c>
      <x:c r="K193" s="40" t="n">
        <x:v>3111</x:v>
      </x:c>
      <x:c r="L193" s="40" t="n">
        <x:v>1838</x:v>
      </x:c>
      <x:c r="M193" s="40" t="n">
        <x:v>5320</x:v>
      </x:c>
      <x:c r="N193" s="41" t="n">
        <x:f>MIN(L193,M193)</x:f>
        <x:v>1838</x:v>
      </x:c>
      <x:c r="O193" s="41" t="n">
        <x:f>MAX(L193,M193)</x:f>
        <x:v>5320</x:v>
      </x:c>
      <x:c r="P193" s="41" t="n">
        <x:f>MAX(N193,MIN(K193,O193))</x:f>
        <x:v>3111</x:v>
      </x:c>
      <x:c r="Q193" s="19" t="str">
        <x:f>IF(K193&lt;N193,IF(N193=L193,"clamped_to_nominal","clamped_to_ppp"),IF(K193&gt;O193,IF(O193=L193,"clamped_to_nominal","clamped_to_ppp"),"kept_vanilla"))</x:f>
        <x:v>kept_vanilla</x:v>
      </x:c>
      <x:c r="R193" s="41" t="n">
        <x:f>P193*G193</x:f>
        <x:v>22147871643</x:v>
      </x:c>
      <x:c r="S193" s="41" t="n">
        <x:f>R193/E193</x:f>
        <x:v>13929479020.754717</x:v>
      </x:c>
      <x:c r="T193" s="36" t="str">
        <x:v>HND: IMF exact 2003</x:v>
      </x:c>
      <x:c r="U193" s="36" t="str">
        <x:v>HND: IMF exact 2003</x:v>
      </x:c>
      <x:c r="V193" s="36" t="str">
        <x:v>HND: IMF exact 2003</x:v>
      </x:c>
      <x:c r="W193" s="36" t="str">
        <x:v>complete_primary</x:v>
      </x:c>
      <x:c r="X193" s="36" t="str">
        <x:v>https://api.imf.org/external/sdmx/3.0/data/dataflow/IMF.RES/WEO/9.0.0/</x:v>
      </x:c>
      <x:c r="Y193" s="36" t="str">
        <x:v>https://api.worldbank.org/v2/</x:v>
      </x:c>
    </x:row>
    <x:row r="194">
      <x:c r="A194" s="24" t="str">
        <x:v>HON</x:v>
      </x:c>
      <x:c r="B194" s="24" t="str">
        <x:v>Honduras</x:v>
      </x:c>
      <x:c r="C194" s="24" t="str">
        <x:v>HND</x:v>
      </x:c>
      <x:c r="D194" s="24" t="n">
        <x:v>2022</x:v>
      </x:c>
      <x:c r="E194" s="37" t="n">
        <x:v>1</x:v>
      </x:c>
      <x:c r="F194" s="38" t="n">
        <x:v>10270478</x:v>
      </x:c>
      <x:c r="G194" s="38" t="n">
        <x:v>10463872</x:v>
      </x:c>
      <x:c r="H194" s="39" t="n">
        <x:f>G194/F194</x:f>
        <x:v>1.0188300875577554</x:v>
      </x:c>
      <x:c r="I194" s="40" t="n">
        <x:v>61061440000</x:v>
      </x:c>
      <x:c r="J194" s="40" t="n">
        <x:v>61061440000</x:v>
      </x:c>
      <x:c r="K194" s="40" t="n">
        <x:v>5945</x:v>
      </x:c>
      <x:c r="L194" s="40" t="n">
        <x:v>3003</x:v>
      </x:c>
      <x:c r="M194" s="40" t="n">
        <x:v>6804</x:v>
      </x:c>
      <x:c r="N194" s="41" t="n">
        <x:f>MIN(L194,M194)</x:f>
        <x:v>3003</x:v>
      </x:c>
      <x:c r="O194" s="41" t="n">
        <x:f>MAX(L194,M194)</x:f>
        <x:v>6804</x:v>
      </x:c>
      <x:c r="P194" s="41" t="n">
        <x:f>MAX(N194,MIN(K194,O194))</x:f>
        <x:v>5945</x:v>
      </x:c>
      <x:c r="Q194" s="19" t="str">
        <x:f>IF(K194&lt;N194,IF(N194=L194,"clamped_to_nominal","clamped_to_ppp"),IF(K194&gt;O194,IF(O194=L194,"clamped_to_nominal","clamped_to_ppp"),"kept_vanilla"))</x:f>
        <x:v>kept_vanilla</x:v>
      </x:c>
      <x:c r="R194" s="41" t="n">
        <x:f>P194*G194</x:f>
        <x:v>62207719040</x:v>
      </x:c>
      <x:c r="S194" s="41" t="n">
        <x:f>R194/E194</x:f>
        <x:v>62207719040</x:v>
      </x:c>
      <x:c r="T194" s="36" t="str">
        <x:v>HND: IMF exact 2022</x:v>
      </x:c>
      <x:c r="U194" s="36" t="str">
        <x:v>HND: IMF exact 2022</x:v>
      </x:c>
      <x:c r="V194" s="36" t="str">
        <x:v>HND: IMF exact 2022</x:v>
      </x:c>
      <x:c r="W194" s="36" t="str">
        <x:v>complete_primary</x:v>
      </x:c>
      <x:c r="X194" s="36" t="str">
        <x:v>https://api.imf.org/external/sdmx/3.0/data/dataflow/IMF.RES/WEO/9.0.0/</x:v>
      </x:c>
      <x:c r="Y194" s="36" t="str">
        <x:v>https://api.worldbank.org/v2/</x:v>
      </x:c>
    </x:row>
    <x:row r="195">
      <x:c r="A195" s="24" t="str">
        <x:v>HON</x:v>
      </x:c>
      <x:c r="B195" s="24" t="str">
        <x:v>Honduras</x:v>
      </x:c>
      <x:c r="C195" s="24" t="str">
        <x:v>HND</x:v>
      </x:c>
      <x:c r="D195" s="24" t="n">
        <x:v>2026</x:v>
      </x:c>
      <x:c r="E195" s="37" t="n">
        <x:v>0.87</x:v>
      </x:c>
      <x:c r="F195" s="38" t="n">
        <x:v>11184760</x:v>
      </x:c>
      <x:c r="G195" s="38" t="n">
        <x:v>11184760</x:v>
      </x:c>
      <x:c r="H195" s="39" t="n">
        <x:f>G195/F195</x:f>
        <x:v>1</x:v>
      </x:c>
      <x:c r="I195" s="40" t="n">
        <x:v>75665920000</x:v>
      </x:c>
      <x:c r="J195" s="40" t="n">
        <x:v>65829350400</x:v>
      </x:c>
      <x:c r="K195" s="40" t="n">
        <x:v>5886</x:v>
      </x:c>
      <x:c r="L195" s="40" t="n">
        <x:v>3228</x:v>
      </x:c>
      <x:c r="M195" s="40" t="n">
        <x:v>7154</x:v>
      </x:c>
      <x:c r="N195" s="41" t="n">
        <x:f>MIN(L195,M195)</x:f>
        <x:v>3228</x:v>
      </x:c>
      <x:c r="O195" s="41" t="n">
        <x:f>MAX(L195,M195)</x:f>
        <x:v>7154</x:v>
      </x:c>
      <x:c r="P195" s="41" t="n">
        <x:f>MAX(N195,MIN(K195,O195))</x:f>
        <x:v>5886</x:v>
      </x:c>
      <x:c r="Q195" s="19" t="str">
        <x:f>IF(K195&lt;N195,IF(N195=L195,"clamped_to_nominal","clamped_to_ppp"),IF(K195&gt;O195,IF(O195=L195,"clamped_to_nominal","clamped_to_ppp"),"kept_vanilla"))</x:f>
        <x:v>kept_vanilla</x:v>
      </x:c>
      <x:c r="R195" s="41" t="n">
        <x:f>P195*G195</x:f>
        <x:v>65833497360</x:v>
      </x:c>
      <x:c r="S195" s="41" t="n">
        <x:f>R195/E195</x:f>
        <x:v>75670686620.68965</x:v>
      </x:c>
      <x:c r="T195" s="36" t="str">
        <x:v>HND: IMF exact 2026</x:v>
      </x:c>
      <x:c r="U195" s="36" t="str">
        <x:v>HND: IMF exact 2026</x:v>
      </x:c>
      <x:c r="V195" s="36" t="str">
        <x:v>HND: IMF exact 2026</x:v>
      </x:c>
      <x:c r="W195" s="36" t="str">
        <x:v>complete_primary</x:v>
      </x:c>
      <x:c r="X195" s="36" t="str">
        <x:v>https://api.imf.org/external/sdmx/3.0/data/dataflow/IMF.RES/WEO/9.0.0/</x:v>
      </x:c>
      <x:c r="Y195" s="36" t="str">
        <x:v>https://api.worldbank.org/v2/</x:v>
      </x:c>
    </x:row>
    <x:row r="196">
      <x:c r="A196" s="24" t="str">
        <x:v>HUN</x:v>
      </x:c>
      <x:c r="B196" s="24" t="str">
        <x:v>Hungary</x:v>
      </x:c>
      <x:c r="C196" s="24" t="str">
        <x:v>HUN</x:v>
      </x:c>
      <x:c r="D196" s="24" t="n">
        <x:v>2003</x:v>
      </x:c>
      <x:c r="E196" s="37" t="n">
        <x:v>1.59</x:v>
      </x:c>
      <x:c r="F196" s="38" t="n">
        <x:v>10108963</x:v>
      </x:c>
      <x:c r="G196" s="38" t="n">
        <x:v>10142000</x:v>
      </x:c>
      <x:c r="H196" s="39" t="n">
        <x:f>G196/F196</x:f>
        <x:v>1.003268089911893</x:v>
      </x:c>
      <x:c r="I196" s="40" t="n">
        <x:v>101251461988</x:v>
      </x:c>
      <x:c r="J196" s="40" t="n">
        <x:v>160989824561</x:v>
      </x:c>
      <x:c r="K196" s="40" t="n">
        <x:v>15925</x:v>
      </x:c>
      <x:c r="L196" s="40" t="n">
        <x:v>13356</x:v>
      </x:c>
      <x:c r="M196" s="40" t="n">
        <x:v>27141</x:v>
      </x:c>
      <x:c r="N196" s="41" t="n">
        <x:f>MIN(L196,M196)</x:f>
        <x:v>13356</x:v>
      </x:c>
      <x:c r="O196" s="41" t="n">
        <x:f>MAX(L196,M196)</x:f>
        <x:v>27141</x:v>
      </x:c>
      <x:c r="P196" s="41" t="n">
        <x:f>MAX(N196,MIN(K196,O196))</x:f>
        <x:v>15925</x:v>
      </x:c>
      <x:c r="Q196" s="19" t="str">
        <x:f>IF(K196&lt;N196,IF(N196=L196,"clamped_to_nominal","clamped_to_ppp"),IF(K196&gt;O196,IF(O196=L196,"clamped_to_nominal","clamped_to_ppp"),"kept_vanilla"))</x:f>
        <x:v>kept_vanilla</x:v>
      </x:c>
      <x:c r="R196" s="41" t="n">
        <x:f>P196*G196</x:f>
        <x:v>161511350000</x:v>
      </x:c>
      <x:c r="S196" s="41" t="n">
        <x:f>R196/E196</x:f>
        <x:v>101579465408.80502</x:v>
      </x:c>
      <x:c r="T196" s="36" t="str">
        <x:v>HUN: IMF exact 2003</x:v>
      </x:c>
      <x:c r="U196" s="36" t="str">
        <x:v>HUN: IMF exact 2003</x:v>
      </x:c>
      <x:c r="V196" s="36" t="str">
        <x:v>HUN: IMF exact 2003</x:v>
      </x:c>
      <x:c r="W196" s="36" t="str">
        <x:v>complete_primary</x:v>
      </x:c>
      <x:c r="X196" s="36" t="str">
        <x:v>https://api.imf.org/external/sdmx/3.0/data/dataflow/IMF.RES/WEO/9.0.0/</x:v>
      </x:c>
      <x:c r="Y196" s="36" t="str">
        <x:v>https://api.worldbank.org/v2/</x:v>
      </x:c>
    </x:row>
    <x:row r="197">
      <x:c r="A197" s="24" t="str">
        <x:v>HUN</x:v>
      </x:c>
      <x:c r="B197" s="24" t="str">
        <x:v>Hungary</x:v>
      </x:c>
      <x:c r="C197" s="24" t="str">
        <x:v>HUN</x:v>
      </x:c>
      <x:c r="D197" s="24" t="n">
        <x:v>2022</x:v>
      </x:c>
      <x:c r="E197" s="37" t="n">
        <x:v>1</x:v>
      </x:c>
      <x:c r="F197" s="38" t="n">
        <x:v>9597877</x:v>
      </x:c>
      <x:c r="G197" s="38" t="n">
        <x:v>9610000</x:v>
      </x:c>
      <x:c r="H197" s="39" t="n">
        <x:f>G197/F197</x:f>
        <x:v>1.0012630918274947</x:v>
      </x:c>
      <x:c r="I197" s="40" t="n">
        <x:v>350484640000</x:v>
      </x:c>
      <x:c r="J197" s="40" t="n">
        <x:v>350484640000</x:v>
      </x:c>
      <x:c r="K197" s="40" t="n">
        <x:v>36517</x:v>
      </x:c>
      <x:c r="L197" s="40" t="n">
        <x:v>18500</x:v>
      </x:c>
      <x:c r="M197" s="40" t="n">
        <x:v>43844</x:v>
      </x:c>
      <x:c r="N197" s="41" t="n">
        <x:f>MIN(L197,M197)</x:f>
        <x:v>18500</x:v>
      </x:c>
      <x:c r="O197" s="41" t="n">
        <x:f>MAX(L197,M197)</x:f>
        <x:v>43844</x:v>
      </x:c>
      <x:c r="P197" s="41" t="n">
        <x:f>MAX(N197,MIN(K197,O197))</x:f>
        <x:v>36517</x:v>
      </x:c>
      <x:c r="Q197" s="19" t="str">
        <x:f>IF(K197&lt;N197,IF(N197=L197,"clamped_to_nominal","clamped_to_ppp"),IF(K197&gt;O197,IF(O197=L197,"clamped_to_nominal","clamped_to_ppp"),"kept_vanilla"))</x:f>
        <x:v>kept_vanilla</x:v>
      </x:c>
      <x:c r="R197" s="41" t="n">
        <x:f>P197*G197</x:f>
        <x:v>350928370000</x:v>
      </x:c>
      <x:c r="S197" s="41" t="n">
        <x:f>R197/E197</x:f>
        <x:v>350928370000</x:v>
      </x:c>
      <x:c r="T197" s="36" t="str">
        <x:v>HUN: IMF exact 2022</x:v>
      </x:c>
      <x:c r="U197" s="36" t="str">
        <x:v>HUN: IMF exact 2022</x:v>
      </x:c>
      <x:c r="V197" s="36" t="str">
        <x:v>HUN: IMF exact 2022</x:v>
      </x:c>
      <x:c r="W197" s="36" t="str">
        <x:v>complete_primary</x:v>
      </x:c>
      <x:c r="X197" s="36" t="str">
        <x:v>https://api.imf.org/external/sdmx/3.0/data/dataflow/IMF.RES/WEO/9.0.0/</x:v>
      </x:c>
      <x:c r="Y197" s="36" t="str">
        <x:v>https://api.worldbank.org/v2/</x:v>
      </x:c>
    </x:row>
    <x:row r="198">
      <x:c r="A198" s="24" t="str">
        <x:v>HUN</x:v>
      </x:c>
      <x:c r="B198" s="24" t="str">
        <x:v>Hungary</x:v>
      </x:c>
      <x:c r="C198" s="24" t="str">
        <x:v>HUN</x:v>
      </x:c>
      <x:c r="D198" s="24" t="n">
        <x:v>2026</x:v>
      </x:c>
      <x:c r="E198" s="37" t="n">
        <x:v>0.87</x:v>
      </x:c>
      <x:c r="F198" s="38" t="n">
        <x:v>9585818</x:v>
      </x:c>
      <x:c r="G198" s="38" t="n">
        <x:v>9536314</x:v>
      </x:c>
      <x:c r="H198" s="39" t="n">
        <x:f>G198/F198</x:f>
        <x:v>0.9948357041621279</x:v>
      </x:c>
      <x:c r="I198" s="40" t="n">
        <x:v>408688720000</x:v>
      </x:c>
      <x:c r="J198" s="40" t="n">
        <x:v>355559186400</x:v>
      </x:c>
      <x:c r="K198" s="40" t="n">
        <x:v>37092</x:v>
      </x:c>
      <x:c r="L198" s="40" t="n">
        <x:v>24735</x:v>
      </x:c>
      <x:c r="M198" s="40" t="n">
        <x:v>43996</x:v>
      </x:c>
      <x:c r="N198" s="41" t="n">
        <x:f>MIN(L198,M198)</x:f>
        <x:v>24735</x:v>
      </x:c>
      <x:c r="O198" s="41" t="n">
        <x:f>MAX(L198,M198)</x:f>
        <x:v>43996</x:v>
      </x:c>
      <x:c r="P198" s="41" t="n">
        <x:f>MAX(N198,MIN(K198,O198))</x:f>
        <x:v>37092</x:v>
      </x:c>
      <x:c r="Q198" s="19" t="str">
        <x:f>IF(K198&lt;N198,IF(N198=L198,"clamped_to_nominal","clamped_to_ppp"),IF(K198&gt;O198,IF(O198=L198,"clamped_to_nominal","clamped_to_ppp"),"kept_vanilla"))</x:f>
        <x:v>kept_vanilla</x:v>
      </x:c>
      <x:c r="R198" s="41" t="n">
        <x:f>P198*G198</x:f>
        <x:v>353720958888</x:v>
      </x:c>
      <x:c r="S198" s="41" t="n">
        <x:f>R198/E198</x:f>
        <x:v>406575814813.7931</x:v>
      </x:c>
      <x:c r="T198" s="36" t="str">
        <x:v>HUN: IMF exact 2026</x:v>
      </x:c>
      <x:c r="U198" s="36" t="str">
        <x:v>HUN: IMF exact 2026</x:v>
      </x:c>
      <x:c r="V198" s="36" t="str">
        <x:v>HUN: IMF exact 2026</x:v>
      </x:c>
      <x:c r="W198" s="36" t="str">
        <x:v>complete_primary</x:v>
      </x:c>
      <x:c r="X198" s="36" t="str">
        <x:v>https://api.imf.org/external/sdmx/3.0/data/dataflow/IMF.RES/WEO/9.0.0/</x:v>
      </x:c>
      <x:c r="Y198" s="36" t="str">
        <x:v>https://api.worldbank.org/v2/</x:v>
      </x:c>
    </x:row>
    <x:row r="199">
      <x:c r="A199" s="24" t="str">
        <x:v>ISL</x:v>
      </x:c>
      <x:c r="B199" s="24" t="str">
        <x:v>Iceland</x:v>
      </x:c>
      <x:c r="C199" s="24" t="str">
        <x:v>ISL</x:v>
      </x:c>
      <x:c r="D199" s="24" t="n">
        <x:v>2003</x:v>
      </x:c>
      <x:c r="E199" s="37" t="n">
        <x:v>1.59</x:v>
      </x:c>
      <x:c r="F199" s="38" t="n">
        <x:v>289605</x:v>
      </x:c>
      <x:c r="G199" s="38" t="n">
        <x:v>288471</x:v>
      </x:c>
      <x:c r="H199" s="39" t="n">
        <x:f>G199/F199</x:f>
        <x:v>0.9960843217485886</x:v>
      </x:c>
      <x:c r="I199" s="40" t="n">
        <x:v>5618713450</x:v>
      </x:c>
      <x:c r="J199" s="40" t="n">
        <x:v>8933754386</x:v>
      </x:c>
      <x:c r="K199" s="40" t="n">
        <x:v>30848</x:v>
      </x:c>
      <x:c r="L199" s="40" t="n">
        <x:v>63742</x:v>
      </x:c>
      <x:c r="M199" s="40" t="n">
        <x:v>55141</x:v>
      </x:c>
      <x:c r="N199" s="41" t="n">
        <x:f>MIN(L199,M199)</x:f>
        <x:v>55141</x:v>
      </x:c>
      <x:c r="O199" s="41" t="n">
        <x:f>MAX(L199,M199)</x:f>
        <x:v>63742</x:v>
      </x:c>
      <x:c r="P199" s="41" t="n">
        <x:f>MAX(N199,MIN(K199,O199))</x:f>
        <x:v>55141</x:v>
      </x:c>
      <x:c r="Q199" s="19" t="str">
        <x:f>IF(K199&lt;N199,IF(N199=L199,"clamped_to_nominal","clamped_to_ppp"),IF(K199&gt;O199,IF(O199=L199,"clamped_to_nominal","clamped_to_ppp"),"kept_vanilla"))</x:f>
        <x:v>clamped_to_ppp</x:v>
      </x:c>
      <x:c r="R199" s="41" t="n">
        <x:f>P199*G199</x:f>
        <x:v>15906579411</x:v>
      </x:c>
      <x:c r="S199" s="41" t="n">
        <x:f>R199/E199</x:f>
        <x:v>10004137994.339622</x:v>
      </x:c>
      <x:c r="T199" s="36" t="str">
        <x:v>ISL: IMF exact 2003</x:v>
      </x:c>
      <x:c r="U199" s="36" t="str">
        <x:v>ISL: IMF exact 2003</x:v>
      </x:c>
      <x:c r="V199" s="36" t="str">
        <x:v>ISL: IMF exact 2003</x:v>
      </x:c>
      <x:c r="W199" s="36" t="str">
        <x:v>complete_primary</x:v>
      </x:c>
      <x:c r="X199" s="36" t="str">
        <x:v>https://api.imf.org/external/sdmx/3.0/data/dataflow/IMF.RES/WEO/9.0.0/</x:v>
      </x:c>
      <x:c r="Y199" s="36" t="str">
        <x:v>https://api.worldbank.org/v2/</x:v>
      </x:c>
    </x:row>
    <x:row r="200">
      <x:c r="A200" s="24" t="str">
        <x:v>ISL</x:v>
      </x:c>
      <x:c r="B200" s="24" t="str">
        <x:v>Iceland</x:v>
      </x:c>
      <x:c r="C200" s="24" t="str">
        <x:v>ISL</x:v>
      </x:c>
      <x:c r="D200" s="24" t="n">
        <x:v>2022</x:v>
      </x:c>
      <x:c r="E200" s="37" t="n">
        <x:v>1</x:v>
      </x:c>
      <x:c r="F200" s="38" t="n">
        <x:v>345984</x:v>
      </x:c>
      <x:c r="G200" s="38" t="n">
        <x:v>364917</x:v>
      </x:c>
      <x:c r="H200" s="39" t="n">
        <x:f>G200/F200</x:f>
        <x:v>1.0547221836847946</x:v>
      </x:c>
      <x:c r="I200" s="40" t="n">
        <x:v>24197000000</x:v>
      </x:c>
      <x:c r="J200" s="40" t="n">
        <x:v>24197000000</x:v>
      </x:c>
      <x:c r="K200" s="40" t="n">
        <x:v>69937</x:v>
      </x:c>
      <x:c r="L200" s="40" t="n">
        <x:v>79953</x:v>
      </x:c>
      <x:c r="M200" s="40" t="n">
        <x:v>75007</x:v>
      </x:c>
      <x:c r="N200" s="41" t="n">
        <x:f>MIN(L200,M200)</x:f>
        <x:v>75007</x:v>
      </x:c>
      <x:c r="O200" s="41" t="n">
        <x:f>MAX(L200,M200)</x:f>
        <x:v>79953</x:v>
      </x:c>
      <x:c r="P200" s="41" t="n">
        <x:f>MAX(N200,MIN(K200,O200))</x:f>
        <x:v>75007</x:v>
      </x:c>
      <x:c r="Q200" s="19" t="str">
        <x:f>IF(K200&lt;N200,IF(N200=L200,"clamped_to_nominal","clamped_to_ppp"),IF(K200&gt;O200,IF(O200=L200,"clamped_to_nominal","clamped_to_ppp"),"kept_vanilla"))</x:f>
        <x:v>clamped_to_ppp</x:v>
      </x:c>
      <x:c r="R200" s="41" t="n">
        <x:f>P200*G200</x:f>
        <x:v>27371329419</x:v>
      </x:c>
      <x:c r="S200" s="41" t="n">
        <x:f>R200/E200</x:f>
        <x:v>27371329419</x:v>
      </x:c>
      <x:c r="T200" s="36" t="str">
        <x:v>ISL: IMF exact 2022</x:v>
      </x:c>
      <x:c r="U200" s="36" t="str">
        <x:v>ISL: IMF exact 2022</x:v>
      </x:c>
      <x:c r="V200" s="36" t="str">
        <x:v>ISL: IMF exact 2022</x:v>
      </x:c>
      <x:c r="W200" s="36" t="str">
        <x:v>complete_primary</x:v>
      </x:c>
      <x:c r="X200" s="36" t="str">
        <x:v>https://api.imf.org/external/sdmx/3.0/data/dataflow/IMF.RES/WEO/9.0.0/</x:v>
      </x:c>
      <x:c r="Y200" s="36" t="str">
        <x:v>https://api.worldbank.org/v2/</x:v>
      </x:c>
    </x:row>
    <x:row r="201">
      <x:c r="A201" s="24" t="str">
        <x:v>ISL</x:v>
      </x:c>
      <x:c r="B201" s="24" t="str">
        <x:v>Iceland</x:v>
      </x:c>
      <x:c r="C201" s="24" t="str">
        <x:v>ISL</x:v>
      </x:c>
      <x:c r="D201" s="24" t="n">
        <x:v>2026</x:v>
      </x:c>
      <x:c r="E201" s="37" t="n">
        <x:v>0.87</x:v>
      </x:c>
      <x:c r="F201" s="38" t="n">
        <x:v>402329</x:v>
      </x:c>
      <x:c r="G201" s="38" t="n">
        <x:v>398012</x:v>
      </x:c>
      <x:c r="H201" s="39" t="n">
        <x:f>G201/F201</x:f>
        <x:v>0.9892699755672596</x:v>
      </x:c>
      <x:c r="I201" s="40" t="n">
        <x:v>27951440000</x:v>
      </x:c>
      <x:c r="J201" s="40" t="n">
        <x:v>24317752800</x:v>
      </x:c>
      <x:c r="K201" s="40" t="n">
        <x:v>60442</x:v>
      </x:c>
      <x:c r="L201" s="40" t="n">
        <x:v>95742</x:v>
      </x:c>
      <x:c r="M201" s="40" t="n">
        <x:v>71975</x:v>
      </x:c>
      <x:c r="N201" s="41" t="n">
        <x:f>MIN(L201,M201)</x:f>
        <x:v>71975</x:v>
      </x:c>
      <x:c r="O201" s="41" t="n">
        <x:f>MAX(L201,M201)</x:f>
        <x:v>95742</x:v>
      </x:c>
      <x:c r="P201" s="41" t="n">
        <x:f>MAX(N201,MIN(K201,O201))</x:f>
        <x:v>71975</x:v>
      </x:c>
      <x:c r="Q201" s="19" t="str">
        <x:f>IF(K201&lt;N201,IF(N201=L201,"clamped_to_nominal","clamped_to_ppp"),IF(K201&gt;O201,IF(O201=L201,"clamped_to_nominal","clamped_to_ppp"),"kept_vanilla"))</x:f>
        <x:v>clamped_to_ppp</x:v>
      </x:c>
      <x:c r="R201" s="41" t="n">
        <x:f>P201*G201</x:f>
        <x:v>28646913700</x:v>
      </x:c>
      <x:c r="S201" s="41" t="n">
        <x:f>R201/E201</x:f>
        <x:v>32927487011.49425</x:v>
      </x:c>
      <x:c r="T201" s="36" t="str">
        <x:v>ISL: IMF exact 2026</x:v>
      </x:c>
      <x:c r="U201" s="36" t="str">
        <x:v>ISL: IMF exact 2026</x:v>
      </x:c>
      <x:c r="V201" s="36" t="str">
        <x:v>ISL: IMF exact 2026</x:v>
      </x:c>
      <x:c r="W201" s="36" t="str">
        <x:v>complete_primary</x:v>
      </x:c>
      <x:c r="X201" s="36" t="str">
        <x:v>https://api.imf.org/external/sdmx/3.0/data/dataflow/IMF.RES/WEO/9.0.0/</x:v>
      </x:c>
      <x:c r="Y201" s="36" t="str">
        <x:v>https://api.worldbank.org/v2/</x:v>
      </x:c>
    </x:row>
    <x:row r="202">
      <x:c r="A202" s="24" t="str">
        <x:v>IND</x:v>
      </x:c>
      <x:c r="B202" s="24" t="str">
        <x:v>India</x:v>
      </x:c>
      <x:c r="C202" s="24" t="str">
        <x:v>IND</x:v>
      </x:c>
      <x:c r="D202" s="24" t="n">
        <x:v>2003</x:v>
      </x:c>
      <x:c r="E202" s="37" t="n">
        <x:v>1.59</x:v>
      </x:c>
      <x:c r="F202" s="38" t="n">
        <x:v>1116803006</x:v>
      </x:c>
      <x:c r="G202" s="38" t="n">
        <x:v>1116803006</x:v>
      </x:c>
      <x:c r="H202" s="39" t="n">
        <x:f>G202/F202</x:f>
        <x:v>1</x:v>
      </x:c>
      <x:c r="I202" s="40" t="n">
        <x:v>1453485380117</x:v>
      </x:c>
      <x:c r="J202" s="40" t="n">
        <x:v>2311041754386</x:v>
      </x:c>
      <x:c r="K202" s="40" t="n">
        <x:v>2069</x:v>
      </x:c>
      <x:c r="L202" s="40" t="n">
        <x:v>865</x:v>
      </x:c>
      <x:c r="M202" s="40" t="n">
        <x:v>3483</x:v>
      </x:c>
      <x:c r="N202" s="41" t="n">
        <x:f>MIN(L202,M202)</x:f>
        <x:v>865</x:v>
      </x:c>
      <x:c r="O202" s="41" t="n">
        <x:f>MAX(L202,M202)</x:f>
        <x:v>3483</x:v>
      </x:c>
      <x:c r="P202" s="41" t="n">
        <x:f>MAX(N202,MIN(K202,O202))</x:f>
        <x:v>2069</x:v>
      </x:c>
      <x:c r="Q202" s="19" t="str">
        <x:f>IF(K202&lt;N202,IF(N202=L202,"clamped_to_nominal","clamped_to_ppp"),IF(K202&gt;O202,IF(O202=L202,"clamped_to_nominal","clamped_to_ppp"),"kept_vanilla"))</x:f>
        <x:v>kept_vanilla</x:v>
      </x:c>
      <x:c r="R202" s="41" t="n">
        <x:f>P202*G202</x:f>
        <x:v>2310665419414</x:v>
      </x:c>
      <x:c r="S202" s="41" t="n">
        <x:f>R202/E202</x:f>
        <x:v>1453248691455.346</x:v>
      </x:c>
      <x:c r="T202" s="36" t="str">
        <x:v>IND: IMF exact 2003</x:v>
      </x:c>
      <x:c r="U202" s="36" t="str">
        <x:v>IND: IMF exact 2003</x:v>
      </x:c>
      <x:c r="V202" s="36" t="str">
        <x:v>IND: IMF exact 2003</x:v>
      </x:c>
      <x:c r="W202" s="36" t="str">
        <x:v>complete_primary</x:v>
      </x:c>
      <x:c r="X202" s="36" t="str">
        <x:v>https://api.imf.org/external/sdmx/3.0/data/dataflow/IMF.RES/WEO/9.0.0/</x:v>
      </x:c>
      <x:c r="Y202" s="36" t="str">
        <x:v>https://api.worldbank.org/v2/</x:v>
      </x:c>
    </x:row>
    <x:row r="203">
      <x:c r="A203" s="24" t="str">
        <x:v>IND</x:v>
      </x:c>
      <x:c r="B203" s="24" t="str">
        <x:v>India</x:v>
      </x:c>
      <x:c r="C203" s="24" t="str">
        <x:v>IND</x:v>
      </x:c>
      <x:c r="D203" s="24" t="n">
        <x:v>2022</x:v>
      </x:c>
      <x:c r="E203" s="37" t="n">
        <x:v>1</x:v>
      </x:c>
      <x:c r="F203" s="38" t="n">
        <x:v>1410728025</x:v>
      </x:c>
      <x:c r="G203" s="38" t="n">
        <x:v>1425423213</x:v>
      </x:c>
      <x:c r="H203" s="39" t="n">
        <x:f>G203/F203</x:f>
        <x:v>1.0104167406754396</x:v>
      </x:c>
      <x:c r="I203" s="40" t="n">
        <x:v>10335828800000</x:v>
      </x:c>
      <x:c r="J203" s="40" t="n">
        <x:v>10335828800000</x:v>
      </x:c>
      <x:c r="K203" s="40" t="n">
        <x:v>7327</x:v>
      </x:c>
      <x:c r="L203" s="40" t="n">
        <x:v>2280</x:v>
      </x:c>
      <x:c r="M203" s="40" t="n">
        <x:v>8965</x:v>
      </x:c>
      <x:c r="N203" s="41" t="n">
        <x:f>MIN(L203,M203)</x:f>
        <x:v>2280</x:v>
      </x:c>
      <x:c r="O203" s="41" t="n">
        <x:f>MAX(L203,M203)</x:f>
        <x:v>8965</x:v>
      </x:c>
      <x:c r="P203" s="41" t="n">
        <x:f>MAX(N203,MIN(K203,O203))</x:f>
        <x:v>7327</x:v>
      </x:c>
      <x:c r="Q203" s="19" t="str">
        <x:f>IF(K203&lt;N203,IF(N203=L203,"clamped_to_nominal","clamped_to_ppp"),IF(K203&gt;O203,IF(O203=L203,"clamped_to_nominal","clamped_to_ppp"),"kept_vanilla"))</x:f>
        <x:v>kept_vanilla</x:v>
      </x:c>
      <x:c r="R203" s="41" t="n">
        <x:f>P203*G203</x:f>
        <x:v>10444075881651</x:v>
      </x:c>
      <x:c r="S203" s="41" t="n">
        <x:f>R203/E203</x:f>
        <x:v>10444075881651</x:v>
      </x:c>
      <x:c r="T203" s="36" t="str">
        <x:v>IND: IMF exact 2022</x:v>
      </x:c>
      <x:c r="U203" s="36" t="str">
        <x:v>IND: IMF exact 2022</x:v>
      </x:c>
      <x:c r="V203" s="36" t="str">
        <x:v>IND: IMF exact 2022</x:v>
      </x:c>
      <x:c r="W203" s="36" t="str">
        <x:v>complete_primary</x:v>
      </x:c>
      <x:c r="X203" s="36" t="str">
        <x:v>https://api.imf.org/external/sdmx/3.0/data/dataflow/IMF.RES/WEO/9.0.0/</x:v>
      </x:c>
      <x:c r="Y203" s="36" t="str">
        <x:v>https://api.worldbank.org/v2/</x:v>
      </x:c>
    </x:row>
    <x:row r="204">
      <x:c r="A204" s="24" t="str">
        <x:v>IND</x:v>
      </x:c>
      <x:c r="B204" s="24" t="str">
        <x:v>India</x:v>
      </x:c>
      <x:c r="C204" s="24" t="str">
        <x:v>IND</x:v>
      </x:c>
      <x:c r="D204" s="24" t="n">
        <x:v>2026</x:v>
      </x:c>
      <x:c r="E204" s="37" t="n">
        <x:v>0.87</x:v>
      </x:c>
      <x:c r="F204" s="38" t="n">
        <x:v>1476625577</x:v>
      </x:c>
      <x:c r="G204" s="38" t="n">
        <x:v>1476625577</x:v>
      </x:c>
      <x:c r="H204" s="39" t="n">
        <x:f>G204/F204</x:f>
        <x:v>1</x:v>
      </x:c>
      <x:c r="I204" s="40" t="n">
        <x:v>15588478400000</x:v>
      </x:c>
      <x:c r="J204" s="40" t="n">
        <x:v>13561976208000</x:v>
      </x:c>
      <x:c r="K204" s="40" t="n">
        <x:v>9184</x:v>
      </x:c>
      <x:c r="L204" s="40" t="n">
        <x:v>2447</x:v>
      </x:c>
      <x:c r="M204" s="40" t="n">
        <x:v>11137</x:v>
      </x:c>
      <x:c r="N204" s="41" t="n">
        <x:f>MIN(L204,M204)</x:f>
        <x:v>2447</x:v>
      </x:c>
      <x:c r="O204" s="41" t="n">
        <x:f>MAX(L204,M204)</x:f>
        <x:v>11137</x:v>
      </x:c>
      <x:c r="P204" s="41" t="n">
        <x:f>MAX(N204,MIN(K204,O204))</x:f>
        <x:v>9184</x:v>
      </x:c>
      <x:c r="Q204" s="19" t="str">
        <x:f>IF(K204&lt;N204,IF(N204=L204,"clamped_to_nominal","clamped_to_ppp"),IF(K204&gt;O204,IF(O204=L204,"clamped_to_nominal","clamped_to_ppp"),"kept_vanilla"))</x:f>
        <x:v>kept_vanilla</x:v>
      </x:c>
      <x:c r="R204" s="41" t="n">
        <x:f>P204*G204</x:f>
        <x:v>13561329299168</x:v>
      </x:c>
      <x:c r="S204" s="41" t="n">
        <x:f>R204/E204</x:f>
        <x:v>15587734826629.885</x:v>
      </x:c>
      <x:c r="T204" s="36" t="str">
        <x:v>IND: IMF exact 2026</x:v>
      </x:c>
      <x:c r="U204" s="36" t="str">
        <x:v>IND: IMF exact 2026</x:v>
      </x:c>
      <x:c r="V204" s="36" t="str">
        <x:v>IND: IMF exact 2026</x:v>
      </x:c>
      <x:c r="W204" s="36" t="str">
        <x:v>complete_primary</x:v>
      </x:c>
      <x:c r="X204" s="36" t="str">
        <x:v>https://api.imf.org/external/sdmx/3.0/data/dataflow/IMF.RES/WEO/9.0.0/</x:v>
      </x:c>
      <x:c r="Y204" s="36" t="str">
        <x:v>https://api.worldbank.org/v2/</x:v>
      </x:c>
    </x:row>
    <x:row r="205">
      <x:c r="A205" s="24" t="str">
        <x:v>IDN</x:v>
      </x:c>
      <x:c r="B205" s="24" t="str">
        <x:v>Indonesia</x:v>
      </x:c>
      <x:c r="C205" s="24" t="str">
        <x:v>IDN</x:v>
      </x:c>
      <x:c r="D205" s="24" t="n">
        <x:v>2003</x:v>
      </x:c>
      <x:c r="E205" s="37" t="n">
        <x:v>1.59</x:v>
      </x:c>
      <x:c r="F205" s="38" t="n">
        <x:v>226111391</x:v>
      </x:c>
      <x:c r="G205" s="38" t="n">
        <x:v>215215661</x:v>
      </x:c>
      <x:c r="H205" s="39" t="n">
        <x:f>G205/F205</x:f>
        <x:v>0.9518125559627378</x:v>
      </x:c>
      <x:c r="I205" s="40" t="n">
        <x:v>597801754386</x:v>
      </x:c>
      <x:c r="J205" s="40" t="n">
        <x:v>950504789474</x:v>
      </x:c>
      <x:c r="K205" s="40" t="n">
        <x:v>4204</x:v>
      </x:c>
      <x:c r="L205" s="40" t="n">
        <x:v>1886</x:v>
      </x:c>
      <x:c r="M205" s="40" t="n">
        <x:v>7552</x:v>
      </x:c>
      <x:c r="N205" s="41" t="n">
        <x:f>MIN(L205,M205)</x:f>
        <x:v>1886</x:v>
      </x:c>
      <x:c r="O205" s="41" t="n">
        <x:f>MAX(L205,M205)</x:f>
        <x:v>7552</x:v>
      </x:c>
      <x:c r="P205" s="41" t="n">
        <x:f>MAX(N205,MIN(K205,O205))</x:f>
        <x:v>4204</x:v>
      </x:c>
      <x:c r="Q205" s="19" t="str">
        <x:f>IF(K205&lt;N205,IF(N205=L205,"clamped_to_nominal","clamped_to_ppp"),IF(K205&gt;O205,IF(O205=L205,"clamped_to_nominal","clamped_to_ppp"),"kept_vanilla"))</x:f>
        <x:v>kept_vanilla</x:v>
      </x:c>
      <x:c r="R205" s="41" t="n">
        <x:f>P205*G205</x:f>
        <x:v>904766638844</x:v>
      </x:c>
      <x:c r="S205" s="41" t="n">
        <x:f>R205/E205</x:f>
        <x:v>569035621914.4653</x:v>
      </x:c>
      <x:c r="T205" s="36" t="str">
        <x:v>IDN: IMF exact 2003</x:v>
      </x:c>
      <x:c r="U205" s="36" t="str">
        <x:v>IDN: IMF exact 2003</x:v>
      </x:c>
      <x:c r="V205" s="36" t="str">
        <x:v>IDN: IMF exact 2003</x:v>
      </x:c>
      <x:c r="W205" s="36" t="str">
        <x:v>complete_primary</x:v>
      </x:c>
      <x:c r="X205" s="36" t="str">
        <x:v>https://api.imf.org/external/sdmx/3.0/data/dataflow/IMF.RES/WEO/9.0.0/</x:v>
      </x:c>
      <x:c r="Y205" s="36" t="str">
        <x:v>https://api.worldbank.org/v2/</x:v>
      </x:c>
    </x:row>
    <x:row r="206">
      <x:c r="A206" s="24" t="str">
        <x:v>IDN</x:v>
      </x:c>
      <x:c r="B206" s="24" t="str">
        <x:v>Indonesia</x:v>
      </x:c>
      <x:c r="C206" s="24" t="str">
        <x:v>IDN</x:v>
      </x:c>
      <x:c r="D206" s="24" t="n">
        <x:v>2022</x:v>
      </x:c>
      <x:c r="E206" s="37" t="n">
        <x:v>1</x:v>
      </x:c>
      <x:c r="F206" s="38" t="n">
        <x:v>279963464</x:v>
      </x:c>
      <x:c r="G206" s="38" t="n">
        <x:v>275719910</x:v>
      </x:c>
      <x:c r="H206" s="39" t="n">
        <x:f>G206/F206</x:f>
        <x:v>0.9848424721591529</x:v>
      </x:c>
      <x:c r="I206" s="40" t="n">
        <x:v>3515656320000</x:v>
      </x:c>
      <x:c r="J206" s="40" t="n">
        <x:v>3515656320000</x:v>
      </x:c>
      <x:c r="K206" s="40" t="n">
        <x:v>12558</x:v>
      </x:c>
      <x:c r="L206" s="40" t="n">
        <x:v>4784</x:v>
      </x:c>
      <x:c r="M206" s="40" t="n">
        <x:v>14444</x:v>
      </x:c>
      <x:c r="N206" s="41" t="n">
        <x:f>MIN(L206,M206)</x:f>
        <x:v>4784</x:v>
      </x:c>
      <x:c r="O206" s="41" t="n">
        <x:f>MAX(L206,M206)</x:f>
        <x:v>14444</x:v>
      </x:c>
      <x:c r="P206" s="41" t="n">
        <x:f>MAX(N206,MIN(K206,O206))</x:f>
        <x:v>12558</x:v>
      </x:c>
      <x:c r="Q206" s="19" t="str">
        <x:f>IF(K206&lt;N206,IF(N206=L206,"clamped_to_nominal","clamped_to_ppp"),IF(K206&gt;O206,IF(O206=L206,"clamped_to_nominal","clamped_to_ppp"),"kept_vanilla"))</x:f>
        <x:v>kept_vanilla</x:v>
      </x:c>
      <x:c r="R206" s="41" t="n">
        <x:f>P206*G206</x:f>
        <x:v>3462490629780</x:v>
      </x:c>
      <x:c r="S206" s="41" t="n">
        <x:f>R206/E206</x:f>
        <x:v>3462490629780</x:v>
      </x:c>
      <x:c r="T206" s="36" t="str">
        <x:v>IDN: IMF exact 2022</x:v>
      </x:c>
      <x:c r="U206" s="36" t="str">
        <x:v>IDN: IMF exact 2022</x:v>
      </x:c>
      <x:c r="V206" s="36" t="str">
        <x:v>IDN: IMF exact 2022</x:v>
      </x:c>
      <x:c r="W206" s="36" t="str">
        <x:v>complete_primary</x:v>
      </x:c>
      <x:c r="X206" s="36" t="str">
        <x:v>https://api.imf.org/external/sdmx/3.0/data/dataflow/IMF.RES/WEO/9.0.0/</x:v>
      </x:c>
      <x:c r="Y206" s="36" t="str">
        <x:v>https://api.worldbank.org/v2/</x:v>
      </x:c>
    </x:row>
    <x:row r="207">
      <x:c r="A207" s="24" t="str">
        <x:v>IDN</x:v>
      </x:c>
      <x:c r="B207" s="24" t="str">
        <x:v>Indonesia</x:v>
      </x:c>
      <x:c r="C207" s="24" t="str">
        <x:v>IDN</x:v>
      </x:c>
      <x:c r="D207" s="24" t="n">
        <x:v>2026</x:v>
      </x:c>
      <x:c r="E207" s="37" t="n">
        <x:v>0.87</x:v>
      </x:c>
      <x:c r="F207" s="38" t="n">
        <x:v>287707943</x:v>
      </x:c>
      <x:c r="G207" s="38" t="n">
        <x:v>287198380</x:v>
      </x:c>
      <x:c r="H207" s="39" t="n">
        <x:f>G207/F207</x:f>
        <x:v>0.9982288879664334</x:v>
      </x:c>
      <x:c r="I207" s="40" t="n">
        <x:v>4413870560000</x:v>
      </x:c>
      <x:c r="J207" s="40" t="n">
        <x:v>3840067387200</x:v>
      </x:c>
      <x:c r="K207" s="40" t="n">
        <x:v>13347</x:v>
      </x:c>
      <x:c r="L207" s="40" t="n">
        <x:v>4665</x:v>
      </x:c>
      <x:c r="M207" s="40" t="n">
        <x:v>16507</x:v>
      </x:c>
      <x:c r="N207" s="41" t="n">
        <x:f>MIN(L207,M207)</x:f>
        <x:v>4665</x:v>
      </x:c>
      <x:c r="O207" s="41" t="n">
        <x:f>MAX(L207,M207)</x:f>
        <x:v>16507</x:v>
      </x:c>
      <x:c r="P207" s="41" t="n">
        <x:f>MAX(N207,MIN(K207,O207))</x:f>
        <x:v>13347</x:v>
      </x:c>
      <x:c r="Q207" s="19" t="str">
        <x:f>IF(K207&lt;N207,IF(N207=L207,"clamped_to_nominal","clamped_to_ppp"),IF(K207&gt;O207,IF(O207=L207,"clamped_to_nominal","clamped_to_ppp"),"kept_vanilla"))</x:f>
        <x:v>kept_vanilla</x:v>
      </x:c>
      <x:c r="R207" s="41" t="n">
        <x:f>P207*G207</x:f>
        <x:v>3833236777860</x:v>
      </x:c>
      <x:c r="S207" s="41" t="n">
        <x:f>R207/E207</x:f>
        <x:v>4406019284896.552</x:v>
      </x:c>
      <x:c r="T207" s="36" t="str">
        <x:v>IDN: IMF exact 2026</x:v>
      </x:c>
      <x:c r="U207" s="36" t="str">
        <x:v>IDN: IMF exact 2026</x:v>
      </x:c>
      <x:c r="V207" s="36" t="str">
        <x:v>IDN: IMF exact 2026</x:v>
      </x:c>
      <x:c r="W207" s="36" t="str">
        <x:v>complete_primary</x:v>
      </x:c>
      <x:c r="X207" s="36" t="str">
        <x:v>https://api.imf.org/external/sdmx/3.0/data/dataflow/IMF.RES/WEO/9.0.0/</x:v>
      </x:c>
      <x:c r="Y207" s="36" t="str">
        <x:v>https://api.worldbank.org/v2/</x:v>
      </x:c>
    </x:row>
    <x:row r="208">
      <x:c r="A208" s="24" t="str">
        <x:v>IRN</x:v>
      </x:c>
      <x:c r="B208" s="24" t="str">
        <x:v>Iran</x:v>
      </x:c>
      <x:c r="C208" s="24" t="str">
        <x:v>IRN</x:v>
      </x:c>
      <x:c r="D208" s="24" t="n">
        <x:v>2003</x:v>
      </x:c>
      <x:c r="E208" s="37" t="n">
        <x:v>1.59</x:v>
      </x:c>
      <x:c r="F208" s="38" t="n">
        <x:v>68769339</x:v>
      </x:c>
      <x:c r="G208" s="38" t="n">
        <x:v>67315000</x:v>
      </x:c>
      <x:c r="H208" s="39" t="n">
        <x:f>G208/F208</x:f>
        <x:v>0.9788519270193945</x:v>
      </x:c>
      <x:c r="I208" s="40" t="n">
        <x:v>391273684211</x:v>
      </x:c>
      <x:c r="J208" s="40" t="n">
        <x:v>622125157895</x:v>
      </x:c>
      <x:c r="K208" s="40" t="n">
        <x:v>9047</x:v>
      </x:c>
      <x:c r="L208" s="40" t="n">
        <x:v>4567</x:v>
      </x:c>
      <x:c r="M208" s="40" t="n">
        <x:v>16315</x:v>
      </x:c>
      <x:c r="N208" s="41" t="n">
        <x:f>MIN(L208,M208)</x:f>
        <x:v>4567</x:v>
      </x:c>
      <x:c r="O208" s="41" t="n">
        <x:f>MAX(L208,M208)</x:f>
        <x:v>16315</x:v>
      </x:c>
      <x:c r="P208" s="41" t="n">
        <x:f>MAX(N208,MIN(K208,O208))</x:f>
        <x:v>9047</x:v>
      </x:c>
      <x:c r="Q208" s="19" t="str">
        <x:f>IF(K208&lt;N208,IF(N208=L208,"clamped_to_nominal","clamped_to_ppp"),IF(K208&gt;O208,IF(O208=L208,"clamped_to_nominal","clamped_to_ppp"),"kept_vanilla"))</x:f>
        <x:v>kept_vanilla</x:v>
      </x:c>
      <x:c r="R208" s="41" t="n">
        <x:f>P208*G208</x:f>
        <x:v>608998805000</x:v>
      </x:c>
      <x:c r="S208" s="41" t="n">
        <x:f>R208/E208</x:f>
        <x:v>383018116352.20123</x:v>
      </x:c>
      <x:c r="T208" s="36" t="str">
        <x:v>IRN: IMF exact 2003</x:v>
      </x:c>
      <x:c r="U208" s="36" t="str">
        <x:v>IRN: IMF exact 2003</x:v>
      </x:c>
      <x:c r="V208" s="36" t="str">
        <x:v>IRN: IMF exact 2003</x:v>
      </x:c>
      <x:c r="W208" s="36" t="str">
        <x:v>complete_primary</x:v>
      </x:c>
      <x:c r="X208" s="36" t="str">
        <x:v>https://api.imf.org/external/sdmx/3.0/data/dataflow/IMF.RES/WEO/9.0.0/</x:v>
      </x:c>
      <x:c r="Y208" s="36" t="str">
        <x:v>https://api.worldbank.org/v2/</x:v>
      </x:c>
    </x:row>
    <x:row r="209">
      <x:c r="A209" s="24" t="str">
        <x:v>IRN</x:v>
      </x:c>
      <x:c r="B209" s="24" t="str">
        <x:v>Iran</x:v>
      </x:c>
      <x:c r="C209" s="24" t="str">
        <x:v>IRN</x:v>
      </x:c>
      <x:c r="D209" s="24" t="n">
        <x:v>2022</x:v>
      </x:c>
      <x:c r="E209" s="37" t="n">
        <x:v>1</x:v>
      </x:c>
      <x:c r="F209" s="38" t="n">
        <x:v>86332889</x:v>
      </x:c>
      <x:c r="G209" s="38" t="n">
        <x:v>84700000</x:v>
      </x:c>
      <x:c r="H209" s="39" t="n">
        <x:f>G209/F209</x:f>
        <x:v>0.9810861304548721</x:v>
      </x:c>
      <x:c r="I209" s="40" t="n">
        <x:v>1384650960000</x:v>
      </x:c>
      <x:c r="J209" s="40" t="n">
        <x:v>1384650960000</x:v>
      </x:c>
      <x:c r="K209" s="40" t="n">
        <x:v>16039</x:v>
      </x:c>
      <x:c r="L209" s="40" t="n">
        <x:v>4761</x:v>
      </x:c>
      <x:c r="M209" s="40" t="n">
        <x:v>18542</x:v>
      </x:c>
      <x:c r="N209" s="41" t="n">
        <x:f>MIN(L209,M209)</x:f>
        <x:v>4761</x:v>
      </x:c>
      <x:c r="O209" s="41" t="n">
        <x:f>MAX(L209,M209)</x:f>
        <x:v>18542</x:v>
      </x:c>
      <x:c r="P209" s="41" t="n">
        <x:f>MAX(N209,MIN(K209,O209))</x:f>
        <x:v>16039</x:v>
      </x:c>
      <x:c r="Q209" s="19" t="str">
        <x:f>IF(K209&lt;N209,IF(N209=L209,"clamped_to_nominal","clamped_to_ppp"),IF(K209&gt;O209,IF(O209=L209,"clamped_to_nominal","clamped_to_ppp"),"kept_vanilla"))</x:f>
        <x:v>kept_vanilla</x:v>
      </x:c>
      <x:c r="R209" s="41" t="n">
        <x:f>P209*G209</x:f>
        <x:v>1358503300000</x:v>
      </x:c>
      <x:c r="S209" s="41" t="n">
        <x:f>R209/E209</x:f>
        <x:v>1358503300000</x:v>
      </x:c>
      <x:c r="T209" s="36" t="str">
        <x:v>IRN: IMF exact 2022</x:v>
      </x:c>
      <x:c r="U209" s="36" t="str">
        <x:v>IRN: IMF exact 2022</x:v>
      </x:c>
      <x:c r="V209" s="36" t="str">
        <x:v>IRN: IMF exact 2022</x:v>
      </x:c>
      <x:c r="W209" s="36" t="str">
        <x:v>complete_primary</x:v>
      </x:c>
      <x:c r="X209" s="36" t="str">
        <x:v>https://api.imf.org/external/sdmx/3.0/data/dataflow/IMF.RES/WEO/9.0.0/</x:v>
      </x:c>
      <x:c r="Y209" s="36" t="str">
        <x:v>https://api.worldbank.org/v2/</x:v>
      </x:c>
    </x:row>
    <x:row r="210">
      <x:c r="A210" s="24" t="str">
        <x:v>IRN</x:v>
      </x:c>
      <x:c r="B210" s="24" t="str">
        <x:v>Iran</x:v>
      </x:c>
      <x:c r="C210" s="24" t="str">
        <x:v>IRN</x:v>
      </x:c>
      <x:c r="D210" s="24" t="n">
        <x:v>2026</x:v>
      </x:c>
      <x:c r="E210" s="37" t="n">
        <x:v>0.87</x:v>
      </x:c>
      <x:c r="F210" s="38" t="n">
        <x:v>93168497</x:v>
      </x:c>
      <x:c r="G210" s="38" t="n">
        <x:v>87933927</x:v>
      </x:c>
      <x:c r="H210" s="39" t="n">
        <x:f>G210/F210</x:f>
        <x:v>0.9438160948329992</x:v>
      </x:c>
      <x:c r="I210" s="40" t="n">
        <x:v>1653424960000</x:v>
      </x:c>
      <x:c r="J210" s="40" t="n">
        <x:v>1438479715200</x:v>
      </x:c>
      <x:c r="K210" s="40" t="n">
        <x:v>15440</x:v>
      </x:c>
      <x:c r="L210" s="40" t="n">
        <x:v>2971</x:v>
      </x:c>
      <x:c r="M210" s="40" t="n">
        <x:v>17643</x:v>
      </x:c>
      <x:c r="N210" s="41" t="n">
        <x:f>MIN(L210,M210)</x:f>
        <x:v>2971</x:v>
      </x:c>
      <x:c r="O210" s="41" t="n">
        <x:f>MAX(L210,M210)</x:f>
        <x:v>17643</x:v>
      </x:c>
      <x:c r="P210" s="41" t="n">
        <x:f>MAX(N210,MIN(K210,O210))</x:f>
        <x:v>15440</x:v>
      </x:c>
      <x:c r="Q210" s="19" t="str">
        <x:f>IF(K210&lt;N210,IF(N210=L210,"clamped_to_nominal","clamped_to_ppp"),IF(K210&gt;O210,IF(O210=L210,"clamped_to_nominal","clamped_to_ppp"),"kept_vanilla"))</x:f>
        <x:v>kept_vanilla</x:v>
      </x:c>
      <x:c r="R210" s="41" t="n">
        <x:f>P210*G210</x:f>
        <x:v>1357699832880</x:v>
      </x:c>
      <x:c r="S210" s="41" t="n">
        <x:f>R210/E210</x:f>
        <x:v>1560574520551.724</x:v>
      </x:c>
      <x:c r="T210" s="36" t="str">
        <x:v>IRN: IMF exact 2026</x:v>
      </x:c>
      <x:c r="U210" s="36" t="str">
        <x:v>IRN: IMF exact 2026</x:v>
      </x:c>
      <x:c r="V210" s="36" t="str">
        <x:v>IRN: IMF exact 2026</x:v>
      </x:c>
      <x:c r="W210" s="36" t="str">
        <x:v>complete_primary</x:v>
      </x:c>
      <x:c r="X210" s="36" t="str">
        <x:v>https://api.imf.org/external/sdmx/3.0/data/dataflow/IMF.RES/WEO/9.0.0/</x:v>
      </x:c>
      <x:c r="Y210" s="36" t="str">
        <x:v>https://api.worldbank.org/v2/</x:v>
      </x:c>
    </x:row>
    <x:row r="211">
      <x:c r="A211" s="24" t="str">
        <x:v>IRQ</x:v>
      </x:c>
      <x:c r="B211" s="24" t="str">
        <x:v>Iraq</x:v>
      </x:c>
      <x:c r="C211" s="24" t="str">
        <x:v>IRQ</x:v>
      </x:c>
      <x:c r="D211" s="24" t="n">
        <x:v>2003</x:v>
      </x:c>
      <x:c r="E211" s="37" t="n">
        <x:v>1.59</x:v>
      </x:c>
      <x:c r="F211" s="38" t="n">
        <x:v>26802659</x:v>
      </x:c>
      <x:c r="G211" s="38" t="n">
        <x:v>25959531</x:v>
      </x:c>
      <x:c r="H211" s="39" t="n">
        <x:f>G211/F211</x:f>
        <x:v>0.9685431210388492</x:v>
      </x:c>
      <x:c r="I211" s="40" t="n">
        <x:v>58739766082</x:v>
      </x:c>
      <x:c r="J211" s="40" t="n">
        <x:v>93396228070</x:v>
      </x:c>
      <x:c r="K211" s="40" t="n">
        <x:v>3485</x:v>
      </x:c>
      <x:c r="L211" s="40" t="n">
        <x:v>968</x:v>
      </x:c>
      <x:c r="M211" s="40" t="n">
        <x:v>6152</x:v>
      </x:c>
      <x:c r="N211" s="41" t="n">
        <x:f>MIN(L211,M211)</x:f>
        <x:v>968</x:v>
      </x:c>
      <x:c r="O211" s="41" t="n">
        <x:f>MAX(L211,M211)</x:f>
        <x:v>6152</x:v>
      </x:c>
      <x:c r="P211" s="41" t="n">
        <x:f>MAX(N211,MIN(K211,O211))</x:f>
        <x:v>3485</x:v>
      </x:c>
      <x:c r="Q211" s="19" t="str">
        <x:f>IF(K211&lt;N211,IF(N211=L211,"clamped_to_nominal","clamped_to_ppp"),IF(K211&gt;O211,IF(O211=L211,"clamped_to_nominal","clamped_to_ppp"),"kept_vanilla"))</x:f>
        <x:v>kept_vanilla</x:v>
      </x:c>
      <x:c r="R211" s="41" t="n">
        <x:f>P211*G211</x:f>
        <x:v>90468965535</x:v>
      </x:c>
      <x:c r="S211" s="41" t="n">
        <x:f>R211/E211</x:f>
        <x:v>56898720462.264145</x:v>
      </x:c>
      <x:c r="T211" s="36" t="str">
        <x:v>IRQ: IMF exact 2003</x:v>
      </x:c>
      <x:c r="U211" s="36" t="str">
        <x:v>IRQ: IMF exact 2003</x:v>
      </x:c>
      <x:c r="V211" s="36" t="str">
        <x:v>IRQ: IMF exact 2003</x:v>
      </x:c>
      <x:c r="W211" s="36" t="str">
        <x:v>complete_primary</x:v>
      </x:c>
      <x:c r="X211" s="36" t="str">
        <x:v>https://api.imf.org/external/sdmx/3.0/data/dataflow/IMF.RES/WEO/9.0.0/</x:v>
      </x:c>
      <x:c r="Y211" s="36" t="str">
        <x:v>https://api.worldbank.org/v2/</x:v>
      </x:c>
    </x:row>
    <x:row r="212">
      <x:c r="A212" s="24" t="str">
        <x:v>IRQ</x:v>
      </x:c>
      <x:c r="B212" s="24" t="str">
        <x:v>Iraq</x:v>
      </x:c>
      <x:c r="C212" s="24" t="str">
        <x:v>IRQ</x:v>
      </x:c>
      <x:c r="D212" s="24" t="n">
        <x:v>2022</x:v>
      </x:c>
      <x:c r="E212" s="37" t="n">
        <x:v>1</x:v>
      </x:c>
      <x:c r="F212" s="38" t="n">
        <x:v>42475419</x:v>
      </x:c>
      <x:c r="G212" s="38" t="n">
        <x:v>42248900</x:v>
      </x:c>
      <x:c r="H212" s="39" t="n">
        <x:f>G212/F212</x:f>
        <x:v>0.9946670567275628</x:v>
      </x:c>
      <x:c r="I212" s="40" t="n">
        <x:v>451374880000</x:v>
      </x:c>
      <x:c r="J212" s="40" t="n">
        <x:v>451374880000</x:v>
      </x:c>
      <x:c r="K212" s="40" t="n">
        <x:v>10627</x:v>
      </x:c>
      <x:c r="L212" s="40" t="n">
        <x:v>6818</x:v>
      </x:c>
      <x:c r="M212" s="40" t="n">
        <x:v>15051</x:v>
      </x:c>
      <x:c r="N212" s="41" t="n">
        <x:f>MIN(L212,M212)</x:f>
        <x:v>6818</x:v>
      </x:c>
      <x:c r="O212" s="41" t="n">
        <x:f>MAX(L212,M212)</x:f>
        <x:v>15051</x:v>
      </x:c>
      <x:c r="P212" s="41" t="n">
        <x:f>MAX(N212,MIN(K212,O212))</x:f>
        <x:v>10627</x:v>
      </x:c>
      <x:c r="Q212" s="19" t="str">
        <x:f>IF(K212&lt;N212,IF(N212=L212,"clamped_to_nominal","clamped_to_ppp"),IF(K212&gt;O212,IF(O212=L212,"clamped_to_nominal","clamped_to_ppp"),"kept_vanilla"))</x:f>
        <x:v>kept_vanilla</x:v>
      </x:c>
      <x:c r="R212" s="41" t="n">
        <x:f>P212*G212</x:f>
        <x:v>448979060300</x:v>
      </x:c>
      <x:c r="S212" s="41" t="n">
        <x:f>R212/E212</x:f>
        <x:v>448979060300</x:v>
      </x:c>
      <x:c r="T212" s="36" t="str">
        <x:v>IRQ: IMF exact 2022</x:v>
      </x:c>
      <x:c r="U212" s="36" t="str">
        <x:v>IRQ: IMF exact 2022</x:v>
      </x:c>
      <x:c r="V212" s="36" t="str">
        <x:v>IRQ: IMF exact 2022</x:v>
      </x:c>
      <x:c r="W212" s="36" t="str">
        <x:v>complete_primary</x:v>
      </x:c>
      <x:c r="X212" s="36" t="str">
        <x:v>https://api.imf.org/external/sdmx/3.0/data/dataflow/IMF.RES/WEO/9.0.0/</x:v>
      </x:c>
      <x:c r="Y212" s="36" t="str">
        <x:v>https://api.worldbank.org/v2/</x:v>
      </x:c>
    </x:row>
    <x:row r="213">
      <x:c r="A213" s="24" t="str">
        <x:v>IRQ</x:v>
      </x:c>
      <x:c r="B213" s="24" t="str">
        <x:v>Iraq</x:v>
      </x:c>
      <x:c r="C213" s="24" t="str">
        <x:v>IRQ</x:v>
      </x:c>
      <x:c r="D213" s="24" t="n">
        <x:v>2026</x:v>
      </x:c>
      <x:c r="E213" s="37" t="n">
        <x:v>0.87</x:v>
      </x:c>
      <x:c r="F213" s="38" t="n">
        <x:v>48007437</x:v>
      </x:c>
      <x:c r="G213" s="38" t="n">
        <x:v>46639900</x:v>
      </x:c>
      <x:c r="H213" s="39" t="n">
        <x:f>G213/F213</x:f>
        <x:v>0.9715140593737591</x:v>
      </x:c>
      <x:c r="I213" s="40" t="n">
        <x:v>607993760000</x:v>
      </x:c>
      <x:c r="J213" s="40" t="n">
        <x:v>528954571200</x:v>
      </x:c>
      <x:c r="K213" s="40" t="n">
        <x:v>11018</x:v>
      </x:c>
      <x:c r="L213" s="40" t="n">
        <x:v>4939</x:v>
      </x:c>
      <x:c r="M213" s="40" t="n">
        <x:v>12507</x:v>
      </x:c>
      <x:c r="N213" s="41" t="n">
        <x:f>MIN(L213,M213)</x:f>
        <x:v>4939</x:v>
      </x:c>
      <x:c r="O213" s="41" t="n">
        <x:f>MAX(L213,M213)</x:f>
        <x:v>12507</x:v>
      </x:c>
      <x:c r="P213" s="41" t="n">
        <x:f>MAX(N213,MIN(K213,O213))</x:f>
        <x:v>11018</x:v>
      </x:c>
      <x:c r="Q213" s="19" t="str">
        <x:f>IF(K213&lt;N213,IF(N213=L213,"clamped_to_nominal","clamped_to_ppp"),IF(K213&gt;O213,IF(O213=L213,"clamped_to_nominal","clamped_to_ppp"),"kept_vanilla"))</x:f>
        <x:v>kept_vanilla</x:v>
      </x:c>
      <x:c r="R213" s="41" t="n">
        <x:f>P213*G213</x:f>
        <x:v>513878418200</x:v>
      </x:c>
      <x:c r="S213" s="41" t="n">
        <x:f>R213/E213</x:f>
        <x:v>590664848505.7471</x:v>
      </x:c>
      <x:c r="T213" s="36" t="str">
        <x:v>IRQ: IMF exact 2026</x:v>
      </x:c>
      <x:c r="U213" s="36" t="str">
        <x:v>IRQ: IMF exact 2026</x:v>
      </x:c>
      <x:c r="V213" s="36" t="str">
        <x:v>IRQ: IMF exact 2026</x:v>
      </x:c>
      <x:c r="W213" s="36" t="str">
        <x:v>complete_primary</x:v>
      </x:c>
      <x:c r="X213" s="36" t="str">
        <x:v>https://api.imf.org/external/sdmx/3.0/data/dataflow/IMF.RES/WEO/9.0.0/</x:v>
      </x:c>
      <x:c r="Y213" s="36" t="str">
        <x:v>https://api.worldbank.org/v2/</x:v>
      </x:c>
    </x:row>
    <x:row r="214">
      <x:c r="A214" s="24" t="str">
        <x:v>IRL</x:v>
      </x:c>
      <x:c r="B214" s="24" t="str">
        <x:v>Ireland</x:v>
      </x:c>
      <x:c r="C214" s="24" t="str">
        <x:v>IRL</x:v>
      </x:c>
      <x:c r="D214" s="24" t="n">
        <x:v>2003</x:v>
      </x:c>
      <x:c r="E214" s="37" t="n">
        <x:v>1.59</x:v>
      </x:c>
      <x:c r="F214" s="38" t="n">
        <x:v>3992935</x:v>
      </x:c>
      <x:c r="G214" s="38" t="n">
        <x:v>4021300</x:v>
      </x:c>
      <x:c r="H214" s="39" t="n">
        <x:f>G214/F214</x:f>
        <x:v>1.0071037970815955</x:v>
      </x:c>
      <x:c r="I214" s="40" t="n">
        <x:v>96785380117</x:v>
      </x:c>
      <x:c r="J214" s="40" t="n">
        <x:v>153888754386</x:v>
      </x:c>
      <x:c r="K214" s="40" t="n">
        <x:v>38540</x:v>
      </x:c>
      <x:c r="L214" s="40" t="n">
        <x:v>65094</x:v>
      </x:c>
      <x:c r="M214" s="40" t="n">
        <x:v>65365</x:v>
      </x:c>
      <x:c r="N214" s="41" t="n">
        <x:f>MIN(L214,M214)</x:f>
        <x:v>65094</x:v>
      </x:c>
      <x:c r="O214" s="41" t="n">
        <x:f>MAX(L214,M214)</x:f>
        <x:v>65365</x:v>
      </x:c>
      <x:c r="P214" s="41" t="n">
        <x:f>MAX(N214,MIN(K214,O214))</x:f>
        <x:v>65094</x:v>
      </x:c>
      <x:c r="Q214" s="19" t="str">
        <x:f>IF(K214&lt;N214,IF(N214=L214,"clamped_to_nominal","clamped_to_ppp"),IF(K214&gt;O214,IF(O214=L214,"clamped_to_nominal","clamped_to_ppp"),"kept_vanilla"))</x:f>
        <x:v>clamped_to_nominal</x:v>
      </x:c>
      <x:c r="R214" s="41" t="n">
        <x:f>P214*G214</x:f>
        <x:v>261762502200</x:v>
      </x:c>
      <x:c r="S214" s="41" t="n">
        <x:f>R214/E214</x:f>
        <x:v>164630504528.30188</x:v>
      </x:c>
      <x:c r="T214" s="36" t="str">
        <x:v>IRL: IMF exact 2003</x:v>
      </x:c>
      <x:c r="U214" s="36" t="str">
        <x:v>IRL: IMF exact 2003</x:v>
      </x:c>
      <x:c r="V214" s="36" t="str">
        <x:v>IRL: IMF exact 2003</x:v>
      </x:c>
      <x:c r="W214" s="36" t="str">
        <x:v>complete_primary</x:v>
      </x:c>
      <x:c r="X214" s="36" t="str">
        <x:v>https://api.imf.org/external/sdmx/3.0/data/dataflow/IMF.RES/WEO/9.0.0/</x:v>
      </x:c>
      <x:c r="Y214" s="36" t="str">
        <x:v>https://api.worldbank.org/v2/</x:v>
      </x:c>
    </x:row>
    <x:row r="215">
      <x:c r="A215" s="24" t="str">
        <x:v>IRL</x:v>
      </x:c>
      <x:c r="B215" s="24" t="str">
        <x:v>Ireland</x:v>
      </x:c>
      <x:c r="C215" s="24" t="str">
        <x:v>IRL</x:v>
      </x:c>
      <x:c r="D215" s="24" t="n">
        <x:v>2022</x:v>
      </x:c>
      <x:c r="E215" s="37" t="n">
        <x:v>1</x:v>
      </x:c>
      <x:c r="F215" s="38" t="n">
        <x:v>5031376</x:v>
      </x:c>
      <x:c r="G215" s="38" t="n">
        <x:v>5240390</x:v>
      </x:c>
      <x:c r="H215" s="39" t="n">
        <x:f>G215/F215</x:f>
        <x:v>1.0415421149204511</x:v>
      </x:c>
      <x:c r="I215" s="40" t="n">
        <x:v>557509040000</x:v>
      </x:c>
      <x:c r="J215" s="40" t="n">
        <x:v>557509040000</x:v>
      </x:c>
      <x:c r="K215" s="40" t="n">
        <x:v>110806</x:v>
      </x:c>
      <x:c r="L215" s="40" t="n">
        <x:v>104720</x:v>
      </x:c>
      <x:c r="M215" s="40" t="n">
        <x:v>130402</x:v>
      </x:c>
      <x:c r="N215" s="41" t="n">
        <x:f>MIN(L215,M215)</x:f>
        <x:v>104720</x:v>
      </x:c>
      <x:c r="O215" s="41" t="n">
        <x:f>MAX(L215,M215)</x:f>
        <x:v>130402</x:v>
      </x:c>
      <x:c r="P215" s="41" t="n">
        <x:f>MAX(N215,MIN(K215,O215))</x:f>
        <x:v>110806</x:v>
      </x:c>
      <x:c r="Q215" s="19" t="str">
        <x:f>IF(K215&lt;N215,IF(N215=L215,"clamped_to_nominal","clamped_to_ppp"),IF(K215&gt;O215,IF(O215=L215,"clamped_to_nominal","clamped_to_ppp"),"kept_vanilla"))</x:f>
        <x:v>kept_vanilla</x:v>
      </x:c>
      <x:c r="R215" s="41" t="n">
        <x:f>P215*G215</x:f>
        <x:v>580666654340</x:v>
      </x:c>
      <x:c r="S215" s="41" t="n">
        <x:f>R215/E215</x:f>
        <x:v>580666654340</x:v>
      </x:c>
      <x:c r="T215" s="36" t="str">
        <x:v>IRL: IMF exact 2022</x:v>
      </x:c>
      <x:c r="U215" s="36" t="str">
        <x:v>IRL: IMF exact 2022</x:v>
      </x:c>
      <x:c r="V215" s="36" t="str">
        <x:v>IRL: IMF exact 2022</x:v>
      </x:c>
      <x:c r="W215" s="36" t="str">
        <x:v>complete_primary</x:v>
      </x:c>
      <x:c r="X215" s="36" t="str">
        <x:v>https://api.imf.org/external/sdmx/3.0/data/dataflow/IMF.RES/WEO/9.0.0/</x:v>
      </x:c>
      <x:c r="Y215" s="36" t="str">
        <x:v>https://api.worldbank.org/v2/</x:v>
      </x:c>
    </x:row>
    <x:row r="216">
      <x:c r="A216" s="24" t="str">
        <x:v>IRL</x:v>
      </x:c>
      <x:c r="B216" s="24" t="str">
        <x:v>Ireland</x:v>
      </x:c>
      <x:c r="C216" s="24" t="str">
        <x:v>IRL</x:v>
      </x:c>
      <x:c r="D216" s="24" t="n">
        <x:v>2026</x:v>
      </x:c>
      <x:c r="E216" s="37" t="n">
        <x:v>0.87</x:v>
      </x:c>
      <x:c r="F216" s="38" t="n">
        <x:v>5356950</x:v>
      </x:c>
      <x:c r="G216" s="38" t="n">
        <x:v>5559634</x:v>
      </x:c>
      <x:c r="H216" s="39" t="n">
        <x:f>G216/F216</x:f>
        <x:v>1.0378357087521817</x:v>
      </x:c>
      <x:c r="I216" s="40" t="n">
        <x:v>648324160000</x:v>
      </x:c>
      <x:c r="J216" s="40" t="n">
        <x:v>564042019200</x:v>
      </x:c>
      <x:c r="K216" s="40" t="n">
        <x:v>105292</x:v>
      </x:c>
      <x:c r="L216" s="40" t="n">
        <x:v>121962</x:v>
      </x:c>
      <x:c r="M216" s="40" t="n">
        <x:v>138442</x:v>
      </x:c>
      <x:c r="N216" s="41" t="n">
        <x:f>MIN(L216,M216)</x:f>
        <x:v>121962</x:v>
      </x:c>
      <x:c r="O216" s="41" t="n">
        <x:f>MAX(L216,M216)</x:f>
        <x:v>138442</x:v>
      </x:c>
      <x:c r="P216" s="41" t="n">
        <x:f>MAX(N216,MIN(K216,O216))</x:f>
        <x:v>121962</x:v>
      </x:c>
      <x:c r="Q216" s="19" t="str">
        <x:f>IF(K216&lt;N216,IF(N216=L216,"clamped_to_nominal","clamped_to_ppp"),IF(K216&gt;O216,IF(O216=L216,"clamped_to_nominal","clamped_to_ppp"),"kept_vanilla"))</x:f>
        <x:v>clamped_to_nominal</x:v>
      </x:c>
      <x:c r="R216" s="41" t="n">
        <x:f>P216*G216</x:f>
        <x:v>678064081908</x:v>
      </x:c>
      <x:c r="S216" s="41" t="n">
        <x:f>R216/E216</x:f>
        <x:v>779384002193.1034</x:v>
      </x:c>
      <x:c r="T216" s="36" t="str">
        <x:v>IRL: IMF exact 2026</x:v>
      </x:c>
      <x:c r="U216" s="36" t="str">
        <x:v>IRL: IMF exact 2026</x:v>
      </x:c>
      <x:c r="V216" s="36" t="str">
        <x:v>IRL: IMF exact 2026</x:v>
      </x:c>
      <x:c r="W216" s="36" t="str">
        <x:v>complete_primary</x:v>
      </x:c>
      <x:c r="X216" s="36" t="str">
        <x:v>https://api.imf.org/external/sdmx/3.0/data/dataflow/IMF.RES/WEO/9.0.0/</x:v>
      </x:c>
      <x:c r="Y216" s="36" t="str">
        <x:v>https://api.worldbank.org/v2/</x:v>
      </x:c>
    </x:row>
    <x:row r="217">
      <x:c r="A217" s="24" t="str">
        <x:v>ISR</x:v>
      </x:c>
      <x:c r="B217" s="24" t="str">
        <x:v>Israel</x:v>
      </x:c>
      <x:c r="C217" s="24" t="str">
        <x:v>ISR</x:v>
      </x:c>
      <x:c r="D217" s="24" t="n">
        <x:v>2003</x:v>
      </x:c>
      <x:c r="E217" s="37" t="n">
        <x:v>1.59</x:v>
      </x:c>
      <x:c r="F217" s="38" t="n">
        <x:v>6502820</x:v>
      </x:c>
      <x:c r="G217" s="38" t="n">
        <x:v>6687025</x:v>
      </x:c>
      <x:c r="H217" s="39" t="n">
        <x:f>G217/F217</x:f>
        <x:v>1.0283269412347258</x:v>
      </x:c>
      <x:c r="I217" s="40" t="n">
        <x:v>88264912281</x:v>
      </x:c>
      <x:c r="J217" s="40" t="n">
        <x:v>140341210527</x:v>
      </x:c>
      <x:c r="K217" s="40" t="n">
        <x:v>21582</x:v>
      </x:c>
      <x:c r="L217" s="40" t="n">
        <x:v>31214</x:v>
      </x:c>
      <x:c r="M217" s="40" t="n">
        <x:v>35700</x:v>
      </x:c>
      <x:c r="N217" s="41" t="n">
        <x:f>MIN(L217,M217)</x:f>
        <x:v>31214</x:v>
      </x:c>
      <x:c r="O217" s="41" t="n">
        <x:f>MAX(L217,M217)</x:f>
        <x:v>35700</x:v>
      </x:c>
      <x:c r="P217" s="41" t="n">
        <x:f>MAX(N217,MIN(K217,O217))</x:f>
        <x:v>31214</x:v>
      </x:c>
      <x:c r="Q217" s="19" t="str">
        <x:f>IF(K217&lt;N217,IF(N217=L217,"clamped_to_nominal","clamped_to_ppp"),IF(K217&gt;O217,IF(O217=L217,"clamped_to_nominal","clamped_to_ppp"),"kept_vanilla"))</x:f>
        <x:v>clamped_to_nominal</x:v>
      </x:c>
      <x:c r="R217" s="41" t="n">
        <x:f>P217*G217</x:f>
        <x:v>208728798350</x:v>
      </x:c>
      <x:c r="S217" s="41" t="n">
        <x:f>R217/E217</x:f>
        <x:v>131275973805.03143</x:v>
      </x:c>
      <x:c r="T217" s="36" t="str">
        <x:v>ISR: IMF exact 2003</x:v>
      </x:c>
      <x:c r="U217" s="36" t="str">
        <x:v>ISR: IMF exact 2003</x:v>
      </x:c>
      <x:c r="V217" s="36" t="str">
        <x:v>ISR: IMF exact 2003</x:v>
      </x:c>
      <x:c r="W217" s="36" t="str">
        <x:v>complete_primary</x:v>
      </x:c>
      <x:c r="X217" s="36" t="str">
        <x:v>https://api.imf.org/external/sdmx/3.0/data/dataflow/IMF.RES/WEO/9.0.0/</x:v>
      </x:c>
      <x:c r="Y217" s="36" t="str">
        <x:v>https://api.worldbank.org/v2/</x:v>
      </x:c>
    </x:row>
    <x:row r="218">
      <x:c r="A218" s="24" t="str">
        <x:v>ISR</x:v>
      </x:c>
      <x:c r="B218" s="24" t="str">
        <x:v>Israel</x:v>
      </x:c>
      <x:c r="C218" s="24" t="str">
        <x:v>ISR</x:v>
      </x:c>
      <x:c r="D218" s="24" t="n">
        <x:v>2022</x:v>
      </x:c>
      <x:c r="E218" s="37" t="n">
        <x:v>1</x:v>
      </x:c>
      <x:c r="F218" s="38" t="n">
        <x:v>8964143</x:v>
      </x:c>
      <x:c r="G218" s="38" t="n">
        <x:v>9551150</x:v>
      </x:c>
      <x:c r="H218" s="39" t="n">
        <x:f>G218/F218</x:f>
        <x:v>1.065483895114123</x:v>
      </x:c>
      <x:c r="I218" s="40" t="n">
        <x:v>420648800000</x:v>
      </x:c>
      <x:c r="J218" s="40" t="n">
        <x:v>420648800000</x:v>
      </x:c>
      <x:c r="K218" s="40" t="n">
        <x:v>46926</x:v>
      </x:c>
      <x:c r="L218" s="40" t="n">
        <x:v>54984</x:v>
      </x:c>
      <x:c r="M218" s="40" t="n">
        <x:v>51690</x:v>
      </x:c>
      <x:c r="N218" s="41" t="n">
        <x:f>MIN(L218,M218)</x:f>
        <x:v>51690</x:v>
      </x:c>
      <x:c r="O218" s="41" t="n">
        <x:f>MAX(L218,M218)</x:f>
        <x:v>54984</x:v>
      </x:c>
      <x:c r="P218" s="41" t="n">
        <x:f>MAX(N218,MIN(K218,O218))</x:f>
        <x:v>51690</x:v>
      </x:c>
      <x:c r="Q218" s="19" t="str">
        <x:f>IF(K218&lt;N218,IF(N218=L218,"clamped_to_nominal","clamped_to_ppp"),IF(K218&gt;O218,IF(O218=L218,"clamped_to_nominal","clamped_to_ppp"),"kept_vanilla"))</x:f>
        <x:v>clamped_to_ppp</x:v>
      </x:c>
      <x:c r="R218" s="41" t="n">
        <x:f>P218*G218</x:f>
        <x:v>493698943500</x:v>
      </x:c>
      <x:c r="S218" s="41" t="n">
        <x:f>R218/E218</x:f>
        <x:v>493698943500</x:v>
      </x:c>
      <x:c r="T218" s="36" t="str">
        <x:v>ISR: IMF exact 2022</x:v>
      </x:c>
      <x:c r="U218" s="36" t="str">
        <x:v>ISR: IMF exact 2022</x:v>
      </x:c>
      <x:c r="V218" s="36" t="str">
        <x:v>ISR: IMF exact 2022</x:v>
      </x:c>
      <x:c r="W218" s="36" t="str">
        <x:v>complete_primary</x:v>
      </x:c>
      <x:c r="X218" s="36" t="str">
        <x:v>https://api.imf.org/external/sdmx/3.0/data/dataflow/IMF.RES/WEO/9.0.0/</x:v>
      </x:c>
      <x:c r="Y218" s="36" t="str">
        <x:v>https://api.worldbank.org/v2/</x:v>
      </x:c>
    </x:row>
    <x:row r="219">
      <x:c r="A219" s="24" t="str">
        <x:v>ISR</x:v>
      </x:c>
      <x:c r="B219" s="24" t="str">
        <x:v>Israel</x:v>
      </x:c>
      <x:c r="C219" s="24" t="str">
        <x:v>ISR</x:v>
      </x:c>
      <x:c r="D219" s="24" t="n">
        <x:v>2026</x:v>
      </x:c>
      <x:c r="E219" s="37" t="n">
        <x:v>0.87</x:v>
      </x:c>
      <x:c r="F219" s="38" t="n">
        <x:v>9647689</x:v>
      </x:c>
      <x:c r="G219" s="38" t="n">
        <x:v>10312444</x:v>
      </x:c>
      <x:c r="H219" s="39" t="n">
        <x:f>G219/F219</x:f>
        <x:v>1.0689030295234434</x:v>
      </x:c>
      <x:c r="I219" s="40" t="n">
        <x:v>501586800000</x:v>
      </x:c>
      <x:c r="J219" s="40" t="n">
        <x:v>436380516000</x:v>
      </x:c>
      <x:c r="K219" s="40" t="n">
        <x:v>45232</x:v>
      </x:c>
      <x:c r="L219" s="40" t="n">
        <x:v>60729</x:v>
      </x:c>
      <x:c r="M219" s="40" t="n">
        <x:v>51412</x:v>
      </x:c>
      <x:c r="N219" s="41" t="n">
        <x:f>MIN(L219,M219)</x:f>
        <x:v>51412</x:v>
      </x:c>
      <x:c r="O219" s="41" t="n">
        <x:f>MAX(L219,M219)</x:f>
        <x:v>60729</x:v>
      </x:c>
      <x:c r="P219" s="41" t="n">
        <x:f>MAX(N219,MIN(K219,O219))</x:f>
        <x:v>51412</x:v>
      </x:c>
      <x:c r="Q219" s="19" t="str">
        <x:f>IF(K219&lt;N219,IF(N219=L219,"clamped_to_nominal","clamped_to_ppp"),IF(K219&gt;O219,IF(O219=L219,"clamped_to_nominal","clamped_to_ppp"),"kept_vanilla"))</x:f>
        <x:v>clamped_to_ppp</x:v>
      </x:c>
      <x:c r="R219" s="41" t="n">
        <x:f>P219*G219</x:f>
        <x:v>530183370928</x:v>
      </x:c>
      <x:c r="S219" s="41" t="n">
        <x:f>R219/E219</x:f>
        <x:v>609406173480.4597</x:v>
      </x:c>
      <x:c r="T219" s="36" t="str">
        <x:v>ISR: IMF exact 2026</x:v>
      </x:c>
      <x:c r="U219" s="36" t="str">
        <x:v>ISR: IMF exact 2026</x:v>
      </x:c>
      <x:c r="V219" s="36" t="str">
        <x:v>ISR: IMF exact 2026</x:v>
      </x:c>
      <x:c r="W219" s="36" t="str">
        <x:v>complete_primary</x:v>
      </x:c>
      <x:c r="X219" s="36" t="str">
        <x:v>https://api.imf.org/external/sdmx/3.0/data/dataflow/IMF.RES/WEO/9.0.0/</x:v>
      </x:c>
      <x:c r="Y219" s="36" t="str">
        <x:v>https://api.worldbank.org/v2/</x:v>
      </x:c>
    </x:row>
    <x:row r="220">
      <x:c r="A220" s="24" t="str">
        <x:v>ITA</x:v>
      </x:c>
      <x:c r="B220" s="24" t="str">
        <x:v>Italy</x:v>
      </x:c>
      <x:c r="C220" s="24" t="str">
        <x:v>ITA+MLT+SMR</x:v>
      </x:c>
      <x:c r="D220" s="24" t="n">
        <x:v>2003</x:v>
      </x:c>
      <x:c r="E220" s="37" t="n">
        <x:v>1.59</x:v>
      </x:c>
      <x:c r="F220" s="38" t="n">
        <x:v>58147925</x:v>
      </x:c>
      <x:c r="G220" s="38" t="n">
        <x:v>57611517</x:v>
      </x:c>
      <x:c r="H220" s="39" t="n">
        <x:f>G220/F220</x:f>
        <x:v>0.9907751136433501</x:v>
      </x:c>
      <x:c r="I220" s="40" t="n">
        <x:v>1140115204678</x:v>
      </x:c>
      <x:c r="J220" s="40" t="n">
        <x:v>1812783175438</x:v>
      </x:c>
      <x:c r="K220" s="40" t="n">
        <x:v>31175</x:v>
      </x:c>
      <x:c r="L220" s="40" t="n">
        <x:v>43866</x:v>
      </x:c>
      <x:c r="M220" s="40" t="n">
        <x:v>54089</x:v>
      </x:c>
      <x:c r="N220" s="41" t="n">
        <x:f>MIN(L220,M220)</x:f>
        <x:v>43866</x:v>
      </x:c>
      <x:c r="O220" s="41" t="n">
        <x:f>MAX(L220,M220)</x:f>
        <x:v>54089</x:v>
      </x:c>
      <x:c r="P220" s="41" t="n">
        <x:f>MAX(N220,MIN(K220,O220))</x:f>
        <x:v>43866</x:v>
      </x:c>
      <x:c r="Q220" s="19" t="str">
        <x:f>IF(K220&lt;N220,IF(N220=L220,"clamped_to_nominal","clamped_to_ppp"),IF(K220&gt;O220,IF(O220=L220,"clamped_to_nominal","clamped_to_ppp"),"kept_vanilla"))</x:f>
        <x:v>clamped_to_nominal</x:v>
      </x:c>
      <x:c r="R220" s="41" t="n">
        <x:f>P220*G220</x:f>
        <x:v>2527186804722</x:v>
      </x:c>
      <x:c r="S220" s="41" t="n">
        <x:f>R220/E220</x:f>
        <x:v>1589425663347.1697</x:v>
      </x:c>
      <x:c r="T220" s="36" t="str">
        <x:v>ITA: IMF exact 2003; MLT: IMF exact 2003; SMR: World Bank exact 2003</x:v>
      </x:c>
      <x:c r="U220" s="36" t="str">
        <x:v>ITA: IMF exact 2003; MLT: IMF exact 2003; SMR: IMF exact 2003</x:v>
      </x:c>
      <x:c r="V220" s="36" t="str">
        <x:v>ITA: IMF exact 2003; MLT: IMF exact 2003; SMR: IMF exact 2003</x:v>
      </x:c>
      <x:c r="W220" s="36" t="str">
        <x:v>secondary_source</x:v>
      </x:c>
      <x:c r="X220" s="36" t="str">
        <x:v>https://api.imf.org/external/sdmx/3.0/data/dataflow/IMF.RES/WEO/9.0.0/</x:v>
      </x:c>
      <x:c r="Y220" s="36" t="str">
        <x:v>https://api.worldbank.org/v2/</x:v>
      </x:c>
    </x:row>
    <x:row r="221">
      <x:c r="A221" s="24" t="str">
        <x:v>ITA</x:v>
      </x:c>
      <x:c r="B221" s="24" t="str">
        <x:v>Italy</x:v>
      </x:c>
      <x:c r="C221" s="24" t="str">
        <x:v>ITA+MLT+SMR</x:v>
      </x:c>
      <x:c r="D221" s="24" t="n">
        <x:v>2022</x:v>
      </x:c>
      <x:c r="E221" s="37" t="n">
        <x:v>1</x:v>
      </x:c>
      <x:c r="F221" s="38" t="n">
        <x:v>60710045</x:v>
      </x:c>
      <x:c r="G221" s="38" t="n">
        <x:v>59584332</x:v>
      </x:c>
      <x:c r="H221" s="39" t="n">
        <x:f>G221/F221</x:f>
        <x:v>0.9814575495702564</x:v>
      </x:c>
      <x:c r="I221" s="40" t="n">
        <x:v>2646313080000</x:v>
      </x:c>
      <x:c r="J221" s="40" t="n">
        <x:v>2646313080000</x:v>
      </x:c>
      <x:c r="K221" s="40" t="n">
        <x:v>43589</x:v>
      </x:c>
      <x:c r="L221" s="40" t="n">
        <x:v>35689</x:v>
      </x:c>
      <x:c r="M221" s="40" t="n">
        <x:v>56831</x:v>
      </x:c>
      <x:c r="N221" s="41" t="n">
        <x:f>MIN(L221,M221)</x:f>
        <x:v>35689</x:v>
      </x:c>
      <x:c r="O221" s="41" t="n">
        <x:f>MAX(L221,M221)</x:f>
        <x:v>56831</x:v>
      </x:c>
      <x:c r="P221" s="41" t="n">
        <x:f>MAX(N221,MIN(K221,O221))</x:f>
        <x:v>43589</x:v>
      </x:c>
      <x:c r="Q221" s="19" t="str">
        <x:f>IF(K221&lt;N221,IF(N221=L221,"clamped_to_nominal","clamped_to_ppp"),IF(K221&gt;O221,IF(O221=L221,"clamped_to_nominal","clamped_to_ppp"),"kept_vanilla"))</x:f>
        <x:v>kept_vanilla</x:v>
      </x:c>
      <x:c r="R221" s="41" t="n">
        <x:f>P221*G221</x:f>
        <x:v>2597221447548</x:v>
      </x:c>
      <x:c r="S221" s="41" t="n">
        <x:f>R221/E221</x:f>
        <x:v>2597221447548</x:v>
      </x:c>
      <x:c r="T221" s="36" t="str">
        <x:v>ITA: IMF exact 2022; MLT: IMF exact 2022; SMR: IMF exact 2022</x:v>
      </x:c>
      <x:c r="U221" s="36" t="str">
        <x:v>ITA: IMF exact 2022; MLT: IMF exact 2022; SMR: IMF exact 2022</x:v>
      </x:c>
      <x:c r="V221" s="36" t="str">
        <x:v>ITA: IMF exact 2022; MLT: IMF exact 2022; SMR: IMF exact 2022</x:v>
      </x:c>
      <x:c r="W221" s="36" t="str">
        <x:v>complete_primary</x:v>
      </x:c>
      <x:c r="X221" s="36" t="str">
        <x:v>https://api.imf.org/external/sdmx/3.0/data/dataflow/IMF.RES/WEO/9.0.0/</x:v>
      </x:c>
      <x:c r="Y221" s="36" t="str">
        <x:v>https://api.worldbank.org/v2/</x:v>
      </x:c>
    </x:row>
    <x:row r="222">
      <x:c r="A222" s="24" t="str">
        <x:v>ITA</x:v>
      </x:c>
      <x:c r="B222" s="24" t="str">
        <x:v>Italy</x:v>
      </x:c>
      <x:c r="C222" s="24" t="str">
        <x:v>ITA+MLT+SMR</x:v>
      </x:c>
      <x:c r="D222" s="24" t="n">
        <x:v>2026</x:v>
      </x:c>
      <x:c r="E222" s="37" t="n">
        <x:v>0.87</x:v>
      </x:c>
      <x:c r="F222" s="38" t="n">
        <x:v>59475177</x:v>
      </x:c>
      <x:c r="G222" s="38" t="n">
        <x:v>59486632</x:v>
      </x:c>
      <x:c r="H222" s="39" t="n">
        <x:f>G222/F222</x:f>
        <x:v>1.0001926013603961</x:v>
      </x:c>
      <x:c r="I222" s="40" t="n">
        <x:v>3273838480000</x:v>
      </x:c>
      <x:c r="J222" s="40" t="n">
        <x:v>2848239477600</x:v>
      </x:c>
      <x:c r="K222" s="40" t="n">
        <x:v>47890</x:v>
      </x:c>
      <x:c r="L222" s="40" t="n">
        <x:v>40531</x:v>
      </x:c>
      <x:c r="M222" s="40" t="n">
        <x:v>57362</x:v>
      </x:c>
      <x:c r="N222" s="41" t="n">
        <x:f>MIN(L222,M222)</x:f>
        <x:v>40531</x:v>
      </x:c>
      <x:c r="O222" s="41" t="n">
        <x:f>MAX(L222,M222)</x:f>
        <x:v>57362</x:v>
      </x:c>
      <x:c r="P222" s="41" t="n">
        <x:f>MAX(N222,MIN(K222,O222))</x:f>
        <x:v>47890</x:v>
      </x:c>
      <x:c r="Q222" s="19" t="str">
        <x:f>IF(K222&lt;N222,IF(N222=L222,"clamped_to_nominal","clamped_to_ppp"),IF(K222&gt;O222,IF(O222=L222,"clamped_to_nominal","clamped_to_ppp"),"kept_vanilla"))</x:f>
        <x:v>kept_vanilla</x:v>
      </x:c>
      <x:c r="R222" s="41" t="n">
        <x:f>P222*G222</x:f>
        <x:v>2848814806480</x:v>
      </x:c>
      <x:c r="S222" s="41" t="n">
        <x:f>R222/E222</x:f>
        <x:v>3274499777563.2183</x:v>
      </x:c>
      <x:c r="T222" s="36" t="str">
        <x:v>ITA: IMF exact 2026; MLT: IMF exact 2026; SMR: IMF exact 2026</x:v>
      </x:c>
      <x:c r="U222" s="36" t="str">
        <x:v>ITA: IMF exact 2026; MLT: IMF exact 2026; SMR: IMF exact 2026</x:v>
      </x:c>
      <x:c r="V222" s="36" t="str">
        <x:v>ITA: IMF exact 2026; MLT: IMF exact 2026; SMR: IMF exact 2026</x:v>
      </x:c>
      <x:c r="W222" s="36" t="str">
        <x:v>complete_primary</x:v>
      </x:c>
      <x:c r="X222" s="36" t="str">
        <x:v>https://api.imf.org/external/sdmx/3.0/data/dataflow/IMF.RES/WEO/9.0.0/</x:v>
      </x:c>
      <x:c r="Y222" s="36" t="str">
        <x:v>https://api.worldbank.org/v2/</x:v>
      </x:c>
    </x:row>
    <x:row r="223">
      <x:c r="A223" s="24" t="str">
        <x:v>IVO</x:v>
      </x:c>
      <x:c r="B223" s="24" t="str">
        <x:v>Ivory Coast</x:v>
      </x:c>
      <x:c r="C223" s="24" t="str">
        <x:v>CIV</x:v>
      </x:c>
      <x:c r="D223" s="24" t="n">
        <x:v>2003</x:v>
      </x:c>
      <x:c r="E223" s="37" t="n">
        <x:v>1.59</x:v>
      </x:c>
      <x:c r="F223" s="38" t="n">
        <x:v>19125542</x:v>
      </x:c>
      <x:c r="G223" s="38" t="n">
        <x:v>17692890</x:v>
      </x:c>
      <x:c r="H223" s="39" t="n">
        <x:f>G223/F223</x:f>
        <x:v>0.9250922143801206</x:v>
      </x:c>
      <x:c r="I223" s="40" t="n">
        <x:v>31276608187</x:v>
      </x:c>
      <x:c r="J223" s="40" t="n">
        <x:v>49729807017</x:v>
      </x:c>
      <x:c r="K223" s="40" t="n">
        <x:v>2600</x:v>
      </x:c>
      <x:c r="L223" s="40" t="n">
        <x:v>1906</x:v>
      </x:c>
      <x:c r="M223" s="40" t="n">
        <x:v>4806</x:v>
      </x:c>
      <x:c r="N223" s="41" t="n">
        <x:f>MIN(L223,M223)</x:f>
        <x:v>1906</x:v>
      </x:c>
      <x:c r="O223" s="41" t="n">
        <x:f>MAX(L223,M223)</x:f>
        <x:v>4806</x:v>
      </x:c>
      <x:c r="P223" s="41" t="n">
        <x:f>MAX(N223,MIN(K223,O223))</x:f>
        <x:v>2600</x:v>
      </x:c>
      <x:c r="Q223" s="19" t="str">
        <x:f>IF(K223&lt;N223,IF(N223=L223,"clamped_to_nominal","clamped_to_ppp"),IF(K223&gt;O223,IF(O223=L223,"clamped_to_nominal","clamped_to_ppp"),"kept_vanilla"))</x:f>
        <x:v>kept_vanilla</x:v>
      </x:c>
      <x:c r="R223" s="41" t="n">
        <x:f>P223*G223</x:f>
        <x:v>46001514000</x:v>
      </x:c>
      <x:c r="S223" s="41" t="n">
        <x:f>R223/E223</x:f>
        <x:v>28931769811.320755</x:v>
      </x:c>
      <x:c r="T223" s="36" t="str">
        <x:v>CIV: IMF exact 2003</x:v>
      </x:c>
      <x:c r="U223" s="36" t="str">
        <x:v>CIV: IMF exact 2003</x:v>
      </x:c>
      <x:c r="V223" s="36" t="str">
        <x:v>CIV: IMF exact 2003</x:v>
      </x:c>
      <x:c r="W223" s="36" t="str">
        <x:v>complete_primary</x:v>
      </x:c>
      <x:c r="X223" s="36" t="str">
        <x:v>https://api.imf.org/external/sdmx/3.0/data/dataflow/IMF.RES/WEO/9.0.0/</x:v>
      </x:c>
      <x:c r="Y223" s="36" t="str">
        <x:v>https://api.worldbank.org/v2/</x:v>
      </x:c>
    </x:row>
    <x:row r="224">
      <x:c r="A224" s="24" t="str">
        <x:v>IVO</x:v>
      </x:c>
      <x:c r="B224" s="24" t="str">
        <x:v>Ivory Coast</x:v>
      </x:c>
      <x:c r="C224" s="24" t="str">
        <x:v>CIV</x:v>
      </x:c>
      <x:c r="D224" s="24" t="n">
        <x:v>2022</x:v>
      </x:c>
      <x:c r="E224" s="37" t="n">
        <x:v>1</x:v>
      </x:c>
      <x:c r="F224" s="38" t="n">
        <x:v>27960211</x:v>
      </x:c>
      <x:c r="G224" s="38" t="n">
        <x:v>30229490</x:v>
      </x:c>
      <x:c r="H224" s="39" t="n">
        <x:f>G224/F224</x:f>
        <x:v>1.0811610112670467</x:v>
      </x:c>
      <x:c r="I224" s="40" t="n">
        <x:v>158451920000</x:v>
      </x:c>
      <x:c r="J224" s="40" t="n">
        <x:v>158451920000</x:v>
      </x:c>
      <x:c r="K224" s="40" t="n">
        <x:v>5667</x:v>
      </x:c>
      <x:c r="L224" s="40" t="n">
        <x:v>2351</x:v>
      </x:c>
      <x:c r="M224" s="40" t="n">
        <x:v>6755</x:v>
      </x:c>
      <x:c r="N224" s="41" t="n">
        <x:f>MIN(L224,M224)</x:f>
        <x:v>2351</x:v>
      </x:c>
      <x:c r="O224" s="41" t="n">
        <x:f>MAX(L224,M224)</x:f>
        <x:v>6755</x:v>
      </x:c>
      <x:c r="P224" s="41" t="n">
        <x:f>MAX(N224,MIN(K224,O224))</x:f>
        <x:v>5667</x:v>
      </x:c>
      <x:c r="Q224" s="19" t="str">
        <x:f>IF(K224&lt;N224,IF(N224=L224,"clamped_to_nominal","clamped_to_ppp"),IF(K224&gt;O224,IF(O224=L224,"clamped_to_nominal","clamped_to_ppp"),"kept_vanilla"))</x:f>
        <x:v>kept_vanilla</x:v>
      </x:c>
      <x:c r="R224" s="41" t="n">
        <x:f>P224*G224</x:f>
        <x:v>171310519830</x:v>
      </x:c>
      <x:c r="S224" s="41" t="n">
        <x:f>R224/E224</x:f>
        <x:v>171310519830</x:v>
      </x:c>
      <x:c r="T224" s="36" t="str">
        <x:v>CIV: IMF exact 2022</x:v>
      </x:c>
      <x:c r="U224" s="36" t="str">
        <x:v>CIV: IMF exact 2022</x:v>
      </x:c>
      <x:c r="V224" s="36" t="str">
        <x:v>CIV: IMF exact 2022</x:v>
      </x:c>
      <x:c r="W224" s="36" t="str">
        <x:v>complete_primary</x:v>
      </x:c>
      <x:c r="X224" s="36" t="str">
        <x:v>https://api.imf.org/external/sdmx/3.0/data/dataflow/IMF.RES/WEO/9.0.0/</x:v>
      </x:c>
      <x:c r="Y224" s="36" t="str">
        <x:v>https://api.worldbank.org/v2/</x:v>
      </x:c>
    </x:row>
    <x:row r="225">
      <x:c r="A225" s="24" t="str">
        <x:v>IVO</x:v>
      </x:c>
      <x:c r="B225" s="24" t="str">
        <x:v>Ivory Coast</x:v>
      </x:c>
      <x:c r="C225" s="24" t="str">
        <x:v>CIV</x:v>
      </x:c>
      <x:c r="D225" s="24" t="n">
        <x:v>2026</x:v>
      </x:c>
      <x:c r="E225" s="37" t="n">
        <x:v>0.87</x:v>
      </x:c>
      <x:c r="F225" s="38" t="n">
        <x:v>33494346</x:v>
      </x:c>
      <x:c r="G225" s="38" t="n">
        <x:v>33838101</x:v>
      </x:c>
      <x:c r="H225" s="39" t="n">
        <x:f>G225/F225</x:f>
        <x:v>1.010263075445629</x:v>
      </x:c>
      <x:c r="I225" s="40" t="n">
        <x:v>234812160000</x:v>
      </x:c>
      <x:c r="J225" s="40" t="n">
        <x:v>204286579200</x:v>
      </x:c>
      <x:c r="K225" s="40" t="n">
        <x:v>6099</x:v>
      </x:c>
      <x:c r="L225" s="40" t="n">
        <x:v>2883</x:v>
      </x:c>
      <x:c r="M225" s="40" t="n">
        <x:v>7545</x:v>
      </x:c>
      <x:c r="N225" s="41" t="n">
        <x:f>MIN(L225,M225)</x:f>
        <x:v>2883</x:v>
      </x:c>
      <x:c r="O225" s="41" t="n">
        <x:f>MAX(L225,M225)</x:f>
        <x:v>7545</x:v>
      </x:c>
      <x:c r="P225" s="41" t="n">
        <x:f>MAX(N225,MIN(K225,O225))</x:f>
        <x:v>6099</x:v>
      </x:c>
      <x:c r="Q225" s="19" t="str">
        <x:f>IF(K225&lt;N225,IF(N225=L225,"clamped_to_nominal","clamped_to_ppp"),IF(K225&gt;O225,IF(O225=L225,"clamped_to_nominal","clamped_to_ppp"),"kept_vanilla"))</x:f>
        <x:v>kept_vanilla</x:v>
      </x:c>
      <x:c r="R225" s="41" t="n">
        <x:f>P225*G225</x:f>
        <x:v>206378577999</x:v>
      </x:c>
      <x:c r="S225" s="41" t="n">
        <x:f>R225/E225</x:f>
        <x:v>237216756320.68967</x:v>
      </x:c>
      <x:c r="T225" s="36" t="str">
        <x:v>CIV: IMF exact 2026</x:v>
      </x:c>
      <x:c r="U225" s="36" t="str">
        <x:v>CIV: IMF exact 2026</x:v>
      </x:c>
      <x:c r="V225" s="36" t="str">
        <x:v>CIV: IMF exact 2026</x:v>
      </x:c>
      <x:c r="W225" s="36" t="str">
        <x:v>complete_primary</x:v>
      </x:c>
      <x:c r="X225" s="36" t="str">
        <x:v>https://api.imf.org/external/sdmx/3.0/data/dataflow/IMF.RES/WEO/9.0.0/</x:v>
      </x:c>
      <x:c r="Y225" s="36" t="str">
        <x:v>https://api.worldbank.org/v2/</x:v>
      </x:c>
    </x:row>
    <x:row r="226">
      <x:c r="A226" s="24" t="str">
        <x:v>JAM</x:v>
      </x:c>
      <x:c r="B226" s="24" t="str">
        <x:v>Jamaica</x:v>
      </x:c>
      <x:c r="C226" s="24" t="str">
        <x:v>JAM</x:v>
      </x:c>
      <x:c r="D226" s="24" t="n">
        <x:v>2003</x:v>
      </x:c>
      <x:c r="E226" s="37" t="n">
        <x:v>1.59</x:v>
      </x:c>
      <x:c r="F226" s="38" t="n">
        <x:v>2656623</x:v>
      </x:c>
      <x:c r="G226" s="38" t="n">
        <x:v>2629413</x:v>
      </x:c>
      <x:c r="H226" s="39" t="n">
        <x:f>G226/F226</x:f>
        <x:v>0.989757673557746</x:v>
      </x:c>
      <x:c r="I226" s="40" t="n">
        <x:v>11785964912</x:v>
      </x:c>
      <x:c r="J226" s="40" t="n">
        <x:v>18739684210</x:v>
      </x:c>
      <x:c r="K226" s="40" t="n">
        <x:v>7054</x:v>
      </x:c>
      <x:c r="L226" s="40" t="n">
        <x:v>5850</x:v>
      </x:c>
      <x:c r="M226" s="40" t="n">
        <x:v>12558</x:v>
      </x:c>
      <x:c r="N226" s="41" t="n">
        <x:f>MIN(L226,M226)</x:f>
        <x:v>5850</x:v>
      </x:c>
      <x:c r="O226" s="41" t="n">
        <x:f>MAX(L226,M226)</x:f>
        <x:v>12558</x:v>
      </x:c>
      <x:c r="P226" s="41" t="n">
        <x:f>MAX(N226,MIN(K226,O226))</x:f>
        <x:v>7054</x:v>
      </x:c>
      <x:c r="Q226" s="19" t="str">
        <x:f>IF(K226&lt;N226,IF(N226=L226,"clamped_to_nominal","clamped_to_ppp"),IF(K226&gt;O226,IF(O226=L226,"clamped_to_nominal","clamped_to_ppp"),"kept_vanilla"))</x:f>
        <x:v>kept_vanilla</x:v>
      </x:c>
      <x:c r="R226" s="41" t="n">
        <x:f>P226*G226</x:f>
        <x:v>18547879302</x:v>
      </x:c>
      <x:c r="S226" s="41" t="n">
        <x:f>R226/E226</x:f>
        <x:v>11665332894.339622</x:v>
      </x:c>
      <x:c r="T226" s="36" t="str">
        <x:v>JAM: IMF exact 2003</x:v>
      </x:c>
      <x:c r="U226" s="36" t="str">
        <x:v>JAM: IMF exact 2003</x:v>
      </x:c>
      <x:c r="V226" s="36" t="str">
        <x:v>JAM: IMF exact 2003</x:v>
      </x:c>
      <x:c r="W226" s="36" t="str">
        <x:v>complete_primary</x:v>
      </x:c>
      <x:c r="X226" s="36" t="str">
        <x:v>https://api.imf.org/external/sdmx/3.0/data/dataflow/IMF.RES/WEO/9.0.0/</x:v>
      </x:c>
      <x:c r="Y226" s="36" t="str">
        <x:v>https://api.worldbank.org/v2/</x:v>
      </x:c>
    </x:row>
    <x:row r="227">
      <x:c r="A227" s="24" t="str">
        <x:v>JAM</x:v>
      </x:c>
      <x:c r="B227" s="24" t="str">
        <x:v>Jamaica</x:v>
      </x:c>
      <x:c r="C227" s="24" t="str">
        <x:v>JAM</x:v>
      </x:c>
      <x:c r="D227" s="24" t="n">
        <x:v>2022</x:v>
      </x:c>
      <x:c r="E227" s="37" t="n">
        <x:v>1</x:v>
      </x:c>
      <x:c r="F227" s="38" t="n">
        <x:v>2988631</x:v>
      </x:c>
      <x:c r="G227" s="38" t="n">
        <x:v>2743443</x:v>
      </x:c>
      <x:c r="H227" s="39" t="n">
        <x:f>G227/F227</x:f>
        <x:v>0.917959761509534</x:v>
      </x:c>
      <x:c r="I227" s="40" t="n">
        <x:v>28492640000</x:v>
      </x:c>
      <x:c r="J227" s="40" t="n">
        <x:v>28492640000</x:v>
      </x:c>
      <x:c r="K227" s="40" t="n">
        <x:v>9534</x:v>
      </x:c>
      <x:c r="L227" s="40" t="n">
        <x:v>6820</x:v>
      </x:c>
      <x:c r="M227" s="40" t="n">
        <x:v>12300</x:v>
      </x:c>
      <x:c r="N227" s="41" t="n">
        <x:f>MIN(L227,M227)</x:f>
        <x:v>6820</x:v>
      </x:c>
      <x:c r="O227" s="41" t="n">
        <x:f>MAX(L227,M227)</x:f>
        <x:v>12300</x:v>
      </x:c>
      <x:c r="P227" s="41" t="n">
        <x:f>MAX(N227,MIN(K227,O227))</x:f>
        <x:v>9534</x:v>
      </x:c>
      <x:c r="Q227" s="19" t="str">
        <x:f>IF(K227&lt;N227,IF(N227=L227,"clamped_to_nominal","clamped_to_ppp"),IF(K227&gt;O227,IF(O227=L227,"clamped_to_nominal","clamped_to_ppp"),"kept_vanilla"))</x:f>
        <x:v>kept_vanilla</x:v>
      </x:c>
      <x:c r="R227" s="41" t="n">
        <x:f>P227*G227</x:f>
        <x:v>26155985562</x:v>
      </x:c>
      <x:c r="S227" s="41" t="n">
        <x:f>R227/E227</x:f>
        <x:v>26155985562</x:v>
      </x:c>
      <x:c r="T227" s="36" t="str">
        <x:v>JAM: IMF exact 2022</x:v>
      </x:c>
      <x:c r="U227" s="36" t="str">
        <x:v>JAM: IMF exact 2022</x:v>
      </x:c>
      <x:c r="V227" s="36" t="str">
        <x:v>JAM: IMF exact 2022</x:v>
      </x:c>
      <x:c r="W227" s="36" t="str">
        <x:v>complete_primary</x:v>
      </x:c>
      <x:c r="X227" s="36" t="str">
        <x:v>https://api.imf.org/external/sdmx/3.0/data/dataflow/IMF.RES/WEO/9.0.0/</x:v>
      </x:c>
      <x:c r="Y227" s="36" t="str">
        <x:v>https://api.worldbank.org/v2/</x:v>
      </x:c>
    </x:row>
    <x:row r="228">
      <x:c r="A228" s="24" t="str">
        <x:v>JAM</x:v>
      </x:c>
      <x:c r="B228" s="24" t="str">
        <x:v>Jamaica</x:v>
      </x:c>
      <x:c r="C228" s="24" t="str">
        <x:v>JAM</x:v>
      </x:c>
      <x:c r="D228" s="24" t="n">
        <x:v>2026</x:v>
      </x:c>
      <x:c r="E228" s="37" t="n">
        <x:v>0.87</x:v>
      </x:c>
      <x:c r="F228" s="38" t="n">
        <x:v>2833404</x:v>
      </x:c>
      <x:c r="G228" s="38" t="n">
        <x:v>2755961</x:v>
      </x:c>
      <x:c r="H228" s="39" t="n">
        <x:f>G228/F228</x:f>
        <x:v>0.972667858166361</x:v>
      </x:c>
      <x:c r="I228" s="40" t="n">
        <x:v>30514880000</x:v>
      </x:c>
      <x:c r="J228" s="40" t="n">
        <x:v>26547945600</x:v>
      </x:c>
      <x:c r="K228" s="40" t="n">
        <x:v>9370</x:v>
      </x:c>
      <x:c r="L228" s="40" t="n">
        <x:v>7270</x:v>
      </x:c>
      <x:c r="M228" s="40" t="n">
        <x:v>12091</x:v>
      </x:c>
      <x:c r="N228" s="41" t="n">
        <x:f>MIN(L228,M228)</x:f>
        <x:v>7270</x:v>
      </x:c>
      <x:c r="O228" s="41" t="n">
        <x:f>MAX(L228,M228)</x:f>
        <x:v>12091</x:v>
      </x:c>
      <x:c r="P228" s="41" t="n">
        <x:f>MAX(N228,MIN(K228,O228))</x:f>
        <x:v>9370</x:v>
      </x:c>
      <x:c r="Q228" s="19" t="str">
        <x:f>IF(K228&lt;N228,IF(N228=L228,"clamped_to_nominal","clamped_to_ppp"),IF(K228&gt;O228,IF(O228=L228,"clamped_to_nominal","clamped_to_ppp"),"kept_vanilla"))</x:f>
        <x:v>kept_vanilla</x:v>
      </x:c>
      <x:c r="R228" s="41" t="n">
        <x:f>P228*G228</x:f>
        <x:v>25823354570</x:v>
      </x:c>
      <x:c r="S228" s="41" t="n">
        <x:f>R228/E228</x:f>
        <x:v>29682016747.12644</x:v>
      </x:c>
      <x:c r="T228" s="36" t="str">
        <x:v>JAM: IMF exact 2026</x:v>
      </x:c>
      <x:c r="U228" s="36" t="str">
        <x:v>JAM: IMF exact 2026</x:v>
      </x:c>
      <x:c r="V228" s="36" t="str">
        <x:v>JAM: IMF exact 2026</x:v>
      </x:c>
      <x:c r="W228" s="36" t="str">
        <x:v>complete_primary</x:v>
      </x:c>
      <x:c r="X228" s="36" t="str">
        <x:v>https://api.imf.org/external/sdmx/3.0/data/dataflow/IMF.RES/WEO/9.0.0/</x:v>
      </x:c>
      <x:c r="Y228" s="36" t="str">
        <x:v>https://api.worldbank.org/v2/</x:v>
      </x:c>
    </x:row>
    <x:row r="229">
      <x:c r="A229" s="24" t="str">
        <x:v>JPN</x:v>
      </x:c>
      <x:c r="B229" s="24" t="str">
        <x:v>Japan</x:v>
      </x:c>
      <x:c r="C229" s="24" t="str">
        <x:v>JPN</x:v>
      </x:c>
      <x:c r="D229" s="24" t="n">
        <x:v>2003</x:v>
      </x:c>
      <x:c r="E229" s="37" t="n">
        <x:v>1.59</x:v>
      </x:c>
      <x:c r="F229" s="38" t="n">
        <x:v>128582015</x:v>
      </x:c>
      <x:c r="G229" s="38" t="n">
        <x:v>127634417</x:v>
      </x:c>
      <x:c r="H229" s="39" t="n">
        <x:f>G229/F229</x:f>
        <x:v>0.9926304001379975</x:v>
      </x:c>
      <x:c r="I229" s="40" t="n">
        <x:v>2115683625731</x:v>
      </x:c>
      <x:c r="J229" s="40" t="n">
        <x:v>3363936964912</x:v>
      </x:c>
      <x:c r="K229" s="40" t="n">
        <x:v>26162</x:v>
      </x:c>
      <x:c r="L229" s="40" t="n">
        <x:v>56973</x:v>
      </x:c>
      <x:c r="M229" s="40" t="n">
        <x:v>45591</x:v>
      </x:c>
      <x:c r="N229" s="41" t="n">
        <x:f>MIN(L229,M229)</x:f>
        <x:v>45591</x:v>
      </x:c>
      <x:c r="O229" s="41" t="n">
        <x:f>MAX(L229,M229)</x:f>
        <x:v>56973</x:v>
      </x:c>
      <x:c r="P229" s="41" t="n">
        <x:f>MAX(N229,MIN(K229,O229))</x:f>
        <x:v>45591</x:v>
      </x:c>
      <x:c r="Q229" s="19" t="str">
        <x:f>IF(K229&lt;N229,IF(N229=L229,"clamped_to_nominal","clamped_to_ppp"),IF(K229&gt;O229,IF(O229=L229,"clamped_to_nominal","clamped_to_ppp"),"kept_vanilla"))</x:f>
        <x:v>clamped_to_ppp</x:v>
      </x:c>
      <x:c r="R229" s="41" t="n">
        <x:f>P229*G229</x:f>
        <x:v>5818980705447</x:v>
      </x:c>
      <x:c r="S229" s="41" t="n">
        <x:f>R229/E229</x:f>
        <x:v>3659736292733.962</x:v>
      </x:c>
      <x:c r="T229" s="36" t="str">
        <x:v>JPN: IMF exact 2003</x:v>
      </x:c>
      <x:c r="U229" s="36" t="str">
        <x:v>JPN: IMF exact 2003</x:v>
      </x:c>
      <x:c r="V229" s="36" t="str">
        <x:v>JPN: IMF exact 2003</x:v>
      </x:c>
      <x:c r="W229" s="36" t="str">
        <x:v>complete_primary</x:v>
      </x:c>
      <x:c r="X229" s="36" t="str">
        <x:v>https://api.imf.org/external/sdmx/3.0/data/dataflow/IMF.RES/WEO/9.0.0/</x:v>
      </x:c>
      <x:c r="Y229" s="36" t="str">
        <x:v>https://api.worldbank.org/v2/</x:v>
      </x:c>
    </x:row>
    <x:row r="230">
      <x:c r="A230" s="24" t="str">
        <x:v>JPN</x:v>
      </x:c>
      <x:c r="B230" s="24" t="str">
        <x:v>Japan</x:v>
      </x:c>
      <x:c r="C230" s="24" t="str">
        <x:v>JPN</x:v>
      </x:c>
      <x:c r="D230" s="24" t="n">
        <x:v>2022</x:v>
      </x:c>
      <x:c r="E230" s="37" t="n">
        <x:v>1</x:v>
      </x:c>
      <x:c r="F230" s="38" t="n">
        <x:v>126337001</x:v>
      </x:c>
      <x:c r="G230" s="38" t="n">
        <x:v>125062667</x:v>
      </x:c>
      <x:c r="H230" s="39" t="n">
        <x:f>G230/F230</x:f>
        <x:v>0.9899132163189468</x:v>
      </x:c>
      <x:c r="I230" s="40" t="n">
        <x:v>5376866000000</x:v>
      </x:c>
      <x:c r="J230" s="40" t="n">
        <x:v>5376866000000</x:v>
      </x:c>
      <x:c r="K230" s="40" t="n">
        <x:v>42560</x:v>
      </x:c>
      <x:c r="L230" s="40" t="n">
        <x:v>35566</x:v>
      </x:c>
      <x:c r="M230" s="40" t="n">
        <x:v>50439</x:v>
      </x:c>
      <x:c r="N230" s="41" t="n">
        <x:f>MIN(L230,M230)</x:f>
        <x:v>35566</x:v>
      </x:c>
      <x:c r="O230" s="41" t="n">
        <x:f>MAX(L230,M230)</x:f>
        <x:v>50439</x:v>
      </x:c>
      <x:c r="P230" s="41" t="n">
        <x:f>MAX(N230,MIN(K230,O230))</x:f>
        <x:v>42560</x:v>
      </x:c>
      <x:c r="Q230" s="19" t="str">
        <x:f>IF(K230&lt;N230,IF(N230=L230,"clamped_to_nominal","clamped_to_ppp"),IF(K230&gt;O230,IF(O230=L230,"clamped_to_nominal","clamped_to_ppp"),"kept_vanilla"))</x:f>
        <x:v>kept_vanilla</x:v>
      </x:c>
      <x:c r="R230" s="41" t="n">
        <x:f>P230*G230</x:f>
        <x:v>5322667107520</x:v>
      </x:c>
      <x:c r="S230" s="41" t="n">
        <x:f>R230/E230</x:f>
        <x:v>5322667107520</x:v>
      </x:c>
      <x:c r="T230" s="36" t="str">
        <x:v>JPN: IMF exact 2022</x:v>
      </x:c>
      <x:c r="U230" s="36" t="str">
        <x:v>JPN: IMF exact 2022</x:v>
      </x:c>
      <x:c r="V230" s="36" t="str">
        <x:v>JPN: IMF exact 2022</x:v>
      </x:c>
      <x:c r="W230" s="36" t="str">
        <x:v>complete_primary</x:v>
      </x:c>
      <x:c r="X230" s="36" t="str">
        <x:v>https://api.imf.org/external/sdmx/3.0/data/dataflow/IMF.RES/WEO/9.0.0/</x:v>
      </x:c>
      <x:c r="Y230" s="36" t="str">
        <x:v>https://api.worldbank.org/v2/</x:v>
      </x:c>
    </x:row>
    <x:row r="231">
      <x:c r="A231" s="24" t="str">
        <x:v>JPN</x:v>
      </x:c>
      <x:c r="B231" s="24" t="str">
        <x:v>Japan</x:v>
      </x:c>
      <x:c r="C231" s="24" t="str">
        <x:v>JPN</x:v>
      </x:c>
      <x:c r="D231" s="24" t="n">
        <x:v>2026</x:v>
      </x:c>
      <x:c r="E231" s="37" t="n">
        <x:v>0.87</x:v>
      </x:c>
      <x:c r="F231" s="38" t="n">
        <x:v>123301089</x:v>
      </x:c>
      <x:c r="G231" s="38" t="n">
        <x:v>122656354</x:v>
      </x:c>
      <x:c r="H231" s="39" t="n">
        <x:f>G231/F231</x:f>
        <x:v>0.9947710518598907</x:v>
      </x:c>
      <x:c r="I231" s="40" t="n">
        <x:v>5947243280000</x:v>
      </x:c>
      <x:c r="J231" s="40" t="n">
        <x:v>5174101653600</x:v>
      </x:c>
      <x:c r="K231" s="40" t="n">
        <x:v>41963</x:v>
      </x:c>
      <x:c r="L231" s="40" t="n">
        <x:v>31062</x:v>
      </x:c>
      <x:c r="M231" s="40" t="n">
        <x:v>51510</x:v>
      </x:c>
      <x:c r="N231" s="41" t="n">
        <x:f>MIN(L231,M231)</x:f>
        <x:v>31062</x:v>
      </x:c>
      <x:c r="O231" s="41" t="n">
        <x:f>MAX(L231,M231)</x:f>
        <x:v>51510</x:v>
      </x:c>
      <x:c r="P231" s="41" t="n">
        <x:f>MAX(N231,MIN(K231,O231))</x:f>
        <x:v>41963</x:v>
      </x:c>
      <x:c r="Q231" s="19" t="str">
        <x:f>IF(K231&lt;N231,IF(N231=L231,"clamped_to_nominal","clamped_to_ppp"),IF(K231&gt;O231,IF(O231=L231,"clamped_to_nominal","clamped_to_ppp"),"kept_vanilla"))</x:f>
        <x:v>kept_vanilla</x:v>
      </x:c>
      <x:c r="R231" s="41" t="n">
        <x:f>P231*G231</x:f>
        <x:v>5147028582902</x:v>
      </x:c>
      <x:c r="S231" s="41" t="n">
        <x:f>R231/E231</x:f>
        <x:v>5916124807933.333</x:v>
      </x:c>
      <x:c r="T231" s="36" t="str">
        <x:v>JPN: IMF exact 2026</x:v>
      </x:c>
      <x:c r="U231" s="36" t="str">
        <x:v>JPN: IMF exact 2026</x:v>
      </x:c>
      <x:c r="V231" s="36" t="str">
        <x:v>JPN: IMF exact 2026</x:v>
      </x:c>
      <x:c r="W231" s="36" t="str">
        <x:v>complete_primary</x:v>
      </x:c>
      <x:c r="X231" s="36" t="str">
        <x:v>https://api.imf.org/external/sdmx/3.0/data/dataflow/IMF.RES/WEO/9.0.0/</x:v>
      </x:c>
      <x:c r="Y231" s="36" t="str">
        <x:v>https://api.worldbank.org/v2/</x:v>
      </x:c>
    </x:row>
    <x:row r="232">
      <x:c r="A232" s="24" t="str">
        <x:v>JOR</x:v>
      </x:c>
      <x:c r="B232" s="24" t="str">
        <x:v>Jordan</x:v>
      </x:c>
      <x:c r="C232" s="24" t="str">
        <x:v>JOR</x:v>
      </x:c>
      <x:c r="D232" s="24" t="n">
        <x:v>2003</x:v>
      </x:c>
      <x:c r="E232" s="37" t="n">
        <x:v>1.59</x:v>
      </x:c>
      <x:c r="F232" s="38" t="n">
        <x:v>5741828</x:v>
      </x:c>
      <x:c r="G232" s="38" t="n">
        <x:v>5396117</x:v>
      </x:c>
      <x:c r="H232" s="39" t="n">
        <x:f>G232/F232</x:f>
        <x:v>0.9397907774318562</x:v>
      </x:c>
      <x:c r="I232" s="40" t="n">
        <x:v>22336257310</x:v>
      </x:c>
      <x:c r="J232" s="40" t="n">
        <x:v>35514649123</x:v>
      </x:c>
      <x:c r="K232" s="40" t="n">
        <x:v>6185</x:v>
      </x:c>
      <x:c r="L232" s="40" t="n">
        <x:v>3442</x:v>
      </x:c>
      <x:c r="M232" s="40" t="n">
        <x:v>12118</x:v>
      </x:c>
      <x:c r="N232" s="41" t="n">
        <x:f>MIN(L232,M232)</x:f>
        <x:v>3442</x:v>
      </x:c>
      <x:c r="O232" s="41" t="n">
        <x:f>MAX(L232,M232)</x:f>
        <x:v>12118</x:v>
      </x:c>
      <x:c r="P232" s="41" t="n">
        <x:f>MAX(N232,MIN(K232,O232))</x:f>
        <x:v>6185</x:v>
      </x:c>
      <x:c r="Q232" s="19" t="str">
        <x:f>IF(K232&lt;N232,IF(N232=L232,"clamped_to_nominal","clamped_to_ppp"),IF(K232&gt;O232,IF(O232=L232,"clamped_to_nominal","clamped_to_ppp"),"kept_vanilla"))</x:f>
        <x:v>kept_vanilla</x:v>
      </x:c>
      <x:c r="R232" s="41" t="n">
        <x:f>P232*G232</x:f>
        <x:v>33374983645</x:v>
      </x:c>
      <x:c r="S232" s="41" t="n">
        <x:f>R232/E232</x:f>
        <x:v>20990555751.572327</x:v>
      </x:c>
      <x:c r="T232" s="36" t="str">
        <x:v>JOR: IMF exact 2003</x:v>
      </x:c>
      <x:c r="U232" s="36" t="str">
        <x:v>JOR: IMF exact 2003</x:v>
      </x:c>
      <x:c r="V232" s="36" t="str">
        <x:v>JOR: IMF exact 2003</x:v>
      </x:c>
      <x:c r="W232" s="36" t="str">
        <x:v>complete_primary</x:v>
      </x:c>
      <x:c r="X232" s="36" t="str">
        <x:v>https://api.imf.org/external/sdmx/3.0/data/dataflow/IMF.RES/WEO/9.0.0/</x:v>
      </x:c>
      <x:c r="Y232" s="36" t="str">
        <x:v>https://api.worldbank.org/v2/</x:v>
      </x:c>
    </x:row>
    <x:row r="233">
      <x:c r="A233" s="24" t="str">
        <x:v>JOR</x:v>
      </x:c>
      <x:c r="B233" s="24" t="str">
        <x:v>Jordan</x:v>
      </x:c>
      <x:c r="C233" s="24" t="str">
        <x:v>JOR</x:v>
      </x:c>
      <x:c r="D233" s="24" t="n">
        <x:v>2022</x:v>
      </x:c>
      <x:c r="E233" s="37" t="n">
        <x:v>1</x:v>
      </x:c>
      <x:c r="F233" s="38" t="n">
        <x:v>10305281</x:v>
      </x:c>
      <x:c r="G233" s="38" t="n">
        <x:v>11256264</x:v>
      </x:c>
      <x:c r="H233" s="39" t="n">
        <x:f>G233/F233</x:f>
        <x:v>1.0922811323631059</x:v>
      </x:c>
      <x:c r="I233" s="40" t="n">
        <x:v>107518400000</x:v>
      </x:c>
      <x:c r="J233" s="40" t="n">
        <x:v>107518400000</x:v>
      </x:c>
      <x:c r="K233" s="40" t="n">
        <x:v>10433</x:v>
      </x:c>
      <x:c r="L233" s="40" t="n">
        <x:v>4761</x:v>
      </x:c>
      <x:c r="M233" s="40" t="n">
        <x:v>10881</x:v>
      </x:c>
      <x:c r="N233" s="41" t="n">
        <x:f>MIN(L233,M233)</x:f>
        <x:v>4761</x:v>
      </x:c>
      <x:c r="O233" s="41" t="n">
        <x:f>MAX(L233,M233)</x:f>
        <x:v>10881</x:v>
      </x:c>
      <x:c r="P233" s="41" t="n">
        <x:f>MAX(N233,MIN(K233,O233))</x:f>
        <x:v>10433</x:v>
      </x:c>
      <x:c r="Q233" s="19" t="str">
        <x:f>IF(K233&lt;N233,IF(N233=L233,"clamped_to_nominal","clamped_to_ppp"),IF(K233&gt;O233,IF(O233=L233,"clamped_to_nominal","clamped_to_ppp"),"kept_vanilla"))</x:f>
        <x:v>kept_vanilla</x:v>
      </x:c>
      <x:c r="R233" s="41" t="n">
        <x:f>P233*G233</x:f>
        <x:v>117436602312</x:v>
      </x:c>
      <x:c r="S233" s="41" t="n">
        <x:f>R233/E233</x:f>
        <x:v>117436602312</x:v>
      </x:c>
      <x:c r="T233" s="36" t="str">
        <x:v>JOR: IMF exact 2022</x:v>
      </x:c>
      <x:c r="U233" s="36" t="str">
        <x:v>JOR: IMF exact 2022</x:v>
      </x:c>
      <x:c r="V233" s="36" t="str">
        <x:v>JOR: IMF exact 2022</x:v>
      </x:c>
      <x:c r="W233" s="36" t="str">
        <x:v>complete_primary</x:v>
      </x:c>
      <x:c r="X233" s="36" t="str">
        <x:v>https://api.imf.org/external/sdmx/3.0/data/dataflow/IMF.RES/WEO/9.0.0/</x:v>
      </x:c>
      <x:c r="Y233" s="36" t="str">
        <x:v>https://api.worldbank.org/v2/</x:v>
      </x:c>
    </x:row>
    <x:row r="234">
      <x:c r="A234" s="24" t="str">
        <x:v>JOR</x:v>
      </x:c>
      <x:c r="B234" s="24" t="str">
        <x:v>Jordan</x:v>
      </x:c>
      <x:c r="C234" s="24" t="str">
        <x:v>JOR</x:v>
      </x:c>
      <x:c r="D234" s="24" t="n">
        <x:v>2026</x:v>
      </x:c>
      <x:c r="E234" s="37" t="n">
        <x:v>0.87</x:v>
      </x:c>
      <x:c r="F234" s="38" t="n">
        <x:v>11589533</x:v>
      </x:c>
      <x:c r="G234" s="38" t="n">
        <x:v>11589533</x:v>
      </x:c>
      <x:c r="H234" s="39" t="n">
        <x:f>G234/F234</x:f>
        <x:v>1</x:v>
      </x:c>
      <x:c r="I234" s="40" t="n">
        <x:v>115875760000</x:v>
      </x:c>
      <x:c r="J234" s="40" t="n">
        <x:v>100811911200</x:v>
      </x:c>
      <x:c r="K234" s="40" t="n">
        <x:v>8699</x:v>
      </x:c>
      <x:c r="L234" s="40" t="n">
        <x:v>4873</x:v>
      </x:c>
      <x:c r="M234" s="40" t="n">
        <x:v>11534</x:v>
      </x:c>
      <x:c r="N234" s="41" t="n">
        <x:f>MIN(L234,M234)</x:f>
        <x:v>4873</x:v>
      </x:c>
      <x:c r="O234" s="41" t="n">
        <x:f>MAX(L234,M234)</x:f>
        <x:v>11534</x:v>
      </x:c>
      <x:c r="P234" s="41" t="n">
        <x:f>MAX(N234,MIN(K234,O234))</x:f>
        <x:v>8699</x:v>
      </x:c>
      <x:c r="Q234" s="19" t="str">
        <x:f>IF(K234&lt;N234,IF(N234=L234,"clamped_to_nominal","clamped_to_ppp"),IF(K234&gt;O234,IF(O234=L234,"clamped_to_nominal","clamped_to_ppp"),"kept_vanilla"))</x:f>
        <x:v>kept_vanilla</x:v>
      </x:c>
      <x:c r="R234" s="41" t="n">
        <x:f>P234*G234</x:f>
        <x:v>100817347567</x:v>
      </x:c>
      <x:c r="S234" s="41" t="n">
        <x:f>R234/E234</x:f>
        <x:v>115882008697.70116</x:v>
      </x:c>
      <x:c r="T234" s="36" t="str">
        <x:v>JOR: IMF exact 2026</x:v>
      </x:c>
      <x:c r="U234" s="36" t="str">
        <x:v>JOR: IMF exact 2026</x:v>
      </x:c>
      <x:c r="V234" s="36" t="str">
        <x:v>JOR: IMF exact 2026</x:v>
      </x:c>
      <x:c r="W234" s="36" t="str">
        <x:v>complete_primary</x:v>
      </x:c>
      <x:c r="X234" s="36" t="str">
        <x:v>https://api.imf.org/external/sdmx/3.0/data/dataflow/IMF.RES/WEO/9.0.0/</x:v>
      </x:c>
      <x:c r="Y234" s="36" t="str">
        <x:v>https://api.worldbank.org/v2/</x:v>
      </x:c>
    </x:row>
    <x:row r="235">
      <x:c r="A235" s="24" t="str">
        <x:v>KAZ</x:v>
      </x:c>
      <x:c r="B235" s="24" t="str">
        <x:v>Kazakhstan</x:v>
      </x:c>
      <x:c r="C235" s="24" t="str">
        <x:v>KAZ</x:v>
      </x:c>
      <x:c r="D235" s="24" t="n">
        <x:v>2003</x:v>
      </x:c>
      <x:c r="E235" s="37" t="n">
        <x:v>1.59</x:v>
      </x:c>
      <x:c r="F235" s="38" t="n">
        <x:v>15747380</x:v>
      </x:c>
      <x:c r="G235" s="38" t="n">
        <x:v>14909018</x:v>
      </x:c>
      <x:c r="H235" s="39" t="n">
        <x:f>G235/F235</x:f>
        <x:v>0.9467618105361019</x:v>
      </x:c>
      <x:c r="I235" s="40" t="n">
        <x:v>93819883041</x:v>
      </x:c>
      <x:c r="J235" s="40" t="n">
        <x:v>149173614035</x:v>
      </x:c>
      <x:c r="K235" s="40" t="n">
        <x:v>9473</x:v>
      </x:c>
      <x:c r="L235" s="40" t="n">
        <x:v>3288</x:v>
      </x:c>
      <x:c r="M235" s="40" t="n">
        <x:v>17110</x:v>
      </x:c>
      <x:c r="N235" s="41" t="n">
        <x:f>MIN(L235,M235)</x:f>
        <x:v>3288</x:v>
      </x:c>
      <x:c r="O235" s="41" t="n">
        <x:f>MAX(L235,M235)</x:f>
        <x:v>17110</x:v>
      </x:c>
      <x:c r="P235" s="41" t="n">
        <x:f>MAX(N235,MIN(K235,O235))</x:f>
        <x:v>9473</x:v>
      </x:c>
      <x:c r="Q235" s="19" t="str">
        <x:f>IF(K235&lt;N235,IF(N235=L235,"clamped_to_nominal","clamped_to_ppp"),IF(K235&gt;O235,IF(O235=L235,"clamped_to_nominal","clamped_to_ppp"),"kept_vanilla"))</x:f>
        <x:v>kept_vanilla</x:v>
      </x:c>
      <x:c r="R235" s="41" t="n">
        <x:f>P235*G235</x:f>
        <x:v>141233127514</x:v>
      </x:c>
      <x:c r="S235" s="41" t="n">
        <x:f>R235/E235</x:f>
        <x:v>88825866361.00629</x:v>
      </x:c>
      <x:c r="T235" s="36" t="str">
        <x:v>KAZ: IMF exact 2003</x:v>
      </x:c>
      <x:c r="U235" s="36" t="str">
        <x:v>KAZ: IMF exact 2003</x:v>
      </x:c>
      <x:c r="V235" s="36" t="str">
        <x:v>KAZ: IMF exact 2003</x:v>
      </x:c>
      <x:c r="W235" s="36" t="str">
        <x:v>complete_primary</x:v>
      </x:c>
      <x:c r="X235" s="36" t="str">
        <x:v>https://api.imf.org/external/sdmx/3.0/data/dataflow/IMF.RES/WEO/9.0.0/</x:v>
      </x:c>
      <x:c r="Y235" s="36" t="str">
        <x:v>https://api.worldbank.org/v2/</x:v>
      </x:c>
    </x:row>
    <x:row r="236">
      <x:c r="A236" s="24" t="str">
        <x:v>KAZ</x:v>
      </x:c>
      <x:c r="B236" s="24" t="str">
        <x:v>Kazakhstan</x:v>
      </x:c>
      <x:c r="C236" s="24" t="str">
        <x:v>KAZ</x:v>
      </x:c>
      <x:c r="D236" s="24" t="n">
        <x:v>2022</x:v>
      </x:c>
      <x:c r="E236" s="37" t="n">
        <x:v>1</x:v>
      </x:c>
      <x:c r="F236" s="38" t="n">
        <x:v>19270456</x:v>
      </x:c>
      <x:c r="G236" s="38" t="n">
        <x:v>19634983</x:v>
      </x:c>
      <x:c r="H236" s="39" t="n">
        <x:f>G236/F236</x:f>
        <x:v>1.0189163660683485</x:v>
      </x:c>
      <x:c r="I236" s="40" t="n">
        <x:v>519525600000</x:v>
      </x:c>
      <x:c r="J236" s="40" t="n">
        <x:v>519525600000</x:v>
      </x:c>
      <x:c r="K236" s="40" t="n">
        <x:v>26960</x:v>
      </x:c>
      <x:c r="L236" s="40" t="n">
        <x:v>11484</x:v>
      </x:c>
      <x:c r="M236" s="40" t="n">
        <x:v>36620</x:v>
      </x:c>
      <x:c r="N236" s="41" t="n">
        <x:f>MIN(L236,M236)</x:f>
        <x:v>11484</x:v>
      </x:c>
      <x:c r="O236" s="41" t="n">
        <x:f>MAX(L236,M236)</x:f>
        <x:v>36620</x:v>
      </x:c>
      <x:c r="P236" s="41" t="n">
        <x:f>MAX(N236,MIN(K236,O236))</x:f>
        <x:v>26960</x:v>
      </x:c>
      <x:c r="Q236" s="19" t="str">
        <x:f>IF(K236&lt;N236,IF(N236=L236,"clamped_to_nominal","clamped_to_ppp"),IF(K236&gt;O236,IF(O236=L236,"clamped_to_nominal","clamped_to_ppp"),"kept_vanilla"))</x:f>
        <x:v>kept_vanilla</x:v>
      </x:c>
      <x:c r="R236" s="41" t="n">
        <x:f>P236*G236</x:f>
        <x:v>529359141680</x:v>
      </x:c>
      <x:c r="S236" s="41" t="n">
        <x:f>R236/E236</x:f>
        <x:v>529359141680</x:v>
      </x:c>
      <x:c r="T236" s="36" t="str">
        <x:v>KAZ: IMF exact 2022</x:v>
      </x:c>
      <x:c r="U236" s="36" t="str">
        <x:v>KAZ: IMF exact 2022</x:v>
      </x:c>
      <x:c r="V236" s="36" t="str">
        <x:v>KAZ: IMF exact 2022</x:v>
      </x:c>
      <x:c r="W236" s="36" t="str">
        <x:v>complete_primary</x:v>
      </x:c>
      <x:c r="X236" s="36" t="str">
        <x:v>https://api.imf.org/external/sdmx/3.0/data/dataflow/IMF.RES/WEO/9.0.0/</x:v>
      </x:c>
      <x:c r="Y236" s="36" t="str">
        <x:v>https://api.worldbank.org/v2/</x:v>
      </x:c>
    </x:row>
    <x:row r="237">
      <x:c r="A237" s="24" t="str">
        <x:v>KAZ</x:v>
      </x:c>
      <x:c r="B237" s="24" t="str">
        <x:v>Kazakhstan</x:v>
      </x:c>
      <x:c r="C237" s="24" t="str">
        <x:v>KAZ</x:v>
      </x:c>
      <x:c r="D237" s="24" t="n">
        <x:v>2026</x:v>
      </x:c>
      <x:c r="E237" s="37" t="n">
        <x:v>0.87</x:v>
      </x:c>
      <x:c r="F237" s="38" t="n">
        <x:v>21083626</x:v>
      </x:c>
      <x:c r="G237" s="38" t="n">
        <x:v>20594360</x:v>
      </x:c>
      <x:c r="H237" s="39" t="n">
        <x:f>G237/F237</x:f>
        <x:v>0.9767940296417703</x:v>
      </x:c>
      <x:c r="I237" s="40" t="n">
        <x:v>795956480000</x:v>
      </x:c>
      <x:c r="J237" s="40" t="n">
        <x:v>692482137600</x:v>
      </x:c>
      <x:c r="K237" s="40" t="n">
        <x:v>32845</x:v>
      </x:c>
      <x:c r="L237" s="40" t="n">
        <x:v>15227</x:v>
      </x:c>
      <x:c r="M237" s="40" t="n">
        <x:v>41977</x:v>
      </x:c>
      <x:c r="N237" s="41" t="n">
        <x:f>MIN(L237,M237)</x:f>
        <x:v>15227</x:v>
      </x:c>
      <x:c r="O237" s="41" t="n">
        <x:f>MAX(L237,M237)</x:f>
        <x:v>41977</x:v>
      </x:c>
      <x:c r="P237" s="41" t="n">
        <x:f>MAX(N237,MIN(K237,O237))</x:f>
        <x:v>32845</x:v>
      </x:c>
      <x:c r="Q237" s="19" t="str">
        <x:f>IF(K237&lt;N237,IF(N237=L237,"clamped_to_nominal","clamped_to_ppp"),IF(K237&gt;O237,IF(O237=L237,"clamped_to_nominal","clamped_to_ppp"),"kept_vanilla"))</x:f>
        <x:v>kept_vanilla</x:v>
      </x:c>
      <x:c r="R237" s="41" t="n">
        <x:f>P237*G237</x:f>
        <x:v>676421754200</x:v>
      </x:c>
      <x:c r="S237" s="41" t="n">
        <x:f>R237/E237</x:f>
        <x:v>777496269195.4023</x:v>
      </x:c>
      <x:c r="T237" s="36" t="str">
        <x:v>KAZ: IMF exact 2026</x:v>
      </x:c>
      <x:c r="U237" s="36" t="str">
        <x:v>KAZ: IMF exact 2026</x:v>
      </x:c>
      <x:c r="V237" s="36" t="str">
        <x:v>KAZ: IMF exact 2026</x:v>
      </x:c>
      <x:c r="W237" s="36" t="str">
        <x:v>complete_primary</x:v>
      </x:c>
      <x:c r="X237" s="36" t="str">
        <x:v>https://api.imf.org/external/sdmx/3.0/data/dataflow/IMF.RES/WEO/9.0.0/</x:v>
      </x:c>
      <x:c r="Y237" s="36" t="str">
        <x:v>https://api.worldbank.org/v2/</x:v>
      </x:c>
    </x:row>
    <x:row r="238">
      <x:c r="A238" s="24" t="str">
        <x:v>KEN</x:v>
      </x:c>
      <x:c r="B238" s="24" t="str">
        <x:v>Kenya</x:v>
      </x:c>
      <x:c r="C238" s="24" t="str">
        <x:v>KEN</x:v>
      </x:c>
      <x:c r="D238" s="24" t="n">
        <x:v>2003</x:v>
      </x:c>
      <x:c r="E238" s="37" t="n">
        <x:v>1.59</x:v>
      </x:c>
      <x:c r="F238" s="38" t="n">
        <x:v>33652223</x:v>
      </x:c>
      <x:c r="G238" s="38" t="n">
        <x:v>32000000</x:v>
      </x:c>
      <x:c r="H238" s="39" t="n">
        <x:f>G238/F238</x:f>
        <x:v>0.9509030057241686</x:v>
      </x:c>
      <x:c r="I238" s="40" t="n">
        <x:v>48605263158</x:v>
      </x:c>
      <x:c r="J238" s="40" t="n">
        <x:v>77282368421</x:v>
      </x:c>
      <x:c r="K238" s="40" t="n">
        <x:v>2297</x:v>
      </x:c>
      <x:c r="L238" s="40" t="n">
        <x:v>1063</x:v>
      </x:c>
      <x:c r="M238" s="40" t="n">
        <x:v>4130</x:v>
      </x:c>
      <x:c r="N238" s="41" t="n">
        <x:f>MIN(L238,M238)</x:f>
        <x:v>1063</x:v>
      </x:c>
      <x:c r="O238" s="41" t="n">
        <x:f>MAX(L238,M238)</x:f>
        <x:v>4130</x:v>
      </x:c>
      <x:c r="P238" s="41" t="n">
        <x:f>MAX(N238,MIN(K238,O238))</x:f>
        <x:v>2297</x:v>
      </x:c>
      <x:c r="Q238" s="19" t="str">
        <x:f>IF(K238&lt;N238,IF(N238=L238,"clamped_to_nominal","clamped_to_ppp"),IF(K238&gt;O238,IF(O238=L238,"clamped_to_nominal","clamped_to_ppp"),"kept_vanilla"))</x:f>
        <x:v>kept_vanilla</x:v>
      </x:c>
      <x:c r="R238" s="41" t="n">
        <x:f>P238*G238</x:f>
        <x:v>73504000000</x:v>
      </x:c>
      <x:c r="S238" s="41" t="n">
        <x:f>R238/E238</x:f>
        <x:v>46228930817.61006</x:v>
      </x:c>
      <x:c r="T238" s="36" t="str">
        <x:v>KEN: IMF exact 2003</x:v>
      </x:c>
      <x:c r="U238" s="36" t="str">
        <x:v>KEN: IMF exact 2003</x:v>
      </x:c>
      <x:c r="V238" s="36" t="str">
        <x:v>KEN: IMF exact 2003</x:v>
      </x:c>
      <x:c r="W238" s="36" t="str">
        <x:v>complete_primary</x:v>
      </x:c>
      <x:c r="X238" s="36" t="str">
        <x:v>https://api.imf.org/external/sdmx/3.0/data/dataflow/IMF.RES/WEO/9.0.0/</x:v>
      </x:c>
      <x:c r="Y238" s="36" t="str">
        <x:v>https://api.worldbank.org/v2/</x:v>
      </x:c>
    </x:row>
    <x:row r="239">
      <x:c r="A239" s="24" t="str">
        <x:v>KEN</x:v>
      </x:c>
      <x:c r="B239" s="24" t="str">
        <x:v>Kenya</x:v>
      </x:c>
      <x:c r="C239" s="24" t="str">
        <x:v>KEN</x:v>
      </x:c>
      <x:c r="D239" s="24" t="n">
        <x:v>2022</x:v>
      </x:c>
      <x:c r="E239" s="37" t="n">
        <x:v>1</x:v>
      </x:c>
      <x:c r="F239" s="38" t="n">
        <x:v>56602375</x:v>
      </x:c>
      <x:c r="G239" s="38" t="n">
        <x:v>50639872</x:v>
      </x:c>
      <x:c r="H239" s="39" t="n">
        <x:f>G239/F239</x:f>
        <x:v>0.8946598442203176</x:v>
      </x:c>
      <x:c r="I239" s="40" t="n">
        <x:v>271630480000</x:v>
      </x:c>
      <x:c r="J239" s="40" t="n">
        <x:v>271630480000</x:v>
      </x:c>
      <x:c r="K239" s="40" t="n">
        <x:v>4799</x:v>
      </x:c>
      <x:c r="L239" s="40" t="n">
        <x:v>2266</x:v>
      </x:c>
      <x:c r="M239" s="40" t="n">
        <x:v>6302</x:v>
      </x:c>
      <x:c r="N239" s="41" t="n">
        <x:f>MIN(L239,M239)</x:f>
        <x:v>2266</x:v>
      </x:c>
      <x:c r="O239" s="41" t="n">
        <x:f>MAX(L239,M239)</x:f>
        <x:v>6302</x:v>
      </x:c>
      <x:c r="P239" s="41" t="n">
        <x:f>MAX(N239,MIN(K239,O239))</x:f>
        <x:v>4799</x:v>
      </x:c>
      <x:c r="Q239" s="19" t="str">
        <x:f>IF(K239&lt;N239,IF(N239=L239,"clamped_to_nominal","clamped_to_ppp"),IF(K239&gt;O239,IF(O239=L239,"clamped_to_nominal","clamped_to_ppp"),"kept_vanilla"))</x:f>
        <x:v>kept_vanilla</x:v>
      </x:c>
      <x:c r="R239" s="41" t="n">
        <x:f>P239*G239</x:f>
        <x:v>243020745728</x:v>
      </x:c>
      <x:c r="S239" s="41" t="n">
        <x:f>R239/E239</x:f>
        <x:v>243020745728</x:v>
      </x:c>
      <x:c r="T239" s="36" t="str">
        <x:v>KEN: IMF exact 2022</x:v>
      </x:c>
      <x:c r="U239" s="36" t="str">
        <x:v>KEN: IMF exact 2022</x:v>
      </x:c>
      <x:c r="V239" s="36" t="str">
        <x:v>KEN: IMF exact 2022</x:v>
      </x:c>
      <x:c r="W239" s="36" t="str">
        <x:v>complete_primary</x:v>
      </x:c>
      <x:c r="X239" s="36" t="str">
        <x:v>https://api.imf.org/external/sdmx/3.0/data/dataflow/IMF.RES/WEO/9.0.0/</x:v>
      </x:c>
      <x:c r="Y239" s="36" t="str">
        <x:v>https://api.worldbank.org/v2/</x:v>
      </x:c>
    </x:row>
    <x:row r="240">
      <x:c r="A240" s="24" t="str">
        <x:v>KEN</x:v>
      </x:c>
      <x:c r="B240" s="24" t="str">
        <x:v>Kenya</x:v>
      </x:c>
      <x:c r="C240" s="24" t="str">
        <x:v>KEN</x:v>
      </x:c>
      <x:c r="D240" s="24" t="n">
        <x:v>2026</x:v>
      </x:c>
      <x:c r="E240" s="37" t="n">
        <x:v>0.87</x:v>
      </x:c>
      <x:c r="F240" s="38" t="n">
        <x:v>58636411</x:v>
      </x:c>
      <x:c r="G240" s="38" t="n">
        <x:v>54269110</x:v>
      </x:c>
      <x:c r="H240" s="39" t="n">
        <x:f>G240/F240</x:f>
        <x:v>0.9255189578366247</x:v>
      </x:c>
      <x:c r="I240" s="40" t="n">
        <x:v>353731840000</x:v>
      </x:c>
      <x:c r="J240" s="40" t="n">
        <x:v>307746700800</x:v>
      </x:c>
      <x:c r="K240" s="40" t="n">
        <x:v>5248</x:v>
      </x:c>
      <x:c r="L240" s="40" t="n">
        <x:v>2361</x:v>
      </x:c>
      <x:c r="M240" s="40" t="n">
        <x:v>6977</x:v>
      </x:c>
      <x:c r="N240" s="41" t="n">
        <x:f>MIN(L240,M240)</x:f>
        <x:v>2361</x:v>
      </x:c>
      <x:c r="O240" s="41" t="n">
        <x:f>MAX(L240,M240)</x:f>
        <x:v>6977</x:v>
      </x:c>
      <x:c r="P240" s="41" t="n">
        <x:f>MAX(N240,MIN(K240,O240))</x:f>
        <x:v>5248</x:v>
      </x:c>
      <x:c r="Q240" s="19" t="str">
        <x:f>IF(K240&lt;N240,IF(N240=L240,"clamped_to_nominal","clamped_to_ppp"),IF(K240&gt;O240,IF(O240=L240,"clamped_to_nominal","clamped_to_ppp"),"kept_vanilla"))</x:f>
        <x:v>kept_vanilla</x:v>
      </x:c>
      <x:c r="R240" s="41" t="n">
        <x:f>P240*G240</x:f>
        <x:v>284804289280</x:v>
      </x:c>
      <x:c r="S240" s="41" t="n">
        <x:f>R240/E240</x:f>
        <x:v>327361252045.977</x:v>
      </x:c>
      <x:c r="T240" s="36" t="str">
        <x:v>KEN: IMF exact 2026</x:v>
      </x:c>
      <x:c r="U240" s="36" t="str">
        <x:v>KEN: IMF exact 2026</x:v>
      </x:c>
      <x:c r="V240" s="36" t="str">
        <x:v>KEN: IMF exact 2026</x:v>
      </x:c>
      <x:c r="W240" s="36" t="str">
        <x:v>complete_primary</x:v>
      </x:c>
      <x:c r="X240" s="36" t="str">
        <x:v>https://api.imf.org/external/sdmx/3.0/data/dataflow/IMF.RES/WEO/9.0.0/</x:v>
      </x:c>
      <x:c r="Y240" s="36" t="str">
        <x:v>https://api.worldbank.org/v2/</x:v>
      </x:c>
    </x:row>
    <x:row r="241">
      <x:c r="A241" s="24" t="str">
        <x:v>KOS</x:v>
      </x:c>
      <x:c r="B241" s="24" t="str">
        <x:v>Kosovo</x:v>
      </x:c>
      <x:c r="C241" s="24" t="str">
        <x:v>KOS</x:v>
      </x:c>
      <x:c r="D241" s="24" t="n">
        <x:v>2003</x:v>
      </x:c>
      <x:c r="E241" s="37" t="n">
        <x:v>1.59</x:v>
      </x:c>
      <x:c r="F241" s="38" t="n">
        <x:v>1826434</x:v>
      </x:c>
      <x:c r="G241" s="38" t="n">
        <x:v>1536968</x:v>
      </x:c>
      <x:c r="H241" s="39" t="n">
        <x:f>G241/F241</x:f>
        <x:v>0.8415130248341851</x:v>
      </x:c>
      <x:c r="I241" s="40" t="n">
        <x:v>4871345029</x:v>
      </x:c>
      <x:c r="J241" s="40" t="n">
        <x:v>7745438596</x:v>
      </x:c>
      <x:c r="K241" s="40" t="n">
        <x:v>4241</x:v>
      </x:c>
      <x:c r="L241" s="40" t="n">
        <x:v>3507</x:v>
      </x:c>
      <x:c r="M241" s="40" t="n">
        <x:v>8618</x:v>
      </x:c>
      <x:c r="N241" s="41" t="n">
        <x:f>MIN(L241,M241)</x:f>
        <x:v>3507</x:v>
      </x:c>
      <x:c r="O241" s="41" t="n">
        <x:f>MAX(L241,M241)</x:f>
        <x:v>8618</x:v>
      </x:c>
      <x:c r="P241" s="41" t="n">
        <x:f>MAX(N241,MIN(K241,O241))</x:f>
        <x:v>4241</x:v>
      </x:c>
      <x:c r="Q241" s="19" t="str">
        <x:f>IF(K241&lt;N241,IF(N241=L241,"clamped_to_nominal","clamped_to_ppp"),IF(K241&gt;O241,IF(O241=L241,"clamped_to_nominal","clamped_to_ppp"),"kept_vanilla"))</x:f>
        <x:v>kept_vanilla</x:v>
      </x:c>
      <x:c r="R241" s="41" t="n">
        <x:f>P241*G241</x:f>
        <x:v>6518281288</x:v>
      </x:c>
      <x:c r="S241" s="41" t="n">
        <x:f>R241/E241</x:f>
        <x:v>4099547979.8742137</x:v>
      </x:c>
      <x:c r="T241" s="36" t="str">
        <x:v>KOS: IMF exact 2003</x:v>
      </x:c>
      <x:c r="U241" s="36" t="str">
        <x:v>KOS: IMF exact 2003</x:v>
      </x:c>
      <x:c r="V241" s="36" t="str">
        <x:v>KOS: IMF exact 2003</x:v>
      </x:c>
      <x:c r="W241" s="36" t="str">
        <x:v>complete_primary</x:v>
      </x:c>
      <x:c r="X241" s="36" t="str">
        <x:v>https://api.imf.org/external/sdmx/3.0/data/dataflow/IMF.RES/WEO/9.0.0/</x:v>
      </x:c>
      <x:c r="Y241" s="36" t="str">
        <x:v>https://api.worldbank.org/v2/</x:v>
      </x:c>
    </x:row>
    <x:row r="242">
      <x:c r="A242" s="24" t="str">
        <x:v>KOS</x:v>
      </x:c>
      <x:c r="B242" s="24" t="str">
        <x:v>Kosovo</x:v>
      </x:c>
      <x:c r="C242" s="24" t="str">
        <x:v>KOS</x:v>
      </x:c>
      <x:c r="D242" s="24" t="n">
        <x:v>2022</x:v>
      </x:c>
      <x:c r="E242" s="37" t="n">
        <x:v>1</x:v>
      </x:c>
      <x:c r="F242" s="38" t="n">
        <x:v>1768942</x:v>
      </x:c>
      <x:c r="G242" s="38" t="n">
        <x:v>1762220</x:v>
      </x:c>
      <x:c r="H242" s="39" t="n">
        <x:f>G242/F242</x:f>
        <x:v>0.996199988467683</x:v>
      </x:c>
      <x:c r="I242" s="40" t="n">
        <x:v>22166320000</x:v>
      </x:c>
      <x:c r="J242" s="40" t="n">
        <x:v>22166320000</x:v>
      </x:c>
      <x:c r="K242" s="40" t="n">
        <x:v>12531</x:v>
      </x:c>
      <x:c r="L242" s="40" t="n">
        <x:v>5320</x:v>
      </x:c>
      <x:c r="M242" s="40" t="n">
        <x:v>14824</x:v>
      </x:c>
      <x:c r="N242" s="41" t="n">
        <x:f>MIN(L242,M242)</x:f>
        <x:v>5320</x:v>
      </x:c>
      <x:c r="O242" s="41" t="n">
        <x:f>MAX(L242,M242)</x:f>
        <x:v>14824</x:v>
      </x:c>
      <x:c r="P242" s="41" t="n">
        <x:f>MAX(N242,MIN(K242,O242))</x:f>
        <x:v>12531</x:v>
      </x:c>
      <x:c r="Q242" s="19" t="str">
        <x:f>IF(K242&lt;N242,IF(N242=L242,"clamped_to_nominal","clamped_to_ppp"),IF(K242&gt;O242,IF(O242=L242,"clamped_to_nominal","clamped_to_ppp"),"kept_vanilla"))</x:f>
        <x:v>kept_vanilla</x:v>
      </x:c>
      <x:c r="R242" s="41" t="n">
        <x:f>P242*G242</x:f>
        <x:v>22082378820</x:v>
      </x:c>
      <x:c r="S242" s="41" t="n">
        <x:f>R242/E242</x:f>
        <x:v>22082378820</x:v>
      </x:c>
      <x:c r="T242" s="36" t="str">
        <x:v>KOS: IMF exact 2022</x:v>
      </x:c>
      <x:c r="U242" s="36" t="str">
        <x:v>KOS: IMF exact 2022</x:v>
      </x:c>
      <x:c r="V242" s="36" t="str">
        <x:v>KOS: IMF exact 2022</x:v>
      </x:c>
      <x:c r="W242" s="36" t="str">
        <x:v>complete_primary</x:v>
      </x:c>
      <x:c r="X242" s="36" t="str">
        <x:v>https://api.imf.org/external/sdmx/3.0/data/dataflow/IMF.RES/WEO/9.0.0/</x:v>
      </x:c>
      <x:c r="Y242" s="36" t="str">
        <x:v>https://api.worldbank.org/v2/</x:v>
      </x:c>
    </x:row>
    <x:row r="243">
      <x:c r="A243" s="24" t="str">
        <x:v>KOS</x:v>
      </x:c>
      <x:c r="B243" s="24" t="str">
        <x:v>Kosovo</x:v>
      </x:c>
      <x:c r="C243" s="24" t="str">
        <x:v>KOS</x:v>
      </x:c>
      <x:c r="D243" s="24" t="n">
        <x:v>2026</x:v>
      </x:c>
      <x:c r="E243" s="37" t="n">
        <x:v>0.87</x:v>
      </x:c>
      <x:c r="F243" s="38" t="n">
        <x:v>1666992</x:v>
      </x:c>
      <x:c r="G243" s="38" t="n">
        <x:v>1568839</x:v>
      </x:c>
      <x:c r="H243" s="39" t="n">
        <x:f>G243/F243</x:f>
        <x:v>0.9411196934358413</x:v>
      </x:c>
      <x:c r="I243" s="40" t="n">
        <x:v>28295520000</x:v>
      </x:c>
      <x:c r="J243" s="40" t="n">
        <x:v>24617102400</x:v>
      </x:c>
      <x:c r="K243" s="40" t="n">
        <x:v>14767</x:v>
      </x:c>
      <x:c r="L243" s="40" t="n">
        <x:v>7793</x:v>
      </x:c>
      <x:c r="M243" s="40" t="n">
        <x:v>18965</x:v>
      </x:c>
      <x:c r="N243" s="41" t="n">
        <x:f>MIN(L243,M243)</x:f>
        <x:v>7793</x:v>
      </x:c>
      <x:c r="O243" s="41" t="n">
        <x:f>MAX(L243,M243)</x:f>
        <x:v>18965</x:v>
      </x:c>
      <x:c r="P243" s="41" t="n">
        <x:f>MAX(N243,MIN(K243,O243))</x:f>
        <x:v>14767</x:v>
      </x:c>
      <x:c r="Q243" s="19" t="str">
        <x:f>IF(K243&lt;N243,IF(N243=L243,"clamped_to_nominal","clamped_to_ppp"),IF(K243&gt;O243,IF(O243=L243,"clamped_to_nominal","clamped_to_ppp"),"kept_vanilla"))</x:f>
        <x:v>kept_vanilla</x:v>
      </x:c>
      <x:c r="R243" s="41" t="n">
        <x:f>P243*G243</x:f>
        <x:v>23167045513</x:v>
      </x:c>
      <x:c r="S243" s="41" t="n">
        <x:f>R243/E243</x:f>
        <x:v>26628787945.977013</x:v>
      </x:c>
      <x:c r="T243" s="36" t="str">
        <x:v>KOS: IMF exact 2026</x:v>
      </x:c>
      <x:c r="U243" s="36" t="str">
        <x:v>KOS: IMF exact 2026</x:v>
      </x:c>
      <x:c r="V243" s="36" t="str">
        <x:v>KOS: IMF exact 2026</x:v>
      </x:c>
      <x:c r="W243" s="36" t="str">
        <x:v>complete_primary</x:v>
      </x:c>
      <x:c r="X243" s="36" t="str">
        <x:v>https://api.imf.org/external/sdmx/3.0/data/dataflow/IMF.RES/WEO/9.0.0/</x:v>
      </x:c>
      <x:c r="Y243" s="36" t="str">
        <x:v>https://api.worldbank.org/v2/</x:v>
      </x:c>
    </x:row>
    <x:row r="244">
      <x:c r="A244" s="24" t="str">
        <x:v>KUW</x:v>
      </x:c>
      <x:c r="B244" s="24" t="str">
        <x:v>Kuwait</x:v>
      </x:c>
      <x:c r="C244" s="24" t="str">
        <x:v>KWT</x:v>
      </x:c>
      <x:c r="D244" s="24" t="n">
        <x:v>2003</x:v>
      </x:c>
      <x:c r="E244" s="37" t="n">
        <x:v>1.59</x:v>
      </x:c>
      <x:c r="F244" s="38" t="n">
        <x:v>2109881</x:v>
      </x:c>
      <x:c r="G244" s="38" t="n">
        <x:v>2325440</x:v>
      </x:c>
      <x:c r="H244" s="39" t="n">
        <x:f>G244/F244</x:f>
        <x:v>1.1021664254998267</x:v>
      </x:c>
      <x:c r="I244" s="40" t="n">
        <x:v>57528070175</x:v>
      </x:c>
      <x:c r="J244" s="40" t="n">
        <x:v>91469631578</x:v>
      </x:c>
      <x:c r="K244" s="40" t="n">
        <x:v>43353</x:v>
      </x:c>
      <x:c r="L244" s="40" t="n">
        <x:v>32730</x:v>
      </x:c>
      <x:c r="M244" s="40" t="n">
        <x:v>67262</x:v>
      </x:c>
      <x:c r="N244" s="41" t="n">
        <x:f>MIN(L244,M244)</x:f>
        <x:v>32730</x:v>
      </x:c>
      <x:c r="O244" s="41" t="n">
        <x:f>MAX(L244,M244)</x:f>
        <x:v>67262</x:v>
      </x:c>
      <x:c r="P244" s="41" t="n">
        <x:f>MAX(N244,MIN(K244,O244))</x:f>
        <x:v>43353</x:v>
      </x:c>
      <x:c r="Q244" s="19" t="str">
        <x:f>IF(K244&lt;N244,IF(N244=L244,"clamped_to_nominal","clamped_to_ppp"),IF(K244&gt;O244,IF(O244=L244,"clamped_to_nominal","clamped_to_ppp"),"kept_vanilla"))</x:f>
        <x:v>kept_vanilla</x:v>
      </x:c>
      <x:c r="R244" s="41" t="n">
        <x:f>P244*G244</x:f>
        <x:v>100814800320</x:v>
      </x:c>
      <x:c r="S244" s="41" t="n">
        <x:f>R244/E244</x:f>
        <x:v>63405534792.45283</x:v>
      </x:c>
      <x:c r="T244" s="36" t="str">
        <x:v>KWT: IMF exact 2003</x:v>
      </x:c>
      <x:c r="U244" s="36" t="str">
        <x:v>KWT: IMF exact 2003</x:v>
      </x:c>
      <x:c r="V244" s="36" t="str">
        <x:v>KWT: IMF exact 2003</x:v>
      </x:c>
      <x:c r="W244" s="36" t="str">
        <x:v>complete_primary</x:v>
      </x:c>
      <x:c r="X244" s="36" t="str">
        <x:v>https://api.imf.org/external/sdmx/3.0/data/dataflow/IMF.RES/WEO/9.0.0/</x:v>
      </x:c>
      <x:c r="Y244" s="36" t="str">
        <x:v>https://api.worldbank.org/v2/</x:v>
      </x:c>
    </x:row>
    <x:row r="245">
      <x:c r="A245" s="24" t="str">
        <x:v>KUW</x:v>
      </x:c>
      <x:c r="B245" s="24" t="str">
        <x:v>Kuwait</x:v>
      </x:c>
      <x:c r="C245" s="24" t="str">
        <x:v>KWT</x:v>
      </x:c>
      <x:c r="D245" s="24" t="n">
        <x:v>2022</x:v>
      </x:c>
      <x:c r="E245" s="37" t="n">
        <x:v>1</x:v>
      </x:c>
      <x:c r="F245" s="38" t="n">
        <x:v>4395432</x:v>
      </x:c>
      <x:c r="G245" s="38" t="n">
        <x:v>4793568</x:v>
      </x:c>
      <x:c r="H245" s="39" t="n">
        <x:f>G245/F245</x:f>
        <x:v>1.090579492527697</x:v>
      </x:c>
      <x:c r="I245" s="40" t="n">
        <x:v>215760160000</x:v>
      </x:c>
      <x:c r="J245" s="40" t="n">
        <x:v>215760160000</x:v>
      </x:c>
      <x:c r="K245" s="40" t="n">
        <x:v>49087</x:v>
      </x:c>
      <x:c r="L245" s="40" t="n">
        <x:v>38289</x:v>
      </x:c>
      <x:c r="M245" s="40" t="n">
        <x:v>52695</x:v>
      </x:c>
      <x:c r="N245" s="41" t="n">
        <x:f>MIN(L245,M245)</x:f>
        <x:v>38289</x:v>
      </x:c>
      <x:c r="O245" s="41" t="n">
        <x:f>MAX(L245,M245)</x:f>
        <x:v>52695</x:v>
      </x:c>
      <x:c r="P245" s="41" t="n">
        <x:f>MAX(N245,MIN(K245,O245))</x:f>
        <x:v>49087</x:v>
      </x:c>
      <x:c r="Q245" s="19" t="str">
        <x:f>IF(K245&lt;N245,IF(N245=L245,"clamped_to_nominal","clamped_to_ppp"),IF(K245&gt;O245,IF(O245=L245,"clamped_to_nominal","clamped_to_ppp"),"kept_vanilla"))</x:f>
        <x:v>kept_vanilla</x:v>
      </x:c>
      <x:c r="R245" s="41" t="n">
        <x:f>P245*G245</x:f>
        <x:v>235301872416</x:v>
      </x:c>
      <x:c r="S245" s="41" t="n">
        <x:f>R245/E245</x:f>
        <x:v>235301872416</x:v>
      </x:c>
      <x:c r="T245" s="36" t="str">
        <x:v>KWT: IMF exact 2022</x:v>
      </x:c>
      <x:c r="U245" s="36" t="str">
        <x:v>KWT: IMF exact 2022</x:v>
      </x:c>
      <x:c r="V245" s="36" t="str">
        <x:v>KWT: IMF exact 2022</x:v>
      </x:c>
      <x:c r="W245" s="36" t="str">
        <x:v>complete_primary</x:v>
      </x:c>
      <x:c r="X245" s="36" t="str">
        <x:v>https://api.imf.org/external/sdmx/3.0/data/dataflow/IMF.RES/WEO/9.0.0/</x:v>
      </x:c>
      <x:c r="Y245" s="36" t="str">
        <x:v>https://api.worldbank.org/v2/</x:v>
      </x:c>
    </x:row>
    <x:row r="246">
      <x:c r="A246" s="24" t="str">
        <x:v>KUW</x:v>
      </x:c>
      <x:c r="B246" s="24" t="str">
        <x:v>Kuwait</x:v>
      </x:c>
      <x:c r="C246" s="24" t="str">
        <x:v>KWT</x:v>
      </x:c>
      <x:c r="D246" s="24" t="n">
        <x:v>2026</x:v>
      </x:c>
      <x:c r="E246" s="37" t="n">
        <x:v>0.87</x:v>
      </x:c>
      <x:c r="F246" s="38" t="n">
        <x:v>5102773</x:v>
      </x:c>
      <x:c r="G246" s="38" t="n">
        <x:v>5214002</x:v>
      </x:c>
      <x:c r="H246" s="39" t="n">
        <x:f>G246/F246</x:f>
        <x:v>1.0217977558476539</x:v>
      </x:c>
      <x:c r="I246" s="40" t="n">
        <x:v>229242640000</x:v>
      </x:c>
      <x:c r="J246" s="40" t="n">
        <x:v>199441096800</x:v>
      </x:c>
      <x:c r="K246" s="40" t="n">
        <x:v>39085</x:v>
      </x:c>
      <x:c r="L246" s="40" t="n">
        <x:v>28853</x:v>
      </x:c>
      <x:c r="M246" s="40" t="n">
        <x:v>47243</x:v>
      </x:c>
      <x:c r="N246" s="41" t="n">
        <x:f>MIN(L246,M246)</x:f>
        <x:v>28853</x:v>
      </x:c>
      <x:c r="O246" s="41" t="n">
        <x:f>MAX(L246,M246)</x:f>
        <x:v>47243</x:v>
      </x:c>
      <x:c r="P246" s="41" t="n">
        <x:f>MAX(N246,MIN(K246,O246))</x:f>
        <x:v>39085</x:v>
      </x:c>
      <x:c r="Q246" s="19" t="str">
        <x:f>IF(K246&lt;N246,IF(N246=L246,"clamped_to_nominal","clamped_to_ppp"),IF(K246&gt;O246,IF(O246=L246,"clamped_to_nominal","clamped_to_ppp"),"kept_vanilla"))</x:f>
        <x:v>kept_vanilla</x:v>
      </x:c>
      <x:c r="R246" s="41" t="n">
        <x:f>P246*G246</x:f>
        <x:v>203789268170</x:v>
      </x:c>
      <x:c r="S246" s="41" t="n">
        <x:f>R246/E246</x:f>
        <x:v>234240538126.43677</x:v>
      </x:c>
      <x:c r="T246" s="36" t="str">
        <x:v>KWT: IMF exact 2026</x:v>
      </x:c>
      <x:c r="U246" s="36" t="str">
        <x:v>KWT: IMF exact 2026</x:v>
      </x:c>
      <x:c r="V246" s="36" t="str">
        <x:v>KWT: IMF exact 2026</x:v>
      </x:c>
      <x:c r="W246" s="36" t="str">
        <x:v>complete_primary</x:v>
      </x:c>
      <x:c r="X246" s="36" t="str">
        <x:v>https://api.imf.org/external/sdmx/3.0/data/dataflow/IMF.RES/WEO/9.0.0/</x:v>
      </x:c>
      <x:c r="Y246" s="36" t="str">
        <x:v>https://api.worldbank.org/v2/</x:v>
      </x:c>
    </x:row>
    <x:row r="247">
      <x:c r="A247" s="24" t="str">
        <x:v>KGZ</x:v>
      </x:c>
      <x:c r="B247" s="24" t="str">
        <x:v>Kyrgyzstan</x:v>
      </x:c>
      <x:c r="C247" s="24" t="str">
        <x:v>KGZ</x:v>
      </x:c>
      <x:c r="D247" s="24" t="n">
        <x:v>2003</x:v>
      </x:c>
      <x:c r="E247" s="37" t="n">
        <x:v>1.59</x:v>
      </x:c>
      <x:c r="F247" s="38" t="n">
        <x:v>5159422</x:v>
      </x:c>
      <x:c r="G247" s="38" t="n">
        <x:v>5013289</x:v>
      </x:c>
      <x:c r="H247" s="39" t="n">
        <x:f>G247/F247</x:f>
        <x:v>0.9716764784892571</x:v>
      </x:c>
      <x:c r="I247" s="40" t="n">
        <x:v>7704678363</x:v>
      </x:c>
      <x:c r="J247" s="40" t="n">
        <x:v>12250438597</x:v>
      </x:c>
      <x:c r="K247" s="40" t="n">
        <x:v>2374</x:v>
      </x:c>
      <x:c r="L247" s="40" t="n">
        <x:v>609</x:v>
      </x:c>
      <x:c r="M247" s="40" t="n">
        <x:v>4179</x:v>
      </x:c>
      <x:c r="N247" s="41" t="n">
        <x:f>MIN(L247,M247)</x:f>
        <x:v>609</x:v>
      </x:c>
      <x:c r="O247" s="41" t="n">
        <x:f>MAX(L247,M247)</x:f>
        <x:v>4179</x:v>
      </x:c>
      <x:c r="P247" s="41" t="n">
        <x:f>MAX(N247,MIN(K247,O247))</x:f>
        <x:v>2374</x:v>
      </x:c>
      <x:c r="Q247" s="19" t="str">
        <x:f>IF(K247&lt;N247,IF(N247=L247,"clamped_to_nominal","clamped_to_ppp"),IF(K247&gt;O247,IF(O247=L247,"clamped_to_nominal","clamped_to_ppp"),"kept_vanilla"))</x:f>
        <x:v>kept_vanilla</x:v>
      </x:c>
      <x:c r="R247" s="41" t="n">
        <x:f>P247*G247</x:f>
        <x:v>11901548086</x:v>
      </x:c>
      <x:c r="S247" s="41" t="n">
        <x:f>R247/E247</x:f>
        <x:v>7485250368.553459</x:v>
      </x:c>
      <x:c r="T247" s="36" t="str">
        <x:v>KGZ: IMF exact 2003</x:v>
      </x:c>
      <x:c r="U247" s="36" t="str">
        <x:v>KGZ: IMF exact 2003</x:v>
      </x:c>
      <x:c r="V247" s="36" t="str">
        <x:v>KGZ: IMF exact 2003</x:v>
      </x:c>
      <x:c r="W247" s="36" t="str">
        <x:v>complete_primary</x:v>
      </x:c>
      <x:c r="X247" s="36" t="str">
        <x:v>https://api.imf.org/external/sdmx/3.0/data/dataflow/IMF.RES/WEO/9.0.0/</x:v>
      </x:c>
      <x:c r="Y247" s="36" t="str">
        <x:v>https://api.worldbank.org/v2/</x:v>
      </x:c>
    </x:row>
    <x:row r="248">
      <x:c r="A248" s="24" t="str">
        <x:v>KGZ</x:v>
      </x:c>
      <x:c r="B248" s="24" t="str">
        <x:v>Kyrgyzstan</x:v>
      </x:c>
      <x:c r="C248" s="24" t="str">
        <x:v>KGZ</x:v>
      </x:c>
      <x:c r="D248" s="24" t="n">
        <x:v>2022</x:v>
      </x:c>
      <x:c r="E248" s="37" t="n">
        <x:v>1</x:v>
      </x:c>
      <x:c r="F248" s="38" t="n">
        <x:v>6759410</x:v>
      </x:c>
      <x:c r="G248" s="38" t="n">
        <x:v>6794895</x:v>
      </x:c>
      <x:c r="H248" s="39" t="n">
        <x:f>G248/F248</x:f>
        <x:v>1.0052497185405236</x:v>
      </x:c>
      <x:c r="I248" s="40" t="n">
        <x:v>33256960000</x:v>
      </x:c>
      <x:c r="J248" s="40" t="n">
        <x:v>33256960000</x:v>
      </x:c>
      <x:c r="K248" s="40" t="n">
        <x:v>4920</x:v>
      </x:c>
      <x:c r="L248" s="40" t="n">
        <x:v>1806</x:v>
      </x:c>
      <x:c r="M248" s="40" t="n">
        <x:v>6751</x:v>
      </x:c>
      <x:c r="N248" s="41" t="n">
        <x:f>MIN(L248,M248)</x:f>
        <x:v>1806</x:v>
      </x:c>
      <x:c r="O248" s="41" t="n">
        <x:f>MAX(L248,M248)</x:f>
        <x:v>6751</x:v>
      </x:c>
      <x:c r="P248" s="41" t="n">
        <x:f>MAX(N248,MIN(K248,O248))</x:f>
        <x:v>4920</x:v>
      </x:c>
      <x:c r="Q248" s="19" t="str">
        <x:f>IF(K248&lt;N248,IF(N248=L248,"clamped_to_nominal","clamped_to_ppp"),IF(K248&gt;O248,IF(O248=L248,"clamped_to_nominal","clamped_to_ppp"),"kept_vanilla"))</x:f>
        <x:v>kept_vanilla</x:v>
      </x:c>
      <x:c r="R248" s="41" t="n">
        <x:f>P248*G248</x:f>
        <x:v>33430883400</x:v>
      </x:c>
      <x:c r="S248" s="41" t="n">
        <x:f>R248/E248</x:f>
        <x:v>33430883400</x:v>
      </x:c>
      <x:c r="T248" s="36" t="str">
        <x:v>KGZ: IMF exact 2022</x:v>
      </x:c>
      <x:c r="U248" s="36" t="str">
        <x:v>KGZ: IMF exact 2022</x:v>
      </x:c>
      <x:c r="V248" s="36" t="str">
        <x:v>KGZ: IMF exact 2022</x:v>
      </x:c>
      <x:c r="W248" s="36" t="str">
        <x:v>complete_primary</x:v>
      </x:c>
      <x:c r="X248" s="36" t="str">
        <x:v>https://api.imf.org/external/sdmx/3.0/data/dataflow/IMF.RES/WEO/9.0.0/</x:v>
      </x:c>
      <x:c r="Y248" s="36" t="str">
        <x:v>https://api.worldbank.org/v2/</x:v>
      </x:c>
    </x:row>
    <x:row r="249">
      <x:c r="A249" s="24" t="str">
        <x:v>KGZ</x:v>
      </x:c>
      <x:c r="B249" s="24" t="str">
        <x:v>Kyrgyzstan</x:v>
      </x:c>
      <x:c r="C249" s="24" t="str">
        <x:v>KGZ</x:v>
      </x:c>
      <x:c r="D249" s="24" t="n">
        <x:v>2026</x:v>
      </x:c>
      <x:c r="E249" s="37" t="n">
        <x:v>0.87</x:v>
      </x:c>
      <x:c r="F249" s="38" t="n">
        <x:v>7400465</x:v>
      </x:c>
      <x:c r="G249" s="38" t="n">
        <x:v>7371757</x:v>
      </x:c>
      <x:c r="H249" s="39" t="n">
        <x:f>G249/F249</x:f>
        <x:v>0.9961207843020675</x:v>
      </x:c>
      <x:c r="I249" s="40" t="n">
        <x:v>55840400000</x:v>
      </x:c>
      <x:c r="J249" s="40" t="n">
        <x:v>48581148000</x:v>
      </x:c>
      <x:c r="K249" s="40" t="n">
        <x:v>6565</x:v>
      </x:c>
      <x:c r="L249" s="40" t="n">
        <x:v>2786</x:v>
      </x:c>
      <x:c r="M249" s="40" t="n">
        <x:v>8721</x:v>
      </x:c>
      <x:c r="N249" s="41" t="n">
        <x:f>MIN(L249,M249)</x:f>
        <x:v>2786</x:v>
      </x:c>
      <x:c r="O249" s="41" t="n">
        <x:f>MAX(L249,M249)</x:f>
        <x:v>8721</x:v>
      </x:c>
      <x:c r="P249" s="41" t="n">
        <x:f>MAX(N249,MIN(K249,O249))</x:f>
        <x:v>6565</x:v>
      </x:c>
      <x:c r="Q249" s="19" t="str">
        <x:f>IF(K249&lt;N249,IF(N249=L249,"clamped_to_nominal","clamped_to_ppp"),IF(K249&gt;O249,IF(O249=L249,"clamped_to_nominal","clamped_to_ppp"),"kept_vanilla"))</x:f>
        <x:v>kept_vanilla</x:v>
      </x:c>
      <x:c r="R249" s="41" t="n">
        <x:f>P249*G249</x:f>
        <x:v>48395584705</x:v>
      </x:c>
      <x:c r="S249" s="41" t="n">
        <x:f>R249/E249</x:f>
        <x:v>55627108856.32184</x:v>
      </x:c>
      <x:c r="T249" s="36" t="str">
        <x:v>KGZ: IMF exact 2026</x:v>
      </x:c>
      <x:c r="U249" s="36" t="str">
        <x:v>KGZ: IMF exact 2026</x:v>
      </x:c>
      <x:c r="V249" s="36" t="str">
        <x:v>KGZ: IMF exact 2026</x:v>
      </x:c>
      <x:c r="W249" s="36" t="str">
        <x:v>complete_primary</x:v>
      </x:c>
      <x:c r="X249" s="36" t="str">
        <x:v>https://api.imf.org/external/sdmx/3.0/data/dataflow/IMF.RES/WEO/9.0.0/</x:v>
      </x:c>
      <x:c r="Y249" s="36" t="str">
        <x:v>https://api.worldbank.org/v2/</x:v>
      </x:c>
    </x:row>
    <x:row r="250">
      <x:c r="A250" s="24" t="str">
        <x:v>LAO</x:v>
      </x:c>
      <x:c r="B250" s="24" t="str">
        <x:v>Laos</x:v>
      </x:c>
      <x:c r="C250" s="24" t="str">
        <x:v>LAO</x:v>
      </x:c>
      <x:c r="D250" s="24" t="n">
        <x:v>2003</x:v>
      </x:c>
      <x:c r="E250" s="37" t="n">
        <x:v>1.59</x:v>
      </x:c>
      <x:c r="F250" s="38" t="n">
        <x:v>5697945</x:v>
      </x:c>
      <x:c r="G250" s="38" t="n">
        <x:v>5689065</x:v>
      </x:c>
      <x:c r="H250" s="39" t="n">
        <x:f>G250/F250</x:f>
        <x:v>0.9984415433985411</x:v>
      </x:c>
      <x:c r="I250" s="40" t="n">
        <x:v>8066081871</x:v>
      </x:c>
      <x:c r="J250" s="40" t="n">
        <x:v>12825070175</x:v>
      </x:c>
      <x:c r="K250" s="40" t="n">
        <x:v>2251</x:v>
      </x:c>
      <x:c r="L250" s="40" t="n">
        <x:v>632</x:v>
      </x:c>
      <x:c r="M250" s="40" t="n">
        <x:v>3855</x:v>
      </x:c>
      <x:c r="N250" s="41" t="n">
        <x:f>MIN(L250,M250)</x:f>
        <x:v>632</x:v>
      </x:c>
      <x:c r="O250" s="41" t="n">
        <x:f>MAX(L250,M250)</x:f>
        <x:v>3855</x:v>
      </x:c>
      <x:c r="P250" s="41" t="n">
        <x:f>MAX(N250,MIN(K250,O250))</x:f>
        <x:v>2251</x:v>
      </x:c>
      <x:c r="Q250" s="19" t="str">
        <x:f>IF(K250&lt;N250,IF(N250=L250,"clamped_to_nominal","clamped_to_ppp"),IF(K250&gt;O250,IF(O250=L250,"clamped_to_nominal","clamped_to_ppp"),"kept_vanilla"))</x:f>
        <x:v>kept_vanilla</x:v>
      </x:c>
      <x:c r="R250" s="41" t="n">
        <x:f>P250*G250</x:f>
        <x:v>12806085315</x:v>
      </x:c>
      <x:c r="S250" s="41" t="n">
        <x:f>R250/E250</x:f>
        <x:v>8054141707.54717</x:v>
      </x:c>
      <x:c r="T250" s="36" t="str">
        <x:v>LAO: IMF exact 2003</x:v>
      </x:c>
      <x:c r="U250" s="36" t="str">
        <x:v>LAO: IMF exact 2003</x:v>
      </x:c>
      <x:c r="V250" s="36" t="str">
        <x:v>LAO: IMF exact 2003</x:v>
      </x:c>
      <x:c r="W250" s="36" t="str">
        <x:v>complete_primary</x:v>
      </x:c>
      <x:c r="X250" s="36" t="str">
        <x:v>https://api.imf.org/external/sdmx/3.0/data/dataflow/IMF.RES/WEO/9.0.0/</x:v>
      </x:c>
      <x:c r="Y250" s="36" t="str">
        <x:v>https://api.worldbank.org/v2/</x:v>
      </x:c>
    </x:row>
    <x:row r="251">
      <x:c r="A251" s="24" t="str">
        <x:v>LAO</x:v>
      </x:c>
      <x:c r="B251" s="24" t="str">
        <x:v>Laos</x:v>
      </x:c>
      <x:c r="C251" s="24" t="str">
        <x:v>LAO</x:v>
      </x:c>
      <x:c r="D251" s="24" t="n">
        <x:v>2022</x:v>
      </x:c>
      <x:c r="E251" s="37" t="n">
        <x:v>1</x:v>
      </x:c>
      <x:c r="F251" s="38" t="n">
        <x:v>7512780</x:v>
      </x:c>
      <x:c r="G251" s="38" t="n">
        <x:v>7476970</x:v>
      </x:c>
      <x:c r="H251" s="39" t="n">
        <x:f>G251/F251</x:f>
        <x:v>0.9952334555251185</x:v>
      </x:c>
      <x:c r="I251" s="40" t="n">
        <x:v>60458640000</x:v>
      </x:c>
      <x:c r="J251" s="40" t="n">
        <x:v>60458640000</x:v>
      </x:c>
      <x:c r="K251" s="40" t="n">
        <x:v>8047</x:v>
      </x:c>
      <x:c r="L251" s="40" t="n">
        <x:v>2022</x:v>
      </x:c>
      <x:c r="M251" s="40" t="n">
        <x:v>8733</x:v>
      </x:c>
      <x:c r="N251" s="41" t="n">
        <x:f>MIN(L251,M251)</x:f>
        <x:v>2022</x:v>
      </x:c>
      <x:c r="O251" s="41" t="n">
        <x:f>MAX(L251,M251)</x:f>
        <x:v>8733</x:v>
      </x:c>
      <x:c r="P251" s="41" t="n">
        <x:f>MAX(N251,MIN(K251,O251))</x:f>
        <x:v>8047</x:v>
      </x:c>
      <x:c r="Q251" s="19" t="str">
        <x:f>IF(K251&lt;N251,IF(N251=L251,"clamped_to_nominal","clamped_to_ppp"),IF(K251&gt;O251,IF(O251=L251,"clamped_to_nominal","clamped_to_ppp"),"kept_vanilla"))</x:f>
        <x:v>kept_vanilla</x:v>
      </x:c>
      <x:c r="R251" s="41" t="n">
        <x:f>P251*G251</x:f>
        <x:v>60167177590</x:v>
      </x:c>
      <x:c r="S251" s="41" t="n">
        <x:f>R251/E251</x:f>
        <x:v>60167177590</x:v>
      </x:c>
      <x:c r="T251" s="36" t="str">
        <x:v>LAO: IMF exact 2022</x:v>
      </x:c>
      <x:c r="U251" s="36" t="str">
        <x:v>LAO: IMF exact 2022</x:v>
      </x:c>
      <x:c r="V251" s="36" t="str">
        <x:v>LAO: IMF exact 2022</x:v>
      </x:c>
      <x:c r="W251" s="36" t="str">
        <x:v>complete_primary</x:v>
      </x:c>
      <x:c r="X251" s="36" t="str">
        <x:v>https://api.imf.org/external/sdmx/3.0/data/dataflow/IMF.RES/WEO/9.0.0/</x:v>
      </x:c>
      <x:c r="Y251" s="36" t="str">
        <x:v>https://api.worldbank.org/v2/</x:v>
      </x:c>
    </x:row>
    <x:row r="252">
      <x:c r="A252" s="24" t="str">
        <x:v>LAO</x:v>
      </x:c>
      <x:c r="B252" s="24" t="str">
        <x:v>Laos</x:v>
      </x:c>
      <x:c r="C252" s="24" t="str">
        <x:v>LAO</x:v>
      </x:c>
      <x:c r="D252" s="24" t="n">
        <x:v>2026</x:v>
      </x:c>
      <x:c r="E252" s="37" t="n">
        <x:v>0.87</x:v>
      </x:c>
      <x:c r="F252" s="38" t="n">
        <x:v>7974018</x:v>
      </x:c>
      <x:c r="G252" s="38" t="n">
        <x:v>7888824</x:v>
      </x:c>
      <x:c r="H252" s="39" t="n">
        <x:f>G252/F252</x:f>
        <x:v>0.989316051205302</x:v>
      </x:c>
      <x:c r="I252" s="40" t="n">
        <x:v>69387120000</x:v>
      </x:c>
      <x:c r="J252" s="40" t="n">
        <x:v>60366794400</x:v>
      </x:c>
      <x:c r="K252" s="40" t="n">
        <x:v>7570</x:v>
      </x:c>
      <x:c r="L252" s="40" t="n">
        <x:v>2091</x:v>
      </x:c>
      <x:c r="M252" s="40" t="n">
        <x:v>9538</x:v>
      </x:c>
      <x:c r="N252" s="41" t="n">
        <x:f>MIN(L252,M252)</x:f>
        <x:v>2091</x:v>
      </x:c>
      <x:c r="O252" s="41" t="n">
        <x:f>MAX(L252,M252)</x:f>
        <x:v>9538</x:v>
      </x:c>
      <x:c r="P252" s="41" t="n">
        <x:f>MAX(N252,MIN(K252,O252))</x:f>
        <x:v>7570</x:v>
      </x:c>
      <x:c r="Q252" s="19" t="str">
        <x:f>IF(K252&lt;N252,IF(N252=L252,"clamped_to_nominal","clamped_to_ppp"),IF(K252&gt;O252,IF(O252=L252,"clamped_to_nominal","clamped_to_ppp"),"kept_vanilla"))</x:f>
        <x:v>kept_vanilla</x:v>
      </x:c>
      <x:c r="R252" s="41" t="n">
        <x:f>P252*G252</x:f>
        <x:v>59718397680</x:v>
      </x:c>
      <x:c r="S252" s="41" t="n">
        <x:f>R252/E252</x:f>
        <x:v>68641836413.793106</x:v>
      </x:c>
      <x:c r="T252" s="36" t="str">
        <x:v>LAO: IMF exact 2026</x:v>
      </x:c>
      <x:c r="U252" s="36" t="str">
        <x:v>LAO: IMF exact 2026</x:v>
      </x:c>
      <x:c r="V252" s="36" t="str">
        <x:v>LAO: IMF exact 2026</x:v>
      </x:c>
      <x:c r="W252" s="36" t="str">
        <x:v>complete_primary</x:v>
      </x:c>
      <x:c r="X252" s="36" t="str">
        <x:v>https://api.imf.org/external/sdmx/3.0/data/dataflow/IMF.RES/WEO/9.0.0/</x:v>
      </x:c>
      <x:c r="Y252" s="36" t="str">
        <x:v>https://api.worldbank.org/v2/</x:v>
      </x:c>
    </x:row>
    <x:row r="253">
      <x:c r="A253" s="24" t="str">
        <x:v>LVA</x:v>
      </x:c>
      <x:c r="B253" s="24" t="str">
        <x:v>Latvia</x:v>
      </x:c>
      <x:c r="C253" s="24" t="str">
        <x:v>LVA</x:v>
      </x:c>
      <x:c r="D253" s="24" t="n">
        <x:v>2003</x:v>
      </x:c>
      <x:c r="E253" s="37" t="n">
        <x:v>1.59</x:v>
      </x:c>
      <x:c r="F253" s="38" t="n">
        <x:v>2288984</x:v>
      </x:c>
      <x:c r="G253" s="38" t="n">
        <x:v>2299390</x:v>
      </x:c>
      <x:c r="H253" s="39" t="n">
        <x:f>G253/F253</x:f>
        <x:v>1.004546121772804</x:v>
      </x:c>
      <x:c r="I253" s="40" t="n">
        <x:v>17097076023</x:v>
      </x:c>
      <x:c r="J253" s="40" t="n">
        <x:v>27184350877</x:v>
      </x:c>
      <x:c r="K253" s="40" t="n">
        <x:v>11876</x:v>
      </x:c>
      <x:c r="L253" s="40" t="n">
        <x:v>7779</x:v>
      </x:c>
      <x:c r="M253" s="40" t="n">
        <x:v>19083</x:v>
      </x:c>
      <x:c r="N253" s="41" t="n">
        <x:f>MIN(L253,M253)</x:f>
        <x:v>7779</x:v>
      </x:c>
      <x:c r="O253" s="41" t="n">
        <x:f>MAX(L253,M253)</x:f>
        <x:v>19083</x:v>
      </x:c>
      <x:c r="P253" s="41" t="n">
        <x:f>MAX(N253,MIN(K253,O253))</x:f>
        <x:v>11876</x:v>
      </x:c>
      <x:c r="Q253" s="19" t="str">
        <x:f>IF(K253&lt;N253,IF(N253=L253,"clamped_to_nominal","clamped_to_ppp"),IF(K253&gt;O253,IF(O253=L253,"clamped_to_nominal","clamped_to_ppp"),"kept_vanilla"))</x:f>
        <x:v>kept_vanilla</x:v>
      </x:c>
      <x:c r="R253" s="41" t="n">
        <x:f>P253*G253</x:f>
        <x:v>27307555640</x:v>
      </x:c>
      <x:c r="S253" s="41" t="n">
        <x:f>R253/E253</x:f>
        <x:v>17174563295.597483</x:v>
      </x:c>
      <x:c r="T253" s="36" t="str">
        <x:v>LVA: IMF exact 2003</x:v>
      </x:c>
      <x:c r="U253" s="36" t="str">
        <x:v>LVA: IMF exact 2003</x:v>
      </x:c>
      <x:c r="V253" s="36" t="str">
        <x:v>LVA: IMF exact 2003</x:v>
      </x:c>
      <x:c r="W253" s="36" t="str">
        <x:v>complete_primary</x:v>
      </x:c>
      <x:c r="X253" s="36" t="str">
        <x:v>https://api.imf.org/external/sdmx/3.0/data/dataflow/IMF.RES/WEO/9.0.0/</x:v>
      </x:c>
      <x:c r="Y253" s="36" t="str">
        <x:v>https://api.worldbank.org/v2/</x:v>
      </x:c>
    </x:row>
    <x:row r="254">
      <x:c r="A254" s="24" t="str">
        <x:v>LVA</x:v>
      </x:c>
      <x:c r="B254" s="24" t="str">
        <x:v>Latvia</x:v>
      </x:c>
      <x:c r="C254" s="24" t="str">
        <x:v>LVA</x:v>
      </x:c>
      <x:c r="D254" s="24" t="n">
        <x:v>2022</x:v>
      </x:c>
      <x:c r="E254" s="37" t="n">
        <x:v>1</x:v>
      </x:c>
      <x:c r="F254" s="38" t="n">
        <x:v>1843485</x:v>
      </x:c>
      <x:c r="G254" s="38" t="n">
        <x:v>1875757</x:v>
      </x:c>
      <x:c r="H254" s="39" t="n">
        <x:f>G254/F254</x:f>
        <x:v>1.0175059737399546</x:v>
      </x:c>
      <x:c r="I254" s="40" t="n">
        <x:v>62068160000</x:v>
      </x:c>
      <x:c r="J254" s="40" t="n">
        <x:v>62068160000</x:v>
      </x:c>
      <x:c r="K254" s="40" t="n">
        <x:v>33669</x:v>
      </x:c>
      <x:c r="L254" s="40" t="n">
        <x:v>20276</x:v>
      </x:c>
      <x:c r="M254" s="40" t="n">
        <x:v>39044</x:v>
      </x:c>
      <x:c r="N254" s="41" t="n">
        <x:f>MIN(L254,M254)</x:f>
        <x:v>20276</x:v>
      </x:c>
      <x:c r="O254" s="41" t="n">
        <x:f>MAX(L254,M254)</x:f>
        <x:v>39044</x:v>
      </x:c>
      <x:c r="P254" s="41" t="n">
        <x:f>MAX(N254,MIN(K254,O254))</x:f>
        <x:v>33669</x:v>
      </x:c>
      <x:c r="Q254" s="19" t="str">
        <x:f>IF(K254&lt;N254,IF(N254=L254,"clamped_to_nominal","clamped_to_ppp"),IF(K254&gt;O254,IF(O254=L254,"clamped_to_nominal","clamped_to_ppp"),"kept_vanilla"))</x:f>
        <x:v>kept_vanilla</x:v>
      </x:c>
      <x:c r="R254" s="41" t="n">
        <x:f>P254*G254</x:f>
        <x:v>63154862433</x:v>
      </x:c>
      <x:c r="S254" s="41" t="n">
        <x:f>R254/E254</x:f>
        <x:v>63154862433</x:v>
      </x:c>
      <x:c r="T254" s="36" t="str">
        <x:v>LVA: IMF exact 2022</x:v>
      </x:c>
      <x:c r="U254" s="36" t="str">
        <x:v>LVA: IMF exact 2022</x:v>
      </x:c>
      <x:c r="V254" s="36" t="str">
        <x:v>LVA: IMF exact 2022</x:v>
      </x:c>
      <x:c r="W254" s="36" t="str">
        <x:v>complete_primary</x:v>
      </x:c>
      <x:c r="X254" s="36" t="str">
        <x:v>https://api.imf.org/external/sdmx/3.0/data/dataflow/IMF.RES/WEO/9.0.0/</x:v>
      </x:c>
      <x:c r="Y254" s="36" t="str">
        <x:v>https://api.worldbank.org/v2/</x:v>
      </x:c>
    </x:row>
    <x:row r="255">
      <x:c r="A255" s="24" t="str">
        <x:v>LVA</x:v>
      </x:c>
      <x:c r="B255" s="24" t="str">
        <x:v>Latvia</x:v>
      </x:c>
      <x:c r="C255" s="24" t="str">
        <x:v>LVA</x:v>
      </x:c>
      <x:c r="D255" s="24" t="n">
        <x:v>2026</x:v>
      </x:c>
      <x:c r="E255" s="37" t="n">
        <x:v>0.87</x:v>
      </x:c>
      <x:c r="F255" s="38" t="n">
        <x:v>1835935</x:v>
      </x:c>
      <x:c r="G255" s="38" t="n">
        <x:v>1856844</x:v>
      </x:c>
      <x:c r="H255" s="39" t="n">
        <x:f>G255/F255</x:f>
        <x:v>1.0113887474229752</x:v>
      </x:c>
      <x:c r="I255" s="40" t="n">
        <x:v>73260880000</x:v>
      </x:c>
      <x:c r="J255" s="40" t="n">
        <x:v>63736965600</x:v>
      </x:c>
      <x:c r="K255" s="40" t="n">
        <x:v>34716</x:v>
      </x:c>
      <x:c r="L255" s="40" t="n">
        <x:v>25154</x:v>
      </x:c>
      <x:c r="M255" s="40" t="n">
        <x:v>39881</x:v>
      </x:c>
      <x:c r="N255" s="41" t="n">
        <x:f>MIN(L255,M255)</x:f>
        <x:v>25154</x:v>
      </x:c>
      <x:c r="O255" s="41" t="n">
        <x:f>MAX(L255,M255)</x:f>
        <x:v>39881</x:v>
      </x:c>
      <x:c r="P255" s="41" t="n">
        <x:f>MAX(N255,MIN(K255,O255))</x:f>
        <x:v>34716</x:v>
      </x:c>
      <x:c r="Q255" s="19" t="str">
        <x:f>IF(K255&lt;N255,IF(N255=L255,"clamped_to_nominal","clamped_to_ppp"),IF(K255&gt;O255,IF(O255=L255,"clamped_to_nominal","clamped_to_ppp"),"kept_vanilla"))</x:f>
        <x:v>kept_vanilla</x:v>
      </x:c>
      <x:c r="R255" s="41" t="n">
        <x:f>P255*G255</x:f>
        <x:v>64462196304</x:v>
      </x:c>
      <x:c r="S255" s="41" t="n">
        <x:f>R255/E255</x:f>
        <x:v>74094478510.34483</x:v>
      </x:c>
      <x:c r="T255" s="36" t="str">
        <x:v>LVA: IMF exact 2026</x:v>
      </x:c>
      <x:c r="U255" s="36" t="str">
        <x:v>LVA: IMF exact 2026</x:v>
      </x:c>
      <x:c r="V255" s="36" t="str">
        <x:v>LVA: IMF exact 2026</x:v>
      </x:c>
      <x:c r="W255" s="36" t="str">
        <x:v>complete_primary</x:v>
      </x:c>
      <x:c r="X255" s="36" t="str">
        <x:v>https://api.imf.org/external/sdmx/3.0/data/dataflow/IMF.RES/WEO/9.0.0/</x:v>
      </x:c>
      <x:c r="Y255" s="36" t="str">
        <x:v>https://api.worldbank.org/v2/</x:v>
      </x:c>
    </x:row>
    <x:row r="256">
      <x:c r="A256" s="24" t="str">
        <x:v>LEB</x:v>
      </x:c>
      <x:c r="B256" s="24" t="str">
        <x:v>Lebanon</x:v>
      </x:c>
      <x:c r="C256" s="24" t="str">
        <x:v>LBN</x:v>
      </x:c>
      <x:c r="D256" s="24" t="n">
        <x:v>2003</x:v>
      </x:c>
      <x:c r="E256" s="37" t="n">
        <x:v>1.59</x:v>
      </x:c>
      <x:c r="F256" s="38" t="n">
        <x:v>4525508</x:v>
      </x:c>
      <x:c r="G256" s="38" t="n">
        <x:v>4504808</x:v>
      </x:c>
      <x:c r="H256" s="39" t="n">
        <x:f>G256/F256</x:f>
        <x:v>0.9954259278737326</x:v>
      </x:c>
      <x:c r="I256" s="40" t="n">
        <x:v>32277192982</x:v>
      </x:c>
      <x:c r="J256" s="40" t="n">
        <x:v>51320736841</x:v>
      </x:c>
      <x:c r="K256" s="40" t="n">
        <x:v>11340</x:v>
      </x:c>
      <x:c r="L256" s="40" t="n">
        <x:v>6878</x:v>
      </x:c>
      <x:c r="M256" s="40" t="n">
        <x:v>19433</x:v>
      </x:c>
      <x:c r="N256" s="41" t="n">
        <x:f>MIN(L256,M256)</x:f>
        <x:v>6878</x:v>
      </x:c>
      <x:c r="O256" s="41" t="n">
        <x:f>MAX(L256,M256)</x:f>
        <x:v>19433</x:v>
      </x:c>
      <x:c r="P256" s="41" t="n">
        <x:f>MAX(N256,MIN(K256,O256))</x:f>
        <x:v>11340</x:v>
      </x:c>
      <x:c r="Q256" s="19" t="str">
        <x:f>IF(K256&lt;N256,IF(N256=L256,"clamped_to_nominal","clamped_to_ppp"),IF(K256&gt;O256,IF(O256=L256,"clamped_to_nominal","clamped_to_ppp"),"kept_vanilla"))</x:f>
        <x:v>kept_vanilla</x:v>
      </x:c>
      <x:c r="R256" s="41" t="n">
        <x:f>P256*G256</x:f>
        <x:v>51084522720</x:v>
      </x:c>
      <x:c r="S256" s="41" t="n">
        <x:f>R256/E256</x:f>
        <x:v>32128630641.509434</x:v>
      </x:c>
      <x:c r="T256" s="36" t="str">
        <x:v>LBN: IMF exact 2003</x:v>
      </x:c>
      <x:c r="U256" s="36" t="str">
        <x:v>LBN: IMF exact 2003</x:v>
      </x:c>
      <x:c r="V256" s="36" t="str">
        <x:v>LBN: IMF exact 2003</x:v>
      </x:c>
      <x:c r="W256" s="36" t="str">
        <x:v>complete_primary</x:v>
      </x:c>
      <x:c r="X256" s="36" t="str">
        <x:v>https://api.imf.org/external/sdmx/3.0/data/dataflow/IMF.RES/WEO/9.0.0/</x:v>
      </x:c>
      <x:c r="Y256" s="36" t="str">
        <x:v>https://api.worldbank.org/v2/</x:v>
      </x:c>
    </x:row>
    <x:row r="257">
      <x:c r="A257" s="24" t="str">
        <x:v>LEB</x:v>
      </x:c>
      <x:c r="B257" s="24" t="str">
        <x:v>Lebanon</x:v>
      </x:c>
      <x:c r="C257" s="24" t="str">
        <x:v>LBN</x:v>
      </x:c>
      <x:c r="D257" s="24" t="n">
        <x:v>2022</x:v>
      </x:c>
      <x:c r="E257" s="37" t="n">
        <x:v>1</x:v>
      </x:c>
      <x:c r="F257" s="38" t="n">
        <x:v>6654038</x:v>
      </x:c>
      <x:c r="G257" s="38" t="n">
        <x:v>5489740</x:v>
      </x:c>
      <x:c r="H257" s="39" t="n">
        <x:f>G257/F257</x:f>
        <x:v>0.8250238426651606</x:v>
      </x:c>
      <x:c r="I257" s="40" t="n">
        <x:v>72286720000</x:v>
      </x:c>
      <x:c r="J257" s="40" t="n">
        <x:v>72286720000</x:v>
      </x:c>
      <x:c r="K257" s="40" t="n">
        <x:v>10864</x:v>
      </x:c>
      <x:c r="L257" s="40" t="n">
        <x:v>4677</x:v>
      </x:c>
      <x:c r="M257" s="40" t="n">
        <x:v>12247</x:v>
      </x:c>
      <x:c r="N257" s="41" t="n">
        <x:f>MIN(L257,M257)</x:f>
        <x:v>4677</x:v>
      </x:c>
      <x:c r="O257" s="41" t="n">
        <x:f>MAX(L257,M257)</x:f>
        <x:v>12247</x:v>
      </x:c>
      <x:c r="P257" s="41" t="n">
        <x:f>MAX(N257,MIN(K257,O257))</x:f>
        <x:v>10864</x:v>
      </x:c>
      <x:c r="Q257" s="19" t="str">
        <x:f>IF(K257&lt;N257,IF(N257=L257,"clamped_to_nominal","clamped_to_ppp"),IF(K257&gt;O257,IF(O257=L257,"clamped_to_nominal","clamped_to_ppp"),"kept_vanilla"))</x:f>
        <x:v>kept_vanilla</x:v>
      </x:c>
      <x:c r="R257" s="41" t="n">
        <x:f>P257*G257</x:f>
        <x:v>59640535360</x:v>
      </x:c>
      <x:c r="S257" s="41" t="n">
        <x:f>R257/E257</x:f>
        <x:v>59640535360</x:v>
      </x:c>
      <x:c r="T257" s="36" t="str">
        <x:v>LBN: IMF exact 2022</x:v>
      </x:c>
      <x:c r="U257" s="36" t="str">
        <x:v>LBN: IMF exact 2022</x:v>
      </x:c>
      <x:c r="V257" s="36" t="str">
        <x:v>LBN: IMF exact 2022</x:v>
      </x:c>
      <x:c r="W257" s="36" t="str">
        <x:v>complete_primary</x:v>
      </x:c>
      <x:c r="X257" s="36" t="str">
        <x:v>https://api.imf.org/external/sdmx/3.0/data/dataflow/IMF.RES/WEO/9.0.0/</x:v>
      </x:c>
      <x:c r="Y257" s="36" t="str">
        <x:v>https://api.worldbank.org/v2/</x:v>
      </x:c>
    </x:row>
    <x:row r="258">
      <x:c r="A258" s="24" t="str">
        <x:v>LEB</x:v>
      </x:c>
      <x:c r="B258" s="24" t="str">
        <x:v>Lebanon</x:v>
      </x:c>
      <x:c r="C258" s="24" t="str">
        <x:v>LBN</x:v>
      </x:c>
      <x:c r="D258" s="24" t="n">
        <x:v>2026</x:v>
      </x:c>
      <x:c r="E258" s="37" t="n">
        <x:v>0.87</x:v>
      </x:c>
      <x:c r="F258" s="38" t="n">
        <x:v>5897467</x:v>
      </x:c>
      <x:c r="G258" s="38" t="n">
        <x:v>5353930</x:v>
      </x:c>
      <x:c r="H258" s="39" t="n">
        <x:f>G258/F258</x:f>
        <x:v>0.9078355165022542</x:v>
      </x:c>
      <x:c r="I258" s="40" t="n">
        <x:v>55587840000</x:v>
      </x:c>
      <x:c r="J258" s="40" t="n">
        <x:v>48361420800</x:v>
      </x:c>
      <x:c r="K258" s="40" t="n">
        <x:v>8200</x:v>
      </x:c>
      <x:c r="L258" s="40" t="n">
        <x:v>5977</x:v>
      </x:c>
      <x:c r="M258" s="40" t="n">
        <x:v>11990</x:v>
      </x:c>
      <x:c r="N258" s="41" t="n">
        <x:f>MIN(L258,M258)</x:f>
        <x:v>5977</x:v>
      </x:c>
      <x:c r="O258" s="41" t="n">
        <x:f>MAX(L258,M258)</x:f>
        <x:v>11990</x:v>
      </x:c>
      <x:c r="P258" s="41" t="n">
        <x:f>MAX(N258,MIN(K258,O258))</x:f>
        <x:v>8200</x:v>
      </x:c>
      <x:c r="Q258" s="19" t="str">
        <x:f>IF(K258&lt;N258,IF(N258=L258,"clamped_to_nominal","clamped_to_ppp"),IF(K258&gt;O258,IF(O258=L258,"clamped_to_nominal","clamped_to_ppp"),"kept_vanilla"))</x:f>
        <x:v>kept_vanilla</x:v>
      </x:c>
      <x:c r="R258" s="41" t="n">
        <x:f>P258*G258</x:f>
        <x:v>43902226000</x:v>
      </x:c>
      <x:c r="S258" s="41" t="n">
        <x:f>R258/E258</x:f>
        <x:v>50462328735.63219</x:v>
      </x:c>
      <x:c r="T258" s="36" t="str">
        <x:v>LBN: population extrapolation from IMF 2024-2025 CAGR (0.00%/yr, capped at ±5%)</x:v>
      </x:c>
      <x:c r="U258" s="36" t="str">
        <x:v>LBN: peer-growth inference from IMF 2025; Middle East, North Africa, Afghanistan &amp; Pakistan median 3.66%/yr (18 peers, capped at ±8%)</x:v>
      </x:c>
      <x:c r="V258" s="36" t="str">
        <x:v>LBN: peer-growth inference from IMF 2025; Middle East, North Africa, Afghanistan &amp; Pakistan; Lower middle income median 2.20%/yr (5 peers, capped at ±8%)</x:v>
      </x:c>
      <x:c r="W258" s="36" t="str">
        <x:v>inferred</x:v>
      </x:c>
      <x:c r="X258" s="36" t="str">
        <x:v>https://api.imf.org/external/sdmx/3.0/data/dataflow/IMF.RES/WEO/9.0.0/</x:v>
      </x:c>
      <x:c r="Y258" s="36" t="str">
        <x:v>https://api.worldbank.org/v2/</x:v>
      </x:c>
    </x:row>
    <x:row r="259">
      <x:c r="A259" s="24" t="str">
        <x:v>LES</x:v>
      </x:c>
      <x:c r="B259" s="24" t="str">
        <x:v>Lesotho</x:v>
      </x:c>
      <x:c r="C259" s="24" t="str">
        <x:v>LSO</x:v>
      </x:c>
      <x:c r="D259" s="24" t="n">
        <x:v>2003</x:v>
      </x:c>
      <x:c r="E259" s="37" t="n">
        <x:v>1.59</x:v>
      </x:c>
      <x:c r="F259" s="38" t="n">
        <x:v>1985059</x:v>
      </x:c>
      <x:c r="G259" s="38" t="n">
        <x:v>1985059</x:v>
      </x:c>
      <x:c r="H259" s="39" t="n">
        <x:f>G259/F259</x:f>
        <x:v>1</x:v>
      </x:c>
      <x:c r="I259" s="40" t="n">
        <x:v>1772514620</x:v>
      </x:c>
      <x:c r="J259" s="40" t="n">
        <x:v>2818298246</x:v>
      </x:c>
      <x:c r="K259" s="40" t="n">
        <x:v>1420</x:v>
      </x:c>
      <x:c r="L259" s="40" t="n">
        <x:v>1006</x:v>
      </x:c>
      <x:c r="M259" s="40" t="n">
        <x:v>2435</x:v>
      </x:c>
      <x:c r="N259" s="41" t="n">
        <x:f>MIN(L259,M259)</x:f>
        <x:v>1006</x:v>
      </x:c>
      <x:c r="O259" s="41" t="n">
        <x:f>MAX(L259,M259)</x:f>
        <x:v>2435</x:v>
      </x:c>
      <x:c r="P259" s="41" t="n">
        <x:f>MAX(N259,MIN(K259,O259))</x:f>
        <x:v>1420</x:v>
      </x:c>
      <x:c r="Q259" s="19" t="str">
        <x:f>IF(K259&lt;N259,IF(N259=L259,"clamped_to_nominal","clamped_to_ppp"),IF(K259&gt;O259,IF(O259=L259,"clamped_to_nominal","clamped_to_ppp"),"kept_vanilla"))</x:f>
        <x:v>kept_vanilla</x:v>
      </x:c>
      <x:c r="R259" s="41" t="n">
        <x:f>P259*G259</x:f>
        <x:v>2818783780</x:v>
      </x:c>
      <x:c r="S259" s="41" t="n">
        <x:f>R259/E259</x:f>
        <x:v>1772819987.4213836</x:v>
      </x:c>
      <x:c r="T259" s="36" t="str">
        <x:v>LSO: IMF exact 2003</x:v>
      </x:c>
      <x:c r="U259" s="36" t="str">
        <x:v>LSO: IMF exact 2003</x:v>
      </x:c>
      <x:c r="V259" s="36" t="str">
        <x:v>LSO: IMF exact 2003</x:v>
      </x:c>
      <x:c r="W259" s="36" t="str">
        <x:v>complete_primary</x:v>
      </x:c>
      <x:c r="X259" s="36" t="str">
        <x:v>https://api.imf.org/external/sdmx/3.0/data/dataflow/IMF.RES/WEO/9.0.0/</x:v>
      </x:c>
      <x:c r="Y259" s="36" t="str">
        <x:v>https://api.worldbank.org/v2/</x:v>
      </x:c>
    </x:row>
    <x:row r="260">
      <x:c r="A260" s="24" t="str">
        <x:v>LES</x:v>
      </x:c>
      <x:c r="B260" s="24" t="str">
        <x:v>Lesotho</x:v>
      </x:c>
      <x:c r="C260" s="24" t="str">
        <x:v>LSO</x:v>
      </x:c>
      <x:c r="D260" s="24" t="n">
        <x:v>2022</x:v>
      </x:c>
      <x:c r="E260" s="37" t="n">
        <x:v>1</x:v>
      </x:c>
      <x:c r="F260" s="38" t="n">
        <x:v>2180787</x:v>
      </x:c>
      <x:c r="G260" s="38" t="n">
        <x:v>2286110</x:v>
      </x:c>
      <x:c r="H260" s="39" t="n">
        <x:f>G260/F260</x:f>
        <x:v>1.0482958675010443</x:v>
      </x:c>
      <x:c r="I260" s="40" t="n">
        <x:v>5639040000</x:v>
      </x:c>
      <x:c r="J260" s="40" t="n">
        <x:v>5639040000</x:v>
      </x:c>
      <x:c r="K260" s="40" t="n">
        <x:v>2586</x:v>
      </x:c>
      <x:c r="L260" s="40" t="n">
        <x:v>995</x:v>
      </x:c>
      <x:c r="M260" s="40" t="n">
        <x:v>2790</x:v>
      </x:c>
      <x:c r="N260" s="41" t="n">
        <x:f>MIN(L260,M260)</x:f>
        <x:v>995</x:v>
      </x:c>
      <x:c r="O260" s="41" t="n">
        <x:f>MAX(L260,M260)</x:f>
        <x:v>2790</x:v>
      </x:c>
      <x:c r="P260" s="41" t="n">
        <x:f>MAX(N260,MIN(K260,O260))</x:f>
        <x:v>2586</x:v>
      </x:c>
      <x:c r="Q260" s="19" t="str">
        <x:f>IF(K260&lt;N260,IF(N260=L260,"clamped_to_nominal","clamped_to_ppp"),IF(K260&gt;O260,IF(O260=L260,"clamped_to_nominal","clamped_to_ppp"),"kept_vanilla"))</x:f>
        <x:v>kept_vanilla</x:v>
      </x:c>
      <x:c r="R260" s="41" t="n">
        <x:f>P260*G260</x:f>
        <x:v>5911880460</x:v>
      </x:c>
      <x:c r="S260" s="41" t="n">
        <x:f>R260/E260</x:f>
        <x:v>5911880460</x:v>
      </x:c>
      <x:c r="T260" s="36" t="str">
        <x:v>LSO: IMF exact 2022</x:v>
      </x:c>
      <x:c r="U260" s="36" t="str">
        <x:v>LSO: IMF exact 2022</x:v>
      </x:c>
      <x:c r="V260" s="36" t="str">
        <x:v>LSO: IMF exact 2022</x:v>
      </x:c>
      <x:c r="W260" s="36" t="str">
        <x:v>complete_primary</x:v>
      </x:c>
      <x:c r="X260" s="36" t="str">
        <x:v>https://api.imf.org/external/sdmx/3.0/data/dataflow/IMF.RES/WEO/9.0.0/</x:v>
      </x:c>
      <x:c r="Y260" s="36" t="str">
        <x:v>https://api.worldbank.org/v2/</x:v>
      </x:c>
    </x:row>
    <x:row r="261">
      <x:c r="A261" s="24" t="str">
        <x:v>LES</x:v>
      </x:c>
      <x:c r="B261" s="24" t="str">
        <x:v>Lesotho</x:v>
      </x:c>
      <x:c r="C261" s="24" t="str">
        <x:v>LSO</x:v>
      </x:c>
      <x:c r="D261" s="24" t="n">
        <x:v>2026</x:v>
      </x:c>
      <x:c r="E261" s="37" t="n">
        <x:v>0.87</x:v>
      </x:c>
      <x:c r="F261" s="38" t="n">
        <x:v>2389336</x:v>
      </x:c>
      <x:c r="G261" s="38" t="n">
        <x:v>2394400</x:v>
      </x:c>
      <x:c r="H261" s="39" t="n">
        <x:f>G261/F261</x:f>
        <x:v>1.0021194172774361</x:v>
      </x:c>
      <x:c r="I261" s="40" t="n">
        <x:v>6520800000</x:v>
      </x:c>
      <x:c r="J261" s="40" t="n">
        <x:v>5673096000</x:v>
      </x:c>
      <x:c r="K261" s="40" t="n">
        <x:v>2374</x:v>
      </x:c>
      <x:c r="L261" s="40" t="n">
        <x:v>1080</x:v>
      </x:c>
      <x:c r="M261" s="40" t="n">
        <x:v>2871</x:v>
      </x:c>
      <x:c r="N261" s="41" t="n">
        <x:f>MIN(L261,M261)</x:f>
        <x:v>1080</x:v>
      </x:c>
      <x:c r="O261" s="41" t="n">
        <x:f>MAX(L261,M261)</x:f>
        <x:v>2871</x:v>
      </x:c>
      <x:c r="P261" s="41" t="n">
        <x:f>MAX(N261,MIN(K261,O261))</x:f>
        <x:v>2374</x:v>
      </x:c>
      <x:c r="Q261" s="19" t="str">
        <x:f>IF(K261&lt;N261,IF(N261=L261,"clamped_to_nominal","clamped_to_ppp"),IF(K261&gt;O261,IF(O261=L261,"clamped_to_nominal","clamped_to_ppp"),"kept_vanilla"))</x:f>
        <x:v>kept_vanilla</x:v>
      </x:c>
      <x:c r="R261" s="41" t="n">
        <x:f>P261*G261</x:f>
        <x:v>5684305600</x:v>
      </x:c>
      <x:c r="S261" s="41" t="n">
        <x:f>R261/E261</x:f>
        <x:v>6533684597.701149</x:v>
      </x:c>
      <x:c r="T261" s="36" t="str">
        <x:v>LSO: IMF exact 2026</x:v>
      </x:c>
      <x:c r="U261" s="36" t="str">
        <x:v>LSO: IMF exact 2026</x:v>
      </x:c>
      <x:c r="V261" s="36" t="str">
        <x:v>LSO: IMF exact 2026</x:v>
      </x:c>
      <x:c r="W261" s="36" t="str">
        <x:v>complete_primary</x:v>
      </x:c>
      <x:c r="X261" s="36" t="str">
        <x:v>https://api.imf.org/external/sdmx/3.0/data/dataflow/IMF.RES/WEO/9.0.0/</x:v>
      </x:c>
      <x:c r="Y261" s="36" t="str">
        <x:v>https://api.worldbank.org/v2/</x:v>
      </x:c>
    </x:row>
    <x:row r="262">
      <x:c r="A262" s="24" t="str">
        <x:v>CAB</x:v>
      </x:c>
      <x:c r="B262" s="24" t="str">
        <x:v>Lesser Antilles States</x:v>
      </x:c>
      <x:c r="C262" s="24" t="str">
        <x:v>TTO+BRB+LCA</x:v>
      </x:c>
      <x:c r="D262" s="24" t="n">
        <x:v>2003</x:v>
      </x:c>
      <x:c r="E262" s="37" t="n">
        <x:v>1.59</x:v>
      </x:c>
      <x:c r="F262" s="38" t="n">
        <x:v>2182077</x:v>
      </x:c>
      <x:c r="G262" s="38" t="n">
        <x:v>1718798</x:v>
      </x:c>
      <x:c r="H262" s="39" t="n">
        <x:f>G262/F262</x:f>
        <x:v>0.7876889770617627</x:v>
      </x:c>
      <x:c r="I262" s="40" t="n">
        <x:v>19515136183</x:v>
      </x:c>
      <x:c r="J262" s="40" t="n">
        <x:v>31029066531</x:v>
      </x:c>
      <x:c r="K262" s="40" t="n">
        <x:v>14220</x:v>
      </x:c>
      <x:c r="L262" s="40" t="n">
        <x:v>14918</x:v>
      </x:c>
      <x:c r="M262" s="40" t="n">
        <x:v>25503</x:v>
      </x:c>
      <x:c r="N262" s="41" t="n">
        <x:f>MIN(L262,M262)</x:f>
        <x:v>14918</x:v>
      </x:c>
      <x:c r="O262" s="41" t="n">
        <x:f>MAX(L262,M262)</x:f>
        <x:v>25503</x:v>
      </x:c>
      <x:c r="P262" s="41" t="n">
        <x:f>MAX(N262,MIN(K262,O262))</x:f>
        <x:v>14918</x:v>
      </x:c>
      <x:c r="Q262" s="19" t="str">
        <x:f>IF(K262&lt;N262,IF(N262=L262,"clamped_to_nominal","clamped_to_ppp"),IF(K262&gt;O262,IF(O262=L262,"clamped_to_nominal","clamped_to_ppp"),"kept_vanilla"))</x:f>
        <x:v>clamped_to_nominal</x:v>
      </x:c>
      <x:c r="R262" s="41" t="n">
        <x:f>P262*G262</x:f>
        <x:v>25641028564</x:v>
      </x:c>
      <x:c r="S262" s="41" t="n">
        <x:f>R262/E262</x:f>
        <x:v>16126433059.119495</x:v>
      </x:c>
      <x:c r="T262" s="36" t="str">
        <x:v>TTO: IMF exact 2003; BRB: IMF exact 2003; LCA: IMF exact 2003</x:v>
      </x:c>
      <x:c r="U262" s="36" t="str">
        <x:v>TTO: IMF exact 2003; BRB: IMF exact 2003; LCA: IMF exact 2003</x:v>
      </x:c>
      <x:c r="V262" s="36" t="str">
        <x:v>TTO: IMF exact 2003; BRB: IMF exact 2003; LCA: IMF exact 2003</x:v>
      </x:c>
      <x:c r="W262" s="36" t="str">
        <x:v>complete_primary</x:v>
      </x:c>
      <x:c r="X262" s="36" t="str">
        <x:v>https://api.imf.org/external/sdmx/3.0/data/dataflow/IMF.RES/WEO/9.0.0/</x:v>
      </x:c>
      <x:c r="Y262" s="36" t="str">
        <x:v>https://api.worldbank.org/v2/</x:v>
      </x:c>
    </x:row>
    <x:row r="263">
      <x:c r="A263" s="24" t="str">
        <x:v>CAB</x:v>
      </x:c>
      <x:c r="B263" s="24" t="str">
        <x:v>Lesser Antilles States</x:v>
      </x:c>
      <x:c r="C263" s="24" t="str">
        <x:v>TTO+BRB+LCA</x:v>
      </x:c>
      <x:c r="D263" s="24" t="n">
        <x:v>2022</x:v>
      </x:c>
      <x:c r="E263" s="37" t="n">
        <x:v>1</x:v>
      </x:c>
      <x:c r="F263" s="38" t="n">
        <x:v>2332559</x:v>
      </x:c>
      <x:c r="G263" s="38" t="n">
        <x:v>1882246</x:v>
      </x:c>
      <x:c r="H263" s="39" t="n">
        <x:f>G263/F263</x:f>
        <x:v>0.8069446474880164</x:v>
      </x:c>
      <x:c r="I263" s="40" t="n">
        <x:v>51929680000</x:v>
      </x:c>
      <x:c r="J263" s="40" t="n">
        <x:v>51929680000</x:v>
      </x:c>
      <x:c r="K263" s="40" t="n">
        <x:v>22263</x:v>
      </x:c>
      <x:c r="L263" s="40" t="n">
        <x:v>19956</x:v>
      </x:c>
      <x:c r="M263" s="40" t="n">
        <x:v>29561</x:v>
      </x:c>
      <x:c r="N263" s="41" t="n">
        <x:f>MIN(L263,M263)</x:f>
        <x:v>19956</x:v>
      </x:c>
      <x:c r="O263" s="41" t="n">
        <x:f>MAX(L263,M263)</x:f>
        <x:v>29561</x:v>
      </x:c>
      <x:c r="P263" s="41" t="n">
        <x:f>MAX(N263,MIN(K263,O263))</x:f>
        <x:v>22263</x:v>
      </x:c>
      <x:c r="Q263" s="19" t="str">
        <x:f>IF(K263&lt;N263,IF(N263=L263,"clamped_to_nominal","clamped_to_ppp"),IF(K263&gt;O263,IF(O263=L263,"clamped_to_nominal","clamped_to_ppp"),"kept_vanilla"))</x:f>
        <x:v>kept_vanilla</x:v>
      </x:c>
      <x:c r="R263" s="41" t="n">
        <x:f>P263*G263</x:f>
        <x:v>41904442698</x:v>
      </x:c>
      <x:c r="S263" s="41" t="n">
        <x:f>R263/E263</x:f>
        <x:v>41904442698</x:v>
      </x:c>
      <x:c r="T263" s="36" t="str">
        <x:v>TTO: IMF exact 2022; BRB: IMF exact 2022; LCA: IMF exact 2022</x:v>
      </x:c>
      <x:c r="U263" s="36" t="str">
        <x:v>TTO: IMF exact 2022; BRB: IMF exact 2022; LCA: IMF exact 2022</x:v>
      </x:c>
      <x:c r="V263" s="36" t="str">
        <x:v>TTO: IMF exact 2022; BRB: IMF exact 2022; LCA: IMF exact 2022</x:v>
      </x:c>
      <x:c r="W263" s="36" t="str">
        <x:v>complete_primary</x:v>
      </x:c>
      <x:c r="X263" s="36" t="str">
        <x:v>https://api.imf.org/external/sdmx/3.0/data/dataflow/IMF.RES/WEO/9.0.0/</x:v>
      </x:c>
      <x:c r="Y263" s="36" t="str">
        <x:v>https://api.worldbank.org/v2/</x:v>
      </x:c>
    </x:row>
    <x:row r="264">
      <x:c r="A264" s="24" t="str">
        <x:v>CAB</x:v>
      </x:c>
      <x:c r="B264" s="24" t="str">
        <x:v>Lesser Antilles States</x:v>
      </x:c>
      <x:c r="C264" s="24" t="str">
        <x:v>TTO+BRB+LCA</x:v>
      </x:c>
      <x:c r="D264" s="24" t="n">
        <x:v>2026</x:v>
      </x:c>
      <x:c r="E264" s="37" t="n">
        <x:v>0.87</x:v>
      </x:c>
      <x:c r="F264" s="38" t="n">
        <x:v>2400215</x:v>
      </x:c>
      <x:c r="G264" s="38" t="n">
        <x:v>1916544</x:v>
      </x:c>
      <x:c r="H264" s="39" t="n">
        <x:f>G264/F264</x:f>
        <x:v>0.7984884687413419</x:v>
      </x:c>
      <x:c r="I264" s="40" t="n">
        <x:v>96646000000</x:v>
      </x:c>
      <x:c r="J264" s="40" t="n">
        <x:v>84082020000</x:v>
      </x:c>
      <x:c r="K264" s="40" t="n">
        <x:v>35031</x:v>
      </x:c>
      <x:c r="L264" s="40" t="n">
        <x:v>17288</x:v>
      </x:c>
      <x:c r="M264" s="40" t="n">
        <x:v>30301</x:v>
      </x:c>
      <x:c r="N264" s="41" t="n">
        <x:f>MIN(L264,M264)</x:f>
        <x:v>17288</x:v>
      </x:c>
      <x:c r="O264" s="41" t="n">
        <x:f>MAX(L264,M264)</x:f>
        <x:v>30301</x:v>
      </x:c>
      <x:c r="P264" s="41" t="n">
        <x:f>MAX(N264,MIN(K264,O264))</x:f>
        <x:v>30301</x:v>
      </x:c>
      <x:c r="Q264" s="19" t="str">
        <x:f>IF(K264&lt;N264,IF(N264=L264,"clamped_to_nominal","clamped_to_ppp"),IF(K264&gt;O264,IF(O264=L264,"clamped_to_nominal","clamped_to_ppp"),"kept_vanilla"))</x:f>
        <x:v>clamped_to_ppp</x:v>
      </x:c>
      <x:c r="R264" s="41" t="n">
        <x:f>P264*G264</x:f>
        <x:v>58073199744</x:v>
      </x:c>
      <x:c r="S264" s="41" t="n">
        <x:f>R264/E264</x:f>
        <x:v>66750804303.44827</x:v>
      </x:c>
      <x:c r="T264" s="36" t="str">
        <x:v>TTO: IMF exact 2026; BRB: IMF exact 2026; LCA: IMF exact 2026</x:v>
      </x:c>
      <x:c r="U264" s="36" t="str">
        <x:v>TTO: IMF exact 2026; BRB: IMF exact 2026; LCA: IMF exact 2026</x:v>
      </x:c>
      <x:c r="V264" s="36" t="str">
        <x:v>TTO: IMF exact 2026; BRB: IMF exact 2026; LCA: IMF exact 2026</x:v>
      </x:c>
      <x:c r="W264" s="36" t="str">
        <x:v>complete_primary</x:v>
      </x:c>
      <x:c r="X264" s="36" t="str">
        <x:v>https://api.imf.org/external/sdmx/3.0/data/dataflow/IMF.RES/WEO/9.0.0/</x:v>
      </x:c>
      <x:c r="Y264" s="36" t="str">
        <x:v>https://api.worldbank.org/v2/</x:v>
      </x:c>
    </x:row>
    <x:row r="265">
      <x:c r="A265" s="24" t="str">
        <x:v>LBR</x:v>
      </x:c>
      <x:c r="B265" s="24" t="str">
        <x:v>Liberia</x:v>
      </x:c>
      <x:c r="C265" s="24" t="str">
        <x:v>LBR</x:v>
      </x:c>
      <x:c r="D265" s="24" t="n">
        <x:v>2003</x:v>
      </x:c>
      <x:c r="E265" s="37" t="n">
        <x:v>1.59</x:v>
      </x:c>
      <x:c r="F265" s="38" t="n">
        <x:v>3119532</x:v>
      </x:c>
      <x:c r="G265" s="38" t="n">
        <x:v>3077000</x:v>
      </x:c>
      <x:c r="H265" s="39" t="n">
        <x:f>G265/F265</x:f>
        <x:v>0.9863659036034892</x:v>
      </x:c>
      <x:c r="I265" s="40" t="n">
        <x:v>1723391813</x:v>
      </x:c>
      <x:c r="J265" s="40" t="n">
        <x:v>2740192983</x:v>
      </x:c>
      <x:c r="K265" s="40" t="n">
        <x:v>878</x:v>
      </x:c>
      <x:c r="L265" s="40" t="n">
        <x:v>369</x:v>
      </x:c>
      <x:c r="M265" s="40" t="n">
        <x:v>1523</x:v>
      </x:c>
      <x:c r="N265" s="41" t="n">
        <x:f>MIN(L265,M265)</x:f>
        <x:v>369</x:v>
      </x:c>
      <x:c r="O265" s="41" t="n">
        <x:f>MAX(L265,M265)</x:f>
        <x:v>1523</x:v>
      </x:c>
      <x:c r="P265" s="41" t="n">
        <x:f>MAX(N265,MIN(K265,O265))</x:f>
        <x:v>878</x:v>
      </x:c>
      <x:c r="Q265" s="19" t="str">
        <x:f>IF(K265&lt;N265,IF(N265=L265,"clamped_to_nominal","clamped_to_ppp"),IF(K265&gt;O265,IF(O265=L265,"clamped_to_nominal","clamped_to_ppp"),"kept_vanilla"))</x:f>
        <x:v>kept_vanilla</x:v>
      </x:c>
      <x:c r="R265" s="41" t="n">
        <x:f>P265*G265</x:f>
        <x:v>2701606000</x:v>
      </x:c>
      <x:c r="S265" s="41" t="n">
        <x:f>R265/E265</x:f>
        <x:v>1699123270.4402516</x:v>
      </x:c>
      <x:c r="T265" s="36" t="str">
        <x:v>LBR: IMF exact 2003</x:v>
      </x:c>
      <x:c r="U265" s="36" t="str">
        <x:v>LBR: IMF exact 2003</x:v>
      </x:c>
      <x:c r="V265" s="36" t="str">
        <x:v>LBR: IMF exact 2003</x:v>
      </x:c>
      <x:c r="W265" s="36" t="str">
        <x:v>complete_primary</x:v>
      </x:c>
      <x:c r="X265" s="36" t="str">
        <x:v>https://api.imf.org/external/sdmx/3.0/data/dataflow/IMF.RES/WEO/9.0.0/</x:v>
      </x:c>
      <x:c r="Y265" s="36" t="str">
        <x:v>https://api.worldbank.org/v2/</x:v>
      </x:c>
    </x:row>
    <x:row r="266">
      <x:c r="A266" s="24" t="str">
        <x:v>LBR</x:v>
      </x:c>
      <x:c r="B266" s="24" t="str">
        <x:v>Liberia</x:v>
      </x:c>
      <x:c r="C266" s="24" t="str">
        <x:v>LBR</x:v>
      </x:c>
      <x:c r="D266" s="24" t="n">
        <x:v>2022</x:v>
      </x:c>
      <x:c r="E266" s="37" t="n">
        <x:v>1</x:v>
      </x:c>
      <x:c r="F266" s="38" t="n">
        <x:v>5344396</x:v>
      </x:c>
      <x:c r="G266" s="38" t="n">
        <x:v>5373294</x:v>
      </x:c>
      <x:c r="H266" s="39" t="n">
        <x:f>G266/F266</x:f>
        <x:v>1.0054071592000293</x:v>
      </x:c>
      <x:c r="I266" s="40" t="n">
        <x:v>7722880000</x:v>
      </x:c>
      <x:c r="J266" s="40" t="n">
        <x:v>7722880000</x:v>
      </x:c>
      <x:c r="K266" s="40" t="n">
        <x:v>1445</x:v>
      </x:c>
      <x:c r="L266" s="40" t="n">
        <x:v>740</x:v>
      </x:c>
      <x:c r="M266" s="40" t="n">
        <x:v>1689</x:v>
      </x:c>
      <x:c r="N266" s="41" t="n">
        <x:f>MIN(L266,M266)</x:f>
        <x:v>740</x:v>
      </x:c>
      <x:c r="O266" s="41" t="n">
        <x:f>MAX(L266,M266)</x:f>
        <x:v>1689</x:v>
      </x:c>
      <x:c r="P266" s="41" t="n">
        <x:f>MAX(N266,MIN(K266,O266))</x:f>
        <x:v>1445</x:v>
      </x:c>
      <x:c r="Q266" s="19" t="str">
        <x:f>IF(K266&lt;N266,IF(N266=L266,"clamped_to_nominal","clamped_to_ppp"),IF(K266&gt;O266,IF(O266=L266,"clamped_to_nominal","clamped_to_ppp"),"kept_vanilla"))</x:f>
        <x:v>kept_vanilla</x:v>
      </x:c>
      <x:c r="R266" s="41" t="n">
        <x:f>P266*G266</x:f>
        <x:v>7764409830</x:v>
      </x:c>
      <x:c r="S266" s="41" t="n">
        <x:f>R266/E266</x:f>
        <x:v>7764409830</x:v>
      </x:c>
      <x:c r="T266" s="36" t="str">
        <x:v>LBR: IMF exact 2022</x:v>
      </x:c>
      <x:c r="U266" s="36" t="str">
        <x:v>LBR: IMF exact 2022</x:v>
      </x:c>
      <x:c r="V266" s="36" t="str">
        <x:v>LBR: IMF exact 2022</x:v>
      </x:c>
      <x:c r="W266" s="36" t="str">
        <x:v>complete_primary</x:v>
      </x:c>
      <x:c r="X266" s="36" t="str">
        <x:v>https://api.imf.org/external/sdmx/3.0/data/dataflow/IMF.RES/WEO/9.0.0/</x:v>
      </x:c>
      <x:c r="Y266" s="36" t="str">
        <x:v>https://api.worldbank.org/v2/</x:v>
      </x:c>
    </x:row>
    <x:row r="267">
      <x:c r="A267" s="24" t="str">
        <x:v>LBR</x:v>
      </x:c>
      <x:c r="B267" s="24" t="str">
        <x:v>Liberia</x:v>
      </x:c>
      <x:c r="C267" s="24" t="str">
        <x:v>LBR</x:v>
      </x:c>
      <x:c r="D267" s="24" t="n">
        <x:v>2026</x:v>
      </x:c>
      <x:c r="E267" s="37" t="n">
        <x:v>0.87</x:v>
      </x:c>
      <x:c r="F267" s="38" t="n">
        <x:v>5853949</x:v>
      </x:c>
      <x:c r="G267" s="38" t="n">
        <x:v>5853949</x:v>
      </x:c>
      <x:c r="H267" s="39" t="n">
        <x:f>G267/F267</x:f>
        <x:v>1</x:v>
      </x:c>
      <x:c r="I267" s="40" t="n">
        <x:v>10046960000</x:v>
      </x:c>
      <x:c r="J267" s="40" t="n">
        <x:v>8740855200</x:v>
      </x:c>
      <x:c r="K267" s="40" t="n">
        <x:v>1493</x:v>
      </x:c>
      <x:c r="L267" s="40" t="n">
        <x:v>838</x:v>
      </x:c>
      <x:c r="M267" s="40" t="n">
        <x:v>1823</x:v>
      </x:c>
      <x:c r="N267" s="41" t="n">
        <x:f>MIN(L267,M267)</x:f>
        <x:v>838</x:v>
      </x:c>
      <x:c r="O267" s="41" t="n">
        <x:f>MAX(L267,M267)</x:f>
        <x:v>1823</x:v>
      </x:c>
      <x:c r="P267" s="41" t="n">
        <x:f>MAX(N267,MIN(K267,O267))</x:f>
        <x:v>1493</x:v>
      </x:c>
      <x:c r="Q267" s="19" t="str">
        <x:f>IF(K267&lt;N267,IF(N267=L267,"clamped_to_nominal","clamped_to_ppp"),IF(K267&gt;O267,IF(O267=L267,"clamped_to_nominal","clamped_to_ppp"),"kept_vanilla"))</x:f>
        <x:v>kept_vanilla</x:v>
      </x:c>
      <x:c r="R267" s="41" t="n">
        <x:f>P267*G267</x:f>
        <x:v>8739945857</x:v>
      </x:c>
      <x:c r="S267" s="41" t="n">
        <x:f>R267/E267</x:f>
        <x:v>10045914778.16092</x:v>
      </x:c>
      <x:c r="T267" s="36" t="str">
        <x:v>LBR: IMF exact 2026</x:v>
      </x:c>
      <x:c r="U267" s="36" t="str">
        <x:v>LBR: IMF exact 2026</x:v>
      </x:c>
      <x:c r="V267" s="36" t="str">
        <x:v>LBR: IMF exact 2026</x:v>
      </x:c>
      <x:c r="W267" s="36" t="str">
        <x:v>complete_primary</x:v>
      </x:c>
      <x:c r="X267" s="36" t="str">
        <x:v>https://api.imf.org/external/sdmx/3.0/data/dataflow/IMF.RES/WEO/9.0.0/</x:v>
      </x:c>
      <x:c r="Y267" s="36" t="str">
        <x:v>https://api.worldbank.org/v2/</x:v>
      </x:c>
    </x:row>
    <x:row r="268">
      <x:c r="A268" s="24" t="str">
        <x:v>LBY</x:v>
      </x:c>
      <x:c r="B268" s="24" t="str">
        <x:v>Libya</x:v>
      </x:c>
      <x:c r="C268" s="24" t="str">
        <x:v>LBY</x:v>
      </x:c>
      <x:c r="D268" s="24" t="n">
        <x:v>2003</x:v>
      </x:c>
      <x:c r="E268" s="37" t="n">
        <x:v>1.59</x:v>
      </x:c>
      <x:c r="F268" s="38" t="n">
        <x:v>5619398</x:v>
      </x:c>
      <x:c r="G268" s="38" t="n">
        <x:v>5619398</x:v>
      </x:c>
      <x:c r="H268" s="39" t="n">
        <x:f>G268/F268</x:f>
        <x:v>1</x:v>
      </x:c>
      <x:c r="I268" s="40" t="n">
        <x:v>57739766082</x:v>
      </x:c>
      <x:c r="J268" s="40" t="n">
        <x:v>91806228070</x:v>
      </x:c>
      <x:c r="K268" s="40" t="n">
        <x:v>16337</x:v>
      </x:c>
      <x:c r="L268" s="40" t="n">
        <x:v>7647</x:v>
      </x:c>
      <x:c r="M268" s="40" t="n">
        <x:v>27937</x:v>
      </x:c>
      <x:c r="N268" s="41" t="n">
        <x:f>MIN(L268,M268)</x:f>
        <x:v>7647</x:v>
      </x:c>
      <x:c r="O268" s="41" t="n">
        <x:f>MAX(L268,M268)</x:f>
        <x:v>27937</x:v>
      </x:c>
      <x:c r="P268" s="41" t="n">
        <x:f>MAX(N268,MIN(K268,O268))</x:f>
        <x:v>16337</x:v>
      </x:c>
      <x:c r="Q268" s="19" t="str">
        <x:f>IF(K268&lt;N268,IF(N268=L268,"clamped_to_nominal","clamped_to_ppp"),IF(K268&gt;O268,IF(O268=L268,"clamped_to_nominal","clamped_to_ppp"),"kept_vanilla"))</x:f>
        <x:v>kept_vanilla</x:v>
      </x:c>
      <x:c r="R268" s="41" t="n">
        <x:f>P268*G268</x:f>
        <x:v>91804105126</x:v>
      </x:c>
      <x:c r="S268" s="41" t="n">
        <x:f>R268/E268</x:f>
        <x:v>57738430896.85535</x:v>
      </x:c>
      <x:c r="T268" s="36" t="str">
        <x:v>LBY: IMF exact 2003</x:v>
      </x:c>
      <x:c r="U268" s="36" t="str">
        <x:v>LBY: IMF exact 2003</x:v>
      </x:c>
      <x:c r="V268" s="36" t="str">
        <x:v>LBY: IMF exact 2003</x:v>
      </x:c>
      <x:c r="W268" s="36" t="str">
        <x:v>complete_primary</x:v>
      </x:c>
      <x:c r="X268" s="36" t="str">
        <x:v>https://api.imf.org/external/sdmx/3.0/data/dataflow/IMF.RES/WEO/9.0.0/</x:v>
      </x:c>
      <x:c r="Y268" s="36" t="str">
        <x:v>https://api.worldbank.org/v2/</x:v>
      </x:c>
    </x:row>
    <x:row r="269">
      <x:c r="A269" s="24" t="str">
        <x:v>LBY</x:v>
      </x:c>
      <x:c r="B269" s="24" t="str">
        <x:v>Libya</x:v>
      </x:c>
      <x:c r="C269" s="24" t="str">
        <x:v>LBY</x:v>
      </x:c>
      <x:c r="D269" s="24" t="n">
        <x:v>2022</x:v>
      </x:c>
      <x:c r="E269" s="37" t="n">
        <x:v>1</x:v>
      </x:c>
      <x:c r="F269" s="38" t="n">
        <x:v>7066241</x:v>
      </x:c>
      <x:c r="G269" s="38" t="n">
        <x:v>7223805</x:v>
      </x:c>
      <x:c r="H269" s="39" t="n">
        <x:f>G269/F269</x:f>
        <x:v>1.0222981355999605</x:v>
      </x:c>
      <x:c r="I269" s="40" t="n">
        <x:v>109406880000</x:v>
      </x:c>
      <x:c r="J269" s="40" t="n">
        <x:v>109406880000</x:v>
      </x:c>
      <x:c r="K269" s="40" t="n">
        <x:v>15483</x:v>
      </x:c>
      <x:c r="L269" s="40" t="n">
        <x:v>5991</x:v>
      </x:c>
      <x:c r="M269" s="40" t="n">
        <x:v>12221</x:v>
      </x:c>
      <x:c r="N269" s="41" t="n">
        <x:f>MIN(L269,M269)</x:f>
        <x:v>5991</x:v>
      </x:c>
      <x:c r="O269" s="41" t="n">
        <x:f>MAX(L269,M269)</x:f>
        <x:v>12221</x:v>
      </x:c>
      <x:c r="P269" s="41" t="n">
        <x:f>MAX(N269,MIN(K269,O269))</x:f>
        <x:v>12221</x:v>
      </x:c>
      <x:c r="Q269" s="19" t="str">
        <x:f>IF(K269&lt;N269,IF(N269=L269,"clamped_to_nominal","clamped_to_ppp"),IF(K269&gt;O269,IF(O269=L269,"clamped_to_nominal","clamped_to_ppp"),"kept_vanilla"))</x:f>
        <x:v>clamped_to_ppp</x:v>
      </x:c>
      <x:c r="R269" s="41" t="n">
        <x:f>P269*G269</x:f>
        <x:v>88282120905</x:v>
      </x:c>
      <x:c r="S269" s="41" t="n">
        <x:f>R269/E269</x:f>
        <x:v>88282120905</x:v>
      </x:c>
      <x:c r="T269" s="36" t="str">
        <x:v>LBY: IMF exact 2022</x:v>
      </x:c>
      <x:c r="U269" s="36" t="str">
        <x:v>LBY: IMF exact 2022</x:v>
      </x:c>
      <x:c r="V269" s="36" t="str">
        <x:v>LBY: IMF exact 2022</x:v>
      </x:c>
      <x:c r="W269" s="36" t="str">
        <x:v>complete_primary</x:v>
      </x:c>
      <x:c r="X269" s="36" t="str">
        <x:v>https://api.imf.org/external/sdmx/3.0/data/dataflow/IMF.RES/WEO/9.0.0/</x:v>
      </x:c>
      <x:c r="Y269" s="36" t="str">
        <x:v>https://api.worldbank.org/v2/</x:v>
      </x:c>
    </x:row>
    <x:row r="270">
      <x:c r="A270" s="24" t="str">
        <x:v>LBY</x:v>
      </x:c>
      <x:c r="B270" s="24" t="str">
        <x:v>Libya</x:v>
      </x:c>
      <x:c r="C270" s="24" t="str">
        <x:v>LBY</x:v>
      </x:c>
      <x:c r="D270" s="24" t="n">
        <x:v>2026</x:v>
      </x:c>
      <x:c r="E270" s="37" t="n">
        <x:v>0.87</x:v>
      </x:c>
      <x:c r="F270" s="38" t="n">
        <x:v>7539851</x:v>
      </x:c>
      <x:c r="G270" s="38" t="n">
        <x:v>7534091</x:v>
      </x:c>
      <x:c r="H270" s="39" t="n">
        <x:f>G270/F270</x:f>
        <x:v>0.9992360591741136</x:v>
      </x:c>
      <x:c r="I270" s="40" t="n">
        <x:v>109108560000</x:v>
      </x:c>
      <x:c r="J270" s="40" t="n">
        <x:v>94924447200</x:v>
      </x:c>
      <x:c r="K270" s="40" t="n">
        <x:v>12590</x:v>
      </x:c>
      <x:c r="L270" s="40" t="n">
        <x:v>6057</x:v>
      </x:c>
      <x:c r="M270" s="40" t="n">
        <x:v>16312</x:v>
      </x:c>
      <x:c r="N270" s="41" t="n">
        <x:f>MIN(L270,M270)</x:f>
        <x:v>6057</x:v>
      </x:c>
      <x:c r="O270" s="41" t="n">
        <x:f>MAX(L270,M270)</x:f>
        <x:v>16312</x:v>
      </x:c>
      <x:c r="P270" s="41" t="n">
        <x:f>MAX(N270,MIN(K270,O270))</x:f>
        <x:v>12590</x:v>
      </x:c>
      <x:c r="Q270" s="19" t="str">
        <x:f>IF(K270&lt;N270,IF(N270=L270,"clamped_to_nominal","clamped_to_ppp"),IF(K270&gt;O270,IF(O270=L270,"clamped_to_nominal","clamped_to_ppp"),"kept_vanilla"))</x:f>
        <x:v>kept_vanilla</x:v>
      </x:c>
      <x:c r="R270" s="41" t="n">
        <x:f>P270*G270</x:f>
        <x:v>94854205690</x:v>
      </x:c>
      <x:c r="S270" s="41" t="n">
        <x:f>R270/E270</x:f>
        <x:v>109027822632.18391</x:v>
      </x:c>
      <x:c r="T270" s="36" t="str">
        <x:v>LBY: IMF exact 2026</x:v>
      </x:c>
      <x:c r="U270" s="36" t="str">
        <x:v>LBY: IMF exact 2026</x:v>
      </x:c>
      <x:c r="V270" s="36" t="str">
        <x:v>LBY: IMF exact 2026</x:v>
      </x:c>
      <x:c r="W270" s="36" t="str">
        <x:v>complete_primary</x:v>
      </x:c>
      <x:c r="X270" s="36" t="str">
        <x:v>https://api.imf.org/external/sdmx/3.0/data/dataflow/IMF.RES/WEO/9.0.0/</x:v>
      </x:c>
      <x:c r="Y270" s="36" t="str">
        <x:v>https://api.worldbank.org/v2/</x:v>
      </x:c>
    </x:row>
    <x:row r="271">
      <x:c r="A271" s="24" t="str">
        <x:v>LTU</x:v>
      </x:c>
      <x:c r="B271" s="24" t="str">
        <x:v>Lithuania</x:v>
      </x:c>
      <x:c r="C271" s="24" t="str">
        <x:v>LTU</x:v>
      </x:c>
      <x:c r="D271" s="24" t="n">
        <x:v>2003</x:v>
      </x:c>
      <x:c r="E271" s="37" t="n">
        <x:v>1.59</x:v>
      </x:c>
      <x:c r="F271" s="38" t="n">
        <x:v>3415278</x:v>
      </x:c>
      <x:c r="G271" s="38" t="n">
        <x:v>3415210</x:v>
      </x:c>
      <x:c r="H271" s="39" t="n">
        <x:f>G271/F271</x:f>
        <x:v>0.9999800894685587</x:v>
      </x:c>
      <x:c r="I271" s="40" t="n">
        <x:v>27378362573</x:v>
      </x:c>
      <x:c r="J271" s="40" t="n">
        <x:v>43531596491</x:v>
      </x:c>
      <x:c r="K271" s="40" t="n">
        <x:v>12746</x:v>
      </x:c>
      <x:c r="L271" s="40" t="n">
        <x:v>8753</x:v>
      </x:c>
      <x:c r="M271" s="40" t="n">
        <x:v>21520</x:v>
      </x:c>
      <x:c r="N271" s="41" t="n">
        <x:f>MIN(L271,M271)</x:f>
        <x:v>8753</x:v>
      </x:c>
      <x:c r="O271" s="41" t="n">
        <x:f>MAX(L271,M271)</x:f>
        <x:v>21520</x:v>
      </x:c>
      <x:c r="P271" s="41" t="n">
        <x:f>MAX(N271,MIN(K271,O271))</x:f>
        <x:v>12746</x:v>
      </x:c>
      <x:c r="Q271" s="19" t="str">
        <x:f>IF(K271&lt;N271,IF(N271=L271,"clamped_to_nominal","clamped_to_ppp"),IF(K271&gt;O271,IF(O271=L271,"clamped_to_nominal","clamped_to_ppp"),"kept_vanilla"))</x:f>
        <x:v>kept_vanilla</x:v>
      </x:c>
      <x:c r="R271" s="41" t="n">
        <x:f>P271*G271</x:f>
        <x:v>43530266660</x:v>
      </x:c>
      <x:c r="S271" s="41" t="n">
        <x:f>R271/E271</x:f>
        <x:v>27377526201.257862</x:v>
      </x:c>
      <x:c r="T271" s="36" t="str">
        <x:v>LTU: IMF exact 2003</x:v>
      </x:c>
      <x:c r="U271" s="36" t="str">
        <x:v>LTU: IMF exact 2003</x:v>
      </x:c>
      <x:c r="V271" s="36" t="str">
        <x:v>LTU: IMF exact 2003</x:v>
      </x:c>
      <x:c r="W271" s="36" t="str">
        <x:v>complete_primary</x:v>
      </x:c>
      <x:c r="X271" s="36" t="str">
        <x:v>https://api.imf.org/external/sdmx/3.0/data/dataflow/IMF.RES/WEO/9.0.0/</x:v>
      </x:c>
      <x:c r="Y271" s="36" t="str">
        <x:v>https://api.worldbank.org/v2/</x:v>
      </x:c>
    </x:row>
    <x:row r="272">
      <x:c r="A272" s="24" t="str">
        <x:v>LTU</x:v>
      </x:c>
      <x:c r="B272" s="24" t="str">
        <x:v>Lithuania</x:v>
      </x:c>
      <x:c r="C272" s="24" t="str">
        <x:v>LTU</x:v>
      </x:c>
      <x:c r="D272" s="24" t="n">
        <x:v>2022</x:v>
      </x:c>
      <x:c r="E272" s="37" t="n">
        <x:v>1</x:v>
      </x:c>
      <x:c r="F272" s="38" t="n">
        <x:v>2653472</x:v>
      </x:c>
      <x:c r="G272" s="38" t="n">
        <x:v>2831639</x:v>
      </x:c>
      <x:c r="H272" s="39" t="n">
        <x:f>G272/F272</x:f>
        <x:v>1.0671448577561775</x:v>
      </x:c>
      <x:c r="I272" s="40" t="n">
        <x:v>114099040000</x:v>
      </x:c>
      <x:c r="J272" s="40" t="n">
        <x:v>114099040000</x:v>
      </x:c>
      <x:c r="K272" s="40" t="n">
        <x:v>43000</x:v>
      </x:c>
      <x:c r="L272" s="40" t="n">
        <x:v>24963</x:v>
      </x:c>
      <x:c r="M272" s="40" t="n">
        <x:v>50568</x:v>
      </x:c>
      <x:c r="N272" s="41" t="n">
        <x:f>MIN(L272,M272)</x:f>
        <x:v>24963</x:v>
      </x:c>
      <x:c r="O272" s="41" t="n">
        <x:f>MAX(L272,M272)</x:f>
        <x:v>50568</x:v>
      </x:c>
      <x:c r="P272" s="41" t="n">
        <x:f>MAX(N272,MIN(K272,O272))</x:f>
        <x:v>43000</x:v>
      </x:c>
      <x:c r="Q272" s="19" t="str">
        <x:f>IF(K272&lt;N272,IF(N272=L272,"clamped_to_nominal","clamped_to_ppp"),IF(K272&gt;O272,IF(O272=L272,"clamped_to_nominal","clamped_to_ppp"),"kept_vanilla"))</x:f>
        <x:v>kept_vanilla</x:v>
      </x:c>
      <x:c r="R272" s="41" t="n">
        <x:f>P272*G272</x:f>
        <x:v>121760477000</x:v>
      </x:c>
      <x:c r="S272" s="41" t="n">
        <x:f>R272/E272</x:f>
        <x:v>121760477000</x:v>
      </x:c>
      <x:c r="T272" s="36" t="str">
        <x:v>LTU: IMF exact 2022</x:v>
      </x:c>
      <x:c r="U272" s="36" t="str">
        <x:v>LTU: IMF exact 2022</x:v>
      </x:c>
      <x:c r="V272" s="36" t="str">
        <x:v>LTU: IMF exact 2022</x:v>
      </x:c>
      <x:c r="W272" s="36" t="str">
        <x:v>complete_primary</x:v>
      </x:c>
      <x:c r="X272" s="36" t="str">
        <x:v>https://api.imf.org/external/sdmx/3.0/data/dataflow/IMF.RES/WEO/9.0.0/</x:v>
      </x:c>
      <x:c r="Y272" s="36" t="str">
        <x:v>https://api.worldbank.org/v2/</x:v>
      </x:c>
    </x:row>
    <x:row r="273">
      <x:c r="A273" s="24" t="str">
        <x:v>LTU</x:v>
      </x:c>
      <x:c r="B273" s="24" t="str">
        <x:v>Lithuania</x:v>
      </x:c>
      <x:c r="C273" s="24" t="str">
        <x:v>LTU</x:v>
      </x:c>
      <x:c r="D273" s="24" t="n">
        <x:v>2026</x:v>
      </x:c>
      <x:c r="E273" s="37" t="n">
        <x:v>0.87</x:v>
      </x:c>
      <x:c r="F273" s="38" t="n">
        <x:v>2797338</x:v>
      </x:c>
      <x:c r="G273" s="38" t="n">
        <x:v>2898023</x:v>
      </x:c>
      <x:c r="H273" s="39" t="n">
        <x:f>G273/F273</x:f>
        <x:v>1.0359931477712025</x:v>
      </x:c>
      <x:c r="I273" s="40" t="n">
        <x:v>145588960000</x:v>
      </x:c>
      <x:c r="J273" s="40" t="n">
        <x:v>126662395200</x:v>
      </x:c>
      <x:c r="K273" s="40" t="n">
        <x:v>45280</x:v>
      </x:c>
      <x:c r="L273" s="40" t="n">
        <x:v>31794</x:v>
      </x:c>
      <x:c r="M273" s="40" t="n">
        <x:v>53115</x:v>
      </x:c>
      <x:c r="N273" s="41" t="n">
        <x:f>MIN(L273,M273)</x:f>
        <x:v>31794</x:v>
      </x:c>
      <x:c r="O273" s="41" t="n">
        <x:f>MAX(L273,M273)</x:f>
        <x:v>53115</x:v>
      </x:c>
      <x:c r="P273" s="41" t="n">
        <x:f>MAX(N273,MIN(K273,O273))</x:f>
        <x:v>45280</x:v>
      </x:c>
      <x:c r="Q273" s="19" t="str">
        <x:f>IF(K273&lt;N273,IF(N273=L273,"clamped_to_nominal","clamped_to_ppp"),IF(K273&gt;O273,IF(O273=L273,"clamped_to_nominal","clamped_to_ppp"),"kept_vanilla"))</x:f>
        <x:v>kept_vanilla</x:v>
      </x:c>
      <x:c r="R273" s="41" t="n">
        <x:f>P273*G273</x:f>
        <x:v>131222481440</x:v>
      </x:c>
      <x:c r="S273" s="41" t="n">
        <x:f>R273/E273</x:f>
        <x:v>150830438436.78162</x:v>
      </x:c>
      <x:c r="T273" s="36" t="str">
        <x:v>LTU: IMF exact 2026</x:v>
      </x:c>
      <x:c r="U273" s="36" t="str">
        <x:v>LTU: IMF exact 2026</x:v>
      </x:c>
      <x:c r="V273" s="36" t="str">
        <x:v>LTU: IMF exact 2026</x:v>
      </x:c>
      <x:c r="W273" s="36" t="str">
        <x:v>complete_primary</x:v>
      </x:c>
      <x:c r="X273" s="36" t="str">
        <x:v>https://api.imf.org/external/sdmx/3.0/data/dataflow/IMF.RES/WEO/9.0.0/</x:v>
      </x:c>
      <x:c r="Y273" s="36" t="str">
        <x:v>https://api.worldbank.org/v2/</x:v>
      </x:c>
    </x:row>
    <x:row r="274">
      <x:c r="A274" s="24" t="str">
        <x:v>MDG</x:v>
      </x:c>
      <x:c r="B274" s="24" t="str">
        <x:v>Madagascar</x:v>
      </x:c>
      <x:c r="C274" s="24" t="str">
        <x:v>MDG</x:v>
      </x:c>
      <x:c r="D274" s="24" t="n">
        <x:v>2003</x:v>
      </x:c>
      <x:c r="E274" s="37" t="n">
        <x:v>1.59</x:v>
      </x:c>
      <x:c r="F274" s="38" t="n">
        <x:v>18071854</x:v>
      </x:c>
      <x:c r="G274" s="38" t="n">
        <x:v>16464053</x:v>
      </x:c>
      <x:c r="H274" s="39" t="n">
        <x:f>G274/F274</x:f>
        <x:v>0.9110328691234447</x:v>
      </x:c>
      <x:c r="I274" s="40" t="n">
        <x:v>11947953216</x:v>
      </x:c>
      <x:c r="J274" s="40" t="n">
        <x:v>18997245613</x:v>
      </x:c>
      <x:c r="K274" s="40" t="n">
        <x:v>1051</x:v>
      </x:c>
      <x:c r="L274" s="40" t="n">
        <x:v>615</x:v>
      </x:c>
      <x:c r="M274" s="40" t="n">
        <x:v>1973</x:v>
      </x:c>
      <x:c r="N274" s="41" t="n">
        <x:f>MIN(L274,M274)</x:f>
        <x:v>615</x:v>
      </x:c>
      <x:c r="O274" s="41" t="n">
        <x:f>MAX(L274,M274)</x:f>
        <x:v>1973</x:v>
      </x:c>
      <x:c r="P274" s="41" t="n">
        <x:f>MAX(N274,MIN(K274,O274))</x:f>
        <x:v>1051</x:v>
      </x:c>
      <x:c r="Q274" s="19" t="str">
        <x:f>IF(K274&lt;N274,IF(N274=L274,"clamped_to_nominal","clamped_to_ppp"),IF(K274&gt;O274,IF(O274=L274,"clamped_to_nominal","clamped_to_ppp"),"kept_vanilla"))</x:f>
        <x:v>kept_vanilla</x:v>
      </x:c>
      <x:c r="R274" s="41" t="n">
        <x:f>P274*G274</x:f>
        <x:v>17303719703</x:v>
      </x:c>
      <x:c r="S274" s="41" t="n">
        <x:f>R274/E274</x:f>
        <x:v>10882842580.503143</x:v>
      </x:c>
      <x:c r="T274" s="36" t="str">
        <x:v>MDG: IMF exact 2003</x:v>
      </x:c>
      <x:c r="U274" s="36" t="str">
        <x:v>MDG: IMF exact 2003</x:v>
      </x:c>
      <x:c r="V274" s="36" t="str">
        <x:v>MDG: IMF exact 2003</x:v>
      </x:c>
      <x:c r="W274" s="36" t="str">
        <x:v>complete_primary</x:v>
      </x:c>
      <x:c r="X274" s="36" t="str">
        <x:v>https://api.imf.org/external/sdmx/3.0/data/dataflow/IMF.RES/WEO/9.0.0/</x:v>
      </x:c>
      <x:c r="Y274" s="36" t="str">
        <x:v>https://api.worldbank.org/v2/</x:v>
      </x:c>
    </x:row>
    <x:row r="275">
      <x:c r="A275" s="24" t="str">
        <x:v>MDG</x:v>
      </x:c>
      <x:c r="B275" s="24" t="str">
        <x:v>Madagascar</x:v>
      </x:c>
      <x:c r="C275" s="24" t="str">
        <x:v>MDG</x:v>
      </x:c>
      <x:c r="D275" s="24" t="n">
        <x:v>2022</x:v>
      </x:c>
      <x:c r="E275" s="37" t="n">
        <x:v>1</x:v>
      </x:c>
      <x:c r="F275" s="38" t="n">
        <x:v>29415172</x:v>
      </x:c>
      <x:c r="G275" s="38" t="n">
        <x:v>28961348</x:v>
      </x:c>
      <x:c r="H275" s="39" t="n">
        <x:f>G275/F275</x:f>
        <x:v>0.9845717713294351</x:v>
      </x:c>
      <x:c r="I275" s="40" t="n">
        <x:v>45338480000</x:v>
      </x:c>
      <x:c r="J275" s="40" t="n">
        <x:v>45338480000</x:v>
      </x:c>
      <x:c r="K275" s="40" t="n">
        <x:v>1541</x:v>
      </x:c>
      <x:c r="L275" s="40" t="n">
        <x:v>530</x:v>
      </x:c>
      <x:c r="M275" s="40" t="n">
        <x:v>1804</x:v>
      </x:c>
      <x:c r="N275" s="41" t="n">
        <x:f>MIN(L275,M275)</x:f>
        <x:v>530</x:v>
      </x:c>
      <x:c r="O275" s="41" t="n">
        <x:f>MAX(L275,M275)</x:f>
        <x:v>1804</x:v>
      </x:c>
      <x:c r="P275" s="41" t="n">
        <x:f>MAX(N275,MIN(K275,O275))</x:f>
        <x:v>1541</x:v>
      </x:c>
      <x:c r="Q275" s="19" t="str">
        <x:f>IF(K275&lt;N275,IF(N275=L275,"clamped_to_nominal","clamped_to_ppp"),IF(K275&gt;O275,IF(O275=L275,"clamped_to_nominal","clamped_to_ppp"),"kept_vanilla"))</x:f>
        <x:v>kept_vanilla</x:v>
      </x:c>
      <x:c r="R275" s="41" t="n">
        <x:f>P275*G275</x:f>
        <x:v>44629437268</x:v>
      </x:c>
      <x:c r="S275" s="41" t="n">
        <x:f>R275/E275</x:f>
        <x:v>44629437268</x:v>
      </x:c>
      <x:c r="T275" s="36" t="str">
        <x:v>MDG: IMF exact 2022</x:v>
      </x:c>
      <x:c r="U275" s="36" t="str">
        <x:v>MDG: IMF exact 2022</x:v>
      </x:c>
      <x:c r="V275" s="36" t="str">
        <x:v>MDG: IMF exact 2022</x:v>
      </x:c>
      <x:c r="W275" s="36" t="str">
        <x:v>complete_primary</x:v>
      </x:c>
      <x:c r="X275" s="36" t="str">
        <x:v>https://api.imf.org/external/sdmx/3.0/data/dataflow/IMF.RES/WEO/9.0.0/</x:v>
      </x:c>
      <x:c r="Y275" s="36" t="str">
        <x:v>https://api.worldbank.org/v2/</x:v>
      </x:c>
    </x:row>
    <x:row r="276">
      <x:c r="A276" s="24" t="str">
        <x:v>MDG</x:v>
      </x:c>
      <x:c r="B276" s="24" t="str">
        <x:v>Madagascar</x:v>
      </x:c>
      <x:c r="C276" s="24" t="str">
        <x:v>MDG</x:v>
      </x:c>
      <x:c r="D276" s="24" t="n">
        <x:v>2026</x:v>
      </x:c>
      <x:c r="E276" s="37" t="n">
        <x:v>0.87</x:v>
      </x:c>
      <x:c r="F276" s="38" t="n">
        <x:v>33522052</x:v>
      </x:c>
      <x:c r="G276" s="38" t="n">
        <x:v>32318652</x:v>
      </x:c>
      <x:c r="H276" s="39" t="n">
        <x:f>G276/F276</x:f>
        <x:v>0.9641012429668685</x:v>
      </x:c>
      <x:c r="I276" s="40" t="n">
        <x:v>56532960000</x:v>
      </x:c>
      <x:c r="J276" s="40" t="n">
        <x:v>49183675200</x:v>
      </x:c>
      <x:c r="K276" s="40" t="n">
        <x:v>1467</x:v>
      </x:c>
      <x:c r="L276" s="40" t="n">
        <x:v>570</x:v>
      </x:c>
      <x:c r="M276" s="40" t="n">
        <x:v>1832</x:v>
      </x:c>
      <x:c r="N276" s="41" t="n">
        <x:f>MIN(L276,M276)</x:f>
        <x:v>570</x:v>
      </x:c>
      <x:c r="O276" s="41" t="n">
        <x:f>MAX(L276,M276)</x:f>
        <x:v>1832</x:v>
      </x:c>
      <x:c r="P276" s="41" t="n">
        <x:f>MAX(N276,MIN(K276,O276))</x:f>
        <x:v>1467</x:v>
      </x:c>
      <x:c r="Q276" s="19" t="str">
        <x:f>IF(K276&lt;N276,IF(N276=L276,"clamped_to_nominal","clamped_to_ppp"),IF(K276&gt;O276,IF(O276=L276,"clamped_to_nominal","clamped_to_ppp"),"kept_vanilla"))</x:f>
        <x:v>kept_vanilla</x:v>
      </x:c>
      <x:c r="R276" s="41" t="n">
        <x:f>P276*G276</x:f>
        <x:v>47411462484</x:v>
      </x:c>
      <x:c r="S276" s="41" t="n">
        <x:f>R276/E276</x:f>
        <x:v>54495933889.655174</x:v>
      </x:c>
      <x:c r="T276" s="36" t="str">
        <x:v>MDG: IMF exact 2026</x:v>
      </x:c>
      <x:c r="U276" s="36" t="str">
        <x:v>MDG: IMF exact 2026</x:v>
      </x:c>
      <x:c r="V276" s="36" t="str">
        <x:v>MDG: IMF exact 2026</x:v>
      </x:c>
      <x:c r="W276" s="36" t="str">
        <x:v>complete_primary</x:v>
      </x:c>
      <x:c r="X276" s="36" t="str">
        <x:v>https://api.imf.org/external/sdmx/3.0/data/dataflow/IMF.RES/WEO/9.0.0/</x:v>
      </x:c>
      <x:c r="Y276" s="36" t="str">
        <x:v>https://api.worldbank.org/v2/</x:v>
      </x:c>
    </x:row>
    <x:row r="277">
      <x:c r="A277" s="24" t="str">
        <x:v>MAL</x:v>
      </x:c>
      <x:c r="B277" s="24" t="str">
        <x:v>Malawi</x:v>
      </x:c>
      <x:c r="C277" s="24" t="str">
        <x:v>MWI</x:v>
      </x:c>
      <x:c r="D277" s="24" t="n">
        <x:v>2003</x:v>
      </x:c>
      <x:c r="E277" s="37" t="n">
        <x:v>1.59</x:v>
      </x:c>
      <x:c r="F277" s="38" t="n">
        <x:v>12181574</x:v>
      </x:c>
      <x:c r="G277" s="38" t="n">
        <x:v>13098479</x:v>
      </x:c>
      <x:c r="H277" s="39" t="n">
        <x:f>G277/F277</x:f>
        <x:v>1.0752698296624066</x:v>
      </x:c>
      <x:c r="I277" s="40" t="n">
        <x:v>5536842105</x:v>
      </x:c>
      <x:c r="J277" s="40" t="n">
        <x:v>8803578947</x:v>
      </x:c>
      <x:c r="K277" s="40" t="n">
        <x:v>723</x:v>
      </x:c>
      <x:c r="L277" s="40" t="n">
        <x:v>549</x:v>
      </x:c>
      <x:c r="M277" s="40" t="n">
        <x:v>1149</x:v>
      </x:c>
      <x:c r="N277" s="41" t="n">
        <x:f>MIN(L277,M277)</x:f>
        <x:v>549</x:v>
      </x:c>
      <x:c r="O277" s="41" t="n">
        <x:f>MAX(L277,M277)</x:f>
        <x:v>1149</x:v>
      </x:c>
      <x:c r="P277" s="41" t="n">
        <x:f>MAX(N277,MIN(K277,O277))</x:f>
        <x:v>723</x:v>
      </x:c>
      <x:c r="Q277" s="19" t="str">
        <x:f>IF(K277&lt;N277,IF(N277=L277,"clamped_to_nominal","clamped_to_ppp"),IF(K277&gt;O277,IF(O277=L277,"clamped_to_nominal","clamped_to_ppp"),"kept_vanilla"))</x:f>
        <x:v>kept_vanilla</x:v>
      </x:c>
      <x:c r="R277" s="41" t="n">
        <x:f>P277*G277</x:f>
        <x:v>9470200317</x:v>
      </x:c>
      <x:c r="S277" s="41" t="n">
        <x:f>R277/E277</x:f>
        <x:v>5956100828.301887</x:v>
      </x:c>
      <x:c r="T277" s="36" t="str">
        <x:v>MWI: IMF exact 2003</x:v>
      </x:c>
      <x:c r="U277" s="36" t="str">
        <x:v>MWI: IMF exact 2003</x:v>
      </x:c>
      <x:c r="V277" s="36" t="str">
        <x:v>MWI: IMF exact 2003</x:v>
      </x:c>
      <x:c r="W277" s="36" t="str">
        <x:v>complete_primary</x:v>
      </x:c>
      <x:c r="X277" s="36" t="str">
        <x:v>https://api.imf.org/external/sdmx/3.0/data/dataflow/IMF.RES/WEO/9.0.0/</x:v>
      </x:c>
      <x:c r="Y277" s="36" t="str">
        <x:v>https://api.worldbank.org/v2/</x:v>
      </x:c>
    </x:row>
    <x:row r="278">
      <x:c r="A278" s="24" t="str">
        <x:v>MAL</x:v>
      </x:c>
      <x:c r="B278" s="24" t="str">
        <x:v>Malawi</x:v>
      </x:c>
      <x:c r="C278" s="24" t="str">
        <x:v>MWI</x:v>
      </x:c>
      <x:c r="D278" s="24" t="n">
        <x:v>2022</x:v>
      </x:c>
      <x:c r="E278" s="37" t="n">
        <x:v>1</x:v>
      </x:c>
      <x:c r="F278" s="38" t="n">
        <x:v>20349127</x:v>
      </x:c>
      <x:c r="G278" s="38" t="n">
        <x:v>22092668</x:v>
      </x:c>
      <x:c r="H278" s="39" t="n">
        <x:f>G278/F278</x:f>
        <x:v>1.0856813660851397</x:v>
      </x:c>
      <x:c r="I278" s="40" t="n">
        <x:v>31159920000</x:v>
      </x:c>
      <x:c r="J278" s="40" t="n">
        <x:v>31159920000</x:v>
      </x:c>
      <x:c r="K278" s="40" t="n">
        <x:v>1531</x:v>
      </x:c>
      <x:c r="L278" s="40" t="n">
        <x:v>567</x:v>
      </x:c>
      <x:c r="M278" s="40" t="n">
        <x:v>1655</x:v>
      </x:c>
      <x:c r="N278" s="41" t="n">
        <x:f>MIN(L278,M278)</x:f>
        <x:v>567</x:v>
      </x:c>
      <x:c r="O278" s="41" t="n">
        <x:f>MAX(L278,M278)</x:f>
        <x:v>1655</x:v>
      </x:c>
      <x:c r="P278" s="41" t="n">
        <x:f>MAX(N278,MIN(K278,O278))</x:f>
        <x:v>1531</x:v>
      </x:c>
      <x:c r="Q278" s="19" t="str">
        <x:f>IF(K278&lt;N278,IF(N278=L278,"clamped_to_nominal","clamped_to_ppp"),IF(K278&gt;O278,IF(O278=L278,"clamped_to_nominal","clamped_to_ppp"),"kept_vanilla"))</x:f>
        <x:v>kept_vanilla</x:v>
      </x:c>
      <x:c r="R278" s="41" t="n">
        <x:f>P278*G278</x:f>
        <x:v>33823874708</x:v>
      </x:c>
      <x:c r="S278" s="41" t="n">
        <x:f>R278/E278</x:f>
        <x:v>33823874708</x:v>
      </x:c>
      <x:c r="T278" s="36" t="str">
        <x:v>MWI: IMF exact 2022</x:v>
      </x:c>
      <x:c r="U278" s="36" t="str">
        <x:v>MWI: IMF exact 2022</x:v>
      </x:c>
      <x:c r="V278" s="36" t="str">
        <x:v>MWI: IMF exact 2022</x:v>
      </x:c>
      <x:c r="W278" s="36" t="str">
        <x:v>complete_primary</x:v>
      </x:c>
      <x:c r="X278" s="36" t="str">
        <x:v>https://api.imf.org/external/sdmx/3.0/data/dataflow/IMF.RES/WEO/9.0.0/</x:v>
      </x:c>
      <x:c r="Y278" s="36" t="str">
        <x:v>https://api.worldbank.org/v2/</x:v>
      </x:c>
    </x:row>
    <x:row r="279">
      <x:c r="A279" s="24" t="str">
        <x:v>MAL</x:v>
      </x:c>
      <x:c r="B279" s="24" t="str">
        <x:v>Malawi</x:v>
      </x:c>
      <x:c r="C279" s="24" t="str">
        <x:v>MWI</x:v>
      </x:c>
      <x:c r="D279" s="24" t="n">
        <x:v>2026</x:v>
      </x:c>
      <x:c r="E279" s="37" t="n">
        <x:v>0.87</x:v>
      </x:c>
      <x:c r="F279" s="38" t="n">
        <x:v>22785535</x:v>
      </x:c>
      <x:c r="G279" s="38" t="n">
        <x:v>24749816</x:v>
      </x:c>
      <x:c r="H279" s="39" t="n">
        <x:f>G279/F279</x:f>
        <x:v>1.0862073679639297</x:v>
      </x:c>
      <x:c r="I279" s="40" t="n">
        <x:v>37639360000</x:v>
      </x:c>
      <x:c r="J279" s="40" t="n">
        <x:v>32746243200</x:v>
      </x:c>
      <x:c r="K279" s="40" t="n">
        <x:v>1437</x:v>
      </x:c>
      <x:c r="L279" s="40" t="n">
        <x:v>638</x:v>
      </x:c>
      <x:c r="M279" s="40" t="n">
        <x:v>1563</x:v>
      </x:c>
      <x:c r="N279" s="41" t="n">
        <x:f>MIN(L279,M279)</x:f>
        <x:v>638</x:v>
      </x:c>
      <x:c r="O279" s="41" t="n">
        <x:f>MAX(L279,M279)</x:f>
        <x:v>1563</x:v>
      </x:c>
      <x:c r="P279" s="41" t="n">
        <x:f>MAX(N279,MIN(K279,O279))</x:f>
        <x:v>1437</x:v>
      </x:c>
      <x:c r="Q279" s="19" t="str">
        <x:f>IF(K279&lt;N279,IF(N279=L279,"clamped_to_nominal","clamped_to_ppp"),IF(K279&gt;O279,IF(O279=L279,"clamped_to_nominal","clamped_to_ppp"),"kept_vanilla"))</x:f>
        <x:v>kept_vanilla</x:v>
      </x:c>
      <x:c r="R279" s="41" t="n">
        <x:f>P279*G279</x:f>
        <x:v>35565485592</x:v>
      </x:c>
      <x:c r="S279" s="41" t="n">
        <x:f>R279/E279</x:f>
        <x:v>40879868496.55173</x:v>
      </x:c>
      <x:c r="T279" s="36" t="str">
        <x:v>MWI: IMF exact 2026</x:v>
      </x:c>
      <x:c r="U279" s="36" t="str">
        <x:v>MWI: IMF exact 2026</x:v>
      </x:c>
      <x:c r="V279" s="36" t="str">
        <x:v>MWI: IMF exact 2026</x:v>
      </x:c>
      <x:c r="W279" s="36" t="str">
        <x:v>complete_primary</x:v>
      </x:c>
      <x:c r="X279" s="36" t="str">
        <x:v>https://api.imf.org/external/sdmx/3.0/data/dataflow/IMF.RES/WEO/9.0.0/</x:v>
      </x:c>
      <x:c r="Y279" s="36" t="str">
        <x:v>https://api.worldbank.org/v2/</x:v>
      </x:c>
    </x:row>
    <x:row r="280">
      <x:c r="A280" s="24" t="str">
        <x:v>MYS</x:v>
      </x:c>
      <x:c r="B280" s="24" t="str">
        <x:v>Malaysia</x:v>
      </x:c>
      <x:c r="C280" s="24" t="str">
        <x:v>MYS</x:v>
      </x:c>
      <x:c r="D280" s="24" t="n">
        <x:v>2003</x:v>
      </x:c>
      <x:c r="E280" s="37" t="n">
        <x:v>1.59</x:v>
      </x:c>
      <x:c r="F280" s="38" t="n">
        <x:v>24679602</x:v>
      </x:c>
      <x:c r="G280" s="38" t="n">
        <x:v>25320000</x:v>
      </x:c>
      <x:c r="H280" s="39" t="n">
        <x:f>G280/F280</x:f>
        <x:v>1.0259484735612836</x:v>
      </x:c>
      <x:c r="I280" s="40" t="n">
        <x:v>192647953216</x:v>
      </x:c>
      <x:c r="J280" s="40" t="n">
        <x:v>306310245613</x:v>
      </x:c>
      <x:c r="K280" s="40" t="n">
        <x:v>12411</x:v>
      </x:c>
      <x:c r="L280" s="40" t="n">
        <x:v>7537</x:v>
      </x:c>
      <x:c r="M280" s="40" t="n">
        <x:v>20687</x:v>
      </x:c>
      <x:c r="N280" s="41" t="n">
        <x:f>MIN(L280,M280)</x:f>
        <x:v>7537</x:v>
      </x:c>
      <x:c r="O280" s="41" t="n">
        <x:f>MAX(L280,M280)</x:f>
        <x:v>20687</x:v>
      </x:c>
      <x:c r="P280" s="41" t="n">
        <x:f>MAX(N280,MIN(K280,O280))</x:f>
        <x:v>12411</x:v>
      </x:c>
      <x:c r="Q280" s="19" t="str">
        <x:f>IF(K280&lt;N280,IF(N280=L280,"clamped_to_nominal","clamped_to_ppp"),IF(K280&gt;O280,IF(O280=L280,"clamped_to_nominal","clamped_to_ppp"),"kept_vanilla"))</x:f>
        <x:v>kept_vanilla</x:v>
      </x:c>
      <x:c r="R280" s="41" t="n">
        <x:f>P280*G280</x:f>
        <x:v>314246520000</x:v>
      </x:c>
      <x:c r="S280" s="41" t="n">
        <x:f>R280/E280</x:f>
        <x:v>197639320754.71698</x:v>
      </x:c>
      <x:c r="T280" s="36" t="str">
        <x:v>MYS: IMF exact 2003</x:v>
      </x:c>
      <x:c r="U280" s="36" t="str">
        <x:v>MYS: IMF exact 2003</x:v>
      </x:c>
      <x:c r="V280" s="36" t="str">
        <x:v>MYS: IMF exact 2003</x:v>
      </x:c>
      <x:c r="W280" s="36" t="str">
        <x:v>complete_primary</x:v>
      </x:c>
      <x:c r="X280" s="36" t="str">
        <x:v>https://api.imf.org/external/sdmx/3.0/data/dataflow/IMF.RES/WEO/9.0.0/</x:v>
      </x:c>
      <x:c r="Y280" s="36" t="str">
        <x:v>https://api.worldbank.org/v2/</x:v>
      </x:c>
    </x:row>
    <x:row r="281">
      <x:c r="A281" s="24" t="str">
        <x:v>MYS</x:v>
      </x:c>
      <x:c r="B281" s="24" t="str">
        <x:v>Malaysia</x:v>
      </x:c>
      <x:c r="C281" s="24" t="str">
        <x:v>MYS</x:v>
      </x:c>
      <x:c r="D281" s="24" t="n">
        <x:v>2022</x:v>
      </x:c>
      <x:c r="E281" s="37" t="n">
        <x:v>1</x:v>
      </x:c>
      <x:c r="F281" s="38" t="n">
        <x:v>33308047</x:v>
      </x:c>
      <x:c r="G281" s="38" t="n">
        <x:v>32652000</x:v>
      </x:c>
      <x:c r="H281" s="39" t="n">
        <x:f>G281/F281</x:f>
        <x:v>0.9803036485447496</x:v>
      </x:c>
      <x:c r="I281" s="40" t="n">
        <x:v>958759120000</x:v>
      </x:c>
      <x:c r="J281" s="40" t="n">
        <x:v>958759120000</x:v>
      </x:c>
      <x:c r="K281" s="40" t="n">
        <x:v>28785</x:v>
      </x:c>
      <x:c r="L281" s="40" t="n">
        <x:v>12490</x:v>
      </x:c>
      <x:c r="M281" s="40" t="n">
        <x:v>36568</x:v>
      </x:c>
      <x:c r="N281" s="41" t="n">
        <x:f>MIN(L281,M281)</x:f>
        <x:v>12490</x:v>
      </x:c>
      <x:c r="O281" s="41" t="n">
        <x:f>MAX(L281,M281)</x:f>
        <x:v>36568</x:v>
      </x:c>
      <x:c r="P281" s="41" t="n">
        <x:f>MAX(N281,MIN(K281,O281))</x:f>
        <x:v>28785</x:v>
      </x:c>
      <x:c r="Q281" s="19" t="str">
        <x:f>IF(K281&lt;N281,IF(N281=L281,"clamped_to_nominal","clamped_to_ppp"),IF(K281&gt;O281,IF(O281=L281,"clamped_to_nominal","clamped_to_ppp"),"kept_vanilla"))</x:f>
        <x:v>kept_vanilla</x:v>
      </x:c>
      <x:c r="R281" s="41" t="n">
        <x:f>P281*G281</x:f>
        <x:v>939887820000</x:v>
      </x:c>
      <x:c r="S281" s="41" t="n">
        <x:f>R281/E281</x:f>
        <x:v>939887820000</x:v>
      </x:c>
      <x:c r="T281" s="36" t="str">
        <x:v>MYS: IMF exact 2022</x:v>
      </x:c>
      <x:c r="U281" s="36" t="str">
        <x:v>MYS: IMF exact 2022</x:v>
      </x:c>
      <x:c r="V281" s="36" t="str">
        <x:v>MYS: IMF exact 2022</x:v>
      </x:c>
      <x:c r="W281" s="36" t="str">
        <x:v>complete_primary</x:v>
      </x:c>
      <x:c r="X281" s="36" t="str">
        <x:v>https://api.imf.org/external/sdmx/3.0/data/dataflow/IMF.RES/WEO/9.0.0/</x:v>
      </x:c>
      <x:c r="Y281" s="36" t="str">
        <x:v>https://api.worldbank.org/v2/</x:v>
      </x:c>
    </x:row>
    <x:row r="282">
      <x:c r="A282" s="24" t="str">
        <x:v>MYS</x:v>
      </x:c>
      <x:c r="B282" s="24" t="str">
        <x:v>Malaysia</x:v>
      </x:c>
      <x:c r="C282" s="24" t="str">
        <x:v>MYS</x:v>
      </x:c>
      <x:c r="D282" s="24" t="n">
        <x:v>2026</x:v>
      </x:c>
      <x:c r="E282" s="37" t="n">
        <x:v>0.87</x:v>
      </x:c>
      <x:c r="F282" s="38" t="n">
        <x:v>36385114</x:v>
      </x:c>
      <x:c r="G282" s="38" t="n">
        <x:v>34233667</x:v>
      </x:c>
      <x:c r="H282" s="39" t="n">
        <x:f>G282/F282</x:f>
        <x:v>0.9408701316697812</x:v>
      </x:c>
      <x:c r="I282" s="40" t="n">
        <x:v>1300762320000</x:v>
      </x:c>
      <x:c r="J282" s="40" t="n">
        <x:v>1131663218400</x:v>
      </x:c>
      <x:c r="K282" s="40" t="n">
        <x:v>31102</x:v>
      </x:c>
      <x:c r="L282" s="40" t="n">
        <x:v>13124</x:v>
      </x:c>
      <x:c r="M282" s="40" t="n">
        <x:v>40878</x:v>
      </x:c>
      <x:c r="N282" s="41" t="n">
        <x:f>MIN(L282,M282)</x:f>
        <x:v>13124</x:v>
      </x:c>
      <x:c r="O282" s="41" t="n">
        <x:f>MAX(L282,M282)</x:f>
        <x:v>40878</x:v>
      </x:c>
      <x:c r="P282" s="41" t="n">
        <x:f>MAX(N282,MIN(K282,O282))</x:f>
        <x:v>31102</x:v>
      </x:c>
      <x:c r="Q282" s="19" t="str">
        <x:f>IF(K282&lt;N282,IF(N282=L282,"clamped_to_nominal","clamped_to_ppp"),IF(K282&gt;O282,IF(O282=L282,"clamped_to_nominal","clamped_to_ppp"),"kept_vanilla"))</x:f>
        <x:v>kept_vanilla</x:v>
      </x:c>
      <x:c r="R282" s="41" t="n">
        <x:f>P282*G282</x:f>
        <x:v>1064735511034</x:v>
      </x:c>
      <x:c r="S282" s="41" t="n">
        <x:f>R282/E282</x:f>
        <x:v>1223833920728.7356</x:v>
      </x:c>
      <x:c r="T282" s="36" t="str">
        <x:v>MYS: IMF exact 2026</x:v>
      </x:c>
      <x:c r="U282" s="36" t="str">
        <x:v>MYS: IMF exact 2026</x:v>
      </x:c>
      <x:c r="V282" s="36" t="str">
        <x:v>MYS: IMF exact 2026</x:v>
      </x:c>
      <x:c r="W282" s="36" t="str">
        <x:v>complete_primary</x:v>
      </x:c>
      <x:c r="X282" s="36" t="str">
        <x:v>https://api.imf.org/external/sdmx/3.0/data/dataflow/IMF.RES/WEO/9.0.0/</x:v>
      </x:c>
      <x:c r="Y282" s="36" t="str">
        <x:v>https://api.worldbank.org/v2/</x:v>
      </x:c>
    </x:row>
    <x:row r="283">
      <x:c r="A283" s="24" t="str">
        <x:v>MLD</x:v>
      </x:c>
      <x:c r="B283" s="24" t="str">
        <x:v>Maldives</x:v>
      </x:c>
      <x:c r="C283" s="24" t="str">
        <x:v>MDV</x:v>
      </x:c>
      <x:c r="D283" s="24" t="n">
        <x:v>2003</x:v>
      </x:c>
      <x:c r="E283" s="37" t="n">
        <x:v>1.59</x:v>
      </x:c>
      <x:c r="F283" s="38" t="n">
        <x:v>296491</x:v>
      </x:c>
      <x:c r="G283" s="38" t="n">
        <x:v>285066</x:v>
      </x:c>
      <x:c r="H283" s="39" t="n">
        <x:f>G283/F283</x:f>
        <x:v>0.9614659466897815</x:v>
      </x:c>
      <x:c r="I283" s="40" t="n">
        <x:v>2013450292</x:v>
      </x:c>
      <x:c r="J283" s="40" t="n">
        <x:v>3201385964</x:v>
      </x:c>
      <x:c r="K283" s="40" t="n">
        <x:v>10798</x:v>
      </x:c>
      <x:c r="L283" s="40" t="n">
        <x:v>5868</x:v>
      </x:c>
      <x:c r="M283" s="40" t="n">
        <x:v>19257</x:v>
      </x:c>
      <x:c r="N283" s="41" t="n">
        <x:f>MIN(L283,M283)</x:f>
        <x:v>5868</x:v>
      </x:c>
      <x:c r="O283" s="41" t="n">
        <x:f>MAX(L283,M283)</x:f>
        <x:v>19257</x:v>
      </x:c>
      <x:c r="P283" s="41" t="n">
        <x:f>MAX(N283,MIN(K283,O283))</x:f>
        <x:v>10798</x:v>
      </x:c>
      <x:c r="Q283" s="19" t="str">
        <x:f>IF(K283&lt;N283,IF(N283=L283,"clamped_to_nominal","clamped_to_ppp"),IF(K283&gt;O283,IF(O283=L283,"clamped_to_nominal","clamped_to_ppp"),"kept_vanilla"))</x:f>
        <x:v>kept_vanilla</x:v>
      </x:c>
      <x:c r="R283" s="41" t="n">
        <x:f>P283*G283</x:f>
        <x:v>3078142668</x:v>
      </x:c>
      <x:c r="S283" s="41" t="n">
        <x:f>R283/E283</x:f>
        <x:v>1935938784.9056604</x:v>
      </x:c>
      <x:c r="T283" s="36" t="str">
        <x:v>MDV: IMF exact 2003</x:v>
      </x:c>
      <x:c r="U283" s="36" t="str">
        <x:v>MDV: IMF exact 2003</x:v>
      </x:c>
      <x:c r="V283" s="36" t="str">
        <x:v>MDV: IMF exact 2003</x:v>
      </x:c>
      <x:c r="W283" s="36" t="str">
        <x:v>complete_primary</x:v>
      </x:c>
      <x:c r="X283" s="36" t="str">
        <x:v>https://api.imf.org/external/sdmx/3.0/data/dataflow/IMF.RES/WEO/9.0.0/</x:v>
      </x:c>
      <x:c r="Y283" s="36" t="str">
        <x:v>https://api.worldbank.org/v2/</x:v>
      </x:c>
    </x:row>
    <x:row r="284">
      <x:c r="A284" s="24" t="str">
        <x:v>MLD</x:v>
      </x:c>
      <x:c r="B284" s="24" t="str">
        <x:v>Maldives</x:v>
      </x:c>
      <x:c r="C284" s="24" t="str">
        <x:v>MDV</x:v>
      </x:c>
      <x:c r="D284" s="24" t="n">
        <x:v>2022</x:v>
      </x:c>
      <x:c r="E284" s="37" t="n">
        <x:v>1</x:v>
      </x:c>
      <x:c r="F284" s="38" t="n">
        <x:v>539616</x:v>
      </x:c>
      <x:c r="G284" s="38" t="n">
        <x:v>390808</x:v>
      </x:c>
      <x:c r="H284" s="39" t="n">
        <x:f>G284/F284</x:f>
        <x:v>0.7242335290280496</x:v>
      </x:c>
      <x:c r="I284" s="40" t="n">
        <x:v>10018800000</x:v>
      </x:c>
      <x:c r="J284" s="40" t="n">
        <x:v>10018800000</x:v>
      </x:c>
      <x:c r="K284" s="40" t="n">
        <x:v>18567</x:v>
      </x:c>
      <x:c r="L284" s="40" t="n">
        <x:v>15782</x:v>
      </x:c>
      <x:c r="M284" s="40" t="n">
        <x:v>30680</x:v>
      </x:c>
      <x:c r="N284" s="41" t="n">
        <x:f>MIN(L284,M284)</x:f>
        <x:v>15782</x:v>
      </x:c>
      <x:c r="O284" s="41" t="n">
        <x:f>MAX(L284,M284)</x:f>
        <x:v>30680</x:v>
      </x:c>
      <x:c r="P284" s="41" t="n">
        <x:f>MAX(N284,MIN(K284,O284))</x:f>
        <x:v>18567</x:v>
      </x:c>
      <x:c r="Q284" s="19" t="str">
        <x:f>IF(K284&lt;N284,IF(N284=L284,"clamped_to_nominal","clamped_to_ppp"),IF(K284&gt;O284,IF(O284=L284,"clamped_to_nominal","clamped_to_ppp"),"kept_vanilla"))</x:f>
        <x:v>kept_vanilla</x:v>
      </x:c>
      <x:c r="R284" s="41" t="n">
        <x:f>P284*G284</x:f>
        <x:v>7256132136</x:v>
      </x:c>
      <x:c r="S284" s="41" t="n">
        <x:f>R284/E284</x:f>
        <x:v>7256132136</x:v>
      </x:c>
      <x:c r="T284" s="36" t="str">
        <x:v>MDV: IMF exact 2022</x:v>
      </x:c>
      <x:c r="U284" s="36" t="str">
        <x:v>MDV: IMF exact 2022</x:v>
      </x:c>
      <x:c r="V284" s="36" t="str">
        <x:v>MDV: IMF exact 2022</x:v>
      </x:c>
      <x:c r="W284" s="36" t="str">
        <x:v>complete_primary</x:v>
      </x:c>
      <x:c r="X284" s="36" t="str">
        <x:v>https://api.imf.org/external/sdmx/3.0/data/dataflow/IMF.RES/WEO/9.0.0/</x:v>
      </x:c>
      <x:c r="Y284" s="36" t="str">
        <x:v>https://api.worldbank.org/v2/</x:v>
      </x:c>
    </x:row>
    <x:row r="285">
      <x:c r="A285" s="24" t="str">
        <x:v>MLD</x:v>
      </x:c>
      <x:c r="B285" s="24" t="str">
        <x:v>Maldives</x:v>
      </x:c>
      <x:c r="C285" s="24" t="str">
        <x:v>MDV</x:v>
      </x:c>
      <x:c r="D285" s="24" t="n">
        <x:v>2026</x:v>
      </x:c>
      <x:c r="E285" s="37" t="n">
        <x:v>0.87</x:v>
      </x:c>
      <x:c r="F285" s="38" t="n">
        <x:v>531517</x:v>
      </x:c>
      <x:c r="G285" s="38" t="n">
        <x:v>417712</x:v>
      </x:c>
      <x:c r="H285" s="39" t="n">
        <x:f>G285/F285</x:f>
        <x:v>0.7858864344884547</x:v>
      </x:c>
      <x:c r="I285" s="40" t="n">
        <x:v>13226400000</x:v>
      </x:c>
      <x:c r="J285" s="40" t="n">
        <x:v>11506968000</x:v>
      </x:c>
      <x:c r="K285" s="40" t="n">
        <x:v>21649</x:v>
      </x:c>
      <x:c r="L285" s="40" t="n">
        <x:v>16934</x:v>
      </x:c>
      <x:c r="M285" s="40" t="n">
        <x:v>32908</x:v>
      </x:c>
      <x:c r="N285" s="41" t="n">
        <x:f>MIN(L285,M285)</x:f>
        <x:v>16934</x:v>
      </x:c>
      <x:c r="O285" s="41" t="n">
        <x:f>MAX(L285,M285)</x:f>
        <x:v>32908</x:v>
      </x:c>
      <x:c r="P285" s="41" t="n">
        <x:f>MAX(N285,MIN(K285,O285))</x:f>
        <x:v>21649</x:v>
      </x:c>
      <x:c r="Q285" s="19" t="str">
        <x:f>IF(K285&lt;N285,IF(N285=L285,"clamped_to_nominal","clamped_to_ppp"),IF(K285&gt;O285,IF(O285=L285,"clamped_to_nominal","clamped_to_ppp"),"kept_vanilla"))</x:f>
        <x:v>kept_vanilla</x:v>
      </x:c>
      <x:c r="R285" s="41" t="n">
        <x:f>P285*G285</x:f>
        <x:v>9043047088</x:v>
      </x:c>
      <x:c r="S285" s="41" t="n">
        <x:f>R285/E285</x:f>
        <x:v>10394306997.701149</x:v>
      </x:c>
      <x:c r="T285" s="36" t="str">
        <x:v>MDV: IMF exact 2026</x:v>
      </x:c>
      <x:c r="U285" s="36" t="str">
        <x:v>MDV: IMF exact 2026</x:v>
      </x:c>
      <x:c r="V285" s="36" t="str">
        <x:v>MDV: IMF exact 2026</x:v>
      </x:c>
      <x:c r="W285" s="36" t="str">
        <x:v>complete_primary</x:v>
      </x:c>
      <x:c r="X285" s="36" t="str">
        <x:v>https://api.imf.org/external/sdmx/3.0/data/dataflow/IMF.RES/WEO/9.0.0/</x:v>
      </x:c>
      <x:c r="Y285" s="36" t="str">
        <x:v>https://api.worldbank.org/v2/</x:v>
      </x:c>
    </x:row>
    <x:row r="286">
      <x:c r="A286" s="24" t="str">
        <x:v>MLI</x:v>
      </x:c>
      <x:c r="B286" s="24" t="str">
        <x:v>Mali</x:v>
      </x:c>
      <x:c r="C286" s="24" t="str">
        <x:v>MLI</x:v>
      </x:c>
      <x:c r="D286" s="24" t="n">
        <x:v>2003</x:v>
      </x:c>
      <x:c r="E286" s="37" t="n">
        <x:v>1.59</x:v>
      </x:c>
      <x:c r="F286" s="38" t="n">
        <x:v>12684955</x:v>
      </x:c>
      <x:c r="G286" s="38" t="n">
        <x:v>12684955</x:v>
      </x:c>
      <x:c r="H286" s="39" t="n">
        <x:f>G286/F286</x:f>
        <x:v>1</x:v>
      </x:c>
      <x:c r="I286" s="40" t="n">
        <x:v>10854385965</x:v>
      </x:c>
      <x:c r="J286" s="40" t="n">
        <x:v>17258473684</x:v>
      </x:c>
      <x:c r="K286" s="40" t="n">
        <x:v>1361</x:v>
      </x:c>
      <x:c r="L286" s="40" t="n">
        <x:v>692</x:v>
      </x:c>
      <x:c r="M286" s="40" t="n">
        <x:v>2797</x:v>
      </x:c>
      <x:c r="N286" s="41" t="n">
        <x:f>MIN(L286,M286)</x:f>
        <x:v>692</x:v>
      </x:c>
      <x:c r="O286" s="41" t="n">
        <x:f>MAX(L286,M286)</x:f>
        <x:v>2797</x:v>
      </x:c>
      <x:c r="P286" s="41" t="n">
        <x:f>MAX(N286,MIN(K286,O286))</x:f>
        <x:v>1361</x:v>
      </x:c>
      <x:c r="Q286" s="19" t="str">
        <x:f>IF(K286&lt;N286,IF(N286=L286,"clamped_to_nominal","clamped_to_ppp"),IF(K286&gt;O286,IF(O286=L286,"clamped_to_nominal","clamped_to_ppp"),"kept_vanilla"))</x:f>
        <x:v>kept_vanilla</x:v>
      </x:c>
      <x:c r="R286" s="41" t="n">
        <x:f>P286*G286</x:f>
        <x:v>17264223755</x:v>
      </x:c>
      <x:c r="S286" s="41" t="n">
        <x:f>R286/E286</x:f>
        <x:v>10858002361.63522</x:v>
      </x:c>
      <x:c r="T286" s="36" t="str">
        <x:v>MLI: IMF exact 2003</x:v>
      </x:c>
      <x:c r="U286" s="36" t="str">
        <x:v>MLI: IMF exact 2003</x:v>
      </x:c>
      <x:c r="V286" s="36" t="str">
        <x:v>MLI: IMF exact 2003</x:v>
      </x:c>
      <x:c r="W286" s="36" t="str">
        <x:v>complete_primary</x:v>
      </x:c>
      <x:c r="X286" s="36" t="str">
        <x:v>https://api.imf.org/external/sdmx/3.0/data/dataflow/IMF.RES/WEO/9.0.0/</x:v>
      </x:c>
      <x:c r="Y286" s="36" t="str">
        <x:v>https://api.worldbank.org/v2/</x:v>
      </x:c>
    </x:row>
    <x:row r="287">
      <x:c r="A287" s="24" t="str">
        <x:v>MLI</x:v>
      </x:c>
      <x:c r="B287" s="24" t="str">
        <x:v>Mali</x:v>
      </x:c>
      <x:c r="C287" s="24" t="str">
        <x:v>MLI</x:v>
      </x:c>
      <x:c r="D287" s="24" t="n">
        <x:v>2022</x:v>
      </x:c>
      <x:c r="E287" s="37" t="n">
        <x:v>1</x:v>
      </x:c>
      <x:c r="F287" s="38" t="n">
        <x:v>21669157</x:v>
      </x:c>
      <x:c r="G287" s="38" t="n">
        <x:v>23072640</x:v>
      </x:c>
      <x:c r="H287" s="39" t="n">
        <x:f>G287/F287</x:f>
        <x:v>1.0647686940474888</x:v>
      </x:c>
      <x:c r="I287" s="40" t="n">
        <x:v>55335000000</x:v>
      </x:c>
      <x:c r="J287" s="40" t="n">
        <x:v>55335000000</x:v>
      </x:c>
      <x:c r="K287" s="40" t="n">
        <x:v>2554</x:v>
      </x:c>
      <x:c r="L287" s="40" t="n">
        <x:v>982</x:v>
      </x:c>
      <x:c r="M287" s="40" t="n">
        <x:v>3021</x:v>
      </x:c>
      <x:c r="N287" s="41" t="n">
        <x:f>MIN(L287,M287)</x:f>
        <x:v>982</x:v>
      </x:c>
      <x:c r="O287" s="41" t="n">
        <x:f>MAX(L287,M287)</x:f>
        <x:v>3021</x:v>
      </x:c>
      <x:c r="P287" s="41" t="n">
        <x:f>MAX(N287,MIN(K287,O287))</x:f>
        <x:v>2554</x:v>
      </x:c>
      <x:c r="Q287" s="19" t="str">
        <x:f>IF(K287&lt;N287,IF(N287=L287,"clamped_to_nominal","clamped_to_ppp"),IF(K287&gt;O287,IF(O287=L287,"clamped_to_nominal","clamped_to_ppp"),"kept_vanilla"))</x:f>
        <x:v>kept_vanilla</x:v>
      </x:c>
      <x:c r="R287" s="41" t="n">
        <x:f>P287*G287</x:f>
        <x:v>58927522560</x:v>
      </x:c>
      <x:c r="S287" s="41" t="n">
        <x:f>R287/E287</x:f>
        <x:v>58927522560</x:v>
      </x:c>
      <x:c r="T287" s="36" t="str">
        <x:v>MLI: IMF exact 2022</x:v>
      </x:c>
      <x:c r="U287" s="36" t="str">
        <x:v>MLI: IMF exact 2022</x:v>
      </x:c>
      <x:c r="V287" s="36" t="str">
        <x:v>MLI: IMF exact 2022</x:v>
      </x:c>
      <x:c r="W287" s="36" t="str">
        <x:v>complete_primary</x:v>
      </x:c>
      <x:c r="X287" s="36" t="str">
        <x:v>https://api.imf.org/external/sdmx/3.0/data/dataflow/IMF.RES/WEO/9.0.0/</x:v>
      </x:c>
      <x:c r="Y287" s="36" t="str">
        <x:v>https://api.worldbank.org/v2/</x:v>
      </x:c>
    </x:row>
    <x:row r="288">
      <x:c r="A288" s="24" t="str">
        <x:v>MLI</x:v>
      </x:c>
      <x:c r="B288" s="24" t="str">
        <x:v>Mali</x:v>
      </x:c>
      <x:c r="C288" s="24" t="str">
        <x:v>MLI</x:v>
      </x:c>
      <x:c r="D288" s="24" t="n">
        <x:v>2026</x:v>
      </x:c>
      <x:c r="E288" s="37" t="n">
        <x:v>0.87</x:v>
      </x:c>
      <x:c r="F288" s="38" t="n">
        <x:v>25932275</x:v>
      </x:c>
      <x:c r="G288" s="38" t="n">
        <x:v>26019629</x:v>
      </x:c>
      <x:c r="H288" s="39" t="n">
        <x:f>G288/F288</x:f>
        <x:v>1.0033685436391524</x:v>
      </x:c>
      <x:c r="I288" s="40" t="n">
        <x:v>64009440000</x:v>
      </x:c>
      <x:c r="J288" s="40" t="n">
        <x:v>55688212800</x:v>
      </x:c>
      <x:c r="K288" s="40" t="n">
        <x:v>2147</x:v>
      </x:c>
      <x:c r="L288" s="40" t="n">
        <x:v>1132</x:v>
      </x:c>
      <x:c r="M288" s="40" t="n">
        <x:v>3188</x:v>
      </x:c>
      <x:c r="N288" s="41" t="n">
        <x:f>MIN(L288,M288)</x:f>
        <x:v>1132</x:v>
      </x:c>
      <x:c r="O288" s="41" t="n">
        <x:f>MAX(L288,M288)</x:f>
        <x:v>3188</x:v>
      </x:c>
      <x:c r="P288" s="41" t="n">
        <x:f>MAX(N288,MIN(K288,O288))</x:f>
        <x:v>2147</x:v>
      </x:c>
      <x:c r="Q288" s="19" t="str">
        <x:f>IF(K288&lt;N288,IF(N288=L288,"clamped_to_nominal","clamped_to_ppp"),IF(K288&gt;O288,IF(O288=L288,"clamped_to_nominal","clamped_to_ppp"),"kept_vanilla"))</x:f>
        <x:v>kept_vanilla</x:v>
      </x:c>
      <x:c r="R288" s="41" t="n">
        <x:f>P288*G288</x:f>
        <x:v>55864143463</x:v>
      </x:c>
      <x:c r="S288" s="41" t="n">
        <x:f>R288/E288</x:f>
        <x:v>64211659152.873566</x:v>
      </x:c>
      <x:c r="T288" s="36" t="str">
        <x:v>MLI: IMF exact 2026</x:v>
      </x:c>
      <x:c r="U288" s="36" t="str">
        <x:v>MLI: IMF exact 2026</x:v>
      </x:c>
      <x:c r="V288" s="36" t="str">
        <x:v>MLI: IMF exact 2026</x:v>
      </x:c>
      <x:c r="W288" s="36" t="str">
        <x:v>complete_primary</x:v>
      </x:c>
      <x:c r="X288" s="36" t="str">
        <x:v>https://api.imf.org/external/sdmx/3.0/data/dataflow/IMF.RES/WEO/9.0.0/</x:v>
      </x:c>
      <x:c r="Y288" s="36" t="str">
        <x:v>https://api.worldbank.org/v2/</x:v>
      </x:c>
    </x:row>
    <x:row r="289">
      <x:c r="A289" s="24" t="str">
        <x:v>MRT</x:v>
      </x:c>
      <x:c r="B289" s="24" t="str">
        <x:v>Mauritania</x:v>
      </x:c>
      <x:c r="C289" s="24" t="str">
        <x:v>MRT</x:v>
      </x:c>
      <x:c r="D289" s="24" t="n">
        <x:v>2003</x:v>
      </x:c>
      <x:c r="E289" s="37" t="n">
        <x:v>1.59</x:v>
      </x:c>
      <x:c r="F289" s="38" t="n">
        <x:v>2802046</x:v>
      </x:c>
      <x:c r="G289" s="38" t="n">
        <x:v>2882003</x:v>
      </x:c>
      <x:c r="H289" s="39" t="n">
        <x:f>G289/F289</x:f>
        <x:v>1.0285352203354263</x:v>
      </x:c>
      <x:c r="I289" s="40" t="n">
        <x:v>5608187135</x:v>
      </x:c>
      <x:c r="J289" s="40" t="n">
        <x:v>8917017545</x:v>
      </x:c>
      <x:c r="K289" s="40" t="n">
        <x:v>3182</x:v>
      </x:c>
      <x:c r="L289" s="40" t="n">
        <x:v>1132</x:v>
      </x:c>
      <x:c r="M289" s="40" t="n">
        <x:v>5291</x:v>
      </x:c>
      <x:c r="N289" s="41" t="n">
        <x:f>MIN(L289,M289)</x:f>
        <x:v>1132</x:v>
      </x:c>
      <x:c r="O289" s="41" t="n">
        <x:f>MAX(L289,M289)</x:f>
        <x:v>5291</x:v>
      </x:c>
      <x:c r="P289" s="41" t="n">
        <x:f>MAX(N289,MIN(K289,O289))</x:f>
        <x:v>3182</x:v>
      </x:c>
      <x:c r="Q289" s="19" t="str">
        <x:f>IF(K289&lt;N289,IF(N289=L289,"clamped_to_nominal","clamped_to_ppp"),IF(K289&gt;O289,IF(O289=L289,"clamped_to_nominal","clamped_to_ppp"),"kept_vanilla"))</x:f>
        <x:v>kept_vanilla</x:v>
      </x:c>
      <x:c r="R289" s="41" t="n">
        <x:f>P289*G289</x:f>
        <x:v>9170533546</x:v>
      </x:c>
      <x:c r="S289" s="41" t="n">
        <x:f>R289/E289</x:f>
        <x:v>5767631161.0062895</x:v>
      </x:c>
      <x:c r="T289" s="36" t="str">
        <x:v>MRT: IMF exact 2003</x:v>
      </x:c>
      <x:c r="U289" s="36" t="str">
        <x:v>MRT: IMF exact 2003</x:v>
      </x:c>
      <x:c r="V289" s="36" t="str">
        <x:v>MRT: IMF exact 2003</x:v>
      </x:c>
      <x:c r="W289" s="36" t="str">
        <x:v>complete_primary</x:v>
      </x:c>
      <x:c r="X289" s="36" t="str">
        <x:v>https://api.imf.org/external/sdmx/3.0/data/dataflow/IMF.RES/WEO/9.0.0/</x:v>
      </x:c>
      <x:c r="Y289" s="36" t="str">
        <x:v>https://api.worldbank.org/v2/</x:v>
      </x:c>
    </x:row>
    <x:row r="290">
      <x:c r="A290" s="24" t="str">
        <x:v>MRT</x:v>
      </x:c>
      <x:c r="B290" s="24" t="str">
        <x:v>Mauritania</x:v>
      </x:c>
      <x:c r="C290" s="24" t="str">
        <x:v>MRT</x:v>
      </x:c>
      <x:c r="D290" s="24" t="n">
        <x:v>2022</x:v>
      </x:c>
      <x:c r="E290" s="37" t="n">
        <x:v>1</x:v>
      </x:c>
      <x:c r="F290" s="38" t="n">
        <x:v>4942138</x:v>
      </x:c>
      <x:c r="G290" s="38" t="n">
        <x:v>4334124</x:v>
      </x:c>
      <x:c r="H290" s="39" t="n">
        <x:f>G290/F290</x:f>
        <x:v>0.8769734879924438</x:v>
      </x:c>
      <x:c r="I290" s="40" t="n">
        <x:v>26393840000</x:v>
      </x:c>
      <x:c r="J290" s="40" t="n">
        <x:v>26393840000</x:v>
      </x:c>
      <x:c r="K290" s="40" t="n">
        <x:v>5341</x:v>
      </x:c>
      <x:c r="L290" s="40" t="n">
        <x:v>2207</x:v>
      </x:c>
      <x:c r="M290" s="40" t="n">
        <x:v>7294</x:v>
      </x:c>
      <x:c r="N290" s="41" t="n">
        <x:f>MIN(L290,M290)</x:f>
        <x:v>2207</x:v>
      </x:c>
      <x:c r="O290" s="41" t="n">
        <x:f>MAX(L290,M290)</x:f>
        <x:v>7294</x:v>
      </x:c>
      <x:c r="P290" s="41" t="n">
        <x:f>MAX(N290,MIN(K290,O290))</x:f>
        <x:v>5341</x:v>
      </x:c>
      <x:c r="Q290" s="19" t="str">
        <x:f>IF(K290&lt;N290,IF(N290=L290,"clamped_to_nominal","clamped_to_ppp"),IF(K290&gt;O290,IF(O290=L290,"clamped_to_nominal","clamped_to_ppp"),"kept_vanilla"))</x:f>
        <x:v>kept_vanilla</x:v>
      </x:c>
      <x:c r="R290" s="41" t="n">
        <x:f>P290*G290</x:f>
        <x:v>23148556284</x:v>
      </x:c>
      <x:c r="S290" s="41" t="n">
        <x:f>R290/E290</x:f>
        <x:v>23148556284</x:v>
      </x:c>
      <x:c r="T290" s="36" t="str">
        <x:v>MRT: IMF exact 2022</x:v>
      </x:c>
      <x:c r="U290" s="36" t="str">
        <x:v>MRT: IMF exact 2022</x:v>
      </x:c>
      <x:c r="V290" s="36" t="str">
        <x:v>MRT: IMF exact 2022</x:v>
      </x:c>
      <x:c r="W290" s="36" t="str">
        <x:v>complete_primary</x:v>
      </x:c>
      <x:c r="X290" s="36" t="str">
        <x:v>https://api.imf.org/external/sdmx/3.0/data/dataflow/IMF.RES/WEO/9.0.0/</x:v>
      </x:c>
      <x:c r="Y290" s="36" t="str">
        <x:v>https://api.worldbank.org/v2/</x:v>
      </x:c>
    </x:row>
    <x:row r="291">
      <x:c r="A291" s="24" t="str">
        <x:v>MRT</x:v>
      </x:c>
      <x:c r="B291" s="24" t="str">
        <x:v>Mauritania</x:v>
      </x:c>
      <x:c r="C291" s="24" t="str">
        <x:v>MRT</x:v>
      </x:c>
      <x:c r="D291" s="24" t="n">
        <x:v>2026</x:v>
      </x:c>
      <x:c r="E291" s="37" t="n">
        <x:v>0.87</x:v>
      </x:c>
      <x:c r="F291" s="38" t="n">
        <x:v>5461319</x:v>
      </x:c>
      <x:c r="G291" s="38" t="n">
        <x:v>4731740</x:v>
      </x:c>
      <x:c r="H291" s="39" t="n">
        <x:f>G291/F291</x:f>
        <x:v>0.866409744605653</x:v>
      </x:c>
      <x:c r="I291" s="40" t="n">
        <x:v>35252800000</x:v>
      </x:c>
      <x:c r="J291" s="40" t="n">
        <x:v>30669936000</x:v>
      </x:c>
      <x:c r="K291" s="40" t="n">
        <x:v>5616</x:v>
      </x:c>
      <x:c r="L291" s="40" t="n">
        <x:v>2639</x:v>
      </x:c>
      <x:c r="M291" s="40" t="n">
        <x:v>8074</x:v>
      </x:c>
      <x:c r="N291" s="41" t="n">
        <x:f>MIN(L291,M291)</x:f>
        <x:v>2639</x:v>
      </x:c>
      <x:c r="O291" s="41" t="n">
        <x:f>MAX(L291,M291)</x:f>
        <x:v>8074</x:v>
      </x:c>
      <x:c r="P291" s="41" t="n">
        <x:f>MAX(N291,MIN(K291,O291))</x:f>
        <x:v>5616</x:v>
      </x:c>
      <x:c r="Q291" s="19" t="str">
        <x:f>IF(K291&lt;N291,IF(N291=L291,"clamped_to_nominal","clamped_to_ppp"),IF(K291&gt;O291,IF(O291=L291,"clamped_to_nominal","clamped_to_ppp"),"kept_vanilla"))</x:f>
        <x:v>kept_vanilla</x:v>
      </x:c>
      <x:c r="R291" s="41" t="n">
        <x:f>P291*G291</x:f>
        <x:v>26573451840</x:v>
      </x:c>
      <x:c r="S291" s="41" t="n">
        <x:f>R291/E291</x:f>
        <x:v>30544197517.24138</x:v>
      </x:c>
      <x:c r="T291" s="36" t="str">
        <x:v>MRT: IMF exact 2026</x:v>
      </x:c>
      <x:c r="U291" s="36" t="str">
        <x:v>MRT: IMF exact 2026</x:v>
      </x:c>
      <x:c r="V291" s="36" t="str">
        <x:v>MRT: IMF exact 2026</x:v>
      </x:c>
      <x:c r="W291" s="36" t="str">
        <x:v>complete_primary</x:v>
      </x:c>
      <x:c r="X291" s="36" t="str">
        <x:v>https://api.imf.org/external/sdmx/3.0/data/dataflow/IMF.RES/WEO/9.0.0/</x:v>
      </x:c>
      <x:c r="Y291" s="36" t="str">
        <x:v>https://api.worldbank.org/v2/</x:v>
      </x:c>
    </x:row>
    <x:row r="292">
      <x:c r="A292" s="24" t="str">
        <x:v>MRS</x:v>
      </x:c>
      <x:c r="B292" s="24" t="str">
        <x:v>Mauritius</x:v>
      </x:c>
      <x:c r="C292" s="24" t="str">
        <x:v>MUS</x:v>
      </x:c>
      <x:c r="D292" s="24" t="n">
        <x:v>2003</x:v>
      </x:c>
      <x:c r="E292" s="37" t="n">
        <x:v>1.59</x:v>
      </x:c>
      <x:c r="F292" s="38" t="n">
        <x:v>1242099</x:v>
      </x:c>
      <x:c r="G292" s="38" t="n">
        <x:v>1213370</x:v>
      </x:c>
      <x:c r="H292" s="39" t="n">
        <x:f>G292/F292</x:f>
        <x:v>0.9768706037119425</x:v>
      </x:c>
      <x:c r="I292" s="40" t="n">
        <x:v>7485380117</x:v>
      </x:c>
      <x:c r="J292" s="40" t="n">
        <x:v>11901754386</x:v>
      </x:c>
      <x:c r="K292" s="40" t="n">
        <x:v>9582</x:v>
      </x:c>
      <x:c r="L292" s="40" t="n">
        <x:v>8066</x:v>
      </x:c>
      <x:c r="M292" s="40" t="n">
        <x:v>16774</x:v>
      </x:c>
      <x:c r="N292" s="41" t="n">
        <x:f>MIN(L292,M292)</x:f>
        <x:v>8066</x:v>
      </x:c>
      <x:c r="O292" s="41" t="n">
        <x:f>MAX(L292,M292)</x:f>
        <x:v>16774</x:v>
      </x:c>
      <x:c r="P292" s="41" t="n">
        <x:f>MAX(N292,MIN(K292,O292))</x:f>
        <x:v>9582</x:v>
      </x:c>
      <x:c r="Q292" s="19" t="str">
        <x:f>IF(K292&lt;N292,IF(N292=L292,"clamped_to_nominal","clamped_to_ppp"),IF(K292&gt;O292,IF(O292=L292,"clamped_to_nominal","clamped_to_ppp"),"kept_vanilla"))</x:f>
        <x:v>kept_vanilla</x:v>
      </x:c>
      <x:c r="R292" s="41" t="n">
        <x:f>P292*G292</x:f>
        <x:v>11626511340</x:v>
      </x:c>
      <x:c r="S292" s="41" t="n">
        <x:f>R292/E292</x:f>
        <x:v>7312271283.0188675</x:v>
      </x:c>
      <x:c r="T292" s="36" t="str">
        <x:v>MUS: IMF exact 2003</x:v>
      </x:c>
      <x:c r="U292" s="36" t="str">
        <x:v>MUS: IMF exact 2003</x:v>
      </x:c>
      <x:c r="V292" s="36" t="str">
        <x:v>MUS: IMF exact 2003</x:v>
      </x:c>
      <x:c r="W292" s="36" t="str">
        <x:v>complete_primary</x:v>
      </x:c>
      <x:c r="X292" s="36" t="str">
        <x:v>https://api.imf.org/external/sdmx/3.0/data/dataflow/IMF.RES/WEO/9.0.0/</x:v>
      </x:c>
      <x:c r="Y292" s="36" t="str">
        <x:v>https://api.worldbank.org/v2/</x:v>
      </x:c>
    </x:row>
    <x:row r="293">
      <x:c r="A293" s="24" t="str">
        <x:v>MRS</x:v>
      </x:c>
      <x:c r="B293" s="24" t="str">
        <x:v>Mauritius</x:v>
      </x:c>
      <x:c r="C293" s="24" t="str">
        <x:v>MUS</x:v>
      </x:c>
      <x:c r="D293" s="24" t="n">
        <x:v>2022</x:v>
      </x:c>
      <x:c r="E293" s="37" t="n">
        <x:v>1</x:v>
      </x:c>
      <x:c r="F293" s="38" t="n">
        <x:v>1275079</x:v>
      </x:c>
      <x:c r="G293" s="38" t="n">
        <x:v>1251135</x:v>
      </x:c>
      <x:c r="H293" s="39" t="n">
        <x:f>G293/F293</x:f>
        <x:v>0.9812215556840007</x:v>
      </x:c>
      <x:c r="I293" s="40" t="n">
        <x:v>27913600000</x:v>
      </x:c>
      <x:c r="J293" s="40" t="n">
        <x:v>27913600000</x:v>
      </x:c>
      <x:c r="K293" s="40" t="n">
        <x:v>21892</x:v>
      </x:c>
      <x:c r="L293" s="40" t="n">
        <x:v>10317</x:v>
      </x:c>
      <x:c r="M293" s="40" t="n">
        <x:v>26794</x:v>
      </x:c>
      <x:c r="N293" s="41" t="n">
        <x:f>MIN(L293,M293)</x:f>
        <x:v>10317</x:v>
      </x:c>
      <x:c r="O293" s="41" t="n">
        <x:f>MAX(L293,M293)</x:f>
        <x:v>26794</x:v>
      </x:c>
      <x:c r="P293" s="41" t="n">
        <x:f>MAX(N293,MIN(K293,O293))</x:f>
        <x:v>21892</x:v>
      </x:c>
      <x:c r="Q293" s="19" t="str">
        <x:f>IF(K293&lt;N293,IF(N293=L293,"clamped_to_nominal","clamped_to_ppp"),IF(K293&gt;O293,IF(O293=L293,"clamped_to_nominal","clamped_to_ppp"),"kept_vanilla"))</x:f>
        <x:v>kept_vanilla</x:v>
      </x:c>
      <x:c r="R293" s="41" t="n">
        <x:f>P293*G293</x:f>
        <x:v>27389847420</x:v>
      </x:c>
      <x:c r="S293" s="41" t="n">
        <x:f>R293/E293</x:f>
        <x:v>27389847420</x:v>
      </x:c>
      <x:c r="T293" s="36" t="str">
        <x:v>MUS: IMF exact 2022</x:v>
      </x:c>
      <x:c r="U293" s="36" t="str">
        <x:v>MUS: IMF exact 2022</x:v>
      </x:c>
      <x:c r="V293" s="36" t="str">
        <x:v>MUS: IMF exact 2022</x:v>
      </x:c>
      <x:c r="W293" s="36" t="str">
        <x:v>complete_primary</x:v>
      </x:c>
      <x:c r="X293" s="36" t="str">
        <x:v>https://api.imf.org/external/sdmx/3.0/data/dataflow/IMF.RES/WEO/9.0.0/</x:v>
      </x:c>
      <x:c r="Y293" s="36" t="str">
        <x:v>https://api.worldbank.org/v2/</x:v>
      </x:c>
    </x:row>
    <x:row r="294">
      <x:c r="A294" s="24" t="str">
        <x:v>MRS</x:v>
      </x:c>
      <x:c r="B294" s="24" t="str">
        <x:v>Mauritius</x:v>
      </x:c>
      <x:c r="C294" s="24" t="str">
        <x:v>MUS</x:v>
      </x:c>
      <x:c r="D294" s="24" t="n">
        <x:v>2026</x:v>
      </x:c>
      <x:c r="E294" s="37" t="n">
        <x:v>0.87</x:v>
      </x:c>
      <x:c r="F294" s="38" t="n">
        <x:v>1265059</x:v>
      </x:c>
      <x:c r="G294" s="38" t="n">
        <x:v>1239462</x:v>
      </x:c>
      <x:c r="H294" s="39" t="n">
        <x:f>G294/F294</x:f>
        <x:v>0.9797661611039485</x:v>
      </x:c>
      <x:c r="I294" s="40" t="n">
        <x:v>36389760000</x:v>
      </x:c>
      <x:c r="J294" s="40" t="n">
        <x:v>31659091200</x:v>
      </x:c>
      <x:c r="K294" s="40" t="n">
        <x:v>25026</x:v>
      </x:c>
      <x:c r="L294" s="40" t="n">
        <x:v>12016</x:v>
      </x:c>
      <x:c r="M294" s="40" t="n">
        <x:v>31070</x:v>
      </x:c>
      <x:c r="N294" s="41" t="n">
        <x:f>MIN(L294,M294)</x:f>
        <x:v>12016</x:v>
      </x:c>
      <x:c r="O294" s="41" t="n">
        <x:f>MAX(L294,M294)</x:f>
        <x:v>31070</x:v>
      </x:c>
      <x:c r="P294" s="41" t="n">
        <x:f>MAX(N294,MIN(K294,O294))</x:f>
        <x:v>25026</x:v>
      </x:c>
      <x:c r="Q294" s="19" t="str">
        <x:f>IF(K294&lt;N294,IF(N294=L294,"clamped_to_nominal","clamped_to_ppp"),IF(K294&gt;O294,IF(O294=L294,"clamped_to_nominal","clamped_to_ppp"),"kept_vanilla"))</x:f>
        <x:v>kept_vanilla</x:v>
      </x:c>
      <x:c r="R294" s="41" t="n">
        <x:f>P294*G294</x:f>
        <x:v>31018776012</x:v>
      </x:c>
      <x:c r="S294" s="41" t="n">
        <x:f>R294/E294</x:f>
        <x:v>35653765531.034485</x:v>
      </x:c>
      <x:c r="T294" s="36" t="str">
        <x:v>MUS: IMF exact 2026</x:v>
      </x:c>
      <x:c r="U294" s="36" t="str">
        <x:v>MUS: IMF exact 2026</x:v>
      </x:c>
      <x:c r="V294" s="36" t="str">
        <x:v>MUS: IMF exact 2026</x:v>
      </x:c>
      <x:c r="W294" s="36" t="str">
        <x:v>complete_primary</x:v>
      </x:c>
      <x:c r="X294" s="36" t="str">
        <x:v>https://api.imf.org/external/sdmx/3.0/data/dataflow/IMF.RES/WEO/9.0.0/</x:v>
      </x:c>
      <x:c r="Y294" s="36" t="str">
        <x:v>https://api.worldbank.org/v2/</x:v>
      </x:c>
    </x:row>
    <x:row r="295">
      <x:c r="A295" s="24" t="str">
        <x:v>PCS</x:v>
      </x:c>
      <x:c r="B295" s="24" t="str">
        <x:v>Melanesian States</x:v>
      </x:c>
      <x:c r="C295" s="24" t="str">
        <x:v>FJI+SLB+VUT</x:v>
      </x:c>
      <x:c r="D295" s="24" t="n">
        <x:v>2003</x:v>
      </x:c>
      <x:c r="E295" s="37" t="n">
        <x:v>1.59</x:v>
      </x:c>
      <x:c r="F295" s="38" t="n">
        <x:v>1533186</x:v>
      </x:c>
      <x:c r="G295" s="38" t="n">
        <x:v>1486905</x:v>
      </x:c>
      <x:c r="H295" s="39" t="n">
        <x:f>G295/F295</x:f>
        <x:v>0.96981383863406</x:v>
      </x:c>
      <x:c r="I295" s="40" t="n">
        <x:v>4354385965</x:v>
      </x:c>
      <x:c r="J295" s="40" t="n">
        <x:v>6923473684</x:v>
      </x:c>
      <x:c r="K295" s="40" t="n">
        <x:v>4516</x:v>
      </x:c>
      <x:c r="L295" s="40" t="n">
        <x:v>3502</x:v>
      </x:c>
      <x:c r="M295" s="40" t="n">
        <x:v>7993</x:v>
      </x:c>
      <x:c r="N295" s="41" t="n">
        <x:f>MIN(L295,M295)</x:f>
        <x:v>3502</x:v>
      </x:c>
      <x:c r="O295" s="41" t="n">
        <x:f>MAX(L295,M295)</x:f>
        <x:v>7993</x:v>
      </x:c>
      <x:c r="P295" s="41" t="n">
        <x:f>MAX(N295,MIN(K295,O295))</x:f>
        <x:v>4516</x:v>
      </x:c>
      <x:c r="Q295" s="19" t="str">
        <x:f>IF(K295&lt;N295,IF(N295=L295,"clamped_to_nominal","clamped_to_ppp"),IF(K295&gt;O295,IF(O295=L295,"clamped_to_nominal","clamped_to_ppp"),"kept_vanilla"))</x:f>
        <x:v>kept_vanilla</x:v>
      </x:c>
      <x:c r="R295" s="41" t="n">
        <x:f>P295*G295</x:f>
        <x:v>6714862980</x:v>
      </x:c>
      <x:c r="S295" s="41" t="n">
        <x:f>R295/E295</x:f>
        <x:v>4223184264.1509433</x:v>
      </x:c>
      <x:c r="T295" s="36" t="str">
        <x:v>FJI: IMF exact 2003; SLB: IMF exact 2003; VUT: IMF exact 2003</x:v>
      </x:c>
      <x:c r="U295" s="36" t="str">
        <x:v>FJI: IMF exact 2003; SLB: IMF exact 2003; VUT: IMF exact 2003</x:v>
      </x:c>
      <x:c r="V295" s="36" t="str">
        <x:v>FJI: IMF exact 2003; SLB: IMF exact 2003; VUT: IMF exact 2003</x:v>
      </x:c>
      <x:c r="W295" s="36" t="str">
        <x:v>complete_primary</x:v>
      </x:c>
      <x:c r="X295" s="36" t="str">
        <x:v>https://api.imf.org/external/sdmx/3.0/data/dataflow/IMF.RES/WEO/9.0.0/</x:v>
      </x:c>
      <x:c r="Y295" s="36" t="str">
        <x:v>https://api.worldbank.org/v2/</x:v>
      </x:c>
    </x:row>
    <x:row r="296">
      <x:c r="A296" s="24" t="str">
        <x:v>PCS</x:v>
      </x:c>
      <x:c r="B296" s="24" t="str">
        <x:v>Melanesian States</x:v>
      </x:c>
      <x:c r="C296" s="24" t="str">
        <x:v>FJI+SLB+VUT</x:v>
      </x:c>
      <x:c r="D296" s="24" t="n">
        <x:v>2022</x:v>
      </x:c>
      <x:c r="E296" s="37" t="n">
        <x:v>1</x:v>
      </x:c>
      <x:c r="F296" s="38" t="n">
        <x:v>1962081</x:v>
      </x:c>
      <x:c r="G296" s="38" t="n">
        <x:v>1978146</x:v>
      </x:c>
      <x:c r="H296" s="39" t="n">
        <x:f>G296/F296</x:f>
        <x:v>1.0081877353687234</x:v>
      </x:c>
      <x:c r="I296" s="40" t="n">
        <x:v>13195600000</x:v>
      </x:c>
      <x:c r="J296" s="40" t="n">
        <x:v>13195600000</x:v>
      </x:c>
      <x:c r="K296" s="40" t="n">
        <x:v>6725</x:v>
      </x:c>
      <x:c r="L296" s="40" t="n">
        <x:v>3829</x:v>
      </x:c>
      <x:c r="M296" s="40" t="n">
        <x:v>7452</x:v>
      </x:c>
      <x:c r="N296" s="41" t="n">
        <x:f>MIN(L296,M296)</x:f>
        <x:v>3829</x:v>
      </x:c>
      <x:c r="O296" s="41" t="n">
        <x:f>MAX(L296,M296)</x:f>
        <x:v>7452</x:v>
      </x:c>
      <x:c r="P296" s="41" t="n">
        <x:f>MAX(N296,MIN(K296,O296))</x:f>
        <x:v>6725</x:v>
      </x:c>
      <x:c r="Q296" s="19" t="str">
        <x:f>IF(K296&lt;N296,IF(N296=L296,"clamped_to_nominal","clamped_to_ppp"),IF(K296&gt;O296,IF(O296=L296,"clamped_to_nominal","clamped_to_ppp"),"kept_vanilla"))</x:f>
        <x:v>kept_vanilla</x:v>
      </x:c>
      <x:c r="R296" s="41" t="n">
        <x:f>P296*G296</x:f>
        <x:v>13303031850</x:v>
      </x:c>
      <x:c r="S296" s="41" t="n">
        <x:f>R296/E296</x:f>
        <x:v>13303031850</x:v>
      </x:c>
      <x:c r="T296" s="36" t="str">
        <x:v>FJI: IMF exact 2022; SLB: IMF exact 2022; VUT: IMF exact 2022</x:v>
      </x:c>
      <x:c r="U296" s="36" t="str">
        <x:v>FJI: IMF exact 2022; SLB: IMF exact 2022; VUT: IMF exact 2022</x:v>
      </x:c>
      <x:c r="V296" s="36" t="str">
        <x:v>FJI: IMF exact 2022; SLB: IMF exact 2022; VUT: IMF exact 2022</x:v>
      </x:c>
      <x:c r="W296" s="36" t="str">
        <x:v>complete_primary</x:v>
      </x:c>
      <x:c r="X296" s="36" t="str">
        <x:v>https://api.imf.org/external/sdmx/3.0/data/dataflow/IMF.RES/WEO/9.0.0/</x:v>
      </x:c>
      <x:c r="Y296" s="36" t="str">
        <x:v>https://api.worldbank.org/v2/</x:v>
      </x:c>
    </x:row>
    <x:row r="297">
      <x:c r="A297" s="24" t="str">
        <x:v>PCS</x:v>
      </x:c>
      <x:c r="B297" s="24" t="str">
        <x:v>Melanesian States</x:v>
      </x:c>
      <x:c r="C297" s="24" t="str">
        <x:v>FJI+SLB+VUT</x:v>
      </x:c>
      <x:c r="D297" s="24" t="n">
        <x:v>2026</x:v>
      </x:c>
      <x:c r="E297" s="37" t="n">
        <x:v>0.87</x:v>
      </x:c>
      <x:c r="F297" s="38" t="n">
        <x:v>2138133</x:v>
      </x:c>
      <x:c r="G297" s="38" t="n">
        <x:v>2088864</x:v>
      </x:c>
      <x:c r="H297" s="39" t="n">
        <x:f>G297/F297</x:f>
        <x:v>0.9769569994008792</x:v>
      </x:c>
      <x:c r="I297" s="40" t="n">
        <x:v>16621440000</x:v>
      </x:c>
      <x:c r="J297" s="40" t="n">
        <x:v>14460652800</x:v>
      </x:c>
      <x:c r="K297" s="40" t="n">
        <x:v>6763</x:v>
      </x:c>
      <x:c r="L297" s="40" t="n">
        <x:v>3991</x:v>
      </x:c>
      <x:c r="M297" s="40" t="n">
        <x:v>8189</x:v>
      </x:c>
      <x:c r="N297" s="41" t="n">
        <x:f>MIN(L297,M297)</x:f>
        <x:v>3991</x:v>
      </x:c>
      <x:c r="O297" s="41" t="n">
        <x:f>MAX(L297,M297)</x:f>
        <x:v>8189</x:v>
      </x:c>
      <x:c r="P297" s="41" t="n">
        <x:f>MAX(N297,MIN(K297,O297))</x:f>
        <x:v>6763</x:v>
      </x:c>
      <x:c r="Q297" s="19" t="str">
        <x:f>IF(K297&lt;N297,IF(N297=L297,"clamped_to_nominal","clamped_to_ppp"),IF(K297&gt;O297,IF(O297=L297,"clamped_to_nominal","clamped_to_ppp"),"kept_vanilla"))</x:f>
        <x:v>kept_vanilla</x:v>
      </x:c>
      <x:c r="R297" s="41" t="n">
        <x:f>P297*G297</x:f>
        <x:v>14126987232</x:v>
      </x:c>
      <x:c r="S297" s="41" t="n">
        <x:f>R297/E297</x:f>
        <x:v>16237916358.62069</x:v>
      </x:c>
      <x:c r="T297" s="36" t="str">
        <x:v>FJI: IMF exact 2026; SLB: IMF exact 2026; VUT: IMF exact 2026</x:v>
      </x:c>
      <x:c r="U297" s="36" t="str">
        <x:v>FJI: IMF exact 2026; SLB: IMF exact 2026; VUT: IMF exact 2026</x:v>
      </x:c>
      <x:c r="V297" s="36" t="str">
        <x:v>FJI: IMF exact 2026; SLB: IMF exact 2026; VUT: IMF exact 2026</x:v>
      </x:c>
      <x:c r="W297" s="36" t="str">
        <x:v>complete_primary</x:v>
      </x:c>
      <x:c r="X297" s="36" t="str">
        <x:v>https://api.imf.org/external/sdmx/3.0/data/dataflow/IMF.RES/WEO/9.0.0/</x:v>
      </x:c>
      <x:c r="Y297" s="36" t="str">
        <x:v>https://api.worldbank.org/v2/</x:v>
      </x:c>
    </x:row>
    <x:row r="298">
      <x:c r="A298" s="24" t="str">
        <x:v>MEX</x:v>
      </x:c>
      <x:c r="B298" s="24" t="str">
        <x:v>Mexico</x:v>
      </x:c>
      <x:c r="C298" s="24" t="str">
        <x:v>MEX</x:v>
      </x:c>
      <x:c r="D298" s="24" t="n">
        <x:v>2003</x:v>
      </x:c>
      <x:c r="E298" s="37" t="n">
        <x:v>1.59</x:v>
      </x:c>
      <x:c r="F298" s="38" t="n">
        <x:v>102978515</x:v>
      </x:c>
      <x:c r="G298" s="38" t="n">
        <x:v>103587899</x:v>
      </x:c>
      <x:c r="H298" s="39" t="n">
        <x:f>G298/F298</x:f>
        <x:v>1.005917583876598</x:v>
      </x:c>
      <x:c r="I298" s="40" t="n">
        <x:v>859568421053</x:v>
      </x:c>
      <x:c r="J298" s="40" t="n">
        <x:v>1366713789474</x:v>
      </x:c>
      <x:c r="K298" s="40" t="n">
        <x:v>13272</x:v>
      </x:c>
      <x:c r="L298" s="40" t="n">
        <x:v>11751</x:v>
      </x:c>
      <x:c r="M298" s="40" t="n">
        <x:v>22561</x:v>
      </x:c>
      <x:c r="N298" s="41" t="n">
        <x:f>MIN(L298,M298)</x:f>
        <x:v>11751</x:v>
      </x:c>
      <x:c r="O298" s="41" t="n">
        <x:f>MAX(L298,M298)</x:f>
        <x:v>22561</x:v>
      </x:c>
      <x:c r="P298" s="41" t="n">
        <x:f>MAX(N298,MIN(K298,O298))</x:f>
        <x:v>13272</x:v>
      </x:c>
      <x:c r="Q298" s="19" t="str">
        <x:f>IF(K298&lt;N298,IF(N298=L298,"clamped_to_nominal","clamped_to_ppp"),IF(K298&gt;O298,IF(O298=L298,"clamped_to_nominal","clamped_to_ppp"),"kept_vanilla"))</x:f>
        <x:v>kept_vanilla</x:v>
      </x:c>
      <x:c r="R298" s="41" t="n">
        <x:f>P298*G298</x:f>
        <x:v>1374818595528</x:v>
      </x:c>
      <x:c r="S298" s="41" t="n">
        <x:f>R298/E298</x:f>
        <x:v>864665783350.9434</x:v>
      </x:c>
      <x:c r="T298" s="36" t="str">
        <x:v>MEX: IMF exact 2003</x:v>
      </x:c>
      <x:c r="U298" s="36" t="str">
        <x:v>MEX: IMF exact 2003</x:v>
      </x:c>
      <x:c r="V298" s="36" t="str">
        <x:v>MEX: IMF exact 2003</x:v>
      </x:c>
      <x:c r="W298" s="36" t="str">
        <x:v>complete_primary</x:v>
      </x:c>
      <x:c r="X298" s="36" t="str">
        <x:v>https://api.imf.org/external/sdmx/3.0/data/dataflow/IMF.RES/WEO/9.0.0/</x:v>
      </x:c>
      <x:c r="Y298" s="36" t="str">
        <x:v>https://api.worldbank.org/v2/</x:v>
      </x:c>
    </x:row>
    <x:row r="299">
      <x:c r="A299" s="24" t="str">
        <x:v>MEX</x:v>
      </x:c>
      <x:c r="B299" s="24" t="str">
        <x:v>Mexico</x:v>
      </x:c>
      <x:c r="C299" s="24" t="str">
        <x:v>MEX</x:v>
      </x:c>
      <x:c r="D299" s="24" t="n">
        <x:v>2022</x:v>
      </x:c>
      <x:c r="E299" s="37" t="n">
        <x:v>1</x:v>
      </x:c>
      <x:c r="F299" s="38" t="n">
        <x:v>131965947</x:v>
      </x:c>
      <x:c r="G299" s="38" t="n">
        <x:v>129960600</x:v>
      </x:c>
      <x:c r="H299" s="39" t="n">
        <x:f>G299/F299</x:f>
        <x:v>0.9848040570648123</x:v>
      </x:c>
      <x:c r="I299" s="40" t="n">
        <x:v>2543802800000</x:v>
      </x:c>
      <x:c r="J299" s="40" t="n">
        <x:v>2543802800000</x:v>
      </x:c>
      <x:c r="K299" s="40" t="n">
        <x:v>19276</x:v>
      </x:c>
      <x:c r="L299" s="40" t="n">
        <x:v>11288</x:v>
      </x:c>
      <x:c r="M299" s="40" t="n">
        <x:v>22948</x:v>
      </x:c>
      <x:c r="N299" s="41" t="n">
        <x:f>MIN(L299,M299)</x:f>
        <x:v>11288</x:v>
      </x:c>
      <x:c r="O299" s="41" t="n">
        <x:f>MAX(L299,M299)</x:f>
        <x:v>22948</x:v>
      </x:c>
      <x:c r="P299" s="41" t="n">
        <x:f>MAX(N299,MIN(K299,O299))</x:f>
        <x:v>19276</x:v>
      </x:c>
      <x:c r="Q299" s="19" t="str">
        <x:f>IF(K299&lt;N299,IF(N299=L299,"clamped_to_nominal","clamped_to_ppp"),IF(K299&gt;O299,IF(O299=L299,"clamped_to_nominal","clamped_to_ppp"),"kept_vanilla"))</x:f>
        <x:v>kept_vanilla</x:v>
      </x:c>
      <x:c r="R299" s="41" t="n">
        <x:f>P299*G299</x:f>
        <x:v>2505120525600</x:v>
      </x:c>
      <x:c r="S299" s="41" t="n">
        <x:f>R299/E299</x:f>
        <x:v>2505120525600</x:v>
      </x:c>
      <x:c r="T299" s="36" t="str">
        <x:v>MEX: IMF exact 2022</x:v>
      </x:c>
      <x:c r="U299" s="36" t="str">
        <x:v>MEX: IMF exact 2022</x:v>
      </x:c>
      <x:c r="V299" s="36" t="str">
        <x:v>MEX: IMF exact 2022</x:v>
      </x:c>
      <x:c r="W299" s="36" t="str">
        <x:v>complete_primary</x:v>
      </x:c>
      <x:c r="X299" s="36" t="str">
        <x:v>https://api.imf.org/external/sdmx/3.0/data/dataflow/IMF.RES/WEO/9.0.0/</x:v>
      </x:c>
      <x:c r="Y299" s="36" t="str">
        <x:v>https://api.worldbank.org/v2/</x:v>
      </x:c>
    </x:row>
    <x:row r="300">
      <x:c r="A300" s="24" t="str">
        <x:v>MEX</x:v>
      </x:c>
      <x:c r="B300" s="24" t="str">
        <x:v>Mexico</x:v>
      </x:c>
      <x:c r="C300" s="24" t="str">
        <x:v>MEX</x:v>
      </x:c>
      <x:c r="D300" s="24" t="n">
        <x:v>2026</x:v>
      </x:c>
      <x:c r="E300" s="37" t="n">
        <x:v>0.87</x:v>
      </x:c>
      <x:c r="F300" s="38" t="n">
        <x:v>132997658</x:v>
      </x:c>
      <x:c r="G300" s="38" t="n">
        <x:v>134407258</x:v>
      </x:c>
      <x:c r="H300" s="39" t="n">
        <x:f>G300/F300</x:f>
        <x:v>1.0105986828730473</x:v>
      </x:c>
      <x:c r="I300" s="40" t="n">
        <x:v>3024498400000</x:v>
      </x:c>
      <x:c r="J300" s="40" t="n">
        <x:v>2631313608000</x:v>
      </x:c>
      <x:c r="K300" s="40" t="n">
        <x:v>19785</x:v>
      </x:c>
      <x:c r="L300" s="40" t="n">
        <x:v>13728</x:v>
      </x:c>
      <x:c r="M300" s="40" t="n">
        <x:v>23179</x:v>
      </x:c>
      <x:c r="N300" s="41" t="n">
        <x:f>MIN(L300,M300)</x:f>
        <x:v>13728</x:v>
      </x:c>
      <x:c r="O300" s="41" t="n">
        <x:f>MAX(L300,M300)</x:f>
        <x:v>23179</x:v>
      </x:c>
      <x:c r="P300" s="41" t="n">
        <x:f>MAX(N300,MIN(K300,O300))</x:f>
        <x:v>19785</x:v>
      </x:c>
      <x:c r="Q300" s="19" t="str">
        <x:f>IF(K300&lt;N300,IF(N300=L300,"clamped_to_nominal","clamped_to_ppp"),IF(K300&gt;O300,IF(O300=L300,"clamped_to_nominal","clamped_to_ppp"),"kept_vanilla"))</x:f>
        <x:v>kept_vanilla</x:v>
      </x:c>
      <x:c r="R300" s="41" t="n">
        <x:f>P300*G300</x:f>
        <x:v>2659247599530</x:v>
      </x:c>
      <x:c r="S300" s="41" t="n">
        <x:f>R300/E300</x:f>
        <x:v>3056606436241.3794</x:v>
      </x:c>
      <x:c r="T300" s="36" t="str">
        <x:v>MEX: IMF exact 2026</x:v>
      </x:c>
      <x:c r="U300" s="36" t="str">
        <x:v>MEX: IMF exact 2026</x:v>
      </x:c>
      <x:c r="V300" s="36" t="str">
        <x:v>MEX: IMF exact 2026</x:v>
      </x:c>
      <x:c r="W300" s="36" t="str">
        <x:v>complete_primary</x:v>
      </x:c>
      <x:c r="X300" s="36" t="str">
        <x:v>https://api.imf.org/external/sdmx/3.0/data/dataflow/IMF.RES/WEO/9.0.0/</x:v>
      </x:c>
      <x:c r="Y300" s="36" t="str">
        <x:v>https://api.worldbank.org/v2/</x:v>
      </x:c>
    </x:row>
    <x:row r="301">
      <x:c r="A301" s="24" t="str">
        <x:v>MCS</x:v>
      </x:c>
      <x:c r="B301" s="24" t="str">
        <x:v>Micronesian States</x:v>
      </x:c>
      <x:c r="C301" s="24" t="str">
        <x:v>FSM+KIR</x:v>
      </x:c>
      <x:c r="D301" s="24" t="n">
        <x:v>2003</x:v>
      </x:c>
      <x:c r="E301" s="37" t="n">
        <x:v>1.59</x:v>
      </x:c>
      <x:c r="F301" s="38" t="n">
        <x:v>287817</x:v>
      </x:c>
      <x:c r="G301" s="38" t="n">
        <x:v>195366</x:v>
      </x:c>
      <x:c r="H301" s="39" t="n">
        <x:f>G301/F301</x:f>
        <x:v>0.6787854782726525</x:v>
      </x:c>
      <x:c r="I301" s="40" t="n">
        <x:v>436257310</x:v>
      </x:c>
      <x:c r="J301" s="40" t="n">
        <x:v>693649123</x:v>
      </x:c>
      <x:c r="K301" s="40" t="n">
        <x:v>2410</x:v>
      </x:c>
      <x:c r="L301" s="40" t="n">
        <x:v>2763</x:v>
      </x:c>
      <x:c r="M301" s="40" t="n">
        <x:v>3182</x:v>
      </x:c>
      <x:c r="N301" s="41" t="n">
        <x:f>MIN(L301,M301)</x:f>
        <x:v>2763</x:v>
      </x:c>
      <x:c r="O301" s="41" t="n">
        <x:f>MAX(L301,M301)</x:f>
        <x:v>3182</x:v>
      </x:c>
      <x:c r="P301" s="41" t="n">
        <x:f>MAX(N301,MIN(K301,O301))</x:f>
        <x:v>2763</x:v>
      </x:c>
      <x:c r="Q301" s="19" t="str">
        <x:f>IF(K301&lt;N301,IF(N301=L301,"clamped_to_nominal","clamped_to_ppp"),IF(K301&gt;O301,IF(O301=L301,"clamped_to_nominal","clamped_to_ppp"),"kept_vanilla"))</x:f>
        <x:v>clamped_to_nominal</x:v>
      </x:c>
      <x:c r="R301" s="41" t="n">
        <x:f>P301*G301</x:f>
        <x:v>539796258</x:v>
      </x:c>
      <x:c r="S301" s="41" t="n">
        <x:f>R301/E301</x:f>
        <x:v>339494501.8867924</x:v>
      </x:c>
      <x:c r="T301" s="36" t="str">
        <x:v>FSM: IMF exact 2003; KIR: IMF exact 2003</x:v>
      </x:c>
      <x:c r="U301" s="36" t="str">
        <x:v>FSM: IMF exact 2003; KIR: IMF exact 2003</x:v>
      </x:c>
      <x:c r="V301" s="36" t="str">
        <x:v>FSM: IMF exact 2003; KIR: IMF exact 2003</x:v>
      </x:c>
      <x:c r="W301" s="36" t="str">
        <x:v>complete_primary</x:v>
      </x:c>
      <x:c r="X301" s="36" t="str">
        <x:v>https://api.imf.org/external/sdmx/3.0/data/dataflow/IMF.RES/WEO/9.0.0/</x:v>
      </x:c>
      <x:c r="Y301" s="36" t="str">
        <x:v>https://api.worldbank.org/v2/</x:v>
      </x:c>
    </x:row>
    <x:row r="302">
      <x:c r="A302" s="24" t="str">
        <x:v>MCS</x:v>
      </x:c>
      <x:c r="B302" s="24" t="str">
        <x:v>Micronesian States</x:v>
      </x:c>
      <x:c r="C302" s="24" t="str">
        <x:v>FSM+KIR</x:v>
      </x:c>
      <x:c r="D302" s="24" t="n">
        <x:v>2022</x:v>
      </x:c>
      <x:c r="E302" s="37" t="n">
        <x:v>1</x:v>
      </x:c>
      <x:c r="F302" s="38" t="n">
        <x:v>331379</x:v>
      </x:c>
      <x:c r="G302" s="38" t="n">
        <x:v>218143</x:v>
      </x:c>
      <x:c r="H302" s="39" t="n">
        <x:f>G302/F302</x:f>
        <x:v>0.6582885457436953</x:v>
      </x:c>
      <x:c r="I302" s="40" t="n">
        <x:v>1118480000</x:v>
      </x:c>
      <x:c r="J302" s="40" t="n">
        <x:v>1118480000</x:v>
      </x:c>
      <x:c r="K302" s="40" t="n">
        <x:v>3375</x:v>
      </x:c>
      <x:c r="L302" s="40" t="n">
        <x:v>3149</x:v>
      </x:c>
      <x:c r="M302" s="40" t="n">
        <x:v>3658</x:v>
      </x:c>
      <x:c r="N302" s="41" t="n">
        <x:f>MIN(L302,M302)</x:f>
        <x:v>3149</x:v>
      </x:c>
      <x:c r="O302" s="41" t="n">
        <x:f>MAX(L302,M302)</x:f>
        <x:v>3658</x:v>
      </x:c>
      <x:c r="P302" s="41" t="n">
        <x:f>MAX(N302,MIN(K302,O302))</x:f>
        <x:v>3375</x:v>
      </x:c>
      <x:c r="Q302" s="19" t="str">
        <x:f>IF(K302&lt;N302,IF(N302=L302,"clamped_to_nominal","clamped_to_ppp"),IF(K302&gt;O302,IF(O302=L302,"clamped_to_nominal","clamped_to_ppp"),"kept_vanilla"))</x:f>
        <x:v>kept_vanilla</x:v>
      </x:c>
      <x:c r="R302" s="41" t="n">
        <x:f>P302*G302</x:f>
        <x:v>736232625</x:v>
      </x:c>
      <x:c r="S302" s="41" t="n">
        <x:f>R302/E302</x:f>
        <x:v>736232625</x:v>
      </x:c>
      <x:c r="T302" s="36" t="str">
        <x:v>FSM: IMF exact 2022; KIR: IMF exact 2022</x:v>
      </x:c>
      <x:c r="U302" s="36" t="str">
        <x:v>FSM: IMF exact 2022; KIR: IMF exact 2022</x:v>
      </x:c>
      <x:c r="V302" s="36" t="str">
        <x:v>FSM: IMF exact 2022; KIR: IMF exact 2022</x:v>
      </x:c>
      <x:c r="W302" s="36" t="str">
        <x:v>complete_primary</x:v>
      </x:c>
      <x:c r="X302" s="36" t="str">
        <x:v>https://api.imf.org/external/sdmx/3.0/data/dataflow/IMF.RES/WEO/9.0.0/</x:v>
      </x:c>
      <x:c r="Y302" s="36" t="str">
        <x:v>https://api.worldbank.org/v2/</x:v>
      </x:c>
    </x:row>
    <x:row r="303">
      <x:c r="A303" s="24" t="str">
        <x:v>MCS</x:v>
      </x:c>
      <x:c r="B303" s="24" t="str">
        <x:v>Micronesian States</x:v>
      </x:c>
      <x:c r="C303" s="24" t="str">
        <x:v>FSM+KIR</x:v>
      </x:c>
      <x:c r="D303" s="24" t="n">
        <x:v>2026</x:v>
      </x:c>
      <x:c r="E303" s="37" t="n">
        <x:v>0.87</x:v>
      </x:c>
      <x:c r="F303" s="38" t="n">
        <x:v>317419</x:v>
      </x:c>
      <x:c r="G303" s="38" t="n">
        <x:v>225877</x:v>
      </x:c>
      <x:c r="H303" s="39" t="n">
        <x:f>G303/F303</x:f>
        <x:v>0.7116051654122784</x:v>
      </x:c>
      <x:c r="I303" s="40" t="n">
        <x:v>1479280000</x:v>
      </x:c>
      <x:c r="J303" s="40" t="n">
        <x:v>1286973600</x:v>
      </x:c>
      <x:c r="K303" s="40" t="n">
        <x:v>4054</x:v>
      </x:c>
      <x:c r="L303" s="40" t="n">
        <x:v>3551</x:v>
      </x:c>
      <x:c r="M303" s="40" t="n">
        <x:v>3823</x:v>
      </x:c>
      <x:c r="N303" s="41" t="n">
        <x:f>MIN(L303,M303)</x:f>
        <x:v>3551</x:v>
      </x:c>
      <x:c r="O303" s="41" t="n">
        <x:f>MAX(L303,M303)</x:f>
        <x:v>3823</x:v>
      </x:c>
      <x:c r="P303" s="41" t="n">
        <x:f>MAX(N303,MIN(K303,O303))</x:f>
        <x:v>3823</x:v>
      </x:c>
      <x:c r="Q303" s="19" t="str">
        <x:f>IF(K303&lt;N303,IF(N303=L303,"clamped_to_nominal","clamped_to_ppp"),IF(K303&gt;O303,IF(O303=L303,"clamped_to_nominal","clamped_to_ppp"),"kept_vanilla"))</x:f>
        <x:v>clamped_to_ppp</x:v>
      </x:c>
      <x:c r="R303" s="41" t="n">
        <x:f>P303*G303</x:f>
        <x:v>863527771</x:v>
      </x:c>
      <x:c r="S303" s="41" t="n">
        <x:f>R303/E303</x:f>
        <x:v>992560656.3218391</x:v>
      </x:c>
      <x:c r="T303" s="36" t="str">
        <x:v>FSM: IMF exact 2026; KIR: IMF exact 2026</x:v>
      </x:c>
      <x:c r="U303" s="36" t="str">
        <x:v>FSM: IMF exact 2026; KIR: IMF exact 2026</x:v>
      </x:c>
      <x:c r="V303" s="36" t="str">
        <x:v>FSM: IMF exact 2026; KIR: IMF exact 2026</x:v>
      </x:c>
      <x:c r="W303" s="36" t="str">
        <x:v>complete_primary</x:v>
      </x:c>
      <x:c r="X303" s="36" t="str">
        <x:v>https://api.imf.org/external/sdmx/3.0/data/dataflow/IMF.RES/WEO/9.0.0/</x:v>
      </x:c>
      <x:c r="Y303" s="36" t="str">
        <x:v>https://api.worldbank.org/v2/</x:v>
      </x:c>
    </x:row>
    <x:row r="304">
      <x:c r="A304" s="24" t="str">
        <x:v>MOL</x:v>
      </x:c>
      <x:c r="B304" s="24" t="str">
        <x:v>Moldova</x:v>
      </x:c>
      <x:c r="C304" s="24" t="str">
        <x:v>MDA</x:v>
      </x:c>
      <x:c r="D304" s="24" t="n">
        <x:v>2003</x:v>
      </x:c>
      <x:c r="E304" s="37" t="n">
        <x:v>1.59</x:v>
      </x:c>
      <x:c r="F304" s="38" t="n">
        <x:v>4095419</x:v>
      </x:c>
      <x:c r="G304" s="38" t="n">
        <x:v>2911416</x:v>
      </x:c>
      <x:c r="H304" s="39" t="n">
        <x:f>G304/F304</x:f>
        <x:v>0.7108957593838384</x:v>
      </x:c>
      <x:c r="I304" s="40" t="n">
        <x:v>7904093567</x:v>
      </x:c>
      <x:c r="J304" s="40" t="n">
        <x:v>12567508772</x:v>
      </x:c>
      <x:c r="K304" s="40" t="n">
        <x:v>3069</x:v>
      </x:c>
      <x:c r="L304" s="40" t="n">
        <x:v>1082</x:v>
      </x:c>
      <x:c r="M304" s="40" t="n">
        <x:v>7395</x:v>
      </x:c>
      <x:c r="N304" s="41" t="n">
        <x:f>MIN(L304,M304)</x:f>
        <x:v>1082</x:v>
      </x:c>
      <x:c r="O304" s="41" t="n">
        <x:f>MAX(L304,M304)</x:f>
        <x:v>7395</x:v>
      </x:c>
      <x:c r="P304" s="41" t="n">
        <x:f>MAX(N304,MIN(K304,O304))</x:f>
        <x:v>3069</x:v>
      </x:c>
      <x:c r="Q304" s="19" t="str">
        <x:f>IF(K304&lt;N304,IF(N304=L304,"clamped_to_nominal","clamped_to_ppp"),IF(K304&gt;O304,IF(O304=L304,"clamped_to_nominal","clamped_to_ppp"),"kept_vanilla"))</x:f>
        <x:v>kept_vanilla</x:v>
      </x:c>
      <x:c r="R304" s="41" t="n">
        <x:f>P304*G304</x:f>
        <x:v>8935135704</x:v>
      </x:c>
      <x:c r="S304" s="41" t="n">
        <x:f>R304/E304</x:f>
        <x:v>5619582203.773584</x:v>
      </x:c>
      <x:c r="T304" s="36" t="str">
        <x:v>MDA: IMF exact 2003</x:v>
      </x:c>
      <x:c r="U304" s="36" t="str">
        <x:v>MDA: IMF exact 2003</x:v>
      </x:c>
      <x:c r="V304" s="36" t="str">
        <x:v>MDA: IMF exact 2003</x:v>
      </x:c>
      <x:c r="W304" s="36" t="str">
        <x:v>complete_primary</x:v>
      </x:c>
      <x:c r="X304" s="36" t="str">
        <x:v>https://api.imf.org/external/sdmx/3.0/data/dataflow/IMF.RES/WEO/9.0.0/</x:v>
      </x:c>
      <x:c r="Y304" s="36" t="str">
        <x:v>https://api.worldbank.org/v2/</x:v>
      </x:c>
    </x:row>
    <x:row r="305">
      <x:c r="A305" s="24" t="str">
        <x:v>MOL</x:v>
      </x:c>
      <x:c r="B305" s="24" t="str">
        <x:v>Moldova</x:v>
      </x:c>
      <x:c r="C305" s="24" t="str">
        <x:v>MDA</x:v>
      </x:c>
      <x:c r="D305" s="24" t="n">
        <x:v>2022</x:v>
      </x:c>
      <x:c r="E305" s="37" t="n">
        <x:v>1</x:v>
      </x:c>
      <x:c r="F305" s="38" t="n">
        <x:v>4009886</x:v>
      </x:c>
      <x:c r="G305" s="38" t="n">
        <x:v>2565030</x:v>
      </x:c>
      <x:c r="H305" s="39" t="n">
        <x:f>G305/F305</x:f>
        <x:v>0.6396765394327919</x:v>
      </x:c>
      <x:c r="I305" s="40" t="n">
        <x:v>37385040000</x:v>
      </x:c>
      <x:c r="J305" s="40" t="n">
        <x:v>37385040000</x:v>
      </x:c>
      <x:c r="K305" s="40" t="n">
        <x:v>9323</x:v>
      </x:c>
      <x:c r="L305" s="40" t="n">
        <x:v>5662</x:v>
      </x:c>
      <x:c r="M305" s="40" t="n">
        <x:v>16217</x:v>
      </x:c>
      <x:c r="N305" s="41" t="n">
        <x:f>MIN(L305,M305)</x:f>
        <x:v>5662</x:v>
      </x:c>
      <x:c r="O305" s="41" t="n">
        <x:f>MAX(L305,M305)</x:f>
        <x:v>16217</x:v>
      </x:c>
      <x:c r="P305" s="41" t="n">
        <x:f>MAX(N305,MIN(K305,O305))</x:f>
        <x:v>9323</x:v>
      </x:c>
      <x:c r="Q305" s="19" t="str">
        <x:f>IF(K305&lt;N305,IF(N305=L305,"clamped_to_nominal","clamped_to_ppp"),IF(K305&gt;O305,IF(O305=L305,"clamped_to_nominal","clamped_to_ppp"),"kept_vanilla"))</x:f>
        <x:v>kept_vanilla</x:v>
      </x:c>
      <x:c r="R305" s="41" t="n">
        <x:f>P305*G305</x:f>
        <x:v>23913774690</x:v>
      </x:c>
      <x:c r="S305" s="41" t="n">
        <x:f>R305/E305</x:f>
        <x:v>23913774690</x:v>
      </x:c>
      <x:c r="T305" s="36" t="str">
        <x:v>MDA: IMF exact 2022</x:v>
      </x:c>
      <x:c r="U305" s="36" t="str">
        <x:v>MDA: IMF exact 2022</x:v>
      </x:c>
      <x:c r="V305" s="36" t="str">
        <x:v>MDA: IMF exact 2022</x:v>
      </x:c>
      <x:c r="W305" s="36" t="str">
        <x:v>complete_primary</x:v>
      </x:c>
      <x:c r="X305" s="36" t="str">
        <x:v>https://api.imf.org/external/sdmx/3.0/data/dataflow/IMF.RES/WEO/9.0.0/</x:v>
      </x:c>
      <x:c r="Y305" s="36" t="str">
        <x:v>https://api.worldbank.org/v2/</x:v>
      </x:c>
    </x:row>
    <x:row r="306">
      <x:c r="A306" s="24" t="str">
        <x:v>MOL</x:v>
      </x:c>
      <x:c r="B306" s="24" t="str">
        <x:v>Moldova</x:v>
      </x:c>
      <x:c r="C306" s="24" t="str">
        <x:v>MDA</x:v>
      </x:c>
      <x:c r="D306" s="24" t="n">
        <x:v>2026</x:v>
      </x:c>
      <x:c r="E306" s="37" t="n">
        <x:v>0.87</x:v>
      </x:c>
      <x:c r="F306" s="38" t="n">
        <x:v>2961254</x:v>
      </x:c>
      <x:c r="G306" s="38" t="n">
        <x:v>2340040</x:v>
      </x:c>
      <x:c r="H306" s="39" t="n">
        <x:f>G306/F306</x:f>
        <x:v>0.7902192787244863</x:v>
      </x:c>
      <x:c r="I306" s="40" t="n">
        <x:v>40801200000</x:v>
      </x:c>
      <x:c r="J306" s="40" t="n">
        <x:v>35497044000</x:v>
      </x:c>
      <x:c r="K306" s="40" t="n">
        <x:v>11987</x:v>
      </x:c>
      <x:c r="L306" s="40" t="n">
        <x:v>8138</x:v>
      </x:c>
      <x:c r="M306" s="40" t="n">
        <x:v>18417</x:v>
      </x:c>
      <x:c r="N306" s="41" t="n">
        <x:f>MIN(L306,M306)</x:f>
        <x:v>8138</x:v>
      </x:c>
      <x:c r="O306" s="41" t="n">
        <x:f>MAX(L306,M306)</x:f>
        <x:v>18417</x:v>
      </x:c>
      <x:c r="P306" s="41" t="n">
        <x:f>MAX(N306,MIN(K306,O306))</x:f>
        <x:v>11987</x:v>
      </x:c>
      <x:c r="Q306" s="19" t="str">
        <x:f>IF(K306&lt;N306,IF(N306=L306,"clamped_to_nominal","clamped_to_ppp"),IF(K306&gt;O306,IF(O306=L306,"clamped_to_nominal","clamped_to_ppp"),"kept_vanilla"))</x:f>
        <x:v>kept_vanilla</x:v>
      </x:c>
      <x:c r="R306" s="41" t="n">
        <x:f>P306*G306</x:f>
        <x:v>28050059480</x:v>
      </x:c>
      <x:c r="S306" s="41" t="n">
        <x:f>R306/E306</x:f>
        <x:v>32241447678.16092</x:v>
      </x:c>
      <x:c r="T306" s="36" t="str">
        <x:v>MDA: IMF exact 2026</x:v>
      </x:c>
      <x:c r="U306" s="36" t="str">
        <x:v>MDA: IMF exact 2026</x:v>
      </x:c>
      <x:c r="V306" s="36" t="str">
        <x:v>MDA: IMF exact 2026</x:v>
      </x:c>
      <x:c r="W306" s="36" t="str">
        <x:v>complete_primary</x:v>
      </x:c>
      <x:c r="X306" s="36" t="str">
        <x:v>https://api.imf.org/external/sdmx/3.0/data/dataflow/IMF.RES/WEO/9.0.0/</x:v>
      </x:c>
      <x:c r="Y306" s="36" t="str">
        <x:v>https://api.worldbank.org/v2/</x:v>
      </x:c>
    </x:row>
    <x:row r="307">
      <x:c r="A307" s="24" t="str">
        <x:v>MNG</x:v>
      </x:c>
      <x:c r="B307" s="24" t="str">
        <x:v>Mongolia</x:v>
      </x:c>
      <x:c r="C307" s="24" t="str">
        <x:v>MNG</x:v>
      </x:c>
      <x:c r="D307" s="24" t="n">
        <x:v>2003</x:v>
      </x:c>
      <x:c r="E307" s="37" t="n">
        <x:v>1.59</x:v>
      </x:c>
      <x:c r="F307" s="38" t="n">
        <x:v>2521805</x:v>
      </x:c>
      <x:c r="G307" s="38" t="n">
        <x:v>2495091</x:v>
      </x:c>
      <x:c r="H307" s="39" t="n">
        <x:f>G307/F307</x:f>
        <x:v>0.9894067939432272</x:v>
      </x:c>
      <x:c r="I307" s="40" t="n">
        <x:v>5813450292</x:v>
      </x:c>
      <x:c r="J307" s="40" t="n">
        <x:v>9243385964</x:v>
      </x:c>
      <x:c r="K307" s="40" t="n">
        <x:v>3665</x:v>
      </x:c>
      <x:c r="L307" s="40" t="n">
        <x:v>1017</x:v>
      </x:c>
      <x:c r="M307" s="40" t="n">
        <x:v>6335</x:v>
      </x:c>
      <x:c r="N307" s="41" t="n">
        <x:f>MIN(L307,M307)</x:f>
        <x:v>1017</x:v>
      </x:c>
      <x:c r="O307" s="41" t="n">
        <x:f>MAX(L307,M307)</x:f>
        <x:v>6335</x:v>
      </x:c>
      <x:c r="P307" s="41" t="n">
        <x:f>MAX(N307,MIN(K307,O307))</x:f>
        <x:v>3665</x:v>
      </x:c>
      <x:c r="Q307" s="19" t="str">
        <x:f>IF(K307&lt;N307,IF(N307=L307,"clamped_to_nominal","clamped_to_ppp"),IF(K307&gt;O307,IF(O307=L307,"clamped_to_nominal","clamped_to_ppp"),"kept_vanilla"))</x:f>
        <x:v>kept_vanilla</x:v>
      </x:c>
      <x:c r="R307" s="41" t="n">
        <x:f>P307*G307</x:f>
        <x:v>9144508515</x:v>
      </x:c>
      <x:c r="S307" s="41" t="n">
        <x:f>R307/E307</x:f>
        <x:v>5751263216.981132</x:v>
      </x:c>
      <x:c r="T307" s="36" t="str">
        <x:v>MNG: IMF exact 2003</x:v>
      </x:c>
      <x:c r="U307" s="36" t="str">
        <x:v>MNG: IMF exact 2003</x:v>
      </x:c>
      <x:c r="V307" s="36" t="str">
        <x:v>MNG: IMF exact 2003</x:v>
      </x:c>
      <x:c r="W307" s="36" t="str">
        <x:v>complete_primary</x:v>
      </x:c>
      <x:c r="X307" s="36" t="str">
        <x:v>https://api.imf.org/external/sdmx/3.0/data/dataflow/IMF.RES/WEO/9.0.0/</x:v>
      </x:c>
      <x:c r="Y307" s="36" t="str">
        <x:v>https://api.worldbank.org/v2/</x:v>
      </x:c>
    </x:row>
    <x:row r="308">
      <x:c r="A308" s="24" t="str">
        <x:v>MNG</x:v>
      </x:c>
      <x:c r="B308" s="24" t="str">
        <x:v>Mongolia</x:v>
      </x:c>
      <x:c r="C308" s="24" t="str">
        <x:v>MNG</x:v>
      </x:c>
      <x:c r="D308" s="24" t="n">
        <x:v>2022</x:v>
      </x:c>
      <x:c r="E308" s="37" t="n">
        <x:v>1</x:v>
      </x:c>
      <x:c r="F308" s="38" t="n">
        <x:v>3393295</x:v>
      </x:c>
      <x:c r="G308" s="38" t="n">
        <x:v>3457548</x:v>
      </x:c>
      <x:c r="H308" s="39" t="n">
        <x:f>G308/F308</x:f>
        <x:v>1.0189352826677316</x:v>
      </x:c>
      <x:c r="I308" s="40" t="n">
        <x:v>40850480000</x:v>
      </x:c>
      <x:c r="J308" s="40" t="n">
        <x:v>40850480000</x:v>
      </x:c>
      <x:c r="K308" s="40" t="n">
        <x:v>12039</x:v>
      </x:c>
      <x:c r="L308" s="40" t="n">
        <x:v>4959</x:v>
      </x:c>
      <x:c r="M308" s="40" t="n">
        <x:v>16286</x:v>
      </x:c>
      <x:c r="N308" s="41" t="n">
        <x:f>MIN(L308,M308)</x:f>
        <x:v>4959</x:v>
      </x:c>
      <x:c r="O308" s="41" t="n">
        <x:f>MAX(L308,M308)</x:f>
        <x:v>16286</x:v>
      </x:c>
      <x:c r="P308" s="41" t="n">
        <x:f>MAX(N308,MIN(K308,O308))</x:f>
        <x:v>12039</x:v>
      </x:c>
      <x:c r="Q308" s="19" t="str">
        <x:f>IF(K308&lt;N308,IF(N308=L308,"clamped_to_nominal","clamped_to_ppp"),IF(K308&gt;O308,IF(O308=L308,"clamped_to_nominal","clamped_to_ppp"),"kept_vanilla"))</x:f>
        <x:v>kept_vanilla</x:v>
      </x:c>
      <x:c r="R308" s="41" t="n">
        <x:f>P308*G308</x:f>
        <x:v>41625420372</x:v>
      </x:c>
      <x:c r="S308" s="41" t="n">
        <x:f>R308/E308</x:f>
        <x:v>41625420372</x:v>
      </x:c>
      <x:c r="T308" s="36" t="str">
        <x:v>MNG: IMF exact 2022</x:v>
      </x:c>
      <x:c r="U308" s="36" t="str">
        <x:v>MNG: IMF exact 2022</x:v>
      </x:c>
      <x:c r="V308" s="36" t="str">
        <x:v>MNG: IMF exact 2022</x:v>
      </x:c>
      <x:c r="W308" s="36" t="str">
        <x:v>complete_primary</x:v>
      </x:c>
      <x:c r="X308" s="36" t="str">
        <x:v>https://api.imf.org/external/sdmx/3.0/data/dataflow/IMF.RES/WEO/9.0.0/</x:v>
      </x:c>
      <x:c r="Y308" s="36" t="str">
        <x:v>https://api.worldbank.org/v2/</x:v>
      </x:c>
    </x:row>
    <x:row r="309">
      <x:c r="A309" s="24" t="str">
        <x:v>MNG</x:v>
      </x:c>
      <x:c r="B309" s="24" t="str">
        <x:v>Mongolia</x:v>
      </x:c>
      <x:c r="C309" s="24" t="str">
        <x:v>MNG</x:v>
      </x:c>
      <x:c r="D309" s="24" t="n">
        <x:v>2026</x:v>
      </x:c>
      <x:c r="E309" s="37" t="n">
        <x:v>0.87</x:v>
      </x:c>
      <x:c r="F309" s="38" t="n">
        <x:v>3556798</x:v>
      </x:c>
      <x:c r="G309" s="38" t="n">
        <x:v>3622820</x:v>
      </x:c>
      <x:c r="H309" s="39" t="n">
        <x:f>G309/F309</x:f>
        <x:v>1.0185622011708284</x:v>
      </x:c>
      <x:c r="I309" s="40" t="n">
        <x:v>64485520000</x:v>
      </x:c>
      <x:c r="J309" s="40" t="n">
        <x:v>56102402400</x:v>
      </x:c>
      <x:c r="K309" s="40" t="n">
        <x:v>15773</x:v>
      </x:c>
      <x:c r="L309" s="40" t="n">
        <x:v>6832</x:v>
      </x:c>
      <x:c r="M309" s="40" t="n">
        <x:v>19307</x:v>
      </x:c>
      <x:c r="N309" s="41" t="n">
        <x:f>MIN(L309,M309)</x:f>
        <x:v>6832</x:v>
      </x:c>
      <x:c r="O309" s="41" t="n">
        <x:f>MAX(L309,M309)</x:f>
        <x:v>19307</x:v>
      </x:c>
      <x:c r="P309" s="41" t="n">
        <x:f>MAX(N309,MIN(K309,O309))</x:f>
        <x:v>15773</x:v>
      </x:c>
      <x:c r="Q309" s="19" t="str">
        <x:f>IF(K309&lt;N309,IF(N309=L309,"clamped_to_nominal","clamped_to_ppp"),IF(K309&gt;O309,IF(O309=L309,"clamped_to_nominal","clamped_to_ppp"),"kept_vanilla"))</x:f>
        <x:v>kept_vanilla</x:v>
      </x:c>
      <x:c r="R309" s="41" t="n">
        <x:f>P309*G309</x:f>
        <x:v>57142739860</x:v>
      </x:c>
      <x:c r="S309" s="41" t="n">
        <x:f>R309/E309</x:f>
        <x:v>65681310183.90804</x:v>
      </x:c>
      <x:c r="T309" s="36" t="str">
        <x:v>MNG: IMF exact 2026</x:v>
      </x:c>
      <x:c r="U309" s="36" t="str">
        <x:v>MNG: IMF exact 2026</x:v>
      </x:c>
      <x:c r="V309" s="36" t="str">
        <x:v>MNG: IMF exact 2026</x:v>
      </x:c>
      <x:c r="W309" s="36" t="str">
        <x:v>complete_primary</x:v>
      </x:c>
      <x:c r="X309" s="36" t="str">
        <x:v>https://api.imf.org/external/sdmx/3.0/data/dataflow/IMF.RES/WEO/9.0.0/</x:v>
      </x:c>
      <x:c r="Y309" s="36" t="str">
        <x:v>https://api.worldbank.org/v2/</x:v>
      </x:c>
    </x:row>
    <x:row r="310">
      <x:c r="A310" s="24" t="str">
        <x:v>MNE</x:v>
      </x:c>
      <x:c r="B310" s="24" t="str">
        <x:v>Montenegro</x:v>
      </x:c>
      <x:c r="C310" s="24" t="str">
        <x:v>MNE</x:v>
      </x:c>
      <x:c r="D310" s="24" t="n">
        <x:v>2003</x:v>
      </x:c>
      <x:c r="E310" s="37" t="n">
        <x:v>1.59</x:v>
      </x:c>
      <x:c r="F310" s="38" t="n">
        <x:v>633559</x:v>
      </x:c>
      <x:c r="G310" s="38" t="n">
        <x:v>612267</x:v>
      </x:c>
      <x:c r="H310" s="39" t="n">
        <x:f>G310/F310</x:f>
        <x:v>0.966393027326579</x:v>
      </x:c>
      <x:c r="I310" s="40" t="n">
        <x:v>3574853801</x:v>
      </x:c>
      <x:c r="J310" s="40" t="n">
        <x:v>5684017544</x:v>
      </x:c>
      <x:c r="K310" s="40" t="n">
        <x:v>8972</x:v>
      </x:c>
      <x:c r="L310" s="40" t="n">
        <x:v>4359</x:v>
      </x:c>
      <x:c r="M310" s="40" t="n">
        <x:v>15871</x:v>
      </x:c>
      <x:c r="N310" s="41" t="n">
        <x:f>MIN(L310,M310)</x:f>
        <x:v>4359</x:v>
      </x:c>
      <x:c r="O310" s="41" t="n">
        <x:f>MAX(L310,M310)</x:f>
        <x:v>15871</x:v>
      </x:c>
      <x:c r="P310" s="41" t="n">
        <x:f>MAX(N310,MIN(K310,O310))</x:f>
        <x:v>8972</x:v>
      </x:c>
      <x:c r="Q310" s="19" t="str">
        <x:f>IF(K310&lt;N310,IF(N310=L310,"clamped_to_nominal","clamped_to_ppp"),IF(K310&gt;O310,IF(O310=L310,"clamped_to_nominal","clamped_to_ppp"),"kept_vanilla"))</x:f>
        <x:v>kept_vanilla</x:v>
      </x:c>
      <x:c r="R310" s="41" t="n">
        <x:f>P310*G310</x:f>
        <x:v>5493259524</x:v>
      </x:c>
      <x:c r="S310" s="41" t="n">
        <x:f>R310/E310</x:f>
        <x:v>3454880203.773585</x:v>
      </x:c>
      <x:c r="T310" s="36" t="str">
        <x:v>MNE: IMF exact 2003</x:v>
      </x:c>
      <x:c r="U310" s="36" t="str">
        <x:v>MNE: IMF exact 2003</x:v>
      </x:c>
      <x:c r="V310" s="36" t="str">
        <x:v>MNE: IMF exact 2003</x:v>
      </x:c>
      <x:c r="W310" s="36" t="str">
        <x:v>complete_primary</x:v>
      </x:c>
      <x:c r="X310" s="36" t="str">
        <x:v>https://api.imf.org/external/sdmx/3.0/data/dataflow/IMF.RES/WEO/9.0.0/</x:v>
      </x:c>
      <x:c r="Y310" s="36" t="str">
        <x:v>https://api.worldbank.org/v2/</x:v>
      </x:c>
    </x:row>
    <x:row r="311">
      <x:c r="A311" s="24" t="str">
        <x:v>MNE</x:v>
      </x:c>
      <x:c r="B311" s="24" t="str">
        <x:v>Montenegro</x:v>
      </x:c>
      <x:c r="C311" s="24" t="str">
        <x:v>MNE</x:v>
      </x:c>
      <x:c r="D311" s="24" t="n">
        <x:v>2022</x:v>
      </x:c>
      <x:c r="E311" s="37" t="n">
        <x:v>1</x:v>
      </x:c>
      <x:c r="F311" s="38" t="n">
        <x:v>627887</x:v>
      </x:c>
      <x:c r="G311" s="38" t="n">
        <x:v>623591</x:v>
      </x:c>
      <x:c r="H311" s="39" t="n">
        <x:f>G311/F311</x:f>
        <x:v>0.9931580045454038</x:v>
      </x:c>
      <x:c r="I311" s="40" t="n">
        <x:v>13618880000</x:v>
      </x:c>
      <x:c r="J311" s="40" t="n">
        <x:v>13618880000</x:v>
      </x:c>
      <x:c r="K311" s="40" t="n">
        <x:v>21690</x:v>
      </x:c>
      <x:c r="L311" s="40" t="n">
        <x:v>10046</x:v>
      </x:c>
      <x:c r="M311" s="40" t="n">
        <x:v>27907</x:v>
      </x:c>
      <x:c r="N311" s="41" t="n">
        <x:f>MIN(L311,M311)</x:f>
        <x:v>10046</x:v>
      </x:c>
      <x:c r="O311" s="41" t="n">
        <x:f>MAX(L311,M311)</x:f>
        <x:v>27907</x:v>
      </x:c>
      <x:c r="P311" s="41" t="n">
        <x:f>MAX(N311,MIN(K311,O311))</x:f>
        <x:v>21690</x:v>
      </x:c>
      <x:c r="Q311" s="19" t="str">
        <x:f>IF(K311&lt;N311,IF(N311=L311,"clamped_to_nominal","clamped_to_ppp"),IF(K311&gt;O311,IF(O311=L311,"clamped_to_nominal","clamped_to_ppp"),"kept_vanilla"))</x:f>
        <x:v>kept_vanilla</x:v>
      </x:c>
      <x:c r="R311" s="41" t="n">
        <x:f>P311*G311</x:f>
        <x:v>13525688790</x:v>
      </x:c>
      <x:c r="S311" s="41" t="n">
        <x:f>R311/E311</x:f>
        <x:v>13525688790</x:v>
      </x:c>
      <x:c r="T311" s="36" t="str">
        <x:v>MNE: IMF exact 2022</x:v>
      </x:c>
      <x:c r="U311" s="36" t="str">
        <x:v>MNE: IMF exact 2022</x:v>
      </x:c>
      <x:c r="V311" s="36" t="str">
        <x:v>MNE: IMF exact 2022</x:v>
      </x:c>
      <x:c r="W311" s="36" t="str">
        <x:v>complete_primary</x:v>
      </x:c>
      <x:c r="X311" s="36" t="str">
        <x:v>https://api.imf.org/external/sdmx/3.0/data/dataflow/IMF.RES/WEO/9.0.0/</x:v>
      </x:c>
      <x:c r="Y311" s="36" t="str">
        <x:v>https://api.worldbank.org/v2/</x:v>
      </x:c>
    </x:row>
    <x:row r="312">
      <x:c r="A312" s="24" t="str">
        <x:v>MNE</x:v>
      </x:c>
      <x:c r="B312" s="24" t="str">
        <x:v>Montenegro</x:v>
      </x:c>
      <x:c r="C312" s="24" t="str">
        <x:v>MNE</x:v>
      </x:c>
      <x:c r="D312" s="24" t="n">
        <x:v>2026</x:v>
      </x:c>
      <x:c r="E312" s="37" t="n">
        <x:v>0.87</x:v>
      </x:c>
      <x:c r="F312" s="38" t="n">
        <x:v>626233</x:v>
      </x:c>
      <x:c r="G312" s="38" t="n">
        <x:v>624465</x:v>
      </x:c>
      <x:c r="H312" s="39" t="n">
        <x:f>G312/F312</x:f>
        <x:v>0.9971767696687974</x:v>
      </x:c>
      <x:c r="I312" s="40" t="n">
        <x:v>18751920000</x:v>
      </x:c>
      <x:c r="J312" s="40" t="n">
        <x:v>16314170400</x:v>
      </x:c>
      <x:c r="K312" s="40" t="n">
        <x:v>26051</x:v>
      </x:c>
      <x:c r="L312" s="40" t="n">
        <x:v>14248</x:v>
      </x:c>
      <x:c r="M312" s="40" t="n">
        <x:v>31610</x:v>
      </x:c>
      <x:c r="N312" s="41" t="n">
        <x:f>MIN(L312,M312)</x:f>
        <x:v>14248</x:v>
      </x:c>
      <x:c r="O312" s="41" t="n">
        <x:f>MAX(L312,M312)</x:f>
        <x:v>31610</x:v>
      </x:c>
      <x:c r="P312" s="41" t="n">
        <x:f>MAX(N312,MIN(K312,O312))</x:f>
        <x:v>26051</x:v>
      </x:c>
      <x:c r="Q312" s="19" t="str">
        <x:f>IF(K312&lt;N312,IF(N312=L312,"clamped_to_nominal","clamped_to_ppp"),IF(K312&gt;O312,IF(O312=L312,"clamped_to_nominal","clamped_to_ppp"),"kept_vanilla"))</x:f>
        <x:v>kept_vanilla</x:v>
      </x:c>
      <x:c r="R312" s="41" t="n">
        <x:f>P312*G312</x:f>
        <x:v>16267937715</x:v>
      </x:c>
      <x:c r="S312" s="41" t="n">
        <x:f>R312/E312</x:f>
        <x:v>18698778982.75862</x:v>
      </x:c>
      <x:c r="T312" s="36" t="str">
        <x:v>MNE: IMF exact 2026</x:v>
      </x:c>
      <x:c r="U312" s="36" t="str">
        <x:v>MNE: IMF exact 2026</x:v>
      </x:c>
      <x:c r="V312" s="36" t="str">
        <x:v>MNE: IMF exact 2026</x:v>
      </x:c>
      <x:c r="W312" s="36" t="str">
        <x:v>complete_primary</x:v>
      </x:c>
      <x:c r="X312" s="36" t="str">
        <x:v>https://api.imf.org/external/sdmx/3.0/data/dataflow/IMF.RES/WEO/9.0.0/</x:v>
      </x:c>
      <x:c r="Y312" s="36" t="str">
        <x:v>https://api.worldbank.org/v2/</x:v>
      </x:c>
    </x:row>
    <x:row r="313">
      <x:c r="A313" s="24" t="str">
        <x:v>MAR</x:v>
      </x:c>
      <x:c r="B313" s="24" t="str">
        <x:v>Morocco</x:v>
      </x:c>
      <x:c r="C313" s="24" t="str">
        <x:v>MAR</x:v>
      </x:c>
      <x:c r="D313" s="24" t="n">
        <x:v>2003</x:v>
      </x:c>
      <x:c r="E313" s="37" t="n">
        <x:v>1.59</x:v>
      </x:c>
      <x:c r="F313" s="38" t="n">
        <x:v>29571415</x:v>
      </x:c>
      <x:c r="G313" s="38" t="n">
        <x:v>29520000</x:v>
      </x:c>
      <x:c r="H313" s="39" t="n">
        <x:f>G313/F313</x:f>
        <x:v>0.9982613277044741</x:v>
      </x:c>
      <x:c r="I313" s="40" t="n">
        <x:v>74854385965</x:v>
      </x:c>
      <x:c r="J313" s="40" t="n">
        <x:v>119018473684</x:v>
      </x:c>
      <x:c r="K313" s="40" t="n">
        <x:v>4025</x:v>
      </x:c>
      <x:c r="L313" s="40" t="n">
        <x:v>3035</x:v>
      </x:c>
      <x:c r="M313" s="40" t="n">
        <x:v>6894</x:v>
      </x:c>
      <x:c r="N313" s="41" t="n">
        <x:f>MIN(L313,M313)</x:f>
        <x:v>3035</x:v>
      </x:c>
      <x:c r="O313" s="41" t="n">
        <x:f>MAX(L313,M313)</x:f>
        <x:v>6894</x:v>
      </x:c>
      <x:c r="P313" s="41" t="n">
        <x:f>MAX(N313,MIN(K313,O313))</x:f>
        <x:v>4025</x:v>
      </x:c>
      <x:c r="Q313" s="19" t="str">
        <x:f>IF(K313&lt;N313,IF(N313=L313,"clamped_to_nominal","clamped_to_ppp"),IF(K313&gt;O313,IF(O313=L313,"clamped_to_nominal","clamped_to_ppp"),"kept_vanilla"))</x:f>
        <x:v>kept_vanilla</x:v>
      </x:c>
      <x:c r="R313" s="41" t="n">
        <x:f>P313*G313</x:f>
        <x:v>118818000000</x:v>
      </x:c>
      <x:c r="S313" s="41" t="n">
        <x:f>R313/E313</x:f>
        <x:v>74728301886.79245</x:v>
      </x:c>
      <x:c r="T313" s="36" t="str">
        <x:v>MAR: IMF exact 2003</x:v>
      </x:c>
      <x:c r="U313" s="36" t="str">
        <x:v>MAR: IMF exact 2003</x:v>
      </x:c>
      <x:c r="V313" s="36" t="str">
        <x:v>MAR: IMF exact 2003</x:v>
      </x:c>
      <x:c r="W313" s="36" t="str">
        <x:v>complete_primary</x:v>
      </x:c>
      <x:c r="X313" s="36" t="str">
        <x:v>https://api.imf.org/external/sdmx/3.0/data/dataflow/IMF.RES/WEO/9.0.0/</x:v>
      </x:c>
      <x:c r="Y313" s="36" t="str">
        <x:v>https://api.worldbank.org/v2/</x:v>
      </x:c>
    </x:row>
    <x:row r="314">
      <x:c r="A314" s="24" t="str">
        <x:v>MAR</x:v>
      </x:c>
      <x:c r="B314" s="24" t="str">
        <x:v>Morocco</x:v>
      </x:c>
      <x:c r="C314" s="24" t="str">
        <x:v>MAR</x:v>
      </x:c>
      <x:c r="D314" s="24" t="n">
        <x:v>2022</x:v>
      </x:c>
      <x:c r="E314" s="37" t="n">
        <x:v>1</x:v>
      </x:c>
      <x:c r="F314" s="38" t="n">
        <x:v>38537085</x:v>
      </x:c>
      <x:c r="G314" s="38" t="n">
        <x:v>36670000</x:v>
      </x:c>
      <x:c r="H314" s="39" t="n">
        <x:f>G314/F314</x:f>
        <x:v>0.9515509541004463</x:v>
      </x:c>
      <x:c r="I314" s="40" t="n">
        <x:v>291756960000</x:v>
      </x:c>
      <x:c r="J314" s="40" t="n">
        <x:v>291756960000</x:v>
      </x:c>
      <x:c r="K314" s="40" t="n">
        <x:v>7571</x:v>
      </x:c>
      <x:c r="L314" s="40" t="n">
        <x:v>3579</x:v>
      </x:c>
      <x:c r="M314" s="40" t="n">
        <x:v>9620</x:v>
      </x:c>
      <x:c r="N314" s="41" t="n">
        <x:f>MIN(L314,M314)</x:f>
        <x:v>3579</x:v>
      </x:c>
      <x:c r="O314" s="41" t="n">
        <x:f>MAX(L314,M314)</x:f>
        <x:v>9620</x:v>
      </x:c>
      <x:c r="P314" s="41" t="n">
        <x:f>MAX(N314,MIN(K314,O314))</x:f>
        <x:v>7571</x:v>
      </x:c>
      <x:c r="Q314" s="19" t="str">
        <x:f>IF(K314&lt;N314,IF(N314=L314,"clamped_to_nominal","clamped_to_ppp"),IF(K314&gt;O314,IF(O314=L314,"clamped_to_nominal","clamped_to_ppp"),"kept_vanilla"))</x:f>
        <x:v>kept_vanilla</x:v>
      </x:c>
      <x:c r="R314" s="41" t="n">
        <x:f>P314*G314</x:f>
        <x:v>277628570000</x:v>
      </x:c>
      <x:c r="S314" s="41" t="n">
        <x:f>R314/E314</x:f>
        <x:v>277628570000</x:v>
      </x:c>
      <x:c r="T314" s="36" t="str">
        <x:v>MAR: IMF exact 2022</x:v>
      </x:c>
      <x:c r="U314" s="36" t="str">
        <x:v>MAR: IMF exact 2022</x:v>
      </x:c>
      <x:c r="V314" s="36" t="str">
        <x:v>MAR: IMF exact 2022</x:v>
      </x:c>
      <x:c r="W314" s="36" t="str">
        <x:v>complete_primary</x:v>
      </x:c>
      <x:c r="X314" s="36" t="str">
        <x:v>https://api.imf.org/external/sdmx/3.0/data/dataflow/IMF.RES/WEO/9.0.0/</x:v>
      </x:c>
      <x:c r="Y314" s="36" t="str">
        <x:v>https://api.worldbank.org/v2/</x:v>
      </x:c>
    </x:row>
    <x:row r="315">
      <x:c r="A315" s="24" t="str">
        <x:v>MAR</x:v>
      </x:c>
      <x:c r="B315" s="24" t="str">
        <x:v>Morocco</x:v>
      </x:c>
      <x:c r="C315" s="24" t="str">
        <x:v>MAR</x:v>
      </x:c>
      <x:c r="D315" s="24" t="n">
        <x:v>2026</x:v>
      </x:c>
      <x:c r="E315" s="37" t="n">
        <x:v>0.87</x:v>
      </x:c>
      <x:c r="F315" s="38" t="n">
        <x:v>38762441</x:v>
      </x:c>
      <x:c r="G315" s="38" t="n">
        <x:v>38050000</x:v>
      </x:c>
      <x:c r="H315" s="39" t="n">
        <x:f>G315/F315</x:f>
        <x:v>0.9816203267487721</x:v>
      </x:c>
      <x:c r="I315" s="40" t="n">
        <x:v>373886480000</x:v>
      </x:c>
      <x:c r="J315" s="40" t="n">
        <x:v>325281237600</x:v>
      </x:c>
      <x:c r="K315" s="40" t="n">
        <x:v>8392</x:v>
      </x:c>
      <x:c r="L315" s="40" t="n">
        <x:v>4443</x:v>
      </x:c>
      <x:c r="M315" s="40" t="n">
        <x:v>10733</x:v>
      </x:c>
      <x:c r="N315" s="41" t="n">
        <x:f>MIN(L315,M315)</x:f>
        <x:v>4443</x:v>
      </x:c>
      <x:c r="O315" s="41" t="n">
        <x:f>MAX(L315,M315)</x:f>
        <x:v>10733</x:v>
      </x:c>
      <x:c r="P315" s="41" t="n">
        <x:f>MAX(N315,MIN(K315,O315))</x:f>
        <x:v>8392</x:v>
      </x:c>
      <x:c r="Q315" s="19" t="str">
        <x:f>IF(K315&lt;N315,IF(N315=L315,"clamped_to_nominal","clamped_to_ppp"),IF(K315&gt;O315,IF(O315=L315,"clamped_to_nominal","clamped_to_ppp"),"kept_vanilla"))</x:f>
        <x:v>kept_vanilla</x:v>
      </x:c>
      <x:c r="R315" s="41" t="n">
        <x:f>P315*G315</x:f>
        <x:v>319315600000</x:v>
      </x:c>
      <x:c r="S315" s="41" t="n">
        <x:f>R315/E315</x:f>
        <x:v>367029425287.3563</x:v>
      </x:c>
      <x:c r="T315" s="36" t="str">
        <x:v>MAR: IMF exact 2026</x:v>
      </x:c>
      <x:c r="U315" s="36" t="str">
        <x:v>MAR: IMF exact 2026</x:v>
      </x:c>
      <x:c r="V315" s="36" t="str">
        <x:v>MAR: IMF exact 2026</x:v>
      </x:c>
      <x:c r="W315" s="36" t="str">
        <x:v>complete_primary</x:v>
      </x:c>
      <x:c r="X315" s="36" t="str">
        <x:v>https://api.imf.org/external/sdmx/3.0/data/dataflow/IMF.RES/WEO/9.0.0/</x:v>
      </x:c>
      <x:c r="Y315" s="36" t="str">
        <x:v>https://api.worldbank.org/v2/</x:v>
      </x:c>
    </x:row>
    <x:row r="316">
      <x:c r="A316" s="24" t="str">
        <x:v>MOZ</x:v>
      </x:c>
      <x:c r="B316" s="24" t="str">
        <x:v>Mozambique</x:v>
      </x:c>
      <x:c r="C316" s="24" t="str">
        <x:v>MOZ</x:v>
      </x:c>
      <x:c r="D316" s="24" t="n">
        <x:v>2003</x:v>
      </x:c>
      <x:c r="E316" s="37" t="n">
        <x:v>1.59</x:v>
      </x:c>
      <x:c r="F316" s="38" t="n">
        <x:v>19392475</x:v>
      </x:c>
      <x:c r="G316" s="38" t="n">
        <x:v>19331097</x:v>
      </x:c>
      <x:c r="H316" s="39" t="n">
        <x:f>G316/F316</x:f>
        <x:v>0.9968349578895938</x:v>
      </x:c>
      <x:c r="I316" s="40" t="n">
        <x:v>6458479532</x:v>
      </x:c>
      <x:c r="J316" s="40" t="n">
        <x:v>10268982456</x:v>
      </x:c>
      <x:c r="K316" s="40" t="n">
        <x:v>530</x:v>
      </x:c>
      <x:c r="L316" s="40" t="n">
        <x:v>542</x:v>
      </x:c>
      <x:c r="M316" s="40" t="n">
        <x:v>908</x:v>
      </x:c>
      <x:c r="N316" s="41" t="n">
        <x:f>MIN(L316,M316)</x:f>
        <x:v>542</x:v>
      </x:c>
      <x:c r="O316" s="41" t="n">
        <x:f>MAX(L316,M316)</x:f>
        <x:v>908</x:v>
      </x:c>
      <x:c r="P316" s="41" t="n">
        <x:f>MAX(N316,MIN(K316,O316))</x:f>
        <x:v>542</x:v>
      </x:c>
      <x:c r="Q316" s="19" t="str">
        <x:f>IF(K316&lt;N316,IF(N316=L316,"clamped_to_nominal","clamped_to_ppp"),IF(K316&gt;O316,IF(O316=L316,"clamped_to_nominal","clamped_to_ppp"),"kept_vanilla"))</x:f>
        <x:v>clamped_to_nominal</x:v>
      </x:c>
      <x:c r="R316" s="41" t="n">
        <x:f>P316*G316</x:f>
        <x:v>10477454574</x:v>
      </x:c>
      <x:c r="S316" s="41" t="n">
        <x:f>R316/E316</x:f>
        <x:v>6589594071.6981125</x:v>
      </x:c>
      <x:c r="T316" s="36" t="str">
        <x:v>MOZ: IMF exact 2003</x:v>
      </x:c>
      <x:c r="U316" s="36" t="str">
        <x:v>MOZ: IMF exact 2003</x:v>
      </x:c>
      <x:c r="V316" s="36" t="str">
        <x:v>MOZ: IMF exact 2003</x:v>
      </x:c>
      <x:c r="W316" s="36" t="str">
        <x:v>complete_primary</x:v>
      </x:c>
      <x:c r="X316" s="36" t="str">
        <x:v>https://api.imf.org/external/sdmx/3.0/data/dataflow/IMF.RES/WEO/9.0.0/</x:v>
      </x:c>
      <x:c r="Y316" s="36" t="str">
        <x:v>https://api.worldbank.org/v2/</x:v>
      </x:c>
    </x:row>
    <x:row r="317">
      <x:c r="A317" s="24" t="str">
        <x:v>MOZ</x:v>
      </x:c>
      <x:c r="B317" s="24" t="str">
        <x:v>Mozambique</x:v>
      </x:c>
      <x:c r="C317" s="24" t="str">
        <x:v>MOZ</x:v>
      </x:c>
      <x:c r="D317" s="24" t="n">
        <x:v>2022</x:v>
      </x:c>
      <x:c r="E317" s="37" t="n">
        <x:v>1</x:v>
      </x:c>
      <x:c r="F317" s="38" t="n">
        <x:v>33382972</x:v>
      </x:c>
      <x:c r="G317" s="38" t="n">
        <x:v>32969518</x:v>
      </x:c>
      <x:c r="H317" s="39" t="n">
        <x:f>G317/F317</x:f>
        <x:v>0.9876148235094228</x:v>
      </x:c>
      <x:c r="I317" s="40" t="n">
        <x:v>41893280000</x:v>
      </x:c>
      <x:c r="J317" s="40" t="n">
        <x:v>41893280000</x:v>
      </x:c>
      <x:c r="K317" s="40" t="n">
        <x:v>1255</x:v>
      </x:c>
      <x:c r="L317" s="40" t="n">
        <x:v>573</x:v>
      </x:c>
      <x:c r="M317" s="40" t="n">
        <x:v>1567</x:v>
      </x:c>
      <x:c r="N317" s="41" t="n">
        <x:f>MIN(L317,M317)</x:f>
        <x:v>573</x:v>
      </x:c>
      <x:c r="O317" s="41" t="n">
        <x:f>MAX(L317,M317)</x:f>
        <x:v>1567</x:v>
      </x:c>
      <x:c r="P317" s="41" t="n">
        <x:f>MAX(N317,MIN(K317,O317))</x:f>
        <x:v>1255</x:v>
      </x:c>
      <x:c r="Q317" s="19" t="str">
        <x:f>IF(K317&lt;N317,IF(N317=L317,"clamped_to_nominal","clamped_to_ppp"),IF(K317&gt;O317,IF(O317=L317,"clamped_to_nominal","clamped_to_ppp"),"kept_vanilla"))</x:f>
        <x:v>kept_vanilla</x:v>
      </x:c>
      <x:c r="R317" s="41" t="n">
        <x:f>P317*G317</x:f>
        <x:v>41376745090</x:v>
      </x:c>
      <x:c r="S317" s="41" t="n">
        <x:f>R317/E317</x:f>
        <x:v>41376745090</x:v>
      </x:c>
      <x:c r="T317" s="36" t="str">
        <x:v>MOZ: IMF exact 2022</x:v>
      </x:c>
      <x:c r="U317" s="36" t="str">
        <x:v>MOZ: IMF exact 2022</x:v>
      </x:c>
      <x:c r="V317" s="36" t="str">
        <x:v>MOZ: IMF exact 2022</x:v>
      </x:c>
      <x:c r="W317" s="36" t="str">
        <x:v>complete_primary</x:v>
      </x:c>
      <x:c r="X317" s="36" t="str">
        <x:v>https://api.imf.org/external/sdmx/3.0/data/dataflow/IMF.RES/WEO/9.0.0/</x:v>
      </x:c>
      <x:c r="Y317" s="36" t="str">
        <x:v>https://api.worldbank.org/v2/</x:v>
      </x:c>
    </x:row>
    <x:row r="318">
      <x:c r="A318" s="24" t="str">
        <x:v>MOZ</x:v>
      </x:c>
      <x:c r="B318" s="24" t="str">
        <x:v>Mozambique</x:v>
      </x:c>
      <x:c r="C318" s="24" t="str">
        <x:v>MOZ</x:v>
      </x:c>
      <x:c r="D318" s="24" t="n">
        <x:v>2026</x:v>
      </x:c>
      <x:c r="E318" s="37" t="n">
        <x:v>0.87</x:v>
      </x:c>
      <x:c r="F318" s="38" t="n">
        <x:v>36639851</x:v>
      </x:c>
      <x:c r="G318" s="38" t="n">
        <x:v>36825701</x:v>
      </x:c>
      <x:c r="H318" s="39" t="n">
        <x:f>G318/F318</x:f>
        <x:v>1.005072345954682</x:v>
      </x:c>
      <x:c r="I318" s="40" t="n">
        <x:v>54518640000</x:v>
      </x:c>
      <x:c r="J318" s="40" t="n">
        <x:v>47431216800</x:v>
      </x:c>
      <x:c r="K318" s="40" t="n">
        <x:v>1295</x:v>
      </x:c>
      <x:c r="L318" s="40" t="n">
        <x:v>550</x:v>
      </x:c>
      <x:c r="M318" s="40" t="n">
        <x:v>1478</x:v>
      </x:c>
      <x:c r="N318" s="41" t="n">
        <x:f>MIN(L318,M318)</x:f>
        <x:v>550</x:v>
      </x:c>
      <x:c r="O318" s="41" t="n">
        <x:f>MAX(L318,M318)</x:f>
        <x:v>1478</x:v>
      </x:c>
      <x:c r="P318" s="41" t="n">
        <x:f>MAX(N318,MIN(K318,O318))</x:f>
        <x:v>1295</x:v>
      </x:c>
      <x:c r="Q318" s="19" t="str">
        <x:f>IF(K318&lt;N318,IF(N318=L318,"clamped_to_nominal","clamped_to_ppp"),IF(K318&gt;O318,IF(O318=L318,"clamped_to_nominal","clamped_to_ppp"),"kept_vanilla"))</x:f>
        <x:v>kept_vanilla</x:v>
      </x:c>
      <x:c r="R318" s="41" t="n">
        <x:f>P318*G318</x:f>
        <x:v>47689282795</x:v>
      </x:c>
      <x:c r="S318" s="41" t="n">
        <x:f>R318/E318</x:f>
        <x:v>54815267580.45977</x:v>
      </x:c>
      <x:c r="T318" s="36" t="str">
        <x:v>MOZ: IMF exact 2026</x:v>
      </x:c>
      <x:c r="U318" s="36" t="str">
        <x:v>MOZ: IMF exact 2026</x:v>
      </x:c>
      <x:c r="V318" s="36" t="str">
        <x:v>MOZ: IMF exact 2026</x:v>
      </x:c>
      <x:c r="W318" s="36" t="str">
        <x:v>complete_primary</x:v>
      </x:c>
      <x:c r="X318" s="36" t="str">
        <x:v>https://api.imf.org/external/sdmx/3.0/data/dataflow/IMF.RES/WEO/9.0.0/</x:v>
      </x:c>
      <x:c r="Y318" s="36" t="str">
        <x:v>https://api.worldbank.org/v2/</x:v>
      </x:c>
    </x:row>
    <x:row r="319">
      <x:c r="A319" s="24" t="str">
        <x:v>MMR</x:v>
      </x:c>
      <x:c r="B319" s="24" t="str">
        <x:v>Myanmar</x:v>
      </x:c>
      <x:c r="C319" s="24" t="str">
        <x:v>MMR</x:v>
      </x:c>
      <x:c r="D319" s="24" t="n">
        <x:v>2003</x:v>
      </x:c>
      <x:c r="E319" s="37" t="n">
        <x:v>1.59</x:v>
      </x:c>
      <x:c r="F319" s="38" t="n">
        <x:v>46667192</x:v>
      </x:c>
      <x:c r="G319" s="38" t="n">
        <x:v>46906032</x:v>
      </x:c>
      <x:c r="H319" s="39" t="n">
        <x:f>G319/F319</x:f>
        <x:v>1.0051179423865915</x:v>
      </x:c>
      <x:c r="I319" s="40" t="n">
        <x:v>32473099415</x:v>
      </x:c>
      <x:c r="J319" s="40" t="n">
        <x:v>51632228070</x:v>
      </x:c>
      <x:c r="K319" s="40" t="n">
        <x:v>1106</x:v>
      </x:c>
      <x:c r="L319" s="40" t="n">
        <x:v>299</x:v>
      </x:c>
      <x:c r="M319" s="40" t="n">
        <x:v>2055</x:v>
      </x:c>
      <x:c r="N319" s="41" t="n">
        <x:f>MIN(L319,M319)</x:f>
        <x:v>299</x:v>
      </x:c>
      <x:c r="O319" s="41" t="n">
        <x:f>MAX(L319,M319)</x:f>
        <x:v>2055</x:v>
      </x:c>
      <x:c r="P319" s="41" t="n">
        <x:f>MAX(N319,MIN(K319,O319))</x:f>
        <x:v>1106</x:v>
      </x:c>
      <x:c r="Q319" s="19" t="str">
        <x:f>IF(K319&lt;N319,IF(N319=L319,"clamped_to_nominal","clamped_to_ppp"),IF(K319&gt;O319,IF(O319=L319,"clamped_to_nominal","clamped_to_ppp"),"kept_vanilla"))</x:f>
        <x:v>kept_vanilla</x:v>
      </x:c>
      <x:c r="R319" s="41" t="n">
        <x:f>P319*G319</x:f>
        <x:v>51878071392</x:v>
      </x:c>
      <x:c r="S319" s="41" t="n">
        <x:f>R319/E319</x:f>
        <x:v>32627717856.60377</x:v>
      </x:c>
      <x:c r="T319" s="36" t="str">
        <x:v>MMR: IMF exact 2003</x:v>
      </x:c>
      <x:c r="U319" s="36" t="str">
        <x:v>MMR: IMF exact 2003</x:v>
      </x:c>
      <x:c r="V319" s="36" t="str">
        <x:v>MMR: IMF exact 2003</x:v>
      </x:c>
      <x:c r="W319" s="36" t="str">
        <x:v>complete_primary</x:v>
      </x:c>
      <x:c r="X319" s="36" t="str">
        <x:v>https://api.imf.org/external/sdmx/3.0/data/dataflow/IMF.RES/WEO/9.0.0/</x:v>
      </x:c>
      <x:c r="Y319" s="36" t="str">
        <x:v>https://api.worldbank.org/v2/</x:v>
      </x:c>
    </x:row>
    <x:row r="320">
      <x:c r="A320" s="24" t="str">
        <x:v>MMR</x:v>
      </x:c>
      <x:c r="B320" s="24" t="str">
        <x:v>Myanmar</x:v>
      </x:c>
      <x:c r="C320" s="24" t="str">
        <x:v>MMR</x:v>
      </x:c>
      <x:c r="D320" s="24" t="n">
        <x:v>2022</x:v>
      </x:c>
      <x:c r="E320" s="37" t="n">
        <x:v>1</x:v>
      </x:c>
      <x:c r="F320" s="38" t="n">
        <x:v>55359846</x:v>
      </x:c>
      <x:c r="G320" s="38" t="n">
        <x:v>53756787</x:v>
      </x:c>
      <x:c r="H320" s="39" t="n">
        <x:f>G320/F320</x:f>
        <x:v>0.9710429288405173</x:v>
      </x:c>
      <x:c r="I320" s="40" t="n">
        <x:v>226461840000</x:v>
      </x:c>
      <x:c r="J320" s="40" t="n">
        <x:v>226461840000</x:v>
      </x:c>
      <x:c r="K320" s="40" t="n">
        <x:v>4091</x:v>
      </x:c>
      <x:c r="L320" s="40" t="n">
        <x:v>1254</x:v>
      </x:c>
      <x:c r="M320" s="40" t="n">
        <x:v>4806</x:v>
      </x:c>
      <x:c r="N320" s="41" t="n">
        <x:f>MIN(L320,M320)</x:f>
        <x:v>1254</x:v>
      </x:c>
      <x:c r="O320" s="41" t="n">
        <x:f>MAX(L320,M320)</x:f>
        <x:v>4806</x:v>
      </x:c>
      <x:c r="P320" s="41" t="n">
        <x:f>MAX(N320,MIN(K320,O320))</x:f>
        <x:v>4091</x:v>
      </x:c>
      <x:c r="Q320" s="19" t="str">
        <x:f>IF(K320&lt;N320,IF(N320=L320,"clamped_to_nominal","clamped_to_ppp"),IF(K320&gt;O320,IF(O320=L320,"clamped_to_nominal","clamped_to_ppp"),"kept_vanilla"))</x:f>
        <x:v>kept_vanilla</x:v>
      </x:c>
      <x:c r="R320" s="41" t="n">
        <x:f>P320*G320</x:f>
        <x:v>219919015617</x:v>
      </x:c>
      <x:c r="S320" s="41" t="n">
        <x:f>R320/E320</x:f>
        <x:v>219919015617</x:v>
      </x:c>
      <x:c r="T320" s="36" t="str">
        <x:v>MMR: IMF exact 2022</x:v>
      </x:c>
      <x:c r="U320" s="36" t="str">
        <x:v>MMR: IMF exact 2022</x:v>
      </x:c>
      <x:c r="V320" s="36" t="str">
        <x:v>MMR: IMF exact 2022</x:v>
      </x:c>
      <x:c r="W320" s="36" t="str">
        <x:v>complete_primary</x:v>
      </x:c>
      <x:c r="X320" s="36" t="str">
        <x:v>https://api.imf.org/external/sdmx/3.0/data/dataflow/IMF.RES/WEO/9.0.0/</x:v>
      </x:c>
      <x:c r="Y320" s="36" t="str">
        <x:v>https://api.worldbank.org/v2/</x:v>
      </x:c>
    </x:row>
    <x:row r="321">
      <x:c r="A321" s="24" t="str">
        <x:v>MMR</x:v>
      </x:c>
      <x:c r="B321" s="24" t="str">
        <x:v>Myanmar</x:v>
      </x:c>
      <x:c r="C321" s="24" t="str">
        <x:v>MMR</x:v>
      </x:c>
      <x:c r="D321" s="24" t="n">
        <x:v>2026</x:v>
      </x:c>
      <x:c r="E321" s="37" t="n">
        <x:v>0.87</x:v>
      </x:c>
      <x:c r="F321" s="38" t="n">
        <x:v>55184819</x:v>
      </x:c>
      <x:c r="G321" s="38" t="n">
        <x:v>55184819</x:v>
      </x:c>
      <x:c r="H321" s="39" t="n">
        <x:f>G321/F321</x:f>
        <x:v>1</x:v>
      </x:c>
      <x:c r="I321" s="40" t="n">
        <x:v>287666720000</x:v>
      </x:c>
      <x:c r="J321" s="40" t="n">
        <x:v>250270046400</x:v>
      </x:c>
      <x:c r="K321" s="40" t="n">
        <x:v>4535</x:v>
      </x:c>
      <x:c r="L321" s="40" t="n">
        <x:v>1322</x:v>
      </x:c>
      <x:c r="M321" s="40" t="n">
        <x:v>4624</x:v>
      </x:c>
      <x:c r="N321" s="41" t="n">
        <x:f>MIN(L321,M321)</x:f>
        <x:v>1322</x:v>
      </x:c>
      <x:c r="O321" s="41" t="n">
        <x:f>MAX(L321,M321)</x:f>
        <x:v>4624</x:v>
      </x:c>
      <x:c r="P321" s="41" t="n">
        <x:f>MAX(N321,MIN(K321,O321))</x:f>
        <x:v>4535</x:v>
      </x:c>
      <x:c r="Q321" s="19" t="str">
        <x:f>IF(K321&lt;N321,IF(N321=L321,"clamped_to_nominal","clamped_to_ppp"),IF(K321&gt;O321,IF(O321=L321,"clamped_to_nominal","clamped_to_ppp"),"kept_vanilla"))</x:f>
        <x:v>kept_vanilla</x:v>
      </x:c>
      <x:c r="R321" s="41" t="n">
        <x:f>P321*G321</x:f>
        <x:v>250263154165</x:v>
      </x:c>
      <x:c r="S321" s="41" t="n">
        <x:f>R321/E321</x:f>
        <x:v>287658797890.8046</x:v>
      </x:c>
      <x:c r="T321" s="36" t="str">
        <x:v>MMR: IMF exact 2026</x:v>
      </x:c>
      <x:c r="U321" s="36" t="str">
        <x:v>MMR: IMF exact 2026</x:v>
      </x:c>
      <x:c r="V321" s="36" t="str">
        <x:v>MMR: IMF exact 2026</x:v>
      </x:c>
      <x:c r="W321" s="36" t="str">
        <x:v>complete_primary</x:v>
      </x:c>
      <x:c r="X321" s="36" t="str">
        <x:v>https://api.imf.org/external/sdmx/3.0/data/dataflow/IMF.RES/WEO/9.0.0/</x:v>
      </x:c>
      <x:c r="Y321" s="36" t="str">
        <x:v>https://api.worldbank.org/v2/</x:v>
      </x:c>
    </x:row>
    <x:row r="322">
      <x:c r="A322" s="24" t="str">
        <x:v>SWA</x:v>
      </x:c>
      <x:c r="B322" s="24" t="str">
        <x:v>Namibia</x:v>
      </x:c>
      <x:c r="C322" s="24" t="str">
        <x:v>NAM</x:v>
      </x:c>
      <x:c r="D322" s="24" t="n">
        <x:v>2003</x:v>
      </x:c>
      <x:c r="E322" s="37" t="n">
        <x:v>1.59</x:v>
      </x:c>
      <x:c r="F322" s="38" t="n">
        <x:v>1917464</x:v>
      </x:c>
      <x:c r="G322" s="38" t="n">
        <x:v>1904984</x:v>
      </x:c>
      <x:c r="H322" s="39" t="n">
        <x:f>G322/F322</x:f>
        <x:v>0.9934914032284309</x:v>
      </x:c>
      <x:c r="I322" s="40" t="n">
        <x:v>6658479532</x:v>
      </x:c>
      <x:c r="J322" s="40" t="n">
        <x:v>10586982456</x:v>
      </x:c>
      <x:c r="K322" s="40" t="n">
        <x:v>5521</x:v>
      </x:c>
      <x:c r="L322" s="40" t="n">
        <x:v>4151</x:v>
      </x:c>
      <x:c r="M322" s="40" t="n">
        <x:v>9503</x:v>
      </x:c>
      <x:c r="N322" s="41" t="n">
        <x:f>MIN(L322,M322)</x:f>
        <x:v>4151</x:v>
      </x:c>
      <x:c r="O322" s="41" t="n">
        <x:f>MAX(L322,M322)</x:f>
        <x:v>9503</x:v>
      </x:c>
      <x:c r="P322" s="41" t="n">
        <x:f>MAX(N322,MIN(K322,O322))</x:f>
        <x:v>5521</x:v>
      </x:c>
      <x:c r="Q322" s="19" t="str">
        <x:f>IF(K322&lt;N322,IF(N322=L322,"clamped_to_nominal","clamped_to_ppp"),IF(K322&gt;O322,IF(O322=L322,"clamped_to_nominal","clamped_to_ppp"),"kept_vanilla"))</x:f>
        <x:v>kept_vanilla</x:v>
      </x:c>
      <x:c r="R322" s="41" t="n">
        <x:f>P322*G322</x:f>
        <x:v>10517416664</x:v>
      </x:c>
      <x:c r="S322" s="41" t="n">
        <x:f>R322/E322</x:f>
        <x:v>6614727461.63522</x:v>
      </x:c>
      <x:c r="T322" s="36" t="str">
        <x:v>NAM: IMF exact 2003</x:v>
      </x:c>
      <x:c r="U322" s="36" t="str">
        <x:v>NAM: IMF exact 2003</x:v>
      </x:c>
      <x:c r="V322" s="36" t="str">
        <x:v>NAM: IMF exact 2003</x:v>
      </x:c>
      <x:c r="W322" s="36" t="str">
        <x:v>complete_primary</x:v>
      </x:c>
      <x:c r="X322" s="36" t="str">
        <x:v>https://api.imf.org/external/sdmx/3.0/data/dataflow/IMF.RES/WEO/9.0.0/</x:v>
      </x:c>
      <x:c r="Y322" s="36" t="str">
        <x:v>https://api.worldbank.org/v2/</x:v>
      </x:c>
    </x:row>
    <x:row r="323">
      <x:c r="A323" s="24" t="str">
        <x:v>SWA</x:v>
      </x:c>
      <x:c r="B323" s="24" t="str">
        <x:v>Namibia</x:v>
      </x:c>
      <x:c r="C323" s="24" t="str">
        <x:v>NAM</x:v>
      </x:c>
      <x:c r="D323" s="24" t="n">
        <x:v>2022</x:v>
      </x:c>
      <x:c r="E323" s="37" t="n">
        <x:v>1</x:v>
      </x:c>
      <x:c r="F323" s="38" t="n">
        <x:v>2648453</x:v>
      </x:c>
      <x:c r="G323" s="38" t="n">
        <x:v>2851288</x:v>
      </x:c>
      <x:c r="H323" s="39" t="n">
        <x:f>G323/F323</x:f>
        <x:v>1.0765862184452584</x:v>
      </x:c>
      <x:c r="I323" s="40" t="n">
        <x:v>23863840000</x:v>
      </x:c>
      <x:c r="J323" s="40" t="n">
        <x:v>23863840000</x:v>
      </x:c>
      <x:c r="K323" s="40" t="n">
        <x:v>9010</x:v>
      </x:c>
      <x:c r="L323" s="40" t="n">
        <x:v>4407</x:v>
      </x:c>
      <x:c r="M323" s="40" t="n">
        <x:v>10804</x:v>
      </x:c>
      <x:c r="N323" s="41" t="n">
        <x:f>MIN(L323,M323)</x:f>
        <x:v>4407</x:v>
      </x:c>
      <x:c r="O323" s="41" t="n">
        <x:f>MAX(L323,M323)</x:f>
        <x:v>10804</x:v>
      </x:c>
      <x:c r="P323" s="41" t="n">
        <x:f>MAX(N323,MIN(K323,O323))</x:f>
        <x:v>9010</x:v>
      </x:c>
      <x:c r="Q323" s="19" t="str">
        <x:f>IF(K323&lt;N323,IF(N323=L323,"clamped_to_nominal","clamped_to_ppp"),IF(K323&gt;O323,IF(O323=L323,"clamped_to_nominal","clamped_to_ppp"),"kept_vanilla"))</x:f>
        <x:v>kept_vanilla</x:v>
      </x:c>
      <x:c r="R323" s="41" t="n">
        <x:f>P323*G323</x:f>
        <x:v>25690104880</x:v>
      </x:c>
      <x:c r="S323" s="41" t="n">
        <x:f>R323/E323</x:f>
        <x:v>25690104880</x:v>
      </x:c>
      <x:c r="T323" s="36" t="str">
        <x:v>NAM: IMF exact 2022</x:v>
      </x:c>
      <x:c r="U323" s="36" t="str">
        <x:v>NAM: IMF exact 2022</x:v>
      </x:c>
      <x:c r="V323" s="36" t="str">
        <x:v>NAM: IMF exact 2022</x:v>
      </x:c>
      <x:c r="W323" s="36" t="str">
        <x:v>complete_primary</x:v>
      </x:c>
      <x:c r="X323" s="36" t="str">
        <x:v>https://api.imf.org/external/sdmx/3.0/data/dataflow/IMF.RES/WEO/9.0.0/</x:v>
      </x:c>
      <x:c r="Y323" s="36" t="str">
        <x:v>https://api.worldbank.org/v2/</x:v>
      </x:c>
    </x:row>
    <x:row r="324">
      <x:c r="A324" s="24" t="str">
        <x:v>SWA</x:v>
      </x:c>
      <x:c r="B324" s="24" t="str">
        <x:v>Namibia</x:v>
      </x:c>
      <x:c r="C324" s="24" t="str">
        <x:v>NAM</x:v>
      </x:c>
      <x:c r="D324" s="24" t="n">
        <x:v>2026</x:v>
      </x:c>
      <x:c r="E324" s="37" t="n">
        <x:v>0.87</x:v>
      </x:c>
      <x:c r="F324" s="38" t="n">
        <x:v>3153246</x:v>
      </x:c>
      <x:c r="G324" s="38" t="n">
        <x:v>3106704</x:v>
      </x:c>
      <x:c r="H324" s="39" t="n">
        <x:f>G324/F324</x:f>
        <x:v>0.9852399717624315</x:v>
      </x:c>
      <x:c r="I324" s="40" t="n">
        <x:v>33200640000</x:v>
      </x:c>
      <x:c r="J324" s="40" t="n">
        <x:v>28884556800</x:v>
      </x:c>
      <x:c r="K324" s="40" t="n">
        <x:v>9160</x:v>
      </x:c>
      <x:c r="L324" s="40" t="n">
        <x:v>4848</x:v>
      </x:c>
      <x:c r="M324" s="40" t="n">
        <x:v>11020</x:v>
      </x:c>
      <x:c r="N324" s="41" t="n">
        <x:f>MIN(L324,M324)</x:f>
        <x:v>4848</x:v>
      </x:c>
      <x:c r="O324" s="41" t="n">
        <x:f>MAX(L324,M324)</x:f>
        <x:v>11020</x:v>
      </x:c>
      <x:c r="P324" s="41" t="n">
        <x:f>MAX(N324,MIN(K324,O324))</x:f>
        <x:v>9160</x:v>
      </x:c>
      <x:c r="Q324" s="19" t="str">
        <x:f>IF(K324&lt;N324,IF(N324=L324,"clamped_to_nominal","clamped_to_ppp"),IF(K324&gt;O324,IF(O324=L324,"clamped_to_nominal","clamped_to_ppp"),"kept_vanilla"))</x:f>
        <x:v>kept_vanilla</x:v>
      </x:c>
      <x:c r="R324" s="41" t="n">
        <x:f>P324*G324</x:f>
        <x:v>28457408640</x:v>
      </x:c>
      <x:c r="S324" s="41" t="n">
        <x:f>R324/E324</x:f>
        <x:v>32709665103.448277</x:v>
      </x:c>
      <x:c r="T324" s="36" t="str">
        <x:v>NAM: IMF exact 2026</x:v>
      </x:c>
      <x:c r="U324" s="36" t="str">
        <x:v>NAM: IMF exact 2026</x:v>
      </x:c>
      <x:c r="V324" s="36" t="str">
        <x:v>NAM: IMF exact 2026</x:v>
      </x:c>
      <x:c r="W324" s="36" t="str">
        <x:v>complete_primary</x:v>
      </x:c>
      <x:c r="X324" s="36" t="str">
        <x:v>https://api.imf.org/external/sdmx/3.0/data/dataflow/IMF.RES/WEO/9.0.0/</x:v>
      </x:c>
      <x:c r="Y324" s="36" t="str">
        <x:v>https://api.worldbank.org/v2/</x:v>
      </x:c>
    </x:row>
    <x:row r="325">
      <x:c r="A325" s="24" t="str">
        <x:v>HYS</x:v>
      </x:c>
      <x:c r="B325" s="24" t="str">
        <x:v>Nepal</x:v>
      </x:c>
      <x:c r="C325" s="24" t="str">
        <x:v>NPL</x:v>
      </x:c>
      <x:c r="D325" s="24" t="n">
        <x:v>2003</x:v>
      </x:c>
      <x:c r="E325" s="37" t="n">
        <x:v>1.59</x:v>
      </x:c>
      <x:c r="F325" s="38" t="n">
        <x:v>25688758</x:v>
      </x:c>
      <x:c r="G325" s="38" t="n">
        <x:v>25688758</x:v>
      </x:c>
      <x:c r="H325" s="39" t="n">
        <x:f>G325/F325</x:f>
        <x:v>1</x:v>
      </x:c>
      <x:c r="I325" s="40" t="n">
        <x:v>24984210526</x:v>
      </x:c>
      <x:c r="J325" s="40" t="n">
        <x:v>39724894736</x:v>
      </x:c>
      <x:c r="K325" s="40" t="n">
        <x:v>1546</x:v>
      </x:c>
      <x:c r="L325" s="40" t="n">
        <x:v>447</x:v>
      </x:c>
      <x:c r="M325" s="40" t="n">
        <x:v>2644</x:v>
      </x:c>
      <x:c r="N325" s="41" t="n">
        <x:f>MIN(L325,M325)</x:f>
        <x:v>447</x:v>
      </x:c>
      <x:c r="O325" s="41" t="n">
        <x:f>MAX(L325,M325)</x:f>
        <x:v>2644</x:v>
      </x:c>
      <x:c r="P325" s="41" t="n">
        <x:f>MAX(N325,MIN(K325,O325))</x:f>
        <x:v>1546</x:v>
      </x:c>
      <x:c r="Q325" s="19" t="str">
        <x:f>IF(K325&lt;N325,IF(N325=L325,"clamped_to_nominal","clamped_to_ppp"),IF(K325&gt;O325,IF(O325=L325,"clamped_to_nominal","clamped_to_ppp"),"kept_vanilla"))</x:f>
        <x:v>kept_vanilla</x:v>
      </x:c>
      <x:c r="R325" s="41" t="n">
        <x:f>P325*G325</x:f>
        <x:v>39714819868</x:v>
      </x:c>
      <x:c r="S325" s="41" t="n">
        <x:f>R325/E325</x:f>
        <x:v>24977874130.817608</x:v>
      </x:c>
      <x:c r="T325" s="36" t="str">
        <x:v>NPL: IMF exact 2003</x:v>
      </x:c>
      <x:c r="U325" s="36" t="str">
        <x:v>NPL: IMF exact 2003</x:v>
      </x:c>
      <x:c r="V325" s="36" t="str">
        <x:v>NPL: IMF exact 2003</x:v>
      </x:c>
      <x:c r="W325" s="36" t="str">
        <x:v>complete_primary</x:v>
      </x:c>
      <x:c r="X325" s="36" t="str">
        <x:v>https://api.imf.org/external/sdmx/3.0/data/dataflow/IMF.RES/WEO/9.0.0/</x:v>
      </x:c>
      <x:c r="Y325" s="36" t="str">
        <x:v>https://api.worldbank.org/v2/</x:v>
      </x:c>
    </x:row>
    <x:row r="326">
      <x:c r="A326" s="24" t="str">
        <x:v>HYS</x:v>
      </x:c>
      <x:c r="B326" s="24" t="str">
        <x:v>Nepal</x:v>
      </x:c>
      <x:c r="C326" s="24" t="str">
        <x:v>NPL</x:v>
      </x:c>
      <x:c r="D326" s="24" t="n">
        <x:v>2022</x:v>
      </x:c>
      <x:c r="E326" s="37" t="n">
        <x:v>1</x:v>
      </x:c>
      <x:c r="F326" s="38" t="n">
        <x:v>30407421</x:v>
      </x:c>
      <x:c r="G326" s="38" t="n">
        <x:v>29715436</x:v>
      </x:c>
      <x:c r="H326" s="39" t="n">
        <x:f>G326/F326</x:f>
        <x:v>0.9772428908061621</x:v>
      </x:c>
      <x:c r="I326" s="40" t="n">
        <x:v>121616000000</x:v>
      </x:c>
      <x:c r="J326" s="40" t="n">
        <x:v>121616000000</x:v>
      </x:c>
      <x:c r="K326" s="40" t="n">
        <x:v>4000</x:v>
      </x:c>
      <x:c r="L326" s="40" t="n">
        <x:v>1386</x:v>
      </x:c>
      <x:c r="M326" s="40" t="n">
        <x:v>5102</x:v>
      </x:c>
      <x:c r="N326" s="41" t="n">
        <x:f>MIN(L326,M326)</x:f>
        <x:v>1386</x:v>
      </x:c>
      <x:c r="O326" s="41" t="n">
        <x:f>MAX(L326,M326)</x:f>
        <x:v>5102</x:v>
      </x:c>
      <x:c r="P326" s="41" t="n">
        <x:f>MAX(N326,MIN(K326,O326))</x:f>
        <x:v>4000</x:v>
      </x:c>
      <x:c r="Q326" s="19" t="str">
        <x:f>IF(K326&lt;N326,IF(N326=L326,"clamped_to_nominal","clamped_to_ppp"),IF(K326&gt;O326,IF(O326=L326,"clamped_to_nominal","clamped_to_ppp"),"kept_vanilla"))</x:f>
        <x:v>kept_vanilla</x:v>
      </x:c>
      <x:c r="R326" s="41" t="n">
        <x:f>P326*G326</x:f>
        <x:v>118861744000</x:v>
      </x:c>
      <x:c r="S326" s="41" t="n">
        <x:f>R326/E326</x:f>
        <x:v>118861744000</x:v>
      </x:c>
      <x:c r="T326" s="36" t="str">
        <x:v>NPL: IMF exact 2022</x:v>
      </x:c>
      <x:c r="U326" s="36" t="str">
        <x:v>NPL: IMF exact 2022</x:v>
      </x:c>
      <x:c r="V326" s="36" t="str">
        <x:v>NPL: IMF exact 2022</x:v>
      </x:c>
      <x:c r="W326" s="36" t="str">
        <x:v>complete_primary</x:v>
      </x:c>
      <x:c r="X326" s="36" t="str">
        <x:v>https://api.imf.org/external/sdmx/3.0/data/dataflow/IMF.RES/WEO/9.0.0/</x:v>
      </x:c>
      <x:c r="Y326" s="36" t="str">
        <x:v>https://api.worldbank.org/v2/</x:v>
      </x:c>
    </x:row>
    <x:row r="327">
      <x:c r="A327" s="24" t="str">
        <x:v>HYS</x:v>
      </x:c>
      <x:c r="B327" s="24" t="str">
        <x:v>Nepal</x:v>
      </x:c>
      <x:c r="C327" s="24" t="str">
        <x:v>NPL</x:v>
      </x:c>
      <x:c r="D327" s="24" t="n">
        <x:v>2026</x:v>
      </x:c>
      <x:c r="E327" s="37" t="n">
        <x:v>0.87</x:v>
      </x:c>
      <x:c r="F327" s="38" t="n">
        <x:v>29629410</x:v>
      </x:c>
      <x:c r="G327" s="38" t="n">
        <x:v>29622773</x:v>
      </x:c>
      <x:c r="H327" s="39" t="n">
        <x:f>G327/F327</x:f>
        <x:v>0.999775999589597</x:v>
      </x:c>
      <x:c r="I327" s="40" t="n">
        <x:v>158963200000</x:v>
      </x:c>
      <x:c r="J327" s="40" t="n">
        <x:v>138297984000</x:v>
      </x:c>
      <x:c r="K327" s="40" t="n">
        <x:v>4668</x:v>
      </x:c>
      <x:c r="L327" s="40" t="n">
        <x:v>1346</x:v>
      </x:c>
      <x:c r="M327" s="40" t="n">
        <x:v>5699</x:v>
      </x:c>
      <x:c r="N327" s="41" t="n">
        <x:f>MIN(L327,M327)</x:f>
        <x:v>1346</x:v>
      </x:c>
      <x:c r="O327" s="41" t="n">
        <x:f>MAX(L327,M327)</x:f>
        <x:v>5699</x:v>
      </x:c>
      <x:c r="P327" s="41" t="n">
        <x:f>MAX(N327,MIN(K327,O327))</x:f>
        <x:v>4668</x:v>
      </x:c>
      <x:c r="Q327" s="19" t="str">
        <x:f>IF(K327&lt;N327,IF(N327=L327,"clamped_to_nominal","clamped_to_ppp"),IF(K327&gt;O327,IF(O327=L327,"clamped_to_nominal","clamped_to_ppp"),"kept_vanilla"))</x:f>
        <x:v>kept_vanilla</x:v>
      </x:c>
      <x:c r="R327" s="41" t="n">
        <x:f>P327*G327</x:f>
        <x:v>138279104364</x:v>
      </x:c>
      <x:c r="S327" s="41" t="n">
        <x:f>R327/E327</x:f>
        <x:v>158941499268.9655</x:v>
      </x:c>
      <x:c r="T327" s="36" t="str">
        <x:v>NPL: IMF exact 2026</x:v>
      </x:c>
      <x:c r="U327" s="36" t="str">
        <x:v>NPL: IMF exact 2026</x:v>
      </x:c>
      <x:c r="V327" s="36" t="str">
        <x:v>NPL: IMF exact 2026</x:v>
      </x:c>
      <x:c r="W327" s="36" t="str">
        <x:v>complete_primary</x:v>
      </x:c>
      <x:c r="X327" s="36" t="str">
        <x:v>https://api.imf.org/external/sdmx/3.0/data/dataflow/IMF.RES/WEO/9.0.0/</x:v>
      </x:c>
      <x:c r="Y327" s="36" t="str">
        <x:v>https://api.worldbank.org/v2/</x:v>
      </x:c>
    </x:row>
    <x:row r="328">
      <x:c r="A328" s="24" t="str">
        <x:v>NET</x:v>
      </x:c>
      <x:c r="B328" s="24" t="str">
        <x:v>Netherlands</x:v>
      </x:c>
      <x:c r="C328" s="24" t="str">
        <x:v>NLD</x:v>
      </x:c>
      <x:c r="D328" s="24" t="n">
        <x:v>2003</x:v>
      </x:c>
      <x:c r="E328" s="37" t="n">
        <x:v>1.59</x:v>
      </x:c>
      <x:c r="F328" s="38" t="n">
        <x:v>16856460</x:v>
      </x:c>
      <x:c r="G328" s="38" t="n">
        <x:v>16192572</x:v>
      </x:c>
      <x:c r="H328" s="39" t="n">
        <x:f>G328/F328</x:f>
        <x:v>0.9606152181418874</x:v>
      </x:c>
      <x:c r="I328" s="40" t="n">
        <x:v>352013450292</x:v>
      </x:c>
      <x:c r="J328" s="40" t="n">
        <x:v>559701385964</x:v>
      </x:c>
      <x:c r="K328" s="40" t="n">
        <x:v>33204</x:v>
      </x:c>
      <x:c r="L328" s="40" t="n">
        <x:v>57177</x:v>
      </x:c>
      <x:c r="M328" s="40" t="n">
        <x:v>59107</x:v>
      </x:c>
      <x:c r="N328" s="41" t="n">
        <x:f>MIN(L328,M328)</x:f>
        <x:v>57177</x:v>
      </x:c>
      <x:c r="O328" s="41" t="n">
        <x:f>MAX(L328,M328)</x:f>
        <x:v>59107</x:v>
      </x:c>
      <x:c r="P328" s="41" t="n">
        <x:f>MAX(N328,MIN(K328,O328))</x:f>
        <x:v>57177</x:v>
      </x:c>
      <x:c r="Q328" s="19" t="str">
        <x:f>IF(K328&lt;N328,IF(N328=L328,"clamped_to_nominal","clamped_to_ppp"),IF(K328&gt;O328,IF(O328=L328,"clamped_to_nominal","clamped_to_ppp"),"kept_vanilla"))</x:f>
        <x:v>clamped_to_nominal</x:v>
      </x:c>
      <x:c r="R328" s="41" t="n">
        <x:f>P328*G328</x:f>
        <x:v>925842689244</x:v>
      </x:c>
      <x:c r="S328" s="41" t="n">
        <x:f>R328/E328</x:f>
        <x:v>582290999524.5283</x:v>
      </x:c>
      <x:c r="T328" s="36" t="str">
        <x:v>NLD: IMF exact 2003</x:v>
      </x:c>
      <x:c r="U328" s="36" t="str">
        <x:v>NLD: IMF exact 2003</x:v>
      </x:c>
      <x:c r="V328" s="36" t="str">
        <x:v>NLD: IMF exact 2003</x:v>
      </x:c>
      <x:c r="W328" s="36" t="str">
        <x:v>complete_primary</x:v>
      </x:c>
      <x:c r="X328" s="36" t="str">
        <x:v>https://api.imf.org/external/sdmx/3.0/data/dataflow/IMF.RES/WEO/9.0.0/</x:v>
      </x:c>
      <x:c r="Y328" s="36" t="str">
        <x:v>https://api.worldbank.org/v2/</x:v>
      </x:c>
    </x:row>
    <x:row r="329">
      <x:c r="A329" s="24" t="str">
        <x:v>NET</x:v>
      </x:c>
      <x:c r="B329" s="24" t="str">
        <x:v>Netherlands</x:v>
      </x:c>
      <x:c r="C329" s="24" t="str">
        <x:v>NLD</x:v>
      </x:c>
      <x:c r="D329" s="24" t="n">
        <x:v>2022</x:v>
      </x:c>
      <x:c r="E329" s="37" t="n">
        <x:v>1</x:v>
      </x:c>
      <x:c r="F329" s="38" t="n">
        <x:v>17566765</x:v>
      </x:c>
      <x:c r="G329" s="38" t="n">
        <x:v>17590672</x:v>
      </x:c>
      <x:c r="H329" s="39" t="n">
        <x:f>G329/F329</x:f>
        <x:v>1.001360922173206</x:v>
      </x:c>
      <x:c r="I329" s="40" t="n">
        <x:v>1057544400000</x:v>
      </x:c>
      <x:c r="J329" s="40" t="n">
        <x:v>1057544400000</x:v>
      </x:c>
      <x:c r="K329" s="40" t="n">
        <x:v>60201</x:v>
      </x:c>
      <x:c r="L329" s="40" t="n">
        <x:v>59541</x:v>
      </x:c>
      <x:c r="M329" s="40" t="n">
        <x:v>77717</x:v>
      </x:c>
      <x:c r="N329" s="41" t="n">
        <x:f>MIN(L329,M329)</x:f>
        <x:v>59541</x:v>
      </x:c>
      <x:c r="O329" s="41" t="n">
        <x:f>MAX(L329,M329)</x:f>
        <x:v>77717</x:v>
      </x:c>
      <x:c r="P329" s="41" t="n">
        <x:f>MAX(N329,MIN(K329,O329))</x:f>
        <x:v>60201</x:v>
      </x:c>
      <x:c r="Q329" s="19" t="str">
        <x:f>IF(K329&lt;N329,IF(N329=L329,"clamped_to_nominal","clamped_to_ppp"),IF(K329&gt;O329,IF(O329=L329,"clamped_to_nominal","clamped_to_ppp"),"kept_vanilla"))</x:f>
        <x:v>kept_vanilla</x:v>
      </x:c>
      <x:c r="R329" s="41" t="n">
        <x:f>P329*G329</x:f>
        <x:v>1058976045072</x:v>
      </x:c>
      <x:c r="S329" s="41" t="n">
        <x:f>R329/E329</x:f>
        <x:v>1058976045072</x:v>
      </x:c>
      <x:c r="T329" s="36" t="str">
        <x:v>NLD: IMF exact 2022</x:v>
      </x:c>
      <x:c r="U329" s="36" t="str">
        <x:v>NLD: IMF exact 2022</x:v>
      </x:c>
      <x:c r="V329" s="36" t="str">
        <x:v>NLD: IMF exact 2022</x:v>
      </x:c>
      <x:c r="W329" s="36" t="str">
        <x:v>complete_primary</x:v>
      </x:c>
      <x:c r="X329" s="36" t="str">
        <x:v>https://api.imf.org/external/sdmx/3.0/data/dataflow/IMF.RES/WEO/9.0.0/</x:v>
      </x:c>
      <x:c r="Y329" s="36" t="str">
        <x:v>https://api.worldbank.org/v2/</x:v>
      </x:c>
    </x:row>
    <x:row r="330">
      <x:c r="A330" s="24" t="str">
        <x:v>NET</x:v>
      </x:c>
      <x:c r="B330" s="24" t="str">
        <x:v>Netherlands</x:v>
      </x:c>
      <x:c r="C330" s="24" t="str">
        <x:v>NLD</x:v>
      </x:c>
      <x:c r="D330" s="24" t="n">
        <x:v>2026</x:v>
      </x:c>
      <x:c r="E330" s="37" t="n">
        <x:v>0.87</x:v>
      </x:c>
      <x:c r="F330" s="38" t="n">
        <x:v>18818741</x:v>
      </x:c>
      <x:c r="G330" s="38" t="n">
        <x:v>18140006</x:v>
      </x:c>
      <x:c r="H330" s="39" t="n">
        <x:f>G330/F330</x:f>
        <x:v>0.9639330282509335</x:v>
      </x:c>
      <x:c r="I330" s="40" t="n">
        <x:v>1334663440000</x:v>
      </x:c>
      <x:c r="J330" s="40" t="n">
        <x:v>1161157192800</x:v>
      </x:c>
      <x:c r="K330" s="40" t="n">
        <x:v>61702</x:v>
      </x:c>
      <x:c r="L330" s="40" t="n">
        <x:v>69528</x:v>
      </x:c>
      <x:c r="M330" s="40" t="n">
        <x:v>76363</x:v>
      </x:c>
      <x:c r="N330" s="41" t="n">
        <x:f>MIN(L330,M330)</x:f>
        <x:v>69528</x:v>
      </x:c>
      <x:c r="O330" s="41" t="n">
        <x:f>MAX(L330,M330)</x:f>
        <x:v>76363</x:v>
      </x:c>
      <x:c r="P330" s="41" t="n">
        <x:f>MAX(N330,MIN(K330,O330))</x:f>
        <x:v>69528</x:v>
      </x:c>
      <x:c r="Q330" s="19" t="str">
        <x:f>IF(K330&lt;N330,IF(N330=L330,"clamped_to_nominal","clamped_to_ppp"),IF(K330&gt;O330,IF(O330=L330,"clamped_to_nominal","clamped_to_ppp"),"kept_vanilla"))</x:f>
        <x:v>clamped_to_nominal</x:v>
      </x:c>
      <x:c r="R330" s="41" t="n">
        <x:f>P330*G330</x:f>
        <x:v>1261238337168</x:v>
      </x:c>
      <x:c r="S330" s="41" t="n">
        <x:f>R330/E330</x:f>
        <x:v>1449699238124.138</x:v>
      </x:c>
      <x:c r="T330" s="36" t="str">
        <x:v>NLD: IMF exact 2026</x:v>
      </x:c>
      <x:c r="U330" s="36" t="str">
        <x:v>NLD: IMF exact 2026</x:v>
      </x:c>
      <x:c r="V330" s="36" t="str">
        <x:v>NLD: IMF exact 2026</x:v>
      </x:c>
      <x:c r="W330" s="36" t="str">
        <x:v>complete_primary</x:v>
      </x:c>
      <x:c r="X330" s="36" t="str">
        <x:v>https://api.imf.org/external/sdmx/3.0/data/dataflow/IMF.RES/WEO/9.0.0/</x:v>
      </x:c>
      <x:c r="Y330" s="36" t="str">
        <x:v>https://api.worldbank.org/v2/</x:v>
      </x:c>
    </x:row>
    <x:row r="331">
      <x:c r="A331" s="24" t="str">
        <x:v>NZL</x:v>
      </x:c>
      <x:c r="B331" s="24" t="str">
        <x:v>New Zealand</x:v>
      </x:c>
      <x:c r="C331" s="24" t="str">
        <x:v>NZL</x:v>
      </x:c>
      <x:c r="D331" s="24" t="n">
        <x:v>2003</x:v>
      </x:c>
      <x:c r="E331" s="37" t="n">
        <x:v>1.59</x:v>
      </x:c>
      <x:c r="F331" s="38" t="n">
        <x:v>4022586</x:v>
      </x:c>
      <x:c r="G331" s="38" t="n">
        <x:v>4027700</x:v>
      </x:c>
      <x:c r="H331" s="39" t="n">
        <x:f>G331/F331</x:f>
        <x:v>1.001271321483245</x:v>
      </x:c>
      <x:c r="I331" s="40" t="n">
        <x:v>63326900585</x:v>
      </x:c>
      <x:c r="J331" s="40" t="n">
        <x:v>100689771930</x:v>
      </x:c>
      <x:c r="K331" s="40" t="n">
        <x:v>25031</x:v>
      </x:c>
      <x:c r="L331" s="40" t="n">
        <x:v>32532</x:v>
      </x:c>
      <x:c r="M331" s="40" t="n">
        <x:v>42757</x:v>
      </x:c>
      <x:c r="N331" s="41" t="n">
        <x:f>MIN(L331,M331)</x:f>
        <x:v>32532</x:v>
      </x:c>
      <x:c r="O331" s="41" t="n">
        <x:f>MAX(L331,M331)</x:f>
        <x:v>42757</x:v>
      </x:c>
      <x:c r="P331" s="41" t="n">
        <x:f>MAX(N331,MIN(K331,O331))</x:f>
        <x:v>32532</x:v>
      </x:c>
      <x:c r="Q331" s="19" t="str">
        <x:f>IF(K331&lt;N331,IF(N331=L331,"clamped_to_nominal","clamped_to_ppp"),IF(K331&gt;O331,IF(O331=L331,"clamped_to_nominal","clamped_to_ppp"),"kept_vanilla"))</x:f>
        <x:v>clamped_to_nominal</x:v>
      </x:c>
      <x:c r="R331" s="41" t="n">
        <x:f>P331*G331</x:f>
        <x:v>131029136400</x:v>
      </x:c>
      <x:c r="S331" s="41" t="n">
        <x:f>R331/E331</x:f>
        <x:v>82408261886.79245</x:v>
      </x:c>
      <x:c r="T331" s="36" t="str">
        <x:v>NZL: IMF exact 2003</x:v>
      </x:c>
      <x:c r="U331" s="36" t="str">
        <x:v>NZL: IMF exact 2003</x:v>
      </x:c>
      <x:c r="V331" s="36" t="str">
        <x:v>NZL: IMF exact 2003</x:v>
      </x:c>
      <x:c r="W331" s="36" t="str">
        <x:v>complete_primary</x:v>
      </x:c>
      <x:c r="X331" s="36" t="str">
        <x:v>https://api.imf.org/external/sdmx/3.0/data/dataflow/IMF.RES/WEO/9.0.0/</x:v>
      </x:c>
      <x:c r="Y331" s="36" t="str">
        <x:v>https://api.worldbank.org/v2/</x:v>
      </x:c>
    </x:row>
    <x:row r="332">
      <x:c r="A332" s="24" t="str">
        <x:v>NZL</x:v>
      </x:c>
      <x:c r="B332" s="24" t="str">
        <x:v>New Zealand</x:v>
      </x:c>
      <x:c r="C332" s="24" t="str">
        <x:v>NZL</x:v>
      </x:c>
      <x:c r="D332" s="24" t="n">
        <x:v>2022</x:v>
      </x:c>
      <x:c r="E332" s="37" t="n">
        <x:v>1</x:v>
      </x:c>
      <x:c r="F332" s="38" t="n">
        <x:v>4912945</x:v>
      </x:c>
      <x:c r="G332" s="38" t="n">
        <x:v>5090100</x:v>
      </x:c>
      <x:c r="H332" s="39" t="n">
        <x:f>G332/F332</x:f>
        <x:v>1.0360588201170582</x:v>
      </x:c>
      <x:c r="I332" s="40" t="n">
        <x:v>228907360000</x:v>
      </x:c>
      <x:c r="J332" s="40" t="n">
        <x:v>228907360000</x:v>
      </x:c>
      <x:c r="K332" s="40" t="n">
        <x:v>46593</x:v>
      </x:c>
      <x:c r="L332" s="40" t="n">
        <x:v>48165</x:v>
      </x:c>
      <x:c r="M332" s="40" t="n">
        <x:v>52354</x:v>
      </x:c>
      <x:c r="N332" s="41" t="n">
        <x:f>MIN(L332,M332)</x:f>
        <x:v>48165</x:v>
      </x:c>
      <x:c r="O332" s="41" t="n">
        <x:f>MAX(L332,M332)</x:f>
        <x:v>52354</x:v>
      </x:c>
      <x:c r="P332" s="41" t="n">
        <x:f>MAX(N332,MIN(K332,O332))</x:f>
        <x:v>48165</x:v>
      </x:c>
      <x:c r="Q332" s="19" t="str">
        <x:f>IF(K332&lt;N332,IF(N332=L332,"clamped_to_nominal","clamped_to_ppp"),IF(K332&gt;O332,IF(O332=L332,"clamped_to_nominal","clamped_to_ppp"),"kept_vanilla"))</x:f>
        <x:v>clamped_to_nominal</x:v>
      </x:c>
      <x:c r="R332" s="41" t="n">
        <x:f>P332*G332</x:f>
        <x:v>245164666500</x:v>
      </x:c>
      <x:c r="S332" s="41" t="n">
        <x:f>R332/E332</x:f>
        <x:v>245164666500</x:v>
      </x:c>
      <x:c r="T332" s="36" t="str">
        <x:v>NZL: IMF exact 2022</x:v>
      </x:c>
      <x:c r="U332" s="36" t="str">
        <x:v>NZL: IMF exact 2022</x:v>
      </x:c>
      <x:c r="V332" s="36" t="str">
        <x:v>NZL: IMF exact 2022</x:v>
      </x:c>
      <x:c r="W332" s="36" t="str">
        <x:v>complete_primary</x:v>
      </x:c>
      <x:c r="X332" s="36" t="str">
        <x:v>https://api.imf.org/external/sdmx/3.0/data/dataflow/IMF.RES/WEO/9.0.0/</x:v>
      </x:c>
      <x:c r="Y332" s="36" t="str">
        <x:v>https://api.worldbank.org/v2/</x:v>
      </x:c>
    </x:row>
    <x:row r="333">
      <x:c r="A333" s="24" t="str">
        <x:v>NZL</x:v>
      </x:c>
      <x:c r="B333" s="24" t="str">
        <x:v>New Zealand</x:v>
      </x:c>
      <x:c r="C333" s="24" t="str">
        <x:v>NZL</x:v>
      </x:c>
      <x:c r="D333" s="24" t="n">
        <x:v>2026</x:v>
      </x:c>
      <x:c r="E333" s="37" t="n">
        <x:v>0.87</x:v>
      </x:c>
      <x:c r="F333" s="38" t="n">
        <x:v>5291992</x:v>
      </x:c>
      <x:c r="G333" s="38" t="n">
        <x:v>5356024</x:v>
      </x:c>
      <x:c r="H333" s="39" t="n">
        <x:f>G333/F333</x:f>
        <x:v>1.0120997915340764</x:v>
      </x:c>
      <x:c r="I333" s="40" t="n">
        <x:v>263061920000</x:v>
      </x:c>
      <x:c r="J333" s="40" t="n">
        <x:v>228863870400</x:v>
      </x:c>
      <x:c r="K333" s="40" t="n">
        <x:v>43247</x:v>
      </x:c>
      <x:c r="L333" s="40" t="n">
        <x:v>45260</x:v>
      </x:c>
      <x:c r="M333" s="40" t="n">
        <x:v>50728</x:v>
      </x:c>
      <x:c r="N333" s="41" t="n">
        <x:f>MIN(L333,M333)</x:f>
        <x:v>45260</x:v>
      </x:c>
      <x:c r="O333" s="41" t="n">
        <x:f>MAX(L333,M333)</x:f>
        <x:v>50728</x:v>
      </x:c>
      <x:c r="P333" s="41" t="n">
        <x:f>MAX(N333,MIN(K333,O333))</x:f>
        <x:v>45260</x:v>
      </x:c>
      <x:c r="Q333" s="19" t="str">
        <x:f>IF(K333&lt;N333,IF(N333=L333,"clamped_to_nominal","clamped_to_ppp"),IF(K333&gt;O333,IF(O333=L333,"clamped_to_nominal","clamped_to_ppp"),"kept_vanilla"))</x:f>
        <x:v>clamped_to_nominal</x:v>
      </x:c>
      <x:c r="R333" s="41" t="n">
        <x:f>P333*G333</x:f>
        <x:v>242413646240</x:v>
      </x:c>
      <x:c r="S333" s="41" t="n">
        <x:f>R333/E333</x:f>
        <x:v>278636374988.50574</x:v>
      </x:c>
      <x:c r="T333" s="36" t="str">
        <x:v>NZL: IMF exact 2026</x:v>
      </x:c>
      <x:c r="U333" s="36" t="str">
        <x:v>NZL: IMF exact 2026</x:v>
      </x:c>
      <x:c r="V333" s="36" t="str">
        <x:v>NZL: IMF exact 2026</x:v>
      </x:c>
      <x:c r="W333" s="36" t="str">
        <x:v>complete_primary</x:v>
      </x:c>
      <x:c r="X333" s="36" t="str">
        <x:v>https://api.imf.org/external/sdmx/3.0/data/dataflow/IMF.RES/WEO/9.0.0/</x:v>
      </x:c>
      <x:c r="Y333" s="36" t="str">
        <x:v>https://api.worldbank.org/v2/</x:v>
      </x:c>
    </x:row>
    <x:row r="334">
      <x:c r="A334" s="24" t="str">
        <x:v>NIC</x:v>
      </x:c>
      <x:c r="B334" s="24" t="str">
        <x:v>Nicaragua</x:v>
      </x:c>
      <x:c r="C334" s="24" t="str">
        <x:v>NIC</x:v>
      </x:c>
      <x:c r="D334" s="24" t="n">
        <x:v>2003</x:v>
      </x:c>
      <x:c r="E334" s="37" t="n">
        <x:v>1.59</x:v>
      </x:c>
      <x:c r="F334" s="38" t="n">
        <x:v>5210963</x:v>
      </x:c>
      <x:c r="G334" s="38" t="n">
        <x:v>5267714</x:v>
      </x:c>
      <x:c r="H334" s="39" t="n">
        <x:f>G334/F334</x:f>
        <x:v>1.0108906933324993</x:v>
      </x:c>
      <x:c r="I334" s="40" t="n">
        <x:v>9916959064</x:v>
      </x:c>
      <x:c r="J334" s="40" t="n">
        <x:v>15767964912</x:v>
      </x:c>
      <x:c r="K334" s="40" t="n">
        <x:v>3026</x:v>
      </x:c>
      <x:c r="L334" s="40" t="n">
        <x:v>1606</x:v>
      </x:c>
      <x:c r="M334" s="40" t="n">
        <x:v>5119</x:v>
      </x:c>
      <x:c r="N334" s="41" t="n">
        <x:f>MIN(L334,M334)</x:f>
        <x:v>1606</x:v>
      </x:c>
      <x:c r="O334" s="41" t="n">
        <x:f>MAX(L334,M334)</x:f>
        <x:v>5119</x:v>
      </x:c>
      <x:c r="P334" s="41" t="n">
        <x:f>MAX(N334,MIN(K334,O334))</x:f>
        <x:v>3026</x:v>
      </x:c>
      <x:c r="Q334" s="19" t="str">
        <x:f>IF(K334&lt;N334,IF(N334=L334,"clamped_to_nominal","clamped_to_ppp"),IF(K334&gt;O334,IF(O334=L334,"clamped_to_nominal","clamped_to_ppp"),"kept_vanilla"))</x:f>
        <x:v>kept_vanilla</x:v>
      </x:c>
      <x:c r="R334" s="41" t="n">
        <x:f>P334*G334</x:f>
        <x:v>15940102564</x:v>
      </x:c>
      <x:c r="S334" s="41" t="n">
        <x:f>R334/E334</x:f>
        <x:v>10025221738.364779</x:v>
      </x:c>
      <x:c r="T334" s="36" t="str">
        <x:v>NIC: IMF exact 2003</x:v>
      </x:c>
      <x:c r="U334" s="36" t="str">
        <x:v>NIC: IMF exact 2003</x:v>
      </x:c>
      <x:c r="V334" s="36" t="str">
        <x:v>NIC: IMF exact 2003</x:v>
      </x:c>
      <x:c r="W334" s="36" t="str">
        <x:v>complete_primary</x:v>
      </x:c>
      <x:c r="X334" s="36" t="str">
        <x:v>https://api.imf.org/external/sdmx/3.0/data/dataflow/IMF.RES/WEO/9.0.0/</x:v>
      </x:c>
      <x:c r="Y334" s="36" t="str">
        <x:v>https://api.worldbank.org/v2/</x:v>
      </x:c>
    </x:row>
    <x:row r="335">
      <x:c r="A335" s="24" t="str">
        <x:v>NIC</x:v>
      </x:c>
      <x:c r="B335" s="24" t="str">
        <x:v>Nicaragua</x:v>
      </x:c>
      <x:c r="C335" s="24" t="str">
        <x:v>NIC</x:v>
      </x:c>
      <x:c r="D335" s="24" t="n">
        <x:v>2022</x:v>
      </x:c>
      <x:c r="E335" s="37" t="n">
        <x:v>1</x:v>
      </x:c>
      <x:c r="F335" s="38" t="n">
        <x:v>6802629</x:v>
      </x:c>
      <x:c r="G335" s="38" t="n">
        <x:v>6664400</x:v>
      </x:c>
      <x:c r="H335" s="39" t="n">
        <x:f>G335/F335</x:f>
        <x:v>0.9796800619289984</x:v>
      </x:c>
      <x:c r="I335" s="40" t="n">
        <x:v>41146160000</x:v>
      </x:c>
      <x:c r="J335" s="40" t="n">
        <x:v>41146160000</x:v>
      </x:c>
      <x:c r="K335" s="40" t="n">
        <x:v>6049</x:v>
      </x:c>
      <x:c r="L335" s="40" t="n">
        <x:v>2346</x:v>
      </x:c>
      <x:c r="M335" s="40" t="n">
        <x:v>7873</x:v>
      </x:c>
      <x:c r="N335" s="41" t="n">
        <x:f>MIN(L335,M335)</x:f>
        <x:v>2346</x:v>
      </x:c>
      <x:c r="O335" s="41" t="n">
        <x:f>MAX(L335,M335)</x:f>
        <x:v>7873</x:v>
      </x:c>
      <x:c r="P335" s="41" t="n">
        <x:f>MAX(N335,MIN(K335,O335))</x:f>
        <x:v>6049</x:v>
      </x:c>
      <x:c r="Q335" s="19" t="str">
        <x:f>IF(K335&lt;N335,IF(N335=L335,"clamped_to_nominal","clamped_to_ppp"),IF(K335&gt;O335,IF(O335=L335,"clamped_to_nominal","clamped_to_ppp"),"kept_vanilla"))</x:f>
        <x:v>kept_vanilla</x:v>
      </x:c>
      <x:c r="R335" s="41" t="n">
        <x:f>P335*G335</x:f>
        <x:v>40312955600</x:v>
      </x:c>
      <x:c r="S335" s="41" t="n">
        <x:f>R335/E335</x:f>
        <x:v>40312955600</x:v>
      </x:c>
      <x:c r="T335" s="36" t="str">
        <x:v>NIC: IMF exact 2022</x:v>
      </x:c>
      <x:c r="U335" s="36" t="str">
        <x:v>NIC: IMF exact 2022</x:v>
      </x:c>
      <x:c r="V335" s="36" t="str">
        <x:v>NIC: IMF exact 2022</x:v>
      </x:c>
      <x:c r="W335" s="36" t="str">
        <x:v>complete_primary</x:v>
      </x:c>
      <x:c r="X335" s="36" t="str">
        <x:v>https://api.imf.org/external/sdmx/3.0/data/dataflow/IMF.RES/WEO/9.0.0/</x:v>
      </x:c>
      <x:c r="Y335" s="36" t="str">
        <x:v>https://api.worldbank.org/v2/</x:v>
      </x:c>
    </x:row>
    <x:row r="336">
      <x:c r="A336" s="24" t="str">
        <x:v>NIC</x:v>
      </x:c>
      <x:c r="B336" s="24" t="str">
        <x:v>Nicaragua</x:v>
      </x:c>
      <x:c r="C336" s="24" t="str">
        <x:v>NIC</x:v>
      </x:c>
      <x:c r="D336" s="24" t="n">
        <x:v>2026</x:v>
      </x:c>
      <x:c r="E336" s="37" t="n">
        <x:v>0.87</x:v>
      </x:c>
      <x:c r="F336" s="38" t="n">
        <x:v>7097329</x:v>
      </x:c>
      <x:c r="G336" s="38" t="n">
        <x:v>6807511</x:v>
      </x:c>
      <x:c r="H336" s="39" t="n">
        <x:f>G336/F336</x:f>
        <x:v>0.9591652014440926</x:v>
      </x:c>
      <x:c r="I336" s="40" t="n">
        <x:v>56152800000</x:v>
      </x:c>
      <x:c r="J336" s="40" t="n">
        <x:v>48852936000</x:v>
      </x:c>
      <x:c r="K336" s="40" t="n">
        <x:v>6883</x:v>
      </x:c>
      <x:c r="L336" s="40" t="n">
        <x:v>3096</x:v>
      </x:c>
      <x:c r="M336" s="40" t="n">
        <x:v>8884</x:v>
      </x:c>
      <x:c r="N336" s="41" t="n">
        <x:f>MIN(L336,M336)</x:f>
        <x:v>3096</x:v>
      </x:c>
      <x:c r="O336" s="41" t="n">
        <x:f>MAX(L336,M336)</x:f>
        <x:v>8884</x:v>
      </x:c>
      <x:c r="P336" s="41" t="n">
        <x:f>MAX(N336,MIN(K336,O336))</x:f>
        <x:v>6883</x:v>
      </x:c>
      <x:c r="Q336" s="19" t="str">
        <x:f>IF(K336&lt;N336,IF(N336=L336,"clamped_to_nominal","clamped_to_ppp"),IF(K336&gt;O336,IF(O336=L336,"clamped_to_nominal","clamped_to_ppp"),"kept_vanilla"))</x:f>
        <x:v>kept_vanilla</x:v>
      </x:c>
      <x:c r="R336" s="41" t="n">
        <x:f>P336*G336</x:f>
        <x:v>46856098213</x:v>
      </x:c>
      <x:c r="S336" s="41" t="n">
        <x:f>R336/E336</x:f>
        <x:v>53857584152.873566</x:v>
      </x:c>
      <x:c r="T336" s="36" t="str">
        <x:v>NIC: IMF exact 2026</x:v>
      </x:c>
      <x:c r="U336" s="36" t="str">
        <x:v>NIC: IMF exact 2026</x:v>
      </x:c>
      <x:c r="V336" s="36" t="str">
        <x:v>NIC: IMF exact 2026</x:v>
      </x:c>
      <x:c r="W336" s="36" t="str">
        <x:v>complete_primary</x:v>
      </x:c>
      <x:c r="X336" s="36" t="str">
        <x:v>https://api.imf.org/external/sdmx/3.0/data/dataflow/IMF.RES/WEO/9.0.0/</x:v>
      </x:c>
      <x:c r="Y336" s="36" t="str">
        <x:v>https://api.worldbank.org/v2/</x:v>
      </x:c>
    </x:row>
    <x:row r="337">
      <x:c r="A337" s="24" t="str">
        <x:v>NER</x:v>
      </x:c>
      <x:c r="B337" s="24" t="str">
        <x:v>Niger</x:v>
      </x:c>
      <x:c r="C337" s="24" t="str">
        <x:v>NER</x:v>
      </x:c>
      <x:c r="D337" s="24" t="n">
        <x:v>2003</x:v>
      </x:c>
      <x:c r="E337" s="37" t="n">
        <x:v>1.59</x:v>
      </x:c>
      <x:c r="F337" s="38" t="n">
        <x:v>12796984</x:v>
      </x:c>
      <x:c r="G337" s="38" t="n">
        <x:v>12647984</x:v>
      </x:c>
      <x:c r="H337" s="39" t="n">
        <x:f>G337/F337</x:f>
        <x:v>0.9883566315313046</x:v>
      </x:c>
      <x:c r="I337" s="40" t="n">
        <x:v>5640350877</x:v>
      </x:c>
      <x:c r="J337" s="40" t="n">
        <x:v>8968157894</x:v>
      </x:c>
      <x:c r="K337" s="40" t="n">
        <x:v>701</x:v>
      </x:c>
      <x:c r="L337" s="40" t="n">
        <x:v>425</x:v>
      </x:c>
      <x:c r="M337" s="40" t="n">
        <x:v>1212</x:v>
      </x:c>
      <x:c r="N337" s="41" t="n">
        <x:f>MIN(L337,M337)</x:f>
        <x:v>425</x:v>
      </x:c>
      <x:c r="O337" s="41" t="n">
        <x:f>MAX(L337,M337)</x:f>
        <x:v>1212</x:v>
      </x:c>
      <x:c r="P337" s="41" t="n">
        <x:f>MAX(N337,MIN(K337,O337))</x:f>
        <x:v>701</x:v>
      </x:c>
      <x:c r="Q337" s="19" t="str">
        <x:f>IF(K337&lt;N337,IF(N337=L337,"clamped_to_nominal","clamped_to_ppp"),IF(K337&gt;O337,IF(O337=L337,"clamped_to_nominal","clamped_to_ppp"),"kept_vanilla"))</x:f>
        <x:v>kept_vanilla</x:v>
      </x:c>
      <x:c r="R337" s="41" t="n">
        <x:f>P337*G337</x:f>
        <x:v>8866236784</x:v>
      </x:c>
      <x:c r="S337" s="41" t="n">
        <x:f>R337/E337</x:f>
        <x:v>5576249549.6855345</x:v>
      </x:c>
      <x:c r="T337" s="36" t="str">
        <x:v>NER: IMF exact 2003</x:v>
      </x:c>
      <x:c r="U337" s="36" t="str">
        <x:v>NER: IMF exact 2003</x:v>
      </x:c>
      <x:c r="V337" s="36" t="str">
        <x:v>NER: IMF exact 2003</x:v>
      </x:c>
      <x:c r="W337" s="36" t="str">
        <x:v>complete_primary</x:v>
      </x:c>
      <x:c r="X337" s="36" t="str">
        <x:v>https://api.imf.org/external/sdmx/3.0/data/dataflow/IMF.RES/WEO/9.0.0/</x:v>
      </x:c>
      <x:c r="Y337" s="36" t="str">
        <x:v>https://api.worldbank.org/v2/</x:v>
      </x:c>
    </x:row>
    <x:row r="338">
      <x:c r="A338" s="24" t="str">
        <x:v>NER</x:v>
      </x:c>
      <x:c r="B338" s="24" t="str">
        <x:v>Niger</x:v>
      </x:c>
      <x:c r="C338" s="24" t="str">
        <x:v>NER</x:v>
      </x:c>
      <x:c r="D338" s="24" t="n">
        <x:v>2022</x:v>
      </x:c>
      <x:c r="E338" s="37" t="n">
        <x:v>1</x:v>
      </x:c>
      <x:c r="F338" s="38" t="n">
        <x:v>26388198</x:v>
      </x:c>
      <x:c r="G338" s="38" t="n">
        <x:v>26083660</x:v>
      </x:c>
      <x:c r="H338" s="39" t="n">
        <x:f>G338/F338</x:f>
        <x:v>0.9884593104841793</x:v>
      </x:c>
      <x:c r="I338" s="40" t="n">
        <x:v>32932240000</x:v>
      </x:c>
      <x:c r="J338" s="40" t="n">
        <x:v>32932240000</x:v>
      </x:c>
      <x:c r="K338" s="40" t="n">
        <x:v>1248</x:v>
      </x:c>
      <x:c r="L338" s="40" t="n">
        <x:v>593</x:v>
      </x:c>
      <x:c r="M338" s="40" t="n">
        <x:v>1785</x:v>
      </x:c>
      <x:c r="N338" s="41" t="n">
        <x:f>MIN(L338,M338)</x:f>
        <x:v>593</x:v>
      </x:c>
      <x:c r="O338" s="41" t="n">
        <x:f>MAX(L338,M338)</x:f>
        <x:v>1785</x:v>
      </x:c>
      <x:c r="P338" s="41" t="n">
        <x:f>MAX(N338,MIN(K338,O338))</x:f>
        <x:v>1248</x:v>
      </x:c>
      <x:c r="Q338" s="19" t="str">
        <x:f>IF(K338&lt;N338,IF(N338=L338,"clamped_to_nominal","clamped_to_ppp"),IF(K338&gt;O338,IF(O338=L338,"clamped_to_nominal","clamped_to_ppp"),"kept_vanilla"))</x:f>
        <x:v>kept_vanilla</x:v>
      </x:c>
      <x:c r="R338" s="41" t="n">
        <x:f>P338*G338</x:f>
        <x:v>32552407680</x:v>
      </x:c>
      <x:c r="S338" s="41" t="n">
        <x:f>R338/E338</x:f>
        <x:v>32552407680</x:v>
      </x:c>
      <x:c r="T338" s="36" t="str">
        <x:v>NER: IMF exact 2022</x:v>
      </x:c>
      <x:c r="U338" s="36" t="str">
        <x:v>NER: IMF exact 2022</x:v>
      </x:c>
      <x:c r="V338" s="36" t="str">
        <x:v>NER: IMF exact 2022</x:v>
      </x:c>
      <x:c r="W338" s="36" t="str">
        <x:v>complete_primary</x:v>
      </x:c>
      <x:c r="X338" s="36" t="str">
        <x:v>https://api.imf.org/external/sdmx/3.0/data/dataflow/IMF.RES/WEO/9.0.0/</x:v>
      </x:c>
      <x:c r="Y338" s="36" t="str">
        <x:v>https://api.worldbank.org/v2/</x:v>
      </x:c>
    </x:row>
    <x:row r="339">
      <x:c r="A339" s="24" t="str">
        <x:v>NER</x:v>
      </x:c>
      <x:c r="B339" s="24" t="str">
        <x:v>Niger</x:v>
      </x:c>
      <x:c r="C339" s="24" t="str">
        <x:v>NER</x:v>
      </x:c>
      <x:c r="D339" s="24" t="n">
        <x:v>2026</x:v>
      </x:c>
      <x:c r="E339" s="37" t="n">
        <x:v>0.87</x:v>
      </x:c>
      <x:c r="F339" s="38" t="n">
        <x:v>28814878</x:v>
      </x:c>
      <x:c r="G339" s="38" t="n">
        <x:v>30203733</x:v>
      </x:c>
      <x:c r="H339" s="39" t="n">
        <x:f>G339/F339</x:f>
        <x:v>1.0481992323548968</x:v>
      </x:c>
      <x:c r="I339" s="40" t="n">
        <x:v>53710800000</x:v>
      </x:c>
      <x:c r="J339" s="40" t="n">
        <x:v>46728396000</x:v>
      </x:c>
      <x:c r="K339" s="40" t="n">
        <x:v>1622</x:v>
      </x:c>
      <x:c r="L339" s="40" t="n">
        <x:v>715</x:v>
      </x:c>
      <x:c r="M339" s="40" t="n">
        <x:v>1942</x:v>
      </x:c>
      <x:c r="N339" s="41" t="n">
        <x:f>MIN(L339,M339)</x:f>
        <x:v>715</x:v>
      </x:c>
      <x:c r="O339" s="41" t="n">
        <x:f>MAX(L339,M339)</x:f>
        <x:v>1942</x:v>
      </x:c>
      <x:c r="P339" s="41" t="n">
        <x:f>MAX(N339,MIN(K339,O339))</x:f>
        <x:v>1622</x:v>
      </x:c>
      <x:c r="Q339" s="19" t="str">
        <x:f>IF(K339&lt;N339,IF(N339=L339,"clamped_to_nominal","clamped_to_ppp"),IF(K339&gt;O339,IF(O339=L339,"clamped_to_nominal","clamped_to_ppp"),"kept_vanilla"))</x:f>
        <x:v>kept_vanilla</x:v>
      </x:c>
      <x:c r="R339" s="41" t="n">
        <x:f>P339*G339</x:f>
        <x:v>48990454926</x:v>
      </x:c>
      <x:c r="S339" s="41" t="n">
        <x:f>R339/E339</x:f>
        <x:v>56310867731.034485</x:v>
      </x:c>
      <x:c r="T339" s="36" t="str">
        <x:v>NER: IMF exact 2026</x:v>
      </x:c>
      <x:c r="U339" s="36" t="str">
        <x:v>NER: IMF exact 2026</x:v>
      </x:c>
      <x:c r="V339" s="36" t="str">
        <x:v>NER: IMF exact 2026</x:v>
      </x:c>
      <x:c r="W339" s="36" t="str">
        <x:v>complete_primary</x:v>
      </x:c>
      <x:c r="X339" s="36" t="str">
        <x:v>https://api.imf.org/external/sdmx/3.0/data/dataflow/IMF.RES/WEO/9.0.0/</x:v>
      </x:c>
      <x:c r="Y339" s="36" t="str">
        <x:v>https://api.worldbank.org/v2/</x:v>
      </x:c>
    </x:row>
    <x:row r="340">
      <x:c r="A340" s="24" t="str">
        <x:v>NGA</x:v>
      </x:c>
      <x:c r="B340" s="24" t="str">
        <x:v>Nigeria</x:v>
      </x:c>
      <x:c r="C340" s="24" t="str">
        <x:v>NGA</x:v>
      </x:c>
      <x:c r="D340" s="24" t="n">
        <x:v>2003</x:v>
      </x:c>
      <x:c r="E340" s="37" t="n">
        <x:v>1.59</x:v>
      </x:c>
      <x:c r="F340" s="38" t="n">
        <x:v>137202644</x:v>
      </x:c>
      <x:c r="G340" s="38" t="n">
        <x:v>136183095</x:v>
      </x:c>
      <x:c r="H340" s="39" t="n">
        <x:f>G340/F340</x:f>
        <x:v>0.992569028042929</x:v>
      </x:c>
      <x:c r="I340" s="40" t="n">
        <x:v>206470760234</x:v>
      </x:c>
      <x:c r="J340" s="40" t="n">
        <x:v>328288508772</x:v>
      </x:c>
      <x:c r="K340" s="40" t="n">
        <x:v>2393</x:v>
      </x:c>
      <x:c r="L340" s="40" t="n">
        <x:v>1692</x:v>
      </x:c>
      <x:c r="M340" s="40" t="n">
        <x:v>5805</x:v>
      </x:c>
      <x:c r="N340" s="41" t="n">
        <x:f>MIN(L340,M340)</x:f>
        <x:v>1692</x:v>
      </x:c>
      <x:c r="O340" s="41" t="n">
        <x:f>MAX(L340,M340)</x:f>
        <x:v>5805</x:v>
      </x:c>
      <x:c r="P340" s="41" t="n">
        <x:f>MAX(N340,MIN(K340,O340))</x:f>
        <x:v>2393</x:v>
      </x:c>
      <x:c r="Q340" s="19" t="str">
        <x:f>IF(K340&lt;N340,IF(N340=L340,"clamped_to_nominal","clamped_to_ppp"),IF(K340&gt;O340,IF(O340=L340,"clamped_to_nominal","clamped_to_ppp"),"kept_vanilla"))</x:f>
        <x:v>kept_vanilla</x:v>
      </x:c>
      <x:c r="R340" s="41" t="n">
        <x:f>P340*G340</x:f>
        <x:v>325886146335</x:v>
      </x:c>
      <x:c r="S340" s="41" t="n">
        <x:f>R340/E340</x:f>
        <x:v>204959840462.26413</x:v>
      </x:c>
      <x:c r="T340" s="36" t="str">
        <x:v>NGA: IMF exact 2003</x:v>
      </x:c>
      <x:c r="U340" s="36" t="str">
        <x:v>NGA: IMF exact 2003</x:v>
      </x:c>
      <x:c r="V340" s="36" t="str">
        <x:v>NGA: IMF exact 2003</x:v>
      </x:c>
      <x:c r="W340" s="36" t="str">
        <x:v>complete_primary</x:v>
      </x:c>
      <x:c r="X340" s="36" t="str">
        <x:v>https://api.imf.org/external/sdmx/3.0/data/dataflow/IMF.RES/WEO/9.0.0/</x:v>
      </x:c>
      <x:c r="Y340" s="36" t="str">
        <x:v>https://api.worldbank.org/v2/</x:v>
      </x:c>
    </x:row>
    <x:row r="341">
      <x:c r="A341" s="24" t="str">
        <x:v>NGA</x:v>
      </x:c>
      <x:c r="B341" s="24" t="str">
        <x:v>Nigeria</x:v>
      </x:c>
      <x:c r="C341" s="24" t="str">
        <x:v>NGA</x:v>
      </x:c>
      <x:c r="D341" s="24" t="n">
        <x:v>2022</x:v>
      </x:c>
      <x:c r="E341" s="37" t="n">
        <x:v>1</x:v>
      </x:c>
      <x:c r="F341" s="38" t="n">
        <x:v>218431826</x:v>
      </x:c>
      <x:c r="G341" s="38" t="n">
        <x:v>223150896</x:v>
      </x:c>
      <x:c r="H341" s="39" t="n">
        <x:f>G341/F341</x:f>
        <x:v>1.0216043151147765</x:v>
      </x:c>
      <x:c r="I341" s="40" t="n">
        <x:v>1116311680000</x:v>
      </x:c>
      <x:c r="J341" s="40" t="n">
        <x:v>1116311680000</x:v>
      </x:c>
      <x:c r="K341" s="40" t="n">
        <x:v>5111</x:v>
      </x:c>
      <x:c r="L341" s="40" t="n">
        <x:v>2893</x:v>
      </x:c>
      <x:c r="M341" s="40" t="n">
        <x:v>8304</x:v>
      </x:c>
      <x:c r="N341" s="41" t="n">
        <x:f>MIN(L341,M341)</x:f>
        <x:v>2893</x:v>
      </x:c>
      <x:c r="O341" s="41" t="n">
        <x:f>MAX(L341,M341)</x:f>
        <x:v>8304</x:v>
      </x:c>
      <x:c r="P341" s="41" t="n">
        <x:f>MAX(N341,MIN(K341,O341))</x:f>
        <x:v>5111</x:v>
      </x:c>
      <x:c r="Q341" s="19" t="str">
        <x:f>IF(K341&lt;N341,IF(N341=L341,"clamped_to_nominal","clamped_to_ppp"),IF(K341&gt;O341,IF(O341=L341,"clamped_to_nominal","clamped_to_ppp"),"kept_vanilla"))</x:f>
        <x:v>kept_vanilla</x:v>
      </x:c>
      <x:c r="R341" s="41" t="n">
        <x:f>P341*G341</x:f>
        <x:v>1140524229456</x:v>
      </x:c>
      <x:c r="S341" s="41" t="n">
        <x:f>R341/E341</x:f>
        <x:v>1140524229456</x:v>
      </x:c>
      <x:c r="T341" s="36" t="str">
        <x:v>NGA: IMF exact 2022</x:v>
      </x:c>
      <x:c r="U341" s="36" t="str">
        <x:v>NGA: IMF exact 2022</x:v>
      </x:c>
      <x:c r="V341" s="36" t="str">
        <x:v>NGA: IMF exact 2022</x:v>
      </x:c>
      <x:c r="W341" s="36" t="str">
        <x:v>complete_primary</x:v>
      </x:c>
      <x:c r="X341" s="36" t="str">
        <x:v>https://api.imf.org/external/sdmx/3.0/data/dataflow/IMF.RES/WEO/9.0.0/</x:v>
      </x:c>
      <x:c r="Y341" s="36" t="str">
        <x:v>https://api.worldbank.org/v2/</x:v>
      </x:c>
    </x:row>
    <x:row r="342">
      <x:c r="A342" s="24" t="str">
        <x:v>NGA</x:v>
      </x:c>
      <x:c r="B342" s="24" t="str">
        <x:v>Nigeria</x:v>
      </x:c>
      <x:c r="C342" s="24" t="str">
        <x:v>NGA</x:v>
      </x:c>
      <x:c r="D342" s="24" t="n">
        <x:v>2026</x:v>
      </x:c>
      <x:c r="E342" s="37" t="n">
        <x:v>0.87</x:v>
      </x:c>
      <x:c r="F342" s="38" t="n">
        <x:v>242431832</x:v>
      </x:c>
      <x:c r="G342" s="38" t="n">
        <x:v>242577545</x:v>
      </x:c>
      <x:c r="H342" s="39" t="n">
        <x:f>G342/F342</x:f>
        <x:v>1.000601047308012</x:v>
      </x:c>
      <x:c r="I342" s="40" t="n">
        <x:v>1394763040000</x:v>
      </x:c>
      <x:c r="J342" s="40" t="n">
        <x:v>1213443844800</x:v>
      </x:c>
      <x:c r="K342" s="40" t="n">
        <x:v>5005</x:v>
      </x:c>
      <x:c r="L342" s="40" t="n">
        <x:v>1353</x:v>
      </x:c>
      <x:c r="M342" s="40" t="n">
        <x:v>8694</x:v>
      </x:c>
      <x:c r="N342" s="41" t="n">
        <x:f>MIN(L342,M342)</x:f>
        <x:v>1353</x:v>
      </x:c>
      <x:c r="O342" s="41" t="n">
        <x:f>MAX(L342,M342)</x:f>
        <x:v>8694</x:v>
      </x:c>
      <x:c r="P342" s="41" t="n">
        <x:f>MAX(N342,MIN(K342,O342))</x:f>
        <x:v>5005</x:v>
      </x:c>
      <x:c r="Q342" s="19" t="str">
        <x:f>IF(K342&lt;N342,IF(N342=L342,"clamped_to_nominal","clamped_to_ppp"),IF(K342&gt;O342,IF(O342=L342,"clamped_to_nominal","clamped_to_ppp"),"kept_vanilla"))</x:f>
        <x:v>kept_vanilla</x:v>
      </x:c>
      <x:c r="R342" s="41" t="n">
        <x:f>P342*G342</x:f>
        <x:v>1214100612725</x:v>
      </x:c>
      <x:c r="S342" s="41" t="n">
        <x:f>R342/E342</x:f>
        <x:v>1395517945660.9194</x:v>
      </x:c>
      <x:c r="T342" s="36" t="str">
        <x:v>NGA: IMF exact 2026</x:v>
      </x:c>
      <x:c r="U342" s="36" t="str">
        <x:v>NGA: IMF exact 2026</x:v>
      </x:c>
      <x:c r="V342" s="36" t="str">
        <x:v>NGA: IMF exact 2026</x:v>
      </x:c>
      <x:c r="W342" s="36" t="str">
        <x:v>complete_primary</x:v>
      </x:c>
      <x:c r="X342" s="36" t="str">
        <x:v>https://api.imf.org/external/sdmx/3.0/data/dataflow/IMF.RES/WEO/9.0.0/</x:v>
      </x:c>
      <x:c r="Y342" s="36" t="str">
        <x:v>https://api.worldbank.org/v2/</x:v>
      </x:c>
    </x:row>
    <x:row r="343">
      <x:c r="A343" s="24" t="str">
        <x:v>PRK</x:v>
      </x:c>
      <x:c r="B343" s="24" t="str">
        <x:v>North Korea</x:v>
      </x:c>
      <x:c r="C343" s="24" t="str">
        <x:v>PRK</x:v>
      </x:c>
      <x:c r="D343" s="24" t="n">
        <x:v>2003</x:v>
      </x:c>
      <x:c r="E343" s="37" t="n">
        <x:v>1.59</x:v>
      </x:c>
      <x:c r="F343" s="38" t="n">
        <x:v>24090380</x:v>
      </x:c>
      <x:c r="G343" s="38" t="n">
        <x:v>24090380</x:v>
      </x:c>
      <x:c r="H343" s="39" t="n">
        <x:f>G343/F343</x:f>
        <x:v>1</x:v>
      </x:c>
      <x:c r="I343" s="40" t="n">
        <x:v>29580000000</x:v>
      </x:c>
      <x:c r="J343" s="40" t="n">
        <x:v>47032200000</x:v>
      </x:c>
      <x:c r="K343" s="40" t="n">
        <x:v>1952</x:v>
      </x:c>
      <x:c r="L343" s="40" t="n">
        <x:v>3825</x:v>
      </x:c>
      <x:c r="M343" s="40" t="n">
        <x:v>8168</x:v>
      </x:c>
      <x:c r="N343" s="41" t="n">
        <x:f>MIN(L343,M343)</x:f>
        <x:v>3825</x:v>
      </x:c>
      <x:c r="O343" s="41" t="n">
        <x:f>MAX(L343,M343)</x:f>
        <x:v>8168</x:v>
      </x:c>
      <x:c r="P343" s="41" t="n">
        <x:f>MAX(N343,MIN(K343,O343))</x:f>
        <x:v>3825</x:v>
      </x:c>
      <x:c r="Q343" s="19" t="str">
        <x:f>IF(K343&lt;N343,IF(N343=L343,"clamped_to_nominal","clamped_to_ppp"),IF(K343&gt;O343,IF(O343=L343,"clamped_to_nominal","clamped_to_ppp"),"kept_vanilla"))</x:f>
        <x:v>clamped_to_nominal</x:v>
      </x:c>
      <x:c r="R343" s="41" t="n">
        <x:f>P343*G343</x:f>
        <x:v>92145703500</x:v>
      </x:c>
      <x:c r="S343" s="41" t="n">
        <x:f>R343/E343</x:f>
        <x:v>57953272641.50943</x:v>
      </x:c>
      <x:c r="T343" s="36" t="str">
        <x:v>PRK: World Bank exact 2003</x:v>
      </x:c>
      <x:c r="U343" s="36" t="str">
        <x:v>PRK: nominal GDP/c inferred from East Asia &amp; Pacific median level (36 peers)</x:v>
      </x:c>
      <x:c r="V343" s="36" t="str">
        <x:v>PRK: PPP inferred from filled nominal GDP using East Asia &amp; Pacific median PPP/nominal ratio 2.136 (31 peers)</x:v>
      </x:c>
      <x:c r="W343" s="36" t="str">
        <x:v>inferred+secondary_source</x:v>
      </x:c>
      <x:c r="X343" s="36" t="str">
        <x:v>https://api.imf.org/external/sdmx/3.0/data/dataflow/IMF.RES/WEO/9.0.0/</x:v>
      </x:c>
      <x:c r="Y343" s="36" t="str">
        <x:v>https://api.worldbank.org/v2/</x:v>
      </x:c>
    </x:row>
    <x:row r="344">
      <x:c r="A344" s="24" t="str">
        <x:v>PRK</x:v>
      </x:c>
      <x:c r="B344" s="24" t="str">
        <x:v>North Korea</x:v>
      </x:c>
      <x:c r="C344" s="24" t="str">
        <x:v>PRK</x:v>
      </x:c>
      <x:c r="D344" s="24" t="n">
        <x:v>2022</x:v>
      </x:c>
      <x:c r="E344" s="37" t="n">
        <x:v>1</x:v>
      </x:c>
      <x:c r="F344" s="38" t="n">
        <x:v>26022467</x:v>
      </x:c>
      <x:c r="G344" s="38" t="n">
        <x:v>26328845</x:v>
      </x:c>
      <x:c r="H344" s="39" t="n">
        <x:f>G344/F344</x:f>
        <x:v>1.0117735954857778</x:v>
      </x:c>
      <x:c r="I344" s="40" t="n">
        <x:v>40595048601</x:v>
      </x:c>
      <x:c r="J344" s="40" t="n">
        <x:v>40595048601</x:v>
      </x:c>
      <x:c r="K344" s="40" t="n">
        <x:v>1560</x:v>
      </x:c>
      <x:c r="L344" s="40" t="n">
        <x:v>6683</x:v>
      </x:c>
      <x:c r="M344" s="40" t="n">
        <x:v>10579</x:v>
      </x:c>
      <x:c r="N344" s="41" t="n">
        <x:f>MIN(L344,M344)</x:f>
        <x:v>6683</x:v>
      </x:c>
      <x:c r="O344" s="41" t="n">
        <x:f>MAX(L344,M344)</x:f>
        <x:v>10579</x:v>
      </x:c>
      <x:c r="P344" s="41" t="n">
        <x:f>MAX(N344,MIN(K344,O344))</x:f>
        <x:v>6683</x:v>
      </x:c>
      <x:c r="Q344" s="19" t="str">
        <x:f>IF(K344&lt;N344,IF(N344=L344,"clamped_to_nominal","clamped_to_ppp"),IF(K344&gt;O344,IF(O344=L344,"clamped_to_nominal","clamped_to_ppp"),"kept_vanilla"))</x:f>
        <x:v>clamped_to_nominal</x:v>
      </x:c>
      <x:c r="R344" s="41" t="n">
        <x:f>P344*G344</x:f>
        <x:v>175955671135</x:v>
      </x:c>
      <x:c r="S344" s="41" t="n">
        <x:f>R344/E344</x:f>
        <x:v>175955671135</x:v>
      </x:c>
      <x:c r="T344" s="36" t="str">
        <x:v>PRK: World Bank exact 2022</x:v>
      </x:c>
      <x:c r="U344" s="36" t="str">
        <x:v>PRK: nominal GDP/c inferred from East Asia &amp; Pacific median level (36 peers)</x:v>
      </x:c>
      <x:c r="V344" s="36" t="str">
        <x:v>PRK: PPP inferred from filled nominal GDP using East Asia &amp; Pacific median PPP/nominal ratio 1.583 (31 peers)</x:v>
      </x:c>
      <x:c r="W344" s="36" t="str">
        <x:v>inferred+secondary_source</x:v>
      </x:c>
      <x:c r="X344" s="36" t="str">
        <x:v>https://api.imf.org/external/sdmx/3.0/data/dataflow/IMF.RES/WEO/9.0.0/</x:v>
      </x:c>
      <x:c r="Y344" s="36" t="str">
        <x:v>https://api.worldbank.org/v2/</x:v>
      </x:c>
    </x:row>
    <x:row r="345">
      <x:c r="A345" s="24" t="str">
        <x:v>PRK</x:v>
      </x:c>
      <x:c r="B345" s="24" t="str">
        <x:v>North Korea</x:v>
      </x:c>
      <x:c r="C345" s="24" t="str">
        <x:v>PRK</x:v>
      </x:c>
      <x:c r="D345" s="24" t="n">
        <x:v>2026</x:v>
      </x:c>
      <x:c r="E345" s="37" t="n">
        <x:v>0.87</x:v>
      </x:c>
      <x:c r="F345" s="38" t="n">
        <x:v>26633691</x:v>
      </x:c>
      <x:c r="G345" s="38" t="n">
        <x:v>26643446</x:v>
      </x:c>
      <x:c r="H345" s="39" t="n">
        <x:f>G345/F345</x:f>
        <x:v>1.0003662654192391</x:v>
      </x:c>
      <x:c r="I345" s="40" t="n">
        <x:v>39941985600</x:v>
      </x:c>
      <x:c r="J345" s="40" t="n">
        <x:v>34749527472</x:v>
      </x:c>
      <x:c r="K345" s="40" t="n">
        <x:v>1305</x:v>
      </x:c>
      <x:c r="L345" s="40" t="n">
        <x:v>5616</x:v>
      </x:c>
      <x:c r="M345" s="40" t="n">
        <x:v>11929</x:v>
      </x:c>
      <x:c r="N345" s="41" t="n">
        <x:f>MIN(L345,M345)</x:f>
        <x:v>5616</x:v>
      </x:c>
      <x:c r="O345" s="41" t="n">
        <x:f>MAX(L345,M345)</x:f>
        <x:v>11929</x:v>
      </x:c>
      <x:c r="P345" s="41" t="n">
        <x:f>MAX(N345,MIN(K345,O345))</x:f>
        <x:v>5616</x:v>
      </x:c>
      <x:c r="Q345" s="19" t="str">
        <x:f>IF(K345&lt;N345,IF(N345=L345,"clamped_to_nominal","clamped_to_ppp"),IF(K345&gt;O345,IF(O345=L345,"clamped_to_nominal","clamped_to_ppp"),"kept_vanilla"))</x:f>
        <x:v>clamped_to_nominal</x:v>
      </x:c>
      <x:c r="R345" s="41" t="n">
        <x:f>P345*G345</x:f>
        <x:v>149629592736</x:v>
      </x:c>
      <x:c r="S345" s="41" t="n">
        <x:f>R345/E345</x:f>
        <x:v>171988037627.5862</x:v>
      </x:c>
      <x:c r="T345" s="36" t="str">
        <x:v>PRK: population extrapolation from World Bank 2024-2025 CAGR (0.27%/yr, capped at ±5%)</x:v>
      </x:c>
      <x:c r="U345" s="36" t="str">
        <x:v>PRK: nominal GDP/c inferred from East Asia &amp; Pacific median level (25 peers)</x:v>
      </x:c>
      <x:c r="V345" s="36" t="str">
        <x:v>PRK: PPP inferred from filled nominal GDP using East Asia &amp; Pacific median PPP/nominal ratio 2.124 (25 peers)</x:v>
      </x:c>
      <x:c r="W345" s="36" t="str">
        <x:v>inferred</x:v>
      </x:c>
      <x:c r="X345" s="36" t="str">
        <x:v>https://api.imf.org/external/sdmx/3.0/data/dataflow/IMF.RES/WEO/9.0.0/</x:v>
      </x:c>
      <x:c r="Y345" s="36" t="str">
        <x:v>https://api.worldbank.org/v2/</x:v>
      </x:c>
    </x:row>
    <x:row r="346">
      <x:c r="A346" s="24" t="str">
        <x:v>MKD</x:v>
      </x:c>
      <x:c r="B346" s="24" t="str">
        <x:v>North Macedonia</x:v>
      </x:c>
      <x:c r="C346" s="24" t="str">
        <x:v>MKD</x:v>
      </x:c>
      <x:c r="D346" s="24" t="n">
        <x:v>2003</x:v>
      </x:c>
      <x:c r="E346" s="37" t="n">
        <x:v>1.59</x:v>
      </x:c>
      <x:c r="F346" s="38" t="n">
        <x:v>2081411</x:v>
      </x:c>
      <x:c r="G346" s="38" t="n">
        <x:v>2026430</x:v>
      </x:c>
      <x:c r="H346" s="39" t="n">
        <x:f>G346/F346</x:f>
        <x:v>0.973584746116937</x:v>
      </x:c>
      <x:c r="I346" s="40" t="n">
        <x:v>9383040936</x:v>
      </x:c>
      <x:c r="J346" s="40" t="n">
        <x:v>14919035088</x:v>
      </x:c>
      <x:c r="K346" s="40" t="n">
        <x:v>7168</x:v>
      </x:c>
      <x:c r="L346" s="40" t="n">
        <x:v>3881</x:v>
      </x:c>
      <x:c r="M346" s="40" t="n">
        <x:v>12590</x:v>
      </x:c>
      <x:c r="N346" s="41" t="n">
        <x:f>MIN(L346,M346)</x:f>
        <x:v>3881</x:v>
      </x:c>
      <x:c r="O346" s="41" t="n">
        <x:f>MAX(L346,M346)</x:f>
        <x:v>12590</x:v>
      </x:c>
      <x:c r="P346" s="41" t="n">
        <x:f>MAX(N346,MIN(K346,O346))</x:f>
        <x:v>7168</x:v>
      </x:c>
      <x:c r="Q346" s="19" t="str">
        <x:f>IF(K346&lt;N346,IF(N346=L346,"clamped_to_nominal","clamped_to_ppp"),IF(K346&gt;O346,IF(O346=L346,"clamped_to_nominal","clamped_to_ppp"),"kept_vanilla"))</x:f>
        <x:v>kept_vanilla</x:v>
      </x:c>
      <x:c r="R346" s="41" t="n">
        <x:f>P346*G346</x:f>
        <x:v>14525450240</x:v>
      </x:c>
      <x:c r="S346" s="41" t="n">
        <x:f>R346/E346</x:f>
        <x:v>9135503295.597485</x:v>
      </x:c>
      <x:c r="T346" s="36" t="str">
        <x:v>MKD: IMF exact 2003</x:v>
      </x:c>
      <x:c r="U346" s="36" t="str">
        <x:v>MKD: IMF exact 2003</x:v>
      </x:c>
      <x:c r="V346" s="36" t="str">
        <x:v>MKD: IMF exact 2003</x:v>
      </x:c>
      <x:c r="W346" s="36" t="str">
        <x:v>complete_primary</x:v>
      </x:c>
      <x:c r="X346" s="36" t="str">
        <x:v>https://api.imf.org/external/sdmx/3.0/data/dataflow/IMF.RES/WEO/9.0.0/</x:v>
      </x:c>
      <x:c r="Y346" s="36" t="str">
        <x:v>https://api.worldbank.org/v2/</x:v>
      </x:c>
    </x:row>
    <x:row r="347">
      <x:c r="A347" s="24" t="str">
        <x:v>MKD</x:v>
      </x:c>
      <x:c r="B347" s="24" t="str">
        <x:v>North Macedonia</x:v>
      </x:c>
      <x:c r="C347" s="24" t="str">
        <x:v>MKD</x:v>
      </x:c>
      <x:c r="D347" s="24" t="n">
        <x:v>2022</x:v>
      </x:c>
      <x:c r="E347" s="37" t="n">
        <x:v>1</x:v>
      </x:c>
      <x:c r="F347" s="38" t="n">
        <x:v>2080860</x:v>
      </x:c>
      <x:c r="G347" s="38" t="n">
        <x:v>1831712</x:v>
      </x:c>
      <x:c r="H347" s="39" t="n">
        <x:f>G347/F347</x:f>
        <x:v>0.8802668127601088</x:v>
      </x:c>
      <x:c r="I347" s="40" t="n">
        <x:v>35912800000</x:v>
      </x:c>
      <x:c r="J347" s="40" t="n">
        <x:v>35912800000</x:v>
      </x:c>
      <x:c r="K347" s="40" t="n">
        <x:v>17259</x:v>
      </x:c>
      <x:c r="L347" s="40" t="n">
        <x:v>7619</x:v>
      </x:c>
      <x:c r="M347" s="40" t="n">
        <x:v>24697</x:v>
      </x:c>
      <x:c r="N347" s="41" t="n">
        <x:f>MIN(L347,M347)</x:f>
        <x:v>7619</x:v>
      </x:c>
      <x:c r="O347" s="41" t="n">
        <x:f>MAX(L347,M347)</x:f>
        <x:v>24697</x:v>
      </x:c>
      <x:c r="P347" s="41" t="n">
        <x:f>MAX(N347,MIN(K347,O347))</x:f>
        <x:v>17259</x:v>
      </x:c>
      <x:c r="Q347" s="19" t="str">
        <x:f>IF(K347&lt;N347,IF(N347=L347,"clamped_to_nominal","clamped_to_ppp"),IF(K347&gt;O347,IF(O347=L347,"clamped_to_nominal","clamped_to_ppp"),"kept_vanilla"))</x:f>
        <x:v>kept_vanilla</x:v>
      </x:c>
      <x:c r="R347" s="41" t="n">
        <x:f>P347*G347</x:f>
        <x:v>31613517408</x:v>
      </x:c>
      <x:c r="S347" s="41" t="n">
        <x:f>R347/E347</x:f>
        <x:v>31613517408</x:v>
      </x:c>
      <x:c r="T347" s="36" t="str">
        <x:v>MKD: IMF exact 2022</x:v>
      </x:c>
      <x:c r="U347" s="36" t="str">
        <x:v>MKD: IMF exact 2022</x:v>
      </x:c>
      <x:c r="V347" s="36" t="str">
        <x:v>MKD: IMF exact 2022</x:v>
      </x:c>
      <x:c r="W347" s="36" t="str">
        <x:v>complete_primary</x:v>
      </x:c>
      <x:c r="X347" s="36" t="str">
        <x:v>https://api.imf.org/external/sdmx/3.0/data/dataflow/IMF.RES/WEO/9.0.0/</x:v>
      </x:c>
      <x:c r="Y347" s="36" t="str">
        <x:v>https://api.worldbank.org/v2/</x:v>
      </x:c>
    </x:row>
    <x:row r="348">
      <x:c r="A348" s="24" t="str">
        <x:v>MKD</x:v>
      </x:c>
      <x:c r="B348" s="24" t="str">
        <x:v>North Macedonia</x:v>
      </x:c>
      <x:c r="C348" s="24" t="str">
        <x:v>MKD</x:v>
      </x:c>
      <x:c r="D348" s="24" t="n">
        <x:v>2026</x:v>
      </x:c>
      <x:c r="E348" s="37" t="n">
        <x:v>0.87</x:v>
      </x:c>
      <x:c r="F348" s="38" t="n">
        <x:v>1804063</x:v>
      </x:c>
      <x:c r="G348" s="38" t="n">
        <x:v>1805417</x:v>
      </x:c>
      <x:c r="H348" s="39" t="n">
        <x:f>G348/F348</x:f>
        <x:v>1.000750528113486</x:v>
      </x:c>
      <x:c r="I348" s="40" t="n">
        <x:v>46943600000</x:v>
      </x:c>
      <x:c r="J348" s="40" t="n">
        <x:v>40840932000</x:v>
      </x:c>
      <x:c r="K348" s="40" t="n">
        <x:v>22638</x:v>
      </x:c>
      <x:c r="L348" s="40" t="n">
        <x:v>10411</x:v>
      </x:c>
      <x:c r="M348" s="40" t="n">
        <x:v>27619</x:v>
      </x:c>
      <x:c r="N348" s="41" t="n">
        <x:f>MIN(L348,M348)</x:f>
        <x:v>10411</x:v>
      </x:c>
      <x:c r="O348" s="41" t="n">
        <x:f>MAX(L348,M348)</x:f>
        <x:v>27619</x:v>
      </x:c>
      <x:c r="P348" s="41" t="n">
        <x:f>MAX(N348,MIN(K348,O348))</x:f>
        <x:v>22638</x:v>
      </x:c>
      <x:c r="Q348" s="19" t="str">
        <x:f>IF(K348&lt;N348,IF(N348=L348,"clamped_to_nominal","clamped_to_ppp"),IF(K348&gt;O348,IF(O348=L348,"clamped_to_nominal","clamped_to_ppp"),"kept_vanilla"))</x:f>
        <x:v>kept_vanilla</x:v>
      </x:c>
      <x:c r="R348" s="41" t="n">
        <x:f>P348*G348</x:f>
        <x:v>40871030046</x:v>
      </x:c>
      <x:c r="S348" s="41" t="n">
        <x:f>R348/E348</x:f>
        <x:v>46978195455.17242</x:v>
      </x:c>
      <x:c r="T348" s="36" t="str">
        <x:v>MKD: IMF exact 2026</x:v>
      </x:c>
      <x:c r="U348" s="36" t="str">
        <x:v>MKD: IMF exact 2026</x:v>
      </x:c>
      <x:c r="V348" s="36" t="str">
        <x:v>MKD: IMF exact 2026</x:v>
      </x:c>
      <x:c r="W348" s="36" t="str">
        <x:v>complete_primary</x:v>
      </x:c>
      <x:c r="X348" s="36" t="str">
        <x:v>https://api.imf.org/external/sdmx/3.0/data/dataflow/IMF.RES/WEO/9.0.0/</x:v>
      </x:c>
      <x:c r="Y348" s="36" t="str">
        <x:v>https://api.worldbank.org/v2/</x:v>
      </x:c>
    </x:row>
    <x:row r="349">
      <x:c r="A349" s="24" t="str">
        <x:v>NOR</x:v>
      </x:c>
      <x:c r="B349" s="24" t="str">
        <x:v>Norway</x:v>
      </x:c>
      <x:c r="C349" s="24" t="str">
        <x:v>NOR</x:v>
      </x:c>
      <x:c r="D349" s="24" t="n">
        <x:v>2003</x:v>
      </x:c>
      <x:c r="E349" s="37" t="n">
        <x:v>1.59</x:v>
      </x:c>
      <x:c r="F349" s="38" t="n">
        <x:v>4564669</x:v>
      </x:c>
      <x:c r="G349" s="38" t="n">
        <x:v>4572924</x:v>
      </x:c>
      <x:c r="H349" s="39" t="n">
        <x:f>G349/F349</x:f>
        <x:v>1.001808455333782</x:v>
      </x:c>
      <x:c r="I349" s="40" t="n">
        <x:v>121407602339</x:v>
      </x:c>
      <x:c r="J349" s="40" t="n">
        <x:v>193038087719</x:v>
      </x:c>
      <x:c r="K349" s="40" t="n">
        <x:v>42290</x:v>
      </x:c>
      <x:c r="L349" s="40" t="n">
        <x:v>79690</x:v>
      </x:c>
      <x:c r="M349" s="40" t="n">
        <x:v>72102</x:v>
      </x:c>
      <x:c r="N349" s="41" t="n">
        <x:f>MIN(L349,M349)</x:f>
        <x:v>72102</x:v>
      </x:c>
      <x:c r="O349" s="41" t="n">
        <x:f>MAX(L349,M349)</x:f>
        <x:v>79690</x:v>
      </x:c>
      <x:c r="P349" s="41" t="n">
        <x:f>MAX(N349,MIN(K349,O349))</x:f>
        <x:v>72102</x:v>
      </x:c>
      <x:c r="Q349" s="19" t="str">
        <x:f>IF(K349&lt;N349,IF(N349=L349,"clamped_to_nominal","clamped_to_ppp"),IF(K349&gt;O349,IF(O349=L349,"clamped_to_nominal","clamped_to_ppp"),"kept_vanilla"))</x:f>
        <x:v>clamped_to_ppp</x:v>
      </x:c>
      <x:c r="R349" s="41" t="n">
        <x:f>P349*G349</x:f>
        <x:v>329716966248</x:v>
      </x:c>
      <x:c r="S349" s="41" t="n">
        <x:f>R349/E349</x:f>
        <x:v>207369161162.26413</x:v>
      </x:c>
      <x:c r="T349" s="36" t="str">
        <x:v>NOR: IMF exact 2003</x:v>
      </x:c>
      <x:c r="U349" s="36" t="str">
        <x:v>NOR: IMF exact 2003</x:v>
      </x:c>
      <x:c r="V349" s="36" t="str">
        <x:v>NOR: IMF exact 2003</x:v>
      </x:c>
      <x:c r="W349" s="36" t="str">
        <x:v>complete_primary</x:v>
      </x:c>
      <x:c r="X349" s="36" t="str">
        <x:v>https://api.imf.org/external/sdmx/3.0/data/dataflow/IMF.RES/WEO/9.0.0/</x:v>
      </x:c>
      <x:c r="Y349" s="36" t="str">
        <x:v>https://api.worldbank.org/v2/</x:v>
      </x:c>
    </x:row>
    <x:row r="350">
      <x:c r="A350" s="24" t="str">
        <x:v>NOR</x:v>
      </x:c>
      <x:c r="B350" s="24" t="str">
        <x:v>Norway</x:v>
      </x:c>
      <x:c r="C350" s="24" t="str">
        <x:v>NOR</x:v>
      </x:c>
      <x:c r="D350" s="24" t="n">
        <x:v>2022</x:v>
      </x:c>
      <x:c r="E350" s="37" t="n">
        <x:v>1</x:v>
      </x:c>
      <x:c r="F350" s="38" t="n">
        <x:v>5525579</x:v>
      </x:c>
      <x:c r="G350" s="38" t="n">
        <x:v>5475240</x:v>
      </x:c>
      <x:c r="H350" s="39" t="n">
        <x:f>G350/F350</x:f>
        <x:v>0.9908898234918005</x:v>
      </x:c>
      <x:c r="I350" s="40" t="n">
        <x:v>373006480000</x:v>
      </x:c>
      <x:c r="J350" s="40" t="n">
        <x:v>373006480000</x:v>
      </x:c>
      <x:c r="K350" s="40" t="n">
        <x:v>67505</x:v>
      </x:c>
      <x:c r="L350" s="40" t="n">
        <x:v>112748</x:v>
      </x:c>
      <x:c r="M350" s="40" t="n">
        <x:v>101794</x:v>
      </x:c>
      <x:c r="N350" s="41" t="n">
        <x:f>MIN(L350,M350)</x:f>
        <x:v>101794</x:v>
      </x:c>
      <x:c r="O350" s="41" t="n">
        <x:f>MAX(L350,M350)</x:f>
        <x:v>112748</x:v>
      </x:c>
      <x:c r="P350" s="41" t="n">
        <x:f>MAX(N350,MIN(K350,O350))</x:f>
        <x:v>101794</x:v>
      </x:c>
      <x:c r="Q350" s="19" t="str">
        <x:f>IF(K350&lt;N350,IF(N350=L350,"clamped_to_nominal","clamped_to_ppp"),IF(K350&gt;O350,IF(O350=L350,"clamped_to_nominal","clamped_to_ppp"),"kept_vanilla"))</x:f>
        <x:v>clamped_to_ppp</x:v>
      </x:c>
      <x:c r="R350" s="41" t="n">
        <x:f>P350*G350</x:f>
        <x:v>557346580560</x:v>
      </x:c>
      <x:c r="S350" s="41" t="n">
        <x:f>R350/E350</x:f>
        <x:v>557346580560</x:v>
      </x:c>
      <x:c r="T350" s="36" t="str">
        <x:v>NOR: IMF exact 2022</x:v>
      </x:c>
      <x:c r="U350" s="36" t="str">
        <x:v>NOR: IMF exact 2022</x:v>
      </x:c>
      <x:c r="V350" s="36" t="str">
        <x:v>NOR: IMF exact 2022</x:v>
      </x:c>
      <x:c r="W350" s="36" t="str">
        <x:v>complete_primary</x:v>
      </x:c>
      <x:c r="X350" s="36" t="str">
        <x:v>https://api.imf.org/external/sdmx/3.0/data/dataflow/IMF.RES/WEO/9.0.0/</x:v>
      </x:c>
      <x:c r="Y350" s="36" t="str">
        <x:v>https://api.worldbank.org/v2/</x:v>
      </x:c>
    </x:row>
    <x:row r="351">
      <x:c r="A351" s="24" t="str">
        <x:v>NOR</x:v>
      </x:c>
      <x:c r="B351" s="24" t="str">
        <x:v>Norway</x:v>
      </x:c>
      <x:c r="C351" s="24" t="str">
        <x:v>NOR</x:v>
      </x:c>
      <x:c r="D351" s="24" t="n">
        <x:v>2026</x:v>
      </x:c>
      <x:c r="E351" s="37" t="n">
        <x:v>0.87</x:v>
      </x:c>
      <x:c r="F351" s="38" t="n">
        <x:v>5652989</x:v>
      </x:c>
      <x:c r="G351" s="38" t="n">
        <x:v>5661353</x:v>
      </x:c>
      <x:c r="H351" s="39" t="n">
        <x:f>G351/F351</x:f>
        <x:v>1.001479571249829</x:v>
      </x:c>
      <x:c r="I351" s="40" t="n">
        <x:v>533799200000</x:v>
      </x:c>
      <x:c r="J351" s="40" t="n">
        <x:v>464405304000</x:v>
      </x:c>
      <x:c r="K351" s="40" t="n">
        <x:v>82152</x:v>
      </x:c>
      <x:c r="L351" s="40" t="n">
        <x:v>92113</x:v>
      </x:c>
      <x:c r="M351" s="40" t="n">
        <x:v>100527</x:v>
      </x:c>
      <x:c r="N351" s="41" t="n">
        <x:f>MIN(L351,M351)</x:f>
        <x:v>92113</x:v>
      </x:c>
      <x:c r="O351" s="41" t="n">
        <x:f>MAX(L351,M351)</x:f>
        <x:v>100527</x:v>
      </x:c>
      <x:c r="P351" s="41" t="n">
        <x:f>MAX(N351,MIN(K351,O351))</x:f>
        <x:v>92113</x:v>
      </x:c>
      <x:c r="Q351" s="19" t="str">
        <x:f>IF(K351&lt;N351,IF(N351=L351,"clamped_to_nominal","clamped_to_ppp"),IF(K351&gt;O351,IF(O351=L351,"clamped_to_nominal","clamped_to_ppp"),"kept_vanilla"))</x:f>
        <x:v>clamped_to_nominal</x:v>
      </x:c>
      <x:c r="R351" s="41" t="n">
        <x:f>P351*G351</x:f>
        <x:v>521484208889</x:v>
      </x:c>
      <x:c r="S351" s="41" t="n">
        <x:f>R351/E351</x:f>
        <x:v>599407136654.023</x:v>
      </x:c>
      <x:c r="T351" s="36" t="str">
        <x:v>NOR: IMF exact 2026</x:v>
      </x:c>
      <x:c r="U351" s="36" t="str">
        <x:v>NOR: IMF exact 2026</x:v>
      </x:c>
      <x:c r="V351" s="36" t="str">
        <x:v>NOR: IMF exact 2026</x:v>
      </x:c>
      <x:c r="W351" s="36" t="str">
        <x:v>complete_primary</x:v>
      </x:c>
      <x:c r="X351" s="36" t="str">
        <x:v>https://api.imf.org/external/sdmx/3.0/data/dataflow/IMF.RES/WEO/9.0.0/</x:v>
      </x:c>
      <x:c r="Y351" s="36" t="str">
        <x:v>https://api.worldbank.org/v2/</x:v>
      </x:c>
    </x:row>
    <x:row r="352">
      <x:c r="A352" s="24" t="str">
        <x:v>OMN</x:v>
      </x:c>
      <x:c r="B352" s="24" t="str">
        <x:v>Oman</x:v>
      </x:c>
      <x:c r="C352" s="24" t="str">
        <x:v>OMN</x:v>
      </x:c>
      <x:c r="D352" s="24" t="n">
        <x:v>2003</x:v>
      </x:c>
      <x:c r="E352" s="37" t="n">
        <x:v>1.59</x:v>
      </x:c>
      <x:c r="F352" s="38" t="n">
        <x:v>2363796</x:v>
      </x:c>
      <x:c r="G352" s="38" t="n">
        <x:v>2525751</x:v>
      </x:c>
      <x:c r="H352" s="39" t="n">
        <x:f>G352/F352</x:f>
        <x:v>1.0685147956930294</x:v>
      </x:c>
      <x:c r="I352" s="40" t="n">
        <x:v>38152046784</x:v>
      </x:c>
      <x:c r="J352" s="40" t="n">
        <x:v>60661754387</x:v>
      </x:c>
      <x:c r="K352" s="40" t="n">
        <x:v>25663</x:v>
      </x:c>
      <x:c r="L352" s="40" t="n">
        <x:v>15570</x:v>
      </x:c>
      <x:c r="M352" s="40" t="n">
        <x:v>41070</x:v>
      </x:c>
      <x:c r="N352" s="41" t="n">
        <x:f>MIN(L352,M352)</x:f>
        <x:v>15570</x:v>
      </x:c>
      <x:c r="O352" s="41" t="n">
        <x:f>MAX(L352,M352)</x:f>
        <x:v>41070</x:v>
      </x:c>
      <x:c r="P352" s="41" t="n">
        <x:f>MAX(N352,MIN(K352,O352))</x:f>
        <x:v>25663</x:v>
      </x:c>
      <x:c r="Q352" s="19" t="str">
        <x:f>IF(K352&lt;N352,IF(N352=L352,"clamped_to_nominal","clamped_to_ppp"),IF(K352&gt;O352,IF(O352=L352,"clamped_to_nominal","clamped_to_ppp"),"kept_vanilla"))</x:f>
        <x:v>kept_vanilla</x:v>
      </x:c>
      <x:c r="R352" s="41" t="n">
        <x:f>P352*G352</x:f>
        <x:v>64818347913</x:v>
      </x:c>
      <x:c r="S352" s="41" t="n">
        <x:f>R352/E352</x:f>
        <x:v>40766256549.0566</x:v>
      </x:c>
      <x:c r="T352" s="36" t="str">
        <x:v>OMN: IMF exact 2003</x:v>
      </x:c>
      <x:c r="U352" s="36" t="str">
        <x:v>OMN: IMF exact 2003</x:v>
      </x:c>
      <x:c r="V352" s="36" t="str">
        <x:v>OMN: IMF exact 2003</x:v>
      </x:c>
      <x:c r="W352" s="36" t="str">
        <x:v>complete_primary</x:v>
      </x:c>
      <x:c r="X352" s="36" t="str">
        <x:v>https://api.imf.org/external/sdmx/3.0/data/dataflow/IMF.RES/WEO/9.0.0/</x:v>
      </x:c>
      <x:c r="Y352" s="36" t="str">
        <x:v>https://api.worldbank.org/v2/</x:v>
      </x:c>
    </x:row>
    <x:row r="353">
      <x:c r="A353" s="24" t="str">
        <x:v>OMN</x:v>
      </x:c>
      <x:c r="B353" s="24" t="str">
        <x:v>Oman</x:v>
      </x:c>
      <x:c r="C353" s="24" t="str">
        <x:v>OMN</x:v>
      </x:c>
      <x:c r="D353" s="24" t="n">
        <x:v>2022</x:v>
      </x:c>
      <x:c r="E353" s="37" t="n">
        <x:v>1</x:v>
      </x:c>
      <x:c r="F353" s="38" t="n">
        <x:v>5354087</x:v>
      </x:c>
      <x:c r="G353" s="38" t="n">
        <x:v>4933850</x:v>
      </x:c>
      <x:c r="H353" s="39" t="n">
        <x:f>G353/F353</x:f>
        <x:v>0.9215109877743862</x:v>
      </x:c>
      <x:c r="I353" s="40" t="n">
        <x:v>146033360000</x:v>
      </x:c>
      <x:c r="J353" s="40" t="n">
        <x:v>146033360000</x:v>
      </x:c>
      <x:c r="K353" s="40" t="n">
        <x:v>27275</x:v>
      </x:c>
      <x:c r="L353" s="40" t="n">
        <x:v>22265</x:v>
      </x:c>
      <x:c r="M353" s="40" t="n">
        <x:v>40851</x:v>
      </x:c>
      <x:c r="N353" s="41" t="n">
        <x:f>MIN(L353,M353)</x:f>
        <x:v>22265</x:v>
      </x:c>
      <x:c r="O353" s="41" t="n">
        <x:f>MAX(L353,M353)</x:f>
        <x:v>40851</x:v>
      </x:c>
      <x:c r="P353" s="41" t="n">
        <x:f>MAX(N353,MIN(K353,O353))</x:f>
        <x:v>27275</x:v>
      </x:c>
      <x:c r="Q353" s="19" t="str">
        <x:f>IF(K353&lt;N353,IF(N353=L353,"clamped_to_nominal","clamped_to_ppp"),IF(K353&gt;O353,IF(O353=L353,"clamped_to_nominal","clamped_to_ppp"),"kept_vanilla"))</x:f>
        <x:v>kept_vanilla</x:v>
      </x:c>
      <x:c r="R353" s="41" t="n">
        <x:f>P353*G353</x:f>
        <x:v>134570758750</x:v>
      </x:c>
      <x:c r="S353" s="41" t="n">
        <x:f>R353/E353</x:f>
        <x:v>134570758750</x:v>
      </x:c>
      <x:c r="T353" s="36" t="str">
        <x:v>OMN: IMF exact 2022</x:v>
      </x:c>
      <x:c r="U353" s="36" t="str">
        <x:v>OMN: IMF exact 2022</x:v>
      </x:c>
      <x:c r="V353" s="36" t="str">
        <x:v>OMN: IMF exact 2022</x:v>
      </x:c>
      <x:c r="W353" s="36" t="str">
        <x:v>complete_primary</x:v>
      </x:c>
      <x:c r="X353" s="36" t="str">
        <x:v>https://api.imf.org/external/sdmx/3.0/data/dataflow/IMF.RES/WEO/9.0.0/</x:v>
      </x:c>
      <x:c r="Y353" s="36" t="str">
        <x:v>https://api.worldbank.org/v2/</x:v>
      </x:c>
    </x:row>
    <x:row r="354">
      <x:c r="A354" s="24" t="str">
        <x:v>OMN</x:v>
      </x:c>
      <x:c r="B354" s="24" t="str">
        <x:v>Oman</x:v>
      </x:c>
      <x:c r="C354" s="24" t="str">
        <x:v>OMN</x:v>
      </x:c>
      <x:c r="D354" s="24" t="n">
        <x:v>2026</x:v>
      </x:c>
      <x:c r="E354" s="37" t="n">
        <x:v>0.87</x:v>
      </x:c>
      <x:c r="F354" s="38" t="n">
        <x:v>5671459</x:v>
      </x:c>
      <x:c r="G354" s="38" t="n">
        <x:v>5413559</x:v>
      </x:c>
      <x:c r="H354" s="39" t="n">
        <x:f>G354/F354</x:f>
        <x:v>0.9545266923378976</x:v>
      </x:c>
      <x:c r="I354" s="40" t="n">
        <x:v>203420800000</x:v>
      </x:c>
      <x:c r="J354" s="40" t="n">
        <x:v>176976096000</x:v>
      </x:c>
      <x:c r="K354" s="40" t="n">
        <x:v>31205</x:v>
      </x:c>
      <x:c r="L354" s="40" t="n">
        <x:v>18831</x:v>
      </x:c>
      <x:c r="M354" s="40" t="n">
        <x:v>39757</x:v>
      </x:c>
      <x:c r="N354" s="41" t="n">
        <x:f>MIN(L354,M354)</x:f>
        <x:v>18831</x:v>
      </x:c>
      <x:c r="O354" s="41" t="n">
        <x:f>MAX(L354,M354)</x:f>
        <x:v>39757</x:v>
      </x:c>
      <x:c r="P354" s="41" t="n">
        <x:f>MAX(N354,MIN(K354,O354))</x:f>
        <x:v>31205</x:v>
      </x:c>
      <x:c r="Q354" s="19" t="str">
        <x:f>IF(K354&lt;N354,IF(N354=L354,"clamped_to_nominal","clamped_to_ppp"),IF(K354&gt;O354,IF(O354=L354,"clamped_to_nominal","clamped_to_ppp"),"kept_vanilla"))</x:f>
        <x:v>kept_vanilla</x:v>
      </x:c>
      <x:c r="R354" s="41" t="n">
        <x:f>P354*G354</x:f>
        <x:v>168930108595</x:v>
      </x:c>
      <x:c r="S354" s="41" t="n">
        <x:f>R354/E354</x:f>
        <x:v>194172538614.94254</x:v>
      </x:c>
      <x:c r="T354" s="36" t="str">
        <x:v>OMN: IMF exact 2026</x:v>
      </x:c>
      <x:c r="U354" s="36" t="str">
        <x:v>OMN: IMF exact 2026</x:v>
      </x:c>
      <x:c r="V354" s="36" t="str">
        <x:v>OMN: IMF exact 2026</x:v>
      </x:c>
      <x:c r="W354" s="36" t="str">
        <x:v>complete_primary</x:v>
      </x:c>
      <x:c r="X354" s="36" t="str">
        <x:v>https://api.imf.org/external/sdmx/3.0/data/dataflow/IMF.RES/WEO/9.0.0/</x:v>
      </x:c>
      <x:c r="Y354" s="36" t="str">
        <x:v>https://api.worldbank.org/v2/</x:v>
      </x:c>
    </x:row>
    <x:row r="355">
      <x:c r="A355" s="24" t="str">
        <x:v>PAK</x:v>
      </x:c>
      <x:c r="B355" s="24" t="str">
        <x:v>Pakistan</x:v>
      </x:c>
      <x:c r="C355" s="24" t="str">
        <x:v>PAK</x:v>
      </x:c>
      <x:c r="D355" s="24" t="n">
        <x:v>2003</x:v>
      </x:c>
      <x:c r="E355" s="37" t="n">
        <x:v>1.59</x:v>
      </x:c>
      <x:c r="F355" s="38" t="n">
        <x:v>167110248</x:v>
      </x:c>
      <x:c r="G355" s="38" t="n">
        <x:v>145780000</x:v>
      </x:c>
      <x:c r="H355" s="39" t="n">
        <x:f>G355/F355</x:f>
        <x:v>0.8723582290417042</x:v>
      </x:c>
      <x:c r="I355" s="40" t="n">
        <x:v>266791812865</x:v>
      </x:c>
      <x:c r="J355" s="40" t="n">
        <x:v>424198982455</x:v>
      </x:c>
      <x:c r="K355" s="40" t="n">
        <x:v>2538</x:v>
      </x:c>
      <x:c r="L355" s="40" t="n">
        <x:v>1227</x:v>
      </x:c>
      <x:c r="M355" s="40" t="n">
        <x:v>4976</x:v>
      </x:c>
      <x:c r="N355" s="41" t="n">
        <x:f>MIN(L355,M355)</x:f>
        <x:v>1227</x:v>
      </x:c>
      <x:c r="O355" s="41" t="n">
        <x:f>MAX(L355,M355)</x:f>
        <x:v>4976</x:v>
      </x:c>
      <x:c r="P355" s="41" t="n">
        <x:f>MAX(N355,MIN(K355,O355))</x:f>
        <x:v>2538</x:v>
      </x:c>
      <x:c r="Q355" s="19" t="str">
        <x:f>IF(K355&lt;N355,IF(N355=L355,"clamped_to_nominal","clamped_to_ppp"),IF(K355&gt;O355,IF(O355=L355,"clamped_to_nominal","clamped_to_ppp"),"kept_vanilla"))</x:f>
        <x:v>kept_vanilla</x:v>
      </x:c>
      <x:c r="R355" s="41" t="n">
        <x:f>P355*G355</x:f>
        <x:v>369989640000</x:v>
      </x:c>
      <x:c r="S355" s="41" t="n">
        <x:f>R355/E355</x:f>
        <x:v>232697886792.45282</x:v>
      </x:c>
      <x:c r="T355" s="36" t="str">
        <x:v>PAK: IMF exact 2003</x:v>
      </x:c>
      <x:c r="U355" s="36" t="str">
        <x:v>PAK: IMF exact 2003</x:v>
      </x:c>
      <x:c r="V355" s="36" t="str">
        <x:v>PAK: IMF exact 2003</x:v>
      </x:c>
      <x:c r="W355" s="36" t="str">
        <x:v>complete_primary</x:v>
      </x:c>
      <x:c r="X355" s="36" t="str">
        <x:v>https://api.imf.org/external/sdmx/3.0/data/dataflow/IMF.RES/WEO/9.0.0/</x:v>
      </x:c>
      <x:c r="Y355" s="36" t="str">
        <x:v>https://api.worldbank.org/v2/</x:v>
      </x:c>
    </x:row>
    <x:row r="356">
      <x:c r="A356" s="24" t="str">
        <x:v>PAK</x:v>
      </x:c>
      <x:c r="B356" s="24" t="str">
        <x:v>Pakistan</x:v>
      </x:c>
      <x:c r="C356" s="24" t="str">
        <x:v>PAK</x:v>
      </x:c>
      <x:c r="D356" s="24" t="n">
        <x:v>2022</x:v>
      </x:c>
      <x:c r="E356" s="37" t="n">
        <x:v>1</x:v>
      </x:c>
      <x:c r="F356" s="38" t="n">
        <x:v>230827901</x:v>
      </x:c>
      <x:c r="G356" s="38" t="n">
        <x:v>227000000</x:v>
      </x:c>
      <x:c r="H356" s="39" t="n">
        <x:f>G356/F356</x:f>
        <x:v>0.9834166451134518</x:v>
      </x:c>
      <x:c r="I356" s="40" t="n">
        <x:v>1292598560000</x:v>
      </x:c>
      <x:c r="J356" s="40" t="n">
        <x:v>1292598560000</x:v>
      </x:c>
      <x:c r="K356" s="40" t="n">
        <x:v>5600</x:v>
      </x:c>
      <x:c r="L356" s="40" t="n">
        <x:v>1651</x:v>
      </x:c>
      <x:c r="M356" s="40" t="n">
        <x:v>6440</x:v>
      </x:c>
      <x:c r="N356" s="41" t="n">
        <x:f>MIN(L356,M356)</x:f>
        <x:v>1651</x:v>
      </x:c>
      <x:c r="O356" s="41" t="n">
        <x:f>MAX(L356,M356)</x:f>
        <x:v>6440</x:v>
      </x:c>
      <x:c r="P356" s="41" t="n">
        <x:f>MAX(N356,MIN(K356,O356))</x:f>
        <x:v>5600</x:v>
      </x:c>
      <x:c r="Q356" s="19" t="str">
        <x:f>IF(K356&lt;N356,IF(N356=L356,"clamped_to_nominal","clamped_to_ppp"),IF(K356&gt;O356,IF(O356=L356,"clamped_to_nominal","clamped_to_ppp"),"kept_vanilla"))</x:f>
        <x:v>kept_vanilla</x:v>
      </x:c>
      <x:c r="R356" s="41" t="n">
        <x:f>P356*G356</x:f>
        <x:v>1271200000000</x:v>
      </x:c>
      <x:c r="S356" s="41" t="n">
        <x:f>R356/E356</x:f>
        <x:v>1271200000000</x:v>
      </x:c>
      <x:c r="T356" s="36" t="str">
        <x:v>PAK: IMF exact 2022</x:v>
      </x:c>
      <x:c r="U356" s="36" t="str">
        <x:v>PAK: IMF exact 2022</x:v>
      </x:c>
      <x:c r="V356" s="36" t="str">
        <x:v>PAK: IMF exact 2022</x:v>
      </x:c>
      <x:c r="W356" s="36" t="str">
        <x:v>complete_primary</x:v>
      </x:c>
      <x:c r="X356" s="36" t="str">
        <x:v>https://api.imf.org/external/sdmx/3.0/data/dataflow/IMF.RES/WEO/9.0.0/</x:v>
      </x:c>
      <x:c r="Y356" s="36" t="str">
        <x:v>https://api.worldbank.org/v2/</x:v>
      </x:c>
    </x:row>
    <x:row r="357">
      <x:c r="A357" s="24" t="str">
        <x:v>PAK</x:v>
      </x:c>
      <x:c r="B357" s="24" t="str">
        <x:v>Pakistan</x:v>
      </x:c>
      <x:c r="C357" s="24" t="str">
        <x:v>PAK</x:v>
      </x:c>
      <x:c r="D357" s="24" t="n">
        <x:v>2026</x:v>
      </x:c>
      <x:c r="E357" s="37" t="n">
        <x:v>0.87</x:v>
      </x:c>
      <x:c r="F357" s="38" t="n">
        <x:v>259299792</x:v>
      </x:c>
      <x:c r="G357" s="38" t="n">
        <x:v>245117356</x:v>
      </x:c>
      <x:c r="H357" s="39" t="n">
        <x:f>G357/F357</x:f>
        <x:v>0.9453048693536938</x:v>
      </x:c>
      <x:c r="I357" s="40" t="n">
        <x:v>1470815280000</x:v>
      </x:c>
      <x:c r="J357" s="40" t="n">
        <x:v>1279609293600</x:v>
      </x:c>
      <x:c r="K357" s="40" t="n">
        <x:v>4935</x:v>
      </x:c>
      <x:c r="L357" s="40" t="n">
        <x:v>1573</x:v>
      </x:c>
      <x:c r="M357" s="40" t="n">
        <x:v>6381</x:v>
      </x:c>
      <x:c r="N357" s="41" t="n">
        <x:f>MIN(L357,M357)</x:f>
        <x:v>1573</x:v>
      </x:c>
      <x:c r="O357" s="41" t="n">
        <x:f>MAX(L357,M357)</x:f>
        <x:v>6381</x:v>
      </x:c>
      <x:c r="P357" s="41" t="n">
        <x:f>MAX(N357,MIN(K357,O357))</x:f>
        <x:v>4935</x:v>
      </x:c>
      <x:c r="Q357" s="19" t="str">
        <x:f>IF(K357&lt;N357,IF(N357=L357,"clamped_to_nominal","clamped_to_ppp"),IF(K357&gt;O357,IF(O357=L357,"clamped_to_nominal","clamped_to_ppp"),"kept_vanilla"))</x:f>
        <x:v>kept_vanilla</x:v>
      </x:c>
      <x:c r="R357" s="41" t="n">
        <x:f>P357*G357</x:f>
        <x:v>1209654151860</x:v>
      </x:c>
      <x:c r="S357" s="41" t="n">
        <x:f>R357/E357</x:f>
        <x:v>1390407071103.4482</x:v>
      </x:c>
      <x:c r="T357" s="36" t="str">
        <x:v>PAK: IMF exact 2026</x:v>
      </x:c>
      <x:c r="U357" s="36" t="str">
        <x:v>PAK: peer-growth inference from IMF 2025; Middle East, North Africa, Afghanistan &amp; Pakistan median 3.66%/yr (18 peers, capped at ±8%)</x:v>
      </x:c>
      <x:c r="V357" s="36" t="str">
        <x:v>PAK: IMF exact 2026</x:v>
      </x:c>
      <x:c r="W357" s="36" t="str">
        <x:v>inferred</x:v>
      </x:c>
      <x:c r="X357" s="36" t="str">
        <x:v>https://api.imf.org/external/sdmx/3.0/data/dataflow/IMF.RES/WEO/9.0.0/</x:v>
      </x:c>
      <x:c r="Y357" s="36" t="str">
        <x:v>https://api.worldbank.org/v2/</x:v>
      </x:c>
    </x:row>
    <x:row r="358">
      <x:c r="A358" s="24" t="str">
        <x:v>PAL</x:v>
      </x:c>
      <x:c r="B358" s="24" t="str">
        <x:v>Palestine</x:v>
      </x:c>
      <x:c r="C358" s="24" t="str">
        <x:v>WBG</x:v>
      </x:c>
      <x:c r="D358" s="24" t="n">
        <x:v>2003</x:v>
      </x:c>
      <x:c r="E358" s="37" t="n">
        <x:v>1.59</x:v>
      </x:c>
      <x:c r="F358" s="38" t="n">
        <x:v>3398070</x:v>
      </x:c>
      <x:c r="G358" s="38" t="n">
        <x:v>3314509</x:v>
      </x:c>
      <x:c r="H358" s="39" t="n">
        <x:f>G358/F358</x:f>
        <x:v>0.9754092764422158</x:v>
      </x:c>
      <x:c r="I358" s="40" t="n">
        <x:v>5115204678</x:v>
      </x:c>
      <x:c r="J358" s="40" t="n">
        <x:v>8133175438</x:v>
      </x:c>
      <x:c r="K358" s="40" t="n">
        <x:v>2393</x:v>
      </x:c>
      <x:c r="L358" s="40" t="n">
        <x:v>1903</x:v>
      </x:c>
      <x:c r="M358" s="40" t="n">
        <x:v>4196</x:v>
      </x:c>
      <x:c r="N358" s="41" t="n">
        <x:f>MIN(L358,M358)</x:f>
        <x:v>1903</x:v>
      </x:c>
      <x:c r="O358" s="41" t="n">
        <x:f>MAX(L358,M358)</x:f>
        <x:v>4196</x:v>
      </x:c>
      <x:c r="P358" s="41" t="n">
        <x:f>MAX(N358,MIN(K358,O358))</x:f>
        <x:v>2393</x:v>
      </x:c>
      <x:c r="Q358" s="19" t="str">
        <x:f>IF(K358&lt;N358,IF(N358=L358,"clamped_to_nominal","clamped_to_ppp"),IF(K358&gt;O358,IF(O358=L358,"clamped_to_nominal","clamped_to_ppp"),"kept_vanilla"))</x:f>
        <x:v>kept_vanilla</x:v>
      </x:c>
      <x:c r="R358" s="41" t="n">
        <x:f>P358*G358</x:f>
        <x:v>7931620037</x:v>
      </x:c>
      <x:c r="S358" s="41" t="n">
        <x:f>R358/E358</x:f>
        <x:v>4988440274.842767</x:v>
      </x:c>
      <x:c r="T358" s="36" t="str">
        <x:v>WBG: IMF exact 2003</x:v>
      </x:c>
      <x:c r="U358" s="36" t="str">
        <x:v>WBG: IMF exact 2003</x:v>
      </x:c>
      <x:c r="V358" s="36" t="str">
        <x:v>WBG: IMF exact 2003</x:v>
      </x:c>
      <x:c r="W358" s="36" t="str">
        <x:v>complete_primary</x:v>
      </x:c>
      <x:c r="X358" s="36" t="str">
        <x:v>https://api.imf.org/external/sdmx/3.0/data/dataflow/IMF.RES/WEO/9.0.0/</x:v>
      </x:c>
      <x:c r="Y358" s="36" t="str">
        <x:v>https://api.worldbank.org/v2/</x:v>
      </x:c>
    </x:row>
    <x:row r="359">
      <x:c r="A359" s="24" t="str">
        <x:v>PAL</x:v>
      </x:c>
      <x:c r="B359" s="24" t="str">
        <x:v>Palestine</x:v>
      </x:c>
      <x:c r="C359" s="24" t="str">
        <x:v>WBG</x:v>
      </x:c>
      <x:c r="D359" s="24" t="n">
        <x:v>2022</x:v>
      </x:c>
      <x:c r="E359" s="37" t="n">
        <x:v>1</x:v>
      </x:c>
      <x:c r="F359" s="38" t="n">
        <x:v>5384358</x:v>
      </x:c>
      <x:c r="G359" s="38" t="n">
        <x:v>5354656</x:v>
      </x:c>
      <x:c r="H359" s="39" t="n">
        <x:f>G359/F359</x:f>
        <x:v>0.9944836506042132</x:v>
      </x:c>
      <x:c r="I359" s="40" t="n">
        <x:v>27095000000</x:v>
      </x:c>
      <x:c r="J359" s="40" t="n">
        <x:v>27095000000</x:v>
      </x:c>
      <x:c r="K359" s="40" t="n">
        <x:v>5032</x:v>
      </x:c>
      <x:c r="L359" s="40" t="n">
        <x:v>3579</x:v>
      </x:c>
      <x:c r="M359" s="40" t="n">
        <x:v>5804</x:v>
      </x:c>
      <x:c r="N359" s="41" t="n">
        <x:f>MIN(L359,M359)</x:f>
        <x:v>3579</x:v>
      </x:c>
      <x:c r="O359" s="41" t="n">
        <x:f>MAX(L359,M359)</x:f>
        <x:v>5804</x:v>
      </x:c>
      <x:c r="P359" s="41" t="n">
        <x:f>MAX(N359,MIN(K359,O359))</x:f>
        <x:v>5032</x:v>
      </x:c>
      <x:c r="Q359" s="19" t="str">
        <x:f>IF(K359&lt;N359,IF(N359=L359,"clamped_to_nominal","clamped_to_ppp"),IF(K359&gt;O359,IF(O359=L359,"clamped_to_nominal","clamped_to_ppp"),"kept_vanilla"))</x:f>
        <x:v>kept_vanilla</x:v>
      </x:c>
      <x:c r="R359" s="41" t="n">
        <x:f>P359*G359</x:f>
        <x:v>26944628992</x:v>
      </x:c>
      <x:c r="S359" s="41" t="n">
        <x:f>R359/E359</x:f>
        <x:v>26944628992</x:v>
      </x:c>
      <x:c r="T359" s="36" t="str">
        <x:v>WBG: IMF exact 2022</x:v>
      </x:c>
      <x:c r="U359" s="36" t="str">
        <x:v>WBG: IMF exact 2022</x:v>
      </x:c>
      <x:c r="V359" s="36" t="str">
        <x:v>WBG: IMF exact 2022</x:v>
      </x:c>
      <x:c r="W359" s="36" t="str">
        <x:v>complete_primary</x:v>
      </x:c>
      <x:c r="X359" s="36" t="str">
        <x:v>https://api.imf.org/external/sdmx/3.0/data/dataflow/IMF.RES/WEO/9.0.0/</x:v>
      </x:c>
      <x:c r="Y359" s="36" t="str">
        <x:v>https://api.worldbank.org/v2/</x:v>
      </x:c>
    </x:row>
    <x:row r="360">
      <x:c r="A360" s="24" t="str">
        <x:v>PAL</x:v>
      </x:c>
      <x:c r="B360" s="24" t="str">
        <x:v>Palestine</x:v>
      </x:c>
      <x:c r="C360" s="24" t="str">
        <x:v>WBG</x:v>
      </x:c>
      <x:c r="D360" s="24" t="n">
        <x:v>2026</x:v>
      </x:c>
      <x:c r="E360" s="37" t="n">
        <x:v>0.87</x:v>
      </x:c>
      <x:c r="F360" s="38" t="n">
        <x:v>5692790</x:v>
      </x:c>
      <x:c r="G360" s="38" t="n">
        <x:v>5863622</x:v>
      </x:c>
      <x:c r="H360" s="39" t="n">
        <x:f>G360/F360</x:f>
        <x:v>1.030008484416253</x:v>
      </x:c>
      <x:c r="I360" s="40" t="n">
        <x:v>29192240000</x:v>
      </x:c>
      <x:c r="J360" s="40" t="n">
        <x:v>25397248800</x:v>
      </x:c>
      <x:c r="K360" s="40" t="n">
        <x:v>4461</x:v>
      </x:c>
      <x:c r="L360" s="40" t="n">
        <x:v>2776</x:v>
      </x:c>
      <x:c r="M360" s="40" t="n">
        <x:v>4315</x:v>
      </x:c>
      <x:c r="N360" s="41" t="n">
        <x:f>MIN(L360,M360)</x:f>
        <x:v>2776</x:v>
      </x:c>
      <x:c r="O360" s="41" t="n">
        <x:f>MAX(L360,M360)</x:f>
        <x:v>4315</x:v>
      </x:c>
      <x:c r="P360" s="41" t="n">
        <x:f>MAX(N360,MIN(K360,O360))</x:f>
        <x:v>4315</x:v>
      </x:c>
      <x:c r="Q360" s="19" t="str">
        <x:f>IF(K360&lt;N360,IF(N360=L360,"clamped_to_nominal","clamped_to_ppp"),IF(K360&gt;O360,IF(O360=L360,"clamped_to_nominal","clamped_to_ppp"),"kept_vanilla"))</x:f>
        <x:v>clamped_to_ppp</x:v>
      </x:c>
      <x:c r="R360" s="41" t="n">
        <x:f>P360*G360</x:f>
        <x:v>25301528930</x:v>
      </x:c>
      <x:c r="S360" s="41" t="n">
        <x:f>R360/E360</x:f>
        <x:v>29082217160.91954</x:v>
      </x:c>
      <x:c r="T360" s="36" t="str">
        <x:v>WBG: population extrapolation from IMF 2024-2025 CAGR (2.20%/yr, capped at ±5%)</x:v>
      </x:c>
      <x:c r="U360" s="36" t="str">
        <x:v>WBG: peer-growth inference from World Bank 2025; Middle East, North Africa, Afghanistan &amp; Pakistan median 3.66%/yr (18 peers, capped at ±8%)</x:v>
      </x:c>
      <x:c r="V360" s="36" t="str">
        <x:v>WBG: peer-growth inference from World Bank 2025; Middle East, North Africa, Afghanistan &amp; Pakistan; Lower middle income median 2.20%/yr (5 peers, capped at ±8%)</x:v>
      </x:c>
      <x:c r="W360" s="36" t="str">
        <x:v>inferred</x:v>
      </x:c>
      <x:c r="X360" s="36" t="str">
        <x:v>https://api.imf.org/external/sdmx/3.0/data/dataflow/IMF.RES/WEO/9.0.0/</x:v>
      </x:c>
      <x:c r="Y360" s="36" t="str">
        <x:v>https://api.worldbank.org/v2/</x:v>
      </x:c>
    </x:row>
    <x:row r="361">
      <x:c r="A361" s="24" t="str">
        <x:v>PAN</x:v>
      </x:c>
      <x:c r="B361" s="24" t="str">
        <x:v>Panama</x:v>
      </x:c>
      <x:c r="C361" s="24" t="str">
        <x:v>PAN</x:v>
      </x:c>
      <x:c r="D361" s="24" t="n">
        <x:v>2003</x:v>
      </x:c>
      <x:c r="E361" s="37" t="n">
        <x:v>1.59</x:v>
      </x:c>
      <x:c r="F361" s="38" t="n">
        <x:v>3189807</x:v>
      </x:c>
      <x:c r="G361" s="38" t="n">
        <x:v>3226535</x:v>
      </x:c>
      <x:c r="H361" s="39" t="n">
        <x:f>G361/F361</x:f>
        <x:v>1.0115141762495348</x:v>
      </x:c>
      <x:c r="I361" s="40" t="n">
        <x:v>23369590643</x:v>
      </x:c>
      <x:c r="J361" s="40" t="n">
        <x:v>37157649122</x:v>
      </x:c>
      <x:c r="K361" s="40" t="n">
        <x:v>11649</x:v>
      </x:c>
      <x:c r="L361" s="40" t="n">
        <x:v>6704</x:v>
      </x:c>
      <x:c r="M361" s="40" t="n">
        <x:v>18985</x:v>
      </x:c>
      <x:c r="N361" s="41" t="n">
        <x:f>MIN(L361,M361)</x:f>
        <x:v>6704</x:v>
      </x:c>
      <x:c r="O361" s="41" t="n">
        <x:f>MAX(L361,M361)</x:f>
        <x:v>18985</x:v>
      </x:c>
      <x:c r="P361" s="41" t="n">
        <x:f>MAX(N361,MIN(K361,O361))</x:f>
        <x:v>11649</x:v>
      </x:c>
      <x:c r="Q361" s="19" t="str">
        <x:f>IF(K361&lt;N361,IF(N361=L361,"clamped_to_nominal","clamped_to_ppp"),IF(K361&gt;O361,IF(O361=L361,"clamped_to_nominal","clamped_to_ppp"),"kept_vanilla"))</x:f>
        <x:v>kept_vanilla</x:v>
      </x:c>
      <x:c r="R361" s="41" t="n">
        <x:f>P361*G361</x:f>
        <x:v>37585906215</x:v>
      </x:c>
      <x:c r="S361" s="41" t="n">
        <x:f>R361/E361</x:f>
        <x:v>23638934726.415092</x:v>
      </x:c>
      <x:c r="T361" s="36" t="str">
        <x:v>PAN: IMF exact 2003</x:v>
      </x:c>
      <x:c r="U361" s="36" t="str">
        <x:v>PAN: IMF exact 2003</x:v>
      </x:c>
      <x:c r="V361" s="36" t="str">
        <x:v>PAN: IMF exact 2003</x:v>
      </x:c>
      <x:c r="W361" s="36" t="str">
        <x:v>complete_primary</x:v>
      </x:c>
      <x:c r="X361" s="36" t="str">
        <x:v>https://api.imf.org/external/sdmx/3.0/data/dataflow/IMF.RES/WEO/9.0.0/</x:v>
      </x:c>
      <x:c r="Y361" s="36" t="str">
        <x:v>https://api.worldbank.org/v2/</x:v>
      </x:c>
    </x:row>
    <x:row r="362">
      <x:c r="A362" s="24" t="str">
        <x:v>PAN</x:v>
      </x:c>
      <x:c r="B362" s="24" t="str">
        <x:v>Panama</x:v>
      </x:c>
      <x:c r="C362" s="24" t="str">
        <x:v>PAN</x:v>
      </x:c>
      <x:c r="D362" s="24" t="n">
        <x:v>2022</x:v>
      </x:c>
      <x:c r="E362" s="37" t="n">
        <x:v>1</x:v>
      </x:c>
      <x:c r="F362" s="38" t="n">
        <x:v>4467252</x:v>
      </x:c>
      <x:c r="G362" s="38" t="n">
        <x:v>4395414</x:v>
      </x:c>
      <x:c r="H362" s="39" t="n">
        <x:f>G362/F362</x:f>
        <x:v>0.983918973006224</x:v>
      </x:c>
      <x:c r="I362" s="40" t="n">
        <x:v>139575040000</x:v>
      </x:c>
      <x:c r="J362" s="40" t="n">
        <x:v>139575040000</x:v>
      </x:c>
      <x:c r="K362" s="40" t="n">
        <x:v>31244</x:v>
      </x:c>
      <x:c r="L362" s="40" t="n">
        <x:v>17400</x:v>
      </x:c>
      <x:c r="M362" s="40" t="n">
        <x:v>36372</x:v>
      </x:c>
      <x:c r="N362" s="41" t="n">
        <x:f>MIN(L362,M362)</x:f>
        <x:v>17400</x:v>
      </x:c>
      <x:c r="O362" s="41" t="n">
        <x:f>MAX(L362,M362)</x:f>
        <x:v>36372</x:v>
      </x:c>
      <x:c r="P362" s="41" t="n">
        <x:f>MAX(N362,MIN(K362,O362))</x:f>
        <x:v>31244</x:v>
      </x:c>
      <x:c r="Q362" s="19" t="str">
        <x:f>IF(K362&lt;N362,IF(N362=L362,"clamped_to_nominal","clamped_to_ppp"),IF(K362&gt;O362,IF(O362=L362,"clamped_to_nominal","clamped_to_ppp"),"kept_vanilla"))</x:f>
        <x:v>kept_vanilla</x:v>
      </x:c>
      <x:c r="R362" s="41" t="n">
        <x:f>P362*G362</x:f>
        <x:v>137330315016</x:v>
      </x:c>
      <x:c r="S362" s="41" t="n">
        <x:f>R362/E362</x:f>
        <x:v>137330315016</x:v>
      </x:c>
      <x:c r="T362" s="36" t="str">
        <x:v>PAN: IMF exact 2022</x:v>
      </x:c>
      <x:c r="U362" s="36" t="str">
        <x:v>PAN: IMF exact 2022</x:v>
      </x:c>
      <x:c r="V362" s="36" t="str">
        <x:v>PAN: IMF exact 2022</x:v>
      </x:c>
      <x:c r="W362" s="36" t="str">
        <x:v>complete_primary</x:v>
      </x:c>
      <x:c r="X362" s="36" t="str">
        <x:v>https://api.imf.org/external/sdmx/3.0/data/dataflow/IMF.RES/WEO/9.0.0/</x:v>
      </x:c>
      <x:c r="Y362" s="36" t="str">
        <x:v>https://api.worldbank.org/v2/</x:v>
      </x:c>
    </x:row>
    <x:row r="363">
      <x:c r="A363" s="24" t="str">
        <x:v>PAN</x:v>
      </x:c>
      <x:c r="B363" s="24" t="str">
        <x:v>Panama</x:v>
      </x:c>
      <x:c r="C363" s="24" t="str">
        <x:v>PAN</x:v>
      </x:c>
      <x:c r="D363" s="24" t="n">
        <x:v>2026</x:v>
      </x:c>
      <x:c r="E363" s="37" t="n">
        <x:v>0.87</x:v>
      </x:c>
      <x:c r="F363" s="38" t="n">
        <x:v>4625718</x:v>
      </x:c>
      <x:c r="G363" s="38" t="n">
        <x:v>4620975</x:v>
      </x:c>
      <x:c r="H363" s="39" t="n">
        <x:f>G363/F363</x:f>
        <x:v>0.9989746456658188</x:v>
      </x:c>
      <x:c r="I363" s="40" t="n">
        <x:v>176132000000</x:v>
      </x:c>
      <x:c r="J363" s="40" t="n">
        <x:v>153234840000</x:v>
      </x:c>
      <x:c r="K363" s="40" t="n">
        <x:v>33127</x:v>
      </x:c>
      <x:c r="L363" s="40" t="n">
        <x:v>17890</x:v>
      </x:c>
      <x:c r="M363" s="40" t="n">
        <x:v>40372</x:v>
      </x:c>
      <x:c r="N363" s="41" t="n">
        <x:f>MIN(L363,M363)</x:f>
        <x:v>17890</x:v>
      </x:c>
      <x:c r="O363" s="41" t="n">
        <x:f>MAX(L363,M363)</x:f>
        <x:v>40372</x:v>
      </x:c>
      <x:c r="P363" s="41" t="n">
        <x:f>MAX(N363,MIN(K363,O363))</x:f>
        <x:v>33127</x:v>
      </x:c>
      <x:c r="Q363" s="19" t="str">
        <x:f>IF(K363&lt;N363,IF(N363=L363,"clamped_to_nominal","clamped_to_ppp"),IF(K363&gt;O363,IF(O363=L363,"clamped_to_nominal","clamped_to_ppp"),"kept_vanilla"))</x:f>
        <x:v>kept_vanilla</x:v>
      </x:c>
      <x:c r="R363" s="41" t="n">
        <x:f>P363*G363</x:f>
        <x:v>153079038825</x:v>
      </x:c>
      <x:c r="S363" s="41" t="n">
        <x:f>R363/E363</x:f>
        <x:v>175952918189.65518</x:v>
      </x:c>
      <x:c r="T363" s="36" t="str">
        <x:v>PAN: IMF exact 2026</x:v>
      </x:c>
      <x:c r="U363" s="36" t="str">
        <x:v>PAN: IMF exact 2026</x:v>
      </x:c>
      <x:c r="V363" s="36" t="str">
        <x:v>PAN: IMF exact 2026</x:v>
      </x:c>
      <x:c r="W363" s="36" t="str">
        <x:v>complete_primary</x:v>
      </x:c>
      <x:c r="X363" s="36" t="str">
        <x:v>https://api.imf.org/external/sdmx/3.0/data/dataflow/IMF.RES/WEO/9.0.0/</x:v>
      </x:c>
      <x:c r="Y363" s="36" t="str">
        <x:v>https://api.worldbank.org/v2/</x:v>
      </x:c>
    </x:row>
    <x:row r="364">
      <x:c r="A364" s="24" t="str">
        <x:v>PNG</x:v>
      </x:c>
      <x:c r="B364" s="24" t="str">
        <x:v>Papua New Guinea</x:v>
      </x:c>
      <x:c r="C364" s="24" t="str">
        <x:v>PNG</x:v>
      </x:c>
      <x:c r="D364" s="24" t="n">
        <x:v>2003</x:v>
      </x:c>
      <x:c r="E364" s="37" t="n">
        <x:v>1.59</x:v>
      </x:c>
      <x:c r="F364" s="38" t="n">
        <x:v>6123997</x:v>
      </x:c>
      <x:c r="G364" s="38" t="n">
        <x:v>5514537</x:v>
      </x:c>
      <x:c r="H364" s="39" t="n">
        <x:f>G364/F364</x:f>
        <x:v>0.9004800296277088</x:v>
      </x:c>
      <x:c r="I364" s="40" t="n">
        <x:v>7143859649</x:v>
      </x:c>
      <x:c r="J364" s="40" t="n">
        <x:v>11358736842</x:v>
      </x:c>
      <x:c r="K364" s="40" t="n">
        <x:v>1855</x:v>
      </x:c>
      <x:c r="L364" s="40" t="n">
        <x:v>1582</x:v>
      </x:c>
      <x:c r="M364" s="40" t="n">
        <x:v>3522</x:v>
      </x:c>
      <x:c r="N364" s="41" t="n">
        <x:f>MIN(L364,M364)</x:f>
        <x:v>1582</x:v>
      </x:c>
      <x:c r="O364" s="41" t="n">
        <x:f>MAX(L364,M364)</x:f>
        <x:v>3522</x:v>
      </x:c>
      <x:c r="P364" s="41" t="n">
        <x:f>MAX(N364,MIN(K364,O364))</x:f>
        <x:v>1855</x:v>
      </x:c>
      <x:c r="Q364" s="19" t="str">
        <x:f>IF(K364&lt;N364,IF(N364=L364,"clamped_to_nominal","clamped_to_ppp"),IF(K364&gt;O364,IF(O364=L364,"clamped_to_nominal","clamped_to_ppp"),"kept_vanilla"))</x:f>
        <x:v>kept_vanilla</x:v>
      </x:c>
      <x:c r="R364" s="41" t="n">
        <x:f>P364*G364</x:f>
        <x:v>10229466135</x:v>
      </x:c>
      <x:c r="S364" s="41" t="n">
        <x:f>R364/E364</x:f>
        <x:v>6433626500</x:v>
      </x:c>
      <x:c r="T364" s="36" t="str">
        <x:v>PNG: IMF exact 2003</x:v>
      </x:c>
      <x:c r="U364" s="36" t="str">
        <x:v>PNG: IMF exact 2003</x:v>
      </x:c>
      <x:c r="V364" s="36" t="str">
        <x:v>PNG: IMF exact 2003</x:v>
      </x:c>
      <x:c r="W364" s="36" t="str">
        <x:v>complete_primary</x:v>
      </x:c>
      <x:c r="X364" s="36" t="str">
        <x:v>https://api.imf.org/external/sdmx/3.0/data/dataflow/IMF.RES/WEO/9.0.0/</x:v>
      </x:c>
      <x:c r="Y364" s="36" t="str">
        <x:v>https://api.worldbank.org/v2/</x:v>
      </x:c>
    </x:row>
    <x:row r="365">
      <x:c r="A365" s="24" t="str">
        <x:v>PNG</x:v>
      </x:c>
      <x:c r="B365" s="24" t="str">
        <x:v>Papua New Guinea</x:v>
      </x:c>
      <x:c r="C365" s="24" t="str">
        <x:v>PNG</x:v>
      </x:c>
      <x:c r="D365" s="24" t="n">
        <x:v>2022</x:v>
      </x:c>
      <x:c r="E365" s="37" t="n">
        <x:v>1</x:v>
      </x:c>
      <x:c r="F365" s="38" t="n">
        <x:v>9346370</x:v>
      </x:c>
      <x:c r="G365" s="38" t="n">
        <x:v>12028972</x:v>
      </x:c>
      <x:c r="H365" s="39" t="n">
        <x:f>G365/F365</x:f>
        <x:v>1.2870207363928456</x:v>
      </x:c>
      <x:c r="I365" s="40" t="n">
        <x:v>34618320000</x:v>
      </x:c>
      <x:c r="J365" s="40" t="n">
        <x:v>34618320000</x:v>
      </x:c>
      <x:c r="K365" s="40" t="n">
        <x:v>3704</x:v>
      </x:c>
      <x:c r="L365" s="40" t="n">
        <x:v>2631</x:v>
      </x:c>
      <x:c r="M365" s="40" t="n">
        <x:v>3260</x:v>
      </x:c>
      <x:c r="N365" s="41" t="n">
        <x:f>MIN(L365,M365)</x:f>
        <x:v>2631</x:v>
      </x:c>
      <x:c r="O365" s="41" t="n">
        <x:f>MAX(L365,M365)</x:f>
        <x:v>3260</x:v>
      </x:c>
      <x:c r="P365" s="41" t="n">
        <x:f>MAX(N365,MIN(K365,O365))</x:f>
        <x:v>3260</x:v>
      </x:c>
      <x:c r="Q365" s="19" t="str">
        <x:f>IF(K365&lt;N365,IF(N365=L365,"clamped_to_nominal","clamped_to_ppp"),IF(K365&gt;O365,IF(O365=L365,"clamped_to_nominal","clamped_to_ppp"),"kept_vanilla"))</x:f>
        <x:v>clamped_to_ppp</x:v>
      </x:c>
      <x:c r="R365" s="41" t="n">
        <x:f>P365*G365</x:f>
        <x:v>39214448720</x:v>
      </x:c>
      <x:c r="S365" s="41" t="n">
        <x:f>R365/E365</x:f>
        <x:v>39214448720</x:v>
      </x:c>
      <x:c r="T365" s="36" t="str">
        <x:v>PNG: IMF exact 2022</x:v>
      </x:c>
      <x:c r="U365" s="36" t="str">
        <x:v>PNG: IMF exact 2022</x:v>
      </x:c>
      <x:c r="V365" s="36" t="str">
        <x:v>PNG: IMF exact 2022</x:v>
      </x:c>
      <x:c r="W365" s="36" t="str">
        <x:v>complete_primary</x:v>
      </x:c>
      <x:c r="X365" s="36" t="str">
        <x:v>https://api.imf.org/external/sdmx/3.0/data/dataflow/IMF.RES/WEO/9.0.0/</x:v>
      </x:c>
      <x:c r="Y365" s="36" t="str">
        <x:v>https://api.worldbank.org/v2/</x:v>
      </x:c>
    </x:row>
    <x:row r="366">
      <x:c r="A366" s="24" t="str">
        <x:v>PNG</x:v>
      </x:c>
      <x:c r="B366" s="24" t="str">
        <x:v>Papua New Guinea</x:v>
      </x:c>
      <x:c r="C366" s="24" t="str">
        <x:v>PNG</x:v>
      </x:c>
      <x:c r="D366" s="24" t="n">
        <x:v>2026</x:v>
      </x:c>
      <x:c r="E366" s="37" t="n">
        <x:v>0.87</x:v>
      </x:c>
      <x:c r="F366" s="38" t="n">
        <x:v>10947848</x:v>
      </x:c>
      <x:c r="G366" s="38" t="n">
        <x:v>13071682</x:v>
      </x:c>
      <x:c r="H366" s="39" t="n">
        <x:f>G366/F366</x:f>
        <x:v>1.1939955688095047</x:v>
      </x:c>
      <x:c r="I366" s="40" t="n">
        <x:v>42329760000</x:v>
      </x:c>
      <x:c r="J366" s="40" t="n">
        <x:v>36826891200</x:v>
      </x:c>
      <x:c r="K366" s="40" t="n">
        <x:v>3364</x:v>
      </x:c>
      <x:c r="L366" s="40" t="n">
        <x:v>2290</x:v>
      </x:c>
      <x:c r="M366" s="40" t="n">
        <x:v>3468</x:v>
      </x:c>
      <x:c r="N366" s="41" t="n">
        <x:f>MIN(L366,M366)</x:f>
        <x:v>2290</x:v>
      </x:c>
      <x:c r="O366" s="41" t="n">
        <x:f>MAX(L366,M366)</x:f>
        <x:v>3468</x:v>
      </x:c>
      <x:c r="P366" s="41" t="n">
        <x:f>MAX(N366,MIN(K366,O366))</x:f>
        <x:v>3364</x:v>
      </x:c>
      <x:c r="Q366" s="19" t="str">
        <x:f>IF(K366&lt;N366,IF(N366=L366,"clamped_to_nominal","clamped_to_ppp"),IF(K366&gt;O366,IF(O366=L366,"clamped_to_nominal","clamped_to_ppp"),"kept_vanilla"))</x:f>
        <x:v>kept_vanilla</x:v>
      </x:c>
      <x:c r="R366" s="41" t="n">
        <x:f>P366*G366</x:f>
        <x:v>43973138248</x:v>
      </x:c>
      <x:c r="S366" s="41" t="n">
        <x:f>R366/E366</x:f>
        <x:v>50543837066.666664</x:v>
      </x:c>
      <x:c r="T366" s="36" t="str">
        <x:v>PNG: IMF exact 2026</x:v>
      </x:c>
      <x:c r="U366" s="36" t="str">
        <x:v>PNG: IMF exact 2026</x:v>
      </x:c>
      <x:c r="V366" s="36" t="str">
        <x:v>PNG: IMF exact 2026</x:v>
      </x:c>
      <x:c r="W366" s="36" t="str">
        <x:v>complete_primary</x:v>
      </x:c>
      <x:c r="X366" s="36" t="str">
        <x:v>https://api.imf.org/external/sdmx/3.0/data/dataflow/IMF.RES/WEO/9.0.0/</x:v>
      </x:c>
      <x:c r="Y366" s="36" t="str">
        <x:v>https://api.worldbank.org/v2/</x:v>
      </x:c>
    </x:row>
    <x:row r="367">
      <x:c r="A367" s="24" t="str">
        <x:v>PRY</x:v>
      </x:c>
      <x:c r="B367" s="24" t="str">
        <x:v>Paraguay</x:v>
      </x:c>
      <x:c r="C367" s="24" t="str">
        <x:v>PRY</x:v>
      </x:c>
      <x:c r="D367" s="24" t="n">
        <x:v>2003</x:v>
      </x:c>
      <x:c r="E367" s="37" t="n">
        <x:v>1.59</x:v>
      </x:c>
      <x:c r="F367" s="38" t="n">
        <x:v>5326436</x:v>
      </x:c>
      <x:c r="G367" s="38" t="n">
        <x:v>5364666</x:v>
      </x:c>
      <x:c r="H367" s="39" t="n">
        <x:f>G367/F367</x:f>
        <x:v>1.007177407181838</x:v>
      </x:c>
      <x:c r="I367" s="40" t="n">
        <x:v>21672514620</x:v>
      </x:c>
      <x:c r="J367" s="40" t="n">
        <x:v>34459298246</x:v>
      </x:c>
      <x:c r="K367" s="40" t="n">
        <x:v>6469</x:v>
      </x:c>
      <x:c r="L367" s="40" t="n">
        <x:v>2280</x:v>
      </x:c>
      <x:c r="M367" s="40" t="n">
        <x:v>10984</x:v>
      </x:c>
      <x:c r="N367" s="41" t="n">
        <x:f>MIN(L367,M367)</x:f>
        <x:v>2280</x:v>
      </x:c>
      <x:c r="O367" s="41" t="n">
        <x:f>MAX(L367,M367)</x:f>
        <x:v>10984</x:v>
      </x:c>
      <x:c r="P367" s="41" t="n">
        <x:f>MAX(N367,MIN(K367,O367))</x:f>
        <x:v>6469</x:v>
      </x:c>
      <x:c r="Q367" s="19" t="str">
        <x:f>IF(K367&lt;N367,IF(N367=L367,"clamped_to_nominal","clamped_to_ppp"),IF(K367&gt;O367,IF(O367=L367,"clamped_to_nominal","clamped_to_ppp"),"kept_vanilla"))</x:f>
        <x:v>kept_vanilla</x:v>
      </x:c>
      <x:c r="R367" s="41" t="n">
        <x:f>P367*G367</x:f>
        <x:v>34704024354</x:v>
      </x:c>
      <x:c r="S367" s="41" t="n">
        <x:f>R367/E367</x:f>
        <x:v>21826430411.320755</x:v>
      </x:c>
      <x:c r="T367" s="36" t="str">
        <x:v>PRY: IMF exact 2003</x:v>
      </x:c>
      <x:c r="U367" s="36" t="str">
        <x:v>PRY: IMF exact 2003</x:v>
      </x:c>
      <x:c r="V367" s="36" t="str">
        <x:v>PRY: IMF exact 2003</x:v>
      </x:c>
      <x:c r="W367" s="36" t="str">
        <x:v>complete_primary</x:v>
      </x:c>
      <x:c r="X367" s="36" t="str">
        <x:v>https://api.imf.org/external/sdmx/3.0/data/dataflow/IMF.RES/WEO/9.0.0/</x:v>
      </x:c>
      <x:c r="Y367" s="36" t="str">
        <x:v>https://api.worldbank.org/v2/</x:v>
      </x:c>
    </x:row>
    <x:row r="368">
      <x:c r="A368" s="24" t="str">
        <x:v>PRY</x:v>
      </x:c>
      <x:c r="B368" s="24" t="str">
        <x:v>Paraguay</x:v>
      </x:c>
      <x:c r="C368" s="24" t="str">
        <x:v>PRY</x:v>
      </x:c>
      <x:c r="D368" s="24" t="n">
        <x:v>2022</x:v>
      </x:c>
      <x:c r="E368" s="37" t="n">
        <x:v>1</x:v>
      </x:c>
      <x:c r="F368" s="38" t="n">
        <x:v>7332478</x:v>
      </x:c>
      <x:c r="G368" s="38" t="n">
        <x:v>6284020</x:v>
      </x:c>
      <x:c r="H368" s="39" t="n">
        <x:f>G368/F368</x:f>
        <x:v>0.8570117769190716</x:v>
      </x:c>
      <x:c r="I368" s="40" t="n">
        <x:v>94647520000</x:v>
      </x:c>
      <x:c r="J368" s="40" t="n">
        <x:v>94647520000</x:v>
      </x:c>
      <x:c r="K368" s="40" t="n">
        <x:v>12908</x:v>
      </x:c>
      <x:c r="L368" s="40" t="n">
        <x:v>6658</x:v>
      </x:c>
      <x:c r="M368" s="40" t="n">
        <x:v>17542</x:v>
      </x:c>
      <x:c r="N368" s="41" t="n">
        <x:f>MIN(L368,M368)</x:f>
        <x:v>6658</x:v>
      </x:c>
      <x:c r="O368" s="41" t="n">
        <x:f>MAX(L368,M368)</x:f>
        <x:v>17542</x:v>
      </x:c>
      <x:c r="P368" s="41" t="n">
        <x:f>MAX(N368,MIN(K368,O368))</x:f>
        <x:v>12908</x:v>
      </x:c>
      <x:c r="Q368" s="19" t="str">
        <x:f>IF(K368&lt;N368,IF(N368=L368,"clamped_to_nominal","clamped_to_ppp"),IF(K368&gt;O368,IF(O368=L368,"clamped_to_nominal","clamped_to_ppp"),"kept_vanilla"))</x:f>
        <x:v>kept_vanilla</x:v>
      </x:c>
      <x:c r="R368" s="41" t="n">
        <x:f>P368*G368</x:f>
        <x:v>81114130160</x:v>
      </x:c>
      <x:c r="S368" s="41" t="n">
        <x:f>R368/E368</x:f>
        <x:v>81114130160</x:v>
      </x:c>
      <x:c r="T368" s="36" t="str">
        <x:v>PRY: IMF exact 2022</x:v>
      </x:c>
      <x:c r="U368" s="36" t="str">
        <x:v>PRY: IMF exact 2022</x:v>
      </x:c>
      <x:c r="V368" s="36" t="str">
        <x:v>PRY: IMF exact 2022</x:v>
      </x:c>
      <x:c r="W368" s="36" t="str">
        <x:v>complete_primary</x:v>
      </x:c>
      <x:c r="X368" s="36" t="str">
        <x:v>https://api.imf.org/external/sdmx/3.0/data/dataflow/IMF.RES/WEO/9.0.0/</x:v>
      </x:c>
      <x:c r="Y368" s="36" t="str">
        <x:v>https://api.worldbank.org/v2/</x:v>
      </x:c>
    </x:row>
    <x:row r="369">
      <x:c r="A369" s="24" t="str">
        <x:v>PRY</x:v>
      </x:c>
      <x:c r="B369" s="24" t="str">
        <x:v>Paraguay</x:v>
      </x:c>
      <x:c r="C369" s="24" t="str">
        <x:v>PRY</x:v>
      </x:c>
      <x:c r="D369" s="24" t="n">
        <x:v>2026</x:v>
      </x:c>
      <x:c r="E369" s="37" t="n">
        <x:v>0.87</x:v>
      </x:c>
      <x:c r="F369" s="38" t="n">
        <x:v>7095280</x:v>
      </x:c>
      <x:c r="G369" s="38" t="n">
        <x:v>6460159</x:v>
      </x:c>
      <x:c r="H369" s="39" t="n">
        <x:f>G369/F369</x:f>
        <x:v>0.9104868306818054</x:v>
      </x:c>
      <x:c r="I369" s="40" t="n">
        <x:v>120068960000</x:v>
      </x:c>
      <x:c r="J369" s="40" t="n">
        <x:v>104459995200</x:v>
      </x:c>
      <x:c r="K369" s="40" t="n">
        <x:v>14722</x:v>
      </x:c>
      <x:c r="L369" s="40" t="n">
        <x:v>8153</x:v>
      </x:c>
      <x:c r="M369" s="40" t="n">
        <x:v>20314</x:v>
      </x:c>
      <x:c r="N369" s="41" t="n">
        <x:f>MIN(L369,M369)</x:f>
        <x:v>8153</x:v>
      </x:c>
      <x:c r="O369" s="41" t="n">
        <x:f>MAX(L369,M369)</x:f>
        <x:v>20314</x:v>
      </x:c>
      <x:c r="P369" s="41" t="n">
        <x:f>MAX(N369,MIN(K369,O369))</x:f>
        <x:v>14722</x:v>
      </x:c>
      <x:c r="Q369" s="19" t="str">
        <x:f>IF(K369&lt;N369,IF(N369=L369,"clamped_to_nominal","clamped_to_ppp"),IF(K369&gt;O369,IF(O369=L369,"clamped_to_nominal","clamped_to_ppp"),"kept_vanilla"))</x:f>
        <x:v>kept_vanilla</x:v>
      </x:c>
      <x:c r="R369" s="41" t="n">
        <x:f>P369*G369</x:f>
        <x:v>95106460798</x:v>
      </x:c>
      <x:c r="S369" s="41" t="n">
        <x:f>R369/E369</x:f>
        <x:v>109317771032.18391</x:v>
      </x:c>
      <x:c r="T369" s="36" t="str">
        <x:v>PRY: IMF exact 2026</x:v>
      </x:c>
      <x:c r="U369" s="36" t="str">
        <x:v>PRY: IMF exact 2026</x:v>
      </x:c>
      <x:c r="V369" s="36" t="str">
        <x:v>PRY: IMF exact 2026</x:v>
      </x:c>
      <x:c r="W369" s="36" t="str">
        <x:v>complete_primary</x:v>
      </x:c>
      <x:c r="X369" s="36" t="str">
        <x:v>https://api.imf.org/external/sdmx/3.0/data/dataflow/IMF.RES/WEO/9.0.0/</x:v>
      </x:c>
      <x:c r="Y369" s="36" t="str">
        <x:v>https://api.worldbank.org/v2/</x:v>
      </x:c>
    </x:row>
    <x:row r="370">
      <x:c r="A370" s="24" t="str">
        <x:v>PER</x:v>
      </x:c>
      <x:c r="B370" s="24" t="str">
        <x:v>Peru</x:v>
      </x:c>
      <x:c r="C370" s="24" t="str">
        <x:v>PER</x:v>
      </x:c>
      <x:c r="D370" s="24" t="n">
        <x:v>2003</x:v>
      </x:c>
      <x:c r="E370" s="37" t="n">
        <x:v>1.59</x:v>
      </x:c>
      <x:c r="F370" s="38" t="n">
        <x:v>27580490</x:v>
      </x:c>
      <x:c r="G370" s="38" t="n">
        <x:v>27255000</x:v>
      </x:c>
      <x:c r="H370" s="39" t="n">
        <x:f>G370/F370</x:f>
        <x:v>0.9881985417953053</x:v>
      </x:c>
      <x:c r="I370" s="40" t="n">
        <x:v>87084795322</x:v>
      </x:c>
      <x:c r="J370" s="40" t="n">
        <x:v>138464824562</x:v>
      </x:c>
      <x:c r="K370" s="40" t="n">
        <x:v>5020</x:v>
      </x:c>
      <x:c r="L370" s="40" t="n">
        <x:v>3417</x:v>
      </x:c>
      <x:c r="M370" s="40" t="n">
        <x:v>8806</x:v>
      </x:c>
      <x:c r="N370" s="41" t="n">
        <x:f>MIN(L370,M370)</x:f>
        <x:v>3417</x:v>
      </x:c>
      <x:c r="O370" s="41" t="n">
        <x:f>MAX(L370,M370)</x:f>
        <x:v>8806</x:v>
      </x:c>
      <x:c r="P370" s="41" t="n">
        <x:f>MAX(N370,MIN(K370,O370))</x:f>
        <x:v>5020</x:v>
      </x:c>
      <x:c r="Q370" s="19" t="str">
        <x:f>IF(K370&lt;N370,IF(N370=L370,"clamped_to_nominal","clamped_to_ppp"),IF(K370&gt;O370,IF(O370=L370,"clamped_to_nominal","clamped_to_ppp"),"kept_vanilla"))</x:f>
        <x:v>kept_vanilla</x:v>
      </x:c>
      <x:c r="R370" s="41" t="n">
        <x:f>P370*G370</x:f>
        <x:v>136820100000</x:v>
      </x:c>
      <x:c r="S370" s="41" t="n">
        <x:f>R370/E370</x:f>
        <x:v>86050377358.49055</x:v>
      </x:c>
      <x:c r="T370" s="36" t="str">
        <x:v>PER: IMF exact 2003</x:v>
      </x:c>
      <x:c r="U370" s="36" t="str">
        <x:v>PER: IMF exact 2003</x:v>
      </x:c>
      <x:c r="V370" s="36" t="str">
        <x:v>PER: IMF exact 2003</x:v>
      </x:c>
      <x:c r="W370" s="36" t="str">
        <x:v>complete_primary</x:v>
      </x:c>
      <x:c r="X370" s="36" t="str">
        <x:v>https://api.imf.org/external/sdmx/3.0/data/dataflow/IMF.RES/WEO/9.0.0/</x:v>
      </x:c>
      <x:c r="Y370" s="36" t="str">
        <x:v>https://api.worldbank.org/v2/</x:v>
      </x:c>
    </x:row>
    <x:row r="371">
      <x:c r="A371" s="24" t="str">
        <x:v>PER</x:v>
      </x:c>
      <x:c r="B371" s="24" t="str">
        <x:v>Peru</x:v>
      </x:c>
      <x:c r="C371" s="24" t="str">
        <x:v>PER</x:v>
      </x:c>
      <x:c r="D371" s="24" t="n">
        <x:v>2022</x:v>
      </x:c>
      <x:c r="E371" s="37" t="n">
        <x:v>1</x:v>
      </x:c>
      <x:c r="F371" s="38" t="n">
        <x:v>33779525</x:v>
      </x:c>
      <x:c r="G371" s="38" t="n">
        <x:v>33397000</x:v>
      </x:c>
      <x:c r="H371" s="39" t="n">
        <x:f>G371/F371</x:f>
        <x:v>0.9886758324754419</x:v>
      </x:c>
      <x:c r="I371" s="40" t="n">
        <x:v>452069200000</x:v>
      </x:c>
      <x:c r="J371" s="40" t="n">
        <x:v>452069200000</x:v>
      </x:c>
      <x:c r="K371" s="40" t="n">
        <x:v>13383</x:v>
      </x:c>
      <x:c r="L371" s="40" t="n">
        <x:v>7431</x:v>
      </x:c>
      <x:c r="M371" s="40" t="n">
        <x:v>16972</x:v>
      </x:c>
      <x:c r="N371" s="41" t="n">
        <x:f>MIN(L371,M371)</x:f>
        <x:v>7431</x:v>
      </x:c>
      <x:c r="O371" s="41" t="n">
        <x:f>MAX(L371,M371)</x:f>
        <x:v>16972</x:v>
      </x:c>
      <x:c r="P371" s="41" t="n">
        <x:f>MAX(N371,MIN(K371,O371))</x:f>
        <x:v>13383</x:v>
      </x:c>
      <x:c r="Q371" s="19" t="str">
        <x:f>IF(K371&lt;N371,IF(N371=L371,"clamped_to_nominal","clamped_to_ppp"),IF(K371&gt;O371,IF(O371=L371,"clamped_to_nominal","clamped_to_ppp"),"kept_vanilla"))</x:f>
        <x:v>kept_vanilla</x:v>
      </x:c>
      <x:c r="R371" s="41" t="n">
        <x:f>P371*G371</x:f>
        <x:v>446952051000</x:v>
      </x:c>
      <x:c r="S371" s="41" t="n">
        <x:f>R371/E371</x:f>
        <x:v>446952051000</x:v>
      </x:c>
      <x:c r="T371" s="36" t="str">
        <x:v>PER: IMF exact 2022</x:v>
      </x:c>
      <x:c r="U371" s="36" t="str">
        <x:v>PER: IMF exact 2022</x:v>
      </x:c>
      <x:c r="V371" s="36" t="str">
        <x:v>PER: IMF exact 2022</x:v>
      </x:c>
      <x:c r="W371" s="36" t="str">
        <x:v>complete_primary</x:v>
      </x:c>
      <x:c r="X371" s="36" t="str">
        <x:v>https://api.imf.org/external/sdmx/3.0/data/dataflow/IMF.RES/WEO/9.0.0/</x:v>
      </x:c>
      <x:c r="Y371" s="36" t="str">
        <x:v>https://api.worldbank.org/v2/</x:v>
      </x:c>
    </x:row>
    <x:row r="372">
      <x:c r="A372" s="24" t="str">
        <x:v>PER</x:v>
      </x:c>
      <x:c r="B372" s="24" t="str">
        <x:v>Peru</x:v>
      </x:c>
      <x:c r="C372" s="24" t="str">
        <x:v>PER</x:v>
      </x:c>
      <x:c r="D372" s="24" t="n">
        <x:v>2026</x:v>
      </x:c>
      <x:c r="E372" s="37" t="n">
        <x:v>0.87</x:v>
      </x:c>
      <x:c r="F372" s="38" t="n">
        <x:v>34922148</x:v>
      </x:c>
      <x:c r="G372" s="38" t="n">
        <x:v>34753052</x:v>
      </x:c>
      <x:c r="H372" s="39" t="n">
        <x:f>G372/F372</x:f>
        <x:v>0.9951579152576755</x:v>
      </x:c>
      <x:c r="I372" s="40" t="n">
        <x:v>565885760000</x:v>
      </x:c>
      <x:c r="J372" s="40" t="n">
        <x:v>492320611200</x:v>
      </x:c>
      <x:c r="K372" s="40" t="n">
        <x:v>14098</x:v>
      </x:c>
      <x:c r="L372" s="40" t="n">
        <x:v>9535</x:v>
      </x:c>
      <x:c r="M372" s="40" t="n">
        <x:v>17501</x:v>
      </x:c>
      <x:c r="N372" s="41" t="n">
        <x:f>MIN(L372,M372)</x:f>
        <x:v>9535</x:v>
      </x:c>
      <x:c r="O372" s="41" t="n">
        <x:f>MAX(L372,M372)</x:f>
        <x:v>17501</x:v>
      </x:c>
      <x:c r="P372" s="41" t="n">
        <x:f>MAX(N372,MIN(K372,O372))</x:f>
        <x:v>14098</x:v>
      </x:c>
      <x:c r="Q372" s="19" t="str">
        <x:f>IF(K372&lt;N372,IF(N372=L372,"clamped_to_nominal","clamped_to_ppp"),IF(K372&gt;O372,IF(O372=L372,"clamped_to_nominal","clamped_to_ppp"),"kept_vanilla"))</x:f>
        <x:v>kept_vanilla</x:v>
      </x:c>
      <x:c r="R372" s="41" t="n">
        <x:f>P372*G372</x:f>
        <x:v>489948527096</x:v>
      </x:c>
      <x:c r="S372" s="41" t="n">
        <x:f>R372/E372</x:f>
        <x:v>563159226547.1265</x:v>
      </x:c>
      <x:c r="T372" s="36" t="str">
        <x:v>PER: IMF exact 2026</x:v>
      </x:c>
      <x:c r="U372" s="36" t="str">
        <x:v>PER: IMF exact 2026</x:v>
      </x:c>
      <x:c r="V372" s="36" t="str">
        <x:v>PER: IMF exact 2026</x:v>
      </x:c>
      <x:c r="W372" s="36" t="str">
        <x:v>complete_primary</x:v>
      </x:c>
      <x:c r="X372" s="36" t="str">
        <x:v>https://api.imf.org/external/sdmx/3.0/data/dataflow/IMF.RES/WEO/9.0.0/</x:v>
      </x:c>
      <x:c r="Y372" s="36" t="str">
        <x:v>https://api.worldbank.org/v2/</x:v>
      </x:c>
    </x:row>
    <x:row r="373">
      <x:c r="A373" s="24" t="str">
        <x:v>PHL</x:v>
      </x:c>
      <x:c r="B373" s="24" t="str">
        <x:v>Philippines</x:v>
      </x:c>
      <x:c r="C373" s="24" t="str">
        <x:v>PHL</x:v>
      </x:c>
      <x:c r="D373" s="24" t="n">
        <x:v>2003</x:v>
      </x:c>
      <x:c r="E373" s="37" t="n">
        <x:v>1.59</x:v>
      </x:c>
      <x:c r="F373" s="38" t="n">
        <x:v>84731834</x:v>
      </x:c>
      <x:c r="G373" s="38" t="n">
        <x:v>81910000</x:v>
      </x:c>
      <x:c r="H373" s="39" t="n">
        <x:f>G373/F373</x:f>
        <x:v>0.9666968851400054</x:v>
      </x:c>
      <x:c r="I373" s="40" t="n">
        <x:v>172892397661</x:v>
      </x:c>
      <x:c r="J373" s="40" t="n">
        <x:v>274898912281</x:v>
      </x:c>
      <x:c r="K373" s="40" t="n">
        <x:v>3244</x:v>
      </x:c>
      <x:c r="L373" s="40" t="n">
        <x:v>1690</x:v>
      </x:c>
      <x:c r="M373" s="40" t="n">
        <x:v>5739</x:v>
      </x:c>
      <x:c r="N373" s="41" t="n">
        <x:f>MIN(L373,M373)</x:f>
        <x:v>1690</x:v>
      </x:c>
      <x:c r="O373" s="41" t="n">
        <x:f>MAX(L373,M373)</x:f>
        <x:v>5739</x:v>
      </x:c>
      <x:c r="P373" s="41" t="n">
        <x:f>MAX(N373,MIN(K373,O373))</x:f>
        <x:v>3244</x:v>
      </x:c>
      <x:c r="Q373" s="19" t="str">
        <x:f>IF(K373&lt;N373,IF(N373=L373,"clamped_to_nominal","clamped_to_ppp"),IF(K373&gt;O373,IF(O373=L373,"clamped_to_nominal","clamped_to_ppp"),"kept_vanilla"))</x:f>
        <x:v>kept_vanilla</x:v>
      </x:c>
      <x:c r="R373" s="41" t="n">
        <x:f>P373*G373</x:f>
        <x:v>265716040000</x:v>
      </x:c>
      <x:c r="S373" s="41" t="n">
        <x:f>R373/E373</x:f>
        <x:v>167117006289.30817</x:v>
      </x:c>
      <x:c r="T373" s="36" t="str">
        <x:v>PHL: IMF exact 2003</x:v>
      </x:c>
      <x:c r="U373" s="36" t="str">
        <x:v>PHL: IMF exact 2003</x:v>
      </x:c>
      <x:c r="V373" s="36" t="str">
        <x:v>PHL: IMF exact 2003</x:v>
      </x:c>
      <x:c r="W373" s="36" t="str">
        <x:v>complete_primary</x:v>
      </x:c>
      <x:c r="X373" s="36" t="str">
        <x:v>https://api.imf.org/external/sdmx/3.0/data/dataflow/IMF.RES/WEO/9.0.0/</x:v>
      </x:c>
      <x:c r="Y373" s="36" t="str">
        <x:v>https://api.worldbank.org/v2/</x:v>
      </x:c>
    </x:row>
    <x:row r="374">
      <x:c r="A374" s="24" t="str">
        <x:v>PHL</x:v>
      </x:c>
      <x:c r="B374" s="24" t="str">
        <x:v>Philippines</x:v>
      </x:c>
      <x:c r="C374" s="24" t="str">
        <x:v>PHL</x:v>
      </x:c>
      <x:c r="D374" s="24" t="n">
        <x:v>2022</x:v>
      </x:c>
      <x:c r="E374" s="37" t="n">
        <x:v>1</x:v>
      </x:c>
      <x:c r="F374" s="38" t="n">
        <x:v>112965184</x:v>
      </x:c>
      <x:c r="G374" s="38" t="n">
        <x:v>110940000</x:v>
      </x:c>
      <x:c r="H374" s="39" t="n">
        <x:f>G374/F374</x:f>
        <x:v>0.9820724941234992</x:v>
      </x:c>
      <x:c r="I374" s="40" t="n">
        <x:v>1006598560000</x:v>
      </x:c>
      <x:c r="J374" s="40" t="n">
        <x:v>1006598560000</x:v>
      </x:c>
      <x:c r="K374" s="40" t="n">
        <x:v>8911</x:v>
      </x:c>
      <x:c r="L374" s="40" t="n">
        <x:v>3645</x:v>
      </x:c>
      <x:c r="M374" s="40" t="n">
        <x:v>10406</x:v>
      </x:c>
      <x:c r="N374" s="41" t="n">
        <x:f>MIN(L374,M374)</x:f>
        <x:v>3645</x:v>
      </x:c>
      <x:c r="O374" s="41" t="n">
        <x:f>MAX(L374,M374)</x:f>
        <x:v>10406</x:v>
      </x:c>
      <x:c r="P374" s="41" t="n">
        <x:f>MAX(N374,MIN(K374,O374))</x:f>
        <x:v>8911</x:v>
      </x:c>
      <x:c r="Q374" s="19" t="str">
        <x:f>IF(K374&lt;N374,IF(N374=L374,"clamped_to_nominal","clamped_to_ppp"),IF(K374&gt;O374,IF(O374=L374,"clamped_to_nominal","clamped_to_ppp"),"kept_vanilla"))</x:f>
        <x:v>kept_vanilla</x:v>
      </x:c>
      <x:c r="R374" s="41" t="n">
        <x:f>P374*G374</x:f>
        <x:v>988586340000</x:v>
      </x:c>
      <x:c r="S374" s="41" t="n">
        <x:f>R374/E374</x:f>
        <x:v>988586340000</x:v>
      </x:c>
      <x:c r="T374" s="36" t="str">
        <x:v>PHL: IMF exact 2022</x:v>
      </x:c>
      <x:c r="U374" s="36" t="str">
        <x:v>PHL: IMF exact 2022</x:v>
      </x:c>
      <x:c r="V374" s="36" t="str">
        <x:v>PHL: IMF exact 2022</x:v>
      </x:c>
      <x:c r="W374" s="36" t="str">
        <x:v>complete_primary</x:v>
      </x:c>
      <x:c r="X374" s="36" t="str">
        <x:v>https://api.imf.org/external/sdmx/3.0/data/dataflow/IMF.RES/WEO/9.0.0/</x:v>
      </x:c>
      <x:c r="Y374" s="36" t="str">
        <x:v>https://api.worldbank.org/v2/</x:v>
      </x:c>
    </x:row>
    <x:row r="375">
      <x:c r="A375" s="24" t="str">
        <x:v>PHL</x:v>
      </x:c>
      <x:c r="B375" s="24" t="str">
        <x:v>Philippines</x:v>
      </x:c>
      <x:c r="C375" s="24" t="str">
        <x:v>PHL</x:v>
      </x:c>
      <x:c r="D375" s="24" t="n">
        <x:v>2026</x:v>
      </x:c>
      <x:c r="E375" s="37" t="n">
        <x:v>0.87</x:v>
      </x:c>
      <x:c r="F375" s="38" t="n">
        <x:v>117724472</x:v>
      </x:c>
      <x:c r="G375" s="38" t="n">
        <x:v>115299115</x:v>
      </x:c>
      <x:c r="H375" s="39" t="n">
        <x:f>G375/F375</x:f>
        <x:v>0.9793980218488472</x:v>
      </x:c>
      <x:c r="I375" s="40" t="n">
        <x:v>1300385680000</x:v>
      </x:c>
      <x:c r="J375" s="40" t="n">
        <x:v>1131335541600</x:v>
      </x:c>
      <x:c r="K375" s="40" t="n">
        <x:v>9610</x:v>
      </x:c>
      <x:c r="L375" s="40" t="n">
        <x:v>3865</x:v>
      </x:c>
      <x:c r="M375" s="40" t="n">
        <x:v>11866</x:v>
      </x:c>
      <x:c r="N375" s="41" t="n">
        <x:f>MIN(L375,M375)</x:f>
        <x:v>3865</x:v>
      </x:c>
      <x:c r="O375" s="41" t="n">
        <x:f>MAX(L375,M375)</x:f>
        <x:v>11866</x:v>
      </x:c>
      <x:c r="P375" s="41" t="n">
        <x:f>MAX(N375,MIN(K375,O375))</x:f>
        <x:v>9610</x:v>
      </x:c>
      <x:c r="Q375" s="19" t="str">
        <x:f>IF(K375&lt;N375,IF(N375=L375,"clamped_to_nominal","clamped_to_ppp"),IF(K375&gt;O375,IF(O375=L375,"clamped_to_nominal","clamped_to_ppp"),"kept_vanilla"))</x:f>
        <x:v>kept_vanilla</x:v>
      </x:c>
      <x:c r="R375" s="41" t="n">
        <x:f>P375*G375</x:f>
        <x:v>1108024495150</x:v>
      </x:c>
      <x:c r="S375" s="41" t="n">
        <x:f>R375/E375</x:f>
        <x:v>1273591373735.632</x:v>
      </x:c>
      <x:c r="T375" s="36" t="str">
        <x:v>PHL: IMF exact 2026</x:v>
      </x:c>
      <x:c r="U375" s="36" t="str">
        <x:v>PHL: IMF exact 2026</x:v>
      </x:c>
      <x:c r="V375" s="36" t="str">
        <x:v>PHL: IMF exact 2026</x:v>
      </x:c>
      <x:c r="W375" s="36" t="str">
        <x:v>complete_primary</x:v>
      </x:c>
      <x:c r="X375" s="36" t="str">
        <x:v>https://api.imf.org/external/sdmx/3.0/data/dataflow/IMF.RES/WEO/9.0.0/</x:v>
      </x:c>
      <x:c r="Y375" s="36" t="str">
        <x:v>https://api.worldbank.org/v2/</x:v>
      </x:c>
    </x:row>
    <x:row r="376">
      <x:c r="A376" s="24" t="str">
        <x:v>POL</x:v>
      </x:c>
      <x:c r="B376" s="24" t="str">
        <x:v>Poland</x:v>
      </x:c>
      <x:c r="C376" s="24" t="str">
        <x:v>POL</x:v>
      </x:c>
      <x:c r="D376" s="24" t="n">
        <x:v>2003</x:v>
      </x:c>
      <x:c r="E376" s="37" t="n">
        <x:v>1.59</x:v>
      </x:c>
      <x:c r="F376" s="38" t="n">
        <x:v>38203524</x:v>
      </x:c>
      <x:c r="G376" s="38" t="n">
        <x:v>38218531</x:v>
      </x:c>
      <x:c r="H376" s="39" t="n">
        <x:f>G376/F376</x:f>
        <x:v>1.0003928171652436</x:v>
      </x:c>
      <x:c r="I376" s="40" t="n">
        <x:v>298056140351</x:v>
      </x:c>
      <x:c r="J376" s="40" t="n">
        <x:v>473909263158</x:v>
      </x:c>
      <x:c r="K376" s="40" t="n">
        <x:v>12405</x:v>
      </x:c>
      <x:c r="L376" s="40" t="n">
        <x:v>9093</x:v>
      </x:c>
      <x:c r="M376" s="40" t="n">
        <x:v>21342</x:v>
      </x:c>
      <x:c r="N376" s="41" t="n">
        <x:f>MIN(L376,M376)</x:f>
        <x:v>9093</x:v>
      </x:c>
      <x:c r="O376" s="41" t="n">
        <x:f>MAX(L376,M376)</x:f>
        <x:v>21342</x:v>
      </x:c>
      <x:c r="P376" s="41" t="n">
        <x:f>MAX(N376,MIN(K376,O376))</x:f>
        <x:v>12405</x:v>
      </x:c>
      <x:c r="Q376" s="19" t="str">
        <x:f>IF(K376&lt;N376,IF(N376=L376,"clamped_to_nominal","clamped_to_ppp"),IF(K376&gt;O376,IF(O376=L376,"clamped_to_nominal","clamped_to_ppp"),"kept_vanilla"))</x:f>
        <x:v>kept_vanilla</x:v>
      </x:c>
      <x:c r="R376" s="41" t="n">
        <x:f>P376*G376</x:f>
        <x:v>474100877055</x:v>
      </x:c>
      <x:c r="S376" s="41" t="n">
        <x:f>R376/E376</x:f>
        <x:v>298176652235.84906</x:v>
      </x:c>
      <x:c r="T376" s="36" t="str">
        <x:v>POL: IMF exact 2003</x:v>
      </x:c>
      <x:c r="U376" s="36" t="str">
        <x:v>POL: IMF exact 2003</x:v>
      </x:c>
      <x:c r="V376" s="36" t="str">
        <x:v>POL: IMF exact 2003</x:v>
      </x:c>
      <x:c r="W376" s="36" t="str">
        <x:v>complete_primary</x:v>
      </x:c>
      <x:c r="X376" s="36" t="str">
        <x:v>https://api.imf.org/external/sdmx/3.0/data/dataflow/IMF.RES/WEO/9.0.0/</x:v>
      </x:c>
      <x:c r="Y376" s="36" t="str">
        <x:v>https://api.worldbank.org/v2/</x:v>
      </x:c>
    </x:row>
    <x:row r="377">
      <x:c r="A377" s="24" t="str">
        <x:v>POL</x:v>
      </x:c>
      <x:c r="B377" s="24" t="str">
        <x:v>Poland</x:v>
      </x:c>
      <x:c r="C377" s="24" t="str">
        <x:v>POL</x:v>
      </x:c>
      <x:c r="D377" s="24" t="n">
        <x:v>2022</x:v>
      </x:c>
      <x:c r="E377" s="37" t="n">
        <x:v>1</x:v>
      </x:c>
      <x:c r="F377" s="38" t="n">
        <x:v>37723292</x:v>
      </x:c>
      <x:c r="G377" s="38" t="n">
        <x:v>36889761</x:v>
      </x:c>
      <x:c r="H377" s="39" t="n">
        <x:f>G377/F377</x:f>
        <x:v>0.9779040758160767</x:v>
      </x:c>
      <x:c r="I377" s="40" t="n">
        <x:v>1386683760000</x:v>
      </x:c>
      <x:c r="J377" s="40" t="n">
        <x:v>1386683760000</x:v>
      </x:c>
      <x:c r="K377" s="40" t="n">
        <x:v>36759</x:v>
      </x:c>
      <x:c r="L377" s="40" t="n">
        <x:v>18860</x:v>
      </x:c>
      <x:c r="M377" s="40" t="n">
        <x:v>47215</x:v>
      </x:c>
      <x:c r="N377" s="41" t="n">
        <x:f>MIN(L377,M377)</x:f>
        <x:v>18860</x:v>
      </x:c>
      <x:c r="O377" s="41" t="n">
        <x:f>MAX(L377,M377)</x:f>
        <x:v>47215</x:v>
      </x:c>
      <x:c r="P377" s="41" t="n">
        <x:f>MAX(N377,MIN(K377,O377))</x:f>
        <x:v>36759</x:v>
      </x:c>
      <x:c r="Q377" s="19" t="str">
        <x:f>IF(K377&lt;N377,IF(N377=L377,"clamped_to_nominal","clamped_to_ppp"),IF(K377&gt;O377,IF(O377=L377,"clamped_to_nominal","clamped_to_ppp"),"kept_vanilla"))</x:f>
        <x:v>kept_vanilla</x:v>
      </x:c>
      <x:c r="R377" s="41" t="n">
        <x:f>P377*G377</x:f>
        <x:v>1356030724599</x:v>
      </x:c>
      <x:c r="S377" s="41" t="n">
        <x:f>R377/E377</x:f>
        <x:v>1356030724599</x:v>
      </x:c>
      <x:c r="T377" s="36" t="str">
        <x:v>POL: IMF exact 2022</x:v>
      </x:c>
      <x:c r="U377" s="36" t="str">
        <x:v>POL: IMF exact 2022</x:v>
      </x:c>
      <x:c r="V377" s="36" t="str">
        <x:v>POL: IMF exact 2022</x:v>
      </x:c>
      <x:c r="W377" s="36" t="str">
        <x:v>complete_primary</x:v>
      </x:c>
      <x:c r="X377" s="36" t="str">
        <x:v>https://api.imf.org/external/sdmx/3.0/data/dataflow/IMF.RES/WEO/9.0.0/</x:v>
      </x:c>
      <x:c r="Y377" s="36" t="str">
        <x:v>https://api.worldbank.org/v2/</x:v>
      </x:c>
    </x:row>
    <x:row r="378">
      <x:c r="A378" s="24" t="str">
        <x:v>POL</x:v>
      </x:c>
      <x:c r="B378" s="24" t="str">
        <x:v>Poland</x:v>
      </x:c>
      <x:c r="C378" s="24" t="str">
        <x:v>POL</x:v>
      </x:c>
      <x:c r="D378" s="24" t="n">
        <x:v>2026</x:v>
      </x:c>
      <x:c r="E378" s="37" t="n">
        <x:v>0.87</x:v>
      </x:c>
      <x:c r="F378" s="38" t="n">
        <x:v>37843189</x:v>
      </x:c>
      <x:c r="G378" s="38" t="n">
        <x:v>36196374</x:v>
      </x:c>
      <x:c r="H378" s="39" t="n">
        <x:f>G378/F378</x:f>
        <x:v>0.9564831864460471</x:v>
      </x:c>
      <x:c r="I378" s="40" t="n">
        <x:v>1777406400000</x:v>
      </x:c>
      <x:c r="J378" s="40" t="n">
        <x:v>1546343568000</x:v>
      </x:c>
      <x:c r="K378" s="40" t="n">
        <x:v>40862</x:v>
      </x:c>
      <x:c r="L378" s="40" t="n">
        <x:v>27262</x:v>
      </x:c>
      <x:c r="M378" s="40" t="n">
        <x:v>52019</x:v>
      </x:c>
      <x:c r="N378" s="41" t="n">
        <x:f>MIN(L378,M378)</x:f>
        <x:v>27262</x:v>
      </x:c>
      <x:c r="O378" s="41" t="n">
        <x:f>MAX(L378,M378)</x:f>
        <x:v>52019</x:v>
      </x:c>
      <x:c r="P378" s="41" t="n">
        <x:f>MAX(N378,MIN(K378,O378))</x:f>
        <x:v>40862</x:v>
      </x:c>
      <x:c r="Q378" s="19" t="str">
        <x:f>IF(K378&lt;N378,IF(N378=L378,"clamped_to_nominal","clamped_to_ppp"),IF(K378&gt;O378,IF(O378=L378,"clamped_to_nominal","clamped_to_ppp"),"kept_vanilla"))</x:f>
        <x:v>kept_vanilla</x:v>
      </x:c>
      <x:c r="R378" s="41" t="n">
        <x:f>P378*G378</x:f>
        <x:v>1479056234388</x:v>
      </x:c>
      <x:c r="S378" s="41" t="n">
        <x:f>R378/E378</x:f>
        <x:v>1700064637227.5862</x:v>
      </x:c>
      <x:c r="T378" s="36" t="str">
        <x:v>POL: IMF exact 2026</x:v>
      </x:c>
      <x:c r="U378" s="36" t="str">
        <x:v>POL: IMF exact 2026</x:v>
      </x:c>
      <x:c r="V378" s="36" t="str">
        <x:v>POL: IMF exact 2026</x:v>
      </x:c>
      <x:c r="W378" s="36" t="str">
        <x:v>complete_primary</x:v>
      </x:c>
      <x:c r="X378" s="36" t="str">
        <x:v>https://api.imf.org/external/sdmx/3.0/data/dataflow/IMF.RES/WEO/9.0.0/</x:v>
      </x:c>
      <x:c r="Y378" s="36" t="str">
        <x:v>https://api.worldbank.org/v2/</x:v>
      </x:c>
    </x:row>
    <x:row r="379">
      <x:c r="A379" s="24" t="str">
        <x:v>PLS</x:v>
      </x:c>
      <x:c r="B379" s="24" t="str">
        <x:v>Polynesian States</x:v>
      </x:c>
      <x:c r="C379" s="24" t="str">
        <x:v>WSM+TON</x:v>
      </x:c>
      <x:c r="D379" s="24" t="n">
        <x:v>2003</x:v>
      </x:c>
      <x:c r="E379" s="37" t="n">
        <x:v>1.59</x:v>
      </x:c>
      <x:c r="F379" s="38" t="n">
        <x:v>314616</x:v>
      </x:c>
      <x:c r="G379" s="38" t="n">
        <x:v>278393</x:v>
      </x:c>
      <x:c r="H379" s="39" t="n">
        <x:f>G379/F379</x:f>
        <x:v>0.8848659953721362</x:v>
      </x:c>
      <x:c r="I379" s="40" t="n">
        <x:v>616374269</x:v>
      </x:c>
      <x:c r="J379" s="40" t="n">
        <x:v>980035088</x:v>
      </x:c>
      <x:c r="K379" s="40" t="n">
        <x:v>3115</x:v>
      </x:c>
      <x:c r="L379" s="40" t="n">
        <x:v>3109</x:v>
      </x:c>
      <x:c r="M379" s="40" t="n">
        <x:v>5869</x:v>
      </x:c>
      <x:c r="N379" s="41" t="n">
        <x:f>MIN(L379,M379)</x:f>
        <x:v>3109</x:v>
      </x:c>
      <x:c r="O379" s="41" t="n">
        <x:f>MAX(L379,M379)</x:f>
        <x:v>5869</x:v>
      </x:c>
      <x:c r="P379" s="41" t="n">
        <x:f>MAX(N379,MIN(K379,O379))</x:f>
        <x:v>3115</x:v>
      </x:c>
      <x:c r="Q379" s="19" t="str">
        <x:f>IF(K379&lt;N379,IF(N379=L379,"clamped_to_nominal","clamped_to_ppp"),IF(K379&gt;O379,IF(O379=L379,"clamped_to_nominal","clamped_to_ppp"),"kept_vanilla"))</x:f>
        <x:v>kept_vanilla</x:v>
      </x:c>
      <x:c r="R379" s="41" t="n">
        <x:f>P379*G379</x:f>
        <x:v>867194195</x:v>
      </x:c>
      <x:c r="S379" s="41" t="n">
        <x:f>R379/E379</x:f>
        <x:v>545405154.0880502</x:v>
      </x:c>
      <x:c r="T379" s="36" t="str">
        <x:v>WSM: IMF exact 2003; TON: IMF exact 2003</x:v>
      </x:c>
      <x:c r="U379" s="36" t="str">
        <x:v>WSM: IMF exact 2003; TON: IMF exact 2003</x:v>
      </x:c>
      <x:c r="V379" s="36" t="str">
        <x:v>WSM: IMF exact 2003; TON: IMF exact 2003</x:v>
      </x:c>
      <x:c r="W379" s="36" t="str">
        <x:v>complete_primary</x:v>
      </x:c>
      <x:c r="X379" s="36" t="str">
        <x:v>https://api.imf.org/external/sdmx/3.0/data/dataflow/IMF.RES/WEO/9.0.0/</x:v>
      </x:c>
      <x:c r="Y379" s="36" t="str">
        <x:v>https://api.worldbank.org/v2/</x:v>
      </x:c>
    </x:row>
    <x:row r="380">
      <x:c r="A380" s="24" t="str">
        <x:v>PLS</x:v>
      </x:c>
      <x:c r="B380" s="24" t="str">
        <x:v>Polynesian States</x:v>
      </x:c>
      <x:c r="C380" s="24" t="str">
        <x:v>WSM+TON</x:v>
      </x:c>
      <x:c r="D380" s="24" t="n">
        <x:v>2022</x:v>
      </x:c>
      <x:c r="E380" s="37" t="n">
        <x:v>1</x:v>
      </x:c>
      <x:c r="F380" s="38" t="n">
        <x:v>340676</x:v>
      </x:c>
      <x:c r="G380" s="38" t="n">
        <x:v>306695</x:v>
      </x:c>
      <x:c r="H380" s="39" t="n">
        <x:f>G380/F380</x:f>
        <x:v>0.9002542004720028</x:v>
      </x:c>
      <x:c r="I380" s="40" t="n">
        <x:v>1995399715</x:v>
      </x:c>
      <x:c r="J380" s="40" t="n">
        <x:v>1995399715</x:v>
      </x:c>
      <x:c r="K380" s="40" t="n">
        <x:v>5857</x:v>
      </x:c>
      <x:c r="L380" s="40" t="n">
        <x:v>4705</x:v>
      </x:c>
      <x:c r="M380" s="40" t="n">
        <x:v>6452</x:v>
      </x:c>
      <x:c r="N380" s="41" t="n">
        <x:f>MIN(L380,M380)</x:f>
        <x:v>4705</x:v>
      </x:c>
      <x:c r="O380" s="41" t="n">
        <x:f>MAX(L380,M380)</x:f>
        <x:v>6452</x:v>
      </x:c>
      <x:c r="P380" s="41" t="n">
        <x:f>MAX(N380,MIN(K380,O380))</x:f>
        <x:v>5857</x:v>
      </x:c>
      <x:c r="Q380" s="19" t="str">
        <x:f>IF(K380&lt;N380,IF(N380=L380,"clamped_to_nominal","clamped_to_ppp"),IF(K380&gt;O380,IF(O380=L380,"clamped_to_nominal","clamped_to_ppp"),"kept_vanilla"))</x:f>
        <x:v>kept_vanilla</x:v>
      </x:c>
      <x:c r="R380" s="41" t="n">
        <x:f>P380*G380</x:f>
        <x:v>1796312615</x:v>
      </x:c>
      <x:c r="S380" s="41" t="n">
        <x:f>R380/E380</x:f>
        <x:v>1796312615</x:v>
      </x:c>
      <x:c r="T380" s="36" t="str">
        <x:v>WSM: IMF exact 2022; TON: IMF exact 2022</x:v>
      </x:c>
      <x:c r="U380" s="36" t="str">
        <x:v>WSM: IMF exact 2022; TON: IMF exact 2022</x:v>
      </x:c>
      <x:c r="V380" s="36" t="str">
        <x:v>WSM: IMF exact 2022; TON: IMF exact 2022</x:v>
      </x:c>
      <x:c r="W380" s="36" t="str">
        <x:v>complete_primary</x:v>
      </x:c>
      <x:c r="X380" s="36" t="str">
        <x:v>https://api.imf.org/external/sdmx/3.0/data/dataflow/IMF.RES/WEO/9.0.0/</x:v>
      </x:c>
      <x:c r="Y380" s="36" t="str">
        <x:v>https://api.worldbank.org/v2/</x:v>
      </x:c>
    </x:row>
    <x:row r="381">
      <x:c r="A381" s="24" t="str">
        <x:v>PLS</x:v>
      </x:c>
      <x:c r="B381" s="24" t="str">
        <x:v>Polynesian States</x:v>
      </x:c>
      <x:c r="C381" s="24" t="str">
        <x:v>WSM+TON</x:v>
      </x:c>
      <x:c r="D381" s="24" t="n">
        <x:v>2026</x:v>
      </x:c>
      <x:c r="E381" s="37" t="n">
        <x:v>0.87</x:v>
      </x:c>
      <x:c r="F381" s="38" t="n">
        <x:v>346007</x:v>
      </x:c>
      <x:c r="G381" s="38" t="n">
        <x:v>312209</x:v>
      </x:c>
      <x:c r="H381" s="39" t="n">
        <x:f>G381/F381</x:f>
        <x:v>0.9023198952622346</x:v>
      </x:c>
      <x:c r="I381" s="40" t="n">
        <x:v>2482039715</x:v>
      </x:c>
      <x:c r="J381" s="40" t="n">
        <x:v>2159374552</x:v>
      </x:c>
      <x:c r="K381" s="40" t="n">
        <x:v>6241</x:v>
      </x:c>
      <x:c r="L381" s="40" t="n">
        <x:v>5832</x:v>
      </x:c>
      <x:c r="M381" s="40" t="n">
        <x:v>7626</x:v>
      </x:c>
      <x:c r="N381" s="41" t="n">
        <x:f>MIN(L381,M381)</x:f>
        <x:v>5832</x:v>
      </x:c>
      <x:c r="O381" s="41" t="n">
        <x:f>MAX(L381,M381)</x:f>
        <x:v>7626</x:v>
      </x:c>
      <x:c r="P381" s="41" t="n">
        <x:f>MAX(N381,MIN(K381,O381))</x:f>
        <x:v>6241</x:v>
      </x:c>
      <x:c r="Q381" s="19" t="str">
        <x:f>IF(K381&lt;N381,IF(N381=L381,"clamped_to_nominal","clamped_to_ppp"),IF(K381&gt;O381,IF(O381=L381,"clamped_to_nominal","clamped_to_ppp"),"kept_vanilla"))</x:f>
        <x:v>kept_vanilla</x:v>
      </x:c>
      <x:c r="R381" s="41" t="n">
        <x:f>P381*G381</x:f>
        <x:v>1948496369</x:v>
      </x:c>
      <x:c r="S381" s="41" t="n">
        <x:f>R381/E381</x:f>
        <x:v>2239650998.8505745</x:v>
      </x:c>
      <x:c r="T381" s="36" t="str">
        <x:v>WSM: IMF exact 2026; TON: IMF exact 2026</x:v>
      </x:c>
      <x:c r="U381" s="36" t="str">
        <x:v>WSM: IMF exact 2026; TON: IMF exact 2026</x:v>
      </x:c>
      <x:c r="V381" s="36" t="str">
        <x:v>WSM: IMF exact 2026; TON: IMF exact 2026</x:v>
      </x:c>
      <x:c r="W381" s="36" t="str">
        <x:v>complete_primary</x:v>
      </x:c>
      <x:c r="X381" s="36" t="str">
        <x:v>https://api.imf.org/external/sdmx/3.0/data/dataflow/IMF.RES/WEO/9.0.0/</x:v>
      </x:c>
      <x:c r="Y381" s="36" t="str">
        <x:v>https://api.worldbank.org/v2/</x:v>
      </x:c>
    </x:row>
    <x:row r="382">
      <x:c r="A382" s="24" t="str">
        <x:v>PRT</x:v>
      </x:c>
      <x:c r="B382" s="24" t="str">
        <x:v>Portugal</x:v>
      </x:c>
      <x:c r="C382" s="24" t="str">
        <x:v>PRT</x:v>
      </x:c>
      <x:c r="D382" s="24" t="n">
        <x:v>2003</x:v>
      </x:c>
      <x:c r="E382" s="37" t="n">
        <x:v>1.59</x:v>
      </x:c>
      <x:c r="F382" s="38" t="n">
        <x:v>10454245</x:v>
      </x:c>
      <x:c r="G382" s="38" t="n">
        <x:v>10458820</x:v>
      </x:c>
      <x:c r="H382" s="39" t="n">
        <x:f>G382/F382</x:f>
        <x:v>1.000437621272507</x:v>
      </x:c>
      <x:c r="I382" s="40" t="n">
        <x:v>143287134503</x:v>
      </x:c>
      <x:c r="J382" s="40" t="n">
        <x:v>227826543860</x:v>
      </x:c>
      <x:c r="K382" s="40" t="n">
        <x:v>21793</x:v>
      </x:c>
      <x:c r="L382" s="40" t="n">
        <x:v>25112</x:v>
      </x:c>
      <x:c r="M382" s="40" t="n">
        <x:v>37361</x:v>
      </x:c>
      <x:c r="N382" s="41" t="n">
        <x:f>MIN(L382,M382)</x:f>
        <x:v>25112</x:v>
      </x:c>
      <x:c r="O382" s="41" t="n">
        <x:f>MAX(L382,M382)</x:f>
        <x:v>37361</x:v>
      </x:c>
      <x:c r="P382" s="41" t="n">
        <x:f>MAX(N382,MIN(K382,O382))</x:f>
        <x:v>25112</x:v>
      </x:c>
      <x:c r="Q382" s="19" t="str">
        <x:f>IF(K382&lt;N382,IF(N382=L382,"clamped_to_nominal","clamped_to_ppp"),IF(K382&gt;O382,IF(O382=L382,"clamped_to_nominal","clamped_to_ppp"),"kept_vanilla"))</x:f>
        <x:v>clamped_to_nominal</x:v>
      </x:c>
      <x:c r="R382" s="41" t="n">
        <x:f>P382*G382</x:f>
        <x:v>262641887840</x:v>
      </x:c>
      <x:c r="S382" s="41" t="n">
        <x:f>R382/E382</x:f>
        <x:v>165183577257.86163</x:v>
      </x:c>
      <x:c r="T382" s="36" t="str">
        <x:v>PRT: IMF exact 2003</x:v>
      </x:c>
      <x:c r="U382" s="36" t="str">
        <x:v>PRT: IMF exact 2003</x:v>
      </x:c>
      <x:c r="V382" s="36" t="str">
        <x:v>PRT: IMF exact 2003</x:v>
      </x:c>
      <x:c r="W382" s="36" t="str">
        <x:v>complete_primary</x:v>
      </x:c>
      <x:c r="X382" s="36" t="str">
        <x:v>https://api.imf.org/external/sdmx/3.0/data/dataflow/IMF.RES/WEO/9.0.0/</x:v>
      </x:c>
      <x:c r="Y382" s="36" t="str">
        <x:v>https://api.worldbank.org/v2/</x:v>
      </x:c>
    </x:row>
    <x:row r="383">
      <x:c r="A383" s="24" t="str">
        <x:v>PRT</x:v>
      </x:c>
      <x:c r="B383" s="24" t="str">
        <x:v>Portugal</x:v>
      </x:c>
      <x:c r="C383" s="24" t="str">
        <x:v>PRT</x:v>
      </x:c>
      <x:c r="D383" s="24" t="n">
        <x:v>2022</x:v>
      </x:c>
      <x:c r="E383" s="37" t="n">
        <x:v>1</x:v>
      </x:c>
      <x:c r="F383" s="38" t="n">
        <x:v>10132498</x:v>
      </x:c>
      <x:c r="G383" s="38" t="n">
        <x:v>10468870</x:v>
      </x:c>
      <x:c r="H383" s="39" t="n">
        <x:f>G383/F383</x:f>
        <x:v>1.0331973418598257</x:v>
      </x:c>
      <x:c r="I383" s="40" t="n">
        <x:v>369293760000</x:v>
      </x:c>
      <x:c r="J383" s="40" t="n">
        <x:v>369293760000</x:v>
      </x:c>
      <x:c r="K383" s="40" t="n">
        <x:v>36446</x:v>
      </x:c>
      <x:c r="L383" s="40" t="n">
        <x:v>24559</x:v>
      </x:c>
      <x:c r="M383" s="40" t="n">
        <x:v>44079</x:v>
      </x:c>
      <x:c r="N383" s="41" t="n">
        <x:f>MIN(L383,M383)</x:f>
        <x:v>24559</x:v>
      </x:c>
      <x:c r="O383" s="41" t="n">
        <x:f>MAX(L383,M383)</x:f>
        <x:v>44079</x:v>
      </x:c>
      <x:c r="P383" s="41" t="n">
        <x:f>MAX(N383,MIN(K383,O383))</x:f>
        <x:v>36446</x:v>
      </x:c>
      <x:c r="Q383" s="19" t="str">
        <x:f>IF(K383&lt;N383,IF(N383=L383,"clamped_to_nominal","clamped_to_ppp"),IF(K383&gt;O383,IF(O383=L383,"clamped_to_nominal","clamped_to_ppp"),"kept_vanilla"))</x:f>
        <x:v>kept_vanilla</x:v>
      </x:c>
      <x:c r="R383" s="41" t="n">
        <x:f>P383*G383</x:f>
        <x:v>381548436020</x:v>
      </x:c>
      <x:c r="S383" s="41" t="n">
        <x:f>R383/E383</x:f>
        <x:v>381548436020</x:v>
      </x:c>
      <x:c r="T383" s="36" t="str">
        <x:v>PRT: IMF exact 2022</x:v>
      </x:c>
      <x:c r="U383" s="36" t="str">
        <x:v>PRT: IMF exact 2022</x:v>
      </x:c>
      <x:c r="V383" s="36" t="str">
        <x:v>PRT: IMF exact 2022</x:v>
      </x:c>
      <x:c r="W383" s="36" t="str">
        <x:v>complete_primary</x:v>
      </x:c>
      <x:c r="X383" s="36" t="str">
        <x:v>https://api.imf.org/external/sdmx/3.0/data/dataflow/IMF.RES/WEO/9.0.0/</x:v>
      </x:c>
      <x:c r="Y383" s="36" t="str">
        <x:v>https://api.worldbank.org/v2/</x:v>
      </x:c>
    </x:row>
    <x:row r="384">
      <x:c r="A384" s="24" t="str">
        <x:v>PRT</x:v>
      </x:c>
      <x:c r="B384" s="24" t="str">
        <x:v>Portugal</x:v>
      </x:c>
      <x:c r="C384" s="24" t="str">
        <x:v>PRT</x:v>
      </x:c>
      <x:c r="D384" s="24" t="n">
        <x:v>2026</x:v>
      </x:c>
      <x:c r="E384" s="37" t="n">
        <x:v>0.87</x:v>
      </x:c>
      <x:c r="F384" s="38" t="n">
        <x:v>10395362</x:v>
      </x:c>
      <x:c r="G384" s="38" t="n">
        <x:v>10742283</x:v>
      </x:c>
      <x:c r="H384" s="39" t="n">
        <x:f>G384/F384</x:f>
        <x:v>1.0333726713894138</x:v>
      </x:c>
      <x:c r="I384" s="40" t="n">
        <x:v>471764480000</x:v>
      </x:c>
      <x:c r="J384" s="40" t="n">
        <x:v>410435097600</x:v>
      </x:c>
      <x:c r="K384" s="40" t="n">
        <x:v>39483</x:v>
      </x:c>
      <x:c r="L384" s="40" t="n">
        <x:v>30827</x:v>
      </x:c>
      <x:c r="M384" s="40" t="n">
        <x:v>45972</x:v>
      </x:c>
      <x:c r="N384" s="41" t="n">
        <x:f>MIN(L384,M384)</x:f>
        <x:v>30827</x:v>
      </x:c>
      <x:c r="O384" s="41" t="n">
        <x:f>MAX(L384,M384)</x:f>
        <x:v>45972</x:v>
      </x:c>
      <x:c r="P384" s="41" t="n">
        <x:f>MAX(N384,MIN(K384,O384))</x:f>
        <x:v>39483</x:v>
      </x:c>
      <x:c r="Q384" s="19" t="str">
        <x:f>IF(K384&lt;N384,IF(N384=L384,"clamped_to_nominal","clamped_to_ppp"),IF(K384&gt;O384,IF(O384=L384,"clamped_to_nominal","clamped_to_ppp"),"kept_vanilla"))</x:f>
        <x:v>kept_vanilla</x:v>
      </x:c>
      <x:c r="R384" s="41" t="n">
        <x:f>P384*G384</x:f>
        <x:v>424137559689</x:v>
      </x:c>
      <x:c r="S384" s="41" t="n">
        <x:f>R384/E384</x:f>
        <x:v>487514436424.13794</x:v>
      </x:c>
      <x:c r="T384" s="36" t="str">
        <x:v>PRT: IMF exact 2026</x:v>
      </x:c>
      <x:c r="U384" s="36" t="str">
        <x:v>PRT: IMF exact 2026</x:v>
      </x:c>
      <x:c r="V384" s="36" t="str">
        <x:v>PRT: IMF exact 2026</x:v>
      </x:c>
      <x:c r="W384" s="36" t="str">
        <x:v>complete_primary</x:v>
      </x:c>
      <x:c r="X384" s="36" t="str">
        <x:v>https://api.imf.org/external/sdmx/3.0/data/dataflow/IMF.RES/WEO/9.0.0/</x:v>
      </x:c>
      <x:c r="Y384" s="36" t="str">
        <x:v>https://api.worldbank.org/v2/</x:v>
      </x:c>
    </x:row>
    <x:row r="385">
      <x:c r="A385" s="24" t="str">
        <x:v>COR</x:v>
      </x:c>
      <x:c r="B385" s="24" t="str">
        <x:v>Republic of the Congo</x:v>
      </x:c>
      <x:c r="C385" s="24" t="str">
        <x:v>COG</x:v>
      </x:c>
      <x:c r="D385" s="24" t="n">
        <x:v>2003</x:v>
      </x:c>
      <x:c r="E385" s="37" t="n">
        <x:v>1.59</x:v>
      </x:c>
      <x:c r="F385" s="38" t="n">
        <x:v>3445753</x:v>
      </x:c>
      <x:c r="G385" s="38" t="n">
        <x:v>3424653</x:v>
      </x:c>
      <x:c r="H385" s="39" t="n">
        <x:f>G385/F385</x:f>
        <x:v>0.9938765198782386</x:v>
      </x:c>
      <x:c r="I385" s="40" t="n">
        <x:v>7251461988</x:v>
      </x:c>
      <x:c r="J385" s="40" t="n">
        <x:v>11529824561</x:v>
      </x:c>
      <x:c r="K385" s="40" t="n">
        <x:v>3346</x:v>
      </x:c>
      <x:c r="L385" s="40" t="n">
        <x:v>1794</x:v>
      </x:c>
      <x:c r="M385" s="40" t="n">
        <x:v>5757</x:v>
      </x:c>
      <x:c r="N385" s="41" t="n">
        <x:f>MIN(L385,M385)</x:f>
        <x:v>1794</x:v>
      </x:c>
      <x:c r="O385" s="41" t="n">
        <x:f>MAX(L385,M385)</x:f>
        <x:v>5757</x:v>
      </x:c>
      <x:c r="P385" s="41" t="n">
        <x:f>MAX(N385,MIN(K385,O385))</x:f>
        <x:v>3346</x:v>
      </x:c>
      <x:c r="Q385" s="19" t="str">
        <x:f>IF(K385&lt;N385,IF(N385=L385,"clamped_to_nominal","clamped_to_ppp"),IF(K385&gt;O385,IF(O385=L385,"clamped_to_nominal","clamped_to_ppp"),"kept_vanilla"))</x:f>
        <x:v>kept_vanilla</x:v>
      </x:c>
      <x:c r="R385" s="41" t="n">
        <x:f>P385*G385</x:f>
        <x:v>11458888938</x:v>
      </x:c>
      <x:c r="S385" s="41" t="n">
        <x:f>R385/E385</x:f>
        <x:v>7206848388.679245</x:v>
      </x:c>
      <x:c r="T385" s="36" t="str">
        <x:v>COG: IMF exact 2003</x:v>
      </x:c>
      <x:c r="U385" s="36" t="str">
        <x:v>COG: IMF exact 2003</x:v>
      </x:c>
      <x:c r="V385" s="36" t="str">
        <x:v>COG: IMF exact 2003</x:v>
      </x:c>
      <x:c r="W385" s="36" t="str">
        <x:v>complete_primary</x:v>
      </x:c>
      <x:c r="X385" s="36" t="str">
        <x:v>https://api.imf.org/external/sdmx/3.0/data/dataflow/IMF.RES/WEO/9.0.0/</x:v>
      </x:c>
      <x:c r="Y385" s="36" t="str">
        <x:v>https://api.worldbank.org/v2/</x:v>
      </x:c>
    </x:row>
    <x:row r="386">
      <x:c r="A386" s="24" t="str">
        <x:v>COR</x:v>
      </x:c>
      <x:c r="B386" s="24" t="str">
        <x:v>Republic of the Congo</x:v>
      </x:c>
      <x:c r="C386" s="24" t="str">
        <x:v>COG</x:v>
      </x:c>
      <x:c r="D386" s="24" t="n">
        <x:v>2022</x:v>
      </x:c>
      <x:c r="E386" s="37" t="n">
        <x:v>1</x:v>
      </x:c>
      <x:c r="F386" s="38" t="n">
        <x:v>5842157</x:v>
      </x:c>
      <x:c r="G386" s="38" t="n">
        <x:v>5970424</x:v>
      </x:c>
      <x:c r="H386" s="39" t="n">
        <x:f>G386/F386</x:f>
        <x:v>1.021955418178594</x:v>
      </x:c>
      <x:c r="I386" s="40" t="n">
        <x:v>19816720000</x:v>
      </x:c>
      <x:c r="J386" s="40" t="n">
        <x:v>19816720000</x:v>
      </x:c>
      <x:c r="K386" s="40" t="n">
        <x:v>3392</x:v>
      </x:c>
      <x:c r="L386" s="40" t="n">
        <x:v>2339</x:v>
      </x:c>
      <x:c r="M386" s="40" t="n">
        <x:v>6083</x:v>
      </x:c>
      <x:c r="N386" s="41" t="n">
        <x:f>MIN(L386,M386)</x:f>
        <x:v>2339</x:v>
      </x:c>
      <x:c r="O386" s="41" t="n">
        <x:f>MAX(L386,M386)</x:f>
        <x:v>6083</x:v>
      </x:c>
      <x:c r="P386" s="41" t="n">
        <x:f>MAX(N386,MIN(K386,O386))</x:f>
        <x:v>3392</x:v>
      </x:c>
      <x:c r="Q386" s="19" t="str">
        <x:f>IF(K386&lt;N386,IF(N386=L386,"clamped_to_nominal","clamped_to_ppp"),IF(K386&gt;O386,IF(O386=L386,"clamped_to_nominal","clamped_to_ppp"),"kept_vanilla"))</x:f>
        <x:v>kept_vanilla</x:v>
      </x:c>
      <x:c r="R386" s="41" t="n">
        <x:f>P386*G386</x:f>
        <x:v>20251678208</x:v>
      </x:c>
      <x:c r="S386" s="41" t="n">
        <x:f>R386/E386</x:f>
        <x:v>20251678208</x:v>
      </x:c>
      <x:c r="T386" s="36" t="str">
        <x:v>COG: IMF exact 2022</x:v>
      </x:c>
      <x:c r="U386" s="36" t="str">
        <x:v>COG: IMF exact 2022</x:v>
      </x:c>
      <x:c r="V386" s="36" t="str">
        <x:v>COG: IMF exact 2022</x:v>
      </x:c>
      <x:c r="W386" s="36" t="str">
        <x:v>complete_primary</x:v>
      </x:c>
      <x:c r="X386" s="36" t="str">
        <x:v>https://api.imf.org/external/sdmx/3.0/data/dataflow/IMF.RES/WEO/9.0.0/</x:v>
      </x:c>
      <x:c r="Y386" s="36" t="str">
        <x:v>https://api.worldbank.org/v2/</x:v>
      </x:c>
    </x:row>
    <x:row r="387">
      <x:c r="A387" s="24" t="str">
        <x:v>COR</x:v>
      </x:c>
      <x:c r="B387" s="24" t="str">
        <x:v>Republic of the Congo</x:v>
      </x:c>
      <x:c r="C387" s="24" t="str">
        <x:v>COG</x:v>
      </x:c>
      <x:c r="D387" s="24" t="n">
        <x:v>2026</x:v>
      </x:c>
      <x:c r="E387" s="37" t="n">
        <x:v>0.87</x:v>
      </x:c>
      <x:c r="F387" s="38" t="n">
        <x:v>6637786</x:v>
      </x:c>
      <x:c r="G387" s="38" t="n">
        <x:v>6667724</x:v>
      </x:c>
      <x:c r="H387" s="39" t="n">
        <x:f>G387/F387</x:f>
        <x:v>1.0045102388055294</x:v>
      </x:c>
      <x:c r="I387" s="40" t="n">
        <x:v>37631440000</x:v>
      </x:c>
      <x:c r="J387" s="40" t="n">
        <x:v>32739352800</x:v>
      </x:c>
      <x:c r="K387" s="40" t="n">
        <x:v>4932</x:v>
      </x:c>
      <x:c r="L387" s="40" t="n">
        <x:v>2222</x:v>
      </x:c>
      <x:c r="M387" s="40" t="n">
        <x:v>5840</x:v>
      </x:c>
      <x:c r="N387" s="41" t="n">
        <x:f>MIN(L387,M387)</x:f>
        <x:v>2222</x:v>
      </x:c>
      <x:c r="O387" s="41" t="n">
        <x:f>MAX(L387,M387)</x:f>
        <x:v>5840</x:v>
      </x:c>
      <x:c r="P387" s="41" t="n">
        <x:f>MAX(N387,MIN(K387,O387))</x:f>
        <x:v>4932</x:v>
      </x:c>
      <x:c r="Q387" s="19" t="str">
        <x:f>IF(K387&lt;N387,IF(N387=L387,"clamped_to_nominal","clamped_to_ppp"),IF(K387&gt;O387,IF(O387=L387,"clamped_to_nominal","clamped_to_ppp"),"kept_vanilla"))</x:f>
        <x:v>kept_vanilla</x:v>
      </x:c>
      <x:c r="R387" s="41" t="n">
        <x:f>P387*G387</x:f>
        <x:v>32885214768</x:v>
      </x:c>
      <x:c r="S387" s="41" t="n">
        <x:f>R387/E387</x:f>
        <x:v>37799097434.48276</x:v>
      </x:c>
      <x:c r="T387" s="36" t="str">
        <x:v>COG: IMF exact 2026</x:v>
      </x:c>
      <x:c r="U387" s="36" t="str">
        <x:v>COG: IMF exact 2026</x:v>
      </x:c>
      <x:c r="V387" s="36" t="str">
        <x:v>COG: IMF exact 2026</x:v>
      </x:c>
      <x:c r="W387" s="36" t="str">
        <x:v>complete_primary</x:v>
      </x:c>
      <x:c r="X387" s="36" t="str">
        <x:v>https://api.imf.org/external/sdmx/3.0/data/dataflow/IMF.RES/WEO/9.0.0/</x:v>
      </x:c>
      <x:c r="Y387" s="36" t="str">
        <x:v>https://api.worldbank.org/v2/</x:v>
      </x:c>
    </x:row>
    <x:row r="388">
      <x:c r="A388" s="24" t="str">
        <x:v>ROM</x:v>
      </x:c>
      <x:c r="B388" s="24" t="str">
        <x:v>Romania</x:v>
      </x:c>
      <x:c r="C388" s="24" t="str">
        <x:v>ROU</x:v>
      </x:c>
      <x:c r="D388" s="24" t="n">
        <x:v>2003</x:v>
      </x:c>
      <x:c r="E388" s="37" t="n">
        <x:v>1.59</x:v>
      </x:c>
      <x:c r="F388" s="38" t="n">
        <x:v>21593450</x:v>
      </x:c>
      <x:c r="G388" s="38" t="n">
        <x:v>21627509</x:v>
      </x:c>
      <x:c r="H388" s="39" t="n">
        <x:f>G388/F388</x:f>
        <x:v>1.0015772838522792</x:v>
      </x:c>
      <x:c r="I388" s="40" t="n">
        <x:v>140076023392</x:v>
      </x:c>
      <x:c r="J388" s="40" t="n">
        <x:v>222720877193</x:v>
      </x:c>
      <x:c r="K388" s="40" t="n">
        <x:v>10314</x:v>
      </x:c>
      <x:c r="L388" s="40" t="n">
        <x:v>4249</x:v>
      </x:c>
      <x:c r="M388" s="40" t="n">
        <x:v>17617</x:v>
      </x:c>
      <x:c r="N388" s="41" t="n">
        <x:f>MIN(L388,M388)</x:f>
        <x:v>4249</x:v>
      </x:c>
      <x:c r="O388" s="41" t="n">
        <x:f>MAX(L388,M388)</x:f>
        <x:v>17617</x:v>
      </x:c>
      <x:c r="P388" s="41" t="n">
        <x:f>MAX(N388,MIN(K388,O388))</x:f>
        <x:v>10314</x:v>
      </x:c>
      <x:c r="Q388" s="19" t="str">
        <x:f>IF(K388&lt;N388,IF(N388=L388,"clamped_to_nominal","clamped_to_ppp"),IF(K388&gt;O388,IF(O388=L388,"clamped_to_nominal","clamped_to_ppp"),"kept_vanilla"))</x:f>
        <x:v>kept_vanilla</x:v>
      </x:c>
      <x:c r="R388" s="41" t="n">
        <x:f>P388*G388</x:f>
        <x:v>223066127826</x:v>
      </x:c>
      <x:c r="S388" s="41" t="n">
        <x:f>R388/E388</x:f>
        <x:v>140293162154.71698</x:v>
      </x:c>
      <x:c r="T388" s="36" t="str">
        <x:v>ROU: IMF exact 2003</x:v>
      </x:c>
      <x:c r="U388" s="36" t="str">
        <x:v>ROU: IMF exact 2003</x:v>
      </x:c>
      <x:c r="V388" s="36" t="str">
        <x:v>ROU: IMF exact 2003</x:v>
      </x:c>
      <x:c r="W388" s="36" t="str">
        <x:v>complete_primary</x:v>
      </x:c>
      <x:c r="X388" s="36" t="str">
        <x:v>https://api.imf.org/external/sdmx/3.0/data/dataflow/IMF.RES/WEO/9.0.0/</x:v>
      </x:c>
      <x:c r="Y388" s="36" t="str">
        <x:v>https://api.worldbank.org/v2/</x:v>
      </x:c>
    </x:row>
    <x:row r="389">
      <x:c r="A389" s="24" t="str">
        <x:v>ROM</x:v>
      </x:c>
      <x:c r="B389" s="24" t="str">
        <x:v>Romania</x:v>
      </x:c>
      <x:c r="C389" s="24" t="str">
        <x:v>ROU</x:v>
      </x:c>
      <x:c r="D389" s="24" t="n">
        <x:v>2022</x:v>
      </x:c>
      <x:c r="E389" s="37" t="n">
        <x:v>1</x:v>
      </x:c>
      <x:c r="F389" s="38" t="n">
        <x:v>19003504</x:v>
      </x:c>
      <x:c r="G389" s="38" t="n">
        <x:v>19043098</x:v>
      </x:c>
      <x:c r="H389" s="39" t="n">
        <x:f>G389/F389</x:f>
        <x:v>1.0020835104936436</x:v>
      </x:c>
      <x:c r="I389" s="40" t="n">
        <x:v>622817360000</x:v>
      </x:c>
      <x:c r="J389" s="40" t="n">
        <x:v>622817360000</x:v>
      </x:c>
      <x:c r="K389" s="40" t="n">
        <x:v>32774</x:v>
      </x:c>
      <x:c r="L389" s="40" t="n">
        <x:v>15538</x:v>
      </x:c>
      <x:c r="M389" s="40" t="n">
        <x:v>42441</x:v>
      </x:c>
      <x:c r="N389" s="41" t="n">
        <x:f>MIN(L389,M389)</x:f>
        <x:v>15538</x:v>
      </x:c>
      <x:c r="O389" s="41" t="n">
        <x:f>MAX(L389,M389)</x:f>
        <x:v>42441</x:v>
      </x:c>
      <x:c r="P389" s="41" t="n">
        <x:f>MAX(N389,MIN(K389,O389))</x:f>
        <x:v>32774</x:v>
      </x:c>
      <x:c r="Q389" s="19" t="str">
        <x:f>IF(K389&lt;N389,IF(N389=L389,"clamped_to_nominal","clamped_to_ppp"),IF(K389&gt;O389,IF(O389=L389,"clamped_to_nominal","clamped_to_ppp"),"kept_vanilla"))</x:f>
        <x:v>kept_vanilla</x:v>
      </x:c>
      <x:c r="R389" s="41" t="n">
        <x:f>P389*G389</x:f>
        <x:v>624118493852</x:v>
      </x:c>
      <x:c r="S389" s="41" t="n">
        <x:f>R389/E389</x:f>
        <x:v>624118493852</x:v>
      </x:c>
      <x:c r="T389" s="36" t="str">
        <x:v>ROU: IMF exact 2022</x:v>
      </x:c>
      <x:c r="U389" s="36" t="str">
        <x:v>ROU: IMF exact 2022</x:v>
      </x:c>
      <x:c r="V389" s="36" t="str">
        <x:v>ROU: IMF exact 2022</x:v>
      </x:c>
      <x:c r="W389" s="36" t="str">
        <x:v>complete_primary</x:v>
      </x:c>
      <x:c r="X389" s="36" t="str">
        <x:v>https://api.imf.org/external/sdmx/3.0/data/dataflow/IMF.RES/WEO/9.0.0/</x:v>
      </x:c>
      <x:c r="Y389" s="36" t="str">
        <x:v>https://api.worldbank.org/v2/</x:v>
      </x:c>
    </x:row>
    <x:row r="390">
      <x:c r="A390" s="24" t="str">
        <x:v>ROM</x:v>
      </x:c>
      <x:c r="B390" s="24" t="str">
        <x:v>Romania</x:v>
      </x:c>
      <x:c r="C390" s="24" t="str">
        <x:v>ROU</x:v>
      </x:c>
      <x:c r="D390" s="24" t="n">
        <x:v>2026</x:v>
      </x:c>
      <x:c r="E390" s="37" t="n">
        <x:v>0.87</x:v>
      </x:c>
      <x:c r="F390" s="38" t="n">
        <x:v>18800605</x:v>
      </x:c>
      <x:c r="G390" s="38" t="n">
        <x:v>18714611</x:v>
      </x:c>
      <x:c r="H390" s="39" t="n">
        <x:f>G390/F390</x:f>
        <x:v>0.9954259982590986</x:v>
      </x:c>
      <x:c r="I390" s="40" t="n">
        <x:v>815547920000</x:v>
      </x:c>
      <x:c r="J390" s="40" t="n">
        <x:v>709526690400</x:v>
      </x:c>
      <x:c r="K390" s="40" t="n">
        <x:v>37740</x:v>
      </x:c>
      <x:c r="L390" s="40" t="n">
        <x:v>22353</x:v>
      </x:c>
      <x:c r="M390" s="40" t="n">
        <x:v>44181</x:v>
      </x:c>
      <x:c r="N390" s="41" t="n">
        <x:f>MIN(L390,M390)</x:f>
        <x:v>22353</x:v>
      </x:c>
      <x:c r="O390" s="41" t="n">
        <x:f>MAX(L390,M390)</x:f>
        <x:v>44181</x:v>
      </x:c>
      <x:c r="P390" s="41" t="n">
        <x:f>MAX(N390,MIN(K390,O390))</x:f>
        <x:v>37740</x:v>
      </x:c>
      <x:c r="Q390" s="19" t="str">
        <x:f>IF(K390&lt;N390,IF(N390=L390,"clamped_to_nominal","clamped_to_ppp"),IF(K390&gt;O390,IF(O390=L390,"clamped_to_nominal","clamped_to_ppp"),"kept_vanilla"))</x:f>
        <x:v>kept_vanilla</x:v>
      </x:c>
      <x:c r="R390" s="41" t="n">
        <x:f>P390*G390</x:f>
        <x:v>706289419140</x:v>
      </x:c>
      <x:c r="S390" s="41" t="n">
        <x:f>R390/E390</x:f>
        <x:v>811826918551.7241</x:v>
      </x:c>
      <x:c r="T390" s="36" t="str">
        <x:v>ROU: IMF exact 2026</x:v>
      </x:c>
      <x:c r="U390" s="36" t="str">
        <x:v>ROU: IMF exact 2026</x:v>
      </x:c>
      <x:c r="V390" s="36" t="str">
        <x:v>ROU: IMF exact 2026</x:v>
      </x:c>
      <x:c r="W390" s="36" t="str">
        <x:v>complete_primary</x:v>
      </x:c>
      <x:c r="X390" s="36" t="str">
        <x:v>https://api.imf.org/external/sdmx/3.0/data/dataflow/IMF.RES/WEO/9.0.0/</x:v>
      </x:c>
      <x:c r="Y390" s="36" t="str">
        <x:v>https://api.worldbank.org/v2/</x:v>
      </x:c>
    </x:row>
    <x:row r="391">
      <x:c r="A391" s="24" t="str">
        <x:v>RUS</x:v>
      </x:c>
      <x:c r="B391" s="24" t="str">
        <x:v>Russia</x:v>
      </x:c>
      <x:c r="C391" s="24" t="str">
        <x:v>RUS</x:v>
      </x:c>
      <x:c r="D391" s="24" t="n">
        <x:v>2003</x:v>
      </x:c>
      <x:c r="E391" s="37" t="n">
        <x:v>1.59</x:v>
      </x:c>
      <x:c r="F391" s="38" t="n">
        <x:v>148211088</x:v>
      </x:c>
      <x:c r="G391" s="38" t="n">
        <x:v>145794230</x:v>
      </x:c>
      <x:c r="H391" s="39" t="n">
        <x:f>G391/F391</x:f>
        <x:v>0.9836931363731707</x:v>
      </x:c>
      <x:c r="I391" s="40" t="n">
        <x:v>1139083625731</x:v>
      </x:c>
      <x:c r="J391" s="40" t="n">
        <x:v>1811142964912</x:v>
      </x:c>
      <x:c r="K391" s="40" t="n">
        <x:v>12220</x:v>
      </x:c>
      <x:c r="L391" s="40" t="n">
        <x:v>5033</x:v>
      </x:c>
      <x:c r="M391" s="40" t="n">
        <x:v>21243</x:v>
      </x:c>
      <x:c r="N391" s="41" t="n">
        <x:f>MIN(L391,M391)</x:f>
        <x:v>5033</x:v>
      </x:c>
      <x:c r="O391" s="41" t="n">
        <x:f>MAX(L391,M391)</x:f>
        <x:v>21243</x:v>
      </x:c>
      <x:c r="P391" s="41" t="n">
        <x:f>MAX(N391,MIN(K391,O391))</x:f>
        <x:v>12220</x:v>
      </x:c>
      <x:c r="Q391" s="19" t="str">
        <x:f>IF(K391&lt;N391,IF(N391=L391,"clamped_to_nominal","clamped_to_ppp"),IF(K391&gt;O391,IF(O391=L391,"clamped_to_nominal","clamped_to_ppp"),"kept_vanilla"))</x:f>
        <x:v>kept_vanilla</x:v>
      </x:c>
      <x:c r="R391" s="41" t="n">
        <x:f>P391*G391</x:f>
        <x:v>1781605490600</x:v>
      </x:c>
      <x:c r="S391" s="41" t="n">
        <x:f>R391/E391</x:f>
        <x:v>1120506597861.6353</x:v>
      </x:c>
      <x:c r="T391" s="36" t="str">
        <x:v>RUS: IMF exact 2003</x:v>
      </x:c>
      <x:c r="U391" s="36" t="str">
        <x:v>RUS: IMF exact 2003</x:v>
      </x:c>
      <x:c r="V391" s="36" t="str">
        <x:v>RUS: IMF exact 2003</x:v>
      </x:c>
      <x:c r="W391" s="36" t="str">
        <x:v>complete_primary</x:v>
      </x:c>
      <x:c r="X391" s="36" t="str">
        <x:v>https://api.imf.org/external/sdmx/3.0/data/dataflow/IMF.RES/WEO/9.0.0/</x:v>
      </x:c>
      <x:c r="Y391" s="36" t="str">
        <x:v>https://api.worldbank.org/v2/</x:v>
      </x:c>
    </x:row>
    <x:row r="392">
      <x:c r="A392" s="24" t="str">
        <x:v>RUS</x:v>
      </x:c>
      <x:c r="B392" s="24" t="str">
        <x:v>Russia</x:v>
      </x:c>
      <x:c r="C392" s="24" t="str">
        <x:v>RUS</x:v>
      </x:c>
      <x:c r="D392" s="24" t="n">
        <x:v>2022</x:v>
      </x:c>
      <x:c r="E392" s="37" t="n">
        <x:v>1</x:v>
      </x:c>
      <x:c r="F392" s="38" t="n">
        <x:v>148189354</x:v>
      </x:c>
      <x:c r="G392" s="38" t="n">
        <x:v>145579899</x:v>
      </x:c>
      <x:c r="H392" s="39" t="n">
        <x:f>G392/F392</x:f>
        <x:v>0.9823910764871814</x:v>
      </x:c>
      <x:c r="I392" s="40" t="n">
        <x:v>3841589840000</x:v>
      </x:c>
      <x:c r="J392" s="40" t="n">
        <x:v>3841589840000</x:v>
      </x:c>
      <x:c r="K392" s="40" t="n">
        <x:v>25924</x:v>
      </x:c>
      <x:c r="L392" s="40" t="n">
        <x:v>15774</x:v>
      </x:c>
      <x:c r="M392" s="40" t="n">
        <x:v>41251</x:v>
      </x:c>
      <x:c r="N392" s="41" t="n">
        <x:f>MIN(L392,M392)</x:f>
        <x:v>15774</x:v>
      </x:c>
      <x:c r="O392" s="41" t="n">
        <x:f>MAX(L392,M392)</x:f>
        <x:v>41251</x:v>
      </x:c>
      <x:c r="P392" s="41" t="n">
        <x:f>MAX(N392,MIN(K392,O392))</x:f>
        <x:v>25924</x:v>
      </x:c>
      <x:c r="Q392" s="19" t="str">
        <x:f>IF(K392&lt;N392,IF(N392=L392,"clamped_to_nominal","clamped_to_ppp"),IF(K392&gt;O392,IF(O392=L392,"clamped_to_nominal","clamped_to_ppp"),"kept_vanilla"))</x:f>
        <x:v>kept_vanilla</x:v>
      </x:c>
      <x:c r="R392" s="41" t="n">
        <x:f>P392*G392</x:f>
        <x:v>3774013301676</x:v>
      </x:c>
      <x:c r="S392" s="41" t="n">
        <x:f>R392/E392</x:f>
        <x:v>3774013301676</x:v>
      </x:c>
      <x:c r="T392" s="36" t="str">
        <x:v>RUS: IMF exact 2022</x:v>
      </x:c>
      <x:c r="U392" s="36" t="str">
        <x:v>RUS: IMF exact 2022</x:v>
      </x:c>
      <x:c r="V392" s="36" t="str">
        <x:v>RUS: IMF exact 2022</x:v>
      </x:c>
      <x:c r="W392" s="36" t="str">
        <x:v>complete_primary</x:v>
      </x:c>
      <x:c r="X392" s="36" t="str">
        <x:v>https://api.imf.org/external/sdmx/3.0/data/dataflow/IMF.RES/WEO/9.0.0/</x:v>
      </x:c>
      <x:c r="Y392" s="36" t="str">
        <x:v>https://api.worldbank.org/v2/</x:v>
      </x:c>
    </x:row>
    <x:row r="393">
      <x:c r="A393" s="24" t="str">
        <x:v>RUS</x:v>
      </x:c>
      <x:c r="B393" s="24" t="str">
        <x:v>Russia</x:v>
      </x:c>
      <x:c r="C393" s="24" t="str">
        <x:v>RUS</x:v>
      </x:c>
      <x:c r="D393" s="24" t="n">
        <x:v>2026</x:v>
      </x:c>
      <x:c r="E393" s="37" t="n">
        <x:v>0.87</x:v>
      </x:c>
      <x:c r="F393" s="38" t="n">
        <x:v>145811313</x:v>
      </x:c>
      <x:c r="G393" s="38" t="n">
        <x:v>143394458</x:v>
      </x:c>
      <x:c r="H393" s="39" t="n">
        <x:f>G393/F393</x:f>
        <x:v>0.9834247771981862</x:v>
      </x:c>
      <x:c r="I393" s="40" t="n">
        <x:v>6285921840000</x:v>
      </x:c>
      <x:c r="J393" s="40" t="n">
        <x:v>5468752000800</x:v>
      </x:c>
      <x:c r="K393" s="40" t="n">
        <x:v>37506</x:v>
      </x:c>
      <x:c r="L393" s="40" t="n">
        <x:v>16117</x:v>
      </x:c>
      <x:c r="M393" s="40" t="n">
        <x:v>45656</x:v>
      </x:c>
      <x:c r="N393" s="41" t="n">
        <x:f>MIN(L393,M393)</x:f>
        <x:v>16117</x:v>
      </x:c>
      <x:c r="O393" s="41" t="n">
        <x:f>MAX(L393,M393)</x:f>
        <x:v>45656</x:v>
      </x:c>
      <x:c r="P393" s="41" t="n">
        <x:f>MAX(N393,MIN(K393,O393))</x:f>
        <x:v>37506</x:v>
      </x:c>
      <x:c r="Q393" s="19" t="str">
        <x:f>IF(K393&lt;N393,IF(N393=L393,"clamped_to_nominal","clamped_to_ppp"),IF(K393&gt;O393,IF(O393=L393,"clamped_to_nominal","clamped_to_ppp"),"kept_vanilla"))</x:f>
        <x:v>kept_vanilla</x:v>
      </x:c>
      <x:c r="R393" s="41" t="n">
        <x:f>P393*G393</x:f>
        <x:v>5378152541748</x:v>
      </x:c>
      <x:c r="S393" s="41" t="n">
        <x:f>R393/E393</x:f>
        <x:v>6181784530744.827</x:v>
      </x:c>
      <x:c r="T393" s="36" t="str">
        <x:v>RUS: IMF exact 2026</x:v>
      </x:c>
      <x:c r="U393" s="36" t="str">
        <x:v>RUS: IMF exact 2026</x:v>
      </x:c>
      <x:c r="V393" s="36" t="str">
        <x:v>RUS: IMF exact 2026</x:v>
      </x:c>
      <x:c r="W393" s="36" t="str">
        <x:v>complete_primary</x:v>
      </x:c>
      <x:c r="X393" s="36" t="str">
        <x:v>https://api.imf.org/external/sdmx/3.0/data/dataflow/IMF.RES/WEO/9.0.0/</x:v>
      </x:c>
      <x:c r="Y393" s="36" t="str">
        <x:v>https://api.worldbank.org/v2/</x:v>
      </x:c>
    </x:row>
    <x:row r="394">
      <x:c r="A394" s="24" t="str">
        <x:v>RWB</x:v>
      </x:c>
      <x:c r="B394" s="24" t="str">
        <x:v>Rwanda-Burundi</x:v>
      </x:c>
      <x:c r="C394" s="24" t="str">
        <x:v>BDI+RWA</x:v>
      </x:c>
      <x:c r="D394" s="24" t="n">
        <x:v>2003</x:v>
      </x:c>
      <x:c r="E394" s="37" t="n">
        <x:v>1.59</x:v>
      </x:c>
      <x:c r="F394" s="38" t="n">
        <x:v>15630029</x:v>
      </x:c>
      <x:c r="G394" s="38" t="n">
        <x:v>15343154</x:v>
      </x:c>
      <x:c r="H394" s="39" t="n">
        <x:f>G394/F394</x:f>
        <x:v>0.9816459073748359</x:v>
      </x:c>
      <x:c r="I394" s="40" t="n">
        <x:v>6507017544</x:v>
      </x:c>
      <x:c r="J394" s="40" t="n">
        <x:v>10346157895</x:v>
      </x:c>
      <x:c r="K394" s="40" t="n">
        <x:v>662</x:v>
      </x:c>
      <x:c r="L394" s="40" t="n">
        <x:v>306</x:v>
      </x:c>
      <x:c r="M394" s="40" t="n">
        <x:v>1146</x:v>
      </x:c>
      <x:c r="N394" s="41" t="n">
        <x:f>MIN(L394,M394)</x:f>
        <x:v>306</x:v>
      </x:c>
      <x:c r="O394" s="41" t="n">
        <x:f>MAX(L394,M394)</x:f>
        <x:v>1146</x:v>
      </x:c>
      <x:c r="P394" s="41" t="n">
        <x:f>MAX(N394,MIN(K394,O394))</x:f>
        <x:v>662</x:v>
      </x:c>
      <x:c r="Q394" s="19" t="str">
        <x:f>IF(K394&lt;N394,IF(N394=L394,"clamped_to_nominal","clamped_to_ppp"),IF(K394&gt;O394,IF(O394=L394,"clamped_to_nominal","clamped_to_ppp"),"kept_vanilla"))</x:f>
        <x:v>kept_vanilla</x:v>
      </x:c>
      <x:c r="R394" s="41" t="n">
        <x:f>P394*G394</x:f>
        <x:v>10157167948</x:v>
      </x:c>
      <x:c r="S394" s="41" t="n">
        <x:f>R394/E394</x:f>
        <x:v>6388155942.138365</x:v>
      </x:c>
      <x:c r="T394" s="36" t="str">
        <x:v>BDI: IMF exact 2003; RWA: IMF exact 2003</x:v>
      </x:c>
      <x:c r="U394" s="36" t="str">
        <x:v>BDI: IMF exact 2003; RWA: IMF exact 2003</x:v>
      </x:c>
      <x:c r="V394" s="36" t="str">
        <x:v>BDI: IMF exact 2003; RWA: IMF exact 2003</x:v>
      </x:c>
      <x:c r="W394" s="36" t="str">
        <x:v>complete_primary</x:v>
      </x:c>
      <x:c r="X394" s="36" t="str">
        <x:v>https://api.imf.org/external/sdmx/3.0/data/dataflow/IMF.RES/WEO/9.0.0/</x:v>
      </x:c>
      <x:c r="Y394" s="36" t="str">
        <x:v>https://api.worldbank.org/v2/</x:v>
      </x:c>
    </x:row>
    <x:row r="395">
      <x:c r="A395" s="24" t="str">
        <x:v>RWB</x:v>
      </x:c>
      <x:c r="B395" s="24" t="str">
        <x:v>Rwanda-Burundi</x:v>
      </x:c>
      <x:c r="C395" s="24" t="str">
        <x:v>BDI+RWA</x:v>
      </x:c>
      <x:c r="D395" s="24" t="n">
        <x:v>2022</x:v>
      </x:c>
      <x:c r="E395" s="37" t="n">
        <x:v>1</x:v>
      </x:c>
      <x:c r="F395" s="38" t="n">
        <x:v>26444435</x:v>
      </x:c>
      <x:c r="G395" s="38" t="n">
        <x:v>26567097</x:v>
      </x:c>
      <x:c r="H395" s="39" t="n">
        <x:f>G395/F395</x:f>
        <x:v>1.004638480648197</x:v>
      </x:c>
      <x:c r="I395" s="40" t="n">
        <x:v>42231200000</x:v>
      </x:c>
      <x:c r="J395" s="40" t="n">
        <x:v>42231200000</x:v>
      </x:c>
      <x:c r="K395" s="40" t="n">
        <x:v>1597</x:v>
      </x:c>
      <x:c r="L395" s="40" t="n">
        <x:v>665</x:v>
      </x:c>
      <x:c r="M395" s="40" t="n">
        <x:v>2088</x:v>
      </x:c>
      <x:c r="N395" s="41" t="n">
        <x:f>MIN(L395,M395)</x:f>
        <x:v>665</x:v>
      </x:c>
      <x:c r="O395" s="41" t="n">
        <x:f>MAX(L395,M395)</x:f>
        <x:v>2088</x:v>
      </x:c>
      <x:c r="P395" s="41" t="n">
        <x:f>MAX(N395,MIN(K395,O395))</x:f>
        <x:v>1597</x:v>
      </x:c>
      <x:c r="Q395" s="19" t="str">
        <x:f>IF(K395&lt;N395,IF(N395=L395,"clamped_to_nominal","clamped_to_ppp"),IF(K395&gt;O395,IF(O395=L395,"clamped_to_nominal","clamped_to_ppp"),"kept_vanilla"))</x:f>
        <x:v>kept_vanilla</x:v>
      </x:c>
      <x:c r="R395" s="41" t="n">
        <x:f>P395*G395</x:f>
        <x:v>42427653909</x:v>
      </x:c>
      <x:c r="S395" s="41" t="n">
        <x:f>R395/E395</x:f>
        <x:v>42427653909</x:v>
      </x:c>
      <x:c r="T395" s="36" t="str">
        <x:v>BDI: IMF exact 2022; RWA: IMF exact 2022</x:v>
      </x:c>
      <x:c r="U395" s="36" t="str">
        <x:v>BDI: IMF exact 2022; RWA: IMF exact 2022</x:v>
      </x:c>
      <x:c r="V395" s="36" t="str">
        <x:v>BDI: IMF exact 2022; RWA: IMF exact 2022</x:v>
      </x:c>
      <x:c r="W395" s="36" t="str">
        <x:v>complete_primary</x:v>
      </x:c>
      <x:c r="X395" s="36" t="str">
        <x:v>https://api.imf.org/external/sdmx/3.0/data/dataflow/IMF.RES/WEO/9.0.0/</x:v>
      </x:c>
      <x:c r="Y395" s="36" t="str">
        <x:v>https://api.worldbank.org/v2/</x:v>
      </x:c>
    </x:row>
    <x:row r="396">
      <x:c r="A396" s="24" t="str">
        <x:v>RWB</x:v>
      </x:c>
      <x:c r="B396" s="24" t="str">
        <x:v>Rwanda-Burundi</x:v>
      </x:c>
      <x:c r="C396" s="24" t="str">
        <x:v>BDI+RWA</x:v>
      </x:c>
      <x:c r="D396" s="24" t="n">
        <x:v>2026</x:v>
      </x:c>
      <x:c r="E396" s="37" t="n">
        <x:v>0.87</x:v>
      </x:c>
      <x:c r="F396" s="38" t="n">
        <x:v>29618850</x:v>
      </x:c>
      <x:c r="G396" s="38" t="n">
        <x:v>29374296</x:v>
      </x:c>
      <x:c r="H396" s="39" t="n">
        <x:f>G396/F396</x:f>
        <x:v>0.9917432986088252</x:v>
      </x:c>
      <x:c r="I396" s="40" t="n">
        <x:v>63440960000</x:v>
      </x:c>
      <x:c r="J396" s="40" t="n">
        <x:v>55193635200</x:v>
      </x:c>
      <x:c r="K396" s="40" t="n">
        <x:v>1863</x:v>
      </x:c>
      <x:c r="L396" s="40" t="n">
        <x:v>754</x:v>
      </x:c>
      <x:c r="M396" s="40" t="n">
        <x:v>2394</x:v>
      </x:c>
      <x:c r="N396" s="41" t="n">
        <x:f>MIN(L396,M396)</x:f>
        <x:v>754</x:v>
      </x:c>
      <x:c r="O396" s="41" t="n">
        <x:f>MAX(L396,M396)</x:f>
        <x:v>2394</x:v>
      </x:c>
      <x:c r="P396" s="41" t="n">
        <x:f>MAX(N396,MIN(K396,O396))</x:f>
        <x:v>1863</x:v>
      </x:c>
      <x:c r="Q396" s="19" t="str">
        <x:f>IF(K396&lt;N396,IF(N396=L396,"clamped_to_nominal","clamped_to_ppp"),IF(K396&gt;O396,IF(O396=L396,"clamped_to_nominal","clamped_to_ppp"),"kept_vanilla"))</x:f>
        <x:v>kept_vanilla</x:v>
      </x:c>
      <x:c r="R396" s="41" t="n">
        <x:f>P396*G396</x:f>
        <x:v>54724313448</x:v>
      </x:c>
      <x:c r="S396" s="41" t="n">
        <x:f>R396/E396</x:f>
        <x:v>62901509710.344826</x:v>
      </x:c>
      <x:c r="T396" s="36" t="str">
        <x:v>BDI: IMF exact 2026; RWA: IMF exact 2026</x:v>
      </x:c>
      <x:c r="U396" s="36" t="str">
        <x:v>BDI: IMF exact 2026; RWA: IMF exact 2026</x:v>
      </x:c>
      <x:c r="V396" s="36" t="str">
        <x:v>BDI: IMF exact 2026; RWA: IMF exact 2026</x:v>
      </x:c>
      <x:c r="W396" s="36" t="str">
        <x:v>complete_primary</x:v>
      </x:c>
      <x:c r="X396" s="36" t="str">
        <x:v>https://api.imf.org/external/sdmx/3.0/data/dataflow/IMF.RES/WEO/9.0.0/</x:v>
      </x:c>
      <x:c r="Y396" s="36" t="str">
        <x:v>https://api.worldbank.org/v2/</x:v>
      </x:c>
    </x:row>
    <x:row r="397">
      <x:c r="A397" s="24" t="str">
        <x:v>STP</x:v>
      </x:c>
      <x:c r="B397" s="24" t="str">
        <x:v>Sao Tome and Principe</x:v>
      </x:c>
      <x:c r="C397" s="24" t="str">
        <x:v>STP</x:v>
      </x:c>
      <x:c r="D397" s="24" t="n">
        <x:v>2003</x:v>
      </x:c>
      <x:c r="E397" s="37" t="n">
        <x:v>1.59</x:v>
      </x:c>
      <x:c r="F397" s="38" t="n">
        <x:v>153814</x:v>
      </x:c>
      <x:c r="G397" s="38" t="n">
        <x:v>153814</x:v>
      </x:c>
      <x:c r="H397" s="39" t="n">
        <x:f>G397/F397</x:f>
        <x:v>1</x:v>
      </x:c>
      <x:c r="I397" s="40" t="n">
        <x:v>174853801</x:v>
      </x:c>
      <x:c r="J397" s="40" t="n">
        <x:v>278017544</x:v>
      </x:c>
      <x:c r="K397" s="40" t="n">
        <x:v>1807</x:v>
      </x:c>
      <x:c r="L397" s="40" t="n">
        <x:v>988</x:v>
      </x:c>
      <x:c r="M397" s="40" t="n">
        <x:v>3096</x:v>
      </x:c>
      <x:c r="N397" s="41" t="n">
        <x:f>MIN(L397,M397)</x:f>
        <x:v>988</x:v>
      </x:c>
      <x:c r="O397" s="41" t="n">
        <x:f>MAX(L397,M397)</x:f>
        <x:v>3096</x:v>
      </x:c>
      <x:c r="P397" s="41" t="n">
        <x:f>MAX(N397,MIN(K397,O397))</x:f>
        <x:v>1807</x:v>
      </x:c>
      <x:c r="Q397" s="19" t="str">
        <x:f>IF(K397&lt;N397,IF(N397=L397,"clamped_to_nominal","clamped_to_ppp"),IF(K397&gt;O397,IF(O397=L397,"clamped_to_nominal","clamped_to_ppp"),"kept_vanilla"))</x:f>
        <x:v>kept_vanilla</x:v>
      </x:c>
      <x:c r="R397" s="41" t="n">
        <x:f>P397*G397</x:f>
        <x:v>277941898</x:v>
      </x:c>
      <x:c r="S397" s="41" t="n">
        <x:f>R397/E397</x:f>
        <x:v>174806225.1572327</x:v>
      </x:c>
      <x:c r="T397" s="36" t="str">
        <x:v>STP: IMF exact 2003</x:v>
      </x:c>
      <x:c r="U397" s="36" t="str">
        <x:v>STP: IMF exact 2003</x:v>
      </x:c>
      <x:c r="V397" s="36" t="str">
        <x:v>STP: IMF exact 2003</x:v>
      </x:c>
      <x:c r="W397" s="36" t="str">
        <x:v>complete_primary</x:v>
      </x:c>
      <x:c r="X397" s="36" t="str">
        <x:v>https://api.imf.org/external/sdmx/3.0/data/dataflow/IMF.RES/WEO/9.0.0/</x:v>
      </x:c>
      <x:c r="Y397" s="36" t="str">
        <x:v>https://api.worldbank.org/v2/</x:v>
      </x:c>
    </x:row>
    <x:row r="398">
      <x:c r="A398" s="24" t="str">
        <x:v>STP</x:v>
      </x:c>
      <x:c r="B398" s="24" t="str">
        <x:v>Sao Tome and Principe</x:v>
      </x:c>
      <x:c r="C398" s="24" t="str">
        <x:v>STP</x:v>
      </x:c>
      <x:c r="D398" s="24" t="n">
        <x:v>2022</x:v>
      </x:c>
      <x:c r="E398" s="37" t="n">
        <x:v>1</x:v>
      </x:c>
      <x:c r="F398" s="38" t="n">
        <x:v>229013</x:v>
      </x:c>
      <x:c r="G398" s="38" t="n">
        <x:v>226305</x:v>
      </x:c>
      <x:c r="H398" s="39" t="n">
        <x:f>G398/F398</x:f>
        <x:v>0.9881753437577779</x:v>
      </x:c>
      <x:c r="I398" s="40" t="n">
        <x:v>935440000</x:v>
      </x:c>
      <x:c r="J398" s="40" t="n">
        <x:v>935440000</x:v>
      </x:c>
      <x:c r="K398" s="40" t="n">
        <x:v>4085</x:v>
      </x:c>
      <x:c r="L398" s="40" t="n">
        <x:v>2412</x:v>
      </x:c>
      <x:c r="M398" s="40" t="n">
        <x:v>6033</x:v>
      </x:c>
      <x:c r="N398" s="41" t="n">
        <x:f>MIN(L398,M398)</x:f>
        <x:v>2412</x:v>
      </x:c>
      <x:c r="O398" s="41" t="n">
        <x:f>MAX(L398,M398)</x:f>
        <x:v>6033</x:v>
      </x:c>
      <x:c r="P398" s="41" t="n">
        <x:f>MAX(N398,MIN(K398,O398))</x:f>
        <x:v>4085</x:v>
      </x:c>
      <x:c r="Q398" s="19" t="str">
        <x:f>IF(K398&lt;N398,IF(N398=L398,"clamped_to_nominal","clamped_to_ppp"),IF(K398&gt;O398,IF(O398=L398,"clamped_to_nominal","clamped_to_ppp"),"kept_vanilla"))</x:f>
        <x:v>kept_vanilla</x:v>
      </x:c>
      <x:c r="R398" s="41" t="n">
        <x:f>P398*G398</x:f>
        <x:v>924455925</x:v>
      </x:c>
      <x:c r="S398" s="41" t="n">
        <x:f>R398/E398</x:f>
        <x:v>924455925</x:v>
      </x:c>
      <x:c r="T398" s="36" t="str">
        <x:v>STP: IMF exact 2022</x:v>
      </x:c>
      <x:c r="U398" s="36" t="str">
        <x:v>STP: IMF exact 2022</x:v>
      </x:c>
      <x:c r="V398" s="36" t="str">
        <x:v>STP: IMF exact 2022</x:v>
      </x:c>
      <x:c r="W398" s="36" t="str">
        <x:v>complete_primary</x:v>
      </x:c>
      <x:c r="X398" s="36" t="str">
        <x:v>https://api.imf.org/external/sdmx/3.0/data/dataflow/IMF.RES/WEO/9.0.0/</x:v>
      </x:c>
      <x:c r="Y398" s="36" t="str">
        <x:v>https://api.worldbank.org/v2/</x:v>
      </x:c>
    </x:row>
    <x:row r="399">
      <x:c r="A399" s="24" t="str">
        <x:v>STP</x:v>
      </x:c>
      <x:c r="B399" s="24" t="str">
        <x:v>Sao Tome and Principe</x:v>
      </x:c>
      <x:c r="C399" s="24" t="str">
        <x:v>STP</x:v>
      </x:c>
      <x:c r="D399" s="24" t="n">
        <x:v>2026</x:v>
      </x:c>
      <x:c r="E399" s="37" t="n">
        <x:v>0.87</x:v>
      </x:c>
      <x:c r="F399" s="38" t="n">
        <x:v>244994</x:v>
      </x:c>
      <x:c r="G399" s="38" t="n">
        <x:v>244994</x:v>
      </x:c>
      <x:c r="H399" s="39" t="n">
        <x:f>G399/F399</x:f>
        <x:v>1</x:v>
      </x:c>
      <x:c r="I399" s="40" t="n">
        <x:v>1367520000</x:v>
      </x:c>
      <x:c r="J399" s="40" t="n">
        <x:v>1189742400</x:v>
      </x:c>
      <x:c r="K399" s="40" t="n">
        <x:v>4856</x:v>
      </x:c>
      <x:c r="L399" s="40" t="n">
        <x:v>4123</x:v>
      </x:c>
      <x:c r="M399" s="40" t="n">
        <x:v>5839</x:v>
      </x:c>
      <x:c r="N399" s="41" t="n">
        <x:f>MIN(L399,M399)</x:f>
        <x:v>4123</x:v>
      </x:c>
      <x:c r="O399" s="41" t="n">
        <x:f>MAX(L399,M399)</x:f>
        <x:v>5839</x:v>
      </x:c>
      <x:c r="P399" s="41" t="n">
        <x:f>MAX(N399,MIN(K399,O399))</x:f>
        <x:v>4856</x:v>
      </x:c>
      <x:c r="Q399" s="19" t="str">
        <x:f>IF(K399&lt;N399,IF(N399=L399,"clamped_to_nominal","clamped_to_ppp"),IF(K399&gt;O399,IF(O399=L399,"clamped_to_nominal","clamped_to_ppp"),"kept_vanilla"))</x:f>
        <x:v>kept_vanilla</x:v>
      </x:c>
      <x:c r="R399" s="41" t="n">
        <x:f>P399*G399</x:f>
        <x:v>1189690864</x:v>
      </x:c>
      <x:c r="S399" s="41" t="n">
        <x:f>R399/E399</x:f>
        <x:v>1367460763.2183907</x:v>
      </x:c>
      <x:c r="T399" s="36" t="str">
        <x:v>STP: IMF exact 2026</x:v>
      </x:c>
      <x:c r="U399" s="36" t="str">
        <x:v>STP: IMF exact 2026</x:v>
      </x:c>
      <x:c r="V399" s="36" t="str">
        <x:v>STP: IMF exact 2026</x:v>
      </x:c>
      <x:c r="W399" s="36" t="str">
        <x:v>complete_primary</x:v>
      </x:c>
      <x:c r="X399" s="36" t="str">
        <x:v>https://api.imf.org/external/sdmx/3.0/data/dataflow/IMF.RES/WEO/9.0.0/</x:v>
      </x:c>
      <x:c r="Y399" s="36" t="str">
        <x:v>https://api.worldbank.org/v2/</x:v>
      </x:c>
    </x:row>
    <x:row r="400">
      <x:c r="A400" s="24" t="str">
        <x:v>SAU</x:v>
      </x:c>
      <x:c r="B400" s="24" t="str">
        <x:v>Saudi Arabia</x:v>
      </x:c>
      <x:c r="C400" s="24" t="str">
        <x:v>SAU</x:v>
      </x:c>
      <x:c r="D400" s="24" t="n">
        <x:v>2003</x:v>
      </x:c>
      <x:c r="E400" s="37" t="n">
        <x:v>1.59</x:v>
      </x:c>
      <x:c r="F400" s="38" t="n">
        <x:v>18786767</x:v>
      </x:c>
      <x:c r="G400" s="38" t="n">
        <x:v>19569200</x:v>
      </x:c>
      <x:c r="H400" s="39" t="n">
        <x:f>G400/F400</x:f>
        <x:v>1.041648091978785</x:v>
      </x:c>
      <x:c r="I400" s="40" t="n">
        <x:v>398103508772</x:v>
      </x:c>
      <x:c r="J400" s="40" t="n">
        <x:v>632984578947</x:v>
      </x:c>
      <x:c r="K400" s="40" t="n">
        <x:v>33693</x:v>
      </x:c>
      <x:c r="L400" s="40" t="n">
        <x:v>17534</x:v>
      </x:c>
      <x:c r="M400" s="40" t="n">
        <x:v>56289</x:v>
      </x:c>
      <x:c r="N400" s="41" t="n">
        <x:f>MIN(L400,M400)</x:f>
        <x:v>17534</x:v>
      </x:c>
      <x:c r="O400" s="41" t="n">
        <x:f>MAX(L400,M400)</x:f>
        <x:v>56289</x:v>
      </x:c>
      <x:c r="P400" s="41" t="n">
        <x:f>MAX(N400,MIN(K400,O400))</x:f>
        <x:v>33693</x:v>
      </x:c>
      <x:c r="Q400" s="19" t="str">
        <x:f>IF(K400&lt;N400,IF(N400=L400,"clamped_to_nominal","clamped_to_ppp"),IF(K400&gt;O400,IF(O400=L400,"clamped_to_nominal","clamped_to_ppp"),"kept_vanilla"))</x:f>
        <x:v>kept_vanilla</x:v>
      </x:c>
      <x:c r="R400" s="41" t="n">
        <x:f>P400*G400</x:f>
        <x:v>659345055600</x:v>
      </x:c>
      <x:c r="S400" s="41" t="n">
        <x:f>R400/E400</x:f>
        <x:v>414682424905.66034</x:v>
      </x:c>
      <x:c r="T400" s="36" t="str">
        <x:v>SAU: IMF exact 2003</x:v>
      </x:c>
      <x:c r="U400" s="36" t="str">
        <x:v>SAU: IMF exact 2003</x:v>
      </x:c>
      <x:c r="V400" s="36" t="str">
        <x:v>SAU: IMF exact 2003</x:v>
      </x:c>
      <x:c r="W400" s="36" t="str">
        <x:v>complete_primary</x:v>
      </x:c>
      <x:c r="X400" s="36" t="str">
        <x:v>https://api.imf.org/external/sdmx/3.0/data/dataflow/IMF.RES/WEO/9.0.0/</x:v>
      </x:c>
      <x:c r="Y400" s="36" t="str">
        <x:v>https://api.worldbank.org/v2/</x:v>
      </x:c>
    </x:row>
    <x:row r="401">
      <x:c r="A401" s="24" t="str">
        <x:v>SAU</x:v>
      </x:c>
      <x:c r="B401" s="24" t="str">
        <x:v>Saudi Arabia</x:v>
      </x:c>
      <x:c r="C401" s="24" t="str">
        <x:v>SAU</x:v>
      </x:c>
      <x:c r="D401" s="24" t="n">
        <x:v>2022</x:v>
      </x:c>
      <x:c r="E401" s="37" t="n">
        <x:v>1</x:v>
      </x:c>
      <x:c r="F401" s="38" t="n">
        <x:v>36000289</x:v>
      </x:c>
      <x:c r="G401" s="38" t="n">
        <x:v>32175224</x:v>
      </x:c>
      <x:c r="H401" s="39" t="n">
        <x:f>G401/F401</x:f>
        <x:v>0.8937490474034806</x:v>
      </x:c>
      <x:c r="I401" s="40" t="n">
        <x:v>1762236960000</x:v>
      </x:c>
      <x:c r="J401" s="40" t="n">
        <x:v>1762236960000</x:v>
      </x:c>
      <x:c r="K401" s="40" t="n">
        <x:v>48951</x:v>
      </x:c>
      <x:c r="L401" s="40" t="n">
        <x:v>38510</x:v>
      </x:c>
      <x:c r="M401" s="40" t="n">
        <x:v>71957</x:v>
      </x:c>
      <x:c r="N401" s="41" t="n">
        <x:f>MIN(L401,M401)</x:f>
        <x:v>38510</x:v>
      </x:c>
      <x:c r="O401" s="41" t="n">
        <x:f>MAX(L401,M401)</x:f>
        <x:v>71957</x:v>
      </x:c>
      <x:c r="P401" s="41" t="n">
        <x:f>MAX(N401,MIN(K401,O401))</x:f>
        <x:v>48951</x:v>
      </x:c>
      <x:c r="Q401" s="19" t="str">
        <x:f>IF(K401&lt;N401,IF(N401=L401,"clamped_to_nominal","clamped_to_ppp"),IF(K401&gt;O401,IF(O401=L401,"clamped_to_nominal","clamped_to_ppp"),"kept_vanilla"))</x:f>
        <x:v>kept_vanilla</x:v>
      </x:c>
      <x:c r="R401" s="41" t="n">
        <x:f>P401*G401</x:f>
        <x:v>1575009390024</x:v>
      </x:c>
      <x:c r="S401" s="41" t="n">
        <x:f>R401/E401</x:f>
        <x:v>1575009390024</x:v>
      </x:c>
      <x:c r="T401" s="36" t="str">
        <x:v>SAU: IMF exact 2022</x:v>
      </x:c>
      <x:c r="U401" s="36" t="str">
        <x:v>SAU: IMF exact 2022</x:v>
      </x:c>
      <x:c r="V401" s="36" t="str">
        <x:v>SAU: IMF exact 2022</x:v>
      </x:c>
      <x:c r="W401" s="36" t="str">
        <x:v>complete_primary</x:v>
      </x:c>
      <x:c r="X401" s="36" t="str">
        <x:v>https://api.imf.org/external/sdmx/3.0/data/dataflow/IMF.RES/WEO/9.0.0/</x:v>
      </x:c>
      <x:c r="Y401" s="36" t="str">
        <x:v>https://api.worldbank.org/v2/</x:v>
      </x:c>
    </x:row>
    <x:row r="402">
      <x:c r="A402" s="24" t="str">
        <x:v>SAU</x:v>
      </x:c>
      <x:c r="B402" s="24" t="str">
        <x:v>Saudi Arabia</x:v>
      </x:c>
      <x:c r="C402" s="24" t="str">
        <x:v>SAU</x:v>
      </x:c>
      <x:c r="D402" s="24" t="n">
        <x:v>2026</x:v>
      </x:c>
      <x:c r="E402" s="37" t="n">
        <x:v>0.87</x:v>
      </x:c>
      <x:c r="F402" s="38" t="n">
        <x:v>35165787</x:v>
      </x:c>
      <x:c r="G402" s="38" t="n">
        <x:v>36726411</x:v>
      </x:c>
      <x:c r="H402" s="39" t="n">
        <x:f>G402/F402</x:f>
        <x:v>1.0443790437563647</x:v>
      </x:c>
      <x:c r="I402" s="40" t="n">
        <x:v>2365897600000</x:v>
      </x:c>
      <x:c r="J402" s="40" t="n">
        <x:v>2058330912000</x:v>
      </x:c>
      <x:c r="K402" s="40" t="n">
        <x:v>58532</x:v>
      </x:c>
      <x:c r="L402" s="40" t="n">
        <x:v>32896</x:v>
      </x:c>
      <x:c r="M402" s="40" t="n">
        <x:v>68569</x:v>
      </x:c>
      <x:c r="N402" s="41" t="n">
        <x:f>MIN(L402,M402)</x:f>
        <x:v>32896</x:v>
      </x:c>
      <x:c r="O402" s="41" t="n">
        <x:f>MAX(L402,M402)</x:f>
        <x:v>68569</x:v>
      </x:c>
      <x:c r="P402" s="41" t="n">
        <x:f>MAX(N402,MIN(K402,O402))</x:f>
        <x:v>58532</x:v>
      </x:c>
      <x:c r="Q402" s="19" t="str">
        <x:f>IF(K402&lt;N402,IF(N402=L402,"clamped_to_nominal","clamped_to_ppp"),IF(K402&gt;O402,IF(O402=L402,"clamped_to_nominal","clamped_to_ppp"),"kept_vanilla"))</x:f>
        <x:v>kept_vanilla</x:v>
      </x:c>
      <x:c r="R402" s="41" t="n">
        <x:f>P402*G402</x:f>
        <x:v>2149670288652</x:v>
      </x:c>
      <x:c r="S402" s="41" t="n">
        <x:f>R402/E402</x:f>
        <x:v>2470885389255.1724</x:v>
      </x:c>
      <x:c r="T402" s="36" t="str">
        <x:v>SAU: IMF exact 2026</x:v>
      </x:c>
      <x:c r="U402" s="36" t="str">
        <x:v>SAU: IMF exact 2026</x:v>
      </x:c>
      <x:c r="V402" s="36" t="str">
        <x:v>SAU: IMF exact 2026</x:v>
      </x:c>
      <x:c r="W402" s="36" t="str">
        <x:v>complete_primary</x:v>
      </x:c>
      <x:c r="X402" s="36" t="str">
        <x:v>https://api.imf.org/external/sdmx/3.0/data/dataflow/IMF.RES/WEO/9.0.0/</x:v>
      </x:c>
      <x:c r="Y402" s="36" t="str">
        <x:v>https://api.worldbank.org/v2/</x:v>
      </x:c>
    </x:row>
    <x:row r="403">
      <x:c r="A403" s="24" t="str">
        <x:v>SEG</x:v>
      </x:c>
      <x:c r="B403" s="24" t="str">
        <x:v>Senegal</x:v>
      </x:c>
      <x:c r="C403" s="24" t="str">
        <x:v>SEN</x:v>
      </x:c>
      <x:c r="D403" s="24" t="n">
        <x:v>2003</x:v>
      </x:c>
      <x:c r="E403" s="37" t="n">
        <x:v>1.59</x:v>
      </x:c>
      <x:c r="F403" s="38" t="n">
        <x:v>10721176</x:v>
      </x:c>
      <x:c r="G403" s="38" t="n">
        <x:v>10541470</x:v>
      </x:c>
      <x:c r="H403" s="39" t="n">
        <x:f>G403/F403</x:f>
        <x:v>0.9832382193893655</x:v>
      </x:c>
      <x:c r="I403" s="40" t="n">
        <x:v>12786549708</x:v>
      </x:c>
      <x:c r="J403" s="40" t="n">
        <x:v>20330614036</x:v>
      </x:c>
      <x:c r="K403" s="40" t="n">
        <x:v>1896</x:v>
      </x:c>
      <x:c r="L403" s="40" t="n">
        <x:v>1322</x:v>
      </x:c>
      <x:c r="M403" s="40" t="n">
        <x:v>3298</x:v>
      </x:c>
      <x:c r="N403" s="41" t="n">
        <x:f>MIN(L403,M403)</x:f>
        <x:v>1322</x:v>
      </x:c>
      <x:c r="O403" s="41" t="n">
        <x:f>MAX(L403,M403)</x:f>
        <x:v>3298</x:v>
      </x:c>
      <x:c r="P403" s="41" t="n">
        <x:f>MAX(N403,MIN(K403,O403))</x:f>
        <x:v>1896</x:v>
      </x:c>
      <x:c r="Q403" s="19" t="str">
        <x:f>IF(K403&lt;N403,IF(N403=L403,"clamped_to_nominal","clamped_to_ppp"),IF(K403&gt;O403,IF(O403=L403,"clamped_to_nominal","clamped_to_ppp"),"kept_vanilla"))</x:f>
        <x:v>kept_vanilla</x:v>
      </x:c>
      <x:c r="R403" s="41" t="n">
        <x:f>P403*G403</x:f>
        <x:v>19986627120</x:v>
      </x:c>
      <x:c r="S403" s="41" t="n">
        <x:f>R403/E403</x:f>
        <x:v>12570205735.849056</x:v>
      </x:c>
      <x:c r="T403" s="36" t="str">
        <x:v>SEN: IMF exact 2003</x:v>
      </x:c>
      <x:c r="U403" s="36" t="str">
        <x:v>SEN: IMF exact 2003</x:v>
      </x:c>
      <x:c r="V403" s="36" t="str">
        <x:v>SEN: IMF exact 2003</x:v>
      </x:c>
      <x:c r="W403" s="36" t="str">
        <x:v>complete_primary</x:v>
      </x:c>
      <x:c r="X403" s="36" t="str">
        <x:v>https://api.imf.org/external/sdmx/3.0/data/dataflow/IMF.RES/WEO/9.0.0/</x:v>
      </x:c>
      <x:c r="Y403" s="36" t="str">
        <x:v>https://api.worldbank.org/v2/</x:v>
      </x:c>
    </x:row>
    <x:row r="404">
      <x:c r="A404" s="24" t="str">
        <x:v>SEG</x:v>
      </x:c>
      <x:c r="B404" s="24" t="str">
        <x:v>Senegal</x:v>
      </x:c>
      <x:c r="C404" s="24" t="str">
        <x:v>SEN</x:v>
      </x:c>
      <x:c r="D404" s="24" t="n">
        <x:v>2022</x:v>
      </x:c>
      <x:c r="E404" s="37" t="n">
        <x:v>1</x:v>
      </x:c>
      <x:c r="F404" s="38" t="n">
        <x:v>17798049</x:v>
      </x:c>
      <x:c r="G404" s="38" t="n">
        <x:v>17676280</x:v>
      </x:c>
      <x:c r="H404" s="39" t="n">
        <x:f>G404/F404</x:f>
        <x:v>0.9931582950468335</x:v>
      </x:c>
      <x:c r="I404" s="40" t="n">
        <x:v>63660080000</x:v>
      </x:c>
      <x:c r="J404" s="40" t="n">
        <x:v>63660080000</x:v>
      </x:c>
      <x:c r="K404" s="40" t="n">
        <x:v>3577</x:v>
      </x:c>
      <x:c r="L404" s="40" t="n">
        <x:v>1575</x:v>
      </x:c>
      <x:c r="M404" s="40" t="n">
        <x:v>4523</x:v>
      </x:c>
      <x:c r="N404" s="41" t="n">
        <x:f>MIN(L404,M404)</x:f>
        <x:v>1575</x:v>
      </x:c>
      <x:c r="O404" s="41" t="n">
        <x:f>MAX(L404,M404)</x:f>
        <x:v>4523</x:v>
      </x:c>
      <x:c r="P404" s="41" t="n">
        <x:f>MAX(N404,MIN(K404,O404))</x:f>
        <x:v>3577</x:v>
      </x:c>
      <x:c r="Q404" s="19" t="str">
        <x:f>IF(K404&lt;N404,IF(N404=L404,"clamped_to_nominal","clamped_to_ppp"),IF(K404&gt;O404,IF(O404=L404,"clamped_to_nominal","clamped_to_ppp"),"kept_vanilla"))</x:f>
        <x:v>kept_vanilla</x:v>
      </x:c>
      <x:c r="R404" s="41" t="n">
        <x:f>P404*G404</x:f>
        <x:v>63228053560</x:v>
      </x:c>
      <x:c r="S404" s="41" t="n">
        <x:f>R404/E404</x:f>
        <x:v>63228053560</x:v>
      </x:c>
      <x:c r="T404" s="36" t="str">
        <x:v>SEN: IMF exact 2022</x:v>
      </x:c>
      <x:c r="U404" s="36" t="str">
        <x:v>SEN: IMF exact 2022</x:v>
      </x:c>
      <x:c r="V404" s="36" t="str">
        <x:v>SEN: IMF exact 2022</x:v>
      </x:c>
      <x:c r="W404" s="36" t="str">
        <x:v>complete_primary</x:v>
      </x:c>
      <x:c r="X404" s="36" t="str">
        <x:v>https://api.imf.org/external/sdmx/3.0/data/dataflow/IMF.RES/WEO/9.0.0/</x:v>
      </x:c>
      <x:c r="Y404" s="36" t="str">
        <x:v>https://api.worldbank.org/v2/</x:v>
      </x:c>
    </x:row>
    <x:row r="405">
      <x:c r="A405" s="24" t="str">
        <x:v>SEG</x:v>
      </x:c>
      <x:c r="B405" s="24" t="str">
        <x:v>Senegal</x:v>
      </x:c>
      <x:c r="C405" s="24" t="str">
        <x:v>SEN</x:v>
      </x:c>
      <x:c r="D405" s="24" t="n">
        <x:v>2026</x:v>
      </x:c>
      <x:c r="E405" s="37" t="n">
        <x:v>0.87</x:v>
      </x:c>
      <x:c r="F405" s="38" t="n">
        <x:v>19366548</x:v>
      </x:c>
      <x:c r="G405" s="38" t="n">
        <x:v>19699619</x:v>
      </x:c>
      <x:c r="H405" s="39" t="n">
        <x:f>G405/F405</x:f>
        <x:v>1.0171982637277432</x:v>
      </x:c>
      <x:c r="I405" s="40" t="n">
        <x:v>92778400000</x:v>
      </x:c>
      <x:c r="J405" s="40" t="n">
        <x:v>80717208000</x:v>
      </x:c>
      <x:c r="K405" s="40" t="n">
        <x:v>4168</x:v>
      </x:c>
      <x:c r="L405" s="40" t="n">
        <x:v>1787</x:v>
      </x:c>
      <x:c r="M405" s="40" t="n">
        <x:v>4842</x:v>
      </x:c>
      <x:c r="N405" s="41" t="n">
        <x:f>MIN(L405,M405)</x:f>
        <x:v>1787</x:v>
      </x:c>
      <x:c r="O405" s="41" t="n">
        <x:f>MAX(L405,M405)</x:f>
        <x:v>4842</x:v>
      </x:c>
      <x:c r="P405" s="41" t="n">
        <x:f>MAX(N405,MIN(K405,O405))</x:f>
        <x:v>4168</x:v>
      </x:c>
      <x:c r="Q405" s="19" t="str">
        <x:f>IF(K405&lt;N405,IF(N405=L405,"clamped_to_nominal","clamped_to_ppp"),IF(K405&gt;O405,IF(O405=L405,"clamped_to_nominal","clamped_to_ppp"),"kept_vanilla"))</x:f>
        <x:v>kept_vanilla</x:v>
      </x:c>
      <x:c r="R405" s="41" t="n">
        <x:f>P405*G405</x:f>
        <x:v>82108011992</x:v>
      </x:c>
      <x:c r="S405" s="41" t="n">
        <x:f>R405/E405</x:f>
        <x:v>94377025278.16092</x:v>
      </x:c>
      <x:c r="T405" s="36" t="str">
        <x:v>SEN: IMF exact 2026</x:v>
      </x:c>
      <x:c r="U405" s="36" t="str">
        <x:v>SEN: IMF exact 2026</x:v>
      </x:c>
      <x:c r="V405" s="36" t="str">
        <x:v>SEN: IMF exact 2026</x:v>
      </x:c>
      <x:c r="W405" s="36" t="str">
        <x:v>complete_primary</x:v>
      </x:c>
      <x:c r="X405" s="36" t="str">
        <x:v>https://api.imf.org/external/sdmx/3.0/data/dataflow/IMF.RES/WEO/9.0.0/</x:v>
      </x:c>
      <x:c r="Y405" s="36" t="str">
        <x:v>https://api.worldbank.org/v2/</x:v>
      </x:c>
    </x:row>
    <x:row r="406">
      <x:c r="A406" s="24" t="str">
        <x:v>SER</x:v>
      </x:c>
      <x:c r="B406" s="24" t="str">
        <x:v>Serbia</x:v>
      </x:c>
      <x:c r="C406" s="24" t="str">
        <x:v>SRB</x:v>
      </x:c>
      <x:c r="D406" s="24" t="n">
        <x:v>2003</x:v>
      </x:c>
      <x:c r="E406" s="37" t="n">
        <x:v>1.59</x:v>
      </x:c>
      <x:c r="F406" s="38" t="n">
        <x:v>7590935</x:v>
      </x:c>
      <x:c r="G406" s="38" t="n">
        <x:v>7480591</x:v>
      </x:c>
      <x:c r="H406" s="39" t="n">
        <x:f>G406/F406</x:f>
        <x:v>0.985463714285526</x:v>
      </x:c>
      <x:c r="I406" s="40" t="n">
        <x:v>35756725146</x:v>
      </x:c>
      <x:c r="J406" s="40" t="n">
        <x:v>56853192982</x:v>
      </x:c>
      <x:c r="K406" s="40" t="n">
        <x:v>7490</x:v>
      </x:c>
      <x:c r="L406" s="40" t="n">
        <x:v>5022</x:v>
      </x:c>
      <x:c r="M406" s="40" t="n">
        <x:v>14452</x:v>
      </x:c>
      <x:c r="N406" s="41" t="n">
        <x:f>MIN(L406,M406)</x:f>
        <x:v>5022</x:v>
      </x:c>
      <x:c r="O406" s="41" t="n">
        <x:f>MAX(L406,M406)</x:f>
        <x:v>14452</x:v>
      </x:c>
      <x:c r="P406" s="41" t="n">
        <x:f>MAX(N406,MIN(K406,O406))</x:f>
        <x:v>7490</x:v>
      </x:c>
      <x:c r="Q406" s="19" t="str">
        <x:f>IF(K406&lt;N406,IF(N406=L406,"clamped_to_nominal","clamped_to_ppp"),IF(K406&gt;O406,IF(O406=L406,"clamped_to_nominal","clamped_to_ppp"),"kept_vanilla"))</x:f>
        <x:v>kept_vanilla</x:v>
      </x:c>
      <x:c r="R406" s="41" t="n">
        <x:f>P406*G406</x:f>
        <x:v>56029626590</x:v>
      </x:c>
      <x:c r="S406" s="41" t="n">
        <x:f>R406/E406</x:f>
        <x:v>35238758861.635216</x:v>
      </x:c>
      <x:c r="T406" s="36" t="str">
        <x:v>SRB: IMF exact 2003</x:v>
      </x:c>
      <x:c r="U406" s="36" t="str">
        <x:v>SRB: IMF exact 2003</x:v>
      </x:c>
      <x:c r="V406" s="36" t="str">
        <x:v>SRB: IMF exact 2003</x:v>
      </x:c>
      <x:c r="W406" s="36" t="str">
        <x:v>complete_primary</x:v>
      </x:c>
      <x:c r="X406" s="36" t="str">
        <x:v>https://api.imf.org/external/sdmx/3.0/data/dataflow/IMF.RES/WEO/9.0.0/</x:v>
      </x:c>
      <x:c r="Y406" s="36" t="str">
        <x:v>https://api.worldbank.org/v2/</x:v>
      </x:c>
    </x:row>
    <x:row r="407">
      <x:c r="A407" s="24" t="str">
        <x:v>SER</x:v>
      </x:c>
      <x:c r="B407" s="24" t="str">
        <x:v>Serbia</x:v>
      </x:c>
      <x:c r="C407" s="24" t="str">
        <x:v>SRB</x:v>
      </x:c>
      <x:c r="D407" s="24" t="n">
        <x:v>2022</x:v>
      </x:c>
      <x:c r="E407" s="37" t="n">
        <x:v>1</x:v>
      </x:c>
      <x:c r="F407" s="38" t="n">
        <x:v>6870320</x:v>
      </x:c>
      <x:c r="G407" s="38" t="n">
        <x:v>6664449</x:v>
      </x:c>
      <x:c r="H407" s="39" t="n">
        <x:f>G407/F407</x:f>
        <x:v>0.970034729095588</x:v>
      </x:c>
      <x:c r="I407" s="40" t="n">
        <x:v>143967120000</x:v>
      </x:c>
      <x:c r="J407" s="40" t="n">
        <x:v>143967120000</x:v>
      </x:c>
      <x:c r="K407" s="40" t="n">
        <x:v>20955</x:v>
      </x:c>
      <x:c r="L407" s="40" t="n">
        <x:v>10025</x:v>
      </x:c>
      <x:c r="M407" s="40" t="n">
        <x:v>26702</x:v>
      </x:c>
      <x:c r="N407" s="41" t="n">
        <x:f>MIN(L407,M407)</x:f>
        <x:v>10025</x:v>
      </x:c>
      <x:c r="O407" s="41" t="n">
        <x:f>MAX(L407,M407)</x:f>
        <x:v>26702</x:v>
      </x:c>
      <x:c r="P407" s="41" t="n">
        <x:f>MAX(N407,MIN(K407,O407))</x:f>
        <x:v>20955</x:v>
      </x:c>
      <x:c r="Q407" s="19" t="str">
        <x:f>IF(K407&lt;N407,IF(N407=L407,"clamped_to_nominal","clamped_to_ppp"),IF(K407&gt;O407,IF(O407=L407,"clamped_to_nominal","clamped_to_ppp"),"kept_vanilla"))</x:f>
        <x:v>kept_vanilla</x:v>
      </x:c>
      <x:c r="R407" s="41" t="n">
        <x:f>P407*G407</x:f>
        <x:v>139653528795</x:v>
      </x:c>
      <x:c r="S407" s="41" t="n">
        <x:f>R407/E407</x:f>
        <x:v>139653528795</x:v>
      </x:c>
      <x:c r="T407" s="36" t="str">
        <x:v>SRB: IMF exact 2022</x:v>
      </x:c>
      <x:c r="U407" s="36" t="str">
        <x:v>SRB: IMF exact 2022</x:v>
      </x:c>
      <x:c r="V407" s="36" t="str">
        <x:v>SRB: IMF exact 2022</x:v>
      </x:c>
      <x:c r="W407" s="36" t="str">
        <x:v>complete_primary</x:v>
      </x:c>
      <x:c r="X407" s="36" t="str">
        <x:v>https://api.imf.org/external/sdmx/3.0/data/dataflow/IMF.RES/WEO/9.0.0/</x:v>
      </x:c>
      <x:c r="Y407" s="36" t="str">
        <x:v>https://api.worldbank.org/v2/</x:v>
      </x:c>
    </x:row>
    <x:row r="408">
      <x:c r="A408" s="24" t="str">
        <x:v>SER</x:v>
      </x:c>
      <x:c r="B408" s="24" t="str">
        <x:v>Serbia</x:v>
      </x:c>
      <x:c r="C408" s="24" t="str">
        <x:v>SRB</x:v>
      </x:c>
      <x:c r="D408" s="24" t="n">
        <x:v>2026</x:v>
      </x:c>
      <x:c r="E408" s="37" t="n">
        <x:v>0.87</x:v>
      </x:c>
      <x:c r="F408" s="38" t="n">
        <x:v>6641964</x:v>
      </x:c>
      <x:c r="G408" s="38" t="n">
        <x:v>6493391</x:v>
      </x:c>
      <x:c r="H408" s="39" t="n">
        <x:f>G408/F408</x:f>
        <x:v>0.9776311645170013</x:v>
      </x:c>
      <x:c r="I408" s="40" t="n">
        <x:v>190274480000</x:v>
      </x:c>
      <x:c r="J408" s="40" t="n">
        <x:v>165538797600</x:v>
      </x:c>
      <x:c r="K408" s="40" t="n">
        <x:v>24923</x:v>
      </x:c>
      <x:c r="L408" s="40" t="n">
        <x:v>15009</x:v>
      </x:c>
      <x:c r="M408" s="40" t="n">
        <x:v>30330</x:v>
      </x:c>
      <x:c r="N408" s="41" t="n">
        <x:f>MIN(L408,M408)</x:f>
        <x:v>15009</x:v>
      </x:c>
      <x:c r="O408" s="41" t="n">
        <x:f>MAX(L408,M408)</x:f>
        <x:v>30330</x:v>
      </x:c>
      <x:c r="P408" s="41" t="n">
        <x:f>MAX(N408,MIN(K408,O408))</x:f>
        <x:v>24923</x:v>
      </x:c>
      <x:c r="Q408" s="19" t="str">
        <x:f>IF(K408&lt;N408,IF(N408=L408,"clamped_to_nominal","clamped_to_ppp"),IF(K408&gt;O408,IF(O408=L408,"clamped_to_nominal","clamped_to_ppp"),"kept_vanilla"))</x:f>
        <x:v>kept_vanilla</x:v>
      </x:c>
      <x:c r="R408" s="41" t="n">
        <x:f>P408*G408</x:f>
        <x:v>161834783893</x:v>
      </x:c>
      <x:c r="S408" s="41" t="n">
        <x:f>R408/E408</x:f>
        <x:v>186016992980.45978</x:v>
      </x:c>
      <x:c r="T408" s="36" t="str">
        <x:v>SRB: IMF exact 2026</x:v>
      </x:c>
      <x:c r="U408" s="36" t="str">
        <x:v>SRB: IMF exact 2026</x:v>
      </x:c>
      <x:c r="V408" s="36" t="str">
        <x:v>SRB: IMF exact 2026</x:v>
      </x:c>
      <x:c r="W408" s="36" t="str">
        <x:v>complete_primary</x:v>
      </x:c>
      <x:c r="X408" s="36" t="str">
        <x:v>https://api.imf.org/external/sdmx/3.0/data/dataflow/IMF.RES/WEO/9.0.0/</x:v>
      </x:c>
      <x:c r="Y408" s="36" t="str">
        <x:v>https://api.worldbank.org/v2/</x:v>
      </x:c>
    </x:row>
    <x:row r="409">
      <x:c r="A409" s="24" t="str">
        <x:v>SYC</x:v>
      </x:c>
      <x:c r="B409" s="24" t="str">
        <x:v>Seychelles</x:v>
      </x:c>
      <x:c r="C409" s="24" t="str">
        <x:v>SYC</x:v>
      </x:c>
      <x:c r="D409" s="24" t="n">
        <x:v>2003</x:v>
      </x:c>
      <x:c r="E409" s="37" t="n">
        <x:v>1.59</x:v>
      </x:c>
      <x:c r="F409" s="38" t="n">
        <x:v>87034</x:v>
      </x:c>
      <x:c r="G409" s="38" t="n">
        <x:v>82781</x:v>
      </x:c>
      <x:c r="H409" s="39" t="n">
        <x:f>G409/F409</x:f>
        <x:v>0.9511340395707425</x:v>
      </x:c>
      <x:c r="I409" s="40" t="n">
        <x:v>629824561</x:v>
      </x:c>
      <x:c r="J409" s="40" t="n">
        <x:v>1001421052</x:v>
      </x:c>
      <x:c r="K409" s="40" t="n">
        <x:v>11506</x:v>
      </x:c>
      <x:c r="L409" s="40" t="n">
        <x:v>13555</x:v>
      </x:c>
      <x:c r="M409" s="40" t="n">
        <x:v>20678</x:v>
      </x:c>
      <x:c r="N409" s="41" t="n">
        <x:f>MIN(L409,M409)</x:f>
        <x:v>13555</x:v>
      </x:c>
      <x:c r="O409" s="41" t="n">
        <x:f>MAX(L409,M409)</x:f>
        <x:v>20678</x:v>
      </x:c>
      <x:c r="P409" s="41" t="n">
        <x:f>MAX(N409,MIN(K409,O409))</x:f>
        <x:v>13555</x:v>
      </x:c>
      <x:c r="Q409" s="19" t="str">
        <x:f>IF(K409&lt;N409,IF(N409=L409,"clamped_to_nominal","clamped_to_ppp"),IF(K409&gt;O409,IF(O409=L409,"clamped_to_nominal","clamped_to_ppp"),"kept_vanilla"))</x:f>
        <x:v>clamped_to_nominal</x:v>
      </x:c>
      <x:c r="R409" s="41" t="n">
        <x:f>P409*G409</x:f>
        <x:v>1122096455</x:v>
      </x:c>
      <x:c r="S409" s="41" t="n">
        <x:f>R409/E409</x:f>
        <x:v>705721040.880503</x:v>
      </x:c>
      <x:c r="T409" s="36" t="str">
        <x:v>SYC: IMF exact 2003</x:v>
      </x:c>
      <x:c r="U409" s="36" t="str">
        <x:v>SYC: IMF exact 2003</x:v>
      </x:c>
      <x:c r="V409" s="36" t="str">
        <x:v>SYC: IMF exact 2003</x:v>
      </x:c>
      <x:c r="W409" s="36" t="str">
        <x:v>complete_primary</x:v>
      </x:c>
      <x:c r="X409" s="36" t="str">
        <x:v>https://api.imf.org/external/sdmx/3.0/data/dataflow/IMF.RES/WEO/9.0.0/</x:v>
      </x:c>
      <x:c r="Y409" s="36" t="str">
        <x:v>https://api.worldbank.org/v2/</x:v>
      </x:c>
    </x:row>
    <x:row r="410">
      <x:c r="A410" s="24" t="str">
        <x:v>SYC</x:v>
      </x:c>
      <x:c r="B410" s="24" t="str">
        <x:v>Seychelles</x:v>
      </x:c>
      <x:c r="C410" s="24" t="str">
        <x:v>SYC</x:v>
      </x:c>
      <x:c r="D410" s="24" t="n">
        <x:v>2022</x:v>
      </x:c>
      <x:c r="E410" s="37" t="n">
        <x:v>1</x:v>
      </x:c>
      <x:c r="F410" s="38" t="n">
        <x:v>99613</x:v>
      </x:c>
      <x:c r="G410" s="38" t="n">
        <x:v>118900</x:v>
      </x:c>
      <x:c r="H410" s="39" t="n">
        <x:f>G410/F410</x:f>
        <x:v>1.1936193067169947</x:v>
      </x:c>
      <x:c r="I410" s="40" t="n">
        <x:v>3070320000</x:v>
      </x:c>
      <x:c r="J410" s="40" t="n">
        <x:v>3070320000</x:v>
      </x:c>
      <x:c r="K410" s="40" t="n">
        <x:v>30822</x:v>
      </x:c>
      <x:c r="L410" s="40" t="n">
        <x:v>16820</x:v>
      </x:c>
      <x:c r="M410" s="40" t="n">
        <x:v>29455</x:v>
      </x:c>
      <x:c r="N410" s="41" t="n">
        <x:f>MIN(L410,M410)</x:f>
        <x:v>16820</x:v>
      </x:c>
      <x:c r="O410" s="41" t="n">
        <x:f>MAX(L410,M410)</x:f>
        <x:v>29455</x:v>
      </x:c>
      <x:c r="P410" s="41" t="n">
        <x:f>MAX(N410,MIN(K410,O410))</x:f>
        <x:v>29455</x:v>
      </x:c>
      <x:c r="Q410" s="19" t="str">
        <x:f>IF(K410&lt;N410,IF(N410=L410,"clamped_to_nominal","clamped_to_ppp"),IF(K410&gt;O410,IF(O410=L410,"clamped_to_nominal","clamped_to_ppp"),"kept_vanilla"))</x:f>
        <x:v>clamped_to_ppp</x:v>
      </x:c>
      <x:c r="R410" s="41" t="n">
        <x:f>P410*G410</x:f>
        <x:v>3502199500</x:v>
      </x:c>
      <x:c r="S410" s="41" t="n">
        <x:f>R410/E410</x:f>
        <x:v>3502199500</x:v>
      </x:c>
      <x:c r="T410" s="36" t="str">
        <x:v>SYC: IMF exact 2022</x:v>
      </x:c>
      <x:c r="U410" s="36" t="str">
        <x:v>SYC: IMF exact 2022</x:v>
      </x:c>
      <x:c r="V410" s="36" t="str">
        <x:v>SYC: IMF exact 2022</x:v>
      </x:c>
      <x:c r="W410" s="36" t="str">
        <x:v>complete_primary</x:v>
      </x:c>
      <x:c r="X410" s="36" t="str">
        <x:v>https://api.imf.org/external/sdmx/3.0/data/dataflow/IMF.RES/WEO/9.0.0/</x:v>
      </x:c>
      <x:c r="Y410" s="36" t="str">
        <x:v>https://api.worldbank.org/v2/</x:v>
      </x:c>
    </x:row>
    <x:row r="411">
      <x:c r="A411" s="24" t="str">
        <x:v>SYC</x:v>
      </x:c>
      <x:c r="B411" s="24" t="str">
        <x:v>Seychelles</x:v>
      </x:c>
      <x:c r="C411" s="24" t="str">
        <x:v>SYC</x:v>
      </x:c>
      <x:c r="D411" s="24" t="n">
        <x:v>2026</x:v>
      </x:c>
      <x:c r="E411" s="37" t="n">
        <x:v>0.87</x:v>
      </x:c>
      <x:c r="F411" s="38" t="n">
        <x:v>134959</x:v>
      </x:c>
      <x:c r="G411" s="38" t="n">
        <x:v>127350</x:v>
      </x:c>
      <x:c r="H411" s="39" t="n">
        <x:f>G411/F411</x:f>
        <x:v>0.9436199141961633</x:v>
      </x:c>
      <x:c r="I411" s="40" t="n">
        <x:v>3755840000</x:v>
      </x:c>
      <x:c r="J411" s="40" t="n">
        <x:v>3267580800</x:v>
      </x:c>
      <x:c r="K411" s="40" t="n">
        <x:v>24212</x:v>
      </x:c>
      <x:c r="L411" s="40" t="n">
        <x:v>15377</x:v>
      </x:c>
      <x:c r="M411" s="40" t="n">
        <x:v>31194</x:v>
      </x:c>
      <x:c r="N411" s="41" t="n">
        <x:f>MIN(L411,M411)</x:f>
        <x:v>15377</x:v>
      </x:c>
      <x:c r="O411" s="41" t="n">
        <x:f>MAX(L411,M411)</x:f>
        <x:v>31194</x:v>
      </x:c>
      <x:c r="P411" s="41" t="n">
        <x:f>MAX(N411,MIN(K411,O411))</x:f>
        <x:v>24212</x:v>
      </x:c>
      <x:c r="Q411" s="19" t="str">
        <x:f>IF(K411&lt;N411,IF(N411=L411,"clamped_to_nominal","clamped_to_ppp"),IF(K411&gt;O411,IF(O411=L411,"clamped_to_nominal","clamped_to_ppp"),"kept_vanilla"))</x:f>
        <x:v>kept_vanilla</x:v>
      </x:c>
      <x:c r="R411" s="41" t="n">
        <x:f>P411*G411</x:f>
        <x:v>3083398200</x:v>
      </x:c>
      <x:c r="S411" s="41" t="n">
        <x:f>R411/E411</x:f>
        <x:v>3544135862.0689654</x:v>
      </x:c>
      <x:c r="T411" s="36" t="str">
        <x:v>SYC: IMF exact 2026</x:v>
      </x:c>
      <x:c r="U411" s="36" t="str">
        <x:v>SYC: IMF exact 2026</x:v>
      </x:c>
      <x:c r="V411" s="36" t="str">
        <x:v>SYC: IMF exact 2026</x:v>
      </x:c>
      <x:c r="W411" s="36" t="str">
        <x:v>complete_primary</x:v>
      </x:c>
      <x:c r="X411" s="36" t="str">
        <x:v>https://api.imf.org/external/sdmx/3.0/data/dataflow/IMF.RES/WEO/9.0.0/</x:v>
      </x:c>
      <x:c r="Y411" s="36" t="str">
        <x:v>https://api.worldbank.org/v2/</x:v>
      </x:c>
    </x:row>
    <x:row r="412">
      <x:c r="A412" s="24" t="str">
        <x:v>SLE</x:v>
      </x:c>
      <x:c r="B412" s="24" t="str">
        <x:v>Sierra Leone</x:v>
      </x:c>
      <x:c r="C412" s="24" t="str">
        <x:v>SLE</x:v>
      </x:c>
      <x:c r="D412" s="24" t="n">
        <x:v>2003</x:v>
      </x:c>
      <x:c r="E412" s="37" t="n">
        <x:v>1.59</x:v>
      </x:c>
      <x:c r="F412" s="38" t="n">
        <x:v>5177687</x:v>
      </x:c>
      <x:c r="G412" s="38" t="n">
        <x:v>5177687</x:v>
      </x:c>
      <x:c r="H412" s="39" t="n">
        <x:f>G412/F412</x:f>
        <x:v>1</x:v>
      </x:c>
      <x:c r="I412" s="40" t="n">
        <x:v>4440350877</x:v>
      </x:c>
      <x:c r="J412" s="40" t="n">
        <x:v>7060157894</x:v>
      </x:c>
      <x:c r="K412" s="40" t="n">
        <x:v>1364</x:v>
      </x:c>
      <x:c r="L412" s="40" t="n">
        <x:v>681</x:v>
      </x:c>
      <x:c r="M412" s="40" t="n">
        <x:v>2332</x:v>
      </x:c>
      <x:c r="N412" s="41" t="n">
        <x:f>MIN(L412,M412)</x:f>
        <x:v>681</x:v>
      </x:c>
      <x:c r="O412" s="41" t="n">
        <x:f>MAX(L412,M412)</x:f>
        <x:v>2332</x:v>
      </x:c>
      <x:c r="P412" s="41" t="n">
        <x:f>MAX(N412,MIN(K412,O412))</x:f>
        <x:v>1364</x:v>
      </x:c>
      <x:c r="Q412" s="19" t="str">
        <x:f>IF(K412&lt;N412,IF(N412=L412,"clamped_to_nominal","clamped_to_ppp"),IF(K412&gt;O412,IF(O412=L412,"clamped_to_nominal","clamped_to_ppp"),"kept_vanilla"))</x:f>
        <x:v>kept_vanilla</x:v>
      </x:c>
      <x:c r="R412" s="41" t="n">
        <x:f>P412*G412</x:f>
        <x:v>7062365068</x:v>
      </x:c>
      <x:c r="S412" s="41" t="n">
        <x:f>R412/E412</x:f>
        <x:v>4441739036.477987</x:v>
      </x:c>
      <x:c r="T412" s="36" t="str">
        <x:v>SLE: IMF exact 2003</x:v>
      </x:c>
      <x:c r="U412" s="36" t="str">
        <x:v>SLE: IMF exact 2003</x:v>
      </x:c>
      <x:c r="V412" s="36" t="str">
        <x:v>SLE: IMF exact 2003</x:v>
      </x:c>
      <x:c r="W412" s="36" t="str">
        <x:v>complete_primary</x:v>
      </x:c>
      <x:c r="X412" s="36" t="str">
        <x:v>https://api.imf.org/external/sdmx/3.0/data/dataflow/IMF.RES/WEO/9.0.0/</x:v>
      </x:c>
      <x:c r="Y412" s="36" t="str">
        <x:v>https://api.worldbank.org/v2/</x:v>
      </x:c>
    </x:row>
    <x:row r="413">
      <x:c r="A413" s="24" t="str">
        <x:v>SLE</x:v>
      </x:c>
      <x:c r="B413" s="24" t="str">
        <x:v>Sierra Leone</x:v>
      </x:c>
      <x:c r="C413" s="24" t="str">
        <x:v>SLE</x:v>
      </x:c>
      <x:c r="D413" s="24" t="n">
        <x:v>2022</x:v>
      </x:c>
      <x:c r="E413" s="37" t="n">
        <x:v>1</x:v>
      </x:c>
      <x:c r="F413" s="38" t="n">
        <x:v>8358303</x:v>
      </x:c>
      <x:c r="G413" s="38" t="n">
        <x:v>8276807</x:v>
      </x:c>
      <x:c r="H413" s="39" t="n">
        <x:f>G413/F413</x:f>
        <x:v>0.9902496954226234</x:v>
      </x:c>
      <x:c r="I413" s="40" t="n">
        <x:v>14323760000</x:v>
      </x:c>
      <x:c r="J413" s="40" t="n">
        <x:v>14323760000</x:v>
      </x:c>
      <x:c r="K413" s="40" t="n">
        <x:v>1714</x:v>
      </x:c>
      <x:c r="L413" s="40" t="n">
        <x:v>860</x:v>
      </x:c>
      <x:c r="M413" s="40" t="n">
        <x:v>3143</x:v>
      </x:c>
      <x:c r="N413" s="41" t="n">
        <x:f>MIN(L413,M413)</x:f>
        <x:v>860</x:v>
      </x:c>
      <x:c r="O413" s="41" t="n">
        <x:f>MAX(L413,M413)</x:f>
        <x:v>3143</x:v>
      </x:c>
      <x:c r="P413" s="41" t="n">
        <x:f>MAX(N413,MIN(K413,O413))</x:f>
        <x:v>1714</x:v>
      </x:c>
      <x:c r="Q413" s="19" t="str">
        <x:f>IF(K413&lt;N413,IF(N413=L413,"clamped_to_nominal","clamped_to_ppp"),IF(K413&gt;O413,IF(O413=L413,"clamped_to_nominal","clamped_to_ppp"),"kept_vanilla"))</x:f>
        <x:v>kept_vanilla</x:v>
      </x:c>
      <x:c r="R413" s="41" t="n">
        <x:f>P413*G413</x:f>
        <x:v>14186447198</x:v>
      </x:c>
      <x:c r="S413" s="41" t="n">
        <x:f>R413/E413</x:f>
        <x:v>14186447198</x:v>
      </x:c>
      <x:c r="T413" s="36" t="str">
        <x:v>SLE: IMF exact 2022</x:v>
      </x:c>
      <x:c r="U413" s="36" t="str">
        <x:v>SLE: IMF exact 2022</x:v>
      </x:c>
      <x:c r="V413" s="36" t="str">
        <x:v>SLE: IMF exact 2022</x:v>
      </x:c>
      <x:c r="W413" s="36" t="str">
        <x:v>complete_primary</x:v>
      </x:c>
      <x:c r="X413" s="36" t="str">
        <x:v>https://api.imf.org/external/sdmx/3.0/data/dataflow/IMF.RES/WEO/9.0.0/</x:v>
      </x:c>
      <x:c r="Y413" s="36" t="str">
        <x:v>https://api.worldbank.org/v2/</x:v>
      </x:c>
    </x:row>
    <x:row r="414">
      <x:c r="A414" s="24" t="str">
        <x:v>SLE</x:v>
      </x:c>
      <x:c r="B414" s="24" t="str">
        <x:v>Sierra Leone</x:v>
      </x:c>
      <x:c r="C414" s="24" t="str">
        <x:v>SLE</x:v>
      </x:c>
      <x:c r="D414" s="24" t="n">
        <x:v>2026</x:v>
      </x:c>
      <x:c r="E414" s="37" t="n">
        <x:v>0.87</x:v>
      </x:c>
      <x:c r="F414" s="38" t="n">
        <x:v>8996745</x:v>
      </x:c>
      <x:c r="G414" s="38" t="n">
        <x:v>9001812</x:v>
      </x:c>
      <x:c r="H414" s="39" t="n">
        <x:f>G414/F414</x:f>
        <x:v>1.000563203692002</x:v>
      </x:c>
      <x:c r="I414" s="40" t="n">
        <x:v>28604400000</x:v>
      </x:c>
      <x:c r="J414" s="40" t="n">
        <x:v>24885828000</x:v>
      </x:c>
      <x:c r="K414" s="40" t="n">
        <x:v>2766</x:v>
      </x:c>
      <x:c r="L414" s="40" t="n">
        <x:v>799</x:v>
      </x:c>
      <x:c r="M414" s="40" t="n">
        <x:v>3401</x:v>
      </x:c>
      <x:c r="N414" s="41" t="n">
        <x:f>MIN(L414,M414)</x:f>
        <x:v>799</x:v>
      </x:c>
      <x:c r="O414" s="41" t="n">
        <x:f>MAX(L414,M414)</x:f>
        <x:v>3401</x:v>
      </x:c>
      <x:c r="P414" s="41" t="n">
        <x:f>MAX(N414,MIN(K414,O414))</x:f>
        <x:v>2766</x:v>
      </x:c>
      <x:c r="Q414" s="19" t="str">
        <x:f>IF(K414&lt;N414,IF(N414=L414,"clamped_to_nominal","clamped_to_ppp"),IF(K414&gt;O414,IF(O414=L414,"clamped_to_nominal","clamped_to_ppp"),"kept_vanilla"))</x:f>
        <x:v>kept_vanilla</x:v>
      </x:c>
      <x:c r="R414" s="41" t="n">
        <x:f>P414*G414</x:f>
        <x:v>24899011992</x:v>
      </x:c>
      <x:c r="S414" s="41" t="n">
        <x:f>R414/E414</x:f>
        <x:v>28619554013.793102</x:v>
      </x:c>
      <x:c r="T414" s="36" t="str">
        <x:v>SLE: IMF exact 2026</x:v>
      </x:c>
      <x:c r="U414" s="36" t="str">
        <x:v>SLE: IMF exact 2026</x:v>
      </x:c>
      <x:c r="V414" s="36" t="str">
        <x:v>SLE: IMF exact 2026</x:v>
      </x:c>
      <x:c r="W414" s="36" t="str">
        <x:v>complete_primary</x:v>
      </x:c>
      <x:c r="X414" s="36" t="str">
        <x:v>https://api.imf.org/external/sdmx/3.0/data/dataflow/IMF.RES/WEO/9.0.0/</x:v>
      </x:c>
      <x:c r="Y414" s="36" t="str">
        <x:v>https://api.worldbank.org/v2/</x:v>
      </x:c>
    </x:row>
    <x:row r="415">
      <x:c r="A415" s="24" t="str">
        <x:v>SGP</x:v>
      </x:c>
      <x:c r="B415" s="24" t="str">
        <x:v>Singapore</x:v>
      </x:c>
      <x:c r="C415" s="24" t="str">
        <x:v>SGP</x:v>
      </x:c>
      <x:c r="D415" s="24" t="n">
        <x:v>2003</x:v>
      </x:c>
      <x:c r="E415" s="37" t="n">
        <x:v>1.59</x:v>
      </x:c>
      <x:c r="F415" s="38" t="n">
        <x:v>4138245</x:v>
      </x:c>
      <x:c r="G415" s="38" t="n">
        <x:v>4114826</x:v>
      </x:c>
      <x:c r="H415" s="39" t="n">
        <x:f>G415/F415</x:f>
        <x:v>0.9943408377222711</x:v>
      </x:c>
      <x:c r="I415" s="40" t="n">
        <x:v>109485380117</x:v>
      </x:c>
      <x:c r="J415" s="40" t="n">
        <x:v>174081754386</x:v>
      </x:c>
      <x:c r="K415" s="40" t="n">
        <x:v>42067</x:v>
      </x:c>
      <x:c r="L415" s="40" t="n">
        <x:v>37731</x:v>
      </x:c>
      <x:c r="M415" s="40" t="n">
        <x:v>72571</x:v>
      </x:c>
      <x:c r="N415" s="41" t="n">
        <x:f>MIN(L415,M415)</x:f>
        <x:v>37731</x:v>
      </x:c>
      <x:c r="O415" s="41" t="n">
        <x:f>MAX(L415,M415)</x:f>
        <x:v>72571</x:v>
      </x:c>
      <x:c r="P415" s="41" t="n">
        <x:f>MAX(N415,MIN(K415,O415))</x:f>
        <x:v>42067</x:v>
      </x:c>
      <x:c r="Q415" s="19" t="str">
        <x:f>IF(K415&lt;N415,IF(N415=L415,"clamped_to_nominal","clamped_to_ppp"),IF(K415&gt;O415,IF(O415=L415,"clamped_to_nominal","clamped_to_ppp"),"kept_vanilla"))</x:f>
        <x:v>kept_vanilla</x:v>
      </x:c>
      <x:c r="R415" s="41" t="n">
        <x:f>P415*G415</x:f>
        <x:v>173098385342</x:v>
      </x:c>
      <x:c r="S415" s="41" t="n">
        <x:f>R415/E415</x:f>
        <x:v>108866909020.12578</x:v>
      </x:c>
      <x:c r="T415" s="36" t="str">
        <x:v>SGP: IMF exact 2003</x:v>
      </x:c>
      <x:c r="U415" s="36" t="str">
        <x:v>SGP: IMF exact 2003</x:v>
      </x:c>
      <x:c r="V415" s="36" t="str">
        <x:v>SGP: IMF exact 2003</x:v>
      </x:c>
      <x:c r="W415" s="36" t="str">
        <x:v>complete_primary</x:v>
      </x:c>
      <x:c r="X415" s="36" t="str">
        <x:v>https://api.imf.org/external/sdmx/3.0/data/dataflow/IMF.RES/WEO/9.0.0/</x:v>
      </x:c>
      <x:c r="Y415" s="36" t="str">
        <x:v>https://api.worldbank.org/v2/</x:v>
      </x:c>
    </x:row>
    <x:row r="416">
      <x:c r="A416" s="24" t="str">
        <x:v>SGP</x:v>
      </x:c>
      <x:c r="B416" s="24" t="str">
        <x:v>Singapore</x:v>
      </x:c>
      <x:c r="C416" s="24" t="str">
        <x:v>SGP</x:v>
      </x:c>
      <x:c r="D416" s="24" t="n">
        <x:v>2022</x:v>
      </x:c>
      <x:c r="E416" s="37" t="n">
        <x:v>1</x:v>
      </x:c>
      <x:c r="F416" s="38" t="n">
        <x:v>5957872</x:v>
      </x:c>
      <x:c r="G416" s="38" t="n">
        <x:v>5637022</x:v>
      </x:c>
      <x:c r="H416" s="39" t="n">
        <x:f>G416/F416</x:f>
        <x:v>0.9461468792884439</x:v>
      </x:c>
      <x:c r="I416" s="40" t="n">
        <x:v>617587520000</x:v>
      </x:c>
      <x:c r="J416" s="40" t="n">
        <x:v>617587520000</x:v>
      </x:c>
      <x:c r="K416" s="40" t="n">
        <x:v>103659</x:v>
      </x:c>
      <x:c r="L416" s="40" t="n">
        <x:v>91228</x:v>
      </x:c>
      <x:c r="M416" s="40" t="n">
        <x:v>144418</x:v>
      </x:c>
      <x:c r="N416" s="41" t="n">
        <x:f>MIN(L416,M416)</x:f>
        <x:v>91228</x:v>
      </x:c>
      <x:c r="O416" s="41" t="n">
        <x:f>MAX(L416,M416)</x:f>
        <x:v>144418</x:v>
      </x:c>
      <x:c r="P416" s="41" t="n">
        <x:f>MAX(N416,MIN(K416,O416))</x:f>
        <x:v>103659</x:v>
      </x:c>
      <x:c r="Q416" s="19" t="str">
        <x:f>IF(K416&lt;N416,IF(N416=L416,"clamped_to_nominal","clamped_to_ppp"),IF(K416&gt;O416,IF(O416=L416,"clamped_to_nominal","clamped_to_ppp"),"kept_vanilla"))</x:f>
        <x:v>kept_vanilla</x:v>
      </x:c>
      <x:c r="R416" s="41" t="n">
        <x:f>P416*G416</x:f>
        <x:v>584328063498</x:v>
      </x:c>
      <x:c r="S416" s="41" t="n">
        <x:f>R416/E416</x:f>
        <x:v>584328063498</x:v>
      </x:c>
      <x:c r="T416" s="36" t="str">
        <x:v>SGP: IMF exact 2022</x:v>
      </x:c>
      <x:c r="U416" s="36" t="str">
        <x:v>SGP: IMF exact 2022</x:v>
      </x:c>
      <x:c r="V416" s="36" t="str">
        <x:v>SGP: IMF exact 2022</x:v>
      </x:c>
      <x:c r="W416" s="36" t="str">
        <x:v>complete_primary</x:v>
      </x:c>
      <x:c r="X416" s="36" t="str">
        <x:v>https://api.imf.org/external/sdmx/3.0/data/dataflow/IMF.RES/WEO/9.0.0/</x:v>
      </x:c>
      <x:c r="Y416" s="36" t="str">
        <x:v>https://api.worldbank.org/v2/</x:v>
      </x:c>
    </x:row>
    <x:row r="417">
      <x:c r="A417" s="24" t="str">
        <x:v>SGP</x:v>
      </x:c>
      <x:c r="B417" s="24" t="str">
        <x:v>Singapore</x:v>
      </x:c>
      <x:c r="C417" s="24" t="str">
        <x:v>SGP</x:v>
      </x:c>
      <x:c r="D417" s="24" t="n">
        <x:v>2026</x:v>
      </x:c>
      <x:c r="E417" s="37" t="n">
        <x:v>0.87</x:v>
      </x:c>
      <x:c r="F417" s="38" t="n">
        <x:v>5905748</x:v>
      </x:c>
      <x:c r="G417" s="38" t="n">
        <x:v>6120863</x:v>
      </x:c>
      <x:c r="H417" s="39" t="n">
        <x:f>G417/F417</x:f>
        <x:v>1.0364246832069366</x:v>
      </x:c>
      <x:c r="I417" s="40" t="n">
        <x:v>838326720000</x:v>
      </x:c>
      <x:c r="J417" s="40" t="n">
        <x:v>729344246400</x:v>
      </x:c>
      <x:c r="K417" s="40" t="n">
        <x:v>123497</x:v>
      </x:c>
      <x:c r="L417" s="40" t="n">
        <x:v>93749</x:v>
      </x:c>
      <x:c r="M417" s="40" t="n">
        <x:v>151126</x:v>
      </x:c>
      <x:c r="N417" s="41" t="n">
        <x:f>MIN(L417,M417)</x:f>
        <x:v>93749</x:v>
      </x:c>
      <x:c r="O417" s="41" t="n">
        <x:f>MAX(L417,M417)</x:f>
        <x:v>151126</x:v>
      </x:c>
      <x:c r="P417" s="41" t="n">
        <x:f>MAX(N417,MIN(K417,O417))</x:f>
        <x:v>123497</x:v>
      </x:c>
      <x:c r="Q417" s="19" t="str">
        <x:f>IF(K417&lt;N417,IF(N417=L417,"clamped_to_nominal","clamped_to_ppp"),IF(K417&gt;O417,IF(O417=L417,"clamped_to_nominal","clamped_to_ppp"),"kept_vanilla"))</x:f>
        <x:v>kept_vanilla</x:v>
      </x:c>
      <x:c r="R417" s="41" t="n">
        <x:f>P417*G417</x:f>
        <x:v>755908217911</x:v>
      </x:c>
      <x:c r="S417" s="41" t="n">
        <x:f>R417/E417</x:f>
        <x:v>868860020587.3563</x:v>
      </x:c>
      <x:c r="T417" s="36" t="str">
        <x:v>SGP: IMF exact 2026</x:v>
      </x:c>
      <x:c r="U417" s="36" t="str">
        <x:v>SGP: IMF exact 2026</x:v>
      </x:c>
      <x:c r="V417" s="36" t="str">
        <x:v>SGP: IMF exact 2026</x:v>
      </x:c>
      <x:c r="W417" s="36" t="str">
        <x:v>complete_primary</x:v>
      </x:c>
      <x:c r="X417" s="36" t="str">
        <x:v>https://api.imf.org/external/sdmx/3.0/data/dataflow/IMF.RES/WEO/9.0.0/</x:v>
      </x:c>
      <x:c r="Y417" s="36" t="str">
        <x:v>https://api.worldbank.org/v2/</x:v>
      </x:c>
    </x:row>
    <x:row r="418">
      <x:c r="A418" s="24" t="str">
        <x:v>SLO</x:v>
      </x:c>
      <x:c r="B418" s="24" t="str">
        <x:v>Slovakia</x:v>
      </x:c>
      <x:c r="C418" s="24" t="str">
        <x:v>SVK</x:v>
      </x:c>
      <x:c r="D418" s="24" t="n">
        <x:v>2003</x:v>
      </x:c>
      <x:c r="E418" s="37" t="n">
        <x:v>1.59</x:v>
      </x:c>
      <x:c r="F418" s="38" t="n">
        <x:v>5376196</x:v>
      </x:c>
      <x:c r="G418" s="38" t="n">
        <x:v>5374873</x:v>
      </x:c>
      <x:c r="H418" s="39" t="n">
        <x:f>G418/F418</x:f>
        <x:v>0.9997539152218409</x:v>
      </x:c>
      <x:c r="I418" s="40" t="n">
        <x:v>43281286550</x:v>
      </x:c>
      <x:c r="J418" s="40" t="n">
        <x:v>68817245615</x:v>
      </x:c>
      <x:c r="K418" s="40" t="n">
        <x:v>12800</x:v>
      </x:c>
      <x:c r="L418" s="40" t="n">
        <x:v>10018</x:v>
      </x:c>
      <x:c r="M418" s="40" t="n">
        <x:v>21892</x:v>
      </x:c>
      <x:c r="N418" s="41" t="n">
        <x:f>MIN(L418,M418)</x:f>
        <x:v>10018</x:v>
      </x:c>
      <x:c r="O418" s="41" t="n">
        <x:f>MAX(L418,M418)</x:f>
        <x:v>21892</x:v>
      </x:c>
      <x:c r="P418" s="41" t="n">
        <x:f>MAX(N418,MIN(K418,O418))</x:f>
        <x:v>12800</x:v>
      </x:c>
      <x:c r="Q418" s="19" t="str">
        <x:f>IF(K418&lt;N418,IF(N418=L418,"clamped_to_nominal","clamped_to_ppp"),IF(K418&gt;O418,IF(O418=L418,"clamped_to_nominal","clamped_to_ppp"),"kept_vanilla"))</x:f>
        <x:v>kept_vanilla</x:v>
      </x:c>
      <x:c r="R418" s="41" t="n">
        <x:f>P418*G418</x:f>
        <x:v>68798374400</x:v>
      </x:c>
      <x:c r="S418" s="41" t="n">
        <x:f>R418/E418</x:f>
        <x:v>43269417861.635216</x:v>
      </x:c>
      <x:c r="T418" s="36" t="str">
        <x:v>SVK: IMF exact 2003</x:v>
      </x:c>
      <x:c r="U418" s="36" t="str">
        <x:v>SVK: IMF exact 2003</x:v>
      </x:c>
      <x:c r="V418" s="36" t="str">
        <x:v>SVK: IMF exact 2003</x:v>
      </x:c>
      <x:c r="W418" s="36" t="str">
        <x:v>complete_primary</x:v>
      </x:c>
      <x:c r="X418" s="36" t="str">
        <x:v>https://api.imf.org/external/sdmx/3.0/data/dataflow/IMF.RES/WEO/9.0.0/</x:v>
      </x:c>
      <x:c r="Y418" s="36" t="str">
        <x:v>https://api.worldbank.org/v2/</x:v>
      </x:c>
    </x:row>
    <x:row r="419">
      <x:c r="A419" s="24" t="str">
        <x:v>SLO</x:v>
      </x:c>
      <x:c r="B419" s="24" t="str">
        <x:v>Slovakia</x:v>
      </x:c>
      <x:c r="C419" s="24" t="str">
        <x:v>SVK</x:v>
      </x:c>
      <x:c r="D419" s="24" t="n">
        <x:v>2022</x:v>
      </x:c>
      <x:c r="E419" s="37" t="n">
        <x:v>1</x:v>
      </x:c>
      <x:c r="F419" s="38" t="n">
        <x:v>5459991</x:v>
      </x:c>
      <x:c r="G419" s="38" t="n">
        <x:v>5434712</x:v>
      </x:c>
      <x:c r="H419" s="39" t="n">
        <x:f>G419/F419</x:f>
        <x:v>0.9953701388885073</x:v>
      </x:c>
      <x:c r="I419" s="40" t="n">
        <x:v>185784720000</x:v>
      </x:c>
      <x:c r="J419" s="40" t="n">
        <x:v>185784720000</x:v>
      </x:c>
      <x:c r="K419" s="40" t="n">
        <x:v>34027</x:v>
      </x:c>
      <x:c r="L419" s="40" t="n">
        <x:v>21323</x:v>
      </x:c>
      <x:c r="M419" s="40" t="n">
        <x:v>41463</x:v>
      </x:c>
      <x:c r="N419" s="41" t="n">
        <x:f>MIN(L419,M419)</x:f>
        <x:v>21323</x:v>
      </x:c>
      <x:c r="O419" s="41" t="n">
        <x:f>MAX(L419,M419)</x:f>
        <x:v>41463</x:v>
      </x:c>
      <x:c r="P419" s="41" t="n">
        <x:f>MAX(N419,MIN(K419,O419))</x:f>
        <x:v>34027</x:v>
      </x:c>
      <x:c r="Q419" s="19" t="str">
        <x:f>IF(K419&lt;N419,IF(N419=L419,"clamped_to_nominal","clamped_to_ppp"),IF(K419&gt;O419,IF(O419=L419,"clamped_to_nominal","clamped_to_ppp"),"kept_vanilla"))</x:f>
        <x:v>kept_vanilla</x:v>
      </x:c>
      <x:c r="R419" s="41" t="n">
        <x:f>P419*G419</x:f>
        <x:v>184926945224</x:v>
      </x:c>
      <x:c r="S419" s="41" t="n">
        <x:f>R419/E419</x:f>
        <x:v>184926945224</x:v>
      </x:c>
      <x:c r="T419" s="36" t="str">
        <x:v>SVK: IMF exact 2022</x:v>
      </x:c>
      <x:c r="U419" s="36" t="str">
        <x:v>SVK: IMF exact 2022</x:v>
      </x:c>
      <x:c r="V419" s="36" t="str">
        <x:v>SVK: IMF exact 2022</x:v>
      </x:c>
      <x:c r="W419" s="36" t="str">
        <x:v>complete_primary</x:v>
      </x:c>
      <x:c r="X419" s="36" t="str">
        <x:v>https://api.imf.org/external/sdmx/3.0/data/dataflow/IMF.RES/WEO/9.0.0/</x:v>
      </x:c>
      <x:c r="Y419" s="36" t="str">
        <x:v>https://api.worldbank.org/v2/</x:v>
      </x:c>
    </x:row>
    <x:row r="420">
      <x:c r="A420" s="24" t="str">
        <x:v>SLO</x:v>
      </x:c>
      <x:c r="B420" s="24" t="str">
        <x:v>Slovakia</x:v>
      </x:c>
      <x:c r="C420" s="24" t="str">
        <x:v>SVK</x:v>
      </x:c>
      <x:c r="D420" s="24" t="n">
        <x:v>2026</x:v>
      </x:c>
      <x:c r="E420" s="37" t="n">
        <x:v>0.87</x:v>
      </x:c>
      <x:c r="F420" s="38" t="n">
        <x:v>5451342</x:v>
      </x:c>
      <x:c r="G420" s="38" t="n">
        <x:v>5406135</x:v>
      </x:c>
      <x:c r="H420" s="39" t="n">
        <x:f>G420/F420</x:f>
        <x:v>0.9917071796265947</x:v>
      </x:c>
      <x:c r="I420" s="40" t="n">
        <x:v>226177600000</x:v>
      </x:c>
      <x:c r="J420" s="40" t="n">
        <x:v>196774512000</x:v>
      </x:c>
      <x:c r="K420" s="40" t="n">
        <x:v>36097</x:v>
      </x:c>
      <x:c r="L420" s="40" t="n">
        <x:v>27180</x:v>
      </x:c>
      <x:c r="M420" s="40" t="n">
        <x:v>43036</x:v>
      </x:c>
      <x:c r="N420" s="41" t="n">
        <x:f>MIN(L420,M420)</x:f>
        <x:v>27180</x:v>
      </x:c>
      <x:c r="O420" s="41" t="n">
        <x:f>MAX(L420,M420)</x:f>
        <x:v>43036</x:v>
      </x:c>
      <x:c r="P420" s="41" t="n">
        <x:f>MAX(N420,MIN(K420,O420))</x:f>
        <x:v>36097</x:v>
      </x:c>
      <x:c r="Q420" s="19" t="str">
        <x:f>IF(K420&lt;N420,IF(N420=L420,"clamped_to_nominal","clamped_to_ppp"),IF(K420&gt;O420,IF(O420=L420,"clamped_to_nominal","clamped_to_ppp"),"kept_vanilla"))</x:f>
        <x:v>kept_vanilla</x:v>
      </x:c>
      <x:c r="R420" s="41" t="n">
        <x:f>P420*G420</x:f>
        <x:v>195145255095</x:v>
      </x:c>
      <x:c r="S420" s="41" t="n">
        <x:f>R420/E420</x:f>
        <x:v>224304890913.7931</x:v>
      </x:c>
      <x:c r="T420" s="36" t="str">
        <x:v>SVK: IMF exact 2026</x:v>
      </x:c>
      <x:c r="U420" s="36" t="str">
        <x:v>SVK: IMF exact 2026</x:v>
      </x:c>
      <x:c r="V420" s="36" t="str">
        <x:v>SVK: IMF exact 2026</x:v>
      </x:c>
      <x:c r="W420" s="36" t="str">
        <x:v>complete_primary</x:v>
      </x:c>
      <x:c r="X420" s="36" t="str">
        <x:v>https://api.imf.org/external/sdmx/3.0/data/dataflow/IMF.RES/WEO/9.0.0/</x:v>
      </x:c>
      <x:c r="Y420" s="36" t="str">
        <x:v>https://api.worldbank.org/v2/</x:v>
      </x:c>
    </x:row>
    <x:row r="421">
      <x:c r="A421" s="24" t="str">
        <x:v>SLV</x:v>
      </x:c>
      <x:c r="B421" s="24" t="str">
        <x:v>Slovenia</x:v>
      </x:c>
      <x:c r="C421" s="24" t="str">
        <x:v>SVN</x:v>
      </x:c>
      <x:c r="D421" s="24" t="n">
        <x:v>2003</x:v>
      </x:c>
      <x:c r="E421" s="37" t="n">
        <x:v>1.59</x:v>
      </x:c>
      <x:c r="F421" s="38" t="n">
        <x:v>1992490</x:v>
      </x:c>
      <x:c r="G421" s="38" t="n">
        <x:v>1995033</x:v>
      </x:c>
      <x:c r="H421" s="39" t="n">
        <x:f>G421/F421</x:f>
        <x:v>1.001276292478256</x:v>
      </x:c>
      <x:c r="I421" s="40" t="n">
        <x:v>25602339181</x:v>
      </x:c>
      <x:c r="J421" s="40" t="n">
        <x:v>40707719298</x:v>
      </x:c>
      <x:c r="K421" s="40" t="n">
        <x:v>20431</x:v>
      </x:c>
      <x:c r="L421" s="40" t="n">
        <x:v>23430</x:v>
      </x:c>
      <x:c r="M421" s="40" t="n">
        <x:v>34892</x:v>
      </x:c>
      <x:c r="N421" s="41" t="n">
        <x:f>MIN(L421,M421)</x:f>
        <x:v>23430</x:v>
      </x:c>
      <x:c r="O421" s="41" t="n">
        <x:f>MAX(L421,M421)</x:f>
        <x:v>34892</x:v>
      </x:c>
      <x:c r="P421" s="41" t="n">
        <x:f>MAX(N421,MIN(K421,O421))</x:f>
        <x:v>23430</x:v>
      </x:c>
      <x:c r="Q421" s="19" t="str">
        <x:f>IF(K421&lt;N421,IF(N421=L421,"clamped_to_nominal","clamped_to_ppp"),IF(K421&gt;O421,IF(O421=L421,"clamped_to_nominal","clamped_to_ppp"),"kept_vanilla"))</x:f>
        <x:v>clamped_to_nominal</x:v>
      </x:c>
      <x:c r="R421" s="41" t="n">
        <x:f>P421*G421</x:f>
        <x:v>46743623190</x:v>
      </x:c>
      <x:c r="S421" s="41" t="n">
        <x:f>R421/E421</x:f>
        <x:v>29398505150.943394</x:v>
      </x:c>
      <x:c r="T421" s="36" t="str">
        <x:v>SVN: IMF exact 2003</x:v>
      </x:c>
      <x:c r="U421" s="36" t="str">
        <x:v>SVN: IMF exact 2003</x:v>
      </x:c>
      <x:c r="V421" s="36" t="str">
        <x:v>SVN: IMF exact 2003</x:v>
      </x:c>
      <x:c r="W421" s="36" t="str">
        <x:v>complete_primary</x:v>
      </x:c>
      <x:c r="X421" s="36" t="str">
        <x:v>https://api.imf.org/external/sdmx/3.0/data/dataflow/IMF.RES/WEO/9.0.0/</x:v>
      </x:c>
      <x:c r="Y421" s="36" t="str">
        <x:v>https://api.worldbank.org/v2/</x:v>
      </x:c>
    </x:row>
    <x:row r="422">
      <x:c r="A422" s="24" t="str">
        <x:v>SLV</x:v>
      </x:c>
      <x:c r="B422" s="24" t="str">
        <x:v>Slovenia</x:v>
      </x:c>
      <x:c r="C422" s="24" t="str">
        <x:v>SVN</x:v>
      </x:c>
      <x:c r="D422" s="24" t="n">
        <x:v>2022</x:v>
      </x:c>
      <x:c r="E422" s="37" t="n">
        <x:v>1</x:v>
      </x:c>
      <x:c r="F422" s="38" t="n">
        <x:v>2077864</x:v>
      </x:c>
      <x:c r="G422" s="38" t="n">
        <x:v>2107180</x:v>
      </x:c>
      <x:c r="H422" s="39" t="n">
        <x:f>G422/F422</x:f>
        <x:v>1.0141087193387055</x:v>
      </x:c>
      <x:c r="I422" s="40" t="n">
        <x:v>90133120000</x:v>
      </x:c>
      <x:c r="J422" s="40" t="n">
        <x:v>90133120000</x:v>
      </x:c>
      <x:c r="K422" s="40" t="n">
        <x:v>43378</x:v>
      </x:c>
      <x:c r="L422" s="40" t="n">
        <x:v>28449</x:v>
      </x:c>
      <x:c r="M422" s="40" t="n">
        <x:v>50920</x:v>
      </x:c>
      <x:c r="N422" s="41" t="n">
        <x:f>MIN(L422,M422)</x:f>
        <x:v>28449</x:v>
      </x:c>
      <x:c r="O422" s="41" t="n">
        <x:f>MAX(L422,M422)</x:f>
        <x:v>50920</x:v>
      </x:c>
      <x:c r="P422" s="41" t="n">
        <x:f>MAX(N422,MIN(K422,O422))</x:f>
        <x:v>43378</x:v>
      </x:c>
      <x:c r="Q422" s="19" t="str">
        <x:f>IF(K422&lt;N422,IF(N422=L422,"clamped_to_nominal","clamped_to_ppp"),IF(K422&gt;O422,IF(O422=L422,"clamped_to_nominal","clamped_to_ppp"),"kept_vanilla"))</x:f>
        <x:v>kept_vanilla</x:v>
      </x:c>
      <x:c r="R422" s="41" t="n">
        <x:f>P422*G422</x:f>
        <x:v>91405254040</x:v>
      </x:c>
      <x:c r="S422" s="41" t="n">
        <x:f>R422/E422</x:f>
        <x:v>91405254040</x:v>
      </x:c>
      <x:c r="T422" s="36" t="str">
        <x:v>SVN: IMF exact 2022</x:v>
      </x:c>
      <x:c r="U422" s="36" t="str">
        <x:v>SVN: IMF exact 2022</x:v>
      </x:c>
      <x:c r="V422" s="36" t="str">
        <x:v>SVN: IMF exact 2022</x:v>
      </x:c>
      <x:c r="W422" s="36" t="str">
        <x:v>complete_primary</x:v>
      </x:c>
      <x:c r="X422" s="36" t="str">
        <x:v>https://api.imf.org/external/sdmx/3.0/data/dataflow/IMF.RES/WEO/9.0.0/</x:v>
      </x:c>
      <x:c r="Y422" s="36" t="str">
        <x:v>https://api.worldbank.org/v2/</x:v>
      </x:c>
    </x:row>
    <x:row r="423">
      <x:c r="A423" s="24" t="str">
        <x:v>SLV</x:v>
      </x:c>
      <x:c r="B423" s="24" t="str">
        <x:v>Slovenia</x:v>
      </x:c>
      <x:c r="C423" s="24" t="str">
        <x:v>SVN</x:v>
      </x:c>
      <x:c r="D423" s="24" t="n">
        <x:v>2026</x:v>
      </x:c>
      <x:c r="E423" s="37" t="n">
        <x:v>0.87</x:v>
      </x:c>
      <x:c r="F423" s="38" t="n">
        <x:v>2114574</x:v>
      </x:c>
      <x:c r="G423" s="38" t="n">
        <x:v>2134675</x:v>
      </x:c>
      <x:c r="H423" s="39" t="n">
        <x:f>G423/F423</x:f>
        <x:v>1.0095059335828398</x:v>
      </x:c>
      <x:c r="I423" s="40" t="n">
        <x:v>108638640000</x:v>
      </x:c>
      <x:c r="J423" s="40" t="n">
        <x:v>94515616800</x:v>
      </x:c>
      <x:c r="K423" s="40" t="n">
        <x:v>44697</x:v>
      </x:c>
      <x:c r="L423" s="40" t="n">
        <x:v>35348</x:v>
      </x:c>
      <x:c r="M423" s="40" t="n">
        <x:v>52778</x:v>
      </x:c>
      <x:c r="N423" s="41" t="n">
        <x:f>MIN(L423,M423)</x:f>
        <x:v>35348</x:v>
      </x:c>
      <x:c r="O423" s="41" t="n">
        <x:f>MAX(L423,M423)</x:f>
        <x:v>52778</x:v>
      </x:c>
      <x:c r="P423" s="41" t="n">
        <x:f>MAX(N423,MIN(K423,O423))</x:f>
        <x:v>44697</x:v>
      </x:c>
      <x:c r="Q423" s="19" t="str">
        <x:f>IF(K423&lt;N423,IF(N423=L423,"clamped_to_nominal","clamped_to_ppp"),IF(K423&gt;O423,IF(O423=L423,"clamped_to_nominal","clamped_to_ppp"),"kept_vanilla"))</x:f>
        <x:v>kept_vanilla</x:v>
      </x:c>
      <x:c r="R423" s="41" t="n">
        <x:f>P423*G423</x:f>
        <x:v>95413568475</x:v>
      </x:c>
      <x:c r="S423" s="41" t="n">
        <x:f>R423/E423</x:f>
        <x:v>109670768362.06897</x:v>
      </x:c>
      <x:c r="T423" s="36" t="str">
        <x:v>SVN: IMF exact 2026</x:v>
      </x:c>
      <x:c r="U423" s="36" t="str">
        <x:v>SVN: IMF exact 2026</x:v>
      </x:c>
      <x:c r="V423" s="36" t="str">
        <x:v>SVN: IMF exact 2026</x:v>
      </x:c>
      <x:c r="W423" s="36" t="str">
        <x:v>complete_primary</x:v>
      </x:c>
      <x:c r="X423" s="36" t="str">
        <x:v>https://api.imf.org/external/sdmx/3.0/data/dataflow/IMF.RES/WEO/9.0.0/</x:v>
      </x:c>
      <x:c r="Y423" s="36" t="str">
        <x:v>https://api.worldbank.org/v2/</x:v>
      </x:c>
    </x:row>
    <x:row r="424">
      <x:c r="A424" s="24" t="str">
        <x:v>SOM</x:v>
      </x:c>
      <x:c r="B424" s="24" t="str">
        <x:v>Somalia</x:v>
      </x:c>
      <x:c r="C424" s="24" t="str">
        <x:v>SOM</x:v>
      </x:c>
      <x:c r="D424" s="24" t="n">
        <x:v>2003</x:v>
      </x:c>
      <x:c r="E424" s="37" t="n">
        <x:v>1.59</x:v>
      </x:c>
      <x:c r="F424" s="38" t="n">
        <x:v>7372413</x:v>
      </x:c>
      <x:c r="G424" s="38" t="n">
        <x:v>9909157</x:v>
      </x:c>
      <x:c r="H424" s="39" t="n">
        <x:f>G424/F424</x:f>
        <x:v>1.3440859865012988</x:v>
      </x:c>
      <x:c r="I424" s="40" t="n">
        <x:v>8501169591</x:v>
      </x:c>
      <x:c r="J424" s="40" t="n">
        <x:v>13516859650</x:v>
      </x:c>
      <x:c r="K424" s="40" t="n">
        <x:v>1833</x:v>
      </x:c>
      <x:c r="L424" s="40" t="n">
        <x:v>455</x:v>
      </x:c>
      <x:c r="M424" s="40" t="n">
        <x:v>870</x:v>
      </x:c>
      <x:c r="N424" s="41" t="n">
        <x:f>MIN(L424,M424)</x:f>
        <x:v>455</x:v>
      </x:c>
      <x:c r="O424" s="41" t="n">
        <x:f>MAX(L424,M424)</x:f>
        <x:v>870</x:v>
      </x:c>
      <x:c r="P424" s="41" t="n">
        <x:f>MAX(N424,MIN(K424,O424))</x:f>
        <x:v>870</x:v>
      </x:c>
      <x:c r="Q424" s="19" t="str">
        <x:f>IF(K424&lt;N424,IF(N424=L424,"clamped_to_nominal","clamped_to_ppp"),IF(K424&gt;O424,IF(O424=L424,"clamped_to_nominal","clamped_to_ppp"),"kept_vanilla"))</x:f>
        <x:v>clamped_to_ppp</x:v>
      </x:c>
      <x:c r="R424" s="41" t="n">
        <x:f>P424*G424</x:f>
        <x:v>8620966590</x:v>
      </x:c>
      <x:c r="S424" s="41" t="n">
        <x:f>R424/E424</x:f>
        <x:v>5421991566.037736</x:v>
      </x:c>
      <x:c r="T424" s="36" t="str">
        <x:v>SOM: World Bank exact 2003</x:v>
      </x:c>
      <x:c r="U424" s="36" t="str">
        <x:v>SOM: World Bank exact 2003</x:v>
      </x:c>
      <x:c r="V424" s="36" t="str">
        <x:v>SOM: World Bank exact 2003</x:v>
      </x:c>
      <x:c r="W424" s="36" t="str">
        <x:v>secondary_source</x:v>
      </x:c>
      <x:c r="X424" s="36" t="str">
        <x:v>https://api.imf.org/external/sdmx/3.0/data/dataflow/IMF.RES/WEO/9.0.0/</x:v>
      </x:c>
      <x:c r="Y424" s="36" t="str">
        <x:v>https://api.worldbank.org/v2/</x:v>
      </x:c>
    </x:row>
    <x:row r="425">
      <x:c r="A425" s="24" t="str">
        <x:v>SOM</x:v>
      </x:c>
      <x:c r="B425" s="24" t="str">
        <x:v>Somalia</x:v>
      </x:c>
      <x:c r="C425" s="24" t="str">
        <x:v>SOM</x:v>
      </x:c>
      <x:c r="D425" s="24" t="n">
        <x:v>2022</x:v>
      </x:c>
      <x:c r="E425" s="37" t="n">
        <x:v>1</x:v>
      </x:c>
      <x:c r="F425" s="38" t="n">
        <x:v>12637569</x:v>
      </x:c>
      <x:c r="G425" s="38" t="n">
        <x:v>15614061</x:v>
      </x:c>
      <x:c r="H425" s="39" t="n">
        <x:f>G425/F425</x:f>
        <x:v>1.2355272600292033</x:v>
      </x:c>
      <x:c r="I425" s="40" t="n">
        <x:v>18164080000</x:v>
      </x:c>
      <x:c r="J425" s="40" t="n">
        <x:v>18164080000</x:v>
      </x:c>
      <x:c r="K425" s="40" t="n">
        <x:v>1437</x:v>
      </x:c>
      <x:c r="L425" s="40" t="n">
        <x:v>653</x:v>
      </x:c>
      <x:c r="M425" s="40" t="n">
        <x:v>1695</x:v>
      </x:c>
      <x:c r="N425" s="41" t="n">
        <x:f>MIN(L425,M425)</x:f>
        <x:v>653</x:v>
      </x:c>
      <x:c r="O425" s="41" t="n">
        <x:f>MAX(L425,M425)</x:f>
        <x:v>1695</x:v>
      </x:c>
      <x:c r="P425" s="41" t="n">
        <x:f>MAX(N425,MIN(K425,O425))</x:f>
        <x:v>1437</x:v>
      </x:c>
      <x:c r="Q425" s="19" t="str">
        <x:f>IF(K425&lt;N425,IF(N425=L425,"clamped_to_nominal","clamped_to_ppp"),IF(K425&gt;O425,IF(O425=L425,"clamped_to_nominal","clamped_to_ppp"),"kept_vanilla"))</x:f>
        <x:v>kept_vanilla</x:v>
      </x:c>
      <x:c r="R425" s="41" t="n">
        <x:f>P425*G425</x:f>
        <x:v>22437405657</x:v>
      </x:c>
      <x:c r="S425" s="41" t="n">
        <x:f>R425/E425</x:f>
        <x:v>22437405657</x:v>
      </x:c>
      <x:c r="T425" s="36" t="str">
        <x:v>SOM: IMF exact 2022</x:v>
      </x:c>
      <x:c r="U425" s="36" t="str">
        <x:v>SOM: IMF exact 2022</x:v>
      </x:c>
      <x:c r="V425" s="36" t="str">
        <x:v>SOM: IMF exact 2022</x:v>
      </x:c>
      <x:c r="W425" s="36" t="str">
        <x:v>complete_primary</x:v>
      </x:c>
      <x:c r="X425" s="36" t="str">
        <x:v>https://api.imf.org/external/sdmx/3.0/data/dataflow/IMF.RES/WEO/9.0.0/</x:v>
      </x:c>
      <x:c r="Y425" s="36" t="str">
        <x:v>https://api.worldbank.org/v2/</x:v>
      </x:c>
    </x:row>
    <x:row r="426">
      <x:c r="A426" s="24" t="str">
        <x:v>SOM</x:v>
      </x:c>
      <x:c r="B426" s="24" t="str">
        <x:v>Somalia</x:v>
      </x:c>
      <x:c r="C426" s="24" t="str">
        <x:v>SOM</x:v>
      </x:c>
      <x:c r="D426" s="24" t="n">
        <x:v>2026</x:v>
      </x:c>
      <x:c r="E426" s="37" t="n">
        <x:v>0.87</x:v>
      </x:c>
      <x:c r="F426" s="38" t="n">
        <x:v>14011076</x:v>
      </x:c>
      <x:c r="G426" s="38" t="n">
        <x:v>17437665</x:v>
      </x:c>
      <x:c r="H426" s="39" t="n">
        <x:f>G426/F426</x:f>
        <x:v>1.2445628729727825</x:v>
      </x:c>
      <x:c r="I426" s="40" t="n">
        <x:v>28596480000</x:v>
      </x:c>
      <x:c r="J426" s="40" t="n">
        <x:v>24878937600</x:v>
      </x:c>
      <x:c r="K426" s="40" t="n">
        <x:v>1776</x:v>
      </x:c>
      <x:c r="L426" s="40" t="n">
        <x:v>707</x:v>
      </x:c>
      <x:c r="M426" s="40" t="n">
        <x:v>1702</x:v>
      </x:c>
      <x:c r="N426" s="41" t="n">
        <x:f>MIN(L426,M426)</x:f>
        <x:v>707</x:v>
      </x:c>
      <x:c r="O426" s="41" t="n">
        <x:f>MAX(L426,M426)</x:f>
        <x:v>1702</x:v>
      </x:c>
      <x:c r="P426" s="41" t="n">
        <x:f>MAX(N426,MIN(K426,O426))</x:f>
        <x:v>1702</x:v>
      </x:c>
      <x:c r="Q426" s="19" t="str">
        <x:f>IF(K426&lt;N426,IF(N426=L426,"clamped_to_nominal","clamped_to_ppp"),IF(K426&gt;O426,IF(O426=L426,"clamped_to_nominal","clamped_to_ppp"),"kept_vanilla"))</x:f>
        <x:v>clamped_to_ppp</x:v>
      </x:c>
      <x:c r="R426" s="41" t="n">
        <x:f>P426*G426</x:f>
        <x:v>29678905830</x:v>
      </x:c>
      <x:c r="S426" s="41" t="n">
        <x:f>R426/E426</x:f>
        <x:v>34113684862.068966</x:v>
      </x:c>
      <x:c r="T426" s="36" t="str">
        <x:v>SOM: IMF exact 2026</x:v>
      </x:c>
      <x:c r="U426" s="36" t="str">
        <x:v>SOM: IMF exact 2026</x:v>
      </x:c>
      <x:c r="V426" s="36" t="str">
        <x:v>SOM: IMF exact 2026</x:v>
      </x:c>
      <x:c r="W426" s="36" t="str">
        <x:v>complete_primary</x:v>
      </x:c>
      <x:c r="X426" s="36" t="str">
        <x:v>https://api.imf.org/external/sdmx/3.0/data/dataflow/IMF.RES/WEO/9.0.0/</x:v>
      </x:c>
      <x:c r="Y426" s="36" t="str">
        <x:v>https://api.worldbank.org/v2/</x:v>
      </x:c>
    </x:row>
    <x:row r="427">
      <x:c r="A427" s="24" t="str">
        <x:v>SOL</x:v>
      </x:c>
      <x:c r="B427" s="24" t="str">
        <x:v>Somaliland</x:v>
      </x:c>
      <x:c r="C427" s="24" t="str"/>
      <x:c r="D427" s="24" t="n">
        <x:v>2022</x:v>
      </x:c>
      <x:c r="E427" s="37" t="n">
        <x:v>1</x:v>
      </x:c>
      <x:c r="F427" s="38" t="n">
        <x:v>4357044</x:v>
      </x:c>
      <x:c r="G427" s="38" t="n">
        <x:v>4357044</x:v>
      </x:c>
      <x:c r="H427" s="39" t="n">
        <x:f>G427/F427</x:f>
        <x:v>1</x:v>
      </x:c>
      <x:c r="I427" s="40" t="n">
        <x:v>5668258200</x:v>
      </x:c>
      <x:c r="J427" s="40" t="n">
        <x:v>5668258200</x:v>
      </x:c>
      <x:c r="K427" s="40" t="n">
        <x:v>1301</x:v>
      </x:c>
      <x:c r="L427" s="40" t="n">
        <x:v>734</x:v>
      </x:c>
      <x:c r="M427" s="40" t="n">
        <x:v>2219</x:v>
      </x:c>
      <x:c r="N427" s="41" t="n">
        <x:f>MIN(L427,M427)</x:f>
        <x:v>734</x:v>
      </x:c>
      <x:c r="O427" s="41" t="n">
        <x:f>MAX(L427,M427)</x:f>
        <x:v>2219</x:v>
      </x:c>
      <x:c r="P427" s="41" t="n">
        <x:f>MAX(N427,MIN(K427,O427))</x:f>
        <x:v>1301</x:v>
      </x:c>
      <x:c r="Q427" s="19" t="str">
        <x:f>IF(K427&lt;N427,IF(N427=L427,"clamped_to_nominal","clamped_to_ppp"),IF(K427&gt;O427,IF(O427=L427,"clamped_to_nominal","clamped_to_ppp"),"kept_vanilla"))</x:f>
        <x:v>kept_vanilla</x:v>
      </x:c>
      <x:c r="R427" s="41" t="n">
        <x:f>P427*G427</x:f>
        <x:v>5668514244</x:v>
      </x:c>
      <x:c r="S427" s="41" t="n">
        <x:f>R427/E427</x:f>
        <x:v>5668514244</x:v>
      </x:c>
      <x:c r="T427" s="36" t="str">
        <x:v>SOMALILAND: vanilla scenario population fallback because no external territorial series is available</x:v>
      </x:c>
      <x:c r="U427" s="36" t="str">
        <x:v>SOMALILAND: nominal GDP/c inferred from Sub-Saharan Africa ; Low income median level (20 peers)</x:v>
      </x:c>
      <x:c r="V427" s="36" t="str">
        <x:v>SOMALILAND: PPP inferred from filled nominal GDP using Sub-Saharan Africa ; Low income median PPP/nominal ratio 3.024 (20 peers)</x:v>
      </x:c>
      <x:c r="W427" s="36" t="str">
        <x:v>inferred</x:v>
      </x:c>
      <x:c r="X427" s="36" t="str">
        <x:v>https://api.imf.org/external/sdmx/3.0/data/dataflow/IMF.RES/WEO/9.0.0/</x:v>
      </x:c>
      <x:c r="Y427" s="36" t="str">
        <x:v>https://api.worldbank.org/v2/</x:v>
      </x:c>
    </x:row>
    <x:row r="428">
      <x:c r="A428" s="24" t="str">
        <x:v>SOL</x:v>
      </x:c>
      <x:c r="B428" s="24" t="str">
        <x:v>Somaliland</x:v>
      </x:c>
      <x:c r="C428" s="24" t="str"/>
      <x:c r="D428" s="24" t="n">
        <x:v>2026</x:v>
      </x:c>
      <x:c r="E428" s="37" t="n">
        <x:v>0.87</x:v>
      </x:c>
      <x:c r="F428" s="38" t="n">
        <x:v>6294831</x:v>
      </x:c>
      <x:c r="G428" s="38" t="n">
        <x:v>6294831</x:v>
      </x:c>
      <x:c r="H428" s="39" t="n">
        <x:f>G428/F428</x:f>
        <x:v>1</x:v>
      </x:c>
      <x:c r="I428" s="40" t="n">
        <x:v>8324800000</x:v>
      </x:c>
      <x:c r="J428" s="40" t="n">
        <x:v>7242576000</x:v>
      </x:c>
      <x:c r="K428" s="40" t="n">
        <x:v>1151</x:v>
      </x:c>
      <x:c r="L428" s="40" t="n">
        <x:v>814</x:v>
      </x:c>
      <x:c r="M428" s="40" t="n">
        <x:v>2201</x:v>
      </x:c>
      <x:c r="N428" s="41" t="n">
        <x:f>MIN(L428,M428)</x:f>
        <x:v>814</x:v>
      </x:c>
      <x:c r="O428" s="41" t="n">
        <x:f>MAX(L428,M428)</x:f>
        <x:v>2201</x:v>
      </x:c>
      <x:c r="P428" s="41" t="n">
        <x:f>MAX(N428,MIN(K428,O428))</x:f>
        <x:v>1151</x:v>
      </x:c>
      <x:c r="Q428" s="19" t="str">
        <x:f>IF(K428&lt;N428,IF(N428=L428,"clamped_to_nominal","clamped_to_ppp"),IF(K428&gt;O428,IF(O428=L428,"clamped_to_nominal","clamped_to_ppp"),"kept_vanilla"))</x:f>
        <x:v>kept_vanilla</x:v>
      </x:c>
      <x:c r="R428" s="41" t="n">
        <x:f>P428*G428</x:f>
        <x:v>7245350481</x:v>
      </x:c>
      <x:c r="S428" s="41" t="n">
        <x:f>R428/E428</x:f>
        <x:v>8327989058.620689</x:v>
      </x:c>
      <x:c r="T428" s="36" t="str">
        <x:v>SOMALILAND: vanilla scenario population fallback because no external territorial series is available</x:v>
      </x:c>
      <x:c r="U428" s="36" t="str">
        <x:v>SOMALILAND: nominal GDP/c inferred from Sub-Saharan Africa ; Low income median level (20 peers)</x:v>
      </x:c>
      <x:c r="V428" s="36" t="str">
        <x:v>SOMALILAND: PPP inferred from filled nominal GDP using Sub-Saharan Africa ; Low income median PPP/nominal ratio 2.703 (20 peers)</x:v>
      </x:c>
      <x:c r="W428" s="36" t="str">
        <x:v>inferred</x:v>
      </x:c>
      <x:c r="X428" s="36" t="str">
        <x:v>https://api.imf.org/external/sdmx/3.0/data/dataflow/IMF.RES/WEO/9.0.0/</x:v>
      </x:c>
      <x:c r="Y428" s="36" t="str">
        <x:v>https://api.worldbank.org/v2/</x:v>
      </x:c>
    </x:row>
    <x:row r="429">
      <x:c r="A429" s="24" t="str">
        <x:v>ZAF</x:v>
      </x:c>
      <x:c r="B429" s="24" t="str">
        <x:v>South Africa</x:v>
      </x:c>
      <x:c r="C429" s="24" t="str">
        <x:v>ZAF</x:v>
      </x:c>
      <x:c r="D429" s="24" t="n">
        <x:v>2003</x:v>
      </x:c>
      <x:c r="E429" s="37" t="n">
        <x:v>1.59</x:v>
      </x:c>
      <x:c r="F429" s="38" t="n">
        <x:v>51552107</x:v>
      </x:c>
      <x:c r="G429" s="38" t="n">
        <x:v>47005000</x:v>
      </x:c>
      <x:c r="H429" s="39" t="n">
        <x:f>G429/F429</x:f>
        <x:v>0.9117959038997184</x:v>
      </x:c>
      <x:c r="I429" s="40" t="n">
        <x:v>245490643275</x:v>
      </x:c>
      <x:c r="J429" s="40" t="n">
        <x:v>390330122807</x:v>
      </x:c>
      <x:c r="K429" s="40" t="n">
        <x:v>7572</x:v>
      </x:c>
      <x:c r="L429" s="40" t="n">
        <x:v>6664</x:v>
      </x:c>
      <x:c r="M429" s="40" t="n">
        <x:v>14200</x:v>
      </x:c>
      <x:c r="N429" s="41" t="n">
        <x:f>MIN(L429,M429)</x:f>
        <x:v>6664</x:v>
      </x:c>
      <x:c r="O429" s="41" t="n">
        <x:f>MAX(L429,M429)</x:f>
        <x:v>14200</x:v>
      </x:c>
      <x:c r="P429" s="41" t="n">
        <x:f>MAX(N429,MIN(K429,O429))</x:f>
        <x:v>7572</x:v>
      </x:c>
      <x:c r="Q429" s="19" t="str">
        <x:f>IF(K429&lt;N429,IF(N429=L429,"clamped_to_nominal","clamped_to_ppp"),IF(K429&gt;O429,IF(O429=L429,"clamped_to_nominal","clamped_to_ppp"),"kept_vanilla"))</x:f>
        <x:v>kept_vanilla</x:v>
      </x:c>
      <x:c r="R429" s="41" t="n">
        <x:f>P429*G429</x:f>
        <x:v>355921860000</x:v>
      </x:c>
      <x:c r="S429" s="41" t="n">
        <x:f>R429/E429</x:f>
        <x:v>223850226415.09433</x:v>
      </x:c>
      <x:c r="T429" s="36" t="str">
        <x:v>ZAF: IMF exact 2003</x:v>
      </x:c>
      <x:c r="U429" s="36" t="str">
        <x:v>ZAF: IMF exact 2003</x:v>
      </x:c>
      <x:c r="V429" s="36" t="str">
        <x:v>ZAF: IMF exact 2003</x:v>
      </x:c>
      <x:c r="W429" s="36" t="str">
        <x:v>complete_primary</x:v>
      </x:c>
      <x:c r="X429" s="36" t="str">
        <x:v>https://api.imf.org/external/sdmx/3.0/data/dataflow/IMF.RES/WEO/9.0.0/</x:v>
      </x:c>
      <x:c r="Y429" s="36" t="str">
        <x:v>https://api.worldbank.org/v2/</x:v>
      </x:c>
    </x:row>
    <x:row r="430">
      <x:c r="A430" s="24" t="str">
        <x:v>ZAF</x:v>
      </x:c>
      <x:c r="B430" s="24" t="str">
        <x:v>South Africa</x:v>
      </x:c>
      <x:c r="C430" s="24" t="str">
        <x:v>ZAF</x:v>
      </x:c>
      <x:c r="D430" s="24" t="n">
        <x:v>2022</x:v>
      </x:c>
      <x:c r="E430" s="37" t="n">
        <x:v>1</x:v>
      </x:c>
      <x:c r="F430" s="38" t="n">
        <x:v>64346678</x:v>
      </x:c>
      <x:c r="G430" s="38" t="n">
        <x:v>60867031</x:v>
      </x:c>
      <x:c r="H430" s="39" t="n">
        <x:f>G430/F430</x:f>
        <x:v>0.9459234399015906</x:v>
      </x:c>
      <x:c r="I430" s="40" t="n">
        <x:v>825408320000</x:v>
      </x:c>
      <x:c r="J430" s="40" t="n">
        <x:v>825408320000</x:v>
      </x:c>
      <x:c r="K430" s="40" t="n">
        <x:v>12828</x:v>
      </x:c>
      <x:c r="L430" s="40" t="n">
        <x:v>6694</x:v>
      </x:c>
      <x:c r="M430" s="40" t="n">
        <x:v>15113</x:v>
      </x:c>
      <x:c r="N430" s="41" t="n">
        <x:f>MIN(L430,M430)</x:f>
        <x:v>6694</x:v>
      </x:c>
      <x:c r="O430" s="41" t="n">
        <x:f>MAX(L430,M430)</x:f>
        <x:v>15113</x:v>
      </x:c>
      <x:c r="P430" s="41" t="n">
        <x:f>MAX(N430,MIN(K430,O430))</x:f>
        <x:v>12828</x:v>
      </x:c>
      <x:c r="Q430" s="19" t="str">
        <x:f>IF(K430&lt;N430,IF(N430=L430,"clamped_to_nominal","clamped_to_ppp"),IF(K430&gt;O430,IF(O430=L430,"clamped_to_nominal","clamped_to_ppp"),"kept_vanilla"))</x:f>
        <x:v>kept_vanilla</x:v>
      </x:c>
      <x:c r="R430" s="41" t="n">
        <x:f>P430*G430</x:f>
        <x:v>780802273668</x:v>
      </x:c>
      <x:c r="S430" s="41" t="n">
        <x:f>R430/E430</x:f>
        <x:v>780802273668</x:v>
      </x:c>
      <x:c r="T430" s="36" t="str">
        <x:v>ZAF: IMF exact 2022</x:v>
      </x:c>
      <x:c r="U430" s="36" t="str">
        <x:v>ZAF: IMF exact 2022</x:v>
      </x:c>
      <x:c r="V430" s="36" t="str">
        <x:v>ZAF: IMF exact 2022</x:v>
      </x:c>
      <x:c r="W430" s="36" t="str">
        <x:v>complete_primary</x:v>
      </x:c>
      <x:c r="X430" s="36" t="str">
        <x:v>https://api.imf.org/external/sdmx/3.0/data/dataflow/IMF.RES/WEO/9.0.0/</x:v>
      </x:c>
      <x:c r="Y430" s="36" t="str">
        <x:v>https://api.worldbank.org/v2/</x:v>
      </x:c>
    </x:row>
    <x:row r="431">
      <x:c r="A431" s="24" t="str">
        <x:v>ZAF</x:v>
      </x:c>
      <x:c r="B431" s="24" t="str">
        <x:v>South Africa</x:v>
      </x:c>
      <x:c r="C431" s="24" t="str">
        <x:v>ZAF</x:v>
      </x:c>
      <x:c r="D431" s="24" t="n">
        <x:v>2026</x:v>
      </x:c>
      <x:c r="E431" s="37" t="n">
        <x:v>0.87</x:v>
      </x:c>
      <x:c r="F431" s="38" t="n">
        <x:v>69112279</x:v>
      </x:c>
      <x:c r="G431" s="38" t="n">
        <x:v>63969922</x:v>
      </x:c>
      <x:c r="H431" s="39" t="n">
        <x:f>G431/F431</x:f>
        <x:v>0.9255941625076494</x:v>
      </x:c>
      <x:c r="I431" s="40" t="n">
        <x:v>903320000000</x:v>
      </x:c>
      <x:c r="J431" s="40" t="n">
        <x:v>785888400000</x:v>
      </x:c>
      <x:c r="K431" s="40" t="n">
        <x:v>11371</x:v>
      </x:c>
      <x:c r="L431" s="40" t="n">
        <x:v>6528</x:v>
      </x:c>
      <x:c r="M431" s="40" t="n">
        <x:v>14564</x:v>
      </x:c>
      <x:c r="N431" s="41" t="n">
        <x:f>MIN(L431,M431)</x:f>
        <x:v>6528</x:v>
      </x:c>
      <x:c r="O431" s="41" t="n">
        <x:f>MAX(L431,M431)</x:f>
        <x:v>14564</x:v>
      </x:c>
      <x:c r="P431" s="41" t="n">
        <x:f>MAX(N431,MIN(K431,O431))</x:f>
        <x:v>11371</x:v>
      </x:c>
      <x:c r="Q431" s="19" t="str">
        <x:f>IF(K431&lt;N431,IF(N431=L431,"clamped_to_nominal","clamped_to_ppp"),IF(K431&gt;O431,IF(O431=L431,"clamped_to_nominal","clamped_to_ppp"),"kept_vanilla"))</x:f>
        <x:v>kept_vanilla</x:v>
      </x:c>
      <x:c r="R431" s="41" t="n">
        <x:f>P431*G431</x:f>
        <x:v>727401983062</x:v>
      </x:c>
      <x:c r="S431" s="41" t="n">
        <x:f>R431/E431</x:f>
        <x:v>836094233404.5977</x:v>
      </x:c>
      <x:c r="T431" s="36" t="str">
        <x:v>ZAF: IMF exact 2026</x:v>
      </x:c>
      <x:c r="U431" s="36" t="str">
        <x:v>ZAF: IMF exact 2026</x:v>
      </x:c>
      <x:c r="V431" s="36" t="str">
        <x:v>ZAF: IMF exact 2026</x:v>
      </x:c>
      <x:c r="W431" s="36" t="str">
        <x:v>complete_primary</x:v>
      </x:c>
      <x:c r="X431" s="36" t="str">
        <x:v>https://api.imf.org/external/sdmx/3.0/data/dataflow/IMF.RES/WEO/9.0.0/</x:v>
      </x:c>
      <x:c r="Y431" s="36" t="str">
        <x:v>https://api.worldbank.org/v2/</x:v>
      </x:c>
    </x:row>
    <x:row r="432">
      <x:c r="A432" s="24" t="str">
        <x:v>KOR</x:v>
      </x:c>
      <x:c r="B432" s="24" t="str">
        <x:v>South Korea</x:v>
      </x:c>
      <x:c r="C432" s="24" t="str">
        <x:v>KOR</x:v>
      </x:c>
      <x:c r="D432" s="24" t="n">
        <x:v>2003</x:v>
      </x:c>
      <x:c r="E432" s="37" t="n">
        <x:v>1.59</x:v>
      </x:c>
      <x:c r="F432" s="38" t="n">
        <x:v>47514160</x:v>
      </x:c>
      <x:c r="G432" s="38" t="n">
        <x:v>47892330</x:v>
      </x:c>
      <x:c r="H432" s="39" t="n">
        <x:f>G432/F432</x:f>
        <x:v>1.007959101034302</x:v>
      </x:c>
      <x:c r="I432" s="40" t="n">
        <x:v>590179532164</x:v>
      </x:c>
      <x:c r="J432" s="40" t="n">
        <x:v>938385456141</x:v>
      </x:c>
      <x:c r="K432" s="40" t="n">
        <x:v>19750</x:v>
      </x:c>
      <x:c r="L432" s="40" t="n">
        <x:v>24186</x:v>
      </x:c>
      <x:c r="M432" s="40" t="n">
        <x:v>33505</x:v>
      </x:c>
      <x:c r="N432" s="41" t="n">
        <x:f>MIN(L432,M432)</x:f>
        <x:v>24186</x:v>
      </x:c>
      <x:c r="O432" s="41" t="n">
        <x:f>MAX(L432,M432)</x:f>
        <x:v>33505</x:v>
      </x:c>
      <x:c r="P432" s="41" t="n">
        <x:f>MAX(N432,MIN(K432,O432))</x:f>
        <x:v>24186</x:v>
      </x:c>
      <x:c r="Q432" s="19" t="str">
        <x:f>IF(K432&lt;N432,IF(N432=L432,"clamped_to_nominal","clamped_to_ppp"),IF(K432&gt;O432,IF(O432=L432,"clamped_to_nominal","clamped_to_ppp"),"kept_vanilla"))</x:f>
        <x:v>clamped_to_nominal</x:v>
      </x:c>
      <x:c r="R432" s="41" t="n">
        <x:f>P432*G432</x:f>
        <x:v>1158323893380</x:v>
      </x:c>
      <x:c r="S432" s="41" t="n">
        <x:f>R432/E432</x:f>
        <x:v>728505593320.7546</x:v>
      </x:c>
      <x:c r="T432" s="36" t="str">
        <x:v>KOR: IMF exact 2003</x:v>
      </x:c>
      <x:c r="U432" s="36" t="str">
        <x:v>KOR: IMF exact 2003</x:v>
      </x:c>
      <x:c r="V432" s="36" t="str">
        <x:v>KOR: IMF exact 2003</x:v>
      </x:c>
      <x:c r="W432" s="36" t="str">
        <x:v>complete_primary</x:v>
      </x:c>
      <x:c r="X432" s="36" t="str">
        <x:v>https://api.imf.org/external/sdmx/3.0/data/dataflow/IMF.RES/WEO/9.0.0/</x:v>
      </x:c>
      <x:c r="Y432" s="36" t="str">
        <x:v>https://api.worldbank.org/v2/</x:v>
      </x:c>
    </x:row>
    <x:row r="433">
      <x:c r="A433" s="24" t="str">
        <x:v>KOR</x:v>
      </x:c>
      <x:c r="B433" s="24" t="str">
        <x:v>South Korea</x:v>
      </x:c>
      <x:c r="C433" s="24" t="str">
        <x:v>KOR</x:v>
      </x:c>
      <x:c r="D433" s="24" t="n">
        <x:v>2022</x:v>
      </x:c>
      <x:c r="E433" s="37" t="n">
        <x:v>1</x:v>
      </x:c>
      <x:c r="F433" s="38" t="n">
        <x:v>51337033</x:v>
      </x:c>
      <x:c r="G433" s="38" t="n">
        <x:v>51672569</x:v>
      </x:c>
      <x:c r="H433" s="39" t="n">
        <x:f>G433/F433</x:f>
        <x:v>1.0065359445295563</x:v>
      </x:c>
      <x:c r="I433" s="40" t="n">
        <x:v>2735870000000</x:v>
      </x:c>
      <x:c r="J433" s="40" t="n">
        <x:v>2735870000000</x:v>
      </x:c>
      <x:c r="K433" s="40" t="n">
        <x:v>53292</x:v>
      </x:c>
      <x:c r="L433" s="40" t="n">
        <x:v>34822</x:v>
      </x:c>
      <x:c r="M433" s="40" t="n">
        <x:v>57193</x:v>
      </x:c>
      <x:c r="N433" s="41" t="n">
        <x:f>MIN(L433,M433)</x:f>
        <x:v>34822</x:v>
      </x:c>
      <x:c r="O433" s="41" t="n">
        <x:f>MAX(L433,M433)</x:f>
        <x:v>57193</x:v>
      </x:c>
      <x:c r="P433" s="41" t="n">
        <x:f>MAX(N433,MIN(K433,O433))</x:f>
        <x:v>53292</x:v>
      </x:c>
      <x:c r="Q433" s="19" t="str">
        <x:f>IF(K433&lt;N433,IF(N433=L433,"clamped_to_nominal","clamped_to_ppp"),IF(K433&gt;O433,IF(O433=L433,"clamped_to_nominal","clamped_to_ppp"),"kept_vanilla"))</x:f>
        <x:v>kept_vanilla</x:v>
      </x:c>
      <x:c r="R433" s="41" t="n">
        <x:f>P433*G433</x:f>
        <x:v>2753734547148</x:v>
      </x:c>
      <x:c r="S433" s="41" t="n">
        <x:f>R433/E433</x:f>
        <x:v>2753734547148</x:v>
      </x:c>
      <x:c r="T433" s="36" t="str">
        <x:v>KOR: IMF exact 2022</x:v>
      </x:c>
      <x:c r="U433" s="36" t="str">
        <x:v>KOR: IMF exact 2022</x:v>
      </x:c>
      <x:c r="V433" s="36" t="str">
        <x:v>KOR: IMF exact 2022</x:v>
      </x:c>
      <x:c r="W433" s="36" t="str">
        <x:v>complete_primary</x:v>
      </x:c>
      <x:c r="X433" s="36" t="str">
        <x:v>https://api.imf.org/external/sdmx/3.0/data/dataflow/IMF.RES/WEO/9.0.0/</x:v>
      </x:c>
      <x:c r="Y433" s="36" t="str">
        <x:v>https://api.worldbank.org/v2/</x:v>
      </x:c>
    </x:row>
    <x:row r="434">
      <x:c r="A434" s="24" t="str">
        <x:v>KOR</x:v>
      </x:c>
      <x:c r="B434" s="24" t="str">
        <x:v>South Korea</x:v>
      </x:c>
      <x:c r="C434" s="24" t="str">
        <x:v>KOR</x:v>
      </x:c>
      <x:c r="D434" s="24" t="n">
        <x:v>2026</x:v>
      </x:c>
      <x:c r="E434" s="37" t="n">
        <x:v>0.87</x:v>
      </x:c>
      <x:c r="F434" s="38" t="n">
        <x:v>51600388</x:v>
      </x:c>
      <x:c r="G434" s="38" t="n">
        <x:v>51614558</x:v>
      </x:c>
      <x:c r="H434" s="39" t="n">
        <x:f>G434/F434</x:f>
        <x:v>1.0002746103382014</x:v>
      </x:c>
      <x:c r="I434" s="40" t="n">
        <x:v>2959808720000</x:v>
      </x:c>
      <x:c r="J434" s="40" t="n">
        <x:v>2575033586400</x:v>
      </x:c>
      <x:c r="K434" s="40" t="n">
        <x:v>49903</x:v>
      </x:c>
      <x:c r="L434" s="40" t="n">
        <x:v>32549</x:v>
      </x:c>
      <x:c r="M434" s="40" t="n">
        <x:v>59703</x:v>
      </x:c>
      <x:c r="N434" s="41" t="n">
        <x:f>MIN(L434,M434)</x:f>
        <x:v>32549</x:v>
      </x:c>
      <x:c r="O434" s="41" t="n">
        <x:f>MAX(L434,M434)</x:f>
        <x:v>59703</x:v>
      </x:c>
      <x:c r="P434" s="41" t="n">
        <x:f>MAX(N434,MIN(K434,O434))</x:f>
        <x:v>49903</x:v>
      </x:c>
      <x:c r="Q434" s="19" t="str">
        <x:f>IF(K434&lt;N434,IF(N434=L434,"clamped_to_nominal","clamped_to_ppp"),IF(K434&gt;O434,IF(O434=L434,"clamped_to_nominal","clamped_to_ppp"),"kept_vanilla"))</x:f>
        <x:v>kept_vanilla</x:v>
      </x:c>
      <x:c r="R434" s="41" t="n">
        <x:f>P434*G434</x:f>
        <x:v>2575721287874</x:v>
      </x:c>
      <x:c r="S434" s="41" t="n">
        <x:f>R434/E434</x:f>
        <x:v>2960599181464.3677</x:v>
      </x:c>
      <x:c r="T434" s="36" t="str">
        <x:v>KOR: IMF exact 2026</x:v>
      </x:c>
      <x:c r="U434" s="36" t="str">
        <x:v>KOR: IMF exact 2026</x:v>
      </x:c>
      <x:c r="V434" s="36" t="str">
        <x:v>KOR: IMF exact 2026</x:v>
      </x:c>
      <x:c r="W434" s="36" t="str">
        <x:v>complete_primary</x:v>
      </x:c>
      <x:c r="X434" s="36" t="str">
        <x:v>https://api.imf.org/external/sdmx/3.0/data/dataflow/IMF.RES/WEO/9.0.0/</x:v>
      </x:c>
      <x:c r="Y434" s="36" t="str">
        <x:v>https://api.worldbank.org/v2/</x:v>
      </x:c>
    </x:row>
    <x:row r="435">
      <x:c r="A435" s="24" t="str">
        <x:v>SSD</x:v>
      </x:c>
      <x:c r="B435" s="24" t="str">
        <x:v>South Sudan</x:v>
      </x:c>
      <x:c r="C435" s="24" t="str">
        <x:v>SSD</x:v>
      </x:c>
      <x:c r="D435" s="24" t="n">
        <x:v>2003</x:v>
      </x:c>
      <x:c r="E435" s="37" t="n">
        <x:v>1.59</x:v>
      </x:c>
      <x:c r="F435" s="38" t="n">
        <x:v>6903127</x:v>
      </x:c>
      <x:c r="G435" s="38" t="n">
        <x:v>6903127</x:v>
      </x:c>
      <x:c r="H435" s="39" t="n">
        <x:f>G435/F435</x:f>
        <x:v>1</x:v>
      </x:c>
      <x:c r="I435" s="40" t="n">
        <x:v>5635672515</x:v>
      </x:c>
      <x:c r="J435" s="40" t="n">
        <x:v>8960719299</x:v>
      </x:c>
      <x:c r="K435" s="40" t="n">
        <x:v>1298</x:v>
      </x:c>
      <x:c r="L435" s="40" t="n">
        <x:v>1566</x:v>
      </x:c>
      <x:c r="M435" s="40" t="n">
        <x:v>3517</x:v>
      </x:c>
      <x:c r="N435" s="41" t="n">
        <x:f>MIN(L435,M435)</x:f>
        <x:v>1566</x:v>
      </x:c>
      <x:c r="O435" s="41" t="n">
        <x:f>MAX(L435,M435)</x:f>
        <x:v>3517</x:v>
      </x:c>
      <x:c r="P435" s="41" t="n">
        <x:f>MAX(N435,MIN(K435,O435))</x:f>
        <x:v>1566</x:v>
      </x:c>
      <x:c r="Q435" s="19" t="str">
        <x:f>IF(K435&lt;N435,IF(N435=L435,"clamped_to_nominal","clamped_to_ppp"),IF(K435&gt;O435,IF(O435=L435,"clamped_to_nominal","clamped_to_ppp"),"kept_vanilla"))</x:f>
        <x:v>clamped_to_nominal</x:v>
      </x:c>
      <x:c r="R435" s="41" t="n">
        <x:f>P435*G435</x:f>
        <x:v>10810296882</x:v>
      </x:c>
      <x:c r="S435" s="41" t="n">
        <x:f>R435/E435</x:f>
        <x:v>6798928856.603773</x:v>
      </x:c>
      <x:c r="T435" s="36" t="str">
        <x:v>SSD: World Bank exact 2003</x:v>
      </x:c>
      <x:c r="U435" s="36" t="str">
        <x:v>SSD: peer-growth inference from World Bank 2008; Sub-Saharan Africa ; Low income median 8.00%/yr (20 peers, capped at ±8%)</x:v>
      </x:c>
      <x:c r="V435" s="36" t="str">
        <x:v>SSD: peer-growth inference from World Bank 2008; Sub-Saharan Africa ; Low income median 2.69%/yr (20 peers, capped at ±8%)</x:v>
      </x:c>
      <x:c r="W435" s="36" t="str">
        <x:v>inferred+secondary_source</x:v>
      </x:c>
      <x:c r="X435" s="36" t="str">
        <x:v>https://api.imf.org/external/sdmx/3.0/data/dataflow/IMF.RES/WEO/9.0.0/</x:v>
      </x:c>
      <x:c r="Y435" s="36" t="str">
        <x:v>https://api.worldbank.org/v2/</x:v>
      </x:c>
    </x:row>
    <x:row r="436">
      <x:c r="A436" s="24" t="str">
        <x:v>SSD</x:v>
      </x:c>
      <x:c r="B436" s="24" t="str">
        <x:v>South Sudan</x:v>
      </x:c>
      <x:c r="C436" s="24" t="str">
        <x:v>SSD</x:v>
      </x:c>
      <x:c r="D436" s="24" t="n">
        <x:v>2022</x:v>
      </x:c>
      <x:c r="E436" s="37" t="n">
        <x:v>1</x:v>
      </x:c>
      <x:c r="F436" s="38" t="n">
        <x:v>11695668</x:v>
      </x:c>
      <x:c r="G436" s="38" t="n">
        <x:v>11021178</x:v>
      </x:c>
      <x:c r="H436" s="39" t="n">
        <x:f>G436/F436</x:f>
        <x:v>0.9423299293379395</x:v>
      </x:c>
      <x:c r="I436" s="40" t="n">
        <x:v>11909040000</x:v>
      </x:c>
      <x:c r="J436" s="40" t="n">
        <x:v>11909040000</x:v>
      </x:c>
      <x:c r="K436" s="40" t="n">
        <x:v>1018</x:v>
      </x:c>
      <x:c r="L436" s="40" t="n">
        <x:v>683</x:v>
      </x:c>
      <x:c r="M436" s="40" t="n">
        <x:v>1336</x:v>
      </x:c>
      <x:c r="N436" s="41" t="n">
        <x:f>MIN(L436,M436)</x:f>
        <x:v>683</x:v>
      </x:c>
      <x:c r="O436" s="41" t="n">
        <x:f>MAX(L436,M436)</x:f>
        <x:v>1336</x:v>
      </x:c>
      <x:c r="P436" s="41" t="n">
        <x:f>MAX(N436,MIN(K436,O436))</x:f>
        <x:v>1018</x:v>
      </x:c>
      <x:c r="Q436" s="19" t="str">
        <x:f>IF(K436&lt;N436,IF(N436=L436,"clamped_to_nominal","clamped_to_ppp"),IF(K436&gt;O436,IF(O436=L436,"clamped_to_nominal","clamped_to_ppp"),"kept_vanilla"))</x:f>
        <x:v>kept_vanilla</x:v>
      </x:c>
      <x:c r="R436" s="41" t="n">
        <x:f>P436*G436</x:f>
        <x:v>11219559204</x:v>
      </x:c>
      <x:c r="S436" s="41" t="n">
        <x:f>R436/E436</x:f>
        <x:v>11219559204</x:v>
      </x:c>
      <x:c r="T436" s="36" t="str">
        <x:v>SSD: IMF exact 2022</x:v>
      </x:c>
      <x:c r="U436" s="36" t="str">
        <x:v>SSD: IMF exact 2022</x:v>
      </x:c>
      <x:c r="V436" s="36" t="str">
        <x:v>SSD: IMF exact 2022</x:v>
      </x:c>
      <x:c r="W436" s="36" t="str">
        <x:v>complete_primary</x:v>
      </x:c>
      <x:c r="X436" s="36" t="str">
        <x:v>https://api.imf.org/external/sdmx/3.0/data/dataflow/IMF.RES/WEO/9.0.0/</x:v>
      </x:c>
      <x:c r="Y436" s="36" t="str">
        <x:v>https://api.worldbank.org/v2/</x:v>
      </x:c>
    </x:row>
    <x:row r="437">
      <x:c r="A437" s="24" t="str">
        <x:v>SSD</x:v>
      </x:c>
      <x:c r="B437" s="24" t="str">
        <x:v>South Sudan</x:v>
      </x:c>
      <x:c r="C437" s="24" t="str">
        <x:v>SSD</x:v>
      </x:c>
      <x:c r="D437" s="24" t="n">
        <x:v>2026</x:v>
      </x:c>
      <x:c r="E437" s="37" t="n">
        <x:v>0.87</x:v>
      </x:c>
      <x:c r="F437" s="38" t="n">
        <x:v>12436037</x:v>
      </x:c>
      <x:c r="G437" s="38" t="n">
        <x:v>12436037</x:v>
      </x:c>
      <x:c r="H437" s="39" t="n">
        <x:f>G437/F437</x:f>
        <x:v>1</x:v>
      </x:c>
      <x:c r="I437" s="40" t="n">
        <x:v>10019680000</x:v>
      </x:c>
      <x:c r="J437" s="40" t="n">
        <x:v>8717121600</x:v>
      </x:c>
      <x:c r="K437" s="40" t="n">
        <x:v>701</x:v>
      </x:c>
      <x:c r="L437" s="40" t="n">
        <x:v>425</x:v>
      </x:c>
      <x:c r="M437" s="40" t="n">
        <x:v>1340</x:v>
      </x:c>
      <x:c r="N437" s="41" t="n">
        <x:f>MIN(L437,M437)</x:f>
        <x:v>425</x:v>
      </x:c>
      <x:c r="O437" s="41" t="n">
        <x:f>MAX(L437,M437)</x:f>
        <x:v>1340</x:v>
      </x:c>
      <x:c r="P437" s="41" t="n">
        <x:f>MAX(N437,MIN(K437,O437))</x:f>
        <x:v>701</x:v>
      </x:c>
      <x:c r="Q437" s="19" t="str">
        <x:f>IF(K437&lt;N437,IF(N437=L437,"clamped_to_nominal","clamped_to_ppp"),IF(K437&gt;O437,IF(O437=L437,"clamped_to_nominal","clamped_to_ppp"),"kept_vanilla"))</x:f>
        <x:v>kept_vanilla</x:v>
      </x:c>
      <x:c r="R437" s="41" t="n">
        <x:f>P437*G437</x:f>
        <x:v>8717661937</x:v>
      </x:c>
      <x:c r="S437" s="41" t="n">
        <x:f>R437/E437</x:f>
        <x:v>10020301077.011494</x:v>
      </x:c>
      <x:c r="T437" s="36" t="str">
        <x:v>SSD: IMF exact 2026</x:v>
      </x:c>
      <x:c r="U437" s="36" t="str">
        <x:v>SSD: IMF exact 2026</x:v>
      </x:c>
      <x:c r="V437" s="36" t="str">
        <x:v>SSD: IMF exact 2026</x:v>
      </x:c>
      <x:c r="W437" s="36" t="str">
        <x:v>complete_primary</x:v>
      </x:c>
      <x:c r="X437" s="36" t="str">
        <x:v>https://api.imf.org/external/sdmx/3.0/data/dataflow/IMF.RES/WEO/9.0.0/</x:v>
      </x:c>
      <x:c r="Y437" s="36" t="str">
        <x:v>https://api.worldbank.org/v2/</x:v>
      </x:c>
    </x:row>
    <x:row r="438">
      <x:c r="A438" s="24" t="str">
        <x:v>ESP</x:v>
      </x:c>
      <x:c r="B438" s="24" t="str">
        <x:v>Spain</x:v>
      </x:c>
      <x:c r="C438" s="24" t="str">
        <x:v>ESP</x:v>
      </x:c>
      <x:c r="D438" s="24" t="n">
        <x:v>2003</x:v>
      </x:c>
      <x:c r="E438" s="37" t="n">
        <x:v>1.59</x:v>
      </x:c>
      <x:c r="F438" s="38" t="n">
        <x:v>42506544</x:v>
      </x:c>
      <x:c r="G438" s="38" t="n">
        <x:v>42547454</x:v>
      </x:c>
      <x:c r="H438" s="39" t="n">
        <x:f>G438/F438</x:f>
        <x:v>1.0009624400421733</x:v>
      </x:c>
      <x:c r="I438" s="40" t="n">
        <x:v>702970175439</x:v>
      </x:c>
      <x:c r="J438" s="40" t="n">
        <x:v>1117722578948</x:v>
      </x:c>
      <x:c r="K438" s="40" t="n">
        <x:v>26295</x:v>
      </x:c>
      <x:c r="L438" s="40" t="n">
        <x:v>33922</x:v>
      </x:c>
      <x:c r="M438" s="40" t="n">
        <x:v>44921</x:v>
      </x:c>
      <x:c r="N438" s="41" t="n">
        <x:f>MIN(L438,M438)</x:f>
        <x:v>33922</x:v>
      </x:c>
      <x:c r="O438" s="41" t="n">
        <x:f>MAX(L438,M438)</x:f>
        <x:v>44921</x:v>
      </x:c>
      <x:c r="P438" s="41" t="n">
        <x:f>MAX(N438,MIN(K438,O438))</x:f>
        <x:v>33922</x:v>
      </x:c>
      <x:c r="Q438" s="19" t="str">
        <x:f>IF(K438&lt;N438,IF(N438=L438,"clamped_to_nominal","clamped_to_ppp"),IF(K438&gt;O438,IF(O438=L438,"clamped_to_nominal","clamped_to_ppp"),"kept_vanilla"))</x:f>
        <x:v>clamped_to_nominal</x:v>
      </x:c>
      <x:c r="R438" s="41" t="n">
        <x:f>P438*G438</x:f>
        <x:v>1443294734588</x:v>
      </x:c>
      <x:c r="S438" s="41" t="n">
        <x:f>R438/E438</x:f>
        <x:v>907732537476.7295</x:v>
      </x:c>
      <x:c r="T438" s="36" t="str">
        <x:v>ESP: IMF exact 2003</x:v>
      </x:c>
      <x:c r="U438" s="36" t="str">
        <x:v>ESP: IMF exact 2003</x:v>
      </x:c>
      <x:c r="V438" s="36" t="str">
        <x:v>ESP: IMF exact 2003</x:v>
      </x:c>
      <x:c r="W438" s="36" t="str">
        <x:v>complete_primary</x:v>
      </x:c>
      <x:c r="X438" s="36" t="str">
        <x:v>https://api.imf.org/external/sdmx/3.0/data/dataflow/IMF.RES/WEO/9.0.0/</x:v>
      </x:c>
      <x:c r="Y438" s="36" t="str">
        <x:v>https://api.worldbank.org/v2/</x:v>
      </x:c>
    </x:row>
    <x:row r="439">
      <x:c r="A439" s="24" t="str">
        <x:v>ESP</x:v>
      </x:c>
      <x:c r="B439" s="24" t="str">
        <x:v>Spain</x:v>
      </x:c>
      <x:c r="C439" s="24" t="str">
        <x:v>ESP</x:v>
      </x:c>
      <x:c r="D439" s="24" t="n">
        <x:v>2022</x:v>
      </x:c>
      <x:c r="E439" s="37" t="n">
        <x:v>1</x:v>
      </x:c>
      <x:c r="F439" s="38" t="n">
        <x:v>46710039</x:v>
      </x:c>
      <x:c r="G439" s="38" t="n">
        <x:v>48085361</x:v>
      </x:c>
      <x:c r="H439" s="39" t="n">
        <x:f>G439/F439</x:f>
        <x:v>1.029443820417277</x:v>
      </x:c>
      <x:c r="I439" s="40" t="n">
        <x:v>1944288720000</x:v>
      </x:c>
      <x:c r="J439" s="40" t="n">
        <x:v>1944288720000</x:v>
      </x:c>
      <x:c r="K439" s="40" t="n">
        <x:v>41625</x:v>
      </x:c>
      <x:c r="L439" s="40" t="n">
        <x:v>30155</x:v>
      </x:c>
      <x:c r="M439" s="40" t="n">
        <x:v>49536</x:v>
      </x:c>
      <x:c r="N439" s="41" t="n">
        <x:f>MIN(L439,M439)</x:f>
        <x:v>30155</x:v>
      </x:c>
      <x:c r="O439" s="41" t="n">
        <x:f>MAX(L439,M439)</x:f>
        <x:v>49536</x:v>
      </x:c>
      <x:c r="P439" s="41" t="n">
        <x:f>MAX(N439,MIN(K439,O439))</x:f>
        <x:v>41625</x:v>
      </x:c>
      <x:c r="Q439" s="19" t="str">
        <x:f>IF(K439&lt;N439,IF(N439=L439,"clamped_to_nominal","clamped_to_ppp"),IF(K439&gt;O439,IF(O439=L439,"clamped_to_nominal","clamped_to_ppp"),"kept_vanilla"))</x:f>
        <x:v>kept_vanilla</x:v>
      </x:c>
      <x:c r="R439" s="41" t="n">
        <x:f>P439*G439</x:f>
        <x:v>2001553151625</x:v>
      </x:c>
      <x:c r="S439" s="41" t="n">
        <x:f>R439/E439</x:f>
        <x:v>2001553151625</x:v>
      </x:c>
      <x:c r="T439" s="36" t="str">
        <x:v>ESP: IMF exact 2022</x:v>
      </x:c>
      <x:c r="U439" s="36" t="str">
        <x:v>ESP: IMF exact 2022</x:v>
      </x:c>
      <x:c r="V439" s="36" t="str">
        <x:v>ESP: IMF exact 2022</x:v>
      </x:c>
      <x:c r="W439" s="36" t="str">
        <x:v>complete_primary</x:v>
      </x:c>
      <x:c r="X439" s="36" t="str">
        <x:v>https://api.imf.org/external/sdmx/3.0/data/dataflow/IMF.RES/WEO/9.0.0/</x:v>
      </x:c>
      <x:c r="Y439" s="36" t="str">
        <x:v>https://api.worldbank.org/v2/</x:v>
      </x:c>
    </x:row>
    <x:row r="440">
      <x:c r="A440" s="24" t="str">
        <x:v>ESP</x:v>
      </x:c>
      <x:c r="B440" s="24" t="str">
        <x:v>Spain</x:v>
      </x:c>
      <x:c r="C440" s="24" t="str">
        <x:v>ESP</x:v>
      </x:c>
      <x:c r="D440" s="24" t="n">
        <x:v>2026</x:v>
      </x:c>
      <x:c r="E440" s="37" t="n">
        <x:v>0.87</x:v>
      </x:c>
      <x:c r="F440" s="38" t="n">
        <x:v>47850793</x:v>
      </x:c>
      <x:c r="G440" s="38" t="n">
        <x:v>50314289</x:v>
      </x:c>
      <x:c r="H440" s="39" t="n">
        <x:f>G440/F440</x:f>
        <x:v>1.0514828667520724</x:v>
      </x:c>
      <x:c r="I440" s="40" t="n">
        <x:v>2489088800000</x:v>
      </x:c>
      <x:c r="J440" s="40" t="n">
        <x:v>2165507256000</x:v>
      </x:c>
      <x:c r="K440" s="40" t="n">
        <x:v>45255</x:v>
      </x:c>
      <x:c r="L440" s="40" t="n">
        <x:v>36160</x:v>
      </x:c>
      <x:c r="M440" s="40" t="n">
        <x:v>51493</x:v>
      </x:c>
      <x:c r="N440" s="41" t="n">
        <x:f>MIN(L440,M440)</x:f>
        <x:v>36160</x:v>
      </x:c>
      <x:c r="O440" s="41" t="n">
        <x:f>MAX(L440,M440)</x:f>
        <x:v>51493</x:v>
      </x:c>
      <x:c r="P440" s="41" t="n">
        <x:f>MAX(N440,MIN(K440,O440))</x:f>
        <x:v>45255</x:v>
      </x:c>
      <x:c r="Q440" s="19" t="str">
        <x:f>IF(K440&lt;N440,IF(N440=L440,"clamped_to_nominal","clamped_to_ppp"),IF(K440&gt;O440,IF(O440=L440,"clamped_to_nominal","clamped_to_ppp"),"kept_vanilla"))</x:f>
        <x:v>kept_vanilla</x:v>
      </x:c>
      <x:c r="R440" s="41" t="n">
        <x:f>P440*G440</x:f>
        <x:v>2276973148695</x:v>
      </x:c>
      <x:c r="S440" s="41" t="n">
        <x:f>R440/E440</x:f>
        <x:v>2617210515741.3794</x:v>
      </x:c>
      <x:c r="T440" s="36" t="str">
        <x:v>ESP: IMF exact 2026</x:v>
      </x:c>
      <x:c r="U440" s="36" t="str">
        <x:v>ESP: IMF exact 2026</x:v>
      </x:c>
      <x:c r="V440" s="36" t="str">
        <x:v>ESP: IMF exact 2026</x:v>
      </x:c>
      <x:c r="W440" s="36" t="str">
        <x:v>complete_primary</x:v>
      </x:c>
      <x:c r="X440" s="36" t="str">
        <x:v>https://api.imf.org/external/sdmx/3.0/data/dataflow/IMF.RES/WEO/9.0.0/</x:v>
      </x:c>
      <x:c r="Y440" s="36" t="str">
        <x:v>https://api.worldbank.org/v2/</x:v>
      </x:c>
    </x:row>
    <x:row r="441">
      <x:c r="A441" s="24" t="str">
        <x:v>LKA</x:v>
      </x:c>
      <x:c r="B441" s="24" t="str">
        <x:v>Sri Lanka</x:v>
      </x:c>
      <x:c r="C441" s="24" t="str">
        <x:v>LKA</x:v>
      </x:c>
      <x:c r="D441" s="24" t="n">
        <x:v>2003</x:v>
      </x:c>
      <x:c r="E441" s="37" t="n">
        <x:v>1.59</x:v>
      </x:c>
      <x:c r="F441" s="38" t="n">
        <x:v>19951521</x:v>
      </x:c>
      <x:c r="G441" s="38" t="n">
        <x:v>19224036</x:v>
      </x:c>
      <x:c r="H441" s="39" t="n">
        <x:f>G441/F441</x:f>
        <x:v>0.9635373663992836</x:v>
      </x:c>
      <x:c r="I441" s="40" t="n">
        <x:v>56567836257</x:v>
      </x:c>
      <x:c r="J441" s="40" t="n">
        <x:v>89942859649</x:v>
      </x:c>
      <x:c r="K441" s="40" t="n">
        <x:v>4508</x:v>
      </x:c>
      <x:c r="L441" s="40" t="n">
        <x:v>1849</x:v>
      </x:c>
      <x:c r="M441" s="40" t="n">
        <x:v>8001</x:v>
      </x:c>
      <x:c r="N441" s="41" t="n">
        <x:f>MIN(L441,M441)</x:f>
        <x:v>1849</x:v>
      </x:c>
      <x:c r="O441" s="41" t="n">
        <x:f>MAX(L441,M441)</x:f>
        <x:v>8001</x:v>
      </x:c>
      <x:c r="P441" s="41" t="n">
        <x:f>MAX(N441,MIN(K441,O441))</x:f>
        <x:v>4508</x:v>
      </x:c>
      <x:c r="Q441" s="19" t="str">
        <x:f>IF(K441&lt;N441,IF(N441=L441,"clamped_to_nominal","clamped_to_ppp"),IF(K441&gt;O441,IF(O441=L441,"clamped_to_nominal","clamped_to_ppp"),"kept_vanilla"))</x:f>
        <x:v>kept_vanilla</x:v>
      </x:c>
      <x:c r="R441" s="41" t="n">
        <x:f>P441*G441</x:f>
        <x:v>86661954288</x:v>
      </x:c>
      <x:c r="S441" s="41" t="n">
        <x:f>R441/E441</x:f>
        <x:v>54504373766.037735</x:v>
      </x:c>
      <x:c r="T441" s="36" t="str">
        <x:v>LKA: IMF exact 2003</x:v>
      </x:c>
      <x:c r="U441" s="36" t="str">
        <x:v>LKA: IMF exact 2003</x:v>
      </x:c>
      <x:c r="V441" s="36" t="str">
        <x:v>LKA: IMF exact 2003</x:v>
      </x:c>
      <x:c r="W441" s="36" t="str">
        <x:v>complete_primary</x:v>
      </x:c>
      <x:c r="X441" s="36" t="str">
        <x:v>https://api.imf.org/external/sdmx/3.0/data/dataflow/IMF.RES/WEO/9.0.0/</x:v>
      </x:c>
      <x:c r="Y441" s="36" t="str">
        <x:v>https://api.worldbank.org/v2/</x:v>
      </x:c>
    </x:row>
    <x:row r="442">
      <x:c r="A442" s="24" t="str">
        <x:v>LKA</x:v>
      </x:c>
      <x:c r="B442" s="24" t="str">
        <x:v>Sri Lanka</x:v>
      </x:c>
      <x:c r="C442" s="24" t="str">
        <x:v>LKA</x:v>
      </x:c>
      <x:c r="D442" s="24" t="n">
        <x:v>2022</x:v>
      </x:c>
      <x:c r="E442" s="37" t="n">
        <x:v>1</x:v>
      </x:c>
      <x:c r="F442" s="38" t="n">
        <x:v>21600347</x:v>
      </x:c>
      <x:c r="G442" s="38" t="n">
        <x:v>22181000</x:v>
      </x:c>
      <x:c r="H442" s="39" t="n">
        <x:f>G442/F442</x:f>
        <x:v>1.0268816514845802</x:v>
      </x:c>
      <x:c r="I442" s="40" t="n">
        <x:v>299957680000</x:v>
      </x:c>
      <x:c r="J442" s="40" t="n">
        <x:v>299957680000</x:v>
      </x:c>
      <x:c r="K442" s="40" t="n">
        <x:v>13887</x:v>
      </x:c>
      <x:c r="L442" s="40" t="n">
        <x:v>3363</x:v>
      </x:c>
      <x:c r="M442" s="40" t="n">
        <x:v>14191</x:v>
      </x:c>
      <x:c r="N442" s="41" t="n">
        <x:f>MIN(L442,M442)</x:f>
        <x:v>3363</x:v>
      </x:c>
      <x:c r="O442" s="41" t="n">
        <x:f>MAX(L442,M442)</x:f>
        <x:v>14191</x:v>
      </x:c>
      <x:c r="P442" s="41" t="n">
        <x:f>MAX(N442,MIN(K442,O442))</x:f>
        <x:v>13887</x:v>
      </x:c>
      <x:c r="Q442" s="19" t="str">
        <x:f>IF(K442&lt;N442,IF(N442=L442,"clamped_to_nominal","clamped_to_ppp"),IF(K442&gt;O442,IF(O442=L442,"clamped_to_nominal","clamped_to_ppp"),"kept_vanilla"))</x:f>
        <x:v>kept_vanilla</x:v>
      </x:c>
      <x:c r="R442" s="41" t="n">
        <x:f>P442*G442</x:f>
        <x:v>308027547000</x:v>
      </x:c>
      <x:c r="S442" s="41" t="n">
        <x:f>R442/E442</x:f>
        <x:v>308027547000</x:v>
      </x:c>
      <x:c r="T442" s="36" t="str">
        <x:v>LKA: IMF exact 2022</x:v>
      </x:c>
      <x:c r="U442" s="36" t="str">
        <x:v>LKA: IMF exact 2022</x:v>
      </x:c>
      <x:c r="V442" s="36" t="str">
        <x:v>LKA: IMF exact 2022</x:v>
      </x:c>
      <x:c r="W442" s="36" t="str">
        <x:v>complete_primary</x:v>
      </x:c>
      <x:c r="X442" s="36" t="str">
        <x:v>https://api.imf.org/external/sdmx/3.0/data/dataflow/IMF.RES/WEO/9.0.0/</x:v>
      </x:c>
      <x:c r="Y442" s="36" t="str">
        <x:v>https://api.worldbank.org/v2/</x:v>
      </x:c>
    </x:row>
    <x:row r="443">
      <x:c r="A443" s="24" t="str">
        <x:v>LKA</x:v>
      </x:c>
      <x:c r="B443" s="24" t="str">
        <x:v>Sri Lanka</x:v>
      </x:c>
      <x:c r="C443" s="24" t="str">
        <x:v>LKA</x:v>
      </x:c>
      <x:c r="D443" s="24" t="n">
        <x:v>2026</x:v>
      </x:c>
      <x:c r="E443" s="37" t="n">
        <x:v>0.87</x:v>
      </x:c>
      <x:c r="F443" s="38" t="n">
        <x:v>23348315</x:v>
      </x:c>
      <x:c r="G443" s="38" t="n">
        <x:v>21597168</x:v>
      </x:c>
      <x:c r="H443" s="39" t="n">
        <x:f>G443/F443</x:f>
        <x:v>0.924998998857091</x:v>
      </x:c>
      <x:c r="I443" s="40" t="n">
        <x:v>301491520000</x:v>
      </x:c>
      <x:c r="J443" s="40" t="n">
        <x:v>262297622400</x:v>
      </x:c>
      <x:c r="K443" s="40" t="n">
        <x:v>11234</x:v>
      </x:c>
      <x:c r="L443" s="40" t="n">
        <x:v>4575</x:v>
      </x:c>
      <x:c r="M443" s="40" t="n">
        <x:v>15835</x:v>
      </x:c>
      <x:c r="N443" s="41" t="n">
        <x:f>MIN(L443,M443)</x:f>
        <x:v>4575</x:v>
      </x:c>
      <x:c r="O443" s="41" t="n">
        <x:f>MAX(L443,M443)</x:f>
        <x:v>15835</x:v>
      </x:c>
      <x:c r="P443" s="41" t="n">
        <x:f>MAX(N443,MIN(K443,O443))</x:f>
        <x:v>11234</x:v>
      </x:c>
      <x:c r="Q443" s="19" t="str">
        <x:f>IF(K443&lt;N443,IF(N443=L443,"clamped_to_nominal","clamped_to_ppp"),IF(K443&gt;O443,IF(O443=L443,"clamped_to_nominal","clamped_to_ppp"),"kept_vanilla"))</x:f>
        <x:v>kept_vanilla</x:v>
      </x:c>
      <x:c r="R443" s="41" t="n">
        <x:f>P443*G443</x:f>
        <x:v>242622585312</x:v>
      </x:c>
      <x:c r="S443" s="41" t="n">
        <x:f>R443/E443</x:f>
        <x:v>278876534841.37933</x:v>
      </x:c>
      <x:c r="T443" s="36" t="str">
        <x:v>LKA: population extrapolation from IMF 2024-2025 CAGR (-0.73%/yr, capped at ±5%)</x:v>
      </x:c>
      <x:c r="U443" s="36" t="str">
        <x:v>LKA: peer-growth inference from World Bank 2025; South Asia median 2.20%/yr (5 peers, capped at ±8%)</x:v>
      </x:c>
      <x:c r="V443" s="36" t="str">
        <x:v>LKA: peer-growth inference from World Bank 2025; South Asia median 3.69%/yr (5 peers, capped at ±8%)</x:v>
      </x:c>
      <x:c r="W443" s="36" t="str">
        <x:v>inferred</x:v>
      </x:c>
      <x:c r="X443" s="36" t="str">
        <x:v>https://api.imf.org/external/sdmx/3.0/data/dataflow/IMF.RES/WEO/9.0.0/</x:v>
      </x:c>
      <x:c r="Y443" s="36" t="str">
        <x:v>https://api.worldbank.org/v2/</x:v>
      </x:c>
    </x:row>
    <x:row r="444">
      <x:c r="A444" s="24" t="str">
        <x:v>SDN</x:v>
      </x:c>
      <x:c r="B444" s="24" t="str">
        <x:v>Sudan</x:v>
      </x:c>
      <x:c r="C444" s="24" t="str">
        <x:v>SDN</x:v>
      </x:c>
      <x:c r="D444" s="24" t="n">
        <x:v>2003</x:v>
      </x:c>
      <x:c r="E444" s="37" t="n">
        <x:v>1.59</x:v>
      </x:c>
      <x:c r="F444" s="38" t="n">
        <x:v>29896036</x:v>
      </x:c>
      <x:c r="G444" s="38" t="n">
        <x:v>33600000</x:v>
      </x:c>
      <x:c r="H444" s="39" t="n">
        <x:f>G444/F444</x:f>
        <x:v>1.1238948200356729</x:v>
      </x:c>
      <x:c r="I444" s="40" t="n">
        <x:v>67181286550</x:v>
      </x:c>
      <x:c r="J444" s="40" t="n">
        <x:v>106818245615</x:v>
      </x:c>
      <x:c r="K444" s="40" t="n">
        <x:v>3573</x:v>
      </x:c>
      <x:c r="L444" s="40" t="n">
        <x:v>1011</x:v>
      </x:c>
      <x:c r="M444" s="40" t="n">
        <x:v>5436</x:v>
      </x:c>
      <x:c r="N444" s="41" t="n">
        <x:f>MIN(L444,M444)</x:f>
        <x:v>1011</x:v>
      </x:c>
      <x:c r="O444" s="41" t="n">
        <x:f>MAX(L444,M444)</x:f>
        <x:v>5436</x:v>
      </x:c>
      <x:c r="P444" s="41" t="n">
        <x:f>MAX(N444,MIN(K444,O444))</x:f>
        <x:v>3573</x:v>
      </x:c>
      <x:c r="Q444" s="19" t="str">
        <x:f>IF(K444&lt;N444,IF(N444=L444,"clamped_to_nominal","clamped_to_ppp"),IF(K444&gt;O444,IF(O444=L444,"clamped_to_nominal","clamped_to_ppp"),"kept_vanilla"))</x:f>
        <x:v>kept_vanilla</x:v>
      </x:c>
      <x:c r="R444" s="41" t="n">
        <x:f>P444*G444</x:f>
        <x:v>120052800000</x:v>
      </x:c>
      <x:c r="S444" s="41" t="n">
        <x:f>R444/E444</x:f>
        <x:v>75504905660.37735</x:v>
      </x:c>
      <x:c r="T444" s="36" t="str">
        <x:v>SDN: IMF exact 2003</x:v>
      </x:c>
      <x:c r="U444" s="36" t="str">
        <x:v>SDN: IMF exact 2003</x:v>
      </x:c>
      <x:c r="V444" s="36" t="str">
        <x:v>SDN: IMF exact 2003</x:v>
      </x:c>
      <x:c r="W444" s="36" t="str">
        <x:v>complete_primary</x:v>
      </x:c>
      <x:c r="X444" s="36" t="str">
        <x:v>https://api.imf.org/external/sdmx/3.0/data/dataflow/IMF.RES/WEO/9.0.0/</x:v>
      </x:c>
      <x:c r="Y444" s="36" t="str">
        <x:v>https://api.worldbank.org/v2/</x:v>
      </x:c>
    </x:row>
    <x:row r="445">
      <x:c r="A445" s="24" t="str">
        <x:v>SDN</x:v>
      </x:c>
      <x:c r="B445" s="24" t="str">
        <x:v>Sudan</x:v>
      </x:c>
      <x:c r="C445" s="24" t="str">
        <x:v>SDN</x:v>
      </x:c>
      <x:c r="D445" s="24" t="n">
        <x:v>2022</x:v>
      </x:c>
      <x:c r="E445" s="37" t="n">
        <x:v>1</x:v>
      </x:c>
      <x:c r="F445" s="38" t="n">
        <x:v>46333401</x:v>
      </x:c>
      <x:c r="G445" s="38" t="n">
        <x:v>46681401</x:v>
      </x:c>
      <x:c r="H445" s="39" t="n">
        <x:f>G445/F445</x:f>
        <x:v>1.007510780397925</x:v>
      </x:c>
      <x:c r="I445" s="40" t="n">
        <x:v>182455680000</x:v>
      </x:c>
      <x:c r="J445" s="40" t="n">
        <x:v>182455680000</x:v>
      </x:c>
      <x:c r="K445" s="40" t="n">
        <x:v>3938</x:v>
      </x:c>
      <x:c r="L445" s="40" t="n">
        <x:v>717</x:v>
      </x:c>
      <x:c r="M445" s="40" t="n">
        <x:v>3827</x:v>
      </x:c>
      <x:c r="N445" s="41" t="n">
        <x:f>MIN(L445,M445)</x:f>
        <x:v>717</x:v>
      </x:c>
      <x:c r="O445" s="41" t="n">
        <x:f>MAX(L445,M445)</x:f>
        <x:v>3827</x:v>
      </x:c>
      <x:c r="P445" s="41" t="n">
        <x:f>MAX(N445,MIN(K445,O445))</x:f>
        <x:v>3827</x:v>
      </x:c>
      <x:c r="Q445" s="19" t="str">
        <x:f>IF(K445&lt;N445,IF(N445=L445,"clamped_to_nominal","clamped_to_ppp"),IF(K445&gt;O445,IF(O445=L445,"clamped_to_nominal","clamped_to_ppp"),"kept_vanilla"))</x:f>
        <x:v>clamped_to_ppp</x:v>
      </x:c>
      <x:c r="R445" s="41" t="n">
        <x:f>P445*G445</x:f>
        <x:v>178649721627</x:v>
      </x:c>
      <x:c r="S445" s="41" t="n">
        <x:f>R445/E445</x:f>
        <x:v>178649721627</x:v>
      </x:c>
      <x:c r="T445" s="36" t="str">
        <x:v>SDN: IMF exact 2022</x:v>
      </x:c>
      <x:c r="U445" s="36" t="str">
        <x:v>SDN: IMF exact 2022</x:v>
      </x:c>
      <x:c r="V445" s="36" t="str">
        <x:v>SDN: IMF exact 2022</x:v>
      </x:c>
      <x:c r="W445" s="36" t="str">
        <x:v>complete_primary</x:v>
      </x:c>
      <x:c r="X445" s="36" t="str">
        <x:v>https://api.imf.org/external/sdmx/3.0/data/dataflow/IMF.RES/WEO/9.0.0/</x:v>
      </x:c>
      <x:c r="Y445" s="36" t="str">
        <x:v>https://api.worldbank.org/v2/</x:v>
      </x:c>
    </x:row>
    <x:row r="446">
      <x:c r="A446" s="24" t="str">
        <x:v>SDN</x:v>
      </x:c>
      <x:c r="B446" s="24" t="str">
        <x:v>Sudan</x:v>
      </x:c>
      <x:c r="C446" s="24" t="str">
        <x:v>SDN</x:v>
      </x:c>
      <x:c r="D446" s="24" t="n">
        <x:v>2026</x:v>
      </x:c>
      <x:c r="E446" s="37" t="n">
        <x:v>0.87</x:v>
      </x:c>
      <x:c r="F446" s="38" t="n">
        <x:v>53282718</x:v>
      </x:c>
      <x:c r="G446" s="38" t="n">
        <x:v>51728909</x:v>
      </x:c>
      <x:c r="H446" s="39" t="n">
        <x:f>G446/F446</x:f>
        <x:v>0.9708384058035477</x:v>
      </x:c>
      <x:c r="I446" s="40" t="n">
        <x:v>103640240000</x:v>
      </x:c>
      <x:c r="J446" s="40" t="n">
        <x:v>90167008800</x:v>
      </x:c>
      <x:c r="K446" s="40" t="n">
        <x:v>1692</x:v>
      </x:c>
      <x:c r="L446" s="40" t="n">
        <x:v>752</x:v>
      </x:c>
      <x:c r="M446" s="40" t="n">
        <x:v>2132</x:v>
      </x:c>
      <x:c r="N446" s="41" t="n">
        <x:f>MIN(L446,M446)</x:f>
        <x:v>752</x:v>
      </x:c>
      <x:c r="O446" s="41" t="n">
        <x:f>MAX(L446,M446)</x:f>
        <x:v>2132</x:v>
      </x:c>
      <x:c r="P446" s="41" t="n">
        <x:f>MAX(N446,MIN(K446,O446))</x:f>
        <x:v>1692</x:v>
      </x:c>
      <x:c r="Q446" s="19" t="str">
        <x:f>IF(K446&lt;N446,IF(N446=L446,"clamped_to_nominal","clamped_to_ppp"),IF(K446&gt;O446,IF(O446=L446,"clamped_to_nominal","clamped_to_ppp"),"kept_vanilla"))</x:f>
        <x:v>kept_vanilla</x:v>
      </x:c>
      <x:c r="R446" s="41" t="n">
        <x:f>P446*G446</x:f>
        <x:v>87525314028</x:v>
      </x:c>
      <x:c r="S446" s="41" t="n">
        <x:f>R446/E446</x:f>
        <x:v>100603809227.58621</x:v>
      </x:c>
      <x:c r="T446" s="36" t="str">
        <x:v>SDN: IMF exact 2026</x:v>
      </x:c>
      <x:c r="U446" s="36" t="str">
        <x:v>SDN: IMF exact 2026</x:v>
      </x:c>
      <x:c r="V446" s="36" t="str">
        <x:v>SDN: IMF exact 2026</x:v>
      </x:c>
      <x:c r="W446" s="36" t="str">
        <x:v>complete_primary</x:v>
      </x:c>
      <x:c r="X446" s="36" t="str">
        <x:v>https://api.imf.org/external/sdmx/3.0/data/dataflow/IMF.RES/WEO/9.0.0/</x:v>
      </x:c>
      <x:c r="Y446" s="36" t="str">
        <x:v>https://api.worldbank.org/v2/</x:v>
      </x:c>
    </x:row>
    <x:row r="447">
      <x:c r="A447" s="24" t="str">
        <x:v>SUR</x:v>
      </x:c>
      <x:c r="B447" s="24" t="str">
        <x:v>Suriname</x:v>
      </x:c>
      <x:c r="C447" s="24" t="str">
        <x:v>SUR</x:v>
      </x:c>
      <x:c r="D447" s="24" t="n">
        <x:v>2003</x:v>
      </x:c>
      <x:c r="E447" s="37" t="n">
        <x:v>1.59</x:v>
      </x:c>
      <x:c r="F447" s="38" t="n">
        <x:v>506414</x:v>
      </x:c>
      <x:c r="G447" s="38" t="n">
        <x:v>486988</x:v>
      </x:c>
      <x:c r="H447" s="39" t="n">
        <x:f>G447/F447</x:f>
        <x:v>0.9616400810404135</x:v>
      </x:c>
      <x:c r="I447" s="40" t="n">
        <x:v>3178947368</x:v>
      </x:c>
      <x:c r="J447" s="40" t="n">
        <x:v>5054526315</x:v>
      </x:c>
      <x:c r="K447" s="40" t="n">
        <x:v>9981</x:v>
      </x:c>
      <x:c r="L447" s="40" t="n">
        <x:v>5644</x:v>
      </x:c>
      <x:c r="M447" s="40" t="n">
        <x:v>17749</x:v>
      </x:c>
      <x:c r="N447" s="41" t="n">
        <x:f>MIN(L447,M447)</x:f>
        <x:v>5644</x:v>
      </x:c>
      <x:c r="O447" s="41" t="n">
        <x:f>MAX(L447,M447)</x:f>
        <x:v>17749</x:v>
      </x:c>
      <x:c r="P447" s="41" t="n">
        <x:f>MAX(N447,MIN(K447,O447))</x:f>
        <x:v>9981</x:v>
      </x:c>
      <x:c r="Q447" s="19" t="str">
        <x:f>IF(K447&lt;N447,IF(N447=L447,"clamped_to_nominal","clamped_to_ppp"),IF(K447&gt;O447,IF(O447=L447,"clamped_to_nominal","clamped_to_ppp"),"kept_vanilla"))</x:f>
        <x:v>kept_vanilla</x:v>
      </x:c>
      <x:c r="R447" s="41" t="n">
        <x:f>P447*G447</x:f>
        <x:v>4860627228</x:v>
      </x:c>
      <x:c r="S447" s="41" t="n">
        <x:f>R447/E447</x:f>
        <x:v>3056998256.6037736</x:v>
      </x:c>
      <x:c r="T447" s="36" t="str">
        <x:v>SUR: IMF exact 2003</x:v>
      </x:c>
      <x:c r="U447" s="36" t="str">
        <x:v>SUR: IMF exact 2003</x:v>
      </x:c>
      <x:c r="V447" s="36" t="str">
        <x:v>SUR: IMF exact 2003</x:v>
      </x:c>
      <x:c r="W447" s="36" t="str">
        <x:v>complete_primary</x:v>
      </x:c>
      <x:c r="X447" s="36" t="str">
        <x:v>https://api.imf.org/external/sdmx/3.0/data/dataflow/IMF.RES/WEO/9.0.0/</x:v>
      </x:c>
      <x:c r="Y447" s="36" t="str">
        <x:v>https://api.worldbank.org/v2/</x:v>
      </x:c>
    </x:row>
    <x:row r="448">
      <x:c r="A448" s="24" t="str">
        <x:v>SUR</x:v>
      </x:c>
      <x:c r="B448" s="24" t="str">
        <x:v>Suriname</x:v>
      </x:c>
      <x:c r="C448" s="24" t="str">
        <x:v>SUR</x:v>
      </x:c>
      <x:c r="D448" s="24" t="n">
        <x:v>2022</x:v>
      </x:c>
      <x:c r="E448" s="37" t="n">
        <x:v>1</x:v>
      </x:c>
      <x:c r="F448" s="38" t="n">
        <x:v>598366</x:v>
      </x:c>
      <x:c r="G448" s="38" t="n">
        <x:v>627710</x:v>
      </x:c>
      <x:c r="H448" s="39" t="n">
        <x:f>G448/F448</x:f>
        <x:v>1.0490402195311899</x:v>
      </x:c>
      <x:c r="I448" s="40" t="n">
        <x:v>9394880000</x:v>
      </x:c>
      <x:c r="J448" s="40" t="n">
        <x:v>9394880000</x:v>
      </x:c>
      <x:c r="K448" s="40" t="n">
        <x:v>15701</x:v>
      </x:c>
      <x:c r="L448" s="40" t="n">
        <x:v>6057</x:v>
      </x:c>
      <x:c r="M448" s="40" t="n">
        <x:v>19770</x:v>
      </x:c>
      <x:c r="N448" s="41" t="n">
        <x:f>MIN(L448,M448)</x:f>
        <x:v>6057</x:v>
      </x:c>
      <x:c r="O448" s="41" t="n">
        <x:f>MAX(L448,M448)</x:f>
        <x:v>19770</x:v>
      </x:c>
      <x:c r="P448" s="41" t="n">
        <x:f>MAX(N448,MIN(K448,O448))</x:f>
        <x:v>15701</x:v>
      </x:c>
      <x:c r="Q448" s="19" t="str">
        <x:f>IF(K448&lt;N448,IF(N448=L448,"clamped_to_nominal","clamped_to_ppp"),IF(K448&gt;O448,IF(O448=L448,"clamped_to_nominal","clamped_to_ppp"),"kept_vanilla"))</x:f>
        <x:v>kept_vanilla</x:v>
      </x:c>
      <x:c r="R448" s="41" t="n">
        <x:f>P448*G448</x:f>
        <x:v>9855674710</x:v>
      </x:c>
      <x:c r="S448" s="41" t="n">
        <x:f>R448/E448</x:f>
        <x:v>9855674710</x:v>
      </x:c>
      <x:c r="T448" s="36" t="str">
        <x:v>SUR: IMF exact 2022</x:v>
      </x:c>
      <x:c r="U448" s="36" t="str">
        <x:v>SUR: IMF exact 2022</x:v>
      </x:c>
      <x:c r="V448" s="36" t="str">
        <x:v>SUR: IMF exact 2022</x:v>
      </x:c>
      <x:c r="W448" s="36" t="str">
        <x:v>complete_primary</x:v>
      </x:c>
      <x:c r="X448" s="36" t="str">
        <x:v>https://api.imf.org/external/sdmx/3.0/data/dataflow/IMF.RES/WEO/9.0.0/</x:v>
      </x:c>
      <x:c r="Y448" s="36" t="str">
        <x:v>https://api.worldbank.org/v2/</x:v>
      </x:c>
    </x:row>
    <x:row r="449">
      <x:c r="A449" s="24" t="str">
        <x:v>SUR</x:v>
      </x:c>
      <x:c r="B449" s="24" t="str">
        <x:v>Suriname</x:v>
      </x:c>
      <x:c r="C449" s="24" t="str">
        <x:v>SUR</x:v>
      </x:c>
      <x:c r="D449" s="24" t="n">
        <x:v>2026</x:v>
      </x:c>
      <x:c r="E449" s="37" t="n">
        <x:v>0.87</x:v>
      </x:c>
      <x:c r="F449" s="38" t="n">
        <x:v>645257</x:v>
      </x:c>
      <x:c r="G449" s="38" t="n">
        <x:v>667092</x:v>
      </x:c>
      <x:c r="H449" s="39" t="n">
        <x:f>G449/F449</x:f>
        <x:v>1.0338392299502368</x:v>
      </x:c>
      <x:c r="I449" s="40" t="n">
        <x:v>12973840000</x:v>
      </x:c>
      <x:c r="J449" s="40" t="n">
        <x:v>11287240800</x:v>
      </x:c>
      <x:c r="K449" s="40" t="n">
        <x:v>17493</x:v>
      </x:c>
      <x:c r="L449" s="40" t="n">
        <x:v>7705</x:v>
      </x:c>
      <x:c r="M449" s="40" t="n">
        <x:v>19997</x:v>
      </x:c>
      <x:c r="N449" s="41" t="n">
        <x:f>MIN(L449,M449)</x:f>
        <x:v>7705</x:v>
      </x:c>
      <x:c r="O449" s="41" t="n">
        <x:f>MAX(L449,M449)</x:f>
        <x:v>19997</x:v>
      </x:c>
      <x:c r="P449" s="41" t="n">
        <x:f>MAX(N449,MIN(K449,O449))</x:f>
        <x:v>17493</x:v>
      </x:c>
      <x:c r="Q449" s="19" t="str">
        <x:f>IF(K449&lt;N449,IF(N449=L449,"clamped_to_nominal","clamped_to_ppp"),IF(K449&gt;O449,IF(O449=L449,"clamped_to_nominal","clamped_to_ppp"),"kept_vanilla"))</x:f>
        <x:v>kept_vanilla</x:v>
      </x:c>
      <x:c r="R449" s="41" t="n">
        <x:f>P449*G449</x:f>
        <x:v>11669440356</x:v>
      </x:c>
      <x:c r="S449" s="41" t="n">
        <x:f>R449/E449</x:f>
        <x:v>13413149834.48276</x:v>
      </x:c>
      <x:c r="T449" s="36" t="str">
        <x:v>SUR: IMF exact 2026</x:v>
      </x:c>
      <x:c r="U449" s="36" t="str">
        <x:v>SUR: IMF exact 2026</x:v>
      </x:c>
      <x:c r="V449" s="36" t="str">
        <x:v>SUR: IMF exact 2026</x:v>
      </x:c>
      <x:c r="W449" s="36" t="str">
        <x:v>complete_primary</x:v>
      </x:c>
      <x:c r="X449" s="36" t="str">
        <x:v>https://api.imf.org/external/sdmx/3.0/data/dataflow/IMF.RES/WEO/9.0.0/</x:v>
      </x:c>
      <x:c r="Y449" s="36" t="str">
        <x:v>https://api.worldbank.org/v2/</x:v>
      </x:c>
    </x:row>
    <x:row r="450">
      <x:c r="A450" s="24" t="str">
        <x:v>SCA</x:v>
      </x:c>
      <x:c r="B450" s="24" t="str">
        <x:v>Sweden</x:v>
      </x:c>
      <x:c r="C450" s="24" t="str">
        <x:v>SWE</x:v>
      </x:c>
      <x:c r="D450" s="24" t="n">
        <x:v>2003</x:v>
      </x:c>
      <x:c r="E450" s="37" t="n">
        <x:v>1.59</x:v>
      </x:c>
      <x:c r="F450" s="38" t="n">
        <x:v>8958431</x:v>
      </x:c>
      <x:c r="G450" s="38" t="n">
        <x:v>8975670</x:v>
      </x:c>
      <x:c r="H450" s="39" t="n">
        <x:f>G450/F450</x:f>
        <x:v>1.0019243325086726</x:v>
      </x:c>
      <x:c r="I450" s="40" t="n">
        <x:v>173656140351</x:v>
      </x:c>
      <x:c r="J450" s="40" t="n">
        <x:v>276113263158</x:v>
      </x:c>
      <x:c r="K450" s="40" t="n">
        <x:v>30822</x:v>
      </x:c>
      <x:c r="L450" s="40" t="n">
        <x:v>59179</x:v>
      </x:c>
      <x:c r="M450" s="40" t="n">
        <x:v>52608</x:v>
      </x:c>
      <x:c r="N450" s="41" t="n">
        <x:f>MIN(L450,M450)</x:f>
        <x:v>52608</x:v>
      </x:c>
      <x:c r="O450" s="41" t="n">
        <x:f>MAX(L450,M450)</x:f>
        <x:v>59179</x:v>
      </x:c>
      <x:c r="P450" s="41" t="n">
        <x:f>MAX(N450,MIN(K450,O450))</x:f>
        <x:v>52608</x:v>
      </x:c>
      <x:c r="Q450" s="19" t="str">
        <x:f>IF(K450&lt;N450,IF(N450=L450,"clamped_to_nominal","clamped_to_ppp"),IF(K450&gt;O450,IF(O450=L450,"clamped_to_nominal","clamped_to_ppp"),"kept_vanilla"))</x:f>
        <x:v>clamped_to_ppp</x:v>
      </x:c>
      <x:c r="R450" s="41" t="n">
        <x:f>P450*G450</x:f>
        <x:v>472192047360</x:v>
      </x:c>
      <x:c r="S450" s="41" t="n">
        <x:f>R450/E450</x:f>
        <x:v>296976130415.0943</x:v>
      </x:c>
      <x:c r="T450" s="36" t="str">
        <x:v>SWE: IMF exact 2003</x:v>
      </x:c>
      <x:c r="U450" s="36" t="str">
        <x:v>SWE: IMF exact 2003</x:v>
      </x:c>
      <x:c r="V450" s="36" t="str">
        <x:v>SWE: IMF exact 2003</x:v>
      </x:c>
      <x:c r="W450" s="36" t="str">
        <x:v>complete_primary</x:v>
      </x:c>
      <x:c r="X450" s="36" t="str">
        <x:v>https://api.imf.org/external/sdmx/3.0/data/dataflow/IMF.RES/WEO/9.0.0/</x:v>
      </x:c>
      <x:c r="Y450" s="36" t="str">
        <x:v>https://api.worldbank.org/v2/</x:v>
      </x:c>
    </x:row>
    <x:row r="451">
      <x:c r="A451" s="24" t="str">
        <x:v>SCA</x:v>
      </x:c>
      <x:c r="B451" s="24" t="str">
        <x:v>Sweden</x:v>
      </x:c>
      <x:c r="C451" s="24" t="str">
        <x:v>SWE</x:v>
      </x:c>
      <x:c r="D451" s="24" t="n">
        <x:v>2022</x:v>
      </x:c>
      <x:c r="E451" s="37" t="n">
        <x:v>1</x:v>
      </x:c>
      <x:c r="F451" s="38" t="n">
        <x:v>10237037</x:v>
      </x:c>
      <x:c r="G451" s="38" t="n">
        <x:v>10521556</x:v>
      </x:c>
      <x:c r="H451" s="39" t="n">
        <x:f>G451/F451</x:f>
        <x:v>1.0277931006794252</x:v>
      </x:c>
      <x:c r="I451" s="40" t="n">
        <x:v>593351440000</x:v>
      </x:c>
      <x:c r="J451" s="40" t="n">
        <x:v>593351440000</x:v>
      </x:c>
      <x:c r="K451" s="40" t="n">
        <x:v>57961</x:v>
      </x:c>
      <x:c r="L451" s="40" t="n">
        <x:v>54656</x:v>
      </x:c>
      <x:c r="M451" s="40" t="n">
        <x:v>67191</x:v>
      </x:c>
      <x:c r="N451" s="41" t="n">
        <x:f>MIN(L451,M451)</x:f>
        <x:v>54656</x:v>
      </x:c>
      <x:c r="O451" s="41" t="n">
        <x:f>MAX(L451,M451)</x:f>
        <x:v>67191</x:v>
      </x:c>
      <x:c r="P451" s="41" t="n">
        <x:f>MAX(N451,MIN(K451,O451))</x:f>
        <x:v>57961</x:v>
      </x:c>
      <x:c r="Q451" s="19" t="str">
        <x:f>IF(K451&lt;N451,IF(N451=L451,"clamped_to_nominal","clamped_to_ppp"),IF(K451&gt;O451,IF(O451=L451,"clamped_to_nominal","clamped_to_ppp"),"kept_vanilla"))</x:f>
        <x:v>kept_vanilla</x:v>
      </x:c>
      <x:c r="R451" s="41" t="n">
        <x:f>P451*G451</x:f>
        <x:v>609839907316</x:v>
      </x:c>
      <x:c r="S451" s="41" t="n">
        <x:f>R451/E451</x:f>
        <x:v>609839907316</x:v>
      </x:c>
      <x:c r="T451" s="36" t="str">
        <x:v>SWE: IMF exact 2022</x:v>
      </x:c>
      <x:c r="U451" s="36" t="str">
        <x:v>SWE: IMF exact 2022</x:v>
      </x:c>
      <x:c r="V451" s="36" t="str">
        <x:v>SWE: IMF exact 2022</x:v>
      </x:c>
      <x:c r="W451" s="36" t="str">
        <x:v>complete_primary</x:v>
      </x:c>
      <x:c r="X451" s="36" t="str">
        <x:v>https://api.imf.org/external/sdmx/3.0/data/dataflow/IMF.RES/WEO/9.0.0/</x:v>
      </x:c>
      <x:c r="Y451" s="36" t="str">
        <x:v>https://api.worldbank.org/v2/</x:v>
      </x:c>
    </x:row>
    <x:row r="452">
      <x:c r="A452" s="24" t="str">
        <x:v>SCA</x:v>
      </x:c>
      <x:c r="B452" s="24" t="str">
        <x:v>Sweden</x:v>
      </x:c>
      <x:c r="C452" s="24" t="str">
        <x:v>SWE</x:v>
      </x:c>
      <x:c r="D452" s="24" t="n">
        <x:v>2026</x:v>
      </x:c>
      <x:c r="E452" s="37" t="n">
        <x:v>0.87</x:v>
      </x:c>
      <x:c r="F452" s="38" t="n">
        <x:v>10701047</x:v>
      </x:c>
      <x:c r="G452" s="38" t="n">
        <x:v>10760151</x:v>
      </x:c>
      <x:c r="H452" s="39" t="n">
        <x:f>G452/F452</x:f>
        <x:v>1.0055231978702646</x:v>
      </x:c>
      <x:c r="I452" s="40" t="n">
        <x:v>703718400000</x:v>
      </x:c>
      <x:c r="J452" s="40" t="n">
        <x:v>612235008000</x:v>
      </x:c>
      <x:c r="K452" s="40" t="n">
        <x:v>57213</x:v>
      </x:c>
      <x:c r="L452" s="40" t="n">
        <x:v>61488</x:v>
      </x:c>
      <x:c r="M452" s="40" t="n">
        <x:v>67071</x:v>
      </x:c>
      <x:c r="N452" s="41" t="n">
        <x:f>MIN(L452,M452)</x:f>
        <x:v>61488</x:v>
      </x:c>
      <x:c r="O452" s="41" t="n">
        <x:f>MAX(L452,M452)</x:f>
        <x:v>67071</x:v>
      </x:c>
      <x:c r="P452" s="41" t="n">
        <x:f>MAX(N452,MIN(K452,O452))</x:f>
        <x:v>61488</x:v>
      </x:c>
      <x:c r="Q452" s="19" t="str">
        <x:f>IF(K452&lt;N452,IF(N452=L452,"clamped_to_nominal","clamped_to_ppp"),IF(K452&gt;O452,IF(O452=L452,"clamped_to_nominal","clamped_to_ppp"),"kept_vanilla"))</x:f>
        <x:v>clamped_to_nominal</x:v>
      </x:c>
      <x:c r="R452" s="41" t="n">
        <x:f>P452*G452</x:f>
        <x:v>661620164688</x:v>
      </x:c>
      <x:c r="S452" s="41" t="n">
        <x:f>R452/E452</x:f>
        <x:v>760482947917.2413</x:v>
      </x:c>
      <x:c r="T452" s="36" t="str">
        <x:v>SWE: IMF exact 2026</x:v>
      </x:c>
      <x:c r="U452" s="36" t="str">
        <x:v>SWE: IMF exact 2026</x:v>
      </x:c>
      <x:c r="V452" s="36" t="str">
        <x:v>SWE: IMF exact 2026</x:v>
      </x:c>
      <x:c r="W452" s="36" t="str">
        <x:v>complete_primary</x:v>
      </x:c>
      <x:c r="X452" s="36" t="str">
        <x:v>https://api.imf.org/external/sdmx/3.0/data/dataflow/IMF.RES/WEO/9.0.0/</x:v>
      </x:c>
      <x:c r="Y452" s="36" t="str">
        <x:v>https://api.worldbank.org/v2/</x:v>
      </x:c>
    </x:row>
    <x:row r="453">
      <x:c r="A453" s="24" t="str">
        <x:v>SWI</x:v>
      </x:c>
      <x:c r="B453" s="24" t="str">
        <x:v>Switzerland</x:v>
      </x:c>
      <x:c r="C453" s="24" t="str">
        <x:v>CHE</x:v>
      </x:c>
      <x:c r="D453" s="24" t="n">
        <x:v>2003</x:v>
      </x:c>
      <x:c r="E453" s="37" t="n">
        <x:v>1.59</x:v>
      </x:c>
      <x:c r="F453" s="38" t="n">
        <x:v>7367507</x:v>
      </x:c>
      <x:c r="G453" s="38" t="n">
        <x:v>7314000</x:v>
      </x:c>
      <x:c r="H453" s="39" t="n">
        <x:f>G453/F453</x:f>
        <x:v>0.9927374347930717</x:v>
      </x:c>
      <x:c r="I453" s="40" t="n">
        <x:v>194363157895</x:v>
      </x:c>
      <x:c r="J453" s="40" t="n">
        <x:v>309037421053</x:v>
      </x:c>
      <x:c r="K453" s="40" t="n">
        <x:v>41946</x:v>
      </x:c>
      <x:c r="L453" s="40" t="n">
        <x:v>79694</x:v>
      </x:c>
      <x:c r="M453" s="40" t="n">
        <x:v>73562</x:v>
      </x:c>
      <x:c r="N453" s="41" t="n">
        <x:f>MIN(L453,M453)</x:f>
        <x:v>73562</x:v>
      </x:c>
      <x:c r="O453" s="41" t="n">
        <x:f>MAX(L453,M453)</x:f>
        <x:v>79694</x:v>
      </x:c>
      <x:c r="P453" s="41" t="n">
        <x:f>MAX(N453,MIN(K453,O453))</x:f>
        <x:v>73562</x:v>
      </x:c>
      <x:c r="Q453" s="19" t="str">
        <x:f>IF(K453&lt;N453,IF(N453=L453,"clamped_to_nominal","clamped_to_ppp"),IF(K453&gt;O453,IF(O453=L453,"clamped_to_nominal","clamped_to_ppp"),"kept_vanilla"))</x:f>
        <x:v>clamped_to_ppp</x:v>
      </x:c>
      <x:c r="R453" s="41" t="n">
        <x:f>P453*G453</x:f>
        <x:v>538032468000</x:v>
      </x:c>
      <x:c r="S453" s="41" t="n">
        <x:f>R453/E453</x:f>
        <x:v>338385200000</x:v>
      </x:c>
      <x:c r="T453" s="36" t="str">
        <x:v>CHE: IMF exact 2003</x:v>
      </x:c>
      <x:c r="U453" s="36" t="str">
        <x:v>CHE: IMF exact 2003</x:v>
      </x:c>
      <x:c r="V453" s="36" t="str">
        <x:v>CHE: IMF exact 2003</x:v>
      </x:c>
      <x:c r="W453" s="36" t="str">
        <x:v>complete_primary</x:v>
      </x:c>
      <x:c r="X453" s="36" t="str">
        <x:v>https://api.imf.org/external/sdmx/3.0/data/dataflow/IMF.RES/WEO/9.0.0/</x:v>
      </x:c>
      <x:c r="Y453" s="36" t="str">
        <x:v>https://api.worldbank.org/v2/</x:v>
      </x:c>
    </x:row>
    <x:row r="454">
      <x:c r="A454" s="24" t="str">
        <x:v>SWI</x:v>
      </x:c>
      <x:c r="B454" s="24" t="str">
        <x:v>Switzerland</x:v>
      </x:c>
      <x:c r="C454" s="24" t="str">
        <x:v>CHE</x:v>
      </x:c>
      <x:c r="D454" s="24" t="n">
        <x:v>2022</x:v>
      </x:c>
      <x:c r="E454" s="37" t="n">
        <x:v>1</x:v>
      </x:c>
      <x:c r="F454" s="38" t="n">
        <x:v>8829838</x:v>
      </x:c>
      <x:c r="G454" s="38" t="n">
        <x:v>8739000</x:v>
      </x:c>
      <x:c r="H454" s="39" t="n">
        <x:f>G454/F454</x:f>
        <x:v>0.9897123820391722</x:v>
      </x:c>
      <x:c r="I454" s="40" t="n">
        <x:v>656103963037</x:v>
      </x:c>
      <x:c r="J454" s="40" t="n">
        <x:v>656103963037</x:v>
      </x:c>
      <x:c r="K454" s="40" t="n">
        <x:v>74305</x:v>
      </x:c>
      <x:c r="L454" s="40" t="n">
        <x:v>98220</x:v>
      </x:c>
      <x:c r="M454" s="40" t="n">
        <x:v>93150</x:v>
      </x:c>
      <x:c r="N454" s="41" t="n">
        <x:f>MIN(L454,M454)</x:f>
        <x:v>93150</x:v>
      </x:c>
      <x:c r="O454" s="41" t="n">
        <x:f>MAX(L454,M454)</x:f>
        <x:v>98220</x:v>
      </x:c>
      <x:c r="P454" s="41" t="n">
        <x:f>MAX(N454,MIN(K454,O454))</x:f>
        <x:v>93150</x:v>
      </x:c>
      <x:c r="Q454" s="19" t="str">
        <x:f>IF(K454&lt;N454,IF(N454=L454,"clamped_to_nominal","clamped_to_ppp"),IF(K454&gt;O454,IF(O454=L454,"clamped_to_nominal","clamped_to_ppp"),"kept_vanilla"))</x:f>
        <x:v>clamped_to_ppp</x:v>
      </x:c>
      <x:c r="R454" s="41" t="n">
        <x:f>P454*G454</x:f>
        <x:v>814037850000</x:v>
      </x:c>
      <x:c r="S454" s="41" t="n">
        <x:f>R454/E454</x:f>
        <x:v>814037850000</x:v>
      </x:c>
      <x:c r="T454" s="36" t="str">
        <x:v>CHE: IMF exact 2022</x:v>
      </x:c>
      <x:c r="U454" s="36" t="str">
        <x:v>CHE: IMF exact 2022</x:v>
      </x:c>
      <x:c r="V454" s="36" t="str">
        <x:v>CHE: IMF exact 2022</x:v>
      </x:c>
      <x:c r="W454" s="36" t="str">
        <x:v>complete_primary</x:v>
      </x:c>
      <x:c r="X454" s="36" t="str">
        <x:v>https://api.imf.org/external/sdmx/3.0/data/dataflow/IMF.RES/WEO/9.0.0/</x:v>
      </x:c>
      <x:c r="Y454" s="36" t="str">
        <x:v>https://api.worldbank.org/v2/</x:v>
      </x:c>
    </x:row>
    <x:row r="455">
      <x:c r="A455" s="24" t="str">
        <x:v>SWI</x:v>
      </x:c>
      <x:c r="B455" s="24" t="str">
        <x:v>Switzerland</x:v>
      </x:c>
      <x:c r="C455" s="24" t="str">
        <x:v>CHE</x:v>
      </x:c>
      <x:c r="D455" s="24" t="n">
        <x:v>2026</x:v>
      </x:c>
      <x:c r="E455" s="37" t="n">
        <x:v>0.87</x:v>
      </x:c>
      <x:c r="F455" s="38" t="n">
        <x:v>9048166</x:v>
      </x:c>
      <x:c r="G455" s="38" t="n">
        <x:v>9089712</x:v>
      </x:c>
      <x:c r="H455" s="39" t="n">
        <x:f>G455/F455</x:f>
        <x:v>1.00459164873854</x:v>
      </x:c>
      <x:c r="I455" s="40" t="n">
        <x:v>782893235821</x:v>
      </x:c>
      <x:c r="J455" s="40" t="n">
        <x:v>681117115164</x:v>
      </x:c>
      <x:c r="K455" s="40" t="n">
        <x:v>75277</x:v>
      </x:c>
      <x:c r="L455" s="40" t="n">
        <x:v>109774</x:v>
      </x:c>
      <x:c r="M455" s="40" t="n">
        <x:v>91941</x:v>
      </x:c>
      <x:c r="N455" s="41" t="n">
        <x:f>MIN(L455,M455)</x:f>
        <x:v>91941</x:v>
      </x:c>
      <x:c r="O455" s="41" t="n">
        <x:f>MAX(L455,M455)</x:f>
        <x:v>109774</x:v>
      </x:c>
      <x:c r="P455" s="41" t="n">
        <x:f>MAX(N455,MIN(K455,O455))</x:f>
        <x:v>91941</x:v>
      </x:c>
      <x:c r="Q455" s="19" t="str">
        <x:f>IF(K455&lt;N455,IF(N455=L455,"clamped_to_nominal","clamped_to_ppp"),IF(K455&gt;O455,IF(O455=L455,"clamped_to_nominal","clamped_to_ppp"),"kept_vanilla"))</x:f>
        <x:v>clamped_to_ppp</x:v>
      </x:c>
      <x:c r="R455" s="41" t="n">
        <x:f>P455*G455</x:f>
        <x:v>835717210992</x:v>
      </x:c>
      <x:c r="S455" s="41" t="n">
        <x:f>R455/E455</x:f>
        <x:v>960594495393.1034</x:v>
      </x:c>
      <x:c r="T455" s="36" t="str">
        <x:v>CHE: IMF exact 2026</x:v>
      </x:c>
      <x:c r="U455" s="36" t="str">
        <x:v>CHE: IMF exact 2026</x:v>
      </x:c>
      <x:c r="V455" s="36" t="str">
        <x:v>CHE: IMF exact 2026</x:v>
      </x:c>
      <x:c r="W455" s="36" t="str">
        <x:v>complete_primary</x:v>
      </x:c>
      <x:c r="X455" s="36" t="str">
        <x:v>https://api.imf.org/external/sdmx/3.0/data/dataflow/IMF.RES/WEO/9.0.0/</x:v>
      </x:c>
      <x:c r="Y455" s="36" t="str">
        <x:v>https://api.worldbank.org/v2/</x:v>
      </x:c>
    </x:row>
    <x:row r="456">
      <x:c r="A456" s="24" t="str">
        <x:v>SYR</x:v>
      </x:c>
      <x:c r="B456" s="24" t="str">
        <x:v>Syria</x:v>
      </x:c>
      <x:c r="C456" s="24" t="str">
        <x:v>SYR</x:v>
      </x:c>
      <x:c r="D456" s="24" t="n">
        <x:v>2003</x:v>
      </x:c>
      <x:c r="E456" s="37" t="n">
        <x:v>1.59</x:v>
      </x:c>
      <x:c r="F456" s="38" t="n">
        <x:v>17889296</x:v>
      </x:c>
      <x:c r="G456" s="38" t="n">
        <x:v>17951881</x:v>
      </x:c>
      <x:c r="H456" s="39" t="n">
        <x:f>G456/F456</x:f>
        <x:v>1.0034984607555266</x:v>
      </x:c>
      <x:c r="I456" s="40" t="n">
        <x:v>47493567251</x:v>
      </x:c>
      <x:c r="J456" s="40" t="n">
        <x:v>75514771929</x:v>
      </x:c>
      <x:c r="K456" s="40" t="n">
        <x:v>4221</x:v>
      </x:c>
      <x:c r="L456" s="40" t="n">
        <x:v>1922</x:v>
      </x:c>
      <x:c r="M456" s="40" t="n">
        <x:v>7193</x:v>
      </x:c>
      <x:c r="N456" s="41" t="n">
        <x:f>MIN(L456,M456)</x:f>
        <x:v>1922</x:v>
      </x:c>
      <x:c r="O456" s="41" t="n">
        <x:f>MAX(L456,M456)</x:f>
        <x:v>7193</x:v>
      </x:c>
      <x:c r="P456" s="41" t="n">
        <x:f>MAX(N456,MIN(K456,O456))</x:f>
        <x:v>4221</x:v>
      </x:c>
      <x:c r="Q456" s="19" t="str">
        <x:f>IF(K456&lt;N456,IF(N456=L456,"clamped_to_nominal","clamped_to_ppp"),IF(K456&gt;O456,IF(O456=L456,"clamped_to_nominal","clamped_to_ppp"),"kept_vanilla"))</x:f>
        <x:v>kept_vanilla</x:v>
      </x:c>
      <x:c r="R456" s="41" t="n">
        <x:f>P456*G456</x:f>
        <x:v>75774889701</x:v>
      </x:c>
      <x:c r="S456" s="41" t="n">
        <x:f>R456/E456</x:f>
        <x:v>47657163333.962265</x:v>
      </x:c>
      <x:c r="T456" s="36" t="str">
        <x:v>SYR: IMF exact 2003</x:v>
      </x:c>
      <x:c r="U456" s="36" t="str">
        <x:v>SYR: IMF exact 2003</x:v>
      </x:c>
      <x:c r="V456" s="36" t="str">
        <x:v>SYR: IMF exact 2003</x:v>
      </x:c>
      <x:c r="W456" s="36" t="str">
        <x:v>complete_primary</x:v>
      </x:c>
      <x:c r="X456" s="36" t="str">
        <x:v>https://api.imf.org/external/sdmx/3.0/data/dataflow/IMF.RES/WEO/9.0.0/</x:v>
      </x:c>
      <x:c r="Y456" s="36" t="str">
        <x:v>https://api.worldbank.org/v2/</x:v>
      </x:c>
    </x:row>
    <x:row r="457">
      <x:c r="A457" s="24" t="str">
        <x:v>SYR</x:v>
      </x:c>
      <x:c r="B457" s="24" t="str">
        <x:v>Syria</x:v>
      </x:c>
      <x:c r="C457" s="24" t="str">
        <x:v>SYR</x:v>
      </x:c>
      <x:c r="D457" s="24" t="n">
        <x:v>2022</x:v>
      </x:c>
      <x:c r="E457" s="37" t="n">
        <x:v>1</x:v>
      </x:c>
      <x:c r="F457" s="38" t="n">
        <x:v>19767125</x:v>
      </x:c>
      <x:c r="G457" s="38" t="n">
        <x:v>22462173</x:v>
      </x:c>
      <x:c r="H457" s="39" t="n">
        <x:f>G457/F457</x:f>
        <x:v>1.1363399078014633</x:v>
      </x:c>
      <x:c r="I457" s="40" t="n">
        <x:v>44246400000</x:v>
      </x:c>
      <x:c r="J457" s="40" t="n">
        <x:v>44246400000</x:v>
      </x:c>
      <x:c r="K457" s="40" t="n">
        <x:v>2238</x:v>
      </x:c>
      <x:c r="L457" s="40" t="n">
        <x:v>1057</x:v>
      </x:c>
      <x:c r="M457" s="40" t="n">
        <x:v>4905</x:v>
      </x:c>
      <x:c r="N457" s="41" t="n">
        <x:f>MIN(L457,M457)</x:f>
        <x:v>1057</x:v>
      </x:c>
      <x:c r="O457" s="41" t="n">
        <x:f>MAX(L457,M457)</x:f>
        <x:v>4905</x:v>
      </x:c>
      <x:c r="P457" s="41" t="n">
        <x:f>MAX(N457,MIN(K457,O457))</x:f>
        <x:v>2238</x:v>
      </x:c>
      <x:c r="Q457" s="19" t="str">
        <x:f>IF(K457&lt;N457,IF(N457=L457,"clamped_to_nominal","clamped_to_ppp"),IF(K457&gt;O457,IF(O457=L457,"clamped_to_nominal","clamped_to_ppp"),"kept_vanilla"))</x:f>
        <x:v>kept_vanilla</x:v>
      </x:c>
      <x:c r="R457" s="41" t="n">
        <x:f>P457*G457</x:f>
        <x:v>50270343174</x:v>
      </x:c>
      <x:c r="S457" s="41" t="n">
        <x:f>R457/E457</x:f>
        <x:v>50270343174</x:v>
      </x:c>
      <x:c r="T457" s="36" t="str">
        <x:v>SYR: World Bank exact 2022</x:v>
      </x:c>
      <x:c r="U457" s="36" t="str">
        <x:v>SYR: World Bank exact 2022</x:v>
      </x:c>
      <x:c r="V457" s="36" t="str">
        <x:v>SYR: World Bank exact 2022</x:v>
      </x:c>
      <x:c r="W457" s="36" t="str">
        <x:v>secondary_source</x:v>
      </x:c>
      <x:c r="X457" s="36" t="str">
        <x:v>https://api.imf.org/external/sdmx/3.0/data/dataflow/IMF.RES/WEO/9.0.0/</x:v>
      </x:c>
      <x:c r="Y457" s="36" t="str">
        <x:v>https://api.worldbank.org/v2/</x:v>
      </x:c>
    </x:row>
    <x:row r="458">
      <x:c r="A458" s="24" t="str">
        <x:v>SYR</x:v>
      </x:c>
      <x:c r="B458" s="24" t="str">
        <x:v>Syria</x:v>
      </x:c>
      <x:c r="C458" s="24" t="str">
        <x:v>SYR</x:v>
      </x:c>
      <x:c r="D458" s="24" t="n">
        <x:v>2026</x:v>
      </x:c>
      <x:c r="E458" s="37" t="n">
        <x:v>0.87</x:v>
      </x:c>
      <x:c r="F458" s="38" t="n">
        <x:v>26472497</x:v>
      </x:c>
      <x:c r="G458" s="38" t="n">
        <x:v>26604493</x:v>
      </x:c>
      <x:c r="H458" s="39" t="n">
        <x:f>G458/F458</x:f>
        <x:v>1.0049861560093858</x:v>
      </x:c>
      <x:c r="I458" s="40" t="n">
        <x:v>120013520000</x:v>
      </x:c>
      <x:c r="J458" s="40" t="n">
        <x:v>104411762400</x:v>
      </x:c>
      <x:c r="K458" s="40" t="n">
        <x:v>3944</x:v>
      </x:c>
      <x:c r="L458" s="40" t="n">
        <x:v>952</x:v>
      </x:c>
      <x:c r="M458" s="40" t="n">
        <x:v>4879</x:v>
      </x:c>
      <x:c r="N458" s="41" t="n">
        <x:f>MIN(L458,M458)</x:f>
        <x:v>952</x:v>
      </x:c>
      <x:c r="O458" s="41" t="n">
        <x:f>MAX(L458,M458)</x:f>
        <x:v>4879</x:v>
      </x:c>
      <x:c r="P458" s="41" t="n">
        <x:f>MAX(N458,MIN(K458,O458))</x:f>
        <x:v>3944</x:v>
      </x:c>
      <x:c r="Q458" s="19" t="str">
        <x:f>IF(K458&lt;N458,IF(N458=L458,"clamped_to_nominal","clamped_to_ppp"),IF(K458&gt;O458,IF(O458=L458,"clamped_to_nominal","clamped_to_ppp"),"kept_vanilla"))</x:f>
        <x:v>kept_vanilla</x:v>
      </x:c>
      <x:c r="R458" s="41" t="n">
        <x:f>P458*G458</x:f>
        <x:v>104928120392</x:v>
      </x:c>
      <x:c r="S458" s="41" t="n">
        <x:f>R458/E458</x:f>
        <x:v>120607034933.33333</x:v>
      </x:c>
      <x:c r="T458" s="36" t="str">
        <x:v>SYR: population extrapolation from World Bank 2024-2025 CAGR (3.84%/yr, capped at ±5%)</x:v>
      </x:c>
      <x:c r="U458" s="36" t="str">
        <x:v>SYR: peer-growth inference from World Bank 2022; Middle East, North Africa, Afghanistan &amp; Pakistan median -2.04%/yr (18 peers, capped at ±8%)</x:v>
      </x:c>
      <x:c r="V458" s="36" t="str">
        <x:v>SYR: peer-growth inference from World Bank 2022; Middle East, North Africa, Afghanistan &amp; Pakistan median 0.42%/yr (19 peers, capped at ±8%)</x:v>
      </x:c>
      <x:c r="W458" s="36" t="str">
        <x:v>inferred</x:v>
      </x:c>
      <x:c r="X458" s="36" t="str">
        <x:v>https://api.imf.org/external/sdmx/3.0/data/dataflow/IMF.RES/WEO/9.0.0/</x:v>
      </x:c>
      <x:c r="Y458" s="36" t="str">
        <x:v>https://api.worldbank.org/v2/</x:v>
      </x:c>
    </x:row>
    <x:row r="459">
      <x:c r="A459" s="24" t="str">
        <x:v>TWN</x:v>
      </x:c>
      <x:c r="B459" s="24" t="str">
        <x:v>Taiwan</x:v>
      </x:c>
      <x:c r="C459" s="24" t="str">
        <x:v>TWN</x:v>
      </x:c>
      <x:c r="D459" s="24" t="n">
        <x:v>2003</x:v>
      </x:c>
      <x:c r="E459" s="37" t="n">
        <x:v>1.59</x:v>
      </x:c>
      <x:c r="F459" s="38" t="n">
        <x:v>22664125</x:v>
      </x:c>
      <x:c r="G459" s="38" t="n">
        <x:v>22604550</x:v>
      </x:c>
      <x:c r="H459" s="39" t="n">
        <x:f>G459/F459</x:f>
        <x:v>0.9973713964249667</x:v>
      </x:c>
      <x:c r="I459" s="40" t="n">
        <x:v>306516959064</x:v>
      </x:c>
      <x:c r="J459" s="40" t="n">
        <x:v>487361964912</x:v>
      </x:c>
      <x:c r="K459" s="40" t="n">
        <x:v>21504</x:v>
      </x:c>
      <x:c r="L459" s="40" t="n">
        <x:v>22325</x:v>
      </x:c>
      <x:c r="M459" s="40" t="n">
        <x:v>36805</x:v>
      </x:c>
      <x:c r="N459" s="41" t="n">
        <x:f>MIN(L459,M459)</x:f>
        <x:v>22325</x:v>
      </x:c>
      <x:c r="O459" s="41" t="n">
        <x:f>MAX(L459,M459)</x:f>
        <x:v>36805</x:v>
      </x:c>
      <x:c r="P459" s="41" t="n">
        <x:f>MAX(N459,MIN(K459,O459))</x:f>
        <x:v>22325</x:v>
      </x:c>
      <x:c r="Q459" s="19" t="str">
        <x:f>IF(K459&lt;N459,IF(N459=L459,"clamped_to_nominal","clamped_to_ppp"),IF(K459&gt;O459,IF(O459=L459,"clamped_to_nominal","clamped_to_ppp"),"kept_vanilla"))</x:f>
        <x:v>clamped_to_nominal</x:v>
      </x:c>
      <x:c r="R459" s="41" t="n">
        <x:f>P459*G459</x:f>
        <x:v>504646578750</x:v>
      </x:c>
      <x:c r="S459" s="41" t="n">
        <x:f>R459/E459</x:f>
        <x:v>317387785377.35846</x:v>
      </x:c>
      <x:c r="T459" s="36" t="str">
        <x:v>TWN: IMF exact 2003</x:v>
      </x:c>
      <x:c r="U459" s="36" t="str">
        <x:v>TWN: IMF exact 2003</x:v>
      </x:c>
      <x:c r="V459" s="36" t="str">
        <x:v>TWN: IMF exact 2003</x:v>
      </x:c>
      <x:c r="W459" s="36" t="str">
        <x:v>complete_primary</x:v>
      </x:c>
      <x:c r="X459" s="36" t="str">
        <x:v>https://api.imf.org/external/sdmx/3.0/data/dataflow/IMF.RES/WEO/9.0.0/</x:v>
      </x:c>
      <x:c r="Y459" s="36" t="str">
        <x:v>https://api.worldbank.org/v2/</x:v>
      </x:c>
    </x:row>
    <x:row r="460">
      <x:c r="A460" s="24" t="str">
        <x:v>TWN</x:v>
      </x:c>
      <x:c r="B460" s="24" t="str">
        <x:v>Taiwan</x:v>
      </x:c>
      <x:c r="C460" s="24" t="str">
        <x:v>TWN</x:v>
      </x:c>
      <x:c r="D460" s="24" t="n">
        <x:v>2022</x:v>
      </x:c>
      <x:c r="E460" s="37" t="n">
        <x:v>1</x:v>
      </x:c>
      <x:c r="F460" s="38" t="n">
        <x:v>23898689</x:v>
      </x:c>
      <x:c r="G460" s="38" t="n">
        <x:v>23264640</x:v>
      </x:c>
      <x:c r="H460" s="39" t="n">
        <x:f>G460/F460</x:f>
        <x:v>0.9734692978347055</x:v>
      </x:c>
      <x:c r="I460" s="40" t="n">
        <x:v>1603723000000</x:v>
      </x:c>
      <x:c r="J460" s="40" t="n">
        <x:v>1603723000000</x:v>
      </x:c>
      <x:c r="K460" s="40" t="n">
        <x:v>67105</x:v>
      </x:c>
      <x:c r="L460" s="40" t="n">
        <x:v>32909</x:v>
      </x:c>
      <x:c r="M460" s="40" t="n">
        <x:v>71502</x:v>
      </x:c>
      <x:c r="N460" s="41" t="n">
        <x:f>MIN(L460,M460)</x:f>
        <x:v>32909</x:v>
      </x:c>
      <x:c r="O460" s="41" t="n">
        <x:f>MAX(L460,M460)</x:f>
        <x:v>71502</x:v>
      </x:c>
      <x:c r="P460" s="41" t="n">
        <x:f>MAX(N460,MIN(K460,O460))</x:f>
        <x:v>67105</x:v>
      </x:c>
      <x:c r="Q460" s="19" t="str">
        <x:f>IF(K460&lt;N460,IF(N460=L460,"clamped_to_nominal","clamped_to_ppp"),IF(K460&gt;O460,IF(O460=L460,"clamped_to_nominal","clamped_to_ppp"),"kept_vanilla"))</x:f>
        <x:v>kept_vanilla</x:v>
      </x:c>
      <x:c r="R460" s="41" t="n">
        <x:f>P460*G460</x:f>
        <x:v>1561173667200</x:v>
      </x:c>
      <x:c r="S460" s="41" t="n">
        <x:f>R460/E460</x:f>
        <x:v>1561173667200</x:v>
      </x:c>
      <x:c r="T460" s="36" t="str">
        <x:v>TWN: IMF exact 2022</x:v>
      </x:c>
      <x:c r="U460" s="36" t="str">
        <x:v>TWN: IMF exact 2022</x:v>
      </x:c>
      <x:c r="V460" s="36" t="str">
        <x:v>TWN: IMF exact 2022</x:v>
      </x:c>
      <x:c r="W460" s="36" t="str">
        <x:v>complete_primary</x:v>
      </x:c>
      <x:c r="X460" s="36" t="str">
        <x:v>https://api.imf.org/external/sdmx/3.0/data/dataflow/IMF.RES/WEO/9.0.0/</x:v>
      </x:c>
      <x:c r="Y460" s="36" t="str">
        <x:v>https://api.worldbank.org/v2/</x:v>
      </x:c>
    </x:row>
    <x:row r="461">
      <x:c r="A461" s="24" t="str">
        <x:v>TWN</x:v>
      </x:c>
      <x:c r="B461" s="24" t="str">
        <x:v>Taiwan</x:v>
      </x:c>
      <x:c r="C461" s="24" t="str">
        <x:v>TWN</x:v>
      </x:c>
      <x:c r="D461" s="24" t="n">
        <x:v>2026</x:v>
      </x:c>
      <x:c r="E461" s="37" t="n">
        <x:v>0.87</x:v>
      </x:c>
      <x:c r="F461" s="38" t="n">
        <x:v>23011293</x:v>
      </x:c>
      <x:c r="G461" s="38" t="n">
        <x:v>23198481</x:v>
      </x:c>
      <x:c r="H461" s="39" t="n">
        <x:f>G461/F461</x:f>
        <x:v>1.0081346145998837</x:v>
      </x:c>
      <x:c r="I461" s="40" t="n">
        <x:v>1751435840000</x:v>
      </x:c>
      <x:c r="J461" s="40" t="n">
        <x:v>1523749180800</x:v>
      </x:c>
      <x:c r="K461" s="40" t="n">
        <x:v>66217</x:v>
      </x:c>
      <x:c r="L461" s="40" t="n">
        <x:v>36629</x:v>
      </x:c>
      <x:c r="M461" s="40" t="n">
        <x:v>85304</x:v>
      </x:c>
      <x:c r="N461" s="41" t="n">
        <x:f>MIN(L461,M461)</x:f>
        <x:v>36629</x:v>
      </x:c>
      <x:c r="O461" s="41" t="n">
        <x:f>MAX(L461,M461)</x:f>
        <x:v>85304</x:v>
      </x:c>
      <x:c r="P461" s="41" t="n">
        <x:f>MAX(N461,MIN(K461,O461))</x:f>
        <x:v>66217</x:v>
      </x:c>
      <x:c r="Q461" s="19" t="str">
        <x:f>IF(K461&lt;N461,IF(N461=L461,"clamped_to_nominal","clamped_to_ppp"),IF(K461&gt;O461,IF(O461=L461,"clamped_to_nominal","clamped_to_ppp"),"kept_vanilla"))</x:f>
        <x:v>kept_vanilla</x:v>
      </x:c>
      <x:c r="R461" s="41" t="n">
        <x:f>P461*G461</x:f>
        <x:v>1536133816377</x:v>
      </x:c>
      <x:c r="S461" s="41" t="n">
        <x:f>R461/E461</x:f>
        <x:v>1765671053306.8965</x:v>
      </x:c>
      <x:c r="T461" s="36" t="str">
        <x:v>TWN: IMF exact 2026</x:v>
      </x:c>
      <x:c r="U461" s="36" t="str">
        <x:v>TWN: IMF exact 2026</x:v>
      </x:c>
      <x:c r="V461" s="36" t="str">
        <x:v>TWN: IMF exact 2026</x:v>
      </x:c>
      <x:c r="W461" s="36" t="str">
        <x:v>complete_primary</x:v>
      </x:c>
      <x:c r="X461" s="36" t="str">
        <x:v>https://api.imf.org/external/sdmx/3.0/data/dataflow/IMF.RES/WEO/9.0.0/</x:v>
      </x:c>
      <x:c r="Y461" s="36" t="str">
        <x:v>https://api.worldbank.org/v2/</x:v>
      </x:c>
    </x:row>
    <x:row r="462">
      <x:c r="A462" s="24" t="str">
        <x:v>TJK</x:v>
      </x:c>
      <x:c r="B462" s="24" t="str">
        <x:v>Tajikistan</x:v>
      </x:c>
      <x:c r="C462" s="24" t="str">
        <x:v>TJK</x:v>
      </x:c>
      <x:c r="D462" s="24" t="n">
        <x:v>2003</x:v>
      </x:c>
      <x:c r="E462" s="37" t="n">
        <x:v>1.59</x:v>
      </x:c>
      <x:c r="F462" s="38" t="n">
        <x:v>6658575</x:v>
      </x:c>
      <x:c r="G462" s="38" t="n">
        <x:v>6576877</x:v>
      </x:c>
      <x:c r="H462" s="39" t="n">
        <x:f>G462/F462</x:f>
        <x:v>0.9877304077824459</x:v>
      </x:c>
      <x:c r="I462" s="40" t="n">
        <x:v>4730409357</x:v>
      </x:c>
      <x:c r="J462" s="40" t="n">
        <x:v>7521350878</x:v>
      </x:c>
      <x:c r="K462" s="40" t="n">
        <x:v>1130</x:v>
      </x:c>
      <x:c r="L462" s="40" t="n">
        <x:v>376</x:v>
      </x:c>
      <x:c r="M462" s="40" t="n">
        <x:v>1956</x:v>
      </x:c>
      <x:c r="N462" s="41" t="n">
        <x:f>MIN(L462,M462)</x:f>
        <x:v>376</x:v>
      </x:c>
      <x:c r="O462" s="41" t="n">
        <x:f>MAX(L462,M462)</x:f>
        <x:v>1956</x:v>
      </x:c>
      <x:c r="P462" s="41" t="n">
        <x:f>MAX(N462,MIN(K462,O462))</x:f>
        <x:v>1130</x:v>
      </x:c>
      <x:c r="Q462" s="19" t="str">
        <x:f>IF(K462&lt;N462,IF(N462=L462,"clamped_to_nominal","clamped_to_ppp"),IF(K462&gt;O462,IF(O462=L462,"clamped_to_nominal","clamped_to_ppp"),"kept_vanilla"))</x:f>
        <x:v>kept_vanilla</x:v>
      </x:c>
      <x:c r="R462" s="41" t="n">
        <x:f>P462*G462</x:f>
        <x:v>7431871010</x:v>
      </x:c>
      <x:c r="S462" s="41" t="n">
        <x:f>R462/E462</x:f>
        <x:v>4674132710.691824</x:v>
      </x:c>
      <x:c r="T462" s="36" t="str">
        <x:v>TJK: IMF exact 2003</x:v>
      </x:c>
      <x:c r="U462" s="36" t="str">
        <x:v>TJK: IMF exact 2003</x:v>
      </x:c>
      <x:c r="V462" s="36" t="str">
        <x:v>TJK: IMF exact 2003</x:v>
      </x:c>
      <x:c r="W462" s="36" t="str">
        <x:v>complete_primary</x:v>
      </x:c>
      <x:c r="X462" s="36" t="str">
        <x:v>https://api.imf.org/external/sdmx/3.0/data/dataflow/IMF.RES/WEO/9.0.0/</x:v>
      </x:c>
      <x:c r="Y462" s="36" t="str">
        <x:v>https://api.worldbank.org/v2/</x:v>
      </x:c>
    </x:row>
    <x:row r="463">
      <x:c r="A463" s="24" t="str">
        <x:v>TJK</x:v>
      </x:c>
      <x:c r="B463" s="24" t="str">
        <x:v>Tajikistan</x:v>
      </x:c>
      <x:c r="C463" s="24" t="str">
        <x:v>TJK</x:v>
      </x:c>
      <x:c r="D463" s="24" t="n">
        <x:v>2022</x:v>
      </x:c>
      <x:c r="E463" s="37" t="n">
        <x:v>1</x:v>
      </x:c>
      <x:c r="F463" s="38" t="n">
        <x:v>10022632</x:v>
      </x:c>
      <x:c r="G463" s="38" t="n">
        <x:v>9835989</x:v>
      </x:c>
      <x:c r="H463" s="39" t="n">
        <x:f>G463/F463</x:f>
        <x:v>0.981377845659703</x:v>
      </x:c>
      <x:c r="I463" s="40" t="n">
        <x:v>40075200000</x:v>
      </x:c>
      <x:c r="J463" s="40" t="n">
        <x:v>40075200000</x:v>
      </x:c>
      <x:c r="K463" s="40" t="n">
        <x:v>3998</x:v>
      </x:c>
      <x:c r="L463" s="40" t="n">
        <x:v>1089</x:v>
      </x:c>
      <x:c r="M463" s="40" t="n">
        <x:v>4672</x:v>
      </x:c>
      <x:c r="N463" s="41" t="n">
        <x:f>MIN(L463,M463)</x:f>
        <x:v>1089</x:v>
      </x:c>
      <x:c r="O463" s="41" t="n">
        <x:f>MAX(L463,M463)</x:f>
        <x:v>4672</x:v>
      </x:c>
      <x:c r="P463" s="41" t="n">
        <x:f>MAX(N463,MIN(K463,O463))</x:f>
        <x:v>3998</x:v>
      </x:c>
      <x:c r="Q463" s="19" t="str">
        <x:f>IF(K463&lt;N463,IF(N463=L463,"clamped_to_nominal","clamped_to_ppp"),IF(K463&gt;O463,IF(O463=L463,"clamped_to_nominal","clamped_to_ppp"),"kept_vanilla"))</x:f>
        <x:v>kept_vanilla</x:v>
      </x:c>
      <x:c r="R463" s="41" t="n">
        <x:f>P463*G463</x:f>
        <x:v>39324284022</x:v>
      </x:c>
      <x:c r="S463" s="41" t="n">
        <x:f>R463/E463</x:f>
        <x:v>39324284022</x:v>
      </x:c>
      <x:c r="T463" s="36" t="str">
        <x:v>TJK: IMF exact 2022</x:v>
      </x:c>
      <x:c r="U463" s="36" t="str">
        <x:v>TJK: IMF exact 2022</x:v>
      </x:c>
      <x:c r="V463" s="36" t="str">
        <x:v>TJK: IMF exact 2022</x:v>
      </x:c>
      <x:c r="W463" s="36" t="str">
        <x:v>complete_primary</x:v>
      </x:c>
      <x:c r="X463" s="36" t="str">
        <x:v>https://api.imf.org/external/sdmx/3.0/data/dataflow/IMF.RES/WEO/9.0.0/</x:v>
      </x:c>
      <x:c r="Y463" s="36" t="str">
        <x:v>https://api.worldbank.org/v2/</x:v>
      </x:c>
    </x:row>
    <x:row r="464">
      <x:c r="A464" s="24" t="str">
        <x:v>TJK</x:v>
      </x:c>
      <x:c r="B464" s="24" t="str">
        <x:v>Tajikistan</x:v>
      </x:c>
      <x:c r="C464" s="24" t="str">
        <x:v>TJK</x:v>
      </x:c>
      <x:c r="D464" s="24" t="n">
        <x:v>2026</x:v>
      </x:c>
      <x:c r="E464" s="37" t="n">
        <x:v>0.87</x:v>
      </x:c>
      <x:c r="F464" s="38" t="n">
        <x:v>10978599</x:v>
      </x:c>
      <x:c r="G464" s="38" t="n">
        <x:v>10530400</x:v>
      </x:c>
      <x:c r="H464" s="39" t="n">
        <x:f>G464/F464</x:f>
        <x:v>0.9591752098787832</x:v>
      </x:c>
      <x:c r="I464" s="40" t="n">
        <x:v>55137280000</x:v>
      </x:c>
      <x:c r="J464" s="40" t="n">
        <x:v>47969433600</x:v>
      </x:c>
      <x:c r="K464" s="40" t="n">
        <x:v>4369</x:v>
      </x:c>
      <x:c r="L464" s="40" t="n">
        <x:v>1687</x:v>
      </x:c>
      <x:c r="M464" s="40" t="n">
        <x:v>5756</x:v>
      </x:c>
      <x:c r="N464" s="41" t="n">
        <x:f>MIN(L464,M464)</x:f>
        <x:v>1687</x:v>
      </x:c>
      <x:c r="O464" s="41" t="n">
        <x:f>MAX(L464,M464)</x:f>
        <x:v>5756</x:v>
      </x:c>
      <x:c r="P464" s="41" t="n">
        <x:f>MAX(N464,MIN(K464,O464))</x:f>
        <x:v>4369</x:v>
      </x:c>
      <x:c r="Q464" s="19" t="str">
        <x:f>IF(K464&lt;N464,IF(N464=L464,"clamped_to_nominal","clamped_to_ppp"),IF(K464&gt;O464,IF(O464=L464,"clamped_to_nominal","clamped_to_ppp"),"kept_vanilla"))</x:f>
        <x:v>kept_vanilla</x:v>
      </x:c>
      <x:c r="R464" s="41" t="n">
        <x:f>P464*G464</x:f>
        <x:v>46007317600</x:v>
      </x:c>
      <x:c r="S464" s="41" t="n">
        <x:f>R464/E464</x:f>
        <x:v>52881974252.873566</x:v>
      </x:c>
      <x:c r="T464" s="36" t="str">
        <x:v>TJK: IMF exact 2026</x:v>
      </x:c>
      <x:c r="U464" s="36" t="str">
        <x:v>TJK: IMF exact 2026</x:v>
      </x:c>
      <x:c r="V464" s="36" t="str">
        <x:v>TJK: IMF exact 2026</x:v>
      </x:c>
      <x:c r="W464" s="36" t="str">
        <x:v>complete_primary</x:v>
      </x:c>
      <x:c r="X464" s="36" t="str">
        <x:v>https://api.imf.org/external/sdmx/3.0/data/dataflow/IMF.RES/WEO/9.0.0/</x:v>
      </x:c>
      <x:c r="Y464" s="36" t="str">
        <x:v>https://api.worldbank.org/v2/</x:v>
      </x:c>
    </x:row>
    <x:row r="465">
      <x:c r="A465" s="24" t="str">
        <x:v>TZA</x:v>
      </x:c>
      <x:c r="B465" s="24" t="str">
        <x:v>Tanzania</x:v>
      </x:c>
      <x:c r="C465" s="24" t="str">
        <x:v>TZA</x:v>
      </x:c>
      <x:c r="D465" s="24" t="n">
        <x:v>2003</x:v>
      </x:c>
      <x:c r="E465" s="37" t="n">
        <x:v>1.59</x:v>
      </x:c>
      <x:c r="F465" s="38" t="n">
        <x:v>37089555</x:v>
      </x:c>
      <x:c r="G465" s="38" t="n">
        <x:v>35550842</x:v>
      </x:c>
      <x:c r="H465" s="39" t="n">
        <x:f>G465/F465</x:f>
        <x:v>0.9585135761267559</x:v>
      </x:c>
      <x:c r="I465" s="40" t="n">
        <x:v>25028654971</x:v>
      </x:c>
      <x:c r="J465" s="40" t="n">
        <x:v>39795561404</x:v>
      </x:c>
      <x:c r="K465" s="40" t="n">
        <x:v>1073</x:v>
      </x:c>
      <x:c r="L465" s="40" t="n">
        <x:v>633</x:v>
      </x:c>
      <x:c r="M465" s="40" t="n">
        <x:v>1914</x:v>
      </x:c>
      <x:c r="N465" s="41" t="n">
        <x:f>MIN(L465,M465)</x:f>
        <x:v>633</x:v>
      </x:c>
      <x:c r="O465" s="41" t="n">
        <x:f>MAX(L465,M465)</x:f>
        <x:v>1914</x:v>
      </x:c>
      <x:c r="P465" s="41" t="n">
        <x:f>MAX(N465,MIN(K465,O465))</x:f>
        <x:v>1073</x:v>
      </x:c>
      <x:c r="Q465" s="19" t="str">
        <x:f>IF(K465&lt;N465,IF(N465=L465,"clamped_to_nominal","clamped_to_ppp"),IF(K465&gt;O465,IF(O465=L465,"clamped_to_nominal","clamped_to_ppp"),"kept_vanilla"))</x:f>
        <x:v>kept_vanilla</x:v>
      </x:c>
      <x:c r="R465" s="41" t="n">
        <x:f>P465*G465</x:f>
        <x:v>38146053466</x:v>
      </x:c>
      <x:c r="S465" s="41" t="n">
        <x:f>R465/E465</x:f>
        <x:v>23991228594.96855</x:v>
      </x:c>
      <x:c r="T465" s="36" t="str">
        <x:v>TZA: IMF exact 2003</x:v>
      </x:c>
      <x:c r="U465" s="36" t="str">
        <x:v>TZA: IMF exact 2003</x:v>
      </x:c>
      <x:c r="V465" s="36" t="str">
        <x:v>TZA: IMF exact 2003</x:v>
      </x:c>
      <x:c r="W465" s="36" t="str">
        <x:v>complete_primary</x:v>
      </x:c>
      <x:c r="X465" s="36" t="str">
        <x:v>https://api.imf.org/external/sdmx/3.0/data/dataflow/IMF.RES/WEO/9.0.0/</x:v>
      </x:c>
      <x:c r="Y465" s="36" t="str">
        <x:v>https://api.worldbank.org/v2/</x:v>
      </x:c>
    </x:row>
    <x:row r="466">
      <x:c r="A466" s="24" t="str">
        <x:v>TZA</x:v>
      </x:c>
      <x:c r="B466" s="24" t="str">
        <x:v>Tanzania</x:v>
      </x:c>
      <x:c r="C466" s="24" t="str">
        <x:v>TZA</x:v>
      </x:c>
      <x:c r="D466" s="24" t="n">
        <x:v>2022</x:v>
      </x:c>
      <x:c r="E466" s="37" t="n">
        <x:v>1</x:v>
      </x:c>
      <x:c r="F466" s="38" t="n">
        <x:v>63869366</x:v>
      </x:c>
      <x:c r="G466" s="38" t="n">
        <x:v>61868515</x:v>
      </x:c>
      <x:c r="H466" s="39" t="n">
        <x:f>G466/F466</x:f>
        <x:v>0.9686727593319151</x:v>
      </x:c>
      <x:c r="I466" s="40" t="n">
        <x:v>181779840000</x:v>
      </x:c>
      <x:c r="J466" s="40" t="n">
        <x:v>181779840000</x:v>
      </x:c>
      <x:c r="K466" s="40" t="n">
        <x:v>2846</x:v>
      </x:c>
      <x:c r="L466" s="40" t="n">
        <x:v>1199</x:v>
      </x:c>
      <x:c r="M466" s="40" t="n">
        <x:v>3709</x:v>
      </x:c>
      <x:c r="N466" s="41" t="n">
        <x:f>MIN(L466,M466)</x:f>
        <x:v>1199</x:v>
      </x:c>
      <x:c r="O466" s="41" t="n">
        <x:f>MAX(L466,M466)</x:f>
        <x:v>3709</x:v>
      </x:c>
      <x:c r="P466" s="41" t="n">
        <x:f>MAX(N466,MIN(K466,O466))</x:f>
        <x:v>2846</x:v>
      </x:c>
      <x:c r="Q466" s="19" t="str">
        <x:f>IF(K466&lt;N466,IF(N466=L466,"clamped_to_nominal","clamped_to_ppp"),IF(K466&gt;O466,IF(O466=L466,"clamped_to_nominal","clamped_to_ppp"),"kept_vanilla"))</x:f>
        <x:v>kept_vanilla</x:v>
      </x:c>
      <x:c r="R466" s="41" t="n">
        <x:f>P466*G466</x:f>
        <x:v>176077793690</x:v>
      </x:c>
      <x:c r="S466" s="41" t="n">
        <x:f>R466/E466</x:f>
        <x:v>176077793690</x:v>
      </x:c>
      <x:c r="T466" s="36" t="str">
        <x:v>TZA: IMF exact 2022</x:v>
      </x:c>
      <x:c r="U466" s="36" t="str">
        <x:v>TZA: IMF exact 2022</x:v>
      </x:c>
      <x:c r="V466" s="36" t="str">
        <x:v>TZA: IMF exact 2022</x:v>
      </x:c>
      <x:c r="W466" s="36" t="str">
        <x:v>complete_primary</x:v>
      </x:c>
      <x:c r="X466" s="36" t="str">
        <x:v>https://api.imf.org/external/sdmx/3.0/data/dataflow/IMF.RES/WEO/9.0.0/</x:v>
      </x:c>
      <x:c r="Y466" s="36" t="str">
        <x:v>https://api.worldbank.org/v2/</x:v>
      </x:c>
    </x:row>
    <x:row r="467">
      <x:c r="A467" s="24" t="str">
        <x:v>TZA</x:v>
      </x:c>
      <x:c r="B467" s="24" t="str">
        <x:v>Tanzania</x:v>
      </x:c>
      <x:c r="C467" s="24" t="str">
        <x:v>TZA</x:v>
      </x:c>
      <x:c r="D467" s="24" t="n">
        <x:v>2026</x:v>
      </x:c>
      <x:c r="E467" s="37" t="n">
        <x:v>0.87</x:v>
      </x:c>
      <x:c r="F467" s="38" t="n">
        <x:v>72563781</x:v>
      </x:c>
      <x:c r="G467" s="38" t="n">
        <x:v>69652508</x:v>
      </x:c>
      <x:c r="H467" s="39" t="n">
        <x:f>G467/F467</x:f>
        <x:v>0.9598798056016403</x:v>
      </x:c>
      <x:c r="I467" s="40" t="n">
        <x:v>258360960000</x:v>
      </x:c>
      <x:c r="J467" s="40" t="n">
        <x:v>224774035200</x:v>
      </x:c>
      <x:c r="K467" s="40" t="n">
        <x:v>3098</x:v>
      </x:c>
      <x:c r="L467" s="40" t="n">
        <x:v>1185</x:v>
      </x:c>
      <x:c r="M467" s="40" t="n">
        <x:v>4008</x:v>
      </x:c>
      <x:c r="N467" s="41" t="n">
        <x:f>MIN(L467,M467)</x:f>
        <x:v>1185</x:v>
      </x:c>
      <x:c r="O467" s="41" t="n">
        <x:f>MAX(L467,M467)</x:f>
        <x:v>4008</x:v>
      </x:c>
      <x:c r="P467" s="41" t="n">
        <x:f>MAX(N467,MIN(K467,O467))</x:f>
        <x:v>3098</x:v>
      </x:c>
      <x:c r="Q467" s="19" t="str">
        <x:f>IF(K467&lt;N467,IF(N467=L467,"clamped_to_nominal","clamped_to_ppp"),IF(K467&gt;O467,IF(O467=L467,"clamped_to_nominal","clamped_to_ppp"),"kept_vanilla"))</x:f>
        <x:v>kept_vanilla</x:v>
      </x:c>
      <x:c r="R467" s="41" t="n">
        <x:f>P467*G467</x:f>
        <x:v>215783469784</x:v>
      </x:c>
      <x:c r="S467" s="41" t="n">
        <x:f>R467/E467</x:f>
        <x:v>248026976763.21838</x:v>
      </x:c>
      <x:c r="T467" s="36" t="str">
        <x:v>TZA: IMF exact 2026</x:v>
      </x:c>
      <x:c r="U467" s="36" t="str">
        <x:v>TZA: IMF exact 2026</x:v>
      </x:c>
      <x:c r="V467" s="36" t="str">
        <x:v>TZA: IMF exact 2026</x:v>
      </x:c>
      <x:c r="W467" s="36" t="str">
        <x:v>complete_primary</x:v>
      </x:c>
      <x:c r="X467" s="36" t="str">
        <x:v>https://api.imf.org/external/sdmx/3.0/data/dataflow/IMF.RES/WEO/9.0.0/</x:v>
      </x:c>
      <x:c r="Y467" s="36" t="str">
        <x:v>https://api.worldbank.org/v2/</x:v>
      </x:c>
    </x:row>
    <x:row r="468">
      <x:c r="A468" s="24" t="str">
        <x:v>THA</x:v>
      </x:c>
      <x:c r="B468" s="24" t="str">
        <x:v>Thailand</x:v>
      </x:c>
      <x:c r="C468" s="24" t="str">
        <x:v>THA</x:v>
      </x:c>
      <x:c r="D468" s="24" t="n">
        <x:v>2003</x:v>
      </x:c>
      <x:c r="E468" s="37" t="n">
        <x:v>1.59</x:v>
      </x:c>
      <x:c r="F468" s="38" t="n">
        <x:v>64868166</x:v>
      </x:c>
      <x:c r="G468" s="38" t="n">
        <x:v>64868166</x:v>
      </x:c>
      <x:c r="H468" s="39" t="n">
        <x:f>G468/F468</x:f>
        <x:v>1</x:v>
      </x:c>
      <x:c r="I468" s="40" t="n">
        <x:v>339446198830</x:v>
      </x:c>
      <x:c r="J468" s="40" t="n">
        <x:v>539719456140</x:v>
      </x:c>
      <x:c r="K468" s="40" t="n">
        <x:v>8320</x:v>
      </x:c>
      <x:c r="L468" s="40" t="n">
        <x:v>3733</x:v>
      </x:c>
      <x:c r="M468" s="40" t="n">
        <x:v>14228</x:v>
      </x:c>
      <x:c r="N468" s="41" t="n">
        <x:f>MIN(L468,M468)</x:f>
        <x:v>3733</x:v>
      </x:c>
      <x:c r="O468" s="41" t="n">
        <x:f>MAX(L468,M468)</x:f>
        <x:v>14228</x:v>
      </x:c>
      <x:c r="P468" s="41" t="n">
        <x:f>MAX(N468,MIN(K468,O468))</x:f>
        <x:v>8320</x:v>
      </x:c>
      <x:c r="Q468" s="19" t="str">
        <x:f>IF(K468&lt;N468,IF(N468=L468,"clamped_to_nominal","clamped_to_ppp"),IF(K468&gt;O468,IF(O468=L468,"clamped_to_nominal","clamped_to_ppp"),"kept_vanilla"))</x:f>
        <x:v>kept_vanilla</x:v>
      </x:c>
      <x:c r="R468" s="41" t="n">
        <x:f>P468*G468</x:f>
        <x:v>539703141120</x:v>
      </x:c>
      <x:c r="S468" s="41" t="n">
        <x:f>R468/E468</x:f>
        <x:v>339435937811.32074</x:v>
      </x:c>
      <x:c r="T468" s="36" t="str">
        <x:v>THA: IMF exact 2003</x:v>
      </x:c>
      <x:c r="U468" s="36" t="str">
        <x:v>THA: IMF exact 2003</x:v>
      </x:c>
      <x:c r="V468" s="36" t="str">
        <x:v>THA: IMF exact 2003</x:v>
      </x:c>
      <x:c r="W468" s="36" t="str">
        <x:v>complete_primary</x:v>
      </x:c>
      <x:c r="X468" s="36" t="str">
        <x:v>https://api.imf.org/external/sdmx/3.0/data/dataflow/IMF.RES/WEO/9.0.0/</x:v>
      </x:c>
      <x:c r="Y468" s="36" t="str">
        <x:v>https://api.worldbank.org/v2/</x:v>
      </x:c>
    </x:row>
    <x:row r="469">
      <x:c r="A469" s="24" t="str">
        <x:v>THA</x:v>
      </x:c>
      <x:c r="B469" s="24" t="str">
        <x:v>Thailand</x:v>
      </x:c>
      <x:c r="C469" s="24" t="str">
        <x:v>THA</x:v>
      </x:c>
      <x:c r="D469" s="24" t="n">
        <x:v>2022</x:v>
      </x:c>
      <x:c r="E469" s="37" t="n">
        <x:v>1</x:v>
      </x:c>
      <x:c r="F469" s="38" t="n">
        <x:v>70116256</x:v>
      </x:c>
      <x:c r="G469" s="38" t="n">
        <x:v>71735329</x:v>
      </x:c>
      <x:c r="H469" s="39" t="n">
        <x:f>G469/F469</x:f>
        <x:v>1.0230912643139416</x:v>
      </x:c>
      <x:c r="I469" s="40" t="n">
        <x:v>1298577280000</x:v>
      </x:c>
      <x:c r="J469" s="40" t="n">
        <x:v>1298577280000</x:v>
      </x:c>
      <x:c r="K469" s="40" t="n">
        <x:v>18520</x:v>
      </x:c>
      <x:c r="L469" s="40" t="n">
        <x:v>6910</x:v>
      </x:c>
      <x:c r="M469" s="40" t="n">
        <x:v>22256</x:v>
      </x:c>
      <x:c r="N469" s="41" t="n">
        <x:f>MIN(L469,M469)</x:f>
        <x:v>6910</x:v>
      </x:c>
      <x:c r="O469" s="41" t="n">
        <x:f>MAX(L469,M469)</x:f>
        <x:v>22256</x:v>
      </x:c>
      <x:c r="P469" s="41" t="n">
        <x:f>MAX(N469,MIN(K469,O469))</x:f>
        <x:v>18520</x:v>
      </x:c>
      <x:c r="Q469" s="19" t="str">
        <x:f>IF(K469&lt;N469,IF(N469=L469,"clamped_to_nominal","clamped_to_ppp"),IF(K469&gt;O469,IF(O469=L469,"clamped_to_nominal","clamped_to_ppp"),"kept_vanilla"))</x:f>
        <x:v>kept_vanilla</x:v>
      </x:c>
      <x:c r="R469" s="41" t="n">
        <x:f>P469*G469</x:f>
        <x:v>1328538293080</x:v>
      </x:c>
      <x:c r="S469" s="41" t="n">
        <x:f>R469/E469</x:f>
        <x:v>1328538293080</x:v>
      </x:c>
      <x:c r="T469" s="36" t="str">
        <x:v>THA: IMF exact 2022</x:v>
      </x:c>
      <x:c r="U469" s="36" t="str">
        <x:v>THA: IMF exact 2022</x:v>
      </x:c>
      <x:c r="V469" s="36" t="str">
        <x:v>THA: IMF exact 2022</x:v>
      </x:c>
      <x:c r="W469" s="36" t="str">
        <x:v>complete_primary</x:v>
      </x:c>
      <x:c r="X469" s="36" t="str">
        <x:v>https://api.imf.org/external/sdmx/3.0/data/dataflow/IMF.RES/WEO/9.0.0/</x:v>
      </x:c>
      <x:c r="Y469" s="36" t="str">
        <x:v>https://api.worldbank.org/v2/</x:v>
      </x:c>
    </x:row>
    <x:row r="470">
      <x:c r="A470" s="24" t="str">
        <x:v>THA</x:v>
      </x:c>
      <x:c r="B470" s="24" t="str">
        <x:v>Thailand</x:v>
      </x:c>
      <x:c r="C470" s="24" t="str">
        <x:v>THA</x:v>
      </x:c>
      <x:c r="D470" s="24" t="n">
        <x:v>2026</x:v>
      </x:c>
      <x:c r="E470" s="37" t="n">
        <x:v>0.87</x:v>
      </x:c>
      <x:c r="F470" s="38" t="n">
        <x:v>71559614</x:v>
      </x:c>
      <x:c r="G470" s="38" t="n">
        <x:v>71559614</x:v>
      </x:c>
      <x:c r="H470" s="39" t="n">
        <x:f>G470/F470</x:f>
        <x:v>1</x:v>
      </x:c>
      <x:c r="I470" s="40" t="n">
        <x:v>1631318480000</x:v>
      </x:c>
      <x:c r="J470" s="40" t="n">
        <x:v>1419247077600</x:v>
      </x:c>
      <x:c r="K470" s="40" t="n">
        <x:v>19833</x:v>
      </x:c>
      <x:c r="L470" s="40" t="n">
        <x:v>7051</x:v>
      </x:c>
      <x:c r="M470" s="40" t="n">
        <x:v>23874</x:v>
      </x:c>
      <x:c r="N470" s="41" t="n">
        <x:f>MIN(L470,M470)</x:f>
        <x:v>7051</x:v>
      </x:c>
      <x:c r="O470" s="41" t="n">
        <x:f>MAX(L470,M470)</x:f>
        <x:v>23874</x:v>
      </x:c>
      <x:c r="P470" s="41" t="n">
        <x:f>MAX(N470,MIN(K470,O470))</x:f>
        <x:v>19833</x:v>
      </x:c>
      <x:c r="Q470" s="19" t="str">
        <x:f>IF(K470&lt;N470,IF(N470=L470,"clamped_to_nominal","clamped_to_ppp"),IF(K470&gt;O470,IF(O470=L470,"clamped_to_nominal","clamped_to_ppp"),"kept_vanilla"))</x:f>
        <x:v>kept_vanilla</x:v>
      </x:c>
      <x:c r="R470" s="41" t="n">
        <x:f>P470*G470</x:f>
        <x:v>1419241824462</x:v>
      </x:c>
      <x:c r="S470" s="41" t="n">
        <x:f>R470/E470</x:f>
        <x:v>1631312441910.3447</x:v>
      </x:c>
      <x:c r="T470" s="36" t="str">
        <x:v>THA: IMF exact 2026</x:v>
      </x:c>
      <x:c r="U470" s="36" t="str">
        <x:v>THA: IMF exact 2026</x:v>
      </x:c>
      <x:c r="V470" s="36" t="str">
        <x:v>THA: IMF exact 2026</x:v>
      </x:c>
      <x:c r="W470" s="36" t="str">
        <x:v>complete_primary</x:v>
      </x:c>
      <x:c r="X470" s="36" t="str">
        <x:v>https://api.imf.org/external/sdmx/3.0/data/dataflow/IMF.RES/WEO/9.0.0/</x:v>
      </x:c>
      <x:c r="Y470" s="36" t="str">
        <x:v>https://api.worldbank.org/v2/</x:v>
      </x:c>
    </x:row>
    <x:row r="471">
      <x:c r="A471" s="24" t="str">
        <x:v>TLS</x:v>
      </x:c>
      <x:c r="B471" s="24" t="str">
        <x:v>Timor-Leste</x:v>
      </x:c>
      <x:c r="C471" s="24" t="str">
        <x:v>TLS</x:v>
      </x:c>
      <x:c r="D471" s="24" t="n">
        <x:v>2003</x:v>
      </x:c>
      <x:c r="E471" s="37" t="n">
        <x:v>1.59</x:v>
      </x:c>
      <x:c r="F471" s="38" t="n">
        <x:v>916878</x:v>
      </x:c>
      <x:c r="G471" s="38" t="n">
        <x:v>909829</x:v>
      </x:c>
      <x:c r="H471" s="39" t="n">
        <x:f>G471/F471</x:f>
        <x:v>0.992311954262181</x:v>
      </x:c>
      <x:c r="I471" s="40" t="n">
        <x:v>1101169591</x:v>
      </x:c>
      <x:c r="J471" s="40" t="n">
        <x:v>1750859650</x:v>
      </x:c>
      <x:c r="K471" s="40" t="n">
        <x:v>1910</x:v>
      </x:c>
      <x:c r="L471" s="40" t="n">
        <x:v>857</x:v>
      </x:c>
      <x:c r="M471" s="40" t="n">
        <x:v>3252</x:v>
      </x:c>
      <x:c r="N471" s="41" t="n">
        <x:f>MIN(L471,M471)</x:f>
        <x:v>857</x:v>
      </x:c>
      <x:c r="O471" s="41" t="n">
        <x:f>MAX(L471,M471)</x:f>
        <x:v>3252</x:v>
      </x:c>
      <x:c r="P471" s="41" t="n">
        <x:f>MAX(N471,MIN(K471,O471))</x:f>
        <x:v>1910</x:v>
      </x:c>
      <x:c r="Q471" s="19" t="str">
        <x:f>IF(K471&lt;N471,IF(N471=L471,"clamped_to_nominal","clamped_to_ppp"),IF(K471&gt;O471,IF(O471=L471,"clamped_to_nominal","clamped_to_ppp"),"kept_vanilla"))</x:f>
        <x:v>kept_vanilla</x:v>
      </x:c>
      <x:c r="R471" s="41" t="n">
        <x:f>P471*G471</x:f>
        <x:v>1737773390</x:v>
      </x:c>
      <x:c r="S471" s="41" t="n">
        <x:f>R471/E471</x:f>
        <x:v>1092939238.9937105</x:v>
      </x:c>
      <x:c r="T471" s="36" t="str">
        <x:v>TLS: IMF exact 2003</x:v>
      </x:c>
      <x:c r="U471" s="36" t="str">
        <x:v>TLS: IMF exact 2003</x:v>
      </x:c>
      <x:c r="V471" s="36" t="str">
        <x:v>TLS: IMF exact 2003</x:v>
      </x:c>
      <x:c r="W471" s="36" t="str">
        <x:v>complete_primary</x:v>
      </x:c>
      <x:c r="X471" s="36" t="str">
        <x:v>https://api.imf.org/external/sdmx/3.0/data/dataflow/IMF.RES/WEO/9.0.0/</x:v>
      </x:c>
      <x:c r="Y471" s="36" t="str">
        <x:v>https://api.worldbank.org/v2/</x:v>
      </x:c>
    </x:row>
    <x:row r="472">
      <x:c r="A472" s="24" t="str">
        <x:v>TLS</x:v>
      </x:c>
      <x:c r="B472" s="24" t="str">
        <x:v>Timor-Leste</x:v>
      </x:c>
      <x:c r="C472" s="24" t="str">
        <x:v>TLS</x:v>
      </x:c>
      <x:c r="D472" s="24" t="n">
        <x:v>2022</x:v>
      </x:c>
      <x:c r="E472" s="37" t="n">
        <x:v>1</x:v>
      </x:c>
      <x:c r="F472" s="38" t="n">
        <x:v>1377478</x:v>
      </x:c>
      <x:c r="G472" s="38" t="n">
        <x:v>1361744</x:v>
      </x:c>
      <x:c r="H472" s="39" t="n">
        <x:f>G472/F472</x:f>
        <x:v>0.9885776760137004</x:v>
      </x:c>
      <x:c r="I472" s="40" t="n">
        <x:v>4024240000</x:v>
      </x:c>
      <x:c r="J472" s="40" t="n">
        <x:v>4024240000</x:v>
      </x:c>
      <x:c r="K472" s="40" t="n">
        <x:v>2921</x:v>
      </x:c>
      <x:c r="L472" s="40" t="n">
        <x:v>2356</x:v>
      </x:c>
      <x:c r="M472" s="40" t="n">
        <x:v>5761</x:v>
      </x:c>
      <x:c r="N472" s="41" t="n">
        <x:f>MIN(L472,M472)</x:f>
        <x:v>2356</x:v>
      </x:c>
      <x:c r="O472" s="41" t="n">
        <x:f>MAX(L472,M472)</x:f>
        <x:v>5761</x:v>
      </x:c>
      <x:c r="P472" s="41" t="n">
        <x:f>MAX(N472,MIN(K472,O472))</x:f>
        <x:v>2921</x:v>
      </x:c>
      <x:c r="Q472" s="19" t="str">
        <x:f>IF(K472&lt;N472,IF(N472=L472,"clamped_to_nominal","clamped_to_ppp"),IF(K472&gt;O472,IF(O472=L472,"clamped_to_nominal","clamped_to_ppp"),"kept_vanilla"))</x:f>
        <x:v>kept_vanilla</x:v>
      </x:c>
      <x:c r="R472" s="41" t="n">
        <x:f>P472*G472</x:f>
        <x:v>3977654224</x:v>
      </x:c>
      <x:c r="S472" s="41" t="n">
        <x:f>R472/E472</x:f>
        <x:v>3977654224</x:v>
      </x:c>
      <x:c r="T472" s="36" t="str">
        <x:v>TLS: IMF exact 2022</x:v>
      </x:c>
      <x:c r="U472" s="36" t="str">
        <x:v>TLS: IMF exact 2022</x:v>
      </x:c>
      <x:c r="V472" s="36" t="str">
        <x:v>TLS: IMF exact 2022</x:v>
      </x:c>
      <x:c r="W472" s="36" t="str">
        <x:v>complete_primary</x:v>
      </x:c>
      <x:c r="X472" s="36" t="str">
        <x:v>https://api.imf.org/external/sdmx/3.0/data/dataflow/IMF.RES/WEO/9.0.0/</x:v>
      </x:c>
      <x:c r="Y472" s="36" t="str">
        <x:v>https://api.worldbank.org/v2/</x:v>
      </x:c>
    </x:row>
    <x:row r="473">
      <x:c r="A473" s="24" t="str">
        <x:v>TLS</x:v>
      </x:c>
      <x:c r="B473" s="24" t="str">
        <x:v>Timor-Leste</x:v>
      </x:c>
      <x:c r="C473" s="24" t="str">
        <x:v>TLS</x:v>
      </x:c>
      <x:c r="D473" s="24" t="n">
        <x:v>2026</x:v>
      </x:c>
      <x:c r="E473" s="37" t="n">
        <x:v>0.87</x:v>
      </x:c>
      <x:c r="F473" s="38" t="n">
        <x:v>1436923</x:v>
      </x:c>
      <x:c r="G473" s="38" t="n">
        <x:v>1427484</x:v>
      </x:c>
      <x:c r="H473" s="39" t="n">
        <x:f>G473/F473</x:f>
        <x:v>0.9934311024320719</x:v>
      </x:c>
      <x:c r="I473" s="40" t="n">
        <x:v>6136240000</x:v>
      </x:c>
      <x:c r="J473" s="40" t="n">
        <x:v>5338528800</x:v>
      </x:c>
      <x:c r="K473" s="40" t="n">
        <x:v>3715</x:v>
      </x:c>
      <x:c r="L473" s="40" t="n">
        <x:v>1322</x:v>
      </x:c>
      <x:c r="M473" s="40" t="n">
        <x:v>4585</x:v>
      </x:c>
      <x:c r="N473" s="41" t="n">
        <x:f>MIN(L473,M473)</x:f>
        <x:v>1322</x:v>
      </x:c>
      <x:c r="O473" s="41" t="n">
        <x:f>MAX(L473,M473)</x:f>
        <x:v>4585</x:v>
      </x:c>
      <x:c r="P473" s="41" t="n">
        <x:f>MAX(N473,MIN(K473,O473))</x:f>
        <x:v>3715</x:v>
      </x:c>
      <x:c r="Q473" s="19" t="str">
        <x:f>IF(K473&lt;N473,IF(N473=L473,"clamped_to_nominal","clamped_to_ppp"),IF(K473&gt;O473,IF(O473=L473,"clamped_to_nominal","clamped_to_ppp"),"kept_vanilla"))</x:f>
        <x:v>kept_vanilla</x:v>
      </x:c>
      <x:c r="R473" s="41" t="n">
        <x:f>P473*G473</x:f>
        <x:v>5303103060</x:v>
      </x:c>
      <x:c r="S473" s="41" t="n">
        <x:f>R473/E473</x:f>
        <x:v>6095520758.620689</x:v>
      </x:c>
      <x:c r="T473" s="36" t="str">
        <x:v>TLS: IMF exact 2026</x:v>
      </x:c>
      <x:c r="U473" s="36" t="str">
        <x:v>TLS: IMF exact 2026</x:v>
      </x:c>
      <x:c r="V473" s="36" t="str">
        <x:v>TLS: IMF exact 2026</x:v>
      </x:c>
      <x:c r="W473" s="36" t="str">
        <x:v>complete_primary</x:v>
      </x:c>
      <x:c r="X473" s="36" t="str">
        <x:v>https://api.imf.org/external/sdmx/3.0/data/dataflow/IMF.RES/WEO/9.0.0/</x:v>
      </x:c>
      <x:c r="Y473" s="36" t="str">
        <x:v>https://api.worldbank.org/v2/</x:v>
      </x:c>
    </x:row>
    <x:row r="474">
      <x:c r="A474" s="24" t="str">
        <x:v>TGO</x:v>
      </x:c>
      <x:c r="B474" s="24" t="str">
        <x:v>Togo</x:v>
      </x:c>
      <x:c r="C474" s="24" t="str">
        <x:v>TGO</x:v>
      </x:c>
      <x:c r="D474" s="24" t="n">
        <x:v>2003</x:v>
      </x:c>
      <x:c r="E474" s="37" t="n">
        <x:v>1.59</x:v>
      </x:c>
      <x:c r="F474" s="38" t="n">
        <x:v>5552167</x:v>
      </x:c>
      <x:c r="G474" s="38" t="n">
        <x:v>5552167</x:v>
      </x:c>
      <x:c r="H474" s="39" t="n">
        <x:f>G474/F474</x:f>
        <x:v>1</x:v>
      </x:c>
      <x:c r="I474" s="40" t="n">
        <x:v>4335087719</x:v>
      </x:c>
      <x:c r="J474" s="40" t="n">
        <x:v>6892789473</x:v>
      </x:c>
      <x:c r="K474" s="40" t="n">
        <x:v>1241</x:v>
      </x:c>
      <x:c r="L474" s="40" t="n">
        <x:v>817</x:v>
      </x:c>
      <x:c r="M474" s="40" t="n">
        <x:v>2123</x:v>
      </x:c>
      <x:c r="N474" s="41" t="n">
        <x:f>MIN(L474,M474)</x:f>
        <x:v>817</x:v>
      </x:c>
      <x:c r="O474" s="41" t="n">
        <x:f>MAX(L474,M474)</x:f>
        <x:v>2123</x:v>
      </x:c>
      <x:c r="P474" s="41" t="n">
        <x:f>MAX(N474,MIN(K474,O474))</x:f>
        <x:v>1241</x:v>
      </x:c>
      <x:c r="Q474" s="19" t="str">
        <x:f>IF(K474&lt;N474,IF(N474=L474,"clamped_to_nominal","clamped_to_ppp"),IF(K474&gt;O474,IF(O474=L474,"clamped_to_nominal","clamped_to_ppp"),"kept_vanilla"))</x:f>
        <x:v>kept_vanilla</x:v>
      </x:c>
      <x:c r="R474" s="41" t="n">
        <x:f>P474*G474</x:f>
        <x:v>6890239247</x:v>
      </x:c>
      <x:c r="S474" s="41" t="n">
        <x:f>R474/E474</x:f>
        <x:v>4333483803.144654</x:v>
      </x:c>
      <x:c r="T474" s="36" t="str">
        <x:v>TGO: IMF exact 2003</x:v>
      </x:c>
      <x:c r="U474" s="36" t="str">
        <x:v>TGO: IMF exact 2003</x:v>
      </x:c>
      <x:c r="V474" s="36" t="str">
        <x:v>TGO: IMF exact 2003</x:v>
      </x:c>
      <x:c r="W474" s="36" t="str">
        <x:v>complete_primary</x:v>
      </x:c>
      <x:c r="X474" s="36" t="str">
        <x:v>https://api.imf.org/external/sdmx/3.0/data/dataflow/IMF.RES/WEO/9.0.0/</x:v>
      </x:c>
      <x:c r="Y474" s="36" t="str">
        <x:v>https://api.worldbank.org/v2/</x:v>
      </x:c>
    </x:row>
    <x:row r="475">
      <x:c r="A475" s="24" t="str">
        <x:v>TGO</x:v>
      </x:c>
      <x:c r="B475" s="24" t="str">
        <x:v>Togo</x:v>
      </x:c>
      <x:c r="C475" s="24" t="str">
        <x:v>TGO</x:v>
      </x:c>
      <x:c r="D475" s="24" t="n">
        <x:v>2022</x:v>
      </x:c>
      <x:c r="E475" s="37" t="n">
        <x:v>1</x:v>
      </x:c>
      <x:c r="F475" s="38" t="n">
        <x:v>8744506</x:v>
      </x:c>
      <x:c r="G475" s="38" t="n">
        <x:v>9098285</x:v>
      </x:c>
      <x:c r="H475" s="39" t="n">
        <x:f>G475/F475</x:f>
        <x:v>1.0404572882676277</x:v>
      </x:c>
      <x:c r="I475" s="40" t="n">
        <x:v>19898560000</x:v>
      </x:c>
      <x:c r="J475" s="40" t="n">
        <x:v>19898560000</x:v>
      </x:c>
      <x:c r="K475" s="40" t="n">
        <x:v>2276</x:v>
      </x:c>
      <x:c r="L475" s="40" t="n">
        <x:v>952</x:v>
      </x:c>
      <x:c r="M475" s="40" t="n">
        <x:v>2932</x:v>
      </x:c>
      <x:c r="N475" s="41" t="n">
        <x:f>MIN(L475,M475)</x:f>
        <x:v>952</x:v>
      </x:c>
      <x:c r="O475" s="41" t="n">
        <x:f>MAX(L475,M475)</x:f>
        <x:v>2932</x:v>
      </x:c>
      <x:c r="P475" s="41" t="n">
        <x:f>MAX(N475,MIN(K475,O475))</x:f>
        <x:v>2276</x:v>
      </x:c>
      <x:c r="Q475" s="19" t="str">
        <x:f>IF(K475&lt;N475,IF(N475=L475,"clamped_to_nominal","clamped_to_ppp"),IF(K475&gt;O475,IF(O475=L475,"clamped_to_nominal","clamped_to_ppp"),"kept_vanilla"))</x:f>
        <x:v>kept_vanilla</x:v>
      </x:c>
      <x:c r="R475" s="41" t="n">
        <x:f>P475*G475</x:f>
        <x:v>20707696660</x:v>
      </x:c>
      <x:c r="S475" s="41" t="n">
        <x:f>R475/E475</x:f>
        <x:v>20707696660</x:v>
      </x:c>
      <x:c r="T475" s="36" t="str">
        <x:v>TGO: IMF exact 2022</x:v>
      </x:c>
      <x:c r="U475" s="36" t="str">
        <x:v>TGO: IMF exact 2022</x:v>
      </x:c>
      <x:c r="V475" s="36" t="str">
        <x:v>TGO: IMF exact 2022</x:v>
      </x:c>
      <x:c r="W475" s="36" t="str">
        <x:v>complete_primary</x:v>
      </x:c>
      <x:c r="X475" s="36" t="str">
        <x:v>https://api.imf.org/external/sdmx/3.0/data/dataflow/IMF.RES/WEO/9.0.0/</x:v>
      </x:c>
      <x:c r="Y475" s="36" t="str">
        <x:v>https://api.worldbank.org/v2/</x:v>
      </x:c>
    </x:row>
    <x:row r="476">
      <x:c r="A476" s="24" t="str">
        <x:v>TGO</x:v>
      </x:c>
      <x:c r="B476" s="24" t="str">
        <x:v>Togo</x:v>
      </x:c>
      <x:c r="C476" s="24" t="str">
        <x:v>TGO</x:v>
      </x:c>
      <x:c r="D476" s="24" t="n">
        <x:v>2026</x:v>
      </x:c>
      <x:c r="E476" s="37" t="n">
        <x:v>0.87</x:v>
      </x:c>
      <x:c r="F476" s="38" t="n">
        <x:v>9930919</x:v>
      </x:c>
      <x:c r="G476" s="38" t="n">
        <x:v>10020018</x:v>
      </x:c>
      <x:c r="H476" s="39" t="n">
        <x:f>G476/F476</x:f>
        <x:v>1.008971878634797</x:v>
      </x:c>
      <x:c r="I476" s="40" t="n">
        <x:v>29081360000</x:v>
      </x:c>
      <x:c r="J476" s="40" t="n">
        <x:v>25300783200</x:v>
      </x:c>
      <x:c r="K476" s="40" t="n">
        <x:v>2548</x:v>
      </x:c>
      <x:c r="L476" s="40" t="n">
        <x:v>1167</x:v>
      </x:c>
      <x:c r="M476" s="40" t="n">
        <x:v>3269</x:v>
      </x:c>
      <x:c r="N476" s="41" t="n">
        <x:f>MIN(L476,M476)</x:f>
        <x:v>1167</x:v>
      </x:c>
      <x:c r="O476" s="41" t="n">
        <x:f>MAX(L476,M476)</x:f>
        <x:v>3269</x:v>
      </x:c>
      <x:c r="P476" s="41" t="n">
        <x:f>MAX(N476,MIN(K476,O476))</x:f>
        <x:v>2548</x:v>
      </x:c>
      <x:c r="Q476" s="19" t="str">
        <x:f>IF(K476&lt;N476,IF(N476=L476,"clamped_to_nominal","clamped_to_ppp"),IF(K476&gt;O476,IF(O476=L476,"clamped_to_nominal","clamped_to_ppp"),"kept_vanilla"))</x:f>
        <x:v>kept_vanilla</x:v>
      </x:c>
      <x:c r="R476" s="41" t="n">
        <x:f>P476*G476</x:f>
        <x:v>25531005864</x:v>
      </x:c>
      <x:c r="S476" s="41" t="n">
        <x:f>R476/E476</x:f>
        <x:v>29345983751.724136</x:v>
      </x:c>
      <x:c r="T476" s="36" t="str">
        <x:v>TGO: IMF exact 2026</x:v>
      </x:c>
      <x:c r="U476" s="36" t="str">
        <x:v>TGO: IMF exact 2026</x:v>
      </x:c>
      <x:c r="V476" s="36" t="str">
        <x:v>TGO: IMF exact 2026</x:v>
      </x:c>
      <x:c r="W476" s="36" t="str">
        <x:v>complete_primary</x:v>
      </x:c>
      <x:c r="X476" s="36" t="str">
        <x:v>https://api.imf.org/external/sdmx/3.0/data/dataflow/IMF.RES/WEO/9.0.0/</x:v>
      </x:c>
      <x:c r="Y476" s="36" t="str">
        <x:v>https://api.worldbank.org/v2/</x:v>
      </x:c>
    </x:row>
    <x:row r="477">
      <x:c r="A477" s="24" t="str">
        <x:v>TUN</x:v>
      </x:c>
      <x:c r="B477" s="24" t="str">
        <x:v>Tunisia</x:v>
      </x:c>
      <x:c r="C477" s="24" t="str">
        <x:v>TUN</x:v>
      </x:c>
      <x:c r="D477" s="24" t="n">
        <x:v>2003</x:v>
      </x:c>
      <x:c r="E477" s="37" t="n">
        <x:v>1.59</x:v>
      </x:c>
      <x:c r="F477" s="38" t="n">
        <x:v>10071632</x:v>
      </x:c>
      <x:c r="G477" s="38" t="n">
        <x:v>10071632</x:v>
      </x:c>
      <x:c r="H477" s="39" t="n">
        <x:f>G477/F477</x:f>
        <x:v>1</x:v>
      </x:c>
      <x:c r="I477" s="40" t="n">
        <x:v>38339766082</x:v>
      </x:c>
      <x:c r="J477" s="40" t="n">
        <x:v>60960228070</x:v>
      </x:c>
      <x:c r="K477" s="40" t="n">
        <x:v>6053</x:v>
      </x:c>
      <x:c r="L477" s="40" t="n">
        <x:v>4546</x:v>
      </x:c>
      <x:c r="M477" s="40" t="n">
        <x:v>10350</x:v>
      </x:c>
      <x:c r="N477" s="41" t="n">
        <x:f>MIN(L477,M477)</x:f>
        <x:v>4546</x:v>
      </x:c>
      <x:c r="O477" s="41" t="n">
        <x:f>MAX(L477,M477)</x:f>
        <x:v>10350</x:v>
      </x:c>
      <x:c r="P477" s="41" t="n">
        <x:f>MAX(N477,MIN(K477,O477))</x:f>
        <x:v>6053</x:v>
      </x:c>
      <x:c r="Q477" s="19" t="str">
        <x:f>IF(K477&lt;N477,IF(N477=L477,"clamped_to_nominal","clamped_to_ppp"),IF(K477&gt;O477,IF(O477=L477,"clamped_to_nominal","clamped_to_ppp"),"kept_vanilla"))</x:f>
        <x:v>kept_vanilla</x:v>
      </x:c>
      <x:c r="R477" s="41" t="n">
        <x:f>P477*G477</x:f>
        <x:v>60963588496</x:v>
      </x:c>
      <x:c r="S477" s="41" t="n">
        <x:f>R477/E477</x:f>
        <x:v>38341879557.232704</x:v>
      </x:c>
      <x:c r="T477" s="36" t="str">
        <x:v>TUN: IMF exact 2003</x:v>
      </x:c>
      <x:c r="U477" s="36" t="str">
        <x:v>TUN: IMF exact 2003</x:v>
      </x:c>
      <x:c r="V477" s="36" t="str">
        <x:v>TUN: IMF exact 2003</x:v>
      </x:c>
      <x:c r="W477" s="36" t="str">
        <x:v>complete_primary</x:v>
      </x:c>
      <x:c r="X477" s="36" t="str">
        <x:v>https://api.imf.org/external/sdmx/3.0/data/dataflow/IMF.RES/WEO/9.0.0/</x:v>
      </x:c>
      <x:c r="Y477" s="36" t="str">
        <x:v>https://api.worldbank.org/v2/</x:v>
      </x:c>
    </x:row>
    <x:row r="478">
      <x:c r="A478" s="24" t="str">
        <x:v>TUN</x:v>
      </x:c>
      <x:c r="B478" s="24" t="str">
        <x:v>Tunisia</x:v>
      </x:c>
      <x:c r="C478" s="24" t="str">
        <x:v>TUN</x:v>
      </x:c>
      <x:c r="D478" s="24" t="n">
        <x:v>2022</x:v>
      </x:c>
      <x:c r="E478" s="37" t="n">
        <x:v>1</x:v>
      </x:c>
      <x:c r="F478" s="38" t="n">
        <x:v>12081067</x:v>
      </x:c>
      <x:c r="G478" s="38" t="n">
        <x:v>12119334</x:v>
      </x:c>
      <x:c r="H478" s="39" t="n">
        <x:f>G478/F478</x:f>
        <x:v>1.003167518233282</x:v>
      </x:c>
      <x:c r="I478" s="40" t="n">
        <x:v>131281920000</x:v>
      </x:c>
      <x:c r="J478" s="40" t="n">
        <x:v>131281920000</x:v>
      </x:c>
      <x:c r="K478" s="40" t="n">
        <x:v>10867</x:v>
      </x:c>
      <x:c r="L478" s="40" t="n">
        <x:v>3680</x:v>
      </x:c>
      <x:c r="M478" s="40" t="n">
        <x:v>13531</x:v>
      </x:c>
      <x:c r="N478" s="41" t="n">
        <x:f>MIN(L478,M478)</x:f>
        <x:v>3680</x:v>
      </x:c>
      <x:c r="O478" s="41" t="n">
        <x:f>MAX(L478,M478)</x:f>
        <x:v>13531</x:v>
      </x:c>
      <x:c r="P478" s="41" t="n">
        <x:f>MAX(N478,MIN(K478,O478))</x:f>
        <x:v>10867</x:v>
      </x:c>
      <x:c r="Q478" s="19" t="str">
        <x:f>IF(K478&lt;N478,IF(N478=L478,"clamped_to_nominal","clamped_to_ppp"),IF(K478&gt;O478,IF(O478=L478,"clamped_to_nominal","clamped_to_ppp"),"kept_vanilla"))</x:f>
        <x:v>kept_vanilla</x:v>
      </x:c>
      <x:c r="R478" s="41" t="n">
        <x:f>P478*G478</x:f>
        <x:v>131700802578</x:v>
      </x:c>
      <x:c r="S478" s="41" t="n">
        <x:f>R478/E478</x:f>
        <x:v>131700802578</x:v>
      </x:c>
      <x:c r="T478" s="36" t="str">
        <x:v>TUN: IMF exact 2022</x:v>
      </x:c>
      <x:c r="U478" s="36" t="str">
        <x:v>TUN: IMF exact 2022</x:v>
      </x:c>
      <x:c r="V478" s="36" t="str">
        <x:v>TUN: IMF exact 2022</x:v>
      </x:c>
      <x:c r="W478" s="36" t="str">
        <x:v>complete_primary</x:v>
      </x:c>
      <x:c r="X478" s="36" t="str">
        <x:v>https://api.imf.org/external/sdmx/3.0/data/dataflow/IMF.RES/WEO/9.0.0/</x:v>
      </x:c>
      <x:c r="Y478" s="36" t="str">
        <x:v>https://api.worldbank.org/v2/</x:v>
      </x:c>
    </x:row>
    <x:row r="479">
      <x:c r="A479" s="24" t="str">
        <x:v>TUN</x:v>
      </x:c>
      <x:c r="B479" s="24" t="str">
        <x:v>Tunisia</x:v>
      </x:c>
      <x:c r="C479" s="24" t="str">
        <x:v>TUN</x:v>
      </x:c>
      <x:c r="D479" s="24" t="n">
        <x:v>2026</x:v>
      </x:c>
      <x:c r="E479" s="37" t="n">
        <x:v>0.87</x:v>
      </x:c>
      <x:c r="F479" s="38" t="n">
        <x:v>12415139</x:v>
      </x:c>
      <x:c r="G479" s="38" t="n">
        <x:v>12415138</x:v>
      </x:c>
      <x:c r="H479" s="39" t="n">
        <x:f>G479/F479</x:f>
        <x:v>0.9999999194531772</x:v>
      </x:c>
      <x:c r="I479" s="40" t="n">
        <x:v>161678000000</x:v>
      </x:c>
      <x:c r="J479" s="40" t="n">
        <x:v>140659860000</x:v>
      </x:c>
      <x:c r="K479" s="40" t="n">
        <x:v>11330</x:v>
      </x:c>
      <x:c r="L479" s="40" t="n">
        <x:v>4257</x:v>
      </x:c>
      <x:c r="M479" s="40" t="n">
        <x:v>13774</x:v>
      </x:c>
      <x:c r="N479" s="41" t="n">
        <x:f>MIN(L479,M479)</x:f>
        <x:v>4257</x:v>
      </x:c>
      <x:c r="O479" s="41" t="n">
        <x:f>MAX(L479,M479)</x:f>
        <x:v>13774</x:v>
      </x:c>
      <x:c r="P479" s="41" t="n">
        <x:f>MAX(N479,MIN(K479,O479))</x:f>
        <x:v>11330</x:v>
      </x:c>
      <x:c r="Q479" s="19" t="str">
        <x:f>IF(K479&lt;N479,IF(N479=L479,"clamped_to_nominal","clamped_to_ppp"),IF(K479&gt;O479,IF(O479=L479,"clamped_to_nominal","clamped_to_ppp"),"kept_vanilla"))</x:f>
        <x:v>kept_vanilla</x:v>
      </x:c>
      <x:c r="R479" s="41" t="n">
        <x:f>P479*G479</x:f>
        <x:v>140663513540</x:v>
      </x:c>
      <x:c r="S479" s="41" t="n">
        <x:f>R479/E479</x:f>
        <x:v>161682199471.26437</x:v>
      </x:c>
      <x:c r="T479" s="36" t="str">
        <x:v>TUN: IMF exact 2026</x:v>
      </x:c>
      <x:c r="U479" s="36" t="str">
        <x:v>TUN: IMF exact 2026</x:v>
      </x:c>
      <x:c r="V479" s="36" t="str">
        <x:v>TUN: IMF exact 2026</x:v>
      </x:c>
      <x:c r="W479" s="36" t="str">
        <x:v>complete_primary</x:v>
      </x:c>
      <x:c r="X479" s="36" t="str">
        <x:v>https://api.imf.org/external/sdmx/3.0/data/dataflow/IMF.RES/WEO/9.0.0/</x:v>
      </x:c>
      <x:c r="Y479" s="36" t="str">
        <x:v>https://api.worldbank.org/v2/</x:v>
      </x:c>
    </x:row>
    <x:row r="480">
      <x:c r="A480" s="24" t="str">
        <x:v>TUR</x:v>
      </x:c>
      <x:c r="B480" s="24" t="str">
        <x:v>Turkey</x:v>
      </x:c>
      <x:c r="C480" s="24" t="str">
        <x:v>TUR</x:v>
      </x:c>
      <x:c r="D480" s="24" t="n">
        <x:v>2003</x:v>
      </x:c>
      <x:c r="E480" s="37" t="n">
        <x:v>1.59</x:v>
      </x:c>
      <x:c r="F480" s="38" t="n">
        <x:v>67831730</x:v>
      </x:c>
      <x:c r="G480" s="38" t="n">
        <x:v>66795000</x:v>
      </x:c>
      <x:c r="H480" s="39" t="n">
        <x:f>G480/F480</x:f>
        <x:v>0.98471614980187</x:v>
      </x:c>
      <x:c r="I480" s="40" t="n">
        <x:v>466381286550</x:v>
      </x:c>
      <x:c r="J480" s="40" t="n">
        <x:v>741546245615</x:v>
      </x:c>
      <x:c r="K480" s="40" t="n">
        <x:v>10932</x:v>
      </x:c>
      <x:c r="L480" s="40" t="n">
        <x:v>7554</x:v>
      </x:c>
      <x:c r="M480" s="40" t="n">
        <x:v>19076</x:v>
      </x:c>
      <x:c r="N480" s="41" t="n">
        <x:f>MIN(L480,M480)</x:f>
        <x:v>7554</x:v>
      </x:c>
      <x:c r="O480" s="41" t="n">
        <x:f>MAX(L480,M480)</x:f>
        <x:v>19076</x:v>
      </x:c>
      <x:c r="P480" s="41" t="n">
        <x:f>MAX(N480,MIN(K480,O480))</x:f>
        <x:v>10932</x:v>
      </x:c>
      <x:c r="Q480" s="19" t="str">
        <x:f>IF(K480&lt;N480,IF(N480=L480,"clamped_to_nominal","clamped_to_ppp"),IF(K480&gt;O480,IF(O480=L480,"clamped_to_nominal","clamped_to_ppp"),"kept_vanilla"))</x:f>
        <x:v>kept_vanilla</x:v>
      </x:c>
      <x:c r="R480" s="41" t="n">
        <x:f>P480*G480</x:f>
        <x:v>730202940000</x:v>
      </x:c>
      <x:c r="S480" s="41" t="n">
        <x:f>R480/E480</x:f>
        <x:v>459247132075.4717</x:v>
      </x:c>
      <x:c r="T480" s="36" t="str">
        <x:v>TUR: IMF exact 2003</x:v>
      </x:c>
      <x:c r="U480" s="36" t="str">
        <x:v>TUR: IMF exact 2003</x:v>
      </x:c>
      <x:c r="V480" s="36" t="str">
        <x:v>TUR: IMF exact 2003</x:v>
      </x:c>
      <x:c r="W480" s="36" t="str">
        <x:v>complete_primary</x:v>
      </x:c>
      <x:c r="X480" s="36" t="str">
        <x:v>https://api.imf.org/external/sdmx/3.0/data/dataflow/IMF.RES/WEO/9.0.0/</x:v>
      </x:c>
      <x:c r="Y480" s="36" t="str">
        <x:v>https://api.worldbank.org/v2/</x:v>
      </x:c>
    </x:row>
    <x:row r="481">
      <x:c r="A481" s="24" t="str">
        <x:v>TUR</x:v>
      </x:c>
      <x:c r="B481" s="24" t="str">
        <x:v>Turkey</x:v>
      </x:c>
      <x:c r="C481" s="24" t="str">
        <x:v>TUR</x:v>
      </x:c>
      <x:c r="D481" s="24" t="n">
        <x:v>2022</x:v>
      </x:c>
      <x:c r="E481" s="37" t="n">
        <x:v>1</x:v>
      </x:c>
      <x:c r="F481" s="38" t="n">
        <x:v>85703367</x:v>
      </x:c>
      <x:c r="G481" s="38" t="n">
        <x:v>84980000</x:v>
      </x:c>
      <x:c r="H481" s="39" t="n">
        <x:f>G481/F481</x:f>
        <x:v>0.9915596431584771</x:v>
      </x:c>
      <x:c r="I481" s="40" t="n">
        <x:v>2826623360000</x:v>
      </x:c>
      <x:c r="J481" s="40" t="n">
        <x:v>2826623360000</x:v>
      </x:c>
      <x:c r="K481" s="40" t="n">
        <x:v>32981</x:v>
      </x:c>
      <x:c r="L481" s="40" t="n">
        <x:v>10882</x:v>
      </x:c>
      <x:c r="M481" s="40" t="n">
        <x:v>36248</x:v>
      </x:c>
      <x:c r="N481" s="41" t="n">
        <x:f>MIN(L481,M481)</x:f>
        <x:v>10882</x:v>
      </x:c>
      <x:c r="O481" s="41" t="n">
        <x:f>MAX(L481,M481)</x:f>
        <x:v>36248</x:v>
      </x:c>
      <x:c r="P481" s="41" t="n">
        <x:f>MAX(N481,MIN(K481,O481))</x:f>
        <x:v>32981</x:v>
      </x:c>
      <x:c r="Q481" s="19" t="str">
        <x:f>IF(K481&lt;N481,IF(N481=L481,"clamped_to_nominal","clamped_to_ppp"),IF(K481&gt;O481,IF(O481=L481,"clamped_to_nominal","clamped_to_ppp"),"kept_vanilla"))</x:f>
        <x:v>kept_vanilla</x:v>
      </x:c>
      <x:c r="R481" s="41" t="n">
        <x:f>P481*G481</x:f>
        <x:v>2802725380000</x:v>
      </x:c>
      <x:c r="S481" s="41" t="n">
        <x:f>R481/E481</x:f>
        <x:v>2802725380000</x:v>
      </x:c>
      <x:c r="T481" s="36" t="str">
        <x:v>TUR: IMF exact 2022</x:v>
      </x:c>
      <x:c r="U481" s="36" t="str">
        <x:v>TUR: IMF exact 2022</x:v>
      </x:c>
      <x:c r="V481" s="36" t="str">
        <x:v>TUR: IMF exact 2022</x:v>
      </x:c>
      <x:c r="W481" s="36" t="str">
        <x:v>complete_primary</x:v>
      </x:c>
      <x:c r="X481" s="36" t="str">
        <x:v>https://api.imf.org/external/sdmx/3.0/data/dataflow/IMF.RES/WEO/9.0.0/</x:v>
      </x:c>
      <x:c r="Y481" s="36" t="str">
        <x:v>https://api.worldbank.org/v2/</x:v>
      </x:c>
    </x:row>
    <x:row r="482">
      <x:c r="A482" s="24" t="str">
        <x:v>TUR</x:v>
      </x:c>
      <x:c r="B482" s="24" t="str">
        <x:v>Turkey</x:v>
      </x:c>
      <x:c r="C482" s="24" t="str">
        <x:v>TUR</x:v>
      </x:c>
      <x:c r="D482" s="24" t="n">
        <x:v>2026</x:v>
      </x:c>
      <x:c r="E482" s="37" t="n">
        <x:v>0.87</x:v>
      </x:c>
      <x:c r="F482" s="38" t="n">
        <x:v>87926083</x:v>
      </x:c>
      <x:c r="G482" s="38" t="n">
        <x:v>86245016</x:v>
      </x:c>
      <x:c r="H482" s="39" t="n">
        <x:f>G482/F482</x:f>
        <x:v>0.9808809065223569</x:v>
      </x:c>
      <x:c r="I482" s="40" t="n">
        <x:v>3314754080000</x:v>
      </x:c>
      <x:c r="J482" s="40" t="n">
        <x:v>2883836049600</x:v>
      </x:c>
      <x:c r="K482" s="40" t="n">
        <x:v>32798</x:v>
      </x:c>
      <x:c r="L482" s="40" t="n">
        <x:v>16546</x:v>
      </x:c>
      <x:c r="M482" s="40" t="n">
        <x:v>40605</x:v>
      </x:c>
      <x:c r="N482" s="41" t="n">
        <x:f>MIN(L482,M482)</x:f>
        <x:v>16546</x:v>
      </x:c>
      <x:c r="O482" s="41" t="n">
        <x:f>MAX(L482,M482)</x:f>
        <x:v>40605</x:v>
      </x:c>
      <x:c r="P482" s="41" t="n">
        <x:f>MAX(N482,MIN(K482,O482))</x:f>
        <x:v>32798</x:v>
      </x:c>
      <x:c r="Q482" s="19" t="str">
        <x:f>IF(K482&lt;N482,IF(N482=L482,"clamped_to_nominal","clamped_to_ppp"),IF(K482&gt;O482,IF(O482=L482,"clamped_to_nominal","clamped_to_ppp"),"kept_vanilla"))</x:f>
        <x:v>kept_vanilla</x:v>
      </x:c>
      <x:c r="R482" s="41" t="n">
        <x:f>P482*G482</x:f>
        <x:v>2828664034768</x:v>
      </x:c>
      <x:c r="S482" s="41" t="n">
        <x:f>R482/E482</x:f>
        <x:v>3251337970997.701</x:v>
      </x:c>
      <x:c r="T482" s="36" t="str">
        <x:v>TUR: IMF exact 2026</x:v>
      </x:c>
      <x:c r="U482" s="36" t="str">
        <x:v>TUR: IMF exact 2026</x:v>
      </x:c>
      <x:c r="V482" s="36" t="str">
        <x:v>TUR: IMF exact 2026</x:v>
      </x:c>
      <x:c r="W482" s="36" t="str">
        <x:v>complete_primary</x:v>
      </x:c>
      <x:c r="X482" s="36" t="str">
        <x:v>https://api.imf.org/external/sdmx/3.0/data/dataflow/IMF.RES/WEO/9.0.0/</x:v>
      </x:c>
      <x:c r="Y482" s="36" t="str">
        <x:v>https://api.worldbank.org/v2/</x:v>
      </x:c>
    </x:row>
    <x:row r="483">
      <x:c r="A483" s="24" t="str">
        <x:v>TKM</x:v>
      </x:c>
      <x:c r="B483" s="24" t="str">
        <x:v>Turkmenistan</x:v>
      </x:c>
      <x:c r="C483" s="24" t="str">
        <x:v>TKM</x:v>
      </x:c>
      <x:c r="D483" s="24" t="n">
        <x:v>2003</x:v>
      </x:c>
      <x:c r="E483" s="37" t="n">
        <x:v>1.59</x:v>
      </x:c>
      <x:c r="F483" s="38" t="n">
        <x:v>4863865</x:v>
      </x:c>
      <x:c r="G483" s="38" t="n">
        <x:v>4836606</x:v>
      </x:c>
      <x:c r="H483" s="39" t="n">
        <x:f>G483/F483</x:f>
        <x:v>0.9943956092531351</x:v>
      </x:c>
      <x:c r="I483" s="40" t="n">
        <x:v>16336257310</x:v>
      </x:c>
      <x:c r="J483" s="40" t="n">
        <x:v>25974649123</x:v>
      </x:c>
      <x:c r="K483" s="40" t="n">
        <x:v>5340</x:v>
      </x:c>
      <x:c r="L483" s="40" t="n">
        <x:v>3500</x:v>
      </x:c>
      <x:c r="M483" s="40" t="n">
        <x:v>5344</x:v>
      </x:c>
      <x:c r="N483" s="41" t="n">
        <x:f>MIN(L483,M483)</x:f>
        <x:v>3500</x:v>
      </x:c>
      <x:c r="O483" s="41" t="n">
        <x:f>MAX(L483,M483)</x:f>
        <x:v>5344</x:v>
      </x:c>
      <x:c r="P483" s="41" t="n">
        <x:f>MAX(N483,MIN(K483,O483))</x:f>
        <x:v>5340</x:v>
      </x:c>
      <x:c r="Q483" s="19" t="str">
        <x:f>IF(K483&lt;N483,IF(N483=L483,"clamped_to_nominal","clamped_to_ppp"),IF(K483&gt;O483,IF(O483=L483,"clamped_to_nominal","clamped_to_ppp"),"kept_vanilla"))</x:f>
        <x:v>kept_vanilla</x:v>
      </x:c>
      <x:c r="R483" s="41" t="n">
        <x:f>P483*G483</x:f>
        <x:v>25827476040</x:v>
      </x:c>
      <x:c r="S483" s="41" t="n">
        <x:f>R483/E483</x:f>
        <x:v>16243695622.641508</x:v>
      </x:c>
      <x:c r="T483" s="36" t="str">
        <x:v>TKM: IMF exact 2003</x:v>
      </x:c>
      <x:c r="U483" s="36" t="str">
        <x:v>TKM: IMF exact 2003</x:v>
      </x:c>
      <x:c r="V483" s="36" t="str">
        <x:v>TKM: IMF exact 2003</x:v>
      </x:c>
      <x:c r="W483" s="36" t="str">
        <x:v>complete_primary</x:v>
      </x:c>
      <x:c r="X483" s="36" t="str">
        <x:v>https://api.imf.org/external/sdmx/3.0/data/dataflow/IMF.RES/WEO/9.0.0/</x:v>
      </x:c>
      <x:c r="Y483" s="36" t="str">
        <x:v>https://api.worldbank.org/v2/</x:v>
      </x:c>
    </x:row>
    <x:row r="484">
      <x:c r="A484" s="24" t="str">
        <x:v>TKM</x:v>
      </x:c>
      <x:c r="B484" s="24" t="str">
        <x:v>Turkmenistan</x:v>
      </x:c>
      <x:c r="C484" s="24" t="str">
        <x:v>TKM</x:v>
      </x:c>
      <x:c r="D484" s="24" t="n">
        <x:v>2022</x:v>
      </x:c>
      <x:c r="E484" s="37" t="n">
        <x:v>1</x:v>
      </x:c>
      <x:c r="F484" s="38" t="n">
        <x:v>6228007</x:v>
      </x:c>
      <x:c r="G484" s="38" t="n">
        <x:v>6430770</x:v>
      </x:c>
      <x:c r="H484" s="39" t="n">
        <x:f>G484/F484</x:f>
        <x:v>1.0325566429196371</x:v>
      </x:c>
      <x:c r="I484" s="40" t="n">
        <x:v>103551360000</x:v>
      </x:c>
      <x:c r="J484" s="40" t="n">
        <x:v>103551360000</x:v>
      </x:c>
      <x:c r="K484" s="40" t="n">
        <x:v>16627</x:v>
      </x:c>
      <x:c r="L484" s="40" t="n">
        <x:v>8813</x:v>
      </x:c>
      <x:c r="M484" s="40" t="n">
        <x:v>19850</x:v>
      </x:c>
      <x:c r="N484" s="41" t="n">
        <x:f>MIN(L484,M484)</x:f>
        <x:v>8813</x:v>
      </x:c>
      <x:c r="O484" s="41" t="n">
        <x:f>MAX(L484,M484)</x:f>
        <x:v>19850</x:v>
      </x:c>
      <x:c r="P484" s="41" t="n">
        <x:f>MAX(N484,MIN(K484,O484))</x:f>
        <x:v>16627</x:v>
      </x:c>
      <x:c r="Q484" s="19" t="str">
        <x:f>IF(K484&lt;N484,IF(N484=L484,"clamped_to_nominal","clamped_to_ppp"),IF(K484&gt;O484,IF(O484=L484,"clamped_to_nominal","clamped_to_ppp"),"kept_vanilla"))</x:f>
        <x:v>kept_vanilla</x:v>
      </x:c>
      <x:c r="R484" s="41" t="n">
        <x:f>P484*G484</x:f>
        <x:v>106924412790</x:v>
      </x:c>
      <x:c r="S484" s="41" t="n">
        <x:f>R484/E484</x:f>
        <x:v>106924412790</x:v>
      </x:c>
      <x:c r="T484" s="36" t="str">
        <x:v>TKM: IMF exact 2022</x:v>
      </x:c>
      <x:c r="U484" s="36" t="str">
        <x:v>TKM: IMF exact 2022</x:v>
      </x:c>
      <x:c r="V484" s="36" t="str">
        <x:v>TKM: IMF exact 2022</x:v>
      </x:c>
      <x:c r="W484" s="36" t="str">
        <x:v>complete_primary</x:v>
      </x:c>
      <x:c r="X484" s="36" t="str">
        <x:v>https://api.imf.org/external/sdmx/3.0/data/dataflow/IMF.RES/WEO/9.0.0/</x:v>
      </x:c>
      <x:c r="Y484" s="36" t="str">
        <x:v>https://api.worldbank.org/v2/</x:v>
      </x:c>
    </x:row>
    <x:row r="485">
      <x:c r="A485" s="24" t="str">
        <x:v>TKM</x:v>
      </x:c>
      <x:c r="B485" s="24" t="str">
        <x:v>Turkmenistan</x:v>
      </x:c>
      <x:c r="C485" s="24" t="str">
        <x:v>TKM</x:v>
      </x:c>
      <x:c r="D485" s="24" t="n">
        <x:v>2026</x:v>
      </x:c>
      <x:c r="E485" s="37" t="n">
        <x:v>0.87</x:v>
      </x:c>
      <x:c r="F485" s="38" t="n">
        <x:v>7736632</x:v>
      </x:c>
      <x:c r="G485" s="38" t="n">
        <x:v>6752978</x:v>
      </x:c>
      <x:c r="H485" s="39" t="n">
        <x:f>G485/F485</x:f>
        <x:v>0.8728575948810801</x:v>
      </x:c>
      <x:c r="I485" s="40" t="n">
        <x:v>163773280000</x:v>
      </x:c>
      <x:c r="J485" s="40" t="n">
        <x:v>142482753600</x:v>
      </x:c>
      <x:c r="K485" s="40" t="n">
        <x:v>18417</x:v>
      </x:c>
      <x:c r="L485" s="40" t="n">
        <x:v>10701</x:v>
      </x:c>
      <x:c r="M485" s="40" t="n">
        <x:v>21184</x:v>
      </x:c>
      <x:c r="N485" s="41" t="n">
        <x:f>MIN(L485,M485)</x:f>
        <x:v>10701</x:v>
      </x:c>
      <x:c r="O485" s="41" t="n">
        <x:f>MAX(L485,M485)</x:f>
        <x:v>21184</x:v>
      </x:c>
      <x:c r="P485" s="41" t="n">
        <x:f>MAX(N485,MIN(K485,O485))</x:f>
        <x:v>18417</x:v>
      </x:c>
      <x:c r="Q485" s="19" t="str">
        <x:f>IF(K485&lt;N485,IF(N485=L485,"clamped_to_nominal","clamped_to_ppp"),IF(K485&gt;O485,IF(O485=L485,"clamped_to_nominal","clamped_to_ppp"),"kept_vanilla"))</x:f>
        <x:v>kept_vanilla</x:v>
      </x:c>
      <x:c r="R485" s="41" t="n">
        <x:f>P485*G485</x:f>
        <x:v>124369595826</x:v>
      </x:c>
      <x:c r="S485" s="41" t="n">
        <x:f>R485/E485</x:f>
        <x:v>142953558420.68967</x:v>
      </x:c>
      <x:c r="T485" s="36" t="str">
        <x:v>TKM: IMF exact 2026</x:v>
      </x:c>
      <x:c r="U485" s="36" t="str">
        <x:v>TKM: IMF exact 2026</x:v>
      </x:c>
      <x:c r="V485" s="36" t="str">
        <x:v>TKM: IMF exact 2026</x:v>
      </x:c>
      <x:c r="W485" s="36" t="str">
        <x:v>complete_primary</x:v>
      </x:c>
      <x:c r="X485" s="36" t="str">
        <x:v>https://api.imf.org/external/sdmx/3.0/data/dataflow/IMF.RES/WEO/9.0.0/</x:v>
      </x:c>
      <x:c r="Y485" s="36" t="str">
        <x:v>https://api.worldbank.org/v2/</x:v>
      </x:c>
    </x:row>
    <x:row r="486">
      <x:c r="A486" s="24" t="str">
        <x:v>UGA</x:v>
      </x:c>
      <x:c r="B486" s="24" t="str">
        <x:v>Uganda</x:v>
      </x:c>
      <x:c r="C486" s="24" t="str">
        <x:v>UGA</x:v>
      </x:c>
      <x:c r="D486" s="24" t="n">
        <x:v>2003</x:v>
      </x:c>
      <x:c r="E486" s="37" t="n">
        <x:v>1.59</x:v>
      </x:c>
      <x:c r="F486" s="38" t="n">
        <x:v>26352124</x:v>
      </x:c>
      <x:c r="G486" s="38" t="n">
        <x:v>24116424</x:v>
      </x:c>
      <x:c r="H486" s="39" t="n">
        <x:f>G486/F486</x:f>
        <x:v>0.9151605388620667</x:v>
      </x:c>
      <x:c r="I486" s="40" t="n">
        <x:v>16984210526</x:v>
      </x:c>
      <x:c r="J486" s="40" t="n">
        <x:v>27004894736</x:v>
      </x:c>
      <x:c r="K486" s="40" t="n">
        <x:v>1025</x:v>
      </x:c>
      <x:c r="L486" s="40" t="n">
        <x:v>575</x:v>
      </x:c>
      <x:c r="M486" s="40" t="n">
        <x:v>1915</x:v>
      </x:c>
      <x:c r="N486" s="41" t="n">
        <x:f>MIN(L486,M486)</x:f>
        <x:v>575</x:v>
      </x:c>
      <x:c r="O486" s="41" t="n">
        <x:f>MAX(L486,M486)</x:f>
        <x:v>1915</x:v>
      </x:c>
      <x:c r="P486" s="41" t="n">
        <x:f>MAX(N486,MIN(K486,O486))</x:f>
        <x:v>1025</x:v>
      </x:c>
      <x:c r="Q486" s="19" t="str">
        <x:f>IF(K486&lt;N486,IF(N486=L486,"clamped_to_nominal","clamped_to_ppp"),IF(K486&gt;O486,IF(O486=L486,"clamped_to_nominal","clamped_to_ppp"),"kept_vanilla"))</x:f>
        <x:v>kept_vanilla</x:v>
      </x:c>
      <x:c r="R486" s="41" t="n">
        <x:f>P486*G486</x:f>
        <x:v>24719334600</x:v>
      </x:c>
      <x:c r="S486" s="41" t="n">
        <x:f>R486/E486</x:f>
        <x:v>15546751320.754717</x:v>
      </x:c>
      <x:c r="T486" s="36" t="str">
        <x:v>UGA: IMF exact 2003</x:v>
      </x:c>
      <x:c r="U486" s="36" t="str">
        <x:v>UGA: IMF exact 2003</x:v>
      </x:c>
      <x:c r="V486" s="36" t="str">
        <x:v>UGA: IMF exact 2003</x:v>
      </x:c>
      <x:c r="W486" s="36" t="str">
        <x:v>complete_primary</x:v>
      </x:c>
      <x:c r="X486" s="36" t="str">
        <x:v>https://api.imf.org/external/sdmx/3.0/data/dataflow/IMF.RES/WEO/9.0.0/</x:v>
      </x:c>
      <x:c r="Y486" s="36" t="str">
        <x:v>https://api.worldbank.org/v2/</x:v>
      </x:c>
    </x:row>
    <x:row r="487">
      <x:c r="A487" s="24" t="str">
        <x:v>UGA</x:v>
      </x:c>
      <x:c r="B487" s="24" t="str">
        <x:v>Uganda</x:v>
      </x:c>
      <x:c r="C487" s="24" t="str">
        <x:v>UGA</x:v>
      </x:c>
      <x:c r="D487" s="24" t="n">
        <x:v>2022</x:v>
      </x:c>
      <x:c r="E487" s="37" t="n">
        <x:v>1</x:v>
      </x:c>
      <x:c r="F487" s="38" t="n">
        <x:v>48839366</x:v>
      </x:c>
      <x:c r="G487" s="38" t="n">
        <x:v>43798820</x:v>
      </x:c>
      <x:c r="H487" s="39" t="n">
        <x:f>G487/F487</x:f>
        <x:v>0.8967933777027327</x:v>
      </x:c>
      <x:c r="I487" s="40" t="n">
        <x:v>113938880000</x:v>
      </x:c>
      <x:c r="J487" s="40" t="n">
        <x:v>113938880000</x:v>
      </x:c>
      <x:c r="K487" s="40" t="n">
        <x:v>2333</x:v>
      </x:c>
      <x:c r="L487" s="40" t="n">
        <x:v>1079</x:v>
      </x:c>
      <x:c r="M487" s="40" t="n">
        <x:v>3314</x:v>
      </x:c>
      <x:c r="N487" s="41" t="n">
        <x:f>MIN(L487,M487)</x:f>
        <x:v>1079</x:v>
      </x:c>
      <x:c r="O487" s="41" t="n">
        <x:f>MAX(L487,M487)</x:f>
        <x:v>3314</x:v>
      </x:c>
      <x:c r="P487" s="41" t="n">
        <x:f>MAX(N487,MIN(K487,O487))</x:f>
        <x:v>2333</x:v>
      </x:c>
      <x:c r="Q487" s="19" t="str">
        <x:f>IF(K487&lt;N487,IF(N487=L487,"clamped_to_nominal","clamped_to_ppp"),IF(K487&gt;O487,IF(O487=L487,"clamped_to_nominal","clamped_to_ppp"),"kept_vanilla"))</x:f>
        <x:v>kept_vanilla</x:v>
      </x:c>
      <x:c r="R487" s="41" t="n">
        <x:f>P487*G487</x:f>
        <x:v>102182647060</x:v>
      </x:c>
      <x:c r="S487" s="41" t="n">
        <x:f>R487/E487</x:f>
        <x:v>102182647060</x:v>
      </x:c>
      <x:c r="T487" s="36" t="str">
        <x:v>UGA: IMF exact 2022</x:v>
      </x:c>
      <x:c r="U487" s="36" t="str">
        <x:v>UGA: IMF exact 2022</x:v>
      </x:c>
      <x:c r="V487" s="36" t="str">
        <x:v>UGA: IMF exact 2022</x:v>
      </x:c>
      <x:c r="W487" s="36" t="str">
        <x:v>complete_primary</x:v>
      </x:c>
      <x:c r="X487" s="36" t="str">
        <x:v>https://api.imf.org/external/sdmx/3.0/data/dataflow/IMF.RES/WEO/9.0.0/</x:v>
      </x:c>
      <x:c r="Y487" s="36" t="str">
        <x:v>https://api.worldbank.org/v2/</x:v>
      </x:c>
    </x:row>
    <x:row r="488">
      <x:c r="A488" s="24" t="str">
        <x:v>UGA</x:v>
      </x:c>
      <x:c r="B488" s="24" t="str">
        <x:v>Uganda</x:v>
      </x:c>
      <x:c r="C488" s="24" t="str">
        <x:v>UGA</x:v>
      </x:c>
      <x:c r="D488" s="24" t="n">
        <x:v>2026</x:v>
      </x:c>
      <x:c r="E488" s="37" t="n">
        <x:v>0.87</x:v>
      </x:c>
      <x:c r="F488" s="38" t="n">
        <x:v>52761470</x:v>
      </x:c>
      <x:c r="G488" s="38" t="n">
        <x:v>49706097</x:v>
      </x:c>
      <x:c r="H488" s="39" t="n">
        <x:f>G488/F488</x:f>
        <x:v>0.9420908287809266</x:v>
      </x:c>
      <x:c r="I488" s="40" t="n">
        <x:v>164655920000</x:v>
      </x:c>
      <x:c r="J488" s="40" t="n">
        <x:v>143250650400</x:v>
      </x:c>
      <x:c r="K488" s="40" t="n">
        <x:v>2715</x:v>
      </x:c>
      <x:c r="L488" s="40" t="n">
        <x:v>1284</x:v>
      </x:c>
      <x:c r="M488" s="40" t="n">
        <x:v>3647</x:v>
      </x:c>
      <x:c r="N488" s="41" t="n">
        <x:f>MIN(L488,M488)</x:f>
        <x:v>1284</x:v>
      </x:c>
      <x:c r="O488" s="41" t="n">
        <x:f>MAX(L488,M488)</x:f>
        <x:v>3647</x:v>
      </x:c>
      <x:c r="P488" s="41" t="n">
        <x:f>MAX(N488,MIN(K488,O488))</x:f>
        <x:v>2715</x:v>
      </x:c>
      <x:c r="Q488" s="19" t="str">
        <x:f>IF(K488&lt;N488,IF(N488=L488,"clamped_to_nominal","clamped_to_ppp"),IF(K488&gt;O488,IF(O488=L488,"clamped_to_nominal","clamped_to_ppp"),"kept_vanilla"))</x:f>
        <x:v>kept_vanilla</x:v>
      </x:c>
      <x:c r="R488" s="41" t="n">
        <x:f>P488*G488</x:f>
        <x:v>134952053355</x:v>
      </x:c>
      <x:c r="S488" s="41" t="n">
        <x:f>R488/E488</x:f>
        <x:v>155117302706.89655</x:v>
      </x:c>
      <x:c r="T488" s="36" t="str">
        <x:v>UGA: IMF exact 2026</x:v>
      </x:c>
      <x:c r="U488" s="36" t="str">
        <x:v>UGA: IMF exact 2026</x:v>
      </x:c>
      <x:c r="V488" s="36" t="str">
        <x:v>UGA: IMF exact 2026</x:v>
      </x:c>
      <x:c r="W488" s="36" t="str">
        <x:v>complete_primary</x:v>
      </x:c>
      <x:c r="X488" s="36" t="str">
        <x:v>https://api.imf.org/external/sdmx/3.0/data/dataflow/IMF.RES/WEO/9.0.0/</x:v>
      </x:c>
      <x:c r="Y488" s="36" t="str">
        <x:v>https://api.worldbank.org/v2/</x:v>
      </x:c>
    </x:row>
    <x:row r="489">
      <x:c r="A489" s="24" t="str">
        <x:v>UKR</x:v>
      </x:c>
      <x:c r="B489" s="24" t="str">
        <x:v>Ukraine</x:v>
      </x:c>
      <x:c r="C489" s="24" t="str">
        <x:v>UKR</x:v>
      </x:c>
      <x:c r="D489" s="24" t="n">
        <x:v>2003</x:v>
      </x:c>
      <x:c r="E489" s="37" t="n">
        <x:v>1.59</x:v>
      </x:c>
      <x:c r="F489" s="38" t="n">
        <x:v>48315137</x:v>
      </x:c>
      <x:c r="G489" s="38" t="n">
        <x:v>47442100</x:v>
      </x:c>
      <x:c r="H489" s="39" t="n">
        <x:f>G489/F489</x:f>
        <x:v>0.9819303627349748</x:v>
      </x:c>
      <x:c r="I489" s="40" t="n">
        <x:v>197415204678</x:v>
      </x:c>
      <x:c r="J489" s="40" t="n">
        <x:v>313890175438</x:v>
      </x:c>
      <x:c r="K489" s="40" t="n">
        <x:v>6497</x:v>
      </x:c>
      <x:c r="L489" s="40" t="n">
        <x:v>1743</x:v>
      </x:c>
      <x:c r="M489" s="40" t="n">
        <x:v>11752</x:v>
      </x:c>
      <x:c r="N489" s="41" t="n">
        <x:f>MIN(L489,M489)</x:f>
        <x:v>1743</x:v>
      </x:c>
      <x:c r="O489" s="41" t="n">
        <x:f>MAX(L489,M489)</x:f>
        <x:v>11752</x:v>
      </x:c>
      <x:c r="P489" s="41" t="n">
        <x:f>MAX(N489,MIN(K489,O489))</x:f>
        <x:v>6497</x:v>
      </x:c>
      <x:c r="Q489" s="19" t="str">
        <x:f>IF(K489&lt;N489,IF(N489=L489,"clamped_to_nominal","clamped_to_ppp"),IF(K489&gt;O489,IF(O489=L489,"clamped_to_nominal","clamped_to_ppp"),"kept_vanilla"))</x:f>
        <x:v>kept_vanilla</x:v>
      </x:c>
      <x:c r="R489" s="41" t="n">
        <x:f>P489*G489</x:f>
        <x:v>308231323700</x:v>
      </x:c>
      <x:c r="S489" s="41" t="n">
        <x:f>R489/E489</x:f>
        <x:v>193856178427.67294</x:v>
      </x:c>
      <x:c r="T489" s="36" t="str">
        <x:v>UKR: IMF exact 2003</x:v>
      </x:c>
      <x:c r="U489" s="36" t="str">
        <x:v>UKR: IMF exact 2003</x:v>
      </x:c>
      <x:c r="V489" s="36" t="str">
        <x:v>UKR: IMF exact 2003</x:v>
      </x:c>
      <x:c r="W489" s="36" t="str">
        <x:v>complete_primary</x:v>
      </x:c>
      <x:c r="X489" s="36" t="str">
        <x:v>https://api.imf.org/external/sdmx/3.0/data/dataflow/IMF.RES/WEO/9.0.0/</x:v>
      </x:c>
      <x:c r="Y489" s="36" t="str">
        <x:v>https://api.worldbank.org/v2/</x:v>
      </x:c>
    </x:row>
    <x:row r="490">
      <x:c r="A490" s="24" t="str">
        <x:v>UKR</x:v>
      </x:c>
      <x:c r="B490" s="24" t="str">
        <x:v>Ukraine</x:v>
      </x:c>
      <x:c r="C490" s="24" t="str">
        <x:v>UKR</x:v>
      </x:c>
      <x:c r="D490" s="24" t="n">
        <x:v>2022</x:v>
      </x:c>
      <x:c r="E490" s="37" t="n">
        <x:v>1</x:v>
      </x:c>
      <x:c r="F490" s="38" t="n">
        <x:v>43108669</x:v>
      </x:c>
      <x:c r="G490" s="38" t="n">
        <x:v>34510716</x:v>
      </x:c>
      <x:c r="H490" s="39" t="n">
        <x:f>G490/F490</x:f>
        <x:v>0.8005516477439839</x:v>
      </x:c>
      <x:c r="I490" s="40" t="n">
        <x:v>517821040000</x:v>
      </x:c>
      <x:c r="J490" s="40" t="n">
        <x:v>517821040000</x:v>
      </x:c>
      <x:c r="K490" s="40" t="n">
        <x:v>12012</x:v>
      </x:c>
      <x:c r="L490" s="40" t="n">
        <x:v>4694</x:v>
      </x:c>
      <x:c r="M490" s="40" t="n">
        <x:v>16506</x:v>
      </x:c>
      <x:c r="N490" s="41" t="n">
        <x:f>MIN(L490,M490)</x:f>
        <x:v>4694</x:v>
      </x:c>
      <x:c r="O490" s="41" t="n">
        <x:f>MAX(L490,M490)</x:f>
        <x:v>16506</x:v>
      </x:c>
      <x:c r="P490" s="41" t="n">
        <x:f>MAX(N490,MIN(K490,O490))</x:f>
        <x:v>12012</x:v>
      </x:c>
      <x:c r="Q490" s="19" t="str">
        <x:f>IF(K490&lt;N490,IF(N490=L490,"clamped_to_nominal","clamped_to_ppp"),IF(K490&gt;O490,IF(O490=L490,"clamped_to_nominal","clamped_to_ppp"),"kept_vanilla"))</x:f>
        <x:v>kept_vanilla</x:v>
      </x:c>
      <x:c r="R490" s="41" t="n">
        <x:f>P490*G490</x:f>
        <x:v>414542720592</x:v>
      </x:c>
      <x:c r="S490" s="41" t="n">
        <x:f>R490/E490</x:f>
        <x:v>414542720592</x:v>
      </x:c>
      <x:c r="T490" s="36" t="str">
        <x:v>UKR: IMF exact 2022</x:v>
      </x:c>
      <x:c r="U490" s="36" t="str">
        <x:v>UKR: IMF exact 2022</x:v>
      </x:c>
      <x:c r="V490" s="36" t="str">
        <x:v>UKR: IMF exact 2022</x:v>
      </x:c>
      <x:c r="W490" s="36" t="str">
        <x:v>complete_primary</x:v>
      </x:c>
      <x:c r="X490" s="36" t="str">
        <x:v>https://api.imf.org/external/sdmx/3.0/data/dataflow/IMF.RES/WEO/9.0.0/</x:v>
      </x:c>
      <x:c r="Y490" s="36" t="str">
        <x:v>https://api.worldbank.org/v2/</x:v>
      </x:c>
    </x:row>
    <x:row r="491">
      <x:c r="A491" s="24" t="str">
        <x:v>UKR</x:v>
      </x:c>
      <x:c r="B491" s="24" t="str">
        <x:v>Ukraine</x:v>
      </x:c>
      <x:c r="C491" s="24" t="str">
        <x:v>UKR</x:v>
      </x:c>
      <x:c r="D491" s="24" t="n">
        <x:v>2026</x:v>
      </x:c>
      <x:c r="E491" s="37" t="n">
        <x:v>0.87</x:v>
      </x:c>
      <x:c r="F491" s="38" t="n">
        <x:v>39535849</x:v>
      </x:c>
      <x:c r="G491" s="38" t="n">
        <x:v>32282729</x:v>
      </x:c>
      <x:c r="H491" s="39" t="n">
        <x:f>G491/F491</x:f>
        <x:v>0.8165432086711987</x:v>
      </x:c>
      <x:c r="I491" s="40" t="n">
        <x:v>607251920000</x:v>
      </x:c>
      <x:c r="J491" s="40" t="n">
        <x:v>528309170400</x:v>
      </x:c>
      <x:c r="K491" s="40" t="n">
        <x:v>13363</x:v>
      </x:c>
      <x:c r="L491" s="40" t="n">
        <x:v>6073</x:v>
      </x:c>
      <x:c r="M491" s="40" t="n">
        <x:v>19526</x:v>
      </x:c>
      <x:c r="N491" s="41" t="n">
        <x:f>MIN(L491,M491)</x:f>
        <x:v>6073</x:v>
      </x:c>
      <x:c r="O491" s="41" t="n">
        <x:f>MAX(L491,M491)</x:f>
        <x:v>19526</x:v>
      </x:c>
      <x:c r="P491" s="41" t="n">
        <x:f>MAX(N491,MIN(K491,O491))</x:f>
        <x:v>13363</x:v>
      </x:c>
      <x:c r="Q491" s="19" t="str">
        <x:f>IF(K491&lt;N491,IF(N491=L491,"clamped_to_nominal","clamped_to_ppp"),IF(K491&gt;O491,IF(O491=L491,"clamped_to_nominal","clamped_to_ppp"),"kept_vanilla"))</x:f>
        <x:v>kept_vanilla</x:v>
      </x:c>
      <x:c r="R491" s="41" t="n">
        <x:f>P491*G491</x:f>
        <x:v>431394107627</x:v>
      </x:c>
      <x:c r="S491" s="41" t="n">
        <x:f>R491/E491</x:f>
        <x:v>495855296122.9885</x:v>
      </x:c>
      <x:c r="T491" s="36" t="str">
        <x:v>UKR: IMF exact 2026</x:v>
      </x:c>
      <x:c r="U491" s="36" t="str">
        <x:v>UKR: IMF exact 2026</x:v>
      </x:c>
      <x:c r="V491" s="36" t="str">
        <x:v>UKR: IMF exact 2026</x:v>
      </x:c>
      <x:c r="W491" s="36" t="str">
        <x:v>complete_primary</x:v>
      </x:c>
      <x:c r="X491" s="36" t="str">
        <x:v>https://api.imf.org/external/sdmx/3.0/data/dataflow/IMF.RES/WEO/9.0.0/</x:v>
      </x:c>
      <x:c r="Y491" s="36" t="str">
        <x:v>https://api.worldbank.org/v2/</x:v>
      </x:c>
    </x:row>
    <x:row r="492">
      <x:c r="A492" s="24" t="str">
        <x:v>UAE</x:v>
      </x:c>
      <x:c r="B492" s="24" t="str">
        <x:v>United Arab Emirates</x:v>
      </x:c>
      <x:c r="C492" s="24" t="str">
        <x:v>ARE</x:v>
      </x:c>
      <x:c r="D492" s="24" t="n">
        <x:v>2003</x:v>
      </x:c>
      <x:c r="E492" s="37" t="n">
        <x:v>1.59</x:v>
      </x:c>
      <x:c r="F492" s="38" t="n">
        <x:v>4192457</x:v>
      </x:c>
      <x:c r="G492" s="38" t="n">
        <x:v>3865661</x:v>
      </x:c>
      <x:c r="H492" s="39" t="n">
        <x:f>G492/F492</x:f>
        <x:v>0.9220514366635126</x:v>
      </x:c>
      <x:c r="I492" s="40" t="n">
        <x:v>156876608187</x:v>
      </x:c>
      <x:c r="J492" s="40" t="n">
        <x:v>249433807017</x:v>
      </x:c>
      <x:c r="K492" s="40" t="n">
        <x:v>59496</x:v>
      </x:c>
      <x:c r="L492" s="40" t="n">
        <x:v>51145</x:v>
      </x:c>
      <x:c r="M492" s="40" t="n">
        <x:v>108811</x:v>
      </x:c>
      <x:c r="N492" s="41" t="n">
        <x:f>MIN(L492,M492)</x:f>
        <x:v>51145</x:v>
      </x:c>
      <x:c r="O492" s="41" t="n">
        <x:f>MAX(L492,M492)</x:f>
        <x:v>108811</x:v>
      </x:c>
      <x:c r="P492" s="41" t="n">
        <x:f>MAX(N492,MIN(K492,O492))</x:f>
        <x:v>59496</x:v>
      </x:c>
      <x:c r="Q492" s="19" t="str">
        <x:f>IF(K492&lt;N492,IF(N492=L492,"clamped_to_nominal","clamped_to_ppp"),IF(K492&gt;O492,IF(O492=L492,"clamped_to_nominal","clamped_to_ppp"),"kept_vanilla"))</x:f>
        <x:v>kept_vanilla</x:v>
      </x:c>
      <x:c r="R492" s="41" t="n">
        <x:f>P492*G492</x:f>
        <x:v>229991366856</x:v>
      </x:c>
      <x:c r="S492" s="41" t="n">
        <x:f>R492/E492</x:f>
        <x:v>144648658400</x:v>
      </x:c>
      <x:c r="T492" s="36" t="str">
        <x:v>ARE: IMF exact 2003</x:v>
      </x:c>
      <x:c r="U492" s="36" t="str">
        <x:v>ARE: IMF exact 2003</x:v>
      </x:c>
      <x:c r="V492" s="36" t="str">
        <x:v>ARE: IMF exact 2003</x:v>
      </x:c>
      <x:c r="W492" s="36" t="str">
        <x:v>complete_primary</x:v>
      </x:c>
      <x:c r="X492" s="36" t="str">
        <x:v>https://api.imf.org/external/sdmx/3.0/data/dataflow/IMF.RES/WEO/9.0.0/</x:v>
      </x:c>
      <x:c r="Y492" s="36" t="str">
        <x:v>https://api.worldbank.org/v2/</x:v>
      </x:c>
    </x:row>
    <x:row r="493">
      <x:c r="A493" s="24" t="str">
        <x:v>UAE</x:v>
      </x:c>
      <x:c r="B493" s="24" t="str">
        <x:v>United Arab Emirates</x:v>
      </x:c>
      <x:c r="C493" s="24" t="str">
        <x:v>ARE</x:v>
      </x:c>
      <x:c r="D493" s="24" t="n">
        <x:v>2022</x:v>
      </x:c>
      <x:c r="E493" s="37" t="n">
        <x:v>1</x:v>
      </x:c>
      <x:c r="F493" s="38" t="n">
        <x:v>10109201</x:v>
      </x:c>
      <x:c r="G493" s="38" t="n">
        <x:v>10288946</x:v>
      </x:c>
      <x:c r="H493" s="39" t="n">
        <x:f>G493/F493</x:f>
        <x:v>1.0177803369425535</x:v>
      </x:c>
      <x:c r="I493" s="40" t="n">
        <x:v>685725920000</x:v>
      </x:c>
      <x:c r="J493" s="40" t="n">
        <x:v>685725920000</x:v>
      </x:c>
      <x:c r="K493" s="40" t="n">
        <x:v>67832</x:v>
      </x:c>
      <x:c r="L493" s="40" t="n">
        <x:v>49704</x:v>
      </x:c>
      <x:c r="M493" s="40" t="n">
        <x:v>73499</x:v>
      </x:c>
      <x:c r="N493" s="41" t="n">
        <x:f>MIN(L493,M493)</x:f>
        <x:v>49704</x:v>
      </x:c>
      <x:c r="O493" s="41" t="n">
        <x:f>MAX(L493,M493)</x:f>
        <x:v>73499</x:v>
      </x:c>
      <x:c r="P493" s="41" t="n">
        <x:f>MAX(N493,MIN(K493,O493))</x:f>
        <x:v>67832</x:v>
      </x:c>
      <x:c r="Q493" s="19" t="str">
        <x:f>IF(K493&lt;N493,IF(N493=L493,"clamped_to_nominal","clamped_to_ppp"),IF(K493&gt;O493,IF(O493=L493,"clamped_to_nominal","clamped_to_ppp"),"kept_vanilla"))</x:f>
        <x:v>kept_vanilla</x:v>
      </x:c>
      <x:c r="R493" s="41" t="n">
        <x:f>P493*G493</x:f>
        <x:v>697919785072</x:v>
      </x:c>
      <x:c r="S493" s="41" t="n">
        <x:f>R493/E493</x:f>
        <x:v>697919785072</x:v>
      </x:c>
      <x:c r="T493" s="36" t="str">
        <x:v>ARE: IMF exact 2022</x:v>
      </x:c>
      <x:c r="U493" s="36" t="str">
        <x:v>ARE: IMF exact 2022</x:v>
      </x:c>
      <x:c r="V493" s="36" t="str">
        <x:v>ARE: IMF exact 2022</x:v>
      </x:c>
      <x:c r="W493" s="36" t="str">
        <x:v>complete_primary</x:v>
      </x:c>
      <x:c r="X493" s="36" t="str">
        <x:v>https://api.imf.org/external/sdmx/3.0/data/dataflow/IMF.RES/WEO/9.0.0/</x:v>
      </x:c>
      <x:c r="Y493" s="36" t="str">
        <x:v>https://api.worldbank.org/v2/</x:v>
      </x:c>
    </x:row>
    <x:row r="494">
      <x:c r="A494" s="24" t="str">
        <x:v>UAE</x:v>
      </x:c>
      <x:c r="B494" s="24" t="str">
        <x:v>United Arab Emirates</x:v>
      </x:c>
      <x:c r="C494" s="24" t="str">
        <x:v>ARE</x:v>
      </x:c>
      <x:c r="D494" s="24" t="n">
        <x:v>2026</x:v>
      </x:c>
      <x:c r="E494" s="37" t="n">
        <x:v>0.87</x:v>
      </x:c>
      <x:c r="F494" s="38" t="n">
        <x:v>11574682</x:v>
      </x:c>
      <x:c r="G494" s="38" t="n">
        <x:v>11464596</x:v>
      </x:c>
      <x:c r="H494" s="39" t="n">
        <x:f>G494/F494</x:f>
        <x:v>0.9904890691597402</x:v>
      </x:c>
      <x:c r="I494" s="40" t="n">
        <x:v>796599760000</x:v>
      </x:c>
      <x:c r="J494" s="40" t="n">
        <x:v>693041791200</x:v>
      </x:c>
      <x:c r="K494" s="40" t="n">
        <x:v>59876</x:v>
      </x:c>
      <x:c r="L494" s="40" t="n">
        <x:v>47167</x:v>
      </x:c>
      <x:c r="M494" s="40" t="n">
        <x:v>76363</x:v>
      </x:c>
      <x:c r="N494" s="41" t="n">
        <x:f>MIN(L494,M494)</x:f>
        <x:v>47167</x:v>
      </x:c>
      <x:c r="O494" s="41" t="n">
        <x:f>MAX(L494,M494)</x:f>
        <x:v>76363</x:v>
      </x:c>
      <x:c r="P494" s="41" t="n">
        <x:f>MAX(N494,MIN(K494,O494))</x:f>
        <x:v>59876</x:v>
      </x:c>
      <x:c r="Q494" s="19" t="str">
        <x:f>IF(K494&lt;N494,IF(N494=L494,"clamped_to_nominal","clamped_to_ppp"),IF(K494&gt;O494,IF(O494=L494,"clamped_to_nominal","clamped_to_ppp"),"kept_vanilla"))</x:f>
        <x:v>kept_vanilla</x:v>
      </x:c>
      <x:c r="R494" s="41" t="n">
        <x:f>P494*G494</x:f>
        <x:v>686454150096</x:v>
      </x:c>
      <x:c r="S494" s="41" t="n">
        <x:f>R494/E494</x:f>
        <x:v>789027758731.0345</x:v>
      </x:c>
      <x:c r="T494" s="36" t="str">
        <x:v>ARE: IMF exact 2026</x:v>
      </x:c>
      <x:c r="U494" s="36" t="str">
        <x:v>ARE: IMF exact 2026</x:v>
      </x:c>
      <x:c r="V494" s="36" t="str">
        <x:v>ARE: IMF exact 2026</x:v>
      </x:c>
      <x:c r="W494" s="36" t="str">
        <x:v>complete_primary</x:v>
      </x:c>
      <x:c r="X494" s="36" t="str">
        <x:v>https://api.imf.org/external/sdmx/3.0/data/dataflow/IMF.RES/WEO/9.0.0/</x:v>
      </x:c>
      <x:c r="Y494" s="36" t="str">
        <x:v>https://api.worldbank.org/v2/</x:v>
      </x:c>
    </x:row>
    <x:row r="495">
      <x:c r="A495" s="24" t="str">
        <x:v>GBR</x:v>
      </x:c>
      <x:c r="B495" s="24" t="str">
        <x:v>United Kingdom</x:v>
      </x:c>
      <x:c r="C495" s="24" t="str">
        <x:v>GBR+JEY+IMN</x:v>
      </x:c>
      <x:c r="D495" s="24" t="n">
        <x:v>2003</x:v>
      </x:c>
      <x:c r="E495" s="37" t="n">
        <x:v>1.59</x:v>
      </x:c>
      <x:c r="F495" s="38" t="n">
        <x:v>59820384</x:v>
      </x:c>
      <x:c r="G495" s="38" t="n">
        <x:v>59866009</x:v>
      </x:c>
      <x:c r="H495" s="39" t="n">
        <x:f>G495/F495</x:f>
        <x:v>1.0007626998850425</x:v>
      </x:c>
      <x:c r="I495" s="40" t="n">
        <x:v>1103967836257</x:v>
      </x:c>
      <x:c r="J495" s="40" t="n">
        <x:v>1755308859649</x:v>
      </x:c>
      <x:c r="K495" s="40" t="n">
        <x:v>29343</x:v>
      </x:c>
      <x:c r="L495" s="40" t="n">
        <x:v>55049</x:v>
      </x:c>
      <x:c r="M495" s="40" t="n">
        <x:v>50566</x:v>
      </x:c>
      <x:c r="N495" s="41" t="n">
        <x:f>MIN(L495,M495)</x:f>
        <x:v>50566</x:v>
      </x:c>
      <x:c r="O495" s="41" t="n">
        <x:f>MAX(L495,M495)</x:f>
        <x:v>55049</x:v>
      </x:c>
      <x:c r="P495" s="41" t="n">
        <x:f>MAX(N495,MIN(K495,O495))</x:f>
        <x:v>50566</x:v>
      </x:c>
      <x:c r="Q495" s="19" t="str">
        <x:f>IF(K495&lt;N495,IF(N495=L495,"clamped_to_nominal","clamped_to_ppp"),IF(K495&gt;O495,IF(O495=L495,"clamped_to_nominal","clamped_to_ppp"),"kept_vanilla"))</x:f>
        <x:v>clamped_to_ppp</x:v>
      </x:c>
      <x:c r="R495" s="41" t="n">
        <x:f>P495*G495</x:f>
        <x:v>3027184611094</x:v>
      </x:c>
      <x:c r="S495" s="41" t="n">
        <x:f>R495/E495</x:f>
        <x:v>1903889692511.9497</x:v>
      </x:c>
      <x:c r="T495" s="36" t="str">
        <x:v>GBR: IMF exact 2003; JEY: World Bank exact 2003 (Channel Islands proxy for Jersey); IMN: World Bank exact 2003</x:v>
      </x:c>
      <x:c r="U495" s="36" t="str">
        <x:v>GBR: IMF exact 2003; JEY: World Bank exact 2003 (Channel Islands proxy for Jersey); IMN: World Bank exact 2003</x:v>
      </x:c>
      <x:c r="V495" s="36" t="str">
        <x:v>GBR: IMF exact 2003; JEY: PPP inferred from filled nominal GDP using Europe &amp; Central Asia; High income median PPP/nominal ratio 1.228 (35 peers); IMN: PPP inferred from filled nominal GDP using Europe &amp; Central Asia; High income median PPP/nominal ratio 1.228 (35 peers)</x:v>
      </x:c>
      <x:c r="W495" s="36" t="str">
        <x:v>proxy_component+inferred+secondary_source</x:v>
      </x:c>
      <x:c r="X495" s="36" t="str">
        <x:v>https://api.imf.org/external/sdmx/3.0/data/dataflow/IMF.RES/WEO/9.0.0/</x:v>
      </x:c>
      <x:c r="Y495" s="36" t="str">
        <x:v>https://api.worldbank.org/v2/</x:v>
      </x:c>
    </x:row>
    <x:row r="496">
      <x:c r="A496" s="24" t="str">
        <x:v>GBR</x:v>
      </x:c>
      <x:c r="B496" s="24" t="str">
        <x:v>United Kingdom</x:v>
      </x:c>
      <x:c r="C496" s="24" t="str">
        <x:v>GBR+JEY+IMN</x:v>
      </x:c>
      <x:c r="D496" s="24" t="n">
        <x:v>2022</x:v>
      </x:c>
      <x:c r="E496" s="37" t="n">
        <x:v>1</x:v>
      </x:c>
      <x:c r="F496" s="38" t="n">
        <x:v>68586015</x:v>
      </x:c>
      <x:c r="G496" s="38" t="n">
        <x:v>67887347</x:v>
      </x:c>
      <x:c r="H496" s="39" t="n">
        <x:f>G496/F496</x:f>
        <x:v>0.9898132585775686</x:v>
      </x:c>
      <x:c r="I496" s="40" t="n">
        <x:v>3301623600000</x:v>
      </x:c>
      <x:c r="J496" s="40" t="n">
        <x:v>3301623600000</x:v>
      </x:c>
      <x:c r="K496" s="40" t="n">
        <x:v>48138</x:v>
      </x:c>
      <x:c r="L496" s="40" t="n">
        <x:v>47308</x:v>
      </x:c>
      <x:c r="M496" s="40" t="n">
        <x:v>60170</x:v>
      </x:c>
      <x:c r="N496" s="41" t="n">
        <x:f>MIN(L496,M496)</x:f>
        <x:v>47308</x:v>
      </x:c>
      <x:c r="O496" s="41" t="n">
        <x:f>MAX(L496,M496)</x:f>
        <x:v>60170</x:v>
      </x:c>
      <x:c r="P496" s="41" t="n">
        <x:f>MAX(N496,MIN(K496,O496))</x:f>
        <x:v>48138</x:v>
      </x:c>
      <x:c r="Q496" s="19" t="str">
        <x:f>IF(K496&lt;N496,IF(N496=L496,"clamped_to_nominal","clamped_to_ppp"),IF(K496&gt;O496,IF(O496=L496,"clamped_to_nominal","clamped_to_ppp"),"kept_vanilla"))</x:f>
        <x:v>kept_vanilla</x:v>
      </x:c>
      <x:c r="R496" s="41" t="n">
        <x:f>P496*G496</x:f>
        <x:v>3267961109886</x:v>
      </x:c>
      <x:c r="S496" s="41" t="n">
        <x:f>R496/E496</x:f>
        <x:v>3267961109886</x:v>
      </x:c>
      <x:c r="T496" s="36" t="str">
        <x:v>GBR: IMF exact 2022; JEY: World Bank exact 2022 (Channel Islands proxy for Jersey); IMN: World Bank exact 2022</x:v>
      </x:c>
      <x:c r="U496" s="36" t="str">
        <x:v>GBR: IMF exact 2022; JEY: World Bank exact 2022 (Channel Islands proxy for Jersey); IMN: World Bank exact 2022</x:v>
      </x:c>
      <x:c r="V496" s="36" t="str">
        <x:v>GBR: IMF exact 2022; JEY: PPP inferred from filled nominal GDP using Europe &amp; Central Asia; High income median PPP/nominal ratio 1.515 (36 peers); IMN: PPP inferred from filled nominal GDP using Europe &amp; Central Asia; High income median PPP/nominal ratio 1.515 (36 peers)</x:v>
      </x:c>
      <x:c r="W496" s="36" t="str">
        <x:v>proxy_component+inferred+secondary_source</x:v>
      </x:c>
      <x:c r="X496" s="36" t="str">
        <x:v>https://api.imf.org/external/sdmx/3.0/data/dataflow/IMF.RES/WEO/9.0.0/</x:v>
      </x:c>
      <x:c r="Y496" s="36" t="str">
        <x:v>https://api.worldbank.org/v2/</x:v>
      </x:c>
    </x:row>
    <x:row r="497">
      <x:c r="A497" s="24" t="str">
        <x:v>GBR</x:v>
      </x:c>
      <x:c r="B497" s="24" t="str">
        <x:v>United Kingdom</x:v>
      </x:c>
      <x:c r="C497" s="24" t="str">
        <x:v>GBR+JEY+IMN</x:v>
      </x:c>
      <x:c r="D497" s="24" t="n">
        <x:v>2026</x:v>
      </x:c>
      <x:c r="E497" s="37" t="n">
        <x:v>0.87</x:v>
      </x:c>
      <x:c r="F497" s="38" t="n">
        <x:v>69931528</x:v>
      </x:c>
      <x:c r="G497" s="38" t="n">
        <x:v>70103309</x:v>
      </x:c>
      <x:c r="H497" s="39" t="n">
        <x:f>G497/F497</x:f>
        <x:v>1.0024564170827213</x:v>
      </x:c>
      <x:c r="I497" s="40" t="n">
        <x:v>3920150080000</x:v>
      </x:c>
      <x:c r="J497" s="40" t="n">
        <x:v>3410530569600</x:v>
      </x:c>
      <x:c r="K497" s="40" t="n">
        <x:v>48770</x:v>
      </x:c>
      <x:c r="L497" s="40" t="n">
        <x:v>53239</x:v>
      </x:c>
      <x:c r="M497" s="40" t="n">
        <x:v>59021</x:v>
      </x:c>
      <x:c r="N497" s="41" t="n">
        <x:f>MIN(L497,M497)</x:f>
        <x:v>53239</x:v>
      </x:c>
      <x:c r="O497" s="41" t="n">
        <x:f>MAX(L497,M497)</x:f>
        <x:v>59021</x:v>
      </x:c>
      <x:c r="P497" s="41" t="n">
        <x:f>MAX(N497,MIN(K497,O497))</x:f>
        <x:v>53239</x:v>
      </x:c>
      <x:c r="Q497" s="19" t="str">
        <x:f>IF(K497&lt;N497,IF(N497=L497,"clamped_to_nominal","clamped_to_ppp"),IF(K497&gt;O497,IF(O497=L497,"clamped_to_nominal","clamped_to_ppp"),"kept_vanilla"))</x:f>
        <x:v>clamped_to_nominal</x:v>
      </x:c>
      <x:c r="R497" s="41" t="n">
        <x:f>P497*G497</x:f>
        <x:v>3732230067851</x:v>
      </x:c>
      <x:c r="S497" s="41" t="n">
        <x:f>R497/E497</x:f>
        <x:v>4289919618219.54</x:v>
      </x:c>
      <x:c r="T497" s="36" t="str">
        <x:v>GBR: IMF exact 2026; JEY: population extrapolation from World Bank 2024-2025 CAGR (0.20%/yr, capped at ±5%); IMN: population extrapolation from World Bank 2024-2025 CAGR (-0.05%/yr, capped at ±5%)</x:v>
      </x:c>
      <x:c r="U497" s="36" t="str">
        <x:v>GBR: IMF exact 2026; JEY: peer-growth inference from World Bank 2023; Europe &amp; Central Asia; High income median 4.77%/yr (34 peers, capped at ±8%); IMN: peer-growth inference from World Bank 2023; Europe &amp; Central Asia; High income median 4.77%/yr (34 peers, capped at ±8%)</x:v>
      </x:c>
      <x:c r="V497" s="36" t="str">
        <x:v>GBR: IMF exact 2026; JEY: PPP inferred from filled nominal GDP using Europe &amp; Central Asia; High income median PPP/nominal ratio 1.392 (34 peers); IMN: PPP inferred from filled nominal GDP using Europe &amp; Central Asia; High income median PPP/nominal ratio 1.392 (34 peers)</x:v>
      </x:c>
      <x:c r="W497" s="36" t="str">
        <x:v>inferred</x:v>
      </x:c>
      <x:c r="X497" s="36" t="str">
        <x:v>https://api.imf.org/external/sdmx/3.0/data/dataflow/IMF.RES/WEO/9.0.0/</x:v>
      </x:c>
      <x:c r="Y497" s="36" t="str">
        <x:v>https://api.worldbank.org/v2/</x:v>
      </x:c>
    </x:row>
    <x:row r="498">
      <x:c r="A498" s="24" t="str">
        <x:v>USA</x:v>
      </x:c>
      <x:c r="B498" s="24" t="str">
        <x:v>United States of America</x:v>
      </x:c>
      <x:c r="C498" s="24" t="str">
        <x:v>USA+PRI</x:v>
      </x:c>
      <x:c r="D498" s="24" t="n">
        <x:v>2003</x:v>
      </x:c>
      <x:c r="E498" s="37" t="n">
        <x:v>1.59</x:v>
      </x:c>
      <x:c r="F498" s="38" t="n">
        <x:v>289908101</x:v>
      </x:c>
      <x:c r="G498" s="38" t="n">
        <x:v>294559428</x:v>
      </x:c>
      <x:c r="H498" s="39" t="n">
        <x:f>G498/F498</x:f>
        <x:v>1.016044142898925</x:v>
      </x:c>
      <x:c r="I498" s="40" t="n">
        <x:v>6699678362573</x:v>
      </x:c>
      <x:c r="J498" s="40" t="n">
        <x:v>10652488596491</x:v>
      </x:c>
      <x:c r="K498" s="40" t="n">
        <x:v>36744</x:v>
      </x:c>
      <x:c r="L498" s="40" t="n">
        <x:v>62250</x:v>
      </x:c>
      <x:c r="M498" s="40" t="n">
        <x:v>62360</x:v>
      </x:c>
      <x:c r="N498" s="41" t="n">
        <x:f>MIN(L498,M498)</x:f>
        <x:v>62250</x:v>
      </x:c>
      <x:c r="O498" s="41" t="n">
        <x:f>MAX(L498,M498)</x:f>
        <x:v>62360</x:v>
      </x:c>
      <x:c r="P498" s="41" t="n">
        <x:f>MAX(N498,MIN(K498,O498))</x:f>
        <x:v>62250</x:v>
      </x:c>
      <x:c r="Q498" s="19" t="str">
        <x:f>IF(K498&lt;N498,IF(N498=L498,"clamped_to_nominal","clamped_to_ppp"),IF(K498&gt;O498,IF(O498=L498,"clamped_to_nominal","clamped_to_ppp"),"kept_vanilla"))</x:f>
        <x:v>clamped_to_nominal</x:v>
      </x:c>
      <x:c r="R498" s="41" t="n">
        <x:f>P498*G498</x:f>
        <x:v>18336324393000</x:v>
      </x:c>
      <x:c r="S498" s="41" t="n">
        <x:f>R498/E498</x:f>
        <x:v>11532279492452.83</x:v>
      </x:c>
      <x:c r="T498" s="36" t="str">
        <x:v>USA: IMF exact 2003; PRI: IMF exact 2003</x:v>
      </x:c>
      <x:c r="U498" s="36" t="str">
        <x:v>USA: IMF exact 2003; PRI: IMF exact 2003</x:v>
      </x:c>
      <x:c r="V498" s="36" t="str">
        <x:v>USA: IMF exact 2003; PRI: IMF exact 2003</x:v>
      </x:c>
      <x:c r="W498" s="36" t="str">
        <x:v>complete_primary</x:v>
      </x:c>
      <x:c r="X498" s="36" t="str">
        <x:v>https://api.imf.org/external/sdmx/3.0/data/dataflow/IMF.RES/WEO/9.0.0/</x:v>
      </x:c>
      <x:c r="Y498" s="36" t="str">
        <x:v>https://api.worldbank.org/v2/</x:v>
      </x:c>
    </x:row>
    <x:row r="499">
      <x:c r="A499" s="24" t="str">
        <x:v>USA</x:v>
      </x:c>
      <x:c r="B499" s="24" t="str">
        <x:v>United States of America</x:v>
      </x:c>
      <x:c r="C499" s="24" t="str">
        <x:v>USA+PRI</x:v>
      </x:c>
      <x:c r="D499" s="24" t="n">
        <x:v>2022</x:v>
      </x:c>
      <x:c r="E499" s="37" t="n">
        <x:v>1</x:v>
      </x:c>
      <x:c r="F499" s="38" t="n">
        <x:v>335386250</x:v>
      </x:c>
      <x:c r="G499" s="38" t="n">
        <x:v>337451917</x:v>
      </x:c>
      <x:c r="H499" s="39" t="n">
        <x:f>G499/F499</x:f>
        <x:v>1.0061590688348137</x:v>
      </x:c>
      <x:c r="I499" s="40" t="n">
        <x:v>22305188400000</x:v>
      </x:c>
      <x:c r="J499" s="40" t="n">
        <x:v>22305188400000</x:v>
      </x:c>
      <x:c r="K499" s="40" t="n">
        <x:v>66506</x:v>
      </x:c>
      <x:c r="L499" s="40" t="n">
        <x:v>77547</x:v>
      </x:c>
      <x:c r="M499" s="40" t="n">
        <x:v>77642</x:v>
      </x:c>
      <x:c r="N499" s="41" t="n">
        <x:f>MIN(L499,M499)</x:f>
        <x:v>77547</x:v>
      </x:c>
      <x:c r="O499" s="41" t="n">
        <x:f>MAX(L499,M499)</x:f>
        <x:v>77642</x:v>
      </x:c>
      <x:c r="P499" s="41" t="n">
        <x:f>MAX(N499,MIN(K499,O499))</x:f>
        <x:v>77547</x:v>
      </x:c>
      <x:c r="Q499" s="19" t="str">
        <x:f>IF(K499&lt;N499,IF(N499=L499,"clamped_to_nominal","clamped_to_ppp"),IF(K499&gt;O499,IF(O499=L499,"clamped_to_nominal","clamped_to_ppp"),"kept_vanilla"))</x:f>
        <x:v>clamped_to_nominal</x:v>
      </x:c>
      <x:c r="R499" s="41" t="n">
        <x:f>P499*G499</x:f>
        <x:v>26168383807599</x:v>
      </x:c>
      <x:c r="S499" s="41" t="n">
        <x:f>R499/E499</x:f>
        <x:v>26168383807599</x:v>
      </x:c>
      <x:c r="T499" s="36" t="str">
        <x:v>USA: IMF exact 2022; PRI: IMF exact 2022</x:v>
      </x:c>
      <x:c r="U499" s="36" t="str">
        <x:v>USA: IMF exact 2022; PRI: IMF exact 2022</x:v>
      </x:c>
      <x:c r="V499" s="36" t="str">
        <x:v>USA: IMF exact 2022; PRI: IMF exact 2022</x:v>
      </x:c>
      <x:c r="W499" s="36" t="str">
        <x:v>complete_primary</x:v>
      </x:c>
      <x:c r="X499" s="36" t="str">
        <x:v>https://api.imf.org/external/sdmx/3.0/data/dataflow/IMF.RES/WEO/9.0.0/</x:v>
      </x:c>
      <x:c r="Y499" s="36" t="str">
        <x:v>https://api.worldbank.org/v2/</x:v>
      </x:c>
    </x:row>
    <x:row r="500">
      <x:c r="A500" s="24" t="str">
        <x:v>USA</x:v>
      </x:c>
      <x:c r="B500" s="24" t="str">
        <x:v>United States of America</x:v>
      </x:c>
      <x:c r="C500" s="24" t="str">
        <x:v>USA+PRI</x:v>
      </x:c>
      <x:c r="D500" s="24" t="n">
        <x:v>2026</x:v>
      </x:c>
      <x:c r="E500" s="37" t="n">
        <x:v>0.87</x:v>
      </x:c>
      <x:c r="F500" s="38" t="n">
        <x:v>349035493</x:v>
      </x:c>
      <x:c r="G500" s="38" t="n">
        <x:v>346115644</x:v>
      </x:c>
      <x:c r="H500" s="39" t="n">
        <x:f>G500/F500</x:f>
        <x:v>0.991634521249104</x:v>
      </x:c>
      <x:c r="I500" s="40" t="n">
        <x:v>26941853840000</x:v>
      </x:c>
      <x:c r="J500" s="40" t="n">
        <x:v>23439412840800</x:v>
      </x:c>
      <x:c r="K500" s="40" t="n">
        <x:v>67155</x:v>
      </x:c>
      <x:c r="L500" s="40" t="n">
        <x:v>81725</x:v>
      </x:c>
      <x:c r="M500" s="40" t="n">
        <x:v>81825</x:v>
      </x:c>
      <x:c r="N500" s="41" t="n">
        <x:f>MIN(L500,M500)</x:f>
        <x:v>81725</x:v>
      </x:c>
      <x:c r="O500" s="41" t="n">
        <x:f>MAX(L500,M500)</x:f>
        <x:v>81825</x:v>
      </x:c>
      <x:c r="P500" s="41" t="n">
        <x:f>MAX(N500,MIN(K500,O500))</x:f>
        <x:v>81725</x:v>
      </x:c>
      <x:c r="Q500" s="19" t="str">
        <x:f>IF(K500&lt;N500,IF(N500=L500,"clamped_to_nominal","clamped_to_ppp"),IF(K500&gt;O500,IF(O500=L500,"clamped_to_nominal","clamped_to_ppp"),"kept_vanilla"))</x:f>
        <x:v>clamped_to_nominal</x:v>
      </x:c>
      <x:c r="R500" s="41" t="n">
        <x:f>P500*G500</x:f>
        <x:v>28286301005900</x:v>
      </x:c>
      <x:c r="S500" s="41" t="n">
        <x:f>R500/E500</x:f>
        <x:v>32512989661954.023</x:v>
      </x:c>
      <x:c r="T500" s="36" t="str">
        <x:v>USA: IMF exact 2026; PRI: IMF exact 2026</x:v>
      </x:c>
      <x:c r="U500" s="36" t="str">
        <x:v>USA: IMF exact 2026; PRI: IMF exact 2026</x:v>
      </x:c>
      <x:c r="V500" s="36" t="str">
        <x:v>USA: IMF exact 2026; PRI: IMF exact 2026</x:v>
      </x:c>
      <x:c r="W500" s="36" t="str">
        <x:v>complete_primary</x:v>
      </x:c>
      <x:c r="X500" s="36" t="str">
        <x:v>https://api.imf.org/external/sdmx/3.0/data/dataflow/IMF.RES/WEO/9.0.0/</x:v>
      </x:c>
      <x:c r="Y500" s="36" t="str">
        <x:v>https://api.worldbank.org/v2/</x:v>
      </x:c>
    </x:row>
    <x:row r="501">
      <x:c r="A501" s="24" t="str">
        <x:v>URY</x:v>
      </x:c>
      <x:c r="B501" s="24" t="str">
        <x:v>Uruguay</x:v>
      </x:c>
      <x:c r="C501" s="24" t="str">
        <x:v>URY</x:v>
      </x:c>
      <x:c r="D501" s="24" t="n">
        <x:v>2003</x:v>
      </x:c>
      <x:c r="E501" s="37" t="n">
        <x:v>1.59</x:v>
      </x:c>
      <x:c r="F501" s="38" t="n">
        <x:v>3281186</x:v>
      </x:c>
      <x:c r="G501" s="38" t="n">
        <x:v>3338399</x:v>
      </x:c>
      <x:c r="H501" s="39" t="n">
        <x:f>G501/F501</x:f>
        <x:v>1.0174366829554924</x:v>
      </x:c>
      <x:c r="I501" s="40" t="n">
        <x:v>19566081871</x:v>
      </x:c>
      <x:c r="J501" s="40" t="n">
        <x:v>31110070175</x:v>
      </x:c>
      <x:c r="K501" s="40" t="n">
        <x:v>9481</x:v>
      </x:c>
      <x:c r="L501" s="40" t="n">
        <x:v>6267</x:v>
      </x:c>
      <x:c r="M501" s="40" t="n">
        <x:v>15935</x:v>
      </x:c>
      <x:c r="N501" s="41" t="n">
        <x:f>MIN(L501,M501)</x:f>
        <x:v>6267</x:v>
      </x:c>
      <x:c r="O501" s="41" t="n">
        <x:f>MAX(L501,M501)</x:f>
        <x:v>15935</x:v>
      </x:c>
      <x:c r="P501" s="41" t="n">
        <x:f>MAX(N501,MIN(K501,O501))</x:f>
        <x:v>9481</x:v>
      </x:c>
      <x:c r="Q501" s="19" t="str">
        <x:f>IF(K501&lt;N501,IF(N501=L501,"clamped_to_nominal","clamped_to_ppp"),IF(K501&gt;O501,IF(O501=L501,"clamped_to_nominal","clamped_to_ppp"),"kept_vanilla"))</x:f>
        <x:v>kept_vanilla</x:v>
      </x:c>
      <x:c r="R501" s="41" t="n">
        <x:f>P501*G501</x:f>
        <x:v>31651360919</x:v>
      </x:c>
      <x:c r="S501" s="41" t="n">
        <x:f>R501/E501</x:f>
        <x:v>19906516301.257862</x:v>
      </x:c>
      <x:c r="T501" s="36" t="str">
        <x:v>URY: IMF exact 2003</x:v>
      </x:c>
      <x:c r="U501" s="36" t="str">
        <x:v>URY: IMF exact 2003</x:v>
      </x:c>
      <x:c r="V501" s="36" t="str">
        <x:v>URY: IMF exact 2003</x:v>
      </x:c>
      <x:c r="W501" s="36" t="str">
        <x:v>complete_primary</x:v>
      </x:c>
      <x:c r="X501" s="36" t="str">
        <x:v>https://api.imf.org/external/sdmx/3.0/data/dataflow/IMF.RES/WEO/9.0.0/</x:v>
      </x:c>
      <x:c r="Y501" s="36" t="str">
        <x:v>https://api.worldbank.org/v2/</x:v>
      </x:c>
    </x:row>
    <x:row r="502">
      <x:c r="A502" s="24" t="str">
        <x:v>URY</x:v>
      </x:c>
      <x:c r="B502" s="24" t="str">
        <x:v>Uruguay</x:v>
      </x:c>
      <x:c r="C502" s="24" t="str">
        <x:v>URY</x:v>
      </x:c>
      <x:c r="D502" s="24" t="n">
        <x:v>2022</x:v>
      </x:c>
      <x:c r="E502" s="37" t="n">
        <x:v>1</x:v>
      </x:c>
      <x:c r="F502" s="38" t="n">
        <x:v>3499367</x:v>
      </x:c>
      <x:c r="G502" s="38" t="n">
        <x:v>3501498</x:v>
      </x:c>
      <x:c r="H502" s="39" t="n">
        <x:f>G502/F502</x:f>
        <x:v>1.0006089672789393</x:v>
      </x:c>
      <x:c r="I502" s="40" t="n">
        <x:v>83409040000</x:v>
      </x:c>
      <x:c r="J502" s="40" t="n">
        <x:v>83409040000</x:v>
      </x:c>
      <x:c r="K502" s="40" t="n">
        <x:v>23835</x:v>
      </x:c>
      <x:c r="L502" s="40" t="n">
        <x:v>20347</x:v>
      </x:c>
      <x:c r="M502" s="40" t="n">
        <x:v>31990</x:v>
      </x:c>
      <x:c r="N502" s="41" t="n">
        <x:f>MIN(L502,M502)</x:f>
        <x:v>20347</x:v>
      </x:c>
      <x:c r="O502" s="41" t="n">
        <x:f>MAX(L502,M502)</x:f>
        <x:v>31990</x:v>
      </x:c>
      <x:c r="P502" s="41" t="n">
        <x:f>MAX(N502,MIN(K502,O502))</x:f>
        <x:v>23835</x:v>
      </x:c>
      <x:c r="Q502" s="19" t="str">
        <x:f>IF(K502&lt;N502,IF(N502=L502,"clamped_to_nominal","clamped_to_ppp"),IF(K502&gt;O502,IF(O502=L502,"clamped_to_nominal","clamped_to_ppp"),"kept_vanilla"))</x:f>
        <x:v>kept_vanilla</x:v>
      </x:c>
      <x:c r="R502" s="41" t="n">
        <x:f>P502*G502</x:f>
        <x:v>83458204830</x:v>
      </x:c>
      <x:c r="S502" s="41" t="n">
        <x:f>R502/E502</x:f>
        <x:v>83458204830</x:v>
      </x:c>
      <x:c r="T502" s="36" t="str">
        <x:v>URY: IMF exact 2022</x:v>
      </x:c>
      <x:c r="U502" s="36" t="str">
        <x:v>URY: IMF exact 2022</x:v>
      </x:c>
      <x:c r="V502" s="36" t="str">
        <x:v>URY: IMF exact 2022</x:v>
      </x:c>
      <x:c r="W502" s="36" t="str">
        <x:v>complete_primary</x:v>
      </x:c>
      <x:c r="X502" s="36" t="str">
        <x:v>https://api.imf.org/external/sdmx/3.0/data/dataflow/IMF.RES/WEO/9.0.0/</x:v>
      </x:c>
      <x:c r="Y502" s="36" t="str">
        <x:v>https://api.worldbank.org/v2/</x:v>
      </x:c>
    </x:row>
    <x:row r="503">
      <x:c r="A503" s="24" t="str">
        <x:v>URY</x:v>
      </x:c>
      <x:c r="B503" s="24" t="str">
        <x:v>Uruguay</x:v>
      </x:c>
      <x:c r="C503" s="24" t="str">
        <x:v>URY</x:v>
      </x:c>
      <x:c r="D503" s="24" t="n">
        <x:v>2026</x:v>
      </x:c>
      <x:c r="E503" s="37" t="n">
        <x:v>0.87</x:v>
      </x:c>
      <x:c r="F503" s="38" t="n">
        <x:v>3382537</x:v>
      </x:c>
      <x:c r="G503" s="38" t="n">
        <x:v>3480601</x:v>
      </x:c>
      <x:c r="H503" s="39" t="n">
        <x:f>G503/F503</x:f>
        <x:v>1.0289912571540238</x:v>
      </x:c>
      <x:c r="I503" s="40" t="n">
        <x:v>114583920000</x:v>
      </x:c>
      <x:c r="J503" s="40" t="n">
        <x:v>99688010400</x:v>
      </x:c>
      <x:c r="K503" s="40" t="n">
        <x:v>29471</x:v>
      </x:c>
      <x:c r="L503" s="40" t="n">
        <x:v>24019</x:v>
      </x:c>
      <x:c r="M503" s="40" t="n">
        <x:v>33956</x:v>
      </x:c>
      <x:c r="N503" s="41" t="n">
        <x:f>MIN(L503,M503)</x:f>
        <x:v>24019</x:v>
      </x:c>
      <x:c r="O503" s="41" t="n">
        <x:f>MAX(L503,M503)</x:f>
        <x:v>33956</x:v>
      </x:c>
      <x:c r="P503" s="41" t="n">
        <x:f>MAX(N503,MIN(K503,O503))</x:f>
        <x:v>29471</x:v>
      </x:c>
      <x:c r="Q503" s="19" t="str">
        <x:f>IF(K503&lt;N503,IF(N503=L503,"clamped_to_nominal","clamped_to_ppp"),IF(K503&gt;O503,IF(O503=L503,"clamped_to_nominal","clamped_to_ppp"),"kept_vanilla"))</x:f>
        <x:v>kept_vanilla</x:v>
      </x:c>
      <x:c r="R503" s="41" t="n">
        <x:f>P503*G503</x:f>
        <x:v>102576792071</x:v>
      </x:c>
      <x:c r="S503" s="41" t="n">
        <x:f>R503/E503</x:f>
        <x:v>117904358702.29886</x:v>
      </x:c>
      <x:c r="T503" s="36" t="str">
        <x:v>URY: IMF exact 2026</x:v>
      </x:c>
      <x:c r="U503" s="36" t="str">
        <x:v>URY: IMF exact 2026</x:v>
      </x:c>
      <x:c r="V503" s="36" t="str">
        <x:v>URY: IMF exact 2026</x:v>
      </x:c>
      <x:c r="W503" s="36" t="str">
        <x:v>complete_primary</x:v>
      </x:c>
      <x:c r="X503" s="36" t="str">
        <x:v>https://api.imf.org/external/sdmx/3.0/data/dataflow/IMF.RES/WEO/9.0.0/</x:v>
      </x:c>
      <x:c r="Y503" s="36" t="str">
        <x:v>https://api.worldbank.org/v2/</x:v>
      </x:c>
    </x:row>
    <x:row r="504">
      <x:c r="A504" s="24" t="str">
        <x:v>UZB</x:v>
      </x:c>
      <x:c r="B504" s="24" t="str">
        <x:v>Uzbekistan</x:v>
      </x:c>
      <x:c r="C504" s="24" t="str">
        <x:v>UZB</x:v>
      </x:c>
      <x:c r="D504" s="24" t="n">
        <x:v>2003</x:v>
      </x:c>
      <x:c r="E504" s="37" t="n">
        <x:v>1.59</x:v>
      </x:c>
      <x:c r="F504" s="38" t="n">
        <x:v>25711259</x:v>
      </x:c>
      <x:c r="G504" s="38" t="n">
        <x:v>25427900</x:v>
      </x:c>
      <x:c r="H504" s="39" t="n">
        <x:f>G504/F504</x:f>
        <x:v>0.9889791861223132</x:v>
      </x:c>
      <x:c r="I504" s="40" t="n">
        <x:v>41912280702</x:v>
      </x:c>
      <x:c r="J504" s="40" t="n">
        <x:v>66640526316</x:v>
      </x:c>
      <x:c r="K504" s="40" t="n">
        <x:v>2592</x:v>
      </x:c>
      <x:c r="L504" s="40" t="n">
        <x:v>882</x:v>
      </x:c>
      <x:c r="M504" s="40" t="n">
        <x:v>4289</x:v>
      </x:c>
      <x:c r="N504" s="41" t="n">
        <x:f>MIN(L504,M504)</x:f>
        <x:v>882</x:v>
      </x:c>
      <x:c r="O504" s="41" t="n">
        <x:f>MAX(L504,M504)</x:f>
        <x:v>4289</x:v>
      </x:c>
      <x:c r="P504" s="41" t="n">
        <x:f>MAX(N504,MIN(K504,O504))</x:f>
        <x:v>2592</x:v>
      </x:c>
      <x:c r="Q504" s="19" t="str">
        <x:f>IF(K504&lt;N504,IF(N504=L504,"clamped_to_nominal","clamped_to_ppp"),IF(K504&gt;O504,IF(O504=L504,"clamped_to_nominal","clamped_to_ppp"),"kept_vanilla"))</x:f>
        <x:v>kept_vanilla</x:v>
      </x:c>
      <x:c r="R504" s="41" t="n">
        <x:f>P504*G504</x:f>
        <x:v>65909116800</x:v>
      </x:c>
      <x:c r="S504" s="41" t="n">
        <x:f>R504/E504</x:f>
        <x:v>41452274716.98113</x:v>
      </x:c>
      <x:c r="T504" s="36" t="str">
        <x:v>UZB: IMF exact 2003</x:v>
      </x:c>
      <x:c r="U504" s="36" t="str">
        <x:v>UZB: IMF exact 2003</x:v>
      </x:c>
      <x:c r="V504" s="36" t="str">
        <x:v>UZB: IMF exact 2003</x:v>
      </x:c>
      <x:c r="W504" s="36" t="str">
        <x:v>complete_primary</x:v>
      </x:c>
      <x:c r="X504" s="36" t="str">
        <x:v>https://api.imf.org/external/sdmx/3.0/data/dataflow/IMF.RES/WEO/9.0.0/</x:v>
      </x:c>
      <x:c r="Y504" s="36" t="str">
        <x:v>https://api.worldbank.org/v2/</x:v>
      </x:c>
    </x:row>
    <x:row r="505">
      <x:c r="A505" s="24" t="str">
        <x:v>UZB</x:v>
      </x:c>
      <x:c r="B505" s="24" t="str">
        <x:v>Uzbekistan</x:v>
      </x:c>
      <x:c r="C505" s="24" t="str">
        <x:v>UZB</x:v>
      </x:c>
      <x:c r="D505" s="24" t="n">
        <x:v>2022</x:v>
      </x:c>
      <x:c r="E505" s="37" t="n">
        <x:v>1</x:v>
      </x:c>
      <x:c r="F505" s="38" t="n">
        <x:v>34521553</x:v>
      </x:c>
      <x:c r="G505" s="38" t="n">
        <x:v>36024900</x:v>
      </x:c>
      <x:c r="H505" s="39" t="n">
        <x:f>G505/F505</x:f>
        <x:v>1.0435480698101849</x:v>
      </x:c>
      <x:c r="I505" s="40" t="n">
        <x:v>286893200000</x:v>
      </x:c>
      <x:c r="J505" s="40" t="n">
        <x:v>286893200000</x:v>
      </x:c>
      <x:c r="K505" s="40" t="n">
        <x:v>8311</x:v>
      </x:c>
      <x:c r="L505" s="40" t="n">
        <x:v>2618</x:v>
      </x:c>
      <x:c r="M505" s="40" t="n">
        <x:v>10483</x:v>
      </x:c>
      <x:c r="N505" s="41" t="n">
        <x:f>MIN(L505,M505)</x:f>
        <x:v>2618</x:v>
      </x:c>
      <x:c r="O505" s="41" t="n">
        <x:f>MAX(L505,M505)</x:f>
        <x:v>10483</x:v>
      </x:c>
      <x:c r="P505" s="41" t="n">
        <x:f>MAX(N505,MIN(K505,O505))</x:f>
        <x:v>8311</x:v>
      </x:c>
      <x:c r="Q505" s="19" t="str">
        <x:f>IF(K505&lt;N505,IF(N505=L505,"clamped_to_nominal","clamped_to_ppp"),IF(K505&gt;O505,IF(O505=L505,"clamped_to_nominal","clamped_to_ppp"),"kept_vanilla"))</x:f>
        <x:v>kept_vanilla</x:v>
      </x:c>
      <x:c r="R505" s="41" t="n">
        <x:f>P505*G505</x:f>
        <x:v>299402943900</x:v>
      </x:c>
      <x:c r="S505" s="41" t="n">
        <x:f>R505/E505</x:f>
        <x:v>299402943900</x:v>
      </x:c>
      <x:c r="T505" s="36" t="str">
        <x:v>UZB: IMF exact 2022</x:v>
      </x:c>
      <x:c r="U505" s="36" t="str">
        <x:v>UZB: IMF exact 2022</x:v>
      </x:c>
      <x:c r="V505" s="36" t="str">
        <x:v>UZB: IMF exact 2022</x:v>
      </x:c>
      <x:c r="W505" s="36" t="str">
        <x:v>complete_primary</x:v>
      </x:c>
      <x:c r="X505" s="36" t="str">
        <x:v>https://api.imf.org/external/sdmx/3.0/data/dataflow/IMF.RES/WEO/9.0.0/</x:v>
      </x:c>
      <x:c r="Y505" s="36" t="str">
        <x:v>https://api.worldbank.org/v2/</x:v>
      </x:c>
    </x:row>
    <x:row r="506">
      <x:c r="A506" s="24" t="str">
        <x:v>UZB</x:v>
      </x:c>
      <x:c r="B506" s="24" t="str">
        <x:v>Uzbekistan</x:v>
      </x:c>
      <x:c r="C506" s="24" t="str">
        <x:v>UZB</x:v>
      </x:c>
      <x:c r="D506" s="24" t="n">
        <x:v>2026</x:v>
      </x:c>
      <x:c r="E506" s="37" t="n">
        <x:v>0.87</x:v>
      </x:c>
      <x:c r="F506" s="38" t="n">
        <x:v>37724223</x:v>
      </x:c>
      <x:c r="G506" s="38" t="n">
        <x:v>38943010</x:v>
      </x:c>
      <x:c r="H506" s="39" t="n">
        <x:f>G506/F506</x:f>
        <x:v>1.0323078092290994</x:v>
      </x:c>
      <x:c r="I506" s="40" t="n">
        <x:v>413462720000</x:v>
      </x:c>
      <x:c r="J506" s="40" t="n">
        <x:v>359712566400</x:v>
      </x:c>
      <x:c r="K506" s="40" t="n">
        <x:v>9535</x:v>
      </x:c>
      <x:c r="L506" s="40" t="n">
        <x:v>4055</x:v>
      </x:c>
      <x:c r="M506" s="40" t="n">
        <x:v>12335</x:v>
      </x:c>
      <x:c r="N506" s="41" t="n">
        <x:f>MIN(L506,M506)</x:f>
        <x:v>4055</x:v>
      </x:c>
      <x:c r="O506" s="41" t="n">
        <x:f>MAX(L506,M506)</x:f>
        <x:v>12335</x:v>
      </x:c>
      <x:c r="P506" s="41" t="n">
        <x:f>MAX(N506,MIN(K506,O506))</x:f>
        <x:v>9535</x:v>
      </x:c>
      <x:c r="Q506" s="19" t="str">
        <x:f>IF(K506&lt;N506,IF(N506=L506,"clamped_to_nominal","clamped_to_ppp"),IF(K506&gt;O506,IF(O506=L506,"clamped_to_nominal","clamped_to_ppp"),"kept_vanilla"))</x:f>
        <x:v>kept_vanilla</x:v>
      </x:c>
      <x:c r="R506" s="41" t="n">
        <x:f>P506*G506</x:f>
        <x:v>371321600350</x:v>
      </x:c>
      <x:c r="S506" s="41" t="n">
        <x:f>R506/E506</x:f>
        <x:v>426806437183.908</x:v>
      </x:c>
      <x:c r="T506" s="36" t="str">
        <x:v>UZB: IMF exact 2026</x:v>
      </x:c>
      <x:c r="U506" s="36" t="str">
        <x:v>UZB: IMF exact 2026</x:v>
      </x:c>
      <x:c r="V506" s="36" t="str">
        <x:v>UZB: IMF exact 2026</x:v>
      </x:c>
      <x:c r="W506" s="36" t="str">
        <x:v>complete_primary</x:v>
      </x:c>
      <x:c r="X506" s="36" t="str">
        <x:v>https://api.imf.org/external/sdmx/3.0/data/dataflow/IMF.RES/WEO/9.0.0/</x:v>
      </x:c>
      <x:c r="Y506" s="36" t="str">
        <x:v>https://api.worldbank.org/v2/</x:v>
      </x:c>
    </x:row>
    <x:row r="507">
      <x:c r="A507" s="24" t="str">
        <x:v>VEN</x:v>
      </x:c>
      <x:c r="B507" s="24" t="str">
        <x:v>Venezuela</x:v>
      </x:c>
      <x:c r="C507" s="24" t="str">
        <x:v>VEN</x:v>
      </x:c>
      <x:c r="D507" s="24" t="n">
        <x:v>2003</x:v>
      </x:c>
      <x:c r="E507" s="37" t="n">
        <x:v>1.59</x:v>
      </x:c>
      <x:c r="F507" s="38" t="n">
        <x:v>25892703</x:v>
      </x:c>
      <x:c r="G507" s="38" t="n">
        <x:v>25622082</x:v>
      </x:c>
      <x:c r="H507" s="39" t="n">
        <x:f>G507/F507</x:f>
        <x:v>0.9895483681251819</x:v>
      </x:c>
      <x:c r="I507" s="40" t="n">
        <x:v>152851461988</x:v>
      </x:c>
      <x:c r="J507" s="40" t="n">
        <x:v>243033824561</x:v>
      </x:c>
      <x:c r="K507" s="40" t="n">
        <x:v>9386</x:v>
      </x:c>
      <x:c r="L507" s="40" t="n">
        <x:v>5193</x:v>
      </x:c>
      <x:c r="M507" s="40" t="n">
        <x:v>16220</x:v>
      </x:c>
      <x:c r="N507" s="41" t="n">
        <x:f>MIN(L507,M507)</x:f>
        <x:v>5193</x:v>
      </x:c>
      <x:c r="O507" s="41" t="n">
        <x:f>MAX(L507,M507)</x:f>
        <x:v>16220</x:v>
      </x:c>
      <x:c r="P507" s="41" t="n">
        <x:f>MAX(N507,MIN(K507,O507))</x:f>
        <x:v>9386</x:v>
      </x:c>
      <x:c r="Q507" s="19" t="str">
        <x:f>IF(K507&lt;N507,IF(N507=L507,"clamped_to_nominal","clamped_to_ppp"),IF(K507&gt;O507,IF(O507=L507,"clamped_to_nominal","clamped_to_ppp"),"kept_vanilla"))</x:f>
        <x:v>kept_vanilla</x:v>
      </x:c>
      <x:c r="R507" s="41" t="n">
        <x:f>P507*G507</x:f>
        <x:v>240488861652</x:v>
      </x:c>
      <x:c r="S507" s="41" t="n">
        <x:f>R507/E507</x:f>
        <x:v>151250856384.90564</x:v>
      </x:c>
      <x:c r="T507" s="36" t="str">
        <x:v>VEN: IMF exact 2003</x:v>
      </x:c>
      <x:c r="U507" s="36" t="str">
        <x:v>VEN: IMF exact 2003</x:v>
      </x:c>
      <x:c r="V507" s="36" t="str">
        <x:v>VEN: IMF exact 2003</x:v>
      </x:c>
      <x:c r="W507" s="36" t="str">
        <x:v>complete_primary</x:v>
      </x:c>
      <x:c r="X507" s="36" t="str">
        <x:v>https://api.imf.org/external/sdmx/3.0/data/dataflow/IMF.RES/WEO/9.0.0/</x:v>
      </x:c>
      <x:c r="Y507" s="36" t="str">
        <x:v>https://api.worldbank.org/v2/</x:v>
      </x:c>
    </x:row>
    <x:row r="508">
      <x:c r="A508" s="24" t="str">
        <x:v>VEN</x:v>
      </x:c>
      <x:c r="B508" s="24" t="str">
        <x:v>Venezuela</x:v>
      </x:c>
      <x:c r="C508" s="24" t="str">
        <x:v>VEN</x:v>
      </x:c>
      <x:c r="D508" s="24" t="n">
        <x:v>2022</x:v>
      </x:c>
      <x:c r="E508" s="37" t="n">
        <x:v>1</x:v>
      </x:c>
      <x:c r="F508" s="38" t="n">
        <x:v>29470896</x:v>
      </x:c>
      <x:c r="G508" s="38" t="n">
        <x:v>26917330</x:v>
      </x:c>
      <x:c r="H508" s="39" t="n">
        <x:f>G508/F508</x:f>
        <x:v>0.9133529567611381</x:v>
      </x:c>
      <x:c r="I508" s="40" t="n">
        <x:v>140916160000</x:v>
      </x:c>
      <x:c r="J508" s="40" t="n">
        <x:v>140916160000</x:v>
      </x:c>
      <x:c r="K508" s="40" t="n">
        <x:v>4782</x:v>
      </x:c>
      <x:c r="L508" s="40" t="n">
        <x:v>3307</x:v>
      </x:c>
      <x:c r="M508" s="40" t="n">
        <x:v>7266</x:v>
      </x:c>
      <x:c r="N508" s="41" t="n">
        <x:f>MIN(L508,M508)</x:f>
        <x:v>3307</x:v>
      </x:c>
      <x:c r="O508" s="41" t="n">
        <x:f>MAX(L508,M508)</x:f>
        <x:v>7266</x:v>
      </x:c>
      <x:c r="P508" s="41" t="n">
        <x:f>MAX(N508,MIN(K508,O508))</x:f>
        <x:v>4782</x:v>
      </x:c>
      <x:c r="Q508" s="19" t="str">
        <x:f>IF(K508&lt;N508,IF(N508=L508,"clamped_to_nominal","clamped_to_ppp"),IF(K508&gt;O508,IF(O508=L508,"clamped_to_nominal","clamped_to_ppp"),"kept_vanilla"))</x:f>
        <x:v>kept_vanilla</x:v>
      </x:c>
      <x:c r="R508" s="41" t="n">
        <x:f>P508*G508</x:f>
        <x:v>128718672060</x:v>
      </x:c>
      <x:c r="S508" s="41" t="n">
        <x:f>R508/E508</x:f>
        <x:v>128718672060</x:v>
      </x:c>
      <x:c r="T508" s="36" t="str">
        <x:v>VEN: IMF exact 2022</x:v>
      </x:c>
      <x:c r="U508" s="36" t="str">
        <x:v>VEN: IMF exact 2022</x:v>
      </x:c>
      <x:c r="V508" s="36" t="str">
        <x:v>VEN: IMF exact 2022</x:v>
      </x:c>
      <x:c r="W508" s="36" t="str">
        <x:v>complete_primary</x:v>
      </x:c>
      <x:c r="X508" s="36" t="str">
        <x:v>https://api.imf.org/external/sdmx/3.0/data/dataflow/IMF.RES/WEO/9.0.0/</x:v>
      </x:c>
      <x:c r="Y508" s="36" t="str">
        <x:v>https://api.worldbank.org/v2/</x:v>
      </x:c>
    </x:row>
    <x:row r="509">
      <x:c r="A509" s="24" t="str">
        <x:v>VEN</x:v>
      </x:c>
      <x:c r="B509" s="24" t="str">
        <x:v>Venezuela</x:v>
      </x:c>
      <x:c r="C509" s="24" t="str">
        <x:v>VEN</x:v>
      </x:c>
      <x:c r="D509" s="24" t="n">
        <x:v>2026</x:v>
      </x:c>
      <x:c r="E509" s="37" t="n">
        <x:v>0.87</x:v>
      </x:c>
      <x:c r="F509" s="38" t="n">
        <x:v>28633711</x:v>
      </x:c>
      <x:c r="G509" s="38" t="n">
        <x:v>26887102</x:v>
      </x:c>
      <x:c r="H509" s="39" t="n">
        <x:f>G509/F509</x:f>
        <x:v>0.9390016543786448</x:v>
      </x:c>
      <x:c r="I509" s="40" t="n">
        <x:v>197105920000</x:v>
      </x:c>
      <x:c r="J509" s="40" t="n">
        <x:v>171482150400</x:v>
      </x:c>
      <x:c r="K509" s="40" t="n">
        <x:v>5989</x:v>
      </x:c>
      <x:c r="L509" s="40" t="n">
        <x:v>3602</x:v>
      </x:c>
      <x:c r="M509" s="40" t="n">
        <x:v>8231</x:v>
      </x:c>
      <x:c r="N509" s="41" t="n">
        <x:f>MIN(L509,M509)</x:f>
        <x:v>3602</x:v>
      </x:c>
      <x:c r="O509" s="41" t="n">
        <x:f>MAX(L509,M509)</x:f>
        <x:v>8231</x:v>
      </x:c>
      <x:c r="P509" s="41" t="n">
        <x:f>MAX(N509,MIN(K509,O509))</x:f>
        <x:v>5989</x:v>
      </x:c>
      <x:c r="Q509" s="19" t="str">
        <x:f>IF(K509&lt;N509,IF(N509=L509,"clamped_to_nominal","clamped_to_ppp"),IF(K509&gt;O509,IF(O509=L509,"clamped_to_nominal","clamped_to_ppp"),"kept_vanilla"))</x:f>
        <x:v>kept_vanilla</x:v>
      </x:c>
      <x:c r="R509" s="41" t="n">
        <x:f>P509*G509</x:f>
        <x:v>161026853878</x:v>
      </x:c>
      <x:c r="S509" s="41" t="n">
        <x:f>R509/E509</x:f>
        <x:v>185088337790.8046</x:v>
      </x:c>
      <x:c r="T509" s="36" t="str">
        <x:v>VEN: IMF exact 2026</x:v>
      </x:c>
      <x:c r="U509" s="36" t="str">
        <x:v>VEN: IMF exact 2026</x:v>
      </x:c>
      <x:c r="V509" s="36" t="str">
        <x:v>VEN: IMF exact 2026</x:v>
      </x:c>
      <x:c r="W509" s="36" t="str">
        <x:v>complete_primary</x:v>
      </x:c>
      <x:c r="X509" s="36" t="str">
        <x:v>https://api.imf.org/external/sdmx/3.0/data/dataflow/IMF.RES/WEO/9.0.0/</x:v>
      </x:c>
      <x:c r="Y509" s="36" t="str">
        <x:v>https://api.worldbank.org/v2/</x:v>
      </x:c>
    </x:row>
    <x:row r="510">
      <x:c r="A510" s="24" t="str">
        <x:v>VNM</x:v>
      </x:c>
      <x:c r="B510" s="24" t="str">
        <x:v>Vietnam</x:v>
      </x:c>
      <x:c r="C510" s="24" t="str">
        <x:v>VNM</x:v>
      </x:c>
      <x:c r="D510" s="24" t="n">
        <x:v>2003</x:v>
      </x:c>
      <x:c r="E510" s="37" t="n">
        <x:v>1.59</x:v>
      </x:c>
      <x:c r="F510" s="38" t="n">
        <x:v>79563777</x:v>
      </x:c>
      <x:c r="G510" s="38" t="n">
        <x:v>82301650</x:v>
      </x:c>
      <x:c r="H510" s="39" t="n">
        <x:f>G510/F510</x:f>
        <x:v>1.0344110486358635</x:v>
      </x:c>
      <x:c r="I510" s="40" t="n">
        <x:v>162138011696</x:v>
      </x:c>
      <x:c r="J510" s="40" t="n">
        <x:v>257799438597</x:v>
      </x:c>
      <x:c r="K510" s="40" t="n">
        <x:v>3240</x:v>
      </x:c>
      <x:c r="L510" s="40" t="n">
        <x:v>970</x:v>
      </x:c>
      <x:c r="M510" s="40" t="n">
        <x:v>5356</x:v>
      </x:c>
      <x:c r="N510" s="41" t="n">
        <x:f>MIN(L510,M510)</x:f>
        <x:v>970</x:v>
      </x:c>
      <x:c r="O510" s="41" t="n">
        <x:f>MAX(L510,M510)</x:f>
        <x:v>5356</x:v>
      </x:c>
      <x:c r="P510" s="41" t="n">
        <x:f>MAX(N510,MIN(K510,O510))</x:f>
        <x:v>3240</x:v>
      </x:c>
      <x:c r="Q510" s="19" t="str">
        <x:f>IF(K510&lt;N510,IF(N510=L510,"clamped_to_nominal","clamped_to_ppp"),IF(K510&gt;O510,IF(O510=L510,"clamped_to_nominal","clamped_to_ppp"),"kept_vanilla"))</x:f>
        <x:v>kept_vanilla</x:v>
      </x:c>
      <x:c r="R510" s="41" t="n">
        <x:f>P510*G510</x:f>
        <x:v>266657346000</x:v>
      </x:c>
      <x:c r="S510" s="41" t="n">
        <x:f>R510/E510</x:f>
        <x:v>167709022641.50943</x:v>
      </x:c>
      <x:c r="T510" s="36" t="str">
        <x:v>VNM: IMF exact 2003</x:v>
      </x:c>
      <x:c r="U510" s="36" t="str">
        <x:v>VNM: IMF exact 2003</x:v>
      </x:c>
      <x:c r="V510" s="36" t="str">
        <x:v>VNM: IMF exact 2003</x:v>
      </x:c>
      <x:c r="W510" s="36" t="str">
        <x:v>complete_primary</x:v>
      </x:c>
      <x:c r="X510" s="36" t="str">
        <x:v>https://api.imf.org/external/sdmx/3.0/data/dataflow/IMF.RES/WEO/9.0.0/</x:v>
      </x:c>
      <x:c r="Y510" s="36" t="str">
        <x:v>https://api.worldbank.org/v2/</x:v>
      </x:c>
    </x:row>
    <x:row r="511">
      <x:c r="A511" s="24" t="str">
        <x:v>VNM</x:v>
      </x:c>
      <x:c r="B511" s="24" t="str">
        <x:v>Vietnam</x:v>
      </x:c>
      <x:c r="C511" s="24" t="str">
        <x:v>VNM</x:v>
      </x:c>
      <x:c r="D511" s="24" t="n">
        <x:v>2022</x:v>
      </x:c>
      <x:c r="E511" s="37" t="n">
        <x:v>1</x:v>
      </x:c>
      <x:c r="F511" s="38" t="n">
        <x:v>99194779</x:v>
      </x:c>
      <x:c r="G511" s="38" t="n">
        <x:v>99461700</x:v>
      </x:c>
      <x:c r="H511" s="39" t="n">
        <x:f>G511/F511</x:f>
        <x:v>1.0026908775108012</x:v>
      </x:c>
      <x:c r="I511" s="40" t="n">
        <x:v>1124693680000</x:v>
      </x:c>
      <x:c r="J511" s="40" t="n">
        <x:v>1124693680000</x:v>
      </x:c>
      <x:c r="K511" s="40" t="n">
        <x:v>11338</x:v>
      </x:c>
      <x:c r="L511" s="40" t="n">
        <x:v>4133</x:v>
      </x:c>
      <x:c r="M511" s="40" t="n">
        <x:v>13934</x:v>
      </x:c>
      <x:c r="N511" s="41" t="n">
        <x:f>MIN(L511,M511)</x:f>
        <x:v>4133</x:v>
      </x:c>
      <x:c r="O511" s="41" t="n">
        <x:f>MAX(L511,M511)</x:f>
        <x:v>13934</x:v>
      </x:c>
      <x:c r="P511" s="41" t="n">
        <x:f>MAX(N511,MIN(K511,O511))</x:f>
        <x:v>11338</x:v>
      </x:c>
      <x:c r="Q511" s="19" t="str">
        <x:f>IF(K511&lt;N511,IF(N511=L511,"clamped_to_nominal","clamped_to_ppp"),IF(K511&gt;O511,IF(O511=L511,"clamped_to_nominal","clamped_to_ppp"),"kept_vanilla"))</x:f>
        <x:v>kept_vanilla</x:v>
      </x:c>
      <x:c r="R511" s="41" t="n">
        <x:f>P511*G511</x:f>
        <x:v>1127696754600</x:v>
      </x:c>
      <x:c r="S511" s="41" t="n">
        <x:f>R511/E511</x:f>
        <x:v>1127696754600</x:v>
      </x:c>
      <x:c r="T511" s="36" t="str">
        <x:v>VNM: IMF exact 2022</x:v>
      </x:c>
      <x:c r="U511" s="36" t="str">
        <x:v>VNM: IMF exact 2022</x:v>
      </x:c>
      <x:c r="V511" s="36" t="str">
        <x:v>VNM: IMF exact 2022</x:v>
      </x:c>
      <x:c r="W511" s="36" t="str">
        <x:v>complete_primary</x:v>
      </x:c>
      <x:c r="X511" s="36" t="str">
        <x:v>https://api.imf.org/external/sdmx/3.0/data/dataflow/IMF.RES/WEO/9.0.0/</x:v>
      </x:c>
      <x:c r="Y511" s="36" t="str">
        <x:v>https://api.worldbank.org/v2/</x:v>
      </x:c>
    </x:row>
    <x:row r="512">
      <x:c r="A512" s="24" t="str">
        <x:v>VNM</x:v>
      </x:c>
      <x:c r="B512" s="24" t="str">
        <x:v>Vietnam</x:v>
      </x:c>
      <x:c r="C512" s="24" t="str">
        <x:v>VNM</x:v>
      </x:c>
      <x:c r="D512" s="24" t="n">
        <x:v>2026</x:v>
      </x:c>
      <x:c r="E512" s="37" t="n">
        <x:v>0.87</x:v>
      </x:c>
      <x:c r="F512" s="38" t="n">
        <x:v>102177431</x:v>
      </x:c>
      <x:c r="G512" s="38" t="n">
        <x:v>103077480</x:v>
      </x:c>
      <x:c r="H512" s="39" t="n">
        <x:f>G512/F512</x:f>
        <x:v>1.0088086869203043</x:v>
      </x:c>
      <x:c r="I512" s="40" t="n">
        <x:v>1590204000000</x:v>
      </x:c>
      <x:c r="J512" s="40" t="n">
        <x:v>1383477480000</x:v>
      </x:c>
      <x:c r="K512" s="40" t="n">
        <x:v>13540</x:v>
      </x:c>
      <x:c r="L512" s="40" t="n">
        <x:v>4450</x:v>
      </x:c>
      <x:c r="M512" s="40" t="n">
        <x:v>17094</x:v>
      </x:c>
      <x:c r="N512" s="41" t="n">
        <x:f>MIN(L512,M512)</x:f>
        <x:v>4450</x:v>
      </x:c>
      <x:c r="O512" s="41" t="n">
        <x:f>MAX(L512,M512)</x:f>
        <x:v>17094</x:v>
      </x:c>
      <x:c r="P512" s="41" t="n">
        <x:f>MAX(N512,MIN(K512,O512))</x:f>
        <x:v>13540</x:v>
      </x:c>
      <x:c r="Q512" s="19" t="str">
        <x:f>IF(K512&lt;N512,IF(N512=L512,"clamped_to_nominal","clamped_to_ppp"),IF(K512&gt;O512,IF(O512=L512,"clamped_to_nominal","clamped_to_ppp"),"kept_vanilla"))</x:f>
        <x:v>kept_vanilla</x:v>
      </x:c>
      <x:c r="R512" s="41" t="n">
        <x:f>P512*G512</x:f>
        <x:v>1395669079200</x:v>
      </x:c>
      <x:c r="S512" s="41" t="n">
        <x:f>R512/E512</x:f>
        <x:v>1604217332413.7932</x:v>
      </x:c>
      <x:c r="T512" s="36" t="str">
        <x:v>VNM: IMF exact 2026</x:v>
      </x:c>
      <x:c r="U512" s="36" t="str">
        <x:v>VNM: IMF exact 2026</x:v>
      </x:c>
      <x:c r="V512" s="36" t="str">
        <x:v>VNM: IMF exact 2026</x:v>
      </x:c>
      <x:c r="W512" s="36" t="str">
        <x:v>complete_primary</x:v>
      </x:c>
      <x:c r="X512" s="36" t="str">
        <x:v>https://api.imf.org/external/sdmx/3.0/data/dataflow/IMF.RES/WEO/9.0.0/</x:v>
      </x:c>
      <x:c r="Y512" s="36" t="str">
        <x:v>https://api.worldbank.org/v2/</x:v>
      </x:c>
    </x:row>
    <x:row r="513">
      <x:c r="A513" s="24" t="str">
        <x:v>YEM</x:v>
      </x:c>
      <x:c r="B513" s="24" t="str">
        <x:v>Yemen</x:v>
      </x:c>
      <x:c r="C513" s="24" t="str">
        <x:v>YEM</x:v>
      </x:c>
      <x:c r="D513" s="24" t="n">
        <x:v>2003</x:v>
      </x:c>
      <x:c r="E513" s="37" t="n">
        <x:v>1.59</x:v>
      </x:c>
      <x:c r="F513" s="38" t="n">
        <x:v>21456379</x:v>
      </x:c>
      <x:c r="G513" s="38" t="n">
        <x:v>21456379</x:v>
      </x:c>
      <x:c r="H513" s="39" t="n">
        <x:f>G513/F513</x:f>
        <x:v>1</x:v>
      </x:c>
      <x:c r="I513" s="40" t="n">
        <x:v>35686549708</x:v>
      </x:c>
      <x:c r="J513" s="40" t="n">
        <x:v>56741614036</x:v>
      </x:c>
      <x:c r="K513" s="40" t="n">
        <x:v>2645</x:v>
      </x:c>
      <x:c r="L513" s="40" t="n">
        <x:v>873</x:v>
      </x:c>
      <x:c r="M513" s="40" t="n">
        <x:v>4522</x:v>
      </x:c>
      <x:c r="N513" s="41" t="n">
        <x:f>MIN(L513,M513)</x:f>
        <x:v>873</x:v>
      </x:c>
      <x:c r="O513" s="41" t="n">
        <x:f>MAX(L513,M513)</x:f>
        <x:v>4522</x:v>
      </x:c>
      <x:c r="P513" s="41" t="n">
        <x:f>MAX(N513,MIN(K513,O513))</x:f>
        <x:v>2645</x:v>
      </x:c>
      <x:c r="Q513" s="19" t="str">
        <x:f>IF(K513&lt;N513,IF(N513=L513,"clamped_to_nominal","clamped_to_ppp"),IF(K513&gt;O513,IF(O513=L513,"clamped_to_nominal","clamped_to_ppp"),"kept_vanilla"))</x:f>
        <x:v>kept_vanilla</x:v>
      </x:c>
      <x:c r="R513" s="41" t="n">
        <x:f>P513*G513</x:f>
        <x:v>56752122455</x:v>
      </x:c>
      <x:c r="S513" s="41" t="n">
        <x:f>R513/E513</x:f>
        <x:v>35693158776.72956</x:v>
      </x:c>
      <x:c r="T513" s="36" t="str">
        <x:v>YEM: World Bank exact 2003</x:v>
      </x:c>
      <x:c r="U513" s="36" t="str">
        <x:v>YEM: World Bank exact 2003</x:v>
      </x:c>
      <x:c r="V513" s="36" t="str">
        <x:v>YEM: World Bank exact 2003</x:v>
      </x:c>
      <x:c r="W513" s="36" t="str">
        <x:v>secondary_source</x:v>
      </x:c>
      <x:c r="X513" s="36" t="str">
        <x:v>https://api.imf.org/external/sdmx/3.0/data/dataflow/IMF.RES/WEO/9.0.0/</x:v>
      </x:c>
      <x:c r="Y513" s="36" t="str">
        <x:v>https://api.worldbank.org/v2/</x:v>
      </x:c>
    </x:row>
    <x:row r="514">
      <x:c r="A514" s="24" t="str">
        <x:v>YEM</x:v>
      </x:c>
      <x:c r="B514" s="24" t="str">
        <x:v>Yemen</x:v>
      </x:c>
      <x:c r="C514" s="24" t="str">
        <x:v>YEM</x:v>
      </x:c>
      <x:c r="D514" s="24" t="n">
        <x:v>2022</x:v>
      </x:c>
      <x:c r="E514" s="37" t="n">
        <x:v>1</x:v>
      </x:c>
      <x:c r="F514" s="38" t="n">
        <x:v>31363725</x:v>
      </x:c>
      <x:c r="G514" s="38" t="n">
        <x:v>17200294</x:v>
      </x:c>
      <x:c r="H514" s="39" t="n">
        <x:f>G514/F514</x:f>
        <x:v>0.5484136211499112</x:v>
      </x:c>
      <x:c r="I514" s="40" t="n">
        <x:v>46856068793</x:v>
      </x:c>
      <x:c r="J514" s="40" t="n">
        <x:v>46856068793</x:v>
      </x:c>
      <x:c r="K514" s="40" t="n">
        <x:v>1494</x:v>
      </x:c>
      <x:c r="L514" s="40" t="n">
        <x:v>647</x:v>
      </x:c>
      <x:c r="M514" s="40" t="n">
        <x:v>1790</x:v>
      </x:c>
      <x:c r="N514" s="41" t="n">
        <x:f>MIN(L514,M514)</x:f>
        <x:v>647</x:v>
      </x:c>
      <x:c r="O514" s="41" t="n">
        <x:f>MAX(L514,M514)</x:f>
        <x:v>1790</x:v>
      </x:c>
      <x:c r="P514" s="41" t="n">
        <x:f>MAX(N514,MIN(K514,O514))</x:f>
        <x:v>1494</x:v>
      </x:c>
      <x:c r="Q514" s="19" t="str">
        <x:f>IF(K514&lt;N514,IF(N514=L514,"clamped_to_nominal","clamped_to_ppp"),IF(K514&gt;O514,IF(O514=L514,"clamped_to_nominal","clamped_to_ppp"),"kept_vanilla"))</x:f>
        <x:v>kept_vanilla</x:v>
      </x:c>
      <x:c r="R514" s="41" t="n">
        <x:f>P514*G514</x:f>
        <x:v>25697239236</x:v>
      </x:c>
      <x:c r="S514" s="41" t="n">
        <x:f>R514/E514</x:f>
        <x:v>25697239236</x:v>
      </x:c>
      <x:c r="T514" s="36" t="str">
        <x:v>YEM: IMF exact 2022</x:v>
      </x:c>
      <x:c r="U514" s="36" t="str">
        <x:v>YEM: IMF exact 2022</x:v>
      </x:c>
      <x:c r="V514" s="36" t="str">
        <x:v>YEM: IMF exact 2022</x:v>
      </x:c>
      <x:c r="W514" s="36" t="str">
        <x:v>complete_primary</x:v>
      </x:c>
      <x:c r="X514" s="36" t="str">
        <x:v>https://api.imf.org/external/sdmx/3.0/data/dataflow/IMF.RES/WEO/9.0.0/</x:v>
      </x:c>
      <x:c r="Y514" s="36" t="str">
        <x:v>https://api.worldbank.org/v2/</x:v>
      </x:c>
    </x:row>
    <x:row r="515">
      <x:c r="A515" s="24" t="str">
        <x:v>YEM</x:v>
      </x:c>
      <x:c r="B515" s="24" t="str">
        <x:v>Yemen</x:v>
      </x:c>
      <x:c r="C515" s="24" t="str">
        <x:v>YEM</x:v>
      </x:c>
      <x:c r="D515" s="24" t="n">
        <x:v>2026</x:v>
      </x:c>
      <x:c r="E515" s="37" t="n">
        <x:v>0.87</x:v>
      </x:c>
      <x:c r="F515" s="38" t="n">
        <x:v>42961653</x:v>
      </x:c>
      <x:c r="G515" s="38" t="n">
        <x:v>19374606</x:v>
      </x:c>
      <x:c r="H515" s="39" t="n">
        <x:f>G515/F515</x:f>
        <x:v>0.4509744073394941</x:v>
      </x:c>
      <x:c r="I515" s="40" t="n">
        <x:v>61564800000</x:v>
      </x:c>
      <x:c r="J515" s="40" t="n">
        <x:v>53561376000</x:v>
      </x:c>
      <x:c r="K515" s="40" t="n">
        <x:v>1247</x:v>
      </x:c>
      <x:c r="L515" s="40" t="n">
        <x:v>334</x:v>
      </x:c>
      <x:c r="M515" s="40" t="n">
        <x:v>1389</x:v>
      </x:c>
      <x:c r="N515" s="41" t="n">
        <x:f>MIN(L515,M515)</x:f>
        <x:v>334</x:v>
      </x:c>
      <x:c r="O515" s="41" t="n">
        <x:f>MAX(L515,M515)</x:f>
        <x:v>1389</x:v>
      </x:c>
      <x:c r="P515" s="41" t="n">
        <x:f>MAX(N515,MIN(K515,O515))</x:f>
        <x:v>1247</x:v>
      </x:c>
      <x:c r="Q515" s="19" t="str">
        <x:f>IF(K515&lt;N515,IF(N515=L515,"clamped_to_nominal","clamped_to_ppp"),IF(K515&gt;O515,IF(O515=L515,"clamped_to_nominal","clamped_to_ppp"),"kept_vanilla"))</x:f>
        <x:v>kept_vanilla</x:v>
      </x:c>
      <x:c r="R515" s="41" t="n">
        <x:f>P515*G515</x:f>
        <x:v>24160133682</x:v>
      </x:c>
      <x:c r="S515" s="41" t="n">
        <x:f>R515/E515</x:f>
        <x:v>27770268600</x:v>
      </x:c>
      <x:c r="T515" s="36" t="str">
        <x:v>YEM: IMF exact 2026</x:v>
      </x:c>
      <x:c r="U515" s="36" t="str">
        <x:v>YEM: IMF exact 2026</x:v>
      </x:c>
      <x:c r="V515" s="36" t="str">
        <x:v>YEM: IMF exact 2026</x:v>
      </x:c>
      <x:c r="W515" s="36" t="str">
        <x:v>complete_primary</x:v>
      </x:c>
      <x:c r="X515" s="36" t="str">
        <x:v>https://api.imf.org/external/sdmx/3.0/data/dataflow/IMF.RES/WEO/9.0.0/</x:v>
      </x:c>
      <x:c r="Y515" s="36" t="str">
        <x:v>https://api.worldbank.org/v2/</x:v>
      </x:c>
    </x:row>
    <x:row r="516">
      <x:c r="A516" s="24" t="str">
        <x:v>ZMB</x:v>
      </x:c>
      <x:c r="B516" s="24" t="str">
        <x:v>Zambia</x:v>
      </x:c>
      <x:c r="C516" s="24" t="str">
        <x:v>ZMB</x:v>
      </x:c>
      <x:c r="D516" s="24" t="n">
        <x:v>2003</x:v>
      </x:c>
      <x:c r="E516" s="37" t="n">
        <x:v>1.59</x:v>
      </x:c>
      <x:c r="F516" s="38" t="n">
        <x:v>10983595</x:v>
      </x:c>
      <x:c r="G516" s="38" t="n">
        <x:v>10983595</x:v>
      </x:c>
      <x:c r="H516" s="39" t="n">
        <x:f>G516/F516</x:f>
        <x:v>1</x:v>
      </x:c>
      <x:c r="I516" s="40" t="n">
        <x:v>11070175439</x:v>
      </x:c>
      <x:c r="J516" s="40" t="n">
        <x:v>17601578948</x:v>
      </x:c>
      <x:c r="K516" s="40" t="n">
        <x:v>1603</x:v>
      </x:c>
      <x:c r="L516" s="40" t="n">
        <x:v>710</x:v>
      </x:c>
      <x:c r="M516" s="40" t="n">
        <x:v>2740</x:v>
      </x:c>
      <x:c r="N516" s="41" t="n">
        <x:f>MIN(L516,M516)</x:f>
        <x:v>710</x:v>
      </x:c>
      <x:c r="O516" s="41" t="n">
        <x:f>MAX(L516,M516)</x:f>
        <x:v>2740</x:v>
      </x:c>
      <x:c r="P516" s="41" t="n">
        <x:f>MAX(N516,MIN(K516,O516))</x:f>
        <x:v>1603</x:v>
      </x:c>
      <x:c r="Q516" s="19" t="str">
        <x:f>IF(K516&lt;N516,IF(N516=L516,"clamped_to_nominal","clamped_to_ppp"),IF(K516&gt;O516,IF(O516=L516,"clamped_to_nominal","clamped_to_ppp"),"kept_vanilla"))</x:f>
        <x:v>kept_vanilla</x:v>
      </x:c>
      <x:c r="R516" s="41" t="n">
        <x:f>P516*G516</x:f>
        <x:v>17606702785</x:v>
      </x:c>
      <x:c r="S516" s="41" t="n">
        <x:f>R516/E516</x:f>
        <x:v>11073397977.987421</x:v>
      </x:c>
      <x:c r="T516" s="36" t="str">
        <x:v>ZMB: IMF exact 2003</x:v>
      </x:c>
      <x:c r="U516" s="36" t="str">
        <x:v>ZMB: IMF exact 2003</x:v>
      </x:c>
      <x:c r="V516" s="36" t="str">
        <x:v>ZMB: IMF exact 2003</x:v>
      </x:c>
      <x:c r="W516" s="36" t="str">
        <x:v>complete_primary</x:v>
      </x:c>
      <x:c r="X516" s="36" t="str">
        <x:v>https://api.imf.org/external/sdmx/3.0/data/dataflow/IMF.RES/WEO/9.0.0/</x:v>
      </x:c>
      <x:c r="Y516" s="36" t="str">
        <x:v>https://api.worldbank.org/v2/</x:v>
      </x:c>
    </x:row>
    <x:row r="517">
      <x:c r="A517" s="24" t="str">
        <x:v>ZMB</x:v>
      </x:c>
      <x:c r="B517" s="24" t="str">
        <x:v>Zambia</x:v>
      </x:c>
      <x:c r="C517" s="24" t="str">
        <x:v>ZMB</x:v>
      </x:c>
      <x:c r="D517" s="24" t="n">
        <x:v>2022</x:v>
      </x:c>
      <x:c r="E517" s="37" t="n">
        <x:v>1</x:v>
      </x:c>
      <x:c r="F517" s="38" t="n">
        <x:v>19643680</x:v>
      </x:c>
      <x:c r="G517" s="38" t="n">
        <x:v>20152938</x:v>
      </x:c>
      <x:c r="H517" s="39" t="n">
        <x:f>G517/F517</x:f>
        <x:v>1.0259247758057553</x:v>
      </x:c>
      <x:c r="I517" s="40" t="n">
        <x:v>66607200000</x:v>
      </x:c>
      <x:c r="J517" s="40" t="n">
        <x:v>66607200000</x:v>
      </x:c>
      <x:c r="K517" s="40" t="n">
        <x:v>3391</x:v>
      </x:c>
      <x:c r="L517" s="40" t="n">
        <x:v>1447</x:v>
      </x:c>
      <x:c r="M517" s="40" t="n">
        <x:v>3840</x:v>
      </x:c>
      <x:c r="N517" s="41" t="n">
        <x:f>MIN(L517,M517)</x:f>
        <x:v>1447</x:v>
      </x:c>
      <x:c r="O517" s="41" t="n">
        <x:f>MAX(L517,M517)</x:f>
        <x:v>3840</x:v>
      </x:c>
      <x:c r="P517" s="41" t="n">
        <x:f>MAX(N517,MIN(K517,O517))</x:f>
        <x:v>3391</x:v>
      </x:c>
      <x:c r="Q517" s="19" t="str">
        <x:f>IF(K517&lt;N517,IF(N517=L517,"clamped_to_nominal","clamped_to_ppp"),IF(K517&gt;O517,IF(O517=L517,"clamped_to_nominal","clamped_to_ppp"),"kept_vanilla"))</x:f>
        <x:v>kept_vanilla</x:v>
      </x:c>
      <x:c r="R517" s="41" t="n">
        <x:f>P517*G517</x:f>
        <x:v>68338612758</x:v>
      </x:c>
      <x:c r="S517" s="41" t="n">
        <x:f>R517/E517</x:f>
        <x:v>68338612758</x:v>
      </x:c>
      <x:c r="T517" s="36" t="str">
        <x:v>ZMB: IMF exact 2022</x:v>
      </x:c>
      <x:c r="U517" s="36" t="str">
        <x:v>ZMB: IMF exact 2022</x:v>
      </x:c>
      <x:c r="V517" s="36" t="str">
        <x:v>ZMB: IMF exact 2022</x:v>
      </x:c>
      <x:c r="W517" s="36" t="str">
        <x:v>complete_primary</x:v>
      </x:c>
      <x:c r="X517" s="36" t="str">
        <x:v>https://api.imf.org/external/sdmx/3.0/data/dataflow/IMF.RES/WEO/9.0.0/</x:v>
      </x:c>
      <x:c r="Y517" s="36" t="str">
        <x:v>https://api.worldbank.org/v2/</x:v>
      </x:c>
    </x:row>
    <x:row r="518">
      <x:c r="A518" s="24" t="str">
        <x:v>ZMB</x:v>
      </x:c>
      <x:c r="B518" s="24" t="str">
        <x:v>Zambia</x:v>
      </x:c>
      <x:c r="C518" s="24" t="str">
        <x:v>ZMB</x:v>
      </x:c>
      <x:c r="D518" s="24" t="n">
        <x:v>2026</x:v>
      </x:c>
      <x:c r="E518" s="37" t="n">
        <x:v>0.87</x:v>
      </x:c>
      <x:c r="F518" s="38" t="n">
        <x:v>22521916</x:v>
      </x:c>
      <x:c r="G518" s="38" t="n">
        <x:v>22521915</x:v>
      </x:c>
      <x:c r="H518" s="39" t="n">
        <x:f>G518/F518</x:f>
        <x:v>0.9999999555988043</x:v>
      </x:c>
      <x:c r="I518" s="40" t="n">
        <x:v>86376400000</x:v>
      </x:c>
      <x:c r="J518" s="40" t="n">
        <x:v>75147468000</x:v>
      </x:c>
      <x:c r="K518" s="40" t="n">
        <x:v>3337</x:v>
      </x:c>
      <x:c r="L518" s="40" t="n">
        <x:v>1593</x:v>
      </x:c>
      <x:c r="M518" s="40" t="n">
        <x:v>3978</x:v>
      </x:c>
      <x:c r="N518" s="41" t="n">
        <x:f>MIN(L518,M518)</x:f>
        <x:v>1593</x:v>
      </x:c>
      <x:c r="O518" s="41" t="n">
        <x:f>MAX(L518,M518)</x:f>
        <x:v>3978</x:v>
      </x:c>
      <x:c r="P518" s="41" t="n">
        <x:f>MAX(N518,MIN(K518,O518))</x:f>
        <x:v>3337</x:v>
      </x:c>
      <x:c r="Q518" s="19" t="str">
        <x:f>IF(K518&lt;N518,IF(N518=L518,"clamped_to_nominal","clamped_to_ppp"),IF(K518&gt;O518,IF(O518=L518,"clamped_to_nominal","clamped_to_ppp"),"kept_vanilla"))</x:f>
        <x:v>kept_vanilla</x:v>
      </x:c>
      <x:c r="R518" s="41" t="n">
        <x:f>P518*G518</x:f>
        <x:v>75155630355</x:v>
      </x:c>
      <x:c r="S518" s="41" t="n">
        <x:f>R518/E518</x:f>
        <x:v>86385782017.24138</x:v>
      </x:c>
      <x:c r="T518" s="36" t="str">
        <x:v>ZMB: IMF exact 2026</x:v>
      </x:c>
      <x:c r="U518" s="36" t="str">
        <x:v>ZMB: IMF exact 2026</x:v>
      </x:c>
      <x:c r="V518" s="36" t="str">
        <x:v>ZMB: IMF exact 2026</x:v>
      </x:c>
      <x:c r="W518" s="36" t="str">
        <x:v>complete_primary</x:v>
      </x:c>
      <x:c r="X518" s="36" t="str">
        <x:v>https://api.imf.org/external/sdmx/3.0/data/dataflow/IMF.RES/WEO/9.0.0/</x:v>
      </x:c>
      <x:c r="Y518" s="36" t="str">
        <x:v>https://api.worldbank.org/v2/</x:v>
      </x:c>
    </x:row>
    <x:row r="519">
      <x:c r="A519" s="24" t="str">
        <x:v>ZWE</x:v>
      </x:c>
      <x:c r="B519" s="24" t="str">
        <x:v>Zimbabwe</x:v>
      </x:c>
      <x:c r="C519" s="24" t="str">
        <x:v>ZWE</x:v>
      </x:c>
      <x:c r="D519" s="24" t="n">
        <x:v>2003</x:v>
      </x:c>
      <x:c r="E519" s="37" t="n">
        <x:v>1.59</x:v>
      </x:c>
      <x:c r="F519" s="38" t="n">
        <x:v>12232323</x:v>
      </x:c>
      <x:c r="G519" s="38" t="n">
        <x:v>11640000</x:v>
      </x:c>
      <x:c r="H519" s="39" t="n">
        <x:f>G519/F519</x:f>
        <x:v>0.9515772269911447</x:v>
      </x:c>
      <x:c r="I519" s="40" t="n">
        <x:v>15481286550</x:v>
      </x:c>
      <x:c r="J519" s="40" t="n">
        <x:v>24615245615</x:v>
      </x:c>
      <x:c r="K519" s="40" t="n">
        <x:v>2012</x:v>
      </x:c>
      <x:c r="L519" s="40" t="n">
        <x:v>1932</x:v>
      </x:c>
      <x:c r="M519" s="40" t="n">
        <x:v>5089</x:v>
      </x:c>
      <x:c r="N519" s="41" t="n">
        <x:f>MIN(L519,M519)</x:f>
        <x:v>1932</x:v>
      </x:c>
      <x:c r="O519" s="41" t="n">
        <x:f>MAX(L519,M519)</x:f>
        <x:v>5089</x:v>
      </x:c>
      <x:c r="P519" s="41" t="n">
        <x:f>MAX(N519,MIN(K519,O519))</x:f>
        <x:v>2012</x:v>
      </x:c>
      <x:c r="Q519" s="19" t="str">
        <x:f>IF(K519&lt;N519,IF(N519=L519,"clamped_to_nominal","clamped_to_ppp"),IF(K519&gt;O519,IF(O519=L519,"clamped_to_nominal","clamped_to_ppp"),"kept_vanilla"))</x:f>
        <x:v>kept_vanilla</x:v>
      </x:c>
      <x:c r="R519" s="41" t="n">
        <x:f>P519*G519</x:f>
        <x:v>23419680000</x:v>
      </x:c>
      <x:c r="S519" s="41" t="n">
        <x:f>R519/E519</x:f>
        <x:v>14729358490.566036</x:v>
      </x:c>
      <x:c r="T519" s="36" t="str">
        <x:v>ZWE: IMF exact 2003</x:v>
      </x:c>
      <x:c r="U519" s="36" t="str">
        <x:v>ZWE: IMF exact 2003</x:v>
      </x:c>
      <x:c r="V519" s="36" t="str">
        <x:v>ZWE: IMF exact 2003</x:v>
      </x:c>
      <x:c r="W519" s="36" t="str">
        <x:v>complete_primary</x:v>
      </x:c>
      <x:c r="X519" s="36" t="str">
        <x:v>https://api.imf.org/external/sdmx/3.0/data/dataflow/IMF.RES/WEO/9.0.0/</x:v>
      </x:c>
      <x:c r="Y519" s="36" t="str">
        <x:v>https://api.worldbank.org/v2/</x:v>
      </x:c>
    </x:row>
    <x:row r="520">
      <x:c r="A520" s="24" t="str">
        <x:v>ZWE</x:v>
      </x:c>
      <x:c r="B520" s="24" t="str">
        <x:v>Zimbabwe</x:v>
      </x:c>
      <x:c r="C520" s="24" t="str">
        <x:v>ZWE</x:v>
      </x:c>
      <x:c r="D520" s="24" t="n">
        <x:v>2022</x:v>
      </x:c>
      <x:c r="E520" s="37" t="n">
        <x:v>1</x:v>
      </x:c>
      <x:c r="F520" s="38" t="n">
        <x:v>15405796</x:v>
      </x:c>
      <x:c r="G520" s="38" t="n">
        <x:v>16228748</x:v>
      </x:c>
      <x:c r="H520" s="39" t="n">
        <x:f>G520/F520</x:f>
        <x:v>1.0534183368389403</x:v>
      </x:c>
      <x:c r="I520" s="40" t="n">
        <x:v>35117280000</x:v>
      </x:c>
      <x:c r="J520" s="40" t="n">
        <x:v>35117280000</x:v>
      </x:c>
      <x:c r="K520" s="40" t="n">
        <x:v>2279</x:v>
      </x:c>
      <x:c r="L520" s="40" t="n">
        <x:v>2993</x:v>
      </x:c>
      <x:c r="M520" s="40" t="n">
        <x:v>6781</x:v>
      </x:c>
      <x:c r="N520" s="41" t="n">
        <x:f>MIN(L520,M520)</x:f>
        <x:v>2993</x:v>
      </x:c>
      <x:c r="O520" s="41" t="n">
        <x:f>MAX(L520,M520)</x:f>
        <x:v>6781</x:v>
      </x:c>
      <x:c r="P520" s="41" t="n">
        <x:f>MAX(N520,MIN(K520,O520))</x:f>
        <x:v>2993</x:v>
      </x:c>
      <x:c r="Q520" s="19" t="str">
        <x:f>IF(K520&lt;N520,IF(N520=L520,"clamped_to_nominal","clamped_to_ppp"),IF(K520&gt;O520,IF(O520=L520,"clamped_to_nominal","clamped_to_ppp"),"kept_vanilla"))</x:f>
        <x:v>clamped_to_nominal</x:v>
      </x:c>
      <x:c r="R520" s="41" t="n">
        <x:f>P520*G520</x:f>
        <x:v>48572642764</x:v>
      </x:c>
      <x:c r="S520" s="41" t="n">
        <x:f>R520/E520</x:f>
        <x:v>48572642764</x:v>
      </x:c>
      <x:c r="T520" s="36" t="str">
        <x:v>ZWE: IMF exact 2022</x:v>
      </x:c>
      <x:c r="U520" s="36" t="str">
        <x:v>ZWE: IMF exact 2022</x:v>
      </x:c>
      <x:c r="V520" s="36" t="str">
        <x:v>ZWE: IMF exact 2022</x:v>
      </x:c>
      <x:c r="W520" s="36" t="str">
        <x:v>complete_primary</x:v>
      </x:c>
      <x:c r="X520" s="36" t="str">
        <x:v>https://api.imf.org/external/sdmx/3.0/data/dataflow/IMF.RES/WEO/9.0.0/</x:v>
      </x:c>
      <x:c r="Y520" s="36" t="str">
        <x:v>https://api.worldbank.org/v2/</x:v>
      </x:c>
    </x:row>
    <x:row r="521">
      <x:c r="A521" s="24" t="str">
        <x:v>ZWE</x:v>
      </x:c>
      <x:c r="B521" s="24" t="str">
        <x:v>Zimbabwe</x:v>
      </x:c>
      <x:c r="C521" s="24" t="str">
        <x:v>ZWE</x:v>
      </x:c>
      <x:c r="D521" s="24" t="n">
        <x:v>2026</x:v>
      </x:c>
      <x:c r="E521" s="37" t="n">
        <x:v>0.87</x:v>
      </x:c>
      <x:c r="F521" s="38" t="n">
        <x:v>17273580</x:v>
      </x:c>
      <x:c r="G521" s="38" t="n">
        <x:v>17728284</x:v>
      </x:c>
      <x:c r="H521" s="39" t="n">
        <x:f>G521/F521</x:f>
        <x:v>1.0263236688630846</x:v>
      </x:c>
      <x:c r="I521" s="40" t="n">
        <x:v>82606480000</x:v>
      </x:c>
      <x:c r="J521" s="40" t="n">
        <x:v>71867637600</x:v>
      </x:c>
      <x:c r="K521" s="40" t="n">
        <x:v>4161</x:v>
      </x:c>
      <x:c r="L521" s="40" t="n">
        <x:v>2783</x:v>
      </x:c>
      <x:c r="M521" s="40" t="n">
        <x:v>7346</x:v>
      </x:c>
      <x:c r="N521" s="41" t="n">
        <x:f>MIN(L521,M521)</x:f>
        <x:v>2783</x:v>
      </x:c>
      <x:c r="O521" s="41" t="n">
        <x:f>MAX(L521,M521)</x:f>
        <x:v>7346</x:v>
      </x:c>
      <x:c r="P521" s="41" t="n">
        <x:f>MAX(N521,MIN(K521,O521))</x:f>
        <x:v>4161</x:v>
      </x:c>
      <x:c r="Q521" s="19" t="str">
        <x:f>IF(K521&lt;N521,IF(N521=L521,"clamped_to_nominal","clamped_to_ppp"),IF(K521&gt;O521,IF(O521=L521,"clamped_to_nominal","clamped_to_ppp"),"kept_vanilla"))</x:f>
        <x:v>kept_vanilla</x:v>
      </x:c>
      <x:c r="R521" s="41" t="n">
        <x:f>P521*G521</x:f>
        <x:v>73767389724</x:v>
      </x:c>
      <x:c r="S521" s="41" t="n">
        <x:f>R521/E521</x:f>
        <x:v>84790103131.03448</x:v>
      </x:c>
      <x:c r="T521" s="36" t="str">
        <x:v>ZWE: IMF exact 2026</x:v>
      </x:c>
      <x:c r="U521" s="36" t="str">
        <x:v>ZWE: IMF exact 2026</x:v>
      </x:c>
      <x:c r="V521" s="36" t="str">
        <x:v>ZWE: IMF exact 2026</x:v>
      </x:c>
      <x:c r="W521" s="36" t="str">
        <x:v>complete_primary</x:v>
      </x:c>
      <x:c r="X521" s="36" t="str">
        <x:v>https://api.imf.org/external/sdmx/3.0/data/dataflow/IMF.RES/WEO/9.0.0/</x:v>
      </x:c>
      <x:c r="Y521" s="36" t="str">
        <x:v>https://api.worldbank.org/v2/</x:v>
      </x:c>
    </x:row>
  </x:sheetData>
  <x:mergeCells>
    <x:mergeCell ref="A1:Y1"/>
    <x:mergeCell ref="A2:Y2"/>
  </x:mergeCells>
  <x:conditionalFormatting sqref="Q4:Q521">
    <x:cfRule type="containsText" dxfId="0" priority="1" operator="containsText" text="kept_vanilla"/>
    <x:cfRule type="containsText" dxfId="1" priority="2" operator="containsText" text="clamped"/>
  </x:conditionalFormatting>
  <x:pageMargins left="0.7" right="0.7" top="0.75" bottom="0.75" header="0.3" footer="0.3"/>
  <x:tableParts count="1">
    <x:tablePart xmlns:r="http://schemas.openxmlformats.org/officeDocument/2006/relationships" r:id="Rddb1ee3354e741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60" hidden="0" customWidth="1"/>
    <x:col min="10" max="10" width="24" hidden="0" customWidth="1"/>
  </x:cols>
  <x:sheetData>
    <x:row r="1">
      <x:c r="A1" s="3" t="str">
        <x:v>Secondary-source and inferred component values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3" t="str">
        <x:v>Every component not supplied by an exact IMF target-year observation is listed here.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3" ht="36" customHeight="1">
      <x:c r="A3" s="12" t="str">
        <x:v>country id</x:v>
      </x:c>
      <x:c r="B3" s="13" t="str">
        <x:v>country</x:v>
      </x:c>
      <x:c r="C3" s="13" t="str">
        <x:v>year</x:v>
      </x:c>
      <x:c r="D3" s="13" t="str">
        <x:v>ISO component</x:v>
      </x:c>
      <x:c r="E3" s="13" t="str">
        <x:v>measure</x:v>
      </x:c>
      <x:c r="F3" s="13" t="str">
        <x:v>filled value</x:v>
      </x:c>
      <x:c r="G3" s="13" t="str">
        <x:v>units</x:v>
      </x:c>
      <x:c r="H3" s="13" t="str">
        <x:v>method</x:v>
      </x:c>
      <x:c r="I3" s="13" t="str">
        <x:v>source URL</x:v>
      </x:c>
      <x:c r="J3" s="14" t="str">
        <x:v>review flag</x:v>
      </x:c>
    </x:row>
    <x:row r="4">
      <x:c r="A4" s="24" t="str">
        <x:v>AFG</x:v>
      </x:c>
      <x:c r="B4" s="24" t="str">
        <x:v>Afghanistan</x:v>
      </x:c>
      <x:c r="C4" s="24" t="n">
        <x:v>2026</x:v>
      </x:c>
      <x:c r="D4" s="24" t="str">
        <x:v>AFG</x:v>
      </x:c>
      <x:c r="E4" s="24" t="str">
        <x:v>population</x:v>
      </x:c>
      <x:c r="F4" s="38" t="n">
        <x:v>45074328</x:v>
      </x:c>
      <x:c r="G4" s="24" t="str">
        <x:v>people</x:v>
      </x:c>
      <x:c r="H4" s="36" t="str">
        <x:v>population extrapolation from IMF 2024-2025 CAGR (2.81%/yr, capped at ±5%)</x:v>
      </x:c>
      <x:c r="I4" s="36" t="str">
        <x:v>https://api.imf.org/external/sdmx/3.0/data/dataflow/IMF.RES/WEO/9.0.0/</x:v>
      </x:c>
      <x:c r="J4" s="36" t="str">
        <x:v>population_extrapolation</x:v>
      </x:c>
    </x:row>
    <x:row r="5">
      <x:c r="A5" s="24" t="str">
        <x:v>AFG</x:v>
      </x:c>
      <x:c r="B5" s="24" t="str">
        <x:v>Afghanistan</x:v>
      </x:c>
      <x:c r="C5" s="24" t="n">
        <x:v>2026</x:v>
      </x:c>
      <x:c r="D5" s="24" t="str">
        <x:v>AFG</x:v>
      </x:c>
      <x:c r="E5" s="24" t="str">
        <x:v>nominal_gdp</x:v>
      </x:c>
      <x:c r="F5" s="38" t="n">
        <x:v>18752143615</x:v>
      </x:c>
      <x:c r="G5" s="24" t="str">
        <x:v>USD after scenario scaling</x:v>
      </x:c>
      <x:c r="H5" s="36" t="str">
        <x:v>peer-growth inference from IMF 2025; Middle East, North Africa, Afghanistan &amp; Pakistan median 3.66%/yr (18 peers, capped at ±8%)</x:v>
      </x:c>
      <x:c r="I5" s="36" t="str">
        <x:v>https://api.imf.org/external/sdmx/3.0/data/dataflow/IMF.RES/WEO/9.0.0/ | https://datahelpdesk.worldbank.org/knowledgebase/articles/898581-api-basic-call-structures</x:v>
      </x:c>
      <x:c r="J5" s="36" t="str">
        <x:v>peer_growth_inference</x:v>
      </x:c>
    </x:row>
    <x:row r="6">
      <x:c r="A6" s="24" t="str">
        <x:v>AFG</x:v>
      </x:c>
      <x:c r="B6" s="24" t="str">
        <x:v>Afghanistan</x:v>
      </x:c>
      <x:c r="C6" s="24" t="n">
        <x:v>2026</x:v>
      </x:c>
      <x:c r="D6" s="24" t="str">
        <x:v>AFG</x:v>
      </x:c>
      <x:c r="E6" s="24" t="str">
        <x:v>ppp_gdp</x:v>
      </x:c>
      <x:c r="F6" s="38" t="n">
        <x:v>94456100276</x:v>
      </x:c>
      <x:c r="G6" s="24" t="str">
        <x:v>international dollars after scenario scaling</x:v>
      </x:c>
      <x:c r="H6" s="36" t="str">
        <x:v>peer-growth inference from IMF 2025; Middle East, North Africa, Afghanistan &amp; Pakistan median 1.63%/yr (19 peers, capped at ±8%)</x:v>
      </x:c>
      <x:c r="I6" s="36" t="str">
        <x:v>https://api.imf.org/external/sdmx/3.0/data/dataflow/IMF.RES/WEO/9.0.0/ | https://datahelpdesk.worldbank.org/knowledgebase/articles/898581-api-basic-call-structures</x:v>
      </x:c>
      <x:c r="J6" s="36" t="str">
        <x:v>peer_growth_inference</x:v>
      </x:c>
    </x:row>
    <x:row r="7">
      <x:c r="A7" s="24" t="str">
        <x:v>CUB</x:v>
      </x:c>
      <x:c r="B7" s="24" t="str">
        <x:v>Cuba</x:v>
      </x:c>
      <x:c r="C7" s="24" t="n">
        <x:v>2003</x:v>
      </x:c>
      <x:c r="D7" s="24" t="str">
        <x:v>CUB</x:v>
      </x:c>
      <x:c r="E7" s="24" t="str">
        <x:v>population</x:v>
      </x:c>
      <x:c r="F7" s="38" t="n">
        <x:v>11209383</x:v>
      </x:c>
      <x:c r="G7" s="24" t="str">
        <x:v>people</x:v>
      </x:c>
      <x:c r="H7" s="36" t="str">
        <x:v>World Bank exact 2003</x:v>
      </x:c>
      <x:c r="I7" s="36" t="str">
        <x:v>https://api.worldbank.org/v2/country/CUB/indicator/SP.POP.TOTL?source=2&amp;date=2003&amp;format=json</x:v>
      </x:c>
      <x:c r="J7" s="36" t="str">
        <x:v>world_bank_exact</x:v>
      </x:c>
    </x:row>
    <x:row r="8">
      <x:c r="A8" s="24" t="str">
        <x:v>CUB</x:v>
      </x:c>
      <x:c r="B8" s="24" t="str">
        <x:v>Cuba</x:v>
      </x:c>
      <x:c r="C8" s="24" t="n">
        <x:v>2003</x:v>
      </x:c>
      <x:c r="D8" s="24" t="str">
        <x:v>CUB</x:v>
      </x:c>
      <x:c r="E8" s="24" t="str">
        <x:v>nominal_gdp</x:v>
      </x:c>
      <x:c r="F8" s="38" t="n">
        <x:v>57082908000</x:v>
      </x:c>
      <x:c r="G8" s="24" t="str">
        <x:v>USD after scenario scaling</x:v>
      </x:c>
      <x:c r="H8" s="36" t="str">
        <x:v>World Bank exact 2003</x:v>
      </x:c>
      <x:c r="I8" s="36" t="str">
        <x:v>https://api.worldbank.org/v2/country/CUB/indicator/NY.GDP.MKTP.CD?source=2&amp;date=2003&amp;format=json</x:v>
      </x:c>
      <x:c r="J8" s="36" t="str">
        <x:v>world_bank_exact</x:v>
      </x:c>
    </x:row>
    <x:row r="9">
      <x:c r="A9" s="24" t="str">
        <x:v>CUB</x:v>
      </x:c>
      <x:c r="B9" s="24" t="str">
        <x:v>Cuba</x:v>
      </x:c>
      <x:c r="C9" s="24" t="n">
        <x:v>2003</x:v>
      </x:c>
      <x:c r="D9" s="24" t="str">
        <x:v>CUB</x:v>
      </x:c>
      <x:c r="E9" s="24" t="str">
        <x:v>ppp_gdp</x:v>
      </x:c>
      <x:c r="F9" s="38" t="n">
        <x:v>147091326551</x:v>
      </x:c>
      <x:c r="G9" s="24" t="str">
        <x:v>international dollars after scenario scaling</x:v>
      </x:c>
      <x:c r="H9" s="36" t="str">
        <x:v>PPP inferred from filled nominal GDP using Latin America &amp; Caribbean ; Upper middle income median PPP/nominal ratio 2.577 (17 peers)</x:v>
      </x:c>
      <x:c r="I9" s="36" t="str">
        <x:v>https://api.imf.org/external/sdmx/3.0/data/dataflow/IMF.RES/WEO/9.0.0/ | https://datahelpdesk.worldbank.org/knowledgebase/articles/898581-api-basic-call-structures</x:v>
      </x:c>
      <x:c r="J9" s="36" t="str">
        <x:v>peer_ratio_inference</x:v>
      </x:c>
    </x:row>
    <x:row r="10">
      <x:c r="A10" s="24" t="str">
        <x:v>CUB</x:v>
      </x:c>
      <x:c r="B10" s="24" t="str">
        <x:v>Cuba</x:v>
      </x:c>
      <x:c r="C10" s="24" t="n">
        <x:v>2022</x:v>
      </x:c>
      <x:c r="D10" s="24" t="str">
        <x:v>CUB</x:v>
      </x:c>
      <x:c r="E10" s="24" t="str">
        <x:v>population</x:v>
      </x:c>
      <x:c r="F10" s="38" t="n">
        <x:v>11059820</x:v>
      </x:c>
      <x:c r="G10" s="24" t="str">
        <x:v>people</x:v>
      </x:c>
      <x:c r="H10" s="36" t="str">
        <x:v>World Bank exact 2022</x:v>
      </x:c>
      <x:c r="I10" s="36" t="str">
        <x:v>https://api.worldbank.org/v2/country/CUB/indicator/SP.POP.TOTL?source=2&amp;date=2022&amp;format=json</x:v>
      </x:c>
      <x:c r="J10" s="36" t="str">
        <x:v>world_bank_exact</x:v>
      </x:c>
    </x:row>
    <x:row r="11">
      <x:c r="A11" s="24" t="str">
        <x:v>CUB</x:v>
      </x:c>
      <x:c r="B11" s="24" t="str">
        <x:v>Cuba</x:v>
      </x:c>
      <x:c r="C11" s="24" t="n">
        <x:v>2022</x:v>
      </x:c>
      <x:c r="D11" s="24" t="str">
        <x:v>CUB</x:v>
      </x:c>
      <x:c r="E11" s="24" t="str">
        <x:v>nominal_gdp</x:v>
      </x:c>
      <x:c r="F11" s="38" t="n">
        <x:v>132464850320</x:v>
      </x:c>
      <x:c r="G11" s="24" t="str">
        <x:v>USD after scenario scaling</x:v>
      </x:c>
      <x:c r="H11" s="36" t="str">
        <x:v>peer-growth inference from World Bank 2020; Latin America &amp; Caribbean ; Upper middle income median 5.51%/yr (17 peers, capped at ±8%)</x:v>
      </x:c>
      <x:c r="I11" s="36" t="str">
        <x:v>https://api.worldbank.org/v2/country/CUB/indicator/NY.GDP.MKTP.CD?source=2&amp;date=2020&amp;format=json | https://api.imf.org/external/sdmx/3.0/data/dataflow/IMF.RES/WEO/9.0.0/ | https://datahelpdesk.worldbank.org/knowledgebase/articles/898581-api-basic-call-structures</x:v>
      </x:c>
      <x:c r="J11" s="36" t="str">
        <x:v>peer_growth_inference</x:v>
      </x:c>
    </x:row>
    <x:row r="12">
      <x:c r="A12" s="24" t="str">
        <x:v>CUB</x:v>
      </x:c>
      <x:c r="B12" s="24" t="str">
        <x:v>Cuba</x:v>
      </x:c>
      <x:c r="C12" s="24" t="n">
        <x:v>2022</x:v>
      </x:c>
      <x:c r="D12" s="24" t="str">
        <x:v>CUB</x:v>
      </x:c>
      <x:c r="E12" s="24" t="str">
        <x:v>ppp_gdp</x:v>
      </x:c>
      <x:c r="F12" s="38" t="n">
        <x:v>283651578272</x:v>
      </x:c>
      <x:c r="G12" s="24" t="str">
        <x:v>international dollars after scenario scaling</x:v>
      </x:c>
      <x:c r="H12" s="36" t="str">
        <x:v>PPP inferred from filled nominal GDP using Latin America &amp; Caribbean ; Upper middle income median PPP/nominal ratio 2.141 (17 peers)</x:v>
      </x:c>
      <x:c r="I12" s="36" t="str">
        <x:v>https://api.imf.org/external/sdmx/3.0/data/dataflow/IMF.RES/WEO/9.0.0/ | https://datahelpdesk.worldbank.org/knowledgebase/articles/898581-api-basic-call-structures</x:v>
      </x:c>
      <x:c r="J12" s="36" t="str">
        <x:v>peer_ratio_inference</x:v>
      </x:c>
    </x:row>
    <x:row r="13">
      <x:c r="A13" s="24" t="str">
        <x:v>CUB</x:v>
      </x:c>
      <x:c r="B13" s="24" t="str">
        <x:v>Cuba</x:v>
      </x:c>
      <x:c r="C13" s="24" t="n">
        <x:v>2026</x:v>
      </x:c>
      <x:c r="D13" s="24" t="str">
        <x:v>CUB</x:v>
      </x:c>
      <x:c r="E13" s="24" t="str">
        <x:v>population</x:v>
      </x:c>
      <x:c r="F13" s="38" t="n">
        <x:v>10894788</x:v>
      </x:c>
      <x:c r="G13" s="24" t="str">
        <x:v>people</x:v>
      </x:c>
      <x:c r="H13" s="36" t="str">
        <x:v>population extrapolation from World Bank 2024-2025 CAGR (-0.39%/yr, capped at ±5%)</x:v>
      </x:c>
      <x:c r="I13" s="36" t="str">
        <x:v>https://api.worldbank.org/v2/country/CUB/indicator/SP.POP.TOTL?source=2&amp;date=2024&amp;format=json | https://api.worldbank.org/v2/country/CUB/indicator/SP.POP.TOTL?source=2&amp;date=2025&amp;format=json</x:v>
      </x:c>
      <x:c r="J13" s="36" t="str">
        <x:v>population_extrapolation</x:v>
      </x:c>
    </x:row>
    <x:row r="14">
      <x:c r="A14" s="24" t="str">
        <x:v>CUB</x:v>
      </x:c>
      <x:c r="B14" s="24" t="str">
        <x:v>Cuba</x:v>
      </x:c>
      <x:c r="C14" s="24" t="n">
        <x:v>2026</x:v>
      </x:c>
      <x:c r="D14" s="24" t="str">
        <x:v>CUB</x:v>
      </x:c>
      <x:c r="E14" s="24" t="str">
        <x:v>nominal_gdp</x:v>
      </x:c>
      <x:c r="F14" s="38" t="n">
        <x:v>152019662316</x:v>
      </x:c>
      <x:c r="G14" s="24" t="str">
        <x:v>USD after scenario scaling</x:v>
      </x:c>
      <x:c r="H14" s="36" t="str">
        <x:v>peer-growth inference from World Bank 2020; Latin America &amp; Caribbean ; Upper middle income median 4.82%/yr (14 peers, capped at ±8%)</x:v>
      </x:c>
      <x:c r="I14" s="36" t="str">
        <x:v>https://api.worldbank.org/v2/country/CUB/indicator/NY.GDP.MKTP.CD?source=2&amp;date=2020&amp;format=json | https://api.imf.org/external/sdmx/3.0/data/dataflow/IMF.RES/WEO/9.0.0/ | https://datahelpdesk.worldbank.org/knowledgebase/articles/898581-api-basic-call-structures</x:v>
      </x:c>
      <x:c r="J14" s="36" t="str">
        <x:v>peer_growth_inference</x:v>
      </x:c>
    </x:row>
    <x:row r="15">
      <x:c r="A15" s="24" t="str">
        <x:v>CUB</x:v>
      </x:c>
      <x:c r="B15" s="24" t="str">
        <x:v>Cuba</x:v>
      </x:c>
      <x:c r="C15" s="24" t="n">
        <x:v>2026</x:v>
      </x:c>
      <x:c r="D15" s="24" t="str">
        <x:v>CUB</x:v>
      </x:c>
      <x:c r="E15" s="24" t="str">
        <x:v>ppp_gdp</x:v>
      </x:c>
      <x:c r="F15" s="38" t="n">
        <x:v>353066620197</x:v>
      </x:c>
      <x:c r="G15" s="24" t="str">
        <x:v>international dollars after scenario scaling</x:v>
      </x:c>
      <x:c r="H15" s="36" t="str">
        <x:v>PPP inferred from filled nominal GDP using Latin America &amp; Caribbean ; Upper middle income median PPP/nominal ratio 2.323 (14 peers)</x:v>
      </x:c>
      <x:c r="I15" s="36" t="str">
        <x:v>https://api.imf.org/external/sdmx/3.0/data/dataflow/IMF.RES/WEO/9.0.0/ | https://datahelpdesk.worldbank.org/knowledgebase/articles/898581-api-basic-call-structures</x:v>
      </x:c>
      <x:c r="J15" s="36" t="str">
        <x:v>peer_ratio_inference</x:v>
      </x:c>
    </x:row>
    <x:row r="16">
      <x:c r="A16" s="24" t="str">
        <x:v>ERI</x:v>
      </x:c>
      <x:c r="B16" s="24" t="str">
        <x:v>Eritrea</x:v>
      </x:c>
      <x:c r="C16" s="24" t="n">
        <x:v>2022</x:v>
      </x:c>
      <x:c r="D16" s="24" t="str">
        <x:v>ERI</x:v>
      </x:c>
      <x:c r="E16" s="24" t="str">
        <x:v>population</x:v>
      </x:c>
      <x:c r="F16" s="38" t="n">
        <x:v>3409447</x:v>
      </x:c>
      <x:c r="G16" s="24" t="str">
        <x:v>people</x:v>
      </x:c>
      <x:c r="H16" s="36" t="str">
        <x:v>World Bank exact 2022</x:v>
      </x:c>
      <x:c r="I16" s="36" t="str">
        <x:v>https://api.worldbank.org/v2/country/ERI/indicator/SP.POP.TOTL?source=2&amp;date=2022&amp;format=json</x:v>
      </x:c>
      <x:c r="J16" s="36" t="str">
        <x:v>world_bank_exact</x:v>
      </x:c>
    </x:row>
    <x:row r="17">
      <x:c r="A17" s="24" t="str">
        <x:v>ERI</x:v>
      </x:c>
      <x:c r="B17" s="24" t="str">
        <x:v>Eritrea</x:v>
      </x:c>
      <x:c r="C17" s="24" t="n">
        <x:v>2022</x:v>
      </x:c>
      <x:c r="D17" s="24" t="str">
        <x:v>ERI</x:v>
      </x:c>
      <x:c r="E17" s="24" t="str">
        <x:v>nominal_gdp</x:v>
      </x:c>
      <x:c r="F17" s="38" t="n">
        <x:v>2108378376</x:v>
      </x:c>
      <x:c r="G17" s="24" t="str">
        <x:v>USD after scenario scaling</x:v>
      </x:c>
      <x:c r="H17" s="36" t="str">
        <x:v>peer-growth inference from IMF 2019; Sub-Saharan Africa ; Low income median -1.31%/yr (20 peers, capped at ±8%)</x:v>
      </x:c>
      <x:c r="I17" s="36" t="str">
        <x:v>https://api.imf.org/external/sdmx/3.0/data/dataflow/IMF.RES/WEO/9.0.0/ | https://datahelpdesk.worldbank.org/knowledgebase/articles/898581-api-basic-call-structures</x:v>
      </x:c>
      <x:c r="J17" s="36" t="str">
        <x:v>peer_growth_inference</x:v>
      </x:c>
    </x:row>
    <x:row r="18">
      <x:c r="A18" s="24" t="str">
        <x:v>ERI</x:v>
      </x:c>
      <x:c r="B18" s="24" t="str">
        <x:v>Eritrea</x:v>
      </x:c>
      <x:c r="C18" s="24" t="n">
        <x:v>2022</x:v>
      </x:c>
      <x:c r="D18" s="24" t="str">
        <x:v>ERI</x:v>
      </x:c>
      <x:c r="E18" s="24" t="str">
        <x:v>ppp_gdp</x:v>
      </x:c>
      <x:c r="F18" s="38" t="n">
        <x:v>7345414147</x:v>
      </x:c>
      <x:c r="G18" s="24" t="str">
        <x:v>international dollars after scenario scaling</x:v>
      </x:c>
      <x:c r="H18" s="36" t="str">
        <x:v>peer-growth inference from IMF 2019; Sub-Saharan Africa ; Low income median 1.39%/yr (20 peers, capped at ±8%)</x:v>
      </x:c>
      <x:c r="I18" s="36" t="str">
        <x:v>https://api.imf.org/external/sdmx/3.0/data/dataflow/IMF.RES/WEO/9.0.0/ | https://datahelpdesk.worldbank.org/knowledgebase/articles/898581-api-basic-call-structures</x:v>
      </x:c>
      <x:c r="J18" s="36" t="str">
        <x:v>peer_growth_inference</x:v>
      </x:c>
    </x:row>
    <x:row r="19">
      <x:c r="A19" s="24" t="str">
        <x:v>ERI</x:v>
      </x:c>
      <x:c r="B19" s="24" t="str">
        <x:v>Eritrea</x:v>
      </x:c>
      <x:c r="C19" s="24" t="n">
        <x:v>2026</x:v>
      </x:c>
      <x:c r="D19" s="24" t="str">
        <x:v>ERI</x:v>
      </x:c>
      <x:c r="E19" s="24" t="str">
        <x:v>population</x:v>
      </x:c>
      <x:c r="F19" s="38" t="n">
        <x:v>3679845</x:v>
      </x:c>
      <x:c r="G19" s="24" t="str">
        <x:v>people</x:v>
      </x:c>
      <x:c r="H19" s="36" t="str">
        <x:v>population extrapolation from World Bank 2024-2025 CAGR (2.02%/yr, capped at ±5%)</x:v>
      </x:c>
      <x:c r="I19" s="36" t="str">
        <x:v>https://api.worldbank.org/v2/country/ERI/indicator/SP.POP.TOTL?source=2&amp;date=2024&amp;format=json | https://api.worldbank.org/v2/country/ERI/indicator/SP.POP.TOTL?source=2&amp;date=2025&amp;format=json</x:v>
      </x:c>
      <x:c r="J19" s="36" t="str">
        <x:v>population_extrapolation</x:v>
      </x:c>
    </x:row>
    <x:row r="20">
      <x:c r="A20" s="24" t="str">
        <x:v>ERI</x:v>
      </x:c>
      <x:c r="B20" s="24" t="str">
        <x:v>Eritrea</x:v>
      </x:c>
      <x:c r="C20" s="24" t="n">
        <x:v>2026</x:v>
      </x:c>
      <x:c r="D20" s="24" t="str">
        <x:v>ERI</x:v>
      </x:c>
      <x:c r="E20" s="24" t="str">
        <x:v>nominal_gdp</x:v>
      </x:c>
      <x:c r="F20" s="38" t="n">
        <x:v>2448328317</x:v>
      </x:c>
      <x:c r="G20" s="24" t="str">
        <x:v>USD after scenario scaling</x:v>
      </x:c>
      <x:c r="H20" s="36" t="str">
        <x:v>peer-growth inference from IMF 2019; Sub-Saharan Africa ; Low income median 0.80%/yr (20 peers, capped at ±8%)</x:v>
      </x:c>
      <x:c r="I20" s="36" t="str">
        <x:v>https://api.imf.org/external/sdmx/3.0/data/dataflow/IMF.RES/WEO/9.0.0/ | https://datahelpdesk.worldbank.org/knowledgebase/articles/898581-api-basic-call-structures</x:v>
      </x:c>
      <x:c r="J20" s="36" t="str">
        <x:v>peer_growth_inference</x:v>
      </x:c>
    </x:row>
    <x:row r="21">
      <x:c r="A21" s="24" t="str">
        <x:v>ERI</x:v>
      </x:c>
      <x:c r="B21" s="24" t="str">
        <x:v>Eritrea</x:v>
      </x:c>
      <x:c r="C21" s="24" t="n">
        <x:v>2026</x:v>
      </x:c>
      <x:c r="D21" s="24" t="str">
        <x:v>ERI</x:v>
      </x:c>
      <x:c r="E21" s="24" t="str">
        <x:v>ppp_gdp</x:v>
      </x:c>
      <x:c r="F21" s="38" t="n">
        <x:v>8320713288</x:v>
      </x:c>
      <x:c r="G21" s="24" t="str">
        <x:v>international dollars after scenario scaling</x:v>
      </x:c>
      <x:c r="H21" s="36" t="str">
        <x:v>peer-growth inference from IMF 2019; Sub-Saharan Africa ; Low income median 1.61%/yr (20 peers, capped at ±8%)</x:v>
      </x:c>
      <x:c r="I21" s="36" t="str">
        <x:v>https://api.imf.org/external/sdmx/3.0/data/dataflow/IMF.RES/WEO/9.0.0/ | https://datahelpdesk.worldbank.org/knowledgebase/articles/898581-api-basic-call-structures</x:v>
      </x:c>
      <x:c r="J21" s="36" t="str">
        <x:v>peer_growth_inference</x:v>
      </x:c>
    </x:row>
    <x:row r="22">
      <x:c r="A22" s="24" t="str">
        <x:v>EUA</x:v>
      </x:c>
      <x:c r="B22" s="24" t="str">
        <x:v>France</x:v>
      </x:c>
      <x:c r="C22" s="24" t="n">
        <x:v>2003</x:v>
      </x:c>
      <x:c r="D22" s="24" t="str">
        <x:v>MCO</x:v>
      </x:c>
      <x:c r="E22" s="24" t="str">
        <x:v>population</x:v>
      </x:c>
      <x:c r="F22" s="38" t="n">
        <x:v>32374</x:v>
      </x:c>
      <x:c r="G22" s="24" t="str">
        <x:v>people</x:v>
      </x:c>
      <x:c r="H22" s="36" t="str">
        <x:v>World Bank exact 2003</x:v>
      </x:c>
      <x:c r="I22" s="36" t="str">
        <x:v>https://api.worldbank.org/v2/country/MCO/indicator/SP.POP.TOTL?source=2&amp;date=2003&amp;format=json</x:v>
      </x:c>
      <x:c r="J22" s="36" t="str">
        <x:v>world_bank_exact</x:v>
      </x:c>
    </x:row>
    <x:row r="23">
      <x:c r="A23" s="24" t="str">
        <x:v>EUA</x:v>
      </x:c>
      <x:c r="B23" s="24" t="str">
        <x:v>France</x:v>
      </x:c>
      <x:c r="C23" s="24" t="n">
        <x:v>2003</x:v>
      </x:c>
      <x:c r="D23" s="24" t="str">
        <x:v>AND</x:v>
      </x:c>
      <x:c r="E23" s="24" t="str">
        <x:v>population</x:v>
      </x:c>
      <x:c r="F23" s="38" t="n">
        <x:v>69486</x:v>
      </x:c>
      <x:c r="G23" s="24" t="str">
        <x:v>people</x:v>
      </x:c>
      <x:c r="H23" s="36" t="str">
        <x:v>World Bank exact 2003</x:v>
      </x:c>
      <x:c r="I23" s="36" t="str">
        <x:v>https://api.worldbank.org/v2/country/AND/indicator/SP.POP.TOTL?source=2&amp;date=2003&amp;format=json</x:v>
      </x:c>
      <x:c r="J23" s="36" t="str">
        <x:v>world_bank_exact</x:v>
      </x:c>
    </x:row>
    <x:row r="24">
      <x:c r="A24" s="24" t="str">
        <x:v>EUA</x:v>
      </x:c>
      <x:c r="B24" s="24" t="str">
        <x:v>France</x:v>
      </x:c>
      <x:c r="C24" s="24" t="n">
        <x:v>2003</x:v>
      </x:c>
      <x:c r="D24" s="24" t="str">
        <x:v>MCO</x:v>
      </x:c>
      <x:c r="E24" s="24" t="str">
        <x:v>nominal_gdp</x:v>
      </x:c>
      <x:c r="F24" s="38" t="n">
        <x:v>5719373175</x:v>
      </x:c>
      <x:c r="G24" s="24" t="str">
        <x:v>USD after scenario scaling</x:v>
      </x:c>
      <x:c r="H24" s="36" t="str">
        <x:v>World Bank exact 2003</x:v>
      </x:c>
      <x:c r="I24" s="36" t="str">
        <x:v>https://api.worldbank.org/v2/country/MCO/indicator/NY.GDP.MKTP.CD?source=2&amp;date=2003&amp;format=json</x:v>
      </x:c>
      <x:c r="J24" s="36" t="str">
        <x:v>world_bank_exact</x:v>
      </x:c>
    </x:row>
    <x:row r="25">
      <x:c r="A25" s="24" t="str">
        <x:v>EUA</x:v>
      </x:c>
      <x:c r="B25" s="24" t="str">
        <x:v>France</x:v>
      </x:c>
      <x:c r="C25" s="24" t="n">
        <x:v>2003</x:v>
      </x:c>
      <x:c r="D25" s="24" t="str">
        <x:v>MCO</x:v>
      </x:c>
      <x:c r="E25" s="24" t="str">
        <x:v>ppp_gdp</x:v>
      </x:c>
      <x:c r="F25" s="38" t="n">
        <x:v>7024834820</x:v>
      </x:c>
      <x:c r="G25" s="24" t="str">
        <x:v>international dollars after scenario scaling</x:v>
      </x:c>
      <x:c r="H25" s="36" t="str">
        <x:v>PPP inferred from filled nominal GDP using Europe &amp; Central Asia; High income median PPP/nominal ratio 1.228 (35 peers)</x:v>
      </x:c>
      <x:c r="I25" s="36" t="str">
        <x:v>https://api.imf.org/external/sdmx/3.0/data/dataflow/IMF.RES/WEO/9.0.0/ | https://datahelpdesk.worldbank.org/knowledgebase/articles/898581-api-basic-call-structures</x:v>
      </x:c>
      <x:c r="J25" s="36" t="str">
        <x:v>peer_ratio_inference</x:v>
      </x:c>
    </x:row>
    <x:row r="26">
      <x:c r="A26" s="24" t="str">
        <x:v>EUA</x:v>
      </x:c>
      <x:c r="B26" s="24" t="str">
        <x:v>France</x:v>
      </x:c>
      <x:c r="C26" s="24" t="n">
        <x:v>2022</x:v>
      </x:c>
      <x:c r="D26" s="24" t="str">
        <x:v>MCO</x:v>
      </x:c>
      <x:c r="E26" s="24" t="str">
        <x:v>population</x:v>
      </x:c>
      <x:c r="F26" s="38" t="n">
        <x:v>38931</x:v>
      </x:c>
      <x:c r="G26" s="24" t="str">
        <x:v>people</x:v>
      </x:c>
      <x:c r="H26" s="36" t="str">
        <x:v>World Bank exact 2022</x:v>
      </x:c>
      <x:c r="I26" s="36" t="str">
        <x:v>https://api.worldbank.org/v2/country/MCO/indicator/SP.POP.TOTL?source=2&amp;date=2022&amp;format=json</x:v>
      </x:c>
      <x:c r="J26" s="36" t="str">
        <x:v>world_bank_exact</x:v>
      </x:c>
    </x:row>
    <x:row r="27">
      <x:c r="A27" s="24" t="str">
        <x:v>EUA</x:v>
      </x:c>
      <x:c r="B27" s="24" t="str">
        <x:v>France</x:v>
      </x:c>
      <x:c r="C27" s="24" t="n">
        <x:v>2022</x:v>
      </x:c>
      <x:c r="D27" s="24" t="str">
        <x:v>MCO</x:v>
      </x:c>
      <x:c r="E27" s="24" t="str">
        <x:v>nominal_gdp</x:v>
      </x:c>
      <x:c r="F27" s="38" t="n">
        <x:v>8800432774</x:v>
      </x:c>
      <x:c r="G27" s="24" t="str">
        <x:v>USD after scenario scaling</x:v>
      </x:c>
      <x:c r="H27" s="36" t="str">
        <x:v>World Bank exact 2022</x:v>
      </x:c>
      <x:c r="I27" s="36" t="str">
        <x:v>https://api.worldbank.org/v2/country/MCO/indicator/NY.GDP.MKTP.CD?source=2&amp;date=2022&amp;format=json</x:v>
      </x:c>
      <x:c r="J27" s="36" t="str">
        <x:v>world_bank_exact</x:v>
      </x:c>
    </x:row>
    <x:row r="28">
      <x:c r="A28" s="24" t="str">
        <x:v>EUA</x:v>
      </x:c>
      <x:c r="B28" s="24" t="str">
        <x:v>France</x:v>
      </x:c>
      <x:c r="C28" s="24" t="n">
        <x:v>2022</x:v>
      </x:c>
      <x:c r="D28" s="24" t="str">
        <x:v>MCO</x:v>
      </x:c>
      <x:c r="E28" s="24" t="str">
        <x:v>ppp_gdp</x:v>
      </x:c>
      <x:c r="F28" s="38" t="n">
        <x:v>13335784068</x:v>
      </x:c>
      <x:c r="G28" s="24" t="str">
        <x:v>international dollars after scenario scaling</x:v>
      </x:c>
      <x:c r="H28" s="36" t="str">
        <x:v>PPP inferred from filled nominal GDP using Europe &amp; Central Asia; High income median PPP/nominal ratio 1.515 (36 peers)</x:v>
      </x:c>
      <x:c r="I28" s="36" t="str">
        <x:v>https://api.imf.org/external/sdmx/3.0/data/dataflow/IMF.RES/WEO/9.0.0/ | https://datahelpdesk.worldbank.org/knowledgebase/articles/898581-api-basic-call-structures</x:v>
      </x:c>
      <x:c r="J28" s="36" t="str">
        <x:v>peer_ratio_inference</x:v>
      </x:c>
    </x:row>
    <x:row r="29">
      <x:c r="A29" s="24" t="str">
        <x:v>EUA</x:v>
      </x:c>
      <x:c r="B29" s="24" t="str">
        <x:v>France</x:v>
      </x:c>
      <x:c r="C29" s="24" t="n">
        <x:v>2026</x:v>
      </x:c>
      <x:c r="D29" s="24" t="str">
        <x:v>MCO</x:v>
      </x:c>
      <x:c r="E29" s="24" t="str">
        <x:v>population</x:v>
      </x:c>
      <x:c r="F29" s="38" t="n">
        <x:v>38053</x:v>
      </x:c>
      <x:c r="G29" s="24" t="str">
        <x:v>people</x:v>
      </x:c>
      <x:c r="H29" s="36" t="str">
        <x:v>population extrapolation from World Bank 2024-2025 CAGR (-0.75%/yr, capped at ±5%)</x:v>
      </x:c>
      <x:c r="I29" s="36" t="str">
        <x:v>https://api.worldbank.org/v2/country/MCO/indicator/SP.POP.TOTL?source=2&amp;date=2024&amp;format=json | https://api.worldbank.org/v2/country/MCO/indicator/SP.POP.TOTL?source=2&amp;date=2025&amp;format=json</x:v>
      </x:c>
      <x:c r="J29" s="36" t="str">
        <x:v>population_extrapolation</x:v>
      </x:c>
    </x:row>
    <x:row r="30">
      <x:c r="A30" s="24" t="str">
        <x:v>EUA</x:v>
      </x:c>
      <x:c r="B30" s="24" t="str">
        <x:v>France</x:v>
      </x:c>
      <x:c r="C30" s="24" t="n">
        <x:v>2026</x:v>
      </x:c>
      <x:c r="D30" s="24" t="str">
        <x:v>MCO</x:v>
      </x:c>
      <x:c r="E30" s="24" t="str">
        <x:v>nominal_gdp</x:v>
      </x:c>
      <x:c r="F30" s="38" t="n">
        <x:v>11276448804</x:v>
      </x:c>
      <x:c r="G30" s="24" t="str">
        <x:v>USD after scenario scaling</x:v>
      </x:c>
      <x:c r="H30" s="36" t="str">
        <x:v>peer-growth inference from World Bank 2024; Europe &amp; Central Asia; High income median 5.74%/yr (34 peers, capped at ±8%)</x:v>
      </x:c>
      <x:c r="I30" s="36" t="str">
        <x:v>https://api.worldbank.org/v2/country/MCO/indicator/NY.GDP.MKTP.CD?source=2&amp;date=2024&amp;format=json | https://api.imf.org/external/sdmx/3.0/data/dataflow/IMF.RES/WEO/9.0.0/ | https://datahelpdesk.worldbank.org/knowledgebase/articles/898581-api-basic-call-structures</x:v>
      </x:c>
      <x:c r="J30" s="36" t="str">
        <x:v>peer_growth_inference</x:v>
      </x:c>
    </x:row>
    <x:row r="31">
      <x:c r="A31" s="24" t="str">
        <x:v>EUA</x:v>
      </x:c>
      <x:c r="B31" s="24" t="str">
        <x:v>France</x:v>
      </x:c>
      <x:c r="C31" s="24" t="n">
        <x:v>2026</x:v>
      </x:c>
      <x:c r="D31" s="24" t="str">
        <x:v>MCO</x:v>
      </x:c>
      <x:c r="E31" s="24" t="str">
        <x:v>ppp_gdp</x:v>
      </x:c>
      <x:c r="F31" s="38" t="n">
        <x:v>15693996227</x:v>
      </x:c>
      <x:c r="G31" s="24" t="str">
        <x:v>international dollars after scenario scaling</x:v>
      </x:c>
      <x:c r="H31" s="36" t="str">
        <x:v>PPP inferred from filled nominal GDP using Europe &amp; Central Asia; High income median PPP/nominal ratio 1.392 (34 peers)</x:v>
      </x:c>
      <x:c r="I31" s="36" t="str">
        <x:v>https://api.imf.org/external/sdmx/3.0/data/dataflow/IMF.RES/WEO/9.0.0/ | https://datahelpdesk.worldbank.org/knowledgebase/articles/898581-api-basic-call-structures</x:v>
      </x:c>
      <x:c r="J31" s="36" t="str">
        <x:v>peer_ratio_inference</x:v>
      </x:c>
    </x:row>
    <x:row r="32">
      <x:c r="A32" s="24" t="str">
        <x:v>ITA</x:v>
      </x:c>
      <x:c r="B32" s="24" t="str">
        <x:v>Italy</x:v>
      </x:c>
      <x:c r="C32" s="24" t="n">
        <x:v>2003</x:v>
      </x:c>
      <x:c r="D32" s="24" t="str">
        <x:v>SMR</x:v>
      </x:c>
      <x:c r="E32" s="24" t="str">
        <x:v>population</x:v>
      </x:c>
      <x:c r="F32" s="38" t="n">
        <x:v>27843</x:v>
      </x:c>
      <x:c r="G32" s="24" t="str">
        <x:v>people</x:v>
      </x:c>
      <x:c r="H32" s="36" t="str">
        <x:v>World Bank exact 2003</x:v>
      </x:c>
      <x:c r="I32" s="36" t="str">
        <x:v>https://api.worldbank.org/v2/country/SMR/indicator/SP.POP.TOTL?source=2&amp;date=2003&amp;format=json</x:v>
      </x:c>
      <x:c r="J32" s="36" t="str">
        <x:v>world_bank_exact</x:v>
      </x:c>
    </x:row>
    <x:row r="33">
      <x:c r="A33" s="24" t="str">
        <x:v>LEB</x:v>
      </x:c>
      <x:c r="B33" s="24" t="str">
        <x:v>Lebanon</x:v>
      </x:c>
      <x:c r="C33" s="24" t="n">
        <x:v>2026</x:v>
      </x:c>
      <x:c r="D33" s="24" t="str">
        <x:v>LBN</x:v>
      </x:c>
      <x:c r="E33" s="24" t="str">
        <x:v>population</x:v>
      </x:c>
      <x:c r="F33" s="38" t="n">
        <x:v>5353930</x:v>
      </x:c>
      <x:c r="G33" s="24" t="str">
        <x:v>people</x:v>
      </x:c>
      <x:c r="H33" s="36" t="str">
        <x:v>population extrapolation from IMF 2024-2025 CAGR (0.00%/yr, capped at ±5%)</x:v>
      </x:c>
      <x:c r="I33" s="36" t="str">
        <x:v>https://api.imf.org/external/sdmx/3.0/data/dataflow/IMF.RES/WEO/9.0.0/</x:v>
      </x:c>
      <x:c r="J33" s="36" t="str">
        <x:v>population_extrapolation</x:v>
      </x:c>
    </x:row>
    <x:row r="34">
      <x:c r="A34" s="24" t="str">
        <x:v>LEB</x:v>
      </x:c>
      <x:c r="B34" s="24" t="str">
        <x:v>Lebanon</x:v>
      </x:c>
      <x:c r="C34" s="24" t="n">
        <x:v>2026</x:v>
      </x:c>
      <x:c r="D34" s="24" t="str">
        <x:v>LBN</x:v>
      </x:c>
      <x:c r="E34" s="24" t="str">
        <x:v>nominal_gdp</x:v>
      </x:c>
      <x:c r="F34" s="38" t="n">
        <x:v>32001954916</x:v>
      </x:c>
      <x:c r="G34" s="24" t="str">
        <x:v>USD after scenario scaling</x:v>
      </x:c>
      <x:c r="H34" s="36" t="str">
        <x:v>peer-growth inference from IMF 2025; Middle East, North Africa, Afghanistan &amp; Pakistan median 3.66%/yr (18 peers, capped at ±8%)</x:v>
      </x:c>
      <x:c r="I34" s="36" t="str">
        <x:v>https://api.imf.org/external/sdmx/3.0/data/dataflow/IMF.RES/WEO/9.0.0/ | https://datahelpdesk.worldbank.org/knowledgebase/articles/898581-api-basic-call-structures</x:v>
      </x:c>
      <x:c r="J34" s="36" t="str">
        <x:v>peer_growth_inference</x:v>
      </x:c>
    </x:row>
    <x:row r="35">
      <x:c r="A35" s="24" t="str">
        <x:v>LEB</x:v>
      </x:c>
      <x:c r="B35" s="24" t="str">
        <x:v>Lebanon</x:v>
      </x:c>
      <x:c r="C35" s="24" t="n">
        <x:v>2026</x:v>
      </x:c>
      <x:c r="D35" s="24" t="str">
        <x:v>LBN</x:v>
      </x:c>
      <x:c r="E35" s="24" t="str">
        <x:v>ppp_gdp</x:v>
      </x:c>
      <x:c r="F35" s="38" t="n">
        <x:v>64192842273</x:v>
      </x:c>
      <x:c r="G35" s="24" t="str">
        <x:v>international dollars after scenario scaling</x:v>
      </x:c>
      <x:c r="H35" s="36" t="str">
        <x:v>peer-growth inference from IMF 2025; Middle East, North Africa, Afghanistan &amp; Pakistan; Lower middle income median 2.20%/yr (5 peers, capped at ±8%)</x:v>
      </x:c>
      <x:c r="I35" s="36" t="str">
        <x:v>https://api.imf.org/external/sdmx/3.0/data/dataflow/IMF.RES/WEO/9.0.0/ | https://datahelpdesk.worldbank.org/knowledgebase/articles/898581-api-basic-call-structures</x:v>
      </x:c>
      <x:c r="J35" s="36" t="str">
        <x:v>peer_growth_inference</x:v>
      </x:c>
    </x:row>
    <x:row r="36">
      <x:c r="A36" s="24" t="str">
        <x:v>PRK</x:v>
      </x:c>
      <x:c r="B36" s="24" t="str">
        <x:v>North Korea</x:v>
      </x:c>
      <x:c r="C36" s="24" t="n">
        <x:v>2003</x:v>
      </x:c>
      <x:c r="D36" s="24" t="str">
        <x:v>PRK</x:v>
      </x:c>
      <x:c r="E36" s="24" t="str">
        <x:v>population</x:v>
      </x:c>
      <x:c r="F36" s="38" t="n">
        <x:v>24090380</x:v>
      </x:c>
      <x:c r="G36" s="24" t="str">
        <x:v>people</x:v>
      </x:c>
      <x:c r="H36" s="36" t="str">
        <x:v>World Bank exact 2003</x:v>
      </x:c>
      <x:c r="I36" s="36" t="str">
        <x:v>https://api.worldbank.org/v2/country/PRK/indicator/SP.POP.TOTL?source=2&amp;date=2003&amp;format=json</x:v>
      </x:c>
      <x:c r="J36" s="36" t="str">
        <x:v>world_bank_exact</x:v>
      </x:c>
    </x:row>
    <x:row r="37">
      <x:c r="A37" s="24" t="str">
        <x:v>PRK</x:v>
      </x:c>
      <x:c r="B37" s="24" t="str">
        <x:v>North Korea</x:v>
      </x:c>
      <x:c r="C37" s="24" t="n">
        <x:v>2003</x:v>
      </x:c>
      <x:c r="D37" s="24" t="str">
        <x:v>PRK</x:v>
      </x:c>
      <x:c r="E37" s="24" t="str">
        <x:v>nominal_gdp</x:v>
      </x:c>
      <x:c r="F37" s="38" t="n">
        <x:v>92136163207</x:v>
      </x:c>
      <x:c r="G37" s="24" t="str">
        <x:v>USD after scenario scaling</x:v>
      </x:c>
      <x:c r="H37" s="36" t="str">
        <x:v>nominal GDP/c inferred from East Asia &amp; Pacific median level (36 peers)</x:v>
      </x:c>
      <x:c r="I37" s="36" t="str">
        <x:v>https://api.imf.org/external/sdmx/3.0/data/dataflow/IMF.RES/WEO/9.0.0/ | https://datahelpdesk.worldbank.org/knowledgebase/articles/898581-api-basic-call-structures</x:v>
      </x:c>
      <x:c r="J37" s="36" t="str">
        <x:v>peer_level_inference</x:v>
      </x:c>
    </x:row>
    <x:row r="38">
      <x:c r="A38" s="24" t="str">
        <x:v>PRK</x:v>
      </x:c>
      <x:c r="B38" s="24" t="str">
        <x:v>North Korea</x:v>
      </x:c>
      <x:c r="C38" s="24" t="n">
        <x:v>2003</x:v>
      </x:c>
      <x:c r="D38" s="24" t="str">
        <x:v>PRK</x:v>
      </x:c>
      <x:c r="E38" s="24" t="str">
        <x:v>ppp_gdp</x:v>
      </x:c>
      <x:c r="F38" s="38" t="n">
        <x:v>196770329007</x:v>
      </x:c>
      <x:c r="G38" s="24" t="str">
        <x:v>international dollars after scenario scaling</x:v>
      </x:c>
      <x:c r="H38" s="36" t="str">
        <x:v>PPP inferred from filled nominal GDP using East Asia &amp; Pacific median PPP/nominal ratio 2.136 (31 peers)</x:v>
      </x:c>
      <x:c r="I38" s="36" t="str">
        <x:v>https://api.imf.org/external/sdmx/3.0/data/dataflow/IMF.RES/WEO/9.0.0/ | https://datahelpdesk.worldbank.org/knowledgebase/articles/898581-api-basic-call-structures</x:v>
      </x:c>
      <x:c r="J38" s="36" t="str">
        <x:v>peer_ratio_inference</x:v>
      </x:c>
    </x:row>
    <x:row r="39">
      <x:c r="A39" s="24" t="str">
        <x:v>PRK</x:v>
      </x:c>
      <x:c r="B39" s="24" t="str">
        <x:v>North Korea</x:v>
      </x:c>
      <x:c r="C39" s="24" t="n">
        <x:v>2022</x:v>
      </x:c>
      <x:c r="D39" s="24" t="str">
        <x:v>PRK</x:v>
      </x:c>
      <x:c r="E39" s="24" t="str">
        <x:v>population</x:v>
      </x:c>
      <x:c r="F39" s="38" t="n">
        <x:v>26328845</x:v>
      </x:c>
      <x:c r="G39" s="24" t="str">
        <x:v>people</x:v>
      </x:c>
      <x:c r="H39" s="36" t="str">
        <x:v>World Bank exact 2022</x:v>
      </x:c>
      <x:c r="I39" s="36" t="str">
        <x:v>https://api.worldbank.org/v2/country/PRK/indicator/SP.POP.TOTL?source=2&amp;date=2022&amp;format=json</x:v>
      </x:c>
      <x:c r="J39" s="36" t="str">
        <x:v>world_bank_exact</x:v>
      </x:c>
    </x:row>
    <x:row r="40">
      <x:c r="A40" s="24" t="str">
        <x:v>PRK</x:v>
      </x:c>
      <x:c r="B40" s="24" t="str">
        <x:v>North Korea</x:v>
      </x:c>
      <x:c r="C40" s="24" t="n">
        <x:v>2022</x:v>
      </x:c>
      <x:c r="D40" s="24" t="str">
        <x:v>PRK</x:v>
      </x:c>
      <x:c r="E40" s="24" t="str">
        <x:v>nominal_gdp</x:v>
      </x:c>
      <x:c r="F40" s="38" t="n">
        <x:v>175951330296</x:v>
      </x:c>
      <x:c r="G40" s="24" t="str">
        <x:v>USD after scenario scaling</x:v>
      </x:c>
      <x:c r="H40" s="36" t="str">
        <x:v>nominal GDP/c inferred from East Asia &amp; Pacific median level (36 peers)</x:v>
      </x:c>
      <x:c r="I40" s="36" t="str">
        <x:v>https://api.imf.org/external/sdmx/3.0/data/dataflow/IMF.RES/WEO/9.0.0/ | https://datahelpdesk.worldbank.org/knowledgebase/articles/898581-api-basic-call-structures</x:v>
      </x:c>
      <x:c r="J40" s="36" t="str">
        <x:v>peer_level_inference</x:v>
      </x:c>
    </x:row>
    <x:row r="41">
      <x:c r="A41" s="24" t="str">
        <x:v>PRK</x:v>
      </x:c>
      <x:c r="B41" s="24" t="str">
        <x:v>North Korea</x:v>
      </x:c>
      <x:c r="C41" s="24" t="n">
        <x:v>2022</x:v>
      </x:c>
      <x:c r="D41" s="24" t="str">
        <x:v>PRK</x:v>
      </x:c>
      <x:c r="E41" s="24" t="str">
        <x:v>ppp_gdp</x:v>
      </x:c>
      <x:c r="F41" s="38" t="n">
        <x:v>278538762418</x:v>
      </x:c>
      <x:c r="G41" s="24" t="str">
        <x:v>international dollars after scenario scaling</x:v>
      </x:c>
      <x:c r="H41" s="36" t="str">
        <x:v>PPP inferred from filled nominal GDP using East Asia &amp; Pacific median PPP/nominal ratio 1.583 (31 peers)</x:v>
      </x:c>
      <x:c r="I41" s="36" t="str">
        <x:v>https://api.imf.org/external/sdmx/3.0/data/dataflow/IMF.RES/WEO/9.0.0/ | https://datahelpdesk.worldbank.org/knowledgebase/articles/898581-api-basic-call-structures</x:v>
      </x:c>
      <x:c r="J41" s="36" t="str">
        <x:v>peer_ratio_inference</x:v>
      </x:c>
    </x:row>
    <x:row r="42">
      <x:c r="A42" s="24" t="str">
        <x:v>PRK</x:v>
      </x:c>
      <x:c r="B42" s="24" t="str">
        <x:v>North Korea</x:v>
      </x:c>
      <x:c r="C42" s="24" t="n">
        <x:v>2026</x:v>
      </x:c>
      <x:c r="D42" s="24" t="str">
        <x:v>PRK</x:v>
      </x:c>
      <x:c r="E42" s="24" t="str">
        <x:v>population</x:v>
      </x:c>
      <x:c r="F42" s="38" t="n">
        <x:v>26643446</x:v>
      </x:c>
      <x:c r="G42" s="24" t="str">
        <x:v>people</x:v>
      </x:c>
      <x:c r="H42" s="36" t="str">
        <x:v>population extrapolation from World Bank 2024-2025 CAGR (0.27%/yr, capped at ±5%)</x:v>
      </x:c>
      <x:c r="I42" s="36" t="str">
        <x:v>https://api.worldbank.org/v2/country/PRK/indicator/SP.POP.TOTL?source=2&amp;date=2024&amp;format=json | https://api.worldbank.org/v2/country/PRK/indicator/SP.POP.TOTL?source=2&amp;date=2025&amp;format=json</x:v>
      </x:c>
      <x:c r="J42" s="36" t="str">
        <x:v>population_extrapolation</x:v>
      </x:c>
    </x:row>
    <x:row r="43">
      <x:c r="A43" s="24" t="str">
        <x:v>PRK</x:v>
      </x:c>
      <x:c r="B43" s="24" t="str">
        <x:v>North Korea</x:v>
      </x:c>
      <x:c r="C43" s="24" t="n">
        <x:v>2026</x:v>
      </x:c>
      <x:c r="D43" s="24" t="str">
        <x:v>PRK</x:v>
      </x:c>
      <x:c r="E43" s="24" t="str">
        <x:v>nominal_gdp</x:v>
      </x:c>
      <x:c r="F43" s="38" t="n">
        <x:v>149618843571</x:v>
      </x:c>
      <x:c r="G43" s="24" t="str">
        <x:v>USD after scenario scaling</x:v>
      </x:c>
      <x:c r="H43" s="36" t="str">
        <x:v>nominal GDP/c inferred from East Asia &amp; Pacific median level (25 peers)</x:v>
      </x:c>
      <x:c r="I43" s="36" t="str">
        <x:v>https://api.imf.org/external/sdmx/3.0/data/dataflow/IMF.RES/WEO/9.0.0/ | https://datahelpdesk.worldbank.org/knowledgebase/articles/898581-api-basic-call-structures</x:v>
      </x:c>
      <x:c r="J43" s="36" t="str">
        <x:v>peer_level_inference</x:v>
      </x:c>
    </x:row>
    <x:row r="44">
      <x:c r="A44" s="24" t="str">
        <x:v>PRK</x:v>
      </x:c>
      <x:c r="B44" s="24" t="str">
        <x:v>North Korea</x:v>
      </x:c>
      <x:c r="C44" s="24" t="n">
        <x:v>2026</x:v>
      </x:c>
      <x:c r="D44" s="24" t="str">
        <x:v>PRK</x:v>
      </x:c>
      <x:c r="E44" s="24" t="str">
        <x:v>ppp_gdp</x:v>
      </x:c>
      <x:c r="F44" s="38" t="n">
        <x:v>317838285300</x:v>
      </x:c>
      <x:c r="G44" s="24" t="str">
        <x:v>international dollars after scenario scaling</x:v>
      </x:c>
      <x:c r="H44" s="36" t="str">
        <x:v>PPP inferred from filled nominal GDP using East Asia &amp; Pacific median PPP/nominal ratio 2.124 (25 peers)</x:v>
      </x:c>
      <x:c r="I44" s="36" t="str">
        <x:v>https://api.imf.org/external/sdmx/3.0/data/dataflow/IMF.RES/WEO/9.0.0/ | https://datahelpdesk.worldbank.org/knowledgebase/articles/898581-api-basic-call-structures</x:v>
      </x:c>
      <x:c r="J44" s="36" t="str">
        <x:v>peer_ratio_inference</x:v>
      </x:c>
    </x:row>
    <x:row r="45">
      <x:c r="A45" s="24" t="str">
        <x:v>PAK</x:v>
      </x:c>
      <x:c r="B45" s="24" t="str">
        <x:v>Pakistan</x:v>
      </x:c>
      <x:c r="C45" s="24" t="n">
        <x:v>2026</x:v>
      </x:c>
      <x:c r="D45" s="24" t="str">
        <x:v>PAK</x:v>
      </x:c>
      <x:c r="E45" s="24" t="str">
        <x:v>nominal_gdp</x:v>
      </x:c>
      <x:c r="F45" s="38" t="n">
        <x:v>385576886436</x:v>
      </x:c>
      <x:c r="G45" s="24" t="str">
        <x:v>USD after scenario scaling</x:v>
      </x:c>
      <x:c r="H45" s="36" t="str">
        <x:v>peer-growth inference from IMF 2025; Middle East, North Africa, Afghanistan &amp; Pakistan median 3.66%/yr (18 peers, capped at ±8%)</x:v>
      </x:c>
      <x:c r="I45" s="36" t="str">
        <x:v>https://api.imf.org/external/sdmx/3.0/data/dataflow/IMF.RES/WEO/9.0.0/ | https://datahelpdesk.worldbank.org/knowledgebase/articles/898581-api-basic-call-structures</x:v>
      </x:c>
      <x:c r="J45" s="36" t="str">
        <x:v>peer_growth_inference</x:v>
      </x:c>
    </x:row>
    <x:row r="46">
      <x:c r="A46" s="24" t="str">
        <x:v>PAL</x:v>
      </x:c>
      <x:c r="B46" s="24" t="str">
        <x:v>Palestine</x:v>
      </x:c>
      <x:c r="C46" s="24" t="n">
        <x:v>2026</x:v>
      </x:c>
      <x:c r="D46" s="24" t="str">
        <x:v>WBG</x:v>
      </x:c>
      <x:c r="E46" s="24" t="str">
        <x:v>population</x:v>
      </x:c>
      <x:c r="F46" s="38" t="n">
        <x:v>5863622</x:v>
      </x:c>
      <x:c r="G46" s="24" t="str">
        <x:v>people</x:v>
      </x:c>
      <x:c r="H46" s="36" t="str">
        <x:v>population extrapolation from IMF 2024-2025 CAGR (2.20%/yr, capped at ±5%)</x:v>
      </x:c>
      <x:c r="I46" s="36" t="str">
        <x:v>https://api.imf.org/external/sdmx/3.0/data/dataflow/IMF.RES/WEO/9.0.0/</x:v>
      </x:c>
      <x:c r="J46" s="36" t="str">
        <x:v>population_extrapolation</x:v>
      </x:c>
    </x:row>
    <x:row r="47">
      <x:c r="A47" s="24" t="str">
        <x:v>PAL</x:v>
      </x:c>
      <x:c r="B47" s="24" t="str">
        <x:v>Palestine</x:v>
      </x:c>
      <x:c r="C47" s="24" t="n">
        <x:v>2026</x:v>
      </x:c>
      <x:c r="D47" s="24" t="str">
        <x:v>WBG</x:v>
      </x:c>
      <x:c r="E47" s="24" t="str">
        <x:v>nominal_gdp</x:v>
      </x:c>
      <x:c r="F47" s="38" t="n">
        <x:v>16276673262</x:v>
      </x:c>
      <x:c r="G47" s="24" t="str">
        <x:v>USD after scenario scaling</x:v>
      </x:c>
      <x:c r="H47" s="36" t="str">
        <x:v>peer-growth inference from World Bank 2025; Middle East, North Africa, Afghanistan &amp; Pakistan median 3.66%/yr (18 peers, capped at ±8%)</x:v>
      </x:c>
      <x:c r="I47" s="36" t="str">
        <x:v>https://api.worldbank.org/v2/country/PSE/indicator/NY.GDP.MKTP.CD?source=2&amp;date=2025&amp;format=json | https://api.imf.org/external/sdmx/3.0/data/dataflow/IMF.RES/WEO/9.0.0/ | https://datahelpdesk.worldbank.org/knowledgebase/articles/898581-api-basic-call-structures</x:v>
      </x:c>
      <x:c r="J47" s="36" t="str">
        <x:v>peer_growth_inference</x:v>
      </x:c>
    </x:row>
    <x:row r="48">
      <x:c r="A48" s="24" t="str">
        <x:v>PAL</x:v>
      </x:c>
      <x:c r="B48" s="24" t="str">
        <x:v>Palestine</x:v>
      </x:c>
      <x:c r="C48" s="24" t="n">
        <x:v>2026</x:v>
      </x:c>
      <x:c r="D48" s="24" t="str">
        <x:v>WBG</x:v>
      </x:c>
      <x:c r="E48" s="24" t="str">
        <x:v>ppp_gdp</x:v>
      </x:c>
      <x:c r="F48" s="38" t="n">
        <x:v>25299836420</x:v>
      </x:c>
      <x:c r="G48" s="24" t="str">
        <x:v>international dollars after scenario scaling</x:v>
      </x:c>
      <x:c r="H48" s="36" t="str">
        <x:v>peer-growth inference from World Bank 2025; Middle East, North Africa, Afghanistan &amp; Pakistan; Lower middle income median 2.20%/yr (5 peers, capped at ±8%)</x:v>
      </x:c>
      <x:c r="I48" s="36" t="str">
        <x:v>https://api.worldbank.org/v2/country/PSE/indicator/NY.GDP.MKTP.PP.CD?source=2&amp;date=2025&amp;format=json | https://api.imf.org/external/sdmx/3.0/data/dataflow/IMF.RES/WEO/9.0.0/ | https://datahelpdesk.worldbank.org/knowledgebase/articles/898581-api-basic-call-structures</x:v>
      </x:c>
      <x:c r="J48" s="36" t="str">
        <x:v>peer_growth_inference</x:v>
      </x:c>
    </x:row>
    <x:row r="49">
      <x:c r="A49" s="24" t="str">
        <x:v>SOM</x:v>
      </x:c>
      <x:c r="B49" s="24" t="str">
        <x:v>Somalia</x:v>
      </x:c>
      <x:c r="C49" s="24" t="n">
        <x:v>2003</x:v>
      </x:c>
      <x:c r="D49" s="24" t="str">
        <x:v>SOM</x:v>
      </x:c>
      <x:c r="E49" s="24" t="str">
        <x:v>population</x:v>
      </x:c>
      <x:c r="F49" s="38" t="n">
        <x:v>9909157</x:v>
      </x:c>
      <x:c r="G49" s="24" t="str">
        <x:v>people</x:v>
      </x:c>
      <x:c r="H49" s="36" t="str">
        <x:v>World Bank exact 2003</x:v>
      </x:c>
      <x:c r="I49" s="36" t="str">
        <x:v>https://api.worldbank.org/v2/country/SOM/indicator/SP.POP.TOTL?source=2&amp;date=2003&amp;format=json</x:v>
      </x:c>
      <x:c r="J49" s="36" t="str">
        <x:v>world_bank_exact</x:v>
      </x:c>
    </x:row>
    <x:row r="50">
      <x:c r="A50" s="24" t="str">
        <x:v>SOM</x:v>
      </x:c>
      <x:c r="B50" s="24" t="str">
        <x:v>Somalia</x:v>
      </x:c>
      <x:c r="C50" s="24" t="n">
        <x:v>2003</x:v>
      </x:c>
      <x:c r="D50" s="24" t="str">
        <x:v>SOM</x:v>
      </x:c>
      <x:c r="E50" s="24" t="str">
        <x:v>nominal_gdp</x:v>
      </x:c>
      <x:c r="F50" s="38" t="n">
        <x:v>4510391719</x:v>
      </x:c>
      <x:c r="G50" s="24" t="str">
        <x:v>USD after scenario scaling</x:v>
      </x:c>
      <x:c r="H50" s="36" t="str">
        <x:v>World Bank exact 2003</x:v>
      </x:c>
      <x:c r="I50" s="36" t="str">
        <x:v>https://api.worldbank.org/v2/country/SOM/indicator/NY.GDP.MKTP.CD?source=2&amp;date=2003&amp;format=json</x:v>
      </x:c>
      <x:c r="J50" s="36" t="str">
        <x:v>world_bank_exact</x:v>
      </x:c>
    </x:row>
    <x:row r="51">
      <x:c r="A51" s="24" t="str">
        <x:v>SOM</x:v>
      </x:c>
      <x:c r="B51" s="24" t="str">
        <x:v>Somalia</x:v>
      </x:c>
      <x:c r="C51" s="24" t="n">
        <x:v>2003</x:v>
      </x:c>
      <x:c r="D51" s="24" t="str">
        <x:v>SOM</x:v>
      </x:c>
      <x:c r="E51" s="24" t="str">
        <x:v>ppp_gdp</x:v>
      </x:c>
      <x:c r="F51" s="38" t="n">
        <x:v>8624186135</x:v>
      </x:c>
      <x:c r="G51" s="24" t="str">
        <x:v>international dollars after scenario scaling</x:v>
      </x:c>
      <x:c r="H51" s="36" t="str">
        <x:v>World Bank exact 2003</x:v>
      </x:c>
      <x:c r="I51" s="36" t="str">
        <x:v>https://api.worldbank.org/v2/country/SOM/indicator/NY.GDP.MKTP.PP.CD?source=2&amp;date=2003&amp;format=json</x:v>
      </x:c>
      <x:c r="J51" s="36" t="str">
        <x:v>world_bank_exact</x:v>
      </x:c>
    </x:row>
    <x:row r="52">
      <x:c r="A52" s="24" t="str">
        <x:v>SOL</x:v>
      </x:c>
      <x:c r="B52" s="24" t="str">
        <x:v>Somaliland</x:v>
      </x:c>
      <x:c r="C52" s="24" t="n">
        <x:v>2022</x:v>
      </x:c>
      <x:c r="D52" s="24" t="str">
        <x:v>SOMALILAND</x:v>
      </x:c>
      <x:c r="E52" s="24" t="str">
        <x:v>population</x:v>
      </x:c>
      <x:c r="F52" s="38" t="n">
        <x:v>4357044</x:v>
      </x:c>
      <x:c r="G52" s="24" t="str">
        <x:v>people</x:v>
      </x:c>
      <x:c r="H52" s="36" t="str">
        <x:v>vanilla scenario population fallback because no external territorial series is available</x:v>
      </x:c>
      <x:c r="I52" s="36" t="str"/>
      <x:c r="J52" s="36" t="str">
        <x:v>vanilla_population_fallback</x:v>
      </x:c>
    </x:row>
    <x:row r="53">
      <x:c r="A53" s="24" t="str">
        <x:v>SOL</x:v>
      </x:c>
      <x:c r="B53" s="24" t="str">
        <x:v>Somaliland</x:v>
      </x:c>
      <x:c r="C53" s="24" t="n">
        <x:v>2022</x:v>
      </x:c>
      <x:c r="D53" s="24" t="str">
        <x:v>SOMALILAND</x:v>
      </x:c>
      <x:c r="E53" s="24" t="str">
        <x:v>nominal_gdp</x:v>
      </x:c>
      <x:c r="F53" s="38" t="n">
        <x:v>3196248162</x:v>
      </x:c>
      <x:c r="G53" s="24" t="str">
        <x:v>USD after scenario scaling</x:v>
      </x:c>
      <x:c r="H53" s="36" t="str">
        <x:v>nominal GDP/c inferred from Sub-Saharan Africa ; Low income median level (20 peers)</x:v>
      </x:c>
      <x:c r="I53" s="36" t="str">
        <x:v>https://api.imf.org/external/sdmx/3.0/data/dataflow/IMF.RES/WEO/9.0.0/ | https://datahelpdesk.worldbank.org/knowledgebase/articles/898581-api-basic-call-structures</x:v>
      </x:c>
      <x:c r="J53" s="36" t="str">
        <x:v>peer_level_inference</x:v>
      </x:c>
    </x:row>
    <x:row r="54">
      <x:c r="A54" s="24" t="str">
        <x:v>SOL</x:v>
      </x:c>
      <x:c r="B54" s="24" t="str">
        <x:v>Somaliland</x:v>
      </x:c>
      <x:c r="C54" s="24" t="n">
        <x:v>2022</x:v>
      </x:c>
      <x:c r="D54" s="24" t="str">
        <x:v>SOMALILAND</x:v>
      </x:c>
      <x:c r="E54" s="24" t="str">
        <x:v>ppp_gdp</x:v>
      </x:c>
      <x:c r="F54" s="38" t="n">
        <x:v>9666744255</x:v>
      </x:c>
      <x:c r="G54" s="24" t="str">
        <x:v>international dollars after scenario scaling</x:v>
      </x:c>
      <x:c r="H54" s="36" t="str">
        <x:v>PPP inferred from filled nominal GDP using Sub-Saharan Africa ; Low income median PPP/nominal ratio 3.024 (20 peers)</x:v>
      </x:c>
      <x:c r="I54" s="36" t="str">
        <x:v>https://api.imf.org/external/sdmx/3.0/data/dataflow/IMF.RES/WEO/9.0.0/ | https://datahelpdesk.worldbank.org/knowledgebase/articles/898581-api-basic-call-structures</x:v>
      </x:c>
      <x:c r="J54" s="36" t="str">
        <x:v>peer_ratio_inference</x:v>
      </x:c>
    </x:row>
    <x:row r="55">
      <x:c r="A55" s="24" t="str">
        <x:v>SOL</x:v>
      </x:c>
      <x:c r="B55" s="24" t="str">
        <x:v>Somaliland</x:v>
      </x:c>
      <x:c r="C55" s="24" t="n">
        <x:v>2026</x:v>
      </x:c>
      <x:c r="D55" s="24" t="str">
        <x:v>SOMALILAND</x:v>
      </x:c>
      <x:c r="E55" s="24" t="str">
        <x:v>population</x:v>
      </x:c>
      <x:c r="F55" s="38" t="n">
        <x:v>6294831</x:v>
      </x:c>
      <x:c r="G55" s="24" t="str">
        <x:v>people</x:v>
      </x:c>
      <x:c r="H55" s="36" t="str">
        <x:v>vanilla scenario population fallback because no external territorial series is available</x:v>
      </x:c>
      <x:c r="I55" s="36" t="str"/>
      <x:c r="J55" s="36" t="str">
        <x:v>vanilla_population_fallback</x:v>
      </x:c>
    </x:row>
    <x:row r="56">
      <x:c r="A56" s="24" t="str">
        <x:v>SOL</x:v>
      </x:c>
      <x:c r="B56" s="24" t="str">
        <x:v>Somaliland</x:v>
      </x:c>
      <x:c r="C56" s="24" t="n">
        <x:v>2026</x:v>
      </x:c>
      <x:c r="D56" s="24" t="str">
        <x:v>SOMALILAND</x:v>
      </x:c>
      <x:c r="E56" s="24" t="str">
        <x:v>nominal_gdp</x:v>
      </x:c>
      <x:c r="F56" s="38" t="n">
        <x:v>5125482488</x:v>
      </x:c>
      <x:c r="G56" s="24" t="str">
        <x:v>USD after scenario scaling</x:v>
      </x:c>
      <x:c r="H56" s="36" t="str">
        <x:v>nominal GDP/c inferred from Sub-Saharan Africa ; Low income median level (20 peers)</x:v>
      </x:c>
      <x:c r="I56" s="36" t="str">
        <x:v>https://api.imf.org/external/sdmx/3.0/data/dataflow/IMF.RES/WEO/9.0.0/ | https://datahelpdesk.worldbank.org/knowledgebase/articles/898581-api-basic-call-structures</x:v>
      </x:c>
      <x:c r="J56" s="36" t="str">
        <x:v>peer_level_inference</x:v>
      </x:c>
    </x:row>
    <x:row r="57">
      <x:c r="A57" s="24" t="str">
        <x:v>SOL</x:v>
      </x:c>
      <x:c r="B57" s="24" t="str">
        <x:v>Somaliland</x:v>
      </x:c>
      <x:c r="C57" s="24" t="n">
        <x:v>2026</x:v>
      </x:c>
      <x:c r="D57" s="24" t="str">
        <x:v>SOMALILAND</x:v>
      </x:c>
      <x:c r="E57" s="24" t="str">
        <x:v>ppp_gdp</x:v>
      </x:c>
      <x:c r="F57" s="38" t="n">
        <x:v>13853424620</x:v>
      </x:c>
      <x:c r="G57" s="24" t="str">
        <x:v>international dollars after scenario scaling</x:v>
      </x:c>
      <x:c r="H57" s="36" t="str">
        <x:v>PPP inferred from filled nominal GDP using Sub-Saharan Africa ; Low income median PPP/nominal ratio 2.703 (20 peers)</x:v>
      </x:c>
      <x:c r="I57" s="36" t="str">
        <x:v>https://api.imf.org/external/sdmx/3.0/data/dataflow/IMF.RES/WEO/9.0.0/ | https://datahelpdesk.worldbank.org/knowledgebase/articles/898581-api-basic-call-structures</x:v>
      </x:c>
      <x:c r="J57" s="36" t="str">
        <x:v>peer_ratio_inference</x:v>
      </x:c>
    </x:row>
    <x:row r="58">
      <x:c r="A58" s="24" t="str">
        <x:v>SSD</x:v>
      </x:c>
      <x:c r="B58" s="24" t="str">
        <x:v>South Sudan</x:v>
      </x:c>
      <x:c r="C58" s="24" t="n">
        <x:v>2003</x:v>
      </x:c>
      <x:c r="D58" s="24" t="str">
        <x:v>SSD</x:v>
      </x:c>
      <x:c r="E58" s="24" t="str">
        <x:v>population</x:v>
      </x:c>
      <x:c r="F58" s="38" t="n">
        <x:v>6903127</x:v>
      </x:c>
      <x:c r="G58" s="24" t="str">
        <x:v>people</x:v>
      </x:c>
      <x:c r="H58" s="36" t="str">
        <x:v>World Bank exact 2003</x:v>
      </x:c>
      <x:c r="I58" s="36" t="str">
        <x:v>https://api.worldbank.org/v2/country/SSD/indicator/SP.POP.TOTL?source=2&amp;date=2003&amp;format=json</x:v>
      </x:c>
      <x:c r="J58" s="36" t="str">
        <x:v>world_bank_exact</x:v>
      </x:c>
    </x:row>
    <x:row r="59">
      <x:c r="A59" s="24" t="str">
        <x:v>SSD</x:v>
      </x:c>
      <x:c r="B59" s="24" t="str">
        <x:v>South Sudan</x:v>
      </x:c>
      <x:c r="C59" s="24" t="n">
        <x:v>2003</x:v>
      </x:c>
      <x:c r="D59" s="24" t="str">
        <x:v>SSD</x:v>
      </x:c>
      <x:c r="E59" s="24" t="str">
        <x:v>nominal_gdp</x:v>
      </x:c>
      <x:c r="F59" s="38" t="n">
        <x:v>10811729193</x:v>
      </x:c>
      <x:c r="G59" s="24" t="str">
        <x:v>USD after scenario scaling</x:v>
      </x:c>
      <x:c r="H59" s="36" t="str">
        <x:v>peer-growth inference from World Bank 2008; Sub-Saharan Africa ; Low income median 8.00%/yr (20 peers, capped at ±8%)</x:v>
      </x:c>
      <x:c r="I59" s="36" t="str">
        <x:v>https://api.worldbank.org/v2/country/SSD/indicator/NY.GDP.MKTP.CD?source=2&amp;date=2008&amp;format=json | https://api.imf.org/external/sdmx/3.0/data/dataflow/IMF.RES/WEO/9.0.0/ | https://datahelpdesk.worldbank.org/knowledgebase/articles/898581-api-basic-call-structures</x:v>
      </x:c>
      <x:c r="J59" s="36" t="str">
        <x:v>peer_growth_inference</x:v>
      </x:c>
    </x:row>
    <x:row r="60">
      <x:c r="A60" s="24" t="str">
        <x:v>SSD</x:v>
      </x:c>
      <x:c r="B60" s="24" t="str">
        <x:v>South Sudan</x:v>
      </x:c>
      <x:c r="C60" s="24" t="n">
        <x:v>2003</x:v>
      </x:c>
      <x:c r="D60" s="24" t="str">
        <x:v>SSD</x:v>
      </x:c>
      <x:c r="E60" s="24" t="str">
        <x:v>ppp_gdp</x:v>
      </x:c>
      <x:c r="F60" s="38" t="n">
        <x:v>24277397335</x:v>
      </x:c>
      <x:c r="G60" s="24" t="str">
        <x:v>international dollars after scenario scaling</x:v>
      </x:c>
      <x:c r="H60" s="36" t="str">
        <x:v>peer-growth inference from World Bank 2008; Sub-Saharan Africa ; Low income median 2.69%/yr (20 peers, capped at ±8%)</x:v>
      </x:c>
      <x:c r="I60" s="36" t="str">
        <x:v>https://api.worldbank.org/v2/country/SSD/indicator/NY.GDP.MKTP.PP.CD?source=2&amp;date=2008&amp;format=json | https://api.imf.org/external/sdmx/3.0/data/dataflow/IMF.RES/WEO/9.0.0/ | https://datahelpdesk.worldbank.org/knowledgebase/articles/898581-api-basic-call-structures</x:v>
      </x:c>
      <x:c r="J60" s="36" t="str">
        <x:v>peer_growth_inference</x:v>
      </x:c>
    </x:row>
    <x:row r="61">
      <x:c r="A61" s="24" t="str">
        <x:v>LKA</x:v>
      </x:c>
      <x:c r="B61" s="24" t="str">
        <x:v>Sri Lanka</x:v>
      </x:c>
      <x:c r="C61" s="24" t="n">
        <x:v>2026</x:v>
      </x:c>
      <x:c r="D61" s="24" t="str">
        <x:v>LKA</x:v>
      </x:c>
      <x:c r="E61" s="24" t="str">
        <x:v>population</x:v>
      </x:c>
      <x:c r="F61" s="38" t="n">
        <x:v>21597168</x:v>
      </x:c>
      <x:c r="G61" s="24" t="str">
        <x:v>people</x:v>
      </x:c>
      <x:c r="H61" s="36" t="str">
        <x:v>population extrapolation from IMF 2024-2025 CAGR (-0.73%/yr, capped at ±5%)</x:v>
      </x:c>
      <x:c r="I61" s="36" t="str">
        <x:v>https://api.imf.org/external/sdmx/3.0/data/dataflow/IMF.RES/WEO/9.0.0/ | https://api.worldbank.org/v2/country/LKA/indicator/SP.POP.TOTL?source=2&amp;date=2025&amp;format=json</x:v>
      </x:c>
      <x:c r="J61" s="36" t="str">
        <x:v>population_extrapolation</x:v>
      </x:c>
    </x:row>
    <x:row r="62">
      <x:c r="A62" s="24" t="str">
        <x:v>LKA</x:v>
      </x:c>
      <x:c r="B62" s="24" t="str">
        <x:v>Sri Lanka</x:v>
      </x:c>
      <x:c r="C62" s="24" t="n">
        <x:v>2026</x:v>
      </x:c>
      <x:c r="D62" s="24" t="str">
        <x:v>LKA</x:v>
      </x:c>
      <x:c r="E62" s="24" t="str">
        <x:v>nominal_gdp</x:v>
      </x:c>
      <x:c r="F62" s="38" t="n">
        <x:v>98810269946</x:v>
      </x:c>
      <x:c r="G62" s="24" t="str">
        <x:v>USD after scenario scaling</x:v>
      </x:c>
      <x:c r="H62" s="36" t="str">
        <x:v>peer-growth inference from World Bank 2025; South Asia median 2.20%/yr (5 peers, capped at ±8%)</x:v>
      </x:c>
      <x:c r="I62" s="36" t="str">
        <x:v>https://api.worldbank.org/v2/country/LKA/indicator/NY.GDP.MKTP.CD?source=2&amp;date=2025&amp;format=json | https://api.imf.org/external/sdmx/3.0/data/dataflow/IMF.RES/WEO/9.0.0/ | https://datahelpdesk.worldbank.org/knowledgebase/articles/898581-api-basic-call-structures</x:v>
      </x:c>
      <x:c r="J62" s="36" t="str">
        <x:v>peer_growth_inference</x:v>
      </x:c>
    </x:row>
    <x:row r="63">
      <x:c r="A63" s="24" t="str">
        <x:v>LKA</x:v>
      </x:c>
      <x:c r="B63" s="24" t="str">
        <x:v>Sri Lanka</x:v>
      </x:c>
      <x:c r="C63" s="24" t="n">
        <x:v>2026</x:v>
      </x:c>
      <x:c r="D63" s="24" t="str">
        <x:v>LKA</x:v>
      </x:c>
      <x:c r="E63" s="24" t="str">
        <x:v>ppp_gdp</x:v>
      </x:c>
      <x:c r="F63" s="38" t="n">
        <x:v>341986462801</x:v>
      </x:c>
      <x:c r="G63" s="24" t="str">
        <x:v>international dollars after scenario scaling</x:v>
      </x:c>
      <x:c r="H63" s="36" t="str">
        <x:v>peer-growth inference from World Bank 2025; South Asia median 3.69%/yr (5 peers, capped at ±8%)</x:v>
      </x:c>
      <x:c r="I63" s="36" t="str">
        <x:v>https://api.worldbank.org/v2/country/LKA/indicator/NY.GDP.MKTP.PP.CD?source=2&amp;date=2025&amp;format=json | https://api.imf.org/external/sdmx/3.0/data/dataflow/IMF.RES/WEO/9.0.0/ | https://datahelpdesk.worldbank.org/knowledgebase/articles/898581-api-basic-call-structures</x:v>
      </x:c>
      <x:c r="J63" s="36" t="str">
        <x:v>peer_growth_inference</x:v>
      </x:c>
    </x:row>
    <x:row r="64">
      <x:c r="A64" s="24" t="str">
        <x:v>SYR</x:v>
      </x:c>
      <x:c r="B64" s="24" t="str">
        <x:v>Syria</x:v>
      </x:c>
      <x:c r="C64" s="24" t="n">
        <x:v>2022</x:v>
      </x:c>
      <x:c r="D64" s="24" t="str">
        <x:v>SYR</x:v>
      </x:c>
      <x:c r="E64" s="24" t="str">
        <x:v>population</x:v>
      </x:c>
      <x:c r="F64" s="38" t="n">
        <x:v>22462173</x:v>
      </x:c>
      <x:c r="G64" s="24" t="str">
        <x:v>people</x:v>
      </x:c>
      <x:c r="H64" s="36" t="str">
        <x:v>World Bank exact 2022</x:v>
      </x:c>
      <x:c r="I64" s="36" t="str">
        <x:v>https://api.worldbank.org/v2/country/SYR/indicator/SP.POP.TOTL?source=2&amp;date=2022&amp;format=json</x:v>
      </x:c>
      <x:c r="J64" s="36" t="str">
        <x:v>world_bank_exact</x:v>
      </x:c>
    </x:row>
    <x:row r="65">
      <x:c r="A65" s="24" t="str">
        <x:v>SYR</x:v>
      </x:c>
      <x:c r="B65" s="24" t="str">
        <x:v>Syria</x:v>
      </x:c>
      <x:c r="C65" s="24" t="n">
        <x:v>2022</x:v>
      </x:c>
      <x:c r="D65" s="24" t="str">
        <x:v>SYR</x:v>
      </x:c>
      <x:c r="E65" s="24" t="str">
        <x:v>nominal_gdp</x:v>
      </x:c>
      <x:c r="F65" s="38" t="n">
        <x:v>23737634644</x:v>
      </x:c>
      <x:c r="G65" s="24" t="str">
        <x:v>USD after scenario scaling</x:v>
      </x:c>
      <x:c r="H65" s="36" t="str">
        <x:v>World Bank exact 2022</x:v>
      </x:c>
      <x:c r="I65" s="36" t="str">
        <x:v>https://api.worldbank.org/v2/country/SYR/indicator/NY.GDP.MKTP.CD?source=2&amp;date=2022&amp;format=json</x:v>
      </x:c>
      <x:c r="J65" s="36" t="str">
        <x:v>world_bank_exact</x:v>
      </x:c>
    </x:row>
    <x:row r="66">
      <x:c r="A66" s="24" t="str">
        <x:v>SYR</x:v>
      </x:c>
      <x:c r="B66" s="24" t="str">
        <x:v>Syria</x:v>
      </x:c>
      <x:c r="C66" s="24" t="n">
        <x:v>2022</x:v>
      </x:c>
      <x:c r="D66" s="24" t="str">
        <x:v>SYR</x:v>
      </x:c>
      <x:c r="E66" s="24" t="str">
        <x:v>ppp_gdp</x:v>
      </x:c>
      <x:c r="F66" s="38" t="n">
        <x:v>110180384541</x:v>
      </x:c>
      <x:c r="G66" s="24" t="str">
        <x:v>international dollars after scenario scaling</x:v>
      </x:c>
      <x:c r="H66" s="36" t="str">
        <x:v>World Bank exact 2022</x:v>
      </x:c>
      <x:c r="I66" s="36" t="str">
        <x:v>https://api.worldbank.org/v2/country/SYR/indicator/NY.GDP.MKTP.PP.CD?source=2&amp;date=2022&amp;format=json</x:v>
      </x:c>
      <x:c r="J66" s="36" t="str">
        <x:v>world_bank_exact</x:v>
      </x:c>
    </x:row>
    <x:row r="67">
      <x:c r="A67" s="24" t="str">
        <x:v>SYR</x:v>
      </x:c>
      <x:c r="B67" s="24" t="str">
        <x:v>Syria</x:v>
      </x:c>
      <x:c r="C67" s="24" t="n">
        <x:v>2026</x:v>
      </x:c>
      <x:c r="D67" s="24" t="str">
        <x:v>SYR</x:v>
      </x:c>
      <x:c r="E67" s="24" t="str">
        <x:v>population</x:v>
      </x:c>
      <x:c r="F67" s="38" t="n">
        <x:v>26604493</x:v>
      </x:c>
      <x:c r="G67" s="24" t="str">
        <x:v>people</x:v>
      </x:c>
      <x:c r="H67" s="36" t="str">
        <x:v>population extrapolation from World Bank 2024-2025 CAGR (3.84%/yr, capped at ±5%)</x:v>
      </x:c>
      <x:c r="I67" s="36" t="str">
        <x:v>https://api.worldbank.org/v2/country/SYR/indicator/SP.POP.TOTL?source=2&amp;date=2024&amp;format=json | https://api.worldbank.org/v2/country/SYR/indicator/SP.POP.TOTL?source=2&amp;date=2025&amp;format=json</x:v>
      </x:c>
      <x:c r="J67" s="36" t="str">
        <x:v>population_extrapolation</x:v>
      </x:c>
    </x:row>
    <x:row r="68">
      <x:c r="A68" s="24" t="str">
        <x:v>SYR</x:v>
      </x:c>
      <x:c r="B68" s="24" t="str">
        <x:v>Syria</x:v>
      </x:c>
      <x:c r="C68" s="24" t="n">
        <x:v>2026</x:v>
      </x:c>
      <x:c r="D68" s="24" t="str">
        <x:v>SYR</x:v>
      </x:c>
      <x:c r="E68" s="24" t="str">
        <x:v>nominal_gdp</x:v>
      </x:c>
      <x:c r="F68" s="38" t="n">
        <x:v>25321774316</x:v>
      </x:c>
      <x:c r="G68" s="24" t="str">
        <x:v>USD after scenario scaling</x:v>
      </x:c>
      <x:c r="H68" s="36" t="str">
        <x:v>peer-growth inference from World Bank 2022; Middle East, North Africa, Afghanistan &amp; Pakistan median -2.04%/yr (18 peers, capped at ±8%)</x:v>
      </x:c>
      <x:c r="I68" s="36" t="str">
        <x:v>https://api.worldbank.org/v2/country/SYR/indicator/NY.GDP.MKTP.CD?source=2&amp;date=2022&amp;format=json | https://api.imf.org/external/sdmx/3.0/data/dataflow/IMF.RES/WEO/9.0.0/ | https://datahelpdesk.worldbank.org/knowledgebase/articles/898581-api-basic-call-structures</x:v>
      </x:c>
      <x:c r="J68" s="36" t="str">
        <x:v>peer_growth_inference</x:v>
      </x:c>
    </x:row>
    <x:row r="69">
      <x:c r="A69" s="24" t="str">
        <x:v>SYR</x:v>
      </x:c>
      <x:c r="B69" s="24" t="str">
        <x:v>Syria</x:v>
      </x:c>
      <x:c r="C69" s="24" t="n">
        <x:v>2026</x:v>
      </x:c>
      <x:c r="D69" s="24" t="str">
        <x:v>SYR</x:v>
      </x:c>
      <x:c r="E69" s="24" t="str">
        <x:v>ppp_gdp</x:v>
      </x:c>
      <x:c r="F69" s="38" t="n">
        <x:v>129797540804</x:v>
      </x:c>
      <x:c r="G69" s="24" t="str">
        <x:v>international dollars after scenario scaling</x:v>
      </x:c>
      <x:c r="H69" s="36" t="str">
        <x:v>peer-growth inference from World Bank 2022; Middle East, North Africa, Afghanistan &amp; Pakistan median 0.42%/yr (19 peers, capped at ±8%)</x:v>
      </x:c>
      <x:c r="I69" s="36" t="str">
        <x:v>https://api.worldbank.org/v2/country/SYR/indicator/NY.GDP.MKTP.PP.CD?source=2&amp;date=2022&amp;format=json | https://api.imf.org/external/sdmx/3.0/data/dataflow/IMF.RES/WEO/9.0.0/ | https://datahelpdesk.worldbank.org/knowledgebase/articles/898581-api-basic-call-structures</x:v>
      </x:c>
      <x:c r="J69" s="36" t="str">
        <x:v>peer_growth_inference</x:v>
      </x:c>
    </x:row>
    <x:row r="70">
      <x:c r="A70" s="24" t="str">
        <x:v>GBR</x:v>
      </x:c>
      <x:c r="B70" s="24" t="str">
        <x:v>United Kingdom</x:v>
      </x:c>
      <x:c r="C70" s="24" t="n">
        <x:v>2003</x:v>
      </x:c>
      <x:c r="D70" s="24" t="str">
        <x:v>JEY</x:v>
      </x:c>
      <x:c r="E70" s="24" t="str">
        <x:v>population</x:v>
      </x:c>
      <x:c r="F70" s="38" t="n">
        <x:v>150960</x:v>
      </x:c>
      <x:c r="G70" s="24" t="str">
        <x:v>people</x:v>
      </x:c>
      <x:c r="H70" s="36" t="str">
        <x:v>World Bank exact 2003 (Channel Islands proxy for Jersey)</x:v>
      </x:c>
      <x:c r="I70" s="36" t="str">
        <x:v>https://api.worldbank.org/v2/country/CHI/indicator/SP.POP.TOTL?source=2&amp;date=2003&amp;format=json</x:v>
      </x:c>
      <x:c r="J70" s="36" t="str">
        <x:v>world_bank_proxy</x:v>
      </x:c>
    </x:row>
    <x:row r="71">
      <x:c r="A71" s="24" t="str">
        <x:v>GBR</x:v>
      </x:c>
      <x:c r="B71" s="24" t="str">
        <x:v>United Kingdom</x:v>
      </x:c>
      <x:c r="C71" s="24" t="n">
        <x:v>2003</x:v>
      </x:c>
      <x:c r="D71" s="24" t="str">
        <x:v>IMN</x:v>
      </x:c>
      <x:c r="E71" s="24" t="str">
        <x:v>population</x:v>
      </x:c>
      <x:c r="F71" s="38" t="n">
        <x:v>78049</x:v>
      </x:c>
      <x:c r="G71" s="24" t="str">
        <x:v>people</x:v>
      </x:c>
      <x:c r="H71" s="36" t="str">
        <x:v>World Bank exact 2003</x:v>
      </x:c>
      <x:c r="I71" s="36" t="str">
        <x:v>https://api.worldbank.org/v2/country/IMN/indicator/SP.POP.TOTL?source=2&amp;date=2003&amp;format=json</x:v>
      </x:c>
      <x:c r="J71" s="36" t="str">
        <x:v>world_bank_exact</x:v>
      </x:c>
    </x:row>
    <x:row r="72">
      <x:c r="A72" s="24" t="str">
        <x:v>GBR</x:v>
      </x:c>
      <x:c r="B72" s="24" t="str">
        <x:v>United Kingdom</x:v>
      </x:c>
      <x:c r="C72" s="24" t="n">
        <x:v>2003</x:v>
      </x:c>
      <x:c r="D72" s="24" t="str">
        <x:v>JEY</x:v>
      </x:c>
      <x:c r="E72" s="24" t="str">
        <x:v>nominal_gdp</x:v>
      </x:c>
      <x:c r="F72" s="38" t="n">
        <x:v>11658269388</x:v>
      </x:c>
      <x:c r="G72" s="24" t="str">
        <x:v>USD after scenario scaling</x:v>
      </x:c>
      <x:c r="H72" s="36" t="str">
        <x:v>World Bank exact 2003 (Channel Islands proxy for Jersey)</x:v>
      </x:c>
      <x:c r="I72" s="36" t="str">
        <x:v>https://api.worldbank.org/v2/country/CHI/indicator/NY.GDP.MKTP.CD?source=2&amp;date=2003&amp;format=json</x:v>
      </x:c>
      <x:c r="J72" s="36" t="str">
        <x:v>world_bank_proxy</x:v>
      </x:c>
    </x:row>
    <x:row r="73">
      <x:c r="A73" s="24" t="str">
        <x:v>GBR</x:v>
      </x:c>
      <x:c r="B73" s="24" t="str">
        <x:v>United Kingdom</x:v>
      </x:c>
      <x:c r="C73" s="24" t="n">
        <x:v>2003</x:v>
      </x:c>
      <x:c r="D73" s="24" t="str">
        <x:v>IMN</x:v>
      </x:c>
      <x:c r="E73" s="24" t="str">
        <x:v>nominal_gdp</x:v>
      </x:c>
      <x:c r="F73" s="38" t="n">
        <x:v>3581666449</x:v>
      </x:c>
      <x:c r="G73" s="24" t="str">
        <x:v>USD after scenario scaling</x:v>
      </x:c>
      <x:c r="H73" s="36" t="str">
        <x:v>World Bank exact 2003</x:v>
      </x:c>
      <x:c r="I73" s="36" t="str">
        <x:v>https://api.worldbank.org/v2/country/IMN/indicator/NY.GDP.MKTP.CD?source=2&amp;date=2003&amp;format=json</x:v>
      </x:c>
      <x:c r="J73" s="36" t="str">
        <x:v>world_bank_exact</x:v>
      </x:c>
    </x:row>
    <x:row r="74">
      <x:c r="A74" s="24" t="str">
        <x:v>GBR</x:v>
      </x:c>
      <x:c r="B74" s="24" t="str">
        <x:v>United Kingdom</x:v>
      </x:c>
      <x:c r="C74" s="24" t="n">
        <x:v>2003</x:v>
      </x:c>
      <x:c r="D74" s="24" t="str">
        <x:v>JEY</x:v>
      </x:c>
      <x:c r="E74" s="24" t="str">
        <x:v>ppp_gdp</x:v>
      </x:c>
      <x:c r="F74" s="38" t="n">
        <x:v>14319299376</x:v>
      </x:c>
      <x:c r="G74" s="24" t="str">
        <x:v>international dollars after scenario scaling</x:v>
      </x:c>
      <x:c r="H74" s="36" t="str">
        <x:v>PPP inferred from filled nominal GDP using Europe &amp; Central Asia; High income median PPP/nominal ratio 1.228 (35 peers)</x:v>
      </x:c>
      <x:c r="I74" s="36" t="str">
        <x:v>https://api.imf.org/external/sdmx/3.0/data/dataflow/IMF.RES/WEO/9.0.0/ | https://datahelpdesk.worldbank.org/knowledgebase/articles/898581-api-basic-call-structures</x:v>
      </x:c>
      <x:c r="J74" s="36" t="str">
        <x:v>peer_ratio_inference</x:v>
      </x:c>
    </x:row>
    <x:row r="75">
      <x:c r="A75" s="24" t="str">
        <x:v>GBR</x:v>
      </x:c>
      <x:c r="B75" s="24" t="str">
        <x:v>United Kingdom</x:v>
      </x:c>
      <x:c r="C75" s="24" t="n">
        <x:v>2003</x:v>
      </x:c>
      <x:c r="D75" s="24" t="str">
        <x:v>IMN</x:v>
      </x:c>
      <x:c r="E75" s="24" t="str">
        <x:v>ppp_gdp</x:v>
      </x:c>
      <x:c r="F75" s="38" t="n">
        <x:v>4399191033</x:v>
      </x:c>
      <x:c r="G75" s="24" t="str">
        <x:v>international dollars after scenario scaling</x:v>
      </x:c>
      <x:c r="H75" s="36" t="str">
        <x:v>PPP inferred from filled nominal GDP using Europe &amp; Central Asia; High income median PPP/nominal ratio 1.228 (35 peers)</x:v>
      </x:c>
      <x:c r="I75" s="36" t="str">
        <x:v>https://api.imf.org/external/sdmx/3.0/data/dataflow/IMF.RES/WEO/9.0.0/ | https://datahelpdesk.worldbank.org/knowledgebase/articles/898581-api-basic-call-structures</x:v>
      </x:c>
      <x:c r="J75" s="36" t="str">
        <x:v>peer_ratio_inference</x:v>
      </x:c>
    </x:row>
    <x:row r="76">
      <x:c r="A76" s="24" t="str">
        <x:v>GBR</x:v>
      </x:c>
      <x:c r="B76" s="24" t="str">
        <x:v>United Kingdom</x:v>
      </x:c>
      <x:c r="C76" s="24" t="n">
        <x:v>2022</x:v>
      </x:c>
      <x:c r="D76" s="24" t="str">
        <x:v>JEY</x:v>
      </x:c>
      <x:c r="E76" s="24" t="str">
        <x:v>population</x:v>
      </x:c>
      <x:c r="F76" s="38" t="n">
        <x:v>167215</x:v>
      </x:c>
      <x:c r="G76" s="24" t="str">
        <x:v>people</x:v>
      </x:c>
      <x:c r="H76" s="36" t="str">
        <x:v>World Bank exact 2022 (Channel Islands proxy for Jersey)</x:v>
      </x:c>
      <x:c r="I76" s="36" t="str">
        <x:v>https://api.worldbank.org/v2/country/CHI/indicator/SP.POP.TOTL?source=2&amp;date=2022&amp;format=json</x:v>
      </x:c>
      <x:c r="J76" s="36" t="str">
        <x:v>world_bank_proxy</x:v>
      </x:c>
    </x:row>
    <x:row r="77">
      <x:c r="A77" s="24" t="str">
        <x:v>GBR</x:v>
      </x:c>
      <x:c r="B77" s="24" t="str">
        <x:v>United Kingdom</x:v>
      </x:c>
      <x:c r="C77" s="24" t="n">
        <x:v>2022</x:v>
      </x:c>
      <x:c r="D77" s="24" t="str">
        <x:v>IMN</x:v>
      </x:c>
      <x:c r="E77" s="24" t="str">
        <x:v>population</x:v>
      </x:c>
      <x:c r="F77" s="38" t="n">
        <x:v>84132</x:v>
      </x:c>
      <x:c r="G77" s="24" t="str">
        <x:v>people</x:v>
      </x:c>
      <x:c r="H77" s="36" t="str">
        <x:v>World Bank exact 2022</x:v>
      </x:c>
      <x:c r="I77" s="36" t="str">
        <x:v>https://api.worldbank.org/v2/country/IMN/indicator/SP.POP.TOTL?source=2&amp;date=2022&amp;format=json</x:v>
      </x:c>
      <x:c r="J77" s="36" t="str">
        <x:v>world_bank_exact</x:v>
      </x:c>
    </x:row>
    <x:row r="78">
      <x:c r="A78" s="24" t="str">
        <x:v>GBR</x:v>
      </x:c>
      <x:c r="B78" s="24" t="str">
        <x:v>United Kingdom</x:v>
      </x:c>
      <x:c r="C78" s="24" t="n">
        <x:v>2022</x:v>
      </x:c>
      <x:c r="D78" s="24" t="str">
        <x:v>JEY</x:v>
      </x:c>
      <x:c r="E78" s="24" t="str">
        <x:v>nominal_gdp</x:v>
      </x:c>
      <x:c r="F78" s="38" t="n">
        <x:v>11308272505</x:v>
      </x:c>
      <x:c r="G78" s="24" t="str">
        <x:v>USD after scenario scaling</x:v>
      </x:c>
      <x:c r="H78" s="36" t="str">
        <x:v>World Bank exact 2022 (Channel Islands proxy for Jersey)</x:v>
      </x:c>
      <x:c r="I78" s="36" t="str">
        <x:v>https://api.worldbank.org/v2/country/CHI/indicator/NY.GDP.MKTP.CD?source=2&amp;date=2022&amp;format=json</x:v>
      </x:c>
      <x:c r="J78" s="36" t="str">
        <x:v>world_bank_proxy</x:v>
      </x:c>
    </x:row>
    <x:row r="79">
      <x:c r="A79" s="24" t="str">
        <x:v>GBR</x:v>
      </x:c>
      <x:c r="B79" s="24" t="str">
        <x:v>United Kingdom</x:v>
      </x:c>
      <x:c r="C79" s="24" t="n">
        <x:v>2022</x:v>
      </x:c>
      <x:c r="D79" s="24" t="str">
        <x:v>IMN</x:v>
      </x:c>
      <x:c r="E79" s="24" t="str">
        <x:v>nominal_gdp</x:v>
      </x:c>
      <x:c r="F79" s="38" t="n">
        <x:v>7431257411</x:v>
      </x:c>
      <x:c r="G79" s="24" t="str">
        <x:v>USD after scenario scaling</x:v>
      </x:c>
      <x:c r="H79" s="36" t="str">
        <x:v>World Bank exact 2022</x:v>
      </x:c>
      <x:c r="I79" s="36" t="str">
        <x:v>https://api.worldbank.org/v2/country/IMN/indicator/NY.GDP.MKTP.CD?source=2&amp;date=2022&amp;format=json</x:v>
      </x:c>
      <x:c r="J79" s="36" t="str">
        <x:v>world_bank_exact</x:v>
      </x:c>
    </x:row>
    <x:row r="80">
      <x:c r="A80" s="24" t="str">
        <x:v>GBR</x:v>
      </x:c>
      <x:c r="B80" s="24" t="str">
        <x:v>United Kingdom</x:v>
      </x:c>
      <x:c r="C80" s="24" t="n">
        <x:v>2022</x:v>
      </x:c>
      <x:c r="D80" s="24" t="str">
        <x:v>JEY</x:v>
      </x:c>
      <x:c r="E80" s="24" t="str">
        <x:v>ppp_gdp</x:v>
      </x:c>
      <x:c r="F80" s="38" t="n">
        <x:v>17136052759</x:v>
      </x:c>
      <x:c r="G80" s="24" t="str">
        <x:v>international dollars after scenario scaling</x:v>
      </x:c>
      <x:c r="H80" s="36" t="str">
        <x:v>PPP inferred from filled nominal GDP using Europe &amp; Central Asia; High income median PPP/nominal ratio 1.515 (36 peers)</x:v>
      </x:c>
      <x:c r="I80" s="36" t="str">
        <x:v>https://api.imf.org/external/sdmx/3.0/data/dataflow/IMF.RES/WEO/9.0.0/ | https://datahelpdesk.worldbank.org/knowledgebase/articles/898581-api-basic-call-structures</x:v>
      </x:c>
      <x:c r="J80" s="36" t="str">
        <x:v>peer_ratio_inference</x:v>
      </x:c>
    </x:row>
    <x:row r="81">
      <x:c r="A81" s="24" t="str">
        <x:v>GBR</x:v>
      </x:c>
      <x:c r="B81" s="24" t="str">
        <x:v>United Kingdom</x:v>
      </x:c>
      <x:c r="C81" s="24" t="n">
        <x:v>2022</x:v>
      </x:c>
      <x:c r="D81" s="24" t="str">
        <x:v>IMN</x:v>
      </x:c>
      <x:c r="E81" s="24" t="str">
        <x:v>ppp_gdp</x:v>
      </x:c>
      <x:c r="F81" s="38" t="n">
        <x:v>11260996673</x:v>
      </x:c>
      <x:c r="G81" s="24" t="str">
        <x:v>international dollars after scenario scaling</x:v>
      </x:c>
      <x:c r="H81" s="36" t="str">
        <x:v>PPP inferred from filled nominal GDP using Europe &amp; Central Asia; High income median PPP/nominal ratio 1.515 (36 peers)</x:v>
      </x:c>
      <x:c r="I81" s="36" t="str">
        <x:v>https://api.imf.org/external/sdmx/3.0/data/dataflow/IMF.RES/WEO/9.0.0/ | https://datahelpdesk.worldbank.org/knowledgebase/articles/898581-api-basic-call-structures</x:v>
      </x:c>
      <x:c r="J81" s="36" t="str">
        <x:v>peer_ratio_inference</x:v>
      </x:c>
    </x:row>
    <x:row r="82">
      <x:c r="A82" s="24" t="str">
        <x:v>GBR</x:v>
      </x:c>
      <x:c r="B82" s="24" t="str">
        <x:v>United Kingdom</x:v>
      </x:c>
      <x:c r="C82" s="24" t="n">
        <x:v>2026</x:v>
      </x:c>
      <x:c r="D82" s="24" t="str">
        <x:v>JEY</x:v>
      </x:c>
      <x:c r="E82" s="24" t="str">
        <x:v>population</x:v>
      </x:c>
      <x:c r="F82" s="38" t="n">
        <x:v>168807</x:v>
      </x:c>
      <x:c r="G82" s="24" t="str">
        <x:v>people</x:v>
      </x:c>
      <x:c r="H82" s="36" t="str">
        <x:v>population extrapolation from World Bank 2024-2025 CAGR (0.20%/yr, capped at ±5%)</x:v>
      </x:c>
      <x:c r="I82" s="36" t="str">
        <x:v>https://api.worldbank.org/v2/country/CHI/indicator/SP.POP.TOTL?source=2&amp;date=2024&amp;format=json | https://api.worldbank.org/v2/country/CHI/indicator/SP.POP.TOTL?source=2&amp;date=2025&amp;format=json</x:v>
      </x:c>
      <x:c r="J82" s="36" t="str">
        <x:v>population_extrapolation</x:v>
      </x:c>
    </x:row>
    <x:row r="83">
      <x:c r="A83" s="24" t="str">
        <x:v>GBR</x:v>
      </x:c>
      <x:c r="B83" s="24" t="str">
        <x:v>United Kingdom</x:v>
      </x:c>
      <x:c r="C83" s="24" t="n">
        <x:v>2026</x:v>
      </x:c>
      <x:c r="D83" s="24" t="str">
        <x:v>IMN</x:v>
      </x:c>
      <x:c r="E83" s="24" t="str">
        <x:v>population</x:v>
      </x:c>
      <x:c r="F83" s="38" t="n">
        <x:v>84076</x:v>
      </x:c>
      <x:c r="G83" s="24" t="str">
        <x:v>people</x:v>
      </x:c>
      <x:c r="H83" s="36" t="str">
        <x:v>population extrapolation from World Bank 2024-2025 CAGR (-0.05%/yr, capped at ±5%)</x:v>
      </x:c>
      <x:c r="I83" s="36" t="str">
        <x:v>https://api.worldbank.org/v2/country/IMN/indicator/SP.POP.TOTL?source=2&amp;date=2024&amp;format=json | https://api.worldbank.org/v2/country/IMN/indicator/SP.POP.TOTL?source=2&amp;date=2025&amp;format=json</x:v>
      </x:c>
      <x:c r="J83" s="36" t="str">
        <x:v>population_extrapolation</x:v>
      </x:c>
    </x:row>
    <x:row r="84">
      <x:c r="A84" s="24" t="str">
        <x:v>GBR</x:v>
      </x:c>
      <x:c r="B84" s="24" t="str">
        <x:v>United Kingdom</x:v>
      </x:c>
      <x:c r="C84" s="24" t="n">
        <x:v>2026</x:v>
      </x:c>
      <x:c r="D84" s="24" t="str">
        <x:v>JEY</x:v>
      </x:c>
      <x:c r="E84" s="24" t="str">
        <x:v>nominal_gdp</x:v>
      </x:c>
      <x:c r="F84" s="38" t="n">
        <x:v>13657139185</x:v>
      </x:c>
      <x:c r="G84" s="24" t="str">
        <x:v>USD after scenario scaling</x:v>
      </x:c>
      <x:c r="H84" s="36" t="str">
        <x:v>peer-growth inference from World Bank 2023; Europe &amp; Central Asia; High income median 4.77%/yr (34 peers, capped at ±8%)</x:v>
      </x:c>
      <x:c r="I84" s="36" t="str">
        <x:v>https://api.worldbank.org/v2/country/CHI/indicator/NY.GDP.MKTP.CD?source=2&amp;date=2023&amp;format=json | https://api.imf.org/external/sdmx/3.0/data/dataflow/IMF.RES/WEO/9.0.0/ | https://datahelpdesk.worldbank.org/knowledgebase/articles/898581-api-basic-call-structures</x:v>
      </x:c>
      <x:c r="J84" s="36" t="str">
        <x:v>peer_growth_inference</x:v>
      </x:c>
    </x:row>
    <x:row r="85">
      <x:c r="A85" s="24" t="str">
        <x:v>GBR</x:v>
      </x:c>
      <x:c r="B85" s="24" t="str">
        <x:v>United Kingdom</x:v>
      </x:c>
      <x:c r="C85" s="24" t="n">
        <x:v>2026</x:v>
      </x:c>
      <x:c r="D85" s="24" t="str">
        <x:v>IMN</x:v>
      </x:c>
      <x:c r="E85" s="24" t="str">
        <x:v>nominal_gdp</x:v>
      </x:c>
      <x:c r="F85" s="38" t="n">
        <x:v>8209252009</x:v>
      </x:c>
      <x:c r="G85" s="24" t="str">
        <x:v>USD after scenario scaling</x:v>
      </x:c>
      <x:c r="H85" s="36" t="str">
        <x:v>peer-growth inference from World Bank 2023; Europe &amp; Central Asia; High income median 4.77%/yr (34 peers, capped at ±8%)</x:v>
      </x:c>
      <x:c r="I85" s="36" t="str">
        <x:v>https://api.worldbank.org/v2/country/IMN/indicator/NY.GDP.MKTP.CD?source=2&amp;date=2023&amp;format=json | https://api.imf.org/external/sdmx/3.0/data/dataflow/IMF.RES/WEO/9.0.0/ | https://datahelpdesk.worldbank.org/knowledgebase/articles/898581-api-basic-call-structures</x:v>
      </x:c>
      <x:c r="J85" s="36" t="str">
        <x:v>peer_growth_inference</x:v>
      </x:c>
    </x:row>
    <x:row r="86">
      <x:c r="A86" s="24" t="str">
        <x:v>GBR</x:v>
      </x:c>
      <x:c r="B86" s="24" t="str">
        <x:v>United Kingdom</x:v>
      </x:c>
      <x:c r="C86" s="24" t="n">
        <x:v>2026</x:v>
      </x:c>
      <x:c r="D86" s="24" t="str">
        <x:v>JEY</x:v>
      </x:c>
      <x:c r="E86" s="24" t="str">
        <x:v>ppp_gdp</x:v>
      </x:c>
      <x:c r="F86" s="38" t="n">
        <x:v>19007321769</x:v>
      </x:c>
      <x:c r="G86" s="24" t="str">
        <x:v>international dollars after scenario scaling</x:v>
      </x:c>
      <x:c r="H86" s="36" t="str">
        <x:v>PPP inferred from filled nominal GDP using Europe &amp; Central Asia; High income median PPP/nominal ratio 1.392 (34 peers)</x:v>
      </x:c>
      <x:c r="I86" s="36" t="str">
        <x:v>https://api.imf.org/external/sdmx/3.0/data/dataflow/IMF.RES/WEO/9.0.0/ | https://datahelpdesk.worldbank.org/knowledgebase/articles/898581-api-basic-call-structures</x:v>
      </x:c>
      <x:c r="J86" s="36" t="str">
        <x:v>peer_ratio_inference</x:v>
      </x:c>
    </x:row>
    <x:row r="87">
      <x:c r="A87" s="24" t="str">
        <x:v>GBR</x:v>
      </x:c>
      <x:c r="B87" s="24" t="str">
        <x:v>United Kingdom</x:v>
      </x:c>
      <x:c r="C87" s="24" t="n">
        <x:v>2026</x:v>
      </x:c>
      <x:c r="D87" s="24" t="str">
        <x:v>IMN</x:v>
      </x:c>
      <x:c r="E87" s="24" t="str">
        <x:v>ppp_gdp</x:v>
      </x:c>
      <x:c r="F87" s="38" t="n">
        <x:v>11425225466</x:v>
      </x:c>
      <x:c r="G87" s="24" t="str">
        <x:v>international dollars after scenario scaling</x:v>
      </x:c>
      <x:c r="H87" s="36" t="str">
        <x:v>PPP inferred from filled nominal GDP using Europe &amp; Central Asia; High income median PPP/nominal ratio 1.392 (34 peers)</x:v>
      </x:c>
      <x:c r="I87" s="36" t="str">
        <x:v>https://api.imf.org/external/sdmx/3.0/data/dataflow/IMF.RES/WEO/9.0.0/ | https://datahelpdesk.worldbank.org/knowledgebase/articles/898581-api-basic-call-structures</x:v>
      </x:c>
      <x:c r="J87" s="36" t="str">
        <x:v>peer_ratio_inference</x:v>
      </x:c>
    </x:row>
    <x:row r="88">
      <x:c r="A88" s="24" t="str">
        <x:v>YEM</x:v>
      </x:c>
      <x:c r="B88" s="24" t="str">
        <x:v>Yemen</x:v>
      </x:c>
      <x:c r="C88" s="24" t="n">
        <x:v>2003</x:v>
      </x:c>
      <x:c r="D88" s="24" t="str">
        <x:v>YEM</x:v>
      </x:c>
      <x:c r="E88" s="24" t="str">
        <x:v>population</x:v>
      </x:c>
      <x:c r="F88" s="38" t="n">
        <x:v>21456379</x:v>
      </x:c>
      <x:c r="G88" s="24" t="str">
        <x:v>people</x:v>
      </x:c>
      <x:c r="H88" s="36" t="str">
        <x:v>World Bank exact 2003</x:v>
      </x:c>
      <x:c r="I88" s="36" t="str">
        <x:v>https://api.worldbank.org/v2/country/YEM/indicator/SP.POP.TOTL?source=2&amp;date=2003&amp;format=json</x:v>
      </x:c>
      <x:c r="J88" s="36" t="str">
        <x:v>world_bank_exact</x:v>
      </x:c>
    </x:row>
    <x:row r="89">
      <x:c r="A89" s="24" t="str">
        <x:v>YEM</x:v>
      </x:c>
      <x:c r="B89" s="24" t="str">
        <x:v>Yemen</x:v>
      </x:c>
      <x:c r="C89" s="24" t="n">
        <x:v>2003</x:v>
      </x:c>
      <x:c r="D89" s="24" t="str">
        <x:v>YEM</x:v>
      </x:c>
      <x:c r="E89" s="24" t="str">
        <x:v>nominal_gdp</x:v>
      </x:c>
      <x:c r="F89" s="38" t="n">
        <x:v>18726276933</x:v>
      </x:c>
      <x:c r="G89" s="24" t="str">
        <x:v>USD after scenario scaling</x:v>
      </x:c>
      <x:c r="H89" s="36" t="str">
        <x:v>World Bank exact 2003</x:v>
      </x:c>
      <x:c r="I89" s="36" t="str">
        <x:v>https://api.worldbank.org/v2/country/YEM/indicator/NY.GDP.MKTP.CD?source=2&amp;date=2003&amp;format=json</x:v>
      </x:c>
      <x:c r="J89" s="36" t="str">
        <x:v>world_bank_exact</x:v>
      </x:c>
    </x:row>
    <x:row r="90">
      <x:c r="A90" s="24" t="str">
        <x:v>YEM</x:v>
      </x:c>
      <x:c r="B90" s="24" t="str">
        <x:v>Yemen</x:v>
      </x:c>
      <x:c r="C90" s="24" t="n">
        <x:v>2003</x:v>
      </x:c>
      <x:c r="D90" s="24" t="str">
        <x:v>YEM</x:v>
      </x:c>
      <x:c r="E90" s="24" t="str">
        <x:v>ppp_gdp</x:v>
      </x:c>
      <x:c r="F90" s="38" t="n">
        <x:v>97029314942</x:v>
      </x:c>
      <x:c r="G90" s="24" t="str">
        <x:v>international dollars after scenario scaling</x:v>
      </x:c>
      <x:c r="H90" s="36" t="str">
        <x:v>World Bank exact 2003</x:v>
      </x:c>
      <x:c r="I90" s="36" t="str">
        <x:v>https://api.worldbank.org/v2/country/YEM/indicator/NY.GDP.MKTP.PP.CD?source=2&amp;date=2003&amp;format=json</x:v>
      </x:c>
      <x:c r="J90" s="36" t="str">
        <x:v>world_bank_exact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662b6f4bfaf4c4b"/>
  </x:tableParts>
</x:worksheet>
</file>