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684ea1de1b4d6b" /></Relationships>
</file>

<file path=xl/workbook.xml><?xml version="1.0" encoding="utf-8"?>
<x:workbook xmlns:x="http://schemas.openxmlformats.org/spreadsheetml/2006/main">
  <x:sheets>
    <x:sheet xmlns:r="http://schemas.openxmlformats.org/officeDocument/2006/relationships" name="Summary" sheetId="1" r:id="R0443b2be78724cc9"/>
    <x:sheet xmlns:r="http://schemas.openxmlformats.org/officeDocument/2006/relationships" name="Policy" sheetId="2" r:id="Rf1dea1c4c39d4d8e"/>
    <x:sheet xmlns:r="http://schemas.openxmlformats.org/officeDocument/2006/relationships" name="Proposal" sheetId="3" r:id="Raa5806a9c0874631"/>
    <x:sheet xmlns:r="http://schemas.openxmlformats.org/officeDocument/2006/relationships" name="Population Audit" sheetId="4" r:id="Re499d33ed23941fe"/>
    <x:sheet xmlns:r="http://schemas.openxmlformats.org/officeDocument/2006/relationships" name="Gap Log" sheetId="5" r:id="Rdd4b6216d66b41d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00"/>
    <x:numFmt numFmtId="203" formatCode="&quot;$&quot;#,##0"/>
  </x:numFmts>
  <x:fonts count="6">
    <x:font>
      <x:sz val="11"/>
      <x:name val="Carlito"/>
    </x:font>
    <x:font>
      <x:b/>
      <x:sz val="16"/>
      <x:color rgb="FFFFFFFF"/>
      <x:name val="Aptos Display"/>
    </x:font>
    <x:font>
      <x:b/>
      <x:sz val="9"/>
      <x:color rgb="FFFFFFFF"/>
      <x:name val="Aptos"/>
    </x:font>
    <x:font>
      <x:b/>
      <x:sz val="9"/>
      <x:name val="Aptos"/>
    </x:font>
    <x:font>
      <x:sz val="9"/>
      <x:name val="Aptos"/>
    </x:font>
    <x:font>
      <x:i/>
      <x:sz val="9"/>
      <x:name val="Aptos"/>
    </x:font>
  </x:fonts>
  <x:fills count="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s>
  <x:borders count="10">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right style="thin">
        <x:color rgb="FFD9E1E8"/>
      </x:right>
      <x:bottom style="thin">
        <x:color rgb="FFD9E1E8"/>
      </x:bottom>
    </x:border>
    <x:border>
      <x:left style="thin">
        <x:color rgb="FFD9E1E8"/>
      </x:left>
      <x:bottom style="thin">
        <x:color rgb="FFD9E1E8"/>
      </x:bottom>
    </x:border>
    <x:border>
      <x:right style="thin">
        <x:color rgb="FFD9E1E8"/>
      </x:right>
      <x:top style="thin">
        <x:color rgb="FFD9E1E8"/>
      </x:top>
      <x:bottom style="thin">
        <x:color rgb="FFD9E1E8"/>
      </x:bottom>
    </x:border>
    <x:border>
      <x:left style="thin">
        <x:color rgb="FFD9E1E8"/>
      </x:left>
      <x:top style="thin">
        <x:color rgb="FFD9E1E8"/>
      </x:top>
      <x:bottom style="thin">
        <x:color rgb="FFD9E1E8"/>
      </x:bottom>
    </x:border>
    <x:border>
      <x:right style="thin">
        <x:color rgb="FFD9E1E8"/>
      </x:right>
      <x:top style="thin">
        <x:color rgb="FFD9E1E8"/>
      </x:top>
    </x:border>
    <x:border>
      <x:left style="thin">
        <x:color rgb="FFD9E1E8"/>
      </x:left>
      <x:top style="thin">
        <x:color rgb="FFD9E1E8"/>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2" fillId="2" borderId="0" xfId="0" applyNumberFormat="1" applyFont="1" applyFill="1" applyBorder="1" applyAlignment="1">
      <x:alignment vertical="center"/>
    </x:xf>
    <x:xf numFmtId="0" fontId="3" fillId="4" borderId="0" xfId="0" applyNumberFormat="1" applyFont="1" applyFill="1" applyBorder="1" applyAlignment="1">
      <x:alignment vertical="top"/>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4" xfId="0" applyNumberFormat="1" applyFont="1" applyFill="1" applyBorder="1" applyAlignment="1">
      <x:alignment vertical="top"/>
    </x:xf>
    <x:xf numFmtId="0" fontId="4" fillId="0" borderId="5" xfId="0" applyNumberFormat="1" applyFont="1" applyFill="1" applyBorder="1" applyAlignment="1">
      <x:alignment vertical="top" wrapText="1"/>
    </x:xf>
    <x:xf numFmtId="0" fontId="3" fillId="4" borderId="6" xfId="0" applyNumberFormat="1" applyFont="1" applyFill="1" applyBorder="1" applyAlignment="1">
      <x:alignment vertical="top"/>
    </x:xf>
    <x:xf numFmtId="0" fontId="4" fillId="0" borderId="7" xfId="0" applyNumberFormat="1" applyFont="1" applyFill="1" applyBorder="1" applyAlignment="1">
      <x:alignment vertical="top" wrapText="1"/>
    </x:xf>
    <x:xf numFmtId="0" fontId="3" fillId="4" borderId="8" xfId="0" applyNumberFormat="1" applyFont="1" applyFill="1" applyBorder="1" applyAlignment="1">
      <x:alignment vertical="top"/>
    </x:xf>
    <x:xf numFmtId="0" fontId="4" fillId="0" borderId="9" xfId="0" applyNumberFormat="1" applyFont="1" applyFill="1" applyBorder="1" applyAlignment="1">
      <x:alignment vertical="top" wrapText="1"/>
    </x:xf>
    <x:xf numFmtId="0" fontId="5" fillId="4"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200" fontId="4" fillId="0" borderId="0" xfId="0" applyNumberFormat="1" applyFont="1" applyFill="1" applyBorder="1"/>
    <x:xf numFmtId="201" fontId="4" fillId="0" borderId="0" xfId="0" applyNumberFormat="1" applyFont="1" applyFill="1" applyBorder="1"/>
    <x:xf numFmtId="202" fontId="4" fillId="5" borderId="0" xfId="0" applyNumberFormat="1" applyFont="1" applyFill="1" applyBorder="1"/>
    <x:xf numFmtId="200" fontId="4" fillId="5" borderId="0" xfId="0" applyNumberFormat="1" applyFont="1" applyFill="1" applyBorder="1"/>
    <x:xf numFmtId="203" fontId="4" fillId="0" borderId="0" xfId="0" applyNumberFormat="1" applyFont="1" applyFill="1" applyBorder="1"/>
    <x:xf numFmtId="203" fontId="4" fillId="5" borderId="0" xfId="0" applyNumberFormat="1" applyFont="1" applyFill="1" applyBorder="1"/>
    <x:xf numFmtId="0" fontId="5" fillId="4" borderId="0" xfId="0" applyNumberFormat="1" applyFont="1" applyFill="1" applyBorder="1" applyAlignment="1">
      <x:alignment wrapText="1"/>
    </x:xf>
  </x:cellXfs>
  <x:cellStyles count="1">
    <x:cellStyle name="Normal" xfId="0"/>
  </x:cellStyles>
  <x:dxfs count="3">
    <x:dxf>
      <x:font>
        <x:color rgb="FF375623"/>
      </x:font>
      <x:fill>
        <x:patternFill patternType="solid">
          <x:bgColor rgb="FFE2F0D9"/>
        </x:patternFill>
      </x:fill>
    </x:dxf>
    <x:dxf>
      <x:font>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a4857c15c844be" /><Relationship Type="http://schemas.openxmlformats.org/officeDocument/2006/relationships/theme" Target="/xl/theme/theme1.xml" Id="Rb4272d49b33a4a57" /><Relationship Type="http://schemas.openxmlformats.org/officeDocument/2006/relationships/sharedStrings" Target="/xl/sharedStrings.xml" Id="R07f623b2a25a419b" /><Relationship Type="http://schemas.openxmlformats.org/officeDocument/2006/relationships/worksheet" Target="/xl/worksheets/sheet1.xml" Id="R0443b2be78724cc9" /><Relationship Type="http://schemas.openxmlformats.org/officeDocument/2006/relationships/worksheet" Target="/xl/worksheets/sheet2.xml" Id="Rf1dea1c4c39d4d8e" /><Relationship Type="http://schemas.openxmlformats.org/officeDocument/2006/relationships/worksheet" Target="/xl/worksheets/sheet3.xml" Id="Raa5806a9c0874631" /><Relationship Type="http://schemas.openxmlformats.org/officeDocument/2006/relationships/worksheet" Target="/xl/worksheets/sheet4.xml" Id="Re499d33ed23941fe" /><Relationship Type="http://schemas.openxmlformats.org/officeDocument/2006/relationships/worksheet" Target="/xl/worksheets/sheet5.xml" Id="Rdd4b6216d66b41de" /></Relationships>
</file>

<file path=xl/tables/table1.xml><?xml version="1.0" encoding="utf-8"?>
<x:table xmlns:x="http://schemas.openxmlformats.org/spreadsheetml/2006/main" id="1" name="CountryClampProposal" displayName="CountryClampProposal" ref="A3:AD521" headerRowCount="1" totalsRowCount="0" totalsRowShown="0">
  <x:tableColumns count="30">
    <x:tableColumn id="1" name="country id"/>
    <x:tableColumn id="2" name="country"/>
    <x:tableColumn id="3" name="game ISO components"/>
    <x:tableColumn id="4" name="reviewed population scope"/>
    <x:tableColumn id="5" name="scenario year"/>
    <x:tableColumn id="6" name="GDP scaler"/>
    <x:tableColumn id="7" name="vanilla population"/>
    <x:tableColumn id="8" name="proposed population"/>
    <x:tableColumn id="9" name="population scale"/>
    <x:tableColumn id="10" name="population delta %"/>
    <x:tableColumn id="11" name="manual review"/>
    <x:tableColumn id="12" name="geography review note"/>
    <x:tableColumn id="13" name="vanilla JSON initialGDP"/>
    <x:tableColumn id="14" name="vanilla effective GDP"/>
    <x:tableColumn id="15" name="vanilla GDP/c"/>
    <x:tableColumn id="16" name="nominal GDP/c after scenario scaler"/>
    <x:tableColumn id="17" name="PPP GDP/c after scenario scaler"/>
    <x:tableColumn id="18" name="lower bound GDP/c"/>
    <x:tableColumn id="19" name="upper bound GDP/c"/>
    <x:tableColumn id="20" name="proposed GDP/c"/>
    <x:tableColumn id="21" name="decision"/>
    <x:tableColumn id="22" name="proposed effective GDP"/>
    <x:tableColumn id="23" name="proposed JSON initialGDP"/>
    <x:tableColumn id="24" name="population method"/>
    <x:tableColumn id="25" name="nominal method"/>
    <x:tableColumn id="26" name="PPP method"/>
    <x:tableColumn id="27" name="review flag"/>
    <x:tableColumn id="28" name="UN WPP source"/>
    <x:tableColumn id="29" name="IMF source"/>
    <x:tableColumn id="30" name="World Bank source"/>
  </x:tableColumns>
  <x:tableStyleInfo name="TableStyleMedium2" showFirstColumn="0" showLastColumn="0" showRowStripes="1" showColumnStripes="0"/>
</x:table>
</file>

<file path=xl/tables/table2.xml><?xml version="1.0" encoding="utf-8"?>
<x:table xmlns:x="http://schemas.openxmlformats.org/spreadsheetml/2006/main" id="2" name="PopulationGeographyAudit" displayName="PopulationGeographyAudit" ref="A3:L70" headerRowCount="1" totalsRowCount="0" totalsRowShown="0">
  <x:tableColumns count="12">
    <x:tableColumn id="1" name="country id"/>
    <x:tableColumn id="2" name="country"/>
    <x:tableColumn id="3" name="year"/>
    <x:tableColumn id="4" name="game ISO components"/>
    <x:tableColumn id="5" name="reviewed population scope"/>
    <x:tableColumn id="6" name="vanilla population"/>
    <x:tableColumn id="7" name="proposed population"/>
    <x:tableColumn id="8" name="delta %"/>
    <x:tableColumn id="9" name="threshold review"/>
    <x:tableColumn id="10" name="review outcome"/>
    <x:tableColumn id="11" name="geography note"/>
    <x:tableColumn id="12" name="UN WPP source"/>
  </x:tableColumns>
  <x:tableStyleInfo name="TableStyleMedium2" showFirstColumn="0" showLastColumn="0" showRowStripes="1" showColumnStripes="0"/>
</x:table>
</file>

<file path=xl/tables/table3.xml><?xml version="1.0" encoding="utf-8"?>
<x:table xmlns:x="http://schemas.openxmlformats.org/spreadsheetml/2006/main" id="3" name="GapFillLog" displayName="GapFillLog" ref="A3:J274" headerRowCount="1" totalsRowCount="0" totalsRowShown="0">
  <x:tableColumns count="10">
    <x:tableColumn id="1" name="country id"/>
    <x:tableColumn id="2" name="country"/>
    <x:tableColumn id="3" name="year"/>
    <x:tableColumn id="4" name="ISO component"/>
    <x:tableColumn id="5" name="measure"/>
    <x:tableColumn id="6" name="filled value"/>
    <x:tableColumn id="7" name="units"/>
    <x:tableColumn id="8" name="method"/>
    <x:tableColumn id="9" name="source URL"/>
    <x:tableColumn id="10" name="review fl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75432b67af9471e" /></Relationships>
</file>

<file path=xl/worksheets/_rels/sheet4.xml.rels>&#65279;<?xml version="1.0" encoding="utf-8"?><Relationships xmlns="http://schemas.openxmlformats.org/package/2006/relationships"><Relationship Type="http://schemas.openxmlformats.org/officeDocument/2006/relationships/table" Target="/xl/tables/table2.xml" Id="R0cbff164ec064481" /></Relationships>
</file>

<file path=xl/worksheets/_rels/sheet5.xml.rels>&#65279;<?xml version="1.0" encoding="utf-8"?><Relationships xmlns="http://schemas.openxmlformats.org/package/2006/relationships"><Relationship Type="http://schemas.openxmlformats.org/officeDocument/2006/relationships/table" Target="/xl/tables/table3.xml" Id="R26a733145a6344d8"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0" hidden="0" customWidth="1"/>
    <x:col min="4" max="4" width="20" hidden="0" customWidth="1"/>
    <x:col min="5" max="5" width="20" hidden="0" customWidth="1"/>
    <x:col min="6" max="6" width="20" hidden="0" customWidth="1"/>
  </x:cols>
  <x:sheetData>
    <x:row r="1" ht="30" customHeight="1">
      <x:c r="A1" s="22" t="str">
        <x:v>GDP-per-capita clamp proposal — review summary</x:v>
      </x:c>
      <x:c r="B1" s="22"/>
      <x:c r="C1" s="22"/>
      <x:c r="D1" s="22"/>
      <x:c r="E1" s="22"/>
      <x:c r="F1" s="22"/>
    </x:row>
    <x:row r="3">
      <x:c r="A3" s="12" t="str">
        <x:v>Scenario year</x:v>
      </x:c>
      <x:c r="B3" s="13" t="str">
        <x:v>kept_vanilla</x:v>
      </x:c>
      <x:c r="C3" s="13" t="str">
        <x:v>clamped_to_nominal</x:v>
      </x:c>
      <x:c r="D3" s="13" t="str">
        <x:v>clamped_to_ppp</x:v>
      </x:c>
      <x:c r="E3" s="13" t="str">
        <x:v>non-primary rows</x:v>
      </x:c>
      <x:c r="F3" s="14" t="str">
        <x:v>total countries</x:v>
      </x:c>
    </x:row>
    <x:row r="4">
      <x:c r="A4" t="n">
        <x:v>2003</x:v>
      </x:c>
      <x:c r="B4" t="n">
        <x:f>COUNTIFS('Proposal'!$E$4:$E$521,$A4,'Proposal'!$U$4:$U$521,B$3)</x:f>
        <x:v>135</x:v>
      </x:c>
      <x:c r="C4" t="n">
        <x:f>COUNTIFS('Proposal'!$E$4:$E$521,$A4,'Proposal'!$U$4:$U$521,C$3)</x:f>
        <x:v>27</x:v>
      </x:c>
      <x:c r="D4" t="n">
        <x:f>COUNTIFS('Proposal'!$E$4:$E$521,$A4,'Proposal'!$U$4:$U$521,D$3)</x:f>
        <x:v>10</x:v>
      </x:c>
      <x:c r="E4" t="n">
        <x:f>COUNTIFS('Proposal'!$E$4:$E$521,$A4,'Proposal'!$AA$4:$AA$521,"&lt;&gt;complete_primary")</x:f>
        <x:v>13</x:v>
      </x:c>
      <x:c r="F4" t="n">
        <x:f>COUNTIF('Proposal'!$E$4:$E$521,$A4)</x:f>
        <x:v>172</x:v>
      </x:c>
    </x:row>
    <x:row r="5">
      <x:c r="A5" t="n">
        <x:v>2022</x:v>
      </x:c>
      <x:c r="B5" t="n">
        <x:f>COUNTIFS('Proposal'!$E$4:$E$521,$A5,'Proposal'!$U$4:$U$521,B$3)</x:f>
        <x:v>153</x:v>
      </x:c>
      <x:c r="C5" t="n">
        <x:f>COUNTIFS('Proposal'!$E$4:$E$521,$A5,'Proposal'!$U$4:$U$521,C$3)</x:f>
        <x:v>11</x:v>
      </x:c>
      <x:c r="D5" t="n">
        <x:f>COUNTIFS('Proposal'!$E$4:$E$521,$A5,'Proposal'!$U$4:$U$521,D$3)</x:f>
        <x:v>9</x:v>
      </x:c>
      <x:c r="E5" t="n">
        <x:f>COUNTIFS('Proposal'!$E$4:$E$521,$A5,'Proposal'!$AA$4:$AA$521,"&lt;&gt;complete_primary")</x:f>
        <x:v>12</x:v>
      </x:c>
      <x:c r="F5" t="n">
        <x:f>COUNTIF('Proposal'!$E$4:$E$521,$A5)</x:f>
        <x:v>173</x:v>
      </x:c>
    </x:row>
    <x:row r="6">
      <x:c r="A6" t="n">
        <x:v>2026</x:v>
      </x:c>
      <x:c r="B6" t="n">
        <x:f>COUNTIFS('Proposal'!$E$4:$E$521,$A6,'Proposal'!$U$4:$U$521,B$3)</x:f>
        <x:v>147</x:v>
      </x:c>
      <x:c r="C6" t="n">
        <x:f>COUNTIFS('Proposal'!$E$4:$E$521,$A6,'Proposal'!$U$4:$U$521,C$3)</x:f>
        <x:v>17</x:v>
      </x:c>
      <x:c r="D6" t="n">
        <x:f>COUNTIFS('Proposal'!$E$4:$E$521,$A6,'Proposal'!$U$4:$U$521,D$3)</x:f>
        <x:v>9</x:v>
      </x:c>
      <x:c r="E6" t="n">
        <x:f>COUNTIFS('Proposal'!$E$4:$E$521,$A6,'Proposal'!$AA$4:$AA$521,"&lt;&gt;complete_primary")</x:f>
        <x:v>17</x:v>
      </x:c>
      <x:c r="F6" t="n">
        <x:f>COUNTIF('Proposal'!$E$4:$E$521,$A6)</x:f>
        <x:v>173</x:v>
      </x:c>
    </x:row>
    <x:row r="9">
      <x:c r="A9" s="17" t="str">
        <x:v>Rule: preserve vanilla GDP/c when it lies between the filled nominal and PPP values; otherwise clamp it to the nearer boundary.</x:v>
      </x:c>
      <x:c r="B9" s="17"/>
      <x:c r="C9" s="17"/>
      <x:c r="D9" s="17"/>
      <x:c r="E9" s="17"/>
      <x:c r="F9" s="17"/>
    </x:row>
    <x:row r="11">
      <x:c r="A11" s="21" t="str">
        <x:v>Nominal and PPP boundaries are historical target-year values multiplied by the existing 1.59 / 1.00 / 0.87 scenario scaler. Proposed JSON initialGDP is effective GDP ÷ that same scaler, so the start multiplier performs the operational normalization.</x:v>
      </x:c>
      <x:c r="B11" s="21"/>
      <x:c r="C11" s="21"/>
      <x:c r="D11" s="21"/>
      <x:c r="E11" s="21"/>
      <x:c r="F11" s="21"/>
    </x:row>
    <x:row r="12">
      <x:c r="A12" s="21"/>
      <x:c r="B12" s="21"/>
      <x:c r="C12" s="21"/>
      <x:c r="D12" s="21"/>
      <x:c r="E12" s="21"/>
      <x:c r="F12" s="21"/>
    </x:row>
    <x:row r="13">
      <x:c r="A13" s="21"/>
      <x:c r="B13" s="21"/>
      <x:c r="C13" s="21"/>
      <x:c r="D13" s="21"/>
      <x:c r="E13" s="21"/>
      <x:c r="F13" s="21"/>
    </x:row>
  </x:sheetData>
  <x:mergeCells>
    <x:mergeCell ref="A1:F1"/>
    <x:mergeCell ref="A9:F9"/>
    <x:mergeCell ref="A11:F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s>
  <x:sheetData>
    <x:row r="1">
      <x:c r="A1" s="3" t="str">
        <x:v>Policy, sources, and gap-filling hierarchy</x:v>
      </x:c>
      <x:c r="B1" s="3"/>
      <x:c r="C1" s="3"/>
      <x:c r="D1" s="3"/>
      <x:c r="E1" s="3"/>
      <x:c r="F1" s="3"/>
      <x:c r="G1" s="3"/>
      <x:c r="H1" s="3"/>
    </x:row>
    <x:row r="3">
      <x:c r="A3" s="12" t="str">
        <x:v>Item</x:v>
      </x:c>
      <x:c r="B3" s="14" t="str">
        <x:v>Definition</x:v>
      </x:c>
    </x:row>
    <x:row r="4" ht="42" customHeight="1">
      <x:c r="A4" s="27" t="str">
        <x:v>Clamp rule</x:v>
      </x:c>
      <x:c r="B4" s="28" t="str">
        <x:v>lower = MIN(nominal GDP/c, PPP GDP/c); upper = MAX(...); proposed GDP/c = MAX(lower, MIN(vanilla GDP/c, upper)).</x:v>
      </x:c>
    </x:row>
    <x:row r="5" ht="42" customHeight="1">
      <x:c r="A5" s="29" t="str">
        <x:v>Primary source</x:v>
      </x:c>
      <x:c r="B5" s="30" t="str">
        <x:v>IMF World Economic Outlook dataflow 9.0.0: https://api.imf.org/external/sdmx/3.0/data/dataflow/IMF.RES/WEO/9.0.0/</x:v>
      </x:c>
    </x:row>
    <x:row r="6" ht="42" customHeight="1">
      <x:c r="A6" s="29" t="str">
        <x:v>Population source</x:v>
      </x:c>
      <x:c r="B6" s="30" t="str">
        <x:v>UN World Population Prospects 2024, Medium variant: https://www.un.org/development/desa/pd/world-population-prospects-2024</x:v>
      </x:c>
    </x:row>
    <x:row r="7" ht="42" customHeight="1">
      <x:c r="A7" s="29" t="str">
        <x:v>Secondary source</x:v>
      </x:c>
      <x:c r="B7" s="30" t="str">
        <x:v>World Bank World Development Indicators, last updated 2026-07-13: https://api.worldbank.org/v2/</x:v>
      </x:c>
    </x:row>
    <x:row r="8" ht="42" customHeight="1">
      <x:c r="A8" s="29" t="str">
        <x:v>World Bank indicators</x:v>
      </x:c>
      <x:c r="B8" s="30" t="str">
        <x:v>SP.POP.TOTL; NY.GDP.MKTP.CD; NY.GDP.MKTP.PP.CD.</x:v>
      </x:c>
    </x:row>
    <x:row r="9" ht="42" customHeight="1">
      <x:c r="A9" s="29" t="str">
        <x:v>Normalization basis</x:v>
      </x:c>
      <x:c r="B9" s="30" t="str">
        <x:v>Target-year nominal and PPP values are multiplied by the existing scenario-wide GDP scaler (1.59 / 1.00 / 0.87) before applying the clamp. The IMF US GDP deflator is used only to compare non-target anchor years during inference.</x:v>
      </x:c>
    </x:row>
    <x:row r="10" ht="42" customHeight="1">
      <x:c r="A10" s="29" t="str">
        <x:v>Population geography rule</x:v>
      </x:c>
      <x:c r="B10" s="30" t="str">
        <x:v>Use UN WPP country/area populations, aggregate every territory represented by a composite game region, and manually review every proposal more than ±5% from vanilla.</x:v>
      </x:c>
    </x:row>
    <x:row r="11" ht="42" customHeight="1">
      <x:c r="A11" s="29" t="str">
        <x:v>Population fallback</x:v>
      </x:c>
      <x:c r="B11" s="30" t="str">
        <x:v>UN WPP exact → IMF exact → World Bank exact → log-linear interpolation → same-country CAGR extrapolation capped at ±5%/year → vanilla only if no external series exists.</x:v>
      </x:c>
    </x:row>
    <x:row r="12" ht="42" customHeight="1">
      <x:c r="A12" s="29" t="str">
        <x:v>Somalia partition</x:v>
      </x:c>
      <x:c r="B12" s="30" t="str">
        <x:v>UN and World Bank Somalia totals include Somaliland. Allocate that common total between Somalia and Somaliland using each scenario's vanilla regional share, then partition GDP by the same share to avoid double counting.</x:v>
      </x:c>
    </x:row>
    <x:row r="13" ht="42" customHeight="1">
      <x:c r="A13" s="29" t="str">
        <x:v>GDP fallback</x:v>
      </x:c>
      <x:c r="B13" s="30" t="str">
        <x:v>IMF exact → World Bank exact → nearest country observation grown/backcast by same-region/same-income median real GDP/c growth capped at ±8%/year → peer GDP/c level.</x:v>
      </x:c>
    </x:row>
    <x:row r="14" ht="42" customHeight="1">
      <x:c r="A14" s="29" t="str">
        <x:v>PPP-only fallback</x:v>
      </x:c>
      <x:c r="B14" s="30" t="str">
        <x:v>When a country has no PPP history, filled nominal GDP is multiplied by the same-region/same-income median PPP/nominal ratio.</x:v>
      </x:c>
    </x:row>
    <x:row r="15" ht="42" customHeight="1">
      <x:c r="A15" s="29" t="str">
        <x:v>Peer group fallback</x:v>
      </x:c>
      <x:c r="B15" s="30" t="str">
        <x:v>Use region+income when at least five observations exist; otherwise region, then income, then all available countries.</x:v>
      </x:c>
    </x:row>
    <x:row r="16" ht="42" customHeight="1">
      <x:c r="A16" s="29" t="str">
        <x:v>Jersey proxy</x:v>
      </x:c>
      <x:c r="B16" s="30" t="str">
        <x:v>World Bank Channel Islands (CHI) is used for the missing JEY component; this slightly overstates Jersey because CHI also includes Guernsey, but the effect on the UK aggregate is small and is flagged.</x:v>
      </x:c>
    </x:row>
    <x:row r="17" ht="42" customHeight="1">
      <x:c r="A17" s="29" t="str">
        <x:v>Implementation meaning</x:v>
      </x:c>
      <x:c r="B17" s="30" t="str">
        <x:v>proposed_json_initial_gdp is the value suitable for nation JSON if the existing scenario multiplier is retained.</x:v>
      </x:c>
    </x:row>
    <x:row r="18" ht="42" customHeight="1">
      <x:c r="A18" s="31" t="str">
        <x:v>Scope</x:v>
      </x:c>
      <x:c r="B18" s="32" t="str">
        <x:v>Research proposal only. No gameplay JSON, region population, build, or deployment changes are included.</x:v>
      </x:c>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8" hidden="0" customWidth="1"/>
    <x:col min="4" max="4" width="34" hidden="0" customWidth="1"/>
    <x:col min="5" max="5" width="13" hidden="0" customWidth="1"/>
    <x:col min="6" max="6" width="13" hidden="0" customWidth="1"/>
    <x:col min="7" max="7" width="17" hidden="0" customWidth="1"/>
    <x:col min="8" max="8" width="17" hidden="0" customWidth="1"/>
    <x:col min="9" max="9" width="14" hidden="0" customWidth="1"/>
    <x:col min="10" max="10" width="14" hidden="0" customWidth="1"/>
    <x:col min="11" max="11" width="18" hidden="0" customWidth="1"/>
    <x:col min="12" max="12" width="65" hidden="0" customWidth="1"/>
    <x:col min="13" max="13" width="20" hidden="0" customWidth="1"/>
    <x:col min="14" max="14" width="20"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22" hidden="0" customWidth="1"/>
    <x:col min="22" max="22" width="22" hidden="0" customWidth="1"/>
    <x:col min="23" max="23" width="22" hidden="0" customWidth="1"/>
    <x:col min="24" max="24" width="48" hidden="0" customWidth="1"/>
    <x:col min="25" max="25" width="48" hidden="0" customWidth="1"/>
    <x:col min="26" max="26" width="48" hidden="0" customWidth="1"/>
    <x:col min="27" max="27" width="22" hidden="0" customWidth="1"/>
    <x:col min="28" max="28" width="46" hidden="0" customWidth="1"/>
    <x:col min="29" max="29" width="46" hidden="0" customWidth="1"/>
    <x:col min="30" max="30" width="46" hidden="0" customWidth="1"/>
  </x:cols>
  <x:sheetData>
    <x:row r="1">
      <x:c r="A1" s="3" t="str">
        <x:v>Country-year proposal — source values, clamp result, and JSON-ready GDP</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row>
    <x:row r="2">
      <x:c r="A2" s="33" t="str">
        <x:v>Blue/cream columns are sourced inputs and provenance; green columns are formula-derived policy outputs.</x:v>
      </x:c>
      <x:c r="B2" s="33"/>
      <x:c r="C2" s="33"/>
      <x:c r="D2" s="33"/>
      <x:c r="E2" s="33"/>
      <x:c r="F2" s="33"/>
      <x:c r="G2" s="33"/>
      <x:c r="H2" s="33"/>
      <x:c r="I2" s="33"/>
      <x:c r="J2" s="33"/>
      <x:c r="K2" s="33"/>
      <x:c r="L2" s="33"/>
      <x:c r="M2" s="33"/>
      <x:c r="N2" s="33"/>
      <x:c r="O2" s="33"/>
      <x:c r="P2" s="33"/>
      <x:c r="Q2" s="33"/>
      <x:c r="R2" s="33"/>
      <x:c r="S2" s="33"/>
      <x:c r="T2" s="33"/>
      <x:c r="U2" s="33"/>
      <x:c r="V2" s="33"/>
      <x:c r="W2" s="33"/>
      <x:c r="X2" s="33"/>
      <x:c r="Y2" s="33"/>
      <x:c r="Z2" s="33"/>
      <x:c r="AA2" s="33"/>
      <x:c r="AB2" s="33"/>
      <x:c r="AC2" s="33"/>
      <x:c r="AD2" s="33"/>
    </x:row>
    <x:row r="3" ht="42" customHeight="1">
      <x:c r="A3" s="12" t="str">
        <x:v>country id</x:v>
      </x:c>
      <x:c r="B3" s="13" t="str">
        <x:v>country</x:v>
      </x:c>
      <x:c r="C3" s="13" t="str">
        <x:v>game ISO components</x:v>
      </x:c>
      <x:c r="D3" s="13" t="str">
        <x:v>reviewed population scope</x:v>
      </x:c>
      <x:c r="E3" s="13" t="str">
        <x:v>scenario year</x:v>
      </x:c>
      <x:c r="F3" s="13" t="str">
        <x:v>GDP scaler</x:v>
      </x:c>
      <x:c r="G3" s="13" t="str">
        <x:v>vanilla population</x:v>
      </x:c>
      <x:c r="H3" s="13" t="str">
        <x:v>proposed population</x:v>
      </x:c>
      <x:c r="I3" s="13" t="str">
        <x:v>population scale</x:v>
      </x:c>
      <x:c r="J3" s="13" t="str">
        <x:v>population delta %</x:v>
      </x:c>
      <x:c r="K3" s="13" t="str">
        <x:v>manual review</x:v>
      </x:c>
      <x:c r="L3" s="13" t="str">
        <x:v>geography review note</x:v>
      </x:c>
      <x:c r="M3" s="13" t="str">
        <x:v>vanilla JSON initialGDP</x:v>
      </x:c>
      <x:c r="N3" s="13" t="str">
        <x:v>vanilla effective GDP</x:v>
      </x:c>
      <x:c r="O3" s="13" t="str">
        <x:v>vanilla GDP/c</x:v>
      </x:c>
      <x:c r="P3" s="13" t="str">
        <x:v>nominal GDP/c after scenario scaler</x:v>
      </x:c>
      <x:c r="Q3" s="13" t="str">
        <x:v>PPP GDP/c after scenario scaler</x:v>
      </x:c>
      <x:c r="R3" s="13" t="str">
        <x:v>lower bound GDP/c</x:v>
      </x:c>
      <x:c r="S3" s="13" t="str">
        <x:v>upper bound GDP/c</x:v>
      </x:c>
      <x:c r="T3" s="13" t="str">
        <x:v>proposed GDP/c</x:v>
      </x:c>
      <x:c r="U3" s="13" t="str">
        <x:v>decision</x:v>
      </x:c>
      <x:c r="V3" s="13" t="str">
        <x:v>proposed effective GDP</x:v>
      </x:c>
      <x:c r="W3" s="13" t="str">
        <x:v>proposed JSON initialGDP</x:v>
      </x:c>
      <x:c r="X3" s="13" t="str">
        <x:v>population method</x:v>
      </x:c>
      <x:c r="Y3" s="13" t="str">
        <x:v>nominal method</x:v>
      </x:c>
      <x:c r="Z3" s="13" t="str">
        <x:v>PPP method</x:v>
      </x:c>
      <x:c r="AA3" s="13" t="str">
        <x:v>review flag</x:v>
      </x:c>
      <x:c r="AB3" s="13" t="str">
        <x:v>UN WPP source</x:v>
      </x:c>
      <x:c r="AC3" s="13" t="str">
        <x:v>IMF source</x:v>
      </x:c>
      <x:c r="AD3" s="14" t="str">
        <x:v>World Bank source</x:v>
      </x:c>
    </x:row>
    <x:row r="4">
      <x:c r="A4" s="24" t="str">
        <x:v>AFG</x:v>
      </x:c>
      <x:c r="B4" s="24" t="str">
        <x:v>Afghanistan</x:v>
      </x:c>
      <x:c r="C4" s="24" t="str">
        <x:v>AFG</x:v>
      </x:c>
      <x:c r="D4" s="24" t="str">
        <x:v>AFG</x:v>
      </x:c>
      <x:c r="E4" s="24" t="n">
        <x:v>2003</x:v>
      </x:c>
      <x:c r="F4" s="37" t="n">
        <x:v>1.59</x:v>
      </x:c>
      <x:c r="G4" s="38" t="n">
        <x:v>22733049</x:v>
      </x:c>
      <x:c r="H4" s="38" t="n">
        <x:v>22733049</x:v>
      </x:c>
      <x:c r="I4" s="39" t="n">
        <x:f>H4/G4</x:f>
        <x:v>1</x:v>
      </x:c>
      <x:c r="J4" s="40" t="n">
        <x:f>(I4-1)*100</x:f>
        <x:v>0</x:v>
      </x:c>
      <x:c r="K4" s="36" t="str">
        <x:v>no</x:v>
      </x:c>
      <x:c r="L4" s="36" t="str">
        <x:v>Single-country territory; UN WPP and vanilla are within the ±5% review threshold.</x:v>
      </x:c>
      <x:c r="M4" s="41" t="n">
        <x:v>14740350877</x:v>
      </x:c>
      <x:c r="N4" s="41" t="n">
        <x:v>23437157894</x:v>
      </x:c>
      <x:c r="O4" s="41" t="n">
        <x:v>1031</x:v>
      </x:c>
      <x:c r="P4" s="41" t="n">
        <x:v>318</x:v>
      </x:c>
      <x:c r="Q4" s="41" t="n">
        <x:v>1763</x:v>
      </x:c>
      <x:c r="R4" s="42" t="n">
        <x:f>MIN(P4,Q4)</x:f>
        <x:v>318</x:v>
      </x:c>
      <x:c r="S4" s="42" t="n">
        <x:f>MAX(P4,Q4)</x:f>
        <x:v>1763</x:v>
      </x:c>
      <x:c r="T4" s="42" t="n">
        <x:f>MAX(R4,MIN(O4,S4))</x:f>
        <x:v>1031</x:v>
      </x:c>
      <x:c r="U4" s="19" t="str">
        <x:f>IF(O4&lt;R4,IF(R4=P4,"clamped_to_nominal","clamped_to_ppp"),IF(O4&gt;S4,IF(S4=P4,"clamped_to_nominal","clamped_to_ppp"),"kept_vanilla"))</x:f>
        <x:v>kept_vanilla</x:v>
      </x:c>
      <x:c r="V4" s="42" t="n">
        <x:f>T4*H4</x:f>
        <x:v>23437773519</x:v>
      </x:c>
      <x:c r="W4" s="42" t="n">
        <x:f>V4/F4</x:f>
        <x:v>14740738062.26415</x:v>
      </x:c>
      <x:c r="X4" s="36" t="str">
        <x:v>AFG: UN WPP 2024 Medium exact 2003</x:v>
      </x:c>
      <x:c r="Y4" s="36" t="str">
        <x:v>AFG: IMF exact 2003</x:v>
      </x:c>
      <x:c r="Z4" s="36" t="str">
        <x:v>AFG: IMF exact 2003</x:v>
      </x:c>
      <x:c r="AA4" s="36" t="str">
        <x:v>complete_primary</x:v>
      </x:c>
      <x:c r="AB4" s="36" t="str">
        <x:v>https://www.un.org/development/desa/pd/world-population-prospects-2024</x:v>
      </x:c>
      <x:c r="AC4" s="36" t="str">
        <x:v>https://api.imf.org/external/sdmx/3.0/data/dataflow/IMF.RES/WEO/9.0.0/</x:v>
      </x:c>
      <x:c r="AD4" s="36" t="str">
        <x:v>https://api.worldbank.org/v2/</x:v>
      </x:c>
    </x:row>
    <x:row r="5">
      <x:c r="A5" s="24" t="str">
        <x:v>AFG</x:v>
      </x:c>
      <x:c r="B5" s="24" t="str">
        <x:v>Afghanistan</x:v>
      </x:c>
      <x:c r="C5" s="24" t="str">
        <x:v>AFG</x:v>
      </x:c>
      <x:c r="D5" s="24" t="str">
        <x:v>AFG</x:v>
      </x:c>
      <x:c r="E5" s="24" t="n">
        <x:v>2022</x:v>
      </x:c>
      <x:c r="F5" s="37" t="n">
        <x:v>1</x:v>
      </x:c>
      <x:c r="G5" s="38" t="n">
        <x:v>41044223</x:v>
      </x:c>
      <x:c r="H5" s="38" t="n">
        <x:v>40578842</x:v>
      </x:c>
      <x:c r="I5" s="39" t="n">
        <x:f>H5/G5</x:f>
        <x:v>0.9886614737474748</x:v>
      </x:c>
      <x:c r="J5" s="40" t="n">
        <x:f>(I5-1)*100</x:f>
        <x:v>-1.1338526252525183</x:v>
      </x:c>
      <x:c r="K5" s="36" t="str">
        <x:v>no</x:v>
      </x:c>
      <x:c r="L5" s="36" t="str">
        <x:v>Single-country territory; UN WPP and vanilla are within the ±5% review threshold.</x:v>
      </x:c>
      <x:c r="M5" s="41" t="n">
        <x:v>71202560000</x:v>
      </x:c>
      <x:c r="N5" s="41" t="n">
        <x:v>71202560000</x:v>
      </x:c>
      <x:c r="O5" s="41" t="n">
        <x:v>1735</x:v>
      </x:c>
      <x:c r="P5" s="41" t="n">
        <x:v>357</x:v>
      </x:c>
      <x:c r="Q5" s="41" t="n">
        <x:v>2123</x:v>
      </x:c>
      <x:c r="R5" s="42" t="n">
        <x:f>MIN(P5,Q5)</x:f>
        <x:v>357</x:v>
      </x:c>
      <x:c r="S5" s="42" t="n">
        <x:f>MAX(P5,Q5)</x:f>
        <x:v>2123</x:v>
      </x:c>
      <x:c r="T5" s="42" t="n">
        <x:f>MAX(R5,MIN(O5,S5))</x:f>
        <x:v>1735</x:v>
      </x:c>
      <x:c r="U5" s="19" t="str">
        <x:f>IF(O5&lt;R5,IF(R5=P5,"clamped_to_nominal","clamped_to_ppp"),IF(O5&gt;S5,IF(S5=P5,"clamped_to_nominal","clamped_to_ppp"),"kept_vanilla"))</x:f>
        <x:v>kept_vanilla</x:v>
      </x:c>
      <x:c r="V5" s="42" t="n">
        <x:f>T5*H5</x:f>
        <x:v>70404290870</x:v>
      </x:c>
      <x:c r="W5" s="42" t="n">
        <x:f>V5/F5</x:f>
        <x:v>70404290870</x:v>
      </x:c>
      <x:c r="X5" s="36" t="str">
        <x:v>AFG: UN WPP 2024 Medium exact 2022</x:v>
      </x:c>
      <x:c r="Y5" s="36" t="str">
        <x:v>AFG: IMF exact 2022</x:v>
      </x:c>
      <x:c r="Z5" s="36" t="str">
        <x:v>AFG: IMF exact 2022</x:v>
      </x:c>
      <x:c r="AA5" s="36" t="str">
        <x:v>complete_primary</x:v>
      </x:c>
      <x:c r="AB5" s="36" t="str">
        <x:v>https://www.un.org/development/desa/pd/world-population-prospects-2024</x:v>
      </x:c>
      <x:c r="AC5" s="36" t="str">
        <x:v>https://api.imf.org/external/sdmx/3.0/data/dataflow/IMF.RES/WEO/9.0.0/</x:v>
      </x:c>
      <x:c r="AD5" s="36" t="str">
        <x:v>https://api.worldbank.org/v2/</x:v>
      </x:c>
    </x:row>
    <x:row r="6">
      <x:c r="A6" s="24" t="str">
        <x:v>AFG</x:v>
      </x:c>
      <x:c r="B6" s="24" t="str">
        <x:v>Afghanistan</x:v>
      </x:c>
      <x:c r="C6" s="24" t="str">
        <x:v>AFG</x:v>
      </x:c>
      <x:c r="D6" s="24" t="str">
        <x:v>AFG</x:v>
      </x:c>
      <x:c r="E6" s="24" t="n">
        <x:v>2026</x:v>
      </x:c>
      <x:c r="F6" s="37" t="n">
        <x:v>0.87</x:v>
      </x:c>
      <x:c r="G6" s="38" t="n">
        <x:v>45047069</x:v>
      </x:c>
      <x:c r="H6" s="38" t="n">
        <x:v>45047069</x:v>
      </x:c>
      <x:c r="I6" s="39" t="n">
        <x:f>H6/G6</x:f>
        <x:v>1</x:v>
      </x:c>
      <x:c r="J6" s="40" t="n">
        <x:f>(I6-1)*100</x:f>
        <x:v>0</x:v>
      </x:c>
      <x:c r="K6" s="36" t="str">
        <x:v>no</x:v>
      </x:c>
      <x:c r="L6" s="36" t="str">
        <x:v>Single-country territory; UN WPP and vanilla are within the ±5% review threshold.</x:v>
      </x:c>
      <x:c r="M6" s="41" t="n">
        <x:v>63810560000</x:v>
      </x:c>
      <x:c r="N6" s="41" t="n">
        <x:v>55515187200</x:v>
      </x:c>
      <x:c r="O6" s="41" t="n">
        <x:v>1232</x:v>
      </x:c>
      <x:c r="P6" s="41" t="n">
        <x:v>409</x:v>
      </x:c>
      <x:c r="Q6" s="41" t="n">
        <x:v>2054</x:v>
      </x:c>
      <x:c r="R6" s="42" t="n">
        <x:f>MIN(P6,Q6)</x:f>
        <x:v>409</x:v>
      </x:c>
      <x:c r="S6" s="42" t="n">
        <x:f>MAX(P6,Q6)</x:f>
        <x:v>2054</x:v>
      </x:c>
      <x:c r="T6" s="42" t="n">
        <x:f>MAX(R6,MIN(O6,S6))</x:f>
        <x:v>1232</x:v>
      </x:c>
      <x:c r="U6" s="19" t="str">
        <x:f>IF(O6&lt;R6,IF(R6=P6,"clamped_to_nominal","clamped_to_ppp"),IF(O6&gt;S6,IF(S6=P6,"clamped_to_nominal","clamped_to_ppp"),"kept_vanilla"))</x:f>
        <x:v>kept_vanilla</x:v>
      </x:c>
      <x:c r="V6" s="42" t="n">
        <x:f>T6*H6</x:f>
        <x:v>55497989008</x:v>
      </x:c>
      <x:c r="W6" s="42" t="n">
        <x:f>V6/F6</x:f>
        <x:v>63790791963.21839</x:v>
      </x:c>
      <x:c r="X6" s="36" t="str">
        <x:v>AFG: UN WPP 2024 Medium exact 2026</x:v>
      </x:c>
      <x:c r="Y6" s="36" t="str">
        <x:v>AFG: peer-growth inference from IMF 2025; Middle East, North Africa, Afghanistan &amp; Pakistan median 1.83%/yr (18 peers, capped at ±8%)</x:v>
      </x:c>
      <x:c r="Z6" s="36" t="str">
        <x:v>AFG: peer-growth inference from IMF 2025; Middle East, North Africa, Afghanistan &amp; Pakistan median -0.39%/yr (19 peers, capped at ±8%)</x:v>
      </x:c>
      <x:c r="AA6" s="36" t="str">
        <x:v>inferred</x:v>
      </x:c>
      <x:c r="AB6" s="36" t="str">
        <x:v>https://www.un.org/development/desa/pd/world-population-prospects-2024</x:v>
      </x:c>
      <x:c r="AC6" s="36" t="str">
        <x:v>https://api.imf.org/external/sdmx/3.0/data/dataflow/IMF.RES/WEO/9.0.0/</x:v>
      </x:c>
      <x:c r="AD6" s="36" t="str">
        <x:v>https://api.worldbank.org/v2/</x:v>
      </x:c>
    </x:row>
    <x:row r="7">
      <x:c r="A7" s="24" t="str">
        <x:v>SBK</x:v>
      </x:c>
      <x:c r="B7" s="24" t="str">
        <x:v>Albania</x:v>
      </x:c>
      <x:c r="C7" s="24" t="str">
        <x:v>ALB</x:v>
      </x:c>
      <x:c r="D7" s="24" t="str">
        <x:v>ALB</x:v>
      </x:c>
      <x:c r="E7" s="24" t="n">
        <x:v>2003</x:v>
      </x:c>
      <x:c r="F7" s="37" t="n">
        <x:v>1.59</x:v>
      </x:c>
      <x:c r="G7" s="38" t="n">
        <x:v>3118088</x:v>
      </x:c>
      <x:c r="H7" s="38" t="n">
        <x:v>3118088</x:v>
      </x:c>
      <x:c r="I7" s="39" t="n">
        <x:f>H7/G7</x:f>
        <x:v>1</x:v>
      </x:c>
      <x:c r="J7" s="40" t="n">
        <x:f>(I7-1)*100</x:f>
        <x:v>0</x:v>
      </x:c>
      <x:c r="K7" s="36" t="str">
        <x:v>no</x:v>
      </x:c>
      <x:c r="L7" s="36" t="str">
        <x:v>Single-country territory; UN WPP and vanilla are within the ±5% review threshold.</x:v>
      </x:c>
      <x:c r="M7" s="41" t="n">
        <x:v>9792397661</x:v>
      </x:c>
      <x:c r="N7" s="41" t="n">
        <x:v>15569912281</x:v>
      </x:c>
      <x:c r="O7" s="41" t="n">
        <x:v>4993</x:v>
      </x:c>
      <x:c r="P7" s="41" t="n">
        <x:v>2836</x:v>
      </x:c>
      <x:c r="Q7" s="41" t="n">
        <x:v>8532</x:v>
      </x:c>
      <x:c r="R7" s="42" t="n">
        <x:f>MIN(P7,Q7)</x:f>
        <x:v>2836</x:v>
      </x:c>
      <x:c r="S7" s="42" t="n">
        <x:f>MAX(P7,Q7)</x:f>
        <x:v>8532</x:v>
      </x:c>
      <x:c r="T7" s="42" t="n">
        <x:f>MAX(R7,MIN(O7,S7))</x:f>
        <x:v>4993</x:v>
      </x:c>
      <x:c r="U7" s="19" t="str">
        <x:f>IF(O7&lt;R7,IF(R7=P7,"clamped_to_nominal","clamped_to_ppp"),IF(O7&gt;S7,IF(S7=P7,"clamped_to_nominal","clamped_to_ppp"),"kept_vanilla"))</x:f>
        <x:v>kept_vanilla</x:v>
      </x:c>
      <x:c r="V7" s="42" t="n">
        <x:f>T7*H7</x:f>
        <x:v>15568613384</x:v>
      </x:c>
      <x:c r="W7" s="42" t="n">
        <x:f>V7/F7</x:f>
        <x:v>9791580744.654087</x:v>
      </x:c>
      <x:c r="X7" s="36" t="str">
        <x:v>ALB: UN WPP 2024 Medium exact 2003</x:v>
      </x:c>
      <x:c r="Y7" s="36" t="str">
        <x:v>ALB: IMF exact 2003</x:v>
      </x:c>
      <x:c r="Z7" s="36" t="str">
        <x:v>ALB: IMF exact 2003</x:v>
      </x:c>
      <x:c r="AA7" s="36" t="str">
        <x:v>complete_primary</x:v>
      </x:c>
      <x:c r="AB7" s="36" t="str">
        <x:v>https://www.un.org/development/desa/pd/world-population-prospects-2024</x:v>
      </x:c>
      <x:c r="AC7" s="36" t="str">
        <x:v>https://api.imf.org/external/sdmx/3.0/data/dataflow/IMF.RES/WEO/9.0.0/</x:v>
      </x:c>
      <x:c r="AD7" s="36" t="str">
        <x:v>https://api.worldbank.org/v2/</x:v>
      </x:c>
    </x:row>
    <x:row r="8">
      <x:c r="A8" s="24" t="str">
        <x:v>SBK</x:v>
      </x:c>
      <x:c r="B8" s="24" t="str">
        <x:v>Albania</x:v>
      </x:c>
      <x:c r="C8" s="24" t="str">
        <x:v>ALB</x:v>
      </x:c>
      <x:c r="D8" s="24" t="str">
        <x:v>ALB</x:v>
      </x:c>
      <x:c r="E8" s="24" t="n">
        <x:v>2022</x:v>
      </x:c>
      <x:c r="F8" s="37" t="n">
        <x:v>1</x:v>
      </x:c>
      <x:c r="G8" s="38" t="n">
        <x:v>2864358</x:v>
      </x:c>
      <x:c r="H8" s="38" t="n">
        <x:v>2827608</x:v>
      </x:c>
      <x:c r="I8" s="39" t="n">
        <x:f>H8/G8</x:f>
        <x:v>0.987169899851904</x:v>
      </x:c>
      <x:c r="J8" s="40" t="n">
        <x:f>(I8-1)*100</x:f>
        <x:v>-1.2830100148096046</x:v>
      </x:c>
      <x:c r="K8" s="36" t="str">
        <x:v>no</x:v>
      </x:c>
      <x:c r="L8" s="36" t="str">
        <x:v>Single-country territory; UN WPP and vanilla are within the ±5% review threshold.</x:v>
      </x:c>
      <x:c r="M8" s="41" t="n">
        <x:v>43847760000</x:v>
      </x:c>
      <x:c r="N8" s="41" t="n">
        <x:v>43847760000</x:v>
      </x:c>
      <x:c r="O8" s="41" t="n">
        <x:v>15308</x:v>
      </x:c>
      <x:c r="P8" s="41" t="n">
        <x:v>6786</x:v>
      </x:c>
      <x:c r="Q8" s="41" t="n">
        <x:v>18260</x:v>
      </x:c>
      <x:c r="R8" s="42" t="n">
        <x:f>MIN(P8,Q8)</x:f>
        <x:v>6786</x:v>
      </x:c>
      <x:c r="S8" s="42" t="n">
        <x:f>MAX(P8,Q8)</x:f>
        <x:v>18260</x:v>
      </x:c>
      <x:c r="T8" s="42" t="n">
        <x:f>MAX(R8,MIN(O8,S8))</x:f>
        <x:v>15308</x:v>
      </x:c>
      <x:c r="U8" s="19" t="str">
        <x:f>IF(O8&lt;R8,IF(R8=P8,"clamped_to_nominal","clamped_to_ppp"),IF(O8&gt;S8,IF(S8=P8,"clamped_to_nominal","clamped_to_ppp"),"kept_vanilla"))</x:f>
        <x:v>kept_vanilla</x:v>
      </x:c>
      <x:c r="V8" s="42" t="n">
        <x:f>T8*H8</x:f>
        <x:v>43285023264</x:v>
      </x:c>
      <x:c r="W8" s="42" t="n">
        <x:f>V8/F8</x:f>
        <x:v>43285023264</x:v>
      </x:c>
      <x:c r="X8" s="36" t="str">
        <x:v>ALB: UN WPP 2024 Medium exact 2022</x:v>
      </x:c>
      <x:c r="Y8" s="36" t="str">
        <x:v>ALB: IMF exact 2022</x:v>
      </x:c>
      <x:c r="Z8" s="36" t="str">
        <x:v>ALB: IMF exact 2022</x:v>
      </x:c>
      <x:c r="AA8" s="36" t="str">
        <x:v>complete_primary</x:v>
      </x:c>
      <x:c r="AB8" s="36" t="str">
        <x:v>https://www.un.org/development/desa/pd/world-population-prospects-2024</x:v>
      </x:c>
      <x:c r="AC8" s="36" t="str">
        <x:v>https://api.imf.org/external/sdmx/3.0/data/dataflow/IMF.RES/WEO/9.0.0/</x:v>
      </x:c>
      <x:c r="AD8" s="36" t="str">
        <x:v>https://api.worldbank.org/v2/</x:v>
      </x:c>
    </x:row>
    <x:row r="9">
      <x:c r="A9" s="24" t="str">
        <x:v>SBK</x:v>
      </x:c>
      <x:c r="B9" s="24" t="str">
        <x:v>Albania</x:v>
      </x:c>
      <x:c r="C9" s="24" t="str">
        <x:v>ALB</x:v>
      </x:c>
      <x:c r="D9" s="24" t="str">
        <x:v>ALB</x:v>
      </x:c>
      <x:c r="E9" s="24" t="n">
        <x:v>2026</x:v>
      </x:c>
      <x:c r="F9" s="37" t="n">
        <x:v>0.87</x:v>
      </x:c>
      <x:c r="G9" s="38" t="n">
        <x:v>2751025</x:v>
      </x:c>
      <x:c r="H9" s="38" t="n">
        <x:v>2751025</x:v>
      </x:c>
      <x:c r="I9" s="39" t="n">
        <x:f>H9/G9</x:f>
        <x:v>1</x:v>
      </x:c>
      <x:c r="J9" s="40" t="n">
        <x:f>(I9-1)*100</x:f>
        <x:v>0</x:v>
      </x:c>
      <x:c r="K9" s="36" t="str">
        <x:v>no</x:v>
      </x:c>
      <x:c r="L9" s="36" t="str">
        <x:v>Single-country territory; UN WPP and vanilla are within the ±5% review threshold.</x:v>
      </x:c>
      <x:c r="M9" s="41" t="n">
        <x:v>55510400000</x:v>
      </x:c>
      <x:c r="N9" s="41" t="n">
        <x:v>48294048000</x:v>
      </x:c>
      <x:c r="O9" s="41" t="n">
        <x:v>17555</x:v>
      </x:c>
      <x:c r="P9" s="41" t="n">
        <x:v>10542</x:v>
      </x:c>
      <x:c r="Q9" s="41" t="n">
        <x:v>21304</x:v>
      </x:c>
      <x:c r="R9" s="42" t="n">
        <x:f>MIN(P9,Q9)</x:f>
        <x:v>10542</x:v>
      </x:c>
      <x:c r="S9" s="42" t="n">
        <x:f>MAX(P9,Q9)</x:f>
        <x:v>21304</x:v>
      </x:c>
      <x:c r="T9" s="42" t="n">
        <x:f>MAX(R9,MIN(O9,S9))</x:f>
        <x:v>17555</x:v>
      </x:c>
      <x:c r="U9" s="19" t="str">
        <x:f>IF(O9&lt;R9,IF(R9=P9,"clamped_to_nominal","clamped_to_ppp"),IF(O9&gt;S9,IF(S9=P9,"clamped_to_nominal","clamped_to_ppp"),"kept_vanilla"))</x:f>
        <x:v>kept_vanilla</x:v>
      </x:c>
      <x:c r="V9" s="42" t="n">
        <x:f>T9*H9</x:f>
        <x:v>48294243875</x:v>
      </x:c>
      <x:c r="W9" s="42" t="n">
        <x:f>V9/F9</x:f>
        <x:v>55510625143.67816</x:v>
      </x:c>
      <x:c r="X9" s="36" t="str">
        <x:v>ALB: UN WPP 2024 Medium exact 2026</x:v>
      </x:c>
      <x:c r="Y9" s="36" t="str">
        <x:v>ALB: IMF exact 2026</x:v>
      </x:c>
      <x:c r="Z9" s="36" t="str">
        <x:v>ALB: IMF exact 2026</x:v>
      </x:c>
      <x:c r="AA9" s="36" t="str">
        <x:v>complete_primary</x:v>
      </x:c>
      <x:c r="AB9" s="36" t="str">
        <x:v>https://www.un.org/development/desa/pd/world-population-prospects-2024</x:v>
      </x:c>
      <x:c r="AC9" s="36" t="str">
        <x:v>https://api.imf.org/external/sdmx/3.0/data/dataflow/IMF.RES/WEO/9.0.0/</x:v>
      </x:c>
      <x:c r="AD9" s="36" t="str">
        <x:v>https://api.worldbank.org/v2/</x:v>
      </x:c>
    </x:row>
    <x:row r="10">
      <x:c r="A10" s="24" t="str">
        <x:v>DZA</x:v>
      </x:c>
      <x:c r="B10" s="24" t="str">
        <x:v>Algeria</x:v>
      </x:c>
      <x:c r="C10" s="24" t="str">
        <x:v>DZA</x:v>
      </x:c>
      <x:c r="D10" s="24" t="str">
        <x:v>DZA</x:v>
      </x:c>
      <x:c r="E10" s="24" t="n">
        <x:v>2003</x:v>
      </x:c>
      <x:c r="F10" s="37" t="n">
        <x:v>1.59</x:v>
      </x:c>
      <x:c r="G10" s="38" t="n">
        <x:v>32175818</x:v>
      </x:c>
      <x:c r="H10" s="38" t="n">
        <x:v>32175818</x:v>
      </x:c>
      <x:c r="I10" s="39" t="n">
        <x:f>H10/G10</x:f>
        <x:v>1</x:v>
      </x:c>
      <x:c r="J10" s="40" t="n">
        <x:f>(I10-1)*100</x:f>
        <x:v>0</x:v>
      </x:c>
      <x:c r="K10" s="36" t="str">
        <x:v>no</x:v>
      </x:c>
      <x:c r="L10" s="36" t="str">
        <x:v>Single-country territory; UN WPP and vanilla are within the ±5% review threshold.</x:v>
      </x:c>
      <x:c r="M10" s="41" t="n">
        <x:v>162825146199</x:v>
      </x:c>
      <x:c r="N10" s="41" t="n">
        <x:v>258891982456</x:v>
      </x:c>
      <x:c r="O10" s="41" t="n">
        <x:v>8046</x:v>
      </x:c>
      <x:c r="P10" s="41" t="n">
        <x:v>3631</x:v>
      </x:c>
      <x:c r="Q10" s="41" t="n">
        <x:v>13745</x:v>
      </x:c>
      <x:c r="R10" s="42" t="n">
        <x:f>MIN(P10,Q10)</x:f>
        <x:v>3631</x:v>
      </x:c>
      <x:c r="S10" s="42" t="n">
        <x:f>MAX(P10,Q10)</x:f>
        <x:v>13745</x:v>
      </x:c>
      <x:c r="T10" s="42" t="n">
        <x:f>MAX(R10,MIN(O10,S10))</x:f>
        <x:v>8046</x:v>
      </x:c>
      <x:c r="U10" s="19" t="str">
        <x:f>IF(O10&lt;R10,IF(R10=P10,"clamped_to_nominal","clamped_to_ppp"),IF(O10&gt;S10,IF(S10=P10,"clamped_to_nominal","clamped_to_ppp"),"kept_vanilla"))</x:f>
        <x:v>kept_vanilla</x:v>
      </x:c>
      <x:c r="V10" s="42" t="n">
        <x:f>T10*H10</x:f>
        <x:v>258886631628</x:v>
      </x:c>
      <x:c r="W10" s="42" t="n">
        <x:f>V10/F10</x:f>
        <x:v>162821780898.1132</x:v>
      </x:c>
      <x:c r="X10" s="36" t="str">
        <x:v>DZA: UN WPP 2024 Medium exact 2003</x:v>
      </x:c>
      <x:c r="Y10" s="36" t="str">
        <x:v>DZA: IMF exact 2003</x:v>
      </x:c>
      <x:c r="Z10" s="36" t="str">
        <x:v>DZA: IMF exact 2003</x:v>
      </x:c>
      <x:c r="AA10" s="36" t="str">
        <x:v>complete_primary</x:v>
      </x:c>
      <x:c r="AB10" s="36" t="str">
        <x:v>https://www.un.org/development/desa/pd/world-population-prospects-2024</x:v>
      </x:c>
      <x:c r="AC10" s="36" t="str">
        <x:v>https://api.imf.org/external/sdmx/3.0/data/dataflow/IMF.RES/WEO/9.0.0/</x:v>
      </x:c>
      <x:c r="AD10" s="36" t="str">
        <x:v>https://api.worldbank.org/v2/</x:v>
      </x:c>
    </x:row>
    <x:row r="11">
      <x:c r="A11" s="24" t="str">
        <x:v>DZA</x:v>
      </x:c>
      <x:c r="B11" s="24" t="str">
        <x:v>Algeria</x:v>
      </x:c>
      <x:c r="C11" s="24" t="str">
        <x:v>DZA</x:v>
      </x:c>
      <x:c r="D11" s="24" t="str">
        <x:v>DZA</x:v>
      </x:c>
      <x:c r="E11" s="24" t="n">
        <x:v>2022</x:v>
      </x:c>
      <x:c r="F11" s="37" t="n">
        <x:v>1</x:v>
      </x:c>
      <x:c r="G11" s="38" t="n">
        <x:v>45578284</x:v>
      </x:c>
      <x:c r="H11" s="38" t="n">
        <x:v>45477389</x:v>
      </x:c>
      <x:c r="I11" s="39" t="n">
        <x:f>H11/G11</x:f>
        <x:v>0.9977863361420101</x:v>
      </x:c>
      <x:c r="J11" s="40" t="n">
        <x:f>(I11-1)*100</x:f>
        <x:v>-0.22136638579899337</x:v>
      </x:c>
      <x:c r="K11" s="36" t="str">
        <x:v>no</x:v>
      </x:c>
      <x:c r="L11" s="36" t="str">
        <x:v>Single-country territory; UN WPP and vanilla are within the ±5% review threshold.</x:v>
      </x:c>
      <x:c r="M11" s="41" t="n">
        <x:v>515834000000</x:v>
      </x:c>
      <x:c r="N11" s="41" t="n">
        <x:v>515834000000</x:v>
      </x:c>
      <x:c r="O11" s="41" t="n">
        <x:v>11318</x:v>
      </x:c>
      <x:c r="P11" s="41" t="n">
        <x:v>4963</x:v>
      </x:c>
      <x:c r="Q11" s="41" t="n">
        <x:v>15834</x:v>
      </x:c>
      <x:c r="R11" s="42" t="n">
        <x:f>MIN(P11,Q11)</x:f>
        <x:v>4963</x:v>
      </x:c>
      <x:c r="S11" s="42" t="n">
        <x:f>MAX(P11,Q11)</x:f>
        <x:v>15834</x:v>
      </x:c>
      <x:c r="T11" s="42" t="n">
        <x:f>MAX(R11,MIN(O11,S11))</x:f>
        <x:v>11318</x:v>
      </x:c>
      <x:c r="U11" s="19" t="str">
        <x:f>IF(O11&lt;R11,IF(R11=P11,"clamped_to_nominal","clamped_to_ppp"),IF(O11&gt;S11,IF(S11=P11,"clamped_to_nominal","clamped_to_ppp"),"kept_vanilla"))</x:f>
        <x:v>kept_vanilla</x:v>
      </x:c>
      <x:c r="V11" s="42" t="n">
        <x:f>T11*H11</x:f>
        <x:v>514713088702</x:v>
      </x:c>
      <x:c r="W11" s="42" t="n">
        <x:f>V11/F11</x:f>
        <x:v>514713088702</x:v>
      </x:c>
      <x:c r="X11" s="36" t="str">
        <x:v>DZA: UN WPP 2024 Medium exact 2022</x:v>
      </x:c>
      <x:c r="Y11" s="36" t="str">
        <x:v>DZA: IMF exact 2022</x:v>
      </x:c>
      <x:c r="Z11" s="36" t="str">
        <x:v>DZA: IMF exact 2022</x:v>
      </x:c>
      <x:c r="AA11" s="36" t="str">
        <x:v>complete_primary</x:v>
      </x:c>
      <x:c r="AB11" s="36" t="str">
        <x:v>https://www.un.org/development/desa/pd/world-population-prospects-2024</x:v>
      </x:c>
      <x:c r="AC11" s="36" t="str">
        <x:v>https://api.imf.org/external/sdmx/3.0/data/dataflow/IMF.RES/WEO/9.0.0/</x:v>
      </x:c>
      <x:c r="AD11" s="36" t="str">
        <x:v>https://api.worldbank.org/v2/</x:v>
      </x:c>
    </x:row>
    <x:row r="12">
      <x:c r="A12" s="24" t="str">
        <x:v>DZA</x:v>
      </x:c>
      <x:c r="B12" s="24" t="str">
        <x:v>Algeria</x:v>
      </x:c>
      <x:c r="C12" s="24" t="str">
        <x:v>DZA</x:v>
      </x:c>
      <x:c r="D12" s="24" t="str">
        <x:v>DZA</x:v>
      </x:c>
      <x:c r="E12" s="24" t="n">
        <x:v>2026</x:v>
      </x:c>
      <x:c r="F12" s="37" t="n">
        <x:v>0.87</x:v>
      </x:c>
      <x:c r="G12" s="38" t="n">
        <x:v>48028334</x:v>
      </x:c>
      <x:c r="H12" s="38" t="n">
        <x:v>48028334</x:v>
      </x:c>
      <x:c r="I12" s="39" t="n">
        <x:f>H12/G12</x:f>
        <x:v>1</x:v>
      </x:c>
      <x:c r="J12" s="40" t="n">
        <x:f>(I12-1)*100</x:f>
        <x:v>0</x:v>
      </x:c>
      <x:c r="K12" s="36" t="str">
        <x:v>no</x:v>
      </x:c>
      <x:c r="L12" s="36" t="str">
        <x:v>Single-country territory; UN WPP and vanilla are within the ±5% review threshold.</x:v>
      </x:c>
      <x:c r="M12" s="41" t="n">
        <x:v>770293920000</x:v>
      </x:c>
      <x:c r="N12" s="41" t="n">
        <x:v>670155710400</x:v>
      </x:c>
      <x:c r="O12" s="41" t="n">
        <x:v>13953</x:v>
      </x:c>
      <x:c r="P12" s="41" t="n">
        <x:v>5745</x:v>
      </x:c>
      <x:c r="Q12" s="41" t="n">
        <x:v>17055</x:v>
      </x:c>
      <x:c r="R12" s="42" t="n">
        <x:f>MIN(P12,Q12)</x:f>
        <x:v>5745</x:v>
      </x:c>
      <x:c r="S12" s="42" t="n">
        <x:f>MAX(P12,Q12)</x:f>
        <x:v>17055</x:v>
      </x:c>
      <x:c r="T12" s="42" t="n">
        <x:f>MAX(R12,MIN(O12,S12))</x:f>
        <x:v>13953</x:v>
      </x:c>
      <x:c r="U12" s="19" t="str">
        <x:f>IF(O12&lt;R12,IF(R12=P12,"clamped_to_nominal","clamped_to_ppp"),IF(O12&gt;S12,IF(S12=P12,"clamped_to_nominal","clamped_to_ppp"),"kept_vanilla"))</x:f>
        <x:v>kept_vanilla</x:v>
      </x:c>
      <x:c r="V12" s="42" t="n">
        <x:f>T12*H12</x:f>
        <x:v>670139344302</x:v>
      </x:c>
      <x:c r="W12" s="42" t="n">
        <x:f>V12/F12</x:f>
        <x:v>770275108393.1034</x:v>
      </x:c>
      <x:c r="X12" s="36" t="str">
        <x:v>DZA: UN WPP 2024 Medium exact 2026</x:v>
      </x:c>
      <x:c r="Y12" s="36" t="str">
        <x:v>DZA: IMF exact 2026</x:v>
      </x:c>
      <x:c r="Z12" s="36" t="str">
        <x:v>DZA: IMF exact 2026</x:v>
      </x:c>
      <x:c r="AA12" s="36" t="str">
        <x:v>complete_primary</x:v>
      </x:c>
      <x:c r="AB12" s="36" t="str">
        <x:v>https://www.un.org/development/desa/pd/world-population-prospects-2024</x:v>
      </x:c>
      <x:c r="AC12" s="36" t="str">
        <x:v>https://api.imf.org/external/sdmx/3.0/data/dataflow/IMF.RES/WEO/9.0.0/</x:v>
      </x:c>
      <x:c r="AD12" s="36" t="str">
        <x:v>https://api.worldbank.org/v2/</x:v>
      </x:c>
    </x:row>
    <x:row r="13">
      <x:c r="A13" s="24" t="str">
        <x:v>AGO</x:v>
      </x:c>
      <x:c r="B13" s="24" t="str">
        <x:v>Angola</x:v>
      </x:c>
      <x:c r="C13" s="24" t="str">
        <x:v>AGO</x:v>
      </x:c>
      <x:c r="D13" s="24" t="str">
        <x:v>AGO</x:v>
      </x:c>
      <x:c r="E13" s="24" t="n">
        <x:v>2003</x:v>
      </x:c>
      <x:c r="F13" s="37" t="n">
        <x:v>1.59</x:v>
      </x:c>
      <x:c r="G13" s="38" t="n">
        <x:v>17943712</x:v>
      </x:c>
      <x:c r="H13" s="38" t="n">
        <x:v>17943712</x:v>
      </x:c>
      <x:c r="I13" s="39" t="n">
        <x:f>H13/G13</x:f>
        <x:v>1</x:v>
      </x:c>
      <x:c r="J13" s="40" t="n">
        <x:f>(I13-1)*100</x:f>
        <x:v>0</x:v>
      </x:c>
      <x:c r="K13" s="36" t="str">
        <x:v>no</x:v>
      </x:c>
      <x:c r="L13" s="36" t="str">
        <x:v>Single-country territory; UN WPP and vanilla are within the ±5% review threshold.</x:v>
      </x:c>
      <x:c r="M13" s="41" t="n">
        <x:v>46713450292</x:v>
      </x:c>
      <x:c r="N13" s="41" t="n">
        <x:v>74274385964</x:v>
      </x:c>
      <x:c r="O13" s="41" t="n">
        <x:v>4139</x:v>
      </x:c>
      <x:c r="P13" s="41" t="n">
        <x:v>1803</x:v>
      </x:c>
      <x:c r="Q13" s="41" t="n">
        <x:v>7183</x:v>
      </x:c>
      <x:c r="R13" s="42" t="n">
        <x:f>MIN(P13,Q13)</x:f>
        <x:v>1803</x:v>
      </x:c>
      <x:c r="S13" s="42" t="n">
        <x:f>MAX(P13,Q13)</x:f>
        <x:v>7183</x:v>
      </x:c>
      <x:c r="T13" s="42" t="n">
        <x:f>MAX(R13,MIN(O13,S13))</x:f>
        <x:v>4139</x:v>
      </x:c>
      <x:c r="U13" s="19" t="str">
        <x:f>IF(O13&lt;R13,IF(R13=P13,"clamped_to_nominal","clamped_to_ppp"),IF(O13&gt;S13,IF(S13=P13,"clamped_to_nominal","clamped_to_ppp"),"kept_vanilla"))</x:f>
        <x:v>kept_vanilla</x:v>
      </x:c>
      <x:c r="V13" s="42" t="n">
        <x:f>T13*H13</x:f>
        <x:v>74269023968</x:v>
      </x:c>
      <x:c r="W13" s="42" t="n">
        <x:f>V13/F13</x:f>
        <x:v>46710077967.29559</x:v>
      </x:c>
      <x:c r="X13" s="36" t="str">
        <x:v>AGO: UN WPP 2024 Medium exact 2003</x:v>
      </x:c>
      <x:c r="Y13" s="36" t="str">
        <x:v>AGO: IMF exact 2003</x:v>
      </x:c>
      <x:c r="Z13" s="36" t="str">
        <x:v>AGO: IMF exact 2003</x:v>
      </x:c>
      <x:c r="AA13" s="36" t="str">
        <x:v>complete_primary</x:v>
      </x:c>
      <x:c r="AB13" s="36" t="str">
        <x:v>https://www.un.org/development/desa/pd/world-population-prospects-2024</x:v>
      </x:c>
      <x:c r="AC13" s="36" t="str">
        <x:v>https://api.imf.org/external/sdmx/3.0/data/dataflow/IMF.RES/WEO/9.0.0/</x:v>
      </x:c>
      <x:c r="AD13" s="36" t="str">
        <x:v>https://api.worldbank.org/v2/</x:v>
      </x:c>
    </x:row>
    <x:row r="14">
      <x:c r="A14" s="24" t="str">
        <x:v>AGO</x:v>
      </x:c>
      <x:c r="B14" s="24" t="str">
        <x:v>Angola</x:v>
      </x:c>
      <x:c r="C14" s="24" t="str">
        <x:v>AGO</x:v>
      </x:c>
      <x:c r="D14" s="24" t="str">
        <x:v>AGO</x:v>
      </x:c>
      <x:c r="E14" s="24" t="n">
        <x:v>2022</x:v>
      </x:c>
      <x:c r="F14" s="37" t="n">
        <x:v>1</x:v>
      </x:c>
      <x:c r="G14" s="38" t="n">
        <x:v>35373918</x:v>
      </x:c>
      <x:c r="H14" s="38" t="n">
        <x:v>35635029</x:v>
      </x:c>
      <x:c r="I14" s="39" t="n">
        <x:f>H14/G14</x:f>
        <x:v>1.0073814554554008</x:v>
      </x:c>
      <x:c r="J14" s="40" t="n">
        <x:f>(I14-1)*100</x:f>
        <x:v>0.7381455455400809</x:v>
      </x:c>
      <x:c r="K14" s="36" t="str">
        <x:v>no</x:v>
      </x:c>
      <x:c r="L14" s="36" t="str">
        <x:v>Single-country territory; UN WPP and vanilla are within the ±5% review threshold.</x:v>
      </x:c>
      <x:c r="M14" s="41" t="n">
        <x:v>213211680000</x:v>
      </x:c>
      <x:c r="N14" s="41" t="n">
        <x:v>213211680000</x:v>
      </x:c>
      <x:c r="O14" s="41" t="n">
        <x:v>6027</x:v>
      </x:c>
      <x:c r="P14" s="41" t="n">
        <x:v>3905</x:v>
      </x:c>
      <x:c r="Q14" s="41" t="n">
        <x:v>9433</x:v>
      </x:c>
      <x:c r="R14" s="42" t="n">
        <x:f>MIN(P14,Q14)</x:f>
        <x:v>3905</x:v>
      </x:c>
      <x:c r="S14" s="42" t="n">
        <x:f>MAX(P14,Q14)</x:f>
        <x:v>9433</x:v>
      </x:c>
      <x:c r="T14" s="42" t="n">
        <x:f>MAX(R14,MIN(O14,S14))</x:f>
        <x:v>6027</x:v>
      </x:c>
      <x:c r="U14" s="19" t="str">
        <x:f>IF(O14&lt;R14,IF(R14=P14,"clamped_to_nominal","clamped_to_ppp"),IF(O14&gt;S14,IF(S14=P14,"clamped_to_nominal","clamped_to_ppp"),"kept_vanilla"))</x:f>
        <x:v>kept_vanilla</x:v>
      </x:c>
      <x:c r="V14" s="42" t="n">
        <x:f>T14*H14</x:f>
        <x:v>214772319783</x:v>
      </x:c>
      <x:c r="W14" s="42" t="n">
        <x:f>V14/F14</x:f>
        <x:v>214772319783</x:v>
      </x:c>
      <x:c r="X14" s="36" t="str">
        <x:v>AGO: UN WPP 2024 Medium exact 2022</x:v>
      </x:c>
      <x:c r="Y14" s="36" t="str">
        <x:v>AGO: IMF exact 2022</x:v>
      </x:c>
      <x:c r="Z14" s="36" t="str">
        <x:v>AGO: IMF exact 2022</x:v>
      </x:c>
      <x:c r="AA14" s="36" t="str">
        <x:v>complete_primary</x:v>
      </x:c>
      <x:c r="AB14" s="36" t="str">
        <x:v>https://www.un.org/development/desa/pd/world-population-prospects-2024</x:v>
      </x:c>
      <x:c r="AC14" s="36" t="str">
        <x:v>https://api.imf.org/external/sdmx/3.0/data/dataflow/IMF.RES/WEO/9.0.0/</x:v>
      </x:c>
      <x:c r="AD14" s="36" t="str">
        <x:v>https://api.worldbank.org/v2/</x:v>
      </x:c>
    </x:row>
    <x:row r="15">
      <x:c r="A15" s="24" t="str">
        <x:v>AGO</x:v>
      </x:c>
      <x:c r="B15" s="24" t="str">
        <x:v>Angola</x:v>
      </x:c>
      <x:c r="C15" s="24" t="str">
        <x:v>AGO</x:v>
      </x:c>
      <x:c r="D15" s="24" t="str">
        <x:v>AGO</x:v>
      </x:c>
      <x:c r="E15" s="24" t="n">
        <x:v>2026</x:v>
      </x:c>
      <x:c r="F15" s="37" t="n">
        <x:v>0.87</x:v>
      </x:c>
      <x:c r="G15" s="38" t="n">
        <x:v>40215180</x:v>
      </x:c>
      <x:c r="H15" s="38" t="n">
        <x:v>40215179</x:v>
      </x:c>
      <x:c r="I15" s="39" t="n">
        <x:f>H15/G15</x:f>
        <x:v>0.9999999751337679</x:v>
      </x:c>
      <x:c r="J15" s="40" t="n">
        <x:f>(I15-1)*100</x:f>
        <x:v>-0.0000024866232073428307</x:v>
      </x:c>
      <x:c r="K15" s="36" t="str">
        <x:v>no</x:v>
      </x:c>
      <x:c r="L15" s="36" t="str">
        <x:v>Single-country territory; UN WPP and vanilla are within the ±5% review threshold.</x:v>
      </x:c>
      <x:c r="M15" s="41" t="n">
        <x:v>353896400000</x:v>
      </x:c>
      <x:c r="N15" s="41" t="n">
        <x:v>307889868000</x:v>
      </x:c>
      <x:c r="O15" s="41" t="n">
        <x:v>7656</x:v>
      </x:c>
      <x:c r="P15" s="41" t="n">
        <x:v>3296</x:v>
      </x:c>
      <x:c r="Q15" s="41" t="n">
        <x:v>9172</x:v>
      </x:c>
      <x:c r="R15" s="42" t="n">
        <x:f>MIN(P15,Q15)</x:f>
        <x:v>3296</x:v>
      </x:c>
      <x:c r="S15" s="42" t="n">
        <x:f>MAX(P15,Q15)</x:f>
        <x:v>9172</x:v>
      </x:c>
      <x:c r="T15" s="42" t="n">
        <x:f>MAX(R15,MIN(O15,S15))</x:f>
        <x:v>7656</x:v>
      </x:c>
      <x:c r="U15" s="19" t="str">
        <x:f>IF(O15&lt;R15,IF(R15=P15,"clamped_to_nominal","clamped_to_ppp"),IF(O15&gt;S15,IF(S15=P15,"clamped_to_nominal","clamped_to_ppp"),"kept_vanilla"))</x:f>
        <x:v>kept_vanilla</x:v>
      </x:c>
      <x:c r="V15" s="42" t="n">
        <x:f>T15*H15</x:f>
        <x:v>307887410424</x:v>
      </x:c>
      <x:c r="W15" s="42" t="n">
        <x:f>V15/F15</x:f>
        <x:v>353893575200</x:v>
      </x:c>
      <x:c r="X15" s="36" t="str">
        <x:v>AGO: UN WPP 2024 Medium exact 2026</x:v>
      </x:c>
      <x:c r="Y15" s="36" t="str">
        <x:v>AGO: IMF exact 2026</x:v>
      </x:c>
      <x:c r="Z15" s="36" t="str">
        <x:v>AGO: IMF exact 2026</x:v>
      </x:c>
      <x:c r="AA15" s="36" t="str">
        <x:v>complete_primary</x:v>
      </x:c>
      <x:c r="AB15" s="36" t="str">
        <x:v>https://www.un.org/development/desa/pd/world-population-prospects-2024</x:v>
      </x:c>
      <x:c r="AC15" s="36" t="str">
        <x:v>https://api.imf.org/external/sdmx/3.0/data/dataflow/IMF.RES/WEO/9.0.0/</x:v>
      </x:c>
      <x:c r="AD15" s="36" t="str">
        <x:v>https://api.worldbank.org/v2/</x:v>
      </x:c>
    </x:row>
    <x:row r="16">
      <x:c r="A16" s="24" t="str">
        <x:v>ARG</x:v>
      </x:c>
      <x:c r="B16" s="24" t="str">
        <x:v>Argentina</x:v>
      </x:c>
      <x:c r="C16" s="24" t="str">
        <x:v>ARG</x:v>
      </x:c>
      <x:c r="D16" s="24" t="str">
        <x:v>ARG</x:v>
      </x:c>
      <x:c r="E16" s="24" t="n">
        <x:v>2003</x:v>
      </x:c>
      <x:c r="F16" s="37" t="n">
        <x:v>1.59</x:v>
      </x:c>
      <x:c r="G16" s="38" t="n">
        <x:v>38424280</x:v>
      </x:c>
      <x:c r="H16" s="38" t="n">
        <x:v>38424282</x:v>
      </x:c>
      <x:c r="I16" s="39" t="n">
        <x:f>H16/G16</x:f>
        <x:v>1.0000000520504222</x:v>
      </x:c>
      <x:c r="J16" s="40" t="n">
        <x:f>(I16-1)*100</x:f>
        <x:v>0.000005205042219458278</x:v>
      </x:c>
      <x:c r="K16" s="36" t="str">
        <x:v>no</x:v>
      </x:c>
      <x:c r="L16" s="36" t="str">
        <x:v>Single-country territory; UN WPP and vanilla are within the ±5% review threshold.</x:v>
      </x:c>
      <x:c r="M16" s="41" t="n">
        <x:v>285999415205</x:v>
      </x:c>
      <x:c r="N16" s="41" t="n">
        <x:v>454739070176</x:v>
      </x:c>
      <x:c r="O16" s="41" t="n">
        <x:v>11835</x:v>
      </x:c>
      <x:c r="P16" s="41" t="n">
        <x:v>5894</x:v>
      </x:c>
      <x:c r="Q16" s="41" t="n">
        <x:v>20237</x:v>
      </x:c>
      <x:c r="R16" s="42" t="n">
        <x:f>MIN(P16,Q16)</x:f>
        <x:v>5894</x:v>
      </x:c>
      <x:c r="S16" s="42" t="n">
        <x:f>MAX(P16,Q16)</x:f>
        <x:v>20237</x:v>
      </x:c>
      <x:c r="T16" s="42" t="n">
        <x:f>MAX(R16,MIN(O16,S16))</x:f>
        <x:v>11835</x:v>
      </x:c>
      <x:c r="U16" s="19" t="str">
        <x:f>IF(O16&lt;R16,IF(R16=P16,"clamped_to_nominal","clamped_to_ppp"),IF(O16&gt;S16,IF(S16=P16,"clamped_to_nominal","clamped_to_ppp"),"kept_vanilla"))</x:f>
        <x:v>kept_vanilla</x:v>
      </x:c>
      <x:c r="V16" s="42" t="n">
        <x:f>T16*H16</x:f>
        <x:v>454751377470</x:v>
      </x:c>
      <x:c r="W16" s="42" t="n">
        <x:f>V16/F16</x:f>
        <x:v>286007155641.5094</x:v>
      </x:c>
      <x:c r="X16" s="36" t="str">
        <x:v>ARG: UN WPP 2024 Medium exact 2003</x:v>
      </x:c>
      <x:c r="Y16" s="36" t="str">
        <x:v>ARG: IMF exact 2003</x:v>
      </x:c>
      <x:c r="Z16" s="36" t="str">
        <x:v>ARG: IMF exact 2003</x:v>
      </x:c>
      <x:c r="AA16" s="36" t="str">
        <x:v>complete_primary</x:v>
      </x:c>
      <x:c r="AB16" s="36" t="str">
        <x:v>https://www.un.org/development/desa/pd/world-population-prospects-2024</x:v>
      </x:c>
      <x:c r="AC16" s="36" t="str">
        <x:v>https://api.imf.org/external/sdmx/3.0/data/dataflow/IMF.RES/WEO/9.0.0/</x:v>
      </x:c>
      <x:c r="AD16" s="36" t="str">
        <x:v>https://api.worldbank.org/v2/</x:v>
      </x:c>
    </x:row>
    <x:row r="17">
      <x:c r="A17" s="24" t="str">
        <x:v>ARG</x:v>
      </x:c>
      <x:c r="B17" s="24" t="str">
        <x:v>Argentina</x:v>
      </x:c>
      <x:c r="C17" s="24" t="str">
        <x:v>ARG</x:v>
      </x:c>
      <x:c r="D17" s="24" t="str">
        <x:v>ARG</x:v>
      </x:c>
      <x:c r="E17" s="24" t="n">
        <x:v>2022</x:v>
      </x:c>
      <x:c r="F17" s="37" t="n">
        <x:v>1</x:v>
      </x:c>
      <x:c r="G17" s="38" t="n">
        <x:v>46135796</x:v>
      </x:c>
      <x:c r="H17" s="38" t="n">
        <x:v>45407904</x:v>
      </x:c>
      <x:c r="I17" s="39" t="n">
        <x:f>H17/G17</x:f>
        <x:v>0.984222836428356</x:v>
      </x:c>
      <x:c r="J17" s="40" t="n">
        <x:f>(I17-1)*100</x:f>
        <x:v>-1.5777163571644048</x:v>
      </x:c>
      <x:c r="K17" s="36" t="str">
        <x:v>no</x:v>
      </x:c>
      <x:c r="L17" s="36" t="str">
        <x:v>Single-country territory; UN WPP and vanilla are within the ±5% review threshold.</x:v>
      </x:c>
      <x:c r="M17" s="41" t="n">
        <x:v>1052111280000</x:v>
      </x:c>
      <x:c r="N17" s="41" t="n">
        <x:v>1052111280000</x:v>
      </x:c>
      <x:c r="O17" s="41" t="n">
        <x:v>22805</x:v>
      </x:c>
      <x:c r="P17" s="41" t="n">
        <x:v>13952</x:v>
      </x:c>
      <x:c r="Q17" s="41" t="n">
        <x:v>29804</x:v>
      </x:c>
      <x:c r="R17" s="42" t="n">
        <x:f>MIN(P17,Q17)</x:f>
        <x:v>13952</x:v>
      </x:c>
      <x:c r="S17" s="42" t="n">
        <x:f>MAX(P17,Q17)</x:f>
        <x:v>29804</x:v>
      </x:c>
      <x:c r="T17" s="42" t="n">
        <x:f>MAX(R17,MIN(O17,S17))</x:f>
        <x:v>22805</x:v>
      </x:c>
      <x:c r="U17" s="19" t="str">
        <x:f>IF(O17&lt;R17,IF(R17=P17,"clamped_to_nominal","clamped_to_ppp"),IF(O17&gt;S17,IF(S17=P17,"clamped_to_nominal","clamped_to_ppp"),"kept_vanilla"))</x:f>
        <x:v>kept_vanilla</x:v>
      </x:c>
      <x:c r="V17" s="42" t="n">
        <x:f>T17*H17</x:f>
        <x:v>1035527250720</x:v>
      </x:c>
      <x:c r="W17" s="42" t="n">
        <x:f>V17/F17</x:f>
        <x:v>1035527250720</x:v>
      </x:c>
      <x:c r="X17" s="36" t="str">
        <x:v>ARG: UN WPP 2024 Medium exact 2022</x:v>
      </x:c>
      <x:c r="Y17" s="36" t="str">
        <x:v>ARG: IMF exact 2022</x:v>
      </x:c>
      <x:c r="Z17" s="36" t="str">
        <x:v>ARG: IMF exact 2022</x:v>
      </x:c>
      <x:c r="AA17" s="36" t="str">
        <x:v>complete_primary</x:v>
      </x:c>
      <x:c r="AB17" s="36" t="str">
        <x:v>https://www.un.org/development/desa/pd/world-population-prospects-2024</x:v>
      </x:c>
      <x:c r="AC17" s="36" t="str">
        <x:v>https://api.imf.org/external/sdmx/3.0/data/dataflow/IMF.RES/WEO/9.0.0/</x:v>
      </x:c>
      <x:c r="AD17" s="36" t="str">
        <x:v>https://api.worldbank.org/v2/</x:v>
      </x:c>
    </x:row>
    <x:row r="18">
      <x:c r="A18" s="24" t="str">
        <x:v>ARG</x:v>
      </x:c>
      <x:c r="B18" s="24" t="str">
        <x:v>Argentina</x:v>
      </x:c>
      <x:c r="C18" s="24" t="str">
        <x:v>ARG</x:v>
      </x:c>
      <x:c r="D18" s="24" t="str">
        <x:v>ARG</x:v>
      </x:c>
      <x:c r="E18" s="24" t="n">
        <x:v>2026</x:v>
      </x:c>
      <x:c r="F18" s="37" t="n">
        <x:v>0.87</x:v>
      </x:c>
      <x:c r="G18" s="38" t="n">
        <x:v>46003732</x:v>
      </x:c>
      <x:c r="H18" s="38" t="n">
        <x:v>46003734</x:v>
      </x:c>
      <x:c r="I18" s="39" t="n">
        <x:f>H18/G18</x:f>
        <x:v>1.0000000434747338</x:v>
      </x:c>
      <x:c r="J18" s="40" t="n">
        <x:f>(I18-1)*100</x:f>
        <x:v>0.0000043474733812942645</x:v>
      </x:c>
      <x:c r="K18" s="36" t="str">
        <x:v>no</x:v>
      </x:c>
      <x:c r="L18" s="36" t="str">
        <x:v>Single-country territory; UN WPP and vanilla are within the ±5% review threshold.</x:v>
      </x:c>
      <x:c r="M18" s="41" t="n">
        <x:v>1311344320000</x:v>
      </x:c>
      <x:c r="N18" s="41" t="n">
        <x:v>1140869558400</x:v>
      </x:c>
      <x:c r="O18" s="41" t="n">
        <x:v>24800</x:v>
      </x:c>
      <x:c r="P18" s="41" t="n">
        <x:v>13018</x:v>
      </x:c>
      <x:c r="Q18" s="41" t="n">
        <x:v>30094</x:v>
      </x:c>
      <x:c r="R18" s="42" t="n">
        <x:f>MIN(P18,Q18)</x:f>
        <x:v>13018</x:v>
      </x:c>
      <x:c r="S18" s="42" t="n">
        <x:f>MAX(P18,Q18)</x:f>
        <x:v>30094</x:v>
      </x:c>
      <x:c r="T18" s="42" t="n">
        <x:f>MAX(R18,MIN(O18,S18))</x:f>
        <x:v>24800</x:v>
      </x:c>
      <x:c r="U18" s="19" t="str">
        <x:f>IF(O18&lt;R18,IF(R18=P18,"clamped_to_nominal","clamped_to_ppp"),IF(O18&gt;S18,IF(S18=P18,"clamped_to_nominal","clamped_to_ppp"),"kept_vanilla"))</x:f>
        <x:v>kept_vanilla</x:v>
      </x:c>
      <x:c r="V18" s="42" t="n">
        <x:f>T18*H18</x:f>
        <x:v>1140892603200</x:v>
      </x:c>
      <x:c r="W18" s="42" t="n">
        <x:f>V18/F18</x:f>
        <x:v>1311370808275.862</x:v>
      </x:c>
      <x:c r="X18" s="36" t="str">
        <x:v>ARG: UN WPP 2024 Medium exact 2026</x:v>
      </x:c>
      <x:c r="Y18" s="36" t="str">
        <x:v>ARG: IMF exact 2026</x:v>
      </x:c>
      <x:c r="Z18" s="36" t="str">
        <x:v>ARG: IMF exact 2026</x:v>
      </x:c>
      <x:c r="AA18" s="36" t="str">
        <x:v>complete_primary</x:v>
      </x:c>
      <x:c r="AB18" s="36" t="str">
        <x:v>https://www.un.org/development/desa/pd/world-population-prospects-2024</x:v>
      </x:c>
      <x:c r="AC18" s="36" t="str">
        <x:v>https://api.imf.org/external/sdmx/3.0/data/dataflow/IMF.RES/WEO/9.0.0/</x:v>
      </x:c>
      <x:c r="AD18" s="36" t="str">
        <x:v>https://api.worldbank.org/v2/</x:v>
      </x:c>
    </x:row>
    <x:row r="19">
      <x:c r="A19" s="24" t="str">
        <x:v>ARM</x:v>
      </x:c>
      <x:c r="B19" s="24" t="str">
        <x:v>Armenia</x:v>
      </x:c>
      <x:c r="C19" s="24" t="str">
        <x:v>ARM</x:v>
      </x:c>
      <x:c r="D19" s="24" t="str">
        <x:v>ARM</x:v>
      </x:c>
      <x:c r="E19" s="24" t="n">
        <x:v>2003</x:v>
      </x:c>
      <x:c r="F19" s="37" t="n">
        <x:v>1.59</x:v>
      </x:c>
      <x:c r="G19" s="38" t="n">
        <x:v>3038968</x:v>
      </x:c>
      <x:c r="H19" s="38" t="n">
        <x:v>3038968</x:v>
      </x:c>
      <x:c r="I19" s="39" t="n">
        <x:f>H19/G19</x:f>
        <x:v>1</x:v>
      </x:c>
      <x:c r="J19" s="40" t="n">
        <x:f>(I19-1)*100</x:f>
        <x:v>0</x:v>
      </x:c>
      <x:c r="K19" s="36" t="str">
        <x:v>no</x:v>
      </x:c>
      <x:c r="L19" s="36" t="str">
        <x:v>Single-country territory; UN WPP and vanilla are within the ±5% review threshold.</x:v>
      </x:c>
      <x:c r="M19" s="41" t="n">
        <x:v>7950877193</x:v>
      </x:c>
      <x:c r="N19" s="41" t="n">
        <x:v>12641894737</x:v>
      </x:c>
      <x:c r="O19" s="41" t="n">
        <x:v>4160</x:v>
      </x:c>
      <x:c r="P19" s="41" t="n">
        <x:v>1469</x:v>
      </x:c>
      <x:c r="Q19" s="41" t="n">
        <x:v>7140</x:v>
      </x:c>
      <x:c r="R19" s="42" t="n">
        <x:f>MIN(P19,Q19)</x:f>
        <x:v>1469</x:v>
      </x:c>
      <x:c r="S19" s="42" t="n">
        <x:f>MAX(P19,Q19)</x:f>
        <x:v>7140</x:v>
      </x:c>
      <x:c r="T19" s="42" t="n">
        <x:f>MAX(R19,MIN(O19,S19))</x:f>
        <x:v>4160</x:v>
      </x:c>
      <x:c r="U19" s="19" t="str">
        <x:f>IF(O19&lt;R19,IF(R19=P19,"clamped_to_nominal","clamped_to_ppp"),IF(O19&gt;S19,IF(S19=P19,"clamped_to_nominal","clamped_to_ppp"),"kept_vanilla"))</x:f>
        <x:v>kept_vanilla</x:v>
      </x:c>
      <x:c r="V19" s="42" t="n">
        <x:f>T19*H19</x:f>
        <x:v>12642106880</x:v>
      </x:c>
      <x:c r="W19" s="42" t="n">
        <x:f>V19/F19</x:f>
        <x:v>7951010616.3522005</x:v>
      </x:c>
      <x:c r="X19" s="36" t="str">
        <x:v>ARM: UN WPP 2024 Medium exact 2003</x:v>
      </x:c>
      <x:c r="Y19" s="36" t="str">
        <x:v>ARM: IMF exact 2003</x:v>
      </x:c>
      <x:c r="Z19" s="36" t="str">
        <x:v>ARM: IMF exact 2003</x:v>
      </x:c>
      <x:c r="AA19" s="36" t="str">
        <x:v>complete_primary</x:v>
      </x:c>
      <x:c r="AB19" s="36" t="str">
        <x:v>https://www.un.org/development/desa/pd/world-population-prospects-2024</x:v>
      </x:c>
      <x:c r="AC19" s="36" t="str">
        <x:v>https://api.imf.org/external/sdmx/3.0/data/dataflow/IMF.RES/WEO/9.0.0/</x:v>
      </x:c>
      <x:c r="AD19" s="36" t="str">
        <x:v>https://api.worldbank.org/v2/</x:v>
      </x:c>
    </x:row>
    <x:row r="20">
      <x:c r="A20" s="24" t="str">
        <x:v>ARM</x:v>
      </x:c>
      <x:c r="B20" s="24" t="str">
        <x:v>Armenia</x:v>
      </x:c>
      <x:c r="C20" s="24" t="str">
        <x:v>ARM</x:v>
      </x:c>
      <x:c r="D20" s="24" t="str">
        <x:v>ARM</x:v>
      </x:c>
      <x:c r="E20" s="24" t="n">
        <x:v>2022</x:v>
      </x:c>
      <x:c r="F20" s="37" t="n">
        <x:v>1</x:v>
      </x:c>
      <x:c r="G20" s="38" t="n">
        <x:v>2973185</x:v>
      </x:c>
      <x:c r="H20" s="38" t="n">
        <x:v>2880874</x:v>
      </x:c>
      <x:c r="I20" s="39" t="n">
        <x:f>H20/G20</x:f>
        <x:v>0.9689521506398021</x:v>
      </x:c>
      <x:c r="J20" s="40" t="n">
        <x:f>(I20-1)*100</x:f>
        <x:v>-3.1047849360197888</x:v>
      </x:c>
      <x:c r="K20" s="36" t="str">
        <x:v>no</x:v>
      </x:c>
      <x:c r="L20" s="36" t="str">
        <x:v>Single-country territory; UN WPP and vanilla are within the ±5% review threshold.</x:v>
      </x:c>
      <x:c r="M20" s="41" t="n">
        <x:v>41240320000</x:v>
      </x:c>
      <x:c r="N20" s="41" t="n">
        <x:v>41240320000</x:v>
      </x:c>
      <x:c r="O20" s="41" t="n">
        <x:v>13871</x:v>
      </x:c>
      <x:c r="P20" s="41" t="n">
        <x:v>6774</x:v>
      </x:c>
      <x:c r="Q20" s="41" t="n">
        <x:v>19740</x:v>
      </x:c>
      <x:c r="R20" s="42" t="n">
        <x:f>MIN(P20,Q20)</x:f>
        <x:v>6774</x:v>
      </x:c>
      <x:c r="S20" s="42" t="n">
        <x:f>MAX(P20,Q20)</x:f>
        <x:v>19740</x:v>
      </x:c>
      <x:c r="T20" s="42" t="n">
        <x:f>MAX(R20,MIN(O20,S20))</x:f>
        <x:v>13871</x:v>
      </x:c>
      <x:c r="U20" s="19" t="str">
        <x:f>IF(O20&lt;R20,IF(R20=P20,"clamped_to_nominal","clamped_to_ppp"),IF(O20&gt;S20,IF(S20=P20,"clamped_to_nominal","clamped_to_ppp"),"kept_vanilla"))</x:f>
        <x:v>kept_vanilla</x:v>
      </x:c>
      <x:c r="V20" s="42" t="n">
        <x:f>T20*H20</x:f>
        <x:v>39960603254</x:v>
      </x:c>
      <x:c r="W20" s="42" t="n">
        <x:f>V20/F20</x:f>
        <x:v>39960603254</x:v>
      </x:c>
      <x:c r="X20" s="36" t="str">
        <x:v>ARM: UN WPP 2024 Medium exact 2022</x:v>
      </x:c>
      <x:c r="Y20" s="36" t="str">
        <x:v>ARM: IMF exact 2022</x:v>
      </x:c>
      <x:c r="Z20" s="36" t="str">
        <x:v>ARM: IMF exact 2022</x:v>
      </x:c>
      <x:c r="AA20" s="36" t="str">
        <x:v>complete_primary</x:v>
      </x:c>
      <x:c r="AB20" s="36" t="str">
        <x:v>https://www.un.org/development/desa/pd/world-population-prospects-2024</x:v>
      </x:c>
      <x:c r="AC20" s="36" t="str">
        <x:v>https://api.imf.org/external/sdmx/3.0/data/dataflow/IMF.RES/WEO/9.0.0/</x:v>
      </x:c>
      <x:c r="AD20" s="36" t="str">
        <x:v>https://api.worldbank.org/v2/</x:v>
      </x:c>
    </x:row>
    <x:row r="21">
      <x:c r="A21" s="24" t="str">
        <x:v>ARM</x:v>
      </x:c>
      <x:c r="B21" s="24" t="str">
        <x:v>Armenia</x:v>
      </x:c>
      <x:c r="C21" s="24" t="str">
        <x:v>ARM</x:v>
      </x:c>
      <x:c r="D21" s="24" t="str">
        <x:v>ARM</x:v>
      </x:c>
      <x:c r="E21" s="24" t="n">
        <x:v>2026</x:v>
      </x:c>
      <x:c r="F21" s="37" t="n">
        <x:v>0.87</x:v>
      </x:c>
      <x:c r="G21" s="38" t="n">
        <x:v>2930915</x:v>
      </x:c>
      <x:c r="H21" s="38" t="n">
        <x:v>2930915</x:v>
      </x:c>
      <x:c r="I21" s="39" t="n">
        <x:f>H21/G21</x:f>
        <x:v>1</x:v>
      </x:c>
      <x:c r="J21" s="40" t="n">
        <x:f>(I21-1)*100</x:f>
        <x:v>0</x:v>
      </x:c>
      <x:c r="K21" s="36" t="str">
        <x:v>no</x:v>
      </x:c>
      <x:c r="L21" s="36" t="str">
        <x:v>Single-country territory; UN WPP and vanilla are within the ±5% review threshold.</x:v>
      </x:c>
      <x:c r="M21" s="41" t="n">
        <x:v>65378720000</x:v>
      </x:c>
      <x:c r="N21" s="41" t="n">
        <x:v>56879486400</x:v>
      </x:c>
      <x:c r="O21" s="41" t="n">
        <x:v>19407</x:v>
      </x:c>
      <x:c r="P21" s="41" t="n">
        <x:v>9461</x:v>
      </x:c>
      <x:c r="Q21" s="41" t="n">
        <x:v>24561</x:v>
      </x:c>
      <x:c r="R21" s="42" t="n">
        <x:f>MIN(P21,Q21)</x:f>
        <x:v>9461</x:v>
      </x:c>
      <x:c r="S21" s="42" t="n">
        <x:f>MAX(P21,Q21)</x:f>
        <x:v>24561</x:v>
      </x:c>
      <x:c r="T21" s="42" t="n">
        <x:f>MAX(R21,MIN(O21,S21))</x:f>
        <x:v>19407</x:v>
      </x:c>
      <x:c r="U21" s="19" t="str">
        <x:f>IF(O21&lt;R21,IF(R21=P21,"clamped_to_nominal","clamped_to_ppp"),IF(O21&gt;S21,IF(S21=P21,"clamped_to_nominal","clamped_to_ppp"),"kept_vanilla"))</x:f>
        <x:v>kept_vanilla</x:v>
      </x:c>
      <x:c r="V21" s="42" t="n">
        <x:f>T21*H21</x:f>
        <x:v>56880267405</x:v>
      </x:c>
      <x:c r="W21" s="42" t="n">
        <x:f>V21/F21</x:f>
        <x:v>65379617706.89655</x:v>
      </x:c>
      <x:c r="X21" s="36" t="str">
        <x:v>ARM: UN WPP 2024 Medium exact 2026</x:v>
      </x:c>
      <x:c r="Y21" s="36" t="str">
        <x:v>ARM: IMF exact 2026</x:v>
      </x:c>
      <x:c r="Z21" s="36" t="str">
        <x:v>ARM: IMF exact 2026</x:v>
      </x:c>
      <x:c r="AA21" s="36" t="str">
        <x:v>complete_primary</x:v>
      </x:c>
      <x:c r="AB21" s="36" t="str">
        <x:v>https://www.un.org/development/desa/pd/world-population-prospects-2024</x:v>
      </x:c>
      <x:c r="AC21" s="36" t="str">
        <x:v>https://api.imf.org/external/sdmx/3.0/data/dataflow/IMF.RES/WEO/9.0.0/</x:v>
      </x:c>
      <x:c r="AD21" s="36" t="str">
        <x:v>https://api.worldbank.org/v2/</x:v>
      </x:c>
    </x:row>
    <x:row r="22">
      <x:c r="A22" s="24" t="str">
        <x:v>AUS</x:v>
      </x:c>
      <x:c r="B22" s="24" t="str">
        <x:v>Australia</x:v>
      </x:c>
      <x:c r="C22" s="24" t="str">
        <x:v>AUS</x:v>
      </x:c>
      <x:c r="D22" s="24" t="str">
        <x:v>AUS</x:v>
      </x:c>
      <x:c r="E22" s="24" t="n">
        <x:v>2003</x:v>
      </x:c>
      <x:c r="F22" s="37" t="n">
        <x:v>1.59</x:v>
      </x:c>
      <x:c r="G22" s="38" t="n">
        <x:v>19819451</x:v>
      </x:c>
      <x:c r="H22" s="38" t="n">
        <x:v>19819454</x:v>
      </x:c>
      <x:c r="I22" s="39" t="n">
        <x:f>H22/G22</x:f>
        <x:v>1.0000001513664531</x:v>
      </x:c>
      <x:c r="J22" s="40" t="n">
        <x:f>(I22-1)*100</x:f>
        <x:v>0.000015136645314939301</x:v>
      </x:c>
      <x:c r="K22" s="36" t="str">
        <x:v>no</x:v>
      </x:c>
      <x:c r="L22" s="36" t="str">
        <x:v>Single-country territory; UN WPP and vanilla are within the ±5% review threshold.</x:v>
      </x:c>
      <x:c r="M22" s="41" t="n">
        <x:v>370715789474</x:v>
      </x:c>
      <x:c r="N22" s="41" t="n">
        <x:v>589438105264</x:v>
      </x:c>
      <x:c r="O22" s="41" t="n">
        <x:v>29740</x:v>
      </x:c>
      <x:c r="P22" s="41" t="n">
        <x:v>43483</x:v>
      </x:c>
      <x:c r="Q22" s="41" t="n">
        <x:v>50953</x:v>
      </x:c>
      <x:c r="R22" s="42" t="n">
        <x:f>MIN(P22,Q22)</x:f>
        <x:v>43483</x:v>
      </x:c>
      <x:c r="S22" s="42" t="n">
        <x:f>MAX(P22,Q22)</x:f>
        <x:v>50953</x:v>
      </x:c>
      <x:c r="T22" s="42" t="n">
        <x:f>MAX(R22,MIN(O22,S22))</x:f>
        <x:v>43483</x:v>
      </x:c>
      <x:c r="U22" s="19" t="str">
        <x:f>IF(O22&lt;R22,IF(R22=P22,"clamped_to_nominal","clamped_to_ppp"),IF(O22&gt;S22,IF(S22=P22,"clamped_to_nominal","clamped_to_ppp"),"kept_vanilla"))</x:f>
        <x:v>clamped_to_nominal</x:v>
      </x:c>
      <x:c r="V22" s="42" t="n">
        <x:f>T22*H22</x:f>
        <x:v>861809318282</x:v>
      </x:c>
      <x:c r="W22" s="42" t="n">
        <x:f>V22/F22</x:f>
        <x:v>542018439171.06915</x:v>
      </x:c>
      <x:c r="X22" s="36" t="str">
        <x:v>AUS: UN WPP 2024 Medium exact 2003</x:v>
      </x:c>
      <x:c r="Y22" s="36" t="str">
        <x:v>AUS: IMF exact 2003</x:v>
      </x:c>
      <x:c r="Z22" s="36" t="str">
        <x:v>AUS: IMF exact 2003</x:v>
      </x:c>
      <x:c r="AA22" s="36" t="str">
        <x:v>complete_primary</x:v>
      </x:c>
      <x:c r="AB22" s="36" t="str">
        <x:v>https://www.un.org/development/desa/pd/world-population-prospects-2024</x:v>
      </x:c>
      <x:c r="AC22" s="36" t="str">
        <x:v>https://api.imf.org/external/sdmx/3.0/data/dataflow/IMF.RES/WEO/9.0.0/</x:v>
      </x:c>
      <x:c r="AD22" s="36" t="str">
        <x:v>https://api.worldbank.org/v2/</x:v>
      </x:c>
    </x:row>
    <x:row r="23">
      <x:c r="A23" s="24" t="str">
        <x:v>AUS</x:v>
      </x:c>
      <x:c r="B23" s="24" t="str">
        <x:v>Australia</x:v>
      </x:c>
      <x:c r="C23" s="24" t="str">
        <x:v>AUS</x:v>
      </x:c>
      <x:c r="D23" s="24" t="str">
        <x:v>AUS</x:v>
      </x:c>
      <x:c r="E23" s="24" t="n">
        <x:v>2022</x:v>
      </x:c>
      <x:c r="F23" s="37" t="n">
        <x:v>1</x:v>
      </x:c>
      <x:c r="G23" s="38" t="n">
        <x:v>26155303</x:v>
      </x:c>
      <x:c r="H23" s="38" t="n">
        <x:v>26200984</x:v>
      </x:c>
      <x:c r="I23" s="39" t="n">
        <x:f>H23/G23</x:f>
        <x:v>1.001746529183776</x:v>
      </x:c>
      <x:c r="J23" s="40" t="n">
        <x:f>(I23-1)*100</x:f>
        <x:v>0.17465291837759356</x:v>
      </x:c>
      <x:c r="K23" s="36" t="str">
        <x:v>no</x:v>
      </x:c>
      <x:c r="L23" s="36" t="str">
        <x:v>Single-country territory; UN WPP and vanilla are within the ±5% review threshold.</x:v>
      </x:c>
      <x:c r="M23" s="41" t="n">
        <x:v>1412572480000</x:v>
      </x:c>
      <x:c r="N23" s="41" t="n">
        <x:v>1412572480000</x:v>
      </x:c>
      <x:c r="O23" s="41" t="n">
        <x:v>54007</x:v>
      </x:c>
      <x:c r="P23" s="41" t="n">
        <x:v>66075</x:v>
      </x:c>
      <x:c r="Q23" s="41" t="n">
        <x:v>66405</x:v>
      </x:c>
      <x:c r="R23" s="42" t="n">
        <x:f>MIN(P23,Q23)</x:f>
        <x:v>66075</x:v>
      </x:c>
      <x:c r="S23" s="42" t="n">
        <x:f>MAX(P23,Q23)</x:f>
        <x:v>66405</x:v>
      </x:c>
      <x:c r="T23" s="42" t="n">
        <x:f>MAX(R23,MIN(O23,S23))</x:f>
        <x:v>66075</x:v>
      </x:c>
      <x:c r="U23" s="19" t="str">
        <x:f>IF(O23&lt;R23,IF(R23=P23,"clamped_to_nominal","clamped_to_ppp"),IF(O23&gt;S23,IF(S23=P23,"clamped_to_nominal","clamped_to_ppp"),"kept_vanilla"))</x:f>
        <x:v>clamped_to_nominal</x:v>
      </x:c>
      <x:c r="V23" s="42" t="n">
        <x:f>T23*H23</x:f>
        <x:v>1731230017800</x:v>
      </x:c>
      <x:c r="W23" s="42" t="n">
        <x:f>V23/F23</x:f>
        <x:v>1731230017800</x:v>
      </x:c>
      <x:c r="X23" s="36" t="str">
        <x:v>AUS: UN WPP 2024 Medium exact 2022</x:v>
      </x:c>
      <x:c r="Y23" s="36" t="str">
        <x:v>AUS: IMF exact 2022</x:v>
      </x:c>
      <x:c r="Z23" s="36" t="str">
        <x:v>AUS: IMF exact 2022</x:v>
      </x:c>
      <x:c r="AA23" s="36" t="str">
        <x:v>complete_primary</x:v>
      </x:c>
      <x:c r="AB23" s="36" t="str">
        <x:v>https://www.un.org/development/desa/pd/world-population-prospects-2024</x:v>
      </x:c>
      <x:c r="AC23" s="36" t="str">
        <x:v>https://api.imf.org/external/sdmx/3.0/data/dataflow/IMF.RES/WEO/9.0.0/</x:v>
      </x:c>
      <x:c r="AD23" s="36" t="str">
        <x:v>https://api.worldbank.org/v2/</x:v>
      </x:c>
    </x:row>
    <x:row r="24">
      <x:c r="A24" s="24" t="str">
        <x:v>AUS</x:v>
      </x:c>
      <x:c r="B24" s="24" t="str">
        <x:v>Australia</x:v>
      </x:c>
      <x:c r="C24" s="24" t="str">
        <x:v>AUS</x:v>
      </x:c>
      <x:c r="D24" s="24" t="str">
        <x:v>AUS</x:v>
      </x:c>
      <x:c r="E24" s="24" t="n">
        <x:v>2026</x:v>
      </x:c>
      <x:c r="F24" s="37" t="n">
        <x:v>0.87</x:v>
      </x:c>
      <x:c r="G24" s="38" t="n">
        <x:v>27227093</x:v>
      </x:c>
      <x:c r="H24" s="38" t="n">
        <x:v>27227096</x:v>
      </x:c>
      <x:c r="I24" s="39" t="n">
        <x:f>H24/G24</x:f>
        <x:v>1.0000001101843667</x:v>
      </x:c>
      <x:c r="J24" s="40" t="n">
        <x:f>(I24-1)*100</x:f>
        <x:v>0.000011018436674170573</x:v>
      </x:c>
      <x:c r="K24" s="36" t="str">
        <x:v>no</x:v>
      </x:c>
      <x:c r="L24" s="36" t="str">
        <x:v>Single-country territory; UN WPP and vanilla are within the ±5% review threshold.</x:v>
      </x:c>
      <x:c r="M24" s="41" t="n">
        <x:v>1743871360000</x:v>
      </x:c>
      <x:c r="N24" s="41" t="n">
        <x:v>1517168083200</x:v>
      </x:c>
      <x:c r="O24" s="41" t="n">
        <x:v>55723</x:v>
      </x:c>
      <x:c r="P24" s="41" t="n">
        <x:v>67868</x:v>
      </x:c>
      <x:c r="Q24" s="41" t="n">
        <x:v>67067</x:v>
      </x:c>
      <x:c r="R24" s="42" t="n">
        <x:f>MIN(P24,Q24)</x:f>
        <x:v>67067</x:v>
      </x:c>
      <x:c r="S24" s="42" t="n">
        <x:f>MAX(P24,Q24)</x:f>
        <x:v>67868</x:v>
      </x:c>
      <x:c r="T24" s="42" t="n">
        <x:f>MAX(R24,MIN(O24,S24))</x:f>
        <x:v>67067</x:v>
      </x:c>
      <x:c r="U24" s="19" t="str">
        <x:f>IF(O24&lt;R24,IF(R24=P24,"clamped_to_nominal","clamped_to_ppp"),IF(O24&gt;S24,IF(S24=P24,"clamped_to_nominal","clamped_to_ppp"),"kept_vanilla"))</x:f>
        <x:v>clamped_to_ppp</x:v>
      </x:c>
      <x:c r="V24" s="42" t="n">
        <x:f>T24*H24</x:f>
        <x:v>1826039647432</x:v>
      </x:c>
      <x:c r="W24" s="42" t="n">
        <x:f>V24/F24</x:f>
        <x:v>2098896146473.5632</x:v>
      </x:c>
      <x:c r="X24" s="36" t="str">
        <x:v>AUS: UN WPP 2024 Medium exact 2026</x:v>
      </x:c>
      <x:c r="Y24" s="36" t="str">
        <x:v>AUS: IMF exact 2026</x:v>
      </x:c>
      <x:c r="Z24" s="36" t="str">
        <x:v>AUS: IMF exact 2026</x:v>
      </x:c>
      <x:c r="AA24" s="36" t="str">
        <x:v>complete_primary</x:v>
      </x:c>
      <x:c r="AB24" s="36" t="str">
        <x:v>https://www.un.org/development/desa/pd/world-population-prospects-2024</x:v>
      </x:c>
      <x:c r="AC24" s="36" t="str">
        <x:v>https://api.imf.org/external/sdmx/3.0/data/dataflow/IMF.RES/WEO/9.0.0/</x:v>
      </x:c>
      <x:c r="AD24" s="36" t="str">
        <x:v>https://api.worldbank.org/v2/</x:v>
      </x:c>
    </x:row>
    <x:row r="25">
      <x:c r="A25" s="24" t="str">
        <x:v>ALP</x:v>
      </x:c>
      <x:c r="B25" s="24" t="str">
        <x:v>Austria</x:v>
      </x:c>
      <x:c r="C25" s="24" t="str">
        <x:v>AUT+LIE</x:v>
      </x:c>
      <x:c r="D25" s="24" t="str">
        <x:v>AUT+LIE</x:v>
      </x:c>
      <x:c r="E25" s="24" t="n">
        <x:v>2003</x:v>
      </x:c>
      <x:c r="F25" s="37" t="n">
        <x:v>1.59</x:v>
      </x:c>
      <x:c r="G25" s="38" t="n">
        <x:v>8122602</x:v>
      </x:c>
      <x:c r="H25" s="38" t="n">
        <x:v>8156662</x:v>
      </x:c>
      <x:c r="I25" s="39" t="n">
        <x:f>H25/G25</x:f>
        <x:v>1.00419323758569</x:v>
      </x:c>
      <x:c r="J25" s="40" t="n">
        <x:f>(I25-1)*100</x:f>
        <x:v>0.4193237585689902</x:v>
      </x:c>
      <x:c r="K25" s="36" t="str">
        <x:v>no</x:v>
      </x:c>
      <x:c r="L25" s="36" t="str">
        <x:v>Aggregated all explicit game ISO components; reviewed as a composite game country rather than comparing it with only the first sovereign state.</x:v>
      </x:c>
      <x:c r="M25" s="41" t="n">
        <x:v>174208771930</x:v>
      </x:c>
      <x:c r="N25" s="41" t="n">
        <x:v>276991947369</x:v>
      </x:c>
      <x:c r="O25" s="41" t="n">
        <x:v>34101</x:v>
      </x:c>
      <x:c r="P25" s="41" t="n">
        <x:v>51472</x:v>
      </x:c>
      <x:c r="Q25" s="41" t="n">
        <x:v>58275</x:v>
      </x:c>
      <x:c r="R25" s="42" t="n">
        <x:f>MIN(P25,Q25)</x:f>
        <x:v>51472</x:v>
      </x:c>
      <x:c r="S25" s="42" t="n">
        <x:f>MAX(P25,Q25)</x:f>
        <x:v>58275</x:v>
      </x:c>
      <x:c r="T25" s="42" t="n">
        <x:f>MAX(R25,MIN(O25,S25))</x:f>
        <x:v>51472</x:v>
      </x:c>
      <x:c r="U25" s="19" t="str">
        <x:f>IF(O25&lt;R25,IF(R25=P25,"clamped_to_nominal","clamped_to_ppp"),IF(O25&gt;S25,IF(S25=P25,"clamped_to_nominal","clamped_to_ppp"),"kept_vanilla"))</x:f>
        <x:v>clamped_to_nominal</x:v>
      </x:c>
      <x:c r="V25" s="42" t="n">
        <x:f>T25*H25</x:f>
        <x:v>419839706464</x:v>
      </x:c>
      <x:c r="W25" s="42" t="n">
        <x:f>V25/F25</x:f>
        <x:v>264050129851.57233</x:v>
      </x:c>
      <x:c r="X25" s="36" t="str">
        <x:v>AUT: UN WPP 2024 Medium exact 2003; LIE: UN WPP 2024 Medium exact 2003</x:v>
      </x:c>
      <x:c r="Y25" s="36" t="str">
        <x:v>AUT: IMF exact 2003; LIE: IMF exact 2003</x:v>
      </x:c>
      <x:c r="Z25" s="36" t="str">
        <x:v>AUT: IMF exact 2003; LIE: IMF exact 2003</x:v>
      </x:c>
      <x:c r="AA25" s="36" t="str">
        <x:v>complete_primary</x:v>
      </x:c>
      <x:c r="AB25" s="36" t="str">
        <x:v>https://www.un.org/development/desa/pd/world-population-prospects-2024</x:v>
      </x:c>
      <x:c r="AC25" s="36" t="str">
        <x:v>https://api.imf.org/external/sdmx/3.0/data/dataflow/IMF.RES/WEO/9.0.0/</x:v>
      </x:c>
      <x:c r="AD25" s="36" t="str">
        <x:v>https://api.worldbank.org/v2/</x:v>
      </x:c>
    </x:row>
    <x:row r="26">
      <x:c r="A26" s="24" t="str">
        <x:v>ALP</x:v>
      </x:c>
      <x:c r="B26" s="24" t="str">
        <x:v>Austria</x:v>
      </x:c>
      <x:c r="C26" s="24" t="str">
        <x:v>AUT+LIE</x:v>
      </x:c>
      <x:c r="D26" s="24" t="str">
        <x:v>AUT+LIE</x:v>
      </x:c>
      <x:c r="E26" s="24" t="n">
        <x:v>2022</x:v>
      </x:c>
      <x:c r="F26" s="37" t="n">
        <x:v>1</x:v>
      </x:c>
      <x:c r="G26" s="38" t="n">
        <x:v>9072935</x:v>
      </x:c>
      <x:c r="H26" s="38" t="n">
        <x:v>9103994</x:v>
      </x:c>
      <x:c r="I26" s="39" t="n">
        <x:f>H26/G26</x:f>
        <x:v>1.0034232582951383</x:v>
      </x:c>
      <x:c r="J26" s="40" t="n">
        <x:f>(I26-1)*100</x:f>
        <x:v>0.3423258295138343</x:v>
      </x:c>
      <x:c r="K26" s="36" t="str">
        <x:v>no</x:v>
      </x:c>
      <x:c r="L26" s="36" t="str">
        <x:v>Aggregated all explicit game ISO components; reviewed as a composite game country rather than comparing it with only the first sovereign state.</x:v>
      </x:c>
      <x:c r="M26" s="41" t="n">
        <x:v>512271760000</x:v>
      </x:c>
      <x:c r="N26" s="41" t="n">
        <x:v>512271760000</x:v>
      </x:c>
      <x:c r="O26" s="41" t="n">
        <x:v>56462</x:v>
      </x:c>
      <x:c r="P26" s="41" t="n">
        <x:v>52836</x:v>
      </x:c>
      <x:c r="Q26" s="41" t="n">
        <x:v>71334</x:v>
      </x:c>
      <x:c r="R26" s="42" t="n">
        <x:f>MIN(P26,Q26)</x:f>
        <x:v>52836</x:v>
      </x:c>
      <x:c r="S26" s="42" t="n">
        <x:f>MAX(P26,Q26)</x:f>
        <x:v>71334</x:v>
      </x:c>
      <x:c r="T26" s="42" t="n">
        <x:f>MAX(R26,MIN(O26,S26))</x:f>
        <x:v>56462</x:v>
      </x:c>
      <x:c r="U26" s="19" t="str">
        <x:f>IF(O26&lt;R26,IF(R26=P26,"clamped_to_nominal","clamped_to_ppp"),IF(O26&gt;S26,IF(S26=P26,"clamped_to_nominal","clamped_to_ppp"),"kept_vanilla"))</x:f>
        <x:v>kept_vanilla</x:v>
      </x:c>
      <x:c r="V26" s="42" t="n">
        <x:f>T26*H26</x:f>
        <x:v>514029709228</x:v>
      </x:c>
      <x:c r="W26" s="42" t="n">
        <x:f>V26/F26</x:f>
        <x:v>514029709228</x:v>
      </x:c>
      <x:c r="X26" s="36" t="str">
        <x:v>AUT: UN WPP 2024 Medium exact 2022; LIE: UN WPP 2024 Medium exact 2022</x:v>
      </x:c>
      <x:c r="Y26" s="36" t="str">
        <x:v>AUT: IMF exact 2022; LIE: IMF exact 2022</x:v>
      </x:c>
      <x:c r="Z26" s="36" t="str">
        <x:v>AUT: IMF exact 2022; LIE: IMF exact 2022</x:v>
      </x:c>
      <x:c r="AA26" s="36" t="str">
        <x:v>complete_primary</x:v>
      </x:c>
      <x:c r="AB26" s="36" t="str">
        <x:v>https://www.un.org/development/desa/pd/world-population-prospects-2024</x:v>
      </x:c>
      <x:c r="AC26" s="36" t="str">
        <x:v>https://api.imf.org/external/sdmx/3.0/data/dataflow/IMF.RES/WEO/9.0.0/</x:v>
      </x:c>
      <x:c r="AD26" s="36" t="str">
        <x:v>https://api.worldbank.org/v2/</x:v>
      </x:c>
    </x:row>
    <x:row r="27">
      <x:c r="A27" s="24" t="str">
        <x:v>ALP</x:v>
      </x:c>
      <x:c r="B27" s="24" t="str">
        <x:v>Austria</x:v>
      </x:c>
      <x:c r="C27" s="24" t="str">
        <x:v>AUT+LIE</x:v>
      </x:c>
      <x:c r="D27" s="24" t="str">
        <x:v>AUT+LIE</x:v>
      </x:c>
      <x:c r="E27" s="24" t="n">
        <x:v>2026</x:v>
      </x:c>
      <x:c r="F27" s="37" t="n">
        <x:v>0.87</x:v>
      </x:c>
      <x:c r="G27" s="38" t="n">
        <x:v>9107266</x:v>
      </x:c>
      <x:c r="H27" s="38" t="n">
        <x:v>9147634</x:v>
      </x:c>
      <x:c r="I27" s="39" t="n">
        <x:f>H27/G27</x:f>
        <x:v>1.0044325047714648</x:v>
      </x:c>
      <x:c r="J27" s="40" t="n">
        <x:f>(I27-1)*100</x:f>
        <x:v>0.443250477146484</x:v>
      </x:c>
      <x:c r="K27" s="36" t="str">
        <x:v>no</x:v>
      </x:c>
      <x:c r="L27" s="36" t="str">
        <x:v>Aggregated all explicit game ISO components; reviewed as a composite game country rather than comparing it with only the first sovereign state.</x:v>
      </x:c>
      <x:c r="M27" s="41" t="n">
        <x:v>528807558400</x:v>
      </x:c>
      <x:c r="N27" s="41" t="n">
        <x:v>460062575808</x:v>
      </x:c>
      <x:c r="O27" s="41" t="n">
        <x:v>50516</x:v>
      </x:c>
      <x:c r="P27" s="41" t="n">
        <x:v>60218</x:v>
      </x:c>
      <x:c r="Q27" s="41" t="n">
        <x:v>69349</x:v>
      </x:c>
      <x:c r="R27" s="42" t="n">
        <x:f>MIN(P27,Q27)</x:f>
        <x:v>60218</x:v>
      </x:c>
      <x:c r="S27" s="42" t="n">
        <x:f>MAX(P27,Q27)</x:f>
        <x:v>69349</x:v>
      </x:c>
      <x:c r="T27" s="42" t="n">
        <x:f>MAX(R27,MIN(O27,S27))</x:f>
        <x:v>60218</x:v>
      </x:c>
      <x:c r="U27" s="19" t="str">
        <x:f>IF(O27&lt;R27,IF(R27=P27,"clamped_to_nominal","clamped_to_ppp"),IF(O27&gt;S27,IF(S27=P27,"clamped_to_nominal","clamped_to_ppp"),"kept_vanilla"))</x:f>
        <x:v>clamped_to_nominal</x:v>
      </x:c>
      <x:c r="V27" s="42" t="n">
        <x:f>T27*H27</x:f>
        <x:v>550852224212</x:v>
      </x:c>
      <x:c r="W27" s="42" t="n">
        <x:f>V27/F27</x:f>
        <x:v>633163476105.7471</x:v>
      </x:c>
      <x:c r="X27" s="36" t="str">
        <x:v>AUT: UN WPP 2024 Medium exact 2026; LIE: UN WPP 2024 Medium exact 2026</x:v>
      </x:c>
      <x:c r="Y27" s="36" t="str">
        <x:v>AUT: IMF exact 2026; LIE: IMF exact 2026</x:v>
      </x:c>
      <x:c r="Z27" s="36" t="str">
        <x:v>AUT: IMF exact 2026; LIE: IMF exact 2026</x:v>
      </x:c>
      <x:c r="AA27" s="36" t="str">
        <x:v>complete_primary</x:v>
      </x:c>
      <x:c r="AB27" s="36" t="str">
        <x:v>https://www.un.org/development/desa/pd/world-population-prospects-2024</x:v>
      </x:c>
      <x:c r="AC27" s="36" t="str">
        <x:v>https://api.imf.org/external/sdmx/3.0/data/dataflow/IMF.RES/WEO/9.0.0/</x:v>
      </x:c>
      <x:c r="AD27" s="36" t="str">
        <x:v>https://api.worldbank.org/v2/</x:v>
      </x:c>
    </x:row>
    <x:row r="28">
      <x:c r="A28" s="24" t="str">
        <x:v>AZE</x:v>
      </x:c>
      <x:c r="B28" s="24" t="str">
        <x:v>Azerbaijan</x:v>
      </x:c>
      <x:c r="C28" s="24" t="str">
        <x:v>AZE</x:v>
      </x:c>
      <x:c r="D28" s="24" t="str">
        <x:v>AZE</x:v>
      </x:c>
      <x:c r="E28" s="24" t="n">
        <x:v>2003</x:v>
      </x:c>
      <x:c r="F28" s="37" t="n">
        <x:v>1.59</x:v>
      </x:c>
      <x:c r="G28" s="38" t="n">
        <x:v>8400530</x:v>
      </x:c>
      <x:c r="H28" s="38" t="n">
        <x:v>8400530</x:v>
      </x:c>
      <x:c r="I28" s="39" t="n">
        <x:f>H28/G28</x:f>
        <x:v>1</x:v>
      </x:c>
      <x:c r="J28" s="40" t="n">
        <x:f>(I28-1)*100</x:f>
        <x:v>0</x:v>
      </x:c>
      <x:c r="K28" s="36" t="str">
        <x:v>no</x:v>
      </x:c>
      <x:c r="L28" s="36" t="str">
        <x:v>Single-country territory; UN WPP and vanilla are within the ±5% review threshold.</x:v>
      </x:c>
      <x:c r="M28" s="41" t="n">
        <x:v>19721637427</x:v>
      </x:c>
      <x:c r="N28" s="41" t="n">
        <x:v>31357403509</x:v>
      </x:c>
      <x:c r="O28" s="41" t="n">
        <x:v>3733</x:v>
      </x:c>
      <x:c r="P28" s="41" t="n">
        <x:v>1377</x:v>
      </x:c>
      <x:c r="Q28" s="41" t="n">
        <x:v>6383</x:v>
      </x:c>
      <x:c r="R28" s="42" t="n">
        <x:f>MIN(P28,Q28)</x:f>
        <x:v>1377</x:v>
      </x:c>
      <x:c r="S28" s="42" t="n">
        <x:f>MAX(P28,Q28)</x:f>
        <x:v>6383</x:v>
      </x:c>
      <x:c r="T28" s="42" t="n">
        <x:f>MAX(R28,MIN(O28,S28))</x:f>
        <x:v>3733</x:v>
      </x:c>
      <x:c r="U28" s="19" t="str">
        <x:f>IF(O28&lt;R28,IF(R28=P28,"clamped_to_nominal","clamped_to_ppp"),IF(O28&gt;S28,IF(S28=P28,"clamped_to_nominal","clamped_to_ppp"),"kept_vanilla"))</x:f>
        <x:v>kept_vanilla</x:v>
      </x:c>
      <x:c r="V28" s="42" t="n">
        <x:f>T28*H28</x:f>
        <x:v>31359178490</x:v>
      </x:c>
      <x:c r="W28" s="42" t="n">
        <x:f>V28/F28</x:f>
        <x:v>19722753767.295597</x:v>
      </x:c>
      <x:c r="X28" s="36" t="str">
        <x:v>AZE: UN WPP 2024 Medium exact 2003</x:v>
      </x:c>
      <x:c r="Y28" s="36" t="str">
        <x:v>AZE: IMF exact 2003</x:v>
      </x:c>
      <x:c r="Z28" s="36" t="str">
        <x:v>AZE: IMF exact 2003</x:v>
      </x:c>
      <x:c r="AA28" s="36" t="str">
        <x:v>complete_primary</x:v>
      </x:c>
      <x:c r="AB28" s="36" t="str">
        <x:v>https://www.un.org/development/desa/pd/world-population-prospects-2024</x:v>
      </x:c>
      <x:c r="AC28" s="36" t="str">
        <x:v>https://api.imf.org/external/sdmx/3.0/data/dataflow/IMF.RES/WEO/9.0.0/</x:v>
      </x:c>
      <x:c r="AD28" s="36" t="str">
        <x:v>https://api.worldbank.org/v2/</x:v>
      </x:c>
    </x:row>
    <x:row r="29">
      <x:c r="A29" s="24" t="str">
        <x:v>AZE</x:v>
      </x:c>
      <x:c r="B29" s="24" t="str">
        <x:v>Azerbaijan</x:v>
      </x:c>
      <x:c r="C29" s="24" t="str">
        <x:v>AZE</x:v>
      </x:c>
      <x:c r="D29" s="24" t="str">
        <x:v>AZE</x:v>
      </x:c>
      <x:c r="E29" s="24" t="n">
        <x:v>2022</x:v>
      </x:c>
      <x:c r="F29" s="37" t="n">
        <x:v>1</x:v>
      </x:c>
      <x:c r="G29" s="38" t="n">
        <x:v>10323606</x:v>
      </x:c>
      <x:c r="H29" s="38" t="n">
        <x:v>10295304</x:v>
      </x:c>
      <x:c r="I29" s="39" t="n">
        <x:f>H29/G29</x:f>
        <x:v>0.9972585160650261</x:v>
      </x:c>
      <x:c r="J29" s="40" t="n">
        <x:f>(I29-1)*100</x:f>
        <x:v>-0.2741483934973865</x:v>
      </x:c>
      <x:c r="K29" s="36" t="str">
        <x:v>no</x:v>
      </x:c>
      <x:c r="L29" s="36" t="str">
        <x:v>Single-country territory; UN WPP and vanilla are within the ±5% review threshold.</x:v>
      </x:c>
      <x:c r="M29" s="41" t="n">
        <x:v>154579040000</x:v>
      </x:c>
      <x:c r="N29" s="41" t="n">
        <x:v>154579040000</x:v>
      </x:c>
      <x:c r="O29" s="41" t="n">
        <x:v>14973</x:v>
      </x:c>
      <x:c r="P29" s="41" t="n">
        <x:v>7655</x:v>
      </x:c>
      <x:c r="Q29" s="41" t="n">
        <x:v>22212</x:v>
      </x:c>
      <x:c r="R29" s="42" t="n">
        <x:f>MIN(P29,Q29)</x:f>
        <x:v>7655</x:v>
      </x:c>
      <x:c r="S29" s="42" t="n">
        <x:f>MAX(P29,Q29)</x:f>
        <x:v>22212</x:v>
      </x:c>
      <x:c r="T29" s="42" t="n">
        <x:f>MAX(R29,MIN(O29,S29))</x:f>
        <x:v>14973</x:v>
      </x:c>
      <x:c r="U29" s="19" t="str">
        <x:f>IF(O29&lt;R29,IF(R29=P29,"clamped_to_nominal","clamped_to_ppp"),IF(O29&gt;S29,IF(S29=P29,"clamped_to_nominal","clamped_to_ppp"),"kept_vanilla"))</x:f>
        <x:v>kept_vanilla</x:v>
      </x:c>
      <x:c r="V29" s="42" t="n">
        <x:f>T29*H29</x:f>
        <x:v>154151586792</x:v>
      </x:c>
      <x:c r="W29" s="42" t="n">
        <x:f>V29/F29</x:f>
        <x:v>154151586792</x:v>
      </x:c>
      <x:c r="X29" s="36" t="str">
        <x:v>AZE: UN WPP 2024 Medium exact 2022</x:v>
      </x:c>
      <x:c r="Y29" s="36" t="str">
        <x:v>AZE: IMF exact 2022</x:v>
      </x:c>
      <x:c r="Z29" s="36" t="str">
        <x:v>AZE: IMF exact 2022</x:v>
      </x:c>
      <x:c r="AA29" s="36" t="str">
        <x:v>complete_primary</x:v>
      </x:c>
      <x:c r="AB29" s="36" t="str">
        <x:v>https://www.un.org/development/desa/pd/world-population-prospects-2024</x:v>
      </x:c>
      <x:c r="AC29" s="36" t="str">
        <x:v>https://api.imf.org/external/sdmx/3.0/data/dataflow/IMF.RES/WEO/9.0.0/</x:v>
      </x:c>
      <x:c r="AD29" s="36" t="str">
        <x:v>https://api.worldbank.org/v2/</x:v>
      </x:c>
    </x:row>
    <x:row r="30">
      <x:c r="A30" s="24" t="str">
        <x:v>AZE</x:v>
      </x:c>
      <x:c r="B30" s="24" t="str">
        <x:v>Azerbaijan</x:v>
      </x:c>
      <x:c r="C30" s="24" t="str">
        <x:v>AZE</x:v>
      </x:c>
      <x:c r="D30" s="24" t="str">
        <x:v>AZE</x:v>
      </x:c>
      <x:c r="E30" s="24" t="n">
        <x:v>2026</x:v>
      </x:c>
      <x:c r="F30" s="37" t="n">
        <x:v>0.87</x:v>
      </x:c>
      <x:c r="G30" s="38" t="n">
        <x:v>10454855</x:v>
      </x:c>
      <x:c r="H30" s="38" t="n">
        <x:v>10454855</x:v>
      </x:c>
      <x:c r="I30" s="39" t="n">
        <x:f>H30/G30</x:f>
        <x:v>1</x:v>
      </x:c>
      <x:c r="J30" s="40" t="n">
        <x:f>(I30-1)*100</x:f>
        <x:v>0</x:v>
      </x:c>
      <x:c r="K30" s="36" t="str">
        <x:v>no</x:v>
      </x:c>
      <x:c r="L30" s="36" t="str">
        <x:v>Single-country territory; UN WPP and vanilla are within the ±5% review threshold.</x:v>
      </x:c>
      <x:c r="M30" s="41" t="n">
        <x:v>239448000000</x:v>
      </x:c>
      <x:c r="N30" s="41" t="n">
        <x:v>208319760000</x:v>
      </x:c>
      <x:c r="O30" s="41" t="n">
        <x:v>19926</x:v>
      </x:c>
      <x:c r="P30" s="41" t="n">
        <x:v>6522</x:v>
      </x:c>
      <x:c r="Q30" s="41" t="n">
        <x:v>23408</x:v>
      </x:c>
      <x:c r="R30" s="42" t="n">
        <x:f>MIN(P30,Q30)</x:f>
        <x:v>6522</x:v>
      </x:c>
      <x:c r="S30" s="42" t="n">
        <x:f>MAX(P30,Q30)</x:f>
        <x:v>23408</x:v>
      </x:c>
      <x:c r="T30" s="42" t="n">
        <x:f>MAX(R30,MIN(O30,S30))</x:f>
        <x:v>19926</x:v>
      </x:c>
      <x:c r="U30" s="19" t="str">
        <x:f>IF(O30&lt;R30,IF(R30=P30,"clamped_to_nominal","clamped_to_ppp"),IF(O30&gt;S30,IF(S30=P30,"clamped_to_nominal","clamped_to_ppp"),"kept_vanilla"))</x:f>
        <x:v>kept_vanilla</x:v>
      </x:c>
      <x:c r="V30" s="42" t="n">
        <x:f>T30*H30</x:f>
        <x:v>208323440730</x:v>
      </x:c>
      <x:c r="W30" s="42" t="n">
        <x:f>V30/F30</x:f>
        <x:v>239452230724.13794</x:v>
      </x:c>
      <x:c r="X30" s="36" t="str">
        <x:v>AZE: UN WPP 2024 Medium exact 2026</x:v>
      </x:c>
      <x:c r="Y30" s="36" t="str">
        <x:v>AZE: IMF exact 2026</x:v>
      </x:c>
      <x:c r="Z30" s="36" t="str">
        <x:v>AZE: IMF exact 2026</x:v>
      </x:c>
      <x:c r="AA30" s="36" t="str">
        <x:v>complete_primary</x:v>
      </x:c>
      <x:c r="AB30" s="36" t="str">
        <x:v>https://www.un.org/development/desa/pd/world-population-prospects-2024</x:v>
      </x:c>
      <x:c r="AC30" s="36" t="str">
        <x:v>https://api.imf.org/external/sdmx/3.0/data/dataflow/IMF.RES/WEO/9.0.0/</x:v>
      </x:c>
      <x:c r="AD30" s="36" t="str">
        <x:v>https://api.worldbank.org/v2/</x:v>
      </x:c>
    </x:row>
    <x:row r="31">
      <x:c r="A31" s="24" t="str">
        <x:v>BAH</x:v>
      </x:c>
      <x:c r="B31" s="24" t="str">
        <x:v>Bahamas</x:v>
      </x:c>
      <x:c r="C31" s="24" t="str">
        <x:v>BHS</x:v>
      </x:c>
      <x:c r="D31" s="24" t="str">
        <x:v>BHS</x:v>
      </x:c>
      <x:c r="E31" s="24" t="n">
        <x:v>2003</x:v>
      </x:c>
      <x:c r="F31" s="37" t="n">
        <x:v>1.59</x:v>
      </x:c>
      <x:c r="G31" s="38" t="n">
        <x:v>335618</x:v>
      </x:c>
      <x:c r="H31" s="38" t="n">
        <x:v>335618</x:v>
      </x:c>
      <x:c r="I31" s="39" t="n">
        <x:f>H31/G31</x:f>
        <x:v>1</x:v>
      </x:c>
      <x:c r="J31" s="40" t="n">
        <x:f>(I31-1)*100</x:f>
        <x:v>0</x:v>
      </x:c>
      <x:c r="K31" s="36" t="str">
        <x:v>no</x:v>
      </x:c>
      <x:c r="L31" s="36" t="str">
        <x:v>Single-country territory; UN WPP and vanilla are within the ±5% review threshold.</x:v>
      </x:c>
      <x:c r="M31" s="41" t="n">
        <x:v>5448538012</x:v>
      </x:c>
      <x:c r="N31" s="41" t="n">
        <x:v>8663175439</x:v>
      </x:c>
      <x:c r="O31" s="41" t="n">
        <x:v>25813</x:v>
      </x:c>
      <x:c r="P31" s="41" t="n">
        <x:v>42022</x:v>
      </x:c>
      <x:c r="Q31" s="41" t="n">
        <x:v>44084</x:v>
      </x:c>
      <x:c r="R31" s="42" t="n">
        <x:f>MIN(P31,Q31)</x:f>
        <x:v>42022</x:v>
      </x:c>
      <x:c r="S31" s="42" t="n">
        <x:f>MAX(P31,Q31)</x:f>
        <x:v>44084</x:v>
      </x:c>
      <x:c r="T31" s="42" t="n">
        <x:f>MAX(R31,MIN(O31,S31))</x:f>
        <x:v>42022</x:v>
      </x:c>
      <x:c r="U31" s="19" t="str">
        <x:f>IF(O31&lt;R31,IF(R31=P31,"clamped_to_nominal","clamped_to_ppp"),IF(O31&gt;S31,IF(S31=P31,"clamped_to_nominal","clamped_to_ppp"),"kept_vanilla"))</x:f>
        <x:v>clamped_to_nominal</x:v>
      </x:c>
      <x:c r="V31" s="42" t="n">
        <x:f>T31*H31</x:f>
        <x:v>14103339596</x:v>
      </x:c>
      <x:c r="W31" s="42" t="n">
        <x:f>V31/F31</x:f>
        <x:v>8870024903.144653</x:v>
      </x:c>
      <x:c r="X31" s="36" t="str">
        <x:v>BHS: UN WPP 2024 Medium exact 2003</x:v>
      </x:c>
      <x:c r="Y31" s="36" t="str">
        <x:v>BHS: IMF exact 2003</x:v>
      </x:c>
      <x:c r="Z31" s="36" t="str">
        <x:v>BHS: IMF exact 2003</x:v>
      </x:c>
      <x:c r="AA31" s="36" t="str">
        <x:v>complete_primary</x:v>
      </x:c>
      <x:c r="AB31" s="36" t="str">
        <x:v>https://www.un.org/development/desa/pd/world-population-prospects-2024</x:v>
      </x:c>
      <x:c r="AC31" s="36" t="str">
        <x:v>https://api.imf.org/external/sdmx/3.0/data/dataflow/IMF.RES/WEO/9.0.0/</x:v>
      </x:c>
      <x:c r="AD31" s="36" t="str">
        <x:v>https://api.worldbank.org/v2/</x:v>
      </x:c>
    </x:row>
    <x:row r="32">
      <x:c r="A32" s="24" t="str">
        <x:v>BAH</x:v>
      </x:c>
      <x:c r="B32" s="24" t="str">
        <x:v>Bahamas</x:v>
      </x:c>
      <x:c r="C32" s="24" t="str">
        <x:v>BHS</x:v>
      </x:c>
      <x:c r="D32" s="24" t="str">
        <x:v>BHS</x:v>
      </x:c>
      <x:c r="E32" s="24" t="n">
        <x:v>2022</x:v>
      </x:c>
      <x:c r="F32" s="37" t="n">
        <x:v>1</x:v>
      </x:c>
      <x:c r="G32" s="38" t="n">
        <x:v>401623</x:v>
      </x:c>
      <x:c r="H32" s="38" t="n">
        <x:v>397538</x:v>
      </x:c>
      <x:c r="I32" s="39" t="n">
        <x:f>H32/G32</x:f>
        <x:v>0.9898287697666718</x:v>
      </x:c>
      <x:c r="J32" s="40" t="n">
        <x:f>(I32-1)*100</x:f>
        <x:v>-1.0171230233328221</x:v>
      </x:c>
      <x:c r="K32" s="36" t="str">
        <x:v>no</x:v>
      </x:c>
      <x:c r="L32" s="36" t="str">
        <x:v>Single-country territory; UN WPP and vanilla are within the ±5% review threshold.</x:v>
      </x:c>
      <x:c r="M32" s="41" t="n">
        <x:v>13951520000</x:v>
      </x:c>
      <x:c r="N32" s="41" t="n">
        <x:v>13951520000</x:v>
      </x:c>
      <x:c r="O32" s="41" t="n">
        <x:v>34738</x:v>
      </x:c>
      <x:c r="P32" s="41" t="n">
        <x:v>34957</x:v>
      </x:c>
      <x:c r="Q32" s="41" t="n">
        <x:v>36785</x:v>
      </x:c>
      <x:c r="R32" s="42" t="n">
        <x:f>MIN(P32,Q32)</x:f>
        <x:v>34957</x:v>
      </x:c>
      <x:c r="S32" s="42" t="n">
        <x:f>MAX(P32,Q32)</x:f>
        <x:v>36785</x:v>
      </x:c>
      <x:c r="T32" s="42" t="n">
        <x:f>MAX(R32,MIN(O32,S32))</x:f>
        <x:v>34957</x:v>
      </x:c>
      <x:c r="U32" s="19" t="str">
        <x:f>IF(O32&lt;R32,IF(R32=P32,"clamped_to_nominal","clamped_to_ppp"),IF(O32&gt;S32,IF(S32=P32,"clamped_to_nominal","clamped_to_ppp"),"kept_vanilla"))</x:f>
        <x:v>clamped_to_nominal</x:v>
      </x:c>
      <x:c r="V32" s="42" t="n">
        <x:f>T32*H32</x:f>
        <x:v>13896735866</x:v>
      </x:c>
      <x:c r="W32" s="42" t="n">
        <x:f>V32/F32</x:f>
        <x:v>13896735866</x:v>
      </x:c>
      <x:c r="X32" s="36" t="str">
        <x:v>BHS: UN WPP 2024 Medium exact 2022</x:v>
      </x:c>
      <x:c r="Y32" s="36" t="str">
        <x:v>BHS: IMF exact 2022</x:v>
      </x:c>
      <x:c r="Z32" s="36" t="str">
        <x:v>BHS: IMF exact 2022</x:v>
      </x:c>
      <x:c r="AA32" s="36" t="str">
        <x:v>complete_primary</x:v>
      </x:c>
      <x:c r="AB32" s="36" t="str">
        <x:v>https://www.un.org/development/desa/pd/world-population-prospects-2024</x:v>
      </x:c>
      <x:c r="AC32" s="36" t="str">
        <x:v>https://api.imf.org/external/sdmx/3.0/data/dataflow/IMF.RES/WEO/9.0.0/</x:v>
      </x:c>
      <x:c r="AD32" s="36" t="str">
        <x:v>https://api.worldbank.org/v2/</x:v>
      </x:c>
    </x:row>
    <x:row r="33">
      <x:c r="A33" s="24" t="str">
        <x:v>BAH</x:v>
      </x:c>
      <x:c r="B33" s="24" t="str">
        <x:v>Bahamas</x:v>
      </x:c>
      <x:c r="C33" s="24" t="str">
        <x:v>BHS</x:v>
      </x:c>
      <x:c r="D33" s="24" t="str">
        <x:v>BHS</x:v>
      </x:c>
      <x:c r="E33" s="24" t="n">
        <x:v>2026</x:v>
      </x:c>
      <x:c r="F33" s="37" t="n">
        <x:v>0.87</x:v>
      </x:c>
      <x:c r="G33" s="38" t="n">
        <x:v>404629</x:v>
      </x:c>
      <x:c r="H33" s="38" t="n">
        <x:v>404628</x:v>
      </x:c>
      <x:c r="I33" s="39" t="n">
        <x:f>H33/G33</x:f>
        <x:v>0.9999975286002734</x:v>
      </x:c>
      <x:c r="J33" s="40" t="n">
        <x:f>(I33-1)*100</x:f>
        <x:v>-0.0002471399726644563</x:v>
      </x:c>
      <x:c r="K33" s="36" t="str">
        <x:v>no</x:v>
      </x:c>
      <x:c r="L33" s="36" t="str">
        <x:v>Single-country territory; UN WPP and vanilla are within the ±5% review threshold.</x:v>
      </x:c>
      <x:c r="M33" s="41" t="n">
        <x:v>14099360000</x:v>
      </x:c>
      <x:c r="N33" s="41" t="n">
        <x:v>12266443200</x:v>
      </x:c>
      <x:c r="O33" s="41" t="n">
        <x:v>30315</x:v>
      </x:c>
      <x:c r="P33" s="41" t="n">
        <x:v>36643</x:v>
      </x:c>
      <x:c r="Q33" s="41" t="n">
        <x:v>39523</x:v>
      </x:c>
      <x:c r="R33" s="42" t="n">
        <x:f>MIN(P33,Q33)</x:f>
        <x:v>36643</x:v>
      </x:c>
      <x:c r="S33" s="42" t="n">
        <x:f>MAX(P33,Q33)</x:f>
        <x:v>39523</x:v>
      </x:c>
      <x:c r="T33" s="42" t="n">
        <x:f>MAX(R33,MIN(O33,S33))</x:f>
        <x:v>36643</x:v>
      </x:c>
      <x:c r="U33" s="19" t="str">
        <x:f>IF(O33&lt;R33,IF(R33=P33,"clamped_to_nominal","clamped_to_ppp"),IF(O33&gt;S33,IF(S33=P33,"clamped_to_nominal","clamped_to_ppp"),"kept_vanilla"))</x:f>
        <x:v>clamped_to_nominal</x:v>
      </x:c>
      <x:c r="V33" s="42" t="n">
        <x:f>T33*H33</x:f>
        <x:v>14826783804</x:v>
      </x:c>
      <x:c r="W33" s="42" t="n">
        <x:f>V33/F33</x:f>
        <x:v>17042280234.48276</x:v>
      </x:c>
      <x:c r="X33" s="36" t="str">
        <x:v>BHS: UN WPP 2024 Medium exact 2026</x:v>
      </x:c>
      <x:c r="Y33" s="36" t="str">
        <x:v>BHS: IMF exact 2026</x:v>
      </x:c>
      <x:c r="Z33" s="36" t="str">
        <x:v>BHS: IMF exact 2026</x:v>
      </x:c>
      <x:c r="AA33" s="36" t="str">
        <x:v>complete_primary</x:v>
      </x:c>
      <x:c r="AB33" s="36" t="str">
        <x:v>https://www.un.org/development/desa/pd/world-population-prospects-2024</x:v>
      </x:c>
      <x:c r="AC33" s="36" t="str">
        <x:v>https://api.imf.org/external/sdmx/3.0/data/dataflow/IMF.RES/WEO/9.0.0/</x:v>
      </x:c>
      <x:c r="AD33" s="36" t="str">
        <x:v>https://api.worldbank.org/v2/</x:v>
      </x:c>
    </x:row>
    <x:row r="34">
      <x:c r="A34" s="24" t="str">
        <x:v>BGD</x:v>
      </x:c>
      <x:c r="B34" s="24" t="str">
        <x:v>Bangladesh</x:v>
      </x:c>
      <x:c r="C34" s="24" t="str">
        <x:v>BGD</x:v>
      </x:c>
      <x:c r="D34" s="24" t="str">
        <x:v>BGD</x:v>
      </x:c>
      <x:c r="E34" s="24" t="n">
        <x:v>2003</x:v>
      </x:c>
      <x:c r="F34" s="37" t="n">
        <x:v>1.59</x:v>
      </x:c>
      <x:c r="G34" s="38" t="n">
        <x:v>140970351</x:v>
      </x:c>
      <x:c r="H34" s="38" t="n">
        <x:v>140970351</x:v>
      </x:c>
      <x:c r="I34" s="39" t="n">
        <x:f>H34/G34</x:f>
        <x:v>1</x:v>
      </x:c>
      <x:c r="J34" s="40" t="n">
        <x:f>(I34-1)*100</x:f>
        <x:v>0</x:v>
      </x:c>
      <x:c r="K34" s="36" t="str">
        <x:v>no</x:v>
      </x:c>
      <x:c r="L34" s="36" t="str">
        <x:v>Single-country territory; UN WPP and vanilla are within the ±5% review threshold.</x:v>
      </x:c>
      <x:c r="M34" s="41" t="n">
        <x:v>152713450292</x:v>
      </x:c>
      <x:c r="N34" s="41" t="n">
        <x:v>242814385964</x:v>
      </x:c>
      <x:c r="O34" s="41" t="n">
        <x:v>1722</x:v>
      </x:c>
      <x:c r="P34" s="41" t="n">
        <x:v>809</x:v>
      </x:c>
      <x:c r="Q34" s="41" t="n">
        <x:v>2945</x:v>
      </x:c>
      <x:c r="R34" s="42" t="n">
        <x:f>MIN(P34,Q34)</x:f>
        <x:v>809</x:v>
      </x:c>
      <x:c r="S34" s="42" t="n">
        <x:f>MAX(P34,Q34)</x:f>
        <x:v>2945</x:v>
      </x:c>
      <x:c r="T34" s="42" t="n">
        <x:f>MAX(R34,MIN(O34,S34))</x:f>
        <x:v>1722</x:v>
      </x:c>
      <x:c r="U34" s="19" t="str">
        <x:f>IF(O34&lt;R34,IF(R34=P34,"clamped_to_nominal","clamped_to_ppp"),IF(O34&gt;S34,IF(S34=P34,"clamped_to_nominal","clamped_to_ppp"),"kept_vanilla"))</x:f>
        <x:v>kept_vanilla</x:v>
      </x:c>
      <x:c r="V34" s="42" t="n">
        <x:f>T34*H34</x:f>
        <x:v>242750944422</x:v>
      </x:c>
      <x:c r="W34" s="42" t="n">
        <x:f>V34/F34</x:f>
        <x:v>152673549950.9434</x:v>
      </x:c>
      <x:c r="X34" s="36" t="str">
        <x:v>BGD: UN WPP 2024 Medium exact 2003</x:v>
      </x:c>
      <x:c r="Y34" s="36" t="str">
        <x:v>BGD: IMF exact 2003</x:v>
      </x:c>
      <x:c r="Z34" s="36" t="str">
        <x:v>BGD: IMF exact 2003</x:v>
      </x:c>
      <x:c r="AA34" s="36" t="str">
        <x:v>complete_primary</x:v>
      </x:c>
      <x:c r="AB34" s="36" t="str">
        <x:v>https://www.un.org/development/desa/pd/world-population-prospects-2024</x:v>
      </x:c>
      <x:c r="AC34" s="36" t="str">
        <x:v>https://api.imf.org/external/sdmx/3.0/data/dataflow/IMF.RES/WEO/9.0.0/</x:v>
      </x:c>
      <x:c r="AD34" s="36" t="str">
        <x:v>https://api.worldbank.org/v2/</x:v>
      </x:c>
    </x:row>
    <x:row r="35">
      <x:c r="A35" s="24" t="str">
        <x:v>BGD</x:v>
      </x:c>
      <x:c r="B35" s="24" t="str">
        <x:v>Bangladesh</x:v>
      </x:c>
      <x:c r="C35" s="24" t="str">
        <x:v>BGD</x:v>
      </x:c>
      <x:c r="D35" s="24" t="str">
        <x:v>BGD</x:v>
      </x:c>
      <x:c r="E35" s="24" t="n">
        <x:v>2022</x:v>
      </x:c>
      <x:c r="F35" s="37" t="n">
        <x:v>1</x:v>
      </x:c>
      <x:c r="G35" s="38" t="n">
        <x:v>168375408</x:v>
      </x:c>
      <x:c r="H35" s="38" t="n">
        <x:v>169384897</x:v>
      </x:c>
      <x:c r="I35" s="39" t="n">
        <x:f>H35/G35</x:f>
        <x:v>1.0059954657986634</x:v>
      </x:c>
      <x:c r="J35" s="40" t="n">
        <x:f>(I35-1)*100</x:f>
        <x:v>0.5995465798663391</x:v>
      </x:c>
      <x:c r="K35" s="36" t="str">
        <x:v>no</x:v>
      </x:c>
      <x:c r="L35" s="36" t="str">
        <x:v>Single-country territory; UN WPP and vanilla are within the ±5% review threshold.</x:v>
      </x:c>
      <x:c r="M35" s="41" t="n">
        <x:v>979968000000</x:v>
      </x:c>
      <x:c r="N35" s="41" t="n">
        <x:v>979968000000</x:v>
      </x:c>
      <x:c r="O35" s="41" t="n">
        <x:v>5820</x:v>
      </x:c>
      <x:c r="P35" s="41" t="n">
        <x:v>2717</x:v>
      </x:c>
      <x:c r="Q35" s="41" t="n">
        <x:v>8449</x:v>
      </x:c>
      <x:c r="R35" s="42" t="n">
        <x:f>MIN(P35,Q35)</x:f>
        <x:v>2717</x:v>
      </x:c>
      <x:c r="S35" s="42" t="n">
        <x:f>MAX(P35,Q35)</x:f>
        <x:v>8449</x:v>
      </x:c>
      <x:c r="T35" s="42" t="n">
        <x:f>MAX(R35,MIN(O35,S35))</x:f>
        <x:v>5820</x:v>
      </x:c>
      <x:c r="U35" s="19" t="str">
        <x:f>IF(O35&lt;R35,IF(R35=P35,"clamped_to_nominal","clamped_to_ppp"),IF(O35&gt;S35,IF(S35=P35,"clamped_to_nominal","clamped_to_ppp"),"kept_vanilla"))</x:f>
        <x:v>kept_vanilla</x:v>
      </x:c>
      <x:c r="V35" s="42" t="n">
        <x:f>T35*H35</x:f>
        <x:v>985820100540</x:v>
      </x:c>
      <x:c r="W35" s="42" t="n">
        <x:f>V35/F35</x:f>
        <x:v>985820100540</x:v>
      </x:c>
      <x:c r="X35" s="36" t="str">
        <x:v>BGD: UN WPP 2024 Medium exact 2022</x:v>
      </x:c>
      <x:c r="Y35" s="36" t="str">
        <x:v>BGD: IMF exact 2022</x:v>
      </x:c>
      <x:c r="Z35" s="36" t="str">
        <x:v>BGD: IMF exact 2022</x:v>
      </x:c>
      <x:c r="AA35" s="36" t="str">
        <x:v>complete_primary</x:v>
      </x:c>
      <x:c r="AB35" s="36" t="str">
        <x:v>https://www.un.org/development/desa/pd/world-population-prospects-2024</x:v>
      </x:c>
      <x:c r="AC35" s="36" t="str">
        <x:v>https://api.imf.org/external/sdmx/3.0/data/dataflow/IMF.RES/WEO/9.0.0/</x:v>
      </x:c>
      <x:c r="AD35" s="36" t="str">
        <x:v>https://api.worldbank.org/v2/</x:v>
      </x:c>
    </x:row>
    <x:row r="36">
      <x:c r="A36" s="24" t="str">
        <x:v>BGD</x:v>
      </x:c>
      <x:c r="B36" s="24" t="str">
        <x:v>Bangladesh</x:v>
      </x:c>
      <x:c r="C36" s="24" t="str">
        <x:v>BGD</x:v>
      </x:c>
      <x:c r="D36" s="24" t="str">
        <x:v>BGD</x:v>
      </x:c>
      <x:c r="E36" s="24" t="n">
        <x:v>2026</x:v>
      </x:c>
      <x:c r="F36" s="37" t="n">
        <x:v>0.87</x:v>
      </x:c>
      <x:c r="G36" s="38" t="n">
        <x:v>177818045</x:v>
      </x:c>
      <x:c r="H36" s="38" t="n">
        <x:v>177818044</x:v>
      </x:c>
      <x:c r="I36" s="39" t="n">
        <x:f>H36/G36</x:f>
        <x:v>0.9999999943762737</x:v>
      </x:c>
      <x:c r="J36" s="40" t="n">
        <x:f>(I36-1)*100</x:f>
        <x:v>-5.623726262449225e-7</x:v>
      </x:c>
      <x:c r="K36" s="36" t="str">
        <x:v>no</x:v>
      </x:c>
      <x:c r="L36" s="36" t="str">
        <x:v>Single-country territory; UN WPP and vanilla are within the ±5% review threshold.</x:v>
      </x:c>
      <x:c r="M36" s="41" t="n">
        <x:v>1568252400000</x:v>
      </x:c>
      <x:c r="N36" s="41" t="n">
        <x:v>1364379588000</x:v>
      </x:c>
      <x:c r="O36" s="41" t="n">
        <x:v>7673</x:v>
      </x:c>
      <x:c r="P36" s="41" t="n">
        <x:v>2499</x:v>
      </x:c>
      <x:c r="Q36" s="41" t="n">
        <x:v>9402</x:v>
      </x:c>
      <x:c r="R36" s="42" t="n">
        <x:f>MIN(P36,Q36)</x:f>
        <x:v>2499</x:v>
      </x:c>
      <x:c r="S36" s="42" t="n">
        <x:f>MAX(P36,Q36)</x:f>
        <x:v>9402</x:v>
      </x:c>
      <x:c r="T36" s="42" t="n">
        <x:f>MAX(R36,MIN(O36,S36))</x:f>
        <x:v>7673</x:v>
      </x:c>
      <x:c r="U36" s="19" t="str">
        <x:f>IF(O36&lt;R36,IF(R36=P36,"clamped_to_nominal","clamped_to_ppp"),IF(O36&gt;S36,IF(S36=P36,"clamped_to_nominal","clamped_to_ppp"),"kept_vanilla"))</x:f>
        <x:v>kept_vanilla</x:v>
      </x:c>
      <x:c r="V36" s="42" t="n">
        <x:f>T36*H36</x:f>
        <x:v>1364397851612</x:v>
      </x:c>
      <x:c r="W36" s="42" t="n">
        <x:f>V36/F36</x:f>
        <x:v>1568273392657.4712</x:v>
      </x:c>
      <x:c r="X36" s="36" t="str">
        <x:v>BGD: UN WPP 2024 Medium exact 2026</x:v>
      </x:c>
      <x:c r="Y36" s="36" t="str">
        <x:v>BGD: IMF exact 2026</x:v>
      </x:c>
      <x:c r="Z36" s="36" t="str">
        <x:v>BGD: IMF exact 2026</x:v>
      </x:c>
      <x:c r="AA36" s="36" t="str">
        <x:v>complete_primary</x:v>
      </x:c>
      <x:c r="AB36" s="36" t="str">
        <x:v>https://www.un.org/development/desa/pd/world-population-prospects-2024</x:v>
      </x:c>
      <x:c r="AC36" s="36" t="str">
        <x:v>https://api.imf.org/external/sdmx/3.0/data/dataflow/IMF.RES/WEO/9.0.0/</x:v>
      </x:c>
      <x:c r="AD36" s="36" t="str">
        <x:v>https://api.worldbank.org/v2/</x:v>
      </x:c>
    </x:row>
    <x:row r="37">
      <x:c r="A37" s="24" t="str">
        <x:v>BLR</x:v>
      </x:c>
      <x:c r="B37" s="24" t="str">
        <x:v>Belarus</x:v>
      </x:c>
      <x:c r="C37" s="24" t="str">
        <x:v>BLR</x:v>
      </x:c>
      <x:c r="D37" s="24" t="str">
        <x:v>BLR</x:v>
      </x:c>
      <x:c r="E37" s="24" t="n">
        <x:v>2003</x:v>
      </x:c>
      <x:c r="F37" s="37" t="n">
        <x:v>1.59</x:v>
      </x:c>
      <x:c r="G37" s="38" t="n">
        <x:v>9803176</x:v>
      </x:c>
      <x:c r="H37" s="38" t="n">
        <x:v>9803176</x:v>
      </x:c>
      <x:c r="I37" s="39" t="n">
        <x:f>H37/G37</x:f>
        <x:v>1</x:v>
      </x:c>
      <x:c r="J37" s="40" t="n">
        <x:f>(I37-1)*100</x:f>
        <x:v>0</x:v>
      </x:c>
      <x:c r="K37" s="36" t="str">
        <x:v>no</x:v>
      </x:c>
      <x:c r="L37" s="36" t="str">
        <x:v>Single-country territory; UN WPP and vanilla are within the ±5% review threshold.</x:v>
      </x:c>
      <x:c r="M37" s="41" t="n">
        <x:v>42814619883</x:v>
      </x:c>
      <x:c r="N37" s="41" t="n">
        <x:v>68075245614</x:v>
      </x:c>
      <x:c r="O37" s="41" t="n">
        <x:v>6944</x:v>
      </x:c>
      <x:c r="P37" s="41" t="n">
        <x:v>2988</x:v>
      </x:c>
      <x:c r="Q37" s="41" t="n">
        <x:v>11786</x:v>
      </x:c>
      <x:c r="R37" s="42" t="n">
        <x:f>MIN(P37,Q37)</x:f>
        <x:v>2988</x:v>
      </x:c>
      <x:c r="S37" s="42" t="n">
        <x:f>MAX(P37,Q37)</x:f>
        <x:v>11786</x:v>
      </x:c>
      <x:c r="T37" s="42" t="n">
        <x:f>MAX(R37,MIN(O37,S37))</x:f>
        <x:v>6944</x:v>
      </x:c>
      <x:c r="U37" s="19" t="str">
        <x:f>IF(O37&lt;R37,IF(R37=P37,"clamped_to_nominal","clamped_to_ppp"),IF(O37&gt;S37,IF(S37=P37,"clamped_to_nominal","clamped_to_ppp"),"kept_vanilla"))</x:f>
        <x:v>kept_vanilla</x:v>
      </x:c>
      <x:c r="V37" s="42" t="n">
        <x:f>T37*H37</x:f>
        <x:v>68073254144</x:v>
      </x:c>
      <x:c r="W37" s="42" t="n">
        <x:f>V37/F37</x:f>
        <x:v>42813367386.16352</x:v>
      </x:c>
      <x:c r="X37" s="36" t="str">
        <x:v>BLR: UN WPP 2024 Medium exact 2003</x:v>
      </x:c>
      <x:c r="Y37" s="36" t="str">
        <x:v>BLR: IMF exact 2003</x:v>
      </x:c>
      <x:c r="Z37" s="36" t="str">
        <x:v>BLR: IMF exact 2003</x:v>
      </x:c>
      <x:c r="AA37" s="36" t="str">
        <x:v>complete_primary</x:v>
      </x:c>
      <x:c r="AB37" s="36" t="str">
        <x:v>https://www.un.org/development/desa/pd/world-population-prospects-2024</x:v>
      </x:c>
      <x:c r="AC37" s="36" t="str">
        <x:v>https://api.imf.org/external/sdmx/3.0/data/dataflow/IMF.RES/WEO/9.0.0/</x:v>
      </x:c>
      <x:c r="AD37" s="36" t="str">
        <x:v>https://api.worldbank.org/v2/</x:v>
      </x:c>
    </x:row>
    <x:row r="38">
      <x:c r="A38" s="24" t="str">
        <x:v>BLR</x:v>
      </x:c>
      <x:c r="B38" s="24" t="str">
        <x:v>Belarus</x:v>
      </x:c>
      <x:c r="C38" s="24" t="str">
        <x:v>BLR</x:v>
      </x:c>
      <x:c r="D38" s="24" t="str">
        <x:v>BLR</x:v>
      </x:c>
      <x:c r="E38" s="24" t="n">
        <x:v>2022</x:v>
      </x:c>
      <x:c r="F38" s="37" t="n">
        <x:v>1</x:v>
      </x:c>
      <x:c r="G38" s="38" t="n">
        <x:v>9429534</x:v>
      </x:c>
      <x:c r="H38" s="38" t="n">
        <x:v>9173237</x:v>
      </x:c>
      <x:c r="I38" s="39" t="n">
        <x:f>H38/G38</x:f>
        <x:v>0.972819759703926</x:v>
      </x:c>
      <x:c r="J38" s="40" t="n">
        <x:f>(I38-1)*100</x:f>
        <x:v>-2.718024029607402</x:v>
      </x:c>
      <x:c r="K38" s="36" t="str">
        <x:v>no</x:v>
      </x:c>
      <x:c r="L38" s="36" t="str">
        <x:v>Single-country territory; UN WPP and vanilla are within the ±5% review threshold.</x:v>
      </x:c>
      <x:c r="M38" s="41" t="n">
        <x:v>177539120000</x:v>
      </x:c>
      <x:c r="N38" s="41" t="n">
        <x:v>177539120000</x:v>
      </x:c>
      <x:c r="O38" s="41" t="n">
        <x:v>18828</x:v>
      </x:c>
      <x:c r="P38" s="41" t="n">
        <x:v>8038</x:v>
      </x:c>
      <x:c r="Q38" s="41" t="n">
        <x:v>28038</x:v>
      </x:c>
      <x:c r="R38" s="42" t="n">
        <x:f>MIN(P38,Q38)</x:f>
        <x:v>8038</x:v>
      </x:c>
      <x:c r="S38" s="42" t="n">
        <x:f>MAX(P38,Q38)</x:f>
        <x:v>28038</x:v>
      </x:c>
      <x:c r="T38" s="42" t="n">
        <x:f>MAX(R38,MIN(O38,S38))</x:f>
        <x:v>18828</x:v>
      </x:c>
      <x:c r="U38" s="19" t="str">
        <x:f>IF(O38&lt;R38,IF(R38=P38,"clamped_to_nominal","clamped_to_ppp"),IF(O38&gt;S38,IF(S38=P38,"clamped_to_nominal","clamped_to_ppp"),"kept_vanilla"))</x:f>
        <x:v>kept_vanilla</x:v>
      </x:c>
      <x:c r="V38" s="42" t="n">
        <x:f>T38*H38</x:f>
        <x:v>172713706236</x:v>
      </x:c>
      <x:c r="W38" s="42" t="n">
        <x:f>V38/F38</x:f>
        <x:v>172713706236</x:v>
      </x:c>
      <x:c r="X38" s="36" t="str">
        <x:v>BLR: UN WPP 2024 Medium exact 2022</x:v>
      </x:c>
      <x:c r="Y38" s="36" t="str">
        <x:v>BLR: IMF exact 2022</x:v>
      </x:c>
      <x:c r="Z38" s="36" t="str">
        <x:v>BLR: IMF exact 2022</x:v>
      </x:c>
      <x:c r="AA38" s="36" t="str">
        <x:v>complete_primary</x:v>
      </x:c>
      <x:c r="AB38" s="36" t="str">
        <x:v>https://www.un.org/development/desa/pd/world-population-prospects-2024</x:v>
      </x:c>
      <x:c r="AC38" s="36" t="str">
        <x:v>https://api.imf.org/external/sdmx/3.0/data/dataflow/IMF.RES/WEO/9.0.0/</x:v>
      </x:c>
      <x:c r="AD38" s="36" t="str">
        <x:v>https://api.worldbank.org/v2/</x:v>
      </x:c>
    </x:row>
    <x:row r="39">
      <x:c r="A39" s="24" t="str">
        <x:v>BLR</x:v>
      </x:c>
      <x:c r="B39" s="24" t="str">
        <x:v>Belarus</x:v>
      </x:c>
      <x:c r="C39" s="24" t="str">
        <x:v>BLR</x:v>
      </x:c>
      <x:c r="D39" s="24" t="str">
        <x:v>BLR</x:v>
      </x:c>
      <x:c r="E39" s="24" t="n">
        <x:v>2026</x:v>
      </x:c>
      <x:c r="F39" s="37" t="n">
        <x:v>0.87</x:v>
      </x:c>
      <x:c r="G39" s="38" t="n">
        <x:v>8937018</x:v>
      </x:c>
      <x:c r="H39" s="38" t="n">
        <x:v>8937018</x:v>
      </x:c>
      <x:c r="I39" s="39" t="n">
        <x:f>H39/G39</x:f>
        <x:v>1</x:v>
      </x:c>
      <x:c r="J39" s="40" t="n">
        <x:f>(I39-1)*100</x:f>
        <x:v>0</x:v>
      </x:c>
      <x:c r="K39" s="36" t="str">
        <x:v>no</x:v>
      </x:c>
      <x:c r="L39" s="36" t="str">
        <x:v>Single-country territory; UN WPP and vanilla are within the ±5% review threshold.</x:v>
      </x:c>
      <x:c r="M39" s="41" t="n">
        <x:v>274376080000</x:v>
      </x:c>
      <x:c r="N39" s="41" t="n">
        <x:v>238707189600</x:v>
      </x:c>
      <x:c r="O39" s="41" t="n">
        <x:v>26710</x:v>
      </x:c>
      <x:c r="P39" s="41" t="n">
        <x:v>9934</x:v>
      </x:c>
      <x:c r="Q39" s="41" t="n">
        <x:v>31348</x:v>
      </x:c>
      <x:c r="R39" s="42" t="n">
        <x:f>MIN(P39,Q39)</x:f>
        <x:v>9934</x:v>
      </x:c>
      <x:c r="S39" s="42" t="n">
        <x:f>MAX(P39,Q39)</x:f>
        <x:v>31348</x:v>
      </x:c>
      <x:c r="T39" s="42" t="n">
        <x:f>MAX(R39,MIN(O39,S39))</x:f>
        <x:v>26710</x:v>
      </x:c>
      <x:c r="U39" s="19" t="str">
        <x:f>IF(O39&lt;R39,IF(R39=P39,"clamped_to_nominal","clamped_to_ppp"),IF(O39&gt;S39,IF(S39=P39,"clamped_to_nominal","clamped_to_ppp"),"kept_vanilla"))</x:f>
        <x:v>kept_vanilla</x:v>
      </x:c>
      <x:c r="V39" s="42" t="n">
        <x:f>T39*H39</x:f>
        <x:v>238707750780</x:v>
      </x:c>
      <x:c r="W39" s="42" t="n">
        <x:f>V39/F39</x:f>
        <x:v>274376725034.48276</x:v>
      </x:c>
      <x:c r="X39" s="36" t="str">
        <x:v>BLR: UN WPP 2024 Medium exact 2026</x:v>
      </x:c>
      <x:c r="Y39" s="36" t="str">
        <x:v>BLR: IMF exact 2026</x:v>
      </x:c>
      <x:c r="Z39" s="36" t="str">
        <x:v>BLR: IMF exact 2026</x:v>
      </x:c>
      <x:c r="AA39" s="36" t="str">
        <x:v>complete_primary</x:v>
      </x:c>
      <x:c r="AB39" s="36" t="str">
        <x:v>https://www.un.org/development/desa/pd/world-population-prospects-2024</x:v>
      </x:c>
      <x:c r="AC39" s="36" t="str">
        <x:v>https://api.imf.org/external/sdmx/3.0/data/dataflow/IMF.RES/WEO/9.0.0/</x:v>
      </x:c>
      <x:c r="AD39" s="36" t="str">
        <x:v>https://api.worldbank.org/v2/</x:v>
      </x:c>
    </x:row>
    <x:row r="40">
      <x:c r="A40" s="24" t="str">
        <x:v>BGM</x:v>
      </x:c>
      <x:c r="B40" s="24" t="str">
        <x:v>Belgium</x:v>
      </x:c>
      <x:c r="C40" s="24" t="str">
        <x:v>BEL+LUX</x:v>
      </x:c>
      <x:c r="D40" s="24" t="str">
        <x:v>BEL+LUX</x:v>
      </x:c>
      <x:c r="E40" s="24" t="n">
        <x:v>2003</x:v>
      </x:c>
      <x:c r="F40" s="37" t="n">
        <x:v>1.59</x:v>
      </x:c>
      <x:c r="G40" s="38" t="n">
        <x:v>10376260</x:v>
      </x:c>
      <x:c r="H40" s="38" t="n">
        <x:v>10828098</x:v>
      </x:c>
      <x:c r="I40" s="39" t="n">
        <x:f>H40/G40</x:f>
        <x:v>1.0435453622017952</x:v>
      </x:c>
      <x:c r="J40" s="40" t="n">
        <x:f>(I40-1)*100</x:f>
        <x:v>4.354536220179517</x:v>
      </x:c>
      <x:c r="K40" s="36" t="str">
        <x:v>no</x:v>
      </x:c>
      <x:c r="L40" s="36" t="str">
        <x:v>Aggregated all explicit game ISO components; reviewed as a composite game country rather than comparing it with only the first sovereign state.</x:v>
      </x:c>
      <x:c r="M40" s="41" t="n">
        <x:v>206349122807</x:v>
      </x:c>
      <x:c r="N40" s="41" t="n">
        <x:v>328095105263</x:v>
      </x:c>
      <x:c r="O40" s="41" t="n">
        <x:v>31620</x:v>
      </x:c>
      <x:c r="P40" s="41" t="n">
        <x:v>51051</x:v>
      </x:c>
      <x:c r="Q40" s="41" t="n">
        <x:v>57524</x:v>
      </x:c>
      <x:c r="R40" s="42" t="n">
        <x:f>MIN(P40,Q40)</x:f>
        <x:v>51051</x:v>
      </x:c>
      <x:c r="S40" s="42" t="n">
        <x:f>MAX(P40,Q40)</x:f>
        <x:v>57524</x:v>
      </x:c>
      <x:c r="T40" s="42" t="n">
        <x:f>MAX(R40,MIN(O40,S40))</x:f>
        <x:v>51051</x:v>
      </x:c>
      <x:c r="U40" s="19" t="str">
        <x:f>IF(O40&lt;R40,IF(R40=P40,"clamped_to_nominal","clamped_to_ppp"),IF(O40&gt;S40,IF(S40=P40,"clamped_to_nominal","clamped_to_ppp"),"kept_vanilla"))</x:f>
        <x:v>clamped_to_nominal</x:v>
      </x:c>
      <x:c r="V40" s="42" t="n">
        <x:f>T40*H40</x:f>
        <x:v>552785230998</x:v>
      </x:c>
      <x:c r="W40" s="42" t="n">
        <x:f>V40/F40</x:f>
        <x:v>347663667294.3396</x:v>
      </x:c>
      <x:c r="X40" s="36" t="str">
        <x:v>BEL: UN WPP 2024 Medium exact 2003; LUX: UN WPP 2024 Medium exact 2003</x:v>
      </x:c>
      <x:c r="Y40" s="36" t="str">
        <x:v>BEL: IMF exact 2003; LUX: IMF exact 2003</x:v>
      </x:c>
      <x:c r="Z40" s="36" t="str">
        <x:v>BEL: IMF exact 2003; LUX: IMF exact 2003</x:v>
      </x:c>
      <x:c r="AA40" s="36" t="str">
        <x:v>complete_primary</x:v>
      </x:c>
      <x:c r="AB40" s="36" t="str">
        <x:v>https://www.un.org/development/desa/pd/world-population-prospects-2024</x:v>
      </x:c>
      <x:c r="AC40" s="36" t="str">
        <x:v>https://api.imf.org/external/sdmx/3.0/data/dataflow/IMF.RES/WEO/9.0.0/</x:v>
      </x:c>
      <x:c r="AD40" s="36" t="str">
        <x:v>https://api.worldbank.org/v2/</x:v>
      </x:c>
    </x:row>
    <x:row r="41">
      <x:c r="A41" s="24" t="str">
        <x:v>BGM</x:v>
      </x:c>
      <x:c r="B41" s="24" t="str">
        <x:v>Belgium</x:v>
      </x:c>
      <x:c r="C41" s="24" t="str">
        <x:v>BEL+LUX</x:v>
      </x:c>
      <x:c r="D41" s="24" t="str">
        <x:v>BEL+LUX</x:v>
      </x:c>
      <x:c r="E41" s="24" t="n">
        <x:v>2022</x:v>
      </x:c>
      <x:c r="F41" s="37" t="n">
        <x:v>1</x:v>
      </x:c>
      <x:c r="G41" s="38" t="n">
        <x:v>11678732</x:v>
      </x:c>
      <x:c r="H41" s="38" t="n">
        <x:v>12295133</x:v>
      </x:c>
      <x:c r="I41" s="39" t="n">
        <x:f>H41/G41</x:f>
        <x:v>1.0527797880797334</x:v>
      </x:c>
      <x:c r="J41" s="40" t="n">
        <x:f>(I41-1)*100</x:f>
        <x:v>5.277978807973338</x:v>
      </x:c>
      <x:c r="K41" s="36" t="str">
        <x:v>yes — reviewed</x:v>
      </x:c>
      <x:c r="L41" s="36" t="str">
        <x:v>Aggregated all explicit game ISO components; reviewed as a composite game country rather than comparing it with only the first sovereign state.</x:v>
      </x:c>
      <x:c r="M41" s="41" t="n">
        <x:v>629779040000</x:v>
      </x:c>
      <x:c r="N41" s="41" t="n">
        <x:v>629779040000</x:v>
      </x:c>
      <x:c r="O41" s="41" t="n">
        <x:v>53925</x:v>
      </x:c>
      <x:c r="P41" s="41" t="n">
        <x:v>54690</x:v>
      </x:c>
      <x:c r="Q41" s="41" t="n">
        <x:v>72606</x:v>
      </x:c>
      <x:c r="R41" s="42" t="n">
        <x:f>MIN(P41,Q41)</x:f>
        <x:v>54690</x:v>
      </x:c>
      <x:c r="S41" s="42" t="n">
        <x:f>MAX(P41,Q41)</x:f>
        <x:v>72606</x:v>
      </x:c>
      <x:c r="T41" s="42" t="n">
        <x:f>MAX(R41,MIN(O41,S41))</x:f>
        <x:v>54690</x:v>
      </x:c>
      <x:c r="U41" s="19" t="str">
        <x:f>IF(O41&lt;R41,IF(R41=P41,"clamped_to_nominal","clamped_to_ppp"),IF(O41&gt;S41,IF(S41=P41,"clamped_to_nominal","clamped_to_ppp"),"kept_vanilla"))</x:f>
        <x:v>clamped_to_nominal</x:v>
      </x:c>
      <x:c r="V41" s="42" t="n">
        <x:f>T41*H41</x:f>
        <x:v>672420823770</x:v>
      </x:c>
      <x:c r="W41" s="42" t="n">
        <x:f>V41/F41</x:f>
        <x:v>672420823770</x:v>
      </x:c>
      <x:c r="X41" s="36" t="str">
        <x:v>BEL: UN WPP 2024 Medium exact 2022; LUX: UN WPP 2024 Medium exact 2022</x:v>
      </x:c>
      <x:c r="Y41" s="36" t="str">
        <x:v>BEL: IMF exact 2022; LUX: IMF exact 2022</x:v>
      </x:c>
      <x:c r="Z41" s="36" t="str">
        <x:v>BEL: IMF exact 2022; LUX: IMF exact 2022</x:v>
      </x:c>
      <x:c r="AA41" s="36" t="str">
        <x:v>complete_primary</x:v>
      </x:c>
      <x:c r="AB41" s="36" t="str">
        <x:v>https://www.un.org/development/desa/pd/world-population-prospects-2024</x:v>
      </x:c>
      <x:c r="AC41" s="36" t="str">
        <x:v>https://api.imf.org/external/sdmx/3.0/data/dataflow/IMF.RES/WEO/9.0.0/</x:v>
      </x:c>
      <x:c r="AD41" s="36" t="str">
        <x:v>https://api.worldbank.org/v2/</x:v>
      </x:c>
    </x:row>
    <x:row r="42">
      <x:c r="A42" s="24" t="str">
        <x:v>BGM</x:v>
      </x:c>
      <x:c r="B42" s="24" t="str">
        <x:v>Belgium</x:v>
      </x:c>
      <x:c r="C42" s="24" t="str">
        <x:v>BEL+LUX</x:v>
      </x:c>
      <x:c r="D42" s="24" t="str">
        <x:v>BEL+LUX</x:v>
      </x:c>
      <x:c r="E42" s="24" t="n">
        <x:v>2026</x:v>
      </x:c>
      <x:c r="F42" s="37" t="n">
        <x:v>0.87</x:v>
      </x:c>
      <x:c r="G42" s="38" t="n">
        <x:v>11774643</x:v>
      </x:c>
      <x:c r="H42" s="38" t="n">
        <x:v>12462090</x:v>
      </x:c>
      <x:c r="I42" s="39" t="n">
        <x:f>H42/G42</x:f>
        <x:v>1.0583836809319824</x:v>
      </x:c>
      <x:c r="J42" s="40" t="n">
        <x:f>(I42-1)*100</x:f>
        <x:v>5.838368093198243</x:v>
      </x:c>
      <x:c r="K42" s="36" t="str">
        <x:v>yes — reviewed</x:v>
      </x:c>
      <x:c r="L42" s="36" t="str">
        <x:v>Aggregated all explicit game ISO components; reviewed as a composite game country rather than comparing it with only the first sovereign state.</x:v>
      </x:c>
      <x:c r="M42" s="41" t="n">
        <x:v>791220320000</x:v>
      </x:c>
      <x:c r="N42" s="41" t="n">
        <x:v>688361678400</x:v>
      </x:c>
      <x:c r="O42" s="41" t="n">
        <x:v>58461</x:v>
      </x:c>
      <x:c r="P42" s="41" t="n">
        <x:v>61933</x:v>
      </x:c>
      <x:c r="Q42" s="41" t="n">
        <x:v>73074</x:v>
      </x:c>
      <x:c r="R42" s="42" t="n">
        <x:f>MIN(P42,Q42)</x:f>
        <x:v>61933</x:v>
      </x:c>
      <x:c r="S42" s="42" t="n">
        <x:f>MAX(P42,Q42)</x:f>
        <x:v>73074</x:v>
      </x:c>
      <x:c r="T42" s="42" t="n">
        <x:f>MAX(R42,MIN(O42,S42))</x:f>
        <x:v>61933</x:v>
      </x:c>
      <x:c r="U42" s="19" t="str">
        <x:f>IF(O42&lt;R42,IF(R42=P42,"clamped_to_nominal","clamped_to_ppp"),IF(O42&gt;S42,IF(S42=P42,"clamped_to_nominal","clamped_to_ppp"),"kept_vanilla"))</x:f>
        <x:v>clamped_to_nominal</x:v>
      </x:c>
      <x:c r="V42" s="42" t="n">
        <x:f>T42*H42</x:f>
        <x:v>771814619970</x:v>
      </x:c>
      <x:c r="W42" s="42" t="n">
        <x:f>V42/F42</x:f>
        <x:v>887143241344.8276</x:v>
      </x:c>
      <x:c r="X42" s="36" t="str">
        <x:v>BEL: UN WPP 2024 Medium exact 2026; LUX: UN WPP 2024 Medium exact 2026</x:v>
      </x:c>
      <x:c r="Y42" s="36" t="str">
        <x:v>BEL: IMF exact 2026; LUX: IMF exact 2026</x:v>
      </x:c>
      <x:c r="Z42" s="36" t="str">
        <x:v>BEL: IMF exact 2026; LUX: IMF exact 2026</x:v>
      </x:c>
      <x:c r="AA42" s="36" t="str">
        <x:v>complete_primary</x:v>
      </x:c>
      <x:c r="AB42" s="36" t="str">
        <x:v>https://www.un.org/development/desa/pd/world-population-prospects-2024</x:v>
      </x:c>
      <x:c r="AC42" s="36" t="str">
        <x:v>https://api.imf.org/external/sdmx/3.0/data/dataflow/IMF.RES/WEO/9.0.0/</x:v>
      </x:c>
      <x:c r="AD42" s="36" t="str">
        <x:v>https://api.worldbank.org/v2/</x:v>
      </x:c>
    </x:row>
    <x:row r="43">
      <x:c r="A43" s="24" t="str">
        <x:v>BEL</x:v>
      </x:c>
      <x:c r="B43" s="24" t="str">
        <x:v>Belize</x:v>
      </x:c>
      <x:c r="C43" s="24" t="str">
        <x:v>BLZ</x:v>
      </x:c>
      <x:c r="D43" s="24" t="str">
        <x:v>BLZ</x:v>
      </x:c>
      <x:c r="E43" s="24" t="n">
        <x:v>2003</x:v>
      </x:c>
      <x:c r="F43" s="37" t="n">
        <x:v>1.59</x:v>
      </x:c>
      <x:c r="G43" s="38" t="n">
        <x:v>263780</x:v>
      </x:c>
      <x:c r="H43" s="38" t="n">
        <x:v>263780</x:v>
      </x:c>
      <x:c r="I43" s="39" t="n">
        <x:f>H43/G43</x:f>
        <x:v>1</x:v>
      </x:c>
      <x:c r="J43" s="40" t="n">
        <x:f>(I43-1)*100</x:f>
        <x:v>0</x:v>
      </x:c>
      <x:c r="K43" s="36" t="str">
        <x:v>no</x:v>
      </x:c>
      <x:c r="L43" s="36" t="str">
        <x:v>Single-country territory; UN WPP and vanilla are within the ±5% review threshold.</x:v>
      </x:c>
      <x:c r="M43" s="41" t="n">
        <x:v>1176023392</x:v>
      </x:c>
      <x:c r="N43" s="41" t="n">
        <x:v>1869877193</x:v>
      </x:c>
      <x:c r="O43" s="41" t="n">
        <x:v>7089</x:v>
      </x:c>
      <x:c r="P43" s="41" t="n">
        <x:v>7886</x:v>
      </x:c>
      <x:c r="Q43" s="41" t="n">
        <x:v>12149</x:v>
      </x:c>
      <x:c r="R43" s="42" t="n">
        <x:f>MIN(P43,Q43)</x:f>
        <x:v>7886</x:v>
      </x:c>
      <x:c r="S43" s="42" t="n">
        <x:f>MAX(P43,Q43)</x:f>
        <x:v>12149</x:v>
      </x:c>
      <x:c r="T43" s="42" t="n">
        <x:f>MAX(R43,MIN(O43,S43))</x:f>
        <x:v>7886</x:v>
      </x:c>
      <x:c r="U43" s="19" t="str">
        <x:f>IF(O43&lt;R43,IF(R43=P43,"clamped_to_nominal","clamped_to_ppp"),IF(O43&gt;S43,IF(S43=P43,"clamped_to_nominal","clamped_to_ppp"),"kept_vanilla"))</x:f>
        <x:v>clamped_to_nominal</x:v>
      </x:c>
      <x:c r="V43" s="42" t="n">
        <x:f>T43*H43</x:f>
        <x:v>2080169080</x:v>
      </x:c>
      <x:c r="W43" s="42" t="n">
        <x:f>V43/F43</x:f>
        <x:v>1308282440.2515724</x:v>
      </x:c>
      <x:c r="X43" s="36" t="str">
        <x:v>BLZ: UN WPP 2024 Medium exact 2003</x:v>
      </x:c>
      <x:c r="Y43" s="36" t="str">
        <x:v>BLZ: IMF exact 2003</x:v>
      </x:c>
      <x:c r="Z43" s="36" t="str">
        <x:v>BLZ: IMF exact 2003</x:v>
      </x:c>
      <x:c r="AA43" s="36" t="str">
        <x:v>complete_primary</x:v>
      </x:c>
      <x:c r="AB43" s="36" t="str">
        <x:v>https://www.un.org/development/desa/pd/world-population-prospects-2024</x:v>
      </x:c>
      <x:c r="AC43" s="36" t="str">
        <x:v>https://api.imf.org/external/sdmx/3.0/data/dataflow/IMF.RES/WEO/9.0.0/</x:v>
      </x:c>
      <x:c r="AD43" s="36" t="str">
        <x:v>https://api.worldbank.org/v2/</x:v>
      </x:c>
    </x:row>
    <x:row r="44">
      <x:c r="A44" s="24" t="str">
        <x:v>BEL</x:v>
      </x:c>
      <x:c r="B44" s="24" t="str">
        <x:v>Belize</x:v>
      </x:c>
      <x:c r="C44" s="24" t="str">
        <x:v>BLZ</x:v>
      </x:c>
      <x:c r="D44" s="24" t="str">
        <x:v>BLZ</x:v>
      </x:c>
      <x:c r="E44" s="24" t="n">
        <x:v>2022</x:v>
      </x:c>
      <x:c r="F44" s="37" t="n">
        <x:v>1</x:v>
      </x:c>
      <x:c r="G44" s="38" t="n">
        <x:v>414463</x:v>
      </x:c>
      <x:c r="H44" s="38" t="n">
        <x:v>402733</x:v>
      </x:c>
      <x:c r="I44" s="39" t="n">
        <x:f>H44/G44</x:f>
        <x:v>0.97169831806458</x:v>
      </x:c>
      <x:c r="J44" s="40" t="n">
        <x:f>(I44-1)*100</x:f>
        <x:v>-2.830168193542004</x:v>
      </x:c>
      <x:c r="K44" s="36" t="str">
        <x:v>no</x:v>
      </x:c>
      <x:c r="L44" s="36" t="str">
        <x:v>Single-country territory; UN WPP and vanilla are within the ±5% review threshold.</x:v>
      </x:c>
      <x:c r="M44" s="41" t="n">
        <x:v>2770240000</x:v>
      </x:c>
      <x:c r="N44" s="41" t="n">
        <x:v>2770240000</x:v>
      </x:c>
      <x:c r="O44" s="41" t="n">
        <x:v>6684</x:v>
      </x:c>
      <x:c r="P44" s="41" t="n">
        <x:v>7068</x:v>
      </x:c>
      <x:c r="Q44" s="41" t="n">
        <x:v>13459</x:v>
      </x:c>
      <x:c r="R44" s="42" t="n">
        <x:f>MIN(P44,Q44)</x:f>
        <x:v>7068</x:v>
      </x:c>
      <x:c r="S44" s="42" t="n">
        <x:f>MAX(P44,Q44)</x:f>
        <x:v>13459</x:v>
      </x:c>
      <x:c r="T44" s="42" t="n">
        <x:f>MAX(R44,MIN(O44,S44))</x:f>
        <x:v>7068</x:v>
      </x:c>
      <x:c r="U44" s="19" t="str">
        <x:f>IF(O44&lt;R44,IF(R44=P44,"clamped_to_nominal","clamped_to_ppp"),IF(O44&gt;S44,IF(S44=P44,"clamped_to_nominal","clamped_to_ppp"),"kept_vanilla"))</x:f>
        <x:v>clamped_to_nominal</x:v>
      </x:c>
      <x:c r="V44" s="42" t="n">
        <x:f>T44*H44</x:f>
        <x:v>2846516844</x:v>
      </x:c>
      <x:c r="W44" s="42" t="n">
        <x:f>V44/F44</x:f>
        <x:v>2846516844</x:v>
      </x:c>
      <x:c r="X44" s="36" t="str">
        <x:v>BLZ: UN WPP 2024 Medium exact 2022</x:v>
      </x:c>
      <x:c r="Y44" s="36" t="str">
        <x:v>BLZ: IMF exact 2022</x:v>
      </x:c>
      <x:c r="Z44" s="36" t="str">
        <x:v>BLZ: IMF exact 2022</x:v>
      </x:c>
      <x:c r="AA44" s="36" t="str">
        <x:v>complete_primary</x:v>
      </x:c>
      <x:c r="AB44" s="36" t="str">
        <x:v>https://www.un.org/development/desa/pd/world-population-prospects-2024</x:v>
      </x:c>
      <x:c r="AC44" s="36" t="str">
        <x:v>https://api.imf.org/external/sdmx/3.0/data/dataflow/IMF.RES/WEO/9.0.0/</x:v>
      </x:c>
      <x:c r="AD44" s="36" t="str">
        <x:v>https://api.worldbank.org/v2/</x:v>
      </x:c>
    </x:row>
    <x:row r="45">
      <x:c r="A45" s="24" t="str">
        <x:v>BEL</x:v>
      </x:c>
      <x:c r="B45" s="24" t="str">
        <x:v>Belize</x:v>
      </x:c>
      <x:c r="C45" s="24" t="str">
        <x:v>BLZ</x:v>
      </x:c>
      <x:c r="D45" s="24" t="str">
        <x:v>BLZ</x:v>
      </x:c>
      <x:c r="E45" s="24" t="n">
        <x:v>2026</x:v>
      </x:c>
      <x:c r="F45" s="37" t="n">
        <x:v>0.87</x:v>
      </x:c>
      <x:c r="G45" s="38" t="n">
        <x:v>428645</x:v>
      </x:c>
      <x:c r="H45" s="38" t="n">
        <x:v>428644</x:v>
      </x:c>
      <x:c r="I45" s="39" t="n">
        <x:f>H45/G45</x:f>
        <x:v>0.9999976670671534</x:v>
      </x:c>
      <x:c r="J45" s="40" t="n">
        <x:f>(I45-1)*100</x:f>
        <x:v>-0.0002332932846571545</x:v>
      </x:c>
      <x:c r="K45" s="36" t="str">
        <x:v>no</x:v>
      </x:c>
      <x:c r="L45" s="36" t="str">
        <x:v>Single-country territory; UN WPP and vanilla are within the ±5% review threshold.</x:v>
      </x:c>
      <x:c r="M45" s="41" t="n">
        <x:v>5871360000</x:v>
      </x:c>
      <x:c r="N45" s="41" t="n">
        <x:v>5108083200</x:v>
      </x:c>
      <x:c r="O45" s="41" t="n">
        <x:v>11917</x:v>
      </x:c>
      <x:c r="P45" s="41" t="n">
        <x:v>7002</x:v>
      </x:c>
      <x:c r="Q45" s="41" t="n">
        <x:v>13509</x:v>
      </x:c>
      <x:c r="R45" s="42" t="n">
        <x:f>MIN(P45,Q45)</x:f>
        <x:v>7002</x:v>
      </x:c>
      <x:c r="S45" s="42" t="n">
        <x:f>MAX(P45,Q45)</x:f>
        <x:v>13509</x:v>
      </x:c>
      <x:c r="T45" s="42" t="n">
        <x:f>MAX(R45,MIN(O45,S45))</x:f>
        <x:v>11917</x:v>
      </x:c>
      <x:c r="U45" s="19" t="str">
        <x:f>IF(O45&lt;R45,IF(R45=P45,"clamped_to_nominal","clamped_to_ppp"),IF(O45&gt;S45,IF(S45=P45,"clamped_to_nominal","clamped_to_ppp"),"kept_vanilla"))</x:f>
        <x:v>kept_vanilla</x:v>
      </x:c>
      <x:c r="V45" s="42" t="n">
        <x:f>T45*H45</x:f>
        <x:v>5108150548</x:v>
      </x:c>
      <x:c r="W45" s="42" t="n">
        <x:f>V45/F45</x:f>
        <x:v>5871437411.494253</x:v>
      </x:c>
      <x:c r="X45" s="36" t="str">
        <x:v>BLZ: UN WPP 2024 Medium exact 2026</x:v>
      </x:c>
      <x:c r="Y45" s="36" t="str">
        <x:v>BLZ: IMF exact 2026</x:v>
      </x:c>
      <x:c r="Z45" s="36" t="str">
        <x:v>BLZ: IMF exact 2026</x:v>
      </x:c>
      <x:c r="AA45" s="36" t="str">
        <x:v>complete_primary</x:v>
      </x:c>
      <x:c r="AB45" s="36" t="str">
        <x:v>https://www.un.org/development/desa/pd/world-population-prospects-2024</x:v>
      </x:c>
      <x:c r="AC45" s="36" t="str">
        <x:v>https://api.imf.org/external/sdmx/3.0/data/dataflow/IMF.RES/WEO/9.0.0/</x:v>
      </x:c>
      <x:c r="AD45" s="36" t="str">
        <x:v>https://api.worldbank.org/v2/</x:v>
      </x:c>
    </x:row>
    <x:row r="46">
      <x:c r="A46" s="24" t="str">
        <x:v>BEN</x:v>
      </x:c>
      <x:c r="B46" s="24" t="str">
        <x:v>Benin</x:v>
      </x:c>
      <x:c r="C46" s="24" t="str">
        <x:v>BEN</x:v>
      </x:c>
      <x:c r="D46" s="24" t="str">
        <x:v>BEN</x:v>
      </x:c>
      <x:c r="E46" s="24" t="n">
        <x:v>2003</x:v>
      </x:c>
      <x:c r="F46" s="37" t="n">
        <x:v>1.59</x:v>
      </x:c>
      <x:c r="G46" s="38" t="n">
        <x:v>7913070</x:v>
      </x:c>
      <x:c r="H46" s="38" t="n">
        <x:v>7913070</x:v>
      </x:c>
      <x:c r="I46" s="39" t="n">
        <x:f>H46/G46</x:f>
        <x:v>1</x:v>
      </x:c>
      <x:c r="J46" s="40" t="n">
        <x:f>(I46-1)*100</x:f>
        <x:v>0</x:v>
      </x:c>
      <x:c r="K46" s="36" t="str">
        <x:v>no</x:v>
      </x:c>
      <x:c r="L46" s="36" t="str">
        <x:v>Single-country territory; UN WPP and vanilla are within the ±5% review threshold.</x:v>
      </x:c>
      <x:c r="M46" s="41" t="n">
        <x:v>8922222222</x:v>
      </x:c>
      <x:c r="N46" s="41" t="n">
        <x:v>14186333333</x:v>
      </x:c>
      <x:c r="O46" s="41" t="n">
        <x:v>1793</x:v>
      </x:c>
      <x:c r="P46" s="41" t="n">
        <x:v>1075</x:v>
      </x:c>
      <x:c r="Q46" s="41" t="n">
        <x:v>3084</x:v>
      </x:c>
      <x:c r="R46" s="42" t="n">
        <x:f>MIN(P46,Q46)</x:f>
        <x:v>1075</x:v>
      </x:c>
      <x:c r="S46" s="42" t="n">
        <x:f>MAX(P46,Q46)</x:f>
        <x:v>3084</x:v>
      </x:c>
      <x:c r="T46" s="42" t="n">
        <x:f>MAX(R46,MIN(O46,S46))</x:f>
        <x:v>1793</x:v>
      </x:c>
      <x:c r="U46" s="19" t="str">
        <x:f>IF(O46&lt;R46,IF(R46=P46,"clamped_to_nominal","clamped_to_ppp"),IF(O46&gt;S46,IF(S46=P46,"clamped_to_nominal","clamped_to_ppp"),"kept_vanilla"))</x:f>
        <x:v>kept_vanilla</x:v>
      </x:c>
      <x:c r="V46" s="42" t="n">
        <x:f>T46*H46</x:f>
        <x:v>14188134510</x:v>
      </x:c>
      <x:c r="W46" s="42" t="n">
        <x:f>V46/F46</x:f>
        <x:v>8923355037.73585</x:v>
      </x:c>
      <x:c r="X46" s="36" t="str">
        <x:v>BEN: UN WPP 2024 Medium exact 2003</x:v>
      </x:c>
      <x:c r="Y46" s="36" t="str">
        <x:v>BEN: IMF exact 2003</x:v>
      </x:c>
      <x:c r="Z46" s="36" t="str">
        <x:v>BEN: IMF exact 2003</x:v>
      </x:c>
      <x:c r="AA46" s="36" t="str">
        <x:v>complete_primary</x:v>
      </x:c>
      <x:c r="AB46" s="36" t="str">
        <x:v>https://www.un.org/development/desa/pd/world-population-prospects-2024</x:v>
      </x:c>
      <x:c r="AC46" s="36" t="str">
        <x:v>https://api.imf.org/external/sdmx/3.0/data/dataflow/IMF.RES/WEO/9.0.0/</x:v>
      </x:c>
      <x:c r="AD46" s="36" t="str">
        <x:v>https://api.worldbank.org/v2/</x:v>
      </x:c>
    </x:row>
    <x:row r="47">
      <x:c r="A47" s="24" t="str">
        <x:v>BEN</x:v>
      </x:c>
      <x:c r="B47" s="24" t="str">
        <x:v>Benin</x:v>
      </x:c>
      <x:c r="C47" s="24" t="str">
        <x:v>BEN</x:v>
      </x:c>
      <x:c r="D47" s="24" t="str">
        <x:v>BEN</x:v>
      </x:c>
      <x:c r="E47" s="24" t="n">
        <x:v>2022</x:v>
      </x:c>
      <x:c r="F47" s="37" t="n">
        <x:v>1</x:v>
      </x:c>
      <x:c r="G47" s="38" t="n">
        <x:v>12890081</x:v>
      </x:c>
      <x:c r="H47" s="38" t="n">
        <x:v>13759501</x:v>
      </x:c>
      <x:c r="I47" s="39" t="n">
        <x:f>H47/G47</x:f>
        <x:v>1.0674487615710095</x:v>
      </x:c>
      <x:c r="J47" s="40" t="n">
        <x:f>(I47-1)*100</x:f>
        <x:v>6.744876157100954</x:v>
      </x:c>
      <x:c r="K47" s="36" t="str">
        <x:v>yes — reviewed</x:v>
      </x:c>
      <x:c r="L47" s="36" t="str">
        <x:v>Single-country game territory and UN country/area boundary align. The difference is an updated historical estimate/projection vintage, not a geographic-scope mismatch; accept the UN WPP value for a consistent source vintage.</x:v>
      </x:c>
      <x:c r="M47" s="41" t="n">
        <x:v>46735040000</x:v>
      </x:c>
      <x:c r="N47" s="41" t="n">
        <x:v>46735040000</x:v>
      </x:c>
      <x:c r="O47" s="41" t="n">
        <x:v>3626</x:v>
      </x:c>
      <x:c r="P47" s="41" t="n">
        <x:v>1267</x:v>
      </x:c>
      <x:c r="Q47" s="41" t="n">
        <x:v>3844</x:v>
      </x:c>
      <x:c r="R47" s="42" t="n">
        <x:f>MIN(P47,Q47)</x:f>
        <x:v>1267</x:v>
      </x:c>
      <x:c r="S47" s="42" t="n">
        <x:f>MAX(P47,Q47)</x:f>
        <x:v>3844</x:v>
      </x:c>
      <x:c r="T47" s="42" t="n">
        <x:f>MAX(R47,MIN(O47,S47))</x:f>
        <x:v>3626</x:v>
      </x:c>
      <x:c r="U47" s="19" t="str">
        <x:f>IF(O47&lt;R47,IF(R47=P47,"clamped_to_nominal","clamped_to_ppp"),IF(O47&gt;S47,IF(S47=P47,"clamped_to_nominal","clamped_to_ppp"),"kept_vanilla"))</x:f>
        <x:v>kept_vanilla</x:v>
      </x:c>
      <x:c r="V47" s="42" t="n">
        <x:f>T47*H47</x:f>
        <x:v>49891950626</x:v>
      </x:c>
      <x:c r="W47" s="42" t="n">
        <x:f>V47/F47</x:f>
        <x:v>49891950626</x:v>
      </x:c>
      <x:c r="X47" s="36" t="str">
        <x:v>BEN: UN WPP 2024 Medium exact 2022</x:v>
      </x:c>
      <x:c r="Y47" s="36" t="str">
        <x:v>BEN: IMF exact 2022</x:v>
      </x:c>
      <x:c r="Z47" s="36" t="str">
        <x:v>BEN: IMF exact 2022</x:v>
      </x:c>
      <x:c r="AA47" s="36" t="str">
        <x:v>complete_primary</x:v>
      </x:c>
      <x:c r="AB47" s="36" t="str">
        <x:v>https://www.un.org/development/desa/pd/world-population-prospects-2024</x:v>
      </x:c>
      <x:c r="AC47" s="36" t="str">
        <x:v>https://api.imf.org/external/sdmx/3.0/data/dataflow/IMF.RES/WEO/9.0.0/</x:v>
      </x:c>
      <x:c r="AD47" s="36" t="str">
        <x:v>https://api.worldbank.org/v2/</x:v>
      </x:c>
    </x:row>
    <x:row r="48">
      <x:c r="A48" s="24" t="str">
        <x:v>BEN</x:v>
      </x:c>
      <x:c r="B48" s="24" t="str">
        <x:v>Benin</x:v>
      </x:c>
      <x:c r="C48" s="24" t="str">
        <x:v>BEN</x:v>
      </x:c>
      <x:c r="D48" s="24" t="str">
        <x:v>BEN</x:v>
      </x:c>
      <x:c r="E48" s="24" t="n">
        <x:v>2026</x:v>
      </x:c>
      <x:c r="F48" s="37" t="n">
        <x:v>0.87</x:v>
      </x:c>
      <x:c r="G48" s="38" t="n">
        <x:v>15170420</x:v>
      </x:c>
      <x:c r="H48" s="38" t="n">
        <x:v>15170419</x:v>
      </x:c>
      <x:c r="I48" s="39" t="n">
        <x:f>H48/G48</x:f>
        <x:v>0.9999999340822469</x:v>
      </x:c>
      <x:c r="J48" s="40" t="n">
        <x:f>(I48-1)*100</x:f>
        <x:v>-0.00000659177531447952</x:v>
      </x:c>
      <x:c r="K48" s="36" t="str">
        <x:v>no</x:v>
      </x:c>
      <x:c r="L48" s="36" t="str">
        <x:v>Single-country territory; UN WPP and vanilla are within the ±5% review threshold.</x:v>
      </x:c>
      <x:c r="M48" s="41" t="n">
        <x:v>61167920000</x:v>
      </x:c>
      <x:c r="N48" s="41" t="n">
        <x:v>53216090400</x:v>
      </x:c>
      <x:c r="O48" s="41" t="n">
        <x:v>3508</x:v>
      </x:c>
      <x:c r="P48" s="41" t="n">
        <x:v>1593</x:v>
      </x:c>
      <x:c r="Q48" s="41" t="n">
        <x:v>4481</x:v>
      </x:c>
      <x:c r="R48" s="42" t="n">
        <x:f>MIN(P48,Q48)</x:f>
        <x:v>1593</x:v>
      </x:c>
      <x:c r="S48" s="42" t="n">
        <x:f>MAX(P48,Q48)</x:f>
        <x:v>4481</x:v>
      </x:c>
      <x:c r="T48" s="42" t="n">
        <x:f>MAX(R48,MIN(O48,S48))</x:f>
        <x:v>3508</x:v>
      </x:c>
      <x:c r="U48" s="19" t="str">
        <x:f>IF(O48&lt;R48,IF(R48=P48,"clamped_to_nominal","clamped_to_ppp"),IF(O48&gt;S48,IF(S48=P48,"clamped_to_nominal","clamped_to_ppp"),"kept_vanilla"))</x:f>
        <x:v>kept_vanilla</x:v>
      </x:c>
      <x:c r="V48" s="42" t="n">
        <x:f>T48*H48</x:f>
        <x:v>53217829852</x:v>
      </x:c>
      <x:c r="W48" s="42" t="n">
        <x:f>V48/F48</x:f>
        <x:v>61169919370.114944</x:v>
      </x:c>
      <x:c r="X48" s="36" t="str">
        <x:v>BEN: UN WPP 2024 Medium exact 2026</x:v>
      </x:c>
      <x:c r="Y48" s="36" t="str">
        <x:v>BEN: IMF exact 2026</x:v>
      </x:c>
      <x:c r="Z48" s="36" t="str">
        <x:v>BEN: IMF exact 2026</x:v>
      </x:c>
      <x:c r="AA48" s="36" t="str">
        <x:v>complete_primary</x:v>
      </x:c>
      <x:c r="AB48" s="36" t="str">
        <x:v>https://www.un.org/development/desa/pd/world-population-prospects-2024</x:v>
      </x:c>
      <x:c r="AC48" s="36" t="str">
        <x:v>https://api.imf.org/external/sdmx/3.0/data/dataflow/IMF.RES/WEO/9.0.0/</x:v>
      </x:c>
      <x:c r="AD48" s="36" t="str">
        <x:v>https://api.worldbank.org/v2/</x:v>
      </x:c>
    </x:row>
    <x:row r="49">
      <x:c r="A49" s="24" t="str">
        <x:v>BHU</x:v>
      </x:c>
      <x:c r="B49" s="24" t="str">
        <x:v>Bhutan</x:v>
      </x:c>
      <x:c r="C49" s="24" t="str">
        <x:v>BTN</x:v>
      </x:c>
      <x:c r="D49" s="24" t="str">
        <x:v>BTN</x:v>
      </x:c>
      <x:c r="E49" s="24" t="n">
        <x:v>2003</x:v>
      </x:c>
      <x:c r="F49" s="37" t="n">
        <x:v>1.59</x:v>
      </x:c>
      <x:c r="G49" s="38" t="n">
        <x:v>637663</x:v>
      </x:c>
      <x:c r="H49" s="38" t="n">
        <x:v>637663</x:v>
      </x:c>
      <x:c r="I49" s="39" t="n">
        <x:f>H49/G49</x:f>
        <x:v>1</x:v>
      </x:c>
      <x:c r="J49" s="40" t="n">
        <x:f>(I49-1)*100</x:f>
        <x:v>0</x:v>
      </x:c>
      <x:c r="K49" s="36" t="str">
        <x:v>no</x:v>
      </x:c>
      <x:c r="L49" s="36" t="str">
        <x:v>Single-country territory; UN WPP and vanilla are within the ±5% review threshold.</x:v>
      </x:c>
      <x:c r="M49" s="41" t="n">
        <x:v>1473099415</x:v>
      </x:c>
      <x:c r="N49" s="41" t="n">
        <x:v>2342228070</x:v>
      </x:c>
      <x:c r="O49" s="41" t="n">
        <x:v>3673</x:v>
      </x:c>
      <x:c r="P49" s="41" t="n">
        <x:v>1536</x:v>
      </x:c>
      <x:c r="Q49" s="41" t="n">
        <x:v>6282</x:v>
      </x:c>
      <x:c r="R49" s="42" t="n">
        <x:f>MIN(P49,Q49)</x:f>
        <x:v>1536</x:v>
      </x:c>
      <x:c r="S49" s="42" t="n">
        <x:f>MAX(P49,Q49)</x:f>
        <x:v>6282</x:v>
      </x:c>
      <x:c r="T49" s="42" t="n">
        <x:f>MAX(R49,MIN(O49,S49))</x:f>
        <x:v>3673</x:v>
      </x:c>
      <x:c r="U49" s="19" t="str">
        <x:f>IF(O49&lt;R49,IF(R49=P49,"clamped_to_nominal","clamped_to_ppp"),IF(O49&gt;S49,IF(S49=P49,"clamped_to_nominal","clamped_to_ppp"),"kept_vanilla"))</x:f>
        <x:v>kept_vanilla</x:v>
      </x:c>
      <x:c r="V49" s="42" t="n">
        <x:f>T49*H49</x:f>
        <x:v>2342136199</x:v>
      </x:c>
      <x:c r="W49" s="42" t="n">
        <x:f>V49/F49</x:f>
        <x:v>1473041634.5911949</x:v>
      </x:c>
      <x:c r="X49" s="36" t="str">
        <x:v>BTN: UN WPP 2024 Medium exact 2003</x:v>
      </x:c>
      <x:c r="Y49" s="36" t="str">
        <x:v>BTN: IMF exact 2003</x:v>
      </x:c>
      <x:c r="Z49" s="36" t="str">
        <x:v>BTN: IMF exact 2003</x:v>
      </x:c>
      <x:c r="AA49" s="36" t="str">
        <x:v>complete_primary</x:v>
      </x:c>
      <x:c r="AB49" s="36" t="str">
        <x:v>https://www.un.org/development/desa/pd/world-population-prospects-2024</x:v>
      </x:c>
      <x:c r="AC49" s="36" t="str">
        <x:v>https://api.imf.org/external/sdmx/3.0/data/dataflow/IMF.RES/WEO/9.0.0/</x:v>
      </x:c>
      <x:c r="AD49" s="36" t="str">
        <x:v>https://api.worldbank.org/v2/</x:v>
      </x:c>
    </x:row>
    <x:row r="50">
      <x:c r="A50" s="24" t="str">
        <x:v>BHU</x:v>
      </x:c>
      <x:c r="B50" s="24" t="str">
        <x:v>Bhutan</x:v>
      </x:c>
      <x:c r="C50" s="24" t="str">
        <x:v>BTN</x:v>
      </x:c>
      <x:c r="D50" s="24" t="str">
        <x:v>BTN</x:v>
      </x:c>
      <x:c r="E50" s="24" t="n">
        <x:v>2022</x:v>
      </x:c>
      <x:c r="F50" s="37" t="n">
        <x:v>1</x:v>
      </x:c>
      <x:c r="G50" s="38" t="n">
        <x:v>790424</x:v>
      </x:c>
      <x:c r="H50" s="38" t="n">
        <x:v>780914</x:v>
      </x:c>
      <x:c r="I50" s="39" t="n">
        <x:f>H50/G50</x:f>
        <x:v>0.9879684827383783</x:v>
      </x:c>
      <x:c r="J50" s="40" t="n">
        <x:f>(I50-1)*100</x:f>
        <x:v>-1.203151726162166</x:v>
      </x:c>
      <x:c r="K50" s="36" t="str">
        <x:v>no</x:v>
      </x:c>
      <x:c r="L50" s="36" t="str">
        <x:v>Single-country territory; UN WPP and vanilla are within the ±5% review threshold.</x:v>
      </x:c>
      <x:c r="M50" s="41" t="n">
        <x:v>8670640000</x:v>
      </x:c>
      <x:c r="N50" s="41" t="n">
        <x:v>8670640000</x:v>
      </x:c>
      <x:c r="O50" s="41" t="n">
        <x:v>10970</x:v>
      </x:c>
      <x:c r="P50" s="41" t="n">
        <x:v>3670</x:v>
      </x:c>
      <x:c r="Q50" s="41" t="n">
        <x:v>14179</x:v>
      </x:c>
      <x:c r="R50" s="42" t="n">
        <x:f>MIN(P50,Q50)</x:f>
        <x:v>3670</x:v>
      </x:c>
      <x:c r="S50" s="42" t="n">
        <x:f>MAX(P50,Q50)</x:f>
        <x:v>14179</x:v>
      </x:c>
      <x:c r="T50" s="42" t="n">
        <x:f>MAX(R50,MIN(O50,S50))</x:f>
        <x:v>10970</x:v>
      </x:c>
      <x:c r="U50" s="19" t="str">
        <x:f>IF(O50&lt;R50,IF(R50=P50,"clamped_to_nominal","clamped_to_ppp"),IF(O50&gt;S50,IF(S50=P50,"clamped_to_nominal","clamped_to_ppp"),"kept_vanilla"))</x:f>
        <x:v>kept_vanilla</x:v>
      </x:c>
      <x:c r="V50" s="42" t="n">
        <x:f>T50*H50</x:f>
        <x:v>8566626580</x:v>
      </x:c>
      <x:c r="W50" s="42" t="n">
        <x:f>V50/F50</x:f>
        <x:v>8566626580</x:v>
      </x:c>
      <x:c r="X50" s="36" t="str">
        <x:v>BTN: UN WPP 2024 Medium exact 2022</x:v>
      </x:c>
      <x:c r="Y50" s="36" t="str">
        <x:v>BTN: IMF exact 2022</x:v>
      </x:c>
      <x:c r="Z50" s="36" t="str">
        <x:v>BTN: IMF exact 2022</x:v>
      </x:c>
      <x:c r="AA50" s="36" t="str">
        <x:v>complete_primary</x:v>
      </x:c>
      <x:c r="AB50" s="36" t="str">
        <x:v>https://www.un.org/development/desa/pd/world-population-prospects-2024</x:v>
      </x:c>
      <x:c r="AC50" s="36" t="str">
        <x:v>https://api.imf.org/external/sdmx/3.0/data/dataflow/IMF.RES/WEO/9.0.0/</x:v>
      </x:c>
      <x:c r="AD50" s="36" t="str">
        <x:v>https://api.worldbank.org/v2/</x:v>
      </x:c>
    </x:row>
    <x:row r="51">
      <x:c r="A51" s="24" t="str">
        <x:v>BHU</x:v>
      </x:c>
      <x:c r="B51" s="24" t="str">
        <x:v>Bhutan</x:v>
      </x:c>
      <x:c r="C51" s="24" t="str">
        <x:v>BTN</x:v>
      </x:c>
      <x:c r="D51" s="24" t="str">
        <x:v>BTN</x:v>
      </x:c>
      <x:c r="E51" s="24" t="n">
        <x:v>2026</x:v>
      </x:c>
      <x:c r="F51" s="37" t="n">
        <x:v>0.87</x:v>
      </x:c>
      <x:c r="G51" s="38" t="n">
        <x:v>802214</x:v>
      </x:c>
      <x:c r="H51" s="38" t="n">
        <x:v>802214</x:v>
      </x:c>
      <x:c r="I51" s="39" t="n">
        <x:f>H51/G51</x:f>
        <x:v>1</x:v>
      </x:c>
      <x:c r="J51" s="40" t="n">
        <x:f>(I51-1)*100</x:f>
        <x:v>0</x:v>
      </x:c>
      <x:c r="K51" s="36" t="str">
        <x:v>no</x:v>
      </x:c>
      <x:c r="L51" s="36" t="str">
        <x:v>Single-country territory; UN WPP and vanilla are within the ±5% review threshold.</x:v>
      </x:c>
      <x:c r="M51" s="41" t="n">
        <x:v>12413280000</x:v>
      </x:c>
      <x:c r="N51" s="41" t="n">
        <x:v>10799553600</x:v>
      </x:c>
      <x:c r="O51" s="41" t="n">
        <x:v>13462</x:v>
      </x:c>
      <x:c r="P51" s="41" t="n">
        <x:v>4182</x:v>
      </x:c>
      <x:c r="Q51" s="41" t="n">
        <x:v>17301</x:v>
      </x:c>
      <x:c r="R51" s="42" t="n">
        <x:f>MIN(P51,Q51)</x:f>
        <x:v>4182</x:v>
      </x:c>
      <x:c r="S51" s="42" t="n">
        <x:f>MAX(P51,Q51)</x:f>
        <x:v>17301</x:v>
      </x:c>
      <x:c r="T51" s="42" t="n">
        <x:f>MAX(R51,MIN(O51,S51))</x:f>
        <x:v>13462</x:v>
      </x:c>
      <x:c r="U51" s="19" t="str">
        <x:f>IF(O51&lt;R51,IF(R51=P51,"clamped_to_nominal","clamped_to_ppp"),IF(O51&gt;S51,IF(S51=P51,"clamped_to_nominal","clamped_to_ppp"),"kept_vanilla"))</x:f>
        <x:v>kept_vanilla</x:v>
      </x:c>
      <x:c r="V51" s="42" t="n">
        <x:f>T51*H51</x:f>
        <x:v>10799404868</x:v>
      </x:c>
      <x:c r="W51" s="42" t="n">
        <x:f>V51/F51</x:f>
        <x:v>12413109043.678162</x:v>
      </x:c>
      <x:c r="X51" s="36" t="str">
        <x:v>BTN: UN WPP 2024 Medium exact 2026</x:v>
      </x:c>
      <x:c r="Y51" s="36" t="str">
        <x:v>BTN: IMF exact 2026</x:v>
      </x:c>
      <x:c r="Z51" s="36" t="str">
        <x:v>BTN: IMF exact 2026</x:v>
      </x:c>
      <x:c r="AA51" s="36" t="str">
        <x:v>complete_primary</x:v>
      </x:c>
      <x:c r="AB51" s="36" t="str">
        <x:v>https://www.un.org/development/desa/pd/world-population-prospects-2024</x:v>
      </x:c>
      <x:c r="AC51" s="36" t="str">
        <x:v>https://api.imf.org/external/sdmx/3.0/data/dataflow/IMF.RES/WEO/9.0.0/</x:v>
      </x:c>
      <x:c r="AD51" s="36" t="str">
        <x:v>https://api.worldbank.org/v2/</x:v>
      </x:c>
    </x:row>
    <x:row r="52">
      <x:c r="A52" s="24" t="str">
        <x:v>BOL</x:v>
      </x:c>
      <x:c r="B52" s="24" t="str">
        <x:v>Bolivia</x:v>
      </x:c>
      <x:c r="C52" s="24" t="str">
        <x:v>BOL</x:v>
      </x:c>
      <x:c r="D52" s="24" t="str">
        <x:v>BOL</x:v>
      </x:c>
      <x:c r="E52" s="24" t="n">
        <x:v>2003</x:v>
      </x:c>
      <x:c r="F52" s="37" t="n">
        <x:v>1.59</x:v>
      </x:c>
      <x:c r="G52" s="38" t="n">
        <x:v>9050700</x:v>
      </x:c>
      <x:c r="H52" s="38" t="n">
        <x:v>9050700</x:v>
      </x:c>
      <x:c r="I52" s="39" t="n">
        <x:f>H52/G52</x:f>
        <x:v>1</x:v>
      </x:c>
      <x:c r="J52" s="40" t="n">
        <x:f>(I52-1)*100</x:f>
        <x:v>0</x:v>
      </x:c>
      <x:c r="K52" s="36" t="str">
        <x:v>no</x:v>
      </x:c>
      <x:c r="L52" s="36" t="str">
        <x:v>Single-country territory; UN WPP and vanilla are within the ±5% review threshold.</x:v>
      </x:c>
      <x:c r="M52" s="41" t="n">
        <x:v>22501754386</x:v>
      </x:c>
      <x:c r="N52" s="41" t="n">
        <x:v>35777789474</x:v>
      </x:c>
      <x:c r="O52" s="41" t="n">
        <x:v>3953</x:v>
      </x:c>
      <x:c r="P52" s="41" t="n">
        <x:v>1591</x:v>
      </x:c>
      <x:c r="Q52" s="41" t="n">
        <x:v>8121</x:v>
      </x:c>
      <x:c r="R52" s="42" t="n">
        <x:f>MIN(P52,Q52)</x:f>
        <x:v>1591</x:v>
      </x:c>
      <x:c r="S52" s="42" t="n">
        <x:f>MAX(P52,Q52)</x:f>
        <x:v>8121</x:v>
      </x:c>
      <x:c r="T52" s="42" t="n">
        <x:f>MAX(R52,MIN(O52,S52))</x:f>
        <x:v>3953</x:v>
      </x:c>
      <x:c r="U52" s="19" t="str">
        <x:f>IF(O52&lt;R52,IF(R52=P52,"clamped_to_nominal","clamped_to_ppp"),IF(O52&gt;S52,IF(S52=P52,"clamped_to_nominal","clamped_to_ppp"),"kept_vanilla"))</x:f>
        <x:v>kept_vanilla</x:v>
      </x:c>
      <x:c r="V52" s="42" t="n">
        <x:f>T52*H52</x:f>
        <x:v>35777417100</x:v>
      </x:c>
      <x:c r="W52" s="42" t="n">
        <x:f>V52/F52</x:f>
        <x:v>22501520188.679245</x:v>
      </x:c>
      <x:c r="X52" s="36" t="str">
        <x:v>BOL: UN WPP 2024 Medium exact 2003</x:v>
      </x:c>
      <x:c r="Y52" s="36" t="str">
        <x:v>BOL: IMF exact 2003</x:v>
      </x:c>
      <x:c r="Z52" s="36" t="str">
        <x:v>BOL: IMF exact 2003</x:v>
      </x:c>
      <x:c r="AA52" s="36" t="str">
        <x:v>complete_primary</x:v>
      </x:c>
      <x:c r="AB52" s="36" t="str">
        <x:v>https://www.un.org/development/desa/pd/world-population-prospects-2024</x:v>
      </x:c>
      <x:c r="AC52" s="36" t="str">
        <x:v>https://api.imf.org/external/sdmx/3.0/data/dataflow/IMF.RES/WEO/9.0.0/</x:v>
      </x:c>
      <x:c r="AD52" s="36" t="str">
        <x:v>https://api.worldbank.org/v2/</x:v>
      </x:c>
    </x:row>
    <x:row r="53">
      <x:c r="A53" s="24" t="str">
        <x:v>BOL</x:v>
      </x:c>
      <x:c r="B53" s="24" t="str">
        <x:v>Bolivia</x:v>
      </x:c>
      <x:c r="C53" s="24" t="str">
        <x:v>BOL</x:v>
      </x:c>
      <x:c r="D53" s="24" t="str">
        <x:v>BOL</x:v>
      </x:c>
      <x:c r="E53" s="24" t="n">
        <x:v>2022</x:v>
      </x:c>
      <x:c r="F53" s="37" t="n">
        <x:v>1</x:v>
      </x:c>
      <x:c r="G53" s="38" t="n">
        <x:v>12042349</x:v>
      </x:c>
      <x:c r="H53" s="38" t="n">
        <x:v>12077154</x:v>
      </x:c>
      <x:c r="I53" s="39" t="n">
        <x:f>H53/G53</x:f>
        <x:v>1.0028902168505496</x:v>
      </x:c>
      <x:c r="J53" s="40" t="n">
        <x:f>(I53-1)*100</x:f>
        <x:v>0.2890216850549576</x:v>
      </x:c>
      <x:c r="K53" s="36" t="str">
        <x:v>no</x:v>
      </x:c>
      <x:c r="L53" s="36" t="str">
        <x:v>Single-country territory; UN WPP and vanilla are within the ±5% review threshold.</x:v>
      </x:c>
      <x:c r="M53" s="41" t="n">
        <x:v>103731760000</x:v>
      </x:c>
      <x:c r="N53" s="41" t="n">
        <x:v>103731760000</x:v>
      </x:c>
      <x:c r="O53" s="41" t="n">
        <x:v>8614</x:v>
      </x:c>
      <x:c r="P53" s="41" t="n">
        <x:v>4250</x:v>
      </x:c>
      <x:c r="Q53" s="41" t="n">
        <x:v>12305</x:v>
      </x:c>
      <x:c r="R53" s="42" t="n">
        <x:f>MIN(P53,Q53)</x:f>
        <x:v>4250</x:v>
      </x:c>
      <x:c r="S53" s="42" t="n">
        <x:f>MAX(P53,Q53)</x:f>
        <x:v>12305</x:v>
      </x:c>
      <x:c r="T53" s="42" t="n">
        <x:f>MAX(R53,MIN(O53,S53))</x:f>
        <x:v>8614</x:v>
      </x:c>
      <x:c r="U53" s="19" t="str">
        <x:f>IF(O53&lt;R53,IF(R53=P53,"clamped_to_nominal","clamped_to_ppp"),IF(O53&gt;S53,IF(S53=P53,"clamped_to_nominal","clamped_to_ppp"),"kept_vanilla"))</x:f>
        <x:v>kept_vanilla</x:v>
      </x:c>
      <x:c r="V53" s="42" t="n">
        <x:f>T53*H53</x:f>
        <x:v>104032604556</x:v>
      </x:c>
      <x:c r="W53" s="42" t="n">
        <x:f>V53/F53</x:f>
        <x:v>104032604556</x:v>
      </x:c>
      <x:c r="X53" s="36" t="str">
        <x:v>BOL: UN WPP 2024 Medium exact 2022</x:v>
      </x:c>
      <x:c r="Y53" s="36" t="str">
        <x:v>BOL: IMF exact 2022</x:v>
      </x:c>
      <x:c r="Z53" s="36" t="str">
        <x:v>BOL: IMF exact 2022</x:v>
      </x:c>
      <x:c r="AA53" s="36" t="str">
        <x:v>complete_primary</x:v>
      </x:c>
      <x:c r="AB53" s="36" t="str">
        <x:v>https://www.un.org/development/desa/pd/world-population-prospects-2024</x:v>
      </x:c>
      <x:c r="AC53" s="36" t="str">
        <x:v>https://api.imf.org/external/sdmx/3.0/data/dataflow/IMF.RES/WEO/9.0.0/</x:v>
      </x:c>
      <x:c r="AD53" s="36" t="str">
        <x:v>https://api.worldbank.org/v2/</x:v>
      </x:c>
    </x:row>
    <x:row r="54">
      <x:c r="A54" s="24" t="str">
        <x:v>BOL</x:v>
      </x:c>
      <x:c r="B54" s="24" t="str">
        <x:v>Bolivia</x:v>
      </x:c>
      <x:c r="C54" s="24" t="str">
        <x:v>BOL</x:v>
      </x:c>
      <x:c r="D54" s="24" t="str">
        <x:v>BOL</x:v>
      </x:c>
      <x:c r="E54" s="24" t="n">
        <x:v>2026</x:v>
      </x:c>
      <x:c r="F54" s="37" t="n">
        <x:v>0.87</x:v>
      </x:c>
      <x:c r="G54" s="38" t="n">
        <x:v>12749291</x:v>
      </x:c>
      <x:c r="H54" s="38" t="n">
        <x:v>12749291</x:v>
      </x:c>
      <x:c r="I54" s="39" t="n">
        <x:f>H54/G54</x:f>
        <x:v>1</x:v>
      </x:c>
      <x:c r="J54" s="40" t="n">
        <x:f>(I54-1)*100</x:f>
        <x:v>0</x:v>
      </x:c>
      <x:c r="K54" s="36" t="str">
        <x:v>no</x:v>
      </x:c>
      <x:c r="L54" s="36" t="str">
        <x:v>Single-country territory; UN WPP and vanilla are within the ±5% review threshold.</x:v>
      </x:c>
      <x:c r="M54" s="41" t="n">
        <x:v>126806240000</x:v>
      </x:c>
      <x:c r="N54" s="41" t="n">
        <x:v>110321428800</x:v>
      </x:c>
      <x:c r="O54" s="41" t="n">
        <x:v>8653</x:v>
      </x:c>
      <x:c r="P54" s="41" t="n">
        <x:v>5510</x:v>
      </x:c>
      <x:c r="Q54" s="41" t="n">
        <x:v>11042</x:v>
      </x:c>
      <x:c r="R54" s="42" t="n">
        <x:f>MIN(P54,Q54)</x:f>
        <x:v>5510</x:v>
      </x:c>
      <x:c r="S54" s="42" t="n">
        <x:f>MAX(P54,Q54)</x:f>
        <x:v>11042</x:v>
      </x:c>
      <x:c r="T54" s="42" t="n">
        <x:f>MAX(R54,MIN(O54,S54))</x:f>
        <x:v>8653</x:v>
      </x:c>
      <x:c r="U54" s="19" t="str">
        <x:f>IF(O54&lt;R54,IF(R54=P54,"clamped_to_nominal","clamped_to_ppp"),IF(O54&gt;S54,IF(S54=P54,"clamped_to_nominal","clamped_to_ppp"),"kept_vanilla"))</x:f>
        <x:v>kept_vanilla</x:v>
      </x:c>
      <x:c r="V54" s="42" t="n">
        <x:f>T54*H54</x:f>
        <x:v>110319615023</x:v>
      </x:c>
      <x:c r="W54" s="42" t="n">
        <x:f>V54/F54</x:f>
        <x:v>126804155198.85057</x:v>
      </x:c>
      <x:c r="X54" s="36" t="str">
        <x:v>BOL: UN WPP 2024 Medium exact 2026</x:v>
      </x:c>
      <x:c r="Y54" s="36" t="str">
        <x:v>BOL: IMF exact 2026</x:v>
      </x:c>
      <x:c r="Z54" s="36" t="str">
        <x:v>BOL: IMF exact 2026</x:v>
      </x:c>
      <x:c r="AA54" s="36" t="str">
        <x:v>complete_primary</x:v>
      </x:c>
      <x:c r="AB54" s="36" t="str">
        <x:v>https://www.un.org/development/desa/pd/world-population-prospects-2024</x:v>
      </x:c>
      <x:c r="AC54" s="36" t="str">
        <x:v>https://api.imf.org/external/sdmx/3.0/data/dataflow/IMF.RES/WEO/9.0.0/</x:v>
      </x:c>
      <x:c r="AD54" s="36" t="str">
        <x:v>https://api.worldbank.org/v2/</x:v>
      </x:c>
    </x:row>
    <x:row r="55">
      <x:c r="A55" s="24" t="str">
        <x:v>BSM</x:v>
      </x:c>
      <x:c r="B55" s="24" t="str">
        <x:v>Bosnia and Herzegovina</x:v>
      </x:c>
      <x:c r="C55" s="24" t="str">
        <x:v>BIH</x:v>
      </x:c>
      <x:c r="D55" s="24" t="str">
        <x:v>BIH</x:v>
      </x:c>
      <x:c r="E55" s="24" t="n">
        <x:v>2003</x:v>
      </x:c>
      <x:c r="F55" s="37" t="n">
        <x:v>1.59</x:v>
      </x:c>
      <x:c r="G55" s="38" t="n">
        <x:v>4178523</x:v>
      </x:c>
      <x:c r="H55" s="38" t="n">
        <x:v>4178523</x:v>
      </x:c>
      <x:c r="I55" s="39" t="n">
        <x:f>H55/G55</x:f>
        <x:v>1</x:v>
      </x:c>
      <x:c r="J55" s="40" t="n">
        <x:f>(I55-1)*100</x:f>
        <x:v>0</x:v>
      </x:c>
      <x:c r="K55" s="36" t="str">
        <x:v>no</x:v>
      </x:c>
      <x:c r="L55" s="36" t="str">
        <x:v>Single-country territory; UN WPP and vanilla are within the ±5% review threshold.</x:v>
      </x:c>
      <x:c r="M55" s="41" t="n">
        <x:v>13933918129</x:v>
      </x:c>
      <x:c r="N55" s="41" t="n">
        <x:v>22154929825</x:v>
      </x:c>
      <x:c r="O55" s="41" t="n">
        <x:v>5302</x:v>
      </x:c>
      <x:c r="P55" s="41" t="n">
        <x:v>3234</x:v>
      </x:c>
      <x:c r="Q55" s="41" t="n">
        <x:v>9343</x:v>
      </x:c>
      <x:c r="R55" s="42" t="n">
        <x:f>MIN(P55,Q55)</x:f>
        <x:v>3234</x:v>
      </x:c>
      <x:c r="S55" s="42" t="n">
        <x:f>MAX(P55,Q55)</x:f>
        <x:v>9343</x:v>
      </x:c>
      <x:c r="T55" s="42" t="n">
        <x:f>MAX(R55,MIN(O55,S55))</x:f>
        <x:v>5302</x:v>
      </x:c>
      <x:c r="U55" s="19" t="str">
        <x:f>IF(O55&lt;R55,IF(R55=P55,"clamped_to_nominal","clamped_to_ppp"),IF(O55&gt;S55,IF(S55=P55,"clamped_to_nominal","clamped_to_ppp"),"kept_vanilla"))</x:f>
        <x:v>kept_vanilla</x:v>
      </x:c>
      <x:c r="V55" s="42" t="n">
        <x:f>T55*H55</x:f>
        <x:v>22154528946</x:v>
      </x:c>
      <x:c r="W55" s="42" t="n">
        <x:f>V55/F55</x:f>
        <x:v>13933666003.773584</x:v>
      </x:c>
      <x:c r="X55" s="36" t="str">
        <x:v>BIH: UN WPP 2024 Medium exact 2003</x:v>
      </x:c>
      <x:c r="Y55" s="36" t="str">
        <x:v>BIH: IMF exact 2003</x:v>
      </x:c>
      <x:c r="Z55" s="36" t="str">
        <x:v>BIH: IMF exact 2003</x:v>
      </x:c>
      <x:c r="AA55" s="36" t="str">
        <x:v>complete_primary</x:v>
      </x:c>
      <x:c r="AB55" s="36" t="str">
        <x:v>https://www.un.org/development/desa/pd/world-population-prospects-2024</x:v>
      </x:c>
      <x:c r="AC55" s="36" t="str">
        <x:v>https://api.imf.org/external/sdmx/3.0/data/dataflow/IMF.RES/WEO/9.0.0/</x:v>
      </x:c>
      <x:c r="AD55" s="36" t="str">
        <x:v>https://api.worldbank.org/v2/</x:v>
      </x:c>
    </x:row>
    <x:row r="56">
      <x:c r="A56" s="24" t="str">
        <x:v>BSM</x:v>
      </x:c>
      <x:c r="B56" s="24" t="str">
        <x:v>Bosnia and Herzegovina</x:v>
      </x:c>
      <x:c r="C56" s="24" t="str">
        <x:v>BIH</x:v>
      </x:c>
      <x:c r="D56" s="24" t="str">
        <x:v>BIH</x:v>
      </x:c>
      <x:c r="E56" s="24" t="n">
        <x:v>2022</x:v>
      </x:c>
      <x:c r="F56" s="37" t="n">
        <x:v>1</x:v>
      </x:c>
      <x:c r="G56" s="38" t="n">
        <x:v>3245671</x:v>
      </x:c>
      <x:c r="H56" s="38" t="n">
        <x:v>3204802</x:v>
      </x:c>
      <x:c r="I56" s="39" t="n">
        <x:f>H56/G56</x:f>
        <x:v>0.9874081507337004</x:v>
      </x:c>
      <x:c r="J56" s="40" t="n">
        <x:f>(I56-1)*100</x:f>
        <x:v>-1.2591849266299637</x:v>
      </x:c>
      <x:c r="K56" s="36" t="str">
        <x:v>no</x:v>
      </x:c>
      <x:c r="L56" s="36" t="str">
        <x:v>Single-country territory; UN WPP and vanilla are within the ±5% review threshold.</x:v>
      </x:c>
      <x:c r="M56" s="41" t="n">
        <x:v>53397520000</x:v>
      </x:c>
      <x:c r="N56" s="41" t="n">
        <x:v>53397520000</x:v>
      </x:c>
      <x:c r="O56" s="41" t="n">
        <x:v>16452</x:v>
      </x:c>
      <x:c r="P56" s="41" t="n">
        <x:v>7670</x:v>
      </x:c>
      <x:c r="Q56" s="41" t="n">
        <x:v>20963</x:v>
      </x:c>
      <x:c r="R56" s="42" t="n">
        <x:f>MIN(P56,Q56)</x:f>
        <x:v>7670</x:v>
      </x:c>
      <x:c r="S56" s="42" t="n">
        <x:f>MAX(P56,Q56)</x:f>
        <x:v>20963</x:v>
      </x:c>
      <x:c r="T56" s="42" t="n">
        <x:f>MAX(R56,MIN(O56,S56))</x:f>
        <x:v>16452</x:v>
      </x:c>
      <x:c r="U56" s="19" t="str">
        <x:f>IF(O56&lt;R56,IF(R56=P56,"clamped_to_nominal","clamped_to_ppp"),IF(O56&gt;S56,IF(S56=P56,"clamped_to_nominal","clamped_to_ppp"),"kept_vanilla"))</x:f>
        <x:v>kept_vanilla</x:v>
      </x:c>
      <x:c r="V56" s="42" t="n">
        <x:f>T56*H56</x:f>
        <x:v>52725402504</x:v>
      </x:c>
      <x:c r="W56" s="42" t="n">
        <x:f>V56/F56</x:f>
        <x:v>52725402504</x:v>
      </x:c>
      <x:c r="X56" s="36" t="str">
        <x:v>BIH: UN WPP 2024 Medium exact 2022</x:v>
      </x:c>
      <x:c r="Y56" s="36" t="str">
        <x:v>BIH: IMF exact 2022</x:v>
      </x:c>
      <x:c r="Z56" s="36" t="str">
        <x:v>BIH: IMF exact 2022</x:v>
      </x:c>
      <x:c r="AA56" s="36" t="str">
        <x:v>complete_primary</x:v>
      </x:c>
      <x:c r="AB56" s="36" t="str">
        <x:v>https://www.un.org/development/desa/pd/world-population-prospects-2024</x:v>
      </x:c>
      <x:c r="AC56" s="36" t="str">
        <x:v>https://api.imf.org/external/sdmx/3.0/data/dataflow/IMF.RES/WEO/9.0.0/</x:v>
      </x:c>
      <x:c r="AD56" s="36" t="str">
        <x:v>https://api.worldbank.org/v2/</x:v>
      </x:c>
    </x:row>
    <x:row r="57">
      <x:c r="A57" s="24" t="str">
        <x:v>BSM</x:v>
      </x:c>
      <x:c r="B57" s="24" t="str">
        <x:v>Bosnia and Herzegovina</x:v>
      </x:c>
      <x:c r="C57" s="24" t="str">
        <x:v>BIH</x:v>
      </x:c>
      <x:c r="D57" s="24" t="str">
        <x:v>BIH</x:v>
      </x:c>
      <x:c r="E57" s="24" t="n">
        <x:v>2026</x:v>
      </x:c>
      <x:c r="F57" s="37" t="n">
        <x:v>0.87</x:v>
      </x:c>
      <x:c r="G57" s="38" t="n">
        <x:v>3114242</x:v>
      </x:c>
      <x:c r="H57" s="38" t="n">
        <x:v>3114242</x:v>
      </x:c>
      <x:c r="I57" s="39" t="n">
        <x:f>H57/G57</x:f>
        <x:v>1</x:v>
      </x:c>
      <x:c r="J57" s="40" t="n">
        <x:f>(I57-1)*100</x:f>
        <x:v>0</x:v>
      </x:c>
      <x:c r="K57" s="36" t="str">
        <x:v>no</x:v>
      </x:c>
      <x:c r="L57" s="36" t="str">
        <x:v>Single-country territory; UN WPP and vanilla are within the ±5% review threshold.</x:v>
      </x:c>
      <x:c r="M57" s="41" t="n">
        <x:v>69216400000</x:v>
      </x:c>
      <x:c r="N57" s="41" t="n">
        <x:v>60218268000</x:v>
      </x:c>
      <x:c r="O57" s="41" t="n">
        <x:v>19336</x:v>
      </x:c>
      <x:c r="P57" s="41" t="n">
        <x:v>10272</x:v>
      </x:c>
      <x:c r="Q57" s="41" t="n">
        <x:v>23157</x:v>
      </x:c>
      <x:c r="R57" s="42" t="n">
        <x:f>MIN(P57,Q57)</x:f>
        <x:v>10272</x:v>
      </x:c>
      <x:c r="S57" s="42" t="n">
        <x:f>MAX(P57,Q57)</x:f>
        <x:v>23157</x:v>
      </x:c>
      <x:c r="T57" s="42" t="n">
        <x:f>MAX(R57,MIN(O57,S57))</x:f>
        <x:v>19336</x:v>
      </x:c>
      <x:c r="U57" s="19" t="str">
        <x:f>IF(O57&lt;R57,IF(R57=P57,"clamped_to_nominal","clamped_to_ppp"),IF(O57&gt;S57,IF(S57=P57,"clamped_to_nominal","clamped_to_ppp"),"kept_vanilla"))</x:f>
        <x:v>kept_vanilla</x:v>
      </x:c>
      <x:c r="V57" s="42" t="n">
        <x:f>T57*H57</x:f>
        <x:v>60216983312</x:v>
      </x:c>
      <x:c r="W57" s="42" t="n">
        <x:f>V57/F57</x:f>
        <x:v>69214923347.12643</x:v>
      </x:c>
      <x:c r="X57" s="36" t="str">
        <x:v>BIH: UN WPP 2024 Medium exact 2026</x:v>
      </x:c>
      <x:c r="Y57" s="36" t="str">
        <x:v>BIH: IMF exact 2026</x:v>
      </x:c>
      <x:c r="Z57" s="36" t="str">
        <x:v>BIH: IMF exact 2026</x:v>
      </x:c>
      <x:c r="AA57" s="36" t="str">
        <x:v>complete_primary</x:v>
      </x:c>
      <x:c r="AB57" s="36" t="str">
        <x:v>https://www.un.org/development/desa/pd/world-population-prospects-2024</x:v>
      </x:c>
      <x:c r="AC57" s="36" t="str">
        <x:v>https://api.imf.org/external/sdmx/3.0/data/dataflow/IMF.RES/WEO/9.0.0/</x:v>
      </x:c>
      <x:c r="AD57" s="36" t="str">
        <x:v>https://api.worldbank.org/v2/</x:v>
      </x:c>
    </x:row>
    <x:row r="58">
      <x:c r="A58" s="24" t="str">
        <x:v>BWA</x:v>
      </x:c>
      <x:c r="B58" s="24" t="str">
        <x:v>Botswana</x:v>
      </x:c>
      <x:c r="C58" s="24" t="str">
        <x:v>BWA</x:v>
      </x:c>
      <x:c r="D58" s="24" t="str">
        <x:v>BWA</x:v>
      </x:c>
      <x:c r="E58" s="24" t="n">
        <x:v>2003</x:v>
      </x:c>
      <x:c r="F58" s="37" t="n">
        <x:v>1.59</x:v>
      </x:c>
      <x:c r="G58" s="38" t="n">
        <x:v>1775736</x:v>
      </x:c>
      <x:c r="H58" s="38" t="n">
        <x:v>1775736</x:v>
      </x:c>
      <x:c r="I58" s="39" t="n">
        <x:f>H58/G58</x:f>
        <x:v>1</x:v>
      </x:c>
      <x:c r="J58" s="40" t="n">
        <x:f>(I58-1)*100</x:f>
        <x:v>0</x:v>
      </x:c>
      <x:c r="K58" s="36" t="str">
        <x:v>no</x:v>
      </x:c>
      <x:c r="L58" s="36" t="str">
        <x:v>Single-country territory; UN WPP and vanilla are within the ±5% review threshold.</x:v>
      </x:c>
      <x:c r="M58" s="41" t="n">
        <x:v>10337426901</x:v>
      </x:c>
      <x:c r="N58" s="41" t="n">
        <x:v>16436508773</x:v>
      </x:c>
      <x:c r="O58" s="41" t="n">
        <x:v>9256</x:v>
      </x:c>
      <x:c r="P58" s="41" t="n">
        <x:v>6688</x:v>
      </x:c>
      <x:c r="Q58" s="41" t="n">
        <x:v>15828</x:v>
      </x:c>
      <x:c r="R58" s="42" t="n">
        <x:f>MIN(P58,Q58)</x:f>
        <x:v>6688</x:v>
      </x:c>
      <x:c r="S58" s="42" t="n">
        <x:f>MAX(P58,Q58)</x:f>
        <x:v>15828</x:v>
      </x:c>
      <x:c r="T58" s="42" t="n">
        <x:f>MAX(R58,MIN(O58,S58))</x:f>
        <x:v>9256</x:v>
      </x:c>
      <x:c r="U58" s="19" t="str">
        <x:f>IF(O58&lt;R58,IF(R58=P58,"clamped_to_nominal","clamped_to_ppp"),IF(O58&gt;S58,IF(S58=P58,"clamped_to_nominal","clamped_to_ppp"),"kept_vanilla"))</x:f>
        <x:v>kept_vanilla</x:v>
      </x:c>
      <x:c r="V58" s="42" t="n">
        <x:f>T58*H58</x:f>
        <x:v>16436212416</x:v>
      </x:c>
      <x:c r="W58" s="42" t="n">
        <x:f>V58/F58</x:f>
        <x:v>10337240513.207546</x:v>
      </x:c>
      <x:c r="X58" s="36" t="str">
        <x:v>BWA: UN WPP 2024 Medium exact 2003</x:v>
      </x:c>
      <x:c r="Y58" s="36" t="str">
        <x:v>BWA: IMF exact 2003</x:v>
      </x:c>
      <x:c r="Z58" s="36" t="str">
        <x:v>BWA: IMF exact 2003</x:v>
      </x:c>
      <x:c r="AA58" s="36" t="str">
        <x:v>complete_primary</x:v>
      </x:c>
      <x:c r="AB58" s="36" t="str">
        <x:v>https://www.un.org/development/desa/pd/world-population-prospects-2024</x:v>
      </x:c>
      <x:c r="AC58" s="36" t="str">
        <x:v>https://api.imf.org/external/sdmx/3.0/data/dataflow/IMF.RES/WEO/9.0.0/</x:v>
      </x:c>
      <x:c r="AD58" s="36" t="str">
        <x:v>https://api.worldbank.org/v2/</x:v>
      </x:c>
    </x:row>
    <x:row r="59">
      <x:c r="A59" s="24" t="str">
        <x:v>BWA</x:v>
      </x:c>
      <x:c r="B59" s="24" t="str">
        <x:v>Botswana</x:v>
      </x:c>
      <x:c r="C59" s="24" t="str">
        <x:v>BWA</x:v>
      </x:c>
      <x:c r="D59" s="24" t="str">
        <x:v>BWA</x:v>
      </x:c>
      <x:c r="E59" s="24" t="n">
        <x:v>2022</x:v>
      </x:c>
      <x:c r="F59" s="37" t="n">
        <x:v>1</x:v>
      </x:c>
      <x:c r="G59" s="38" t="n">
        <x:v>2454875</x:v>
      </x:c>
      <x:c r="H59" s="38" t="n">
        <x:v>2439892</x:v>
      </x:c>
      <x:c r="I59" s="39" t="n">
        <x:f>H59/G59</x:f>
        <x:v>0.9938966342481796</x:v>
      </x:c>
      <x:c r="J59" s="40" t="n">
        <x:f>(I59-1)*100</x:f>
        <x:v>-0.6103365751820355</x:v>
      </x:c>
      <x:c r="K59" s="36" t="str">
        <x:v>no</x:v>
      </x:c>
      <x:c r="L59" s="36" t="str">
        <x:v>Single-country territory; UN WPP and vanilla are within the ±5% review threshold.</x:v>
      </x:c>
      <x:c r="M59" s="41" t="n">
        <x:v>41590560000</x:v>
      </x:c>
      <x:c r="N59" s="41" t="n">
        <x:v>41590560000</x:v>
      </x:c>
      <x:c r="O59" s="41" t="n">
        <x:v>16942</x:v>
      </x:c>
      <x:c r="P59" s="41" t="n">
        <x:v>8329</x:v>
      </x:c>
      <x:c r="Q59" s="41" t="n">
        <x:v>19974</x:v>
      </x:c>
      <x:c r="R59" s="42" t="n">
        <x:f>MIN(P59,Q59)</x:f>
        <x:v>8329</x:v>
      </x:c>
      <x:c r="S59" s="42" t="n">
        <x:f>MAX(P59,Q59)</x:f>
        <x:v>19974</x:v>
      </x:c>
      <x:c r="T59" s="42" t="n">
        <x:f>MAX(R59,MIN(O59,S59))</x:f>
        <x:v>16942</x:v>
      </x:c>
      <x:c r="U59" s="19" t="str">
        <x:f>IF(O59&lt;R59,IF(R59=P59,"clamped_to_nominal","clamped_to_ppp"),IF(O59&gt;S59,IF(S59=P59,"clamped_to_nominal","clamped_to_ppp"),"kept_vanilla"))</x:f>
        <x:v>kept_vanilla</x:v>
      </x:c>
      <x:c r="V59" s="42" t="n">
        <x:f>T59*H59</x:f>
        <x:v>41336650264</x:v>
      </x:c>
      <x:c r="W59" s="42" t="n">
        <x:f>V59/F59</x:f>
        <x:v>41336650264</x:v>
      </x:c>
      <x:c r="X59" s="36" t="str">
        <x:v>BWA: UN WPP 2024 Medium exact 2022</x:v>
      </x:c>
      <x:c r="Y59" s="36" t="str">
        <x:v>BWA: IMF exact 2022</x:v>
      </x:c>
      <x:c r="Z59" s="36" t="str">
        <x:v>BWA: IMF exact 2022</x:v>
      </x:c>
      <x:c r="AA59" s="36" t="str">
        <x:v>complete_primary</x:v>
      </x:c>
      <x:c r="AB59" s="36" t="str">
        <x:v>https://www.un.org/development/desa/pd/world-population-prospects-2024</x:v>
      </x:c>
      <x:c r="AC59" s="36" t="str">
        <x:v>https://api.imf.org/external/sdmx/3.0/data/dataflow/IMF.RES/WEO/9.0.0/</x:v>
      </x:c>
      <x:c r="AD59" s="36" t="str">
        <x:v>https://api.worldbank.org/v2/</x:v>
      </x:c>
    </x:row>
    <x:row r="60">
      <x:c r="A60" s="24" t="str">
        <x:v>BWA</x:v>
      </x:c>
      <x:c r="B60" s="24" t="str">
        <x:v>Botswana</x:v>
      </x:c>
      <x:c r="C60" s="24" t="str">
        <x:v>BWA</x:v>
      </x:c>
      <x:c r="D60" s="24" t="str">
        <x:v>BWA</x:v>
      </x:c>
      <x:c r="E60" s="24" t="n">
        <x:v>2026</x:v>
      </x:c>
      <x:c r="F60" s="37" t="n">
        <x:v>0.87</x:v>
      </x:c>
      <x:c r="G60" s="38" t="n">
        <x:v>2603388</x:v>
      </x:c>
      <x:c r="H60" s="38" t="n">
        <x:v>2603388</x:v>
      </x:c>
      <x:c r="I60" s="39" t="n">
        <x:f>H60/G60</x:f>
        <x:v>1</x:v>
      </x:c>
      <x:c r="J60" s="40" t="n">
        <x:f>(I60-1)*100</x:f>
        <x:v>0</x:v>
      </x:c>
      <x:c r="K60" s="36" t="str">
        <x:v>no</x:v>
      </x:c>
      <x:c r="L60" s="36" t="str">
        <x:v>Single-country territory; UN WPP and vanilla are within the ±5% review threshold.</x:v>
      </x:c>
      <x:c r="M60" s="41" t="n">
        <x:v>46605680000</x:v>
      </x:c>
      <x:c r="N60" s="41" t="n">
        <x:v>40546941600</x:v>
      </x:c>
      <x:c r="O60" s="41" t="n">
        <x:v>15575</x:v>
      </x:c>
      <x:c r="P60" s="41" t="n">
        <x:v>7331</x:v>
      </x:c>
      <x:c r="Q60" s="41" t="n">
        <x:v>19031</x:v>
      </x:c>
      <x:c r="R60" s="42" t="n">
        <x:f>MIN(P60,Q60)</x:f>
        <x:v>7331</x:v>
      </x:c>
      <x:c r="S60" s="42" t="n">
        <x:f>MAX(P60,Q60)</x:f>
        <x:v>19031</x:v>
      </x:c>
      <x:c r="T60" s="42" t="n">
        <x:f>MAX(R60,MIN(O60,S60))</x:f>
        <x:v>15575</x:v>
      </x:c>
      <x:c r="U60" s="19" t="str">
        <x:f>IF(O60&lt;R60,IF(R60=P60,"clamped_to_nominal","clamped_to_ppp"),IF(O60&gt;S60,IF(S60=P60,"clamped_to_nominal","clamped_to_ppp"),"kept_vanilla"))</x:f>
        <x:v>kept_vanilla</x:v>
      </x:c>
      <x:c r="V60" s="42" t="n">
        <x:f>T60*H60</x:f>
        <x:v>40547768100</x:v>
      </x:c>
      <x:c r="W60" s="42" t="n">
        <x:f>V60/F60</x:f>
        <x:v>46606630000</x:v>
      </x:c>
      <x:c r="X60" s="36" t="str">
        <x:v>BWA: UN WPP 2024 Medium exact 2026</x:v>
      </x:c>
      <x:c r="Y60" s="36" t="str">
        <x:v>BWA: IMF exact 2026</x:v>
      </x:c>
      <x:c r="Z60" s="36" t="str">
        <x:v>BWA: IMF exact 2026</x:v>
      </x:c>
      <x:c r="AA60" s="36" t="str">
        <x:v>complete_primary</x:v>
      </x:c>
      <x:c r="AB60" s="36" t="str">
        <x:v>https://www.un.org/development/desa/pd/world-population-prospects-2024</x:v>
      </x:c>
      <x:c r="AC60" s="36" t="str">
        <x:v>https://api.imf.org/external/sdmx/3.0/data/dataflow/IMF.RES/WEO/9.0.0/</x:v>
      </x:c>
      <x:c r="AD60" s="36" t="str">
        <x:v>https://api.worldbank.org/v2/</x:v>
      </x:c>
    </x:row>
    <x:row r="61">
      <x:c r="A61" s="24" t="str">
        <x:v>BRA</x:v>
      </x:c>
      <x:c r="B61" s="24" t="str">
        <x:v>Brazil</x:v>
      </x:c>
      <x:c r="C61" s="24" t="str">
        <x:v>BRA</x:v>
      </x:c>
      <x:c r="D61" s="24" t="str">
        <x:v>BRA</x:v>
      </x:c>
      <x:c r="E61" s="24" t="n">
        <x:v>2003</x:v>
      </x:c>
      <x:c r="F61" s="37" t="n">
        <x:v>1.59</x:v>
      </x:c>
      <x:c r="G61" s="38" t="n">
        <x:v>180622688</x:v>
      </x:c>
      <x:c r="H61" s="38" t="n">
        <x:v>180622688</x:v>
      </x:c>
      <x:c r="I61" s="39" t="n">
        <x:f>H61/G61</x:f>
        <x:v>1</x:v>
      </x:c>
      <x:c r="J61" s="40" t="n">
        <x:f>(I61-1)*100</x:f>
        <x:v>0</x:v>
      </x:c>
      <x:c r="K61" s="36" t="str">
        <x:v>no</x:v>
      </x:c>
      <x:c r="L61" s="36" t="str">
        <x:v>Single-country territory; UN WPP and vanilla are within the ±5% review threshold.</x:v>
      </x:c>
      <x:c r="M61" s="41" t="n">
        <x:v>952711695906</x:v>
      </x:c>
      <x:c r="N61" s="41" t="n">
        <x:v>1514811596491</x:v>
      </x:c>
      <x:c r="O61" s="41" t="n">
        <x:v>8387</x:v>
      </x:c>
      <x:c r="P61" s="41" t="n">
        <x:v>4914</x:v>
      </x:c>
      <x:c r="Q61" s="41" t="n">
        <x:v>14341</x:v>
      </x:c>
      <x:c r="R61" s="42" t="n">
        <x:f>MIN(P61,Q61)</x:f>
        <x:v>4914</x:v>
      </x:c>
      <x:c r="S61" s="42" t="n">
        <x:f>MAX(P61,Q61)</x:f>
        <x:v>14341</x:v>
      </x:c>
      <x:c r="T61" s="42" t="n">
        <x:f>MAX(R61,MIN(O61,S61))</x:f>
        <x:v>8387</x:v>
      </x:c>
      <x:c r="U61" s="19" t="str">
        <x:f>IF(O61&lt;R61,IF(R61=P61,"clamped_to_nominal","clamped_to_ppp"),IF(O61&gt;S61,IF(S61=P61,"clamped_to_nominal","clamped_to_ppp"),"kept_vanilla"))</x:f>
        <x:v>kept_vanilla</x:v>
      </x:c>
      <x:c r="V61" s="42" t="n">
        <x:f>T61*H61</x:f>
        <x:v>1514882484256</x:v>
      </x:c>
      <x:c r="W61" s="42" t="n">
        <x:f>V61/F61</x:f>
        <x:v>952756279406.2893</x:v>
      </x:c>
      <x:c r="X61" s="36" t="str">
        <x:v>BRA: UN WPP 2024 Medium exact 2003</x:v>
      </x:c>
      <x:c r="Y61" s="36" t="str">
        <x:v>BRA: IMF exact 2003</x:v>
      </x:c>
      <x:c r="Z61" s="36" t="str">
        <x:v>BRA: IMF exact 2003</x:v>
      </x:c>
      <x:c r="AA61" s="36" t="str">
        <x:v>complete_primary</x:v>
      </x:c>
      <x:c r="AB61" s="36" t="str">
        <x:v>https://www.un.org/development/desa/pd/world-population-prospects-2024</x:v>
      </x:c>
      <x:c r="AC61" s="36" t="str">
        <x:v>https://api.imf.org/external/sdmx/3.0/data/dataflow/IMF.RES/WEO/9.0.0/</x:v>
      </x:c>
      <x:c r="AD61" s="36" t="str">
        <x:v>https://api.worldbank.org/v2/</x:v>
      </x:c>
    </x:row>
    <x:row r="62">
      <x:c r="A62" s="24" t="str">
        <x:v>BRA</x:v>
      </x:c>
      <x:c r="B62" s="24" t="str">
        <x:v>Brazil</x:v>
      </x:c>
      <x:c r="C62" s="24" t="str">
        <x:v>BRA</x:v>
      </x:c>
      <x:c r="D62" s="24" t="str">
        <x:v>BRA</x:v>
      </x:c>
      <x:c r="E62" s="24" t="n">
        <x:v>2022</x:v>
      </x:c>
      <x:c r="F62" s="37" t="n">
        <x:v>1</x:v>
      </x:c>
      <x:c r="G62" s="38" t="n">
        <x:v>215777182</x:v>
      </x:c>
      <x:c r="H62" s="38" t="n">
        <x:v>210306415</x:v>
      </x:c>
      <x:c r="I62" s="39" t="n">
        <x:f>H62/G62</x:f>
        <x:v>0.9746462209335925</x:v>
      </x:c>
      <x:c r="J62" s="40" t="n">
        <x:f>(I62-1)*100</x:f>
        <x:v>-2.5353779066407456</x:v>
      </x:c>
      <x:c r="K62" s="36" t="str">
        <x:v>no</x:v>
      </x:c>
      <x:c r="L62" s="36" t="str">
        <x:v>Single-country territory; UN WPP and vanilla are within the ±5% review threshold.</x:v>
      </x:c>
      <x:c r="M62" s="41" t="n">
        <x:v>3239228960000</x:v>
      </x:c>
      <x:c r="N62" s="41" t="n">
        <x:v>3239228960000</x:v>
      </x:c>
      <x:c r="O62" s="41" t="n">
        <x:v>15012</x:v>
      </x:c>
      <x:c r="P62" s="41" t="n">
        <x:v>9281</x:v>
      </x:c>
      <x:c r="Q62" s="41" t="n">
        <x:v>19874</x:v>
      </x:c>
      <x:c r="R62" s="42" t="n">
        <x:f>MIN(P62,Q62)</x:f>
        <x:v>9281</x:v>
      </x:c>
      <x:c r="S62" s="42" t="n">
        <x:f>MAX(P62,Q62)</x:f>
        <x:v>19874</x:v>
      </x:c>
      <x:c r="T62" s="42" t="n">
        <x:f>MAX(R62,MIN(O62,S62))</x:f>
        <x:v>15012</x:v>
      </x:c>
      <x:c r="U62" s="19" t="str">
        <x:f>IF(O62&lt;R62,IF(R62=P62,"clamped_to_nominal","clamped_to_ppp"),IF(O62&gt;S62,IF(S62=P62,"clamped_to_nominal","clamped_to_ppp"),"kept_vanilla"))</x:f>
        <x:v>kept_vanilla</x:v>
      </x:c>
      <x:c r="V62" s="42" t="n">
        <x:f>T62*H62</x:f>
        <x:v>3157119901980</x:v>
      </x:c>
      <x:c r="W62" s="42" t="n">
        <x:f>V62/F62</x:f>
        <x:v>3157119901980</x:v>
      </x:c>
      <x:c r="X62" s="36" t="str">
        <x:v>BRA: UN WPP 2024 Medium exact 2022</x:v>
      </x:c>
      <x:c r="Y62" s="36" t="str">
        <x:v>BRA: IMF exact 2022</x:v>
      </x:c>
      <x:c r="Z62" s="36" t="str">
        <x:v>BRA: IMF exact 2022</x:v>
      </x:c>
      <x:c r="AA62" s="36" t="str">
        <x:v>complete_primary</x:v>
      </x:c>
      <x:c r="AB62" s="36" t="str">
        <x:v>https://www.un.org/development/desa/pd/world-population-prospects-2024</x:v>
      </x:c>
      <x:c r="AC62" s="36" t="str">
        <x:v>https://api.imf.org/external/sdmx/3.0/data/dataflow/IMF.RES/WEO/9.0.0/</x:v>
      </x:c>
      <x:c r="AD62" s="36" t="str">
        <x:v>https://api.worldbank.org/v2/</x:v>
      </x:c>
    </x:row>
    <x:row r="63">
      <x:c r="A63" s="24" t="str">
        <x:v>BRA</x:v>
      </x:c>
      <x:c r="B63" s="24" t="str">
        <x:v>Brazil</x:v>
      </x:c>
      <x:c r="C63" s="24" t="str">
        <x:v>BRA</x:v>
      </x:c>
      <x:c r="D63" s="24" t="str">
        <x:v>BRA</x:v>
      </x:c>
      <x:c r="E63" s="24" t="n">
        <x:v>2026</x:v>
      </x:c>
      <x:c r="F63" s="37" t="n">
        <x:v>0.87</x:v>
      </x:c>
      <x:c r="G63" s="38" t="n">
        <x:v>213562666</x:v>
      </x:c>
      <x:c r="H63" s="38" t="n">
        <x:v>213562666</x:v>
      </x:c>
      <x:c r="I63" s="39" t="n">
        <x:f>H63/G63</x:f>
        <x:v>1</x:v>
      </x:c>
      <x:c r="J63" s="40" t="n">
        <x:f>(I63-1)*100</x:f>
        <x:v>0</x:v>
      </x:c>
      <x:c r="K63" s="36" t="str">
        <x:v>no</x:v>
      </x:c>
      <x:c r="L63" s="36" t="str">
        <x:v>Single-country territory; UN WPP and vanilla are within the ±5% review threshold.</x:v>
      </x:c>
      <x:c r="M63" s="41" t="n">
        <x:v>4376578800000</x:v>
      </x:c>
      <x:c r="N63" s="41" t="n">
        <x:v>3807623556000</x:v>
      </x:c>
      <x:c r="O63" s="41" t="n">
        <x:v>17829</x:v>
      </x:c>
      <x:c r="P63" s="41" t="n">
        <x:v>10738</x:v>
      </x:c>
      <x:c r="Q63" s="41" t="n">
        <x:v>21304</x:v>
      </x:c>
      <x:c r="R63" s="42" t="n">
        <x:f>MIN(P63,Q63)</x:f>
        <x:v>10738</x:v>
      </x:c>
      <x:c r="S63" s="42" t="n">
        <x:f>MAX(P63,Q63)</x:f>
        <x:v>21304</x:v>
      </x:c>
      <x:c r="T63" s="42" t="n">
        <x:f>MAX(R63,MIN(O63,S63))</x:f>
        <x:v>17829</x:v>
      </x:c>
      <x:c r="U63" s="19" t="str">
        <x:f>IF(O63&lt;R63,IF(R63=P63,"clamped_to_nominal","clamped_to_ppp"),IF(O63&gt;S63,IF(S63=P63,"clamped_to_nominal","clamped_to_ppp"),"kept_vanilla"))</x:f>
        <x:v>kept_vanilla</x:v>
      </x:c>
      <x:c r="V63" s="42" t="n">
        <x:f>T63*H63</x:f>
        <x:v>3807608772114</x:v>
      </x:c>
      <x:c r="W63" s="42" t="n">
        <x:f>V63/F63</x:f>
        <x:v>4376561807027.5864</x:v>
      </x:c>
      <x:c r="X63" s="36" t="str">
        <x:v>BRA: UN WPP 2024 Medium exact 2026</x:v>
      </x:c>
      <x:c r="Y63" s="36" t="str">
        <x:v>BRA: IMF exact 2026</x:v>
      </x:c>
      <x:c r="Z63" s="36" t="str">
        <x:v>BRA: IMF exact 2026</x:v>
      </x:c>
      <x:c r="AA63" s="36" t="str">
        <x:v>complete_primary</x:v>
      </x:c>
      <x:c r="AB63" s="36" t="str">
        <x:v>https://www.un.org/development/desa/pd/world-population-prospects-2024</x:v>
      </x:c>
      <x:c r="AC63" s="36" t="str">
        <x:v>https://api.imf.org/external/sdmx/3.0/data/dataflow/IMF.RES/WEO/9.0.0/</x:v>
      </x:c>
      <x:c r="AD63" s="36" t="str">
        <x:v>https://api.worldbank.org/v2/</x:v>
      </x:c>
    </x:row>
    <x:row r="64">
      <x:c r="A64" s="24" t="str">
        <x:v>BRU</x:v>
      </x:c>
      <x:c r="B64" s="24" t="str">
        <x:v>Brunei</x:v>
      </x:c>
      <x:c r="C64" s="24" t="str">
        <x:v>BRN</x:v>
      </x:c>
      <x:c r="D64" s="24" t="str">
        <x:v>BRN</x:v>
      </x:c>
      <x:c r="E64" s="24" t="n">
        <x:v>2003</x:v>
      </x:c>
      <x:c r="F64" s="37" t="n">
        <x:v>1.59</x:v>
      </x:c>
      <x:c r="G64" s="38" t="n">
        <x:v>346637</x:v>
      </x:c>
      <x:c r="H64" s="38" t="n">
        <x:v>346637</x:v>
      </x:c>
      <x:c r="I64" s="39" t="n">
        <x:f>H64/G64</x:f>
        <x:v>1</x:v>
      </x:c>
      <x:c r="J64" s="40" t="n">
        <x:f>(I64-1)*100</x:f>
        <x:v>0</x:v>
      </x:c>
      <x:c r="K64" s="36" t="str">
        <x:v>no</x:v>
      </x:c>
      <x:c r="L64" s="36" t="str">
        <x:v>Single-country territory; UN WPP and vanilla are within the ±5% review threshold.</x:v>
      </x:c>
      <x:c r="M64" s="41" t="n">
        <x:v>11721052632</x:v>
      </x:c>
      <x:c r="N64" s="41" t="n">
        <x:v>18636473685</x:v>
      </x:c>
      <x:c r="O64" s="41" t="n">
        <x:v>53764</x:v>
      </x:c>
      <x:c r="P64" s="41" t="n">
        <x:v>33328</x:v>
      </x:c>
      <x:c r="Q64" s="41" t="n">
        <x:v>98685</x:v>
      </x:c>
      <x:c r="R64" s="42" t="n">
        <x:f>MIN(P64,Q64)</x:f>
        <x:v>33328</x:v>
      </x:c>
      <x:c r="S64" s="42" t="n">
        <x:f>MAX(P64,Q64)</x:f>
        <x:v>98685</x:v>
      </x:c>
      <x:c r="T64" s="42" t="n">
        <x:f>MAX(R64,MIN(O64,S64))</x:f>
        <x:v>53764</x:v>
      </x:c>
      <x:c r="U64" s="19" t="str">
        <x:f>IF(O64&lt;R64,IF(R64=P64,"clamped_to_nominal","clamped_to_ppp"),IF(O64&gt;S64,IF(S64=P64,"clamped_to_nominal","clamped_to_ppp"),"kept_vanilla"))</x:f>
        <x:v>kept_vanilla</x:v>
      </x:c>
      <x:c r="V64" s="42" t="n">
        <x:f>T64*H64</x:f>
        <x:v>18636591668</x:v>
      </x:c>
      <x:c r="W64" s="42" t="n">
        <x:f>V64/F64</x:f>
        <x:v>11721126835.220125</x:v>
      </x:c>
      <x:c r="X64" s="36" t="str">
        <x:v>BRN: UN WPP 2024 Medium exact 2003</x:v>
      </x:c>
      <x:c r="Y64" s="36" t="str">
        <x:v>BRN: IMF exact 2003</x:v>
      </x:c>
      <x:c r="Z64" s="36" t="str">
        <x:v>BRN: IMF exact 2003</x:v>
      </x:c>
      <x:c r="AA64" s="36" t="str">
        <x:v>complete_primary</x:v>
      </x:c>
      <x:c r="AB64" s="36" t="str">
        <x:v>https://www.un.org/development/desa/pd/world-population-prospects-2024</x:v>
      </x:c>
      <x:c r="AC64" s="36" t="str">
        <x:v>https://api.imf.org/external/sdmx/3.0/data/dataflow/IMF.RES/WEO/9.0.0/</x:v>
      </x:c>
      <x:c r="AD64" s="36" t="str">
        <x:v>https://api.worldbank.org/v2/</x:v>
      </x:c>
    </x:row>
    <x:row r="65">
      <x:c r="A65" s="24" t="str">
        <x:v>BRU</x:v>
      </x:c>
      <x:c r="B65" s="24" t="str">
        <x:v>Brunei</x:v>
      </x:c>
      <x:c r="C65" s="24" t="str">
        <x:v>BRN</x:v>
      </x:c>
      <x:c r="D65" s="24" t="str">
        <x:v>BRN</x:v>
      </x:c>
      <x:c r="E65" s="24" t="n">
        <x:v>2022</x:v>
      </x:c>
      <x:c r="F65" s="37" t="n">
        <x:v>1</x:v>
      </x:c>
      <x:c r="G65" s="38" t="n">
        <x:v>446604</x:v>
      </x:c>
      <x:c r="H65" s="38" t="n">
        <x:v>455370</x:v>
      </x:c>
      <x:c r="I65" s="39" t="n">
        <x:f>H65/G65</x:f>
        <x:v>1.019628126931241</x:v>
      </x:c>
      <x:c r="J65" s="40" t="n">
        <x:f>(I65-1)*100</x:f>
        <x:v>1.9628126931241052</x:v>
      </x:c>
      <x:c r="K65" s="36" t="str">
        <x:v>no</x:v>
      </x:c>
      <x:c r="L65" s="36" t="str">
        <x:v>Single-country territory; UN WPP and vanilla are within the ±5% review threshold.</x:v>
      </x:c>
      <x:c r="M65" s="41" t="n">
        <x:v>33389000000</x:v>
      </x:c>
      <x:c r="N65" s="41" t="n">
        <x:v>33389000000</x:v>
      </x:c>
      <x:c r="O65" s="41" t="n">
        <x:v>74762</x:v>
      </x:c>
      <x:c r="P65" s="41" t="n">
        <x:v>36638</x:v>
      </x:c>
      <x:c r="Q65" s="41" t="n">
        <x:v>81789</x:v>
      </x:c>
      <x:c r="R65" s="42" t="n">
        <x:f>MIN(P65,Q65)</x:f>
        <x:v>36638</x:v>
      </x:c>
      <x:c r="S65" s="42" t="n">
        <x:f>MAX(P65,Q65)</x:f>
        <x:v>81789</x:v>
      </x:c>
      <x:c r="T65" s="42" t="n">
        <x:f>MAX(R65,MIN(O65,S65))</x:f>
        <x:v>74762</x:v>
      </x:c>
      <x:c r="U65" s="19" t="str">
        <x:f>IF(O65&lt;R65,IF(R65=P65,"clamped_to_nominal","clamped_to_ppp"),IF(O65&gt;S65,IF(S65=P65,"clamped_to_nominal","clamped_to_ppp"),"kept_vanilla"))</x:f>
        <x:v>kept_vanilla</x:v>
      </x:c>
      <x:c r="V65" s="42" t="n">
        <x:f>T65*H65</x:f>
        <x:v>34044371940</x:v>
      </x:c>
      <x:c r="W65" s="42" t="n">
        <x:f>V65/F65</x:f>
        <x:v>34044371940</x:v>
      </x:c>
      <x:c r="X65" s="36" t="str">
        <x:v>BRN: UN WPP 2024 Medium exact 2022</x:v>
      </x:c>
      <x:c r="Y65" s="36" t="str">
        <x:v>BRN: IMF exact 2022</x:v>
      </x:c>
      <x:c r="Z65" s="36" t="str">
        <x:v>BRN: IMF exact 2022</x:v>
      </x:c>
      <x:c r="AA65" s="36" t="str">
        <x:v>complete_primary</x:v>
      </x:c>
      <x:c r="AB65" s="36" t="str">
        <x:v>https://www.un.org/development/desa/pd/world-population-prospects-2024</x:v>
      </x:c>
      <x:c r="AC65" s="36" t="str">
        <x:v>https://api.imf.org/external/sdmx/3.0/data/dataflow/IMF.RES/WEO/9.0.0/</x:v>
      </x:c>
      <x:c r="AD65" s="36" t="str">
        <x:v>https://api.worldbank.org/v2/</x:v>
      </x:c>
    </x:row>
    <x:row r="66">
      <x:c r="A66" s="24" t="str">
        <x:v>BRU</x:v>
      </x:c>
      <x:c r="B66" s="24" t="str">
        <x:v>Brunei</x:v>
      </x:c>
      <x:c r="C66" s="24" t="str">
        <x:v>BRN</x:v>
      </x:c>
      <x:c r="D66" s="24" t="str">
        <x:v>BRN</x:v>
      </x:c>
      <x:c r="E66" s="24" t="n">
        <x:v>2026</x:v>
      </x:c>
      <x:c r="F66" s="37" t="n">
        <x:v>0.87</x:v>
      </x:c>
      <x:c r="G66" s="38" t="n">
        <x:v>469775</x:v>
      </x:c>
      <x:c r="H66" s="38" t="n">
        <x:v>469775</x:v>
      </x:c>
      <x:c r="I66" s="39" t="n">
        <x:f>H66/G66</x:f>
        <x:v>1</x:v>
      </x:c>
      <x:c r="J66" s="40" t="n">
        <x:f>(I66-1)*100</x:f>
        <x:v>0</x:v>
      </x:c>
      <x:c r="K66" s="36" t="str">
        <x:v>no</x:v>
      </x:c>
      <x:c r="L66" s="36" t="str">
        <x:v>Single-country territory; UN WPP and vanilla are within the ±5% review threshold.</x:v>
      </x:c>
      <x:c r="M66" s="41" t="n">
        <x:v>38573040000</x:v>
      </x:c>
      <x:c r="N66" s="41" t="n">
        <x:v>33558544800</x:v>
      </x:c>
      <x:c r="O66" s="41" t="n">
        <x:v>71435</x:v>
      </x:c>
      <x:c r="P66" s="41" t="n">
        <x:v>31229</x:v>
      </x:c>
      <x:c r="Q66" s="41" t="n">
        <x:v>84217</x:v>
      </x:c>
      <x:c r="R66" s="42" t="n">
        <x:f>MIN(P66,Q66)</x:f>
        <x:v>31229</x:v>
      </x:c>
      <x:c r="S66" s="42" t="n">
        <x:f>MAX(P66,Q66)</x:f>
        <x:v>84217</x:v>
      </x:c>
      <x:c r="T66" s="42" t="n">
        <x:f>MAX(R66,MIN(O66,S66))</x:f>
        <x:v>71435</x:v>
      </x:c>
      <x:c r="U66" s="19" t="str">
        <x:f>IF(O66&lt;R66,IF(R66=P66,"clamped_to_nominal","clamped_to_ppp"),IF(O66&gt;S66,IF(S66=P66,"clamped_to_nominal","clamped_to_ppp"),"kept_vanilla"))</x:f>
        <x:v>kept_vanilla</x:v>
      </x:c>
      <x:c r="V66" s="42" t="n">
        <x:f>T66*H66</x:f>
        <x:v>33558377125</x:v>
      </x:c>
      <x:c r="W66" s="42" t="n">
        <x:f>V66/F66</x:f>
        <x:v>38572847270.114944</x:v>
      </x:c>
      <x:c r="X66" s="36" t="str">
        <x:v>BRN: UN WPP 2024 Medium exact 2026</x:v>
      </x:c>
      <x:c r="Y66" s="36" t="str">
        <x:v>BRN: IMF exact 2026</x:v>
      </x:c>
      <x:c r="Z66" s="36" t="str">
        <x:v>BRN: IMF exact 2026</x:v>
      </x:c>
      <x:c r="AA66" s="36" t="str">
        <x:v>complete_primary</x:v>
      </x:c>
      <x:c r="AB66" s="36" t="str">
        <x:v>https://www.un.org/development/desa/pd/world-population-prospects-2024</x:v>
      </x:c>
      <x:c r="AC66" s="36" t="str">
        <x:v>https://api.imf.org/external/sdmx/3.0/data/dataflow/IMF.RES/WEO/9.0.0/</x:v>
      </x:c>
      <x:c r="AD66" s="36" t="str">
        <x:v>https://api.worldbank.org/v2/</x:v>
      </x:c>
    </x:row>
    <x:row r="67">
      <x:c r="A67" s="24" t="str">
        <x:v>BUL</x:v>
      </x:c>
      <x:c r="B67" s="24" t="str">
        <x:v>Bulgaria</x:v>
      </x:c>
      <x:c r="C67" s="24" t="str">
        <x:v>BGR</x:v>
      </x:c>
      <x:c r="D67" s="24" t="str">
        <x:v>BGR</x:v>
      </x:c>
      <x:c r="E67" s="24" t="n">
        <x:v>2003</x:v>
      </x:c>
      <x:c r="F67" s="37" t="n">
        <x:v>1.59</x:v>
      </x:c>
      <x:c r="G67" s="38" t="n">
        <x:v>7804409</x:v>
      </x:c>
      <x:c r="H67" s="38" t="n">
        <x:v>7804409</x:v>
      </x:c>
      <x:c r="I67" s="39" t="n">
        <x:f>H67/G67</x:f>
        <x:v>1</x:v>
      </x:c>
      <x:c r="J67" s="40" t="n">
        <x:f>(I67-1)*100</x:f>
        <x:v>0</x:v>
      </x:c>
      <x:c r="K67" s="36" t="str">
        <x:v>no</x:v>
      </x:c>
      <x:c r="L67" s="36" t="str">
        <x:v>Single-country territory; UN WPP and vanilla are within the ±5% review threshold.</x:v>
      </x:c>
      <x:c r="M67" s="41" t="n">
        <x:v>44708771930</x:v>
      </x:c>
      <x:c r="N67" s="41" t="n">
        <x:v>71086947369</x:v>
      </x:c>
      <x:c r="O67" s="41" t="n">
        <x:v>9109</x:v>
      </x:c>
      <x:c r="P67" s="41" t="n">
        <x:v>4316</x:v>
      </x:c>
      <x:c r="Q67" s="41" t="n">
        <x:v>15576</x:v>
      </x:c>
      <x:c r="R67" s="42" t="n">
        <x:f>MIN(P67,Q67)</x:f>
        <x:v>4316</x:v>
      </x:c>
      <x:c r="S67" s="42" t="n">
        <x:f>MAX(P67,Q67)</x:f>
        <x:v>15576</x:v>
      </x:c>
      <x:c r="T67" s="42" t="n">
        <x:f>MAX(R67,MIN(O67,S67))</x:f>
        <x:v>9109</x:v>
      </x:c>
      <x:c r="U67" s="19" t="str">
        <x:f>IF(O67&lt;R67,IF(R67=P67,"clamped_to_nominal","clamped_to_ppp"),IF(O67&gt;S67,IF(S67=P67,"clamped_to_nominal","clamped_to_ppp"),"kept_vanilla"))</x:f>
        <x:v>kept_vanilla</x:v>
      </x:c>
      <x:c r="V67" s="42" t="n">
        <x:f>T67*H67</x:f>
        <x:v>71090361581</x:v>
      </x:c>
      <x:c r="W67" s="42" t="n">
        <x:f>V67/F67</x:f>
        <x:v>44710919233.33333</x:v>
      </x:c>
      <x:c r="X67" s="36" t="str">
        <x:v>BGR: UN WPP 2024 Medium exact 2003</x:v>
      </x:c>
      <x:c r="Y67" s="36" t="str">
        <x:v>BGR: IMF exact 2003</x:v>
      </x:c>
      <x:c r="Z67" s="36" t="str">
        <x:v>BGR: IMF exact 2003</x:v>
      </x:c>
      <x:c r="AA67" s="36" t="str">
        <x:v>complete_primary</x:v>
      </x:c>
      <x:c r="AB67" s="36" t="str">
        <x:v>https://www.un.org/development/desa/pd/world-population-prospects-2024</x:v>
      </x:c>
      <x:c r="AC67" s="36" t="str">
        <x:v>https://api.imf.org/external/sdmx/3.0/data/dataflow/IMF.RES/WEO/9.0.0/</x:v>
      </x:c>
      <x:c r="AD67" s="36" t="str">
        <x:v>https://api.worldbank.org/v2/</x:v>
      </x:c>
    </x:row>
    <x:row r="68">
      <x:c r="A68" s="24" t="str">
        <x:v>BUL</x:v>
      </x:c>
      <x:c r="B68" s="24" t="str">
        <x:v>Bulgaria</x:v>
      </x:c>
      <x:c r="C68" s="24" t="str">
        <x:v>BGR</x:v>
      </x:c>
      <x:c r="D68" s="24" t="str">
        <x:v>BGR</x:v>
      </x:c>
      <x:c r="E68" s="24" t="n">
        <x:v>2022</x:v>
      </x:c>
      <x:c r="F68" s="37" t="n">
        <x:v>1</x:v>
      </x:c>
      <x:c r="G68" s="38" t="n">
        <x:v>6829004</x:v>
      </x:c>
      <x:c r="H68" s="38" t="n">
        <x:v>6825864</x:v>
      </x:c>
      <x:c r="I68" s="39" t="n">
        <x:f>H68/G68</x:f>
        <x:v>0.9995401964913185</x:v>
      </x:c>
      <x:c r="J68" s="40" t="n">
        <x:f>(I68-1)*100</x:f>
        <x:v>-0.04598035086814667</x:v>
      </x:c>
      <x:c r="K68" s="36" t="str">
        <x:v>no</x:v>
      </x:c>
      <x:c r="L68" s="36" t="str">
        <x:v>Single-country territory; UN WPP and vanilla are within the ±5% review threshold.</x:v>
      </x:c>
      <x:c r="M68" s="41" t="n">
        <x:v>195399000000</x:v>
      </x:c>
      <x:c r="N68" s="41" t="n">
        <x:v>195399000000</x:v>
      </x:c>
      <x:c r="O68" s="41" t="n">
        <x:v>28613</x:v>
      </x:c>
      <x:c r="P68" s="41" t="n">
        <x:v>13290</x:v>
      </x:c>
      <x:c r="Q68" s="41" t="n">
        <x:v>33166</x:v>
      </x:c>
      <x:c r="R68" s="42" t="n">
        <x:f>MIN(P68,Q68)</x:f>
        <x:v>13290</x:v>
      </x:c>
      <x:c r="S68" s="42" t="n">
        <x:f>MAX(P68,Q68)</x:f>
        <x:v>33166</x:v>
      </x:c>
      <x:c r="T68" s="42" t="n">
        <x:f>MAX(R68,MIN(O68,S68))</x:f>
        <x:v>28613</x:v>
      </x:c>
      <x:c r="U68" s="19" t="str">
        <x:f>IF(O68&lt;R68,IF(R68=P68,"clamped_to_nominal","clamped_to_ppp"),IF(O68&gt;S68,IF(S68=P68,"clamped_to_nominal","clamped_to_ppp"),"kept_vanilla"))</x:f>
        <x:v>kept_vanilla</x:v>
      </x:c>
      <x:c r="V68" s="42" t="n">
        <x:f>T68*H68</x:f>
        <x:v>195308446632</x:v>
      </x:c>
      <x:c r="W68" s="42" t="n">
        <x:f>V68/F68</x:f>
        <x:v>195308446632</x:v>
      </x:c>
      <x:c r="X68" s="36" t="str">
        <x:v>BGR: UN WPP 2024 Medium exact 2022</x:v>
      </x:c>
      <x:c r="Y68" s="36" t="str">
        <x:v>BGR: IMF exact 2022</x:v>
      </x:c>
      <x:c r="Z68" s="36" t="str">
        <x:v>BGR: IMF exact 2022</x:v>
      </x:c>
      <x:c r="AA68" s="36" t="str">
        <x:v>complete_primary</x:v>
      </x:c>
      <x:c r="AB68" s="36" t="str">
        <x:v>https://www.un.org/development/desa/pd/world-population-prospects-2024</x:v>
      </x:c>
      <x:c r="AC68" s="36" t="str">
        <x:v>https://api.imf.org/external/sdmx/3.0/data/dataflow/IMF.RES/WEO/9.0.0/</x:v>
      </x:c>
      <x:c r="AD68" s="36" t="str">
        <x:v>https://api.worldbank.org/v2/</x:v>
      </x:c>
    </x:row>
    <x:row r="69">
      <x:c r="A69" s="24" t="str">
        <x:v>BUL</x:v>
      </x:c>
      <x:c r="B69" s="24" t="str">
        <x:v>Bulgaria</x:v>
      </x:c>
      <x:c r="C69" s="24" t="str">
        <x:v>BGR</x:v>
      </x:c>
      <x:c r="D69" s="24" t="str">
        <x:v>BGR</x:v>
      </x:c>
      <x:c r="E69" s="24" t="n">
        <x:v>2026</x:v>
      </x:c>
      <x:c r="F69" s="37" t="n">
        <x:v>0.87</x:v>
      </x:c>
      <x:c r="G69" s="38" t="n">
        <x:v>6667660</x:v>
      </x:c>
      <x:c r="H69" s="38" t="n">
        <x:v>6667659</x:v>
      </x:c>
      <x:c r="I69" s="39" t="n">
        <x:f>H69/G69</x:f>
        <x:v>0.9999998500223467</x:v>
      </x:c>
      <x:c r="J69" s="40" t="n">
        <x:f>(I69-1)*100</x:f>
        <x:v>-0.000014997765329649582</x:v>
      </x:c>
      <x:c r="K69" s="36" t="str">
        <x:v>no</x:v>
      </x:c>
      <x:c r="L69" s="36" t="str">
        <x:v>Single-country territory; UN WPP and vanilla are within the ±5% review threshold.</x:v>
      </x:c>
      <x:c r="M69" s="41" t="n">
        <x:v>232935120000</x:v>
      </x:c>
      <x:c r="N69" s="41" t="n">
        <x:v>202653554400</x:v>
      </x:c>
      <x:c r="O69" s="41" t="n">
        <x:v>30394</x:v>
      </x:c>
      <x:c r="P69" s="41" t="n">
        <x:v>19327</x:v>
      </x:c>
      <x:c r="Q69" s="41" t="n">
        <x:v>36989</x:v>
      </x:c>
      <x:c r="R69" s="42" t="n">
        <x:f>MIN(P69,Q69)</x:f>
        <x:v>19327</x:v>
      </x:c>
      <x:c r="S69" s="42" t="n">
        <x:f>MAX(P69,Q69)</x:f>
        <x:v>36989</x:v>
      </x:c>
      <x:c r="T69" s="42" t="n">
        <x:f>MAX(R69,MIN(O69,S69))</x:f>
        <x:v>30394</x:v>
      </x:c>
      <x:c r="U69" s="19" t="str">
        <x:f>IF(O69&lt;R69,IF(R69=P69,"clamped_to_nominal","clamped_to_ppp"),IF(O69&gt;S69,IF(S69=P69,"clamped_to_nominal","clamped_to_ppp"),"kept_vanilla"))</x:f>
        <x:v>kept_vanilla</x:v>
      </x:c>
      <x:c r="V69" s="42" t="n">
        <x:f>T69*H69</x:f>
        <x:v>202656827646</x:v>
      </x:c>
      <x:c r="W69" s="42" t="n">
        <x:f>V69/F69</x:f>
        <x:v>232938882351.72415</x:v>
      </x:c>
      <x:c r="X69" s="36" t="str">
        <x:v>BGR: UN WPP 2024 Medium exact 2026</x:v>
      </x:c>
      <x:c r="Y69" s="36" t="str">
        <x:v>BGR: IMF exact 2026</x:v>
      </x:c>
      <x:c r="Z69" s="36" t="str">
        <x:v>BGR: IMF exact 2026</x:v>
      </x:c>
      <x:c r="AA69" s="36" t="str">
        <x:v>complete_primary</x:v>
      </x:c>
      <x:c r="AB69" s="36" t="str">
        <x:v>https://www.un.org/development/desa/pd/world-population-prospects-2024</x:v>
      </x:c>
      <x:c r="AC69" s="36" t="str">
        <x:v>https://api.imf.org/external/sdmx/3.0/data/dataflow/IMF.RES/WEO/9.0.0/</x:v>
      </x:c>
      <x:c r="AD69" s="36" t="str">
        <x:v>https://api.worldbank.org/v2/</x:v>
      </x:c>
    </x:row>
    <x:row r="70">
      <x:c r="A70" s="24" t="str">
        <x:v>BKF</x:v>
      </x:c>
      <x:c r="B70" s="24" t="str">
        <x:v>Burkina Faso</x:v>
      </x:c>
      <x:c r="C70" s="24" t="str">
        <x:v>BFA</x:v>
      </x:c>
      <x:c r="D70" s="24" t="str">
        <x:v>BFA</x:v>
      </x:c>
      <x:c r="E70" s="24" t="n">
        <x:v>2003</x:v>
      </x:c>
      <x:c r="F70" s="37" t="n">
        <x:v>1.59</x:v>
      </x:c>
      <x:c r="G70" s="38" t="n">
        <x:v>13082532</x:v>
      </x:c>
      <x:c r="H70" s="38" t="n">
        <x:v>13082532</x:v>
      </x:c>
      <x:c r="I70" s="39" t="n">
        <x:f>H70/G70</x:f>
        <x:v>1</x:v>
      </x:c>
      <x:c r="J70" s="40" t="n">
        <x:f>(I70-1)*100</x:f>
        <x:v>0</x:v>
      </x:c>
      <x:c r="K70" s="36" t="str">
        <x:v>no</x:v>
      </x:c>
      <x:c r="L70" s="36" t="str">
        <x:v>Single-country territory; UN WPP and vanilla are within the ±5% review threshold.</x:v>
      </x:c>
      <x:c r="M70" s="41" t="n">
        <x:v>8414035088</x:v>
      </x:c>
      <x:c r="N70" s="41" t="n">
        <x:v>13378315790</x:v>
      </x:c>
      <x:c r="O70" s="41" t="n">
        <x:v>1023</x:v>
      </x:c>
      <x:c r="P70" s="41" t="n">
        <x:v>576</x:v>
      </x:c>
      <x:c r="Q70" s="41" t="n">
        <x:v>1749</x:v>
      </x:c>
      <x:c r="R70" s="42" t="n">
        <x:f>MIN(P70,Q70)</x:f>
        <x:v>576</x:v>
      </x:c>
      <x:c r="S70" s="42" t="n">
        <x:f>MAX(P70,Q70)</x:f>
        <x:v>1749</x:v>
      </x:c>
      <x:c r="T70" s="42" t="n">
        <x:f>MAX(R70,MIN(O70,S70))</x:f>
        <x:v>1023</x:v>
      </x:c>
      <x:c r="U70" s="19" t="str">
        <x:f>IF(O70&lt;R70,IF(R70=P70,"clamped_to_nominal","clamped_to_ppp"),IF(O70&gt;S70,IF(S70=P70,"clamped_to_nominal","clamped_to_ppp"),"kept_vanilla"))</x:f>
        <x:v>kept_vanilla</x:v>
      </x:c>
      <x:c r="V70" s="42" t="n">
        <x:f>T70*H70</x:f>
        <x:v>13383430236</x:v>
      </x:c>
      <x:c r="W70" s="42" t="n">
        <x:f>V70/F70</x:f>
        <x:v>8417251720.754717</x:v>
      </x:c>
      <x:c r="X70" s="36" t="str">
        <x:v>BFA: UN WPP 2024 Medium exact 2003</x:v>
      </x:c>
      <x:c r="Y70" s="36" t="str">
        <x:v>BFA: IMF exact 2003</x:v>
      </x:c>
      <x:c r="Z70" s="36" t="str">
        <x:v>BFA: IMF exact 2003</x:v>
      </x:c>
      <x:c r="AA70" s="36" t="str">
        <x:v>complete_primary</x:v>
      </x:c>
      <x:c r="AB70" s="36" t="str">
        <x:v>https://www.un.org/development/desa/pd/world-population-prospects-2024</x:v>
      </x:c>
      <x:c r="AC70" s="36" t="str">
        <x:v>https://api.imf.org/external/sdmx/3.0/data/dataflow/IMF.RES/WEO/9.0.0/</x:v>
      </x:c>
      <x:c r="AD70" s="36" t="str">
        <x:v>https://api.worldbank.org/v2/</x:v>
      </x:c>
    </x:row>
    <x:row r="71">
      <x:c r="A71" s="24" t="str">
        <x:v>BKF</x:v>
      </x:c>
      <x:c r="B71" s="24" t="str">
        <x:v>Burkina Faso</x:v>
      </x:c>
      <x:c r="C71" s="24" t="str">
        <x:v>BFA</x:v>
      </x:c>
      <x:c r="D71" s="24" t="str">
        <x:v>BFA</x:v>
      </x:c>
      <x:c r="E71" s="24" t="n">
        <x:v>2022</x:v>
      </x:c>
      <x:c r="F71" s="37" t="n">
        <x:v>1</x:v>
      </x:c>
      <x:c r="G71" s="38" t="n">
        <x:v>22294537</x:v>
      </x:c>
      <x:c r="H71" s="38" t="n">
        <x:v>22509038</x:v>
      </x:c>
      <x:c r="I71" s="39" t="n">
        <x:f>H71/G71</x:f>
        <x:v>1.0096212359108423</x:v>
      </x:c>
      <x:c r="J71" s="40" t="n">
        <x:f>(I71-1)*100</x:f>
        <x:v>0.9621235910842296</x:v>
      </x:c>
      <x:c r="K71" s="36" t="str">
        <x:v>no</x:v>
      </x:c>
      <x:c r="L71" s="36" t="str">
        <x:v>Single-country territory; UN WPP and vanilla are within the ±5% review threshold.</x:v>
      </x:c>
      <x:c r="M71" s="41" t="n">
        <x:v>51906800000</x:v>
      </x:c>
      <x:c r="N71" s="41" t="n">
        <x:v>51906800000</x:v>
      </x:c>
      <x:c r="O71" s="41" t="n">
        <x:v>2328</x:v>
      </x:c>
      <x:c r="P71" s="41" t="n">
        <x:v>829</x:v>
      </x:c>
      <x:c r="Q71" s="41" t="n">
        <x:v>2645</x:v>
      </x:c>
      <x:c r="R71" s="42" t="n">
        <x:f>MIN(P71,Q71)</x:f>
        <x:v>829</x:v>
      </x:c>
      <x:c r="S71" s="42" t="n">
        <x:f>MAX(P71,Q71)</x:f>
        <x:v>2645</x:v>
      </x:c>
      <x:c r="T71" s="42" t="n">
        <x:f>MAX(R71,MIN(O71,S71))</x:f>
        <x:v>2328</x:v>
      </x:c>
      <x:c r="U71" s="19" t="str">
        <x:f>IF(O71&lt;R71,IF(R71=P71,"clamped_to_nominal","clamped_to_ppp"),IF(O71&gt;S71,IF(S71=P71,"clamped_to_nominal","clamped_to_ppp"),"kept_vanilla"))</x:f>
        <x:v>kept_vanilla</x:v>
      </x:c>
      <x:c r="V71" s="42" t="n">
        <x:f>T71*H71</x:f>
        <x:v>52401040464</x:v>
      </x:c>
      <x:c r="W71" s="42" t="n">
        <x:f>V71/F71</x:f>
        <x:v>52401040464</x:v>
      </x:c>
      <x:c r="X71" s="36" t="str">
        <x:v>BFA: UN WPP 2024 Medium exact 2022</x:v>
      </x:c>
      <x:c r="Y71" s="36" t="str">
        <x:v>BFA: IMF exact 2022</x:v>
      </x:c>
      <x:c r="Z71" s="36" t="str">
        <x:v>BFA: IMF exact 2022</x:v>
      </x:c>
      <x:c r="AA71" s="36" t="str">
        <x:v>complete_primary</x:v>
      </x:c>
      <x:c r="AB71" s="36" t="str">
        <x:v>https://www.un.org/development/desa/pd/world-population-prospects-2024</x:v>
      </x:c>
      <x:c r="AC71" s="36" t="str">
        <x:v>https://api.imf.org/external/sdmx/3.0/data/dataflow/IMF.RES/WEO/9.0.0/</x:v>
      </x:c>
      <x:c r="AD71" s="36" t="str">
        <x:v>https://api.worldbank.org/v2/</x:v>
      </x:c>
    </x:row>
    <x:row r="72">
      <x:c r="A72" s="24" t="str">
        <x:v>BKF</x:v>
      </x:c>
      <x:c r="B72" s="24" t="str">
        <x:v>Burkina Faso</x:v>
      </x:c>
      <x:c r="C72" s="24" t="str">
        <x:v>BFA</x:v>
      </x:c>
      <x:c r="D72" s="24" t="str">
        <x:v>BFA</x:v>
      </x:c>
      <x:c r="E72" s="24" t="n">
        <x:v>2026</x:v>
      </x:c>
      <x:c r="F72" s="37" t="n">
        <x:v>0.87</x:v>
      </x:c>
      <x:c r="G72" s="38" t="n">
        <x:v>24601700</x:v>
      </x:c>
      <x:c r="H72" s="38" t="n">
        <x:v>24601700</x:v>
      </x:c>
      <x:c r="I72" s="39" t="n">
        <x:f>H72/G72</x:f>
        <x:v>1</x:v>
      </x:c>
      <x:c r="J72" s="40" t="n">
        <x:f>(I72-1)*100</x:f>
        <x:v>0</x:v>
      </x:c>
      <x:c r="K72" s="36" t="str">
        <x:v>no</x:v>
      </x:c>
      <x:c r="L72" s="36" t="str">
        <x:v>Single-country territory; UN WPP and vanilla are within the ±5% review threshold.</x:v>
      </x:c>
      <x:c r="M72" s="41" t="n">
        <x:v>64081600000</x:v>
      </x:c>
      <x:c r="N72" s="41" t="n">
        <x:v>55750992000</x:v>
      </x:c>
      <x:c r="O72" s="41" t="n">
        <x:v>2266</x:v>
      </x:c>
      <x:c r="P72" s="41" t="n">
        <x:v>1150</x:v>
      </x:c>
      <x:c r="Q72" s="41" t="n">
        <x:v>2813</x:v>
      </x:c>
      <x:c r="R72" s="42" t="n">
        <x:f>MIN(P72,Q72)</x:f>
        <x:v>1150</x:v>
      </x:c>
      <x:c r="S72" s="42" t="n">
        <x:f>MAX(P72,Q72)</x:f>
        <x:v>2813</x:v>
      </x:c>
      <x:c r="T72" s="42" t="n">
        <x:f>MAX(R72,MIN(O72,S72))</x:f>
        <x:v>2266</x:v>
      </x:c>
      <x:c r="U72" s="19" t="str">
        <x:f>IF(O72&lt;R72,IF(R72=P72,"clamped_to_nominal","clamped_to_ppp"),IF(O72&gt;S72,IF(S72=P72,"clamped_to_nominal","clamped_to_ppp"),"kept_vanilla"))</x:f>
        <x:v>kept_vanilla</x:v>
      </x:c>
      <x:c r="V72" s="42" t="n">
        <x:f>T72*H72</x:f>
        <x:v>55747452200</x:v>
      </x:c>
      <x:c r="W72" s="42" t="n">
        <x:f>V72/F72</x:f>
        <x:v>64077531264.36781</x:v>
      </x:c>
      <x:c r="X72" s="36" t="str">
        <x:v>BFA: UN WPP 2024 Medium exact 2026</x:v>
      </x:c>
      <x:c r="Y72" s="36" t="str">
        <x:v>BFA: IMF exact 2026</x:v>
      </x:c>
      <x:c r="Z72" s="36" t="str">
        <x:v>BFA: IMF exact 2026</x:v>
      </x:c>
      <x:c r="AA72" s="36" t="str">
        <x:v>complete_primary</x:v>
      </x:c>
      <x:c r="AB72" s="36" t="str">
        <x:v>https://www.un.org/development/desa/pd/world-population-prospects-2024</x:v>
      </x:c>
      <x:c r="AC72" s="36" t="str">
        <x:v>https://api.imf.org/external/sdmx/3.0/data/dataflow/IMF.RES/WEO/9.0.0/</x:v>
      </x:c>
      <x:c r="AD72" s="36" t="str">
        <x:v>https://api.worldbank.org/v2/</x:v>
      </x:c>
    </x:row>
    <x:row r="73">
      <x:c r="A73" s="24" t="str">
        <x:v>CPV</x:v>
      </x:c>
      <x:c r="B73" s="24" t="str">
        <x:v>Cabo Verde</x:v>
      </x:c>
      <x:c r="C73" s="24" t="str">
        <x:v>CPV</x:v>
      </x:c>
      <x:c r="D73" s="24" t="str">
        <x:v>CPV</x:v>
      </x:c>
      <x:c r="E73" s="24" t="n">
        <x:v>2003</x:v>
      </x:c>
      <x:c r="F73" s="37" t="n">
        <x:v>1.59</x:v>
      </x:c>
      <x:c r="G73" s="38" t="n">
        <x:v>473383</x:v>
      </x:c>
      <x:c r="H73" s="38" t="n">
        <x:v>473383</x:v>
      </x:c>
      <x:c r="I73" s="39" t="n">
        <x:f>H73/G73</x:f>
        <x:v>1</x:v>
      </x:c>
      <x:c r="J73" s="40" t="n">
        <x:f>(I73-1)*100</x:f>
        <x:v>0</x:v>
      </x:c>
      <x:c r="K73" s="36" t="str">
        <x:v>no</x:v>
      </x:c>
      <x:c r="L73" s="36" t="str">
        <x:v>Single-country territory; UN WPP and vanilla are within the ±5% review threshold.</x:v>
      </x:c>
      <x:c r="M73" s="41" t="n">
        <x:v>1044444444</x:v>
      </x:c>
      <x:c r="N73" s="41" t="n">
        <x:v>1660666666</x:v>
      </x:c>
      <x:c r="O73" s="41" t="n">
        <x:v>3508</x:v>
      </x:c>
      <x:c r="P73" s="41" t="n">
        <x:v>3711</x:v>
      </x:c>
      <x:c r="Q73" s="41" t="n">
        <x:v>5997</x:v>
      </x:c>
      <x:c r="R73" s="42" t="n">
        <x:f>MIN(P73,Q73)</x:f>
        <x:v>3711</x:v>
      </x:c>
      <x:c r="S73" s="42" t="n">
        <x:f>MAX(P73,Q73)</x:f>
        <x:v>5997</x:v>
      </x:c>
      <x:c r="T73" s="42" t="n">
        <x:f>MAX(R73,MIN(O73,S73))</x:f>
        <x:v>3711</x:v>
      </x:c>
      <x:c r="U73" s="19" t="str">
        <x:f>IF(O73&lt;R73,IF(R73=P73,"clamped_to_nominal","clamped_to_ppp"),IF(O73&gt;S73,IF(S73=P73,"clamped_to_nominal","clamped_to_ppp"),"kept_vanilla"))</x:f>
        <x:v>clamped_to_nominal</x:v>
      </x:c>
      <x:c r="V73" s="42" t="n">
        <x:f>T73*H73</x:f>
        <x:v>1756724313</x:v>
      </x:c>
      <x:c r="W73" s="42" t="n">
        <x:f>V73/F73</x:f>
        <x:v>1104858058.490566</x:v>
      </x:c>
      <x:c r="X73" s="36" t="str">
        <x:v>CPV: UN WPP 2024 Medium exact 2003</x:v>
      </x:c>
      <x:c r="Y73" s="36" t="str">
        <x:v>CPV: IMF exact 2003</x:v>
      </x:c>
      <x:c r="Z73" s="36" t="str">
        <x:v>CPV: IMF exact 2003</x:v>
      </x:c>
      <x:c r="AA73" s="36" t="str">
        <x:v>complete_primary</x:v>
      </x:c>
      <x:c r="AB73" s="36" t="str">
        <x:v>https://www.un.org/development/desa/pd/world-population-prospects-2024</x:v>
      </x:c>
      <x:c r="AC73" s="36" t="str">
        <x:v>https://api.imf.org/external/sdmx/3.0/data/dataflow/IMF.RES/WEO/9.0.0/</x:v>
      </x:c>
      <x:c r="AD73" s="36" t="str">
        <x:v>https://api.worldbank.org/v2/</x:v>
      </x:c>
    </x:row>
    <x:row r="74">
      <x:c r="A74" s="24" t="str">
        <x:v>CPV</x:v>
      </x:c>
      <x:c r="B74" s="24" t="str">
        <x:v>Cabo Verde</x:v>
      </x:c>
      <x:c r="C74" s="24" t="str">
        <x:v>CPV</x:v>
      </x:c>
      <x:c r="D74" s="24" t="str">
        <x:v>CPV</x:v>
      </x:c>
      <x:c r="E74" s="24" t="n">
        <x:v>2022</x:v>
      </x:c>
      <x:c r="F74" s="37" t="n">
        <x:v>1</x:v>
      </x:c>
      <x:c r="G74" s="38" t="n">
        <x:v>569457</x:v>
      </x:c>
      <x:c r="H74" s="38" t="n">
        <x:v>519741</x:v>
      </x:c>
      <x:c r="I74" s="39" t="n">
        <x:f>H74/G74</x:f>
        <x:v>0.9126957786101497</x:v>
      </x:c>
      <x:c r="J74" s="40" t="n">
        <x:f>(I74-1)*100</x:f>
        <x:v>-8.730422138985027</x:v>
      </x:c>
      <x:c r="K74" s="36" t="str">
        <x:v>yes — reviewed</x:v>
      </x:c>
      <x:c r="L74" s="36" t="str">
        <x:v>Single-country game territory and UN country/area boundary align. The difference is an updated historical estimate/projection vintage, not a geographic-scope mismatch; accept the UN WPP value for a consistent source vintage.</x:v>
      </x:c>
      <x:c r="M74" s="41" t="n">
        <x:v>3883440000</x:v>
      </x:c>
      <x:c r="N74" s="41" t="n">
        <x:v>3883440000</x:v>
      </x:c>
      <x:c r="O74" s="41" t="n">
        <x:v>6820</x:v>
      </x:c>
      <x:c r="P74" s="41" t="n">
        <x:v>4333</x:v>
      </x:c>
      <x:c r="Q74" s="41" t="n">
        <x:v>9480</x:v>
      </x:c>
      <x:c r="R74" s="42" t="n">
        <x:f>MIN(P74,Q74)</x:f>
        <x:v>4333</x:v>
      </x:c>
      <x:c r="S74" s="42" t="n">
        <x:f>MAX(P74,Q74)</x:f>
        <x:v>9480</x:v>
      </x:c>
      <x:c r="T74" s="42" t="n">
        <x:f>MAX(R74,MIN(O74,S74))</x:f>
        <x:v>6820</x:v>
      </x:c>
      <x:c r="U74" s="19" t="str">
        <x:f>IF(O74&lt;R74,IF(R74=P74,"clamped_to_nominal","clamped_to_ppp"),IF(O74&gt;S74,IF(S74=P74,"clamped_to_nominal","clamped_to_ppp"),"kept_vanilla"))</x:f>
        <x:v>kept_vanilla</x:v>
      </x:c>
      <x:c r="V74" s="42" t="n">
        <x:f>T74*H74</x:f>
        <x:v>3544633620</x:v>
      </x:c>
      <x:c r="W74" s="42" t="n">
        <x:f>V74/F74</x:f>
        <x:v>3544633620</x:v>
      </x:c>
      <x:c r="X74" s="36" t="str">
        <x:v>CPV: UN WPP 2024 Medium exact 2022</x:v>
      </x:c>
      <x:c r="Y74" s="36" t="str">
        <x:v>CPV: IMF exact 2022</x:v>
      </x:c>
      <x:c r="Z74" s="36" t="str">
        <x:v>CPV: IMF exact 2022</x:v>
      </x:c>
      <x:c r="AA74" s="36" t="str">
        <x:v>complete_primary</x:v>
      </x:c>
      <x:c r="AB74" s="36" t="str">
        <x:v>https://www.un.org/development/desa/pd/world-population-prospects-2024</x:v>
      </x:c>
      <x:c r="AC74" s="36" t="str">
        <x:v>https://api.imf.org/external/sdmx/3.0/data/dataflow/IMF.RES/WEO/9.0.0/</x:v>
      </x:c>
      <x:c r="AD74" s="36" t="str">
        <x:v>https://api.worldbank.org/v2/</x:v>
      </x:c>
    </x:row>
    <x:row r="75">
      <x:c r="A75" s="24" t="str">
        <x:v>CPV</x:v>
      </x:c>
      <x:c r="B75" s="24" t="str">
        <x:v>Cabo Verde</x:v>
      </x:c>
      <x:c r="C75" s="24" t="str">
        <x:v>CPV</x:v>
      </x:c>
      <x:c r="D75" s="24" t="str">
        <x:v>CPV</x:v>
      </x:c>
      <x:c r="E75" s="24" t="n">
        <x:v>2026</x:v>
      </x:c>
      <x:c r="F75" s="37" t="n">
        <x:v>0.87</x:v>
      </x:c>
      <x:c r="G75" s="38" t="n">
        <x:v>529630</x:v>
      </x:c>
      <x:c r="H75" s="38" t="n">
        <x:v>529630</x:v>
      </x:c>
      <x:c r="I75" s="39" t="n">
        <x:f>H75/G75</x:f>
        <x:v>1</x:v>
      </x:c>
      <x:c r="J75" s="40" t="n">
        <x:f>(I75-1)*100</x:f>
        <x:v>0</x:v>
      </x:c>
      <x:c r="K75" s="36" t="str">
        <x:v>no</x:v>
      </x:c>
      <x:c r="L75" s="36" t="str">
        <x:v>Single-country territory; UN WPP and vanilla are within the ±5% review threshold.</x:v>
      </x:c>
      <x:c r="M75" s="41" t="n">
        <x:v>5543120000</x:v>
      </x:c>
      <x:c r="N75" s="41" t="n">
        <x:v>4822514400</x:v>
      </x:c>
      <x:c r="O75" s="41" t="n">
        <x:v>9105</x:v>
      </x:c>
      <x:c r="P75" s="41" t="n">
        <x:v>5664</x:v>
      </x:c>
      <x:c r="Q75" s="41" t="n">
        <x:v>11306</x:v>
      </x:c>
      <x:c r="R75" s="42" t="n">
        <x:f>MIN(P75,Q75)</x:f>
        <x:v>5664</x:v>
      </x:c>
      <x:c r="S75" s="42" t="n">
        <x:f>MAX(P75,Q75)</x:f>
        <x:v>11306</x:v>
      </x:c>
      <x:c r="T75" s="42" t="n">
        <x:f>MAX(R75,MIN(O75,S75))</x:f>
        <x:v>9105</x:v>
      </x:c>
      <x:c r="U75" s="19" t="str">
        <x:f>IF(O75&lt;R75,IF(R75=P75,"clamped_to_nominal","clamped_to_ppp"),IF(O75&gt;S75,IF(S75=P75,"clamped_to_nominal","clamped_to_ppp"),"kept_vanilla"))</x:f>
        <x:v>kept_vanilla</x:v>
      </x:c>
      <x:c r="V75" s="42" t="n">
        <x:f>T75*H75</x:f>
        <x:v>4822281150</x:v>
      </x:c>
      <x:c r="W75" s="42" t="n">
        <x:f>V75/F75</x:f>
        <x:v>5542851896.551724</x:v>
      </x:c>
      <x:c r="X75" s="36" t="str">
        <x:v>CPV: UN WPP 2024 Medium exact 2026</x:v>
      </x:c>
      <x:c r="Y75" s="36" t="str">
        <x:v>CPV: IMF exact 2026</x:v>
      </x:c>
      <x:c r="Z75" s="36" t="str">
        <x:v>CPV: IMF exact 2026</x:v>
      </x:c>
      <x:c r="AA75" s="36" t="str">
        <x:v>complete_primary</x:v>
      </x:c>
      <x:c r="AB75" s="36" t="str">
        <x:v>https://www.un.org/development/desa/pd/world-population-prospects-2024</x:v>
      </x:c>
      <x:c r="AC75" s="36" t="str">
        <x:v>https://api.imf.org/external/sdmx/3.0/data/dataflow/IMF.RES/WEO/9.0.0/</x:v>
      </x:c>
      <x:c r="AD75" s="36" t="str">
        <x:v>https://api.worldbank.org/v2/</x:v>
      </x:c>
    </x:row>
    <x:row r="76">
      <x:c r="A76" s="24" t="str">
        <x:v>KHM</x:v>
      </x:c>
      <x:c r="B76" s="24" t="str">
        <x:v>Cambodia</x:v>
      </x:c>
      <x:c r="C76" s="24" t="str">
        <x:v>KHM</x:v>
      </x:c>
      <x:c r="D76" s="24" t="str">
        <x:v>KHM</x:v>
      </x:c>
      <x:c r="E76" s="24" t="n">
        <x:v>2003</x:v>
      </x:c>
      <x:c r="F76" s="37" t="n">
        <x:v>1.59</x:v>
      </x:c>
      <x:c r="G76" s="38" t="n">
        <x:v>13050968</x:v>
      </x:c>
      <x:c r="H76" s="38" t="n">
        <x:v>13050968</x:v>
      </x:c>
      <x:c r="I76" s="39" t="n">
        <x:f>H76/G76</x:f>
        <x:v>1</x:v>
      </x:c>
      <x:c r="J76" s="40" t="n">
        <x:f>(I76-1)*100</x:f>
        <x:v>0</x:v>
      </x:c>
      <x:c r="K76" s="36" t="str">
        <x:v>no</x:v>
      </x:c>
      <x:c r="L76" s="36" t="str">
        <x:v>Single-country territory; UN WPP and vanilla are within the ±5% review threshold.</x:v>
      </x:c>
      <x:c r="M76" s="41" t="n">
        <x:v>12172514620</x:v>
      </x:c>
      <x:c r="N76" s="41" t="n">
        <x:v>19354298246</x:v>
      </x:c>
      <x:c r="O76" s="41" t="n">
        <x:v>1483</x:v>
      </x:c>
      <x:c r="P76" s="41" t="n">
        <x:v>618</x:v>
      </x:c>
      <x:c r="Q76" s="41" t="n">
        <x:v>2484</x:v>
      </x:c>
      <x:c r="R76" s="42" t="n">
        <x:f>MIN(P76,Q76)</x:f>
        <x:v>618</x:v>
      </x:c>
      <x:c r="S76" s="42" t="n">
        <x:f>MAX(P76,Q76)</x:f>
        <x:v>2484</x:v>
      </x:c>
      <x:c r="T76" s="42" t="n">
        <x:f>MAX(R76,MIN(O76,S76))</x:f>
        <x:v>1483</x:v>
      </x:c>
      <x:c r="U76" s="19" t="str">
        <x:f>IF(O76&lt;R76,IF(R76=P76,"clamped_to_nominal","clamped_to_ppp"),IF(O76&gt;S76,IF(S76=P76,"clamped_to_nominal","clamped_to_ppp"),"kept_vanilla"))</x:f>
        <x:v>kept_vanilla</x:v>
      </x:c>
      <x:c r="V76" s="42" t="n">
        <x:f>T76*H76</x:f>
        <x:v>19354585544</x:v>
      </x:c>
      <x:c r="W76" s="42" t="n">
        <x:f>V76/F76</x:f>
        <x:v>12172695310.691824</x:v>
      </x:c>
      <x:c r="X76" s="36" t="str">
        <x:v>KHM: UN WPP 2024 Medium exact 2003</x:v>
      </x:c>
      <x:c r="Y76" s="36" t="str">
        <x:v>KHM: IMF exact 2003</x:v>
      </x:c>
      <x:c r="Z76" s="36" t="str">
        <x:v>KHM: IMF exact 2003</x:v>
      </x:c>
      <x:c r="AA76" s="36" t="str">
        <x:v>complete_primary</x:v>
      </x:c>
      <x:c r="AB76" s="36" t="str">
        <x:v>https://www.un.org/development/desa/pd/world-population-prospects-2024</x:v>
      </x:c>
      <x:c r="AC76" s="36" t="str">
        <x:v>https://api.imf.org/external/sdmx/3.0/data/dataflow/IMF.RES/WEO/9.0.0/</x:v>
      </x:c>
      <x:c r="AD76" s="36" t="str">
        <x:v>https://api.worldbank.org/v2/</x:v>
      </x:c>
    </x:row>
    <x:row r="77">
      <x:c r="A77" s="24" t="str">
        <x:v>KHM</x:v>
      </x:c>
      <x:c r="B77" s="24" t="str">
        <x:v>Cambodia</x:v>
      </x:c>
      <x:c r="C77" s="24" t="str">
        <x:v>KHM</x:v>
      </x:c>
      <x:c r="D77" s="24" t="str">
        <x:v>KHM</x:v>
      </x:c>
      <x:c r="E77" s="24" t="n">
        <x:v>2022</x:v>
      </x:c>
      <x:c r="F77" s="37" t="n">
        <x:v>1</x:v>
      </x:c>
      <x:c r="G77" s="38" t="n">
        <x:v>17237584</x:v>
      </x:c>
      <x:c r="H77" s="38" t="n">
        <x:v>17201724</x:v>
      </x:c>
      <x:c r="I77" s="39" t="n">
        <x:f>H77/G77</x:f>
        <x:v>0.9979196620593698</x:v>
      </x:c>
      <x:c r="J77" s="40" t="n">
        <x:f>(I77-1)*100</x:f>
        <x:v>-0.2080337940630228</x:v>
      </x:c>
      <x:c r="K77" s="36" t="str">
        <x:v>no</x:v>
      </x:c>
      <x:c r="L77" s="36" t="str">
        <x:v>Single-country territory; UN WPP and vanilla are within the ±5% review threshold.</x:v>
      </x:c>
      <x:c r="M77" s="41" t="n">
        <x:v>77313280000</x:v>
      </x:c>
      <x:c r="N77" s="41" t="n">
        <x:v>77313280000</x:v>
      </x:c>
      <x:c r="O77" s="41" t="n">
        <x:v>4485</x:v>
      </x:c>
      <x:c r="P77" s="41" t="n">
        <x:v>2294</x:v>
      </x:c>
      <x:c r="Q77" s="41" t="n">
        <x:v>6824</x:v>
      </x:c>
      <x:c r="R77" s="42" t="n">
        <x:f>MIN(P77,Q77)</x:f>
        <x:v>2294</x:v>
      </x:c>
      <x:c r="S77" s="42" t="n">
        <x:f>MAX(P77,Q77)</x:f>
        <x:v>6824</x:v>
      </x:c>
      <x:c r="T77" s="42" t="n">
        <x:f>MAX(R77,MIN(O77,S77))</x:f>
        <x:v>4485</x:v>
      </x:c>
      <x:c r="U77" s="19" t="str">
        <x:f>IF(O77&lt;R77,IF(R77=P77,"clamped_to_nominal","clamped_to_ppp"),IF(O77&gt;S77,IF(S77=P77,"clamped_to_nominal","clamped_to_ppp"),"kept_vanilla"))</x:f>
        <x:v>kept_vanilla</x:v>
      </x:c>
      <x:c r="V77" s="42" t="n">
        <x:f>T77*H77</x:f>
        <x:v>77149732140</x:v>
      </x:c>
      <x:c r="W77" s="42" t="n">
        <x:f>V77/F77</x:f>
        <x:v>77149732140</x:v>
      </x:c>
      <x:c r="X77" s="36" t="str">
        <x:v>KHM: UN WPP 2024 Medium exact 2022</x:v>
      </x:c>
      <x:c r="Y77" s="36" t="str">
        <x:v>KHM: IMF exact 2022</x:v>
      </x:c>
      <x:c r="Z77" s="36" t="str">
        <x:v>KHM: IMF exact 2022</x:v>
      </x:c>
      <x:c r="AA77" s="36" t="str">
        <x:v>complete_primary</x:v>
      </x:c>
      <x:c r="AB77" s="36" t="str">
        <x:v>https://www.un.org/development/desa/pd/world-population-prospects-2024</x:v>
      </x:c>
      <x:c r="AC77" s="36" t="str">
        <x:v>https://api.imf.org/external/sdmx/3.0/data/dataflow/IMF.RES/WEO/9.0.0/</x:v>
      </x:c>
      <x:c r="AD77" s="36" t="str">
        <x:v>https://api.worldbank.org/v2/</x:v>
      </x:c>
    </x:row>
    <x:row r="78">
      <x:c r="A78" s="24" t="str">
        <x:v>KHM</x:v>
      </x:c>
      <x:c r="B78" s="24" t="str">
        <x:v>Cambodia</x:v>
      </x:c>
      <x:c r="C78" s="24" t="str">
        <x:v>KHM</x:v>
      </x:c>
      <x:c r="D78" s="24" t="str">
        <x:v>KHM</x:v>
      </x:c>
      <x:c r="E78" s="24" t="n">
        <x:v>2026</x:v>
      </x:c>
      <x:c r="F78" s="37" t="n">
        <x:v>0.87</x:v>
      </x:c>
      <x:c r="G78" s="38" t="n">
        <x:v>18051220</x:v>
      </x:c>
      <x:c r="H78" s="38" t="n">
        <x:v>18051219</x:v>
      </x:c>
      <x:c r="I78" s="39" t="n">
        <x:f>H78/G78</x:f>
        <x:v>0.9999999446020823</x:v>
      </x:c>
      <x:c r="J78" s="40" t="n">
        <x:f>(I78-1)*100</x:f>
        <x:v>-0.0000055397917697597165</x:v>
      </x:c>
      <x:c r="K78" s="36" t="str">
        <x:v>no</x:v>
      </x:c>
      <x:c r="L78" s="36" t="str">
        <x:v>Single-country territory; UN WPP and vanilla are within the ±5% review threshold.</x:v>
      </x:c>
      <x:c r="M78" s="41" t="n">
        <x:v>132041360000</x:v>
      </x:c>
      <x:c r="N78" s="41" t="n">
        <x:v>114875983200</x:v>
      </x:c>
      <x:c r="O78" s="41" t="n">
        <x:v>6364</x:v>
      </x:c>
      <x:c r="P78" s="41" t="n">
        <x:v>2524</x:v>
      </x:c>
      <x:c r="Q78" s="41" t="n">
        <x:v>7735</x:v>
      </x:c>
      <x:c r="R78" s="42" t="n">
        <x:f>MIN(P78,Q78)</x:f>
        <x:v>2524</x:v>
      </x:c>
      <x:c r="S78" s="42" t="n">
        <x:f>MAX(P78,Q78)</x:f>
        <x:v>7735</x:v>
      </x:c>
      <x:c r="T78" s="42" t="n">
        <x:f>MAX(R78,MIN(O78,S78))</x:f>
        <x:v>6364</x:v>
      </x:c>
      <x:c r="U78" s="19" t="str">
        <x:f>IF(O78&lt;R78,IF(R78=P78,"clamped_to_nominal","clamped_to_ppp"),IF(O78&gt;S78,IF(S78=P78,"clamped_to_nominal","clamped_to_ppp"),"kept_vanilla"))</x:f>
        <x:v>kept_vanilla</x:v>
      </x:c>
      <x:c r="V78" s="42" t="n">
        <x:f>T78*H78</x:f>
        <x:v>114877957716</x:v>
      </x:c>
      <x:c r="W78" s="42" t="n">
        <x:f>V78/F78</x:f>
        <x:v>132043629558.6207</x:v>
      </x:c>
      <x:c r="X78" s="36" t="str">
        <x:v>KHM: UN WPP 2024 Medium exact 2026</x:v>
      </x:c>
      <x:c r="Y78" s="36" t="str">
        <x:v>KHM: IMF exact 2026</x:v>
      </x:c>
      <x:c r="Z78" s="36" t="str">
        <x:v>KHM: IMF exact 2026</x:v>
      </x:c>
      <x:c r="AA78" s="36" t="str">
        <x:v>complete_primary</x:v>
      </x:c>
      <x:c r="AB78" s="36" t="str">
        <x:v>https://www.un.org/development/desa/pd/world-population-prospects-2024</x:v>
      </x:c>
      <x:c r="AC78" s="36" t="str">
        <x:v>https://api.imf.org/external/sdmx/3.0/data/dataflow/IMF.RES/WEO/9.0.0/</x:v>
      </x:c>
      <x:c r="AD78" s="36" t="str">
        <x:v>https://api.worldbank.org/v2/</x:v>
      </x:c>
    </x:row>
    <x:row r="79">
      <x:c r="A79" s="24" t="str">
        <x:v>CMR</x:v>
      </x:c>
      <x:c r="B79" s="24" t="str">
        <x:v>Cameroon</x:v>
      </x:c>
      <x:c r="C79" s="24" t="str">
        <x:v>CMR</x:v>
      </x:c>
      <x:c r="D79" s="24" t="str">
        <x:v>CMR</x:v>
      </x:c>
      <x:c r="E79" s="24" t="n">
        <x:v>2003</x:v>
      </x:c>
      <x:c r="F79" s="37" t="n">
        <x:v>1.59</x:v>
      </x:c>
      <x:c r="G79" s="38" t="n">
        <x:v>16160340</x:v>
      </x:c>
      <x:c r="H79" s="38" t="n">
        <x:v>16160340</x:v>
      </x:c>
      <x:c r="I79" s="39" t="n">
        <x:f>H79/G79</x:f>
        <x:v>1</x:v>
      </x:c>
      <x:c r="J79" s="40" t="n">
        <x:f>(I79-1)*100</x:f>
        <x:v>0</x:v>
      </x:c>
      <x:c r="K79" s="36" t="str">
        <x:v>no</x:v>
      </x:c>
      <x:c r="L79" s="36" t="str">
        <x:v>Single-country territory; UN WPP and vanilla are within the ±5% review threshold.</x:v>
      </x:c>
      <x:c r="M79" s="41" t="n">
        <x:v>23624561404</x:v>
      </x:c>
      <x:c r="N79" s="41" t="n">
        <x:v>37563052632</x:v>
      </x:c>
      <x:c r="O79" s="41" t="n">
        <x:v>2324</x:v>
      </x:c>
      <x:c r="P79" s="41" t="n">
        <x:v>1569</x:v>
      </x:c>
      <x:c r="Q79" s="41" t="n">
        <x:v>3898</x:v>
      </x:c>
      <x:c r="R79" s="42" t="n">
        <x:f>MIN(P79,Q79)</x:f>
        <x:v>1569</x:v>
      </x:c>
      <x:c r="S79" s="42" t="n">
        <x:f>MAX(P79,Q79)</x:f>
        <x:v>3898</x:v>
      </x:c>
      <x:c r="T79" s="42" t="n">
        <x:f>MAX(R79,MIN(O79,S79))</x:f>
        <x:v>2324</x:v>
      </x:c>
      <x:c r="U79" s="19" t="str">
        <x:f>IF(O79&lt;R79,IF(R79=P79,"clamped_to_nominal","clamped_to_ppp"),IF(O79&gt;S79,IF(S79=P79,"clamped_to_nominal","clamped_to_ppp"),"kept_vanilla"))</x:f>
        <x:v>kept_vanilla</x:v>
      </x:c>
      <x:c r="V79" s="42" t="n">
        <x:f>T79*H79</x:f>
        <x:v>37556630160</x:v>
      </x:c>
      <x:c r="W79" s="42" t="n">
        <x:f>V79/F79</x:f>
        <x:v>23620522113.207546</x:v>
      </x:c>
      <x:c r="X79" s="36" t="str">
        <x:v>CMR: UN WPP 2024 Medium exact 2003</x:v>
      </x:c>
      <x:c r="Y79" s="36" t="str">
        <x:v>CMR: IMF exact 2003</x:v>
      </x:c>
      <x:c r="Z79" s="36" t="str">
        <x:v>CMR: IMF exact 2003</x:v>
      </x:c>
      <x:c r="AA79" s="36" t="str">
        <x:v>complete_primary</x:v>
      </x:c>
      <x:c r="AB79" s="36" t="str">
        <x:v>https://www.un.org/development/desa/pd/world-population-prospects-2024</x:v>
      </x:c>
      <x:c r="AC79" s="36" t="str">
        <x:v>https://api.imf.org/external/sdmx/3.0/data/dataflow/IMF.RES/WEO/9.0.0/</x:v>
      </x:c>
      <x:c r="AD79" s="36" t="str">
        <x:v>https://api.worldbank.org/v2/</x:v>
      </x:c>
    </x:row>
    <x:row r="80">
      <x:c r="A80" s="24" t="str">
        <x:v>CMR</x:v>
      </x:c>
      <x:c r="B80" s="24" t="str">
        <x:v>Cameroon</x:v>
      </x:c>
      <x:c r="C80" s="24" t="str">
        <x:v>CMR</x:v>
      </x:c>
      <x:c r="D80" s="24" t="str">
        <x:v>CMR</x:v>
      </x:c>
      <x:c r="E80" s="24" t="n">
        <x:v>2022</x:v>
      </x:c>
      <x:c r="F80" s="37" t="n">
        <x:v>1</x:v>
      </x:c>
      <x:c r="G80" s="38" t="n">
        <x:v>28127452</x:v>
      </x:c>
      <x:c r="H80" s="38" t="n">
        <x:v>27632771</x:v>
      </x:c>
      <x:c r="I80" s="39" t="n">
        <x:f>H80/G80</x:f>
        <x:v>0.982412875506818</x:v>
      </x:c>
      <x:c r="J80" s="40" t="n">
        <x:f>(I80-1)*100</x:f>
        <x:v>-1.7587124493182005</x:v>
      </x:c>
      <x:c r="K80" s="36" t="str">
        <x:v>no</x:v>
      </x:c>
      <x:c r="L80" s="36" t="str">
        <x:v>Single-country territory; UN WPP and vanilla are within the ±5% review threshold.</x:v>
      </x:c>
      <x:c r="M80" s="41" t="n">
        <x:v>108032320000</x:v>
      </x:c>
      <x:c r="N80" s="41" t="n">
        <x:v>108032320000</x:v>
      </x:c>
      <x:c r="O80" s="41" t="n">
        <x:v>3841</x:v>
      </x:c>
      <x:c r="P80" s="41" t="n">
        <x:v>1608</x:v>
      </x:c>
      <x:c r="Q80" s="41" t="n">
        <x:v>5188</x:v>
      </x:c>
      <x:c r="R80" s="42" t="n">
        <x:f>MIN(P80,Q80)</x:f>
        <x:v>1608</x:v>
      </x:c>
      <x:c r="S80" s="42" t="n">
        <x:f>MAX(P80,Q80)</x:f>
        <x:v>5188</x:v>
      </x:c>
      <x:c r="T80" s="42" t="n">
        <x:f>MAX(R80,MIN(O80,S80))</x:f>
        <x:v>3841</x:v>
      </x:c>
      <x:c r="U80" s="19" t="str">
        <x:f>IF(O80&lt;R80,IF(R80=P80,"clamped_to_nominal","clamped_to_ppp"),IF(O80&gt;S80,IF(S80=P80,"clamped_to_nominal","clamped_to_ppp"),"kept_vanilla"))</x:f>
        <x:v>kept_vanilla</x:v>
      </x:c>
      <x:c r="V80" s="42" t="n">
        <x:f>T80*H80</x:f>
        <x:v>106137473411</x:v>
      </x:c>
      <x:c r="W80" s="42" t="n">
        <x:f>V80/F80</x:f>
        <x:v>106137473411</x:v>
      </x:c>
      <x:c r="X80" s="36" t="str">
        <x:v>CMR: UN WPP 2024 Medium exact 2022</x:v>
      </x:c>
      <x:c r="Y80" s="36" t="str">
        <x:v>CMR: IMF exact 2022</x:v>
      </x:c>
      <x:c r="Z80" s="36" t="str">
        <x:v>CMR: IMF exact 2022</x:v>
      </x:c>
      <x:c r="AA80" s="36" t="str">
        <x:v>complete_primary</x:v>
      </x:c>
      <x:c r="AB80" s="36" t="str">
        <x:v>https://www.un.org/development/desa/pd/world-population-prospects-2024</x:v>
      </x:c>
      <x:c r="AC80" s="36" t="str">
        <x:v>https://api.imf.org/external/sdmx/3.0/data/dataflow/IMF.RES/WEO/9.0.0/</x:v>
      </x:c>
      <x:c r="AD80" s="36" t="str">
        <x:v>https://api.worldbank.org/v2/</x:v>
      </x:c>
    </x:row>
    <x:row r="81">
      <x:c r="A81" s="24" t="str">
        <x:v>CMR</x:v>
      </x:c>
      <x:c r="B81" s="24" t="str">
        <x:v>Cameroon</x:v>
      </x:c>
      <x:c r="C81" s="24" t="str">
        <x:v>CMR</x:v>
      </x:c>
      <x:c r="D81" s="24" t="str">
        <x:v>CMR</x:v>
      </x:c>
      <x:c r="E81" s="24" t="n">
        <x:v>2026</x:v>
      </x:c>
      <x:c r="F81" s="37" t="n">
        <x:v>0.87</x:v>
      </x:c>
      <x:c r="G81" s="38" t="n">
        <x:v>30640817</x:v>
      </x:c>
      <x:c r="H81" s="38" t="n">
        <x:v>30640817</x:v>
      </x:c>
      <x:c r="I81" s="39" t="n">
        <x:f>H81/G81</x:f>
        <x:v>1</x:v>
      </x:c>
      <x:c r="J81" s="40" t="n">
        <x:f>(I81-1)*100</x:f>
        <x:v>0</x:v>
      </x:c>
      <x:c r="K81" s="36" t="str">
        <x:v>no</x:v>
      </x:c>
      <x:c r="L81" s="36" t="str">
        <x:v>Single-country territory; UN WPP and vanilla are within the ±5% review threshold.</x:v>
      </x:c>
      <x:c r="M81" s="41" t="n">
        <x:v>152217120000</x:v>
      </x:c>
      <x:c r="N81" s="41" t="n">
        <x:v>132428894400</x:v>
      </x:c>
      <x:c r="O81" s="41" t="n">
        <x:v>4322</x:v>
      </x:c>
      <x:c r="P81" s="41" t="n">
        <x:v>1849</x:v>
      </x:c>
      <x:c r="Q81" s="41" t="n">
        <x:v>5215</x:v>
      </x:c>
      <x:c r="R81" s="42" t="n">
        <x:f>MIN(P81,Q81)</x:f>
        <x:v>1849</x:v>
      </x:c>
      <x:c r="S81" s="42" t="n">
        <x:f>MAX(P81,Q81)</x:f>
        <x:v>5215</x:v>
      </x:c>
      <x:c r="T81" s="42" t="n">
        <x:f>MAX(R81,MIN(O81,S81))</x:f>
        <x:v>4322</x:v>
      </x:c>
      <x:c r="U81" s="19" t="str">
        <x:f>IF(O81&lt;R81,IF(R81=P81,"clamped_to_nominal","clamped_to_ppp"),IF(O81&gt;S81,IF(S81=P81,"clamped_to_nominal","clamped_to_ppp"),"kept_vanilla"))</x:f>
        <x:v>kept_vanilla</x:v>
      </x:c>
      <x:c r="V81" s="42" t="n">
        <x:f>T81*H81</x:f>
        <x:v>132429611074</x:v>
      </x:c>
      <x:c r="W81" s="42" t="n">
        <x:f>V81/F81</x:f>
        <x:v>152217943763.21838</x:v>
      </x:c>
      <x:c r="X81" s="36" t="str">
        <x:v>CMR: UN WPP 2024 Medium exact 2026</x:v>
      </x:c>
      <x:c r="Y81" s="36" t="str">
        <x:v>CMR: IMF exact 2026</x:v>
      </x:c>
      <x:c r="Z81" s="36" t="str">
        <x:v>CMR: IMF exact 2026</x:v>
      </x:c>
      <x:c r="AA81" s="36" t="str">
        <x:v>complete_primary</x:v>
      </x:c>
      <x:c r="AB81" s="36" t="str">
        <x:v>https://www.un.org/development/desa/pd/world-population-prospects-2024</x:v>
      </x:c>
      <x:c r="AC81" s="36" t="str">
        <x:v>https://api.imf.org/external/sdmx/3.0/data/dataflow/IMF.RES/WEO/9.0.0/</x:v>
      </x:c>
      <x:c r="AD81" s="36" t="str">
        <x:v>https://api.worldbank.org/v2/</x:v>
      </x:c>
    </x:row>
    <x:row r="82">
      <x:c r="A82" s="24" t="str">
        <x:v>CAN</x:v>
      </x:c>
      <x:c r="B82" s="24" t="str">
        <x:v>Canada</x:v>
      </x:c>
      <x:c r="C82" s="24" t="str">
        <x:v>CAN</x:v>
      </x:c>
      <x:c r="D82" s="24" t="str">
        <x:v>CAN</x:v>
      </x:c>
      <x:c r="E82" s="24" t="n">
        <x:v>2003</x:v>
      </x:c>
      <x:c r="F82" s="37" t="n">
        <x:v>1.59</x:v>
      </x:c>
      <x:c r="G82" s="38" t="n">
        <x:v>31836482</x:v>
      </x:c>
      <x:c r="H82" s="38" t="n">
        <x:v>31836482</x:v>
      </x:c>
      <x:c r="I82" s="39" t="n">
        <x:f>H82/G82</x:f>
        <x:v>1</x:v>
      </x:c>
      <x:c r="J82" s="40" t="n">
        <x:f>(I82-1)*100</x:f>
        <x:v>0</x:v>
      </x:c>
      <x:c r="K82" s="36" t="str">
        <x:v>no</x:v>
      </x:c>
      <x:c r="L82" s="36" t="str">
        <x:v>Single-country territory; UN WPP and vanilla are within the ±5% review threshold.</x:v>
      </x:c>
      <x:c r="M82" s="41" t="n">
        <x:v>609781871345</x:v>
      </x:c>
      <x:c r="N82" s="41" t="n">
        <x:v>969553175439</x:v>
      </x:c>
      <x:c r="O82" s="41" t="n">
        <x:v>30454</x:v>
      </x:c>
      <x:c r="P82" s="41" t="n">
        <x:v>44729</x:v>
      </x:c>
      <x:c r="Q82" s="41" t="n">
        <x:v>52077</x:v>
      </x:c>
      <x:c r="R82" s="42" t="n">
        <x:f>MIN(P82,Q82)</x:f>
        <x:v>44729</x:v>
      </x:c>
      <x:c r="S82" s="42" t="n">
        <x:f>MAX(P82,Q82)</x:f>
        <x:v>52077</x:v>
      </x:c>
      <x:c r="T82" s="42" t="n">
        <x:f>MAX(R82,MIN(O82,S82))</x:f>
        <x:v>44729</x:v>
      </x:c>
      <x:c r="U82" s="19" t="str">
        <x:f>IF(O82&lt;R82,IF(R82=P82,"clamped_to_nominal","clamped_to_ppp"),IF(O82&gt;S82,IF(S82=P82,"clamped_to_nominal","clamped_to_ppp"),"kept_vanilla"))</x:f>
        <x:v>clamped_to_nominal</x:v>
      </x:c>
      <x:c r="V82" s="42" t="n">
        <x:f>T82*H82</x:f>
        <x:v>1424014003378</x:v>
      </x:c>
      <x:c r="W82" s="42" t="n">
        <x:f>V82/F82</x:f>
        <x:v>895606291432.7043</x:v>
      </x:c>
      <x:c r="X82" s="36" t="str">
        <x:v>CAN: UN WPP 2024 Medium exact 2003</x:v>
      </x:c>
      <x:c r="Y82" s="36" t="str">
        <x:v>CAN: IMF exact 2003</x:v>
      </x:c>
      <x:c r="Z82" s="36" t="str">
        <x:v>CAN: IMF exact 2003</x:v>
      </x:c>
      <x:c r="AA82" s="36" t="str">
        <x:v>complete_primary</x:v>
      </x:c>
      <x:c r="AB82" s="36" t="str">
        <x:v>https://www.un.org/development/desa/pd/world-population-prospects-2024</x:v>
      </x:c>
      <x:c r="AC82" s="36" t="str">
        <x:v>https://api.imf.org/external/sdmx/3.0/data/dataflow/IMF.RES/WEO/9.0.0/</x:v>
      </x:c>
      <x:c r="AD82" s="36" t="str">
        <x:v>https://api.worldbank.org/v2/</x:v>
      </x:c>
    </x:row>
    <x:row r="83">
      <x:c r="A83" s="24" t="str">
        <x:v>CAN</x:v>
      </x:c>
      <x:c r="B83" s="24" t="str">
        <x:v>Canada</x:v>
      </x:c>
      <x:c r="C83" s="24" t="str">
        <x:v>CAN</x:v>
      </x:c>
      <x:c r="D83" s="24" t="str">
        <x:v>CAN</x:v>
      </x:c>
      <x:c r="E83" s="24" t="n">
        <x:v>2022</x:v>
      </x:c>
      <x:c r="F83" s="37" t="n">
        <x:v>1</x:v>
      </x:c>
      <x:c r="G83" s="38" t="n">
        <x:v>38939056</x:v>
      </x:c>
      <x:c r="H83" s="38" t="n">
        <x:v>38821259</x:v>
      </x:c>
      <x:c r="I83" s="39" t="n">
        <x:f>H83/G83</x:f>
        <x:v>0.9969748367808403</x:v>
      </x:c>
      <x:c r="J83" s="40" t="n">
        <x:f>(I83-1)*100</x:f>
        <x:v>-0.3025163219159688</x:v>
      </x:c>
      <x:c r="K83" s="36" t="str">
        <x:v>no</x:v>
      </x:c>
      <x:c r="L83" s="36" t="str">
        <x:v>Single-country territory; UN WPP and vanilla are within the ±5% review threshold.</x:v>
      </x:c>
      <x:c r="M83" s="41" t="n">
        <x:v>1968496640000</x:v>
      </x:c>
      <x:c r="N83" s="41" t="n">
        <x:v>1968496640000</x:v>
      </x:c>
      <x:c r="O83" s="41" t="n">
        <x:v>50553</x:v>
      </x:c>
      <x:c r="P83" s="41" t="n">
        <x:v>56685</x:v>
      </x:c>
      <x:c r="Q83" s="41" t="n">
        <x:v>62075</x:v>
      </x:c>
      <x:c r="R83" s="42" t="n">
        <x:f>MIN(P83,Q83)</x:f>
        <x:v>56685</x:v>
      </x:c>
      <x:c r="S83" s="42" t="n">
        <x:f>MAX(P83,Q83)</x:f>
        <x:v>62075</x:v>
      </x:c>
      <x:c r="T83" s="42" t="n">
        <x:f>MAX(R83,MIN(O83,S83))</x:f>
        <x:v>56685</x:v>
      </x:c>
      <x:c r="U83" s="19" t="str">
        <x:f>IF(O83&lt;R83,IF(R83=P83,"clamped_to_nominal","clamped_to_ppp"),IF(O83&gt;S83,IF(S83=P83,"clamped_to_nominal","clamped_to_ppp"),"kept_vanilla"))</x:f>
        <x:v>clamped_to_nominal</x:v>
      </x:c>
      <x:c r="V83" s="42" t="n">
        <x:f>T83*H83</x:f>
        <x:v>2200583066415</x:v>
      </x:c>
      <x:c r="W83" s="42" t="n">
        <x:f>V83/F83</x:f>
        <x:v>2200583066415</x:v>
      </x:c>
      <x:c r="X83" s="36" t="str">
        <x:v>CAN: UN WPP 2024 Medium exact 2022</x:v>
      </x:c>
      <x:c r="Y83" s="36" t="str">
        <x:v>CAN: IMF exact 2022</x:v>
      </x:c>
      <x:c r="Z83" s="36" t="str">
        <x:v>CAN: IMF exact 2022</x:v>
      </x:c>
      <x:c r="AA83" s="36" t="str">
        <x:v>complete_primary</x:v>
      </x:c>
      <x:c r="AB83" s="36" t="str">
        <x:v>https://www.un.org/development/desa/pd/world-population-prospects-2024</x:v>
      </x:c>
      <x:c r="AC83" s="36" t="str">
        <x:v>https://api.imf.org/external/sdmx/3.0/data/dataflow/IMF.RES/WEO/9.0.0/</x:v>
      </x:c>
      <x:c r="AD83" s="36" t="str">
        <x:v>https://api.worldbank.org/v2/</x:v>
      </x:c>
    </x:row>
    <x:row r="84">
      <x:c r="A84" s="24" t="str">
        <x:v>CAN</x:v>
      </x:c>
      <x:c r="B84" s="24" t="str">
        <x:v>Canada</x:v>
      </x:c>
      <x:c r="C84" s="24" t="str">
        <x:v>CAN</x:v>
      </x:c>
      <x:c r="D84" s="24" t="str">
        <x:v>CAN</x:v>
      </x:c>
      <x:c r="E84" s="24" t="n">
        <x:v>2026</x:v>
      </x:c>
      <x:c r="F84" s="37" t="n">
        <x:v>0.87</x:v>
      </x:c>
      <x:c r="G84" s="38" t="n">
        <x:v>40467728</x:v>
      </x:c>
      <x:c r="H84" s="38" t="n">
        <x:v>40467728</x:v>
      </x:c>
      <x:c r="I84" s="39" t="n">
        <x:f>H84/G84</x:f>
        <x:v>1</x:v>
      </x:c>
      <x:c r="J84" s="40" t="n">
        <x:f>(I84-1)*100</x:f>
        <x:v>0</x:v>
      </x:c>
      <x:c r="K84" s="36" t="str">
        <x:v>no</x:v>
      </x:c>
      <x:c r="L84" s="36" t="str">
        <x:v>Single-country territory; UN WPP and vanilla are within the ±5% review threshold.</x:v>
      </x:c>
      <x:c r="M84" s="41" t="n">
        <x:v>2396059600000</x:v>
      </x:c>
      <x:c r="N84" s="41" t="n">
        <x:v>2084571852000</x:v>
      </x:c>
      <x:c r="O84" s="41" t="n">
        <x:v>51512</x:v>
      </x:c>
      <x:c r="P84" s="41" t="n">
        <x:v>53904</x:v>
      </x:c>
      <x:c r="Q84" s="41" t="n">
        <x:v>62576</x:v>
      </x:c>
      <x:c r="R84" s="42" t="n">
        <x:f>MIN(P84,Q84)</x:f>
        <x:v>53904</x:v>
      </x:c>
      <x:c r="S84" s="42" t="n">
        <x:f>MAX(P84,Q84)</x:f>
        <x:v>62576</x:v>
      </x:c>
      <x:c r="T84" s="42" t="n">
        <x:f>MAX(R84,MIN(O84,S84))</x:f>
        <x:v>53904</x:v>
      </x:c>
      <x:c r="U84" s="19" t="str">
        <x:f>IF(O84&lt;R84,IF(R84=P84,"clamped_to_nominal","clamped_to_ppp"),IF(O84&gt;S84,IF(S84=P84,"clamped_to_nominal","clamped_to_ppp"),"kept_vanilla"))</x:f>
        <x:v>clamped_to_nominal</x:v>
      </x:c>
      <x:c r="V84" s="42" t="n">
        <x:f>T84*H84</x:f>
        <x:v>2181372410112</x:v>
      </x:c>
      <x:c r="W84" s="42" t="n">
        <x:f>V84/F84</x:f>
        <x:v>2507324609324.138</x:v>
      </x:c>
      <x:c r="X84" s="36" t="str">
        <x:v>CAN: UN WPP 2024 Medium exact 2026</x:v>
      </x:c>
      <x:c r="Y84" s="36" t="str">
        <x:v>CAN: IMF exact 2026</x:v>
      </x:c>
      <x:c r="Z84" s="36" t="str">
        <x:v>CAN: IMF exact 2026</x:v>
      </x:c>
      <x:c r="AA84" s="36" t="str">
        <x:v>complete_primary</x:v>
      </x:c>
      <x:c r="AB84" s="36" t="str">
        <x:v>https://www.un.org/development/desa/pd/world-population-prospects-2024</x:v>
      </x:c>
      <x:c r="AC84" s="36" t="str">
        <x:v>https://api.imf.org/external/sdmx/3.0/data/dataflow/IMF.RES/WEO/9.0.0/</x:v>
      </x:c>
      <x:c r="AD84" s="36" t="str">
        <x:v>https://api.worldbank.org/v2/</x:v>
      </x:c>
    </x:row>
    <x:row r="85">
      <x:c r="A85" s="24" t="str">
        <x:v>CAF</x:v>
      </x:c>
      <x:c r="B85" s="24" t="str">
        <x:v>Central African Republic</x:v>
      </x:c>
      <x:c r="C85" s="24" t="str">
        <x:v>CAF</x:v>
      </x:c>
      <x:c r="D85" s="24" t="str">
        <x:v>CAF</x:v>
      </x:c>
      <x:c r="E85" s="24" t="n">
        <x:v>2003</x:v>
      </x:c>
      <x:c r="F85" s="37" t="n">
        <x:v>1.59</x:v>
      </x:c>
      <x:c r="G85" s="38" t="n">
        <x:v>4103086</x:v>
      </x:c>
      <x:c r="H85" s="38" t="n">
        <x:v>4103086</x:v>
      </x:c>
      <x:c r="I85" s="39" t="n">
        <x:f>H85/G85</x:f>
        <x:v>1</x:v>
      </x:c>
      <x:c r="J85" s="40" t="n">
        <x:f>(I85-1)*100</x:f>
        <x:v>0</x:v>
      </x:c>
      <x:c r="K85" s="36" t="str">
        <x:v>no</x:v>
      </x:c>
      <x:c r="L85" s="36" t="str">
        <x:v>Single-country territory; UN WPP and vanilla are within the ±5% review threshold.</x:v>
      </x:c>
      <x:c r="M85" s="41" t="n">
        <x:v>1937426901</x:v>
      </x:c>
      <x:c r="N85" s="41" t="n">
        <x:v>3080508773</x:v>
      </x:c>
      <x:c r="O85" s="41" t="n">
        <x:v>751</x:v>
      </x:c>
      <x:c r="P85" s="41" t="n">
        <x:v>461</x:v>
      </x:c>
      <x:c r="Q85" s="41" t="n">
        <x:v>1362</x:v>
      </x:c>
      <x:c r="R85" s="42" t="n">
        <x:f>MIN(P85,Q85)</x:f>
        <x:v>461</x:v>
      </x:c>
      <x:c r="S85" s="42" t="n">
        <x:f>MAX(P85,Q85)</x:f>
        <x:v>1362</x:v>
      </x:c>
      <x:c r="T85" s="42" t="n">
        <x:f>MAX(R85,MIN(O85,S85))</x:f>
        <x:v>751</x:v>
      </x:c>
      <x:c r="U85" s="19" t="str">
        <x:f>IF(O85&lt;R85,IF(R85=P85,"clamped_to_nominal","clamped_to_ppp"),IF(O85&gt;S85,IF(S85=P85,"clamped_to_nominal","clamped_to_ppp"),"kept_vanilla"))</x:f>
        <x:v>kept_vanilla</x:v>
      </x:c>
      <x:c r="V85" s="42" t="n">
        <x:f>T85*H85</x:f>
        <x:v>3081417586</x:v>
      </x:c>
      <x:c r="W85" s="42" t="n">
        <x:f>V85/F85</x:f>
        <x:v>1937998481.761006</x:v>
      </x:c>
      <x:c r="X85" s="36" t="str">
        <x:v>CAF: UN WPP 2024 Medium exact 2003</x:v>
      </x:c>
      <x:c r="Y85" s="36" t="str">
        <x:v>CAF: IMF exact 2003</x:v>
      </x:c>
      <x:c r="Z85" s="36" t="str">
        <x:v>CAF: IMF exact 2003</x:v>
      </x:c>
      <x:c r="AA85" s="36" t="str">
        <x:v>complete_primary</x:v>
      </x:c>
      <x:c r="AB85" s="36" t="str">
        <x:v>https://www.un.org/development/desa/pd/world-population-prospects-2024</x:v>
      </x:c>
      <x:c r="AC85" s="36" t="str">
        <x:v>https://api.imf.org/external/sdmx/3.0/data/dataflow/IMF.RES/WEO/9.0.0/</x:v>
      </x:c>
      <x:c r="AD85" s="36" t="str">
        <x:v>https://api.worldbank.org/v2/</x:v>
      </x:c>
    </x:row>
    <x:row r="86">
      <x:c r="A86" s="24" t="str">
        <x:v>CAF</x:v>
      </x:c>
      <x:c r="B86" s="24" t="str">
        <x:v>Central African Republic</x:v>
      </x:c>
      <x:c r="C86" s="24" t="str">
        <x:v>CAF</x:v>
      </x:c>
      <x:c r="D86" s="24" t="str">
        <x:v>CAF</x:v>
      </x:c>
      <x:c r="E86" s="24" t="n">
        <x:v>2022</x:v>
      </x:c>
      <x:c r="F86" s="37" t="n">
        <x:v>1</x:v>
      </x:c>
      <x:c r="G86" s="38" t="n">
        <x:v>5047395</x:v>
      </x:c>
      <x:c r="H86" s="38" t="n">
        <x:v>5098039</x:v>
      </x:c>
      <x:c r="I86" s="39" t="n">
        <x:f>H86/G86</x:f>
        <x:v>1.0100336906463632</x:v>
      </x:c>
      <x:c r="J86" s="40" t="n">
        <x:f>(I86-1)*100</x:f>
        <x:v>1.003369064636317</x:v>
      </x:c>
      <x:c r="K86" s="36" t="str">
        <x:v>no</x:v>
      </x:c>
      <x:c r="L86" s="36" t="str">
        <x:v>Single-country territory; UN WPP and vanilla are within the ±5% review threshold.</x:v>
      </x:c>
      <x:c r="M86" s="41" t="n">
        <x:v>4864640000</x:v>
      </x:c>
      <x:c r="N86" s="41" t="n">
        <x:v>4864640000</x:v>
      </x:c>
      <x:c r="O86" s="41" t="n">
        <x:v>964</x:v>
      </x:c>
      <x:c r="P86" s="41" t="n">
        <x:v>503</x:v>
      </x:c>
      <x:c r="Q86" s="41" t="n">
        <x:v>1315</x:v>
      </x:c>
      <x:c r="R86" s="42" t="n">
        <x:f>MIN(P86,Q86)</x:f>
        <x:v>503</x:v>
      </x:c>
      <x:c r="S86" s="42" t="n">
        <x:f>MAX(P86,Q86)</x:f>
        <x:v>1315</x:v>
      </x:c>
      <x:c r="T86" s="42" t="n">
        <x:f>MAX(R86,MIN(O86,S86))</x:f>
        <x:v>964</x:v>
      </x:c>
      <x:c r="U86" s="19" t="str">
        <x:f>IF(O86&lt;R86,IF(R86=P86,"clamped_to_nominal","clamped_to_ppp"),IF(O86&gt;S86,IF(S86=P86,"clamped_to_nominal","clamped_to_ppp"),"kept_vanilla"))</x:f>
        <x:v>kept_vanilla</x:v>
      </x:c>
      <x:c r="V86" s="42" t="n">
        <x:f>T86*H86</x:f>
        <x:v>4914509596</x:v>
      </x:c>
      <x:c r="W86" s="42" t="n">
        <x:f>V86/F86</x:f>
        <x:v>4914509596</x:v>
      </x:c>
      <x:c r="X86" s="36" t="str">
        <x:v>CAF: UN WPP 2024 Medium exact 2022</x:v>
      </x:c>
      <x:c r="Y86" s="36" t="str">
        <x:v>CAF: IMF exact 2022</x:v>
      </x:c>
      <x:c r="Z86" s="36" t="str">
        <x:v>CAF: IMF exact 2022</x:v>
      </x:c>
      <x:c r="AA86" s="36" t="str">
        <x:v>complete_primary</x:v>
      </x:c>
      <x:c r="AB86" s="36" t="str">
        <x:v>https://www.un.org/development/desa/pd/world-population-prospects-2024</x:v>
      </x:c>
      <x:c r="AC86" s="36" t="str">
        <x:v>https://api.imf.org/external/sdmx/3.0/data/dataflow/IMF.RES/WEO/9.0.0/</x:v>
      </x:c>
      <x:c r="AD86" s="36" t="str">
        <x:v>https://api.worldbank.org/v2/</x:v>
      </x:c>
    </x:row>
    <x:row r="87">
      <x:c r="A87" s="24" t="str">
        <x:v>CAF</x:v>
      </x:c>
      <x:c r="B87" s="24" t="str">
        <x:v>Central African Republic</x:v>
      </x:c>
      <x:c r="C87" s="24" t="str">
        <x:v>CAF</x:v>
      </x:c>
      <x:c r="D87" s="24" t="str">
        <x:v>CAF</x:v>
      </x:c>
      <x:c r="E87" s="24" t="n">
        <x:v>2026</x:v>
      </x:c>
      <x:c r="F87" s="37" t="n">
        <x:v>0.87</x:v>
      </x:c>
      <x:c r="G87" s="38" t="n">
        <x:v>5698984</x:v>
      </x:c>
      <x:c r="H87" s="38" t="n">
        <x:v>5698984</x:v>
      </x:c>
      <x:c r="I87" s="39" t="n">
        <x:f>H87/G87</x:f>
        <x:v>1</x:v>
      </x:c>
      <x:c r="J87" s="40" t="n">
        <x:f>(I87-1)*100</x:f>
        <x:v>0</x:v>
      </x:c>
      <x:c r="K87" s="36" t="str">
        <x:v>no</x:v>
      </x:c>
      <x:c r="L87" s="36" t="str">
        <x:v>Single-country territory; UN WPP and vanilla are within the ±5% review threshold.</x:v>
      </x:c>
      <x:c r="M87" s="41" t="n">
        <x:v>6452160000</x:v>
      </x:c>
      <x:c r="N87" s="41" t="n">
        <x:v>5613379200</x:v>
      </x:c>
      <x:c r="O87" s="41" t="n">
        <x:v>985</x:v>
      </x:c>
      <x:c r="P87" s="41" t="n">
        <x:v>533</x:v>
      </x:c>
      <x:c r="Q87" s="41" t="n">
        <x:v>1277</x:v>
      </x:c>
      <x:c r="R87" s="42" t="n">
        <x:f>MIN(P87,Q87)</x:f>
        <x:v>533</x:v>
      </x:c>
      <x:c r="S87" s="42" t="n">
        <x:f>MAX(P87,Q87)</x:f>
        <x:v>1277</x:v>
      </x:c>
      <x:c r="T87" s="42" t="n">
        <x:f>MAX(R87,MIN(O87,S87))</x:f>
        <x:v>985</x:v>
      </x:c>
      <x:c r="U87" s="19" t="str">
        <x:f>IF(O87&lt;R87,IF(R87=P87,"clamped_to_nominal","clamped_to_ppp"),IF(O87&gt;S87,IF(S87=P87,"clamped_to_nominal","clamped_to_ppp"),"kept_vanilla"))</x:f>
        <x:v>kept_vanilla</x:v>
      </x:c>
      <x:c r="V87" s="42" t="n">
        <x:f>T87*H87</x:f>
        <x:v>5613499240</x:v>
      </x:c>
      <x:c r="W87" s="42" t="n">
        <x:f>V87/F87</x:f>
        <x:v>6452297977.011495</x:v>
      </x:c>
      <x:c r="X87" s="36" t="str">
        <x:v>CAF: UN WPP 2024 Medium exact 2026</x:v>
      </x:c>
      <x:c r="Y87" s="36" t="str">
        <x:v>CAF: IMF exact 2026</x:v>
      </x:c>
      <x:c r="Z87" s="36" t="str">
        <x:v>CAF: IMF exact 2026</x:v>
      </x:c>
      <x:c r="AA87" s="36" t="str">
        <x:v>complete_primary</x:v>
      </x:c>
      <x:c r="AB87" s="36" t="str">
        <x:v>https://www.un.org/development/desa/pd/world-population-prospects-2024</x:v>
      </x:c>
      <x:c r="AC87" s="36" t="str">
        <x:v>https://api.imf.org/external/sdmx/3.0/data/dataflow/IMF.RES/WEO/9.0.0/</x:v>
      </x:c>
      <x:c r="AD87" s="36" t="str">
        <x:v>https://api.worldbank.org/v2/</x:v>
      </x:c>
    </x:row>
    <x:row r="88">
      <x:c r="A88" s="24" t="str">
        <x:v>TCD</x:v>
      </x:c>
      <x:c r="B88" s="24" t="str">
        <x:v>Chad</x:v>
      </x:c>
      <x:c r="C88" s="24" t="str">
        <x:v>TCD</x:v>
      </x:c>
      <x:c r="D88" s="24" t="str">
        <x:v>TCD</x:v>
      </x:c>
      <x:c r="E88" s="24" t="n">
        <x:v>2003</x:v>
      </x:c>
      <x:c r="F88" s="37" t="n">
        <x:v>1.59</x:v>
      </x:c>
      <x:c r="G88" s="38" t="n">
        <x:v>9487833</x:v>
      </x:c>
      <x:c r="H88" s="38" t="n">
        <x:v>9487833</x:v>
      </x:c>
      <x:c r="I88" s="39" t="n">
        <x:f>H88/G88</x:f>
        <x:v>1</x:v>
      </x:c>
      <x:c r="J88" s="40" t="n">
        <x:f>(I88-1)*100</x:f>
        <x:v>0</x:v>
      </x:c>
      <x:c r="K88" s="36" t="str">
        <x:v>no</x:v>
      </x:c>
      <x:c r="L88" s="36" t="str">
        <x:v>Single-country territory; UN WPP and vanilla are within the ±5% review threshold.</x:v>
      </x:c>
      <x:c r="M88" s="41" t="n">
        <x:v>7223391813</x:v>
      </x:c>
      <x:c r="N88" s="41" t="n">
        <x:v>11485192983</x:v>
      </x:c>
      <x:c r="O88" s="41" t="n">
        <x:v>1211</x:v>
      </x:c>
      <x:c r="P88" s="41" t="n">
        <x:v>674</x:v>
      </x:c>
      <x:c r="Q88" s="41" t="n">
        <x:v>2085</x:v>
      </x:c>
      <x:c r="R88" s="42" t="n">
        <x:f>MIN(P88,Q88)</x:f>
        <x:v>674</x:v>
      </x:c>
      <x:c r="S88" s="42" t="n">
        <x:f>MAX(P88,Q88)</x:f>
        <x:v>2085</x:v>
      </x:c>
      <x:c r="T88" s="42" t="n">
        <x:f>MAX(R88,MIN(O88,S88))</x:f>
        <x:v>1211</x:v>
      </x:c>
      <x:c r="U88" s="19" t="str">
        <x:f>IF(O88&lt;R88,IF(R88=P88,"clamped_to_nominal","clamped_to_ppp"),IF(O88&gt;S88,IF(S88=P88,"clamped_to_nominal","clamped_to_ppp"),"kept_vanilla"))</x:f>
        <x:v>kept_vanilla</x:v>
      </x:c>
      <x:c r="V88" s="42" t="n">
        <x:f>T88*H88</x:f>
        <x:v>11489765763</x:v>
      </x:c>
      <x:c r="W88" s="42" t="n">
        <x:f>V88/F88</x:f>
        <x:v>7226267775.471698</x:v>
      </x:c>
      <x:c r="X88" s="36" t="str">
        <x:v>TCD: UN WPP 2024 Medium exact 2003</x:v>
      </x:c>
      <x:c r="Y88" s="36" t="str">
        <x:v>TCD: IMF exact 2003</x:v>
      </x:c>
      <x:c r="Z88" s="36" t="str">
        <x:v>TCD: IMF exact 2003</x:v>
      </x:c>
      <x:c r="AA88" s="36" t="str">
        <x:v>complete_primary</x:v>
      </x:c>
      <x:c r="AB88" s="36" t="str">
        <x:v>https://www.un.org/development/desa/pd/world-population-prospects-2024</x:v>
      </x:c>
      <x:c r="AC88" s="36" t="str">
        <x:v>https://api.imf.org/external/sdmx/3.0/data/dataflow/IMF.RES/WEO/9.0.0/</x:v>
      </x:c>
      <x:c r="AD88" s="36" t="str">
        <x:v>https://api.worldbank.org/v2/</x:v>
      </x:c>
    </x:row>
    <x:row r="89">
      <x:c r="A89" s="24" t="str">
        <x:v>TCD</x:v>
      </x:c>
      <x:c r="B89" s="24" t="str">
        <x:v>Chad</x:v>
      </x:c>
      <x:c r="C89" s="24" t="str">
        <x:v>TCD</x:v>
      </x:c>
      <x:c r="D89" s="24" t="str">
        <x:v>TCD</x:v>
      </x:c>
      <x:c r="E89" s="24" t="n">
        <x:v>2022</x:v>
      </x:c>
      <x:c r="F89" s="37" t="n">
        <x:v>1</x:v>
      </x:c>
      <x:c r="G89" s="38" t="n">
        <x:v>17571864</x:v>
      </x:c>
      <x:c r="H89" s="38" t="n">
        <x:v>18455316</x:v>
      </x:c>
      <x:c r="I89" s="39" t="n">
        <x:f>H89/G89</x:f>
        <x:v>1.0502765102211127</x:v>
      </x:c>
      <x:c r="J89" s="40" t="n">
        <x:f>(I89-1)*100</x:f>
        <x:v>5.027651022111268</x:v>
      </x:c>
      <x:c r="K89" s="36" t="str">
        <x:v>yes — reviewed</x:v>
      </x:c>
      <x:c r="L89" s="36" t="str">
        <x:v>Single-country game territory and UN country/area boundary align. The difference is an updated historical estimate/projection vintage, not a geographic-scope mismatch; accept the UN WPP value for a consistent source vintage.</x:v>
      </x:c>
      <x:c r="M89" s="41" t="n">
        <x:v>26121920000</x:v>
      </x:c>
      <x:c r="N89" s="41" t="n">
        <x:v>26121920000</x:v>
      </x:c>
      <x:c r="O89" s="41" t="n">
        <x:v>1487</x:v>
      </x:c>
      <x:c r="P89" s="41" t="n">
        <x:v>978</x:v>
      </x:c>
      <x:c r="Q89" s="41" t="n">
        <x:v>2652</x:v>
      </x:c>
      <x:c r="R89" s="42" t="n">
        <x:f>MIN(P89,Q89)</x:f>
        <x:v>978</x:v>
      </x:c>
      <x:c r="S89" s="42" t="n">
        <x:f>MAX(P89,Q89)</x:f>
        <x:v>2652</x:v>
      </x:c>
      <x:c r="T89" s="42" t="n">
        <x:f>MAX(R89,MIN(O89,S89))</x:f>
        <x:v>1487</x:v>
      </x:c>
      <x:c r="U89" s="19" t="str">
        <x:f>IF(O89&lt;R89,IF(R89=P89,"clamped_to_nominal","clamped_to_ppp"),IF(O89&gt;S89,IF(S89=P89,"clamped_to_nominal","clamped_to_ppp"),"kept_vanilla"))</x:f>
        <x:v>kept_vanilla</x:v>
      </x:c>
      <x:c r="V89" s="42" t="n">
        <x:f>T89*H89</x:f>
        <x:v>27443054892</x:v>
      </x:c>
      <x:c r="W89" s="42" t="n">
        <x:f>V89/F89</x:f>
        <x:v>27443054892</x:v>
      </x:c>
      <x:c r="X89" s="36" t="str">
        <x:v>TCD: UN WPP 2024 Medium exact 2022</x:v>
      </x:c>
      <x:c r="Y89" s="36" t="str">
        <x:v>TCD: IMF exact 2022</x:v>
      </x:c>
      <x:c r="Z89" s="36" t="str">
        <x:v>TCD: IMF exact 2022</x:v>
      </x:c>
      <x:c r="AA89" s="36" t="str">
        <x:v>complete_primary</x:v>
      </x:c>
      <x:c r="AB89" s="36" t="str">
        <x:v>https://www.un.org/development/desa/pd/world-population-prospects-2024</x:v>
      </x:c>
      <x:c r="AC89" s="36" t="str">
        <x:v>https://api.imf.org/external/sdmx/3.0/data/dataflow/IMF.RES/WEO/9.0.0/</x:v>
      </x:c>
      <x:c r="AD89" s="36" t="str">
        <x:v>https://api.worldbank.org/v2/</x:v>
      </x:c>
    </x:row>
    <x:row r="90">
      <x:c r="A90" s="24" t="str">
        <x:v>TCD</x:v>
      </x:c>
      <x:c r="B90" s="24" t="str">
        <x:v>Chad</x:v>
      </x:c>
      <x:c r="C90" s="24" t="str">
        <x:v>TCD</x:v>
      </x:c>
      <x:c r="D90" s="24" t="str">
        <x:v>TCD</x:v>
      </x:c>
      <x:c r="E90" s="24" t="n">
        <x:v>2026</x:v>
      </x:c>
      <x:c r="F90" s="37" t="n">
        <x:v>0.87</x:v>
      </x:c>
      <x:c r="G90" s="38" t="n">
        <x:v>21560380</x:v>
      </x:c>
      <x:c r="H90" s="38" t="n">
        <x:v>21560380</x:v>
      </x:c>
      <x:c r="I90" s="39" t="n">
        <x:f>H90/G90</x:f>
        <x:v>1</x:v>
      </x:c>
      <x:c r="J90" s="40" t="n">
        <x:f>(I90-1)*100</x:f>
        <x:v>0</x:v>
      </x:c>
      <x:c r="K90" s="36" t="str">
        <x:v>no</x:v>
      </x:c>
      <x:c r="L90" s="36" t="str">
        <x:v>Single-country territory; UN WPP and vanilla are within the ±5% review threshold.</x:v>
      </x:c>
      <x:c r="M90" s="41" t="n">
        <x:v>49854640000</x:v>
      </x:c>
      <x:c r="N90" s="41" t="n">
        <x:v>43373536800</x:v>
      </x:c>
      <x:c r="O90" s="41" t="n">
        <x:v>2012</x:v>
      </x:c>
      <x:c r="P90" s="41" t="n">
        <x:v>1034</x:v>
      </x:c>
      <x:c r="Q90" s="41" t="n">
        <x:v>2720</x:v>
      </x:c>
      <x:c r="R90" s="42" t="n">
        <x:f>MIN(P90,Q90)</x:f>
        <x:v>1034</x:v>
      </x:c>
      <x:c r="S90" s="42" t="n">
        <x:f>MAX(P90,Q90)</x:f>
        <x:v>2720</x:v>
      </x:c>
      <x:c r="T90" s="42" t="n">
        <x:f>MAX(R90,MIN(O90,S90))</x:f>
        <x:v>2012</x:v>
      </x:c>
      <x:c r="U90" s="19" t="str">
        <x:f>IF(O90&lt;R90,IF(R90=P90,"clamped_to_nominal","clamped_to_ppp"),IF(O90&gt;S90,IF(S90=P90,"clamped_to_nominal","clamped_to_ppp"),"kept_vanilla"))</x:f>
        <x:v>kept_vanilla</x:v>
      </x:c>
      <x:c r="V90" s="42" t="n">
        <x:f>T90*H90</x:f>
        <x:v>43379484560</x:v>
      </x:c>
      <x:c r="W90" s="42" t="n">
        <x:f>V90/F90</x:f>
        <x:v>49861476505.74712</x:v>
      </x:c>
      <x:c r="X90" s="36" t="str">
        <x:v>TCD: UN WPP 2024 Medium exact 2026</x:v>
      </x:c>
      <x:c r="Y90" s="36" t="str">
        <x:v>TCD: IMF exact 2026</x:v>
      </x:c>
      <x:c r="Z90" s="36" t="str">
        <x:v>TCD: IMF exact 2026</x:v>
      </x:c>
      <x:c r="AA90" s="36" t="str">
        <x:v>complete_primary</x:v>
      </x:c>
      <x:c r="AB90" s="36" t="str">
        <x:v>https://www.un.org/development/desa/pd/world-population-prospects-2024</x:v>
      </x:c>
      <x:c r="AC90" s="36" t="str">
        <x:v>https://api.imf.org/external/sdmx/3.0/data/dataflow/IMF.RES/WEO/9.0.0/</x:v>
      </x:c>
      <x:c r="AD90" s="36" t="str">
        <x:v>https://api.worldbank.org/v2/</x:v>
      </x:c>
    </x:row>
    <x:row r="91">
      <x:c r="A91" s="24" t="str">
        <x:v>CHL</x:v>
      </x:c>
      <x:c r="B91" s="24" t="str">
        <x:v>Chile</x:v>
      </x:c>
      <x:c r="C91" s="24" t="str">
        <x:v>CHL</x:v>
      </x:c>
      <x:c r="D91" s="24" t="str">
        <x:v>CHL</x:v>
      </x:c>
      <x:c r="E91" s="24" t="n">
        <x:v>2003</x:v>
      </x:c>
      <x:c r="F91" s="37" t="n">
        <x:v>1.59</x:v>
      </x:c>
      <x:c r="G91" s="38" t="n">
        <x:v>16024752</x:v>
      </x:c>
      <x:c r="H91" s="38" t="n">
        <x:v>16024752</x:v>
      </x:c>
      <x:c r="I91" s="39" t="n">
        <x:f>H91/G91</x:f>
        <x:v>1</x:v>
      </x:c>
      <x:c r="J91" s="40" t="n">
        <x:f>(I91-1)*100</x:f>
        <x:v>0</x:v>
      </x:c>
      <x:c r="K91" s="36" t="str">
        <x:v>no</x:v>
      </x:c>
      <x:c r="L91" s="36" t="str">
        <x:v>Single-country territory; UN WPP and vanilla are within the ±5% review threshold.</x:v>
      </x:c>
      <x:c r="M91" s="41" t="n">
        <x:v>118815789474</x:v>
      </x:c>
      <x:c r="N91" s="41" t="n">
        <x:v>188917105264</x:v>
      </x:c>
      <x:c r="O91" s="41" t="n">
        <x:v>11789</x:v>
      </x:c>
      <x:c r="P91" s="41" t="n">
        <x:v>7591</x:v>
      </x:c>
      <x:c r="Q91" s="41" t="n">
        <x:v>20159</x:v>
      </x:c>
      <x:c r="R91" s="42" t="n">
        <x:f>MIN(P91,Q91)</x:f>
        <x:v>7591</x:v>
      </x:c>
      <x:c r="S91" s="42" t="n">
        <x:f>MAX(P91,Q91)</x:f>
        <x:v>20159</x:v>
      </x:c>
      <x:c r="T91" s="42" t="n">
        <x:f>MAX(R91,MIN(O91,S91))</x:f>
        <x:v>11789</x:v>
      </x:c>
      <x:c r="U91" s="19" t="str">
        <x:f>IF(O91&lt;R91,IF(R91=P91,"clamped_to_nominal","clamped_to_ppp"),IF(O91&gt;S91,IF(S91=P91,"clamped_to_nominal","clamped_to_ppp"),"kept_vanilla"))</x:f>
        <x:v>kept_vanilla</x:v>
      </x:c>
      <x:c r="V91" s="42" t="n">
        <x:f>T91*H91</x:f>
        <x:v>188915801328</x:v>
      </x:c>
      <x:c r="W91" s="42" t="n">
        <x:f>V91/F91</x:f>
        <x:v>118814969388.67924</x:v>
      </x:c>
      <x:c r="X91" s="36" t="str">
        <x:v>CHL: UN WPP 2024 Medium exact 2003</x:v>
      </x:c>
      <x:c r="Y91" s="36" t="str">
        <x:v>CHL: IMF exact 2003</x:v>
      </x:c>
      <x:c r="Z91" s="36" t="str">
        <x:v>CHL: IMF exact 2003</x:v>
      </x:c>
      <x:c r="AA91" s="36" t="str">
        <x:v>complete_primary</x:v>
      </x:c>
      <x:c r="AB91" s="36" t="str">
        <x:v>https://www.un.org/development/desa/pd/world-population-prospects-2024</x:v>
      </x:c>
      <x:c r="AC91" s="36" t="str">
        <x:v>https://api.imf.org/external/sdmx/3.0/data/dataflow/IMF.RES/WEO/9.0.0/</x:v>
      </x:c>
      <x:c r="AD91" s="36" t="str">
        <x:v>https://api.worldbank.org/v2/</x:v>
      </x:c>
    </x:row>
    <x:row r="92">
      <x:c r="A92" s="24" t="str">
        <x:v>CHL</x:v>
      </x:c>
      <x:c r="B92" s="24" t="str">
        <x:v>Chile</x:v>
      </x:c>
      <x:c r="C92" s="24" t="str">
        <x:v>CHL</x:v>
      </x:c>
      <x:c r="D92" s="24" t="str">
        <x:v>CHL</x:v>
      </x:c>
      <x:c r="E92" s="24" t="n">
        <x:v>2022</x:v>
      </x:c>
      <x:c r="F92" s="37" t="n">
        <x:v>1</x:v>
      </x:c>
      <x:c r="G92" s="38" t="n">
        <x:v>19256615</x:v>
      </x:c>
      <x:c r="H92" s="38" t="n">
        <x:v>19553036</x:v>
      </x:c>
      <x:c r="I92" s="39" t="n">
        <x:f>H92/G92</x:f>
        <x:v>1.0153932038419005</x:v>
      </x:c>
      <x:c r="J92" s="40" t="n">
        <x:f>(I92-1)*100</x:f>
        <x:v>1.539320384190046</x:v>
      </x:c>
      <x:c r="K92" s="36" t="str">
        <x:v>no</x:v>
      </x:c>
      <x:c r="L92" s="36" t="str">
        <x:v>Single-country territory; UN WPP and vanilla are within the ±5% review threshold.</x:v>
      </x:c>
      <x:c r="M92" s="41" t="n">
        <x:v>500120720000</x:v>
      </x:c>
      <x:c r="N92" s="41" t="n">
        <x:v>500120720000</x:v>
      </x:c>
      <x:c r="O92" s="41" t="n">
        <x:v>25971</x:v>
      </x:c>
      <x:c r="P92" s="41" t="n">
        <x:v>15408</x:v>
      </x:c>
      <x:c r="Q92" s="41" t="n">
        <x:v>31670</x:v>
      </x:c>
      <x:c r="R92" s="42" t="n">
        <x:f>MIN(P92,Q92)</x:f>
        <x:v>15408</x:v>
      </x:c>
      <x:c r="S92" s="42" t="n">
        <x:f>MAX(P92,Q92)</x:f>
        <x:v>31670</x:v>
      </x:c>
      <x:c r="T92" s="42" t="n">
        <x:f>MAX(R92,MIN(O92,S92))</x:f>
        <x:v>25971</x:v>
      </x:c>
      <x:c r="U92" s="19" t="str">
        <x:f>IF(O92&lt;R92,IF(R92=P92,"clamped_to_nominal","clamped_to_ppp"),IF(O92&gt;S92,IF(S92=P92,"clamped_to_nominal","clamped_to_ppp"),"kept_vanilla"))</x:f>
        <x:v>kept_vanilla</x:v>
      </x:c>
      <x:c r="V92" s="42" t="n">
        <x:f>T92*H92</x:f>
        <x:v>507811897956</x:v>
      </x:c>
      <x:c r="W92" s="42" t="n">
        <x:f>V92/F92</x:f>
        <x:v>507811897956</x:v>
      </x:c>
      <x:c r="X92" s="36" t="str">
        <x:v>CHL: UN WPP 2024 Medium exact 2022</x:v>
      </x:c>
      <x:c r="Y92" s="36" t="str">
        <x:v>CHL: IMF exact 2022</x:v>
      </x:c>
      <x:c r="Z92" s="36" t="str">
        <x:v>CHL: IMF exact 2022</x:v>
      </x:c>
      <x:c r="AA92" s="36" t="str">
        <x:v>complete_primary</x:v>
      </x:c>
      <x:c r="AB92" s="36" t="str">
        <x:v>https://www.un.org/development/desa/pd/world-population-prospects-2024</x:v>
      </x:c>
      <x:c r="AC92" s="36" t="str">
        <x:v>https://api.imf.org/external/sdmx/3.0/data/dataflow/IMF.RES/WEO/9.0.0/</x:v>
      </x:c>
      <x:c r="AD92" s="36" t="str">
        <x:v>https://api.worldbank.org/v2/</x:v>
      </x:c>
    </x:row>
    <x:row r="93">
      <x:c r="A93" s="24" t="str">
        <x:v>CHL</x:v>
      </x:c>
      <x:c r="B93" s="24" t="str">
        <x:v>Chile</x:v>
      </x:c>
      <x:c r="C93" s="24" t="str">
        <x:v>CHL</x:v>
      </x:c>
      <x:c r="D93" s="24" t="str">
        <x:v>CHL</x:v>
      </x:c>
      <x:c r="E93" s="24" t="n">
        <x:v>2026</x:v>
      </x:c>
      <x:c r="F93" s="37" t="n">
        <x:v>0.87</x:v>
      </x:c>
      <x:c r="G93" s="38" t="n">
        <x:v>19945850</x:v>
      </x:c>
      <x:c r="H93" s="38" t="n">
        <x:v>19945850</x:v>
      </x:c>
      <x:c r="I93" s="39" t="n">
        <x:f>H93/G93</x:f>
        <x:v>1</x:v>
      </x:c>
      <x:c r="J93" s="40" t="n">
        <x:f>(I93-1)*100</x:f>
        <x:v>0</x:v>
      </x:c>
      <x:c r="K93" s="36" t="str">
        <x:v>no</x:v>
      </x:c>
      <x:c r="L93" s="36" t="str">
        <x:v>Single-country territory; UN WPP and vanilla are within the ±5% review threshold.</x:v>
      </x:c>
      <x:c r="M93" s="41" t="n">
        <x:v>624971600000</x:v>
      </x:c>
      <x:c r="N93" s="41" t="n">
        <x:v>543725292000</x:v>
      </x:c>
      <x:c r="O93" s="41" t="n">
        <x:v>27260</x:v>
      </x:c>
      <x:c r="P93" s="41" t="n">
        <x:v>17790</x:v>
      </x:c>
      <x:c r="Q93" s="41" t="n">
        <x:v>32816</x:v>
      </x:c>
      <x:c r="R93" s="42" t="n">
        <x:f>MIN(P93,Q93)</x:f>
        <x:v>17790</x:v>
      </x:c>
      <x:c r="S93" s="42" t="n">
        <x:f>MAX(P93,Q93)</x:f>
        <x:v>32816</x:v>
      </x:c>
      <x:c r="T93" s="42" t="n">
        <x:f>MAX(R93,MIN(O93,S93))</x:f>
        <x:v>27260</x:v>
      </x:c>
      <x:c r="U93" s="19" t="str">
        <x:f>IF(O93&lt;R93,IF(R93=P93,"clamped_to_nominal","clamped_to_ppp"),IF(O93&gt;S93,IF(S93=P93,"clamped_to_nominal","clamped_to_ppp"),"kept_vanilla"))</x:f>
        <x:v>kept_vanilla</x:v>
      </x:c>
      <x:c r="V93" s="42" t="n">
        <x:f>T93*H93</x:f>
        <x:v>543723871000</x:v>
      </x:c>
      <x:c r="W93" s="42" t="n">
        <x:f>V93/F93</x:f>
        <x:v>624969966666.6666</x:v>
      </x:c>
      <x:c r="X93" s="36" t="str">
        <x:v>CHL: UN WPP 2024 Medium exact 2026</x:v>
      </x:c>
      <x:c r="Y93" s="36" t="str">
        <x:v>CHL: IMF exact 2026</x:v>
      </x:c>
      <x:c r="Z93" s="36" t="str">
        <x:v>CHL: IMF exact 2026</x:v>
      </x:c>
      <x:c r="AA93" s="36" t="str">
        <x:v>complete_primary</x:v>
      </x:c>
      <x:c r="AB93" s="36" t="str">
        <x:v>https://www.un.org/development/desa/pd/world-population-prospects-2024</x:v>
      </x:c>
      <x:c r="AC93" s="36" t="str">
        <x:v>https://api.imf.org/external/sdmx/3.0/data/dataflow/IMF.RES/WEO/9.0.0/</x:v>
      </x:c>
      <x:c r="AD93" s="36" t="str">
        <x:v>https://api.worldbank.org/v2/</x:v>
      </x:c>
    </x:row>
    <x:row r="94">
      <x:c r="A94" s="24" t="str">
        <x:v>CHN</x:v>
      </x:c>
      <x:c r="B94" s="24" t="str">
        <x:v>China</x:v>
      </x:c>
      <x:c r="C94" s="24" t="str">
        <x:v>CHN</x:v>
      </x:c>
      <x:c r="D94" s="24" t="str">
        <x:v>CHN</x:v>
      </x:c>
      <x:c r="E94" s="24" t="n">
        <x:v>2003</x:v>
      </x:c>
      <x:c r="F94" s="37" t="n">
        <x:v>1.59</x:v>
      </x:c>
      <x:c r="G94" s="38" t="n">
        <x:v>1294517327</x:v>
      </x:c>
      <x:c r="H94" s="38" t="n">
        <x:v>1294517326</x:v>
      </x:c>
      <x:c r="I94" s="39" t="n">
        <x:f>H94/G94</x:f>
        <x:v>0.9999999992275113</x:v>
      </x:c>
      <x:c r="J94" s="40" t="n">
        <x:f>(I94-1)*100</x:f>
        <x:v>-7.724887396420854e-8</x:v>
      </x:c>
      <x:c r="K94" s="36" t="str">
        <x:v>no</x:v>
      </x:c>
      <x:c r="L94" s="36" t="str">
        <x:v>Single-country territory; UN WPP and vanilla are within the ±5% review threshold.</x:v>
      </x:c>
      <x:c r="M94" s="41" t="n">
        <x:v>2637080116959</x:v>
      </x:c>
      <x:c r="N94" s="41" t="n">
        <x:v>4192957385965</x:v>
      </x:c>
      <x:c r="O94" s="41" t="n">
        <x:v>3239</x:v>
      </x:c>
      <x:c r="P94" s="41" t="n">
        <x:v>2065</x:v>
      </x:c>
      <x:c r="Q94" s="41" t="n">
        <x:v>5656</x:v>
      </x:c>
      <x:c r="R94" s="42" t="n">
        <x:f>MIN(P94,Q94)</x:f>
        <x:v>2065</x:v>
      </x:c>
      <x:c r="S94" s="42" t="n">
        <x:f>MAX(P94,Q94)</x:f>
        <x:v>5656</x:v>
      </x:c>
      <x:c r="T94" s="42" t="n">
        <x:f>MAX(R94,MIN(O94,S94))</x:f>
        <x:v>3239</x:v>
      </x:c>
      <x:c r="U94" s="19" t="str">
        <x:f>IF(O94&lt;R94,IF(R94=P94,"clamped_to_nominal","clamped_to_ppp"),IF(O94&gt;S94,IF(S94=P94,"clamped_to_nominal","clamped_to_ppp"),"kept_vanilla"))</x:f>
        <x:v>kept_vanilla</x:v>
      </x:c>
      <x:c r="V94" s="42" t="n">
        <x:f>T94*H94</x:f>
        <x:v>4192941618914</x:v>
      </x:c>
      <x:c r="W94" s="42" t="n">
        <x:f>V94/F94</x:f>
        <x:v>2637070200574.843</x:v>
      </x:c>
      <x:c r="X94" s="36" t="str">
        <x:v>CHN: UN WPP 2024 Medium exact 2003</x:v>
      </x:c>
      <x:c r="Y94" s="36" t="str">
        <x:v>CHN: IMF exact 2003</x:v>
      </x:c>
      <x:c r="Z94" s="36" t="str">
        <x:v>CHN: IMF exact 2003</x:v>
      </x:c>
      <x:c r="AA94" s="36" t="str">
        <x:v>complete_primary</x:v>
      </x:c>
      <x:c r="AB94" s="36" t="str">
        <x:v>https://www.un.org/development/desa/pd/world-population-prospects-2024</x:v>
      </x:c>
      <x:c r="AC94" s="36" t="str">
        <x:v>https://api.imf.org/external/sdmx/3.0/data/dataflow/IMF.RES/WEO/9.0.0/</x:v>
      </x:c>
      <x:c r="AD94" s="36" t="str">
        <x:v>https://api.worldbank.org/v2/</x:v>
      </x:c>
    </x:row>
    <x:row r="95">
      <x:c r="A95" s="24" t="str">
        <x:v>CHN</x:v>
      </x:c>
      <x:c r="B95" s="24" t="str">
        <x:v>China</x:v>
      </x:c>
      <x:c r="C95" s="24" t="str">
        <x:v>CHN</x:v>
      </x:c>
      <x:c r="D95" s="24" t="str">
        <x:v>CHN</x:v>
      </x:c>
      <x:c r="E95" s="24" t="n">
        <x:v>2022</x:v>
      </x:c>
      <x:c r="F95" s="37" t="n">
        <x:v>1</x:v>
      </x:c>
      <x:c r="G95" s="38" t="n">
        <x:v>1449737297</x:v>
      </x:c>
      <x:c r="H95" s="38" t="n">
        <x:v>1425179569</x:v>
      </x:c>
      <x:c r="I95" s="39" t="n">
        <x:f>H95/G95</x:f>
        <x:v>0.9830605668690332</x:v>
      </x:c>
      <x:c r="J95" s="40" t="n">
        <x:f>(I95-1)*100</x:f>
        <x:v>-1.6939433130966797</x:v>
      </x:c>
      <x:c r="K95" s="36" t="str">
        <x:v>no</x:v>
      </x:c>
      <x:c r="L95" s="36" t="str">
        <x:v>Single-country territory; UN WPP and vanilla are within the ±5% review threshold.</x:v>
      </x:c>
      <x:c r="M95" s="41" t="n">
        <x:v>26556574880000</x:v>
      </x:c>
      <x:c r="N95" s="41" t="n">
        <x:v>26556574880000</x:v>
      </x:c>
      <x:c r="O95" s="41" t="n">
        <x:v>18318</x:v>
      </x:c>
      <x:c r="P95" s="41" t="n">
        <x:v>12867</x:v>
      </x:c>
      <x:c r="Q95" s="41" t="n">
        <x:v>22800</x:v>
      </x:c>
      <x:c r="R95" s="42" t="n">
        <x:f>MIN(P95,Q95)</x:f>
        <x:v>12867</x:v>
      </x:c>
      <x:c r="S95" s="42" t="n">
        <x:f>MAX(P95,Q95)</x:f>
        <x:v>22800</x:v>
      </x:c>
      <x:c r="T95" s="42" t="n">
        <x:f>MAX(R95,MIN(O95,S95))</x:f>
        <x:v>18318</x:v>
      </x:c>
      <x:c r="U95" s="19" t="str">
        <x:f>IF(O95&lt;R95,IF(R95=P95,"clamped_to_nominal","clamped_to_ppp"),IF(O95&gt;S95,IF(S95=P95,"clamped_to_nominal","clamped_to_ppp"),"kept_vanilla"))</x:f>
        <x:v>kept_vanilla</x:v>
      </x:c>
      <x:c r="V95" s="42" t="n">
        <x:f>T95*H95</x:f>
        <x:v>26106439344942</x:v>
      </x:c>
      <x:c r="W95" s="42" t="n">
        <x:f>V95/F95</x:f>
        <x:v>26106439344942</x:v>
      </x:c>
      <x:c r="X95" s="36" t="str">
        <x:v>CHN: UN WPP 2024 Medium exact 2022</x:v>
      </x:c>
      <x:c r="Y95" s="36" t="str">
        <x:v>CHN: IMF exact 2022</x:v>
      </x:c>
      <x:c r="Z95" s="36" t="str">
        <x:v>CHN: IMF exact 2022</x:v>
      </x:c>
      <x:c r="AA95" s="36" t="str">
        <x:v>complete_primary</x:v>
      </x:c>
      <x:c r="AB95" s="36" t="str">
        <x:v>https://www.un.org/development/desa/pd/world-population-prospects-2024</x:v>
      </x:c>
      <x:c r="AC95" s="36" t="str">
        <x:v>https://api.imf.org/external/sdmx/3.0/data/dataflow/IMF.RES/WEO/9.0.0/</x:v>
      </x:c>
      <x:c r="AD95" s="36" t="str">
        <x:v>https://api.worldbank.org/v2/</x:v>
      </x:c>
    </x:row>
    <x:row r="96">
      <x:c r="A96" s="24" t="str">
        <x:v>CHN</x:v>
      </x:c>
      <x:c r="B96" s="24" t="str">
        <x:v>China</x:v>
      </x:c>
      <x:c r="C96" s="24" t="str">
        <x:v>CHN</x:v>
      </x:c>
      <x:c r="D96" s="24" t="str">
        <x:v>CHN</x:v>
      </x:c>
      <x:c r="E96" s="24" t="n">
        <x:v>2026</x:v>
      </x:c>
      <x:c r="F96" s="37" t="n">
        <x:v>0.87</x:v>
      </x:c>
      <x:c r="G96" s="38" t="n">
        <x:v>1412914088</x:v>
      </x:c>
      <x:c r="H96" s="38" t="n">
        <x:v>1412914089</x:v>
      </x:c>
      <x:c r="I96" s="39" t="n">
        <x:f>H96/G96</x:f>
        <x:v>1.0000000007077572</x:v>
      </x:c>
      <x:c r="J96" s="40" t="n">
        <x:f>(I96-1)*100</x:f>
        <x:v>7.077571861913157e-8</x:v>
      </x:c>
      <x:c r="K96" s="36" t="str">
        <x:v>no</x:v>
      </x:c>
      <x:c r="L96" s="36" t="str">
        <x:v>Single-country territory; UN WPP and vanilla are within the ±5% review threshold.</x:v>
      </x:c>
      <x:c r="M96" s="41" t="n">
        <x:v>36093925120000</x:v>
      </x:c>
      <x:c r="N96" s="41" t="n">
        <x:v>31401714854400</x:v>
      </x:c>
      <x:c r="O96" s="41" t="n">
        <x:v>22225</x:v>
      </x:c>
      <x:c r="P96" s="41" t="n">
        <x:v>12839</x:v>
      </x:c>
      <x:c r="Q96" s="41" t="n">
        <x:v>27275</x:v>
      </x:c>
      <x:c r="R96" s="42" t="n">
        <x:f>MIN(P96,Q96)</x:f>
        <x:v>12839</x:v>
      </x:c>
      <x:c r="S96" s="42" t="n">
        <x:f>MAX(P96,Q96)</x:f>
        <x:v>27275</x:v>
      </x:c>
      <x:c r="T96" s="42" t="n">
        <x:f>MAX(R96,MIN(O96,S96))</x:f>
        <x:v>22225</x:v>
      </x:c>
      <x:c r="U96" s="19" t="str">
        <x:f>IF(O96&lt;R96,IF(R96=P96,"clamped_to_nominal","clamped_to_ppp"),IF(O96&gt;S96,IF(S96=P96,"clamped_to_nominal","clamped_to_ppp"),"kept_vanilla"))</x:f>
        <x:v>kept_vanilla</x:v>
      </x:c>
      <x:c r="V96" s="42" t="n">
        <x:f>T96*H96</x:f>
        <x:v>31402015628025</x:v>
      </x:c>
      <x:c r="W96" s="42" t="n">
        <x:f>V96/F96</x:f>
        <x:v>36094270836810.34</x:v>
      </x:c>
      <x:c r="X96" s="36" t="str">
        <x:v>CHN: UN WPP 2024 Medium exact 2026</x:v>
      </x:c>
      <x:c r="Y96" s="36" t="str">
        <x:v>CHN: IMF exact 2026</x:v>
      </x:c>
      <x:c r="Z96" s="36" t="str">
        <x:v>CHN: IMF exact 2026</x:v>
      </x:c>
      <x:c r="AA96" s="36" t="str">
        <x:v>complete_primary</x:v>
      </x:c>
      <x:c r="AB96" s="36" t="str">
        <x:v>https://www.un.org/development/desa/pd/world-population-prospects-2024</x:v>
      </x:c>
      <x:c r="AC96" s="36" t="str">
        <x:v>https://api.imf.org/external/sdmx/3.0/data/dataflow/IMF.RES/WEO/9.0.0/</x:v>
      </x:c>
      <x:c r="AD96" s="36" t="str">
        <x:v>https://api.worldbank.org/v2/</x:v>
      </x:c>
    </x:row>
    <x:row r="97">
      <x:c r="A97" s="24" t="str">
        <x:v>COL</x:v>
      </x:c>
      <x:c r="B97" s="24" t="str">
        <x:v>Colombia</x:v>
      </x:c>
      <x:c r="C97" s="24" t="str">
        <x:v>COL</x:v>
      </x:c>
      <x:c r="D97" s="24" t="str">
        <x:v>COL</x:v>
      </x:c>
      <x:c r="E97" s="24" t="n">
        <x:v>2003</x:v>
      </x:c>
      <x:c r="F97" s="37" t="n">
        <x:v>1.59</x:v>
      </x:c>
      <x:c r="G97" s="38" t="n">
        <x:v>40937429</x:v>
      </x:c>
      <x:c r="H97" s="38" t="n">
        <x:v>40937429</x:v>
      </x:c>
      <x:c r="I97" s="39" t="n">
        <x:f>H97/G97</x:f>
        <x:v>1</x:v>
      </x:c>
      <x:c r="J97" s="40" t="n">
        <x:f>(I97-1)*100</x:f>
        <x:v>0</x:v>
      </x:c>
      <x:c r="K97" s="36" t="str">
        <x:v>no</x:v>
      </x:c>
      <x:c r="L97" s="36" t="str">
        <x:v>Single-country territory; UN WPP and vanilla are within the ±5% review threshold.</x:v>
      </x:c>
      <x:c r="M97" s="41" t="n">
        <x:v>175425146199</x:v>
      </x:c>
      <x:c r="N97" s="41" t="n">
        <x:v>278925982456</x:v>
      </x:c>
      <x:c r="O97" s="41" t="n">
        <x:v>6813</x:v>
      </x:c>
      <x:c r="P97" s="41" t="n">
        <x:v>3654</x:v>
      </x:c>
      <x:c r="Q97" s="41" t="n">
        <x:v>11651</x:v>
      </x:c>
      <x:c r="R97" s="42" t="n">
        <x:f>MIN(P97,Q97)</x:f>
        <x:v>3654</x:v>
      </x:c>
      <x:c r="S97" s="42" t="n">
        <x:f>MAX(P97,Q97)</x:f>
        <x:v>11651</x:v>
      </x:c>
      <x:c r="T97" s="42" t="n">
        <x:f>MAX(R97,MIN(O97,S97))</x:f>
        <x:v>6813</x:v>
      </x:c>
      <x:c r="U97" s="19" t="str">
        <x:f>IF(O97&lt;R97,IF(R97=P97,"clamped_to_nominal","clamped_to_ppp"),IF(O97&gt;S97,IF(S97=P97,"clamped_to_nominal","clamped_to_ppp"),"kept_vanilla"))</x:f>
        <x:v>kept_vanilla</x:v>
      </x:c>
      <x:c r="V97" s="42" t="n">
        <x:f>T97*H97</x:f>
        <x:v>278906703777</x:v>
      </x:c>
      <x:c r="W97" s="42" t="n">
        <x:f>V97/F97</x:f>
        <x:v>175413021243.3962</x:v>
      </x:c>
      <x:c r="X97" s="36" t="str">
        <x:v>COL: UN WPP 2024 Medium exact 2003</x:v>
      </x:c>
      <x:c r="Y97" s="36" t="str">
        <x:v>COL: IMF exact 2003</x:v>
      </x:c>
      <x:c r="Z97" s="36" t="str">
        <x:v>COL: IMF exact 2003</x:v>
      </x:c>
      <x:c r="AA97" s="36" t="str">
        <x:v>complete_primary</x:v>
      </x:c>
      <x:c r="AB97" s="36" t="str">
        <x:v>https://www.un.org/development/desa/pd/world-population-prospects-2024</x:v>
      </x:c>
      <x:c r="AC97" s="36" t="str">
        <x:v>https://api.imf.org/external/sdmx/3.0/data/dataflow/IMF.RES/WEO/9.0.0/</x:v>
      </x:c>
      <x:c r="AD97" s="36" t="str">
        <x:v>https://api.worldbank.org/v2/</x:v>
      </x:c>
    </x:row>
    <x:row r="98">
      <x:c r="A98" s="24" t="str">
        <x:v>COL</x:v>
      </x:c>
      <x:c r="B98" s="24" t="str">
        <x:v>Colombia</x:v>
      </x:c>
      <x:c r="C98" s="24" t="str">
        <x:v>COL</x:v>
      </x:c>
      <x:c r="D98" s="24" t="str">
        <x:v>COL</x:v>
      </x:c>
      <x:c r="E98" s="24" t="n">
        <x:v>2022</x:v>
      </x:c>
      <x:c r="F98" s="37" t="n">
        <x:v>1</x:v>
      </x:c>
      <x:c r="G98" s="38" t="n">
        <x:v>51574932</x:v>
      </x:c>
      <x:c r="H98" s="38" t="n">
        <x:v>51737944</x:v>
      </x:c>
      <x:c r="I98" s="39" t="n">
        <x:f>H98/G98</x:f>
        <x:v>1.0031606827906239</x:v>
      </x:c>
      <x:c r="J98" s="40" t="n">
        <x:f>(I98-1)*100</x:f>
        <x:v>0.316068279062387</x:v>
      </x:c>
      <x:c r="K98" s="36" t="str">
        <x:v>no</x:v>
      </x:c>
      <x:c r="L98" s="36" t="str">
        <x:v>Single-country territory; UN WPP and vanilla are within the ±5% review threshold.</x:v>
      </x:c>
      <x:c r="M98" s="41" t="n">
        <x:v>827718320000</x:v>
      </x:c>
      <x:c r="N98" s="41" t="n">
        <x:v>827718320000</x:v>
      </x:c>
      <x:c r="O98" s="41" t="n">
        <x:v>16049</x:v>
      </x:c>
      <x:c r="P98" s="41" t="n">
        <x:v>6680</x:v>
      </x:c>
      <x:c r="Q98" s="41" t="n">
        <x:v>20132</x:v>
      </x:c>
      <x:c r="R98" s="42" t="n">
        <x:f>MIN(P98,Q98)</x:f>
        <x:v>6680</x:v>
      </x:c>
      <x:c r="S98" s="42" t="n">
        <x:f>MAX(P98,Q98)</x:f>
        <x:v>20132</x:v>
      </x:c>
      <x:c r="T98" s="42" t="n">
        <x:f>MAX(R98,MIN(O98,S98))</x:f>
        <x:v>16049</x:v>
      </x:c>
      <x:c r="U98" s="19" t="str">
        <x:f>IF(O98&lt;R98,IF(R98=P98,"clamped_to_nominal","clamped_to_ppp"),IF(O98&gt;S98,IF(S98=P98,"clamped_to_nominal","clamped_to_ppp"),"kept_vanilla"))</x:f>
        <x:v>kept_vanilla</x:v>
      </x:c>
      <x:c r="V98" s="42" t="n">
        <x:f>T98*H98</x:f>
        <x:v>830342263256</x:v>
      </x:c>
      <x:c r="W98" s="42" t="n">
        <x:f>V98/F98</x:f>
        <x:v>830342263256</x:v>
      </x:c>
      <x:c r="X98" s="36" t="str">
        <x:v>COL: UN WPP 2024 Medium exact 2022</x:v>
      </x:c>
      <x:c r="Y98" s="36" t="str">
        <x:v>COL: IMF exact 2022</x:v>
      </x:c>
      <x:c r="Z98" s="36" t="str">
        <x:v>COL: IMF exact 2022</x:v>
      </x:c>
      <x:c r="AA98" s="36" t="str">
        <x:v>complete_primary</x:v>
      </x:c>
      <x:c r="AB98" s="36" t="str">
        <x:v>https://www.un.org/development/desa/pd/world-population-prospects-2024</x:v>
      </x:c>
      <x:c r="AC98" s="36" t="str">
        <x:v>https://api.imf.org/external/sdmx/3.0/data/dataflow/IMF.RES/WEO/9.0.0/</x:v>
      </x:c>
      <x:c r="AD98" s="36" t="str">
        <x:v>https://api.worldbank.org/v2/</x:v>
      </x:c>
    </x:row>
    <x:row r="99">
      <x:c r="A99" s="24" t="str">
        <x:v>COL</x:v>
      </x:c>
      <x:c r="B99" s="24" t="str">
        <x:v>Colombia</x:v>
      </x:c>
      <x:c r="C99" s="24" t="str">
        <x:v>COL</x:v>
      </x:c>
      <x:c r="D99" s="24" t="str">
        <x:v>COL</x:v>
      </x:c>
      <x:c r="E99" s="24" t="n">
        <x:v>2026</x:v>
      </x:c>
      <x:c r="F99" s="37" t="n">
        <x:v>0.87</x:v>
      </x:c>
      <x:c r="G99" s="38" t="n">
        <x:v>53936226</x:v>
      </x:c>
      <x:c r="H99" s="38" t="n">
        <x:v>53936226</x:v>
      </x:c>
      <x:c r="I99" s="39" t="n">
        <x:f>H99/G99</x:f>
        <x:v>1</x:v>
      </x:c>
      <x:c r="J99" s="40" t="n">
        <x:f>(I99-1)*100</x:f>
        <x:v>0</x:v>
      </x:c>
      <x:c r="K99" s="36" t="str">
        <x:v>no</x:v>
      </x:c>
      <x:c r="L99" s="36" t="str">
        <x:v>Single-country territory; UN WPP and vanilla are within the ±5% review threshold.</x:v>
      </x:c>
      <x:c r="M99" s="41" t="n">
        <x:v>1046729200000</x:v>
      </x:c>
      <x:c r="N99" s="41" t="n">
        <x:v>910654404000</x:v>
      </x:c>
      <x:c r="O99" s="41" t="n">
        <x:v>16884</x:v>
      </x:c>
      <x:c r="P99" s="41" t="n">
        <x:v>8703</x:v>
      </x:c>
      <x:c r="Q99" s="41" t="n">
        <x:v>20307</x:v>
      </x:c>
      <x:c r="R99" s="42" t="n">
        <x:f>MIN(P99,Q99)</x:f>
        <x:v>8703</x:v>
      </x:c>
      <x:c r="S99" s="42" t="n">
        <x:f>MAX(P99,Q99)</x:f>
        <x:v>20307</x:v>
      </x:c>
      <x:c r="T99" s="42" t="n">
        <x:f>MAX(R99,MIN(O99,S99))</x:f>
        <x:v>16884</x:v>
      </x:c>
      <x:c r="U99" s="19" t="str">
        <x:f>IF(O99&lt;R99,IF(R99=P99,"clamped_to_nominal","clamped_to_ppp"),IF(O99&gt;S99,IF(S99=P99,"clamped_to_nominal","clamped_to_ppp"),"kept_vanilla"))</x:f>
        <x:v>kept_vanilla</x:v>
      </x:c>
      <x:c r="V99" s="42" t="n">
        <x:f>T99*H99</x:f>
        <x:v>910659239784</x:v>
      </x:c>
      <x:c r="W99" s="42" t="n">
        <x:f>V99/F99</x:f>
        <x:v>1046734758372.4138</x:v>
      </x:c>
      <x:c r="X99" s="36" t="str">
        <x:v>COL: UN WPP 2024 Medium exact 2026</x:v>
      </x:c>
      <x:c r="Y99" s="36" t="str">
        <x:v>COL: IMF exact 2026</x:v>
      </x:c>
      <x:c r="Z99" s="36" t="str">
        <x:v>COL: IMF exact 2026</x:v>
      </x:c>
      <x:c r="AA99" s="36" t="str">
        <x:v>complete_primary</x:v>
      </x:c>
      <x:c r="AB99" s="36" t="str">
        <x:v>https://www.un.org/development/desa/pd/world-population-prospects-2024</x:v>
      </x:c>
      <x:c r="AC99" s="36" t="str">
        <x:v>https://api.imf.org/external/sdmx/3.0/data/dataflow/IMF.RES/WEO/9.0.0/</x:v>
      </x:c>
      <x:c r="AD99" s="36" t="str">
        <x:v>https://api.worldbank.org/v2/</x:v>
      </x:c>
    </x:row>
    <x:row r="100">
      <x:c r="A100" s="24" t="str">
        <x:v>RTK</x:v>
      </x:c>
      <x:c r="B100" s="24" t="str">
        <x:v>Comoros</x:v>
      </x:c>
      <x:c r="C100" s="24" t="str">
        <x:v>COM</x:v>
      </x:c>
      <x:c r="D100" s="24" t="str">
        <x:v>COM</x:v>
      </x:c>
      <x:c r="E100" s="24" t="n">
        <x:v>2003</x:v>
      </x:c>
      <x:c r="F100" s="37" t="n">
        <x:v>1.59</x:v>
      </x:c>
      <x:c r="G100" s="38" t="n">
        <x:v>569798</x:v>
      </x:c>
      <x:c r="H100" s="38" t="n">
        <x:v>569798</x:v>
      </x:c>
      <x:c r="I100" s="39" t="n">
        <x:f>H100/G100</x:f>
        <x:v>1</x:v>
      </x:c>
      <x:c r="J100" s="40" t="n">
        <x:f>(I100-1)*100</x:f>
        <x:v>0</x:v>
      </x:c>
      <x:c r="K100" s="36" t="str">
        <x:v>no</x:v>
      </x:c>
      <x:c r="L100" s="36" t="str">
        <x:v>Single-country territory; UN WPP and vanilla are within the ±5% review threshold.</x:v>
      </x:c>
      <x:c r="M100" s="41" t="n">
        <x:v>763157895</x:v>
      </x:c>
      <x:c r="N100" s="41" t="n">
        <x:v>1213421053</x:v>
      </x:c>
      <x:c r="O100" s="41" t="n">
        <x:v>2130</x:v>
      </x:c>
      <x:c r="P100" s="41" t="n">
        <x:v>1526</x:v>
      </x:c>
      <x:c r="Q100" s="41" t="n">
        <x:v>3642</x:v>
      </x:c>
      <x:c r="R100" s="42" t="n">
        <x:f>MIN(P100,Q100)</x:f>
        <x:v>1526</x:v>
      </x:c>
      <x:c r="S100" s="42" t="n">
        <x:f>MAX(P100,Q100)</x:f>
        <x:v>3642</x:v>
      </x:c>
      <x:c r="T100" s="42" t="n">
        <x:f>MAX(R100,MIN(O100,S100))</x:f>
        <x:v>2130</x:v>
      </x:c>
      <x:c r="U100" s="19" t="str">
        <x:f>IF(O100&lt;R100,IF(R100=P100,"clamped_to_nominal","clamped_to_ppp"),IF(O100&gt;S100,IF(S100=P100,"clamped_to_nominal","clamped_to_ppp"),"kept_vanilla"))</x:f>
        <x:v>kept_vanilla</x:v>
      </x:c>
      <x:c r="V100" s="42" t="n">
        <x:f>T100*H100</x:f>
        <x:v>1213669740</x:v>
      </x:c>
      <x:c r="W100" s="42" t="n">
        <x:f>V100/F100</x:f>
        <x:v>763314301.8867924</x:v>
      </x:c>
      <x:c r="X100" s="36" t="str">
        <x:v>COM: UN WPP 2024 Medium exact 2003</x:v>
      </x:c>
      <x:c r="Y100" s="36" t="str">
        <x:v>COM: IMF exact 2003</x:v>
      </x:c>
      <x:c r="Z100" s="36" t="str">
        <x:v>COM: IMF exact 2003</x:v>
      </x:c>
      <x:c r="AA100" s="36" t="str">
        <x:v>complete_primary</x:v>
      </x:c>
      <x:c r="AB100" s="36" t="str">
        <x:v>https://www.un.org/development/desa/pd/world-population-prospects-2024</x:v>
      </x:c>
      <x:c r="AC100" s="36" t="str">
        <x:v>https://api.imf.org/external/sdmx/3.0/data/dataflow/IMF.RES/WEO/9.0.0/</x:v>
      </x:c>
      <x:c r="AD100" s="36" t="str">
        <x:v>https://api.worldbank.org/v2/</x:v>
      </x:c>
    </x:row>
    <x:row r="101">
      <x:c r="A101" s="24" t="str">
        <x:v>RTK</x:v>
      </x:c>
      <x:c r="B101" s="24" t="str">
        <x:v>Comoros</x:v>
      </x:c>
      <x:c r="C101" s="24" t="str">
        <x:v>COM</x:v>
      </x:c>
      <x:c r="D101" s="24" t="str">
        <x:v>COM</x:v>
      </x:c>
      <x:c r="E101" s="24" t="n">
        <x:v>2022</x:v>
      </x:c>
      <x:c r="F101" s="37" t="n">
        <x:v>1</x:v>
      </x:c>
      <x:c r="G101" s="38" t="n">
        <x:v>913269</x:v>
      </x:c>
      <x:c r="H101" s="38" t="n">
        <x:v>834188</x:v>
      </x:c>
      <x:c r="I101" s="39" t="n">
        <x:f>H101/G101</x:f>
        <x:v>0.9134088642010185</x:v>
      </x:c>
      <x:c r="J101" s="40" t="n">
        <x:f>(I101-1)*100</x:f>
        <x:v>-8.659113579898147</x:v>
      </x:c>
      <x:c r="K101" s="36" t="str">
        <x:v>yes — reviewed</x:v>
      </x:c>
      <x:c r="L101" s="36" t="str">
        <x:v>Single-country game territory and UN country/area boundary align. The difference is an updated historical estimate/projection vintage, not a geographic-scope mismatch; accept the UN WPP value for a consistent source vintage.</x:v>
      </x:c>
      <x:c r="M101" s="41" t="n">
        <x:v>2821280000</x:v>
      </x:c>
      <x:c r="N101" s="41" t="n">
        <x:v>2821280000</x:v>
      </x:c>
      <x:c r="O101" s="41" t="n">
        <x:v>3089</x:v>
      </x:c>
      <x:c r="P101" s="41" t="n">
        <x:v>1467</x:v>
      </x:c>
      <x:c r="Q101" s="41" t="n">
        <x:v>3641</x:v>
      </x:c>
      <x:c r="R101" s="42" t="n">
        <x:f>MIN(P101,Q101)</x:f>
        <x:v>1467</x:v>
      </x:c>
      <x:c r="S101" s="42" t="n">
        <x:f>MAX(P101,Q101)</x:f>
        <x:v>3641</x:v>
      </x:c>
      <x:c r="T101" s="42" t="n">
        <x:f>MAX(R101,MIN(O101,S101))</x:f>
        <x:v>3089</x:v>
      </x:c>
      <x:c r="U101" s="19" t="str">
        <x:f>IF(O101&lt;R101,IF(R101=P101,"clamped_to_nominal","clamped_to_ppp"),IF(O101&gt;S101,IF(S101=P101,"clamped_to_nominal","clamped_to_ppp"),"kept_vanilla"))</x:f>
        <x:v>kept_vanilla</x:v>
      </x:c>
      <x:c r="V101" s="42" t="n">
        <x:f>T101*H101</x:f>
        <x:v>2576806732</x:v>
      </x:c>
      <x:c r="W101" s="42" t="n">
        <x:f>V101/F101</x:f>
        <x:v>2576806732</x:v>
      </x:c>
      <x:c r="X101" s="36" t="str">
        <x:v>COM: UN WPP 2024 Medium exact 2022</x:v>
      </x:c>
      <x:c r="Y101" s="36" t="str">
        <x:v>COM: IMF exact 2022</x:v>
      </x:c>
      <x:c r="Z101" s="36" t="str">
        <x:v>COM: IMF exact 2022</x:v>
      </x:c>
      <x:c r="AA101" s="36" t="str">
        <x:v>complete_primary</x:v>
      </x:c>
      <x:c r="AB101" s="36" t="str">
        <x:v>https://www.un.org/development/desa/pd/world-population-prospects-2024</x:v>
      </x:c>
      <x:c r="AC101" s="36" t="str">
        <x:v>https://api.imf.org/external/sdmx/3.0/data/dataflow/IMF.RES/WEO/9.0.0/</x:v>
      </x:c>
      <x:c r="AD101" s="36" t="str">
        <x:v>https://api.worldbank.org/v2/</x:v>
      </x:c>
    </x:row>
    <x:row r="102">
      <x:c r="A102" s="24" t="str">
        <x:v>RTK</x:v>
      </x:c>
      <x:c r="B102" s="24" t="str">
        <x:v>Comoros</x:v>
      </x:c>
      <x:c r="C102" s="24" t="str">
        <x:v>COM</x:v>
      </x:c>
      <x:c r="D102" s="24" t="str">
        <x:v>COM</x:v>
      </x:c>
      <x:c r="E102" s="24" t="n">
        <x:v>2026</x:v>
      </x:c>
      <x:c r="F102" s="37" t="n">
        <x:v>0.87</x:v>
      </x:c>
      <x:c r="G102" s="38" t="n">
        <x:v>899010</x:v>
      </x:c>
      <x:c r="H102" s="38" t="n">
        <x:v>899010</x:v>
      </x:c>
      <x:c r="I102" s="39" t="n">
        <x:f>H102/G102</x:f>
        <x:v>1</x:v>
      </x:c>
      <x:c r="J102" s="40" t="n">
        <x:f>(I102-1)*100</x:f>
        <x:v>0</x:v>
      </x:c>
      <x:c r="K102" s="36" t="str">
        <x:v>no</x:v>
      </x:c>
      <x:c r="L102" s="36" t="str">
        <x:v>Single-country territory; UN WPP and vanilla are within the ±5% review threshold.</x:v>
      </x:c>
      <x:c r="M102" s="41" t="n">
        <x:v>3216400000</x:v>
      </x:c>
      <x:c r="N102" s="41" t="n">
        <x:v>2798268000</x:v>
      </x:c>
      <x:c r="O102" s="41" t="n">
        <x:v>3113</x:v>
      </x:c>
      <x:c r="P102" s="41" t="n">
        <x:v>1755</x:v>
      </x:c>
      <x:c r="Q102" s="41" t="n">
        <x:v>3799</x:v>
      </x:c>
      <x:c r="R102" s="42" t="n">
        <x:f>MIN(P102,Q102)</x:f>
        <x:v>1755</x:v>
      </x:c>
      <x:c r="S102" s="42" t="n">
        <x:f>MAX(P102,Q102)</x:f>
        <x:v>3799</x:v>
      </x:c>
      <x:c r="T102" s="42" t="n">
        <x:f>MAX(R102,MIN(O102,S102))</x:f>
        <x:v>3113</x:v>
      </x:c>
      <x:c r="U102" s="19" t="str">
        <x:f>IF(O102&lt;R102,IF(R102=P102,"clamped_to_nominal","clamped_to_ppp"),IF(O102&gt;S102,IF(S102=P102,"clamped_to_nominal","clamped_to_ppp"),"kept_vanilla"))</x:f>
        <x:v>kept_vanilla</x:v>
      </x:c>
      <x:c r="V102" s="42" t="n">
        <x:f>T102*H102</x:f>
        <x:v>2798618130</x:v>
      </x:c>
      <x:c r="W102" s="42" t="n">
        <x:f>V102/F102</x:f>
        <x:v>3216802448.275862</x:v>
      </x:c>
      <x:c r="X102" s="36" t="str">
        <x:v>COM: UN WPP 2024 Medium exact 2026</x:v>
      </x:c>
      <x:c r="Y102" s="36" t="str">
        <x:v>COM: IMF exact 2026</x:v>
      </x:c>
      <x:c r="Z102" s="36" t="str">
        <x:v>COM: IMF exact 2026</x:v>
      </x:c>
      <x:c r="AA102" s="36" t="str">
        <x:v>complete_primary</x:v>
      </x:c>
      <x:c r="AB102" s="36" t="str">
        <x:v>https://www.un.org/development/desa/pd/world-population-prospects-2024</x:v>
      </x:c>
      <x:c r="AC102" s="36" t="str">
        <x:v>https://api.imf.org/external/sdmx/3.0/data/dataflow/IMF.RES/WEO/9.0.0/</x:v>
      </x:c>
      <x:c r="AD102" s="36" t="str">
        <x:v>https://api.worldbank.org/v2/</x:v>
      </x:c>
    </x:row>
    <x:row r="103">
      <x:c r="A103" s="24" t="str">
        <x:v>COD</x:v>
      </x:c>
      <x:c r="B103" s="24" t="str">
        <x:v>Congo</x:v>
      </x:c>
      <x:c r="C103" s="24" t="str">
        <x:v>COD</x:v>
      </x:c>
      <x:c r="D103" s="24" t="str">
        <x:v>COD</x:v>
      </x:c>
      <x:c r="E103" s="24" t="n">
        <x:v>2003</x:v>
      </x:c>
      <x:c r="F103" s="37" t="n">
        <x:v>1.59</x:v>
      </x:c>
      <x:c r="G103" s="38" t="n">
        <x:v>55343867</x:v>
      </x:c>
      <x:c r="H103" s="38" t="n">
        <x:v>55343867</x:v>
      </x:c>
      <x:c r="I103" s="39" t="n">
        <x:f>H103/G103</x:f>
        <x:v>1</x:v>
      </x:c>
      <x:c r="J103" s="40" t="n">
        <x:f>(I103-1)*100</x:f>
        <x:v>0</x:v>
      </x:c>
      <x:c r="K103" s="36" t="str">
        <x:v>no</x:v>
      </x:c>
      <x:c r="L103" s="36" t="str">
        <x:v>Single-country territory; UN WPP and vanilla are within the ±5% review threshold.</x:v>
      </x:c>
      <x:c r="M103" s="41" t="n">
        <x:v>17094736842</x:v>
      </x:c>
      <x:c r="N103" s="41" t="n">
        <x:v>27180631579</x:v>
      </x:c>
      <x:c r="O103" s="41" t="n">
        <x:v>491</x:v>
      </x:c>
      <x:c r="P103" s="41" t="n">
        <x:v>259</x:v>
      </x:c>
      <x:c r="Q103" s="41" t="n">
        <x:v>794</x:v>
      </x:c>
      <x:c r="R103" s="42" t="n">
        <x:f>MIN(P103,Q103)</x:f>
        <x:v>259</x:v>
      </x:c>
      <x:c r="S103" s="42" t="n">
        <x:f>MAX(P103,Q103)</x:f>
        <x:v>794</x:v>
      </x:c>
      <x:c r="T103" s="42" t="n">
        <x:f>MAX(R103,MIN(O103,S103))</x:f>
        <x:v>491</x:v>
      </x:c>
      <x:c r="U103" s="19" t="str">
        <x:f>IF(O103&lt;R103,IF(R103=P103,"clamped_to_nominal","clamped_to_ppp"),IF(O103&gt;S103,IF(S103=P103,"clamped_to_nominal","clamped_to_ppp"),"kept_vanilla"))</x:f>
        <x:v>kept_vanilla</x:v>
      </x:c>
      <x:c r="V103" s="42" t="n">
        <x:f>T103*H103</x:f>
        <x:v>27173838697</x:v>
      </x:c>
      <x:c r="W103" s="42" t="n">
        <x:f>V103/F103</x:f>
        <x:v>17090464589.308176</x:v>
      </x:c>
      <x:c r="X103" s="36" t="str">
        <x:v>COD: UN WPP 2024 Medium exact 2003</x:v>
      </x:c>
      <x:c r="Y103" s="36" t="str">
        <x:v>COD: IMF exact 2003</x:v>
      </x:c>
      <x:c r="Z103" s="36" t="str">
        <x:v>COD: IMF exact 2003</x:v>
      </x:c>
      <x:c r="AA103" s="36" t="str">
        <x:v>complete_primary</x:v>
      </x:c>
      <x:c r="AB103" s="36" t="str">
        <x:v>https://www.un.org/development/desa/pd/world-population-prospects-2024</x:v>
      </x:c>
      <x:c r="AC103" s="36" t="str">
        <x:v>https://api.imf.org/external/sdmx/3.0/data/dataflow/IMF.RES/WEO/9.0.0/</x:v>
      </x:c>
      <x:c r="AD103" s="36" t="str">
        <x:v>https://api.worldbank.org/v2/</x:v>
      </x:c>
    </x:row>
    <x:row r="104">
      <x:c r="A104" s="24" t="str">
        <x:v>COD</x:v>
      </x:c>
      <x:c r="B104" s="24" t="str">
        <x:v>Congo</x:v>
      </x:c>
      <x:c r="C104" s="24" t="str">
        <x:v>COD</x:v>
      </x:c>
      <x:c r="D104" s="24" t="str">
        <x:v>COD</x:v>
      </x:c>
      <x:c r="E104" s="24" t="n">
        <x:v>2022</x:v>
      </x:c>
      <x:c r="F104" s="37" t="n">
        <x:v>1</x:v>
      </x:c>
      <x:c r="G104" s="38" t="n">
        <x:v>96149852</x:v>
      </x:c>
      <x:c r="H104" s="38" t="n">
        <x:v>102396968</x:v>
      </x:c>
      <x:c r="I104" s="39" t="n">
        <x:f>H104/G104</x:f>
        <x:v>1.0649727053142006</x:v>
      </x:c>
      <x:c r="J104" s="40" t="n">
        <x:f>(I104-1)*100</x:f>
        <x:v>6.497270531420063</x:v>
      </x:c>
      <x:c r="K104" s="36" t="str">
        <x:v>yes — reviewed</x:v>
      </x:c>
      <x:c r="L104" s="36" t="str">
        <x:v>Single-country game territory and UN country/area boundary align. The difference is an updated historical estimate/projection vintage, not a geographic-scope mismatch; accept the UN WPP value for a consistent source vintage.</x:v>
      </x:c>
      <x:c r="M104" s="41" t="n">
        <x:v>112097920000</x:v>
      </x:c>
      <x:c r="N104" s="41" t="n">
        <x:v>112097920000</x:v>
      </x:c>
      <x:c r="O104" s="41" t="n">
        <x:v>1166</x:v>
      </x:c>
      <x:c r="P104" s="41" t="n">
        <x:v>688</x:v>
      </x:c>
      <x:c r="Q104" s="41" t="n">
        <x:v>1590</x:v>
      </x:c>
      <x:c r="R104" s="42" t="n">
        <x:f>MIN(P104,Q104)</x:f>
        <x:v>688</x:v>
      </x:c>
      <x:c r="S104" s="42" t="n">
        <x:f>MAX(P104,Q104)</x:f>
        <x:v>1590</x:v>
      </x:c>
      <x:c r="T104" s="42" t="n">
        <x:f>MAX(R104,MIN(O104,S104))</x:f>
        <x:v>1166</x:v>
      </x:c>
      <x:c r="U104" s="19" t="str">
        <x:f>IF(O104&lt;R104,IF(R104=P104,"clamped_to_nominal","clamped_to_ppp"),IF(O104&gt;S104,IF(S104=P104,"clamped_to_nominal","clamped_to_ppp"),"kept_vanilla"))</x:f>
        <x:v>kept_vanilla</x:v>
      </x:c>
      <x:c r="V104" s="42" t="n">
        <x:f>T104*H104</x:f>
        <x:v>119394864688</x:v>
      </x:c>
      <x:c r="W104" s="42" t="n">
        <x:f>V104/F104</x:f>
        <x:v>119394864688</x:v>
      </x:c>
      <x:c r="X104" s="36" t="str">
        <x:v>COD: UN WPP 2024 Medium exact 2022</x:v>
      </x:c>
      <x:c r="Y104" s="36" t="str">
        <x:v>COD: IMF exact 2022</x:v>
      </x:c>
      <x:c r="Z104" s="36" t="str">
        <x:v>COD: IMF exact 2022</x:v>
      </x:c>
      <x:c r="AA104" s="36" t="str">
        <x:v>complete_primary</x:v>
      </x:c>
      <x:c r="AB104" s="36" t="str">
        <x:v>https://www.un.org/development/desa/pd/world-population-prospects-2024</x:v>
      </x:c>
      <x:c r="AC104" s="36" t="str">
        <x:v>https://api.imf.org/external/sdmx/3.0/data/dataflow/IMF.RES/WEO/9.0.0/</x:v>
      </x:c>
      <x:c r="AD104" s="36" t="str">
        <x:v>https://api.worldbank.org/v2/</x:v>
      </x:c>
    </x:row>
    <x:row r="105">
      <x:c r="A105" s="24" t="str">
        <x:v>COD</x:v>
      </x:c>
      <x:c r="B105" s="24" t="str">
        <x:v>Congo</x:v>
      </x:c>
      <x:c r="C105" s="24" t="str">
        <x:v>COD</x:v>
      </x:c>
      <x:c r="D105" s="24" t="str">
        <x:v>COD</x:v>
      </x:c>
      <x:c r="E105" s="24" t="n">
        <x:v>2026</x:v>
      </x:c>
      <x:c r="F105" s="37" t="n">
        <x:v>0.87</x:v>
      </x:c>
      <x:c r="G105" s="38" t="n">
        <x:v>116452162</x:v>
      </x:c>
      <x:c r="H105" s="38" t="n">
        <x:v>116452162</x:v>
      </x:c>
      <x:c r="I105" s="39" t="n">
        <x:f>H105/G105</x:f>
        <x:v>1</x:v>
      </x:c>
      <x:c r="J105" s="40" t="n">
        <x:f>(I105-1)*100</x:f>
        <x:v>0</x:v>
      </x:c>
      <x:c r="K105" s="36" t="str">
        <x:v>no</x:v>
      </x:c>
      <x:c r="L105" s="36" t="str">
        <x:v>Single-country territory; UN WPP and vanilla are within the ±5% review threshold.</x:v>
      </x:c>
      <x:c r="M105" s="41" t="n">
        <x:v>176668800000</x:v>
      </x:c>
      <x:c r="N105" s="41" t="n">
        <x:v>153701856000</x:v>
      </x:c>
      <x:c r="O105" s="41" t="n">
        <x:v>1320</x:v>
      </x:c>
      <x:c r="P105" s="41" t="n">
        <x:v>922</x:v>
      </x:c>
      <x:c r="Q105" s="41" t="n">
        <x:v>1763</x:v>
      </x:c>
      <x:c r="R105" s="42" t="n">
        <x:f>MIN(P105,Q105)</x:f>
        <x:v>922</x:v>
      </x:c>
      <x:c r="S105" s="42" t="n">
        <x:f>MAX(P105,Q105)</x:f>
        <x:v>1763</x:v>
      </x:c>
      <x:c r="T105" s="42" t="n">
        <x:f>MAX(R105,MIN(O105,S105))</x:f>
        <x:v>1320</x:v>
      </x:c>
      <x:c r="U105" s="19" t="str">
        <x:f>IF(O105&lt;R105,IF(R105=P105,"clamped_to_nominal","clamped_to_ppp"),IF(O105&gt;S105,IF(S105=P105,"clamped_to_nominal","clamped_to_ppp"),"kept_vanilla"))</x:f>
        <x:v>kept_vanilla</x:v>
      </x:c>
      <x:c r="V105" s="42" t="n">
        <x:f>T105*H105</x:f>
        <x:v>153716853840</x:v>
      </x:c>
      <x:c r="W105" s="42" t="n">
        <x:f>V105/F105</x:f>
        <x:v>176686038896.55173</x:v>
      </x:c>
      <x:c r="X105" s="36" t="str">
        <x:v>COD: UN WPP 2024 Medium exact 2026</x:v>
      </x:c>
      <x:c r="Y105" s="36" t="str">
        <x:v>COD: IMF exact 2026</x:v>
      </x:c>
      <x:c r="Z105" s="36" t="str">
        <x:v>COD: IMF exact 2026</x:v>
      </x:c>
      <x:c r="AA105" s="36" t="str">
        <x:v>complete_primary</x:v>
      </x:c>
      <x:c r="AB105" s="36" t="str">
        <x:v>https://www.un.org/development/desa/pd/world-population-prospects-2024</x:v>
      </x:c>
      <x:c r="AC105" s="36" t="str">
        <x:v>https://api.imf.org/external/sdmx/3.0/data/dataflow/IMF.RES/WEO/9.0.0/</x:v>
      </x:c>
      <x:c r="AD105" s="36" t="str">
        <x:v>https://api.worldbank.org/v2/</x:v>
      </x:c>
    </x:row>
    <x:row r="106">
      <x:c r="A106" s="24" t="str">
        <x:v>COS</x:v>
      </x:c>
      <x:c r="B106" s="24" t="str">
        <x:v>Costa Rica</x:v>
      </x:c>
      <x:c r="C106" s="24" t="str">
        <x:v>CRI</x:v>
      </x:c>
      <x:c r="D106" s="24" t="str">
        <x:v>CRI</x:v>
      </x:c>
      <x:c r="E106" s="24" t="n">
        <x:v>2003</x:v>
      </x:c>
      <x:c r="F106" s="37" t="n">
        <x:v>1.59</x:v>
      </x:c>
      <x:c r="G106" s="38" t="n">
        <x:v>4138784</x:v>
      </x:c>
      <x:c r="H106" s="38" t="n">
        <x:v>4138784</x:v>
      </x:c>
      <x:c r="I106" s="39" t="n">
        <x:f>H106/G106</x:f>
        <x:v>1</x:v>
      </x:c>
      <x:c r="J106" s="40" t="n">
        <x:f>(I106-1)*100</x:f>
        <x:v>0</x:v>
      </x:c>
      <x:c r="K106" s="36" t="str">
        <x:v>no</x:v>
      </x:c>
      <x:c r="L106" s="36" t="str">
        <x:v>Single-country territory; UN WPP and vanilla are within the ±5% review threshold.</x:v>
      </x:c>
      <x:c r="M106" s="41" t="n">
        <x:v>25149707602</x:v>
      </x:c>
      <x:c r="N106" s="41" t="n">
        <x:v>39988035087</x:v>
      </x:c>
      <x:c r="O106" s="41" t="n">
        <x:v>9662</x:v>
      </x:c>
      <x:c r="P106" s="41" t="n">
        <x:v>6637</x:v>
      </x:c>
      <x:c r="Q106" s="41" t="n">
        <x:v>16522</x:v>
      </x:c>
      <x:c r="R106" s="42" t="n">
        <x:f>MIN(P106,Q106)</x:f>
        <x:v>6637</x:v>
      </x:c>
      <x:c r="S106" s="42" t="n">
        <x:f>MAX(P106,Q106)</x:f>
        <x:v>16522</x:v>
      </x:c>
      <x:c r="T106" s="42" t="n">
        <x:f>MAX(R106,MIN(O106,S106))</x:f>
        <x:v>9662</x:v>
      </x:c>
      <x:c r="U106" s="19" t="str">
        <x:f>IF(O106&lt;R106,IF(R106=P106,"clamped_to_nominal","clamped_to_ppp"),IF(O106&gt;S106,IF(S106=P106,"clamped_to_nominal","clamped_to_ppp"),"kept_vanilla"))</x:f>
        <x:v>kept_vanilla</x:v>
      </x:c>
      <x:c r="V106" s="42" t="n">
        <x:f>T106*H106</x:f>
        <x:v>39988931008</x:v>
      </x:c>
      <x:c r="W106" s="42" t="n">
        <x:f>V106/F106</x:f>
        <x:v>25150271074.213837</x:v>
      </x:c>
      <x:c r="X106" s="36" t="str">
        <x:v>CRI: UN WPP 2024 Medium exact 2003</x:v>
      </x:c>
      <x:c r="Y106" s="36" t="str">
        <x:v>CRI: IMF exact 2003</x:v>
      </x:c>
      <x:c r="Z106" s="36" t="str">
        <x:v>CRI: IMF exact 2003</x:v>
      </x:c>
      <x:c r="AA106" s="36" t="str">
        <x:v>complete_primary</x:v>
      </x:c>
      <x:c r="AB106" s="36" t="str">
        <x:v>https://www.un.org/development/desa/pd/world-population-prospects-2024</x:v>
      </x:c>
      <x:c r="AC106" s="36" t="str">
        <x:v>https://api.imf.org/external/sdmx/3.0/data/dataflow/IMF.RES/WEO/9.0.0/</x:v>
      </x:c>
      <x:c r="AD106" s="36" t="str">
        <x:v>https://api.worldbank.org/v2/</x:v>
      </x:c>
    </x:row>
    <x:row r="107">
      <x:c r="A107" s="24" t="str">
        <x:v>COS</x:v>
      </x:c>
      <x:c r="B107" s="24" t="str">
        <x:v>Costa Rica</x:v>
      </x:c>
      <x:c r="C107" s="24" t="str">
        <x:v>CRI</x:v>
      </x:c>
      <x:c r="D107" s="24" t="str">
        <x:v>CRI</x:v>
      </x:c>
      <x:c r="E107" s="24" t="n">
        <x:v>2022</x:v>
      </x:c>
      <x:c r="F107" s="37" t="n">
        <x:v>1</x:v>
      </x:c>
      <x:c r="G107" s="38" t="n">
        <x:v>5195682</x:v>
      </x:c>
      <x:c r="H107" s="38" t="n">
        <x:v>5081765</x:v>
      </x:c>
      <x:c r="I107" s="39" t="n">
        <x:f>H107/G107</x:f>
        <x:v>0.9780746781654458</x:v>
      </x:c>
      <x:c r="J107" s="40" t="n">
        <x:f>(I107-1)*100</x:f>
        <x:v>-2.19253218345542</x:v>
      </x:c>
      <x:c r="K107" s="36" t="str">
        <x:v>no</x:v>
      </x:c>
      <x:c r="L107" s="36" t="str">
        <x:v>Single-country territory; UN WPP and vanilla are within the ±5% review threshold.</x:v>
      </x:c>
      <x:c r="M107" s="41" t="n">
        <x:v>112757920000</x:v>
      </x:c>
      <x:c r="N107" s="41" t="n">
        <x:v>112757920000</x:v>
      </x:c>
      <x:c r="O107" s="41" t="n">
        <x:v>21702</x:v>
      </x:c>
      <x:c r="P107" s="41" t="n">
        <x:v>13970</x:v>
      </x:c>
      <x:c r="Q107" s="41" t="n">
        <x:v>27415</x:v>
      </x:c>
      <x:c r="R107" s="42" t="n">
        <x:f>MIN(P107,Q107)</x:f>
        <x:v>13970</x:v>
      </x:c>
      <x:c r="S107" s="42" t="n">
        <x:f>MAX(P107,Q107)</x:f>
        <x:v>27415</x:v>
      </x:c>
      <x:c r="T107" s="42" t="n">
        <x:f>MAX(R107,MIN(O107,S107))</x:f>
        <x:v>21702</x:v>
      </x:c>
      <x:c r="U107" s="19" t="str">
        <x:f>IF(O107&lt;R107,IF(R107=P107,"clamped_to_nominal","clamped_to_ppp"),IF(O107&gt;S107,IF(S107=P107,"clamped_to_nominal","clamped_to_ppp"),"kept_vanilla"))</x:f>
        <x:v>kept_vanilla</x:v>
      </x:c>
      <x:c r="V107" s="42" t="n">
        <x:f>T107*H107</x:f>
        <x:v>110284464030</x:v>
      </x:c>
      <x:c r="W107" s="42" t="n">
        <x:f>V107/F107</x:f>
        <x:v>110284464030</x:v>
      </x:c>
      <x:c r="X107" s="36" t="str">
        <x:v>CRI: UN WPP 2024 Medium exact 2022</x:v>
      </x:c>
      <x:c r="Y107" s="36" t="str">
        <x:v>CRI: IMF exact 2022</x:v>
      </x:c>
      <x:c r="Z107" s="36" t="str">
        <x:v>CRI: IMF exact 2022</x:v>
      </x:c>
      <x:c r="AA107" s="36" t="str">
        <x:v>complete_primary</x:v>
      </x:c>
      <x:c r="AB107" s="36" t="str">
        <x:v>https://www.un.org/development/desa/pd/world-population-prospects-2024</x:v>
      </x:c>
      <x:c r="AC107" s="36" t="str">
        <x:v>https://api.imf.org/external/sdmx/3.0/data/dataflow/IMF.RES/WEO/9.0.0/</x:v>
      </x:c>
      <x:c r="AD107" s="36" t="str">
        <x:v>https://api.worldbank.org/v2/</x:v>
      </x:c>
    </x:row>
    <x:row r="108">
      <x:c r="A108" s="24" t="str">
        <x:v>COS</x:v>
      </x:c>
      <x:c r="B108" s="24" t="str">
        <x:v>Costa Rica</x:v>
      </x:c>
      <x:c r="C108" s="24" t="str">
        <x:v>CRI</x:v>
      </x:c>
      <x:c r="D108" s="24" t="str">
        <x:v>CRI</x:v>
      </x:c>
      <x:c r="E108" s="24" t="n">
        <x:v>2026</x:v>
      </x:c>
      <x:c r="F108" s="37" t="n">
        <x:v>0.87</x:v>
      </x:c>
      <x:c r="G108" s="38" t="n">
        <x:v>5174789</x:v>
      </x:c>
      <x:c r="H108" s="38" t="n">
        <x:v>5174789</x:v>
      </x:c>
      <x:c r="I108" s="39" t="n">
        <x:f>H108/G108</x:f>
        <x:v>1</x:v>
      </x:c>
      <x:c r="J108" s="40" t="n">
        <x:f>(I108-1)*100</x:f>
        <x:v>0</x:v>
      </x:c>
      <x:c r="K108" s="36" t="str">
        <x:v>no</x:v>
      </x:c>
      <x:c r="L108" s="36" t="str">
        <x:v>Single-country territory; UN WPP and vanilla are within the ±5% review threshold.</x:v>
      </x:c>
      <x:c r="M108" s="41" t="n">
        <x:v>148749920000</x:v>
      </x:c>
      <x:c r="N108" s="41" t="n">
        <x:v>129412430400</x:v>
      </x:c>
      <x:c r="O108" s="41" t="n">
        <x:v>25008</x:v>
      </x:c>
      <x:c r="P108" s="41" t="n">
        <x:v>18482</x:v>
      </x:c>
      <x:c r="Q108" s="41" t="n">
        <x:v>31099</x:v>
      </x:c>
      <x:c r="R108" s="42" t="n">
        <x:f>MIN(P108,Q108)</x:f>
        <x:v>18482</x:v>
      </x:c>
      <x:c r="S108" s="42" t="n">
        <x:f>MAX(P108,Q108)</x:f>
        <x:v>31099</x:v>
      </x:c>
      <x:c r="T108" s="42" t="n">
        <x:f>MAX(R108,MIN(O108,S108))</x:f>
        <x:v>25008</x:v>
      </x:c>
      <x:c r="U108" s="19" t="str">
        <x:f>IF(O108&lt;R108,IF(R108=P108,"clamped_to_nominal","clamped_to_ppp"),IF(O108&gt;S108,IF(S108=P108,"clamped_to_nominal","clamped_to_ppp"),"kept_vanilla"))</x:f>
        <x:v>kept_vanilla</x:v>
      </x:c>
      <x:c r="V108" s="42" t="n">
        <x:f>T108*H108</x:f>
        <x:v>129411123312</x:v>
      </x:c>
      <x:c r="W108" s="42" t="n">
        <x:f>V108/F108</x:f>
        <x:v>148748417600</x:v>
      </x:c>
      <x:c r="X108" s="36" t="str">
        <x:v>CRI: UN WPP 2024 Medium exact 2026</x:v>
      </x:c>
      <x:c r="Y108" s="36" t="str">
        <x:v>CRI: IMF exact 2026</x:v>
      </x:c>
      <x:c r="Z108" s="36" t="str">
        <x:v>CRI: IMF exact 2026</x:v>
      </x:c>
      <x:c r="AA108" s="36" t="str">
        <x:v>complete_primary</x:v>
      </x:c>
      <x:c r="AB108" s="36" t="str">
        <x:v>https://www.un.org/development/desa/pd/world-population-prospects-2024</x:v>
      </x:c>
      <x:c r="AC108" s="36" t="str">
        <x:v>https://api.imf.org/external/sdmx/3.0/data/dataflow/IMF.RES/WEO/9.0.0/</x:v>
      </x:c>
      <x:c r="AD108" s="36" t="str">
        <x:v>https://api.worldbank.org/v2/</x:v>
      </x:c>
    </x:row>
    <x:row r="109">
      <x:c r="A109" s="24" t="str">
        <x:v>CRS</x:v>
      </x:c>
      <x:c r="B109" s="24" t="str">
        <x:v>Croatia</x:v>
      </x:c>
      <x:c r="C109" s="24" t="str">
        <x:v>HRV</x:v>
      </x:c>
      <x:c r="D109" s="24" t="str">
        <x:v>HRV</x:v>
      </x:c>
      <x:c r="E109" s="24" t="n">
        <x:v>2003</x:v>
      </x:c>
      <x:c r="F109" s="37" t="n">
        <x:v>1.59</x:v>
      </x:c>
      <x:c r="G109" s="38" t="n">
        <x:v>4306686</x:v>
      </x:c>
      <x:c r="H109" s="38" t="n">
        <x:v>4306686</x:v>
      </x:c>
      <x:c r="I109" s="39" t="n">
        <x:f>H109/G109</x:f>
        <x:v>1</x:v>
      </x:c>
      <x:c r="J109" s="40" t="n">
        <x:f>(I109-1)*100</x:f>
        <x:v>0</x:v>
      </x:c>
      <x:c r="K109" s="36" t="str">
        <x:v>no</x:v>
      </x:c>
      <x:c r="L109" s="36" t="str">
        <x:v>Single-country territory; UN WPP and vanilla are within the ±5% review threshold.</x:v>
      </x:c>
      <x:c r="M109" s="41" t="n">
        <x:v>42554970760</x:v>
      </x:c>
      <x:c r="N109" s="41" t="n">
        <x:v>67662403508</x:v>
      </x:c>
      <x:c r="O109" s="41" t="n">
        <x:v>15711</x:v>
      </x:c>
      <x:c r="P109" s="41" t="n">
        <x:v>13011</x:v>
      </x:c>
      <x:c r="Q109" s="41" t="n">
        <x:v>26869</x:v>
      </x:c>
      <x:c r="R109" s="42" t="n">
        <x:f>MIN(P109,Q109)</x:f>
        <x:v>13011</x:v>
      </x:c>
      <x:c r="S109" s="42" t="n">
        <x:f>MAX(P109,Q109)</x:f>
        <x:v>26869</x:v>
      </x:c>
      <x:c r="T109" s="42" t="n">
        <x:f>MAX(R109,MIN(O109,S109))</x:f>
        <x:v>15711</x:v>
      </x:c>
      <x:c r="U109" s="19" t="str">
        <x:f>IF(O109&lt;R109,IF(R109=P109,"clamped_to_nominal","clamped_to_ppp"),IF(O109&gt;S109,IF(S109=P109,"clamped_to_nominal","clamped_to_ppp"),"kept_vanilla"))</x:f>
        <x:v>kept_vanilla</x:v>
      </x:c>
      <x:c r="V109" s="42" t="n">
        <x:f>T109*H109</x:f>
        <x:v>67662343746</x:v>
      </x:c>
      <x:c r="W109" s="42" t="n">
        <x:f>V109/F109</x:f>
        <x:v>42554933173.5849</x:v>
      </x:c>
      <x:c r="X109" s="36" t="str">
        <x:v>HRV: UN WPP 2024 Medium exact 2003</x:v>
      </x:c>
      <x:c r="Y109" s="36" t="str">
        <x:v>HRV: IMF exact 2003</x:v>
      </x:c>
      <x:c r="Z109" s="36" t="str">
        <x:v>HRV: IMF exact 2003</x:v>
      </x:c>
      <x:c r="AA109" s="36" t="str">
        <x:v>complete_primary</x:v>
      </x:c>
      <x:c r="AB109" s="36" t="str">
        <x:v>https://www.un.org/development/desa/pd/world-population-prospects-2024</x:v>
      </x:c>
      <x:c r="AC109" s="36" t="str">
        <x:v>https://api.imf.org/external/sdmx/3.0/data/dataflow/IMF.RES/WEO/9.0.0/</x:v>
      </x:c>
      <x:c r="AD109" s="36" t="str">
        <x:v>https://api.worldbank.org/v2/</x:v>
      </x:c>
    </x:row>
    <x:row r="110">
      <x:c r="A110" s="24" t="str">
        <x:v>CRS</x:v>
      </x:c>
      <x:c r="B110" s="24" t="str">
        <x:v>Croatia</x:v>
      </x:c>
      <x:c r="C110" s="24" t="str">
        <x:v>HRV</x:v>
      </x:c>
      <x:c r="D110" s="24" t="str">
        <x:v>HRV</x:v>
      </x:c>
      <x:c r="E110" s="24" t="n">
        <x:v>2022</x:v>
      </x:c>
      <x:c r="F110" s="37" t="n">
        <x:v>1</x:v>
      </x:c>
      <x:c r="G110" s="38" t="n">
        <x:v>4052597</x:v>
      </x:c>
      <x:c r="H110" s="38" t="n">
        <x:v>3907027</x:v>
      </x:c>
      <x:c r="I110" s="39" t="n">
        <x:f>H110/G110</x:f>
        <x:v>0.9640798233823891</x:v>
      </x:c>
      <x:c r="J110" s="40" t="n">
        <x:f>(I110-1)*100</x:f>
        <x:v>-3.5920176617610933</x:v>
      </x:c>
      <x:c r="K110" s="36" t="str">
        <x:v>no</x:v>
      </x:c>
      <x:c r="L110" s="36" t="str">
        <x:v>Single-country territory; UN WPP and vanilla are within the ±5% review threshold.</x:v>
      </x:c>
      <x:c r="M110" s="41" t="n">
        <x:v>127628160000</x:v>
      </x:c>
      <x:c r="N110" s="41" t="n">
        <x:v>127628160000</x:v>
      </x:c>
      <x:c r="O110" s="41" t="n">
        <x:v>31493</x:v>
      </x:c>
      <x:c r="P110" s="41" t="n">
        <x:v>18238</x:v>
      </x:c>
      <x:c r="Q110" s="41" t="n">
        <x:v>42120</x:v>
      </x:c>
      <x:c r="R110" s="42" t="n">
        <x:f>MIN(P110,Q110)</x:f>
        <x:v>18238</x:v>
      </x:c>
      <x:c r="S110" s="42" t="n">
        <x:f>MAX(P110,Q110)</x:f>
        <x:v>42120</x:v>
      </x:c>
      <x:c r="T110" s="42" t="n">
        <x:f>MAX(R110,MIN(O110,S110))</x:f>
        <x:v>31493</x:v>
      </x:c>
      <x:c r="U110" s="19" t="str">
        <x:f>IF(O110&lt;R110,IF(R110=P110,"clamped_to_nominal","clamped_to_ppp"),IF(O110&gt;S110,IF(S110=P110,"clamped_to_nominal","clamped_to_ppp"),"kept_vanilla"))</x:f>
        <x:v>kept_vanilla</x:v>
      </x:c>
      <x:c r="V110" s="42" t="n">
        <x:f>T110*H110</x:f>
        <x:v>123044001311</x:v>
      </x:c>
      <x:c r="W110" s="42" t="n">
        <x:f>V110/F110</x:f>
        <x:v>123044001311</x:v>
      </x:c>
      <x:c r="X110" s="36" t="str">
        <x:v>HRV: UN WPP 2024 Medium exact 2022</x:v>
      </x:c>
      <x:c r="Y110" s="36" t="str">
        <x:v>HRV: IMF exact 2022</x:v>
      </x:c>
      <x:c r="Z110" s="36" t="str">
        <x:v>HRV: IMF exact 2022</x:v>
      </x:c>
      <x:c r="AA110" s="36" t="str">
        <x:v>complete_primary</x:v>
      </x:c>
      <x:c r="AB110" s="36" t="str">
        <x:v>https://www.un.org/development/desa/pd/world-population-prospects-2024</x:v>
      </x:c>
      <x:c r="AC110" s="36" t="str">
        <x:v>https://api.imf.org/external/sdmx/3.0/data/dataflow/IMF.RES/WEO/9.0.0/</x:v>
      </x:c>
      <x:c r="AD110" s="36" t="str">
        <x:v>https://api.worldbank.org/v2/</x:v>
      </x:c>
    </x:row>
    <x:row r="111">
      <x:c r="A111" s="24" t="str">
        <x:v>CRS</x:v>
      </x:c>
      <x:c r="B111" s="24" t="str">
        <x:v>Croatia</x:v>
      </x:c>
      <x:c r="C111" s="24" t="str">
        <x:v>HRV</x:v>
      </x:c>
      <x:c r="D111" s="24" t="str">
        <x:v>HRV</x:v>
      </x:c>
      <x:c r="E111" s="24" t="n">
        <x:v>2026</x:v>
      </x:c>
      <x:c r="F111" s="37" t="n">
        <x:v>0.87</x:v>
      </x:c>
      <x:c r="G111" s="38" t="n">
        <x:v>3822345</x:v>
      </x:c>
      <x:c r="H111" s="38" t="n">
        <x:v>3822345</x:v>
      </x:c>
      <x:c r="I111" s="39" t="n">
        <x:f>H111/G111</x:f>
        <x:v>1</x:v>
      </x:c>
      <x:c r="J111" s="40" t="n">
        <x:f>(I111-1)*100</x:f>
        <x:v>0</x:v>
      </x:c>
      <x:c r="K111" s="36" t="str">
        <x:v>no</x:v>
      </x:c>
      <x:c r="L111" s="36" t="str">
        <x:v>Single-country territory; UN WPP and vanilla are within the ±5% review threshold.</x:v>
      </x:c>
      <x:c r="M111" s="41" t="n">
        <x:v>174475840000</x:v>
      </x:c>
      <x:c r="N111" s="41" t="n">
        <x:v>151793980800</x:v>
      </x:c>
      <x:c r="O111" s="41" t="n">
        <x:v>39712</x:v>
      </x:c>
      <x:c r="P111" s="41" t="n">
        <x:v>26533</x:v>
      </x:c>
      <x:c r="Q111" s="41" t="n">
        <x:v>48029</x:v>
      </x:c>
      <x:c r="R111" s="42" t="n">
        <x:f>MIN(P111,Q111)</x:f>
        <x:v>26533</x:v>
      </x:c>
      <x:c r="S111" s="42" t="n">
        <x:f>MAX(P111,Q111)</x:f>
        <x:v>48029</x:v>
      </x:c>
      <x:c r="T111" s="42" t="n">
        <x:f>MAX(R111,MIN(O111,S111))</x:f>
        <x:v>39712</x:v>
      </x:c>
      <x:c r="U111" s="19" t="str">
        <x:f>IF(O111&lt;R111,IF(R111=P111,"clamped_to_nominal","clamped_to_ppp"),IF(O111&gt;S111,IF(S111=P111,"clamped_to_nominal","clamped_to_ppp"),"kept_vanilla"))</x:f>
        <x:v>kept_vanilla</x:v>
      </x:c>
      <x:c r="V111" s="42" t="n">
        <x:f>T111*H111</x:f>
        <x:v>151792964640</x:v>
      </x:c>
      <x:c r="W111" s="42" t="n">
        <x:f>V111/F111</x:f>
        <x:v>174474672000</x:v>
      </x:c>
      <x:c r="X111" s="36" t="str">
        <x:v>HRV: UN WPP 2024 Medium exact 2026</x:v>
      </x:c>
      <x:c r="Y111" s="36" t="str">
        <x:v>HRV: IMF exact 2026</x:v>
      </x:c>
      <x:c r="Z111" s="36" t="str">
        <x:v>HRV: IMF exact 2026</x:v>
      </x:c>
      <x:c r="AA111" s="36" t="str">
        <x:v>complete_primary</x:v>
      </x:c>
      <x:c r="AB111" s="36" t="str">
        <x:v>https://www.un.org/development/desa/pd/world-population-prospects-2024</x:v>
      </x:c>
      <x:c r="AC111" s="36" t="str">
        <x:v>https://api.imf.org/external/sdmx/3.0/data/dataflow/IMF.RES/WEO/9.0.0/</x:v>
      </x:c>
      <x:c r="AD111" s="36" t="str">
        <x:v>https://api.worldbank.org/v2/</x:v>
      </x:c>
    </x:row>
    <x:row r="112">
      <x:c r="A112" s="24" t="str">
        <x:v>CUB</x:v>
      </x:c>
      <x:c r="B112" s="24" t="str">
        <x:v>Cuba</x:v>
      </x:c>
      <x:c r="C112" s="24" t="str">
        <x:v>CUB</x:v>
      </x:c>
      <x:c r="D112" s="24" t="str">
        <x:v>CUB</x:v>
      </x:c>
      <x:c r="E112" s="24" t="n">
        <x:v>2003</x:v>
      </x:c>
      <x:c r="F112" s="37" t="n">
        <x:v>1.59</x:v>
      </x:c>
      <x:c r="G112" s="38" t="n">
        <x:v>11209383</x:v>
      </x:c>
      <x:c r="H112" s="38" t="n">
        <x:v>11209383</x:v>
      </x:c>
      <x:c r="I112" s="39" t="n">
        <x:f>H112/G112</x:f>
        <x:v>1</x:v>
      </x:c>
      <x:c r="J112" s="40" t="n">
        <x:f>(I112-1)*100</x:f>
        <x:v>0</x:v>
      </x:c>
      <x:c r="K112" s="36" t="str">
        <x:v>no</x:v>
      </x:c>
      <x:c r="L112" s="36" t="str">
        <x:v>Single-country territory; UN WPP and vanilla are within the ±5% review threshold.</x:v>
      </x:c>
      <x:c r="M112" s="41" t="n">
        <x:v>32130000000</x:v>
      </x:c>
      <x:c r="N112" s="41" t="n">
        <x:v>51086700000</x:v>
      </x:c>
      <x:c r="O112" s="41" t="n">
        <x:v>4557</x:v>
      </x:c>
      <x:c r="P112" s="41" t="n">
        <x:v>5092</x:v>
      </x:c>
      <x:c r="Q112" s="41" t="n">
        <x:v>13122</x:v>
      </x:c>
      <x:c r="R112" s="42" t="n">
        <x:f>MIN(P112,Q112)</x:f>
        <x:v>5092</x:v>
      </x:c>
      <x:c r="S112" s="42" t="n">
        <x:f>MAX(P112,Q112)</x:f>
        <x:v>13122</x:v>
      </x:c>
      <x:c r="T112" s="42" t="n">
        <x:f>MAX(R112,MIN(O112,S112))</x:f>
        <x:v>5092</x:v>
      </x:c>
      <x:c r="U112" s="19" t="str">
        <x:f>IF(O112&lt;R112,IF(R112=P112,"clamped_to_nominal","clamped_to_ppp"),IF(O112&gt;S112,IF(S112=P112,"clamped_to_nominal","clamped_to_ppp"),"kept_vanilla"))</x:f>
        <x:v>clamped_to_nominal</x:v>
      </x:c>
      <x:c r="V112" s="42" t="n">
        <x:f>T112*H112</x:f>
        <x:v>57078178236</x:v>
      </x:c>
      <x:c r="W112" s="42" t="n">
        <x:f>V112/F112</x:f>
        <x:v>35898225305.66038</x:v>
      </x:c>
      <x:c r="X112" s="36" t="str">
        <x:v>CUB: UN WPP 2024 Medium exact 2003</x:v>
      </x:c>
      <x:c r="Y112" s="36" t="str">
        <x:v>CUB: World Bank exact 2003</x:v>
      </x:c>
      <x:c r="Z112" s="36" t="str">
        <x:v>CUB: PPP inferred from filled nominal GDP using Latin America &amp; Caribbean ; Upper middle income median PPP/nominal ratio 2.577 (17 peers)</x:v>
      </x:c>
      <x:c r="AA112" s="36" t="str">
        <x:v>inferred+secondary_source</x:v>
      </x:c>
      <x:c r="AB112" s="36" t="str">
        <x:v>https://www.un.org/development/desa/pd/world-population-prospects-2024</x:v>
      </x:c>
      <x:c r="AC112" s="36" t="str">
        <x:v>https://api.imf.org/external/sdmx/3.0/data/dataflow/IMF.RES/WEO/9.0.0/</x:v>
      </x:c>
      <x:c r="AD112" s="36" t="str">
        <x:v>https://api.worldbank.org/v2/</x:v>
      </x:c>
    </x:row>
    <x:row r="113">
      <x:c r="A113" s="24" t="str">
        <x:v>CUB</x:v>
      </x:c>
      <x:c r="B113" s="24" t="str">
        <x:v>Cuba</x:v>
      </x:c>
      <x:c r="C113" s="24" t="str">
        <x:v>CUB</x:v>
      </x:c>
      <x:c r="D113" s="24" t="str">
        <x:v>CUB</x:v>
      </x:c>
      <x:c r="E113" s="24" t="n">
        <x:v>2022</x:v>
      </x:c>
      <x:c r="F113" s="37" t="n">
        <x:v>1</x:v>
      </x:c>
      <x:c r="G113" s="38" t="n">
        <x:v>11302134</x:v>
      </x:c>
      <x:c r="H113" s="38" t="n">
        <x:v>11059820</x:v>
      </x:c>
      <x:c r="I113" s="39" t="n">
        <x:f>H113/G113</x:f>
        <x:v>0.978560332057645</x:v>
      </x:c>
      <x:c r="J113" s="40" t="n">
        <x:f>(I113-1)*100</x:f>
        <x:v>-2.1439667942354967</x:v>
      </x:c>
      <x:c r="K113" s="36" t="str">
        <x:v>no</x:v>
      </x:c>
      <x:c r="L113" s="36" t="str">
        <x:v>Single-country territory; UN WPP and vanilla are within the ±5% review threshold.</x:v>
      </x:c>
      <x:c r="M113" s="41" t="n">
        <x:v>139016249504</x:v>
      </x:c>
      <x:c r="N113" s="41" t="n">
        <x:v>139016249504</x:v>
      </x:c>
      <x:c r="O113" s="41" t="n">
        <x:v>12300</x:v>
      </x:c>
      <x:c r="P113" s="41" t="n">
        <x:v>11964</x:v>
      </x:c>
      <x:c r="Q113" s="41" t="n">
        <x:v>25620</x:v>
      </x:c>
      <x:c r="R113" s="42" t="n">
        <x:f>MIN(P113,Q113)</x:f>
        <x:v>11964</x:v>
      </x:c>
      <x:c r="S113" s="42" t="n">
        <x:f>MAX(P113,Q113)</x:f>
        <x:v>25620</x:v>
      </x:c>
      <x:c r="T113" s="42" t="n">
        <x:f>MAX(R113,MIN(O113,S113))</x:f>
        <x:v>12300</x:v>
      </x:c>
      <x:c r="U113" s="19" t="str">
        <x:f>IF(O113&lt;R113,IF(R113=P113,"clamped_to_nominal","clamped_to_ppp"),IF(O113&gt;S113,IF(S113=P113,"clamped_to_nominal","clamped_to_ppp"),"kept_vanilla"))</x:f>
        <x:v>kept_vanilla</x:v>
      </x:c>
      <x:c r="V113" s="42" t="n">
        <x:f>T113*H113</x:f>
        <x:v>136035786000</x:v>
      </x:c>
      <x:c r="W113" s="42" t="n">
        <x:f>V113/F113</x:f>
        <x:v>136035786000</x:v>
      </x:c>
      <x:c r="X113" s="36" t="str">
        <x:v>CUB: UN WPP 2024 Medium exact 2022</x:v>
      </x:c>
      <x:c r="Y113" s="36" t="str">
        <x:v>CUB: peer-growth inference from World Bank 2020; Latin America &amp; Caribbean ; Upper middle income median 5.46%/yr (17 peers, capped at ±8%)</x:v>
      </x:c>
      <x:c r="Z113" s="36" t="str">
        <x:v>CUB: PPP inferred from filled nominal GDP using Latin America &amp; Caribbean ; Upper middle income median PPP/nominal ratio 2.141 (17 peers)</x:v>
      </x:c>
      <x:c r="AA113" s="36" t="str">
        <x:v>inferred</x:v>
      </x:c>
      <x:c r="AB113" s="36" t="str">
        <x:v>https://www.un.org/development/desa/pd/world-population-prospects-2024</x:v>
      </x:c>
      <x:c r="AC113" s="36" t="str">
        <x:v>https://api.imf.org/external/sdmx/3.0/data/dataflow/IMF.RES/WEO/9.0.0/</x:v>
      </x:c>
      <x:c r="AD113" s="36" t="str">
        <x:v>https://api.worldbank.org/v2/</x:v>
      </x:c>
    </x:row>
    <x:row r="114">
      <x:c r="A114" s="24" t="str">
        <x:v>CUB</x:v>
      </x:c>
      <x:c r="B114" s="24" t="str">
        <x:v>Cuba</x:v>
      </x:c>
      <x:c r="C114" s="24" t="str">
        <x:v>CUB</x:v>
      </x:c>
      <x:c r="D114" s="24" t="str">
        <x:v>CUB</x:v>
      </x:c>
      <x:c r="E114" s="24" t="n">
        <x:v>2026</x:v>
      </x:c>
      <x:c r="F114" s="37" t="n">
        <x:v>0.87</x:v>
      </x:c>
      <x:c r="G114" s="38" t="n">
        <x:v>10892659</x:v>
      </x:c>
      <x:c r="H114" s="38" t="n">
        <x:v>10892659</x:v>
      </x:c>
      <x:c r="I114" s="39" t="n">
        <x:f>H114/G114</x:f>
        <x:v>1</x:v>
      </x:c>
      <x:c r="J114" s="40" t="n">
        <x:f>(I114-1)*100</x:f>
        <x:v>0</x:v>
      </x:c>
      <x:c r="K114" s="36" t="str">
        <x:v>no</x:v>
      </x:c>
      <x:c r="L114" s="36" t="str">
        <x:v>Single-country territory; UN WPP and vanilla are within the ±5% review threshold.</x:v>
      </x:c>
      <x:c r="M114" s="41" t="n">
        <x:v>85331845201</x:v>
      </x:c>
      <x:c r="N114" s="41" t="n">
        <x:v>74238705325</x:v>
      </x:c>
      <x:c r="O114" s="41" t="n">
        <x:v>6815</x:v>
      </x:c>
      <x:c r="P114" s="41" t="n">
        <x:v>13617</x:v>
      </x:c>
      <x:c r="Q114" s="41" t="n">
        <x:v>31626</x:v>
      </x:c>
      <x:c r="R114" s="42" t="n">
        <x:f>MIN(P114,Q114)</x:f>
        <x:v>13617</x:v>
      </x:c>
      <x:c r="S114" s="42" t="n">
        <x:f>MAX(P114,Q114)</x:f>
        <x:v>31626</x:v>
      </x:c>
      <x:c r="T114" s="42" t="n">
        <x:f>MAX(R114,MIN(O114,S114))</x:f>
        <x:v>13617</x:v>
      </x:c>
      <x:c r="U114" s="19" t="str">
        <x:f>IF(O114&lt;R114,IF(R114=P114,"clamped_to_nominal","clamped_to_ppp"),IF(O114&gt;S114,IF(S114=P114,"clamped_to_nominal","clamped_to_ppp"),"kept_vanilla"))</x:f>
        <x:v>clamped_to_nominal</x:v>
      </x:c>
      <x:c r="V114" s="42" t="n">
        <x:f>T114*H114</x:f>
        <x:v>148325337603</x:v>
      </x:c>
      <x:c r="W114" s="42" t="n">
        <x:f>V114/F114</x:f>
        <x:v>170488893796.55173</x:v>
      </x:c>
      <x:c r="X114" s="36" t="str">
        <x:v>CUB: UN WPP 2024 Medium exact 2026</x:v>
      </x:c>
      <x:c r="Y114" s="36" t="str">
        <x:v>CUB: peer-growth inference from World Bank 2020; Latin America &amp; Caribbean ; Upper middle income median 4.39%/yr (14 peers, capped at ±8%)</x:v>
      </x:c>
      <x:c r="Z114" s="36" t="str">
        <x:v>CUB: PPP inferred from filled nominal GDP using Latin America &amp; Caribbean ; Upper middle income median PPP/nominal ratio 2.323 (14 peers)</x:v>
      </x:c>
      <x:c r="AA114" s="36" t="str">
        <x:v>inferred</x:v>
      </x:c>
      <x:c r="AB114" s="36" t="str">
        <x:v>https://www.un.org/development/desa/pd/world-population-prospects-2024</x:v>
      </x:c>
      <x:c r="AC114" s="36" t="str">
        <x:v>https://api.imf.org/external/sdmx/3.0/data/dataflow/IMF.RES/WEO/9.0.0/</x:v>
      </x:c>
      <x:c r="AD114" s="36" t="str">
        <x:v>https://api.worldbank.org/v2/</x:v>
      </x:c>
    </x:row>
    <x:row r="115">
      <x:c r="A115" s="24" t="str">
        <x:v>CZE</x:v>
      </x:c>
      <x:c r="B115" s="24" t="str">
        <x:v>Czechia</x:v>
      </x:c>
      <x:c r="C115" s="24" t="str">
        <x:v>CZE</x:v>
      </x:c>
      <x:c r="D115" s="24" t="str">
        <x:v>CZE</x:v>
      </x:c>
      <x:c r="E115" s="24" t="n">
        <x:v>2003</x:v>
      </x:c>
      <x:c r="F115" s="37" t="n">
        <x:v>1.59</x:v>
      </x:c>
      <x:c r="G115" s="38" t="n">
        <x:v>10248912</x:v>
      </x:c>
      <x:c r="H115" s="38" t="n">
        <x:v>10248912</x:v>
      </x:c>
      <x:c r="I115" s="39" t="n">
        <x:f>H115/G115</x:f>
        <x:v>1</x:v>
      </x:c>
      <x:c r="J115" s="40" t="n">
        <x:f>(I115-1)*100</x:f>
        <x:v>0</x:v>
      </x:c>
      <x:c r="K115" s="36" t="str">
        <x:v>no</x:v>
      </x:c>
      <x:c r="L115" s="36" t="str">
        <x:v>Single-country territory; UN WPP and vanilla are within the ±5% review threshold.</x:v>
      </x:c>
      <x:c r="M115" s="41" t="n">
        <x:v>127736257310</x:v>
      </x:c>
      <x:c r="N115" s="41" t="n">
        <x:v>203100649123</x:v>
      </x:c>
      <x:c r="O115" s="41" t="n">
        <x:v>19817</x:v>
      </x:c>
      <x:c r="P115" s="41" t="n">
        <x:v>15587</x:v>
      </x:c>
      <x:c r="Q115" s="41" t="n">
        <x:v>33887</x:v>
      </x:c>
      <x:c r="R115" s="42" t="n">
        <x:f>MIN(P115,Q115)</x:f>
        <x:v>15587</x:v>
      </x:c>
      <x:c r="S115" s="42" t="n">
        <x:f>MAX(P115,Q115)</x:f>
        <x:v>33887</x:v>
      </x:c>
      <x:c r="T115" s="42" t="n">
        <x:f>MAX(R115,MIN(O115,S115))</x:f>
        <x:v>19817</x:v>
      </x:c>
      <x:c r="U115" s="19" t="str">
        <x:f>IF(O115&lt;R115,IF(R115=P115,"clamped_to_nominal","clamped_to_ppp"),IF(O115&gt;S115,IF(S115=P115,"clamped_to_nominal","clamped_to_ppp"),"kept_vanilla"))</x:f>
        <x:v>kept_vanilla</x:v>
      </x:c>
      <x:c r="V115" s="42" t="n">
        <x:f>T115*H115</x:f>
        <x:v>203102689104</x:v>
      </x:c>
      <x:c r="W115" s="42" t="n">
        <x:f>V115/F115</x:f>
        <x:v>127737540316.98112</x:v>
      </x:c>
      <x:c r="X115" s="36" t="str">
        <x:v>CZE: UN WPP 2024 Medium exact 2003</x:v>
      </x:c>
      <x:c r="Y115" s="36" t="str">
        <x:v>CZE: IMF exact 2003</x:v>
      </x:c>
      <x:c r="Z115" s="36" t="str">
        <x:v>CZE: IMF exact 2003</x:v>
      </x:c>
      <x:c r="AA115" s="36" t="str">
        <x:v>complete_primary</x:v>
      </x:c>
      <x:c r="AB115" s="36" t="str">
        <x:v>https://www.un.org/development/desa/pd/world-population-prospects-2024</x:v>
      </x:c>
      <x:c r="AC115" s="36" t="str">
        <x:v>https://api.imf.org/external/sdmx/3.0/data/dataflow/IMF.RES/WEO/9.0.0/</x:v>
      </x:c>
      <x:c r="AD115" s="36" t="str">
        <x:v>https://api.worldbank.org/v2/</x:v>
      </x:c>
    </x:row>
    <x:row r="116">
      <x:c r="A116" s="24" t="str">
        <x:v>CZE</x:v>
      </x:c>
      <x:c r="B116" s="24" t="str">
        <x:v>Czechia</x:v>
      </x:c>
      <x:c r="C116" s="24" t="str">
        <x:v>CZE</x:v>
      </x:c>
      <x:c r="D116" s="24" t="str">
        <x:v>CZE</x:v>
      </x:c>
      <x:c r="E116" s="24" t="n">
        <x:v>2022</x:v>
      </x:c>
      <x:c r="F116" s="37" t="n">
        <x:v>1</x:v>
      </x:c>
      <x:c r="G116" s="38" t="n">
        <x:v>10740409</x:v>
      </x:c>
      <x:c r="H116" s="38" t="n">
        <x:v>10673213</x:v>
      </x:c>
      <x:c r="I116" s="39" t="n">
        <x:f>H116/G116</x:f>
        <x:v>0.9937436274540383</x:v>
      </x:c>
      <x:c r="J116" s="40" t="n">
        <x:f>(I116-1)*100</x:f>
        <x:v>-0.6256372545961675</x:v>
      </x:c>
      <x:c r="K116" s="36" t="str">
        <x:v>no</x:v>
      </x:c>
      <x:c r="L116" s="36" t="str">
        <x:v>Single-country territory; UN WPP and vanilla are within the ±5% review threshold.</x:v>
      </x:c>
      <x:c r="M116" s="41" t="n">
        <x:v>448758640000</x:v>
      </x:c>
      <x:c r="N116" s="41" t="n">
        <x:v>448758640000</x:v>
      </x:c>
      <x:c r="O116" s="41" t="n">
        <x:v>41782</x:v>
      </x:c>
      <x:c r="P116" s="41" t="n">
        <x:v>28279</x:v>
      </x:c>
      <x:c r="Q116" s="41" t="n">
        <x:v>54212</x:v>
      </x:c>
      <x:c r="R116" s="42" t="n">
        <x:f>MIN(P116,Q116)</x:f>
        <x:v>28279</x:v>
      </x:c>
      <x:c r="S116" s="42" t="n">
        <x:f>MAX(P116,Q116)</x:f>
        <x:v>54212</x:v>
      </x:c>
      <x:c r="T116" s="42" t="n">
        <x:f>MAX(R116,MIN(O116,S116))</x:f>
        <x:v>41782</x:v>
      </x:c>
      <x:c r="U116" s="19" t="str">
        <x:f>IF(O116&lt;R116,IF(R116=P116,"clamped_to_nominal","clamped_to_ppp"),IF(O116&gt;S116,IF(S116=P116,"clamped_to_nominal","clamped_to_ppp"),"kept_vanilla"))</x:f>
        <x:v>kept_vanilla</x:v>
      </x:c>
      <x:c r="V116" s="42" t="n">
        <x:f>T116*H116</x:f>
        <x:v>445948185566</x:v>
      </x:c>
      <x:c r="W116" s="42" t="n">
        <x:f>V116/F116</x:f>
        <x:v>445948185566</x:v>
      </x:c>
      <x:c r="X116" s="36" t="str">
        <x:v>CZE: UN WPP 2024 Medium exact 2022</x:v>
      </x:c>
      <x:c r="Y116" s="36" t="str">
        <x:v>CZE: IMF exact 2022</x:v>
      </x:c>
      <x:c r="Z116" s="36" t="str">
        <x:v>CZE: IMF exact 2022</x:v>
      </x:c>
      <x:c r="AA116" s="36" t="str">
        <x:v>complete_primary</x:v>
      </x:c>
      <x:c r="AB116" s="36" t="str">
        <x:v>https://www.un.org/development/desa/pd/world-population-prospects-2024</x:v>
      </x:c>
      <x:c r="AC116" s="36" t="str">
        <x:v>https://api.imf.org/external/sdmx/3.0/data/dataflow/IMF.RES/WEO/9.0.0/</x:v>
      </x:c>
      <x:c r="AD116" s="36" t="str">
        <x:v>https://api.worldbank.org/v2/</x:v>
      </x:c>
    </x:row>
    <x:row r="117">
      <x:c r="A117" s="24" t="str">
        <x:v>CZE</x:v>
      </x:c>
      <x:c r="B117" s="24" t="str">
        <x:v>Czechia</x:v>
      </x:c>
      <x:c r="C117" s="24" t="str">
        <x:v>CZE</x:v>
      </x:c>
      <x:c r="D117" s="24" t="str">
        <x:v>CZE</x:v>
      </x:c>
      <x:c r="E117" s="24" t="n">
        <x:v>2026</x:v>
      </x:c>
      <x:c r="F117" s="37" t="n">
        <x:v>0.87</x:v>
      </x:c>
      <x:c r="G117" s="38" t="n">
        <x:v>10527781</x:v>
      </x:c>
      <x:c r="H117" s="38" t="n">
        <x:v>10527781</x:v>
      </x:c>
      <x:c r="I117" s="39" t="n">
        <x:f>H117/G117</x:f>
        <x:v>1</x:v>
      </x:c>
      <x:c r="J117" s="40" t="n">
        <x:f>(I117-1)*100</x:f>
        <x:v>0</x:v>
      </x:c>
      <x:c r="K117" s="36" t="str">
        <x:v>no</x:v>
      </x:c>
      <x:c r="L117" s="36" t="str">
        <x:v>Single-country territory; UN WPP and vanilla are within the ±5% review threshold.</x:v>
      </x:c>
      <x:c r="M117" s="41" t="n">
        <x:v>569643360000</x:v>
      </x:c>
      <x:c r="N117" s="41" t="n">
        <x:v>495589723200</x:v>
      </x:c>
      <x:c r="O117" s="41" t="n">
        <x:v>47074</x:v>
      </x:c>
      <x:c r="P117" s="41" t="n">
        <x:v>35749</x:v>
      </x:c>
      <x:c r="Q117" s="41" t="n">
        <x:v>57089</x:v>
      </x:c>
      <x:c r="R117" s="42" t="n">
        <x:f>MIN(P117,Q117)</x:f>
        <x:v>35749</x:v>
      </x:c>
      <x:c r="S117" s="42" t="n">
        <x:f>MAX(P117,Q117)</x:f>
        <x:v>57089</x:v>
      </x:c>
      <x:c r="T117" s="42" t="n">
        <x:f>MAX(R117,MIN(O117,S117))</x:f>
        <x:v>47074</x:v>
      </x:c>
      <x:c r="U117" s="19" t="str">
        <x:f>IF(O117&lt;R117,IF(R117=P117,"clamped_to_nominal","clamped_to_ppp"),IF(O117&gt;S117,IF(S117=P117,"clamped_to_nominal","clamped_to_ppp"),"kept_vanilla"))</x:f>
        <x:v>kept_vanilla</x:v>
      </x:c>
      <x:c r="V117" s="42" t="n">
        <x:f>T117*H117</x:f>
        <x:v>495584762794</x:v>
      </x:c>
      <x:c r="W117" s="42" t="n">
        <x:f>V117/F117</x:f>
        <x:v>569637658383.9081</x:v>
      </x:c>
      <x:c r="X117" s="36" t="str">
        <x:v>CZE: UN WPP 2024 Medium exact 2026</x:v>
      </x:c>
      <x:c r="Y117" s="36" t="str">
        <x:v>CZE: IMF exact 2026</x:v>
      </x:c>
      <x:c r="Z117" s="36" t="str">
        <x:v>CZE: IMF exact 2026</x:v>
      </x:c>
      <x:c r="AA117" s="36" t="str">
        <x:v>complete_primary</x:v>
      </x:c>
      <x:c r="AB117" s="36" t="str">
        <x:v>https://www.un.org/development/desa/pd/world-population-prospects-2024</x:v>
      </x:c>
      <x:c r="AC117" s="36" t="str">
        <x:v>https://api.imf.org/external/sdmx/3.0/data/dataflow/IMF.RES/WEO/9.0.0/</x:v>
      </x:c>
      <x:c r="AD117" s="36" t="str">
        <x:v>https://api.worldbank.org/v2/</x:v>
      </x:c>
    </x:row>
    <x:row r="118">
      <x:c r="A118" s="24" t="str">
        <x:v>DEN</x:v>
      </x:c>
      <x:c r="B118" s="24" t="str">
        <x:v>Denmark</x:v>
      </x:c>
      <x:c r="C118" s="24" t="str">
        <x:v>DNK</x:v>
      </x:c>
      <x:c r="D118" s="24" t="str">
        <x:v>DNK+GRL+FRO</x:v>
      </x:c>
      <x:c r="E118" s="24" t="n">
        <x:v>2003</x:v>
      </x:c>
      <x:c r="F118" s="37" t="n">
        <x:v>1.59</x:v>
      </x:c>
      <x:c r="G118" s="38" t="n">
        <x:v>5494804</x:v>
      </x:c>
      <x:c r="H118" s="38" t="n">
        <x:v>5494804</x:v>
      </x:c>
      <x:c r="I118" s="39" t="n">
        <x:f>H118/G118</x:f>
        <x:v>1</x:v>
      </x:c>
      <x:c r="J118" s="40" t="n">
        <x:f>(I118-1)*100</x:f>
        <x:v>0</x:v>
      </x:c>
      <x:c r="K118" s="36" t="str">
        <x:v>no</x:v>
      </x:c>
      <x:c r="L118" s="36" t="str">
        <x:v>Added Greenland and the Faroe Islands because the game assigns a separate Greenland region to Denmark; this reproduces the 2003 and 2026 vanilla totals almost exactly.</x:v>
      </x:c>
      <x:c r="M118" s="41" t="n">
        <x:v>119951461988</x:v>
      </x:c>
      <x:c r="N118" s="41" t="n">
        <x:v>190722824561</x:v>
      </x:c>
      <x:c r="O118" s="41" t="n">
        <x:v>34710</x:v>
      </x:c>
      <x:c r="P118" s="41" t="n">
        <x:v>64089</x:v>
      </x:c>
      <x:c r="Q118" s="41" t="n">
        <x:v>60313</x:v>
      </x:c>
      <x:c r="R118" s="42" t="n">
        <x:f>MIN(P118,Q118)</x:f>
        <x:v>60313</x:v>
      </x:c>
      <x:c r="S118" s="42" t="n">
        <x:f>MAX(P118,Q118)</x:f>
        <x:v>64089</x:v>
      </x:c>
      <x:c r="T118" s="42" t="n">
        <x:f>MAX(R118,MIN(O118,S118))</x:f>
        <x:v>60313</x:v>
      </x:c>
      <x:c r="U118" s="19" t="str">
        <x:f>IF(O118&lt;R118,IF(R118=P118,"clamped_to_nominal","clamped_to_ppp"),IF(O118&gt;S118,IF(S118=P118,"clamped_to_nominal","clamped_to_ppp"),"kept_vanilla"))</x:f>
        <x:v>clamped_to_ppp</x:v>
      </x:c>
      <x:c r="V118" s="42" t="n">
        <x:f>T118*H118</x:f>
        <x:v>331408113652</x:v>
      </x:c>
      <x:c r="W118" s="42" t="n">
        <x:f>V118/F118</x:f>
        <x:v>208432775881.761</x:v>
      </x:c>
      <x:c r="X118" s="36" t="str">
        <x:v>DNK: UN WPP 2024 Medium exact 2003; GRL: UN WPP 2024 Medium exact 2003; FRO: UN WPP 2024 Medium exact 2003</x:v>
      </x:c>
      <x:c r="Y118" s="36" t="str">
        <x:v>DNK: IMF exact 2003; GRL: World Bank exact 2003; FRO: World Bank exact 2003</x:v>
      </x:c>
      <x:c r="Z118" s="36" t="str">
        <x:v>DNK: IMF exact 2003; GRL: World Bank exact 2003; FRO: peer-growth inference from World Bank 2008; Europe &amp; Central Asia; High income median 3.02%/yr (35 peers, capped at ±8%)</x:v>
      </x:c>
      <x:c r="AA118" s="36" t="str">
        <x:v>inferred+secondary_source</x:v>
      </x:c>
      <x:c r="AB118" s="36" t="str">
        <x:v>https://www.un.org/development/desa/pd/world-population-prospects-2024</x:v>
      </x:c>
      <x:c r="AC118" s="36" t="str">
        <x:v>https://api.imf.org/external/sdmx/3.0/data/dataflow/IMF.RES/WEO/9.0.0/</x:v>
      </x:c>
      <x:c r="AD118" s="36" t="str">
        <x:v>https://api.worldbank.org/v2/</x:v>
      </x:c>
    </x:row>
    <x:row r="119">
      <x:c r="A119" s="24" t="str">
        <x:v>DEN</x:v>
      </x:c>
      <x:c r="B119" s="24" t="str">
        <x:v>Denmark</x:v>
      </x:c>
      <x:c r="C119" s="24" t="str">
        <x:v>DNK</x:v>
      </x:c>
      <x:c r="D119" s="24" t="str">
        <x:v>DNK+GRL+FRO</x:v>
      </x:c>
      <x:c r="E119" s="24" t="n">
        <x:v>2022</x:v>
      </x:c>
      <x:c r="F119" s="37" t="n">
        <x:v>1</x:v>
      </x:c>
      <x:c r="G119" s="38" t="n">
        <x:v>5947882</x:v>
      </x:c>
      <x:c r="H119" s="38" t="n">
        <x:v>6012905</x:v>
      </x:c>
      <x:c r="I119" s="39" t="n">
        <x:f>H119/G119</x:f>
        <x:v>1.0109321267637792</x:v>
      </x:c>
      <x:c r="J119" s="40" t="n">
        <x:f>(I119-1)*100</x:f>
        <x:v>1.0932126763779193</x:v>
      </x:c>
      <x:c r="K119" s="36" t="str">
        <x:v>no</x:v>
      </x:c>
      <x:c r="L119" s="36" t="str">
        <x:v>Added Greenland and the Faroe Islands because the game assigns a separate Greenland region to Denmark; this reproduces the 2003 and 2026 vanilla totals almost exactly.</x:v>
      </x:c>
      <x:c r="M119" s="41" t="n">
        <x:v>357289680000</x:v>
      </x:c>
      <x:c r="N119" s="41" t="n">
        <x:v>357289680000</x:v>
      </x:c>
      <x:c r="O119" s="41" t="n">
        <x:v>60070</x:v>
      </x:c>
      <x:c r="P119" s="41" t="n">
        <x:v>67668</x:v>
      </x:c>
      <x:c r="Q119" s="41" t="n">
        <x:v>74693</x:v>
      </x:c>
      <x:c r="R119" s="42" t="n">
        <x:f>MIN(P119,Q119)</x:f>
        <x:v>67668</x:v>
      </x:c>
      <x:c r="S119" s="42" t="n">
        <x:f>MAX(P119,Q119)</x:f>
        <x:v>74693</x:v>
      </x:c>
      <x:c r="T119" s="42" t="n">
        <x:f>MAX(R119,MIN(O119,S119))</x:f>
        <x:v>67668</x:v>
      </x:c>
      <x:c r="U119" s="19" t="str">
        <x:f>IF(O119&lt;R119,IF(R119=P119,"clamped_to_nominal","clamped_to_ppp"),IF(O119&gt;S119,IF(S119=P119,"clamped_to_nominal","clamped_to_ppp"),"kept_vanilla"))</x:f>
        <x:v>clamped_to_nominal</x:v>
      </x:c>
      <x:c r="V119" s="42" t="n">
        <x:f>T119*H119</x:f>
        <x:v>406881255540</x:v>
      </x:c>
      <x:c r="W119" s="42" t="n">
        <x:f>V119/F119</x:f>
        <x:v>406881255540</x:v>
      </x:c>
      <x:c r="X119" s="36" t="str">
        <x:v>DNK: UN WPP 2024 Medium exact 2022; GRL: UN WPP 2024 Medium exact 2022; FRO: UN WPP 2024 Medium exact 2022</x:v>
      </x:c>
      <x:c r="Y119" s="36" t="str">
        <x:v>DNK: IMF exact 2022; GRL: World Bank exact 2022; FRO: World Bank exact 2022</x:v>
      </x:c>
      <x:c r="Z119" s="36" t="str">
        <x:v>DNK: IMF exact 2022; GRL: World Bank exact 2022; FRO: World Bank exact 2022</x:v>
      </x:c>
      <x:c r="AA119" s="36" t="str">
        <x:v>secondary_source</x:v>
      </x:c>
      <x:c r="AB119" s="36" t="str">
        <x:v>https://www.un.org/development/desa/pd/world-population-prospects-2024</x:v>
      </x:c>
      <x:c r="AC119" s="36" t="str">
        <x:v>https://api.imf.org/external/sdmx/3.0/data/dataflow/IMF.RES/WEO/9.0.0/</x:v>
      </x:c>
      <x:c r="AD119" s="36" t="str">
        <x:v>https://api.worldbank.org/v2/</x:v>
      </x:c>
    </x:row>
    <x:row r="120">
      <x:c r="A120" s="24" t="str">
        <x:v>DEN</x:v>
      </x:c>
      <x:c r="B120" s="24" t="str">
        <x:v>Denmark</x:v>
      </x:c>
      <x:c r="C120" s="24" t="str">
        <x:v>DNK</x:v>
      </x:c>
      <x:c r="D120" s="24" t="str">
        <x:v>DNK+GRL+FRO</x:v>
      </x:c>
      <x:c r="E120" s="24" t="n">
        <x:v>2026</x:v>
      </x:c>
      <x:c r="F120" s="37" t="n">
        <x:v>0.87</x:v>
      </x:c>
      <x:c r="G120" s="38" t="n">
        <x:v>6135676</x:v>
      </x:c>
      <x:c r="H120" s="38" t="n">
        <x:v>6135675</x:v>
      </x:c>
      <x:c r="I120" s="39" t="n">
        <x:f>H120/G120</x:f>
        <x:v>0.9999998370187735</x:v>
      </x:c>
      <x:c r="J120" s="40" t="n">
        <x:f>(I120-1)*100</x:f>
        <x:v>-0.000016298122651470237</x:v>
      </x:c>
      <x:c r="K120" s="36" t="str">
        <x:v>no</x:v>
      </x:c>
      <x:c r="L120" s="36" t="str">
        <x:v>Added Greenland and the Faroe Islands because the game assigns a separate Greenland region to Denmark; this reproduces the 2003 and 2026 vanilla totals almost exactly.</x:v>
      </x:c>
      <x:c r="M120" s="41" t="n">
        <x:v>469701760000</x:v>
      </x:c>
      <x:c r="N120" s="41" t="n">
        <x:v>408640531200</x:v>
      </x:c>
      <x:c r="O120" s="41" t="n">
        <x:v>66601</x:v>
      </x:c>
      <x:c r="P120" s="41" t="n">
        <x:v>72726</x:v>
      </x:c>
      <x:c r="Q120" s="41" t="n">
        <x:v>78174</x:v>
      </x:c>
      <x:c r="R120" s="42" t="n">
        <x:f>MIN(P120,Q120)</x:f>
        <x:v>72726</x:v>
      </x:c>
      <x:c r="S120" s="42" t="n">
        <x:f>MAX(P120,Q120)</x:f>
        <x:v>78174</x:v>
      </x:c>
      <x:c r="T120" s="42" t="n">
        <x:f>MAX(R120,MIN(O120,S120))</x:f>
        <x:v>72726</x:v>
      </x:c>
      <x:c r="U120" s="19" t="str">
        <x:f>IF(O120&lt;R120,IF(R120=P120,"clamped_to_nominal","clamped_to_ppp"),IF(O120&gt;S120,IF(S120=P120,"clamped_to_nominal","clamped_to_ppp"),"kept_vanilla"))</x:f>
        <x:v>clamped_to_nominal</x:v>
      </x:c>
      <x:c r="V120" s="42" t="n">
        <x:f>T120*H120</x:f>
        <x:v>446223100050</x:v>
      </x:c>
      <x:c r="W120" s="42" t="n">
        <x:f>V120/F120</x:f>
        <x:v>512900115000</x:v>
      </x:c>
      <x:c r="X120" s="36" t="str">
        <x:v>DNK: UN WPP 2024 Medium exact 2026; GRL: UN WPP 2024 Medium exact 2026; FRO: UN WPP 2024 Medium exact 2026</x:v>
      </x:c>
      <x:c r="Y120" s="36" t="str">
        <x:v>DNK: IMF exact 2026; GRL: peer-growth inference from World Bank 2023; Europe &amp; Central Asia; High income median 5.30%/yr (34 peers, capped at ±8%); FRO: peer-growth inference from World Bank 2024; Europe &amp; Central Asia; High income median 6.29%/yr (34 peers, capped at ±8%)</x:v>
      </x:c>
      <x:c r="Z120" s="36" t="str">
        <x:v>DNK: IMF exact 2026; GRL: peer-growth inference from World Bank 2023; Europe &amp; Central Asia; High income median 1.41%/yr (34 peers, capped at ±8%); FRO: peer-growth inference from World Bank 2024; Europe &amp; Central Asia; High income median 1.18%/yr (34 peers, capped at ±8%)</x:v>
      </x:c>
      <x:c r="AA120" s="36" t="str">
        <x:v>inferred</x:v>
      </x:c>
      <x:c r="AB120" s="36" t="str">
        <x:v>https://www.un.org/development/desa/pd/world-population-prospects-2024</x:v>
      </x:c>
      <x:c r="AC120" s="36" t="str">
        <x:v>https://api.imf.org/external/sdmx/3.0/data/dataflow/IMF.RES/WEO/9.0.0/</x:v>
      </x:c>
      <x:c r="AD120" s="36" t="str">
        <x:v>https://api.worldbank.org/v2/</x:v>
      </x:c>
    </x:row>
    <x:row r="121">
      <x:c r="A121" s="24" t="str">
        <x:v>DJI</x:v>
      </x:c>
      <x:c r="B121" s="24" t="str">
        <x:v>Djibouti</x:v>
      </x:c>
      <x:c r="C121" s="24" t="str">
        <x:v>DJI</x:v>
      </x:c>
      <x:c r="D121" s="24" t="str">
        <x:v>DJI</x:v>
      </x:c>
      <x:c r="E121" s="24" t="n">
        <x:v>2003</x:v>
      </x:c>
      <x:c r="F121" s="37" t="n">
        <x:v>1.59</x:v>
      </x:c>
      <x:c r="G121" s="38" t="n">
        <x:v>813519</x:v>
      </x:c>
      <x:c r="H121" s="38" t="n">
        <x:v>813519</x:v>
      </x:c>
      <x:c r="I121" s="39" t="n">
        <x:f>H121/G121</x:f>
        <x:v>1</x:v>
      </x:c>
      <x:c r="J121" s="40" t="n">
        <x:f>(I121-1)*100</x:f>
        <x:v>0</x:v>
      </x:c>
      <x:c r="K121" s="36" t="str">
        <x:v>no</x:v>
      </x:c>
      <x:c r="L121" s="36" t="str">
        <x:v>Single-country territory; UN WPP and vanilla are within the ±5% review threshold.</x:v>
      </x:c>
      <x:c r="M121" s="41" t="n">
        <x:v>1108187135</x:v>
      </x:c>
      <x:c r="N121" s="41" t="n">
        <x:v>1762017545</x:v>
      </x:c>
      <x:c r="O121" s="41" t="n">
        <x:v>2166</x:v>
      </x:c>
      <x:c r="P121" s="41" t="n">
        <x:v>1723</x:v>
      </x:c>
      <x:c r="Q121" s="41" t="n">
        <x:v>3703</x:v>
      </x:c>
      <x:c r="R121" s="42" t="n">
        <x:f>MIN(P121,Q121)</x:f>
        <x:v>1723</x:v>
      </x:c>
      <x:c r="S121" s="42" t="n">
        <x:f>MAX(P121,Q121)</x:f>
        <x:v>3703</x:v>
      </x:c>
      <x:c r="T121" s="42" t="n">
        <x:f>MAX(R121,MIN(O121,S121))</x:f>
        <x:v>2166</x:v>
      </x:c>
      <x:c r="U121" s="19" t="str">
        <x:f>IF(O121&lt;R121,IF(R121=P121,"clamped_to_nominal","clamped_to_ppp"),IF(O121&gt;S121,IF(S121=P121,"clamped_to_nominal","clamped_to_ppp"),"kept_vanilla"))</x:f>
        <x:v>kept_vanilla</x:v>
      </x:c>
      <x:c r="V121" s="42" t="n">
        <x:f>T121*H121</x:f>
        <x:v>1762082154</x:v>
      </x:c>
      <x:c r="W121" s="42" t="n">
        <x:f>V121/F121</x:f>
        <x:v>1108227769.8113208</x:v>
      </x:c>
      <x:c r="X121" s="36" t="str">
        <x:v>DJI: UN WPP 2024 Medium exact 2003</x:v>
      </x:c>
      <x:c r="Y121" s="36" t="str">
        <x:v>DJI: IMF exact 2003</x:v>
      </x:c>
      <x:c r="Z121" s="36" t="str">
        <x:v>DJI: IMF exact 2003</x:v>
      </x:c>
      <x:c r="AA121" s="36" t="str">
        <x:v>complete_primary</x:v>
      </x:c>
      <x:c r="AB121" s="36" t="str">
        <x:v>https://www.un.org/development/desa/pd/world-population-prospects-2024</x:v>
      </x:c>
      <x:c r="AC121" s="36" t="str">
        <x:v>https://api.imf.org/external/sdmx/3.0/data/dataflow/IMF.RES/WEO/9.0.0/</x:v>
      </x:c>
      <x:c r="AD121" s="36" t="str">
        <x:v>https://api.worldbank.org/v2/</x:v>
      </x:c>
    </x:row>
    <x:row r="122">
      <x:c r="A122" s="24" t="str">
        <x:v>DJI</x:v>
      </x:c>
      <x:c r="B122" s="24" t="str">
        <x:v>Djibouti</x:v>
      </x:c>
      <x:c r="C122" s="24" t="str">
        <x:v>DJI</x:v>
      </x:c>
      <x:c r="D122" s="24" t="str">
        <x:v>DJI</x:v>
      </x:c>
      <x:c r="E122" s="24" t="n">
        <x:v>2022</x:v>
      </x:c>
      <x:c r="F122" s="37" t="n">
        <x:v>1</x:v>
      </x:c>
      <x:c r="G122" s="38" t="n">
        <x:v>1020434</x:v>
      </x:c>
      <x:c r="H122" s="38" t="n">
        <x:v>1137096</x:v>
      </x:c>
      <x:c r="I122" s="39" t="n">
        <x:f>H122/G122</x:f>
        <x:v>1.1143258652690913</x:v>
      </x:c>
      <x:c r="J122" s="40" t="n">
        <x:f>(I122-1)*100</x:f>
        <x:v>11.432586526909127</x:v>
      </x:c>
      <x:c r="K122" s="36" t="str">
        <x:v>yes — reviewed</x:v>
      </x:c>
      <x:c r="L122" s="36" t="str">
        <x:v>Single-country game territory and UN country/area boundary align. The difference is an updated historical estimate/projection vintage, not a geographic-scope mismatch; accept the UN WPP value for a consistent source vintage.</x:v>
      </x:c>
      <x:c r="M122" s="41" t="n">
        <x:v>5961120000</x:v>
      </x:c>
      <x:c r="N122" s="41" t="n">
        <x:v>5961120000</x:v>
      </x:c>
      <x:c r="O122" s="41" t="n">
        <x:v>5842</x:v>
      </x:c>
      <x:c r="P122" s="41" t="n">
        <x:v>3133</x:v>
      </x:c>
      <x:c r="Q122" s="41" t="n">
        <x:v>6620</x:v>
      </x:c>
      <x:c r="R122" s="42" t="n">
        <x:f>MIN(P122,Q122)</x:f>
        <x:v>3133</x:v>
      </x:c>
      <x:c r="S122" s="42" t="n">
        <x:f>MAX(P122,Q122)</x:f>
        <x:v>6620</x:v>
      </x:c>
      <x:c r="T122" s="42" t="n">
        <x:f>MAX(R122,MIN(O122,S122))</x:f>
        <x:v>5842</x:v>
      </x:c>
      <x:c r="U122" s="19" t="str">
        <x:f>IF(O122&lt;R122,IF(R122=P122,"clamped_to_nominal","clamped_to_ppp"),IF(O122&gt;S122,IF(S122=P122,"clamped_to_nominal","clamped_to_ppp"),"kept_vanilla"))</x:f>
        <x:v>kept_vanilla</x:v>
      </x:c>
      <x:c r="V122" s="42" t="n">
        <x:f>T122*H122</x:f>
        <x:v>6642914832</x:v>
      </x:c>
      <x:c r="W122" s="42" t="n">
        <x:f>V122/F122</x:f>
        <x:v>6642914832</x:v>
      </x:c>
      <x:c r="X122" s="36" t="str">
        <x:v>DJI: UN WPP 2024 Medium exact 2022</x:v>
      </x:c>
      <x:c r="Y122" s="36" t="str">
        <x:v>DJI: IMF exact 2022</x:v>
      </x:c>
      <x:c r="Z122" s="36" t="str">
        <x:v>DJI: IMF exact 2022</x:v>
      </x:c>
      <x:c r="AA122" s="36" t="str">
        <x:v>complete_primary</x:v>
      </x:c>
      <x:c r="AB122" s="36" t="str">
        <x:v>https://www.un.org/development/desa/pd/world-population-prospects-2024</x:v>
      </x:c>
      <x:c r="AC122" s="36" t="str">
        <x:v>https://api.imf.org/external/sdmx/3.0/data/dataflow/IMF.RES/WEO/9.0.0/</x:v>
      </x:c>
      <x:c r="AD122" s="36" t="str">
        <x:v>https://api.worldbank.org/v2/</x:v>
      </x:c>
    </x:row>
    <x:row r="123">
      <x:c r="A123" s="24" t="str">
        <x:v>DJI</x:v>
      </x:c>
      <x:c r="B123" s="24" t="str">
        <x:v>Djibouti</x:v>
      </x:c>
      <x:c r="C123" s="24" t="str">
        <x:v>DJI</x:v>
      </x:c>
      <x:c r="D123" s="24" t="str">
        <x:v>DJI</x:v>
      </x:c>
      <x:c r="E123" s="24" t="n">
        <x:v>2026</x:v>
      </x:c>
      <x:c r="F123" s="37" t="n">
        <x:v>0.87</x:v>
      </x:c>
      <x:c r="G123" s="38" t="n">
        <x:v>1199460</x:v>
      </x:c>
      <x:c r="H123" s="38" t="n">
        <x:v>1199459</x:v>
      </x:c>
      <x:c r="I123" s="39" t="n">
        <x:f>H123/G123</x:f>
        <x:v>0.9999991662914979</x:v>
      </x:c>
      <x:c r="J123" s="40" t="n">
        <x:f>(I123-1)*100</x:f>
        <x:v>-0.000083370850212372</x:v>
      </x:c>
      <x:c r="K123" s="36" t="str">
        <x:v>no</x:v>
      </x:c>
      <x:c r="L123" s="36" t="str">
        <x:v>Single-country territory; UN WPP and vanilla are within the ±5% review threshold.</x:v>
      </x:c>
      <x:c r="M123" s="41" t="n">
        <x:v>8748960000</x:v>
      </x:c>
      <x:c r="N123" s="41" t="n">
        <x:v>7611595200</x:v>
      </x:c>
      <x:c r="O123" s="41" t="n">
        <x:v>6346</x:v>
      </x:c>
      <x:c r="P123" s="41" t="n">
        <x:v>3427</x:v>
      </x:c>
      <x:c r="Q123" s="41" t="n">
        <x:v>7881</x:v>
      </x:c>
      <x:c r="R123" s="42" t="n">
        <x:f>MIN(P123,Q123)</x:f>
        <x:v>3427</x:v>
      </x:c>
      <x:c r="S123" s="42" t="n">
        <x:f>MAX(P123,Q123)</x:f>
        <x:v>7881</x:v>
      </x:c>
      <x:c r="T123" s="42" t="n">
        <x:f>MAX(R123,MIN(O123,S123))</x:f>
        <x:v>6346</x:v>
      </x:c>
      <x:c r="U123" s="19" t="str">
        <x:f>IF(O123&lt;R123,IF(R123=P123,"clamped_to_nominal","clamped_to_ppp"),IF(O123&gt;S123,IF(S123=P123,"clamped_to_nominal","clamped_to_ppp"),"kept_vanilla"))</x:f>
        <x:v>kept_vanilla</x:v>
      </x:c>
      <x:c r="V123" s="42" t="n">
        <x:f>T123*H123</x:f>
        <x:v>7611766814</x:v>
      </x:c>
      <x:c r="W123" s="42" t="n">
        <x:f>V123/F123</x:f>
        <x:v>8749157257.471264</x:v>
      </x:c>
      <x:c r="X123" s="36" t="str">
        <x:v>DJI: UN WPP 2024 Medium exact 2026</x:v>
      </x:c>
      <x:c r="Y123" s="36" t="str">
        <x:v>DJI: IMF exact 2026</x:v>
      </x:c>
      <x:c r="Z123" s="36" t="str">
        <x:v>DJI: IMF exact 2026</x:v>
      </x:c>
      <x:c r="AA123" s="36" t="str">
        <x:v>complete_primary</x:v>
      </x:c>
      <x:c r="AB123" s="36" t="str">
        <x:v>https://www.un.org/development/desa/pd/world-population-prospects-2024</x:v>
      </x:c>
      <x:c r="AC123" s="36" t="str">
        <x:v>https://api.imf.org/external/sdmx/3.0/data/dataflow/IMF.RES/WEO/9.0.0/</x:v>
      </x:c>
      <x:c r="AD123" s="36" t="str">
        <x:v>https://api.worldbank.org/v2/</x:v>
      </x:c>
    </x:row>
    <x:row r="124">
      <x:c r="A124" s="24" t="str">
        <x:v>DOM</x:v>
      </x:c>
      <x:c r="B124" s="24" t="str">
        <x:v>Dominican Republic</x:v>
      </x:c>
      <x:c r="C124" s="24" t="str">
        <x:v>DOM</x:v>
      </x:c>
      <x:c r="D124" s="24" t="str">
        <x:v>DOM</x:v>
      </x:c>
      <x:c r="E124" s="24" t="n">
        <x:v>2003</x:v>
      </x:c>
      <x:c r="F124" s="37" t="n">
        <x:v>1.59</x:v>
      </x:c>
      <x:c r="G124" s="38" t="n">
        <x:v>8980620</x:v>
      </x:c>
      <x:c r="H124" s="38" t="n">
        <x:v>8980620</x:v>
      </x:c>
      <x:c r="I124" s="39" t="n">
        <x:f>H124/G124</x:f>
        <x:v>1</x:v>
      </x:c>
      <x:c r="J124" s="40" t="n">
        <x:f>(I124-1)*100</x:f>
        <x:v>0</x:v>
      </x:c>
      <x:c r="K124" s="36" t="str">
        <x:v>no</x:v>
      </x:c>
      <x:c r="L124" s="36" t="str">
        <x:v>Single-country territory; UN WPP and vanilla are within the ±5% review threshold.</x:v>
      </x:c>
      <x:c r="M124" s="41" t="n">
        <x:v>38814619883</x:v>
      </x:c>
      <x:c r="N124" s="41" t="n">
        <x:v>61715245614</x:v>
      </x:c>
      <x:c r="O124" s="41" t="n">
        <x:v>6872</x:v>
      </x:c>
      <x:c r="P124" s="41" t="n">
        <x:v>3810</x:v>
      </x:c>
      <x:c r="Q124" s="41" t="n">
        <x:v>11635</x:v>
      </x:c>
      <x:c r="R124" s="42" t="n">
        <x:f>MIN(P124,Q124)</x:f>
        <x:v>3810</x:v>
      </x:c>
      <x:c r="S124" s="42" t="n">
        <x:f>MAX(P124,Q124)</x:f>
        <x:v>11635</x:v>
      </x:c>
      <x:c r="T124" s="42" t="n">
        <x:f>MAX(R124,MIN(O124,S124))</x:f>
        <x:v>6872</x:v>
      </x:c>
      <x:c r="U124" s="19" t="str">
        <x:f>IF(O124&lt;R124,IF(R124=P124,"clamped_to_nominal","clamped_to_ppp"),IF(O124&gt;S124,IF(S124=P124,"clamped_to_nominal","clamped_to_ppp"),"kept_vanilla"))</x:f>
        <x:v>kept_vanilla</x:v>
      </x:c>
      <x:c r="V124" s="42" t="n">
        <x:f>T124*H124</x:f>
        <x:v>61714820640</x:v>
      </x:c>
      <x:c r="W124" s="42" t="n">
        <x:f>V124/F124</x:f>
        <x:v>38814352603.77358</x:v>
      </x:c>
      <x:c r="X124" s="36" t="str">
        <x:v>DOM: UN WPP 2024 Medium exact 2003</x:v>
      </x:c>
      <x:c r="Y124" s="36" t="str">
        <x:v>DOM: IMF exact 2003</x:v>
      </x:c>
      <x:c r="Z124" s="36" t="str">
        <x:v>DOM: IMF exact 2003</x:v>
      </x:c>
      <x:c r="AA124" s="36" t="str">
        <x:v>complete_primary</x:v>
      </x:c>
      <x:c r="AB124" s="36" t="str">
        <x:v>https://www.un.org/development/desa/pd/world-population-prospects-2024</x:v>
      </x:c>
      <x:c r="AC124" s="36" t="str">
        <x:v>https://api.imf.org/external/sdmx/3.0/data/dataflow/IMF.RES/WEO/9.0.0/</x:v>
      </x:c>
      <x:c r="AD124" s="36" t="str">
        <x:v>https://api.worldbank.org/v2/</x:v>
      </x:c>
    </x:row>
    <x:row r="125">
      <x:c r="A125" s="24" t="str">
        <x:v>DOM</x:v>
      </x:c>
      <x:c r="B125" s="24" t="str">
        <x:v>Dominican Republic</x:v>
      </x:c>
      <x:c r="C125" s="24" t="str">
        <x:v>DOM</x:v>
      </x:c>
      <x:c r="D125" s="24" t="str">
        <x:v>DOM</x:v>
      </x:c>
      <x:c r="E125" s="24" t="n">
        <x:v>2022</x:v>
      </x:c>
      <x:c r="F125" s="37" t="n">
        <x:v>1</x:v>
      </x:c>
      <x:c r="G125" s="38" t="n">
        <x:v>11088230</x:v>
      </x:c>
      <x:c r="H125" s="38" t="n">
        <x:v>11230734</x:v>
      </x:c>
      <x:c r="I125" s="39" t="n">
        <x:f>H125/G125</x:f>
        <x:v>1.0128518257647974</x:v>
      </x:c>
      <x:c r="J125" s="40" t="n">
        <x:f>(I125-1)*100</x:f>
        <x:v>1.2851825764797375</x:v>
      </x:c>
      <x:c r="K125" s="36" t="str">
        <x:v>no</x:v>
      </x:c>
      <x:c r="L125" s="36" t="str">
        <x:v>Single-country territory; UN WPP and vanilla are within the ±5% review threshold.</x:v>
      </x:c>
      <x:c r="M125" s="41" t="n">
        <x:v>224392960000</x:v>
      </x:c>
      <x:c r="N125" s="41" t="n">
        <x:v>224392960000</x:v>
      </x:c>
      <x:c r="O125" s="41" t="n">
        <x:v>20237</x:v>
      </x:c>
      <x:c r="P125" s="41" t="n">
        <x:v>10134</x:v>
      </x:c>
      <x:c r="Q125" s="41" t="n">
        <x:v>24622</x:v>
      </x:c>
      <x:c r="R125" s="42" t="n">
        <x:f>MIN(P125,Q125)</x:f>
        <x:v>10134</x:v>
      </x:c>
      <x:c r="S125" s="42" t="n">
        <x:f>MAX(P125,Q125)</x:f>
        <x:v>24622</x:v>
      </x:c>
      <x:c r="T125" s="42" t="n">
        <x:f>MAX(R125,MIN(O125,S125))</x:f>
        <x:v>20237</x:v>
      </x:c>
      <x:c r="U125" s="19" t="str">
        <x:f>IF(O125&lt;R125,IF(R125=P125,"clamped_to_nominal","clamped_to_ppp"),IF(O125&gt;S125,IF(S125=P125,"clamped_to_nominal","clamped_to_ppp"),"kept_vanilla"))</x:f>
        <x:v>kept_vanilla</x:v>
      </x:c>
      <x:c r="V125" s="42" t="n">
        <x:f>T125*H125</x:f>
        <x:v>227276363958</x:v>
      </x:c>
      <x:c r="W125" s="42" t="n">
        <x:f>V125/F125</x:f>
        <x:v>227276363958</x:v>
      </x:c>
      <x:c r="X125" s="36" t="str">
        <x:v>DOM: UN WPP 2024 Medium exact 2022</x:v>
      </x:c>
      <x:c r="Y125" s="36" t="str">
        <x:v>DOM: IMF exact 2022</x:v>
      </x:c>
      <x:c r="Z125" s="36" t="str">
        <x:v>DOM: IMF exact 2022</x:v>
      </x:c>
      <x:c r="AA125" s="36" t="str">
        <x:v>complete_primary</x:v>
      </x:c>
      <x:c r="AB125" s="36" t="str">
        <x:v>https://www.un.org/development/desa/pd/world-population-prospects-2024</x:v>
      </x:c>
      <x:c r="AC125" s="36" t="str">
        <x:v>https://api.imf.org/external/sdmx/3.0/data/dataflow/IMF.RES/WEO/9.0.0/</x:v>
      </x:c>
      <x:c r="AD125" s="36" t="str">
        <x:v>https://api.worldbank.org/v2/</x:v>
      </x:c>
    </x:row>
    <x:row r="126">
      <x:c r="A126" s="24" t="str">
        <x:v>DOM</x:v>
      </x:c>
      <x:c r="B126" s="24" t="str">
        <x:v>Dominican Republic</x:v>
      </x:c>
      <x:c r="C126" s="24" t="str">
        <x:v>DOM</x:v>
      </x:c>
      <x:c r="D126" s="24" t="str">
        <x:v>DOM</x:v>
      </x:c>
      <x:c r="E126" s="24" t="n">
        <x:v>2026</x:v>
      </x:c>
      <x:c r="F126" s="37" t="n">
        <x:v>0.87</x:v>
      </x:c>
      <x:c r="G126" s="38" t="n">
        <x:v>11609500</x:v>
      </x:c>
      <x:c r="H126" s="38" t="n">
        <x:v>11609500</x:v>
      </x:c>
      <x:c r="I126" s="39" t="n">
        <x:f>H126/G126</x:f>
        <x:v>1</x:v>
      </x:c>
      <x:c r="J126" s="40" t="n">
        <x:f>(I126-1)*100</x:f>
        <x:v>0</x:v>
      </x:c>
      <x:c r="K126" s="36" t="str">
        <x:v>no</x:v>
      </x:c>
      <x:c r="L126" s="36" t="str">
        <x:v>Single-country territory; UN WPP and vanilla are within the ±5% review threshold.</x:v>
      </x:c>
      <x:c r="M126" s="41" t="n">
        <x:v>295752160000</x:v>
      </x:c>
      <x:c r="N126" s="41" t="n">
        <x:v>257304379200</x:v>
      </x:c>
      <x:c r="O126" s="41" t="n">
        <x:v>22163</x:v>
      </x:c>
      <x:c r="P126" s="41" t="n">
        <x:v>10203</x:v>
      </x:c>
      <x:c r="Q126" s="41" t="n">
        <x:v>26464</x:v>
      </x:c>
      <x:c r="R126" s="42" t="n">
        <x:f>MIN(P126,Q126)</x:f>
        <x:v>10203</x:v>
      </x:c>
      <x:c r="S126" s="42" t="n">
        <x:f>MAX(P126,Q126)</x:f>
        <x:v>26464</x:v>
      </x:c>
      <x:c r="T126" s="42" t="n">
        <x:f>MAX(R126,MIN(O126,S126))</x:f>
        <x:v>22163</x:v>
      </x:c>
      <x:c r="U126" s="19" t="str">
        <x:f>IF(O126&lt;R126,IF(R126=P126,"clamped_to_nominal","clamped_to_ppp"),IF(O126&gt;S126,IF(S126=P126,"clamped_to_nominal","clamped_to_ppp"),"kept_vanilla"))</x:f>
        <x:v>kept_vanilla</x:v>
      </x:c>
      <x:c r="V126" s="42" t="n">
        <x:f>T126*H126</x:f>
        <x:v>257301348500</x:v>
      </x:c>
      <x:c r="W126" s="42" t="n">
        <x:f>V126/F126</x:f>
        <x:v>295748676436.7816</x:v>
      </x:c>
      <x:c r="X126" s="36" t="str">
        <x:v>DOM: UN WPP 2024 Medium exact 2026</x:v>
      </x:c>
      <x:c r="Y126" s="36" t="str">
        <x:v>DOM: IMF exact 2026</x:v>
      </x:c>
      <x:c r="Z126" s="36" t="str">
        <x:v>DOM: IMF exact 2026</x:v>
      </x:c>
      <x:c r="AA126" s="36" t="str">
        <x:v>complete_primary</x:v>
      </x:c>
      <x:c r="AB126" s="36" t="str">
        <x:v>https://www.un.org/development/desa/pd/world-population-prospects-2024</x:v>
      </x:c>
      <x:c r="AC126" s="36" t="str">
        <x:v>https://api.imf.org/external/sdmx/3.0/data/dataflow/IMF.RES/WEO/9.0.0/</x:v>
      </x:c>
      <x:c r="AD126" s="36" t="str">
        <x:v>https://api.worldbank.org/v2/</x:v>
      </x:c>
    </x:row>
    <x:row r="127">
      <x:c r="A127" s="24" t="str">
        <x:v>ECU</x:v>
      </x:c>
      <x:c r="B127" s="24" t="str">
        <x:v>Ecuador</x:v>
      </x:c>
      <x:c r="C127" s="24" t="str">
        <x:v>ECU</x:v>
      </x:c>
      <x:c r="D127" s="24" t="str">
        <x:v>ECU</x:v>
      </x:c>
      <x:c r="E127" s="24" t="n">
        <x:v>2003</x:v>
      </x:c>
      <x:c r="F127" s="37" t="n">
        <x:v>1.59</x:v>
      </x:c>
      <x:c r="G127" s="38" t="n">
        <x:v>13372306</x:v>
      </x:c>
      <x:c r="H127" s="38" t="n">
        <x:v>13372306</x:v>
      </x:c>
      <x:c r="I127" s="39" t="n">
        <x:f>H127/G127</x:f>
        <x:v>1</x:v>
      </x:c>
      <x:c r="J127" s="40" t="n">
        <x:f>(I127-1)*100</x:f>
        <x:v>0</x:v>
      </x:c>
      <x:c r="K127" s="36" t="str">
        <x:v>no</x:v>
      </x:c>
      <x:c r="L127" s="36" t="str">
        <x:v>Single-country territory; UN WPP and vanilla are within the ±5% review threshold.</x:v>
      </x:c>
      <x:c r="M127" s="41" t="n">
        <x:v>49099415205</x:v>
      </x:c>
      <x:c r="N127" s="41" t="n">
        <x:v>78068070176</x:v>
      </x:c>
      <x:c r="O127" s="41" t="n">
        <x:v>5838</x:v>
      </x:c>
      <x:c r="P127" s="41" t="n">
        <x:v>3682</x:v>
      </x:c>
      <x:c r="Q127" s="41" t="n">
        <x:v>9983</x:v>
      </x:c>
      <x:c r="R127" s="42" t="n">
        <x:f>MIN(P127,Q127)</x:f>
        <x:v>3682</x:v>
      </x:c>
      <x:c r="S127" s="42" t="n">
        <x:f>MAX(P127,Q127)</x:f>
        <x:v>9983</x:v>
      </x:c>
      <x:c r="T127" s="42" t="n">
        <x:f>MAX(R127,MIN(O127,S127))</x:f>
        <x:v>5838</x:v>
      </x:c>
      <x:c r="U127" s="19" t="str">
        <x:f>IF(O127&lt;R127,IF(R127=P127,"clamped_to_nominal","clamped_to_ppp"),IF(O127&gt;S127,IF(S127=P127,"clamped_to_nominal","clamped_to_ppp"),"kept_vanilla"))</x:f>
        <x:v>kept_vanilla</x:v>
      </x:c>
      <x:c r="V127" s="42" t="n">
        <x:f>T127*H127</x:f>
        <x:v>78067522428</x:v>
      </x:c>
      <x:c r="W127" s="42" t="n">
        <x:f>V127/F127</x:f>
        <x:v>49099070709.43396</x:v>
      </x:c>
      <x:c r="X127" s="36" t="str">
        <x:v>ECU: UN WPP 2024 Medium exact 2003</x:v>
      </x:c>
      <x:c r="Y127" s="36" t="str">
        <x:v>ECU: IMF exact 2003</x:v>
      </x:c>
      <x:c r="Z127" s="36" t="str">
        <x:v>ECU: IMF exact 2003</x:v>
      </x:c>
      <x:c r="AA127" s="36" t="str">
        <x:v>complete_primary</x:v>
      </x:c>
      <x:c r="AB127" s="36" t="str">
        <x:v>https://www.un.org/development/desa/pd/world-population-prospects-2024</x:v>
      </x:c>
      <x:c r="AC127" s="36" t="str">
        <x:v>https://api.imf.org/external/sdmx/3.0/data/dataflow/IMF.RES/WEO/9.0.0/</x:v>
      </x:c>
      <x:c r="AD127" s="36" t="str">
        <x:v>https://api.worldbank.org/v2/</x:v>
      </x:c>
    </x:row>
    <x:row r="128">
      <x:c r="A128" s="24" t="str">
        <x:v>ECU</x:v>
      </x:c>
      <x:c r="B128" s="24" t="str">
        <x:v>Ecuador</x:v>
      </x:c>
      <x:c r="C128" s="24" t="str">
        <x:v>ECU</x:v>
      </x:c>
      <x:c r="D128" s="24" t="str">
        <x:v>ECU</x:v>
      </x:c>
      <x:c r="E128" s="24" t="n">
        <x:v>2022</x:v>
      </x:c>
      <x:c r="F128" s="37" t="n">
        <x:v>1</x:v>
      </x:c>
      <x:c r="G128" s="38" t="n">
        <x:v>18181827</x:v>
      </x:c>
      <x:c r="H128" s="38" t="n">
        <x:v>17823897</x:v>
      </x:c>
      <x:c r="I128" s="39" t="n">
        <x:f>H128/G128</x:f>
        <x:v>0.9803138595477782</x:v>
      </x:c>
      <x:c r="J128" s="40" t="n">
        <x:f>(I128-1)*100</x:f>
        <x:v>-1.9686140452221834</x:v>
      </x:c>
      <x:c r="K128" s="36" t="str">
        <x:v>no</x:v>
      </x:c>
      <x:c r="L128" s="36" t="str">
        <x:v>Single-country territory; UN WPP and vanilla are within the ±5% review threshold.</x:v>
      </x:c>
      <x:c r="M128" s="41" t="n">
        <x:v>200662000000</x:v>
      </x:c>
      <x:c r="N128" s="41" t="n">
        <x:v>200662000000</x:v>
      </x:c>
      <x:c r="O128" s="41" t="n">
        <x:v>11036</x:v>
      </x:c>
      <x:c r="P128" s="41" t="n">
        <x:v>6516</x:v>
      </x:c>
      <x:c r="Q128" s="41" t="n">
        <x:v>15196</x:v>
      </x:c>
      <x:c r="R128" s="42" t="n">
        <x:f>MIN(P128,Q128)</x:f>
        <x:v>6516</x:v>
      </x:c>
      <x:c r="S128" s="42" t="n">
        <x:f>MAX(P128,Q128)</x:f>
        <x:v>15196</x:v>
      </x:c>
      <x:c r="T128" s="42" t="n">
        <x:f>MAX(R128,MIN(O128,S128))</x:f>
        <x:v>11036</x:v>
      </x:c>
      <x:c r="U128" s="19" t="str">
        <x:f>IF(O128&lt;R128,IF(R128=P128,"clamped_to_nominal","clamped_to_ppp"),IF(O128&gt;S128,IF(S128=P128,"clamped_to_nominal","clamped_to_ppp"),"kept_vanilla"))</x:f>
        <x:v>kept_vanilla</x:v>
      </x:c>
      <x:c r="V128" s="42" t="n">
        <x:f>T128*H128</x:f>
        <x:v>196704527292</x:v>
      </x:c>
      <x:c r="W128" s="42" t="n">
        <x:f>V128/F128</x:f>
        <x:v>196704527292</x:v>
      </x:c>
      <x:c r="X128" s="36" t="str">
        <x:v>ECU: UN WPP 2024 Medium exact 2022</x:v>
      </x:c>
      <x:c r="Y128" s="36" t="str">
        <x:v>ECU: IMF exact 2022</x:v>
      </x:c>
      <x:c r="Z128" s="36" t="str">
        <x:v>ECU: IMF exact 2022</x:v>
      </x:c>
      <x:c r="AA128" s="36" t="str">
        <x:v>complete_primary</x:v>
      </x:c>
      <x:c r="AB128" s="36" t="str">
        <x:v>https://www.un.org/development/desa/pd/world-population-prospects-2024</x:v>
      </x:c>
      <x:c r="AC128" s="36" t="str">
        <x:v>https://api.imf.org/external/sdmx/3.0/data/dataflow/IMF.RES/WEO/9.0.0/</x:v>
      </x:c>
      <x:c r="AD128" s="36" t="str">
        <x:v>https://api.worldbank.org/v2/</x:v>
      </x:c>
    </x:row>
    <x:row r="129">
      <x:c r="A129" s="24" t="str">
        <x:v>ECU</x:v>
      </x:c>
      <x:c r="B129" s="24" t="str">
        <x:v>Ecuador</x:v>
      </x:c>
      <x:c r="C129" s="24" t="str">
        <x:v>ECU</x:v>
      </x:c>
      <x:c r="D129" s="24" t="str">
        <x:v>ECU</x:v>
      </x:c>
      <x:c r="E129" s="24" t="n">
        <x:v>2026</x:v>
      </x:c>
      <x:c r="F129" s="37" t="n">
        <x:v>0.87</x:v>
      </x:c>
      <x:c r="G129" s="38" t="n">
        <x:v>18444507</x:v>
      </x:c>
      <x:c r="H129" s="38" t="n">
        <x:v>18444506</x:v>
      </x:c>
      <x:c r="I129" s="39" t="n">
        <x:f>H129/G129</x:f>
        <x:v>0.9999999457833164</x:v>
      </x:c>
      <x:c r="J129" s="40" t="n">
        <x:f>(I129-1)*100</x:f>
        <x:v>-0.000005421668358707166</x:v>
      </x:c>
      <x:c r="K129" s="36" t="str">
        <x:v>no</x:v>
      </x:c>
      <x:c r="L129" s="36" t="str">
        <x:v>Single-country territory; UN WPP and vanilla are within the ±5% review threshold.</x:v>
      </x:c>
      <x:c r="M129" s="41" t="n">
        <x:v>264107360000</x:v>
      </x:c>
      <x:c r="N129" s="41" t="n">
        <x:v>229773403200</x:v>
      </x:c>
      <x:c r="O129" s="41" t="n">
        <x:v>12458</x:v>
      </x:c>
      <x:c r="P129" s="41" t="n">
        <x:v>6518</x:v>
      </x:c>
      <x:c r="Q129" s="41" t="n">
        <x:v>15249</x:v>
      </x:c>
      <x:c r="R129" s="42" t="n">
        <x:f>MIN(P129,Q129)</x:f>
        <x:v>6518</x:v>
      </x:c>
      <x:c r="S129" s="42" t="n">
        <x:f>MAX(P129,Q129)</x:f>
        <x:v>15249</x:v>
      </x:c>
      <x:c r="T129" s="42" t="n">
        <x:f>MAX(R129,MIN(O129,S129))</x:f>
        <x:v>12458</x:v>
      </x:c>
      <x:c r="U129" s="19" t="str">
        <x:f>IF(O129&lt;R129,IF(R129=P129,"clamped_to_nominal","clamped_to_ppp"),IF(O129&gt;S129,IF(S129=P129,"clamped_to_nominal","clamped_to_ppp"),"kept_vanilla"))</x:f>
        <x:v>kept_vanilla</x:v>
      </x:c>
      <x:c r="V129" s="42" t="n">
        <x:f>T129*H129</x:f>
        <x:v>229781655748</x:v>
      </x:c>
      <x:c r="W129" s="42" t="n">
        <x:f>V129/F129</x:f>
        <x:v>264116845687.35632</x:v>
      </x:c>
      <x:c r="X129" s="36" t="str">
        <x:v>ECU: UN WPP 2024 Medium exact 2026</x:v>
      </x:c>
      <x:c r="Y129" s="36" t="str">
        <x:v>ECU: IMF exact 2026</x:v>
      </x:c>
      <x:c r="Z129" s="36" t="str">
        <x:v>ECU: IMF exact 2026</x:v>
      </x:c>
      <x:c r="AA129" s="36" t="str">
        <x:v>complete_primary</x:v>
      </x:c>
      <x:c r="AB129" s="36" t="str">
        <x:v>https://www.un.org/development/desa/pd/world-population-prospects-2024</x:v>
      </x:c>
      <x:c r="AC129" s="36" t="str">
        <x:v>https://api.imf.org/external/sdmx/3.0/data/dataflow/IMF.RES/WEO/9.0.0/</x:v>
      </x:c>
      <x:c r="AD129" s="36" t="str">
        <x:v>https://api.worldbank.org/v2/</x:v>
      </x:c>
    </x:row>
    <x:row r="130">
      <x:c r="A130" s="24" t="str">
        <x:v>EGY</x:v>
      </x:c>
      <x:c r="B130" s="24" t="str">
        <x:v>Egypt</x:v>
      </x:c>
      <x:c r="C130" s="24" t="str">
        <x:v>EGY</x:v>
      </x:c>
      <x:c r="D130" s="24" t="str">
        <x:v>EGY</x:v>
      </x:c>
      <x:c r="E130" s="24" t="n">
        <x:v>2003</x:v>
      </x:c>
      <x:c r="F130" s="37" t="n">
        <x:v>1.59</x:v>
      </x:c>
      <x:c r="G130" s="38" t="n">
        <x:v>77853547</x:v>
      </x:c>
      <x:c r="H130" s="38" t="n">
        <x:v>77853548</x:v>
      </x:c>
      <x:c r="I130" s="39" t="n">
        <x:f>H130/G130</x:f>
        <x:v>1.00000001284463</x:v>
      </x:c>
      <x:c r="J130" s="40" t="n">
        <x:f>(I130-1)*100</x:f>
        <x:v>0.0000012844630026265236</x:v>
      </x:c>
      <x:c r="K130" s="36" t="str">
        <x:v>no</x:v>
      </x:c>
      <x:c r="L130" s="36" t="str">
        <x:v>Single-country territory; UN WPP and vanilla are within the ±5% review threshold.</x:v>
      </x:c>
      <x:c r="M130" s="41" t="n">
        <x:v>282095321637</x:v>
      </x:c>
      <x:c r="N130" s="41" t="n">
        <x:v>448531561403</x:v>
      </x:c>
      <x:c r="O130" s="41" t="n">
        <x:v>5761</x:v>
      </x:c>
      <x:c r="P130" s="41" t="n">
        <x:v>1739</x:v>
      </x:c>
      <x:c r="Q130" s="41" t="n">
        <x:v>9852</x:v>
      </x:c>
      <x:c r="R130" s="42" t="n">
        <x:f>MIN(P130,Q130)</x:f>
        <x:v>1739</x:v>
      </x:c>
      <x:c r="S130" s="42" t="n">
        <x:f>MAX(P130,Q130)</x:f>
        <x:v>9852</x:v>
      </x:c>
      <x:c r="T130" s="42" t="n">
        <x:f>MAX(R130,MIN(O130,S130))</x:f>
        <x:v>5761</x:v>
      </x:c>
      <x:c r="U130" s="19" t="str">
        <x:f>IF(O130&lt;R130,IF(R130=P130,"clamped_to_nominal","clamped_to_ppp"),IF(O130&gt;S130,IF(S130=P130,"clamped_to_nominal","clamped_to_ppp"),"kept_vanilla"))</x:f>
        <x:v>kept_vanilla</x:v>
      </x:c>
      <x:c r="V130" s="42" t="n">
        <x:f>T130*H130</x:f>
        <x:v>448514290028</x:v>
      </x:c>
      <x:c r="W130" s="42" t="n">
        <x:f>V130/F130</x:f>
        <x:v>282084459137.10693</x:v>
      </x:c>
      <x:c r="X130" s="36" t="str">
        <x:v>EGY: UN WPP 2024 Medium exact 2003</x:v>
      </x:c>
      <x:c r="Y130" s="36" t="str">
        <x:v>EGY: IMF exact 2003</x:v>
      </x:c>
      <x:c r="Z130" s="36" t="str">
        <x:v>EGY: IMF exact 2003</x:v>
      </x:c>
      <x:c r="AA130" s="36" t="str">
        <x:v>complete_primary</x:v>
      </x:c>
      <x:c r="AB130" s="36" t="str">
        <x:v>https://www.un.org/development/desa/pd/world-population-prospects-2024</x:v>
      </x:c>
      <x:c r="AC130" s="36" t="str">
        <x:v>https://api.imf.org/external/sdmx/3.0/data/dataflow/IMF.RES/WEO/9.0.0/</x:v>
      </x:c>
      <x:c r="AD130" s="36" t="str">
        <x:v>https://api.worldbank.org/v2/</x:v>
      </x:c>
    </x:row>
    <x:row r="131">
      <x:c r="A131" s="24" t="str">
        <x:v>EGY</x:v>
      </x:c>
      <x:c r="B131" s="24" t="str">
        <x:v>Egypt</x:v>
      </x:c>
      <x:c r="C131" s="24" t="str">
        <x:v>EGY</x:v>
      </x:c>
      <x:c r="D131" s="24" t="str">
        <x:v>EGY</x:v>
      </x:c>
      <x:c r="E131" s="24" t="n">
        <x:v>2022</x:v>
      </x:c>
      <x:c r="F131" s="37" t="n">
        <x:v>1</x:v>
      </x:c>
      <x:c r="G131" s="38" t="n">
        <x:v>106749118</x:v>
      </x:c>
      <x:c r="H131" s="38" t="n">
        <x:v>112618250</x:v>
      </x:c>
      <x:c r="I131" s="39" t="n">
        <x:f>H131/G131</x:f>
        <x:v>1.0549806135166382</x:v>
      </x:c>
      <x:c r="J131" s="40" t="n">
        <x:f>(I131-1)*100</x:f>
        <x:v>5.498061351663819</x:v>
      </x:c>
      <x:c r="K131" s="36" t="str">
        <x:v>yes — reviewed</x:v>
      </x:c>
      <x:c r="L131" s="36" t="str">
        <x:v>Single-country game territory and UN country/area boundary align. The difference is an updated historical estimate/projection vintage, not a geographic-scope mismatch; accept the UN WPP value for a consistent source vintage.</x:v>
      </x:c>
      <x:c r="M131" s="41" t="n">
        <x:v>1374891760000</x:v>
      </x:c>
      <x:c r="N131" s="41" t="n">
        <x:v>1374891760000</x:v>
      </x:c>
      <x:c r="O131" s="41" t="n">
        <x:v>12880</x:v>
      </x:c>
      <x:c r="P131" s="41" t="n">
        <x:v>4220</x:v>
      </x:c>
      <x:c r="Q131" s="41" t="n">
        <x:v>17534</x:v>
      </x:c>
      <x:c r="R131" s="42" t="n">
        <x:f>MIN(P131,Q131)</x:f>
        <x:v>4220</x:v>
      </x:c>
      <x:c r="S131" s="42" t="n">
        <x:f>MAX(P131,Q131)</x:f>
        <x:v>17534</x:v>
      </x:c>
      <x:c r="T131" s="42" t="n">
        <x:f>MAX(R131,MIN(O131,S131))</x:f>
        <x:v>12880</x:v>
      </x:c>
      <x:c r="U131" s="19" t="str">
        <x:f>IF(O131&lt;R131,IF(R131=P131,"clamped_to_nominal","clamped_to_ppp"),IF(O131&gt;S131,IF(S131=P131,"clamped_to_nominal","clamped_to_ppp"),"kept_vanilla"))</x:f>
        <x:v>kept_vanilla</x:v>
      </x:c>
      <x:c r="V131" s="42" t="n">
        <x:f>T131*H131</x:f>
        <x:v>1450523060000</x:v>
      </x:c>
      <x:c r="W131" s="42" t="n">
        <x:f>V131/F131</x:f>
        <x:v>1450523060000</x:v>
      </x:c>
      <x:c r="X131" s="36" t="str">
        <x:v>EGY: UN WPP 2024 Medium exact 2022</x:v>
      </x:c>
      <x:c r="Y131" s="36" t="str">
        <x:v>EGY: IMF exact 2022</x:v>
      </x:c>
      <x:c r="Z131" s="36" t="str">
        <x:v>EGY: IMF exact 2022</x:v>
      </x:c>
      <x:c r="AA131" s="36" t="str">
        <x:v>complete_primary</x:v>
      </x:c>
      <x:c r="AB131" s="36" t="str">
        <x:v>https://www.un.org/development/desa/pd/world-population-prospects-2024</x:v>
      </x:c>
      <x:c r="AC131" s="36" t="str">
        <x:v>https://api.imf.org/external/sdmx/3.0/data/dataflow/IMF.RES/WEO/9.0.0/</x:v>
      </x:c>
      <x:c r="AD131" s="36" t="str">
        <x:v>https://api.worldbank.org/v2/</x:v>
      </x:c>
    </x:row>
    <x:row r="132">
      <x:c r="A132" s="24" t="str">
        <x:v>EGY</x:v>
      </x:c>
      <x:c r="B132" s="24" t="str">
        <x:v>Egypt</x:v>
      </x:c>
      <x:c r="C132" s="24" t="str">
        <x:v>EGY</x:v>
      </x:c>
      <x:c r="D132" s="24" t="str">
        <x:v>EGY</x:v>
      </x:c>
      <x:c r="E132" s="24" t="n">
        <x:v>2026</x:v>
      </x:c>
      <x:c r="F132" s="37" t="n">
        <x:v>0.87</x:v>
      </x:c>
      <x:c r="G132" s="38" t="n">
        <x:v>120101175</x:v>
      </x:c>
      <x:c r="H132" s="38" t="n">
        <x:v>120101175</x:v>
      </x:c>
      <x:c r="I132" s="39" t="n">
        <x:f>H132/G132</x:f>
        <x:v>1</x:v>
      </x:c>
      <x:c r="J132" s="40" t="n">
        <x:f>(I132-1)*100</x:f>
        <x:v>0</x:v>
      </x:c>
      <x:c r="K132" s="36" t="str">
        <x:v>no</x:v>
      </x:c>
      <x:c r="L132" s="36" t="str">
        <x:v>Single-country territory; UN WPP and vanilla are within the ±5% review threshold.</x:v>
      </x:c>
      <x:c r="M132" s="41" t="n">
        <x:v>2095726160000</x:v>
      </x:c>
      <x:c r="N132" s="41" t="n">
        <x:v>1823281759200</x:v>
      </x:c>
      <x:c r="O132" s="41" t="n">
        <x:v>15181</x:v>
      </x:c>
      <x:c r="P132" s="41" t="n">
        <x:v>3112</x:v>
      </x:c>
      <x:c r="Q132" s="41" t="n">
        <x:v>18593</x:v>
      </x:c>
      <x:c r="R132" s="42" t="n">
        <x:f>MIN(P132,Q132)</x:f>
        <x:v>3112</x:v>
      </x:c>
      <x:c r="S132" s="42" t="n">
        <x:f>MAX(P132,Q132)</x:f>
        <x:v>18593</x:v>
      </x:c>
      <x:c r="T132" s="42" t="n">
        <x:f>MAX(R132,MIN(O132,S132))</x:f>
        <x:v>15181</x:v>
      </x:c>
      <x:c r="U132" s="19" t="str">
        <x:f>IF(O132&lt;R132,IF(R132=P132,"clamped_to_nominal","clamped_to_ppp"),IF(O132&gt;S132,IF(S132=P132,"clamped_to_nominal","clamped_to_ppp"),"kept_vanilla"))</x:f>
        <x:v>kept_vanilla</x:v>
      </x:c>
      <x:c r="V132" s="42" t="n">
        <x:f>T132*H132</x:f>
        <x:v>1823255937675</x:v>
      </x:c>
      <x:c r="W132" s="42" t="n">
        <x:f>V132/F132</x:f>
        <x:v>2095696480086.2068</x:v>
      </x:c>
      <x:c r="X132" s="36" t="str">
        <x:v>EGY: UN WPP 2024 Medium exact 2026</x:v>
      </x:c>
      <x:c r="Y132" s="36" t="str">
        <x:v>EGY: IMF exact 2026</x:v>
      </x:c>
      <x:c r="Z132" s="36" t="str">
        <x:v>EGY: IMF exact 2026</x:v>
      </x:c>
      <x:c r="AA132" s="36" t="str">
        <x:v>complete_primary</x:v>
      </x:c>
      <x:c r="AB132" s="36" t="str">
        <x:v>https://www.un.org/development/desa/pd/world-population-prospects-2024</x:v>
      </x:c>
      <x:c r="AC132" s="36" t="str">
        <x:v>https://api.imf.org/external/sdmx/3.0/data/dataflow/IMF.RES/WEO/9.0.0/</x:v>
      </x:c>
      <x:c r="AD132" s="36" t="str">
        <x:v>https://api.worldbank.org/v2/</x:v>
      </x:c>
    </x:row>
    <x:row r="133">
      <x:c r="A133" s="24" t="str">
        <x:v>ELS</x:v>
      </x:c>
      <x:c r="B133" s="24" t="str">
        <x:v>El Salvador</x:v>
      </x:c>
      <x:c r="C133" s="24" t="str">
        <x:v>SLV</x:v>
      </x:c>
      <x:c r="D133" s="24" t="str">
        <x:v>SLV</x:v>
      </x:c>
      <x:c r="E133" s="24" t="n">
        <x:v>2003</x:v>
      </x:c>
      <x:c r="F133" s="37" t="n">
        <x:v>1.59</x:v>
      </x:c>
      <x:c r="G133" s="38" t="n">
        <x:v>5998599</x:v>
      </x:c>
      <x:c r="H133" s="38" t="n">
        <x:v>5998599</x:v>
      </x:c>
      <x:c r="I133" s="39" t="n">
        <x:f>H133/G133</x:f>
        <x:v>1</x:v>
      </x:c>
      <x:c r="J133" s="40" t="n">
        <x:f>(I133-1)*100</x:f>
        <x:v>0</x:v>
      </x:c>
      <x:c r="K133" s="36" t="str">
        <x:v>no</x:v>
      </x:c>
      <x:c r="L133" s="36" t="str">
        <x:v>Single-country territory; UN WPP and vanilla are within the ±5% review threshold.</x:v>
      </x:c>
      <x:c r="M133" s="41" t="n">
        <x:v>18721052632</x:v>
      </x:c>
      <x:c r="N133" s="41" t="n">
        <x:v>29766473685</x:v>
      </x:c>
      <x:c r="O133" s="41" t="n">
        <x:v>4962</x:v>
      </x:c>
      <x:c r="P133" s="41" t="n">
        <x:v>3510</x:v>
      </x:c>
      <x:c r="Q133" s="41" t="n">
        <x:v>8485</x:v>
      </x:c>
      <x:c r="R133" s="42" t="n">
        <x:f>MIN(P133,Q133)</x:f>
        <x:v>3510</x:v>
      </x:c>
      <x:c r="S133" s="42" t="n">
        <x:f>MAX(P133,Q133)</x:f>
        <x:v>8485</x:v>
      </x:c>
      <x:c r="T133" s="42" t="n">
        <x:f>MAX(R133,MIN(O133,S133))</x:f>
        <x:v>4962</x:v>
      </x:c>
      <x:c r="U133" s="19" t="str">
        <x:f>IF(O133&lt;R133,IF(R133=P133,"clamped_to_nominal","clamped_to_ppp"),IF(O133&gt;S133,IF(S133=P133,"clamped_to_nominal","clamped_to_ppp"),"kept_vanilla"))</x:f>
        <x:v>kept_vanilla</x:v>
      </x:c>
      <x:c r="V133" s="42" t="n">
        <x:f>T133*H133</x:f>
        <x:v>29765048238</x:v>
      </x:c>
      <x:c r="W133" s="42" t="n">
        <x:f>V133/F133</x:f>
        <x:v>18720156124.5283</x:v>
      </x:c>
      <x:c r="X133" s="36" t="str">
        <x:v>SLV: UN WPP 2024 Medium exact 2003</x:v>
      </x:c>
      <x:c r="Y133" s="36" t="str">
        <x:v>SLV: IMF exact 2003</x:v>
      </x:c>
      <x:c r="Z133" s="36" t="str">
        <x:v>SLV: IMF exact 2003</x:v>
      </x:c>
      <x:c r="AA133" s="36" t="str">
        <x:v>complete_primary</x:v>
      </x:c>
      <x:c r="AB133" s="36" t="str">
        <x:v>https://www.un.org/development/desa/pd/world-population-prospects-2024</x:v>
      </x:c>
      <x:c r="AC133" s="36" t="str">
        <x:v>https://api.imf.org/external/sdmx/3.0/data/dataflow/IMF.RES/WEO/9.0.0/</x:v>
      </x:c>
      <x:c r="AD133" s="36" t="str">
        <x:v>https://api.worldbank.org/v2/</x:v>
      </x:c>
    </x:row>
    <x:row r="134">
      <x:c r="A134" s="24" t="str">
        <x:v>ELS</x:v>
      </x:c>
      <x:c r="B134" s="24" t="str">
        <x:v>El Salvador</x:v>
      </x:c>
      <x:c r="C134" s="24" t="str">
        <x:v>SLV</x:v>
      </x:c>
      <x:c r="D134" s="24" t="str">
        <x:v>SLV</x:v>
      </x:c>
      <x:c r="E134" s="24" t="n">
        <x:v>2022</x:v>
      </x:c>
      <x:c r="F134" s="37" t="n">
        <x:v>1</x:v>
      </x:c>
      <x:c r="G134" s="38" t="n">
        <x:v>6560298</x:v>
      </x:c>
      <x:c r="H134" s="38" t="n">
        <x:v>6280319</x:v>
      </x:c>
      <x:c r="I134" s="39" t="n">
        <x:f>H134/G134</x:f>
        <x:v>0.9573222131067827</x:v>
      </x:c>
      <x:c r="J134" s="40" t="n">
        <x:f>(I134-1)*100</x:f>
        <x:v>-4.267778689321733</x:v>
      </x:c>
      <x:c r="K134" s="36" t="str">
        <x:v>no</x:v>
      </x:c>
      <x:c r="L134" s="36" t="str">
        <x:v>Single-country territory; UN WPP and vanilla are within the ±5% review threshold.</x:v>
      </x:c>
      <x:c r="M134" s="41" t="n">
        <x:v>60996320000</x:v>
      </x:c>
      <x:c r="N134" s="41" t="n">
        <x:v>60996320000</x:v>
      </x:c>
      <x:c r="O134" s="41" t="n">
        <x:v>9298</x:v>
      </x:c>
      <x:c r="P134" s="41" t="n">
        <x:v>5075</x:v>
      </x:c>
      <x:c r="Q134" s="41" t="n">
        <x:v>11874</x:v>
      </x:c>
      <x:c r="R134" s="42" t="n">
        <x:f>MIN(P134,Q134)</x:f>
        <x:v>5075</x:v>
      </x:c>
      <x:c r="S134" s="42" t="n">
        <x:f>MAX(P134,Q134)</x:f>
        <x:v>11874</x:v>
      </x:c>
      <x:c r="T134" s="42" t="n">
        <x:f>MAX(R134,MIN(O134,S134))</x:f>
        <x:v>9298</x:v>
      </x:c>
      <x:c r="U134" s="19" t="str">
        <x:f>IF(O134&lt;R134,IF(R134=P134,"clamped_to_nominal","clamped_to_ppp"),IF(O134&gt;S134,IF(S134=P134,"clamped_to_nominal","clamped_to_ppp"),"kept_vanilla"))</x:f>
        <x:v>kept_vanilla</x:v>
      </x:c>
      <x:c r="V134" s="42" t="n">
        <x:f>T134*H134</x:f>
        <x:v>58394406062</x:v>
      </x:c>
      <x:c r="W134" s="42" t="n">
        <x:f>V134/F134</x:f>
        <x:v>58394406062</x:v>
      </x:c>
      <x:c r="X134" s="36" t="str">
        <x:v>SLV: UN WPP 2024 Medium exact 2022</x:v>
      </x:c>
      <x:c r="Y134" s="36" t="str">
        <x:v>SLV: IMF exact 2022</x:v>
      </x:c>
      <x:c r="Z134" s="36" t="str">
        <x:v>SLV: IMF exact 2022</x:v>
      </x:c>
      <x:c r="AA134" s="36" t="str">
        <x:v>complete_primary</x:v>
      </x:c>
      <x:c r="AB134" s="36" t="str">
        <x:v>https://www.un.org/development/desa/pd/world-population-prospects-2024</x:v>
      </x:c>
      <x:c r="AC134" s="36" t="str">
        <x:v>https://api.imf.org/external/sdmx/3.0/data/dataflow/IMF.RES/WEO/9.0.0/</x:v>
      </x:c>
      <x:c r="AD134" s="36" t="str">
        <x:v>https://api.worldbank.org/v2/</x:v>
      </x:c>
    </x:row>
    <x:row r="135">
      <x:c r="A135" s="24" t="str">
        <x:v>ELS</x:v>
      </x:c>
      <x:c r="B135" s="24" t="str">
        <x:v>El Salvador</x:v>
      </x:c>
      <x:c r="C135" s="24" t="str">
        <x:v>SLV</x:v>
      </x:c>
      <x:c r="D135" s="24" t="str">
        <x:v>SLV</x:v>
      </x:c>
      <x:c r="E135" s="24" t="n">
        <x:v>2026</x:v>
      </x:c>
      <x:c r="F135" s="37" t="n">
        <x:v>0.87</x:v>
      </x:c>
      <x:c r="G135" s="38" t="n">
        <x:v>6391254</x:v>
      </x:c>
      <x:c r="H135" s="38" t="n">
        <x:v>6391253</x:v>
      </x:c>
      <x:c r="I135" s="39" t="n">
        <x:f>H135/G135</x:f>
        <x:v>0.9999998435361824</x:v>
      </x:c>
      <x:c r="J135" s="40" t="n">
        <x:f>(I135-1)*100</x:f>
        <x:v>-0.000015646381756884153</x:v>
      </x:c>
      <x:c r="K135" s="36" t="str">
        <x:v>no</x:v>
      </x:c>
      <x:c r="L135" s="36" t="str">
        <x:v>Single-country territory; UN WPP and vanilla are within the ±5% review threshold.</x:v>
      </x:c>
      <x:c r="M135" s="41" t="n">
        <x:v>77688160000</x:v>
      </x:c>
      <x:c r="N135" s="41" t="n">
        <x:v>67588699200</x:v>
      </x:c>
      <x:c r="O135" s="41" t="n">
        <x:v>10575</x:v>
      </x:c>
      <x:c r="P135" s="41" t="n">
        <x:v>5423</x:v>
      </x:c>
      <x:c r="Q135" s="41" t="n">
        <x:v>12987</x:v>
      </x:c>
      <x:c r="R135" s="42" t="n">
        <x:f>MIN(P135,Q135)</x:f>
        <x:v>5423</x:v>
      </x:c>
      <x:c r="S135" s="42" t="n">
        <x:f>MAX(P135,Q135)</x:f>
        <x:v>12987</x:v>
      </x:c>
      <x:c r="T135" s="42" t="n">
        <x:f>MAX(R135,MIN(O135,S135))</x:f>
        <x:v>10575</x:v>
      </x:c>
      <x:c r="U135" s="19" t="str">
        <x:f>IF(O135&lt;R135,IF(R135=P135,"clamped_to_nominal","clamped_to_ppp"),IF(O135&gt;S135,IF(S135=P135,"clamped_to_nominal","clamped_to_ppp"),"kept_vanilla"))</x:f>
        <x:v>kept_vanilla</x:v>
      </x:c>
      <x:c r="V135" s="42" t="n">
        <x:f>T135*H135</x:f>
        <x:v>67587500475</x:v>
      </x:c>
      <x:c r="W135" s="42" t="n">
        <x:f>V135/F135</x:f>
        <x:v>77686782155.17241</x:v>
      </x:c>
      <x:c r="X135" s="36" t="str">
        <x:v>SLV: UN WPP 2024 Medium exact 2026</x:v>
      </x:c>
      <x:c r="Y135" s="36" t="str">
        <x:v>SLV: IMF exact 2026</x:v>
      </x:c>
      <x:c r="Z135" s="36" t="str">
        <x:v>SLV: IMF exact 2026</x:v>
      </x:c>
      <x:c r="AA135" s="36" t="str">
        <x:v>complete_primary</x:v>
      </x:c>
      <x:c r="AB135" s="36" t="str">
        <x:v>https://www.un.org/development/desa/pd/world-population-prospects-2024</x:v>
      </x:c>
      <x:c r="AC135" s="36" t="str">
        <x:v>https://api.imf.org/external/sdmx/3.0/data/dataflow/IMF.RES/WEO/9.0.0/</x:v>
      </x:c>
      <x:c r="AD135" s="36" t="str">
        <x:v>https://api.worldbank.org/v2/</x:v>
      </x:c>
    </x:row>
    <x:row r="136">
      <x:c r="A136" s="24" t="str">
        <x:v>EQG</x:v>
      </x:c>
      <x:c r="B136" s="24" t="str">
        <x:v>Equatorial Guinea</x:v>
      </x:c>
      <x:c r="C136" s="24" t="str">
        <x:v>GNQ</x:v>
      </x:c>
      <x:c r="D136" s="24" t="str">
        <x:v>GNQ</x:v>
      </x:c>
      <x:c r="E136" s="24" t="n">
        <x:v>2003</x:v>
      </x:c>
      <x:c r="F136" s="37" t="n">
        <x:v>1.59</x:v>
      </x:c>
      <x:c r="G136" s="38" t="n">
        <x:v>847862</x:v>
      </x:c>
      <x:c r="H136" s="38" t="n">
        <x:v>847862</x:v>
      </x:c>
      <x:c r="I136" s="39" t="n">
        <x:f>H136/G136</x:f>
        <x:v>1</x:v>
      </x:c>
      <x:c r="J136" s="40" t="n">
        <x:f>(I136-1)*100</x:f>
        <x:v>0</x:v>
      </x:c>
      <x:c r="K136" s="36" t="str">
        <x:v>no</x:v>
      </x:c>
      <x:c r="L136" s="36" t="str">
        <x:v>Single-country territory; UN WPP and vanilla are within the ±5% review threshold.</x:v>
      </x:c>
      <x:c r="M136" s="41" t="n">
        <x:v>7930409357</x:v>
      </x:c>
      <x:c r="N136" s="41" t="n">
        <x:v>12609350878</x:v>
      </x:c>
      <x:c r="O136" s="41" t="n">
        <x:v>14872</x:v>
      </x:c>
      <x:c r="P136" s="41" t="n">
        <x:v>7000</x:v>
      </x:c>
      <x:c r="Q136" s="41" t="n">
        <x:v>25431</x:v>
      </x:c>
      <x:c r="R136" s="42" t="n">
        <x:f>MIN(P136,Q136)</x:f>
        <x:v>7000</x:v>
      </x:c>
      <x:c r="S136" s="42" t="n">
        <x:f>MAX(P136,Q136)</x:f>
        <x:v>25431</x:v>
      </x:c>
      <x:c r="T136" s="42" t="n">
        <x:f>MAX(R136,MIN(O136,S136))</x:f>
        <x:v>14872</x:v>
      </x:c>
      <x:c r="U136" s="19" t="str">
        <x:f>IF(O136&lt;R136,IF(R136=P136,"clamped_to_nominal","clamped_to_ppp"),IF(O136&gt;S136,IF(S136=P136,"clamped_to_nominal","clamped_to_ppp"),"kept_vanilla"))</x:f>
        <x:v>kept_vanilla</x:v>
      </x:c>
      <x:c r="V136" s="42" t="n">
        <x:f>T136*H136</x:f>
        <x:v>12609403664</x:v>
      </x:c>
      <x:c r="W136" s="42" t="n">
        <x:f>V136/F136</x:f>
        <x:v>7930442555.974842</x:v>
      </x:c>
      <x:c r="X136" s="36" t="str">
        <x:v>GNQ: UN WPP 2024 Medium exact 2003</x:v>
      </x:c>
      <x:c r="Y136" s="36" t="str">
        <x:v>GNQ: IMF exact 2003</x:v>
      </x:c>
      <x:c r="Z136" s="36" t="str">
        <x:v>GNQ: IMF exact 2003</x:v>
      </x:c>
      <x:c r="AA136" s="36" t="str">
        <x:v>complete_primary</x:v>
      </x:c>
      <x:c r="AB136" s="36" t="str">
        <x:v>https://www.un.org/development/desa/pd/world-population-prospects-2024</x:v>
      </x:c>
      <x:c r="AC136" s="36" t="str">
        <x:v>https://api.imf.org/external/sdmx/3.0/data/dataflow/IMF.RES/WEO/9.0.0/</x:v>
      </x:c>
      <x:c r="AD136" s="36" t="str">
        <x:v>https://api.worldbank.org/v2/</x:v>
      </x:c>
    </x:row>
    <x:row r="137">
      <x:c r="A137" s="24" t="str">
        <x:v>EQG</x:v>
      </x:c>
      <x:c r="B137" s="24" t="str">
        <x:v>Equatorial Guinea</x:v>
      </x:c>
      <x:c r="C137" s="24" t="str">
        <x:v>GNQ</x:v>
      </x:c>
      <x:c r="D137" s="24" t="str">
        <x:v>GNQ</x:v>
      </x:c>
      <x:c r="E137" s="24" t="n">
        <x:v>2022</x:v>
      </x:c>
      <x:c r="F137" s="37" t="n">
        <x:v>1</x:v>
      </x:c>
      <x:c r="G137" s="38" t="n">
        <x:v>1511571</x:v>
      </x:c>
      <x:c r="H137" s="38" t="n">
        <x:v>1803545</x:v>
      </x:c>
      <x:c r="I137" s="39" t="n">
        <x:f>H137/G137</x:f>
        <x:v>1.1931593024740486</x:v>
      </x:c>
      <x:c r="J137" s="40" t="n">
        <x:f>(I137-1)*100</x:f>
        <x:v>19.315930247404857</x:v>
      </x:c>
      <x:c r="K137" s="36" t="str">
        <x:v>yes — reviewed</x:v>
      </x:c>
      <x:c r="L137" s="36" t="str">
        <x:v>Single-country game territory and UN country/area boundary align. The difference is an updated historical estimate/projection vintage, not a geographic-scope mismatch; accept the UN WPP value for a consistent source vintage.</x:v>
      </x:c>
      <x:c r="M137" s="41" t="n">
        <x:v>25099360000</x:v>
      </x:c>
      <x:c r="N137" s="41" t="n">
        <x:v>25099360000</x:v>
      </x:c>
      <x:c r="O137" s="41" t="n">
        <x:v>16605</x:v>
      </x:c>
      <x:c r="P137" s="41" t="n">
        <x:v>7606</x:v>
      </x:c>
      <x:c r="Q137" s="41" t="n">
        <x:v>18137</x:v>
      </x:c>
      <x:c r="R137" s="42" t="n">
        <x:f>MIN(P137,Q137)</x:f>
        <x:v>7606</x:v>
      </x:c>
      <x:c r="S137" s="42" t="n">
        <x:f>MAX(P137,Q137)</x:f>
        <x:v>18137</x:v>
      </x:c>
      <x:c r="T137" s="42" t="n">
        <x:f>MAX(R137,MIN(O137,S137))</x:f>
        <x:v>16605</x:v>
      </x:c>
      <x:c r="U137" s="19" t="str">
        <x:f>IF(O137&lt;R137,IF(R137=P137,"clamped_to_nominal","clamped_to_ppp"),IF(O137&gt;S137,IF(S137=P137,"clamped_to_nominal","clamped_to_ppp"),"kept_vanilla"))</x:f>
        <x:v>kept_vanilla</x:v>
      </x:c>
      <x:c r="V137" s="42" t="n">
        <x:f>T137*H137</x:f>
        <x:v>29947864725</x:v>
      </x:c>
      <x:c r="W137" s="42" t="n">
        <x:f>V137/F137</x:f>
        <x:v>29947864725</x:v>
      </x:c>
      <x:c r="X137" s="36" t="str">
        <x:v>GNQ: UN WPP 2024 Medium exact 2022</x:v>
      </x:c>
      <x:c r="Y137" s="36" t="str">
        <x:v>GNQ: IMF exact 2022</x:v>
      </x:c>
      <x:c r="Z137" s="36" t="str">
        <x:v>GNQ: IMF exact 2022</x:v>
      </x:c>
      <x:c r="AA137" s="36" t="str">
        <x:v>complete_primary</x:v>
      </x:c>
      <x:c r="AB137" s="36" t="str">
        <x:v>https://www.un.org/development/desa/pd/world-population-prospects-2024</x:v>
      </x:c>
      <x:c r="AC137" s="36" t="str">
        <x:v>https://api.imf.org/external/sdmx/3.0/data/dataflow/IMF.RES/WEO/9.0.0/</x:v>
      </x:c>
      <x:c r="AD137" s="36" t="str">
        <x:v>https://api.worldbank.org/v2/</x:v>
      </x:c>
    </x:row>
    <x:row r="138">
      <x:c r="A138" s="24" t="str">
        <x:v>EQG</x:v>
      </x:c>
      <x:c r="B138" s="24" t="str">
        <x:v>Equatorial Guinea</x:v>
      </x:c>
      <x:c r="C138" s="24" t="str">
        <x:v>GNQ</x:v>
      </x:c>
      <x:c r="D138" s="24" t="str">
        <x:v>GNQ</x:v>
      </x:c>
      <x:c r="E138" s="24" t="n">
        <x:v>2026</x:v>
      </x:c>
      <x:c r="F138" s="37" t="n">
        <x:v>0.87</x:v>
      </x:c>
      <x:c r="G138" s="38" t="n">
        <x:v>1984468</x:v>
      </x:c>
      <x:c r="H138" s="38" t="n">
        <x:v>1984468</x:v>
      </x:c>
      <x:c r="I138" s="39" t="n">
        <x:f>H138/G138</x:f>
        <x:v>1</x:v>
      </x:c>
      <x:c r="J138" s="40" t="n">
        <x:f>(I138-1)*100</x:f>
        <x:v>0</x:v>
      </x:c>
      <x:c r="K138" s="36" t="str">
        <x:v>no</x:v>
      </x:c>
      <x:c r="L138" s="36" t="str">
        <x:v>Single-country territory; UN WPP and vanilla are within the ±5% review threshold.</x:v>
      </x:c>
      <x:c r="M138" s="41" t="n">
        <x:v>29042640000</x:v>
      </x:c>
      <x:c r="N138" s="41" t="n">
        <x:v>25267096800</x:v>
      </x:c>
      <x:c r="O138" s="41" t="n">
        <x:v>12732</x:v>
      </x:c>
      <x:c r="P138" s="41" t="n">
        <x:v>6016</x:v>
      </x:c>
      <x:c r="Q138" s="41" t="n">
        <x:v>14067</x:v>
      </x:c>
      <x:c r="R138" s="42" t="n">
        <x:f>MIN(P138,Q138)</x:f>
        <x:v>6016</x:v>
      </x:c>
      <x:c r="S138" s="42" t="n">
        <x:f>MAX(P138,Q138)</x:f>
        <x:v>14067</x:v>
      </x:c>
      <x:c r="T138" s="42" t="n">
        <x:f>MAX(R138,MIN(O138,S138))</x:f>
        <x:v>12732</x:v>
      </x:c>
      <x:c r="U138" s="19" t="str">
        <x:f>IF(O138&lt;R138,IF(R138=P138,"clamped_to_nominal","clamped_to_ppp"),IF(O138&gt;S138,IF(S138=P138,"clamped_to_nominal","clamped_to_ppp"),"kept_vanilla"))</x:f>
        <x:v>kept_vanilla</x:v>
      </x:c>
      <x:c r="V138" s="42" t="n">
        <x:f>T138*H138</x:f>
        <x:v>25266246576</x:v>
      </x:c>
      <x:c r="W138" s="42" t="n">
        <x:f>V138/F138</x:f>
        <x:v>29041662731.03448</x:v>
      </x:c>
      <x:c r="X138" s="36" t="str">
        <x:v>GNQ: UN WPP 2024 Medium exact 2026</x:v>
      </x:c>
      <x:c r="Y138" s="36" t="str">
        <x:v>GNQ: IMF exact 2026</x:v>
      </x:c>
      <x:c r="Z138" s="36" t="str">
        <x:v>GNQ: IMF exact 2026</x:v>
      </x:c>
      <x:c r="AA138" s="36" t="str">
        <x:v>complete_primary</x:v>
      </x:c>
      <x:c r="AB138" s="36" t="str">
        <x:v>https://www.un.org/development/desa/pd/world-population-prospects-2024</x:v>
      </x:c>
      <x:c r="AC138" s="36" t="str">
        <x:v>https://api.imf.org/external/sdmx/3.0/data/dataflow/IMF.RES/WEO/9.0.0/</x:v>
      </x:c>
      <x:c r="AD138" s="36" t="str">
        <x:v>https://api.worldbank.org/v2/</x:v>
      </x:c>
    </x:row>
    <x:row r="139">
      <x:c r="A139" s="24" t="str">
        <x:v>ERI</x:v>
      </x:c>
      <x:c r="B139" s="24" t="str">
        <x:v>Eritrea</x:v>
      </x:c>
      <x:c r="C139" s="24" t="str">
        <x:v>ERI</x:v>
      </x:c>
      <x:c r="D139" s="24" t="str">
        <x:v>ERI</x:v>
      </x:c>
      <x:c r="E139" s="24" t="n">
        <x:v>2003</x:v>
      </x:c>
      <x:c r="F139" s="37" t="n">
        <x:v>1.59</x:v>
      </x:c>
      <x:c r="G139" s="38" t="n">
        <x:v>2493903</x:v>
      </x:c>
      <x:c r="H139" s="38" t="n">
        <x:v>2493903</x:v>
      </x:c>
      <x:c r="I139" s="39" t="n">
        <x:f>H139/G139</x:f>
        <x:v>1</x:v>
      </x:c>
      <x:c r="J139" s="40" t="n">
        <x:f>(I139-1)*100</x:f>
        <x:v>0</x:v>
      </x:c>
      <x:c r="K139" s="36" t="str">
        <x:v>no</x:v>
      </x:c>
      <x:c r="L139" s="36" t="str">
        <x:v>Single-country territory; UN WPP and vanilla are within the ±5% review threshold.</x:v>
      </x:c>
      <x:c r="M139" s="41" t="n">
        <x:v>1987134503</x:v>
      </x:c>
      <x:c r="N139" s="41" t="n">
        <x:v>3159543860</x:v>
      </x:c>
      <x:c r="O139" s="41" t="n">
        <x:v>1267</x:v>
      </x:c>
      <x:c r="P139" s="41" t="n">
        <x:v>429</x:v>
      </x:c>
      <x:c r="Q139" s="41" t="n">
        <x:v>2166</x:v>
      </x:c>
      <x:c r="R139" s="42" t="n">
        <x:f>MIN(P139,Q139)</x:f>
        <x:v>429</x:v>
      </x:c>
      <x:c r="S139" s="42" t="n">
        <x:f>MAX(P139,Q139)</x:f>
        <x:v>2166</x:v>
      </x:c>
      <x:c r="T139" s="42" t="n">
        <x:f>MAX(R139,MIN(O139,S139))</x:f>
        <x:v>1267</x:v>
      </x:c>
      <x:c r="U139" s="19" t="str">
        <x:f>IF(O139&lt;R139,IF(R139=P139,"clamped_to_nominal","clamped_to_ppp"),IF(O139&gt;S139,IF(S139=P139,"clamped_to_nominal","clamped_to_ppp"),"kept_vanilla"))</x:f>
        <x:v>kept_vanilla</x:v>
      </x:c>
      <x:c r="V139" s="42" t="n">
        <x:f>T139*H139</x:f>
        <x:v>3159775101</x:v>
      </x:c>
      <x:c r="W139" s="42" t="n">
        <x:f>V139/F139</x:f>
        <x:v>1987279937.735849</x:v>
      </x:c>
      <x:c r="X139" s="36" t="str">
        <x:v>ERI: UN WPP 2024 Medium exact 2003</x:v>
      </x:c>
      <x:c r="Y139" s="36" t="str">
        <x:v>ERI: IMF exact 2003</x:v>
      </x:c>
      <x:c r="Z139" s="36" t="str">
        <x:v>ERI: IMF exact 2003</x:v>
      </x:c>
      <x:c r="AA139" s="36" t="str">
        <x:v>complete_primary</x:v>
      </x:c>
      <x:c r="AB139" s="36" t="str">
        <x:v>https://www.un.org/development/desa/pd/world-population-prospects-2024</x:v>
      </x:c>
      <x:c r="AC139" s="36" t="str">
        <x:v>https://api.imf.org/external/sdmx/3.0/data/dataflow/IMF.RES/WEO/9.0.0/</x:v>
      </x:c>
      <x:c r="AD139" s="36" t="str">
        <x:v>https://api.worldbank.org/v2/</x:v>
      </x:c>
    </x:row>
    <x:row r="140">
      <x:c r="A140" s="24" t="str">
        <x:v>ERI</x:v>
      </x:c>
      <x:c r="B140" s="24" t="str">
        <x:v>Eritrea</x:v>
      </x:c>
      <x:c r="C140" s="24" t="str">
        <x:v>ERI</x:v>
      </x:c>
      <x:c r="D140" s="24" t="str">
        <x:v>ERI</x:v>
      </x:c>
      <x:c r="E140" s="24" t="n">
        <x:v>2022</x:v>
      </x:c>
      <x:c r="F140" s="37" t="n">
        <x:v>1</x:v>
      </x:c>
      <x:c r="G140" s="38" t="n">
        <x:v>3681556</x:v>
      </x:c>
      <x:c r="H140" s="38" t="n">
        <x:v>3409447</x:v>
      </x:c>
      <x:c r="I140" s="39" t="n">
        <x:f>H140/G140</x:f>
        <x:v>0.926088588629373</x:v>
      </x:c>
      <x:c r="J140" s="40" t="n">
        <x:f>(I140-1)*100</x:f>
        <x:v>-7.391141137062696</x:v>
      </x:c>
      <x:c r="K140" s="36" t="str">
        <x:v>yes — reviewed</x:v>
      </x:c>
      <x:c r="L140" s="36" t="str">
        <x:v>Single-country game territory and UN country/area boundary align. The difference is an updated historical estimate/projection vintage, not a geographic-scope mismatch; accept the UN WPP value for a consistent source vintage.</x:v>
      </x:c>
      <x:c r="M140" s="41" t="n">
        <x:v>6771600000</x:v>
      </x:c>
      <x:c r="N140" s="41" t="n">
        <x:v>6771600000</x:v>
      </x:c>
      <x:c r="O140" s="41" t="n">
        <x:v>1839</x:v>
      </x:c>
      <x:c r="P140" s="41" t="n">
        <x:v>604</x:v>
      </x:c>
      <x:c r="Q140" s="41" t="n">
        <x:v>2092</x:v>
      </x:c>
      <x:c r="R140" s="42" t="n">
        <x:f>MIN(P140,Q140)</x:f>
        <x:v>604</x:v>
      </x:c>
      <x:c r="S140" s="42" t="n">
        <x:f>MAX(P140,Q140)</x:f>
        <x:v>2092</x:v>
      </x:c>
      <x:c r="T140" s="42" t="n">
        <x:f>MAX(R140,MIN(O140,S140))</x:f>
        <x:v>1839</x:v>
      </x:c>
      <x:c r="U140" s="19" t="str">
        <x:f>IF(O140&lt;R140,IF(R140=P140,"clamped_to_nominal","clamped_to_ppp"),IF(O140&gt;S140,IF(S140=P140,"clamped_to_nominal","clamped_to_ppp"),"kept_vanilla"))</x:f>
        <x:v>kept_vanilla</x:v>
      </x:c>
      <x:c r="V140" s="42" t="n">
        <x:f>T140*H140</x:f>
        <x:v>6269973033</x:v>
      </x:c>
      <x:c r="W140" s="42" t="n">
        <x:f>V140/F140</x:f>
        <x:v>6269973033</x:v>
      </x:c>
      <x:c r="X140" s="36" t="str">
        <x:v>ERI: UN WPP 2024 Medium exact 2022</x:v>
      </x:c>
      <x:c r="Y140" s="36" t="str">
        <x:v>ERI: peer-growth inference from IMF 2019; Sub-Saharan Africa ; Low income median -2.06%/yr (20 peers, capped at ±8%)</x:v>
      </x:c>
      <x:c r="Z140" s="36" t="str">
        <x:v>ERI: peer-growth inference from IMF 2019; Sub-Saharan Africa ; Low income median 0.39%/yr (20 peers, capped at ±8%)</x:v>
      </x:c>
      <x:c r="AA140" s="36" t="str">
        <x:v>inferred</x:v>
      </x:c>
      <x:c r="AB140" s="36" t="str">
        <x:v>https://www.un.org/development/desa/pd/world-population-prospects-2024</x:v>
      </x:c>
      <x:c r="AC140" s="36" t="str">
        <x:v>https://api.imf.org/external/sdmx/3.0/data/dataflow/IMF.RES/WEO/9.0.0/</x:v>
      </x:c>
      <x:c r="AD140" s="36" t="str">
        <x:v>https://api.worldbank.org/v2/</x:v>
      </x:c>
    </x:row>
    <x:row r="141">
      <x:c r="A141" s="24" t="str">
        <x:v>ERI</x:v>
      </x:c>
      <x:c r="B141" s="24" t="str">
        <x:v>Eritrea</x:v>
      </x:c>
      <x:c r="C141" s="24" t="str">
        <x:v>ERI</x:v>
      </x:c>
      <x:c r="D141" s="24" t="str">
        <x:v>ERI</x:v>
      </x:c>
      <x:c r="E141" s="24" t="n">
        <x:v>2026</x:v>
      </x:c>
      <x:c r="F141" s="37" t="n">
        <x:v>0.87</x:v>
      </x:c>
      <x:c r="G141" s="38" t="n">
        <x:v>3682669</x:v>
      </x:c>
      <x:c r="H141" s="38" t="n">
        <x:v>3682669</x:v>
      </x:c>
      <x:c r="I141" s="39" t="n">
        <x:f>H141/G141</x:f>
        <x:v>1</x:v>
      </x:c>
      <x:c r="J141" s="40" t="n">
        <x:f>(I141-1)*100</x:f>
        <x:v>0</x:v>
      </x:c>
      <x:c r="K141" s="36" t="str">
        <x:v>no</x:v>
      </x:c>
      <x:c r="L141" s="36" t="str">
        <x:v>Single-country territory; UN WPP and vanilla are within the ±5% review threshold.</x:v>
      </x:c>
      <x:c r="M141" s="41" t="n">
        <x:v>5636400000</x:v>
      </x:c>
      <x:c r="N141" s="41" t="n">
        <x:v>4903668000</x:v>
      </x:c>
      <x:c r="O141" s="41" t="n">
        <x:v>1332</x:v>
      </x:c>
      <x:c r="P141" s="41" t="n">
        <x:v>656</x:v>
      </x:c>
      <x:c r="Q141" s="41" t="n">
        <x:v>2190</x:v>
      </x:c>
      <x:c r="R141" s="42" t="n">
        <x:f>MIN(P141,Q141)</x:f>
        <x:v>656</x:v>
      </x:c>
      <x:c r="S141" s="42" t="n">
        <x:f>MAX(P141,Q141)</x:f>
        <x:v>2190</x:v>
      </x:c>
      <x:c r="T141" s="42" t="n">
        <x:f>MAX(R141,MIN(O141,S141))</x:f>
        <x:v>1332</x:v>
      </x:c>
      <x:c r="U141" s="19" t="str">
        <x:f>IF(O141&lt;R141,IF(R141=P141,"clamped_to_nominal","clamped_to_ppp"),IF(O141&gt;S141,IF(S141=P141,"clamped_to_nominal","clamped_to_ppp"),"kept_vanilla"))</x:f>
        <x:v>kept_vanilla</x:v>
      </x:c>
      <x:c r="V141" s="42" t="n">
        <x:f>T141*H141</x:f>
        <x:v>4905315108</x:v>
      </x:c>
      <x:c r="W141" s="42" t="n">
        <x:f>V141/F141</x:f>
        <x:v>5638293227.586207</x:v>
      </x:c>
      <x:c r="X141" s="36" t="str">
        <x:v>ERI: UN WPP 2024 Medium exact 2026</x:v>
      </x:c>
      <x:c r="Y141" s="36" t="str">
        <x:v>ERI: peer-growth inference from IMF 2019; Sub-Saharan Africa ; Low income median 0.59%/yr (20 peers, capped at ±8%)</x:v>
      </x:c>
      <x:c r="Z141" s="36" t="str">
        <x:v>ERI: peer-growth inference from IMF 2019; Sub-Saharan Africa ; Low income median 1.14%/yr (20 peers, capped at ±8%)</x:v>
      </x:c>
      <x:c r="AA141" s="36" t="str">
        <x:v>inferred</x:v>
      </x:c>
      <x:c r="AB141" s="36" t="str">
        <x:v>https://www.un.org/development/desa/pd/world-population-prospects-2024</x:v>
      </x:c>
      <x:c r="AC141" s="36" t="str">
        <x:v>https://api.imf.org/external/sdmx/3.0/data/dataflow/IMF.RES/WEO/9.0.0/</x:v>
      </x:c>
      <x:c r="AD141" s="36" t="str">
        <x:v>https://api.worldbank.org/v2/</x:v>
      </x:c>
    </x:row>
    <x:row r="142">
      <x:c r="A142" s="24" t="str">
        <x:v>EST</x:v>
      </x:c>
      <x:c r="B142" s="24" t="str">
        <x:v>Estonia</x:v>
      </x:c>
      <x:c r="C142" s="24" t="str">
        <x:v>EST</x:v>
      </x:c>
      <x:c r="D142" s="24" t="str">
        <x:v>EST</x:v>
      </x:c>
      <x:c r="E142" s="24" t="n">
        <x:v>2003</x:v>
      </x:c>
      <x:c r="F142" s="37" t="n">
        <x:v>1.59</x:v>
      </x:c>
      <x:c r="G142" s="38" t="n">
        <x:v>1370850</x:v>
      </x:c>
      <x:c r="H142" s="38" t="n">
        <x:v>1370850</x:v>
      </x:c>
      <x:c r="I142" s="39" t="n">
        <x:f>H142/G142</x:f>
        <x:v>1</x:v>
      </x:c>
      <x:c r="J142" s="40" t="n">
        <x:f>(I142-1)*100</x:f>
        <x:v>0</x:v>
      </x:c>
      <x:c r="K142" s="36" t="str">
        <x:v>no</x:v>
      </x:c>
      <x:c r="L142" s="36" t="str">
        <x:v>Single-country territory; UN WPP and vanilla are within the ±5% review threshold.</x:v>
      </x:c>
      <x:c r="M142" s="41" t="n">
        <x:v>13732163743</x:v>
      </x:c>
      <x:c r="N142" s="41" t="n">
        <x:v>21834140351</x:v>
      </x:c>
      <x:c r="O142" s="41" t="n">
        <x:v>15927</x:v>
      </x:c>
      <x:c r="P142" s="41" t="n">
        <x:v>11476</x:v>
      </x:c>
      <x:c r="Q142" s="41" t="n">
        <x:v>27236</x:v>
      </x:c>
      <x:c r="R142" s="42" t="n">
        <x:f>MIN(P142,Q142)</x:f>
        <x:v>11476</x:v>
      </x:c>
      <x:c r="S142" s="42" t="n">
        <x:f>MAX(P142,Q142)</x:f>
        <x:v>27236</x:v>
      </x:c>
      <x:c r="T142" s="42" t="n">
        <x:f>MAX(R142,MIN(O142,S142))</x:f>
        <x:v>15927</x:v>
      </x:c>
      <x:c r="U142" s="19" t="str">
        <x:f>IF(O142&lt;R142,IF(R142=P142,"clamped_to_nominal","clamped_to_ppp"),IF(O142&gt;S142,IF(S142=P142,"clamped_to_nominal","clamped_to_ppp"),"kept_vanilla"))</x:f>
        <x:v>kept_vanilla</x:v>
      </x:c>
      <x:c r="V142" s="42" t="n">
        <x:f>T142*H142</x:f>
        <x:v>21833527950</x:v>
      </x:c>
      <x:c r="W142" s="42" t="n">
        <x:f>V142/F142</x:f>
        <x:v>13731778584.90566</x:v>
      </x:c>
      <x:c r="X142" s="36" t="str">
        <x:v>EST: UN WPP 2024 Medium exact 2003</x:v>
      </x:c>
      <x:c r="Y142" s="36" t="str">
        <x:v>EST: IMF exact 2003</x:v>
      </x:c>
      <x:c r="Z142" s="36" t="str">
        <x:v>EST: IMF exact 2003</x:v>
      </x:c>
      <x:c r="AA142" s="36" t="str">
        <x:v>complete_primary</x:v>
      </x:c>
      <x:c r="AB142" s="36" t="str">
        <x:v>https://www.un.org/development/desa/pd/world-population-prospects-2024</x:v>
      </x:c>
      <x:c r="AC142" s="36" t="str">
        <x:v>https://api.imf.org/external/sdmx/3.0/data/dataflow/IMF.RES/WEO/9.0.0/</x:v>
      </x:c>
      <x:c r="AD142" s="36" t="str">
        <x:v>https://api.worldbank.org/v2/</x:v>
      </x:c>
    </x:row>
    <x:row r="143">
      <x:c r="A143" s="24" t="str">
        <x:v>EST</x:v>
      </x:c>
      <x:c r="B143" s="24" t="str">
        <x:v>Estonia</x:v>
      </x:c>
      <x:c r="C143" s="24" t="str">
        <x:v>EST</x:v>
      </x:c>
      <x:c r="D143" s="24" t="str">
        <x:v>EST</x:v>
      </x:c>
      <x:c r="E143" s="24" t="n">
        <x:v>2022</x:v>
      </x:c>
      <x:c r="F143" s="37" t="n">
        <x:v>1</x:v>
      </x:c>
      <x:c r="G143" s="38" t="n">
        <x:v>1320755</x:v>
      </x:c>
      <x:c r="H143" s="38" t="n">
        <x:v>1350091</x:v>
      </x:c>
      <x:c r="I143" s="39" t="n">
        <x:f>H143/G143</x:f>
        <x:v>1.0222115380975276</x:v>
      </x:c>
      <x:c r="J143" s="40" t="n">
        <x:f>(I143-1)*100</x:f>
        <x:v>2.2211538097527628</x:v>
      </x:c>
      <x:c r="K143" s="36" t="str">
        <x:v>no</x:v>
      </x:c>
      <x:c r="L143" s="36" t="str">
        <x:v>Single-country territory; UN WPP and vanilla are within the ±5% review threshold.</x:v>
      </x:c>
      <x:c r="M143" s="41" t="n">
        <x:v>52410160000</x:v>
      </x:c>
      <x:c r="N143" s="41" t="n">
        <x:v>52410160000</x:v>
      </x:c>
      <x:c r="O143" s="41" t="n">
        <x:v>39682</x:v>
      </x:c>
      <x:c r="P143" s="41" t="n">
        <x:v>28336</x:v>
      </x:c>
      <x:c r="Q143" s="41" t="n">
        <x:v>46996</x:v>
      </x:c>
      <x:c r="R143" s="42" t="n">
        <x:f>MIN(P143,Q143)</x:f>
        <x:v>28336</x:v>
      </x:c>
      <x:c r="S143" s="42" t="n">
        <x:f>MAX(P143,Q143)</x:f>
        <x:v>46996</x:v>
      </x:c>
      <x:c r="T143" s="42" t="n">
        <x:f>MAX(R143,MIN(O143,S143))</x:f>
        <x:v>39682</x:v>
      </x:c>
      <x:c r="U143" s="19" t="str">
        <x:f>IF(O143&lt;R143,IF(R143=P143,"clamped_to_nominal","clamped_to_ppp"),IF(O143&gt;S143,IF(S143=P143,"clamped_to_nominal","clamped_to_ppp"),"kept_vanilla"))</x:f>
        <x:v>kept_vanilla</x:v>
      </x:c>
      <x:c r="V143" s="42" t="n">
        <x:f>T143*H143</x:f>
        <x:v>53574311062</x:v>
      </x:c>
      <x:c r="W143" s="42" t="n">
        <x:f>V143/F143</x:f>
        <x:v>53574311062</x:v>
      </x:c>
      <x:c r="X143" s="36" t="str">
        <x:v>EST: UN WPP 2024 Medium exact 2022</x:v>
      </x:c>
      <x:c r="Y143" s="36" t="str">
        <x:v>EST: IMF exact 2022</x:v>
      </x:c>
      <x:c r="Z143" s="36" t="str">
        <x:v>EST: IMF exact 2022</x:v>
      </x:c>
      <x:c r="AA143" s="36" t="str">
        <x:v>complete_primary</x:v>
      </x:c>
      <x:c r="AB143" s="36" t="str">
        <x:v>https://www.un.org/development/desa/pd/world-population-prospects-2024</x:v>
      </x:c>
      <x:c r="AC143" s="36" t="str">
        <x:v>https://api.imf.org/external/sdmx/3.0/data/dataflow/IMF.RES/WEO/9.0.0/</x:v>
      </x:c>
      <x:c r="AD143" s="36" t="str">
        <x:v>https://api.worldbank.org/v2/</x:v>
      </x:c>
    </x:row>
    <x:row r="144">
      <x:c r="A144" s="24" t="str">
        <x:v>EST</x:v>
      </x:c>
      <x:c r="B144" s="24" t="str">
        <x:v>Estonia</x:v>
      </x:c>
      <x:c r="C144" s="24" t="str">
        <x:v>EST</x:v>
      </x:c>
      <x:c r="D144" s="24" t="str">
        <x:v>EST</x:v>
      </x:c>
      <x:c r="E144" s="24" t="n">
        <x:v>2026</x:v>
      </x:c>
      <x:c r="F144" s="37" t="n">
        <x:v>0.87</x:v>
      </x:c>
      <x:c r="G144" s="38" t="n">
        <x:v>1331062</x:v>
      </x:c>
      <x:c r="H144" s="38" t="n">
        <x:v>1331062</x:v>
      </x:c>
      <x:c r="I144" s="39" t="n">
        <x:f>H144/G144</x:f>
        <x:v>1</x:v>
      </x:c>
      <x:c r="J144" s="40" t="n">
        <x:f>(I144-1)*100</x:f>
        <x:v>0</x:v>
      </x:c>
      <x:c r="K144" s="36" t="str">
        <x:v>no</x:v>
      </x:c>
      <x:c r="L144" s="36" t="str">
        <x:v>Single-country territory; UN WPP and vanilla are within the ±5% review threshold.</x:v>
      </x:c>
      <x:c r="M144" s="41" t="n">
        <x:v>60046800000</x:v>
      </x:c>
      <x:c r="N144" s="41" t="n">
        <x:v>52240716000</x:v>
      </x:c>
      <x:c r="O144" s="41" t="n">
        <x:v>39247</x:v>
      </x:c>
      <x:c r="P144" s="41" t="n">
        <x:v>33749</x:v>
      </x:c>
      <x:c r="Q144" s="41" t="n">
        <x:v>46217</x:v>
      </x:c>
      <x:c r="R144" s="42" t="n">
        <x:f>MIN(P144,Q144)</x:f>
        <x:v>33749</x:v>
      </x:c>
      <x:c r="S144" s="42" t="n">
        <x:f>MAX(P144,Q144)</x:f>
        <x:v>46217</x:v>
      </x:c>
      <x:c r="T144" s="42" t="n">
        <x:f>MAX(R144,MIN(O144,S144))</x:f>
        <x:v>39247</x:v>
      </x:c>
      <x:c r="U144" s="19" t="str">
        <x:f>IF(O144&lt;R144,IF(R144=P144,"clamped_to_nominal","clamped_to_ppp"),IF(O144&gt;S144,IF(S144=P144,"clamped_to_nominal","clamped_to_ppp"),"kept_vanilla"))</x:f>
        <x:v>kept_vanilla</x:v>
      </x:c>
      <x:c r="V144" s="42" t="n">
        <x:f>T144*H144</x:f>
        <x:v>52240190314</x:v>
      </x:c>
      <x:c r="W144" s="42" t="n">
        <x:f>V144/F144</x:f>
        <x:v>60046195763.21839</x:v>
      </x:c>
      <x:c r="X144" s="36" t="str">
        <x:v>EST: UN WPP 2024 Medium exact 2026</x:v>
      </x:c>
      <x:c r="Y144" s="36" t="str">
        <x:v>EST: IMF exact 2026</x:v>
      </x:c>
      <x:c r="Z144" s="36" t="str">
        <x:v>EST: IMF exact 2026</x:v>
      </x:c>
      <x:c r="AA144" s="36" t="str">
        <x:v>complete_primary</x:v>
      </x:c>
      <x:c r="AB144" s="36" t="str">
        <x:v>https://www.un.org/development/desa/pd/world-population-prospects-2024</x:v>
      </x:c>
      <x:c r="AC144" s="36" t="str">
        <x:v>https://api.imf.org/external/sdmx/3.0/data/dataflow/IMF.RES/WEO/9.0.0/</x:v>
      </x:c>
      <x:c r="AD144" s="36" t="str">
        <x:v>https://api.worldbank.org/v2/</x:v>
      </x:c>
    </x:row>
    <x:row r="145">
      <x:c r="A145" s="24" t="str">
        <x:v>ESW</x:v>
      </x:c>
      <x:c r="B145" s="24" t="str">
        <x:v>Eswatini</x:v>
      </x:c>
      <x:c r="C145" s="24" t="str">
        <x:v>SWZ</x:v>
      </x:c>
      <x:c r="D145" s="24" t="str">
        <x:v>SWZ</x:v>
      </x:c>
      <x:c r="E145" s="24" t="n">
        <x:v>2003</x:v>
      </x:c>
      <x:c r="F145" s="37" t="n">
        <x:v>1.59</x:v>
      </x:c>
      <x:c r="G145" s="38" t="n">
        <x:v>1066700</x:v>
      </x:c>
      <x:c r="H145" s="38" t="n">
        <x:v>1066700</x:v>
      </x:c>
      <x:c r="I145" s="39" t="n">
        <x:f>H145/G145</x:f>
        <x:v>1</x:v>
      </x:c>
      <x:c r="J145" s="40" t="n">
        <x:f>(I145-1)*100</x:f>
        <x:v>0</x:v>
      </x:c>
      <x:c r="K145" s="36" t="str">
        <x:v>no</x:v>
      </x:c>
      <x:c r="L145" s="36" t="str">
        <x:v>Single-country territory; UN WPP and vanilla are within the ±5% review threshold.</x:v>
      </x:c>
      <x:c r="M145" s="41" t="n">
        <x:v>2870760234</x:v>
      </x:c>
      <x:c r="N145" s="41" t="n">
        <x:v>4564508772</x:v>
      </x:c>
      <x:c r="O145" s="41" t="n">
        <x:v>4279</x:v>
      </x:c>
      <x:c r="P145" s="41" t="n">
        <x:v>3180</x:v>
      </x:c>
      <x:c r="Q145" s="41" t="n">
        <x:v>7133</x:v>
      </x:c>
      <x:c r="R145" s="42" t="n">
        <x:f>MIN(P145,Q145)</x:f>
        <x:v>3180</x:v>
      </x:c>
      <x:c r="S145" s="42" t="n">
        <x:f>MAX(P145,Q145)</x:f>
        <x:v>7133</x:v>
      </x:c>
      <x:c r="T145" s="42" t="n">
        <x:f>MAX(R145,MIN(O145,S145))</x:f>
        <x:v>4279</x:v>
      </x:c>
      <x:c r="U145" s="19" t="str">
        <x:f>IF(O145&lt;R145,IF(R145=P145,"clamped_to_nominal","clamped_to_ppp"),IF(O145&gt;S145,IF(S145=P145,"clamped_to_nominal","clamped_to_ppp"),"kept_vanilla"))</x:f>
        <x:v>kept_vanilla</x:v>
      </x:c>
      <x:c r="V145" s="42" t="n">
        <x:f>T145*H145</x:f>
        <x:v>4564409300</x:v>
      </x:c>
      <x:c r="W145" s="42" t="n">
        <x:f>V145/F145</x:f>
        <x:v>2870697672.9559746</x:v>
      </x:c>
      <x:c r="X145" s="36" t="str">
        <x:v>SWZ: UN WPP 2024 Medium exact 2003</x:v>
      </x:c>
      <x:c r="Y145" s="36" t="str">
        <x:v>SWZ: IMF exact 2003</x:v>
      </x:c>
      <x:c r="Z145" s="36" t="str">
        <x:v>SWZ: IMF exact 2003</x:v>
      </x:c>
      <x:c r="AA145" s="36" t="str">
        <x:v>complete_primary</x:v>
      </x:c>
      <x:c r="AB145" s="36" t="str">
        <x:v>https://www.un.org/development/desa/pd/world-population-prospects-2024</x:v>
      </x:c>
      <x:c r="AC145" s="36" t="str">
        <x:v>https://api.imf.org/external/sdmx/3.0/data/dataflow/IMF.RES/WEO/9.0.0/</x:v>
      </x:c>
      <x:c r="AD145" s="36" t="str">
        <x:v>https://api.worldbank.org/v2/</x:v>
      </x:c>
    </x:row>
    <x:row r="146">
      <x:c r="A146" s="24" t="str">
        <x:v>ESW</x:v>
      </x:c>
      <x:c r="B146" s="24" t="str">
        <x:v>Eswatini</x:v>
      </x:c>
      <x:c r="C146" s="24" t="str">
        <x:v>SWZ</x:v>
      </x:c>
      <x:c r="D146" s="24" t="str">
        <x:v>SWZ</x:v>
      </x:c>
      <x:c r="E146" s="24" t="n">
        <x:v>2022</x:v>
      </x:c>
      <x:c r="F146" s="37" t="n">
        <x:v>1</x:v>
      </x:c>
      <x:c r="G146" s="38" t="n">
        <x:v>1188663</x:v>
      </x:c>
      <x:c r="H146" s="38" t="n">
        <x:v>1218917</x:v>
      </x:c>
      <x:c r="I146" s="39" t="n">
        <x:f>H146/G146</x:f>
        <x:v>1.0254521256234945</x:v>
      </x:c>
      <x:c r="J146" s="40" t="n">
        <x:f>(I146-1)*100</x:f>
        <x:v>2.5452125623494526</x:v>
      </x:c>
      <x:c r="K146" s="36" t="str">
        <x:v>no</x:v>
      </x:c>
      <x:c r="L146" s="36" t="str">
        <x:v>Single-country territory; UN WPP and vanilla are within the ±5% review threshold.</x:v>
      </x:c>
      <x:c r="M146" s="41" t="n">
        <x:v>10546800000</x:v>
      </x:c>
      <x:c r="N146" s="41" t="n">
        <x:v>10546800000</x:v>
      </x:c>
      <x:c r="O146" s="41" t="n">
        <x:v>8873</x:v>
      </x:c>
      <x:c r="P146" s="41" t="n">
        <x:v>3894</x:v>
      </x:c>
      <x:c r="Q146" s="41" t="n">
        <x:v>10634</x:v>
      </x:c>
      <x:c r="R146" s="42" t="n">
        <x:f>MIN(P146,Q146)</x:f>
        <x:v>3894</x:v>
      </x:c>
      <x:c r="S146" s="42" t="n">
        <x:f>MAX(P146,Q146)</x:f>
        <x:v>10634</x:v>
      </x:c>
      <x:c r="T146" s="42" t="n">
        <x:f>MAX(R146,MIN(O146,S146))</x:f>
        <x:v>8873</x:v>
      </x:c>
      <x:c r="U146" s="19" t="str">
        <x:f>IF(O146&lt;R146,IF(R146=P146,"clamped_to_nominal","clamped_to_ppp"),IF(O146&gt;S146,IF(S146=P146,"clamped_to_nominal","clamped_to_ppp"),"kept_vanilla"))</x:f>
        <x:v>kept_vanilla</x:v>
      </x:c>
      <x:c r="V146" s="42" t="n">
        <x:f>T146*H146</x:f>
        <x:v>10815450541</x:v>
      </x:c>
      <x:c r="W146" s="42" t="n">
        <x:f>V146/F146</x:f>
        <x:v>10815450541</x:v>
      </x:c>
      <x:c r="X146" s="36" t="str">
        <x:v>SWZ: UN WPP 2024 Medium exact 2022</x:v>
      </x:c>
      <x:c r="Y146" s="36" t="str">
        <x:v>SWZ: IMF exact 2022</x:v>
      </x:c>
      <x:c r="Z146" s="36" t="str">
        <x:v>SWZ: IMF exact 2022</x:v>
      </x:c>
      <x:c r="AA146" s="36" t="str">
        <x:v>complete_primary</x:v>
      </x:c>
      <x:c r="AB146" s="36" t="str">
        <x:v>https://www.un.org/development/desa/pd/world-population-prospects-2024</x:v>
      </x:c>
      <x:c r="AC146" s="36" t="str">
        <x:v>https://api.imf.org/external/sdmx/3.0/data/dataflow/IMF.RES/WEO/9.0.0/</x:v>
      </x:c>
      <x:c r="AD146" s="36" t="str">
        <x:v>https://api.worldbank.org/v2/</x:v>
      </x:c>
    </x:row>
    <x:row r="147">
      <x:c r="A147" s="24" t="str">
        <x:v>ESW</x:v>
      </x:c>
      <x:c r="B147" s="24" t="str">
        <x:v>Eswatini</x:v>
      </x:c>
      <x:c r="C147" s="24" t="str">
        <x:v>SWZ</x:v>
      </x:c>
      <x:c r="D147" s="24" t="str">
        <x:v>SWZ</x:v>
      </x:c>
      <x:c r="E147" s="24" t="n">
        <x:v>2026</x:v>
      </x:c>
      <x:c r="F147" s="37" t="n">
        <x:v>0.87</x:v>
      </x:c>
      <x:c r="G147" s="38" t="n">
        <x:v>1269859</x:v>
      </x:c>
      <x:c r="H147" s="38" t="n">
        <x:v>1269859</x:v>
      </x:c>
      <x:c r="I147" s="39" t="n">
        <x:f>H147/G147</x:f>
        <x:v>1</x:v>
      </x:c>
      <x:c r="J147" s="40" t="n">
        <x:f>(I147-1)*100</x:f>
        <x:v>0</x:v>
      </x:c>
      <x:c r="K147" s="36" t="str">
        <x:v>no</x:v>
      </x:c>
      <x:c r="L147" s="36" t="str">
        <x:v>Single-country territory; UN WPP and vanilla are within the ±5% review threshold.</x:v>
      </x:c>
      <x:c r="M147" s="41" t="n">
        <x:v>14363360000</x:v>
      </x:c>
      <x:c r="N147" s="41" t="n">
        <x:v>12496123200</x:v>
      </x:c>
      <x:c r="O147" s="41" t="n">
        <x:v>9841</x:v>
      </x:c>
      <x:c r="P147" s="41" t="n">
        <x:v>3968</x:v>
      </x:c>
      <x:c r="Q147" s="41" t="n">
        <x:v>11473</x:v>
      </x:c>
      <x:c r="R147" s="42" t="n">
        <x:f>MIN(P147,Q147)</x:f>
        <x:v>3968</x:v>
      </x:c>
      <x:c r="S147" s="42" t="n">
        <x:f>MAX(P147,Q147)</x:f>
        <x:v>11473</x:v>
      </x:c>
      <x:c r="T147" s="42" t="n">
        <x:f>MAX(R147,MIN(O147,S147))</x:f>
        <x:v>9841</x:v>
      </x:c>
      <x:c r="U147" s="19" t="str">
        <x:f>IF(O147&lt;R147,IF(R147=P147,"clamped_to_nominal","clamped_to_ppp"),IF(O147&gt;S147,IF(S147=P147,"clamped_to_nominal","clamped_to_ppp"),"kept_vanilla"))</x:f>
        <x:v>kept_vanilla</x:v>
      </x:c>
      <x:c r="V147" s="42" t="n">
        <x:f>T147*H147</x:f>
        <x:v>12496682419</x:v>
      </x:c>
      <x:c r="W147" s="42" t="n">
        <x:f>V147/F147</x:f>
        <x:v>14364002780.45977</x:v>
      </x:c>
      <x:c r="X147" s="36" t="str">
        <x:v>SWZ: UN WPP 2024 Medium exact 2026</x:v>
      </x:c>
      <x:c r="Y147" s="36" t="str">
        <x:v>SWZ: IMF exact 2026</x:v>
      </x:c>
      <x:c r="Z147" s="36" t="str">
        <x:v>SWZ: IMF exact 2026</x:v>
      </x:c>
      <x:c r="AA147" s="36" t="str">
        <x:v>complete_primary</x:v>
      </x:c>
      <x:c r="AB147" s="36" t="str">
        <x:v>https://www.un.org/development/desa/pd/world-population-prospects-2024</x:v>
      </x:c>
      <x:c r="AC147" s="36" t="str">
        <x:v>https://api.imf.org/external/sdmx/3.0/data/dataflow/IMF.RES/WEO/9.0.0/</x:v>
      </x:c>
      <x:c r="AD147" s="36" t="str">
        <x:v>https://api.worldbank.org/v2/</x:v>
      </x:c>
    </x:row>
    <x:row r="148">
      <x:c r="A148" s="24" t="str">
        <x:v>ETH</x:v>
      </x:c>
      <x:c r="B148" s="24" t="str">
        <x:v>Ethiopia</x:v>
      </x:c>
      <x:c r="C148" s="24" t="str">
        <x:v>ETH</x:v>
      </x:c>
      <x:c r="D148" s="24" t="str">
        <x:v>ETH</x:v>
      </x:c>
      <x:c r="E148" s="24" t="n">
        <x:v>2003</x:v>
      </x:c>
      <x:c r="F148" s="37" t="n">
        <x:v>1.59</x:v>
      </x:c>
      <x:c r="G148" s="38" t="n">
        <x:v>73832663</x:v>
      </x:c>
      <x:c r="H148" s="38" t="n">
        <x:v>73832663</x:v>
      </x:c>
      <x:c r="I148" s="39" t="n">
        <x:f>H148/G148</x:f>
        <x:v>1</x:v>
      </x:c>
      <x:c r="J148" s="40" t="n">
        <x:f>(I148-1)*100</x:f>
        <x:v>0</x:v>
      </x:c>
      <x:c r="K148" s="36" t="str">
        <x:v>no</x:v>
      </x:c>
      <x:c r="L148" s="36" t="str">
        <x:v>Single-country territory; UN WPP and vanilla are within the ±5% review threshold.</x:v>
      </x:c>
      <x:c r="M148" s="41" t="n">
        <x:v>24199415205</x:v>
      </x:c>
      <x:c r="N148" s="41" t="n">
        <x:v>38477070176</x:v>
      </x:c>
      <x:c r="O148" s="41" t="n">
        <x:v>521</x:v>
      </x:c>
      <x:c r="P148" s="41" t="n">
        <x:v>185</x:v>
      </x:c>
      <x:c r="Q148" s="41" t="n">
        <x:v>891</x:v>
      </x:c>
      <x:c r="R148" s="42" t="n">
        <x:f>MIN(P148,Q148)</x:f>
        <x:v>185</x:v>
      </x:c>
      <x:c r="S148" s="42" t="n">
        <x:f>MAX(P148,Q148)</x:f>
        <x:v>891</x:v>
      </x:c>
      <x:c r="T148" s="42" t="n">
        <x:f>MAX(R148,MIN(O148,S148))</x:f>
        <x:v>521</x:v>
      </x:c>
      <x:c r="U148" s="19" t="str">
        <x:f>IF(O148&lt;R148,IF(R148=P148,"clamped_to_nominal","clamped_to_ppp"),IF(O148&gt;S148,IF(S148=P148,"clamped_to_nominal","clamped_to_ppp"),"kept_vanilla"))</x:f>
        <x:v>kept_vanilla</x:v>
      </x:c>
      <x:c r="V148" s="42" t="n">
        <x:f>T148*H148</x:f>
        <x:v>38466817423</x:v>
      </x:c>
      <x:c r="W148" s="42" t="n">
        <x:f>V148/F148</x:f>
        <x:v>24192966932.704403</x:v>
      </x:c>
      <x:c r="X148" s="36" t="str">
        <x:v>ETH: UN WPP 2024 Medium exact 2003</x:v>
      </x:c>
      <x:c r="Y148" s="36" t="str">
        <x:v>ETH: IMF exact 2003</x:v>
      </x:c>
      <x:c r="Z148" s="36" t="str">
        <x:v>ETH: IMF exact 2003</x:v>
      </x:c>
      <x:c r="AA148" s="36" t="str">
        <x:v>complete_primary</x:v>
      </x:c>
      <x:c r="AB148" s="36" t="str">
        <x:v>https://www.un.org/development/desa/pd/world-population-prospects-2024</x:v>
      </x:c>
      <x:c r="AC148" s="36" t="str">
        <x:v>https://api.imf.org/external/sdmx/3.0/data/dataflow/IMF.RES/WEO/9.0.0/</x:v>
      </x:c>
      <x:c r="AD148" s="36" t="str">
        <x:v>https://api.worldbank.org/v2/</x:v>
      </x:c>
    </x:row>
    <x:row r="149">
      <x:c r="A149" s="24" t="str">
        <x:v>ETH</x:v>
      </x:c>
      <x:c r="B149" s="24" t="str">
        <x:v>Ethiopia</x:v>
      </x:c>
      <x:c r="C149" s="24" t="str">
        <x:v>ETH</x:v>
      </x:c>
      <x:c r="D149" s="24" t="str">
        <x:v>ETH</x:v>
      </x:c>
      <x:c r="E149" s="24" t="n">
        <x:v>2022</x:v>
      </x:c>
      <x:c r="F149" s="37" t="n">
        <x:v>1</x:v>
      </x:c>
      <x:c r="G149" s="38" t="n">
        <x:v>121738154</x:v>
      </x:c>
      <x:c r="H149" s="38" t="n">
        <x:v>125384287</x:v>
      </x:c>
      <x:c r="I149" s="39" t="n">
        <x:f>H149/G149</x:f>
        <x:v>1.029950618439639</x:v>
      </x:c>
      <x:c r="J149" s="40" t="n">
        <x:f>(I149-1)*100</x:f>
        <x:v>2.9950618439638976</x:v>
      </x:c>
      <x:c r="K149" s="36" t="str">
        <x:v>no</x:v>
      </x:c>
      <x:c r="L149" s="36" t="str">
        <x:v>Single-country territory; UN WPP and vanilla are within the ±5% review threshold.</x:v>
      </x:c>
      <x:c r="M149" s="41" t="n">
        <x:v>303721440000</x:v>
      </x:c>
      <x:c r="N149" s="41" t="n">
        <x:v>303721440000</x:v>
      </x:c>
      <x:c r="O149" s="41" t="n">
        <x:v>2495</x:v>
      </x:c>
      <x:c r="P149" s="41" t="n">
        <x:v>949</x:v>
      </x:c>
      <x:c r="Q149" s="41" t="n">
        <x:v>2873</x:v>
      </x:c>
      <x:c r="R149" s="42" t="n">
        <x:f>MIN(P149,Q149)</x:f>
        <x:v>949</x:v>
      </x:c>
      <x:c r="S149" s="42" t="n">
        <x:f>MAX(P149,Q149)</x:f>
        <x:v>2873</x:v>
      </x:c>
      <x:c r="T149" s="42" t="n">
        <x:f>MAX(R149,MIN(O149,S149))</x:f>
        <x:v>2495</x:v>
      </x:c>
      <x:c r="U149" s="19" t="str">
        <x:f>IF(O149&lt;R149,IF(R149=P149,"clamped_to_nominal","clamped_to_ppp"),IF(O149&gt;S149,IF(S149=P149,"clamped_to_nominal","clamped_to_ppp"),"kept_vanilla"))</x:f>
        <x:v>kept_vanilla</x:v>
      </x:c>
      <x:c r="V149" s="42" t="n">
        <x:f>T149*H149</x:f>
        <x:v>312833796065</x:v>
      </x:c>
      <x:c r="W149" s="42" t="n">
        <x:f>V149/F149</x:f>
        <x:v>312833796065</x:v>
      </x:c>
      <x:c r="X149" s="36" t="str">
        <x:v>ETH: UN WPP 2024 Medium exact 2022</x:v>
      </x:c>
      <x:c r="Y149" s="36" t="str">
        <x:v>ETH: IMF exact 2022</x:v>
      </x:c>
      <x:c r="Z149" s="36" t="str">
        <x:v>ETH: IMF exact 2022</x:v>
      </x:c>
      <x:c r="AA149" s="36" t="str">
        <x:v>complete_primary</x:v>
      </x:c>
      <x:c r="AB149" s="36" t="str">
        <x:v>https://www.un.org/development/desa/pd/world-population-prospects-2024</x:v>
      </x:c>
      <x:c r="AC149" s="36" t="str">
        <x:v>https://api.imf.org/external/sdmx/3.0/data/dataflow/IMF.RES/WEO/9.0.0/</x:v>
      </x:c>
      <x:c r="AD149" s="36" t="str">
        <x:v>https://api.worldbank.org/v2/</x:v>
      </x:c>
    </x:row>
    <x:row r="150">
      <x:c r="A150" s="24" t="str">
        <x:v>ETH</x:v>
      </x:c>
      <x:c r="B150" s="24" t="str">
        <x:v>Ethiopia</x:v>
      </x:c>
      <x:c r="C150" s="24" t="str">
        <x:v>ETH</x:v>
      </x:c>
      <x:c r="D150" s="24" t="str">
        <x:v>ETH</x:v>
      </x:c>
      <x:c r="E150" s="24" t="n">
        <x:v>2026</x:v>
      </x:c>
      <x:c r="F150" s="37" t="n">
        <x:v>0.87</x:v>
      </x:c>
      <x:c r="G150" s="38" t="n">
        <x:v>138902185</x:v>
      </x:c>
      <x:c r="H150" s="38" t="n">
        <x:v>138902185</x:v>
      </x:c>
      <x:c r="I150" s="39" t="n">
        <x:f>H150/G150</x:f>
        <x:v>1</x:v>
      </x:c>
      <x:c r="J150" s="40" t="n">
        <x:f>(I150-1)*100</x:f>
        <x:v>0</x:v>
      </x:c>
      <x:c r="K150" s="36" t="str">
        <x:v>no</x:v>
      </x:c>
      <x:c r="L150" s="36" t="str">
        <x:v>Single-country territory; UN WPP and vanilla are within the ±5% review threshold.</x:v>
      </x:c>
      <x:c r="M150" s="41" t="n">
        <x:v>426279040000</x:v>
      </x:c>
      <x:c r="N150" s="41" t="n">
        <x:v>370862764800</x:v>
      </x:c>
      <x:c r="O150" s="41" t="n">
        <x:v>2670</x:v>
      </x:c>
      <x:c r="P150" s="41" t="n">
        <x:v>761</x:v>
      </x:c>
      <x:c r="Q150" s="41" t="n">
        <x:v>3501</x:v>
      </x:c>
      <x:c r="R150" s="42" t="n">
        <x:f>MIN(P150,Q150)</x:f>
        <x:v>761</x:v>
      </x:c>
      <x:c r="S150" s="42" t="n">
        <x:f>MAX(P150,Q150)</x:f>
        <x:v>3501</x:v>
      </x:c>
      <x:c r="T150" s="42" t="n">
        <x:f>MAX(R150,MIN(O150,S150))</x:f>
        <x:v>2670</x:v>
      </x:c>
      <x:c r="U150" s="19" t="str">
        <x:f>IF(O150&lt;R150,IF(R150=P150,"clamped_to_nominal","clamped_to_ppp"),IF(O150&gt;S150,IF(S150=P150,"clamped_to_nominal","clamped_to_ppp"),"kept_vanilla"))</x:f>
        <x:v>kept_vanilla</x:v>
      </x:c>
      <x:c r="V150" s="42" t="n">
        <x:f>T150*H150</x:f>
        <x:v>370868833950</x:v>
      </x:c>
      <x:c r="W150" s="42" t="n">
        <x:f>V150/F150</x:f>
        <x:v>426286016034.4828</x:v>
      </x:c>
      <x:c r="X150" s="36" t="str">
        <x:v>ETH: UN WPP 2024 Medium exact 2026</x:v>
      </x:c>
      <x:c r="Y150" s="36" t="str">
        <x:v>ETH: IMF exact 2026</x:v>
      </x:c>
      <x:c r="Z150" s="36" t="str">
        <x:v>ETH: IMF exact 2026</x:v>
      </x:c>
      <x:c r="AA150" s="36" t="str">
        <x:v>complete_primary</x:v>
      </x:c>
      <x:c r="AB150" s="36" t="str">
        <x:v>https://www.un.org/development/desa/pd/world-population-prospects-2024</x:v>
      </x:c>
      <x:c r="AC150" s="36" t="str">
        <x:v>https://api.imf.org/external/sdmx/3.0/data/dataflow/IMF.RES/WEO/9.0.0/</x:v>
      </x:c>
      <x:c r="AD150" s="36" t="str">
        <x:v>https://api.worldbank.org/v2/</x:v>
      </x:c>
    </x:row>
    <x:row r="151">
      <x:c r="A151" s="24" t="str">
        <x:v>FIN</x:v>
      </x:c>
      <x:c r="B151" s="24" t="str">
        <x:v>Finland</x:v>
      </x:c>
      <x:c r="C151" s="24" t="str">
        <x:v>FIN</x:v>
      </x:c>
      <x:c r="D151" s="24" t="str">
        <x:v>FIN</x:v>
      </x:c>
      <x:c r="E151" s="24" t="n">
        <x:v>2003</x:v>
      </x:c>
      <x:c r="F151" s="37" t="n">
        <x:v>1.59</x:v>
      </x:c>
      <x:c r="G151" s="38" t="n">
        <x:v>5212955</x:v>
      </x:c>
      <x:c r="H151" s="38" t="n">
        <x:v>5212955</x:v>
      </x:c>
      <x:c r="I151" s="39" t="n">
        <x:f>H151/G151</x:f>
        <x:v>1</x:v>
      </x:c>
      <x:c r="J151" s="40" t="n">
        <x:f>(I151-1)*100</x:f>
        <x:v>0</x:v>
      </x:c>
      <x:c r="K151" s="36" t="str">
        <x:v>no</x:v>
      </x:c>
      <x:c r="L151" s="36" t="str">
        <x:v>Single-country territory; UN WPP and vanilla are within the ±5% review threshold.</x:v>
      </x:c>
      <x:c r="M151" s="41" t="n">
        <x:v>98966666667</x:v>
      </x:c>
      <x:c r="N151" s="41" t="n">
        <x:v>157357000001</x:v>
      </x:c>
      <x:c r="O151" s="41" t="n">
        <x:v>30186</x:v>
      </x:c>
      <x:c r="P151" s="41" t="n">
        <x:v>52330</x:v>
      </x:c>
      <x:c r="Q151" s="41" t="n">
        <x:v>51618</x:v>
      </x:c>
      <x:c r="R151" s="42" t="n">
        <x:f>MIN(P151,Q151)</x:f>
        <x:v>51618</x:v>
      </x:c>
      <x:c r="S151" s="42" t="n">
        <x:f>MAX(P151,Q151)</x:f>
        <x:v>52330</x:v>
      </x:c>
      <x:c r="T151" s="42" t="n">
        <x:f>MAX(R151,MIN(O151,S151))</x:f>
        <x:v>51618</x:v>
      </x:c>
      <x:c r="U151" s="19" t="str">
        <x:f>IF(O151&lt;R151,IF(R151=P151,"clamped_to_nominal","clamped_to_ppp"),IF(O151&gt;S151,IF(S151=P151,"clamped_to_nominal","clamped_to_ppp"),"kept_vanilla"))</x:f>
        <x:v>clamped_to_ppp</x:v>
      </x:c>
      <x:c r="V151" s="42" t="n">
        <x:f>T151*H151</x:f>
        <x:v>269082311190</x:v>
      </x:c>
      <x:c r="W151" s="42" t="n">
        <x:f>V151/F151</x:f>
        <x:v>169234157981.13208</x:v>
      </x:c>
      <x:c r="X151" s="36" t="str">
        <x:v>FIN: UN WPP 2024 Medium exact 2003</x:v>
      </x:c>
      <x:c r="Y151" s="36" t="str">
        <x:v>FIN: IMF exact 2003</x:v>
      </x:c>
      <x:c r="Z151" s="36" t="str">
        <x:v>FIN: IMF exact 2003</x:v>
      </x:c>
      <x:c r="AA151" s="36" t="str">
        <x:v>complete_primary</x:v>
      </x:c>
      <x:c r="AB151" s="36" t="str">
        <x:v>https://www.un.org/development/desa/pd/world-population-prospects-2024</x:v>
      </x:c>
      <x:c r="AC151" s="36" t="str">
        <x:v>https://api.imf.org/external/sdmx/3.0/data/dataflow/IMF.RES/WEO/9.0.0/</x:v>
      </x:c>
      <x:c r="AD151" s="36" t="str">
        <x:v>https://api.worldbank.org/v2/</x:v>
      </x:c>
    </x:row>
    <x:row r="152">
      <x:c r="A152" s="24" t="str">
        <x:v>FIN</x:v>
      </x:c>
      <x:c r="B152" s="24" t="str">
        <x:v>Finland</x:v>
      </x:c>
      <x:c r="C152" s="24" t="str">
        <x:v>FIN</x:v>
      </x:c>
      <x:c r="D152" s="24" t="str">
        <x:v>FIN</x:v>
      </x:c>
      <x:c r="E152" s="24" t="n">
        <x:v>2022</x:v>
      </x:c>
      <x:c r="F152" s="37" t="n">
        <x:v>1</x:v>
      </x:c>
      <x:c r="G152" s="38" t="n">
        <x:v>5556939</x:v>
      </x:c>
      <x:c r="H152" s="38" t="n">
        <x:v>5569299</x:v>
      </x:c>
      <x:c r="I152" s="39" t="n">
        <x:f>H152/G152</x:f>
        <x:v>1.0022242461182316</x:v>
      </x:c>
      <x:c r="J152" s="40" t="n">
        <x:f>(I152-1)*100</x:f>
        <x:v>0.22242461182315765</x:v>
      </x:c>
      <x:c r="K152" s="36" t="str">
        <x:v>no</x:v>
      </x:c>
      <x:c r="L152" s="36" t="str">
        <x:v>Single-country territory; UN WPP and vanilla are within the ±5% review threshold.</x:v>
      </x:c>
      <x:c r="M152" s="41" t="n">
        <x:v>282685040000</x:v>
      </x:c>
      <x:c r="N152" s="41" t="n">
        <x:v>282685040000</x:v>
      </x:c>
      <x:c r="O152" s="41" t="n">
        <x:v>50871</x:v>
      </x:c>
      <x:c r="P152" s="41" t="n">
        <x:v>50361</x:v>
      </x:c>
      <x:c r="Q152" s="41" t="n">
        <x:v>61584</x:v>
      </x:c>
      <x:c r="R152" s="42" t="n">
        <x:f>MIN(P152,Q152)</x:f>
        <x:v>50361</x:v>
      </x:c>
      <x:c r="S152" s="42" t="n">
        <x:f>MAX(P152,Q152)</x:f>
        <x:v>61584</x:v>
      </x:c>
      <x:c r="T152" s="42" t="n">
        <x:f>MAX(R152,MIN(O152,S152))</x:f>
        <x:v>50871</x:v>
      </x:c>
      <x:c r="U152" s="19" t="str">
        <x:f>IF(O152&lt;R152,IF(R152=P152,"clamped_to_nominal","clamped_to_ppp"),IF(O152&gt;S152,IF(S152=P152,"clamped_to_nominal","clamped_to_ppp"),"kept_vanilla"))</x:f>
        <x:v>kept_vanilla</x:v>
      </x:c>
      <x:c r="V152" s="42" t="n">
        <x:f>T152*H152</x:f>
        <x:v>283315809429</x:v>
      </x:c>
      <x:c r="W152" s="42" t="n">
        <x:f>V152/F152</x:f>
        <x:v>283315809429</x:v>
      </x:c>
      <x:c r="X152" s="36" t="str">
        <x:v>FIN: UN WPP 2024 Medium exact 2022</x:v>
      </x:c>
      <x:c r="Y152" s="36" t="str">
        <x:v>FIN: IMF exact 2022</x:v>
      </x:c>
      <x:c r="Z152" s="36" t="str">
        <x:v>FIN: IMF exact 2022</x:v>
      </x:c>
      <x:c r="AA152" s="36" t="str">
        <x:v>complete_primary</x:v>
      </x:c>
      <x:c r="AB152" s="36" t="str">
        <x:v>https://www.un.org/development/desa/pd/world-population-prospects-2024</x:v>
      </x:c>
      <x:c r="AC152" s="36" t="str">
        <x:v>https://api.imf.org/external/sdmx/3.0/data/dataflow/IMF.RES/WEO/9.0.0/</x:v>
      </x:c>
      <x:c r="AD152" s="36" t="str">
        <x:v>https://api.worldbank.org/v2/</x:v>
      </x:c>
    </x:row>
    <x:row r="153">
      <x:c r="A153" s="24" t="str">
        <x:v>FIN</x:v>
      </x:c>
      <x:c r="B153" s="24" t="str">
        <x:v>Finland</x:v>
      </x:c>
      <x:c r="C153" s="24" t="str">
        <x:v>FIN</x:v>
      </x:c>
      <x:c r="D153" s="24" t="str">
        <x:v>FIN</x:v>
      </x:c>
      <x:c r="E153" s="24" t="n">
        <x:v>2026</x:v>
      </x:c>
      <x:c r="F153" s="37" t="n">
        <x:v>0.87</x:v>
      </x:c>
      <x:c r="G153" s="38" t="n">
        <x:v>5621739</x:v>
      </x:c>
      <x:c r="H153" s="38" t="n">
        <x:v>5621739</x:v>
      </x:c>
      <x:c r="I153" s="39" t="n">
        <x:f>H153/G153</x:f>
        <x:v>1</x:v>
      </x:c>
      <x:c r="J153" s="40" t="n">
        <x:f>(I153-1)*100</x:f>
        <x:v>0</x:v>
      </x:c>
      <x:c r="K153" s="36" t="str">
        <x:v>no</x:v>
      </x:c>
      <x:c r="L153" s="36" t="str">
        <x:v>Single-country territory; UN WPP and vanilla are within the ±5% review threshold.</x:v>
      </x:c>
      <x:c r="M153" s="41" t="n">
        <x:v>328377280000</x:v>
      </x:c>
      <x:c r="N153" s="41" t="n">
        <x:v>285688233600</x:v>
      </x:c>
      <x:c r="O153" s="41" t="n">
        <x:v>50818</x:v>
      </x:c>
      <x:c r="P153" s="41" t="n">
        <x:v>52256</x:v>
      </x:c>
      <x:c r="Q153" s="41" t="n">
        <x:v>59845</x:v>
      </x:c>
      <x:c r="R153" s="42" t="n">
        <x:f>MIN(P153,Q153)</x:f>
        <x:v>52256</x:v>
      </x:c>
      <x:c r="S153" s="42" t="n">
        <x:f>MAX(P153,Q153)</x:f>
        <x:v>59845</x:v>
      </x:c>
      <x:c r="T153" s="42" t="n">
        <x:f>MAX(R153,MIN(O153,S153))</x:f>
        <x:v>52256</x:v>
      </x:c>
      <x:c r="U153" s="19" t="str">
        <x:f>IF(O153&lt;R153,IF(R153=P153,"clamped_to_nominal","clamped_to_ppp"),IF(O153&gt;S153,IF(S153=P153,"clamped_to_nominal","clamped_to_ppp"),"kept_vanilla"))</x:f>
        <x:v>clamped_to_nominal</x:v>
      </x:c>
      <x:c r="V153" s="42" t="n">
        <x:f>T153*H153</x:f>
        <x:v>293769593184</x:v>
      </x:c>
      <x:c r="W153" s="42" t="n">
        <x:f>V153/F153</x:f>
        <x:v>337666199062.069</x:v>
      </x:c>
      <x:c r="X153" s="36" t="str">
        <x:v>FIN: UN WPP 2024 Medium exact 2026</x:v>
      </x:c>
      <x:c r="Y153" s="36" t="str">
        <x:v>FIN: IMF exact 2026</x:v>
      </x:c>
      <x:c r="Z153" s="36" t="str">
        <x:v>FIN: IMF exact 2026</x:v>
      </x:c>
      <x:c r="AA153" s="36" t="str">
        <x:v>complete_primary</x:v>
      </x:c>
      <x:c r="AB153" s="36" t="str">
        <x:v>https://www.un.org/development/desa/pd/world-population-prospects-2024</x:v>
      </x:c>
      <x:c r="AC153" s="36" t="str">
        <x:v>https://api.imf.org/external/sdmx/3.0/data/dataflow/IMF.RES/WEO/9.0.0/</x:v>
      </x:c>
      <x:c r="AD153" s="36" t="str">
        <x:v>https://api.worldbank.org/v2/</x:v>
      </x:c>
    </x:row>
    <x:row r="154">
      <x:c r="A154" s="24" t="str">
        <x:v>EUA</x:v>
      </x:c>
      <x:c r="B154" s="24" t="str">
        <x:v>France</x:v>
      </x:c>
      <x:c r="C154" s="24" t="str">
        <x:v>FRA+MCO+AND</x:v>
      </x:c>
      <x:c r="D154" s="24" t="str">
        <x:v>FRA+MCO+AND+GUF+PYF+NCL+WLF+REU+MYT+GLP+MTQ+SPM</x:v>
      </x:c>
      <x:c r="E154" s="24" t="n">
        <x:v>2003</x:v>
      </x:c>
      <x:c r="F154" s="37" t="n">
        <x:v>1.59</x:v>
      </x:c>
      <x:c r="G154" s="38" t="n">
        <x:v>63253713</x:v>
      </x:c>
      <x:c r="H154" s="38" t="n">
        <x:v>63321730</x:v>
      </x:c>
      <x:c r="I154" s="39" t="n">
        <x:f>H154/G154</x:f>
        <x:v>1.0010753044647356</x:v>
      </x:c>
      <x:c r="J154" s="40" t="n">
        <x:f>(I154-1)*100</x:f>
        <x:v>0.10753044647355825</x:v>
      </x:c>
      <x:c r="K154" s="36" t="str">
        <x:v>no</x:v>
      </x:c>
      <x:c r="L154" s="36" t="str">
        <x:v>Aggregated metropolitan France, Monaco, Andorra, and the populations represented by the French Guiana, Pacific, Indian Ocean, and West Indies regions.</x:v>
      </x:c>
      <x:c r="M154" s="41" t="n">
        <x:v>1122812280702</x:v>
      </x:c>
      <x:c r="N154" s="41" t="n">
        <x:v>1785271526316</x:v>
      </x:c>
      <x:c r="O154" s="41" t="n">
        <x:v>28224</x:v>
      </x:c>
      <x:c r="P154" s="41" t="n">
        <x:v>46597</x:v>
      </x:c>
      <x:c r="Q154" s="41" t="n">
        <x:v>49092</x:v>
      </x:c>
      <x:c r="R154" s="42" t="n">
        <x:f>MIN(P154,Q154)</x:f>
        <x:v>46597</x:v>
      </x:c>
      <x:c r="S154" s="42" t="n">
        <x:f>MAX(P154,Q154)</x:f>
        <x:v>49092</x:v>
      </x:c>
      <x:c r="T154" s="42" t="n">
        <x:f>MAX(R154,MIN(O154,S154))</x:f>
        <x:v>46597</x:v>
      </x:c>
      <x:c r="U154" s="19" t="str">
        <x:f>IF(O154&lt;R154,IF(R154=P154,"clamped_to_nominal","clamped_to_ppp"),IF(O154&gt;S154,IF(S154=P154,"clamped_to_nominal","clamped_to_ppp"),"kept_vanilla"))</x:f>
        <x:v>clamped_to_nominal</x:v>
      </x:c>
      <x:c r="V154" s="42" t="n">
        <x:f>T154*H154</x:f>
        <x:v>2950602652810</x:v>
      </x:c>
      <x:c r="W154" s="42" t="n">
        <x:f>V154/F154</x:f>
        <x:v>1855724938874.2136</x:v>
      </x:c>
      <x:c r="X154" s="36" t="str">
        <x:v>FRA: UN WPP 2024 Medium exact 2003; MCO: UN WPP 2024 Medium exact 2003; AND: UN WPP 2024 Medium exact 2003; GUF: UN WPP 2024 Medium exact 2003; PYF: UN WPP 2024 Medium exact 2003; NCL: UN WPP 2024 Medium exact 2003; WLF: UN WPP 2024 Medium exact 2003; REU: UN WPP 2024 Medium exact 2003; MYT: UN WPP 2024 Medium exact 2003; GLP: UN WPP 2024 Medium exact 2003; MTQ: UN WPP 2024 Medium exact 2003; SPM: UN WPP 2024 Medium exact 2003</x:v>
      </x:c>
      <x:c r="Y154" s="36" t="str">
        <x:v>FRA: IMF exact 2003; MCO: World Bank exact 2003; AND: IMF exact 2003; GUF: nominal GDP/c inferred from global available-country peers median level (210 peers); PYF: World Bank exact 2003; NCL: World Bank exact 2003; WLF: nominal GDP/c inferred from global available-country peers median level (210 peers); REU: nominal GDP/c inferred from global available-country peers median level (210 peers); MYT: nominal GDP/c inferred from global available-country peers median level (210 peers); GLP: nominal GDP/c inferred from global available-country peers median level (210 peers); MTQ: nominal GDP/c inferred from global available-country peers median level (210 peers); SPM: nominal GDP/c inferred from global available-country peers median level (210 peers)</x:v>
      </x:c>
      <x:c r="Z154" s="36" t="str">
        <x:v>FRA: IMF exact 2003; MCO: PPP inferred from filled nominal GDP using Europe &amp; Central Asia; High income median PPP/nominal ratio 1.228 (35 peers); AND: IMF exact 2003; GUF: PPP inferred from filled nominal GDP using global available-country peers median PPP/nominal ratio 2.577 (199 peers); PYF: PPP inferred from filled nominal GDP using East Asia &amp; Pacific; High income median PPP/nominal ratio 1.428 (10 peers); NCL: PPP inferred from filled nominal GDP using East Asia &amp; Pacific; High income median PPP/nominal ratio 1.428 (10 peers); WLF: PPP inferred from filled nominal GDP using global available-country peers median PPP/nominal ratio 2.577 (199 peers); REU: PPP inferred from filled nominal GDP using global available-country peers median PPP/nominal ratio 2.577 (199 peers); MYT: PPP inferred from filled nominal GDP using global available-country peers median PPP/nominal ratio 2.577 (199 peers); GLP: PPP inferred from filled nominal GDP using global available-country peers median PPP/nominal ratio 2.577 (199 peers); MTQ: PPP inferred from filled nominal GDP using global available-country peers median PPP/nominal ratio 2.577 (199 peers); SPM: PPP inferred from filled nominal GDP using global available-country peers median PPP/nominal ratio 2.577 (199 peers)</x:v>
      </x:c>
      <x:c r="AA154" s="36" t="str">
        <x:v>inferred+secondary_source</x:v>
      </x:c>
      <x:c r="AB154" s="36" t="str">
        <x:v>https://www.un.org/development/desa/pd/world-population-prospects-2024</x:v>
      </x:c>
      <x:c r="AC154" s="36" t="str">
        <x:v>https://api.imf.org/external/sdmx/3.0/data/dataflow/IMF.RES/WEO/9.0.0/</x:v>
      </x:c>
      <x:c r="AD154" s="36" t="str">
        <x:v>https://api.worldbank.org/v2/</x:v>
      </x:c>
    </x:row>
    <x:row r="155">
      <x:c r="A155" s="24" t="str">
        <x:v>EUA</x:v>
      </x:c>
      <x:c r="B155" s="24" t="str">
        <x:v>France</x:v>
      </x:c>
      <x:c r="C155" s="24" t="str">
        <x:v>FRA+MCO+AND</x:v>
      </x:c>
      <x:c r="D155" s="24" t="str">
        <x:v>FRA+MCO+AND+GUF+PYF+NCL+WLF+REU+MYT+GLP+MTQ+SPM</x:v>
      </x:c>
      <x:c r="E155" s="24" t="n">
        <x:v>2022</x:v>
      </x:c>
      <x:c r="F155" s="37" t="n">
        <x:v>1</x:v>
      </x:c>
      <x:c r="G155" s="38" t="n">
        <x:v>68676947</x:v>
      </x:c>
      <x:c r="H155" s="38" t="n">
        <x:v>69190027</x:v>
      </x:c>
      <x:c r="I155" s="39" t="n">
        <x:f>H155/G155</x:f>
        <x:v>1.0074709203366305</x:v>
      </x:c>
      <x:c r="J155" s="40" t="n">
        <x:f>(I155-1)*100</x:f>
        <x:v>0.7470920336630549</x:v>
      </x:c>
      <x:c r="K155" s="36" t="str">
        <x:v>no</x:v>
      </x:c>
      <x:c r="L155" s="36" t="str">
        <x:v>Aggregated metropolitan France, Monaco, Andorra, and the populations represented by the French Guiana, Pacific, Indian Ocean, and West Indies regions.</x:v>
      </x:c>
      <x:c r="M155" s="41" t="n">
        <x:v>3249098520000</x:v>
      </x:c>
      <x:c r="N155" s="41" t="n">
        <x:v>3249098520000</x:v>
      </x:c>
      <x:c r="O155" s="41" t="n">
        <x:v>47310</x:v>
      </x:c>
      <x:c r="P155" s="41" t="n">
        <x:v>41066</x:v>
      </x:c>
      <x:c r="Q155" s="41" t="n">
        <x:v>59336</x:v>
      </x:c>
      <x:c r="R155" s="42" t="n">
        <x:f>MIN(P155,Q155)</x:f>
        <x:v>41066</x:v>
      </x:c>
      <x:c r="S155" s="42" t="n">
        <x:f>MAX(P155,Q155)</x:f>
        <x:v>59336</x:v>
      </x:c>
      <x:c r="T155" s="42" t="n">
        <x:f>MAX(R155,MIN(O155,S155))</x:f>
        <x:v>47310</x:v>
      </x:c>
      <x:c r="U155" s="19" t="str">
        <x:f>IF(O155&lt;R155,IF(R155=P155,"clamped_to_nominal","clamped_to_ppp"),IF(O155&gt;S155,IF(S155=P155,"clamped_to_nominal","clamped_to_ppp"),"kept_vanilla"))</x:f>
        <x:v>kept_vanilla</x:v>
      </x:c>
      <x:c r="V155" s="42" t="n">
        <x:f>T155*H155</x:f>
        <x:v>3273380177370</x:v>
      </x:c>
      <x:c r="W155" s="42" t="n">
        <x:f>V155/F155</x:f>
        <x:v>3273380177370</x:v>
      </x:c>
      <x:c r="X155" s="36" t="str">
        <x:v>FRA: UN WPP 2024 Medium exact 2022; MCO: UN WPP 2024 Medium exact 2022; AND: UN WPP 2024 Medium exact 2022; GUF: UN WPP 2024 Medium exact 2022; PYF: UN WPP 2024 Medium exact 2022; NCL: UN WPP 2024 Medium exact 2022; WLF: UN WPP 2024 Medium exact 2022; REU: UN WPP 2024 Medium exact 2022; MYT: UN WPP 2024 Medium exact 2022; GLP: UN WPP 2024 Medium exact 2022; MTQ: UN WPP 2024 Medium exact 2022; SPM: UN WPP 2024 Medium exact 2022</x:v>
      </x:c>
      <x:c r="Y155" s="36" t="str">
        <x:v>FRA: IMF exact 2022; MCO: World Bank exact 2022; AND: IMF exact 2022; GUF: nominal GDP/c inferred from global available-country peers median level (211 peers); PYF: World Bank exact 2022; NCL: World Bank exact 2022; WLF: nominal GDP/c inferred from global available-country peers median level (211 peers); REU: nominal GDP/c inferred from global available-country peers median level (211 peers); MYT: nominal GDP/c inferred from global available-country peers median level (211 peers); GLP: nominal GDP/c inferred from global available-country peers median level (211 peers); MTQ: nominal GDP/c inferred from global available-country peers median level (211 peers); SPM: nominal GDP/c inferred from global available-country peers median level (211 peers)</x:v>
      </x:c>
      <x:c r="Z155" s="36" t="str">
        <x:v>FRA: IMF exact 2022; MCO: PPP inferred from filled nominal GDP using Europe &amp; Central Asia; High income median PPP/nominal ratio 1.515 (36 peers); AND: IMF exact 2022; GUF: PPP inferred from filled nominal GDP using global available-country peers median PPP/nominal ratio 2.283 (203 peers); PYF: PPP inferred from filled nominal GDP using East Asia &amp; Pacific; High income median PPP/nominal ratio 1.411 (10 peers); NCL: PPP inferred from filled nominal GDP using East Asia &amp; Pacific; High income median PPP/nominal ratio 1.411 (10 peers); WLF: PPP inferred from filled nominal GDP using global available-country peers median PPP/nominal ratio 2.283 (203 peers); REU: PPP inferred from filled nominal GDP using global available-country peers median PPP/nominal ratio 2.283 (203 peers); MYT: PPP inferred from filled nominal GDP using global available-country peers median PPP/nominal ratio 2.283 (203 peers); GLP: PPP inferred from filled nominal GDP using global available-country peers median PPP/nominal ratio 2.283 (203 peers); MTQ: PPP inferred from filled nominal GDP using global available-country peers median PPP/nominal ratio 2.283 (203 peers); SPM: PPP inferred from filled nominal GDP using global available-country peers median PPP/nominal ratio 2.283 (203 peers)</x:v>
      </x:c>
      <x:c r="AA155" s="36" t="str">
        <x:v>inferred+secondary_source</x:v>
      </x:c>
      <x:c r="AB155" s="36" t="str">
        <x:v>https://www.un.org/development/desa/pd/world-population-prospects-2024</x:v>
      </x:c>
      <x:c r="AC155" s="36" t="str">
        <x:v>https://api.imf.org/external/sdmx/3.0/data/dataflow/IMF.RES/WEO/9.0.0/</x:v>
      </x:c>
      <x:c r="AD155" s="36" t="str">
        <x:v>https://api.worldbank.org/v2/</x:v>
      </x:c>
    </x:row>
    <x:row r="156">
      <x:c r="A156" s="24" t="str">
        <x:v>EUA</x:v>
      </x:c>
      <x:c r="B156" s="24" t="str">
        <x:v>France</x:v>
      </x:c>
      <x:c r="C156" s="24" t="str">
        <x:v>FRA+MCO+AND</x:v>
      </x:c>
      <x:c r="D156" s="24" t="str">
        <x:v>FRA+MCO+AND+GUF+PYF+NCL+WLF+REU+MYT+GLP+MTQ+SPM</x:v>
      </x:c>
      <x:c r="E156" s="24" t="n">
        <x:v>2026</x:v>
      </x:c>
      <x:c r="F156" s="37" t="n">
        <x:v>0.87</x:v>
      </x:c>
      <x:c r="G156" s="38" t="n">
        <x:v>69636800</x:v>
      </x:c>
      <x:c r="H156" s="38" t="n">
        <x:v>69728705</x:v>
      </x:c>
      <x:c r="I156" s="39" t="n">
        <x:f>H156/G156</x:f>
        <x:v>1.0013197763251613</x:v>
      </x:c>
      <x:c r="J156" s="40" t="n">
        <x:f>(I156-1)*100</x:f>
        <x:v>0.1319776325161337</x:v>
      </x:c>
      <x:c r="K156" s="36" t="str">
        <x:v>no</x:v>
      </x:c>
      <x:c r="L156" s="36" t="str">
        <x:v>Aggregated metropolitan France, Monaco, Andorra, and the populations represented by the French Guiana, Pacific, Indian Ocean, and West Indies regions.</x:v>
      </x:c>
      <x:c r="M156" s="41" t="n">
        <x:v>3989597040000</x:v>
      </x:c>
      <x:c r="N156" s="41" t="n">
        <x:v>3470949424800</x:v>
      </x:c>
      <x:c r="O156" s="41" t="n">
        <x:v>49844</x:v>
      </x:c>
      <x:c r="P156" s="41" t="n">
        <x:v>45524</x:v>
      </x:c>
      <x:c r="Q156" s="41" t="n">
        <x:v>60239</x:v>
      </x:c>
      <x:c r="R156" s="42" t="n">
        <x:f>MIN(P156,Q156)</x:f>
        <x:v>45524</x:v>
      </x:c>
      <x:c r="S156" s="42" t="n">
        <x:f>MAX(P156,Q156)</x:f>
        <x:v>60239</x:v>
      </x:c>
      <x:c r="T156" s="42" t="n">
        <x:f>MAX(R156,MIN(O156,S156))</x:f>
        <x:v>49844</x:v>
      </x:c>
      <x:c r="U156" s="19" t="str">
        <x:f>IF(O156&lt;R156,IF(R156=P156,"clamped_to_nominal","clamped_to_ppp"),IF(O156&gt;S156,IF(S156=P156,"clamped_to_nominal","clamped_to_ppp"),"kept_vanilla"))</x:f>
        <x:v>kept_vanilla</x:v>
      </x:c>
      <x:c r="V156" s="42" t="n">
        <x:f>T156*H156</x:f>
        <x:v>3475557572020</x:v>
      </x:c>
      <x:c r="W156" s="42" t="n">
        <x:f>V156/F156</x:f>
        <x:v>3994893760942.529</x:v>
      </x:c>
      <x:c r="X156" s="36" t="str">
        <x:v>FRA: UN WPP 2024 Medium exact 2026; MCO: UN WPP 2024 Medium exact 2026; AND: UN WPP 2024 Medium exact 2026; GUF: UN WPP 2024 Medium exact 2026; PYF: UN WPP 2024 Medium exact 2026; NCL: UN WPP 2024 Medium exact 2026; WLF: UN WPP 2024 Medium exact 2026; REU: UN WPP 2024 Medium exact 2026; MYT: UN WPP 2024 Medium exact 2026; GLP: UN WPP 2024 Medium exact 2026; MTQ: UN WPP 2024 Medium exact 2026; SPM: UN WPP 2024 Medium exact 2026</x:v>
      </x:c>
      <x:c r="Y156" s="36" t="str">
        <x:v>FRA: IMF exact 2026; MCO: peer-growth inference from World Bank 2024; Europe &amp; Central Asia; High income median 6.29%/yr (34 peers, capped at ±8%); AND: IMF exact 2026; GUF: nominal GDP/c inferred from global available-country peers median level (177 peers); PYF: peer-growth inference from World Bank 2024; East Asia &amp; Pacific; High income median 0.65%/yr (6 peers, capped at ±8%); NCL: peer-growth inference from World Bank 2024; East Asia &amp; Pacific; High income median 0.65%/yr (6 peers, capped at ±8%); WLF: nominal GDP/c inferred from global available-country peers median level (177 peers); REU: nominal GDP/c inferred from global available-country peers median level (177 peers); MYT: nominal GDP/c inferred from global available-country peers median level (177 peers); GLP: nominal GDP/c inferred from global available-country peers median level (177 peers); MTQ: nominal GDP/c inferred from global available-country peers median level (177 peers); SPM: nominal GDP/c inferred from global available-country peers median level (177 peers)</x:v>
      </x:c>
      <x:c r="Z156" s="36" t="str">
        <x:v>FRA: IMF exact 2026; MCO: PPP inferred from filled nominal GDP using Europe &amp; Central Asia; High income median PPP/nominal ratio 1.392 (34 peers); AND: IMF exact 2026; GUF: PPP inferred from filled nominal GDP using global available-country peers median PPP/nominal ratio 2.285 (177 peers); PYF: PPP inferred from filled nominal GDP using East Asia &amp; Pacific; High income median PPP/nominal ratio 1.635 (6 peers); NCL: PPP inferred from filled nominal GDP using East Asia &amp; Pacific; High income median PPP/nominal ratio 1.635 (6 peers); WLF: PPP inferred from filled nominal GDP using global available-country peers median PPP/nominal ratio 2.285 (177 peers); REU: PPP inferred from filled nominal GDP using global available-country peers median PPP/nominal ratio 2.285 (177 peers); MYT: PPP inferred from filled nominal GDP using global available-country peers median PPP/nominal ratio 2.285 (177 peers); GLP: PPP inferred from filled nominal GDP using global available-country peers median PPP/nominal ratio 2.285 (177 peers); MTQ: PPP inferred from filled nominal GDP using global available-country peers median PPP/nominal ratio 2.285 (177 peers); SPM: PPP inferred from filled nominal GDP using global available-country peers median PPP/nominal ratio 2.285 (177 peers)</x:v>
      </x:c>
      <x:c r="AA156" s="36" t="str">
        <x:v>inferred</x:v>
      </x:c>
      <x:c r="AB156" s="36" t="str">
        <x:v>https://www.un.org/development/desa/pd/world-population-prospects-2024</x:v>
      </x:c>
      <x:c r="AC156" s="36" t="str">
        <x:v>https://api.imf.org/external/sdmx/3.0/data/dataflow/IMF.RES/WEO/9.0.0/</x:v>
      </x:c>
      <x:c r="AD156" s="36" t="str">
        <x:v>https://api.worldbank.org/v2/</x:v>
      </x:c>
    </x:row>
    <x:row r="157">
      <x:c r="A157" s="24" t="str">
        <x:v>LWG</x:v>
      </x:c>
      <x:c r="B157" s="24" t="str">
        <x:v>Gabon</x:v>
      </x:c>
      <x:c r="C157" s="24" t="str">
        <x:v>GAB</x:v>
      </x:c>
      <x:c r="D157" s="24" t="str">
        <x:v>GAB</x:v>
      </x:c>
      <x:c r="E157" s="24" t="n">
        <x:v>2003</x:v>
      </x:c>
      <x:c r="F157" s="37" t="n">
        <x:v>1.59</x:v>
      </x:c>
      <x:c r="G157" s="38" t="n">
        <x:v>1382350</x:v>
      </x:c>
      <x:c r="H157" s="38" t="n">
        <x:v>1382350</x:v>
      </x:c>
      <x:c r="I157" s="39" t="n">
        <x:f>H157/G157</x:f>
        <x:v>1</x:v>
      </x:c>
      <x:c r="J157" s="40" t="n">
        <x:f>(I157-1)*100</x:f>
        <x:v>0</x:v>
      </x:c>
      <x:c r="K157" s="36" t="str">
        <x:v>no</x:v>
      </x:c>
      <x:c r="L157" s="36" t="str">
        <x:v>Single-country territory; UN WPP and vanilla are within the ±5% review threshold.</x:v>
      </x:c>
      <x:c r="M157" s="41" t="n">
        <x:v>9822807018</x:v>
      </x:c>
      <x:c r="N157" s="41" t="n">
        <x:v>15618263159</x:v>
      </x:c>
      <x:c r="O157" s="41" t="n">
        <x:v>11298</x:v>
      </x:c>
      <x:c r="P157" s="41" t="n">
        <x:v>7488</x:v>
      </x:c>
      <x:c r="Q157" s="41" t="n">
        <x:v>19340</x:v>
      </x:c>
      <x:c r="R157" s="42" t="n">
        <x:f>MIN(P157,Q157)</x:f>
        <x:v>7488</x:v>
      </x:c>
      <x:c r="S157" s="42" t="n">
        <x:f>MAX(P157,Q157)</x:f>
        <x:v>19340</x:v>
      </x:c>
      <x:c r="T157" s="42" t="n">
        <x:f>MAX(R157,MIN(O157,S157))</x:f>
        <x:v>11298</x:v>
      </x:c>
      <x:c r="U157" s="19" t="str">
        <x:f>IF(O157&lt;R157,IF(R157=P157,"clamped_to_nominal","clamped_to_ppp"),IF(O157&gt;S157,IF(S157=P157,"clamped_to_nominal","clamped_to_ppp"),"kept_vanilla"))</x:f>
        <x:v>kept_vanilla</x:v>
      </x:c>
      <x:c r="V157" s="42" t="n">
        <x:f>T157*H157</x:f>
        <x:v>15617790300</x:v>
      </x:c>
      <x:c r="W157" s="42" t="n">
        <x:f>V157/F157</x:f>
        <x:v>9822509622.641508</x:v>
      </x:c>
      <x:c r="X157" s="36" t="str">
        <x:v>GAB: UN WPP 2024 Medium exact 2003</x:v>
      </x:c>
      <x:c r="Y157" s="36" t="str">
        <x:v>GAB: IMF exact 2003</x:v>
      </x:c>
      <x:c r="Z157" s="36" t="str">
        <x:v>GAB: IMF exact 2003</x:v>
      </x:c>
      <x:c r="AA157" s="36" t="str">
        <x:v>complete_primary</x:v>
      </x:c>
      <x:c r="AB157" s="36" t="str">
        <x:v>https://www.un.org/development/desa/pd/world-population-prospects-2024</x:v>
      </x:c>
      <x:c r="AC157" s="36" t="str">
        <x:v>https://api.imf.org/external/sdmx/3.0/data/dataflow/IMF.RES/WEO/9.0.0/</x:v>
      </x:c>
      <x:c r="AD157" s="36" t="str">
        <x:v>https://api.worldbank.org/v2/</x:v>
      </x:c>
    </x:row>
    <x:row r="158">
      <x:c r="A158" s="24" t="str">
        <x:v>LWG</x:v>
      </x:c>
      <x:c r="B158" s="24" t="str">
        <x:v>Gabon</x:v>
      </x:c>
      <x:c r="C158" s="24" t="str">
        <x:v>GAB</x:v>
      </x:c>
      <x:c r="D158" s="24" t="str">
        <x:v>GAB</x:v>
      </x:c>
      <x:c r="E158" s="24" t="n">
        <x:v>2022</x:v>
      </x:c>
      <x:c r="F158" s="37" t="n">
        <x:v>1</x:v>
      </x:c>
      <x:c r="G158" s="38" t="n">
        <x:v>2347945</x:v>
      </x:c>
      <x:c r="H158" s="38" t="n">
        <x:v>2430747</x:v>
      </x:c>
      <x:c r="I158" s="39" t="n">
        <x:f>H158/G158</x:f>
        <x:v>1.0352657323744807</x:v>
      </x:c>
      <x:c r="J158" s="40" t="n">
        <x:f>(I158-1)*100</x:f>
        <x:v>3.526573237448072</x:v>
      </x:c>
      <x:c r="K158" s="36" t="str">
        <x:v>no</x:v>
      </x:c>
      <x:c r="L158" s="36" t="str">
        <x:v>Single-country territory; UN WPP and vanilla are within the ±5% review threshold.</x:v>
      </x:c>
      <x:c r="M158" s="41" t="n">
        <x:v>33945120000</x:v>
      </x:c>
      <x:c r="N158" s="41" t="n">
        <x:v>33945120000</x:v>
      </x:c>
      <x:c r="O158" s="41" t="n">
        <x:v>14457</x:v>
      </x:c>
      <x:c r="P158" s="41" t="n">
        <x:v>8427</x:v>
      </x:c>
      <x:c r="Q158" s="41" t="n">
        <x:v>19989</x:v>
      </x:c>
      <x:c r="R158" s="42" t="n">
        <x:f>MIN(P158,Q158)</x:f>
        <x:v>8427</x:v>
      </x:c>
      <x:c r="S158" s="42" t="n">
        <x:f>MAX(P158,Q158)</x:f>
        <x:v>19989</x:v>
      </x:c>
      <x:c r="T158" s="42" t="n">
        <x:f>MAX(R158,MIN(O158,S158))</x:f>
        <x:v>14457</x:v>
      </x:c>
      <x:c r="U158" s="19" t="str">
        <x:f>IF(O158&lt;R158,IF(R158=P158,"clamped_to_nominal","clamped_to_ppp"),IF(O158&gt;S158,IF(S158=P158,"clamped_to_nominal","clamped_to_ppp"),"kept_vanilla"))</x:f>
        <x:v>kept_vanilla</x:v>
      </x:c>
      <x:c r="V158" s="42" t="n">
        <x:f>T158*H158</x:f>
        <x:v>35141309379</x:v>
      </x:c>
      <x:c r="W158" s="42" t="n">
        <x:f>V158/F158</x:f>
        <x:v>35141309379</x:v>
      </x:c>
      <x:c r="X158" s="36" t="str">
        <x:v>GAB: UN WPP 2024 Medium exact 2022</x:v>
      </x:c>
      <x:c r="Y158" s="36" t="str">
        <x:v>GAB: IMF exact 2022</x:v>
      </x:c>
      <x:c r="Z158" s="36" t="str">
        <x:v>GAB: IMF exact 2022</x:v>
      </x:c>
      <x:c r="AA158" s="36" t="str">
        <x:v>complete_primary</x:v>
      </x:c>
      <x:c r="AB158" s="36" t="str">
        <x:v>https://www.un.org/development/desa/pd/world-population-prospects-2024</x:v>
      </x:c>
      <x:c r="AC158" s="36" t="str">
        <x:v>https://api.imf.org/external/sdmx/3.0/data/dataflow/IMF.RES/WEO/9.0.0/</x:v>
      </x:c>
      <x:c r="AD158" s="36" t="str">
        <x:v>https://api.worldbank.org/v2/</x:v>
      </x:c>
    </x:row>
    <x:row r="159">
      <x:c r="A159" s="24" t="str">
        <x:v>LWG</x:v>
      </x:c>
      <x:c r="B159" s="24" t="str">
        <x:v>Gabon</x:v>
      </x:c>
      <x:c r="C159" s="24" t="str">
        <x:v>GAB</x:v>
      </x:c>
      <x:c r="D159" s="24" t="str">
        <x:v>GAB</x:v>
      </x:c>
      <x:c r="E159" s="24" t="n">
        <x:v>2026</x:v>
      </x:c>
      <x:c r="F159" s="37" t="n">
        <x:v>0.87</x:v>
      </x:c>
      <x:c r="G159" s="38" t="n">
        <x:v>2647400</x:v>
      </x:c>
      <x:c r="H159" s="38" t="n">
        <x:v>2647399</x:v>
      </x:c>
      <x:c r="I159" s="39" t="n">
        <x:f>H159/G159</x:f>
        <x:v>0.9999996222709073</x:v>
      </x:c>
      <x:c r="J159" s="40" t="n">
        <x:f>(I159-1)*100</x:f>
        <x:v>-0.00003777290926709753</x:v>
      </x:c>
      <x:c r="K159" s="36" t="str">
        <x:v>no</x:v>
      </x:c>
      <x:c r="L159" s="36" t="str">
        <x:v>Single-country territory; UN WPP and vanilla are within the ±5% review threshold.</x:v>
      </x:c>
      <x:c r="M159" s="41" t="n">
        <x:v>50551600000</x:v>
      </x:c>
      <x:c r="N159" s="41" t="n">
        <x:v>43979892000</x:v>
      </x:c>
      <x:c r="O159" s="41" t="n">
        <x:v>16612</x:v>
      </x:c>
      <x:c r="P159" s="41" t="n">
        <x:v>7678</x:v>
      </x:c>
      <x:c r="Q159" s="41" t="n">
        <x:v>20010</x:v>
      </x:c>
      <x:c r="R159" s="42" t="n">
        <x:f>MIN(P159,Q159)</x:f>
        <x:v>7678</x:v>
      </x:c>
      <x:c r="S159" s="42" t="n">
        <x:f>MAX(P159,Q159)</x:f>
        <x:v>20010</x:v>
      </x:c>
      <x:c r="T159" s="42" t="n">
        <x:f>MAX(R159,MIN(O159,S159))</x:f>
        <x:v>16612</x:v>
      </x:c>
      <x:c r="U159" s="19" t="str">
        <x:f>IF(O159&lt;R159,IF(R159=P159,"clamped_to_nominal","clamped_to_ppp"),IF(O159&gt;S159,IF(S159=P159,"clamped_to_nominal","clamped_to_ppp"),"kept_vanilla"))</x:f>
        <x:v>kept_vanilla</x:v>
      </x:c>
      <x:c r="V159" s="42" t="n">
        <x:f>T159*H159</x:f>
        <x:v>43978592188</x:v>
      </x:c>
      <x:c r="W159" s="42" t="n">
        <x:f>V159/F159</x:f>
        <x:v>50550105963.21839</x:v>
      </x:c>
      <x:c r="X159" s="36" t="str">
        <x:v>GAB: UN WPP 2024 Medium exact 2026</x:v>
      </x:c>
      <x:c r="Y159" s="36" t="str">
        <x:v>GAB: IMF exact 2026</x:v>
      </x:c>
      <x:c r="Z159" s="36" t="str">
        <x:v>GAB: IMF exact 2026</x:v>
      </x:c>
      <x:c r="AA159" s="36" t="str">
        <x:v>complete_primary</x:v>
      </x:c>
      <x:c r="AB159" s="36" t="str">
        <x:v>https://www.un.org/development/desa/pd/world-population-prospects-2024</x:v>
      </x:c>
      <x:c r="AC159" s="36" t="str">
        <x:v>https://api.imf.org/external/sdmx/3.0/data/dataflow/IMF.RES/WEO/9.0.0/</x:v>
      </x:c>
      <x:c r="AD159" s="36" t="str">
        <x:v>https://api.worldbank.org/v2/</x:v>
      </x:c>
    </x:row>
    <x:row r="160">
      <x:c r="A160" s="24" t="str">
        <x:v>GAM</x:v>
      </x:c>
      <x:c r="B160" s="24" t="str">
        <x:v>Gambia</x:v>
      </x:c>
      <x:c r="C160" s="24" t="str">
        <x:v>GMB</x:v>
      </x:c>
      <x:c r="D160" s="24" t="str">
        <x:v>GMB</x:v>
      </x:c>
      <x:c r="E160" s="24" t="n">
        <x:v>2003</x:v>
      </x:c>
      <x:c r="F160" s="37" t="n">
        <x:v>1.59</x:v>
      </x:c>
      <x:c r="G160" s="38" t="n">
        <x:v>1577611</x:v>
      </x:c>
      <x:c r="H160" s="38" t="n">
        <x:v>1577611</x:v>
      </x:c>
      <x:c r="I160" s="39" t="n">
        <x:f>H160/G160</x:f>
        <x:v>1</x:v>
      </x:c>
      <x:c r="J160" s="40" t="n">
        <x:f>(I160-1)*100</x:f>
        <x:v>0</x:v>
      </x:c>
      <x:c r="K160" s="36" t="str">
        <x:v>no</x:v>
      </x:c>
      <x:c r="L160" s="36" t="str">
        <x:v>Single-country territory; UN WPP and vanilla are within the ±5% review threshold.</x:v>
      </x:c>
      <x:c r="M160" s="41" t="n">
        <x:v>1533918129</x:v>
      </x:c>
      <x:c r="N160" s="41" t="n">
        <x:v>2438929825</x:v>
      </x:c>
      <x:c r="O160" s="41" t="n">
        <x:v>1546</x:v>
      </x:c>
      <x:c r="P160" s="41" t="n">
        <x:v>849</x:v>
      </x:c>
      <x:c r="Q160" s="41" t="n">
        <x:v>2644</x:v>
      </x:c>
      <x:c r="R160" s="42" t="n">
        <x:f>MIN(P160,Q160)</x:f>
        <x:v>849</x:v>
      </x:c>
      <x:c r="S160" s="42" t="n">
        <x:f>MAX(P160,Q160)</x:f>
        <x:v>2644</x:v>
      </x:c>
      <x:c r="T160" s="42" t="n">
        <x:f>MAX(R160,MIN(O160,S160))</x:f>
        <x:v>1546</x:v>
      </x:c>
      <x:c r="U160" s="19" t="str">
        <x:f>IF(O160&lt;R160,IF(R160=P160,"clamped_to_nominal","clamped_to_ppp"),IF(O160&gt;S160,IF(S160=P160,"clamped_to_nominal","clamped_to_ppp"),"kept_vanilla"))</x:f>
        <x:v>kept_vanilla</x:v>
      </x:c>
      <x:c r="V160" s="42" t="n">
        <x:f>T160*H160</x:f>
        <x:v>2438986606</x:v>
      </x:c>
      <x:c r="W160" s="42" t="n">
        <x:f>V160/F160</x:f>
        <x:v>1533953840.2515721</x:v>
      </x:c>
      <x:c r="X160" s="36" t="str">
        <x:v>GMB: UN WPP 2024 Medium exact 2003</x:v>
      </x:c>
      <x:c r="Y160" s="36" t="str">
        <x:v>GMB: IMF exact 2003</x:v>
      </x:c>
      <x:c r="Z160" s="36" t="str">
        <x:v>GMB: IMF exact 2003</x:v>
      </x:c>
      <x:c r="AA160" s="36" t="str">
        <x:v>complete_primary</x:v>
      </x:c>
      <x:c r="AB160" s="36" t="str">
        <x:v>https://www.un.org/development/desa/pd/world-population-prospects-2024</x:v>
      </x:c>
      <x:c r="AC160" s="36" t="str">
        <x:v>https://api.imf.org/external/sdmx/3.0/data/dataflow/IMF.RES/WEO/9.0.0/</x:v>
      </x:c>
      <x:c r="AD160" s="36" t="str">
        <x:v>https://api.worldbank.org/v2/</x:v>
      </x:c>
    </x:row>
    <x:row r="161">
      <x:c r="A161" s="24" t="str">
        <x:v>GAM</x:v>
      </x:c>
      <x:c r="B161" s="24" t="str">
        <x:v>Gambia</x:v>
      </x:c>
      <x:c r="C161" s="24" t="str">
        <x:v>GMB</x:v>
      </x:c>
      <x:c r="D161" s="24" t="str">
        <x:v>GMB</x:v>
      </x:c>
      <x:c r="E161" s="24" t="n">
        <x:v>2022</x:v>
      </x:c>
      <x:c r="F161" s="37" t="n">
        <x:v>1</x:v>
      </x:c>
      <x:c r="G161" s="38" t="n">
        <x:v>2581165</x:v>
      </x:c>
      <x:c r="H161" s="38" t="n">
        <x:v>2636470</x:v>
      </x:c>
      <x:c r="I161" s="39" t="n">
        <x:f>H161/G161</x:f>
        <x:v>1.021426371425306</x:v>
      </x:c>
      <x:c r="J161" s="40" t="n">
        <x:f>(I161-1)*100</x:f>
        <x:v>2.1426371425306012</x:v>
      </x:c>
      <x:c r="K161" s="36" t="str">
        <x:v>no</x:v>
      </x:c>
      <x:c r="L161" s="36" t="str">
        <x:v>Single-country territory; UN WPP and vanilla are within the ±5% review threshold.</x:v>
      </x:c>
      <x:c r="M161" s="41" t="n">
        <x:v>5976960000</x:v>
      </x:c>
      <x:c r="N161" s="41" t="n">
        <x:v>5976960000</x:v>
      </x:c>
      <x:c r="O161" s="41" t="n">
        <x:v>2316</x:v>
      </x:c>
      <x:c r="P161" s="41" t="n">
        <x:v>810</x:v>
      </x:c>
      <x:c r="Q161" s="41" t="n">
        <x:v>3067</x:v>
      </x:c>
      <x:c r="R161" s="42" t="n">
        <x:f>MIN(P161,Q161)</x:f>
        <x:v>810</x:v>
      </x:c>
      <x:c r="S161" s="42" t="n">
        <x:f>MAX(P161,Q161)</x:f>
        <x:v>3067</x:v>
      </x:c>
      <x:c r="T161" s="42" t="n">
        <x:f>MAX(R161,MIN(O161,S161))</x:f>
        <x:v>2316</x:v>
      </x:c>
      <x:c r="U161" s="19" t="str">
        <x:f>IF(O161&lt;R161,IF(R161=P161,"clamped_to_nominal","clamped_to_ppp"),IF(O161&gt;S161,IF(S161=P161,"clamped_to_nominal","clamped_to_ppp"),"kept_vanilla"))</x:f>
        <x:v>kept_vanilla</x:v>
      </x:c>
      <x:c r="V161" s="42" t="n">
        <x:f>T161*H161</x:f>
        <x:v>6106064520</x:v>
      </x:c>
      <x:c r="W161" s="42" t="n">
        <x:f>V161/F161</x:f>
        <x:v>6106064520</x:v>
      </x:c>
      <x:c r="X161" s="36" t="str">
        <x:v>GMB: UN WPP 2024 Medium exact 2022</x:v>
      </x:c>
      <x:c r="Y161" s="36" t="str">
        <x:v>GMB: IMF exact 2022</x:v>
      </x:c>
      <x:c r="Z161" s="36" t="str">
        <x:v>GMB: IMF exact 2022</x:v>
      </x:c>
      <x:c r="AA161" s="36" t="str">
        <x:v>complete_primary</x:v>
      </x:c>
      <x:c r="AB161" s="36" t="str">
        <x:v>https://www.un.org/development/desa/pd/world-population-prospects-2024</x:v>
      </x:c>
      <x:c r="AC161" s="36" t="str">
        <x:v>https://api.imf.org/external/sdmx/3.0/data/dataflow/IMF.RES/WEO/9.0.0/</x:v>
      </x:c>
      <x:c r="AD161" s="36" t="str">
        <x:v>https://api.worldbank.org/v2/</x:v>
      </x:c>
    </x:row>
    <x:row r="162">
      <x:c r="A162" s="24" t="str">
        <x:v>GAM</x:v>
      </x:c>
      <x:c r="B162" s="24" t="str">
        <x:v>Gambia</x:v>
      </x:c>
      <x:c r="C162" s="24" t="str">
        <x:v>GMB</x:v>
      </x:c>
      <x:c r="D162" s="24" t="str">
        <x:v>GMB</x:v>
      </x:c>
      <x:c r="E162" s="24" t="n">
        <x:v>2026</x:v>
      </x:c>
      <x:c r="F162" s="37" t="n">
        <x:v>0.87</x:v>
      </x:c>
      <x:c r="G162" s="38" t="n">
        <x:v>2884080</x:v>
      </x:c>
      <x:c r="H162" s="38" t="n">
        <x:v>2884079</x:v>
      </x:c>
      <x:c r="I162" s="39" t="n">
        <x:f>H162/G162</x:f>
        <x:v>0.9999996532689801</x:v>
      </x:c>
      <x:c r="J162" s="40" t="n">
        <x:f>(I162-1)*100</x:f>
        <x:v>-0.00003467310198956852</x:v>
      </x:c>
      <x:c r="K162" s="36" t="str">
        <x:v>no</x:v>
      </x:c>
      <x:c r="L162" s="36" t="str">
        <x:v>Single-country territory; UN WPP and vanilla are within the ±5% review threshold.</x:v>
      </x:c>
      <x:c r="M162" s="41" t="n">
        <x:v>9103600000</x:v>
      </x:c>
      <x:c r="N162" s="41" t="n">
        <x:v>7920132000</x:v>
      </x:c>
      <x:c r="O162" s="41" t="n">
        <x:v>2746</x:v>
      </x:c>
      <x:c r="P162" s="41" t="n">
        <x:v>842</x:v>
      </x:c>
      <x:c r="Q162" s="41" t="n">
        <x:v>3416</x:v>
      </x:c>
      <x:c r="R162" s="42" t="n">
        <x:f>MIN(P162,Q162)</x:f>
        <x:v>842</x:v>
      </x:c>
      <x:c r="S162" s="42" t="n">
        <x:f>MAX(P162,Q162)</x:f>
        <x:v>3416</x:v>
      </x:c>
      <x:c r="T162" s="42" t="n">
        <x:f>MAX(R162,MIN(O162,S162))</x:f>
        <x:v>2746</x:v>
      </x:c>
      <x:c r="U162" s="19" t="str">
        <x:f>IF(O162&lt;R162,IF(R162=P162,"clamped_to_nominal","clamped_to_ppp"),IF(O162&gt;S162,IF(S162=P162,"clamped_to_nominal","clamped_to_ppp"),"kept_vanilla"))</x:f>
        <x:v>kept_vanilla</x:v>
      </x:c>
      <x:c r="V162" s="42" t="n">
        <x:f>T162*H162</x:f>
        <x:v>7919680934</x:v>
      </x:c>
      <x:c r="W162" s="42" t="n">
        <x:f>V162/F162</x:f>
        <x:v>9103081533.333334</x:v>
      </x:c>
      <x:c r="X162" s="36" t="str">
        <x:v>GMB: UN WPP 2024 Medium exact 2026</x:v>
      </x:c>
      <x:c r="Y162" s="36" t="str">
        <x:v>GMB: IMF exact 2026</x:v>
      </x:c>
      <x:c r="Z162" s="36" t="str">
        <x:v>GMB: IMF exact 2026</x:v>
      </x:c>
      <x:c r="AA162" s="36" t="str">
        <x:v>complete_primary</x:v>
      </x:c>
      <x:c r="AB162" s="36" t="str">
        <x:v>https://www.un.org/development/desa/pd/world-population-prospects-2024</x:v>
      </x:c>
      <x:c r="AC162" s="36" t="str">
        <x:v>https://api.imf.org/external/sdmx/3.0/data/dataflow/IMF.RES/WEO/9.0.0/</x:v>
      </x:c>
      <x:c r="AD162" s="36" t="str">
        <x:v>https://api.worldbank.org/v2/</x:v>
      </x:c>
    </x:row>
    <x:row r="163">
      <x:c r="A163" s="24" t="str">
        <x:v>GEO</x:v>
      </x:c>
      <x:c r="B163" s="24" t="str">
        <x:v>Georgia</x:v>
      </x:c>
      <x:c r="C163" s="24" t="str">
        <x:v>GEO</x:v>
      </x:c>
      <x:c r="D163" s="24" t="str">
        <x:v>GEO</x:v>
      </x:c>
      <x:c r="E163" s="24" t="n">
        <x:v>2003</x:v>
      </x:c>
      <x:c r="F163" s="37" t="n">
        <x:v>1.59</x:v>
      </x:c>
      <x:c r="G163" s="38" t="n">
        <x:v>4085483</x:v>
      </x:c>
      <x:c r="H163" s="38" t="n">
        <x:v>4085483</x:v>
      </x:c>
      <x:c r="I163" s="39" t="n">
        <x:f>H163/G163</x:f>
        <x:v>1</x:v>
      </x:c>
      <x:c r="J163" s="40" t="n">
        <x:f>(I163-1)*100</x:f>
        <x:v>0</x:v>
      </x:c>
      <x:c r="K163" s="36" t="str">
        <x:v>no</x:v>
      </x:c>
      <x:c r="L163" s="36" t="str">
        <x:v>Single-country territory; UN WPP and vanilla are within the ±5% review threshold.</x:v>
      </x:c>
      <x:c r="M163" s="41" t="n">
        <x:v>10794736842</x:v>
      </x:c>
      <x:c r="N163" s="41" t="n">
        <x:v>17163631579</x:v>
      </x:c>
      <x:c r="O163" s="41" t="n">
        <x:v>4201</x:v>
      </x:c>
      <x:c r="P163" s="41" t="n">
        <x:v>1597</x:v>
      </x:c>
      <x:c r="Q163" s="41" t="n">
        <x:v>7184</x:v>
      </x:c>
      <x:c r="R163" s="42" t="n">
        <x:f>MIN(P163,Q163)</x:f>
        <x:v>1597</x:v>
      </x:c>
      <x:c r="S163" s="42" t="n">
        <x:f>MAX(P163,Q163)</x:f>
        <x:v>7184</x:v>
      </x:c>
      <x:c r="T163" s="42" t="n">
        <x:f>MAX(R163,MIN(O163,S163))</x:f>
        <x:v>4201</x:v>
      </x:c>
      <x:c r="U163" s="19" t="str">
        <x:f>IF(O163&lt;R163,IF(R163=P163,"clamped_to_nominal","clamped_to_ppp"),IF(O163&gt;S163,IF(S163=P163,"clamped_to_nominal","clamped_to_ppp"),"kept_vanilla"))</x:f>
        <x:v>kept_vanilla</x:v>
      </x:c>
      <x:c r="V163" s="42" t="n">
        <x:f>T163*H163</x:f>
        <x:v>17163114083</x:v>
      </x:c>
      <x:c r="W163" s="42" t="n">
        <x:f>V163/F163</x:f>
        <x:v>10794411372.955975</x:v>
      </x:c>
      <x:c r="X163" s="36" t="str">
        <x:v>GEO: UN WPP 2024 Medium exact 2003</x:v>
      </x:c>
      <x:c r="Y163" s="36" t="str">
        <x:v>GEO: IMF exact 2003</x:v>
      </x:c>
      <x:c r="Z163" s="36" t="str">
        <x:v>GEO: IMF exact 2003</x:v>
      </x:c>
      <x:c r="AA163" s="36" t="str">
        <x:v>complete_primary</x:v>
      </x:c>
      <x:c r="AB163" s="36" t="str">
        <x:v>https://www.un.org/development/desa/pd/world-population-prospects-2024</x:v>
      </x:c>
      <x:c r="AC163" s="36" t="str">
        <x:v>https://api.imf.org/external/sdmx/3.0/data/dataflow/IMF.RES/WEO/9.0.0/</x:v>
      </x:c>
      <x:c r="AD163" s="36" t="str">
        <x:v>https://api.worldbank.org/v2/</x:v>
      </x:c>
    </x:row>
    <x:row r="164">
      <x:c r="A164" s="24" t="str">
        <x:v>GEO</x:v>
      </x:c>
      <x:c r="B164" s="24" t="str">
        <x:v>Georgia</x:v>
      </x:c>
      <x:c r="C164" s="24" t="str">
        <x:v>GEO</x:v>
      </x:c>
      <x:c r="D164" s="24" t="str">
        <x:v>GEO</x:v>
      </x:c>
      <x:c r="E164" s="24" t="n">
        <x:v>2022</x:v>
      </x:c>
      <x:c r="F164" s="37" t="n">
        <x:v>1</x:v>
      </x:c>
      <x:c r="G164" s="38" t="n">
        <x:v>3965244</x:v>
      </x:c>
      <x:c r="H164" s="38" t="n">
        <x:v>3794784</x:v>
      </x:c>
      <x:c r="I164" s="39" t="n">
        <x:f>H164/G164</x:f>
        <x:v>0.9570114726861702</x:v>
      </x:c>
      <x:c r="J164" s="40" t="n">
        <x:f>(I164-1)*100</x:f>
        <x:v>-4.2988527313829845</x:v>
      </x:c>
      <x:c r="K164" s="36" t="str">
        <x:v>no</x:v>
      </x:c>
      <x:c r="L164" s="36" t="str">
        <x:v>Single-country territory; UN WPP and vanilla are within the ±5% review threshold.</x:v>
      </x:c>
      <x:c r="M164" s="41" t="n">
        <x:v>60839680000</x:v>
      </x:c>
      <x:c r="N164" s="41" t="n">
        <x:v>60839680000</x:v>
      </x:c>
      <x:c r="O164" s="41" t="n">
        <x:v>15343</x:v>
      </x:c>
      <x:c r="P164" s="41" t="n">
        <x:v>6584</x:v>
      </x:c>
      <x:c r="Q164" s="41" t="n">
        <x:v>21971</x:v>
      </x:c>
      <x:c r="R164" s="42" t="n">
        <x:f>MIN(P164,Q164)</x:f>
        <x:v>6584</x:v>
      </x:c>
      <x:c r="S164" s="42" t="n">
        <x:f>MAX(P164,Q164)</x:f>
        <x:v>21971</x:v>
      </x:c>
      <x:c r="T164" s="42" t="n">
        <x:f>MAX(R164,MIN(O164,S164))</x:f>
        <x:v>15343</x:v>
      </x:c>
      <x:c r="U164" s="19" t="str">
        <x:f>IF(O164&lt;R164,IF(R164=P164,"clamped_to_nominal","clamped_to_ppp"),IF(O164&gt;S164,IF(S164=P164,"clamped_to_nominal","clamped_to_ppp"),"kept_vanilla"))</x:f>
        <x:v>kept_vanilla</x:v>
      </x:c>
      <x:c r="V164" s="42" t="n">
        <x:f>T164*H164</x:f>
        <x:v>58223370912</x:v>
      </x:c>
      <x:c r="W164" s="42" t="n">
        <x:f>V164/F164</x:f>
        <x:v>58223370912</x:v>
      </x:c>
      <x:c r="X164" s="36" t="str">
        <x:v>GEO: UN WPP 2024 Medium exact 2022</x:v>
      </x:c>
      <x:c r="Y164" s="36" t="str">
        <x:v>GEO: IMF exact 2022</x:v>
      </x:c>
      <x:c r="Z164" s="36" t="str">
        <x:v>GEO: IMF exact 2022</x:v>
      </x:c>
      <x:c r="AA164" s="36" t="str">
        <x:v>complete_primary</x:v>
      </x:c>
      <x:c r="AB164" s="36" t="str">
        <x:v>https://www.un.org/development/desa/pd/world-population-prospects-2024</x:v>
      </x:c>
      <x:c r="AC164" s="36" t="str">
        <x:v>https://api.imf.org/external/sdmx/3.0/data/dataflow/IMF.RES/WEO/9.0.0/</x:v>
      </x:c>
      <x:c r="AD164" s="36" t="str">
        <x:v>https://api.worldbank.org/v2/</x:v>
      </x:c>
    </x:row>
    <x:row r="165">
      <x:c r="A165" s="24" t="str">
        <x:v>GEO</x:v>
      </x:c>
      <x:c r="B165" s="24" t="str">
        <x:v>Georgia</x:v>
      </x:c>
      <x:c r="C165" s="24" t="str">
        <x:v>GEO</x:v>
      </x:c>
      <x:c r="D165" s="24" t="str">
        <x:v>GEO</x:v>
      </x:c>
      <x:c r="E165" s="24" t="n">
        <x:v>2026</x:v>
      </x:c>
      <x:c r="F165" s="37" t="n">
        <x:v>0.87</x:v>
      </x:c>
      <x:c r="G165" s="38" t="n">
        <x:v>3804642</x:v>
      </x:c>
      <x:c r="H165" s="38" t="n">
        <x:v>3804642</x:v>
      </x:c>
      <x:c r="I165" s="39" t="n">
        <x:f>H165/G165</x:f>
        <x:v>1</x:v>
      </x:c>
      <x:c r="J165" s="40" t="n">
        <x:f>(I165-1)*100</x:f>
        <x:v>0</x:v>
      </x:c>
      <x:c r="K165" s="36" t="str">
        <x:v>no</x:v>
      </x:c>
      <x:c r="L165" s="36" t="str">
        <x:v>Single-country territory; UN WPP and vanilla are within the ±5% review threshold.</x:v>
      </x:c>
      <x:c r="M165" s="41" t="n">
        <x:v>99953040000</x:v>
      </x:c>
      <x:c r="N165" s="41" t="n">
        <x:v>86959144800</x:v>
      </x:c>
      <x:c r="O165" s="41" t="n">
        <x:v>22856</x:v>
      </x:c>
      <x:c r="P165" s="41" t="n">
        <x:v>9768</x:v>
      </x:c>
      <x:c r="Q165" s="41" t="n">
        <x:v>28686</x:v>
      </x:c>
      <x:c r="R165" s="42" t="n">
        <x:f>MIN(P165,Q165)</x:f>
        <x:v>9768</x:v>
      </x:c>
      <x:c r="S165" s="42" t="n">
        <x:f>MAX(P165,Q165)</x:f>
        <x:v>28686</x:v>
      </x:c>
      <x:c r="T165" s="42" t="n">
        <x:f>MAX(R165,MIN(O165,S165))</x:f>
        <x:v>22856</x:v>
      </x:c>
      <x:c r="U165" s="19" t="str">
        <x:f>IF(O165&lt;R165,IF(R165=P165,"clamped_to_nominal","clamped_to_ppp"),IF(O165&gt;S165,IF(S165=P165,"clamped_to_nominal","clamped_to_ppp"),"kept_vanilla"))</x:f>
        <x:v>kept_vanilla</x:v>
      </x:c>
      <x:c r="V165" s="42" t="n">
        <x:f>T165*H165</x:f>
        <x:v>86958897552</x:v>
      </x:c>
      <x:c r="W165" s="42" t="n">
        <x:f>V165/F165</x:f>
        <x:v>99952755806.89655</x:v>
      </x:c>
      <x:c r="X165" s="36" t="str">
        <x:v>GEO: UN WPP 2024 Medium exact 2026</x:v>
      </x:c>
      <x:c r="Y165" s="36" t="str">
        <x:v>GEO: IMF exact 2026</x:v>
      </x:c>
      <x:c r="Z165" s="36" t="str">
        <x:v>GEO: IMF exact 2026</x:v>
      </x:c>
      <x:c r="AA165" s="36" t="str">
        <x:v>complete_primary</x:v>
      </x:c>
      <x:c r="AB165" s="36" t="str">
        <x:v>https://www.un.org/development/desa/pd/world-population-prospects-2024</x:v>
      </x:c>
      <x:c r="AC165" s="36" t="str">
        <x:v>https://api.imf.org/external/sdmx/3.0/data/dataflow/IMF.RES/WEO/9.0.0/</x:v>
      </x:c>
      <x:c r="AD165" s="36" t="str">
        <x:v>https://api.worldbank.org/v2/</x:v>
      </x:c>
    </x:row>
    <x:row r="166">
      <x:c r="A166" s="24" t="str">
        <x:v>DEU</x:v>
      </x:c>
      <x:c r="B166" s="24" t="str">
        <x:v>Germany</x:v>
      </x:c>
      <x:c r="C166" s="24" t="str">
        <x:v>DEU</x:v>
      </x:c>
      <x:c r="D166" s="24" t="str">
        <x:v>DEU</x:v>
      </x:c>
      <x:c r="E166" s="24" t="n">
        <x:v>2003</x:v>
      </x:c>
      <x:c r="F166" s="37" t="n">
        <x:v>1.59</x:v>
      </x:c>
      <x:c r="G166" s="38" t="n">
        <x:v>82111616</x:v>
      </x:c>
      <x:c r="H166" s="38" t="n">
        <x:v>82111615</x:v>
      </x:c>
      <x:c r="I166" s="39" t="n">
        <x:f>H166/G166</x:f>
        <x:v>0.9999999878214552</x:v>
      </x:c>
      <x:c r="J166" s="40" t="n">
        <x:f>(I166-1)*100</x:f>
        <x:v>-0.000001217854483925862</x:v>
      </x:c>
      <x:c r="K166" s="36" t="str">
        <x:v>no</x:v>
      </x:c>
      <x:c r="L166" s="36" t="str">
        <x:v>Single-country territory; UN WPP and vanilla are within the ±5% review threshold.</x:v>
      </x:c>
      <x:c r="M166" s="41" t="n">
        <x:v>1629042105263</x:v>
      </x:c>
      <x:c r="N166" s="41" t="n">
        <x:v>2590176947368</x:v>
      </x:c>
      <x:c r="O166" s="41" t="n">
        <x:v>31545</x:v>
      </x:c>
      <x:c r="P166" s="41" t="n">
        <x:v>49070</x:v>
      </x:c>
      <x:c r="Q166" s="41" t="n">
        <x:v>53971</x:v>
      </x:c>
      <x:c r="R166" s="42" t="n">
        <x:f>MIN(P166,Q166)</x:f>
        <x:v>49070</x:v>
      </x:c>
      <x:c r="S166" s="42" t="n">
        <x:f>MAX(P166,Q166)</x:f>
        <x:v>53971</x:v>
      </x:c>
      <x:c r="T166" s="42" t="n">
        <x:f>MAX(R166,MIN(O166,S166))</x:f>
        <x:v>49070</x:v>
      </x:c>
      <x:c r="U166" s="19" t="str">
        <x:f>IF(O166&lt;R166,IF(R166=P166,"clamped_to_nominal","clamped_to_ppp"),IF(O166&gt;S166,IF(S166=P166,"clamped_to_nominal","clamped_to_ppp"),"kept_vanilla"))</x:f>
        <x:v>clamped_to_nominal</x:v>
      </x:c>
      <x:c r="V166" s="42" t="n">
        <x:f>T166*H166</x:f>
        <x:v>4029216948050</x:v>
      </x:c>
      <x:c r="W166" s="42" t="n">
        <x:f>V166/F166</x:f>
        <x:v>2534098709465.4087</x:v>
      </x:c>
      <x:c r="X166" s="36" t="str">
        <x:v>DEU: UN WPP 2024 Medium exact 2003</x:v>
      </x:c>
      <x:c r="Y166" s="36" t="str">
        <x:v>DEU: IMF exact 2003</x:v>
      </x:c>
      <x:c r="Z166" s="36" t="str">
        <x:v>DEU: IMF exact 2003</x:v>
      </x:c>
      <x:c r="AA166" s="36" t="str">
        <x:v>complete_primary</x:v>
      </x:c>
      <x:c r="AB166" s="36" t="str">
        <x:v>https://www.un.org/development/desa/pd/world-population-prospects-2024</x:v>
      </x:c>
      <x:c r="AC166" s="36" t="str">
        <x:v>https://api.imf.org/external/sdmx/3.0/data/dataflow/IMF.RES/WEO/9.0.0/</x:v>
      </x:c>
      <x:c r="AD166" s="36" t="str">
        <x:v>https://api.worldbank.org/v2/</x:v>
      </x:c>
    </x:row>
    <x:row r="167">
      <x:c r="A167" s="24" t="str">
        <x:v>DEU</x:v>
      </x:c>
      <x:c r="B167" s="24" t="str">
        <x:v>Germany</x:v>
      </x:c>
      <x:c r="C167" s="24" t="str">
        <x:v>DEU</x:v>
      </x:c>
      <x:c r="D167" s="24" t="str">
        <x:v>DEU</x:v>
      </x:c>
      <x:c r="E167" s="24" t="n">
        <x:v>2022</x:v>
      </x:c>
      <x:c r="F167" s="37" t="n">
        <x:v>1</x:v>
      </x:c>
      <x:c r="G167" s="38" t="n">
        <x:v>83868087</x:v>
      </x:c>
      <x:c r="H167" s="38" t="n">
        <x:v>84086227</x:v>
      </x:c>
      <x:c r="I167" s="39" t="n">
        <x:f>H167/G167</x:f>
        <x:v>1.0026009893369812</x:v>
      </x:c>
      <x:c r="J167" s="40" t="n">
        <x:f>(I167-1)*100</x:f>
        <x:v>0.2600989336981163</x:v>
      </x:c>
      <x:c r="K167" s="36" t="str">
        <x:v>no</x:v>
      </x:c>
      <x:c r="L167" s="36" t="str">
        <x:v>Single-country territory; UN WPP and vanilla are within the ±5% review threshold.</x:v>
      </x:c>
      <x:c r="M167" s="41" t="n">
        <x:v>4637567440000</x:v>
      </x:c>
      <x:c r="N167" s="41" t="n">
        <x:v>4637567440000</x:v>
      </x:c>
      <x:c r="O167" s="41" t="n">
        <x:v>55296</x:v>
      </x:c>
      <x:c r="P167" s="41" t="n">
        <x:v>50000</x:v>
      </x:c>
      <x:c r="Q167" s="41" t="n">
        <x:v>68028</x:v>
      </x:c>
      <x:c r="R167" s="42" t="n">
        <x:f>MIN(P167,Q167)</x:f>
        <x:v>50000</x:v>
      </x:c>
      <x:c r="S167" s="42" t="n">
        <x:f>MAX(P167,Q167)</x:f>
        <x:v>68028</x:v>
      </x:c>
      <x:c r="T167" s="42" t="n">
        <x:f>MAX(R167,MIN(O167,S167))</x:f>
        <x:v>55296</x:v>
      </x:c>
      <x:c r="U167" s="19" t="str">
        <x:f>IF(O167&lt;R167,IF(R167=P167,"clamped_to_nominal","clamped_to_ppp"),IF(O167&gt;S167,IF(S167=P167,"clamped_to_nominal","clamped_to_ppp"),"kept_vanilla"))</x:f>
        <x:v>kept_vanilla</x:v>
      </x:c>
      <x:c r="V167" s="42" t="n">
        <x:f>T167*H167</x:f>
        <x:v>4649632008192</x:v>
      </x:c>
      <x:c r="W167" s="42" t="n">
        <x:f>V167/F167</x:f>
        <x:v>4649632008192</x:v>
      </x:c>
      <x:c r="X167" s="36" t="str">
        <x:v>DEU: UN WPP 2024 Medium exact 2022</x:v>
      </x:c>
      <x:c r="Y167" s="36" t="str">
        <x:v>DEU: IMF exact 2022</x:v>
      </x:c>
      <x:c r="Z167" s="36" t="str">
        <x:v>DEU: IMF exact 2022</x:v>
      </x:c>
      <x:c r="AA167" s="36" t="str">
        <x:v>complete_primary</x:v>
      </x:c>
      <x:c r="AB167" s="36" t="str">
        <x:v>https://www.un.org/development/desa/pd/world-population-prospects-2024</x:v>
      </x:c>
      <x:c r="AC167" s="36" t="str">
        <x:v>https://api.imf.org/external/sdmx/3.0/data/dataflow/IMF.RES/WEO/9.0.0/</x:v>
      </x:c>
      <x:c r="AD167" s="36" t="str">
        <x:v>https://api.worldbank.org/v2/</x:v>
      </x:c>
    </x:row>
    <x:row r="168">
      <x:c r="A168" s="24" t="str">
        <x:v>DEU</x:v>
      </x:c>
      <x:c r="B168" s="24" t="str">
        <x:v>Germany</x:v>
      </x:c>
      <x:c r="C168" s="24" t="str">
        <x:v>DEU</x:v>
      </x:c>
      <x:c r="D168" s="24" t="str">
        <x:v>DEU</x:v>
      </x:c>
      <x:c r="E168" s="24" t="n">
        <x:v>2026</x:v>
      </x:c>
      <x:c r="F168" s="37" t="n">
        <x:v>0.87</x:v>
      </x:c>
      <x:c r="G168" s="38" t="n">
        <x:v>83644258</x:v>
      </x:c>
      <x:c r="H168" s="38" t="n">
        <x:v>83644258</x:v>
      </x:c>
      <x:c r="I168" s="39" t="n">
        <x:f>H168/G168</x:f>
        <x:v>1</x:v>
      </x:c>
      <x:c r="J168" s="40" t="n">
        <x:f>(I168-1)*100</x:f>
        <x:v>0</x:v>
      </x:c>
      <x:c r="K168" s="36" t="str">
        <x:v>no</x:v>
      </x:c>
      <x:c r="L168" s="36" t="str">
        <x:v>Single-country territory; UN WPP and vanilla are within the ±5% review threshold.</x:v>
      </x:c>
      <x:c r="M168" s="41" t="n">
        <x:v>5415292080000</x:v>
      </x:c>
      <x:c r="N168" s="41" t="n">
        <x:v>4711304109600</x:v>
      </x:c>
      <x:c r="O168" s="41" t="n">
        <x:v>56325</x:v>
      </x:c>
      <x:c r="P168" s="41" t="n">
        <x:v>56716</x:v>
      </x:c>
      <x:c r="Q168" s="41" t="n">
        <x:v>66655</x:v>
      </x:c>
      <x:c r="R168" s="42" t="n">
        <x:f>MIN(P168,Q168)</x:f>
        <x:v>56716</x:v>
      </x:c>
      <x:c r="S168" s="42" t="n">
        <x:f>MAX(P168,Q168)</x:f>
        <x:v>66655</x:v>
      </x:c>
      <x:c r="T168" s="42" t="n">
        <x:f>MAX(R168,MIN(O168,S168))</x:f>
        <x:v>56716</x:v>
      </x:c>
      <x:c r="U168" s="19" t="str">
        <x:f>IF(O168&lt;R168,IF(R168=P168,"clamped_to_nominal","clamped_to_ppp"),IF(O168&gt;S168,IF(S168=P168,"clamped_to_nominal","clamped_to_ppp"),"kept_vanilla"))</x:f>
        <x:v>clamped_to_nominal</x:v>
      </x:c>
      <x:c r="V168" s="42" t="n">
        <x:f>T168*H168</x:f>
        <x:v>4743967736728</x:v>
      </x:c>
      <x:c r="W168" s="42" t="n">
        <x:f>V168/F168</x:f>
        <x:v>5452836478997.701</x:v>
      </x:c>
      <x:c r="X168" s="36" t="str">
        <x:v>DEU: UN WPP 2024 Medium exact 2026</x:v>
      </x:c>
      <x:c r="Y168" s="36" t="str">
        <x:v>DEU: IMF exact 2026</x:v>
      </x:c>
      <x:c r="Z168" s="36" t="str">
        <x:v>DEU: IMF exact 2026</x:v>
      </x:c>
      <x:c r="AA168" s="36" t="str">
        <x:v>complete_primary</x:v>
      </x:c>
      <x:c r="AB168" s="36" t="str">
        <x:v>https://www.un.org/development/desa/pd/world-population-prospects-2024</x:v>
      </x:c>
      <x:c r="AC168" s="36" t="str">
        <x:v>https://api.imf.org/external/sdmx/3.0/data/dataflow/IMF.RES/WEO/9.0.0/</x:v>
      </x:c>
      <x:c r="AD168" s="36" t="str">
        <x:v>https://api.worldbank.org/v2/</x:v>
      </x:c>
    </x:row>
    <x:row r="169">
      <x:c r="A169" s="24" t="str">
        <x:v>GHA</x:v>
      </x:c>
      <x:c r="B169" s="24" t="str">
        <x:v>Ghana</x:v>
      </x:c>
      <x:c r="C169" s="24" t="str">
        <x:v>GHA</x:v>
      </x:c>
      <x:c r="D169" s="24" t="str">
        <x:v>GHA</x:v>
      </x:c>
      <x:c r="E169" s="24" t="n">
        <x:v>2003</x:v>
      </x:c>
      <x:c r="F169" s="37" t="n">
        <x:v>1.59</x:v>
      </x:c>
      <x:c r="G169" s="38" t="n">
        <x:v>21296705</x:v>
      </x:c>
      <x:c r="H169" s="38" t="n">
        <x:v>21296705</x:v>
      </x:c>
      <x:c r="I169" s="39" t="n">
        <x:f>H169/G169</x:f>
        <x:v>1</x:v>
      </x:c>
      <x:c r="J169" s="40" t="n">
        <x:f>(I169-1)*100</x:f>
        <x:v>0</x:v>
      </x:c>
      <x:c r="K169" s="36" t="str">
        <x:v>no</x:v>
      </x:c>
      <x:c r="L169" s="36" t="str">
        <x:v>Single-country territory; UN WPP and vanilla are within the ±5% review threshold.</x:v>
      </x:c>
      <x:c r="M169" s="41" t="n">
        <x:v>29340350877</x:v>
      </x:c>
      <x:c r="N169" s="41" t="n">
        <x:v>46651157894</x:v>
      </x:c>
      <x:c r="O169" s="41" t="n">
        <x:v>2191</x:v>
      </x:c>
      <x:c r="P169" s="41" t="n">
        <x:v>1403</x:v>
      </x:c>
      <x:c r="Q169" s="41" t="n">
        <x:v>3746</x:v>
      </x:c>
      <x:c r="R169" s="42" t="n">
        <x:f>MIN(P169,Q169)</x:f>
        <x:v>1403</x:v>
      </x:c>
      <x:c r="S169" s="42" t="n">
        <x:f>MAX(P169,Q169)</x:f>
        <x:v>3746</x:v>
      </x:c>
      <x:c r="T169" s="42" t="n">
        <x:f>MAX(R169,MIN(O169,S169))</x:f>
        <x:v>2191</x:v>
      </x:c>
      <x:c r="U169" s="19" t="str">
        <x:f>IF(O169&lt;R169,IF(R169=P169,"clamped_to_nominal","clamped_to_ppp"),IF(O169&gt;S169,IF(S169=P169,"clamped_to_nominal","clamped_to_ppp"),"kept_vanilla"))</x:f>
        <x:v>kept_vanilla</x:v>
      </x:c>
      <x:c r="V169" s="42" t="n">
        <x:f>T169*H169</x:f>
        <x:v>46661080655</x:v>
      </x:c>
      <x:c r="W169" s="42" t="n">
        <x:f>V169/F169</x:f>
        <x:v>29346591606.918236</x:v>
      </x:c>
      <x:c r="X169" s="36" t="str">
        <x:v>GHA: UN WPP 2024 Medium exact 2003</x:v>
      </x:c>
      <x:c r="Y169" s="36" t="str">
        <x:v>GHA: IMF exact 2003</x:v>
      </x:c>
      <x:c r="Z169" s="36" t="str">
        <x:v>GHA: IMF exact 2003</x:v>
      </x:c>
      <x:c r="AA169" s="36" t="str">
        <x:v>complete_primary</x:v>
      </x:c>
      <x:c r="AB169" s="36" t="str">
        <x:v>https://www.un.org/development/desa/pd/world-population-prospects-2024</x:v>
      </x:c>
      <x:c r="AC169" s="36" t="str">
        <x:v>https://api.imf.org/external/sdmx/3.0/data/dataflow/IMF.RES/WEO/9.0.0/</x:v>
      </x:c>
      <x:c r="AD169" s="36" t="str">
        <x:v>https://api.worldbank.org/v2/</x:v>
      </x:c>
    </x:row>
    <x:row r="170">
      <x:c r="A170" s="24" t="str">
        <x:v>GHA</x:v>
      </x:c>
      <x:c r="B170" s="24" t="str">
        <x:v>Ghana</x:v>
      </x:c>
      <x:c r="C170" s="24" t="str">
        <x:v>GHA</x:v>
      </x:c>
      <x:c r="D170" s="24" t="str">
        <x:v>GHA</x:v>
      </x:c>
      <x:c r="E170" s="24" t="n">
        <x:v>2022</x:v>
      </x:c>
      <x:c r="F170" s="37" t="n">
        <x:v>1</x:v>
      </x:c>
      <x:c r="G170" s="38" t="n">
        <x:v>32603382</x:v>
      </x:c>
      <x:c r="H170" s="38" t="n">
        <x:v>33149152</x:v>
      </x:c>
      <x:c r="I170" s="39" t="n">
        <x:f>H170/G170</x:f>
        <x:v>1.0167396744300945</x:v>
      </x:c>
      <x:c r="J170" s="40" t="n">
        <x:f>(I170-1)*100</x:f>
        <x:v>1.6739674430094498</x:v>
      </x:c>
      <x:c r="K170" s="36" t="str">
        <x:v>no</x:v>
      </x:c>
      <x:c r="L170" s="36" t="str">
        <x:v>Single-country territory; UN WPP and vanilla are within the ±5% review threshold.</x:v>
      </x:c>
      <x:c r="M170" s="41" t="n">
        <x:v>190674880000</x:v>
      </x:c>
      <x:c r="N170" s="41" t="n">
        <x:v>190674880000</x:v>
      </x:c>
      <x:c r="O170" s="41" t="n">
        <x:v>5848</x:v>
      </x:c>
      <x:c r="P170" s="41" t="n">
        <x:v>2230</x:v>
      </x:c>
      <x:c r="Q170" s="41" t="n">
        <x:v>7208</x:v>
      </x:c>
      <x:c r="R170" s="42" t="n">
        <x:f>MIN(P170,Q170)</x:f>
        <x:v>2230</x:v>
      </x:c>
      <x:c r="S170" s="42" t="n">
        <x:f>MAX(P170,Q170)</x:f>
        <x:v>7208</x:v>
      </x:c>
      <x:c r="T170" s="42" t="n">
        <x:f>MAX(R170,MIN(O170,S170))</x:f>
        <x:v>5848</x:v>
      </x:c>
      <x:c r="U170" s="19" t="str">
        <x:f>IF(O170&lt;R170,IF(R170=P170,"clamped_to_nominal","clamped_to_ppp"),IF(O170&gt;S170,IF(S170=P170,"clamped_to_nominal","clamped_to_ppp"),"kept_vanilla"))</x:f>
        <x:v>kept_vanilla</x:v>
      </x:c>
      <x:c r="V170" s="42" t="n">
        <x:f>T170*H170</x:f>
        <x:v>193856240896</x:v>
      </x:c>
      <x:c r="W170" s="42" t="n">
        <x:f>V170/F170</x:f>
        <x:v>193856240896</x:v>
      </x:c>
      <x:c r="X170" s="36" t="str">
        <x:v>GHA: UN WPP 2024 Medium exact 2022</x:v>
      </x:c>
      <x:c r="Y170" s="36" t="str">
        <x:v>GHA: IMF exact 2022</x:v>
      </x:c>
      <x:c r="Z170" s="36" t="str">
        <x:v>GHA: IMF exact 2022</x:v>
      </x:c>
      <x:c r="AA170" s="36" t="str">
        <x:v>complete_primary</x:v>
      </x:c>
      <x:c r="AB170" s="36" t="str">
        <x:v>https://www.un.org/development/desa/pd/world-population-prospects-2024</x:v>
      </x:c>
      <x:c r="AC170" s="36" t="str">
        <x:v>https://api.imf.org/external/sdmx/3.0/data/dataflow/IMF.RES/WEO/9.0.0/</x:v>
      </x:c>
      <x:c r="AD170" s="36" t="str">
        <x:v>https://api.worldbank.org/v2/</x:v>
      </x:c>
    </x:row>
    <x:row r="171">
      <x:c r="A171" s="24" t="str">
        <x:v>GHA</x:v>
      </x:c>
      <x:c r="B171" s="24" t="str">
        <x:v>Ghana</x:v>
      </x:c>
      <x:c r="C171" s="24" t="str">
        <x:v>GHA</x:v>
      </x:c>
      <x:c r="D171" s="24" t="str">
        <x:v>GHA</x:v>
      </x:c>
      <x:c r="E171" s="24" t="n">
        <x:v>2026</x:v>
      </x:c>
      <x:c r="F171" s="37" t="n">
        <x:v>0.87</x:v>
      </x:c>
      <x:c r="G171" s="38" t="n">
        <x:v>35697557</x:v>
      </x:c>
      <x:c r="H171" s="38" t="n">
        <x:v>35697557</x:v>
      </x:c>
      <x:c r="I171" s="39" t="n">
        <x:f>H171/G171</x:f>
        <x:v>1</x:v>
      </x:c>
      <x:c r="J171" s="40" t="n">
        <x:f>(I171-1)*100</x:f>
        <x:v>0</x:v>
      </x:c>
      <x:c r="K171" s="36" t="str">
        <x:v>no</x:v>
      </x:c>
      <x:c r="L171" s="36" t="str">
        <x:v>Single-country territory; UN WPP and vanilla are within the ±5% review threshold.</x:v>
      </x:c>
      <x:c r="M171" s="41" t="n">
        <x:v>259703840000</x:v>
      </x:c>
      <x:c r="N171" s="41" t="n">
        <x:v>225942340800</x:v>
      </x:c>
      <x:c r="O171" s="41" t="n">
        <x:v>6329</x:v>
      </x:c>
      <x:c r="P171" s="41" t="n">
        <x:v>2883</x:v>
      </x:c>
      <x:c r="Q171" s="41" t="n">
        <x:v>7931</x:v>
      </x:c>
      <x:c r="R171" s="42" t="n">
        <x:f>MIN(P171,Q171)</x:f>
        <x:v>2883</x:v>
      </x:c>
      <x:c r="S171" s="42" t="n">
        <x:f>MAX(P171,Q171)</x:f>
        <x:v>7931</x:v>
      </x:c>
      <x:c r="T171" s="42" t="n">
        <x:f>MAX(R171,MIN(O171,S171))</x:f>
        <x:v>6329</x:v>
      </x:c>
      <x:c r="U171" s="19" t="str">
        <x:f>IF(O171&lt;R171,IF(R171=P171,"clamped_to_nominal","clamped_to_ppp"),IF(O171&gt;S171,IF(S171=P171,"clamped_to_nominal","clamped_to_ppp"),"kept_vanilla"))</x:f>
        <x:v>kept_vanilla</x:v>
      </x:c>
      <x:c r="V171" s="42" t="n">
        <x:f>T171*H171</x:f>
        <x:v>225929838253</x:v>
      </x:c>
      <x:c r="W171" s="42" t="n">
        <x:f>V171/F171</x:f>
        <x:v>259689469256.32184</x:v>
      </x:c>
      <x:c r="X171" s="36" t="str">
        <x:v>GHA: UN WPP 2024 Medium exact 2026</x:v>
      </x:c>
      <x:c r="Y171" s="36" t="str">
        <x:v>GHA: IMF exact 2026</x:v>
      </x:c>
      <x:c r="Z171" s="36" t="str">
        <x:v>GHA: IMF exact 2026</x:v>
      </x:c>
      <x:c r="AA171" s="36" t="str">
        <x:v>complete_primary</x:v>
      </x:c>
      <x:c r="AB171" s="36" t="str">
        <x:v>https://www.un.org/development/desa/pd/world-population-prospects-2024</x:v>
      </x:c>
      <x:c r="AC171" s="36" t="str">
        <x:v>https://api.imf.org/external/sdmx/3.0/data/dataflow/IMF.RES/WEO/9.0.0/</x:v>
      </x:c>
      <x:c r="AD171" s="36" t="str">
        <x:v>https://api.worldbank.org/v2/</x:v>
      </x:c>
    </x:row>
    <x:row r="172">
      <x:c r="A172" s="24" t="str">
        <x:v>GRE</x:v>
      </x:c>
      <x:c r="B172" s="24" t="str">
        <x:v>Greece</x:v>
      </x:c>
      <x:c r="C172" s="24" t="str">
        <x:v>GRC+CYP</x:v>
      </x:c>
      <x:c r="D172" s="24" t="str">
        <x:v>GRC+CYP</x:v>
      </x:c>
      <x:c r="E172" s="24" t="n">
        <x:v>2003</x:v>
      </x:c>
      <x:c r="F172" s="37" t="n">
        <x:v>1.59</x:v>
      </x:c>
      <x:c r="G172" s="38" t="n">
        <x:v>11918061</x:v>
      </x:c>
      <x:c r="H172" s="38" t="n">
        <x:v>11918061</x:v>
      </x:c>
      <x:c r="I172" s="39" t="n">
        <x:f>H172/G172</x:f>
        <x:v>1</x:v>
      </x:c>
      <x:c r="J172" s="40" t="n">
        <x:f>(I172-1)*100</x:f>
        <x:v>0</x:v>
      </x:c>
      <x:c r="K172" s="36" t="str">
        <x:v>no</x:v>
      </x:c>
      <x:c r="L172" s="36" t="str">
        <x:v>Aggregated all explicit game ISO components; reviewed as a composite game country rather than comparing it with only the first sovereign state.</x:v>
      </x:c>
      <x:c r="M172" s="41" t="n">
        <x:v>162307602339</x:v>
      </x:c>
      <x:c r="N172" s="41" t="n">
        <x:v>258069087719</x:v>
      </x:c>
      <x:c r="O172" s="41" t="n">
        <x:v>21654</x:v>
      </x:c>
      <x:c r="P172" s="41" t="n">
        <x:v>28208</x:v>
      </x:c>
      <x:c r="Q172" s="41" t="n">
        <x:v>38800</x:v>
      </x:c>
      <x:c r="R172" s="42" t="n">
        <x:f>MIN(P172,Q172)</x:f>
        <x:v>28208</x:v>
      </x:c>
      <x:c r="S172" s="42" t="n">
        <x:f>MAX(P172,Q172)</x:f>
        <x:v>38800</x:v>
      </x:c>
      <x:c r="T172" s="42" t="n">
        <x:f>MAX(R172,MIN(O172,S172))</x:f>
        <x:v>28208</x:v>
      </x:c>
      <x:c r="U172" s="19" t="str">
        <x:f>IF(O172&lt;R172,IF(R172=P172,"clamped_to_nominal","clamped_to_ppp"),IF(O172&gt;S172,IF(S172=P172,"clamped_to_nominal","clamped_to_ppp"),"kept_vanilla"))</x:f>
        <x:v>clamped_to_nominal</x:v>
      </x:c>
      <x:c r="V172" s="42" t="n">
        <x:f>T172*H172</x:f>
        <x:v>336184664688</x:v>
      </x:c>
      <x:c r="W172" s="42" t="n">
        <x:f>V172/F172</x:f>
        <x:v>211436896030.18866</x:v>
      </x:c>
      <x:c r="X172" s="36" t="str">
        <x:v>GRC: UN WPP 2024 Medium exact 2003; CYP: UN WPP 2024 Medium exact 2003</x:v>
      </x:c>
      <x:c r="Y172" s="36" t="str">
        <x:v>GRC: IMF exact 2003; CYP: IMF exact 2003</x:v>
      </x:c>
      <x:c r="Z172" s="36" t="str">
        <x:v>GRC: IMF exact 2003; CYP: IMF exact 2003</x:v>
      </x:c>
      <x:c r="AA172" s="36" t="str">
        <x:v>complete_primary</x:v>
      </x:c>
      <x:c r="AB172" s="36" t="str">
        <x:v>https://www.un.org/development/desa/pd/world-population-prospects-2024</x:v>
      </x:c>
      <x:c r="AC172" s="36" t="str">
        <x:v>https://api.imf.org/external/sdmx/3.0/data/dataflow/IMF.RES/WEO/9.0.0/</x:v>
      </x:c>
      <x:c r="AD172" s="36" t="str">
        <x:v>https://api.worldbank.org/v2/</x:v>
      </x:c>
    </x:row>
    <x:row r="173">
      <x:c r="A173" s="24" t="str">
        <x:v>GRE</x:v>
      </x:c>
      <x:c r="B173" s="24" t="str">
        <x:v>Greece</x:v>
      </x:c>
      <x:c r="C173" s="24" t="str">
        <x:v>GRC+CYP</x:v>
      </x:c>
      <x:c r="D173" s="24" t="str">
        <x:v>GRC+CYP</x:v>
      </x:c>
      <x:c r="E173" s="24" t="n">
        <x:v>2022</x:v>
      </x:c>
      <x:c r="F173" s="37" t="n">
        <x:v>1</x:v>
      </x:c>
      <x:c r="G173" s="38" t="n">
        <x:v>11140449</x:v>
      </x:c>
      <x:c r="H173" s="38" t="n">
        <x:v>11743850</x:v>
      </x:c>
      <x:c r="I173" s="39" t="n">
        <x:f>H173/G173</x:f>
        <x:v>1.0541630772691477</x:v>
      </x:c>
      <x:c r="J173" s="40" t="n">
        <x:f>(I173-1)*100</x:f>
        <x:v>5.416307726914771</x:v>
      </x:c>
      <x:c r="K173" s="36" t="str">
        <x:v>yes — reviewed</x:v>
      </x:c>
      <x:c r="L173" s="36" t="str">
        <x:v>Aggregated all explicit game ISO components; reviewed as a composite game country rather than comparing it with only the first sovereign state.</x:v>
      </x:c>
      <x:c r="M173" s="41" t="n">
        <x:v>371795600000</x:v>
      </x:c>
      <x:c r="N173" s="41" t="n">
        <x:v>371795600000</x:v>
      </x:c>
      <x:c r="O173" s="41" t="n">
        <x:v>33373</x:v>
      </x:c>
      <x:c r="P173" s="41" t="n">
        <x:v>21237</x:v>
      </x:c>
      <x:c r="Q173" s="41" t="n">
        <x:v>38595</x:v>
      </x:c>
      <x:c r="R173" s="42" t="n">
        <x:f>MIN(P173,Q173)</x:f>
        <x:v>21237</x:v>
      </x:c>
      <x:c r="S173" s="42" t="n">
        <x:f>MAX(P173,Q173)</x:f>
        <x:v>38595</x:v>
      </x:c>
      <x:c r="T173" s="42" t="n">
        <x:f>MAX(R173,MIN(O173,S173))</x:f>
        <x:v>33373</x:v>
      </x:c>
      <x:c r="U173" s="19" t="str">
        <x:f>IF(O173&lt;R173,IF(R173=P173,"clamped_to_nominal","clamped_to_ppp"),IF(O173&gt;S173,IF(S173=P173,"clamped_to_nominal","clamped_to_ppp"),"kept_vanilla"))</x:f>
        <x:v>kept_vanilla</x:v>
      </x:c>
      <x:c r="V173" s="42" t="n">
        <x:f>T173*H173</x:f>
        <x:v>391927506050</x:v>
      </x:c>
      <x:c r="W173" s="42" t="n">
        <x:f>V173/F173</x:f>
        <x:v>391927506050</x:v>
      </x:c>
      <x:c r="X173" s="36" t="str">
        <x:v>GRC: UN WPP 2024 Medium exact 2022; CYP: UN WPP 2024 Medium exact 2022</x:v>
      </x:c>
      <x:c r="Y173" s="36" t="str">
        <x:v>GRC: IMF exact 2022; CYP: IMF exact 2022</x:v>
      </x:c>
      <x:c r="Z173" s="36" t="str">
        <x:v>GRC: IMF exact 2022; CYP: IMF exact 2022</x:v>
      </x:c>
      <x:c r="AA173" s="36" t="str">
        <x:v>complete_primary</x:v>
      </x:c>
      <x:c r="AB173" s="36" t="str">
        <x:v>https://www.un.org/development/desa/pd/world-population-prospects-2024</x:v>
      </x:c>
      <x:c r="AC173" s="36" t="str">
        <x:v>https://api.imf.org/external/sdmx/3.0/data/dataflow/IMF.RES/WEO/9.0.0/</x:v>
      </x:c>
      <x:c r="AD173" s="36" t="str">
        <x:v>https://api.worldbank.org/v2/</x:v>
      </x:c>
    </x:row>
    <x:row r="174">
      <x:c r="A174" s="24" t="str">
        <x:v>GRE</x:v>
      </x:c>
      <x:c r="B174" s="24" t="str">
        <x:v>Greece</x:v>
      </x:c>
      <x:c r="C174" s="24" t="str">
        <x:v>GRC+CYP</x:v>
      </x:c>
      <x:c r="D174" s="24" t="str">
        <x:v>GRC+CYP</x:v>
      </x:c>
      <x:c r="E174" s="24" t="n">
        <x:v>2026</x:v>
      </x:c>
      <x:c r="F174" s="37" t="n">
        <x:v>0.87</x:v>
      </x:c>
      <x:c r="G174" s="38" t="n">
        <x:v>11279450</x:v>
      </x:c>
      <x:c r="H174" s="38" t="n">
        <x:v>11279449</x:v>
      </x:c>
      <x:c r="I174" s="39" t="n">
        <x:f>H174/G174</x:f>
        <x:v>0.9999999113431949</x:v>
      </x:c>
      <x:c r="J174" s="40" t="n">
        <x:f>(I174-1)*100</x:f>
        <x:v>-0.000008865680511949137</x:v>
      </x:c>
      <x:c r="K174" s="36" t="str">
        <x:v>no</x:v>
      </x:c>
      <x:c r="L174" s="36" t="str">
        <x:v>Aggregated all explicit game ISO components; reviewed as a composite game country rather than comparing it with only the first sovereign state.</x:v>
      </x:c>
      <x:c r="M174" s="41" t="n">
        <x:v>411479200000</x:v>
      </x:c>
      <x:c r="N174" s="41" t="n">
        <x:v>357986904000</x:v>
      </x:c>
      <x:c r="O174" s="41" t="n">
        <x:v>31738</x:v>
      </x:c>
      <x:c r="P174" s="41" t="n">
        <x:v>27206</x:v>
      </x:c>
      <x:c r="Q174" s="41" t="n">
        <x:v>42886</x:v>
      </x:c>
      <x:c r="R174" s="42" t="n">
        <x:f>MIN(P174,Q174)</x:f>
        <x:v>27206</x:v>
      </x:c>
      <x:c r="S174" s="42" t="n">
        <x:f>MAX(P174,Q174)</x:f>
        <x:v>42886</x:v>
      </x:c>
      <x:c r="T174" s="42" t="n">
        <x:f>MAX(R174,MIN(O174,S174))</x:f>
        <x:v>31738</x:v>
      </x:c>
      <x:c r="U174" s="19" t="str">
        <x:f>IF(O174&lt;R174,IF(R174=P174,"clamped_to_nominal","clamped_to_ppp"),IF(O174&gt;S174,IF(S174=P174,"clamped_to_nominal","clamped_to_ppp"),"kept_vanilla"))</x:f>
        <x:v>kept_vanilla</x:v>
      </x:c>
      <x:c r="V174" s="42" t="n">
        <x:f>T174*H174</x:f>
        <x:v>357987152362</x:v>
      </x:c>
      <x:c r="W174" s="42" t="n">
        <x:f>V174/F174</x:f>
        <x:v>411479485473.56323</x:v>
      </x:c>
      <x:c r="X174" s="36" t="str">
        <x:v>GRC: UN WPP 2024 Medium exact 2026; CYP: UN WPP 2024 Medium exact 2026</x:v>
      </x:c>
      <x:c r="Y174" s="36" t="str">
        <x:v>GRC: IMF exact 2026; CYP: IMF exact 2026</x:v>
      </x:c>
      <x:c r="Z174" s="36" t="str">
        <x:v>GRC: IMF exact 2026; CYP: IMF exact 2026</x:v>
      </x:c>
      <x:c r="AA174" s="36" t="str">
        <x:v>complete_primary</x:v>
      </x:c>
      <x:c r="AB174" s="36" t="str">
        <x:v>https://www.un.org/development/desa/pd/world-population-prospects-2024</x:v>
      </x:c>
      <x:c r="AC174" s="36" t="str">
        <x:v>https://api.imf.org/external/sdmx/3.0/data/dataflow/IMF.RES/WEO/9.0.0/</x:v>
      </x:c>
      <x:c r="AD174" s="36" t="str">
        <x:v>https://api.worldbank.org/v2/</x:v>
      </x:c>
    </x:row>
    <x:row r="175">
      <x:c r="A175" s="24" t="str">
        <x:v>GTM</x:v>
      </x:c>
      <x:c r="B175" s="24" t="str">
        <x:v>Guatemala</x:v>
      </x:c>
      <x:c r="C175" s="24" t="str">
        <x:v>GTM</x:v>
      </x:c>
      <x:c r="D175" s="24" t="str">
        <x:v>GTM</x:v>
      </x:c>
      <x:c r="E175" s="24" t="n">
        <x:v>2003</x:v>
      </x:c>
      <x:c r="F175" s="37" t="n">
        <x:v>1.59</x:v>
      </x:c>
      <x:c r="G175" s="38" t="n">
        <x:v>12525842</x:v>
      </x:c>
      <x:c r="H175" s="38" t="n">
        <x:v>12525842</x:v>
      </x:c>
      <x:c r="I175" s="39" t="n">
        <x:f>H175/G175</x:f>
        <x:v>1</x:v>
      </x:c>
      <x:c r="J175" s="40" t="n">
        <x:f>(I175-1)*100</x:f>
        <x:v>0</x:v>
      </x:c>
      <x:c r="K175" s="36" t="str">
        <x:v>no</x:v>
      </x:c>
      <x:c r="L175" s="36" t="str">
        <x:v>Single-country territory; UN WPP and vanilla are within the ±5% review threshold.</x:v>
      </x:c>
      <x:c r="M175" s="41" t="n">
        <x:v>43738011696</x:v>
      </x:c>
      <x:c r="N175" s="41" t="n">
        <x:v>69543438597</x:v>
      </x:c>
      <x:c r="O175" s="41" t="n">
        <x:v>5552</x:v>
      </x:c>
      <x:c r="P175" s="41" t="n">
        <x:v>2931</x:v>
      </x:c>
      <x:c r="Q175" s="41" t="n">
        <x:v>9494</x:v>
      </x:c>
      <x:c r="R175" s="42" t="n">
        <x:f>MIN(P175,Q175)</x:f>
        <x:v>2931</x:v>
      </x:c>
      <x:c r="S175" s="42" t="n">
        <x:f>MAX(P175,Q175)</x:f>
        <x:v>9494</x:v>
      </x:c>
      <x:c r="T175" s="42" t="n">
        <x:f>MAX(R175,MIN(O175,S175))</x:f>
        <x:v>5552</x:v>
      </x:c>
      <x:c r="U175" s="19" t="str">
        <x:f>IF(O175&lt;R175,IF(R175=P175,"clamped_to_nominal","clamped_to_ppp"),IF(O175&gt;S175,IF(S175=P175,"clamped_to_nominal","clamped_to_ppp"),"kept_vanilla"))</x:f>
        <x:v>kept_vanilla</x:v>
      </x:c>
      <x:c r="V175" s="42" t="n">
        <x:f>T175*H175</x:f>
        <x:v>69543474784</x:v>
      </x:c>
      <x:c r="W175" s="42" t="n">
        <x:f>V175/F175</x:f>
        <x:v>43738034455.34591</x:v>
      </x:c>
      <x:c r="X175" s="36" t="str">
        <x:v>GTM: UN WPP 2024 Medium exact 2003</x:v>
      </x:c>
      <x:c r="Y175" s="36" t="str">
        <x:v>GTM: IMF exact 2003</x:v>
      </x:c>
      <x:c r="Z175" s="36" t="str">
        <x:v>GTM: IMF exact 2003</x:v>
      </x:c>
      <x:c r="AA175" s="36" t="str">
        <x:v>complete_primary</x:v>
      </x:c>
      <x:c r="AB175" s="36" t="str">
        <x:v>https://www.un.org/development/desa/pd/world-population-prospects-2024</x:v>
      </x:c>
      <x:c r="AC175" s="36" t="str">
        <x:v>https://api.imf.org/external/sdmx/3.0/data/dataflow/IMF.RES/WEO/9.0.0/</x:v>
      </x:c>
      <x:c r="AD175" s="36" t="str">
        <x:v>https://api.worldbank.org/v2/</x:v>
      </x:c>
    </x:row>
    <x:row r="176">
      <x:c r="A176" s="24" t="str">
        <x:v>GTM</x:v>
      </x:c>
      <x:c r="B176" s="24" t="str">
        <x:v>Guatemala</x:v>
      </x:c>
      <x:c r="C176" s="24" t="str">
        <x:v>GTM</x:v>
      </x:c>
      <x:c r="D176" s="24" t="str">
        <x:v>GTM</x:v>
      </x:c>
      <x:c r="E176" s="24" t="n">
        <x:v>2022</x:v>
      </x:c>
      <x:c r="F176" s="37" t="n">
        <x:v>1</x:v>
      </x:c>
      <x:c r="G176" s="38" t="n">
        <x:v>18688544</x:v>
      </x:c>
      <x:c r="H176" s="38" t="n">
        <x:v>17847877</x:v>
      </x:c>
      <x:c r="I176" s="39" t="n">
        <x:f>H176/G176</x:f>
        <x:v>0.9550169879472686</x:v>
      </x:c>
      <x:c r="J176" s="40" t="n">
        <x:f>(I176-1)*100</x:f>
        <x:v>-4.498301205273137</x:v>
      </x:c>
      <x:c r="K176" s="36" t="str">
        <x:v>no</x:v>
      </x:c>
      <x:c r="L176" s="36" t="str">
        <x:v>Single-country territory; UN WPP and vanilla are within the ±5% review threshold.</x:v>
      </x:c>
      <x:c r="M176" s="41" t="n">
        <x:v>163216240000</x:v>
      </x:c>
      <x:c r="N176" s="41" t="n">
        <x:v>163216240000</x:v>
      </x:c>
      <x:c r="O176" s="41" t="n">
        <x:v>8733</x:v>
      </x:c>
      <x:c r="P176" s="41" t="n">
        <x:v>5359</x:v>
      </x:c>
      <x:c r="Q176" s="41" t="n">
        <x:v>13012</x:v>
      </x:c>
      <x:c r="R176" s="42" t="n">
        <x:f>MIN(P176,Q176)</x:f>
        <x:v>5359</x:v>
      </x:c>
      <x:c r="S176" s="42" t="n">
        <x:f>MAX(P176,Q176)</x:f>
        <x:v>13012</x:v>
      </x:c>
      <x:c r="T176" s="42" t="n">
        <x:f>MAX(R176,MIN(O176,S176))</x:f>
        <x:v>8733</x:v>
      </x:c>
      <x:c r="U176" s="19" t="str">
        <x:f>IF(O176&lt;R176,IF(R176=P176,"clamped_to_nominal","clamped_to_ppp"),IF(O176&gt;S176,IF(S176=P176,"clamped_to_nominal","clamped_to_ppp"),"kept_vanilla"))</x:f>
        <x:v>kept_vanilla</x:v>
      </x:c>
      <x:c r="V176" s="42" t="n">
        <x:f>T176*H176</x:f>
        <x:v>155865509841</x:v>
      </x:c>
      <x:c r="W176" s="42" t="n">
        <x:f>V176/F176</x:f>
        <x:v>155865509841</x:v>
      </x:c>
      <x:c r="X176" s="36" t="str">
        <x:v>GTM: UN WPP 2024 Medium exact 2022</x:v>
      </x:c>
      <x:c r="Y176" s="36" t="str">
        <x:v>GTM: IMF exact 2022</x:v>
      </x:c>
      <x:c r="Z176" s="36" t="str">
        <x:v>GTM: IMF exact 2022</x:v>
      </x:c>
      <x:c r="AA176" s="36" t="str">
        <x:v>complete_primary</x:v>
      </x:c>
      <x:c r="AB176" s="36" t="str">
        <x:v>https://www.un.org/development/desa/pd/world-population-prospects-2024</x:v>
      </x:c>
      <x:c r="AC176" s="36" t="str">
        <x:v>https://api.imf.org/external/sdmx/3.0/data/dataflow/IMF.RES/WEO/9.0.0/</x:v>
      </x:c>
      <x:c r="AD176" s="36" t="str">
        <x:v>https://api.worldbank.org/v2/</x:v>
      </x:c>
    </x:row>
    <x:row r="177">
      <x:c r="A177" s="24" t="str">
        <x:v>GTM</x:v>
      </x:c>
      <x:c r="B177" s="24" t="str">
        <x:v>Guatemala</x:v>
      </x:c>
      <x:c r="C177" s="24" t="str">
        <x:v>GTM</x:v>
      </x:c>
      <x:c r="D177" s="24" t="str">
        <x:v>GTM</x:v>
      </x:c>
      <x:c r="E177" s="24" t="n">
        <x:v>2026</x:v>
      </x:c>
      <x:c r="F177" s="37" t="n">
        <x:v>0.87</x:v>
      </x:c>
      <x:c r="G177" s="38" t="n">
        <x:v>18967978</x:v>
      </x:c>
      <x:c r="H177" s="38" t="n">
        <x:v>18967978</x:v>
      </x:c>
      <x:c r="I177" s="39" t="n">
        <x:f>H177/G177</x:f>
        <x:v>1</x:v>
      </x:c>
      <x:c r="J177" s="40" t="n">
        <x:f>(I177-1)*100</x:f>
        <x:v>0</x:v>
      </x:c>
      <x:c r="K177" s="36" t="str">
        <x:v>no</x:v>
      </x:c>
      <x:c r="L177" s="36" t="str">
        <x:v>Single-country territory; UN WPP and vanilla are within the ±5% review threshold.</x:v>
      </x:c>
      <x:c r="M177" s="41" t="n">
        <x:v>248893040000</x:v>
      </x:c>
      <x:c r="N177" s="41" t="n">
        <x:v>216536944800</x:v>
      </x:c>
      <x:c r="O177" s="41" t="n">
        <x:v>11416</x:v>
      </x:c>
      <x:c r="P177" s="41" t="n">
        <x:v>5912</x:v>
      </x:c>
      <x:c r="Q177" s="41" t="n">
        <x:v>13907</x:v>
      </x:c>
      <x:c r="R177" s="42" t="n">
        <x:f>MIN(P177,Q177)</x:f>
        <x:v>5912</x:v>
      </x:c>
      <x:c r="S177" s="42" t="n">
        <x:f>MAX(P177,Q177)</x:f>
        <x:v>13907</x:v>
      </x:c>
      <x:c r="T177" s="42" t="n">
        <x:f>MAX(R177,MIN(O177,S177))</x:f>
        <x:v>11416</x:v>
      </x:c>
      <x:c r="U177" s="19" t="str">
        <x:f>IF(O177&lt;R177,IF(R177=P177,"clamped_to_nominal","clamped_to_ppp"),IF(O177&gt;S177,IF(S177=P177,"clamped_to_nominal","clamped_to_ppp"),"kept_vanilla"))</x:f>
        <x:v>kept_vanilla</x:v>
      </x:c>
      <x:c r="V177" s="42" t="n">
        <x:f>T177*H177</x:f>
        <x:v>216538436848</x:v>
      </x:c>
      <x:c r="W177" s="42" t="n">
        <x:f>V177/F177</x:f>
        <x:v>248894754997.70114</x:v>
      </x:c>
      <x:c r="X177" s="36" t="str">
        <x:v>GTM: UN WPP 2024 Medium exact 2026</x:v>
      </x:c>
      <x:c r="Y177" s="36" t="str">
        <x:v>GTM: IMF exact 2026</x:v>
      </x:c>
      <x:c r="Z177" s="36" t="str">
        <x:v>GTM: IMF exact 2026</x:v>
      </x:c>
      <x:c r="AA177" s="36" t="str">
        <x:v>complete_primary</x:v>
      </x:c>
      <x:c r="AB177" s="36" t="str">
        <x:v>https://www.un.org/development/desa/pd/world-population-prospects-2024</x:v>
      </x:c>
      <x:c r="AC177" s="36" t="str">
        <x:v>https://api.imf.org/external/sdmx/3.0/data/dataflow/IMF.RES/WEO/9.0.0/</x:v>
      </x:c>
      <x:c r="AD177" s="36" t="str">
        <x:v>https://api.worldbank.org/v2/</x:v>
      </x:c>
    </x:row>
    <x:row r="178">
      <x:c r="A178" s="24" t="str">
        <x:v>GIN</x:v>
      </x:c>
      <x:c r="B178" s="24" t="str">
        <x:v>Guinea</x:v>
      </x:c>
      <x:c r="C178" s="24" t="str">
        <x:v>GIN</x:v>
      </x:c>
      <x:c r="D178" s="24" t="str">
        <x:v>GIN</x:v>
      </x:c>
      <x:c r="E178" s="24" t="n">
        <x:v>2003</x:v>
      </x:c>
      <x:c r="F178" s="37" t="n">
        <x:v>1.59</x:v>
      </x:c>
      <x:c r="G178" s="38" t="n">
        <x:v>8870781</x:v>
      </x:c>
      <x:c r="H178" s="38" t="n">
        <x:v>8870781</x:v>
      </x:c>
      <x:c r="I178" s="39" t="n">
        <x:f>H178/G178</x:f>
        <x:v>1</x:v>
      </x:c>
      <x:c r="J178" s="40" t="n">
        <x:f>(I178-1)*100</x:f>
        <x:v>0</x:v>
      </x:c>
      <x:c r="K178" s="36" t="str">
        <x:v>no</x:v>
      </x:c>
      <x:c r="L178" s="36" t="str">
        <x:v>Single-country territory; UN WPP and vanilla are within the ±5% review threshold.</x:v>
      </x:c>
      <x:c r="M178" s="41" t="n">
        <x:v>7964912281</x:v>
      </x:c>
      <x:c r="N178" s="41" t="n">
        <x:v>12664210527</x:v>
      </x:c>
      <x:c r="O178" s="41" t="n">
        <x:v>1428</x:v>
      </x:c>
      <x:c r="P178" s="41" t="n">
        <x:v>853</x:v>
      </x:c>
      <x:c r="Q178" s="41" t="n">
        <x:v>2441</x:v>
      </x:c>
      <x:c r="R178" s="42" t="n">
        <x:f>MIN(P178,Q178)</x:f>
        <x:v>853</x:v>
      </x:c>
      <x:c r="S178" s="42" t="n">
        <x:f>MAX(P178,Q178)</x:f>
        <x:v>2441</x:v>
      </x:c>
      <x:c r="T178" s="42" t="n">
        <x:f>MAX(R178,MIN(O178,S178))</x:f>
        <x:v>1428</x:v>
      </x:c>
      <x:c r="U178" s="19" t="str">
        <x:f>IF(O178&lt;R178,IF(R178=P178,"clamped_to_nominal","clamped_to_ppp"),IF(O178&gt;S178,IF(S178=P178,"clamped_to_nominal","clamped_to_ppp"),"kept_vanilla"))</x:f>
        <x:v>kept_vanilla</x:v>
      </x:c>
      <x:c r="V178" s="42" t="n">
        <x:f>T178*H178</x:f>
        <x:v>12667475268</x:v>
      </x:c>
      <x:c r="W178" s="42" t="n">
        <x:f>V178/F178</x:f>
        <x:v>7966965577.35849</x:v>
      </x:c>
      <x:c r="X178" s="36" t="str">
        <x:v>GIN: UN WPP 2024 Medium exact 2003</x:v>
      </x:c>
      <x:c r="Y178" s="36" t="str">
        <x:v>GIN: IMF exact 2003</x:v>
      </x:c>
      <x:c r="Z178" s="36" t="str">
        <x:v>GIN: IMF exact 2003</x:v>
      </x:c>
      <x:c r="AA178" s="36" t="str">
        <x:v>complete_primary</x:v>
      </x:c>
      <x:c r="AB178" s="36" t="str">
        <x:v>https://www.un.org/development/desa/pd/world-population-prospects-2024</x:v>
      </x:c>
      <x:c r="AC178" s="36" t="str">
        <x:v>https://api.imf.org/external/sdmx/3.0/data/dataflow/IMF.RES/WEO/9.0.0/</x:v>
      </x:c>
      <x:c r="AD178" s="36" t="str">
        <x:v>https://api.worldbank.org/v2/</x:v>
      </x:c>
    </x:row>
    <x:row r="179">
      <x:c r="A179" s="24" t="str">
        <x:v>GIN</x:v>
      </x:c>
      <x:c r="B179" s="24" t="str">
        <x:v>Guinea</x:v>
      </x:c>
      <x:c r="C179" s="24" t="str">
        <x:v>GIN</x:v>
      </x:c>
      <x:c r="D179" s="24" t="str">
        <x:v>GIN</x:v>
      </x:c>
      <x:c r="E179" s="24" t="n">
        <x:v>2022</x:v>
      </x:c>
      <x:c r="F179" s="37" t="n">
        <x:v>1</x:v>
      </x:c>
      <x:c r="G179" s="38" t="n">
        <x:v>13982341</x:v>
      </x:c>
      <x:c r="H179" s="38" t="n">
        <x:v>14055137</x:v>
      </x:c>
      <x:c r="I179" s="39" t="n">
        <x:f>H179/G179</x:f>
        <x:v>1.0052062812657765</x:v>
      </x:c>
      <x:c r="J179" s="40" t="n">
        <x:f>(I179-1)*100</x:f>
        <x:v>0.5206281265776491</x:v>
      </x:c>
      <x:c r="K179" s="36" t="str">
        <x:v>no</x:v>
      </x:c>
      <x:c r="L179" s="36" t="str">
        <x:v>Single-country territory; UN WPP and vanilla are within the ±5% review threshold.</x:v>
      </x:c>
      <x:c r="M179" s="41" t="n">
        <x:v>39120400000</x:v>
      </x:c>
      <x:c r="N179" s="41" t="n">
        <x:v>39120400000</x:v>
      </x:c>
      <x:c r="O179" s="41" t="n">
        <x:v>2798</x:v>
      </x:c>
      <x:c r="P179" s="41" t="n">
        <x:v>1394</x:v>
      </x:c>
      <x:c r="Q179" s="41" t="n">
        <x:v>4062</x:v>
      </x:c>
      <x:c r="R179" s="42" t="n">
        <x:f>MIN(P179,Q179)</x:f>
        <x:v>1394</x:v>
      </x:c>
      <x:c r="S179" s="42" t="n">
        <x:f>MAX(P179,Q179)</x:f>
        <x:v>4062</x:v>
      </x:c>
      <x:c r="T179" s="42" t="n">
        <x:f>MAX(R179,MIN(O179,S179))</x:f>
        <x:v>2798</x:v>
      </x:c>
      <x:c r="U179" s="19" t="str">
        <x:f>IF(O179&lt;R179,IF(R179=P179,"clamped_to_nominal","clamped_to_ppp"),IF(O179&gt;S179,IF(S179=P179,"clamped_to_nominal","clamped_to_ppp"),"kept_vanilla"))</x:f>
        <x:v>kept_vanilla</x:v>
      </x:c>
      <x:c r="V179" s="42" t="n">
        <x:f>T179*H179</x:f>
        <x:v>39326273326</x:v>
      </x:c>
      <x:c r="W179" s="42" t="n">
        <x:f>V179/F179</x:f>
        <x:v>39326273326</x:v>
      </x:c>
      <x:c r="X179" s="36" t="str">
        <x:v>GIN: UN WPP 2024 Medium exact 2022</x:v>
      </x:c>
      <x:c r="Y179" s="36" t="str">
        <x:v>GIN: IMF exact 2022</x:v>
      </x:c>
      <x:c r="Z179" s="36" t="str">
        <x:v>GIN: IMF exact 2022</x:v>
      </x:c>
      <x:c r="AA179" s="36" t="str">
        <x:v>complete_primary</x:v>
      </x:c>
      <x:c r="AB179" s="36" t="str">
        <x:v>https://www.un.org/development/desa/pd/world-population-prospects-2024</x:v>
      </x:c>
      <x:c r="AC179" s="36" t="str">
        <x:v>https://api.imf.org/external/sdmx/3.0/data/dataflow/IMF.RES/WEO/9.0.0/</x:v>
      </x:c>
      <x:c r="AD179" s="36" t="str">
        <x:v>https://api.worldbank.org/v2/</x:v>
      </x:c>
    </x:row>
    <x:row r="180">
      <x:c r="A180" s="24" t="str">
        <x:v>GIN</x:v>
      </x:c>
      <x:c r="B180" s="24" t="str">
        <x:v>Guinea</x:v>
      </x:c>
      <x:c r="C180" s="24" t="str">
        <x:v>GIN</x:v>
      </x:c>
      <x:c r="D180" s="24" t="str">
        <x:v>GIN</x:v>
      </x:c>
      <x:c r="E180" s="24" t="n">
        <x:v>2026</x:v>
      </x:c>
      <x:c r="F180" s="37" t="n">
        <x:v>0.87</x:v>
      </x:c>
      <x:c r="G180" s="38" t="n">
        <x:v>15441993</x:v>
      </x:c>
      <x:c r="H180" s="38" t="n">
        <x:v>15441993</x:v>
      </x:c>
      <x:c r="I180" s="39" t="n">
        <x:f>H180/G180</x:f>
        <x:v>1</x:v>
      </x:c>
      <x:c r="J180" s="40" t="n">
        <x:f>(I180-1)*100</x:f>
        <x:v>0</x:v>
      </x:c>
      <x:c r="K180" s="36" t="str">
        <x:v>no</x:v>
      </x:c>
      <x:c r="L180" s="36" t="str">
        <x:v>Single-country territory; UN WPP and vanilla are within the ±5% review threshold.</x:v>
      </x:c>
      <x:c r="M180" s="41" t="n">
        <x:v>66045760000</x:v>
      </x:c>
      <x:c r="N180" s="41" t="n">
        <x:v>57459811200</x:v>
      </x:c>
      <x:c r="O180" s="41" t="n">
        <x:v>3721</x:v>
      </x:c>
      <x:c r="P180" s="41" t="n">
        <x:v>1686</x:v>
      </x:c>
      <x:c r="Q180" s="41" t="n">
        <x:v>4724</x:v>
      </x:c>
      <x:c r="R180" s="42" t="n">
        <x:f>MIN(P180,Q180)</x:f>
        <x:v>1686</x:v>
      </x:c>
      <x:c r="S180" s="42" t="n">
        <x:f>MAX(P180,Q180)</x:f>
        <x:v>4724</x:v>
      </x:c>
      <x:c r="T180" s="42" t="n">
        <x:f>MAX(R180,MIN(O180,S180))</x:f>
        <x:v>3721</x:v>
      </x:c>
      <x:c r="U180" s="19" t="str">
        <x:f>IF(O180&lt;R180,IF(R180=P180,"clamped_to_nominal","clamped_to_ppp"),IF(O180&gt;S180,IF(S180=P180,"clamped_to_nominal","clamped_to_ppp"),"kept_vanilla"))</x:f>
        <x:v>kept_vanilla</x:v>
      </x:c>
      <x:c r="V180" s="42" t="n">
        <x:f>T180*H180</x:f>
        <x:v>57459655953</x:v>
      </x:c>
      <x:c r="W180" s="42" t="n">
        <x:f>V180/F180</x:f>
        <x:v>66045581555.17242</x:v>
      </x:c>
      <x:c r="X180" s="36" t="str">
        <x:v>GIN: UN WPP 2024 Medium exact 2026</x:v>
      </x:c>
      <x:c r="Y180" s="36" t="str">
        <x:v>GIN: IMF exact 2026</x:v>
      </x:c>
      <x:c r="Z180" s="36" t="str">
        <x:v>GIN: IMF exact 2026</x:v>
      </x:c>
      <x:c r="AA180" s="36" t="str">
        <x:v>complete_primary</x:v>
      </x:c>
      <x:c r="AB180" s="36" t="str">
        <x:v>https://www.un.org/development/desa/pd/world-population-prospects-2024</x:v>
      </x:c>
      <x:c r="AC180" s="36" t="str">
        <x:v>https://api.imf.org/external/sdmx/3.0/data/dataflow/IMF.RES/WEO/9.0.0/</x:v>
      </x:c>
      <x:c r="AD180" s="36" t="str">
        <x:v>https://api.worldbank.org/v2/</x:v>
      </x:c>
    </x:row>
    <x:row r="181">
      <x:c r="A181" s="24" t="str">
        <x:v>GNB</x:v>
      </x:c>
      <x:c r="B181" s="24" t="str">
        <x:v>Guinea-Bissau</x:v>
      </x:c>
      <x:c r="C181" s="24" t="str">
        <x:v>GNB</x:v>
      </x:c>
      <x:c r="D181" s="24" t="str">
        <x:v>GNB</x:v>
      </x:c>
      <x:c r="E181" s="24" t="n">
        <x:v>2003</x:v>
      </x:c>
      <x:c r="F181" s="37" t="n">
        <x:v>1.59</x:v>
      </x:c>
      <x:c r="G181" s="38" t="n">
        <x:v>1318806</x:v>
      </x:c>
      <x:c r="H181" s="38" t="n">
        <x:v>1318806</x:v>
      </x:c>
      <x:c r="I181" s="39" t="n">
        <x:f>H181/G181</x:f>
        <x:v>1</x:v>
      </x:c>
      <x:c r="J181" s="40" t="n">
        <x:f>(I181-1)*100</x:f>
        <x:v>0</x:v>
      </x:c>
      <x:c r="K181" s="36" t="str">
        <x:v>no</x:v>
      </x:c>
      <x:c r="L181" s="36" t="str">
        <x:v>Single-country territory; UN WPP and vanilla are within the ±5% review threshold.</x:v>
      </x:c>
      <x:c r="M181" s="41" t="n">
        <x:v>1056725146</x:v>
      </x:c>
      <x:c r="N181" s="41" t="n">
        <x:v>1680192982</x:v>
      </x:c>
      <x:c r="O181" s="41" t="n">
        <x:v>1274</x:v>
      </x:c>
      <x:c r="P181" s="41" t="n">
        <x:v>667</x:v>
      </x:c>
      <x:c r="Q181" s="41" t="n">
        <x:v>2179</x:v>
      </x:c>
      <x:c r="R181" s="42" t="n">
        <x:f>MIN(P181,Q181)</x:f>
        <x:v>667</x:v>
      </x:c>
      <x:c r="S181" s="42" t="n">
        <x:f>MAX(P181,Q181)</x:f>
        <x:v>2179</x:v>
      </x:c>
      <x:c r="T181" s="42" t="n">
        <x:f>MAX(R181,MIN(O181,S181))</x:f>
        <x:v>1274</x:v>
      </x:c>
      <x:c r="U181" s="19" t="str">
        <x:f>IF(O181&lt;R181,IF(R181=P181,"clamped_to_nominal","clamped_to_ppp"),IF(O181&gt;S181,IF(S181=P181,"clamped_to_nominal","clamped_to_ppp"),"kept_vanilla"))</x:f>
        <x:v>kept_vanilla</x:v>
      </x:c>
      <x:c r="V181" s="42" t="n">
        <x:f>T181*H181</x:f>
        <x:v>1680158844</x:v>
      </x:c>
      <x:c r="W181" s="42" t="n">
        <x:f>V181/F181</x:f>
        <x:v>1056703675.471698</x:v>
      </x:c>
      <x:c r="X181" s="36" t="str">
        <x:v>GNB: UN WPP 2024 Medium exact 2003</x:v>
      </x:c>
      <x:c r="Y181" s="36" t="str">
        <x:v>GNB: IMF exact 2003</x:v>
      </x:c>
      <x:c r="Z181" s="36" t="str">
        <x:v>GNB: IMF exact 2003</x:v>
      </x:c>
      <x:c r="AA181" s="36" t="str">
        <x:v>complete_primary</x:v>
      </x:c>
      <x:c r="AB181" s="36" t="str">
        <x:v>https://www.un.org/development/desa/pd/world-population-prospects-2024</x:v>
      </x:c>
      <x:c r="AC181" s="36" t="str">
        <x:v>https://api.imf.org/external/sdmx/3.0/data/dataflow/IMF.RES/WEO/9.0.0/</x:v>
      </x:c>
      <x:c r="AD181" s="36" t="str">
        <x:v>https://api.worldbank.org/v2/</x:v>
      </x:c>
    </x:row>
    <x:row r="182">
      <x:c r="A182" s="24" t="str">
        <x:v>GNB</x:v>
      </x:c>
      <x:c r="B182" s="24" t="str">
        <x:v>Guinea-Bissau</x:v>
      </x:c>
      <x:c r="C182" s="24" t="str">
        <x:v>GNB</x:v>
      </x:c>
      <x:c r="D182" s="24" t="str">
        <x:v>GNB</x:v>
      </x:c>
      <x:c r="E182" s="24" t="n">
        <x:v>2022</x:v>
      </x:c>
      <x:c r="F182" s="37" t="n">
        <x:v>1</x:v>
      </x:c>
      <x:c r="G182" s="38" t="n">
        <x:v>2078481</x:v>
      </x:c>
      <x:c r="H182" s="38" t="n">
        <x:v>2105529</x:v>
      </x:c>
      <x:c r="I182" s="39" t="n">
        <x:f>H182/G182</x:f>
        <x:v>1.0130133496529437</x:v>
      </x:c>
      <x:c r="J182" s="40" t="n">
        <x:f>(I182-1)*100</x:f>
        <x:v>1.301334965294365</x:v>
      </x:c>
      <x:c r="K182" s="36" t="str">
        <x:v>no</x:v>
      </x:c>
      <x:c r="L182" s="36" t="str">
        <x:v>Single-country territory; UN WPP and vanilla are within the ±5% review threshold.</x:v>
      </x:c>
      <x:c r="M182" s="41" t="n">
        <x:v>4645520000</x:v>
      </x:c>
      <x:c r="N182" s="41" t="n">
        <x:v>4645520000</x:v>
      </x:c>
      <x:c r="O182" s="41" t="n">
        <x:v>2235</x:v>
      </x:c>
      <x:c r="P182" s="41" t="n">
        <x:v>817</x:v>
      </x:c>
      <x:c r="Q182" s="41" t="n">
        <x:v>2493</x:v>
      </x:c>
      <x:c r="R182" s="42" t="n">
        <x:f>MIN(P182,Q182)</x:f>
        <x:v>817</x:v>
      </x:c>
      <x:c r="S182" s="42" t="n">
        <x:f>MAX(P182,Q182)</x:f>
        <x:v>2493</x:v>
      </x:c>
      <x:c r="T182" s="42" t="n">
        <x:f>MAX(R182,MIN(O182,S182))</x:f>
        <x:v>2235</x:v>
      </x:c>
      <x:c r="U182" s="19" t="str">
        <x:f>IF(O182&lt;R182,IF(R182=P182,"clamped_to_nominal","clamped_to_ppp"),IF(O182&gt;S182,IF(S182=P182,"clamped_to_nominal","clamped_to_ppp"),"kept_vanilla"))</x:f>
        <x:v>kept_vanilla</x:v>
      </x:c>
      <x:c r="V182" s="42" t="n">
        <x:f>T182*H182</x:f>
        <x:v>4705857315</x:v>
      </x:c>
      <x:c r="W182" s="42" t="n">
        <x:f>V182/F182</x:f>
        <x:v>4705857315</x:v>
      </x:c>
      <x:c r="X182" s="36" t="str">
        <x:v>GNB: UN WPP 2024 Medium exact 2022</x:v>
      </x:c>
      <x:c r="Y182" s="36" t="str">
        <x:v>GNB: IMF exact 2022</x:v>
      </x:c>
      <x:c r="Z182" s="36" t="str">
        <x:v>GNB: IMF exact 2022</x:v>
      </x:c>
      <x:c r="AA182" s="36" t="str">
        <x:v>complete_primary</x:v>
      </x:c>
      <x:c r="AB182" s="36" t="str">
        <x:v>https://www.un.org/development/desa/pd/world-population-prospects-2024</x:v>
      </x:c>
      <x:c r="AC182" s="36" t="str">
        <x:v>https://api.imf.org/external/sdmx/3.0/data/dataflow/IMF.RES/WEO/9.0.0/</x:v>
      </x:c>
      <x:c r="AD182" s="36" t="str">
        <x:v>https://api.worldbank.org/v2/</x:v>
      </x:c>
    </x:row>
    <x:row r="183">
      <x:c r="A183" s="24" t="str">
        <x:v>GNB</x:v>
      </x:c>
      <x:c r="B183" s="24" t="str">
        <x:v>Guinea-Bissau</x:v>
      </x:c>
      <x:c r="C183" s="24" t="str">
        <x:v>GNB</x:v>
      </x:c>
      <x:c r="D183" s="24" t="str">
        <x:v>GNB</x:v>
      </x:c>
      <x:c r="E183" s="24" t="n">
        <x:v>2026</x:v>
      </x:c>
      <x:c r="F183" s="37" t="n">
        <x:v>0.87</x:v>
      </x:c>
      <x:c r="G183" s="38" t="n">
        <x:v>2297808</x:v>
      </x:c>
      <x:c r="H183" s="38" t="n">
        <x:v>2297808</x:v>
      </x:c>
      <x:c r="I183" s="39" t="n">
        <x:f>H183/G183</x:f>
        <x:v>1</x:v>
      </x:c>
      <x:c r="J183" s="40" t="n">
        <x:f>(I183-1)*100</x:f>
        <x:v>0</x:v>
      </x:c>
      <x:c r="K183" s="36" t="str">
        <x:v>no</x:v>
      </x:c>
      <x:c r="L183" s="36" t="str">
        <x:v>Single-country territory; UN WPP and vanilla are within the ±5% review threshold.</x:v>
      </x:c>
      <x:c r="M183" s="41" t="n">
        <x:v>5825600000</x:v>
      </x:c>
      <x:c r="N183" s="41" t="n">
        <x:v>5068272000</x:v>
      </x:c>
      <x:c r="O183" s="41" t="n">
        <x:v>2206</x:v>
      </x:c>
      <x:c r="P183" s="41" t="n">
        <x:v>1130</x:v>
      </x:c>
      <x:c r="Q183" s="41" t="n">
        <x:v>2726</x:v>
      </x:c>
      <x:c r="R183" s="42" t="n">
        <x:f>MIN(P183,Q183)</x:f>
        <x:v>1130</x:v>
      </x:c>
      <x:c r="S183" s="42" t="n">
        <x:f>MAX(P183,Q183)</x:f>
        <x:v>2726</x:v>
      </x:c>
      <x:c r="T183" s="42" t="n">
        <x:f>MAX(R183,MIN(O183,S183))</x:f>
        <x:v>2206</x:v>
      </x:c>
      <x:c r="U183" s="19" t="str">
        <x:f>IF(O183&lt;R183,IF(R183=P183,"clamped_to_nominal","clamped_to_ppp"),IF(O183&gt;S183,IF(S183=P183,"clamped_to_nominal","clamped_to_ppp"),"kept_vanilla"))</x:f>
        <x:v>kept_vanilla</x:v>
      </x:c>
      <x:c r="V183" s="42" t="n">
        <x:f>T183*H183</x:f>
        <x:v>5068964448</x:v>
      </x:c>
      <x:c r="W183" s="42" t="n">
        <x:f>V183/F183</x:f>
        <x:v>5826395917.24138</x:v>
      </x:c>
      <x:c r="X183" s="36" t="str">
        <x:v>GNB: UN WPP 2024 Medium exact 2026</x:v>
      </x:c>
      <x:c r="Y183" s="36" t="str">
        <x:v>GNB: IMF exact 2026</x:v>
      </x:c>
      <x:c r="Z183" s="36" t="str">
        <x:v>GNB: IMF exact 2026</x:v>
      </x:c>
      <x:c r="AA183" s="36" t="str">
        <x:v>complete_primary</x:v>
      </x:c>
      <x:c r="AB183" s="36" t="str">
        <x:v>https://www.un.org/development/desa/pd/world-population-prospects-2024</x:v>
      </x:c>
      <x:c r="AC183" s="36" t="str">
        <x:v>https://api.imf.org/external/sdmx/3.0/data/dataflow/IMF.RES/WEO/9.0.0/</x:v>
      </x:c>
      <x:c r="AD183" s="36" t="str">
        <x:v>https://api.worldbank.org/v2/</x:v>
      </x:c>
    </x:row>
    <x:row r="184">
      <x:c r="A184" s="24" t="str">
        <x:v>GUS</x:v>
      </x:c>
      <x:c r="B184" s="24" t="str">
        <x:v>Gulf States</x:v>
      </x:c>
      <x:c r="C184" s="24" t="str">
        <x:v>QAT+BHR</x:v>
      </x:c>
      <x:c r="D184" s="24" t="str">
        <x:v>QAT+BHR</x:v>
      </x:c>
      <x:c r="E184" s="24" t="n">
        <x:v>2003</x:v>
      </x:c>
      <x:c r="F184" s="37" t="n">
        <x:v>1.59</x:v>
      </x:c>
      <x:c r="G184" s="38" t="n">
        <x:v>1555958</x:v>
      </x:c>
      <x:c r="H184" s="38" t="n">
        <x:v>1555958</x:v>
      </x:c>
      <x:c r="I184" s="39" t="n">
        <x:f>H184/G184</x:f>
        <x:v>1</x:v>
      </x:c>
      <x:c r="J184" s="40" t="n">
        <x:f>(I184-1)*100</x:f>
        <x:v>0</x:v>
      </x:c>
      <x:c r="K184" s="36" t="str">
        <x:v>no</x:v>
      </x:c>
      <x:c r="L184" s="36" t="str">
        <x:v>Aggregated all explicit game ISO components; reviewed as a composite game country rather than comparing it with only the first sovereign state.</x:v>
      </x:c>
      <x:c r="M184" s="41" t="n">
        <x:v>44619883041</x:v>
      </x:c>
      <x:c r="N184" s="41" t="n">
        <x:v>70945614035</x:v>
      </x:c>
      <x:c r="O184" s="41" t="n">
        <x:v>45596</x:v>
      </x:c>
      <x:c r="P184" s="41" t="n">
        <x:v>36033</x:v>
      </x:c>
      <x:c r="Q184" s="41" t="n">
        <x:v>77969</x:v>
      </x:c>
      <x:c r="R184" s="42" t="n">
        <x:f>MIN(P184,Q184)</x:f>
        <x:v>36033</x:v>
      </x:c>
      <x:c r="S184" s="42" t="n">
        <x:f>MAX(P184,Q184)</x:f>
        <x:v>77969</x:v>
      </x:c>
      <x:c r="T184" s="42" t="n">
        <x:f>MAX(R184,MIN(O184,S184))</x:f>
        <x:v>45596</x:v>
      </x:c>
      <x:c r="U184" s="19" t="str">
        <x:f>IF(O184&lt;R184,IF(R184=P184,"clamped_to_nominal","clamped_to_ppp"),IF(O184&gt;S184,IF(S184=P184,"clamped_to_nominal","clamped_to_ppp"),"kept_vanilla"))</x:f>
        <x:v>kept_vanilla</x:v>
      </x:c>
      <x:c r="V184" s="42" t="n">
        <x:f>T184*H184</x:f>
        <x:v>70945460968</x:v>
      </x:c>
      <x:c r="W184" s="42" t="n">
        <x:f>V184/F184</x:f>
        <x:v>44619786772.32704</x:v>
      </x:c>
      <x:c r="X184" s="36" t="str">
        <x:v>QAT: UN WPP 2024 Medium exact 2003; BHR: UN WPP 2024 Medium exact 2003</x:v>
      </x:c>
      <x:c r="Y184" s="36" t="str">
        <x:v>QAT: IMF exact 2003; BHR: IMF exact 2003</x:v>
      </x:c>
      <x:c r="Z184" s="36" t="str">
        <x:v>QAT: IMF exact 2003; BHR: IMF exact 2003</x:v>
      </x:c>
      <x:c r="AA184" s="36" t="str">
        <x:v>complete_primary</x:v>
      </x:c>
      <x:c r="AB184" s="36" t="str">
        <x:v>https://www.un.org/development/desa/pd/world-population-prospects-2024</x:v>
      </x:c>
      <x:c r="AC184" s="36" t="str">
        <x:v>https://api.imf.org/external/sdmx/3.0/data/dataflow/IMF.RES/WEO/9.0.0/</x:v>
      </x:c>
      <x:c r="AD184" s="36" t="str">
        <x:v>https://api.worldbank.org/v2/</x:v>
      </x:c>
    </x:row>
    <x:row r="185">
      <x:c r="A185" s="24" t="str">
        <x:v>GUS</x:v>
      </x:c>
      <x:c r="B185" s="24" t="str">
        <x:v>Gulf States</x:v>
      </x:c>
      <x:c r="C185" s="24" t="str">
        <x:v>QAT+BHR</x:v>
      </x:c>
      <x:c r="D185" s="24" t="str">
        <x:v>QAT+BHR</x:v>
      </x:c>
      <x:c r="E185" s="24" t="n">
        <x:v>2022</x:v>
      </x:c>
      <x:c r="F185" s="37" t="n">
        <x:v>1</x:v>
      </x:c>
      <x:c r="G185" s="38" t="n">
        <x:v>4789451</x:v>
      </x:c>
      <x:c r="H185" s="38" t="n">
        <x:v>4425914</x:v>
      </x:c>
      <x:c r="I185" s="39" t="n">
        <x:f>H185/G185</x:f>
        <x:v>0.9240963108297798</x:v>
      </x:c>
      <x:c r="J185" s="40" t="n">
        <x:f>(I185-1)*100</x:f>
        <x:v>-7.590368917022017</x:v>
      </x:c>
      <x:c r="K185" s="36" t="str">
        <x:v>yes — reviewed</x:v>
      </x:c>
      <x:c r="L185" s="36" t="str">
        <x:v>Aggregated all explicit game ISO components; reviewed as a composite game country rather than comparing it with only the first sovereign state.</x:v>
      </x:c>
      <x:c r="M185" s="41" t="n">
        <x:v>341775280000</x:v>
      </x:c>
      <x:c r="N185" s="41" t="n">
        <x:v>341775280000</x:v>
      </x:c>
      <x:c r="O185" s="41" t="n">
        <x:v>71360</x:v>
      </x:c>
      <x:c r="P185" s="41" t="n">
        <x:v>63753</x:v>
      </x:c>
      <x:c r="Q185" s="41" t="n">
        <x:v>95034</x:v>
      </x:c>
      <x:c r="R185" s="42" t="n">
        <x:f>MIN(P185,Q185)</x:f>
        <x:v>63753</x:v>
      </x:c>
      <x:c r="S185" s="42" t="n">
        <x:f>MAX(P185,Q185)</x:f>
        <x:v>95034</x:v>
      </x:c>
      <x:c r="T185" s="42" t="n">
        <x:f>MAX(R185,MIN(O185,S185))</x:f>
        <x:v>71360</x:v>
      </x:c>
      <x:c r="U185" s="19" t="str">
        <x:f>IF(O185&lt;R185,IF(R185=P185,"clamped_to_nominal","clamped_to_ppp"),IF(O185&gt;S185,IF(S185=P185,"clamped_to_nominal","clamped_to_ppp"),"kept_vanilla"))</x:f>
        <x:v>kept_vanilla</x:v>
      </x:c>
      <x:c r="V185" s="42" t="n">
        <x:f>T185*H185</x:f>
        <x:v>315833223040</x:v>
      </x:c>
      <x:c r="W185" s="42" t="n">
        <x:f>V185/F185</x:f>
        <x:v>315833223040</x:v>
      </x:c>
      <x:c r="X185" s="36" t="str">
        <x:v>QAT: UN WPP 2024 Medium exact 2022; BHR: UN WPP 2024 Medium exact 2022</x:v>
      </x:c>
      <x:c r="Y185" s="36" t="str">
        <x:v>QAT: IMF exact 2022; BHR: IMF exact 2022</x:v>
      </x:c>
      <x:c r="Z185" s="36" t="str">
        <x:v>QAT: IMF exact 2022; BHR: IMF exact 2022</x:v>
      </x:c>
      <x:c r="AA185" s="36" t="str">
        <x:v>complete_primary</x:v>
      </x:c>
      <x:c r="AB185" s="36" t="str">
        <x:v>https://www.un.org/development/desa/pd/world-population-prospects-2024</x:v>
      </x:c>
      <x:c r="AC185" s="36" t="str">
        <x:v>https://api.imf.org/external/sdmx/3.0/data/dataflow/IMF.RES/WEO/9.0.0/</x:v>
      </x:c>
      <x:c r="AD185" s="36" t="str">
        <x:v>https://api.worldbank.org/v2/</x:v>
      </x:c>
    </x:row>
    <x:row r="186">
      <x:c r="A186" s="24" t="str">
        <x:v>GUS</x:v>
      </x:c>
      <x:c r="B186" s="24" t="str">
        <x:v>Gulf States</x:v>
      </x:c>
      <x:c r="C186" s="24" t="str">
        <x:v>QAT+BHR</x:v>
      </x:c>
      <x:c r="D186" s="24" t="str">
        <x:v>QAT+BHR</x:v>
      </x:c>
      <x:c r="E186" s="24" t="n">
        <x:v>2026</x:v>
      </x:c>
      <x:c r="F186" s="37" t="n">
        <x:v>0.87</x:v>
      </x:c>
      <x:c r="G186" s="38" t="n">
        <x:v>4849132</x:v>
      </x:c>
      <x:c r="H186" s="38" t="n">
        <x:v>4849131</x:v>
      </x:c>
      <x:c r="I186" s="39" t="n">
        <x:f>H186/G186</x:f>
        <x:v>0.9999997937775256</x:v>
      </x:c>
      <x:c r="J186" s="40" t="n">
        <x:f>(I186-1)*100</x:f>
        <x:v>-0.0000206222474430362</x:v>
      </x:c>
      <x:c r="K186" s="36" t="str">
        <x:v>no</x:v>
      </x:c>
      <x:c r="L186" s="36" t="str">
        <x:v>Aggregated all explicit game ISO components; reviewed as a composite game country rather than comparing it with only the first sovereign state.</x:v>
      </x:c>
      <x:c r="M186" s="41" t="n">
        <x:v>431595120000</x:v>
      </x:c>
      <x:c r="N186" s="41" t="n">
        <x:v>375487754400</x:v>
      </x:c>
      <x:c r="O186" s="41" t="n">
        <x:v>77434</x:v>
      </x:c>
      <x:c r="P186" s="41" t="n">
        <x:v>47772</x:v>
      </x:c>
      <x:c r="Q186" s="41" t="n">
        <x:v>85092</x:v>
      </x:c>
      <x:c r="R186" s="42" t="n">
        <x:f>MIN(P186,Q186)</x:f>
        <x:v>47772</x:v>
      </x:c>
      <x:c r="S186" s="42" t="n">
        <x:f>MAX(P186,Q186)</x:f>
        <x:v>85092</x:v>
      </x:c>
      <x:c r="T186" s="42" t="n">
        <x:f>MAX(R186,MIN(O186,S186))</x:f>
        <x:v>77434</x:v>
      </x:c>
      <x:c r="U186" s="19" t="str">
        <x:f>IF(O186&lt;R186,IF(R186=P186,"clamped_to_nominal","clamped_to_ppp"),IF(O186&gt;S186,IF(S186=P186,"clamped_to_nominal","clamped_to_ppp"),"kept_vanilla"))</x:f>
        <x:v>kept_vanilla</x:v>
      </x:c>
      <x:c r="V186" s="42" t="n">
        <x:f>T186*H186</x:f>
        <x:v>375487609854</x:v>
      </x:c>
      <x:c r="W186" s="42" t="n">
        <x:f>V186/F186</x:f>
        <x:v>431594953855.1724</x:v>
      </x:c>
      <x:c r="X186" s="36" t="str">
        <x:v>QAT: UN WPP 2024 Medium exact 2026; BHR: UN WPP 2024 Medium exact 2026</x:v>
      </x:c>
      <x:c r="Y186" s="36" t="str">
        <x:v>QAT: IMF exact 2026; BHR: IMF exact 2026</x:v>
      </x:c>
      <x:c r="Z186" s="36" t="str">
        <x:v>QAT: IMF exact 2026; BHR: IMF exact 2026</x:v>
      </x:c>
      <x:c r="AA186" s="36" t="str">
        <x:v>complete_primary</x:v>
      </x:c>
      <x:c r="AB186" s="36" t="str">
        <x:v>https://www.un.org/development/desa/pd/world-population-prospects-2024</x:v>
      </x:c>
      <x:c r="AC186" s="36" t="str">
        <x:v>https://api.imf.org/external/sdmx/3.0/data/dataflow/IMF.RES/WEO/9.0.0/</x:v>
      </x:c>
      <x:c r="AD186" s="36" t="str">
        <x:v>https://api.worldbank.org/v2/</x:v>
      </x:c>
    </x:row>
    <x:row r="187">
      <x:c r="A187" s="24" t="str">
        <x:v>GUY</x:v>
      </x:c>
      <x:c r="B187" s="24" t="str">
        <x:v>Guyana</x:v>
      </x:c>
      <x:c r="C187" s="24" t="str">
        <x:v>GUY</x:v>
      </x:c>
      <x:c r="D187" s="24" t="str">
        <x:v>GUY</x:v>
      </x:c>
      <x:c r="E187" s="24" t="n">
        <x:v>2003</x:v>
      </x:c>
      <x:c r="F187" s="37" t="n">
        <x:v>1.59</x:v>
      </x:c>
      <x:c r="G187" s="38" t="n">
        <x:v>763101</x:v>
      </x:c>
      <x:c r="H187" s="38" t="n">
        <x:v>763101</x:v>
      </x:c>
      <x:c r="I187" s="39" t="n">
        <x:f>H187/G187</x:f>
        <x:v>1</x:v>
      </x:c>
      <x:c r="J187" s="40" t="n">
        <x:f>(I187-1)*100</x:f>
        <x:v>0</x:v>
      </x:c>
      <x:c r="K187" s="36" t="str">
        <x:v>no</x:v>
      </x:c>
      <x:c r="L187" s="36" t="str">
        <x:v>Single-country territory; UN WPP and vanilla are within the ±5% review threshold.</x:v>
      </x:c>
      <x:c r="M187" s="41" t="n">
        <x:v>2716959064</x:v>
      </x:c>
      <x:c r="N187" s="41" t="n">
        <x:v>4319964912</x:v>
      </x:c>
      <x:c r="O187" s="41" t="n">
        <x:v>5661</x:v>
      </x:c>
      <x:c r="P187" s="41" t="n">
        <x:v>3317</x:v>
      </x:c>
      <x:c r="Q187" s="41" t="n">
        <x:v>9680</x:v>
      </x:c>
      <x:c r="R187" s="42" t="n">
        <x:f>MIN(P187,Q187)</x:f>
        <x:v>3317</x:v>
      </x:c>
      <x:c r="S187" s="42" t="n">
        <x:f>MAX(P187,Q187)</x:f>
        <x:v>9680</x:v>
      </x:c>
      <x:c r="T187" s="42" t="n">
        <x:f>MAX(R187,MIN(O187,S187))</x:f>
        <x:v>5661</x:v>
      </x:c>
      <x:c r="U187" s="19" t="str">
        <x:f>IF(O187&lt;R187,IF(R187=P187,"clamped_to_nominal","clamped_to_ppp"),IF(O187&gt;S187,IF(S187=P187,"clamped_to_nominal","clamped_to_ppp"),"kept_vanilla"))</x:f>
        <x:v>kept_vanilla</x:v>
      </x:c>
      <x:c r="V187" s="42" t="n">
        <x:f>T187*H187</x:f>
        <x:v>4319914761</x:v>
      </x:c>
      <x:c r="W187" s="42" t="n">
        <x:f>V187/F187</x:f>
        <x:v>2716927522.6415095</x:v>
      </x:c>
      <x:c r="X187" s="36" t="str">
        <x:v>GUY: UN WPP 2024 Medium exact 2003</x:v>
      </x:c>
      <x:c r="Y187" s="36" t="str">
        <x:v>GUY: IMF exact 2003</x:v>
      </x:c>
      <x:c r="Z187" s="36" t="str">
        <x:v>GUY: IMF exact 2003</x:v>
      </x:c>
      <x:c r="AA187" s="36" t="str">
        <x:v>complete_primary</x:v>
      </x:c>
      <x:c r="AB187" s="36" t="str">
        <x:v>https://www.un.org/development/desa/pd/world-population-prospects-2024</x:v>
      </x:c>
      <x:c r="AC187" s="36" t="str">
        <x:v>https://api.imf.org/external/sdmx/3.0/data/dataflow/IMF.RES/WEO/9.0.0/</x:v>
      </x:c>
      <x:c r="AD187" s="36" t="str">
        <x:v>https://api.worldbank.org/v2/</x:v>
      </x:c>
    </x:row>
    <x:row r="188">
      <x:c r="A188" s="24" t="str">
        <x:v>GUY</x:v>
      </x:c>
      <x:c r="B188" s="24" t="str">
        <x:v>Guyana</x:v>
      </x:c>
      <x:c r="C188" s="24" t="str">
        <x:v>GUY</x:v>
      </x:c>
      <x:c r="D188" s="24" t="str">
        <x:v>GUY</x:v>
      </x:c>
      <x:c r="E188" s="24" t="n">
        <x:v>2022</x:v>
      </x:c>
      <x:c r="F188" s="37" t="n">
        <x:v>1</x:v>
      </x:c>
      <x:c r="G188" s="38" t="n">
        <x:v>795197</x:v>
      </x:c>
      <x:c r="H188" s="38" t="n">
        <x:v>821637</x:v>
      </x:c>
      <x:c r="I188" s="39" t="n">
        <x:f>H188/G188</x:f>
        <x:v>1.0332496224206078</x:v>
      </x:c>
      <x:c r="J188" s="40" t="n">
        <x:f>(I188-1)*100</x:f>
        <x:v>3.3249622420607805</x:v>
      </x:c>
      <x:c r="K188" s="36" t="str">
        <x:v>no</x:v>
      </x:c>
      <x:c r="L188" s="36" t="str">
        <x:v>Single-country territory; UN WPP and vanilla are within the ±5% review threshold.</x:v>
      </x:c>
      <x:c r="M188" s="41" t="n">
        <x:v>26652560000</x:v>
      </x:c>
      <x:c r="N188" s="41" t="n">
        <x:v>26652560000</x:v>
      </x:c>
      <x:c r="O188" s="41" t="n">
        <x:v>33517</x:v>
      </x:c>
      <x:c r="P188" s="41" t="n">
        <x:v>17913</x:v>
      </x:c>
      <x:c r="Q188" s="41" t="n">
        <x:v>39705</x:v>
      </x:c>
      <x:c r="R188" s="42" t="n">
        <x:f>MIN(P188,Q188)</x:f>
        <x:v>17913</x:v>
      </x:c>
      <x:c r="S188" s="42" t="n">
        <x:f>MAX(P188,Q188)</x:f>
        <x:v>39705</x:v>
      </x:c>
      <x:c r="T188" s="42" t="n">
        <x:f>MAX(R188,MIN(O188,S188))</x:f>
        <x:v>33517</x:v>
      </x:c>
      <x:c r="U188" s="19" t="str">
        <x:f>IF(O188&lt;R188,IF(R188=P188,"clamped_to_nominal","clamped_to_ppp"),IF(O188&gt;S188,IF(S188=P188,"clamped_to_nominal","clamped_to_ppp"),"kept_vanilla"))</x:f>
        <x:v>kept_vanilla</x:v>
      </x:c>
      <x:c r="V188" s="42" t="n">
        <x:f>T188*H188</x:f>
        <x:v>27538807329</x:v>
      </x:c>
      <x:c r="W188" s="42" t="n">
        <x:f>V188/F188</x:f>
        <x:v>27538807329</x:v>
      </x:c>
      <x:c r="X188" s="36" t="str">
        <x:v>GUY: UN WPP 2024 Medium exact 2022</x:v>
      </x:c>
      <x:c r="Y188" s="36" t="str">
        <x:v>GUY: IMF exact 2022</x:v>
      </x:c>
      <x:c r="Z188" s="36" t="str">
        <x:v>GUY: IMF exact 2022</x:v>
      </x:c>
      <x:c r="AA188" s="36" t="str">
        <x:v>complete_primary</x:v>
      </x:c>
      <x:c r="AB188" s="36" t="str">
        <x:v>https://www.un.org/development/desa/pd/world-population-prospects-2024</x:v>
      </x:c>
      <x:c r="AC188" s="36" t="str">
        <x:v>https://api.imf.org/external/sdmx/3.0/data/dataflow/IMF.RES/WEO/9.0.0/</x:v>
      </x:c>
      <x:c r="AD188" s="36" t="str">
        <x:v>https://api.worldbank.org/v2/</x:v>
      </x:c>
    </x:row>
    <x:row r="189">
      <x:c r="A189" s="24" t="str">
        <x:v>GUY</x:v>
      </x:c>
      <x:c r="B189" s="24" t="str">
        <x:v>Guyana</x:v>
      </x:c>
      <x:c r="C189" s="24" t="str">
        <x:v>GUY</x:v>
      </x:c>
      <x:c r="D189" s="24" t="str">
        <x:v>GUY</x:v>
      </x:c>
      <x:c r="E189" s="24" t="n">
        <x:v>2026</x:v>
      </x:c>
      <x:c r="F189" s="37" t="n">
        <x:v>0.87</x:v>
      </x:c>
      <x:c r="G189" s="38" t="n">
        <x:v>840890</x:v>
      </x:c>
      <x:c r="H189" s="38" t="n">
        <x:v>840890</x:v>
      </x:c>
      <x:c r="I189" s="39" t="n">
        <x:f>H189/G189</x:f>
        <x:v>1</x:v>
      </x:c>
      <x:c r="J189" s="40" t="n">
        <x:f>(I189-1)*100</x:f>
        <x:v>0</x:v>
      </x:c>
      <x:c r="K189" s="36" t="str">
        <x:v>no</x:v>
      </x:c>
      <x:c r="L189" s="36" t="str">
        <x:v>Single-country territory; UN WPP and vanilla are within the ±5% review threshold.</x:v>
      </x:c>
      <x:c r="M189" s="41" t="n">
        <x:v>66258720000</x:v>
      </x:c>
      <x:c r="N189" s="41" t="n">
        <x:v>57645086400</x:v>
      </x:c>
      <x:c r="O189" s="41" t="n">
        <x:v>68552</x:v>
      </x:c>
      <x:c r="P189" s="41" t="n">
        <x:v>35136</x:v>
      </x:c>
      <x:c r="Q189" s="41" t="n">
        <x:v>101145</x:v>
      </x:c>
      <x:c r="R189" s="42" t="n">
        <x:f>MIN(P189,Q189)</x:f>
        <x:v>35136</x:v>
      </x:c>
      <x:c r="S189" s="42" t="n">
        <x:f>MAX(P189,Q189)</x:f>
        <x:v>101145</x:v>
      </x:c>
      <x:c r="T189" s="42" t="n">
        <x:f>MAX(R189,MIN(O189,S189))</x:f>
        <x:v>68552</x:v>
      </x:c>
      <x:c r="U189" s="19" t="str">
        <x:f>IF(O189&lt;R189,IF(R189=P189,"clamped_to_nominal","clamped_to_ppp"),IF(O189&gt;S189,IF(S189=P189,"clamped_to_nominal","clamped_to_ppp"),"kept_vanilla"))</x:f>
        <x:v>kept_vanilla</x:v>
      </x:c>
      <x:c r="V189" s="42" t="n">
        <x:f>T189*H189</x:f>
        <x:v>57644691280</x:v>
      </x:c>
      <x:c r="W189" s="42" t="n">
        <x:f>V189/F189</x:f>
        <x:v>66258265839.08046</x:v>
      </x:c>
      <x:c r="X189" s="36" t="str">
        <x:v>GUY: UN WPP 2024 Medium exact 2026</x:v>
      </x:c>
      <x:c r="Y189" s="36" t="str">
        <x:v>GUY: IMF exact 2026</x:v>
      </x:c>
      <x:c r="Z189" s="36" t="str">
        <x:v>GUY: IMF exact 2026</x:v>
      </x:c>
      <x:c r="AA189" s="36" t="str">
        <x:v>complete_primary</x:v>
      </x:c>
      <x:c r="AB189" s="36" t="str">
        <x:v>https://www.un.org/development/desa/pd/world-population-prospects-2024</x:v>
      </x:c>
      <x:c r="AC189" s="36" t="str">
        <x:v>https://api.imf.org/external/sdmx/3.0/data/dataflow/IMF.RES/WEO/9.0.0/</x:v>
      </x:c>
      <x:c r="AD189" s="36" t="str">
        <x:v>https://api.worldbank.org/v2/</x:v>
      </x:c>
    </x:row>
    <x:row r="190">
      <x:c r="A190" s="24" t="str">
        <x:v>HTI</x:v>
      </x:c>
      <x:c r="B190" s="24" t="str">
        <x:v>Haiti</x:v>
      </x:c>
      <x:c r="C190" s="24" t="str">
        <x:v>HTI</x:v>
      </x:c>
      <x:c r="D190" s="24" t="str">
        <x:v>HTI</x:v>
      </x:c>
      <x:c r="E190" s="24" t="n">
        <x:v>2003</x:v>
      </x:c>
      <x:c r="F190" s="37" t="n">
        <x:v>1.59</x:v>
      </x:c>
      <x:c r="G190" s="38" t="n">
        <x:v>8759912</x:v>
      </x:c>
      <x:c r="H190" s="38" t="n">
        <x:v>8759912</x:v>
      </x:c>
      <x:c r="I190" s="39" t="n">
        <x:f>H190/G190</x:f>
        <x:v>1</x:v>
      </x:c>
      <x:c r="J190" s="40" t="n">
        <x:f>(I190-1)*100</x:f>
        <x:v>0</x:v>
      </x:c>
      <x:c r="K190" s="36" t="str">
        <x:v>no</x:v>
      </x:c>
      <x:c r="L190" s="36" t="str">
        <x:v>Single-country territory; UN WPP and vanilla are within the ±5% review threshold.</x:v>
      </x:c>
      <x:c r="M190" s="41" t="n">
        <x:v>12150292398</x:v>
      </x:c>
      <x:c r="N190" s="41" t="n">
        <x:v>19318964913</x:v>
      </x:c>
      <x:c r="O190" s="41" t="n">
        <x:v>2205</x:v>
      </x:c>
      <x:c r="P190" s="41" t="n">
        <x:v>883</x:v>
      </x:c>
      <x:c r="Q190" s="41" t="n">
        <x:v>3771</x:v>
      </x:c>
      <x:c r="R190" s="42" t="n">
        <x:f>MIN(P190,Q190)</x:f>
        <x:v>883</x:v>
      </x:c>
      <x:c r="S190" s="42" t="n">
        <x:f>MAX(P190,Q190)</x:f>
        <x:v>3771</x:v>
      </x:c>
      <x:c r="T190" s="42" t="n">
        <x:f>MAX(R190,MIN(O190,S190))</x:f>
        <x:v>2205</x:v>
      </x:c>
      <x:c r="U190" s="19" t="str">
        <x:f>IF(O190&lt;R190,IF(R190=P190,"clamped_to_nominal","clamped_to_ppp"),IF(O190&gt;S190,IF(S190=P190,"clamped_to_nominal","clamped_to_ppp"),"kept_vanilla"))</x:f>
        <x:v>kept_vanilla</x:v>
      </x:c>
      <x:c r="V190" s="42" t="n">
        <x:f>T190*H190</x:f>
        <x:v>19315605960</x:v>
      </x:c>
      <x:c r="W190" s="42" t="n">
        <x:f>V190/F190</x:f>
        <x:v>12148179849.056602</x:v>
      </x:c>
      <x:c r="X190" s="36" t="str">
        <x:v>HTI: UN WPP 2024 Medium exact 2003</x:v>
      </x:c>
      <x:c r="Y190" s="36" t="str">
        <x:v>HTI: IMF exact 2003</x:v>
      </x:c>
      <x:c r="Z190" s="36" t="str">
        <x:v>HTI: IMF exact 2003</x:v>
      </x:c>
      <x:c r="AA190" s="36" t="str">
        <x:v>complete_primary</x:v>
      </x:c>
      <x:c r="AB190" s="36" t="str">
        <x:v>https://www.un.org/development/desa/pd/world-population-prospects-2024</x:v>
      </x:c>
      <x:c r="AC190" s="36" t="str">
        <x:v>https://api.imf.org/external/sdmx/3.0/data/dataflow/IMF.RES/WEO/9.0.0/</x:v>
      </x:c>
      <x:c r="AD190" s="36" t="str">
        <x:v>https://api.worldbank.org/v2/</x:v>
      </x:c>
    </x:row>
    <x:row r="191">
      <x:c r="A191" s="24" t="str">
        <x:v>HTI</x:v>
      </x:c>
      <x:c r="B191" s="24" t="str">
        <x:v>Haiti</x:v>
      </x:c>
      <x:c r="C191" s="24" t="str">
        <x:v>HTI</x:v>
      </x:c>
      <x:c r="D191" s="24" t="str">
        <x:v>HTI</x:v>
      </x:c>
      <x:c r="E191" s="24" t="n">
        <x:v>2022</x:v>
      </x:c>
      <x:c r="F191" s="37" t="n">
        <x:v>1</x:v>
      </x:c>
      <x:c r="G191" s="38" t="n">
        <x:v>11723285</x:v>
      </x:c>
      <x:c r="H191" s="38" t="n">
        <x:v>11503606</x:v>
      </x:c>
      <x:c r="I191" s="39" t="n">
        <x:f>H191/G191</x:f>
        <x:v>0.9812613102897353</x:v>
      </x:c>
      <x:c r="J191" s="40" t="n">
        <x:f>(I191-1)*100</x:f>
        <x:v>-1.873868971026471</x:v>
      </x:c>
      <x:c r="K191" s="36" t="str">
        <x:v>no</x:v>
      </x:c>
      <x:c r="L191" s="36" t="str">
        <x:v>Single-country territory; UN WPP and vanilla are within the ±5% review threshold.</x:v>
      </x:c>
      <x:c r="M191" s="41" t="n">
        <x:v>33858880000</x:v>
      </x:c>
      <x:c r="N191" s="41" t="n">
        <x:v>33858880000</x:v>
      </x:c>
      <x:c r="O191" s="41" t="n">
        <x:v>2888</x:v>
      </x:c>
      <x:c r="P191" s="41" t="n">
        <x:v>1723</x:v>
      </x:c>
      <x:c r="Q191" s="41" t="n">
        <x:v>3275</x:v>
      </x:c>
      <x:c r="R191" s="42" t="n">
        <x:f>MIN(P191,Q191)</x:f>
        <x:v>1723</x:v>
      </x:c>
      <x:c r="S191" s="42" t="n">
        <x:f>MAX(P191,Q191)</x:f>
        <x:v>3275</x:v>
      </x:c>
      <x:c r="T191" s="42" t="n">
        <x:f>MAX(R191,MIN(O191,S191))</x:f>
        <x:v>2888</x:v>
      </x:c>
      <x:c r="U191" s="19" t="str">
        <x:f>IF(O191&lt;R191,IF(R191=P191,"clamped_to_nominal","clamped_to_ppp"),IF(O191&gt;S191,IF(S191=P191,"clamped_to_nominal","clamped_to_ppp"),"kept_vanilla"))</x:f>
        <x:v>kept_vanilla</x:v>
      </x:c>
      <x:c r="V191" s="42" t="n">
        <x:f>T191*H191</x:f>
        <x:v>33222414128</x:v>
      </x:c>
      <x:c r="W191" s="42" t="n">
        <x:f>V191/F191</x:f>
        <x:v>33222414128</x:v>
      </x:c>
      <x:c r="X191" s="36" t="str">
        <x:v>HTI: UN WPP 2024 Medium exact 2022</x:v>
      </x:c>
      <x:c r="Y191" s="36" t="str">
        <x:v>HTI: IMF exact 2022</x:v>
      </x:c>
      <x:c r="Z191" s="36" t="str">
        <x:v>HTI: IMF exact 2022</x:v>
      </x:c>
      <x:c r="AA191" s="36" t="str">
        <x:v>complete_primary</x:v>
      </x:c>
      <x:c r="AB191" s="36" t="str">
        <x:v>https://www.un.org/development/desa/pd/world-population-prospects-2024</x:v>
      </x:c>
      <x:c r="AC191" s="36" t="str">
        <x:v>https://api.imf.org/external/sdmx/3.0/data/dataflow/IMF.RES/WEO/9.0.0/</x:v>
      </x:c>
      <x:c r="AD191" s="36" t="str">
        <x:v>https://api.worldbank.org/v2/</x:v>
      </x:c>
    </x:row>
    <x:row r="192">
      <x:c r="A192" s="24" t="str">
        <x:v>HTI</x:v>
      </x:c>
      <x:c r="B192" s="24" t="str">
        <x:v>Haiti</x:v>
      </x:c>
      <x:c r="C192" s="24" t="str">
        <x:v>HTI</x:v>
      </x:c>
      <x:c r="D192" s="24" t="str">
        <x:v>HTI</x:v>
      </x:c>
      <x:c r="E192" s="24" t="n">
        <x:v>2026</x:v>
      </x:c>
      <x:c r="F192" s="37" t="n">
        <x:v>0.87</x:v>
      </x:c>
      <x:c r="G192" s="38" t="n">
        <x:v>12037506</x:v>
      </x:c>
      <x:c r="H192" s="38" t="n">
        <x:v>12037506</x:v>
      </x:c>
      <x:c r="I192" s="39" t="n">
        <x:f>H192/G192</x:f>
        <x:v>1</x:v>
      </x:c>
      <x:c r="J192" s="40" t="n">
        <x:f>(I192-1)*100</x:f>
        <x:v>0</x:v>
      </x:c>
      <x:c r="K192" s="36" t="str">
        <x:v>no</x:v>
      </x:c>
      <x:c r="L192" s="36" t="str">
        <x:v>Single-country territory; UN WPP and vanilla are within the ±5% review threshold.</x:v>
      </x:c>
      <x:c r="M192" s="41" t="n">
        <x:v>33614240000</x:v>
      </x:c>
      <x:c r="N192" s="41" t="n">
        <x:v>29244388800</x:v>
      </x:c>
      <x:c r="O192" s="41" t="n">
        <x:v>2429</x:v>
      </x:c>
      <x:c r="P192" s="41" t="n">
        <x:v>2832</x:v>
      </x:c>
      <x:c r="Q192" s="41" t="n">
        <x:v>2753</x:v>
      </x:c>
      <x:c r="R192" s="42" t="n">
        <x:f>MIN(P192,Q192)</x:f>
        <x:v>2753</x:v>
      </x:c>
      <x:c r="S192" s="42" t="n">
        <x:f>MAX(P192,Q192)</x:f>
        <x:v>2832</x:v>
      </x:c>
      <x:c r="T192" s="42" t="n">
        <x:f>MAX(R192,MIN(O192,S192))</x:f>
        <x:v>2753</x:v>
      </x:c>
      <x:c r="U192" s="19" t="str">
        <x:f>IF(O192&lt;R192,IF(R192=P192,"clamped_to_nominal","clamped_to_ppp"),IF(O192&gt;S192,IF(S192=P192,"clamped_to_nominal","clamped_to_ppp"),"kept_vanilla"))</x:f>
        <x:v>clamped_to_ppp</x:v>
      </x:c>
      <x:c r="V192" s="42" t="n">
        <x:f>T192*H192</x:f>
        <x:v>33139254018</x:v>
      </x:c>
      <x:c r="W192" s="42" t="n">
        <x:f>V192/F192</x:f>
        <x:v>38091096572.413795</x:v>
      </x:c>
      <x:c r="X192" s="36" t="str">
        <x:v>HTI: UN WPP 2024 Medium exact 2026</x:v>
      </x:c>
      <x:c r="Y192" s="36" t="str">
        <x:v>HTI: IMF exact 2026</x:v>
      </x:c>
      <x:c r="Z192" s="36" t="str">
        <x:v>HTI: IMF exact 2026</x:v>
      </x:c>
      <x:c r="AA192" s="36" t="str">
        <x:v>complete_primary</x:v>
      </x:c>
      <x:c r="AB192" s="36" t="str">
        <x:v>https://www.un.org/development/desa/pd/world-population-prospects-2024</x:v>
      </x:c>
      <x:c r="AC192" s="36" t="str">
        <x:v>https://api.imf.org/external/sdmx/3.0/data/dataflow/IMF.RES/WEO/9.0.0/</x:v>
      </x:c>
      <x:c r="AD192" s="36" t="str">
        <x:v>https://api.worldbank.org/v2/</x:v>
      </x:c>
    </x:row>
    <x:row r="193">
      <x:c r="A193" s="24" t="str">
        <x:v>HON</x:v>
      </x:c>
      <x:c r="B193" s="24" t="str">
        <x:v>Honduras</x:v>
      </x:c>
      <x:c r="C193" s="24" t="str">
        <x:v>HND</x:v>
      </x:c>
      <x:c r="D193" s="24" t="str">
        <x:v>HND</x:v>
      </x:c>
      <x:c r="E193" s="24" t="n">
        <x:v>2003</x:v>
      </x:c>
      <x:c r="F193" s="37" t="n">
        <x:v>1.59</x:v>
      </x:c>
      <x:c r="G193" s="38" t="n">
        <x:v>7119213</x:v>
      </x:c>
      <x:c r="H193" s="38" t="n">
        <x:v>7119213</x:v>
      </x:c>
      <x:c r="I193" s="39" t="n">
        <x:f>H193/G193</x:f>
        <x:v>1</x:v>
      </x:c>
      <x:c r="J193" s="40" t="n">
        <x:f>(I193-1)*100</x:f>
        <x:v>0</x:v>
      </x:c>
      <x:c r="K193" s="36" t="str">
        <x:v>no</x:v>
      </x:c>
      <x:c r="L193" s="36" t="str">
        <x:v>Single-country territory; UN WPP and vanilla are within the ±5% review threshold.</x:v>
      </x:c>
      <x:c r="M193" s="41" t="n">
        <x:v>13928654971</x:v>
      </x:c>
      <x:c r="N193" s="41" t="n">
        <x:v>22146561404</x:v>
      </x:c>
      <x:c r="O193" s="41" t="n">
        <x:v>3111</x:v>
      </x:c>
      <x:c r="P193" s="41" t="n">
        <x:v>1838</x:v>
      </x:c>
      <x:c r="Q193" s="41" t="n">
        <x:v>5320</x:v>
      </x:c>
      <x:c r="R193" s="42" t="n">
        <x:f>MIN(P193,Q193)</x:f>
        <x:v>1838</x:v>
      </x:c>
      <x:c r="S193" s="42" t="n">
        <x:f>MAX(P193,Q193)</x:f>
        <x:v>5320</x:v>
      </x:c>
      <x:c r="T193" s="42" t="n">
        <x:f>MAX(R193,MIN(O193,S193))</x:f>
        <x:v>3111</x:v>
      </x:c>
      <x:c r="U193" s="19" t="str">
        <x:f>IF(O193&lt;R193,IF(R193=P193,"clamped_to_nominal","clamped_to_ppp"),IF(O193&gt;S193,IF(S193=P193,"clamped_to_nominal","clamped_to_ppp"),"kept_vanilla"))</x:f>
        <x:v>kept_vanilla</x:v>
      </x:c>
      <x:c r="V193" s="42" t="n">
        <x:f>T193*H193</x:f>
        <x:v>22147871643</x:v>
      </x:c>
      <x:c r="W193" s="42" t="n">
        <x:f>V193/F193</x:f>
        <x:v>13929479020.754717</x:v>
      </x:c>
      <x:c r="X193" s="36" t="str">
        <x:v>HND: UN WPP 2024 Medium exact 2003</x:v>
      </x:c>
      <x:c r="Y193" s="36" t="str">
        <x:v>HND: IMF exact 2003</x:v>
      </x:c>
      <x:c r="Z193" s="36" t="str">
        <x:v>HND: IMF exact 2003</x:v>
      </x:c>
      <x:c r="AA193" s="36" t="str">
        <x:v>complete_primary</x:v>
      </x:c>
      <x:c r="AB193" s="36" t="str">
        <x:v>https://www.un.org/development/desa/pd/world-population-prospects-2024</x:v>
      </x:c>
      <x:c r="AC193" s="36" t="str">
        <x:v>https://api.imf.org/external/sdmx/3.0/data/dataflow/IMF.RES/WEO/9.0.0/</x:v>
      </x:c>
      <x:c r="AD193" s="36" t="str">
        <x:v>https://api.worldbank.org/v2/</x:v>
      </x:c>
    </x:row>
    <x:row r="194">
      <x:c r="A194" s="24" t="str">
        <x:v>HON</x:v>
      </x:c>
      <x:c r="B194" s="24" t="str">
        <x:v>Honduras</x:v>
      </x:c>
      <x:c r="C194" s="24" t="str">
        <x:v>HND</x:v>
      </x:c>
      <x:c r="D194" s="24" t="str">
        <x:v>HND</x:v>
      </x:c>
      <x:c r="E194" s="24" t="n">
        <x:v>2022</x:v>
      </x:c>
      <x:c r="F194" s="37" t="n">
        <x:v>1</x:v>
      </x:c>
      <x:c r="G194" s="38" t="n">
        <x:v>10270478</x:v>
      </x:c>
      <x:c r="H194" s="38" t="n">
        <x:v>10463872</x:v>
      </x:c>
      <x:c r="I194" s="39" t="n">
        <x:f>H194/G194</x:f>
        <x:v>1.0188300875577554</x:v>
      </x:c>
      <x:c r="J194" s="40" t="n">
        <x:f>(I194-1)*100</x:f>
        <x:v>1.8830087557755393</x:v>
      </x:c>
      <x:c r="K194" s="36" t="str">
        <x:v>no</x:v>
      </x:c>
      <x:c r="L194" s="36" t="str">
        <x:v>Single-country territory; UN WPP and vanilla are within the ±5% review threshold.</x:v>
      </x:c>
      <x:c r="M194" s="41" t="n">
        <x:v>61061440000</x:v>
      </x:c>
      <x:c r="N194" s="41" t="n">
        <x:v>61061440000</x:v>
      </x:c>
      <x:c r="O194" s="41" t="n">
        <x:v>5945</x:v>
      </x:c>
      <x:c r="P194" s="41" t="n">
        <x:v>3003</x:v>
      </x:c>
      <x:c r="Q194" s="41" t="n">
        <x:v>6804</x:v>
      </x:c>
      <x:c r="R194" s="42" t="n">
        <x:f>MIN(P194,Q194)</x:f>
        <x:v>3003</x:v>
      </x:c>
      <x:c r="S194" s="42" t="n">
        <x:f>MAX(P194,Q194)</x:f>
        <x:v>6804</x:v>
      </x:c>
      <x:c r="T194" s="42" t="n">
        <x:f>MAX(R194,MIN(O194,S194))</x:f>
        <x:v>5945</x:v>
      </x:c>
      <x:c r="U194" s="19" t="str">
        <x:f>IF(O194&lt;R194,IF(R194=P194,"clamped_to_nominal","clamped_to_ppp"),IF(O194&gt;S194,IF(S194=P194,"clamped_to_nominal","clamped_to_ppp"),"kept_vanilla"))</x:f>
        <x:v>kept_vanilla</x:v>
      </x:c>
      <x:c r="V194" s="42" t="n">
        <x:f>T194*H194</x:f>
        <x:v>62207719040</x:v>
      </x:c>
      <x:c r="W194" s="42" t="n">
        <x:f>V194/F194</x:f>
        <x:v>62207719040</x:v>
      </x:c>
      <x:c r="X194" s="36" t="str">
        <x:v>HND: UN WPP 2024 Medium exact 2022</x:v>
      </x:c>
      <x:c r="Y194" s="36" t="str">
        <x:v>HND: IMF exact 2022</x:v>
      </x:c>
      <x:c r="Z194" s="36" t="str">
        <x:v>HND: IMF exact 2022</x:v>
      </x:c>
      <x:c r="AA194" s="36" t="str">
        <x:v>complete_primary</x:v>
      </x:c>
      <x:c r="AB194" s="36" t="str">
        <x:v>https://www.un.org/development/desa/pd/world-population-prospects-2024</x:v>
      </x:c>
      <x:c r="AC194" s="36" t="str">
        <x:v>https://api.imf.org/external/sdmx/3.0/data/dataflow/IMF.RES/WEO/9.0.0/</x:v>
      </x:c>
      <x:c r="AD194" s="36" t="str">
        <x:v>https://api.worldbank.org/v2/</x:v>
      </x:c>
    </x:row>
    <x:row r="195">
      <x:c r="A195" s="24" t="str">
        <x:v>HON</x:v>
      </x:c>
      <x:c r="B195" s="24" t="str">
        <x:v>Honduras</x:v>
      </x:c>
      <x:c r="C195" s="24" t="str">
        <x:v>HND</x:v>
      </x:c>
      <x:c r="D195" s="24" t="str">
        <x:v>HND</x:v>
      </x:c>
      <x:c r="E195" s="24" t="n">
        <x:v>2026</x:v>
      </x:c>
      <x:c r="F195" s="37" t="n">
        <x:v>0.87</x:v>
      </x:c>
      <x:c r="G195" s="38" t="n">
        <x:v>11184760</x:v>
      </x:c>
      <x:c r="H195" s="38" t="n">
        <x:v>11184760</x:v>
      </x:c>
      <x:c r="I195" s="39" t="n">
        <x:f>H195/G195</x:f>
        <x:v>1</x:v>
      </x:c>
      <x:c r="J195" s="40" t="n">
        <x:f>(I195-1)*100</x:f>
        <x:v>0</x:v>
      </x:c>
      <x:c r="K195" s="36" t="str">
        <x:v>no</x:v>
      </x:c>
      <x:c r="L195" s="36" t="str">
        <x:v>Single-country territory; UN WPP and vanilla are within the ±5% review threshold.</x:v>
      </x:c>
      <x:c r="M195" s="41" t="n">
        <x:v>75665920000</x:v>
      </x:c>
      <x:c r="N195" s="41" t="n">
        <x:v>65829350400</x:v>
      </x:c>
      <x:c r="O195" s="41" t="n">
        <x:v>5886</x:v>
      </x:c>
      <x:c r="P195" s="41" t="n">
        <x:v>3228</x:v>
      </x:c>
      <x:c r="Q195" s="41" t="n">
        <x:v>7154</x:v>
      </x:c>
      <x:c r="R195" s="42" t="n">
        <x:f>MIN(P195,Q195)</x:f>
        <x:v>3228</x:v>
      </x:c>
      <x:c r="S195" s="42" t="n">
        <x:f>MAX(P195,Q195)</x:f>
        <x:v>7154</x:v>
      </x:c>
      <x:c r="T195" s="42" t="n">
        <x:f>MAX(R195,MIN(O195,S195))</x:f>
        <x:v>5886</x:v>
      </x:c>
      <x:c r="U195" s="19" t="str">
        <x:f>IF(O195&lt;R195,IF(R195=P195,"clamped_to_nominal","clamped_to_ppp"),IF(O195&gt;S195,IF(S195=P195,"clamped_to_nominal","clamped_to_ppp"),"kept_vanilla"))</x:f>
        <x:v>kept_vanilla</x:v>
      </x:c>
      <x:c r="V195" s="42" t="n">
        <x:f>T195*H195</x:f>
        <x:v>65833497360</x:v>
      </x:c>
      <x:c r="W195" s="42" t="n">
        <x:f>V195/F195</x:f>
        <x:v>75670686620.68965</x:v>
      </x:c>
      <x:c r="X195" s="36" t="str">
        <x:v>HND: UN WPP 2024 Medium exact 2026</x:v>
      </x:c>
      <x:c r="Y195" s="36" t="str">
        <x:v>HND: IMF exact 2026</x:v>
      </x:c>
      <x:c r="Z195" s="36" t="str">
        <x:v>HND: IMF exact 2026</x:v>
      </x:c>
      <x:c r="AA195" s="36" t="str">
        <x:v>complete_primary</x:v>
      </x:c>
      <x:c r="AB195" s="36" t="str">
        <x:v>https://www.un.org/development/desa/pd/world-population-prospects-2024</x:v>
      </x:c>
      <x:c r="AC195" s="36" t="str">
        <x:v>https://api.imf.org/external/sdmx/3.0/data/dataflow/IMF.RES/WEO/9.0.0/</x:v>
      </x:c>
      <x:c r="AD195" s="36" t="str">
        <x:v>https://api.worldbank.org/v2/</x:v>
      </x:c>
    </x:row>
    <x:row r="196">
      <x:c r="A196" s="24" t="str">
        <x:v>HUN</x:v>
      </x:c>
      <x:c r="B196" s="24" t="str">
        <x:v>Hungary</x:v>
      </x:c>
      <x:c r="C196" s="24" t="str">
        <x:v>HUN</x:v>
      </x:c>
      <x:c r="D196" s="24" t="str">
        <x:v>HUN</x:v>
      </x:c>
      <x:c r="E196" s="24" t="n">
        <x:v>2003</x:v>
      </x:c>
      <x:c r="F196" s="37" t="n">
        <x:v>1.59</x:v>
      </x:c>
      <x:c r="G196" s="38" t="n">
        <x:v>10108963</x:v>
      </x:c>
      <x:c r="H196" s="38" t="n">
        <x:v>10108963</x:v>
      </x:c>
      <x:c r="I196" s="39" t="n">
        <x:f>H196/G196</x:f>
        <x:v>1</x:v>
      </x:c>
      <x:c r="J196" s="40" t="n">
        <x:f>(I196-1)*100</x:f>
        <x:v>0</x:v>
      </x:c>
      <x:c r="K196" s="36" t="str">
        <x:v>no</x:v>
      </x:c>
      <x:c r="L196" s="36" t="str">
        <x:v>Single-country territory; UN WPP and vanilla are within the ±5% review threshold.</x:v>
      </x:c>
      <x:c r="M196" s="41" t="n">
        <x:v>101251461988</x:v>
      </x:c>
      <x:c r="N196" s="41" t="n">
        <x:v>160989824561</x:v>
      </x:c>
      <x:c r="O196" s="41" t="n">
        <x:v>15925</x:v>
      </x:c>
      <x:c r="P196" s="41" t="n">
        <x:v>13399</x:v>
      </x:c>
      <x:c r="Q196" s="41" t="n">
        <x:v>27230</x:v>
      </x:c>
      <x:c r="R196" s="42" t="n">
        <x:f>MIN(P196,Q196)</x:f>
        <x:v>13399</x:v>
      </x:c>
      <x:c r="S196" s="42" t="n">
        <x:f>MAX(P196,Q196)</x:f>
        <x:v>27230</x:v>
      </x:c>
      <x:c r="T196" s="42" t="n">
        <x:f>MAX(R196,MIN(O196,S196))</x:f>
        <x:v>15925</x:v>
      </x:c>
      <x:c r="U196" s="19" t="str">
        <x:f>IF(O196&lt;R196,IF(R196=P196,"clamped_to_nominal","clamped_to_ppp"),IF(O196&gt;S196,IF(S196=P196,"clamped_to_nominal","clamped_to_ppp"),"kept_vanilla"))</x:f>
        <x:v>kept_vanilla</x:v>
      </x:c>
      <x:c r="V196" s="42" t="n">
        <x:f>T196*H196</x:f>
        <x:v>160985235775</x:v>
      </x:c>
      <x:c r="W196" s="42" t="n">
        <x:f>V196/F196</x:f>
        <x:v>101248575959.11949</x:v>
      </x:c>
      <x:c r="X196" s="36" t="str">
        <x:v>HUN: UN WPP 2024 Medium exact 2003</x:v>
      </x:c>
      <x:c r="Y196" s="36" t="str">
        <x:v>HUN: IMF exact 2003</x:v>
      </x:c>
      <x:c r="Z196" s="36" t="str">
        <x:v>HUN: IMF exact 2003</x:v>
      </x:c>
      <x:c r="AA196" s="36" t="str">
        <x:v>complete_primary</x:v>
      </x:c>
      <x:c r="AB196" s="36" t="str">
        <x:v>https://www.un.org/development/desa/pd/world-population-prospects-2024</x:v>
      </x:c>
      <x:c r="AC196" s="36" t="str">
        <x:v>https://api.imf.org/external/sdmx/3.0/data/dataflow/IMF.RES/WEO/9.0.0/</x:v>
      </x:c>
      <x:c r="AD196" s="36" t="str">
        <x:v>https://api.worldbank.org/v2/</x:v>
      </x:c>
    </x:row>
    <x:row r="197">
      <x:c r="A197" s="24" t="str">
        <x:v>HUN</x:v>
      </x:c>
      <x:c r="B197" s="24" t="str">
        <x:v>Hungary</x:v>
      </x:c>
      <x:c r="C197" s="24" t="str">
        <x:v>HUN</x:v>
      </x:c>
      <x:c r="D197" s="24" t="str">
        <x:v>HUN</x:v>
      </x:c>
      <x:c r="E197" s="24" t="n">
        <x:v>2022</x:v>
      </x:c>
      <x:c r="F197" s="37" t="n">
        <x:v>1</x:v>
      </x:c>
      <x:c r="G197" s="38" t="n">
        <x:v>9597877</x:v>
      </x:c>
      <x:c r="H197" s="38" t="n">
        <x:v>9684306</x:v>
      </x:c>
      <x:c r="I197" s="39" t="n">
        <x:f>H197/G197</x:f>
        <x:v>1.0090050122542724</x:v>
      </x:c>
      <x:c r="J197" s="40" t="n">
        <x:f>(I197-1)*100</x:f>
        <x:v>0.9005012254272415</x:v>
      </x:c>
      <x:c r="K197" s="36" t="str">
        <x:v>no</x:v>
      </x:c>
      <x:c r="L197" s="36" t="str">
        <x:v>Single-country territory; UN WPP and vanilla are within the ±5% review threshold.</x:v>
      </x:c>
      <x:c r="M197" s="41" t="n">
        <x:v>350484640000</x:v>
      </x:c>
      <x:c r="N197" s="41" t="n">
        <x:v>350484640000</x:v>
      </x:c>
      <x:c r="O197" s="41" t="n">
        <x:v>36517</x:v>
      </x:c>
      <x:c r="P197" s="41" t="n">
        <x:v>18358</x:v>
      </x:c>
      <x:c r="Q197" s="41" t="n">
        <x:v>43508</x:v>
      </x:c>
      <x:c r="R197" s="42" t="n">
        <x:f>MIN(P197,Q197)</x:f>
        <x:v>18358</x:v>
      </x:c>
      <x:c r="S197" s="42" t="n">
        <x:f>MAX(P197,Q197)</x:f>
        <x:v>43508</x:v>
      </x:c>
      <x:c r="T197" s="42" t="n">
        <x:f>MAX(R197,MIN(O197,S197))</x:f>
        <x:v>36517</x:v>
      </x:c>
      <x:c r="U197" s="19" t="str">
        <x:f>IF(O197&lt;R197,IF(R197=P197,"clamped_to_nominal","clamped_to_ppp"),IF(O197&gt;S197,IF(S197=P197,"clamped_to_nominal","clamped_to_ppp"),"kept_vanilla"))</x:f>
        <x:v>kept_vanilla</x:v>
      </x:c>
      <x:c r="V197" s="42" t="n">
        <x:f>T197*H197</x:f>
        <x:v>353641802202</x:v>
      </x:c>
      <x:c r="W197" s="42" t="n">
        <x:f>V197/F197</x:f>
        <x:v>353641802202</x:v>
      </x:c>
      <x:c r="X197" s="36" t="str">
        <x:v>HUN: UN WPP 2024 Medium exact 2022</x:v>
      </x:c>
      <x:c r="Y197" s="36" t="str">
        <x:v>HUN: IMF exact 2022</x:v>
      </x:c>
      <x:c r="Z197" s="36" t="str">
        <x:v>HUN: IMF exact 2022</x:v>
      </x:c>
      <x:c r="AA197" s="36" t="str">
        <x:v>complete_primary</x:v>
      </x:c>
      <x:c r="AB197" s="36" t="str">
        <x:v>https://www.un.org/development/desa/pd/world-population-prospects-2024</x:v>
      </x:c>
      <x:c r="AC197" s="36" t="str">
        <x:v>https://api.imf.org/external/sdmx/3.0/data/dataflow/IMF.RES/WEO/9.0.0/</x:v>
      </x:c>
      <x:c r="AD197" s="36" t="str">
        <x:v>https://api.worldbank.org/v2/</x:v>
      </x:c>
    </x:row>
    <x:row r="198">
      <x:c r="A198" s="24" t="str">
        <x:v>HUN</x:v>
      </x:c>
      <x:c r="B198" s="24" t="str">
        <x:v>Hungary</x:v>
      </x:c>
      <x:c r="C198" s="24" t="str">
        <x:v>HUN</x:v>
      </x:c>
      <x:c r="D198" s="24" t="str">
        <x:v>HUN</x:v>
      </x:c>
      <x:c r="E198" s="24" t="n">
        <x:v>2026</x:v>
      </x:c>
      <x:c r="F198" s="37" t="n">
        <x:v>0.87</x:v>
      </x:c>
      <x:c r="G198" s="38" t="n">
        <x:v>9585818</x:v>
      </x:c>
      <x:c r="H198" s="38" t="n">
        <x:v>9585818</x:v>
      </x:c>
      <x:c r="I198" s="39" t="n">
        <x:f>H198/G198</x:f>
        <x:v>1</x:v>
      </x:c>
      <x:c r="J198" s="40" t="n">
        <x:f>(I198-1)*100</x:f>
        <x:v>0</x:v>
      </x:c>
      <x:c r="K198" s="36" t="str">
        <x:v>no</x:v>
      </x:c>
      <x:c r="L198" s="36" t="str">
        <x:v>Single-country territory; UN WPP and vanilla are within the ±5% review threshold.</x:v>
      </x:c>
      <x:c r="M198" s="41" t="n">
        <x:v>408688720000</x:v>
      </x:c>
      <x:c r="N198" s="41" t="n">
        <x:v>355559186400</x:v>
      </x:c>
      <x:c r="O198" s="41" t="n">
        <x:v>37092</x:v>
      </x:c>
      <x:c r="P198" s="41" t="n">
        <x:v>24607</x:v>
      </x:c>
      <x:c r="Q198" s="41" t="n">
        <x:v>43769</x:v>
      </x:c>
      <x:c r="R198" s="42" t="n">
        <x:f>MIN(P198,Q198)</x:f>
        <x:v>24607</x:v>
      </x:c>
      <x:c r="S198" s="42" t="n">
        <x:f>MAX(P198,Q198)</x:f>
        <x:v>43769</x:v>
      </x:c>
      <x:c r="T198" s="42" t="n">
        <x:f>MAX(R198,MIN(O198,S198))</x:f>
        <x:v>37092</x:v>
      </x:c>
      <x:c r="U198" s="19" t="str">
        <x:f>IF(O198&lt;R198,IF(R198=P198,"clamped_to_nominal","clamped_to_ppp"),IF(O198&gt;S198,IF(S198=P198,"clamped_to_nominal","clamped_to_ppp"),"kept_vanilla"))</x:f>
        <x:v>kept_vanilla</x:v>
      </x:c>
      <x:c r="V198" s="42" t="n">
        <x:f>T198*H198</x:f>
        <x:v>355557161256</x:v>
      </x:c>
      <x:c r="W198" s="42" t="n">
        <x:f>V198/F198</x:f>
        <x:v>408686392248.2759</x:v>
      </x:c>
      <x:c r="X198" s="36" t="str">
        <x:v>HUN: UN WPP 2024 Medium exact 2026</x:v>
      </x:c>
      <x:c r="Y198" s="36" t="str">
        <x:v>HUN: IMF exact 2026</x:v>
      </x:c>
      <x:c r="Z198" s="36" t="str">
        <x:v>HUN: IMF exact 2026</x:v>
      </x:c>
      <x:c r="AA198" s="36" t="str">
        <x:v>complete_primary</x:v>
      </x:c>
      <x:c r="AB198" s="36" t="str">
        <x:v>https://www.un.org/development/desa/pd/world-population-prospects-2024</x:v>
      </x:c>
      <x:c r="AC198" s="36" t="str">
        <x:v>https://api.imf.org/external/sdmx/3.0/data/dataflow/IMF.RES/WEO/9.0.0/</x:v>
      </x:c>
      <x:c r="AD198" s="36" t="str">
        <x:v>https://api.worldbank.org/v2/</x:v>
      </x:c>
    </x:row>
    <x:row r="199">
      <x:c r="A199" s="24" t="str">
        <x:v>ISL</x:v>
      </x:c>
      <x:c r="B199" s="24" t="str">
        <x:v>Iceland</x:v>
      </x:c>
      <x:c r="C199" s="24" t="str">
        <x:v>ISL</x:v>
      </x:c>
      <x:c r="D199" s="24" t="str">
        <x:v>ISL</x:v>
      </x:c>
      <x:c r="E199" s="24" t="n">
        <x:v>2003</x:v>
      </x:c>
      <x:c r="F199" s="37" t="n">
        <x:v>1.59</x:v>
      </x:c>
      <x:c r="G199" s="38" t="n">
        <x:v>289605</x:v>
      </x:c>
      <x:c r="H199" s="38" t="n">
        <x:v>289605</x:v>
      </x:c>
      <x:c r="I199" s="39" t="n">
        <x:f>H199/G199</x:f>
        <x:v>1</x:v>
      </x:c>
      <x:c r="J199" s="40" t="n">
        <x:f>(I199-1)*100</x:f>
        <x:v>0</x:v>
      </x:c>
      <x:c r="K199" s="36" t="str">
        <x:v>no</x:v>
      </x:c>
      <x:c r="L199" s="36" t="str">
        <x:v>Single-country territory; UN WPP and vanilla are within the ±5% review threshold.</x:v>
      </x:c>
      <x:c r="M199" s="41" t="n">
        <x:v>5618713450</x:v>
      </x:c>
      <x:c r="N199" s="41" t="n">
        <x:v>8933754386</x:v>
      </x:c>
      <x:c r="O199" s="41" t="n">
        <x:v>30848</x:v>
      </x:c>
      <x:c r="P199" s="41" t="n">
        <x:v>63493</x:v>
      </x:c>
      <x:c r="Q199" s="41" t="n">
        <x:v>54925</x:v>
      </x:c>
      <x:c r="R199" s="42" t="n">
        <x:f>MIN(P199,Q199)</x:f>
        <x:v>54925</x:v>
      </x:c>
      <x:c r="S199" s="42" t="n">
        <x:f>MAX(P199,Q199)</x:f>
        <x:v>63493</x:v>
      </x:c>
      <x:c r="T199" s="42" t="n">
        <x:f>MAX(R199,MIN(O199,S199))</x:f>
        <x:v>54925</x:v>
      </x:c>
      <x:c r="U199" s="19" t="str">
        <x:f>IF(O199&lt;R199,IF(R199=P199,"clamped_to_nominal","clamped_to_ppp"),IF(O199&gt;S199,IF(S199=P199,"clamped_to_nominal","clamped_to_ppp"),"kept_vanilla"))</x:f>
        <x:v>clamped_to_ppp</x:v>
      </x:c>
      <x:c r="V199" s="42" t="n">
        <x:f>T199*H199</x:f>
        <x:v>15906554625</x:v>
      </x:c>
      <x:c r="W199" s="42" t="n">
        <x:f>V199/F199</x:f>
        <x:v>10004122405.660378</x:v>
      </x:c>
      <x:c r="X199" s="36" t="str">
        <x:v>ISL: UN WPP 2024 Medium exact 2003</x:v>
      </x:c>
      <x:c r="Y199" s="36" t="str">
        <x:v>ISL: IMF exact 2003</x:v>
      </x:c>
      <x:c r="Z199" s="36" t="str">
        <x:v>ISL: IMF exact 2003</x:v>
      </x:c>
      <x:c r="AA199" s="36" t="str">
        <x:v>complete_primary</x:v>
      </x:c>
      <x:c r="AB199" s="36" t="str">
        <x:v>https://www.un.org/development/desa/pd/world-population-prospects-2024</x:v>
      </x:c>
      <x:c r="AC199" s="36" t="str">
        <x:v>https://api.imf.org/external/sdmx/3.0/data/dataflow/IMF.RES/WEO/9.0.0/</x:v>
      </x:c>
      <x:c r="AD199" s="36" t="str">
        <x:v>https://api.worldbank.org/v2/</x:v>
      </x:c>
    </x:row>
    <x:row r="200">
      <x:c r="A200" s="24" t="str">
        <x:v>ISL</x:v>
      </x:c>
      <x:c r="B200" s="24" t="str">
        <x:v>Iceland</x:v>
      </x:c>
      <x:c r="C200" s="24" t="str">
        <x:v>ISL</x:v>
      </x:c>
      <x:c r="D200" s="24" t="str">
        <x:v>ISL</x:v>
      </x:c>
      <x:c r="E200" s="24" t="n">
        <x:v>2022</x:v>
      </x:c>
      <x:c r="F200" s="37" t="n">
        <x:v>1</x:v>
      </x:c>
      <x:c r="G200" s="38" t="n">
        <x:v>345984</x:v>
      </x:c>
      <x:c r="H200" s="38" t="n">
        <x:v>380356</x:v>
      </x:c>
      <x:c r="I200" s="39" t="n">
        <x:f>H200/G200</x:f>
        <x:v>1.0993456344802073</x:v>
      </x:c>
      <x:c r="J200" s="40" t="n">
        <x:f>(I200-1)*100</x:f>
        <x:v>9.934563448020729</x:v>
      </x:c>
      <x:c r="K200" s="36" t="str">
        <x:v>yes — reviewed</x:v>
      </x:c>
      <x:c r="L200" s="36" t="str">
        <x:v>Single-country game territory and UN country/area boundary align. The difference is an updated historical estimate/projection vintage, not a geographic-scope mismatch; accept the UN WPP value for a consistent source vintage.</x:v>
      </x:c>
      <x:c r="M200" s="41" t="n">
        <x:v>24197000000</x:v>
      </x:c>
      <x:c r="N200" s="41" t="n">
        <x:v>24197000000</x:v>
      </x:c>
      <x:c r="O200" s="41" t="n">
        <x:v>69937</x:v>
      </x:c>
      <x:c r="P200" s="41" t="n">
        <x:v>76708</x:v>
      </x:c>
      <x:c r="Q200" s="41" t="n">
        <x:v>71963</x:v>
      </x:c>
      <x:c r="R200" s="42" t="n">
        <x:f>MIN(P200,Q200)</x:f>
        <x:v>71963</x:v>
      </x:c>
      <x:c r="S200" s="42" t="n">
        <x:f>MAX(P200,Q200)</x:f>
        <x:v>76708</x:v>
      </x:c>
      <x:c r="T200" s="42" t="n">
        <x:f>MAX(R200,MIN(O200,S200))</x:f>
        <x:v>71963</x:v>
      </x:c>
      <x:c r="U200" s="19" t="str">
        <x:f>IF(O200&lt;R200,IF(R200=P200,"clamped_to_nominal","clamped_to_ppp"),IF(O200&gt;S200,IF(S200=P200,"clamped_to_nominal","clamped_to_ppp"),"kept_vanilla"))</x:f>
        <x:v>clamped_to_ppp</x:v>
      </x:c>
      <x:c r="V200" s="42" t="n">
        <x:f>T200*H200</x:f>
        <x:v>27371558828</x:v>
      </x:c>
      <x:c r="W200" s="42" t="n">
        <x:f>V200/F200</x:f>
        <x:v>27371558828</x:v>
      </x:c>
      <x:c r="X200" s="36" t="str">
        <x:v>ISL: UN WPP 2024 Medium exact 2022</x:v>
      </x:c>
      <x:c r="Y200" s="36" t="str">
        <x:v>ISL: IMF exact 2022</x:v>
      </x:c>
      <x:c r="Z200" s="36" t="str">
        <x:v>ISL: IMF exact 2022</x:v>
      </x:c>
      <x:c r="AA200" s="36" t="str">
        <x:v>complete_primary</x:v>
      </x:c>
      <x:c r="AB200" s="36" t="str">
        <x:v>https://www.un.org/development/desa/pd/world-population-prospects-2024</x:v>
      </x:c>
      <x:c r="AC200" s="36" t="str">
        <x:v>https://api.imf.org/external/sdmx/3.0/data/dataflow/IMF.RES/WEO/9.0.0/</x:v>
      </x:c>
      <x:c r="AD200" s="36" t="str">
        <x:v>https://api.worldbank.org/v2/</x:v>
      </x:c>
    </x:row>
    <x:row r="201">
      <x:c r="A201" s="24" t="str">
        <x:v>ISL</x:v>
      </x:c>
      <x:c r="B201" s="24" t="str">
        <x:v>Iceland</x:v>
      </x:c>
      <x:c r="C201" s="24" t="str">
        <x:v>ISL</x:v>
      </x:c>
      <x:c r="D201" s="24" t="str">
        <x:v>ISL</x:v>
      </x:c>
      <x:c r="E201" s="24" t="n">
        <x:v>2026</x:v>
      </x:c>
      <x:c r="F201" s="37" t="n">
        <x:v>0.87</x:v>
      </x:c>
      <x:c r="G201" s="38" t="n">
        <x:v>402329</x:v>
      </x:c>
      <x:c r="H201" s="38" t="n">
        <x:v>402329</x:v>
      </x:c>
      <x:c r="I201" s="39" t="n">
        <x:f>H201/G201</x:f>
        <x:v>1</x:v>
      </x:c>
      <x:c r="J201" s="40" t="n">
        <x:f>(I201-1)*100</x:f>
        <x:v>0</x:v>
      </x:c>
      <x:c r="K201" s="36" t="str">
        <x:v>no</x:v>
      </x:c>
      <x:c r="L201" s="36" t="str">
        <x:v>Single-country territory; UN WPP and vanilla are within the ±5% review threshold.</x:v>
      </x:c>
      <x:c r="M201" s="41" t="n">
        <x:v>27951440000</x:v>
      </x:c>
      <x:c r="N201" s="41" t="n">
        <x:v>24317752800</x:v>
      </x:c>
      <x:c r="O201" s="41" t="n">
        <x:v>60442</x:v>
      </x:c>
      <x:c r="P201" s="41" t="n">
        <x:v>94715</x:v>
      </x:c>
      <x:c r="Q201" s="41" t="n">
        <x:v>71203</x:v>
      </x:c>
      <x:c r="R201" s="42" t="n">
        <x:f>MIN(P201,Q201)</x:f>
        <x:v>71203</x:v>
      </x:c>
      <x:c r="S201" s="42" t="n">
        <x:f>MAX(P201,Q201)</x:f>
        <x:v>94715</x:v>
      </x:c>
      <x:c r="T201" s="42" t="n">
        <x:f>MAX(R201,MIN(O201,S201))</x:f>
        <x:v>71203</x:v>
      </x:c>
      <x:c r="U201" s="19" t="str">
        <x:f>IF(O201&lt;R201,IF(R201=P201,"clamped_to_nominal","clamped_to_ppp"),IF(O201&gt;S201,IF(S201=P201,"clamped_to_nominal","clamped_to_ppp"),"kept_vanilla"))</x:f>
        <x:v>clamped_to_ppp</x:v>
      </x:c>
      <x:c r="V201" s="42" t="n">
        <x:f>T201*H201</x:f>
        <x:v>28647031787</x:v>
      </x:c>
      <x:c r="W201" s="42" t="n">
        <x:f>V201/F201</x:f>
        <x:v>32927622743.67816</x:v>
      </x:c>
      <x:c r="X201" s="36" t="str">
        <x:v>ISL: UN WPP 2024 Medium exact 2026</x:v>
      </x:c>
      <x:c r="Y201" s="36" t="str">
        <x:v>ISL: IMF exact 2026</x:v>
      </x:c>
      <x:c r="Z201" s="36" t="str">
        <x:v>ISL: IMF exact 2026</x:v>
      </x:c>
      <x:c r="AA201" s="36" t="str">
        <x:v>complete_primary</x:v>
      </x:c>
      <x:c r="AB201" s="36" t="str">
        <x:v>https://www.un.org/development/desa/pd/world-population-prospects-2024</x:v>
      </x:c>
      <x:c r="AC201" s="36" t="str">
        <x:v>https://api.imf.org/external/sdmx/3.0/data/dataflow/IMF.RES/WEO/9.0.0/</x:v>
      </x:c>
      <x:c r="AD201" s="36" t="str">
        <x:v>https://api.worldbank.org/v2/</x:v>
      </x:c>
    </x:row>
    <x:row r="202">
      <x:c r="A202" s="24" t="str">
        <x:v>IND</x:v>
      </x:c>
      <x:c r="B202" s="24" t="str">
        <x:v>India</x:v>
      </x:c>
      <x:c r="C202" s="24" t="str">
        <x:v>IND</x:v>
      </x:c>
      <x:c r="D202" s="24" t="str">
        <x:v>IND</x:v>
      </x:c>
      <x:c r="E202" s="24" t="n">
        <x:v>2003</x:v>
      </x:c>
      <x:c r="F202" s="37" t="n">
        <x:v>1.59</x:v>
      </x:c>
      <x:c r="G202" s="38" t="n">
        <x:v>1116803006</x:v>
      </x:c>
      <x:c r="H202" s="38" t="n">
        <x:v>1116803006</x:v>
      </x:c>
      <x:c r="I202" s="39" t="n">
        <x:f>H202/G202</x:f>
        <x:v>1</x:v>
      </x:c>
      <x:c r="J202" s="40" t="n">
        <x:f>(I202-1)*100</x:f>
        <x:v>0</x:v>
      </x:c>
      <x:c r="K202" s="36" t="str">
        <x:v>no</x:v>
      </x:c>
      <x:c r="L202" s="36" t="str">
        <x:v>Single-country territory; UN WPP and vanilla are within the ±5% review threshold.</x:v>
      </x:c>
      <x:c r="M202" s="41" t="n">
        <x:v>1453485380117</x:v>
      </x:c>
      <x:c r="N202" s="41" t="n">
        <x:v>2311041754386</x:v>
      </x:c>
      <x:c r="O202" s="41" t="n">
        <x:v>2069</x:v>
      </x:c>
      <x:c r="P202" s="41" t="n">
        <x:v>865</x:v>
      </x:c>
      <x:c r="Q202" s="41" t="n">
        <x:v>3483</x:v>
      </x:c>
      <x:c r="R202" s="42" t="n">
        <x:f>MIN(P202,Q202)</x:f>
        <x:v>865</x:v>
      </x:c>
      <x:c r="S202" s="42" t="n">
        <x:f>MAX(P202,Q202)</x:f>
        <x:v>3483</x:v>
      </x:c>
      <x:c r="T202" s="42" t="n">
        <x:f>MAX(R202,MIN(O202,S202))</x:f>
        <x:v>2069</x:v>
      </x:c>
      <x:c r="U202" s="19" t="str">
        <x:f>IF(O202&lt;R202,IF(R202=P202,"clamped_to_nominal","clamped_to_ppp"),IF(O202&gt;S202,IF(S202=P202,"clamped_to_nominal","clamped_to_ppp"),"kept_vanilla"))</x:f>
        <x:v>kept_vanilla</x:v>
      </x:c>
      <x:c r="V202" s="42" t="n">
        <x:f>T202*H202</x:f>
        <x:v>2310665419414</x:v>
      </x:c>
      <x:c r="W202" s="42" t="n">
        <x:f>V202/F202</x:f>
        <x:v>1453248691455.346</x:v>
      </x:c>
      <x:c r="X202" s="36" t="str">
        <x:v>IND: UN WPP 2024 Medium exact 2003</x:v>
      </x:c>
      <x:c r="Y202" s="36" t="str">
        <x:v>IND: IMF exact 2003</x:v>
      </x:c>
      <x:c r="Z202" s="36" t="str">
        <x:v>IND: IMF exact 2003</x:v>
      </x:c>
      <x:c r="AA202" s="36" t="str">
        <x:v>complete_primary</x:v>
      </x:c>
      <x:c r="AB202" s="36" t="str">
        <x:v>https://www.un.org/development/desa/pd/world-population-prospects-2024</x:v>
      </x:c>
      <x:c r="AC202" s="36" t="str">
        <x:v>https://api.imf.org/external/sdmx/3.0/data/dataflow/IMF.RES/WEO/9.0.0/</x:v>
      </x:c>
      <x:c r="AD202" s="36" t="str">
        <x:v>https://api.worldbank.org/v2/</x:v>
      </x:c>
    </x:row>
    <x:row r="203">
      <x:c r="A203" s="24" t="str">
        <x:v>IND</x:v>
      </x:c>
      <x:c r="B203" s="24" t="str">
        <x:v>India</x:v>
      </x:c>
      <x:c r="C203" s="24" t="str">
        <x:v>IND</x:v>
      </x:c>
      <x:c r="D203" s="24" t="str">
        <x:v>IND</x:v>
      </x:c>
      <x:c r="E203" s="24" t="n">
        <x:v>2022</x:v>
      </x:c>
      <x:c r="F203" s="37" t="n">
        <x:v>1</x:v>
      </x:c>
      <x:c r="G203" s="38" t="n">
        <x:v>1410728025</x:v>
      </x:c>
      <x:c r="H203" s="38" t="n">
        <x:v>1425423212</x:v>
      </x:c>
      <x:c r="I203" s="39" t="n">
        <x:f>H203/G203</x:f>
        <x:v>1.0104167399665858</x:v>
      </x:c>
      <x:c r="J203" s="40" t="n">
        <x:f>(I203-1)*100</x:f>
        <x:v>1.0416739966585764</x:v>
      </x:c>
      <x:c r="K203" s="36" t="str">
        <x:v>no</x:v>
      </x:c>
      <x:c r="L203" s="36" t="str">
        <x:v>Single-country territory; UN WPP and vanilla are within the ±5% review threshold.</x:v>
      </x:c>
      <x:c r="M203" s="41" t="n">
        <x:v>10335828800000</x:v>
      </x:c>
      <x:c r="N203" s="41" t="n">
        <x:v>10335828800000</x:v>
      </x:c>
      <x:c r="O203" s="41" t="n">
        <x:v>7327</x:v>
      </x:c>
      <x:c r="P203" s="41" t="n">
        <x:v>2280</x:v>
      </x:c>
      <x:c r="Q203" s="41" t="n">
        <x:v>8965</x:v>
      </x:c>
      <x:c r="R203" s="42" t="n">
        <x:f>MIN(P203,Q203)</x:f>
        <x:v>2280</x:v>
      </x:c>
      <x:c r="S203" s="42" t="n">
        <x:f>MAX(P203,Q203)</x:f>
        <x:v>8965</x:v>
      </x:c>
      <x:c r="T203" s="42" t="n">
        <x:f>MAX(R203,MIN(O203,S203))</x:f>
        <x:v>7327</x:v>
      </x:c>
      <x:c r="U203" s="19" t="str">
        <x:f>IF(O203&lt;R203,IF(R203=P203,"clamped_to_nominal","clamped_to_ppp"),IF(O203&gt;S203,IF(S203=P203,"clamped_to_nominal","clamped_to_ppp"),"kept_vanilla"))</x:f>
        <x:v>kept_vanilla</x:v>
      </x:c>
      <x:c r="V203" s="42" t="n">
        <x:f>T203*H203</x:f>
        <x:v>10444075874324</x:v>
      </x:c>
      <x:c r="W203" s="42" t="n">
        <x:f>V203/F203</x:f>
        <x:v>10444075874324</x:v>
      </x:c>
      <x:c r="X203" s="36" t="str">
        <x:v>IND: UN WPP 2024 Medium exact 2022</x:v>
      </x:c>
      <x:c r="Y203" s="36" t="str">
        <x:v>IND: IMF exact 2022</x:v>
      </x:c>
      <x:c r="Z203" s="36" t="str">
        <x:v>IND: IMF exact 2022</x:v>
      </x:c>
      <x:c r="AA203" s="36" t="str">
        <x:v>complete_primary</x:v>
      </x:c>
      <x:c r="AB203" s="36" t="str">
        <x:v>https://www.un.org/development/desa/pd/world-population-prospects-2024</x:v>
      </x:c>
      <x:c r="AC203" s="36" t="str">
        <x:v>https://api.imf.org/external/sdmx/3.0/data/dataflow/IMF.RES/WEO/9.0.0/</x:v>
      </x:c>
      <x:c r="AD203" s="36" t="str">
        <x:v>https://api.worldbank.org/v2/</x:v>
      </x:c>
    </x:row>
    <x:row r="204">
      <x:c r="A204" s="24" t="str">
        <x:v>IND</x:v>
      </x:c>
      <x:c r="B204" s="24" t="str">
        <x:v>India</x:v>
      </x:c>
      <x:c r="C204" s="24" t="str">
        <x:v>IND</x:v>
      </x:c>
      <x:c r="D204" s="24" t="str">
        <x:v>IND</x:v>
      </x:c>
      <x:c r="E204" s="24" t="n">
        <x:v>2026</x:v>
      </x:c>
      <x:c r="F204" s="37" t="n">
        <x:v>0.87</x:v>
      </x:c>
      <x:c r="G204" s="38" t="n">
        <x:v>1476625577</x:v>
      </x:c>
      <x:c r="H204" s="38" t="n">
        <x:v>1476625576</x:v>
      </x:c>
      <x:c r="I204" s="39" t="n">
        <x:f>H204/G204</x:f>
        <x:v>0.9999999993227803</x:v>
      </x:c>
      <x:c r="J204" s="40" t="n">
        <x:f>(I204-1)*100</x:f>
        <x:v>-6.772197247428835e-8</x:v>
      </x:c>
      <x:c r="K204" s="36" t="str">
        <x:v>no</x:v>
      </x:c>
      <x:c r="L204" s="36" t="str">
        <x:v>Single-country territory; UN WPP and vanilla are within the ±5% review threshold.</x:v>
      </x:c>
      <x:c r="M204" s="41" t="n">
        <x:v>15588478400000</x:v>
      </x:c>
      <x:c r="N204" s="41" t="n">
        <x:v>13561976208000</x:v>
      </x:c>
      <x:c r="O204" s="41" t="n">
        <x:v>9184</x:v>
      </x:c>
      <x:c r="P204" s="41" t="n">
        <x:v>2447</x:v>
      </x:c>
      <x:c r="Q204" s="41" t="n">
        <x:v>11137</x:v>
      </x:c>
      <x:c r="R204" s="42" t="n">
        <x:f>MIN(P204,Q204)</x:f>
        <x:v>2447</x:v>
      </x:c>
      <x:c r="S204" s="42" t="n">
        <x:f>MAX(P204,Q204)</x:f>
        <x:v>11137</x:v>
      </x:c>
      <x:c r="T204" s="42" t="n">
        <x:f>MAX(R204,MIN(O204,S204))</x:f>
        <x:v>9184</x:v>
      </x:c>
      <x:c r="U204" s="19" t="str">
        <x:f>IF(O204&lt;R204,IF(R204=P204,"clamped_to_nominal","clamped_to_ppp"),IF(O204&gt;S204,IF(S204=P204,"clamped_to_nominal","clamped_to_ppp"),"kept_vanilla"))</x:f>
        <x:v>kept_vanilla</x:v>
      </x:c>
      <x:c r="V204" s="42" t="n">
        <x:f>T204*H204</x:f>
        <x:v>13561329289984</x:v>
      </x:c>
      <x:c r="W204" s="42" t="n">
        <x:f>V204/F204</x:f>
        <x:v>15587734816073.562</x:v>
      </x:c>
      <x:c r="X204" s="36" t="str">
        <x:v>IND: UN WPP 2024 Medium exact 2026</x:v>
      </x:c>
      <x:c r="Y204" s="36" t="str">
        <x:v>IND: IMF exact 2026</x:v>
      </x:c>
      <x:c r="Z204" s="36" t="str">
        <x:v>IND: IMF exact 2026</x:v>
      </x:c>
      <x:c r="AA204" s="36" t="str">
        <x:v>complete_primary</x:v>
      </x:c>
      <x:c r="AB204" s="36" t="str">
        <x:v>https://www.un.org/development/desa/pd/world-population-prospects-2024</x:v>
      </x:c>
      <x:c r="AC204" s="36" t="str">
        <x:v>https://api.imf.org/external/sdmx/3.0/data/dataflow/IMF.RES/WEO/9.0.0/</x:v>
      </x:c>
      <x:c r="AD204" s="36" t="str">
        <x:v>https://api.worldbank.org/v2/</x:v>
      </x:c>
    </x:row>
    <x:row r="205">
      <x:c r="A205" s="24" t="str">
        <x:v>IDN</x:v>
      </x:c>
      <x:c r="B205" s="24" t="str">
        <x:v>Indonesia</x:v>
      </x:c>
      <x:c r="C205" s="24" t="str">
        <x:v>IDN</x:v>
      </x:c>
      <x:c r="D205" s="24" t="str">
        <x:v>IDN</x:v>
      </x:c>
      <x:c r="E205" s="24" t="n">
        <x:v>2003</x:v>
      </x:c>
      <x:c r="F205" s="37" t="n">
        <x:v>1.59</x:v>
      </x:c>
      <x:c r="G205" s="38" t="n">
        <x:v>226111391</x:v>
      </x:c>
      <x:c r="H205" s="38" t="n">
        <x:v>225048008</x:v>
      </x:c>
      <x:c r="I205" s="39" t="n">
        <x:f>H205/G205</x:f>
        <x:v>0.9952970834627257</x:v>
      </x:c>
      <x:c r="J205" s="40" t="n">
        <x:f>(I205-1)*100</x:f>
        <x:v>-0.4702916537274282</x:v>
      </x:c>
      <x:c r="K205" s="36" t="str">
        <x:v>no</x:v>
      </x:c>
      <x:c r="L205" s="36" t="str">
        <x:v>Single-country territory; UN WPP and vanilla are within the ±5% review threshold.</x:v>
      </x:c>
      <x:c r="M205" s="41" t="n">
        <x:v>597801754386</x:v>
      </x:c>
      <x:c r="N205" s="41" t="n">
        <x:v>950504789474</x:v>
      </x:c>
      <x:c r="O205" s="41" t="n">
        <x:v>4204</x:v>
      </x:c>
      <x:c r="P205" s="41" t="n">
        <x:v>1804</x:v>
      </x:c>
      <x:c r="Q205" s="41" t="n">
        <x:v>7222</x:v>
      </x:c>
      <x:c r="R205" s="42" t="n">
        <x:f>MIN(P205,Q205)</x:f>
        <x:v>1804</x:v>
      </x:c>
      <x:c r="S205" s="42" t="n">
        <x:f>MAX(P205,Q205)</x:f>
        <x:v>7222</x:v>
      </x:c>
      <x:c r="T205" s="42" t="n">
        <x:f>MAX(R205,MIN(O205,S205))</x:f>
        <x:v>4204</x:v>
      </x:c>
      <x:c r="U205" s="19" t="str">
        <x:f>IF(O205&lt;R205,IF(R205=P205,"clamped_to_nominal","clamped_to_ppp"),IF(O205&gt;S205,IF(S205=P205,"clamped_to_nominal","clamped_to_ppp"),"kept_vanilla"))</x:f>
        <x:v>kept_vanilla</x:v>
      </x:c>
      <x:c r="V205" s="42" t="n">
        <x:f>T205*H205</x:f>
        <x:v>946101825632</x:v>
      </x:c>
      <x:c r="W205" s="42" t="n">
        <x:f>V205/F205</x:f>
        <x:v>595032594737.1069</x:v>
      </x:c>
      <x:c r="X205" s="36" t="str">
        <x:v>IDN: UN WPP 2024 Medium exact 2003</x:v>
      </x:c>
      <x:c r="Y205" s="36" t="str">
        <x:v>IDN: IMF exact 2003</x:v>
      </x:c>
      <x:c r="Z205" s="36" t="str">
        <x:v>IDN: IMF exact 2003</x:v>
      </x:c>
      <x:c r="AA205" s="36" t="str">
        <x:v>complete_primary</x:v>
      </x:c>
      <x:c r="AB205" s="36" t="str">
        <x:v>https://www.un.org/development/desa/pd/world-population-prospects-2024</x:v>
      </x:c>
      <x:c r="AC205" s="36" t="str">
        <x:v>https://api.imf.org/external/sdmx/3.0/data/dataflow/IMF.RES/WEO/9.0.0/</x:v>
      </x:c>
      <x:c r="AD205" s="36" t="str">
        <x:v>https://api.worldbank.org/v2/</x:v>
      </x:c>
    </x:row>
    <x:row r="206">
      <x:c r="A206" s="24" t="str">
        <x:v>IDN</x:v>
      </x:c>
      <x:c r="B206" s="24" t="str">
        <x:v>Indonesia</x:v>
      </x:c>
      <x:c r="C206" s="24" t="str">
        <x:v>IDN</x:v>
      </x:c>
      <x:c r="D206" s="24" t="str">
        <x:v>IDN</x:v>
      </x:c>
      <x:c r="E206" s="24" t="n">
        <x:v>2022</x:v>
      </x:c>
      <x:c r="F206" s="37" t="n">
        <x:v>1</x:v>
      </x:c>
      <x:c r="G206" s="38" t="n">
        <x:v>279963464</x:v>
      </x:c>
      <x:c r="H206" s="38" t="n">
        <x:v>278830529</x:v>
      </x:c>
      <x:c r="I206" s="39" t="n">
        <x:f>H206/G206</x:f>
        <x:v>0.9959532755316958</x:v>
      </x:c>
      <x:c r="J206" s="40" t="n">
        <x:f>(I206-1)*100</x:f>
        <x:v>-0.404672446830423</x:v>
      </x:c>
      <x:c r="K206" s="36" t="str">
        <x:v>no</x:v>
      </x:c>
      <x:c r="L206" s="36" t="str">
        <x:v>Single-country territory; UN WPP and vanilla are within the ±5% review threshold.</x:v>
      </x:c>
      <x:c r="M206" s="41" t="n">
        <x:v>3515656320000</x:v>
      </x:c>
      <x:c r="N206" s="41" t="n">
        <x:v>3515656320000</x:v>
      </x:c>
      <x:c r="O206" s="41" t="n">
        <x:v>12558</x:v>
      </x:c>
      <x:c r="P206" s="41" t="n">
        <x:v>4731</x:v>
      </x:c>
      <x:c r="Q206" s="41" t="n">
        <x:v>14283</x:v>
      </x:c>
      <x:c r="R206" s="42" t="n">
        <x:f>MIN(P206,Q206)</x:f>
        <x:v>4731</x:v>
      </x:c>
      <x:c r="S206" s="42" t="n">
        <x:f>MAX(P206,Q206)</x:f>
        <x:v>14283</x:v>
      </x:c>
      <x:c r="T206" s="42" t="n">
        <x:f>MAX(R206,MIN(O206,S206))</x:f>
        <x:v>12558</x:v>
      </x:c>
      <x:c r="U206" s="19" t="str">
        <x:f>IF(O206&lt;R206,IF(R206=P206,"clamped_to_nominal","clamped_to_ppp"),IF(O206&gt;S206,IF(S206=P206,"clamped_to_nominal","clamped_to_ppp"),"kept_vanilla"))</x:f>
        <x:v>kept_vanilla</x:v>
      </x:c>
      <x:c r="V206" s="42" t="n">
        <x:f>T206*H206</x:f>
        <x:v>3501553783182</x:v>
      </x:c>
      <x:c r="W206" s="42" t="n">
        <x:f>V206/F206</x:f>
        <x:v>3501553783182</x:v>
      </x:c>
      <x:c r="X206" s="36" t="str">
        <x:v>IDN: UN WPP 2024 Medium exact 2022</x:v>
      </x:c>
      <x:c r="Y206" s="36" t="str">
        <x:v>IDN: IMF exact 2022</x:v>
      </x:c>
      <x:c r="Z206" s="36" t="str">
        <x:v>IDN: IMF exact 2022</x:v>
      </x:c>
      <x:c r="AA206" s="36" t="str">
        <x:v>complete_primary</x:v>
      </x:c>
      <x:c r="AB206" s="36" t="str">
        <x:v>https://www.un.org/development/desa/pd/world-population-prospects-2024</x:v>
      </x:c>
      <x:c r="AC206" s="36" t="str">
        <x:v>https://api.imf.org/external/sdmx/3.0/data/dataflow/IMF.RES/WEO/9.0.0/</x:v>
      </x:c>
      <x:c r="AD206" s="36" t="str">
        <x:v>https://api.worldbank.org/v2/</x:v>
      </x:c>
    </x:row>
    <x:row r="207">
      <x:c r="A207" s="24" t="str">
        <x:v>IDN</x:v>
      </x:c>
      <x:c r="B207" s="24" t="str">
        <x:v>Indonesia</x:v>
      </x:c>
      <x:c r="C207" s="24" t="str">
        <x:v>IDN</x:v>
      </x:c>
      <x:c r="D207" s="24" t="str">
        <x:v>IDN</x:v>
      </x:c>
      <x:c r="E207" s="24" t="n">
        <x:v>2026</x:v>
      </x:c>
      <x:c r="F207" s="37" t="n">
        <x:v>0.87</x:v>
      </x:c>
      <x:c r="G207" s="38" t="n">
        <x:v>287707943</x:v>
      </x:c>
      <x:c r="H207" s="38" t="n">
        <x:v>287886782</x:v>
      </x:c>
      <x:c r="I207" s="39" t="n">
        <x:f>H207/G207</x:f>
        <x:v>1.0006215991054512</x:v>
      </x:c>
      <x:c r="J207" s="40" t="n">
        <x:f>(I207-1)*100</x:f>
        <x:v>0.062159910545123154</x:v>
      </x:c>
      <x:c r="K207" s="36" t="str">
        <x:v>no</x:v>
      </x:c>
      <x:c r="L207" s="36" t="str">
        <x:v>Single-country territory; UN WPP and vanilla are within the ±5% review threshold.</x:v>
      </x:c>
      <x:c r="M207" s="41" t="n">
        <x:v>4413870560000</x:v>
      </x:c>
      <x:c r="N207" s="41" t="n">
        <x:v>3840067387200</x:v>
      </x:c>
      <x:c r="O207" s="41" t="n">
        <x:v>13347</x:v>
      </x:c>
      <x:c r="P207" s="41" t="n">
        <x:v>4654</x:v>
      </x:c>
      <x:c r="Q207" s="41" t="n">
        <x:v>16467</x:v>
      </x:c>
      <x:c r="R207" s="42" t="n">
        <x:f>MIN(P207,Q207)</x:f>
        <x:v>4654</x:v>
      </x:c>
      <x:c r="S207" s="42" t="n">
        <x:f>MAX(P207,Q207)</x:f>
        <x:v>16467</x:v>
      </x:c>
      <x:c r="T207" s="42" t="n">
        <x:f>MAX(R207,MIN(O207,S207))</x:f>
        <x:v>13347</x:v>
      </x:c>
      <x:c r="U207" s="19" t="str">
        <x:f>IF(O207&lt;R207,IF(R207=P207,"clamped_to_nominal","clamped_to_ppp"),IF(O207&gt;S207,IF(S207=P207,"clamped_to_nominal","clamped_to_ppp"),"kept_vanilla"))</x:f>
        <x:v>kept_vanilla</x:v>
      </x:c>
      <x:c r="V207" s="42" t="n">
        <x:f>T207*H207</x:f>
        <x:v>3842424879354</x:v>
      </x:c>
      <x:c r="W207" s="42" t="n">
        <x:f>V207/F207</x:f>
        <x:v>4416580321096.552</x:v>
      </x:c>
      <x:c r="X207" s="36" t="str">
        <x:v>IDN: UN WPP 2024 Medium exact 2026</x:v>
      </x:c>
      <x:c r="Y207" s="36" t="str">
        <x:v>IDN: IMF exact 2026</x:v>
      </x:c>
      <x:c r="Z207" s="36" t="str">
        <x:v>IDN: IMF exact 2026</x:v>
      </x:c>
      <x:c r="AA207" s="36" t="str">
        <x:v>complete_primary</x:v>
      </x:c>
      <x:c r="AB207" s="36" t="str">
        <x:v>https://www.un.org/development/desa/pd/world-population-prospects-2024</x:v>
      </x:c>
      <x:c r="AC207" s="36" t="str">
        <x:v>https://api.imf.org/external/sdmx/3.0/data/dataflow/IMF.RES/WEO/9.0.0/</x:v>
      </x:c>
      <x:c r="AD207" s="36" t="str">
        <x:v>https://api.worldbank.org/v2/</x:v>
      </x:c>
    </x:row>
    <x:row r="208">
      <x:c r="A208" s="24" t="str">
        <x:v>IRN</x:v>
      </x:c>
      <x:c r="B208" s="24" t="str">
        <x:v>Iran</x:v>
      </x:c>
      <x:c r="C208" s="24" t="str">
        <x:v>IRN</x:v>
      </x:c>
      <x:c r="D208" s="24" t="str">
        <x:v>IRN</x:v>
      </x:c>
      <x:c r="E208" s="24" t="n">
        <x:v>2003</x:v>
      </x:c>
      <x:c r="F208" s="37" t="n">
        <x:v>1.59</x:v>
      </x:c>
      <x:c r="G208" s="38" t="n">
        <x:v>68769339</x:v>
      </x:c>
      <x:c r="H208" s="38" t="n">
        <x:v>68769340</x:v>
      </x:c>
      <x:c r="I208" s="39" t="n">
        <x:f>H208/G208</x:f>
        <x:v>1.0000000145413641</x:v>
      </x:c>
      <x:c r="J208" s="40" t="n">
        <x:f>(I208-1)*100</x:f>
        <x:v>0.0000014541364112830024</x:v>
      </x:c>
      <x:c r="K208" s="36" t="str">
        <x:v>no</x:v>
      </x:c>
      <x:c r="L208" s="36" t="str">
        <x:v>Single-country territory; UN WPP and vanilla are within the ±5% review threshold.</x:v>
      </x:c>
      <x:c r="M208" s="41" t="n">
        <x:v>391273684211</x:v>
      </x:c>
      <x:c r="N208" s="41" t="n">
        <x:v>622125157895</x:v>
      </x:c>
      <x:c r="O208" s="41" t="n">
        <x:v>9047</x:v>
      </x:c>
      <x:c r="P208" s="41" t="n">
        <x:v>4470</x:v>
      </x:c>
      <x:c r="Q208" s="41" t="n">
        <x:v>15970</x:v>
      </x:c>
      <x:c r="R208" s="42" t="n">
        <x:f>MIN(P208,Q208)</x:f>
        <x:v>4470</x:v>
      </x:c>
      <x:c r="S208" s="42" t="n">
        <x:f>MAX(P208,Q208)</x:f>
        <x:v>15970</x:v>
      </x:c>
      <x:c r="T208" s="42" t="n">
        <x:f>MAX(R208,MIN(O208,S208))</x:f>
        <x:v>9047</x:v>
      </x:c>
      <x:c r="U208" s="19" t="str">
        <x:f>IF(O208&lt;R208,IF(R208=P208,"clamped_to_nominal","clamped_to_ppp"),IF(O208&gt;S208,IF(S208=P208,"clamped_to_nominal","clamped_to_ppp"),"kept_vanilla"))</x:f>
        <x:v>kept_vanilla</x:v>
      </x:c>
      <x:c r="V208" s="42" t="n">
        <x:f>T208*H208</x:f>
        <x:v>622156218980</x:v>
      </x:c>
      <x:c r="W208" s="42" t="n">
        <x:f>V208/F208</x:f>
        <x:v>391293219484.27673</x:v>
      </x:c>
      <x:c r="X208" s="36" t="str">
        <x:v>IRN: UN WPP 2024 Medium exact 2003</x:v>
      </x:c>
      <x:c r="Y208" s="36" t="str">
        <x:v>IRN: IMF exact 2003</x:v>
      </x:c>
      <x:c r="Z208" s="36" t="str">
        <x:v>IRN: IMF exact 2003</x:v>
      </x:c>
      <x:c r="AA208" s="36" t="str">
        <x:v>complete_primary</x:v>
      </x:c>
      <x:c r="AB208" s="36" t="str">
        <x:v>https://www.un.org/development/desa/pd/world-population-prospects-2024</x:v>
      </x:c>
      <x:c r="AC208" s="36" t="str">
        <x:v>https://api.imf.org/external/sdmx/3.0/data/dataflow/IMF.RES/WEO/9.0.0/</x:v>
      </x:c>
      <x:c r="AD208" s="36" t="str">
        <x:v>https://api.worldbank.org/v2/</x:v>
      </x:c>
    </x:row>
    <x:row r="209">
      <x:c r="A209" s="24" t="str">
        <x:v>IRN</x:v>
      </x:c>
      <x:c r="B209" s="24" t="str">
        <x:v>Iran</x:v>
      </x:c>
      <x:c r="C209" s="24" t="str">
        <x:v>IRN</x:v>
      </x:c>
      <x:c r="D209" s="24" t="str">
        <x:v>IRN</x:v>
      </x:c>
      <x:c r="E209" s="24" t="n">
        <x:v>2022</x:v>
      </x:c>
      <x:c r="F209" s="37" t="n">
        <x:v>1</x:v>
      </x:c>
      <x:c r="G209" s="38" t="n">
        <x:v>86332889</x:v>
      </x:c>
      <x:c r="H209" s="38" t="n">
        <x:v>89524246</x:v>
      </x:c>
      <x:c r="I209" s="39" t="n">
        <x:f>H209/G209</x:f>
        <x:v>1.0369657153486431</x:v>
      </x:c>
      <x:c r="J209" s="40" t="n">
        <x:f>(I209-1)*100</x:f>
        <x:v>3.6965715348643124</x:v>
      </x:c>
      <x:c r="K209" s="36" t="str">
        <x:v>no</x:v>
      </x:c>
      <x:c r="L209" s="36" t="str">
        <x:v>Single-country territory; UN WPP and vanilla are within the ±5% review threshold.</x:v>
      </x:c>
      <x:c r="M209" s="41" t="n">
        <x:v>1384650960000</x:v>
      </x:c>
      <x:c r="N209" s="41" t="n">
        <x:v>1384650960000</x:v>
      </x:c>
      <x:c r="O209" s="41" t="n">
        <x:v>16039</x:v>
      </x:c>
      <x:c r="P209" s="41" t="n">
        <x:v>4504</x:v>
      </x:c>
      <x:c r="Q209" s="41" t="n">
        <x:v>17543</x:v>
      </x:c>
      <x:c r="R209" s="42" t="n">
        <x:f>MIN(P209,Q209)</x:f>
        <x:v>4504</x:v>
      </x:c>
      <x:c r="S209" s="42" t="n">
        <x:f>MAX(P209,Q209)</x:f>
        <x:v>17543</x:v>
      </x:c>
      <x:c r="T209" s="42" t="n">
        <x:f>MAX(R209,MIN(O209,S209))</x:f>
        <x:v>16039</x:v>
      </x:c>
      <x:c r="U209" s="19" t="str">
        <x:f>IF(O209&lt;R209,IF(R209=P209,"clamped_to_nominal","clamped_to_ppp"),IF(O209&gt;S209,IF(S209=P209,"clamped_to_nominal","clamped_to_ppp"),"kept_vanilla"))</x:f>
        <x:v>kept_vanilla</x:v>
      </x:c>
      <x:c r="V209" s="42" t="n">
        <x:f>T209*H209</x:f>
        <x:v>1435879381594</x:v>
      </x:c>
      <x:c r="W209" s="42" t="n">
        <x:f>V209/F209</x:f>
        <x:v>1435879381594</x:v>
      </x:c>
      <x:c r="X209" s="36" t="str">
        <x:v>IRN: UN WPP 2024 Medium exact 2022</x:v>
      </x:c>
      <x:c r="Y209" s="36" t="str">
        <x:v>IRN: IMF exact 2022</x:v>
      </x:c>
      <x:c r="Z209" s="36" t="str">
        <x:v>IRN: IMF exact 2022</x:v>
      </x:c>
      <x:c r="AA209" s="36" t="str">
        <x:v>complete_primary</x:v>
      </x:c>
      <x:c r="AB209" s="36" t="str">
        <x:v>https://www.un.org/development/desa/pd/world-population-prospects-2024</x:v>
      </x:c>
      <x:c r="AC209" s="36" t="str">
        <x:v>https://api.imf.org/external/sdmx/3.0/data/dataflow/IMF.RES/WEO/9.0.0/</x:v>
      </x:c>
      <x:c r="AD209" s="36" t="str">
        <x:v>https://api.worldbank.org/v2/</x:v>
      </x:c>
    </x:row>
    <x:row r="210">
      <x:c r="A210" s="24" t="str">
        <x:v>IRN</x:v>
      </x:c>
      <x:c r="B210" s="24" t="str">
        <x:v>Iran</x:v>
      </x:c>
      <x:c r="C210" s="24" t="str">
        <x:v>IRN</x:v>
      </x:c>
      <x:c r="D210" s="24" t="str">
        <x:v>IRN</x:v>
      </x:c>
      <x:c r="E210" s="24" t="n">
        <x:v>2026</x:v>
      </x:c>
      <x:c r="F210" s="37" t="n">
        <x:v>0.87</x:v>
      </x:c>
      <x:c r="G210" s="38" t="n">
        <x:v>93168497</x:v>
      </x:c>
      <x:c r="H210" s="38" t="n">
        <x:v>93168497</x:v>
      </x:c>
      <x:c r="I210" s="39" t="n">
        <x:f>H210/G210</x:f>
        <x:v>1</x:v>
      </x:c>
      <x:c r="J210" s="40" t="n">
        <x:f>(I210-1)*100</x:f>
        <x:v>0</x:v>
      </x:c>
      <x:c r="K210" s="36" t="str">
        <x:v>no</x:v>
      </x:c>
      <x:c r="L210" s="36" t="str">
        <x:v>Single-country territory; UN WPP and vanilla are within the ±5% review threshold.</x:v>
      </x:c>
      <x:c r="M210" s="41" t="n">
        <x:v>1653424960000</x:v>
      </x:c>
      <x:c r="N210" s="41" t="n">
        <x:v>1438479715200</x:v>
      </x:c>
      <x:c r="O210" s="41" t="n">
        <x:v>15440</x:v>
      </x:c>
      <x:c r="P210" s="41" t="n">
        <x:v>2804</x:v>
      </x:c>
      <x:c r="Q210" s="41" t="n">
        <x:v>16652</x:v>
      </x:c>
      <x:c r="R210" s="42" t="n">
        <x:f>MIN(P210,Q210)</x:f>
        <x:v>2804</x:v>
      </x:c>
      <x:c r="S210" s="42" t="n">
        <x:f>MAX(P210,Q210)</x:f>
        <x:v>16652</x:v>
      </x:c>
      <x:c r="T210" s="42" t="n">
        <x:f>MAX(R210,MIN(O210,S210))</x:f>
        <x:v>15440</x:v>
      </x:c>
      <x:c r="U210" s="19" t="str">
        <x:f>IF(O210&lt;R210,IF(R210=P210,"clamped_to_nominal","clamped_to_ppp"),IF(O210&gt;S210,IF(S210=P210,"clamped_to_nominal","clamped_to_ppp"),"kept_vanilla"))</x:f>
        <x:v>kept_vanilla</x:v>
      </x:c>
      <x:c r="V210" s="42" t="n">
        <x:f>T210*H210</x:f>
        <x:v>1438521593680</x:v>
      </x:c>
      <x:c r="W210" s="42" t="n">
        <x:f>V210/F210</x:f>
        <x:v>1653473096183.908</x:v>
      </x:c>
      <x:c r="X210" s="36" t="str">
        <x:v>IRN: UN WPP 2024 Medium exact 2026</x:v>
      </x:c>
      <x:c r="Y210" s="36" t="str">
        <x:v>IRN: IMF exact 2026</x:v>
      </x:c>
      <x:c r="Z210" s="36" t="str">
        <x:v>IRN: IMF exact 2026</x:v>
      </x:c>
      <x:c r="AA210" s="36" t="str">
        <x:v>complete_primary</x:v>
      </x:c>
      <x:c r="AB210" s="36" t="str">
        <x:v>https://www.un.org/development/desa/pd/world-population-prospects-2024</x:v>
      </x:c>
      <x:c r="AC210" s="36" t="str">
        <x:v>https://api.imf.org/external/sdmx/3.0/data/dataflow/IMF.RES/WEO/9.0.0/</x:v>
      </x:c>
      <x:c r="AD210" s="36" t="str">
        <x:v>https://api.worldbank.org/v2/</x:v>
      </x:c>
    </x:row>
    <x:row r="211">
      <x:c r="A211" s="24" t="str">
        <x:v>IRQ</x:v>
      </x:c>
      <x:c r="B211" s="24" t="str">
        <x:v>Iraq</x:v>
      </x:c>
      <x:c r="C211" s="24" t="str">
        <x:v>IRQ</x:v>
      </x:c>
      <x:c r="D211" s="24" t="str">
        <x:v>IRQ</x:v>
      </x:c>
      <x:c r="E211" s="24" t="n">
        <x:v>2003</x:v>
      </x:c>
      <x:c r="F211" s="37" t="n">
        <x:v>1.59</x:v>
      </x:c>
      <x:c r="G211" s="38" t="n">
        <x:v>26802659</x:v>
      </x:c>
      <x:c r="H211" s="38" t="n">
        <x:v>26802659</x:v>
      </x:c>
      <x:c r="I211" s="39" t="n">
        <x:f>H211/G211</x:f>
        <x:v>1</x:v>
      </x:c>
      <x:c r="J211" s="40" t="n">
        <x:f>(I211-1)*100</x:f>
        <x:v>0</x:v>
      </x:c>
      <x:c r="K211" s="36" t="str">
        <x:v>no</x:v>
      </x:c>
      <x:c r="L211" s="36" t="str">
        <x:v>Single-country territory; UN WPP and vanilla are within the ±5% review threshold.</x:v>
      </x:c>
      <x:c r="M211" s="41" t="n">
        <x:v>58739766082</x:v>
      </x:c>
      <x:c r="N211" s="41" t="n">
        <x:v>93396228070</x:v>
      </x:c>
      <x:c r="O211" s="41" t="n">
        <x:v>3485</x:v>
      </x:c>
      <x:c r="P211" s="41" t="n">
        <x:v>937</x:v>
      </x:c>
      <x:c r="Q211" s="41" t="n">
        <x:v>5959</x:v>
      </x:c>
      <x:c r="R211" s="42" t="n">
        <x:f>MIN(P211,Q211)</x:f>
        <x:v>937</x:v>
      </x:c>
      <x:c r="S211" s="42" t="n">
        <x:f>MAX(P211,Q211)</x:f>
        <x:v>5959</x:v>
      </x:c>
      <x:c r="T211" s="42" t="n">
        <x:f>MAX(R211,MIN(O211,S211))</x:f>
        <x:v>3485</x:v>
      </x:c>
      <x:c r="U211" s="19" t="str">
        <x:f>IF(O211&lt;R211,IF(R211=P211,"clamped_to_nominal","clamped_to_ppp"),IF(O211&gt;S211,IF(S211=P211,"clamped_to_nominal","clamped_to_ppp"),"kept_vanilla"))</x:f>
        <x:v>kept_vanilla</x:v>
      </x:c>
      <x:c r="V211" s="42" t="n">
        <x:f>T211*H211</x:f>
        <x:v>93407266615</x:v>
      </x:c>
      <x:c r="W211" s="42" t="n">
        <x:f>V211/F211</x:f>
        <x:v>58746708562.89308</x:v>
      </x:c>
      <x:c r="X211" s="36" t="str">
        <x:v>IRQ: UN WPP 2024 Medium exact 2003</x:v>
      </x:c>
      <x:c r="Y211" s="36" t="str">
        <x:v>IRQ: IMF exact 2003</x:v>
      </x:c>
      <x:c r="Z211" s="36" t="str">
        <x:v>IRQ: IMF exact 2003</x:v>
      </x:c>
      <x:c r="AA211" s="36" t="str">
        <x:v>complete_primary</x:v>
      </x:c>
      <x:c r="AB211" s="36" t="str">
        <x:v>https://www.un.org/development/desa/pd/world-population-prospects-2024</x:v>
      </x:c>
      <x:c r="AC211" s="36" t="str">
        <x:v>https://api.imf.org/external/sdmx/3.0/data/dataflow/IMF.RES/WEO/9.0.0/</x:v>
      </x:c>
      <x:c r="AD211" s="36" t="str">
        <x:v>https://api.worldbank.org/v2/</x:v>
      </x:c>
    </x:row>
    <x:row r="212">
      <x:c r="A212" s="24" t="str">
        <x:v>IRQ</x:v>
      </x:c>
      <x:c r="B212" s="24" t="str">
        <x:v>Iraq</x:v>
      </x:c>
      <x:c r="C212" s="24" t="str">
        <x:v>IRQ</x:v>
      </x:c>
      <x:c r="D212" s="24" t="str">
        <x:v>IRQ</x:v>
      </x:c>
      <x:c r="E212" s="24" t="n">
        <x:v>2022</x:v>
      </x:c>
      <x:c r="F212" s="37" t="n">
        <x:v>1</x:v>
      </x:c>
      <x:c r="G212" s="38" t="n">
        <x:v>42475419</x:v>
      </x:c>
      <x:c r="H212" s="38" t="n">
        <x:v>44070551</x:v>
      </x:c>
      <x:c r="I212" s="39" t="n">
        <x:f>H212/G212</x:f>
        <x:v>1.0375542381347669</x:v>
      </x:c>
      <x:c r="J212" s="40" t="n">
        <x:f>(I212-1)*100</x:f>
        <x:v>3.755423813476688</x:v>
      </x:c>
      <x:c r="K212" s="36" t="str">
        <x:v>no</x:v>
      </x:c>
      <x:c r="L212" s="36" t="str">
        <x:v>Single-country territory; UN WPP and vanilla are within the ±5% review threshold.</x:v>
      </x:c>
      <x:c r="M212" s="41" t="n">
        <x:v>451374880000</x:v>
      </x:c>
      <x:c r="N212" s="41" t="n">
        <x:v>451374880000</x:v>
      </x:c>
      <x:c r="O212" s="41" t="n">
        <x:v>10627</x:v>
      </x:c>
      <x:c r="P212" s="41" t="n">
        <x:v>6536</x:v>
      </x:c>
      <x:c r="Q212" s="41" t="n">
        <x:v>14429</x:v>
      </x:c>
      <x:c r="R212" s="42" t="n">
        <x:f>MIN(P212,Q212)</x:f>
        <x:v>6536</x:v>
      </x:c>
      <x:c r="S212" s="42" t="n">
        <x:f>MAX(P212,Q212)</x:f>
        <x:v>14429</x:v>
      </x:c>
      <x:c r="T212" s="42" t="n">
        <x:f>MAX(R212,MIN(O212,S212))</x:f>
        <x:v>10627</x:v>
      </x:c>
      <x:c r="U212" s="19" t="str">
        <x:f>IF(O212&lt;R212,IF(R212=P212,"clamped_to_nominal","clamped_to_ppp"),IF(O212&gt;S212,IF(S212=P212,"clamped_to_nominal","clamped_to_ppp"),"kept_vanilla"))</x:f>
        <x:v>kept_vanilla</x:v>
      </x:c>
      <x:c r="V212" s="42" t="n">
        <x:f>T212*H212</x:f>
        <x:v>468337745477</x:v>
      </x:c>
      <x:c r="W212" s="42" t="n">
        <x:f>V212/F212</x:f>
        <x:v>468337745477</x:v>
      </x:c>
      <x:c r="X212" s="36" t="str">
        <x:v>IRQ: UN WPP 2024 Medium exact 2022</x:v>
      </x:c>
      <x:c r="Y212" s="36" t="str">
        <x:v>IRQ: IMF exact 2022</x:v>
      </x:c>
      <x:c r="Z212" s="36" t="str">
        <x:v>IRQ: IMF exact 2022</x:v>
      </x:c>
      <x:c r="AA212" s="36" t="str">
        <x:v>complete_primary</x:v>
      </x:c>
      <x:c r="AB212" s="36" t="str">
        <x:v>https://www.un.org/development/desa/pd/world-population-prospects-2024</x:v>
      </x:c>
      <x:c r="AC212" s="36" t="str">
        <x:v>https://api.imf.org/external/sdmx/3.0/data/dataflow/IMF.RES/WEO/9.0.0/</x:v>
      </x:c>
      <x:c r="AD212" s="36" t="str">
        <x:v>https://api.worldbank.org/v2/</x:v>
      </x:c>
    </x:row>
    <x:row r="213">
      <x:c r="A213" s="24" t="str">
        <x:v>IRQ</x:v>
      </x:c>
      <x:c r="B213" s="24" t="str">
        <x:v>Iraq</x:v>
      </x:c>
      <x:c r="C213" s="24" t="str">
        <x:v>IRQ</x:v>
      </x:c>
      <x:c r="D213" s="24" t="str">
        <x:v>IRQ</x:v>
      </x:c>
      <x:c r="E213" s="24" t="n">
        <x:v>2026</x:v>
      </x:c>
      <x:c r="F213" s="37" t="n">
        <x:v>0.87</x:v>
      </x:c>
      <x:c r="G213" s="38" t="n">
        <x:v>48007437</x:v>
      </x:c>
      <x:c r="H213" s="38" t="n">
        <x:v>48007437</x:v>
      </x:c>
      <x:c r="I213" s="39" t="n">
        <x:f>H213/G213</x:f>
        <x:v>1</x:v>
      </x:c>
      <x:c r="J213" s="40" t="n">
        <x:f>(I213-1)*100</x:f>
        <x:v>0</x:v>
      </x:c>
      <x:c r="K213" s="36" t="str">
        <x:v>no</x:v>
      </x:c>
      <x:c r="L213" s="36" t="str">
        <x:v>Single-country territory; UN WPP and vanilla are within the ±5% review threshold.</x:v>
      </x:c>
      <x:c r="M213" s="41" t="n">
        <x:v>607993760000</x:v>
      </x:c>
      <x:c r="N213" s="41" t="n">
        <x:v>528954571200</x:v>
      </x:c>
      <x:c r="O213" s="41" t="n">
        <x:v>11018</x:v>
      </x:c>
      <x:c r="P213" s="41" t="n">
        <x:v>4798</x:v>
      </x:c>
      <x:c r="Q213" s="41" t="n">
        <x:v>12151</x:v>
      </x:c>
      <x:c r="R213" s="42" t="n">
        <x:f>MIN(P213,Q213)</x:f>
        <x:v>4798</x:v>
      </x:c>
      <x:c r="S213" s="42" t="n">
        <x:f>MAX(P213,Q213)</x:f>
        <x:v>12151</x:v>
      </x:c>
      <x:c r="T213" s="42" t="n">
        <x:f>MAX(R213,MIN(O213,S213))</x:f>
        <x:v>11018</x:v>
      </x:c>
      <x:c r="U213" s="19" t="str">
        <x:f>IF(O213&lt;R213,IF(R213=P213,"clamped_to_nominal","clamped_to_ppp"),IF(O213&gt;S213,IF(S213=P213,"clamped_to_nominal","clamped_to_ppp"),"kept_vanilla"))</x:f>
        <x:v>kept_vanilla</x:v>
      </x:c>
      <x:c r="V213" s="42" t="n">
        <x:f>T213*H213</x:f>
        <x:v>528945940866</x:v>
      </x:c>
      <x:c r="W213" s="42" t="n">
        <x:f>V213/F213</x:f>
        <x:v>607983840075.862</x:v>
      </x:c>
      <x:c r="X213" s="36" t="str">
        <x:v>IRQ: UN WPP 2024 Medium exact 2026</x:v>
      </x:c>
      <x:c r="Y213" s="36" t="str">
        <x:v>IRQ: IMF exact 2026</x:v>
      </x:c>
      <x:c r="Z213" s="36" t="str">
        <x:v>IRQ: IMF exact 2026</x:v>
      </x:c>
      <x:c r="AA213" s="36" t="str">
        <x:v>complete_primary</x:v>
      </x:c>
      <x:c r="AB213" s="36" t="str">
        <x:v>https://www.un.org/development/desa/pd/world-population-prospects-2024</x:v>
      </x:c>
      <x:c r="AC213" s="36" t="str">
        <x:v>https://api.imf.org/external/sdmx/3.0/data/dataflow/IMF.RES/WEO/9.0.0/</x:v>
      </x:c>
      <x:c r="AD213" s="36" t="str">
        <x:v>https://api.worldbank.org/v2/</x:v>
      </x:c>
    </x:row>
    <x:row r="214">
      <x:c r="A214" s="24" t="str">
        <x:v>IRL</x:v>
      </x:c>
      <x:c r="B214" s="24" t="str">
        <x:v>Ireland</x:v>
      </x:c>
      <x:c r="C214" s="24" t="str">
        <x:v>IRL</x:v>
      </x:c>
      <x:c r="D214" s="24" t="str">
        <x:v>IRL</x:v>
      </x:c>
      <x:c r="E214" s="24" t="n">
        <x:v>2003</x:v>
      </x:c>
      <x:c r="F214" s="37" t="n">
        <x:v>1.59</x:v>
      </x:c>
      <x:c r="G214" s="38" t="n">
        <x:v>3992935</x:v>
      </x:c>
      <x:c r="H214" s="38" t="n">
        <x:v>3992935</x:v>
      </x:c>
      <x:c r="I214" s="39" t="n">
        <x:f>H214/G214</x:f>
        <x:v>1</x:v>
      </x:c>
      <x:c r="J214" s="40" t="n">
        <x:f>(I214-1)*100</x:f>
        <x:v>0</x:v>
      </x:c>
      <x:c r="K214" s="36" t="str">
        <x:v>no</x:v>
      </x:c>
      <x:c r="L214" s="36" t="str">
        <x:v>Single-country territory; UN WPP and vanilla are within the ±5% review threshold.</x:v>
      </x:c>
      <x:c r="M214" s="41" t="n">
        <x:v>96785380117</x:v>
      </x:c>
      <x:c r="N214" s="41" t="n">
        <x:v>153888754386</x:v>
      </x:c>
      <x:c r="O214" s="41" t="n">
        <x:v>38540</x:v>
      </x:c>
      <x:c r="P214" s="41" t="n">
        <x:v>65556</x:v>
      </x:c>
      <x:c r="Q214" s="41" t="n">
        <x:v>65830</x:v>
      </x:c>
      <x:c r="R214" s="42" t="n">
        <x:f>MIN(P214,Q214)</x:f>
        <x:v>65556</x:v>
      </x:c>
      <x:c r="S214" s="42" t="n">
        <x:f>MAX(P214,Q214)</x:f>
        <x:v>65830</x:v>
      </x:c>
      <x:c r="T214" s="42" t="n">
        <x:f>MAX(R214,MIN(O214,S214))</x:f>
        <x:v>65556</x:v>
      </x:c>
      <x:c r="U214" s="19" t="str">
        <x:f>IF(O214&lt;R214,IF(R214=P214,"clamped_to_nominal","clamped_to_ppp"),IF(O214&gt;S214,IF(S214=P214,"clamped_to_nominal","clamped_to_ppp"),"kept_vanilla"))</x:f>
        <x:v>clamped_to_nominal</x:v>
      </x:c>
      <x:c r="V214" s="42" t="n">
        <x:f>T214*H214</x:f>
        <x:v>261760846860</x:v>
      </x:c>
      <x:c r="W214" s="42" t="n">
        <x:f>V214/F214</x:f>
        <x:v>164629463433.96225</x:v>
      </x:c>
      <x:c r="X214" s="36" t="str">
        <x:v>IRL: UN WPP 2024 Medium exact 2003</x:v>
      </x:c>
      <x:c r="Y214" s="36" t="str">
        <x:v>IRL: IMF exact 2003</x:v>
      </x:c>
      <x:c r="Z214" s="36" t="str">
        <x:v>IRL: IMF exact 2003</x:v>
      </x:c>
      <x:c r="AA214" s="36" t="str">
        <x:v>complete_primary</x:v>
      </x:c>
      <x:c r="AB214" s="36" t="str">
        <x:v>https://www.un.org/development/desa/pd/world-population-prospects-2024</x:v>
      </x:c>
      <x:c r="AC214" s="36" t="str">
        <x:v>https://api.imf.org/external/sdmx/3.0/data/dataflow/IMF.RES/WEO/9.0.0/</x:v>
      </x:c>
      <x:c r="AD214" s="36" t="str">
        <x:v>https://api.worldbank.org/v2/</x:v>
      </x:c>
    </x:row>
    <x:row r="215">
      <x:c r="A215" s="24" t="str">
        <x:v>IRL</x:v>
      </x:c>
      <x:c r="B215" s="24" t="str">
        <x:v>Ireland</x:v>
      </x:c>
      <x:c r="C215" s="24" t="str">
        <x:v>IRL</x:v>
      </x:c>
      <x:c r="D215" s="24" t="str">
        <x:v>IRL</x:v>
      </x:c>
      <x:c r="E215" s="24" t="n">
        <x:v>2022</x:v>
      </x:c>
      <x:c r="F215" s="37" t="n">
        <x:v>1</x:v>
      </x:c>
      <x:c r="G215" s="38" t="n">
        <x:v>5031376</x:v>
      </x:c>
      <x:c r="H215" s="38" t="n">
        <x:v>5110016</x:v>
      </x:c>
      <x:c r="I215" s="39" t="n">
        <x:f>H215/G215</x:f>
        <x:v>1.0156299191314662</x:v>
      </x:c>
      <x:c r="J215" s="40" t="n">
        <x:f>(I215-1)*100</x:f>
        <x:v>1.5629919131466163</x:v>
      </x:c>
      <x:c r="K215" s="36" t="str">
        <x:v>no</x:v>
      </x:c>
      <x:c r="L215" s="36" t="str">
        <x:v>Single-country territory; UN WPP and vanilla are within the ±5% review threshold.</x:v>
      </x:c>
      <x:c r="M215" s="41" t="n">
        <x:v>557509040000</x:v>
      </x:c>
      <x:c r="N215" s="41" t="n">
        <x:v>557509040000</x:v>
      </x:c>
      <x:c r="O215" s="41" t="n">
        <x:v>110806</x:v>
      </x:c>
      <x:c r="P215" s="41" t="n">
        <x:v>107392</x:v>
      </x:c>
      <x:c r="Q215" s="41" t="n">
        <x:v>133729</x:v>
      </x:c>
      <x:c r="R215" s="42" t="n">
        <x:f>MIN(P215,Q215)</x:f>
        <x:v>107392</x:v>
      </x:c>
      <x:c r="S215" s="42" t="n">
        <x:f>MAX(P215,Q215)</x:f>
        <x:v>133729</x:v>
      </x:c>
      <x:c r="T215" s="42" t="n">
        <x:f>MAX(R215,MIN(O215,S215))</x:f>
        <x:v>110806</x:v>
      </x:c>
      <x:c r="U215" s="19" t="str">
        <x:f>IF(O215&lt;R215,IF(R215=P215,"clamped_to_nominal","clamped_to_ppp"),IF(O215&gt;S215,IF(S215=P215,"clamped_to_nominal","clamped_to_ppp"),"kept_vanilla"))</x:f>
        <x:v>kept_vanilla</x:v>
      </x:c>
      <x:c r="V215" s="42" t="n">
        <x:f>T215*H215</x:f>
        <x:v>566220432896</x:v>
      </x:c>
      <x:c r="W215" s="42" t="n">
        <x:f>V215/F215</x:f>
        <x:v>566220432896</x:v>
      </x:c>
      <x:c r="X215" s="36" t="str">
        <x:v>IRL: UN WPP 2024 Medium exact 2022</x:v>
      </x:c>
      <x:c r="Y215" s="36" t="str">
        <x:v>IRL: IMF exact 2022</x:v>
      </x:c>
      <x:c r="Z215" s="36" t="str">
        <x:v>IRL: IMF exact 2022</x:v>
      </x:c>
      <x:c r="AA215" s="36" t="str">
        <x:v>complete_primary</x:v>
      </x:c>
      <x:c r="AB215" s="36" t="str">
        <x:v>https://www.un.org/development/desa/pd/world-population-prospects-2024</x:v>
      </x:c>
      <x:c r="AC215" s="36" t="str">
        <x:v>https://api.imf.org/external/sdmx/3.0/data/dataflow/IMF.RES/WEO/9.0.0/</x:v>
      </x:c>
      <x:c r="AD215" s="36" t="str">
        <x:v>https://api.worldbank.org/v2/</x:v>
      </x:c>
    </x:row>
    <x:row r="216">
      <x:c r="A216" s="24" t="str">
        <x:v>IRL</x:v>
      </x:c>
      <x:c r="B216" s="24" t="str">
        <x:v>Ireland</x:v>
      </x:c>
      <x:c r="C216" s="24" t="str">
        <x:v>IRL</x:v>
      </x:c>
      <x:c r="D216" s="24" t="str">
        <x:v>IRL</x:v>
      </x:c>
      <x:c r="E216" s="24" t="n">
        <x:v>2026</x:v>
      </x:c>
      <x:c r="F216" s="37" t="n">
        <x:v>0.87</x:v>
      </x:c>
      <x:c r="G216" s="38" t="n">
        <x:v>5356950</x:v>
      </x:c>
      <x:c r="H216" s="38" t="n">
        <x:v>5356950</x:v>
      </x:c>
      <x:c r="I216" s="39" t="n">
        <x:f>H216/G216</x:f>
        <x:v>1</x:v>
      </x:c>
      <x:c r="J216" s="40" t="n">
        <x:f>(I216-1)*100</x:f>
        <x:v>0</x:v>
      </x:c>
      <x:c r="K216" s="36" t="str">
        <x:v>no</x:v>
      </x:c>
      <x:c r="L216" s="36" t="str">
        <x:v>Single-country territory; UN WPP and vanilla are within the ±5% review threshold.</x:v>
      </x:c>
      <x:c r="M216" s="41" t="n">
        <x:v>648324160000</x:v>
      </x:c>
      <x:c r="N216" s="41" t="n">
        <x:v>564042019200</x:v>
      </x:c>
      <x:c r="O216" s="41" t="n">
        <x:v>105292</x:v>
      </x:c>
      <x:c r="P216" s="41" t="n">
        <x:v>126576</x:v>
      </x:c>
      <x:c r="Q216" s="41" t="n">
        <x:v>143680</x:v>
      </x:c>
      <x:c r="R216" s="42" t="n">
        <x:f>MIN(P216,Q216)</x:f>
        <x:v>126576</x:v>
      </x:c>
      <x:c r="S216" s="42" t="n">
        <x:f>MAX(P216,Q216)</x:f>
        <x:v>143680</x:v>
      </x:c>
      <x:c r="T216" s="42" t="n">
        <x:f>MAX(R216,MIN(O216,S216))</x:f>
        <x:v>126576</x:v>
      </x:c>
      <x:c r="U216" s="19" t="str">
        <x:f>IF(O216&lt;R216,IF(R216=P216,"clamped_to_nominal","clamped_to_ppp"),IF(O216&gt;S216,IF(S216=P216,"clamped_to_nominal","clamped_to_ppp"),"kept_vanilla"))</x:f>
        <x:v>clamped_to_nominal</x:v>
      </x:c>
      <x:c r="V216" s="42" t="n">
        <x:f>T216*H216</x:f>
        <x:v>678061303200</x:v>
      </x:c>
      <x:c r="W216" s="42" t="n">
        <x:f>V216/F216</x:f>
        <x:v>779380808275.862</x:v>
      </x:c>
      <x:c r="X216" s="36" t="str">
        <x:v>IRL: UN WPP 2024 Medium exact 2026</x:v>
      </x:c>
      <x:c r="Y216" s="36" t="str">
        <x:v>IRL: IMF exact 2026</x:v>
      </x:c>
      <x:c r="Z216" s="36" t="str">
        <x:v>IRL: IMF exact 2026</x:v>
      </x:c>
      <x:c r="AA216" s="36" t="str">
        <x:v>complete_primary</x:v>
      </x:c>
      <x:c r="AB216" s="36" t="str">
        <x:v>https://www.un.org/development/desa/pd/world-population-prospects-2024</x:v>
      </x:c>
      <x:c r="AC216" s="36" t="str">
        <x:v>https://api.imf.org/external/sdmx/3.0/data/dataflow/IMF.RES/WEO/9.0.0/</x:v>
      </x:c>
      <x:c r="AD216" s="36" t="str">
        <x:v>https://api.worldbank.org/v2/</x:v>
      </x:c>
    </x:row>
    <x:row r="217">
      <x:c r="A217" s="24" t="str">
        <x:v>ISR</x:v>
      </x:c>
      <x:c r="B217" s="24" t="str">
        <x:v>Israel</x:v>
      </x:c>
      <x:c r="C217" s="24" t="str">
        <x:v>ISR</x:v>
      </x:c>
      <x:c r="D217" s="24" t="str">
        <x:v>ISR</x:v>
      </x:c>
      <x:c r="E217" s="24" t="n">
        <x:v>2003</x:v>
      </x:c>
      <x:c r="F217" s="37" t="n">
        <x:v>1.59</x:v>
      </x:c>
      <x:c r="G217" s="38" t="n">
        <x:v>6502820</x:v>
      </x:c>
      <x:c r="H217" s="38" t="n">
        <x:v>6502820</x:v>
      </x:c>
      <x:c r="I217" s="39" t="n">
        <x:f>H217/G217</x:f>
        <x:v>1</x:v>
      </x:c>
      <x:c r="J217" s="40" t="n">
        <x:f>(I217-1)*100</x:f>
        <x:v>0</x:v>
      </x:c>
      <x:c r="K217" s="36" t="str">
        <x:v>no</x:v>
      </x:c>
      <x:c r="L217" s="36" t="str">
        <x:v>Single-country territory; UN WPP and vanilla are within the ±5% review threshold.</x:v>
      </x:c>
      <x:c r="M217" s="41" t="n">
        <x:v>88264912281</x:v>
      </x:c>
      <x:c r="N217" s="41" t="n">
        <x:v>140341210527</x:v>
      </x:c>
      <x:c r="O217" s="41" t="n">
        <x:v>21582</x:v>
      </x:c>
      <x:c r="P217" s="41" t="n">
        <x:v>32099</x:v>
      </x:c>
      <x:c r="Q217" s="41" t="n">
        <x:v>36711</x:v>
      </x:c>
      <x:c r="R217" s="42" t="n">
        <x:f>MIN(P217,Q217)</x:f>
        <x:v>32099</x:v>
      </x:c>
      <x:c r="S217" s="42" t="n">
        <x:f>MAX(P217,Q217)</x:f>
        <x:v>36711</x:v>
      </x:c>
      <x:c r="T217" s="42" t="n">
        <x:f>MAX(R217,MIN(O217,S217))</x:f>
        <x:v>32099</x:v>
      </x:c>
      <x:c r="U217" s="19" t="str">
        <x:f>IF(O217&lt;R217,IF(R217=P217,"clamped_to_nominal","clamped_to_ppp"),IF(O217&gt;S217,IF(S217=P217,"clamped_to_nominal","clamped_to_ppp"),"kept_vanilla"))</x:f>
        <x:v>clamped_to_nominal</x:v>
      </x:c>
      <x:c r="V217" s="42" t="n">
        <x:f>T217*H217</x:f>
        <x:v>208734019180</x:v>
      </x:c>
      <x:c r="W217" s="42" t="n">
        <x:f>V217/F217</x:f>
        <x:v>131279257345.91194</x:v>
      </x:c>
      <x:c r="X217" s="36" t="str">
        <x:v>ISR: UN WPP 2024 Medium exact 2003</x:v>
      </x:c>
      <x:c r="Y217" s="36" t="str">
        <x:v>ISR: IMF exact 2003</x:v>
      </x:c>
      <x:c r="Z217" s="36" t="str">
        <x:v>ISR: IMF exact 2003</x:v>
      </x:c>
      <x:c r="AA217" s="36" t="str">
        <x:v>complete_primary</x:v>
      </x:c>
      <x:c r="AB217" s="36" t="str">
        <x:v>https://www.un.org/development/desa/pd/world-population-prospects-2024</x:v>
      </x:c>
      <x:c r="AC217" s="36" t="str">
        <x:v>https://api.imf.org/external/sdmx/3.0/data/dataflow/IMF.RES/WEO/9.0.0/</x:v>
      </x:c>
      <x:c r="AD217" s="36" t="str">
        <x:v>https://api.worldbank.org/v2/</x:v>
      </x:c>
    </x:row>
    <x:row r="218">
      <x:c r="A218" s="24" t="str">
        <x:v>ISR</x:v>
      </x:c>
      <x:c r="B218" s="24" t="str">
        <x:v>Israel</x:v>
      </x:c>
      <x:c r="C218" s="24" t="str">
        <x:v>ISR</x:v>
      </x:c>
      <x:c r="D218" s="24" t="str">
        <x:v>ISR</x:v>
      </x:c>
      <x:c r="E218" s="24" t="n">
        <x:v>2022</x:v>
      </x:c>
      <x:c r="F218" s="37" t="n">
        <x:v>1</x:v>
      </x:c>
      <x:c r="G218" s="38" t="n">
        <x:v>8964143</x:v>
      </x:c>
      <x:c r="H218" s="38" t="n">
        <x:v>9103151</x:v>
      </x:c>
      <x:c r="I218" s="39" t="n">
        <x:f>H218/G218</x:f>
        <x:v>1.0155071154041162</x:v>
      </x:c>
      <x:c r="J218" s="40" t="n">
        <x:f>(I218-1)*100</x:f>
        <x:v>1.55071154041162</x:v>
      </x:c>
      <x:c r="K218" s="36" t="str">
        <x:v>no</x:v>
      </x:c>
      <x:c r="L218" s="36" t="str">
        <x:v>Single-country territory; UN WPP and vanilla are within the ±5% review threshold.</x:v>
      </x:c>
      <x:c r="M218" s="41" t="n">
        <x:v>420648800000</x:v>
      </x:c>
      <x:c r="N218" s="41" t="n">
        <x:v>420648800000</x:v>
      </x:c>
      <x:c r="O218" s="41" t="n">
        <x:v>46926</x:v>
      </x:c>
      <x:c r="P218" s="41" t="n">
        <x:v>57690</x:v>
      </x:c>
      <x:c r="Q218" s="41" t="n">
        <x:v>54234</x:v>
      </x:c>
      <x:c r="R218" s="42" t="n">
        <x:f>MIN(P218,Q218)</x:f>
        <x:v>54234</x:v>
      </x:c>
      <x:c r="S218" s="42" t="n">
        <x:f>MAX(P218,Q218)</x:f>
        <x:v>57690</x:v>
      </x:c>
      <x:c r="T218" s="42" t="n">
        <x:f>MAX(R218,MIN(O218,S218))</x:f>
        <x:v>54234</x:v>
      </x:c>
      <x:c r="U218" s="19" t="str">
        <x:f>IF(O218&lt;R218,IF(R218=P218,"clamped_to_nominal","clamped_to_ppp"),IF(O218&gt;S218,IF(S218=P218,"clamped_to_nominal","clamped_to_ppp"),"kept_vanilla"))</x:f>
        <x:v>clamped_to_ppp</x:v>
      </x:c>
      <x:c r="V218" s="42" t="n">
        <x:f>T218*H218</x:f>
        <x:v>493700291334</x:v>
      </x:c>
      <x:c r="W218" s="42" t="n">
        <x:f>V218/F218</x:f>
        <x:v>493700291334</x:v>
      </x:c>
      <x:c r="X218" s="36" t="str">
        <x:v>ISR: UN WPP 2024 Medium exact 2022</x:v>
      </x:c>
      <x:c r="Y218" s="36" t="str">
        <x:v>ISR: IMF exact 2022</x:v>
      </x:c>
      <x:c r="Z218" s="36" t="str">
        <x:v>ISR: IMF exact 2022</x:v>
      </x:c>
      <x:c r="AA218" s="36" t="str">
        <x:v>complete_primary</x:v>
      </x:c>
      <x:c r="AB218" s="36" t="str">
        <x:v>https://www.un.org/development/desa/pd/world-population-prospects-2024</x:v>
      </x:c>
      <x:c r="AC218" s="36" t="str">
        <x:v>https://api.imf.org/external/sdmx/3.0/data/dataflow/IMF.RES/WEO/9.0.0/</x:v>
      </x:c>
      <x:c r="AD218" s="36" t="str">
        <x:v>https://api.worldbank.org/v2/</x:v>
      </x:c>
    </x:row>
    <x:row r="219">
      <x:c r="A219" s="24" t="str">
        <x:v>ISR</x:v>
      </x:c>
      <x:c r="B219" s="24" t="str">
        <x:v>Israel</x:v>
      </x:c>
      <x:c r="C219" s="24" t="str">
        <x:v>ISR</x:v>
      </x:c>
      <x:c r="D219" s="24" t="str">
        <x:v>ISR</x:v>
      </x:c>
      <x:c r="E219" s="24" t="n">
        <x:v>2026</x:v>
      </x:c>
      <x:c r="F219" s="37" t="n">
        <x:v>0.87</x:v>
      </x:c>
      <x:c r="G219" s="38" t="n">
        <x:v>9647689</x:v>
      </x:c>
      <x:c r="H219" s="38" t="n">
        <x:v>9647689</x:v>
      </x:c>
      <x:c r="I219" s="39" t="n">
        <x:f>H219/G219</x:f>
        <x:v>1</x:v>
      </x:c>
      <x:c r="J219" s="40" t="n">
        <x:f>(I219-1)*100</x:f>
        <x:v>0</x:v>
      </x:c>
      <x:c r="K219" s="36" t="str">
        <x:v>no</x:v>
      </x:c>
      <x:c r="L219" s="36" t="str">
        <x:v>Single-country territory; UN WPP and vanilla are within the ±5% review threshold.</x:v>
      </x:c>
      <x:c r="M219" s="41" t="n">
        <x:v>501586800000</x:v>
      </x:c>
      <x:c r="N219" s="41" t="n">
        <x:v>436380516000</x:v>
      </x:c>
      <x:c r="O219" s="41" t="n">
        <x:v>45232</x:v>
      </x:c>
      <x:c r="P219" s="41" t="n">
        <x:v>64914</x:v>
      </x:c>
      <x:c r="Q219" s="41" t="n">
        <x:v>54955</x:v>
      </x:c>
      <x:c r="R219" s="42" t="n">
        <x:f>MIN(P219,Q219)</x:f>
        <x:v>54955</x:v>
      </x:c>
      <x:c r="S219" s="42" t="n">
        <x:f>MAX(P219,Q219)</x:f>
        <x:v>64914</x:v>
      </x:c>
      <x:c r="T219" s="42" t="n">
        <x:f>MAX(R219,MIN(O219,S219))</x:f>
        <x:v>54955</x:v>
      </x:c>
      <x:c r="U219" s="19" t="str">
        <x:f>IF(O219&lt;R219,IF(R219=P219,"clamped_to_nominal","clamped_to_ppp"),IF(O219&gt;S219,IF(S219=P219,"clamped_to_nominal","clamped_to_ppp"),"kept_vanilla"))</x:f>
        <x:v>clamped_to_ppp</x:v>
      </x:c>
      <x:c r="V219" s="42" t="n">
        <x:f>T219*H219</x:f>
        <x:v>530188748995</x:v>
      </x:c>
      <x:c r="W219" s="42" t="n">
        <x:f>V219/F219</x:f>
        <x:v>609412355166.6666</x:v>
      </x:c>
      <x:c r="X219" s="36" t="str">
        <x:v>ISR: UN WPP 2024 Medium exact 2026</x:v>
      </x:c>
      <x:c r="Y219" s="36" t="str">
        <x:v>ISR: IMF exact 2026</x:v>
      </x:c>
      <x:c r="Z219" s="36" t="str">
        <x:v>ISR: IMF exact 2026</x:v>
      </x:c>
      <x:c r="AA219" s="36" t="str">
        <x:v>complete_primary</x:v>
      </x:c>
      <x:c r="AB219" s="36" t="str">
        <x:v>https://www.un.org/development/desa/pd/world-population-prospects-2024</x:v>
      </x:c>
      <x:c r="AC219" s="36" t="str">
        <x:v>https://api.imf.org/external/sdmx/3.0/data/dataflow/IMF.RES/WEO/9.0.0/</x:v>
      </x:c>
      <x:c r="AD219" s="36" t="str">
        <x:v>https://api.worldbank.org/v2/</x:v>
      </x:c>
    </x:row>
    <x:row r="220">
      <x:c r="A220" s="24" t="str">
        <x:v>ITA</x:v>
      </x:c>
      <x:c r="B220" s="24" t="str">
        <x:v>Italy</x:v>
      </x:c>
      <x:c r="C220" s="24" t="str">
        <x:v>ITA+MLT+SMR</x:v>
      </x:c>
      <x:c r="D220" s="24" t="str">
        <x:v>ITA+MLT+SMR</x:v>
      </x:c>
      <x:c r="E220" s="24" t="n">
        <x:v>2003</x:v>
      </x:c>
      <x:c r="F220" s="37" t="n">
        <x:v>1.59</x:v>
      </x:c>
      <x:c r="G220" s="38" t="n">
        <x:v>58147925</x:v>
      </x:c>
      <x:c r="H220" s="38" t="n">
        <x:v>58175768</x:v>
      </x:c>
      <x:c r="I220" s="39" t="n">
        <x:f>H220/G220</x:f>
        <x:v>1.0004788304999706</x:v>
      </x:c>
      <x:c r="J220" s="40" t="n">
        <x:f>(I220-1)*100</x:f>
        <x:v>0.04788304999705506</x:v>
      </x:c>
      <x:c r="K220" s="36" t="str">
        <x:v>no</x:v>
      </x:c>
      <x:c r="L220" s="36" t="str">
        <x:v>Aggregated all explicit game ISO components; reviewed as a composite game country rather than comparing it with only the first sovereign state.</x:v>
      </x:c>
      <x:c r="M220" s="41" t="n">
        <x:v>1140115204678</x:v>
      </x:c>
      <x:c r="N220" s="41" t="n">
        <x:v>1812783175438</x:v>
      </x:c>
      <x:c r="O220" s="41" t="n">
        <x:v>31175</x:v>
      </x:c>
      <x:c r="P220" s="41" t="n">
        <x:v>43440</x:v>
      </x:c>
      <x:c r="Q220" s="41" t="n">
        <x:v>53565</x:v>
      </x:c>
      <x:c r="R220" s="42" t="n">
        <x:f>MIN(P220,Q220)</x:f>
        <x:v>43440</x:v>
      </x:c>
      <x:c r="S220" s="42" t="n">
        <x:f>MAX(P220,Q220)</x:f>
        <x:v>53565</x:v>
      </x:c>
      <x:c r="T220" s="42" t="n">
        <x:f>MAX(R220,MIN(O220,S220))</x:f>
        <x:v>43440</x:v>
      </x:c>
      <x:c r="U220" s="19" t="str">
        <x:f>IF(O220&lt;R220,IF(R220=P220,"clamped_to_nominal","clamped_to_ppp"),IF(O220&gt;S220,IF(S220=P220,"clamped_to_nominal","clamped_to_ppp"),"kept_vanilla"))</x:f>
        <x:v>clamped_to_nominal</x:v>
      </x:c>
      <x:c r="V220" s="42" t="n">
        <x:f>T220*H220</x:f>
        <x:v>2527155361920</x:v>
      </x:c>
      <x:c r="W220" s="42" t="n">
        <x:f>V220/F220</x:f>
        <x:v>1589405888000</x:v>
      </x:c>
      <x:c r="X220" s="36" t="str">
        <x:v>ITA: UN WPP 2024 Medium exact 2003; MLT: UN WPP 2024 Medium exact 2003; SMR: UN WPP 2024 Medium exact 2003</x:v>
      </x:c>
      <x:c r="Y220" s="36" t="str">
        <x:v>ITA: IMF exact 2003; MLT: IMF exact 2003; SMR: IMF exact 2003</x:v>
      </x:c>
      <x:c r="Z220" s="36" t="str">
        <x:v>ITA: IMF exact 2003; MLT: IMF exact 2003; SMR: IMF exact 2003</x:v>
      </x:c>
      <x:c r="AA220" s="36" t="str">
        <x:v>complete_primary</x:v>
      </x:c>
      <x:c r="AB220" s="36" t="str">
        <x:v>https://www.un.org/development/desa/pd/world-population-prospects-2024</x:v>
      </x:c>
      <x:c r="AC220" s="36" t="str">
        <x:v>https://api.imf.org/external/sdmx/3.0/data/dataflow/IMF.RES/WEO/9.0.0/</x:v>
      </x:c>
      <x:c r="AD220" s="36" t="str">
        <x:v>https://api.worldbank.org/v2/</x:v>
      </x:c>
    </x:row>
    <x:row r="221">
      <x:c r="A221" s="24" t="str">
        <x:v>ITA</x:v>
      </x:c>
      <x:c r="B221" s="24" t="str">
        <x:v>Italy</x:v>
      </x:c>
      <x:c r="C221" s="24" t="str">
        <x:v>ITA+MLT+SMR</x:v>
      </x:c>
      <x:c r="D221" s="24" t="str">
        <x:v>ITA+MLT+SMR</x:v>
      </x:c>
      <x:c r="E221" s="24" t="n">
        <x:v>2022</x:v>
      </x:c>
      <x:c r="F221" s="37" t="n">
        <x:v>1</x:v>
      </x:c>
      <x:c r="G221" s="38" t="n">
        <x:v>60710045</x:v>
      </x:c>
      <x:c r="H221" s="38" t="n">
        <x:v>60181397</x:v>
      </x:c>
      <x:c r="I221" s="39" t="n">
        <x:f>H221/G221</x:f>
        <x:v>0.9912922482597402</x:v>
      </x:c>
      <x:c r="J221" s="40" t="n">
        <x:f>(I221-1)*100</x:f>
        <x:v>-0.8707751740259839</x:v>
      </x:c>
      <x:c r="K221" s="36" t="str">
        <x:v>no</x:v>
      </x:c>
      <x:c r="L221" s="36" t="str">
        <x:v>Aggregated all explicit game ISO components; reviewed as a composite game country rather than comparing it with only the first sovereign state.</x:v>
      </x:c>
      <x:c r="M221" s="41" t="n">
        <x:v>2646313080000</x:v>
      </x:c>
      <x:c r="N221" s="41" t="n">
        <x:v>2646313080000</x:v>
      </x:c>
      <x:c r="O221" s="41" t="n">
        <x:v>43589</x:v>
      </x:c>
      <x:c r="P221" s="41" t="n">
        <x:v>35335</x:v>
      </x:c>
      <x:c r="Q221" s="41" t="n">
        <x:v>56267</x:v>
      </x:c>
      <x:c r="R221" s="42" t="n">
        <x:f>MIN(P221,Q221)</x:f>
        <x:v>35335</x:v>
      </x:c>
      <x:c r="S221" s="42" t="n">
        <x:f>MAX(P221,Q221)</x:f>
        <x:v>56267</x:v>
      </x:c>
      <x:c r="T221" s="42" t="n">
        <x:f>MAX(R221,MIN(O221,S221))</x:f>
        <x:v>43589</x:v>
      </x:c>
      <x:c r="U221" s="19" t="str">
        <x:f>IF(O221&lt;R221,IF(R221=P221,"clamped_to_nominal","clamped_to_ppp"),IF(O221&gt;S221,IF(S221=P221,"clamped_to_nominal","clamped_to_ppp"),"kept_vanilla"))</x:f>
        <x:v>kept_vanilla</x:v>
      </x:c>
      <x:c r="V221" s="42" t="n">
        <x:f>T221*H221</x:f>
        <x:v>2623246913833</x:v>
      </x:c>
      <x:c r="W221" s="42" t="n">
        <x:f>V221/F221</x:f>
        <x:v>2623246913833</x:v>
      </x:c>
      <x:c r="X221" s="36" t="str">
        <x:v>ITA: UN WPP 2024 Medium exact 2022; MLT: UN WPP 2024 Medium exact 2022; SMR: UN WPP 2024 Medium exact 2022</x:v>
      </x:c>
      <x:c r="Y221" s="36" t="str">
        <x:v>ITA: IMF exact 2022; MLT: IMF exact 2022; SMR: IMF exact 2022</x:v>
      </x:c>
      <x:c r="Z221" s="36" t="str">
        <x:v>ITA: IMF exact 2022; MLT: IMF exact 2022; SMR: IMF exact 2022</x:v>
      </x:c>
      <x:c r="AA221" s="36" t="str">
        <x:v>complete_primary</x:v>
      </x:c>
      <x:c r="AB221" s="36" t="str">
        <x:v>https://www.un.org/development/desa/pd/world-population-prospects-2024</x:v>
      </x:c>
      <x:c r="AC221" s="36" t="str">
        <x:v>https://api.imf.org/external/sdmx/3.0/data/dataflow/IMF.RES/WEO/9.0.0/</x:v>
      </x:c>
      <x:c r="AD221" s="36" t="str">
        <x:v>https://api.worldbank.org/v2/</x:v>
      </x:c>
    </x:row>
    <x:row r="222">
      <x:c r="A222" s="24" t="str">
        <x:v>ITA</x:v>
      </x:c>
      <x:c r="B222" s="24" t="str">
        <x:v>Italy</x:v>
      </x:c>
      <x:c r="C222" s="24" t="str">
        <x:v>ITA+MLT+SMR</x:v>
      </x:c>
      <x:c r="D222" s="24" t="str">
        <x:v>ITA+MLT+SMR</x:v>
      </x:c>
      <x:c r="E222" s="24" t="n">
        <x:v>2026</x:v>
      </x:c>
      <x:c r="F222" s="37" t="n">
        <x:v>0.87</x:v>
      </x:c>
      <x:c r="G222" s="38" t="n">
        <x:v>59475177</x:v>
      </x:c>
      <x:c r="H222" s="38" t="n">
        <x:v>59508782</x:v>
      </x:c>
      <x:c r="I222" s="39" t="n">
        <x:f>H222/G222</x:f>
        <x:v>1.0005650256408654</x:v>
      </x:c>
      <x:c r="J222" s="40" t="n">
        <x:f>(I222-1)*100</x:f>
        <x:v>0.056502564086535756</x:v>
      </x:c>
      <x:c r="K222" s="36" t="str">
        <x:v>no</x:v>
      </x:c>
      <x:c r="L222" s="36" t="str">
        <x:v>Aggregated all explicit game ISO components; reviewed as a composite game country rather than comparing it with only the first sovereign state.</x:v>
      </x:c>
      <x:c r="M222" s="41" t="n">
        <x:v>3273838480000</x:v>
      </x:c>
      <x:c r="N222" s="41" t="n">
        <x:v>2848239477600</x:v>
      </x:c>
      <x:c r="O222" s="41" t="n">
        <x:v>47890</x:v>
      </x:c>
      <x:c r="P222" s="41" t="n">
        <x:v>40515</x:v>
      </x:c>
      <x:c r="Q222" s="41" t="n">
        <x:v>57341</x:v>
      </x:c>
      <x:c r="R222" s="42" t="n">
        <x:f>MIN(P222,Q222)</x:f>
        <x:v>40515</x:v>
      </x:c>
      <x:c r="S222" s="42" t="n">
        <x:f>MAX(P222,Q222)</x:f>
        <x:v>57341</x:v>
      </x:c>
      <x:c r="T222" s="42" t="n">
        <x:f>MAX(R222,MIN(O222,S222))</x:f>
        <x:v>47890</x:v>
      </x:c>
      <x:c r="U222" s="19" t="str">
        <x:f>IF(O222&lt;R222,IF(R222=P222,"clamped_to_nominal","clamped_to_ppp"),IF(O222&gt;S222,IF(S222=P222,"clamped_to_nominal","clamped_to_ppp"),"kept_vanilla"))</x:f>
        <x:v>kept_vanilla</x:v>
      </x:c>
      <x:c r="V222" s="42" t="n">
        <x:f>T222*H222</x:f>
        <x:v>2849875569980</x:v>
      </x:c>
      <x:c r="W222" s="42" t="n">
        <x:f>V222/F222</x:f>
        <x:v>3275719045954.023</x:v>
      </x:c>
      <x:c r="X222" s="36" t="str">
        <x:v>ITA: UN WPP 2024 Medium exact 2026; MLT: UN WPP 2024 Medium exact 2026; SMR: UN WPP 2024 Medium exact 2026</x:v>
      </x:c>
      <x:c r="Y222" s="36" t="str">
        <x:v>ITA: IMF exact 2026; MLT: IMF exact 2026; SMR: IMF exact 2026</x:v>
      </x:c>
      <x:c r="Z222" s="36" t="str">
        <x:v>ITA: IMF exact 2026; MLT: IMF exact 2026; SMR: IMF exact 2026</x:v>
      </x:c>
      <x:c r="AA222" s="36" t="str">
        <x:v>complete_primary</x:v>
      </x:c>
      <x:c r="AB222" s="36" t="str">
        <x:v>https://www.un.org/development/desa/pd/world-population-prospects-2024</x:v>
      </x:c>
      <x:c r="AC222" s="36" t="str">
        <x:v>https://api.imf.org/external/sdmx/3.0/data/dataflow/IMF.RES/WEO/9.0.0/</x:v>
      </x:c>
      <x:c r="AD222" s="36" t="str">
        <x:v>https://api.worldbank.org/v2/</x:v>
      </x:c>
    </x:row>
    <x:row r="223">
      <x:c r="A223" s="24" t="str">
        <x:v>IVO</x:v>
      </x:c>
      <x:c r="B223" s="24" t="str">
        <x:v>Ivory Coast</x:v>
      </x:c>
      <x:c r="C223" s="24" t="str">
        <x:v>CIV</x:v>
      </x:c>
      <x:c r="D223" s="24" t="str">
        <x:v>CIV</x:v>
      </x:c>
      <x:c r="E223" s="24" t="n">
        <x:v>2003</x:v>
      </x:c>
      <x:c r="F223" s="37" t="n">
        <x:v>1.59</x:v>
      </x:c>
      <x:c r="G223" s="38" t="n">
        <x:v>19125542</x:v>
      </x:c>
      <x:c r="H223" s="38" t="n">
        <x:v>19125542</x:v>
      </x:c>
      <x:c r="I223" s="39" t="n">
        <x:f>H223/G223</x:f>
        <x:v>1</x:v>
      </x:c>
      <x:c r="J223" s="40" t="n">
        <x:f>(I223-1)*100</x:f>
        <x:v>0</x:v>
      </x:c>
      <x:c r="K223" s="36" t="str">
        <x:v>no</x:v>
      </x:c>
      <x:c r="L223" s="36" t="str">
        <x:v>Single-country territory; UN WPP and vanilla are within the ±5% review threshold.</x:v>
      </x:c>
      <x:c r="M223" s="41" t="n">
        <x:v>31276608187</x:v>
      </x:c>
      <x:c r="N223" s="41" t="n">
        <x:v>49729807017</x:v>
      </x:c>
      <x:c r="O223" s="41" t="n">
        <x:v>2600</x:v>
      </x:c>
      <x:c r="P223" s="41" t="n">
        <x:v>1763</x:v>
      </x:c>
      <x:c r="Q223" s="41" t="n">
        <x:v>4446</x:v>
      </x:c>
      <x:c r="R223" s="42" t="n">
        <x:f>MIN(P223,Q223)</x:f>
        <x:v>1763</x:v>
      </x:c>
      <x:c r="S223" s="42" t="n">
        <x:f>MAX(P223,Q223)</x:f>
        <x:v>4446</x:v>
      </x:c>
      <x:c r="T223" s="42" t="n">
        <x:f>MAX(R223,MIN(O223,S223))</x:f>
        <x:v>2600</x:v>
      </x:c>
      <x:c r="U223" s="19" t="str">
        <x:f>IF(O223&lt;R223,IF(R223=P223,"clamped_to_nominal","clamped_to_ppp"),IF(O223&gt;S223,IF(S223=P223,"clamped_to_nominal","clamped_to_ppp"),"kept_vanilla"))</x:f>
        <x:v>kept_vanilla</x:v>
      </x:c>
      <x:c r="V223" s="42" t="n">
        <x:f>T223*H223</x:f>
        <x:v>49726409200</x:v>
      </x:c>
      <x:c r="W223" s="42" t="n">
        <x:f>V223/F223</x:f>
        <x:v>31274471194.96855</x:v>
      </x:c>
      <x:c r="X223" s="36" t="str">
        <x:v>CIV: UN WPP 2024 Medium exact 2003</x:v>
      </x:c>
      <x:c r="Y223" s="36" t="str">
        <x:v>CIV: IMF exact 2003</x:v>
      </x:c>
      <x:c r="Z223" s="36" t="str">
        <x:v>CIV: IMF exact 2003</x:v>
      </x:c>
      <x:c r="AA223" s="36" t="str">
        <x:v>complete_primary</x:v>
      </x:c>
      <x:c r="AB223" s="36" t="str">
        <x:v>https://www.un.org/development/desa/pd/world-population-prospects-2024</x:v>
      </x:c>
      <x:c r="AC223" s="36" t="str">
        <x:v>https://api.imf.org/external/sdmx/3.0/data/dataflow/IMF.RES/WEO/9.0.0/</x:v>
      </x:c>
      <x:c r="AD223" s="36" t="str">
        <x:v>https://api.worldbank.org/v2/</x:v>
      </x:c>
    </x:row>
    <x:row r="224">
      <x:c r="A224" s="24" t="str">
        <x:v>IVO</x:v>
      </x:c>
      <x:c r="B224" s="24" t="str">
        <x:v>Ivory Coast</x:v>
      </x:c>
      <x:c r="C224" s="24" t="str">
        <x:v>CIV</x:v>
      </x:c>
      <x:c r="D224" s="24" t="str">
        <x:v>CIV</x:v>
      </x:c>
      <x:c r="E224" s="24" t="n">
        <x:v>2022</x:v>
      </x:c>
      <x:c r="F224" s="37" t="n">
        <x:v>1</x:v>
      </x:c>
      <x:c r="G224" s="38" t="n">
        <x:v>27960211</x:v>
      </x:c>
      <x:c r="H224" s="38" t="n">
        <x:v>30395002</x:v>
      </x:c>
      <x:c r="I224" s="39" t="n">
        <x:f>H224/G224</x:f>
        <x:v>1.0870805660229101</x:v>
      </x:c>
      <x:c r="J224" s="40" t="n">
        <x:f>(I224-1)*100</x:f>
        <x:v>8.708056602291014</x:v>
      </x:c>
      <x:c r="K224" s="36" t="str">
        <x:v>yes — reviewed</x:v>
      </x:c>
      <x:c r="L224" s="36" t="str">
        <x:v>Single-country game territory and UN country/area boundary align. The difference is an updated historical estimate/projection vintage, not a geographic-scope mismatch; accept the UN WPP value for a consistent source vintage.</x:v>
      </x:c>
      <x:c r="M224" s="41" t="n">
        <x:v>158451920000</x:v>
      </x:c>
      <x:c r="N224" s="41" t="n">
        <x:v>158451920000</x:v>
      </x:c>
      <x:c r="O224" s="41" t="n">
        <x:v>5667</x:v>
      </x:c>
      <x:c r="P224" s="41" t="n">
        <x:v>2338</x:v>
      </x:c>
      <x:c r="Q224" s="41" t="n">
        <x:v>6718</x:v>
      </x:c>
      <x:c r="R224" s="42" t="n">
        <x:f>MIN(P224,Q224)</x:f>
        <x:v>2338</x:v>
      </x:c>
      <x:c r="S224" s="42" t="n">
        <x:f>MAX(P224,Q224)</x:f>
        <x:v>6718</x:v>
      </x:c>
      <x:c r="T224" s="42" t="n">
        <x:f>MAX(R224,MIN(O224,S224))</x:f>
        <x:v>5667</x:v>
      </x:c>
      <x:c r="U224" s="19" t="str">
        <x:f>IF(O224&lt;R224,IF(R224=P224,"clamped_to_nominal","clamped_to_ppp"),IF(O224&gt;S224,IF(S224=P224,"clamped_to_nominal","clamped_to_ppp"),"kept_vanilla"))</x:f>
        <x:v>kept_vanilla</x:v>
      </x:c>
      <x:c r="V224" s="42" t="n">
        <x:f>T224*H224</x:f>
        <x:v>172248476334</x:v>
      </x:c>
      <x:c r="W224" s="42" t="n">
        <x:f>V224/F224</x:f>
        <x:v>172248476334</x:v>
      </x:c>
      <x:c r="X224" s="36" t="str">
        <x:v>CIV: UN WPP 2024 Medium exact 2022</x:v>
      </x:c>
      <x:c r="Y224" s="36" t="str">
        <x:v>CIV: IMF exact 2022</x:v>
      </x:c>
      <x:c r="Z224" s="36" t="str">
        <x:v>CIV: IMF exact 2022</x:v>
      </x:c>
      <x:c r="AA224" s="36" t="str">
        <x:v>complete_primary</x:v>
      </x:c>
      <x:c r="AB224" s="36" t="str">
        <x:v>https://www.un.org/development/desa/pd/world-population-prospects-2024</x:v>
      </x:c>
      <x:c r="AC224" s="36" t="str">
        <x:v>https://api.imf.org/external/sdmx/3.0/data/dataflow/IMF.RES/WEO/9.0.0/</x:v>
      </x:c>
      <x:c r="AD224" s="36" t="str">
        <x:v>https://api.worldbank.org/v2/</x:v>
      </x:c>
    </x:row>
    <x:row r="225">
      <x:c r="A225" s="24" t="str">
        <x:v>IVO</x:v>
      </x:c>
      <x:c r="B225" s="24" t="str">
        <x:v>Ivory Coast</x:v>
      </x:c>
      <x:c r="C225" s="24" t="str">
        <x:v>CIV</x:v>
      </x:c>
      <x:c r="D225" s="24" t="str">
        <x:v>CIV</x:v>
      </x:c>
      <x:c r="E225" s="24" t="n">
        <x:v>2026</x:v>
      </x:c>
      <x:c r="F225" s="37" t="n">
        <x:v>0.87</x:v>
      </x:c>
      <x:c r="G225" s="38" t="n">
        <x:v>33494346</x:v>
      </x:c>
      <x:c r="H225" s="38" t="n">
        <x:v>33494346</x:v>
      </x:c>
      <x:c r="I225" s="39" t="n">
        <x:f>H225/G225</x:f>
        <x:v>1</x:v>
      </x:c>
      <x:c r="J225" s="40" t="n">
        <x:f>(I225-1)*100</x:f>
        <x:v>0</x:v>
      </x:c>
      <x:c r="K225" s="36" t="str">
        <x:v>no</x:v>
      </x:c>
      <x:c r="L225" s="36" t="str">
        <x:v>Single-country territory; UN WPP and vanilla are within the ±5% review threshold.</x:v>
      </x:c>
      <x:c r="M225" s="41" t="n">
        <x:v>234812160000</x:v>
      </x:c>
      <x:c r="N225" s="41" t="n">
        <x:v>204286579200</x:v>
      </x:c>
      <x:c r="O225" s="41" t="n">
        <x:v>6099</x:v>
      </x:c>
      <x:c r="P225" s="41" t="n">
        <x:v>2912</x:v>
      </x:c>
      <x:c r="Q225" s="41" t="n">
        <x:v>7622</x:v>
      </x:c>
      <x:c r="R225" s="42" t="n">
        <x:f>MIN(P225,Q225)</x:f>
        <x:v>2912</x:v>
      </x:c>
      <x:c r="S225" s="42" t="n">
        <x:f>MAX(P225,Q225)</x:f>
        <x:v>7622</x:v>
      </x:c>
      <x:c r="T225" s="42" t="n">
        <x:f>MAX(R225,MIN(O225,S225))</x:f>
        <x:v>6099</x:v>
      </x:c>
      <x:c r="U225" s="19" t="str">
        <x:f>IF(O225&lt;R225,IF(R225=P225,"clamped_to_nominal","clamped_to_ppp"),IF(O225&gt;S225,IF(S225=P225,"clamped_to_nominal","clamped_to_ppp"),"kept_vanilla"))</x:f>
        <x:v>kept_vanilla</x:v>
      </x:c>
      <x:c r="V225" s="42" t="n">
        <x:f>T225*H225</x:f>
        <x:v>204282016254</x:v>
      </x:c>
      <x:c r="W225" s="42" t="n">
        <x:f>V225/F225</x:f>
        <x:v>234806915234.48276</x:v>
      </x:c>
      <x:c r="X225" s="36" t="str">
        <x:v>CIV: UN WPP 2024 Medium exact 2026</x:v>
      </x:c>
      <x:c r="Y225" s="36" t="str">
        <x:v>CIV: IMF exact 2026</x:v>
      </x:c>
      <x:c r="Z225" s="36" t="str">
        <x:v>CIV: IMF exact 2026</x:v>
      </x:c>
      <x:c r="AA225" s="36" t="str">
        <x:v>complete_primary</x:v>
      </x:c>
      <x:c r="AB225" s="36" t="str">
        <x:v>https://www.un.org/development/desa/pd/world-population-prospects-2024</x:v>
      </x:c>
      <x:c r="AC225" s="36" t="str">
        <x:v>https://api.imf.org/external/sdmx/3.0/data/dataflow/IMF.RES/WEO/9.0.0/</x:v>
      </x:c>
      <x:c r="AD225" s="36" t="str">
        <x:v>https://api.worldbank.org/v2/</x:v>
      </x:c>
    </x:row>
    <x:row r="226">
      <x:c r="A226" s="24" t="str">
        <x:v>JAM</x:v>
      </x:c>
      <x:c r="B226" s="24" t="str">
        <x:v>Jamaica</x:v>
      </x:c>
      <x:c r="C226" s="24" t="str">
        <x:v>JAM</x:v>
      </x:c>
      <x:c r="D226" s="24" t="str">
        <x:v>JAM</x:v>
      </x:c>
      <x:c r="E226" s="24" t="n">
        <x:v>2003</x:v>
      </x:c>
      <x:c r="F226" s="37" t="n">
        <x:v>1.59</x:v>
      </x:c>
      <x:c r="G226" s="38" t="n">
        <x:v>2656623</x:v>
      </x:c>
      <x:c r="H226" s="38" t="n">
        <x:v>2656623</x:v>
      </x:c>
      <x:c r="I226" s="39" t="n">
        <x:f>H226/G226</x:f>
        <x:v>1</x:v>
      </x:c>
      <x:c r="J226" s="40" t="n">
        <x:f>(I226-1)*100</x:f>
        <x:v>0</x:v>
      </x:c>
      <x:c r="K226" s="36" t="str">
        <x:v>no</x:v>
      </x:c>
      <x:c r="L226" s="36" t="str">
        <x:v>Single-country territory; UN WPP and vanilla are within the ±5% review threshold.</x:v>
      </x:c>
      <x:c r="M226" s="41" t="n">
        <x:v>11785964912</x:v>
      </x:c>
      <x:c r="N226" s="41" t="n">
        <x:v>18739684210</x:v>
      </x:c>
      <x:c r="O226" s="41" t="n">
        <x:v>7054</x:v>
      </x:c>
      <x:c r="P226" s="41" t="n">
        <x:v>5791</x:v>
      </x:c>
      <x:c r="Q226" s="41" t="n">
        <x:v>12429</x:v>
      </x:c>
      <x:c r="R226" s="42" t="n">
        <x:f>MIN(P226,Q226)</x:f>
        <x:v>5791</x:v>
      </x:c>
      <x:c r="S226" s="42" t="n">
        <x:f>MAX(P226,Q226)</x:f>
        <x:v>12429</x:v>
      </x:c>
      <x:c r="T226" s="42" t="n">
        <x:f>MAX(R226,MIN(O226,S226))</x:f>
        <x:v>7054</x:v>
      </x:c>
      <x:c r="U226" s="19" t="str">
        <x:f>IF(O226&lt;R226,IF(R226=P226,"clamped_to_nominal","clamped_to_ppp"),IF(O226&gt;S226,IF(S226=P226,"clamped_to_nominal","clamped_to_ppp"),"kept_vanilla"))</x:f>
        <x:v>kept_vanilla</x:v>
      </x:c>
      <x:c r="V226" s="42" t="n">
        <x:f>T226*H226</x:f>
        <x:v>18739818642</x:v>
      </x:c>
      <x:c r="W226" s="42" t="n">
        <x:f>V226/F226</x:f>
        <x:v>11786049460.377357</x:v>
      </x:c>
      <x:c r="X226" s="36" t="str">
        <x:v>JAM: UN WPP 2024 Medium exact 2003</x:v>
      </x:c>
      <x:c r="Y226" s="36" t="str">
        <x:v>JAM: IMF exact 2003</x:v>
      </x:c>
      <x:c r="Z226" s="36" t="str">
        <x:v>JAM: IMF exact 2003</x:v>
      </x:c>
      <x:c r="AA226" s="36" t="str">
        <x:v>complete_primary</x:v>
      </x:c>
      <x:c r="AB226" s="36" t="str">
        <x:v>https://www.un.org/development/desa/pd/world-population-prospects-2024</x:v>
      </x:c>
      <x:c r="AC226" s="36" t="str">
        <x:v>https://api.imf.org/external/sdmx/3.0/data/dataflow/IMF.RES/WEO/9.0.0/</x:v>
      </x:c>
      <x:c r="AD226" s="36" t="str">
        <x:v>https://api.worldbank.org/v2/</x:v>
      </x:c>
    </x:row>
    <x:row r="227">
      <x:c r="A227" s="24" t="str">
        <x:v>JAM</x:v>
      </x:c>
      <x:c r="B227" s="24" t="str">
        <x:v>Jamaica</x:v>
      </x:c>
      <x:c r="C227" s="24" t="str">
        <x:v>JAM</x:v>
      </x:c>
      <x:c r="D227" s="24" t="str">
        <x:v>JAM</x:v>
      </x:c>
      <x:c r="E227" s="24" t="n">
        <x:v>2022</x:v>
      </x:c>
      <x:c r="F227" s="37" t="n">
        <x:v>1</x:v>
      </x:c>
      <x:c r="G227" s="38" t="n">
        <x:v>2988631</x:v>
      </x:c>
      <x:c r="H227" s="38" t="n">
        <x:v>2839144</x:v>
      </x:c>
      <x:c r="I227" s="39" t="n">
        <x:f>H227/G227</x:f>
        <x:v>0.9499814463545349</x:v>
      </x:c>
      <x:c r="J227" s="40" t="n">
        <x:f>(I227-1)*100</x:f>
        <x:v>-5.001855364546515</x:v>
      </x:c>
      <x:c r="K227" s="36" t="str">
        <x:v>yes — reviewed</x:v>
      </x:c>
      <x:c r="L227" s="36" t="str">
        <x:v>Single-country game territory and UN country/area boundary align. The difference is an updated historical estimate/projection vintage, not a geographic-scope mismatch; accept the UN WPP value for a consistent source vintage.</x:v>
      </x:c>
      <x:c r="M227" s="41" t="n">
        <x:v>28492640000</x:v>
      </x:c>
      <x:c r="N227" s="41" t="n">
        <x:v>28492640000</x:v>
      </x:c>
      <x:c r="O227" s="41" t="n">
        <x:v>9534</x:v>
      </x:c>
      <x:c r="P227" s="41" t="n">
        <x:v>6590</x:v>
      </x:c>
      <x:c r="Q227" s="41" t="n">
        <x:v>11886</x:v>
      </x:c>
      <x:c r="R227" s="42" t="n">
        <x:f>MIN(P227,Q227)</x:f>
        <x:v>6590</x:v>
      </x:c>
      <x:c r="S227" s="42" t="n">
        <x:f>MAX(P227,Q227)</x:f>
        <x:v>11886</x:v>
      </x:c>
      <x:c r="T227" s="42" t="n">
        <x:f>MAX(R227,MIN(O227,S227))</x:f>
        <x:v>9534</x:v>
      </x:c>
      <x:c r="U227" s="19" t="str">
        <x:f>IF(O227&lt;R227,IF(R227=P227,"clamped_to_nominal","clamped_to_ppp"),IF(O227&gt;S227,IF(S227=P227,"clamped_to_nominal","clamped_to_ppp"),"kept_vanilla"))</x:f>
        <x:v>kept_vanilla</x:v>
      </x:c>
      <x:c r="V227" s="42" t="n">
        <x:f>T227*H227</x:f>
        <x:v>27068398896</x:v>
      </x:c>
      <x:c r="W227" s="42" t="n">
        <x:f>V227/F227</x:f>
        <x:v>27068398896</x:v>
      </x:c>
      <x:c r="X227" s="36" t="str">
        <x:v>JAM: UN WPP 2024 Medium exact 2022</x:v>
      </x:c>
      <x:c r="Y227" s="36" t="str">
        <x:v>JAM: IMF exact 2022</x:v>
      </x:c>
      <x:c r="Z227" s="36" t="str">
        <x:v>JAM: IMF exact 2022</x:v>
      </x:c>
      <x:c r="AA227" s="36" t="str">
        <x:v>complete_primary</x:v>
      </x:c>
      <x:c r="AB227" s="36" t="str">
        <x:v>https://www.un.org/development/desa/pd/world-population-prospects-2024</x:v>
      </x:c>
      <x:c r="AC227" s="36" t="str">
        <x:v>https://api.imf.org/external/sdmx/3.0/data/dataflow/IMF.RES/WEO/9.0.0/</x:v>
      </x:c>
      <x:c r="AD227" s="36" t="str">
        <x:v>https://api.worldbank.org/v2/</x:v>
      </x:c>
    </x:row>
    <x:row r="228">
      <x:c r="A228" s="24" t="str">
        <x:v>JAM</x:v>
      </x:c>
      <x:c r="B228" s="24" t="str">
        <x:v>Jamaica</x:v>
      </x:c>
      <x:c r="C228" s="24" t="str">
        <x:v>JAM</x:v>
      </x:c>
      <x:c r="D228" s="24" t="str">
        <x:v>JAM</x:v>
      </x:c>
      <x:c r="E228" s="24" t="n">
        <x:v>2026</x:v>
      </x:c>
      <x:c r="F228" s="37" t="n">
        <x:v>0.87</x:v>
      </x:c>
      <x:c r="G228" s="38" t="n">
        <x:v>2833404</x:v>
      </x:c>
      <x:c r="H228" s="38" t="n">
        <x:v>2833403</x:v>
      </x:c>
      <x:c r="I228" s="39" t="n">
        <x:f>H228/G228</x:f>
        <x:v>0.9999996470676261</x:v>
      </x:c>
      <x:c r="J228" s="40" t="n">
        <x:f>(I228-1)*100</x:f>
        <x:v>-0.000035293237388156484</x:v>
      </x:c>
      <x:c r="K228" s="36" t="str">
        <x:v>no</x:v>
      </x:c>
      <x:c r="L228" s="36" t="str">
        <x:v>Single-country territory; UN WPP and vanilla are within the ±5% review threshold.</x:v>
      </x:c>
      <x:c r="M228" s="41" t="n">
        <x:v>30514880000</x:v>
      </x:c>
      <x:c r="N228" s="41" t="n">
        <x:v>26547945600</x:v>
      </x:c>
      <x:c r="O228" s="41" t="n">
        <x:v>9370</x:v>
      </x:c>
      <x:c r="P228" s="41" t="n">
        <x:v>7071</x:v>
      </x:c>
      <x:c r="Q228" s="41" t="n">
        <x:v>11760</x:v>
      </x:c>
      <x:c r="R228" s="42" t="n">
        <x:f>MIN(P228,Q228)</x:f>
        <x:v>7071</x:v>
      </x:c>
      <x:c r="S228" s="42" t="n">
        <x:f>MAX(P228,Q228)</x:f>
        <x:v>11760</x:v>
      </x:c>
      <x:c r="T228" s="42" t="n">
        <x:f>MAX(R228,MIN(O228,S228))</x:f>
        <x:v>9370</x:v>
      </x:c>
      <x:c r="U228" s="19" t="str">
        <x:f>IF(O228&lt;R228,IF(R228=P228,"clamped_to_nominal","clamped_to_ppp"),IF(O228&gt;S228,IF(S228=P228,"clamped_to_nominal","clamped_to_ppp"),"kept_vanilla"))</x:f>
        <x:v>kept_vanilla</x:v>
      </x:c>
      <x:c r="V228" s="42" t="n">
        <x:f>T228*H228</x:f>
        <x:v>26548986110</x:v>
      </x:c>
      <x:c r="W228" s="42" t="n">
        <x:f>V228/F228</x:f>
        <x:v>30516075988.50575</x:v>
      </x:c>
      <x:c r="X228" s="36" t="str">
        <x:v>JAM: UN WPP 2024 Medium exact 2026</x:v>
      </x:c>
      <x:c r="Y228" s="36" t="str">
        <x:v>JAM: IMF exact 2026</x:v>
      </x:c>
      <x:c r="Z228" s="36" t="str">
        <x:v>JAM: IMF exact 2026</x:v>
      </x:c>
      <x:c r="AA228" s="36" t="str">
        <x:v>complete_primary</x:v>
      </x:c>
      <x:c r="AB228" s="36" t="str">
        <x:v>https://www.un.org/development/desa/pd/world-population-prospects-2024</x:v>
      </x:c>
      <x:c r="AC228" s="36" t="str">
        <x:v>https://api.imf.org/external/sdmx/3.0/data/dataflow/IMF.RES/WEO/9.0.0/</x:v>
      </x:c>
      <x:c r="AD228" s="36" t="str">
        <x:v>https://api.worldbank.org/v2/</x:v>
      </x:c>
    </x:row>
    <x:row r="229">
      <x:c r="A229" s="24" t="str">
        <x:v>JPN</x:v>
      </x:c>
      <x:c r="B229" s="24" t="str">
        <x:v>Japan</x:v>
      </x:c>
      <x:c r="C229" s="24" t="str">
        <x:v>JPN</x:v>
      </x:c>
      <x:c r="D229" s="24" t="str">
        <x:v>JPN</x:v>
      </x:c>
      <x:c r="E229" s="24" t="n">
        <x:v>2003</x:v>
      </x:c>
      <x:c r="F229" s="37" t="n">
        <x:v>1.59</x:v>
      </x:c>
      <x:c r="G229" s="38" t="n">
        <x:v>128582015</x:v>
      </x:c>
      <x:c r="H229" s="38" t="n">
        <x:v>127671251</x:v>
      </x:c>
      <x:c r="I229" s="39" t="n">
        <x:f>H229/G229</x:f>
        <x:v>0.9929168632176125</x:v>
      </x:c>
      <x:c r="J229" s="40" t="n">
        <x:f>(I229-1)*100</x:f>
        <x:v>-0.7083136782387478</x:v>
      </x:c>
      <x:c r="K229" s="36" t="str">
        <x:v>no</x:v>
      </x:c>
      <x:c r="L229" s="36" t="str">
        <x:v>Single-country territory; UN WPP and vanilla are within the ±5% review threshold.</x:v>
      </x:c>
      <x:c r="M229" s="41" t="n">
        <x:v>2115683625731</x:v>
      </x:c>
      <x:c r="N229" s="41" t="n">
        <x:v>3363936964912</x:v>
      </x:c>
      <x:c r="O229" s="41" t="n">
        <x:v>26162</x:v>
      </x:c>
      <x:c r="P229" s="41" t="n">
        <x:v>56957</x:v>
      </x:c>
      <x:c r="Q229" s="41" t="n">
        <x:v>45578</x:v>
      </x:c>
      <x:c r="R229" s="42" t="n">
        <x:f>MIN(P229,Q229)</x:f>
        <x:v>45578</x:v>
      </x:c>
      <x:c r="S229" s="42" t="n">
        <x:f>MAX(P229,Q229)</x:f>
        <x:v>56957</x:v>
      </x:c>
      <x:c r="T229" s="42" t="n">
        <x:f>MAX(R229,MIN(O229,S229))</x:f>
        <x:v>45578</x:v>
      </x:c>
      <x:c r="U229" s="19" t="str">
        <x:f>IF(O229&lt;R229,IF(R229=P229,"clamped_to_nominal","clamped_to_ppp"),IF(O229&gt;S229,IF(S229=P229,"clamped_to_nominal","clamped_to_ppp"),"kept_vanilla"))</x:f>
        <x:v>clamped_to_ppp</x:v>
      </x:c>
      <x:c r="V229" s="42" t="n">
        <x:f>T229*H229</x:f>
        <x:v>5819000278078</x:v>
      </x:c>
      <x:c r="W229" s="42" t="n">
        <x:f>V229/F229</x:f>
        <x:v>3659748602564.78</x:v>
      </x:c>
      <x:c r="X229" s="36" t="str">
        <x:v>JPN: UN WPP 2024 Medium exact 2003</x:v>
      </x:c>
      <x:c r="Y229" s="36" t="str">
        <x:v>JPN: IMF exact 2003</x:v>
      </x:c>
      <x:c r="Z229" s="36" t="str">
        <x:v>JPN: IMF exact 2003</x:v>
      </x:c>
      <x:c r="AA229" s="36" t="str">
        <x:v>complete_primary</x:v>
      </x:c>
      <x:c r="AB229" s="36" t="str">
        <x:v>https://www.un.org/development/desa/pd/world-population-prospects-2024</x:v>
      </x:c>
      <x:c r="AC229" s="36" t="str">
        <x:v>https://api.imf.org/external/sdmx/3.0/data/dataflow/IMF.RES/WEO/9.0.0/</x:v>
      </x:c>
      <x:c r="AD229" s="36" t="str">
        <x:v>https://api.worldbank.org/v2/</x:v>
      </x:c>
    </x:row>
    <x:row r="230">
      <x:c r="A230" s="24" t="str">
        <x:v>JPN</x:v>
      </x:c>
      <x:c r="B230" s="24" t="str">
        <x:v>Japan</x:v>
      </x:c>
      <x:c r="C230" s="24" t="str">
        <x:v>JPN</x:v>
      </x:c>
      <x:c r="D230" s="24" t="str">
        <x:v>JPN</x:v>
      </x:c>
      <x:c r="E230" s="24" t="n">
        <x:v>2022</x:v>
      </x:c>
      <x:c r="F230" s="37" t="n">
        <x:v>1</x:v>
      </x:c>
      <x:c r="G230" s="38" t="n">
        <x:v>126337001</x:v>
      </x:c>
      <x:c r="H230" s="38" t="n">
        <x:v>124997578</x:v>
      </x:c>
      <x:c r="I230" s="39" t="n">
        <x:f>H230/G230</x:f>
        <x:v>0.9893980149172609</x:v>
      </x:c>
      <x:c r="J230" s="40" t="n">
        <x:f>(I230-1)*100</x:f>
        <x:v>-1.060198508273913</x:v>
      </x:c>
      <x:c r="K230" s="36" t="str">
        <x:v>no</x:v>
      </x:c>
      <x:c r="L230" s="36" t="str">
        <x:v>Single-country territory; UN WPP and vanilla are within the ±5% review threshold.</x:v>
      </x:c>
      <x:c r="M230" s="41" t="n">
        <x:v>5376866000000</x:v>
      </x:c>
      <x:c r="N230" s="41" t="n">
        <x:v>5376866000000</x:v>
      </x:c>
      <x:c r="O230" s="41" t="n">
        <x:v>42560</x:v>
      </x:c>
      <x:c r="P230" s="41" t="n">
        <x:v>35584</x:v>
      </x:c>
      <x:c r="Q230" s="41" t="n">
        <x:v>50465</x:v>
      </x:c>
      <x:c r="R230" s="42" t="n">
        <x:f>MIN(P230,Q230)</x:f>
        <x:v>35584</x:v>
      </x:c>
      <x:c r="S230" s="42" t="n">
        <x:f>MAX(P230,Q230)</x:f>
        <x:v>50465</x:v>
      </x:c>
      <x:c r="T230" s="42" t="n">
        <x:f>MAX(R230,MIN(O230,S230))</x:f>
        <x:v>42560</x:v>
      </x:c>
      <x:c r="U230" s="19" t="str">
        <x:f>IF(O230&lt;R230,IF(R230=P230,"clamped_to_nominal","clamped_to_ppp"),IF(O230&gt;S230,IF(S230=P230,"clamped_to_nominal","clamped_to_ppp"),"kept_vanilla"))</x:f>
        <x:v>kept_vanilla</x:v>
      </x:c>
      <x:c r="V230" s="42" t="n">
        <x:f>T230*H230</x:f>
        <x:v>5319896919680</x:v>
      </x:c>
      <x:c r="W230" s="42" t="n">
        <x:f>V230/F230</x:f>
        <x:v>5319896919680</x:v>
      </x:c>
      <x:c r="X230" s="36" t="str">
        <x:v>JPN: UN WPP 2024 Medium exact 2022</x:v>
      </x:c>
      <x:c r="Y230" s="36" t="str">
        <x:v>JPN: IMF exact 2022</x:v>
      </x:c>
      <x:c r="Z230" s="36" t="str">
        <x:v>JPN: IMF exact 2022</x:v>
      </x:c>
      <x:c r="AA230" s="36" t="str">
        <x:v>complete_primary</x:v>
      </x:c>
      <x:c r="AB230" s="36" t="str">
        <x:v>https://www.un.org/development/desa/pd/world-population-prospects-2024</x:v>
      </x:c>
      <x:c r="AC230" s="36" t="str">
        <x:v>https://api.imf.org/external/sdmx/3.0/data/dataflow/IMF.RES/WEO/9.0.0/</x:v>
      </x:c>
      <x:c r="AD230" s="36" t="str">
        <x:v>https://api.worldbank.org/v2/</x:v>
      </x:c>
    </x:row>
    <x:row r="231">
      <x:c r="A231" s="24" t="str">
        <x:v>JPN</x:v>
      </x:c>
      <x:c r="B231" s="24" t="str">
        <x:v>Japan</x:v>
      </x:c>
      <x:c r="C231" s="24" t="str">
        <x:v>JPN</x:v>
      </x:c>
      <x:c r="D231" s="24" t="str">
        <x:v>JPN</x:v>
      </x:c>
      <x:c r="E231" s="24" t="n">
        <x:v>2026</x:v>
      </x:c>
      <x:c r="F231" s="37" t="n">
        <x:v>0.87</x:v>
      </x:c>
      <x:c r="G231" s="38" t="n">
        <x:v>123301089</x:v>
      </x:c>
      <x:c r="H231" s="38" t="n">
        <x:v>122427731</x:v>
      </x:c>
      <x:c r="I231" s="39" t="n">
        <x:f>H231/G231</x:f>
        <x:v>0.992916867100825</x:v>
      </x:c>
      <x:c r="J231" s="40" t="n">
        <x:f>(I231-1)*100</x:f>
        <x:v>-0.7083132899174949</x:v>
      </x:c>
      <x:c r="K231" s="36" t="str">
        <x:v>no</x:v>
      </x:c>
      <x:c r="L231" s="36" t="str">
        <x:v>Single-country territory; UN WPP and vanilla are within the ±5% review threshold.</x:v>
      </x:c>
      <x:c r="M231" s="41" t="n">
        <x:v>5947243280000</x:v>
      </x:c>
      <x:c r="N231" s="41" t="n">
        <x:v>5174101653600</x:v>
      </x:c>
      <x:c r="O231" s="41" t="n">
        <x:v>41963</x:v>
      </x:c>
      <x:c r="P231" s="41" t="n">
        <x:v>31120</x:v>
      </x:c>
      <x:c r="Q231" s="41" t="n">
        <x:v>51607</x:v>
      </x:c>
      <x:c r="R231" s="42" t="n">
        <x:f>MIN(P231,Q231)</x:f>
        <x:v>31120</x:v>
      </x:c>
      <x:c r="S231" s="42" t="n">
        <x:f>MAX(P231,Q231)</x:f>
        <x:v>51607</x:v>
      </x:c>
      <x:c r="T231" s="42" t="n">
        <x:f>MAX(R231,MIN(O231,S231))</x:f>
        <x:v>41963</x:v>
      </x:c>
      <x:c r="U231" s="19" t="str">
        <x:f>IF(O231&lt;R231,IF(R231=P231,"clamped_to_nominal","clamped_to_ppp"),IF(O231&gt;S231,IF(S231=P231,"clamped_to_nominal","clamped_to_ppp"),"kept_vanilla"))</x:f>
        <x:v>kept_vanilla</x:v>
      </x:c>
      <x:c r="V231" s="42" t="n">
        <x:f>T231*H231</x:f>
        <x:v>5137434875953</x:v>
      </x:c>
      <x:c r="W231" s="42" t="n">
        <x:f>V231/F231</x:f>
        <x:v>5905097558566.667</x:v>
      </x:c>
      <x:c r="X231" s="36" t="str">
        <x:v>JPN: UN WPP 2024 Medium exact 2026</x:v>
      </x:c>
      <x:c r="Y231" s="36" t="str">
        <x:v>JPN: IMF exact 2026</x:v>
      </x:c>
      <x:c r="Z231" s="36" t="str">
        <x:v>JPN: IMF exact 2026</x:v>
      </x:c>
      <x:c r="AA231" s="36" t="str">
        <x:v>complete_primary</x:v>
      </x:c>
      <x:c r="AB231" s="36" t="str">
        <x:v>https://www.un.org/development/desa/pd/world-population-prospects-2024</x:v>
      </x:c>
      <x:c r="AC231" s="36" t="str">
        <x:v>https://api.imf.org/external/sdmx/3.0/data/dataflow/IMF.RES/WEO/9.0.0/</x:v>
      </x:c>
      <x:c r="AD231" s="36" t="str">
        <x:v>https://api.worldbank.org/v2/</x:v>
      </x:c>
    </x:row>
    <x:row r="232">
      <x:c r="A232" s="24" t="str">
        <x:v>JOR</x:v>
      </x:c>
      <x:c r="B232" s="24" t="str">
        <x:v>Jordan</x:v>
      </x:c>
      <x:c r="C232" s="24" t="str">
        <x:v>JOR</x:v>
      </x:c>
      <x:c r="D232" s="24" t="str">
        <x:v>JOR</x:v>
      </x:c>
      <x:c r="E232" s="24" t="n">
        <x:v>2003</x:v>
      </x:c>
      <x:c r="F232" s="37" t="n">
        <x:v>1.59</x:v>
      </x:c>
      <x:c r="G232" s="38" t="n">
        <x:v>5741828</x:v>
      </x:c>
      <x:c r="H232" s="38" t="n">
        <x:v>5741828</x:v>
      </x:c>
      <x:c r="I232" s="39" t="n">
        <x:f>H232/G232</x:f>
        <x:v>1</x:v>
      </x:c>
      <x:c r="J232" s="40" t="n">
        <x:f>(I232-1)*100</x:f>
        <x:v>0</x:v>
      </x:c>
      <x:c r="K232" s="36" t="str">
        <x:v>no</x:v>
      </x:c>
      <x:c r="L232" s="36" t="str">
        <x:v>Single-country territory; UN WPP and vanilla are within the ±5% review threshold.</x:v>
      </x:c>
      <x:c r="M232" s="41" t="n">
        <x:v>22336257310</x:v>
      </x:c>
      <x:c r="N232" s="41" t="n">
        <x:v>35514649123</x:v>
      </x:c>
      <x:c r="O232" s="41" t="n">
        <x:v>6185</x:v>
      </x:c>
      <x:c r="P232" s="41" t="n">
        <x:v>3235</x:v>
      </x:c>
      <x:c r="Q232" s="41" t="n">
        <x:v>11389</x:v>
      </x:c>
      <x:c r="R232" s="42" t="n">
        <x:f>MIN(P232,Q232)</x:f>
        <x:v>3235</x:v>
      </x:c>
      <x:c r="S232" s="42" t="n">
        <x:f>MAX(P232,Q232)</x:f>
        <x:v>11389</x:v>
      </x:c>
      <x:c r="T232" s="42" t="n">
        <x:f>MAX(R232,MIN(O232,S232))</x:f>
        <x:v>6185</x:v>
      </x:c>
      <x:c r="U232" s="19" t="str">
        <x:f>IF(O232&lt;R232,IF(R232=P232,"clamped_to_nominal","clamped_to_ppp"),IF(O232&gt;S232,IF(S232=P232,"clamped_to_nominal","clamped_to_ppp"),"kept_vanilla"))</x:f>
        <x:v>kept_vanilla</x:v>
      </x:c>
      <x:c r="V232" s="42" t="n">
        <x:f>T232*H232</x:f>
        <x:v>35513206180</x:v>
      </x:c>
      <x:c r="W232" s="42" t="n">
        <x:f>V232/F232</x:f>
        <x:v>22335349798.742138</x:v>
      </x:c>
      <x:c r="X232" s="36" t="str">
        <x:v>JOR: UN WPP 2024 Medium exact 2003</x:v>
      </x:c>
      <x:c r="Y232" s="36" t="str">
        <x:v>JOR: IMF exact 2003</x:v>
      </x:c>
      <x:c r="Z232" s="36" t="str">
        <x:v>JOR: IMF exact 2003</x:v>
      </x:c>
      <x:c r="AA232" s="36" t="str">
        <x:v>complete_primary</x:v>
      </x:c>
      <x:c r="AB232" s="36" t="str">
        <x:v>https://www.un.org/development/desa/pd/world-population-prospects-2024</x:v>
      </x:c>
      <x:c r="AC232" s="36" t="str">
        <x:v>https://api.imf.org/external/sdmx/3.0/data/dataflow/IMF.RES/WEO/9.0.0/</x:v>
      </x:c>
      <x:c r="AD232" s="36" t="str">
        <x:v>https://api.worldbank.org/v2/</x:v>
      </x:c>
    </x:row>
    <x:row r="233">
      <x:c r="A233" s="24" t="str">
        <x:v>JOR</x:v>
      </x:c>
      <x:c r="B233" s="24" t="str">
        <x:v>Jordan</x:v>
      </x:c>
      <x:c r="C233" s="24" t="str">
        <x:v>JOR</x:v>
      </x:c>
      <x:c r="D233" s="24" t="str">
        <x:v>JOR</x:v>
      </x:c>
      <x:c r="E233" s="24" t="n">
        <x:v>2022</x:v>
      </x:c>
      <x:c r="F233" s="37" t="n">
        <x:v>1</x:v>
      </x:c>
      <x:c r="G233" s="38" t="n">
        <x:v>10305281</x:v>
      </x:c>
      <x:c r="H233" s="38" t="n">
        <x:v>11256263</x:v>
      </x:c>
      <x:c r="I233" s="39" t="n">
        <x:f>H233/G233</x:f>
        <x:v>1.0922810353254802</x:v>
      </x:c>
      <x:c r="J233" s="40" t="n">
        <x:f>(I233-1)*100</x:f>
        <x:v>9.228103532548015</x:v>
      </x:c>
      <x:c r="K233" s="36" t="str">
        <x:v>yes — reviewed</x:v>
      </x:c>
      <x:c r="L233" s="36" t="str">
        <x:v>Single-country game territory and UN country/area boundary align. The difference is an updated historical estimate/projection vintage, not a geographic-scope mismatch; accept the UN WPP value for a consistent source vintage.</x:v>
      </x:c>
      <x:c r="M233" s="41" t="n">
        <x:v>107518400000</x:v>
      </x:c>
      <x:c r="N233" s="41" t="n">
        <x:v>107518400000</x:v>
      </x:c>
      <x:c r="O233" s="41" t="n">
        <x:v>10433</x:v>
      </x:c>
      <x:c r="P233" s="41" t="n">
        <x:v>4761</x:v>
      </x:c>
      <x:c r="Q233" s="41" t="n">
        <x:v>10881</x:v>
      </x:c>
      <x:c r="R233" s="42" t="n">
        <x:f>MIN(P233,Q233)</x:f>
        <x:v>4761</x:v>
      </x:c>
      <x:c r="S233" s="42" t="n">
        <x:f>MAX(P233,Q233)</x:f>
        <x:v>10881</x:v>
      </x:c>
      <x:c r="T233" s="42" t="n">
        <x:f>MAX(R233,MIN(O233,S233))</x:f>
        <x:v>10433</x:v>
      </x:c>
      <x:c r="U233" s="19" t="str">
        <x:f>IF(O233&lt;R233,IF(R233=P233,"clamped_to_nominal","clamped_to_ppp"),IF(O233&gt;S233,IF(S233=P233,"clamped_to_nominal","clamped_to_ppp"),"kept_vanilla"))</x:f>
        <x:v>kept_vanilla</x:v>
      </x:c>
      <x:c r="V233" s="42" t="n">
        <x:f>T233*H233</x:f>
        <x:v>117436591879</x:v>
      </x:c>
      <x:c r="W233" s="42" t="n">
        <x:f>V233/F233</x:f>
        <x:v>117436591879</x:v>
      </x:c>
      <x:c r="X233" s="36" t="str">
        <x:v>JOR: UN WPP 2024 Medium exact 2022</x:v>
      </x:c>
      <x:c r="Y233" s="36" t="str">
        <x:v>JOR: IMF exact 2022</x:v>
      </x:c>
      <x:c r="Z233" s="36" t="str">
        <x:v>JOR: IMF exact 2022</x:v>
      </x:c>
      <x:c r="AA233" s="36" t="str">
        <x:v>complete_primary</x:v>
      </x:c>
      <x:c r="AB233" s="36" t="str">
        <x:v>https://www.un.org/development/desa/pd/world-population-prospects-2024</x:v>
      </x:c>
      <x:c r="AC233" s="36" t="str">
        <x:v>https://api.imf.org/external/sdmx/3.0/data/dataflow/IMF.RES/WEO/9.0.0/</x:v>
      </x:c>
      <x:c r="AD233" s="36" t="str">
        <x:v>https://api.worldbank.org/v2/</x:v>
      </x:c>
    </x:row>
    <x:row r="234">
      <x:c r="A234" s="24" t="str">
        <x:v>JOR</x:v>
      </x:c>
      <x:c r="B234" s="24" t="str">
        <x:v>Jordan</x:v>
      </x:c>
      <x:c r="C234" s="24" t="str">
        <x:v>JOR</x:v>
      </x:c>
      <x:c r="D234" s="24" t="str">
        <x:v>JOR</x:v>
      </x:c>
      <x:c r="E234" s="24" t="n">
        <x:v>2026</x:v>
      </x:c>
      <x:c r="F234" s="37" t="n">
        <x:v>0.87</x:v>
      </x:c>
      <x:c r="G234" s="38" t="n">
        <x:v>11589533</x:v>
      </x:c>
      <x:c r="H234" s="38" t="n">
        <x:v>11589532</x:v>
      </x:c>
      <x:c r="I234" s="39" t="n">
        <x:f>H234/G234</x:f>
        <x:v>0.9999999137152463</x:v>
      </x:c>
      <x:c r="J234" s="40" t="n">
        <x:f>(I234-1)*100</x:f>
        <x:v>-0.000008628475367533639</x:v>
      </x:c>
      <x:c r="K234" s="36" t="str">
        <x:v>no</x:v>
      </x:c>
      <x:c r="L234" s="36" t="str">
        <x:v>Single-country territory; UN WPP and vanilla are within the ±5% review threshold.</x:v>
      </x:c>
      <x:c r="M234" s="41" t="n">
        <x:v>115875760000</x:v>
      </x:c>
      <x:c r="N234" s="41" t="n">
        <x:v>100811911200</x:v>
      </x:c>
      <x:c r="O234" s="41" t="n">
        <x:v>8699</x:v>
      </x:c>
      <x:c r="P234" s="41" t="n">
        <x:v>4873</x:v>
      </x:c>
      <x:c r="Q234" s="41" t="n">
        <x:v>11534</x:v>
      </x:c>
      <x:c r="R234" s="42" t="n">
        <x:f>MIN(P234,Q234)</x:f>
        <x:v>4873</x:v>
      </x:c>
      <x:c r="S234" s="42" t="n">
        <x:f>MAX(P234,Q234)</x:f>
        <x:v>11534</x:v>
      </x:c>
      <x:c r="T234" s="42" t="n">
        <x:f>MAX(R234,MIN(O234,S234))</x:f>
        <x:v>8699</x:v>
      </x:c>
      <x:c r="U234" s="19" t="str">
        <x:f>IF(O234&lt;R234,IF(R234=P234,"clamped_to_nominal","clamped_to_ppp"),IF(O234&gt;S234,IF(S234=P234,"clamped_to_nominal","clamped_to_ppp"),"kept_vanilla"))</x:f>
        <x:v>kept_vanilla</x:v>
      </x:c>
      <x:c r="V234" s="42" t="n">
        <x:f>T234*H234</x:f>
        <x:v>100817338868</x:v>
      </x:c>
      <x:c r="W234" s="42" t="n">
        <x:f>V234/F234</x:f>
        <x:v>115881998698.85057</x:v>
      </x:c>
      <x:c r="X234" s="36" t="str">
        <x:v>JOR: UN WPP 2024 Medium exact 2026</x:v>
      </x:c>
      <x:c r="Y234" s="36" t="str">
        <x:v>JOR: IMF exact 2026</x:v>
      </x:c>
      <x:c r="Z234" s="36" t="str">
        <x:v>JOR: IMF exact 2026</x:v>
      </x:c>
      <x:c r="AA234" s="36" t="str">
        <x:v>complete_primary</x:v>
      </x:c>
      <x:c r="AB234" s="36" t="str">
        <x:v>https://www.un.org/development/desa/pd/world-population-prospects-2024</x:v>
      </x:c>
      <x:c r="AC234" s="36" t="str">
        <x:v>https://api.imf.org/external/sdmx/3.0/data/dataflow/IMF.RES/WEO/9.0.0/</x:v>
      </x:c>
      <x:c r="AD234" s="36" t="str">
        <x:v>https://api.worldbank.org/v2/</x:v>
      </x:c>
    </x:row>
    <x:row r="235">
      <x:c r="A235" s="24" t="str">
        <x:v>KAZ</x:v>
      </x:c>
      <x:c r="B235" s="24" t="str">
        <x:v>Kazakhstan</x:v>
      </x:c>
      <x:c r="C235" s="24" t="str">
        <x:v>KAZ</x:v>
      </x:c>
      <x:c r="D235" s="24" t="str">
        <x:v>KAZ</x:v>
      </x:c>
      <x:c r="E235" s="24" t="n">
        <x:v>2003</x:v>
      </x:c>
      <x:c r="F235" s="37" t="n">
        <x:v>1.59</x:v>
      </x:c>
      <x:c r="G235" s="38" t="n">
        <x:v>15747380</x:v>
      </x:c>
      <x:c r="H235" s="38" t="n">
        <x:v>15747380</x:v>
      </x:c>
      <x:c r="I235" s="39" t="n">
        <x:f>H235/G235</x:f>
        <x:v>1</x:v>
      </x:c>
      <x:c r="J235" s="40" t="n">
        <x:f>(I235-1)*100</x:f>
        <x:v>0</x:v>
      </x:c>
      <x:c r="K235" s="36" t="str">
        <x:v>no</x:v>
      </x:c>
      <x:c r="L235" s="36" t="str">
        <x:v>Single-country territory; UN WPP and vanilla are within the ±5% review threshold.</x:v>
      </x:c>
      <x:c r="M235" s="41" t="n">
        <x:v>93819883041</x:v>
      </x:c>
      <x:c r="N235" s="41" t="n">
        <x:v>149173614035</x:v>
      </x:c>
      <x:c r="O235" s="41" t="n">
        <x:v>9473</x:v>
      </x:c>
      <x:c r="P235" s="41" t="n">
        <x:v>3113</x:v>
      </x:c>
      <x:c r="Q235" s="41" t="n">
        <x:v>16199</x:v>
      </x:c>
      <x:c r="R235" s="42" t="n">
        <x:f>MIN(P235,Q235)</x:f>
        <x:v>3113</x:v>
      </x:c>
      <x:c r="S235" s="42" t="n">
        <x:f>MAX(P235,Q235)</x:f>
        <x:v>16199</x:v>
      </x:c>
      <x:c r="T235" s="42" t="n">
        <x:f>MAX(R235,MIN(O235,S235))</x:f>
        <x:v>9473</x:v>
      </x:c>
      <x:c r="U235" s="19" t="str">
        <x:f>IF(O235&lt;R235,IF(R235=P235,"clamped_to_nominal","clamped_to_ppp"),IF(O235&gt;S235,IF(S235=P235,"clamped_to_nominal","clamped_to_ppp"),"kept_vanilla"))</x:f>
        <x:v>kept_vanilla</x:v>
      </x:c>
      <x:c r="V235" s="42" t="n">
        <x:f>T235*H235</x:f>
        <x:v>149174930740</x:v>
      </x:c>
      <x:c r="W235" s="42" t="n">
        <x:f>V235/F235</x:f>
        <x:v>93820711157.2327</x:v>
      </x:c>
      <x:c r="X235" s="36" t="str">
        <x:v>KAZ: UN WPP 2024 Medium exact 2003</x:v>
      </x:c>
      <x:c r="Y235" s="36" t="str">
        <x:v>KAZ: IMF exact 2003</x:v>
      </x:c>
      <x:c r="Z235" s="36" t="str">
        <x:v>KAZ: IMF exact 2003</x:v>
      </x:c>
      <x:c r="AA235" s="36" t="str">
        <x:v>complete_primary</x:v>
      </x:c>
      <x:c r="AB235" s="36" t="str">
        <x:v>https://www.un.org/development/desa/pd/world-population-prospects-2024</x:v>
      </x:c>
      <x:c r="AC235" s="36" t="str">
        <x:v>https://api.imf.org/external/sdmx/3.0/data/dataflow/IMF.RES/WEO/9.0.0/</x:v>
      </x:c>
      <x:c r="AD235" s="36" t="str">
        <x:v>https://api.worldbank.org/v2/</x:v>
      </x:c>
    </x:row>
    <x:row r="236">
      <x:c r="A236" s="24" t="str">
        <x:v>KAZ</x:v>
      </x:c>
      <x:c r="B236" s="24" t="str">
        <x:v>Kazakhstan</x:v>
      </x:c>
      <x:c r="C236" s="24" t="str">
        <x:v>KAZ</x:v>
      </x:c>
      <x:c r="D236" s="24" t="str">
        <x:v>KAZ</x:v>
      </x:c>
      <x:c r="E236" s="24" t="n">
        <x:v>2022</x:v>
      </x:c>
      <x:c r="F236" s="37" t="n">
        <x:v>1</x:v>
      </x:c>
      <x:c r="G236" s="38" t="n">
        <x:v>19270456</x:v>
      </x:c>
      <x:c r="H236" s="38" t="n">
        <x:v>20034609</x:v>
      </x:c>
      <x:c r="I236" s="39" t="n">
        <x:f>H236/G236</x:f>
        <x:v>1.039654121313995</x:v>
      </x:c>
      <x:c r="J236" s="40" t="n">
        <x:f>(I236-1)*100</x:f>
        <x:v>3.965412131399493</x:v>
      </x:c>
      <x:c r="K236" s="36" t="str">
        <x:v>no</x:v>
      </x:c>
      <x:c r="L236" s="36" t="str">
        <x:v>Single-country territory; UN WPP and vanilla are within the ±5% review threshold.</x:v>
      </x:c>
      <x:c r="M236" s="41" t="n">
        <x:v>519525600000</x:v>
      </x:c>
      <x:c r="N236" s="41" t="n">
        <x:v>519525600000</x:v>
      </x:c>
      <x:c r="O236" s="41" t="n">
        <x:v>26960</x:v>
      </x:c>
      <x:c r="P236" s="41" t="n">
        <x:v>11255</x:v>
      </x:c>
      <x:c r="Q236" s="41" t="n">
        <x:v>35889</x:v>
      </x:c>
      <x:c r="R236" s="42" t="n">
        <x:f>MIN(P236,Q236)</x:f>
        <x:v>11255</x:v>
      </x:c>
      <x:c r="S236" s="42" t="n">
        <x:f>MAX(P236,Q236)</x:f>
        <x:v>35889</x:v>
      </x:c>
      <x:c r="T236" s="42" t="n">
        <x:f>MAX(R236,MIN(O236,S236))</x:f>
        <x:v>26960</x:v>
      </x:c>
      <x:c r="U236" s="19" t="str">
        <x:f>IF(O236&lt;R236,IF(R236=P236,"clamped_to_nominal","clamped_to_ppp"),IF(O236&gt;S236,IF(S236=P236,"clamped_to_nominal","clamped_to_ppp"),"kept_vanilla"))</x:f>
        <x:v>kept_vanilla</x:v>
      </x:c>
      <x:c r="V236" s="42" t="n">
        <x:f>T236*H236</x:f>
        <x:v>540133058640</x:v>
      </x:c>
      <x:c r="W236" s="42" t="n">
        <x:f>V236/F236</x:f>
        <x:v>540133058640</x:v>
      </x:c>
      <x:c r="X236" s="36" t="str">
        <x:v>KAZ: UN WPP 2024 Medium exact 2022</x:v>
      </x:c>
      <x:c r="Y236" s="36" t="str">
        <x:v>KAZ: IMF exact 2022</x:v>
      </x:c>
      <x:c r="Z236" s="36" t="str">
        <x:v>KAZ: IMF exact 2022</x:v>
      </x:c>
      <x:c r="AA236" s="36" t="str">
        <x:v>complete_primary</x:v>
      </x:c>
      <x:c r="AB236" s="36" t="str">
        <x:v>https://www.un.org/development/desa/pd/world-population-prospects-2024</x:v>
      </x:c>
      <x:c r="AC236" s="36" t="str">
        <x:v>https://api.imf.org/external/sdmx/3.0/data/dataflow/IMF.RES/WEO/9.0.0/</x:v>
      </x:c>
      <x:c r="AD236" s="36" t="str">
        <x:v>https://api.worldbank.org/v2/</x:v>
      </x:c>
    </x:row>
    <x:row r="237">
      <x:c r="A237" s="24" t="str">
        <x:v>KAZ</x:v>
      </x:c>
      <x:c r="B237" s="24" t="str">
        <x:v>Kazakhstan</x:v>
      </x:c>
      <x:c r="C237" s="24" t="str">
        <x:v>KAZ</x:v>
      </x:c>
      <x:c r="D237" s="24" t="str">
        <x:v>KAZ</x:v>
      </x:c>
      <x:c r="E237" s="24" t="n">
        <x:v>2026</x:v>
      </x:c>
      <x:c r="F237" s="37" t="n">
        <x:v>0.87</x:v>
      </x:c>
      <x:c r="G237" s="38" t="n">
        <x:v>21083626</x:v>
      </x:c>
      <x:c r="H237" s="38" t="n">
        <x:v>21083626</x:v>
      </x:c>
      <x:c r="I237" s="39" t="n">
        <x:f>H237/G237</x:f>
        <x:v>1</x:v>
      </x:c>
      <x:c r="J237" s="40" t="n">
        <x:f>(I237-1)*100</x:f>
        <x:v>0</x:v>
      </x:c>
      <x:c r="K237" s="36" t="str">
        <x:v>no</x:v>
      </x:c>
      <x:c r="L237" s="36" t="str">
        <x:v>Single-country territory; UN WPP and vanilla are within the ±5% review threshold.</x:v>
      </x:c>
      <x:c r="M237" s="41" t="n">
        <x:v>795956480000</x:v>
      </x:c>
      <x:c r="N237" s="41" t="n">
        <x:v>692482137600</x:v>
      </x:c>
      <x:c r="O237" s="41" t="n">
        <x:v>32845</x:v>
      </x:c>
      <x:c r="P237" s="41" t="n">
        <x:v>14874</x:v>
      </x:c>
      <x:c r="Q237" s="41" t="n">
        <x:v>41003</x:v>
      </x:c>
      <x:c r="R237" s="42" t="n">
        <x:f>MIN(P237,Q237)</x:f>
        <x:v>14874</x:v>
      </x:c>
      <x:c r="S237" s="42" t="n">
        <x:f>MAX(P237,Q237)</x:f>
        <x:v>41003</x:v>
      </x:c>
      <x:c r="T237" s="42" t="n">
        <x:f>MAX(R237,MIN(O237,S237))</x:f>
        <x:v>32845</x:v>
      </x:c>
      <x:c r="U237" s="19" t="str">
        <x:f>IF(O237&lt;R237,IF(R237=P237,"clamped_to_nominal","clamped_to_ppp"),IF(O237&gt;S237,IF(S237=P237,"clamped_to_nominal","clamped_to_ppp"),"kept_vanilla"))</x:f>
        <x:v>kept_vanilla</x:v>
      </x:c>
      <x:c r="V237" s="42" t="n">
        <x:f>T237*H237</x:f>
        <x:v>692491695970</x:v>
      </x:c>
      <x:c r="W237" s="42" t="n">
        <x:f>V237/F237</x:f>
        <x:v>795967466632.184</x:v>
      </x:c>
      <x:c r="X237" s="36" t="str">
        <x:v>KAZ: UN WPP 2024 Medium exact 2026</x:v>
      </x:c>
      <x:c r="Y237" s="36" t="str">
        <x:v>KAZ: IMF exact 2026</x:v>
      </x:c>
      <x:c r="Z237" s="36" t="str">
        <x:v>KAZ: IMF exact 2026</x:v>
      </x:c>
      <x:c r="AA237" s="36" t="str">
        <x:v>complete_primary</x:v>
      </x:c>
      <x:c r="AB237" s="36" t="str">
        <x:v>https://www.un.org/development/desa/pd/world-population-prospects-2024</x:v>
      </x:c>
      <x:c r="AC237" s="36" t="str">
        <x:v>https://api.imf.org/external/sdmx/3.0/data/dataflow/IMF.RES/WEO/9.0.0/</x:v>
      </x:c>
      <x:c r="AD237" s="36" t="str">
        <x:v>https://api.worldbank.org/v2/</x:v>
      </x:c>
    </x:row>
    <x:row r="238">
      <x:c r="A238" s="24" t="str">
        <x:v>KEN</x:v>
      </x:c>
      <x:c r="B238" s="24" t="str">
        <x:v>Kenya</x:v>
      </x:c>
      <x:c r="C238" s="24" t="str">
        <x:v>KEN</x:v>
      </x:c>
      <x:c r="D238" s="24" t="str">
        <x:v>KEN</x:v>
      </x:c>
      <x:c r="E238" s="24" t="n">
        <x:v>2003</x:v>
      </x:c>
      <x:c r="F238" s="37" t="n">
        <x:v>1.59</x:v>
      </x:c>
      <x:c r="G238" s="38" t="n">
        <x:v>33652223</x:v>
      </x:c>
      <x:c r="H238" s="38" t="n">
        <x:v>33652223</x:v>
      </x:c>
      <x:c r="I238" s="39" t="n">
        <x:f>H238/G238</x:f>
        <x:v>1</x:v>
      </x:c>
      <x:c r="J238" s="40" t="n">
        <x:f>(I238-1)*100</x:f>
        <x:v>0</x:v>
      </x:c>
      <x:c r="K238" s="36" t="str">
        <x:v>no</x:v>
      </x:c>
      <x:c r="L238" s="36" t="str">
        <x:v>Single-country territory; UN WPP and vanilla are within the ±5% review threshold.</x:v>
      </x:c>
      <x:c r="M238" s="41" t="n">
        <x:v>48605263158</x:v>
      </x:c>
      <x:c r="N238" s="41" t="n">
        <x:v>77282368421</x:v>
      </x:c>
      <x:c r="O238" s="41" t="n">
        <x:v>2297</x:v>
      </x:c>
      <x:c r="P238" s="41" t="n">
        <x:v>1011</x:v>
      </x:c>
      <x:c r="Q238" s="41" t="n">
        <x:v>3927</x:v>
      </x:c>
      <x:c r="R238" s="42" t="n">
        <x:f>MIN(P238,Q238)</x:f>
        <x:v>1011</x:v>
      </x:c>
      <x:c r="S238" s="42" t="n">
        <x:f>MAX(P238,Q238)</x:f>
        <x:v>3927</x:v>
      </x:c>
      <x:c r="T238" s="42" t="n">
        <x:f>MAX(R238,MIN(O238,S238))</x:f>
        <x:v>2297</x:v>
      </x:c>
      <x:c r="U238" s="19" t="str">
        <x:f>IF(O238&lt;R238,IF(R238=P238,"clamped_to_nominal","clamped_to_ppp"),IF(O238&gt;S238,IF(S238=P238,"clamped_to_nominal","clamped_to_ppp"),"kept_vanilla"))</x:f>
        <x:v>kept_vanilla</x:v>
      </x:c>
      <x:c r="V238" s="42" t="n">
        <x:f>T238*H238</x:f>
        <x:v>77299156231</x:v>
      </x:c>
      <x:c r="W238" s="42" t="n">
        <x:f>V238/F238</x:f>
        <x:v>48615821528.93082</x:v>
      </x:c>
      <x:c r="X238" s="36" t="str">
        <x:v>KEN: UN WPP 2024 Medium exact 2003</x:v>
      </x:c>
      <x:c r="Y238" s="36" t="str">
        <x:v>KEN: IMF exact 2003</x:v>
      </x:c>
      <x:c r="Z238" s="36" t="str">
        <x:v>KEN: IMF exact 2003</x:v>
      </x:c>
      <x:c r="AA238" s="36" t="str">
        <x:v>complete_primary</x:v>
      </x:c>
      <x:c r="AB238" s="36" t="str">
        <x:v>https://www.un.org/development/desa/pd/world-population-prospects-2024</x:v>
      </x:c>
      <x:c r="AC238" s="36" t="str">
        <x:v>https://api.imf.org/external/sdmx/3.0/data/dataflow/IMF.RES/WEO/9.0.0/</x:v>
      </x:c>
      <x:c r="AD238" s="36" t="str">
        <x:v>https://api.worldbank.org/v2/</x:v>
      </x:c>
    </x:row>
    <x:row r="239">
      <x:c r="A239" s="24" t="str">
        <x:v>KEN</x:v>
      </x:c>
      <x:c r="B239" s="24" t="str">
        <x:v>Kenya</x:v>
      </x:c>
      <x:c r="C239" s="24" t="str">
        <x:v>KEN</x:v>
      </x:c>
      <x:c r="D239" s="24" t="str">
        <x:v>KEN</x:v>
      </x:c>
      <x:c r="E239" s="24" t="n">
        <x:v>2022</x:v>
      </x:c>
      <x:c r="F239" s="37" t="n">
        <x:v>1</x:v>
      </x:c>
      <x:c r="G239" s="38" t="n">
        <x:v>56602375</x:v>
      </x:c>
      <x:c r="H239" s="38" t="n">
        <x:v>54252461</x:v>
      </x:c>
      <x:c r="I239" s="39" t="n">
        <x:f>H239/G239</x:f>
        <x:v>0.9584838268712222</x:v>
      </x:c>
      <x:c r="J239" s="40" t="n">
        <x:f>(I239-1)*100</x:f>
        <x:v>-4.151617312877775</x:v>
      </x:c>
      <x:c r="K239" s="36" t="str">
        <x:v>no</x:v>
      </x:c>
      <x:c r="L239" s="36" t="str">
        <x:v>Single-country territory; UN WPP and vanilla are within the ±5% review threshold.</x:v>
      </x:c>
      <x:c r="M239" s="41" t="n">
        <x:v>271630480000</x:v>
      </x:c>
      <x:c r="N239" s="41" t="n">
        <x:v>271630480000</x:v>
      </x:c>
      <x:c r="O239" s="41" t="n">
        <x:v>4799</x:v>
      </x:c>
      <x:c r="P239" s="41" t="n">
        <x:v>2115</x:v>
      </x:c>
      <x:c r="Q239" s="41" t="n">
        <x:v>5882</x:v>
      </x:c>
      <x:c r="R239" s="42" t="n">
        <x:f>MIN(P239,Q239)</x:f>
        <x:v>2115</x:v>
      </x:c>
      <x:c r="S239" s="42" t="n">
        <x:f>MAX(P239,Q239)</x:f>
        <x:v>5882</x:v>
      </x:c>
      <x:c r="T239" s="42" t="n">
        <x:f>MAX(R239,MIN(O239,S239))</x:f>
        <x:v>4799</x:v>
      </x:c>
      <x:c r="U239" s="19" t="str">
        <x:f>IF(O239&lt;R239,IF(R239=P239,"clamped_to_nominal","clamped_to_ppp"),IF(O239&gt;S239,IF(S239=P239,"clamped_to_nominal","clamped_to_ppp"),"kept_vanilla"))</x:f>
        <x:v>kept_vanilla</x:v>
      </x:c>
      <x:c r="V239" s="42" t="n">
        <x:f>T239*H239</x:f>
        <x:v>260357560339</x:v>
      </x:c>
      <x:c r="W239" s="42" t="n">
        <x:f>V239/F239</x:f>
        <x:v>260357560339</x:v>
      </x:c>
      <x:c r="X239" s="36" t="str">
        <x:v>KEN: UN WPP 2024 Medium exact 2022</x:v>
      </x:c>
      <x:c r="Y239" s="36" t="str">
        <x:v>KEN: IMF exact 2022</x:v>
      </x:c>
      <x:c r="Z239" s="36" t="str">
        <x:v>KEN: IMF exact 2022</x:v>
      </x:c>
      <x:c r="AA239" s="36" t="str">
        <x:v>complete_primary</x:v>
      </x:c>
      <x:c r="AB239" s="36" t="str">
        <x:v>https://www.un.org/development/desa/pd/world-population-prospects-2024</x:v>
      </x:c>
      <x:c r="AC239" s="36" t="str">
        <x:v>https://api.imf.org/external/sdmx/3.0/data/dataflow/IMF.RES/WEO/9.0.0/</x:v>
      </x:c>
      <x:c r="AD239" s="36" t="str">
        <x:v>https://api.worldbank.org/v2/</x:v>
      </x:c>
    </x:row>
    <x:row r="240">
      <x:c r="A240" s="24" t="str">
        <x:v>KEN</x:v>
      </x:c>
      <x:c r="B240" s="24" t="str">
        <x:v>Kenya</x:v>
      </x:c>
      <x:c r="C240" s="24" t="str">
        <x:v>KEN</x:v>
      </x:c>
      <x:c r="D240" s="24" t="str">
        <x:v>KEN</x:v>
      </x:c>
      <x:c r="E240" s="24" t="n">
        <x:v>2026</x:v>
      </x:c>
      <x:c r="F240" s="37" t="n">
        <x:v>0.87</x:v>
      </x:c>
      <x:c r="G240" s="38" t="n">
        <x:v>58636411</x:v>
      </x:c>
      <x:c r="H240" s="38" t="n">
        <x:v>58636412</x:v>
      </x:c>
      <x:c r="I240" s="39" t="n">
        <x:f>H240/G240</x:f>
        <x:v>1.0000000170542498</x:v>
      </x:c>
      <x:c r="J240" s="40" t="n">
        <x:f>(I240-1)*100</x:f>
        <x:v>0.0000017054249790149356</x:v>
      </x:c>
      <x:c r="K240" s="36" t="str">
        <x:v>no</x:v>
      </x:c>
      <x:c r="L240" s="36" t="str">
        <x:v>Single-country territory; UN WPP and vanilla are within the ±5% review threshold.</x:v>
      </x:c>
      <x:c r="M240" s="41" t="n">
        <x:v>353731840000</x:v>
      </x:c>
      <x:c r="N240" s="41" t="n">
        <x:v>307746700800</x:v>
      </x:c>
      <x:c r="O240" s="41" t="n">
        <x:v>5248</x:v>
      </x:c>
      <x:c r="P240" s="41" t="n">
        <x:v>2185</x:v>
      </x:c>
      <x:c r="Q240" s="41" t="n">
        <x:v>6458</x:v>
      </x:c>
      <x:c r="R240" s="42" t="n">
        <x:f>MIN(P240,Q240)</x:f>
        <x:v>2185</x:v>
      </x:c>
      <x:c r="S240" s="42" t="n">
        <x:f>MAX(P240,Q240)</x:f>
        <x:v>6458</x:v>
      </x:c>
      <x:c r="T240" s="42" t="n">
        <x:f>MAX(R240,MIN(O240,S240))</x:f>
        <x:v>5248</x:v>
      </x:c>
      <x:c r="U240" s="19" t="str">
        <x:f>IF(O240&lt;R240,IF(R240=P240,"clamped_to_nominal","clamped_to_ppp"),IF(O240&gt;S240,IF(S240=P240,"clamped_to_nominal","clamped_to_ppp"),"kept_vanilla"))</x:f>
        <x:v>kept_vanilla</x:v>
      </x:c>
      <x:c r="V240" s="42" t="n">
        <x:f>T240*H240</x:f>
        <x:v>307723890176</x:v>
      </x:c>
      <x:c r="W240" s="42" t="n">
        <x:f>V240/F240</x:f>
        <x:v>353705620891.95404</x:v>
      </x:c>
      <x:c r="X240" s="36" t="str">
        <x:v>KEN: UN WPP 2024 Medium exact 2026</x:v>
      </x:c>
      <x:c r="Y240" s="36" t="str">
        <x:v>KEN: IMF exact 2026</x:v>
      </x:c>
      <x:c r="Z240" s="36" t="str">
        <x:v>KEN: IMF exact 2026</x:v>
      </x:c>
      <x:c r="AA240" s="36" t="str">
        <x:v>complete_primary</x:v>
      </x:c>
      <x:c r="AB240" s="36" t="str">
        <x:v>https://www.un.org/development/desa/pd/world-population-prospects-2024</x:v>
      </x:c>
      <x:c r="AC240" s="36" t="str">
        <x:v>https://api.imf.org/external/sdmx/3.0/data/dataflow/IMF.RES/WEO/9.0.0/</x:v>
      </x:c>
      <x:c r="AD240" s="36" t="str">
        <x:v>https://api.worldbank.org/v2/</x:v>
      </x:c>
    </x:row>
    <x:row r="241">
      <x:c r="A241" s="24" t="str">
        <x:v>KOS</x:v>
      </x:c>
      <x:c r="B241" s="24" t="str">
        <x:v>Kosovo</x:v>
      </x:c>
      <x:c r="C241" s="24" t="str">
        <x:v>KOS</x:v>
      </x:c>
      <x:c r="D241" s="24" t="str">
        <x:v>KOS</x:v>
      </x:c>
      <x:c r="E241" s="24" t="n">
        <x:v>2003</x:v>
      </x:c>
      <x:c r="F241" s="37" t="n">
        <x:v>1.59</x:v>
      </x:c>
      <x:c r="G241" s="38" t="n">
        <x:v>1826434</x:v>
      </x:c>
      <x:c r="H241" s="38" t="n">
        <x:v>1826434</x:v>
      </x:c>
      <x:c r="I241" s="39" t="n">
        <x:f>H241/G241</x:f>
        <x:v>1</x:v>
      </x:c>
      <x:c r="J241" s="40" t="n">
        <x:f>(I241-1)*100</x:f>
        <x:v>0</x:v>
      </x:c>
      <x:c r="K241" s="36" t="str">
        <x:v>no</x:v>
      </x:c>
      <x:c r="L241" s="36" t="str">
        <x:v>Single-country territory; UN WPP and vanilla are within the ±5% review threshold.</x:v>
      </x:c>
      <x:c r="M241" s="41" t="n">
        <x:v>4871345029</x:v>
      </x:c>
      <x:c r="N241" s="41" t="n">
        <x:v>7745438596</x:v>
      </x:c>
      <x:c r="O241" s="41" t="n">
        <x:v>4241</x:v>
      </x:c>
      <x:c r="P241" s="41" t="n">
        <x:v>2951</x:v>
      </x:c>
      <x:c r="Q241" s="41" t="n">
        <x:v>7252</x:v>
      </x:c>
      <x:c r="R241" s="42" t="n">
        <x:f>MIN(P241,Q241)</x:f>
        <x:v>2951</x:v>
      </x:c>
      <x:c r="S241" s="42" t="n">
        <x:f>MAX(P241,Q241)</x:f>
        <x:v>7252</x:v>
      </x:c>
      <x:c r="T241" s="42" t="n">
        <x:f>MAX(R241,MIN(O241,S241))</x:f>
        <x:v>4241</x:v>
      </x:c>
      <x:c r="U241" s="19" t="str">
        <x:f>IF(O241&lt;R241,IF(R241=P241,"clamped_to_nominal","clamped_to_ppp"),IF(O241&gt;S241,IF(S241=P241,"clamped_to_nominal","clamped_to_ppp"),"kept_vanilla"))</x:f>
        <x:v>kept_vanilla</x:v>
      </x:c>
      <x:c r="V241" s="42" t="n">
        <x:f>T241*H241</x:f>
        <x:v>7745906594</x:v>
      </x:c>
      <x:c r="W241" s="42" t="n">
        <x:f>V241/F241</x:f>
        <x:v>4871639367.295597</x:v>
      </x:c>
      <x:c r="X241" s="36" t="str">
        <x:v>KOS: UN WPP 2024 Medium exact 2003</x:v>
      </x:c>
      <x:c r="Y241" s="36" t="str">
        <x:v>KOS: IMF exact 2003</x:v>
      </x:c>
      <x:c r="Z241" s="36" t="str">
        <x:v>KOS: IMF exact 2003</x:v>
      </x:c>
      <x:c r="AA241" s="36" t="str">
        <x:v>complete_primary</x:v>
      </x:c>
      <x:c r="AB241" s="36" t="str">
        <x:v>https://www.un.org/development/desa/pd/world-population-prospects-2024</x:v>
      </x:c>
      <x:c r="AC241" s="36" t="str">
        <x:v>https://api.imf.org/external/sdmx/3.0/data/dataflow/IMF.RES/WEO/9.0.0/</x:v>
      </x:c>
      <x:c r="AD241" s="36" t="str">
        <x:v>https://api.worldbank.org/v2/</x:v>
      </x:c>
    </x:row>
    <x:row r="242">
      <x:c r="A242" s="24" t="str">
        <x:v>KOS</x:v>
      </x:c>
      <x:c r="B242" s="24" t="str">
        <x:v>Kosovo</x:v>
      </x:c>
      <x:c r="C242" s="24" t="str">
        <x:v>KOS</x:v>
      </x:c>
      <x:c r="D242" s="24" t="str">
        <x:v>KOS</x:v>
      </x:c>
      <x:c r="E242" s="24" t="n">
        <x:v>2022</x:v>
      </x:c>
      <x:c r="F242" s="37" t="n">
        <x:v>1</x:v>
      </x:c>
      <x:c r="G242" s="38" t="n">
        <x:v>1768942</x:v>
      </x:c>
      <x:c r="H242" s="38" t="n">
        <x:v>1717946</x:v>
      </x:c>
      <x:c r="I242" s="39" t="n">
        <x:f>H242/G242</x:f>
        <x:v>0.9711714685953525</x:v>
      </x:c>
      <x:c r="J242" s="40" t="n">
        <x:f>(I242-1)*100</x:f>
        <x:v>-2.8828531404647473</x:v>
      </x:c>
      <x:c r="K242" s="36" t="str">
        <x:v>no</x:v>
      </x:c>
      <x:c r="L242" s="36" t="str">
        <x:v>Single-country territory; UN WPP and vanilla are within the ±5% review threshold.</x:v>
      </x:c>
      <x:c r="M242" s="41" t="n">
        <x:v>22166320000</x:v>
      </x:c>
      <x:c r="N242" s="41" t="n">
        <x:v>22166320000</x:v>
      </x:c>
      <x:c r="O242" s="41" t="n">
        <x:v>12531</x:v>
      </x:c>
      <x:c r="P242" s="41" t="n">
        <x:v>5457</x:v>
      </x:c>
      <x:c r="Q242" s="41" t="n">
        <x:v>15206</x:v>
      </x:c>
      <x:c r="R242" s="42" t="n">
        <x:f>MIN(P242,Q242)</x:f>
        <x:v>5457</x:v>
      </x:c>
      <x:c r="S242" s="42" t="n">
        <x:f>MAX(P242,Q242)</x:f>
        <x:v>15206</x:v>
      </x:c>
      <x:c r="T242" s="42" t="n">
        <x:f>MAX(R242,MIN(O242,S242))</x:f>
        <x:v>12531</x:v>
      </x:c>
      <x:c r="U242" s="19" t="str">
        <x:f>IF(O242&lt;R242,IF(R242=P242,"clamped_to_nominal","clamped_to_ppp"),IF(O242&gt;S242,IF(S242=P242,"clamped_to_nominal","clamped_to_ppp"),"kept_vanilla"))</x:f>
        <x:v>kept_vanilla</x:v>
      </x:c>
      <x:c r="V242" s="42" t="n">
        <x:f>T242*H242</x:f>
        <x:v>21527581326</x:v>
      </x:c>
      <x:c r="W242" s="42" t="n">
        <x:f>V242/F242</x:f>
        <x:v>21527581326</x:v>
      </x:c>
      <x:c r="X242" s="36" t="str">
        <x:v>KOS: UN WPP 2024 Medium exact 2022</x:v>
      </x:c>
      <x:c r="Y242" s="36" t="str">
        <x:v>KOS: IMF exact 2022</x:v>
      </x:c>
      <x:c r="Z242" s="36" t="str">
        <x:v>KOS: IMF exact 2022</x:v>
      </x:c>
      <x:c r="AA242" s="36" t="str">
        <x:v>complete_primary</x:v>
      </x:c>
      <x:c r="AB242" s="36" t="str">
        <x:v>https://www.un.org/development/desa/pd/world-population-prospects-2024</x:v>
      </x:c>
      <x:c r="AC242" s="36" t="str">
        <x:v>https://api.imf.org/external/sdmx/3.0/data/dataflow/IMF.RES/WEO/9.0.0/</x:v>
      </x:c>
      <x:c r="AD242" s="36" t="str">
        <x:v>https://api.worldbank.org/v2/</x:v>
      </x:c>
    </x:row>
    <x:row r="243">
      <x:c r="A243" s="24" t="str">
        <x:v>KOS</x:v>
      </x:c>
      <x:c r="B243" s="24" t="str">
        <x:v>Kosovo</x:v>
      </x:c>
      <x:c r="C243" s="24" t="str">
        <x:v>KOS</x:v>
      </x:c>
      <x:c r="D243" s="24" t="str">
        <x:v>KOS</x:v>
      </x:c>
      <x:c r="E243" s="24" t="n">
        <x:v>2026</x:v>
      </x:c>
      <x:c r="F243" s="37" t="n">
        <x:v>0.87</x:v>
      </x:c>
      <x:c r="G243" s="38" t="n">
        <x:v>1666992</x:v>
      </x:c>
      <x:c r="H243" s="38" t="n">
        <x:v>1666992</x:v>
      </x:c>
      <x:c r="I243" s="39" t="n">
        <x:f>H243/G243</x:f>
        <x:v>1</x:v>
      </x:c>
      <x:c r="J243" s="40" t="n">
        <x:f>(I243-1)*100</x:f>
        <x:v>0</x:v>
      </x:c>
      <x:c r="K243" s="36" t="str">
        <x:v>no</x:v>
      </x:c>
      <x:c r="L243" s="36" t="str">
        <x:v>Single-country territory; UN WPP and vanilla are within the ±5% review threshold.</x:v>
      </x:c>
      <x:c r="M243" s="41" t="n">
        <x:v>28295520000</x:v>
      </x:c>
      <x:c r="N243" s="41" t="n">
        <x:v>24617102400</x:v>
      </x:c>
      <x:c r="O243" s="41" t="n">
        <x:v>14767</x:v>
      </x:c>
      <x:c r="P243" s="41" t="n">
        <x:v>7334</x:v>
      </x:c>
      <x:c r="Q243" s="41" t="n">
        <x:v>17849</x:v>
      </x:c>
      <x:c r="R243" s="42" t="n">
        <x:f>MIN(P243,Q243)</x:f>
        <x:v>7334</x:v>
      </x:c>
      <x:c r="S243" s="42" t="n">
        <x:f>MAX(P243,Q243)</x:f>
        <x:v>17849</x:v>
      </x:c>
      <x:c r="T243" s="42" t="n">
        <x:f>MAX(R243,MIN(O243,S243))</x:f>
        <x:v>14767</x:v>
      </x:c>
      <x:c r="U243" s="19" t="str">
        <x:f>IF(O243&lt;R243,IF(R243=P243,"clamped_to_nominal","clamped_to_ppp"),IF(O243&gt;S243,IF(S243=P243,"clamped_to_nominal","clamped_to_ppp"),"kept_vanilla"))</x:f>
        <x:v>kept_vanilla</x:v>
      </x:c>
      <x:c r="V243" s="42" t="n">
        <x:f>T243*H243</x:f>
        <x:v>24616470864</x:v>
      </x:c>
      <x:c r="W243" s="42" t="n">
        <x:f>V243/F243</x:f>
        <x:v>28294794096.551723</x:v>
      </x:c>
      <x:c r="X243" s="36" t="str">
        <x:v>KOS: UN WPP 2024 Medium exact 2026</x:v>
      </x:c>
      <x:c r="Y243" s="36" t="str">
        <x:v>KOS: IMF exact 2026</x:v>
      </x:c>
      <x:c r="Z243" s="36" t="str">
        <x:v>KOS: IMF exact 2026</x:v>
      </x:c>
      <x:c r="AA243" s="36" t="str">
        <x:v>complete_primary</x:v>
      </x:c>
      <x:c r="AB243" s="36" t="str">
        <x:v>https://www.un.org/development/desa/pd/world-population-prospects-2024</x:v>
      </x:c>
      <x:c r="AC243" s="36" t="str">
        <x:v>https://api.imf.org/external/sdmx/3.0/data/dataflow/IMF.RES/WEO/9.0.0/</x:v>
      </x:c>
      <x:c r="AD243" s="36" t="str">
        <x:v>https://api.worldbank.org/v2/</x:v>
      </x:c>
    </x:row>
    <x:row r="244">
      <x:c r="A244" s="24" t="str">
        <x:v>KUW</x:v>
      </x:c>
      <x:c r="B244" s="24" t="str">
        <x:v>Kuwait</x:v>
      </x:c>
      <x:c r="C244" s="24" t="str">
        <x:v>KWT</x:v>
      </x:c>
      <x:c r="D244" s="24" t="str">
        <x:v>KWT</x:v>
      </x:c>
      <x:c r="E244" s="24" t="n">
        <x:v>2003</x:v>
      </x:c>
      <x:c r="F244" s="37" t="n">
        <x:v>1.59</x:v>
      </x:c>
      <x:c r="G244" s="38" t="n">
        <x:v>2109881</x:v>
      </x:c>
      <x:c r="H244" s="38" t="n">
        <x:v>2109881</x:v>
      </x:c>
      <x:c r="I244" s="39" t="n">
        <x:f>H244/G244</x:f>
        <x:v>1</x:v>
      </x:c>
      <x:c r="J244" s="40" t="n">
        <x:f>(I244-1)*100</x:f>
        <x:v>0</x:v>
      </x:c>
      <x:c r="K244" s="36" t="str">
        <x:v>no</x:v>
      </x:c>
      <x:c r="L244" s="36" t="str">
        <x:v>Single-country territory; UN WPP and vanilla are within the ±5% review threshold.</x:v>
      </x:c>
      <x:c r="M244" s="41" t="n">
        <x:v>57528070175</x:v>
      </x:c>
      <x:c r="N244" s="41" t="n">
        <x:v>91469631578</x:v>
      </x:c>
      <x:c r="O244" s="41" t="n">
        <x:v>43353</x:v>
      </x:c>
      <x:c r="P244" s="41" t="n">
        <x:v>36074</x:v>
      </x:c>
      <x:c r="Q244" s="41" t="n">
        <x:v>74133</x:v>
      </x:c>
      <x:c r="R244" s="42" t="n">
        <x:f>MIN(P244,Q244)</x:f>
        <x:v>36074</x:v>
      </x:c>
      <x:c r="S244" s="42" t="n">
        <x:f>MAX(P244,Q244)</x:f>
        <x:v>74133</x:v>
      </x:c>
      <x:c r="T244" s="42" t="n">
        <x:f>MAX(R244,MIN(O244,S244))</x:f>
        <x:v>43353</x:v>
      </x:c>
      <x:c r="U244" s="19" t="str">
        <x:f>IF(O244&lt;R244,IF(R244=P244,"clamped_to_nominal","clamped_to_ppp"),IF(O244&gt;S244,IF(S244=P244,"clamped_to_nominal","clamped_to_ppp"),"kept_vanilla"))</x:f>
        <x:v>kept_vanilla</x:v>
      </x:c>
      <x:c r="V244" s="42" t="n">
        <x:f>T244*H244</x:f>
        <x:v>91469670993</x:v>
      </x:c>
      <x:c r="W244" s="42" t="n">
        <x:f>V244/F244</x:f>
        <x:v>57528094964.15094</x:v>
      </x:c>
      <x:c r="X244" s="36" t="str">
        <x:v>KWT: UN WPP 2024 Medium exact 2003</x:v>
      </x:c>
      <x:c r="Y244" s="36" t="str">
        <x:v>KWT: IMF exact 2003</x:v>
      </x:c>
      <x:c r="Z244" s="36" t="str">
        <x:v>KWT: IMF exact 2003</x:v>
      </x:c>
      <x:c r="AA244" s="36" t="str">
        <x:v>complete_primary</x:v>
      </x:c>
      <x:c r="AB244" s="36" t="str">
        <x:v>https://www.un.org/development/desa/pd/world-population-prospects-2024</x:v>
      </x:c>
      <x:c r="AC244" s="36" t="str">
        <x:v>https://api.imf.org/external/sdmx/3.0/data/dataflow/IMF.RES/WEO/9.0.0/</x:v>
      </x:c>
      <x:c r="AD244" s="36" t="str">
        <x:v>https://api.worldbank.org/v2/</x:v>
      </x:c>
    </x:row>
    <x:row r="245">
      <x:c r="A245" s="24" t="str">
        <x:v>KUW</x:v>
      </x:c>
      <x:c r="B245" s="24" t="str">
        <x:v>Kuwait</x:v>
      </x:c>
      <x:c r="C245" s="24" t="str">
        <x:v>KWT</x:v>
      </x:c>
      <x:c r="D245" s="24" t="str">
        <x:v>KWT</x:v>
      </x:c>
      <x:c r="E245" s="24" t="n">
        <x:v>2022</x:v>
      </x:c>
      <x:c r="F245" s="37" t="n">
        <x:v>1</x:v>
      </x:c>
      <x:c r="G245" s="38" t="n">
        <x:v>4395432</x:v>
      </x:c>
      <x:c r="H245" s="38" t="n">
        <x:v>4589511</x:v>
      </x:c>
      <x:c r="I245" s="39" t="n">
        <x:f>H245/G245</x:f>
        <x:v>1.0441547042475006</x:v>
      </x:c>
      <x:c r="J245" s="40" t="n">
        <x:f>(I245-1)*100</x:f>
        <x:v>4.4154704247500565</x:v>
      </x:c>
      <x:c r="K245" s="36" t="str">
        <x:v>no</x:v>
      </x:c>
      <x:c r="L245" s="36" t="str">
        <x:v>Single-country territory; UN WPP and vanilla are within the ±5% review threshold.</x:v>
      </x:c>
      <x:c r="M245" s="41" t="n">
        <x:v>215760160000</x:v>
      </x:c>
      <x:c r="N245" s="41" t="n">
        <x:v>215760160000</x:v>
      </x:c>
      <x:c r="O245" s="41" t="n">
        <x:v>49087</x:v>
      </x:c>
      <x:c r="P245" s="41" t="n">
        <x:v>39991</x:v>
      </x:c>
      <x:c r="Q245" s="41" t="n">
        <x:v>55038</x:v>
      </x:c>
      <x:c r="R245" s="42" t="n">
        <x:f>MIN(P245,Q245)</x:f>
        <x:v>39991</x:v>
      </x:c>
      <x:c r="S245" s="42" t="n">
        <x:f>MAX(P245,Q245)</x:f>
        <x:v>55038</x:v>
      </x:c>
      <x:c r="T245" s="42" t="n">
        <x:f>MAX(R245,MIN(O245,S245))</x:f>
        <x:v>49087</x:v>
      </x:c>
      <x:c r="U245" s="19" t="str">
        <x:f>IF(O245&lt;R245,IF(R245=P245,"clamped_to_nominal","clamped_to_ppp"),IF(O245&gt;S245,IF(S245=P245,"clamped_to_nominal","clamped_to_ppp"),"kept_vanilla"))</x:f>
        <x:v>kept_vanilla</x:v>
      </x:c>
      <x:c r="V245" s="42" t="n">
        <x:f>T245*H245</x:f>
        <x:v>225285326457</x:v>
      </x:c>
      <x:c r="W245" s="42" t="n">
        <x:f>V245/F245</x:f>
        <x:v>225285326457</x:v>
      </x:c>
      <x:c r="X245" s="36" t="str">
        <x:v>KWT: UN WPP 2024 Medium exact 2022</x:v>
      </x:c>
      <x:c r="Y245" s="36" t="str">
        <x:v>KWT: IMF exact 2022</x:v>
      </x:c>
      <x:c r="Z245" s="36" t="str">
        <x:v>KWT: IMF exact 2022</x:v>
      </x:c>
      <x:c r="AA245" s="36" t="str">
        <x:v>complete_primary</x:v>
      </x:c>
      <x:c r="AB245" s="36" t="str">
        <x:v>https://www.un.org/development/desa/pd/world-population-prospects-2024</x:v>
      </x:c>
      <x:c r="AC245" s="36" t="str">
        <x:v>https://api.imf.org/external/sdmx/3.0/data/dataflow/IMF.RES/WEO/9.0.0/</x:v>
      </x:c>
      <x:c r="AD245" s="36" t="str">
        <x:v>https://api.worldbank.org/v2/</x:v>
      </x:c>
    </x:row>
    <x:row r="246">
      <x:c r="A246" s="24" t="str">
        <x:v>KUW</x:v>
      </x:c>
      <x:c r="B246" s="24" t="str">
        <x:v>Kuwait</x:v>
      </x:c>
      <x:c r="C246" s="24" t="str">
        <x:v>KWT</x:v>
      </x:c>
      <x:c r="D246" s="24" t="str">
        <x:v>KWT</x:v>
      </x:c>
      <x:c r="E246" s="24" t="n">
        <x:v>2026</x:v>
      </x:c>
      <x:c r="F246" s="37" t="n">
        <x:v>0.87</x:v>
      </x:c>
      <x:c r="G246" s="38" t="n">
        <x:v>5102773</x:v>
      </x:c>
      <x:c r="H246" s="38" t="n">
        <x:v>5102773</x:v>
      </x:c>
      <x:c r="I246" s="39" t="n">
        <x:f>H246/G246</x:f>
        <x:v>1</x:v>
      </x:c>
      <x:c r="J246" s="40" t="n">
        <x:f>(I246-1)*100</x:f>
        <x:v>0</x:v>
      </x:c>
      <x:c r="K246" s="36" t="str">
        <x:v>no</x:v>
      </x:c>
      <x:c r="L246" s="36" t="str">
        <x:v>Single-country territory; UN WPP and vanilla are within the ±5% review threshold.</x:v>
      </x:c>
      <x:c r="M246" s="41" t="n">
        <x:v>229242640000</x:v>
      </x:c>
      <x:c r="N246" s="41" t="n">
        <x:v>199441096800</x:v>
      </x:c>
      <x:c r="O246" s="41" t="n">
        <x:v>39085</x:v>
      </x:c>
      <x:c r="P246" s="41" t="n">
        <x:v>29482</x:v>
      </x:c>
      <x:c r="Q246" s="41" t="n">
        <x:v>48273</x:v>
      </x:c>
      <x:c r="R246" s="42" t="n">
        <x:f>MIN(P246,Q246)</x:f>
        <x:v>29482</x:v>
      </x:c>
      <x:c r="S246" s="42" t="n">
        <x:f>MAX(P246,Q246)</x:f>
        <x:v>48273</x:v>
      </x:c>
      <x:c r="T246" s="42" t="n">
        <x:f>MAX(R246,MIN(O246,S246))</x:f>
        <x:v>39085</x:v>
      </x:c>
      <x:c r="U246" s="19" t="str">
        <x:f>IF(O246&lt;R246,IF(R246=P246,"clamped_to_nominal","clamped_to_ppp"),IF(O246&gt;S246,IF(S246=P246,"clamped_to_nominal","clamped_to_ppp"),"kept_vanilla"))</x:f>
        <x:v>kept_vanilla</x:v>
      </x:c>
      <x:c r="V246" s="42" t="n">
        <x:f>T246*H246</x:f>
        <x:v>199441882705</x:v>
      </x:c>
      <x:c r="W246" s="42" t="n">
        <x:f>V246/F246</x:f>
        <x:v>229243543339.08047</x:v>
      </x:c>
      <x:c r="X246" s="36" t="str">
        <x:v>KWT: UN WPP 2024 Medium exact 2026</x:v>
      </x:c>
      <x:c r="Y246" s="36" t="str">
        <x:v>KWT: IMF exact 2026</x:v>
      </x:c>
      <x:c r="Z246" s="36" t="str">
        <x:v>KWT: IMF exact 2026</x:v>
      </x:c>
      <x:c r="AA246" s="36" t="str">
        <x:v>complete_primary</x:v>
      </x:c>
      <x:c r="AB246" s="36" t="str">
        <x:v>https://www.un.org/development/desa/pd/world-population-prospects-2024</x:v>
      </x:c>
      <x:c r="AC246" s="36" t="str">
        <x:v>https://api.imf.org/external/sdmx/3.0/data/dataflow/IMF.RES/WEO/9.0.0/</x:v>
      </x:c>
      <x:c r="AD246" s="36" t="str">
        <x:v>https://api.worldbank.org/v2/</x:v>
      </x:c>
    </x:row>
    <x:row r="247">
      <x:c r="A247" s="24" t="str">
        <x:v>KGZ</x:v>
      </x:c>
      <x:c r="B247" s="24" t="str">
        <x:v>Kyrgyzstan</x:v>
      </x:c>
      <x:c r="C247" s="24" t="str">
        <x:v>KGZ</x:v>
      </x:c>
      <x:c r="D247" s="24" t="str">
        <x:v>KGZ</x:v>
      </x:c>
      <x:c r="E247" s="24" t="n">
        <x:v>2003</x:v>
      </x:c>
      <x:c r="F247" s="37" t="n">
        <x:v>1.59</x:v>
      </x:c>
      <x:c r="G247" s="38" t="n">
        <x:v>5159422</x:v>
      </x:c>
      <x:c r="H247" s="38" t="n">
        <x:v>5159422</x:v>
      </x:c>
      <x:c r="I247" s="39" t="n">
        <x:f>H247/G247</x:f>
        <x:v>1</x:v>
      </x:c>
      <x:c r="J247" s="40" t="n">
        <x:f>(I247-1)*100</x:f>
        <x:v>0</x:v>
      </x:c>
      <x:c r="K247" s="36" t="str">
        <x:v>no</x:v>
      </x:c>
      <x:c r="L247" s="36" t="str">
        <x:v>Single-country territory; UN WPP and vanilla are within the ±5% review threshold.</x:v>
      </x:c>
      <x:c r="M247" s="41" t="n">
        <x:v>7704678363</x:v>
      </x:c>
      <x:c r="N247" s="41" t="n">
        <x:v>12250438597</x:v>
      </x:c>
      <x:c r="O247" s="41" t="n">
        <x:v>2374</x:v>
      </x:c>
      <x:c r="P247" s="41" t="n">
        <x:v>592</x:v>
      </x:c>
      <x:c r="Q247" s="41" t="n">
        <x:v>4060</x:v>
      </x:c>
      <x:c r="R247" s="42" t="n">
        <x:f>MIN(P247,Q247)</x:f>
        <x:v>592</x:v>
      </x:c>
      <x:c r="S247" s="42" t="n">
        <x:f>MAX(P247,Q247)</x:f>
        <x:v>4060</x:v>
      </x:c>
      <x:c r="T247" s="42" t="n">
        <x:f>MAX(R247,MIN(O247,S247))</x:f>
        <x:v>2374</x:v>
      </x:c>
      <x:c r="U247" s="19" t="str">
        <x:f>IF(O247&lt;R247,IF(R247=P247,"clamped_to_nominal","clamped_to_ppp"),IF(O247&gt;S247,IF(S247=P247,"clamped_to_nominal","clamped_to_ppp"),"kept_vanilla"))</x:f>
        <x:v>kept_vanilla</x:v>
      </x:c>
      <x:c r="V247" s="42" t="n">
        <x:f>T247*H247</x:f>
        <x:v>12248467828</x:v>
      </x:c>
      <x:c r="W247" s="42" t="n">
        <x:f>V247/F247</x:f>
        <x:v>7703438885.534591</x:v>
      </x:c>
      <x:c r="X247" s="36" t="str">
        <x:v>KGZ: UN WPP 2024 Medium exact 2003</x:v>
      </x:c>
      <x:c r="Y247" s="36" t="str">
        <x:v>KGZ: IMF exact 2003</x:v>
      </x:c>
      <x:c r="Z247" s="36" t="str">
        <x:v>KGZ: IMF exact 2003</x:v>
      </x:c>
      <x:c r="AA247" s="36" t="str">
        <x:v>complete_primary</x:v>
      </x:c>
      <x:c r="AB247" s="36" t="str">
        <x:v>https://www.un.org/development/desa/pd/world-population-prospects-2024</x:v>
      </x:c>
      <x:c r="AC247" s="36" t="str">
        <x:v>https://api.imf.org/external/sdmx/3.0/data/dataflow/IMF.RES/WEO/9.0.0/</x:v>
      </x:c>
      <x:c r="AD247" s="36" t="str">
        <x:v>https://api.worldbank.org/v2/</x:v>
      </x:c>
    </x:row>
    <x:row r="248">
      <x:c r="A248" s="24" t="str">
        <x:v>KGZ</x:v>
      </x:c>
      <x:c r="B248" s="24" t="str">
        <x:v>Kyrgyzstan</x:v>
      </x:c>
      <x:c r="C248" s="24" t="str">
        <x:v>KGZ</x:v>
      </x:c>
      <x:c r="D248" s="24" t="str">
        <x:v>KGZ</x:v>
      </x:c>
      <x:c r="E248" s="24" t="n">
        <x:v>2022</x:v>
      </x:c>
      <x:c r="F248" s="37" t="n">
        <x:v>1</x:v>
      </x:c>
      <x:c r="G248" s="38" t="n">
        <x:v>6759410</x:v>
      </x:c>
      <x:c r="H248" s="38" t="n">
        <x:v>6955788</x:v>
      </x:c>
      <x:c r="I248" s="39" t="n">
        <x:f>H248/G248</x:f>
        <x:v>1.0290525356503009</x:v>
      </x:c>
      <x:c r="J248" s="40" t="n">
        <x:f>(I248-1)*100</x:f>
        <x:v>2.905253565030086</x:v>
      </x:c>
      <x:c r="K248" s="36" t="str">
        <x:v>no</x:v>
      </x:c>
      <x:c r="L248" s="36" t="str">
        <x:v>Single-country territory; UN WPP and vanilla are within the ±5% review threshold.</x:v>
      </x:c>
      <x:c r="M248" s="41" t="n">
        <x:v>33256960000</x:v>
      </x:c>
      <x:c r="N248" s="41" t="n">
        <x:v>33256960000</x:v>
      </x:c>
      <x:c r="O248" s="41" t="n">
        <x:v>4920</x:v>
      </x:c>
      <x:c r="P248" s="41" t="n">
        <x:v>1764</x:v>
      </x:c>
      <x:c r="Q248" s="41" t="n">
        <x:v>6595</x:v>
      </x:c>
      <x:c r="R248" s="42" t="n">
        <x:f>MIN(P248,Q248)</x:f>
        <x:v>1764</x:v>
      </x:c>
      <x:c r="S248" s="42" t="n">
        <x:f>MAX(P248,Q248)</x:f>
        <x:v>6595</x:v>
      </x:c>
      <x:c r="T248" s="42" t="n">
        <x:f>MAX(R248,MIN(O248,S248))</x:f>
        <x:v>4920</x:v>
      </x:c>
      <x:c r="U248" s="19" t="str">
        <x:f>IF(O248&lt;R248,IF(R248=P248,"clamped_to_nominal","clamped_to_ppp"),IF(O248&gt;S248,IF(S248=P248,"clamped_to_nominal","clamped_to_ppp"),"kept_vanilla"))</x:f>
        <x:v>kept_vanilla</x:v>
      </x:c>
      <x:c r="V248" s="42" t="n">
        <x:f>T248*H248</x:f>
        <x:v>34222476960</x:v>
      </x:c>
      <x:c r="W248" s="42" t="n">
        <x:f>V248/F248</x:f>
        <x:v>34222476960</x:v>
      </x:c>
      <x:c r="X248" s="36" t="str">
        <x:v>KGZ: UN WPP 2024 Medium exact 2022</x:v>
      </x:c>
      <x:c r="Y248" s="36" t="str">
        <x:v>KGZ: IMF exact 2022</x:v>
      </x:c>
      <x:c r="Z248" s="36" t="str">
        <x:v>KGZ: IMF exact 2022</x:v>
      </x:c>
      <x:c r="AA248" s="36" t="str">
        <x:v>complete_primary</x:v>
      </x:c>
      <x:c r="AB248" s="36" t="str">
        <x:v>https://www.un.org/development/desa/pd/world-population-prospects-2024</x:v>
      </x:c>
      <x:c r="AC248" s="36" t="str">
        <x:v>https://api.imf.org/external/sdmx/3.0/data/dataflow/IMF.RES/WEO/9.0.0/</x:v>
      </x:c>
      <x:c r="AD248" s="36" t="str">
        <x:v>https://api.worldbank.org/v2/</x:v>
      </x:c>
    </x:row>
    <x:row r="249">
      <x:c r="A249" s="24" t="str">
        <x:v>KGZ</x:v>
      </x:c>
      <x:c r="B249" s="24" t="str">
        <x:v>Kyrgyzstan</x:v>
      </x:c>
      <x:c r="C249" s="24" t="str">
        <x:v>KGZ</x:v>
      </x:c>
      <x:c r="D249" s="24" t="str">
        <x:v>KGZ</x:v>
      </x:c>
      <x:c r="E249" s="24" t="n">
        <x:v>2026</x:v>
      </x:c>
      <x:c r="F249" s="37" t="n">
        <x:v>0.87</x:v>
      </x:c>
      <x:c r="G249" s="38" t="n">
        <x:v>7400465</x:v>
      </x:c>
      <x:c r="H249" s="38" t="n">
        <x:v>7400465</x:v>
      </x:c>
      <x:c r="I249" s="39" t="n">
        <x:f>H249/G249</x:f>
        <x:v>1</x:v>
      </x:c>
      <x:c r="J249" s="40" t="n">
        <x:f>(I249-1)*100</x:f>
        <x:v>0</x:v>
      </x:c>
      <x:c r="K249" s="36" t="str">
        <x:v>no</x:v>
      </x:c>
      <x:c r="L249" s="36" t="str">
        <x:v>Single-country territory; UN WPP and vanilla are within the ±5% review threshold.</x:v>
      </x:c>
      <x:c r="M249" s="41" t="n">
        <x:v>55840400000</x:v>
      </x:c>
      <x:c r="N249" s="41" t="n">
        <x:v>48581148000</x:v>
      </x:c>
      <x:c r="O249" s="41" t="n">
        <x:v>6565</x:v>
      </x:c>
      <x:c r="P249" s="41" t="n">
        <x:v>2775</x:v>
      </x:c>
      <x:c r="Q249" s="41" t="n">
        <x:v>8687</x:v>
      </x:c>
      <x:c r="R249" s="42" t="n">
        <x:f>MIN(P249,Q249)</x:f>
        <x:v>2775</x:v>
      </x:c>
      <x:c r="S249" s="42" t="n">
        <x:f>MAX(P249,Q249)</x:f>
        <x:v>8687</x:v>
      </x:c>
      <x:c r="T249" s="42" t="n">
        <x:f>MAX(R249,MIN(O249,S249))</x:f>
        <x:v>6565</x:v>
      </x:c>
      <x:c r="U249" s="19" t="str">
        <x:f>IF(O249&lt;R249,IF(R249=P249,"clamped_to_nominal","clamped_to_ppp"),IF(O249&gt;S249,IF(S249=P249,"clamped_to_nominal","clamped_to_ppp"),"kept_vanilla"))</x:f>
        <x:v>kept_vanilla</x:v>
      </x:c>
      <x:c r="V249" s="42" t="n">
        <x:f>T249*H249</x:f>
        <x:v>48584052725</x:v>
      </x:c>
      <x:c r="W249" s="42" t="n">
        <x:f>V249/F249</x:f>
        <x:v>55843738764.36781</x:v>
      </x:c>
      <x:c r="X249" s="36" t="str">
        <x:v>KGZ: UN WPP 2024 Medium exact 2026</x:v>
      </x:c>
      <x:c r="Y249" s="36" t="str">
        <x:v>KGZ: IMF exact 2026</x:v>
      </x:c>
      <x:c r="Z249" s="36" t="str">
        <x:v>KGZ: IMF exact 2026</x:v>
      </x:c>
      <x:c r="AA249" s="36" t="str">
        <x:v>complete_primary</x:v>
      </x:c>
      <x:c r="AB249" s="36" t="str">
        <x:v>https://www.un.org/development/desa/pd/world-population-prospects-2024</x:v>
      </x:c>
      <x:c r="AC249" s="36" t="str">
        <x:v>https://api.imf.org/external/sdmx/3.0/data/dataflow/IMF.RES/WEO/9.0.0/</x:v>
      </x:c>
      <x:c r="AD249" s="36" t="str">
        <x:v>https://api.worldbank.org/v2/</x:v>
      </x:c>
    </x:row>
    <x:row r="250">
      <x:c r="A250" s="24" t="str">
        <x:v>LAO</x:v>
      </x:c>
      <x:c r="B250" s="24" t="str">
        <x:v>Laos</x:v>
      </x:c>
      <x:c r="C250" s="24" t="str">
        <x:v>LAO</x:v>
      </x:c>
      <x:c r="D250" s="24" t="str">
        <x:v>LAO</x:v>
      </x:c>
      <x:c r="E250" s="24" t="n">
        <x:v>2003</x:v>
      </x:c>
      <x:c r="F250" s="37" t="n">
        <x:v>1.59</x:v>
      </x:c>
      <x:c r="G250" s="38" t="n">
        <x:v>5697945</x:v>
      </x:c>
      <x:c r="H250" s="38" t="n">
        <x:v>5697945</x:v>
      </x:c>
      <x:c r="I250" s="39" t="n">
        <x:f>H250/G250</x:f>
        <x:v>1</x:v>
      </x:c>
      <x:c r="J250" s="40" t="n">
        <x:f>(I250-1)*100</x:f>
        <x:v>0</x:v>
      </x:c>
      <x:c r="K250" s="36" t="str">
        <x:v>no</x:v>
      </x:c>
      <x:c r="L250" s="36" t="str">
        <x:v>Single-country territory; UN WPP and vanilla are within the ±5% review threshold.</x:v>
      </x:c>
      <x:c r="M250" s="41" t="n">
        <x:v>8066081871</x:v>
      </x:c>
      <x:c r="N250" s="41" t="n">
        <x:v>12825070175</x:v>
      </x:c>
      <x:c r="O250" s="41" t="n">
        <x:v>2251</x:v>
      </x:c>
      <x:c r="P250" s="41" t="n">
        <x:v>631</x:v>
      </x:c>
      <x:c r="Q250" s="41" t="n">
        <x:v>3849</x:v>
      </x:c>
      <x:c r="R250" s="42" t="n">
        <x:f>MIN(P250,Q250)</x:f>
        <x:v>631</x:v>
      </x:c>
      <x:c r="S250" s="42" t="n">
        <x:f>MAX(P250,Q250)</x:f>
        <x:v>3849</x:v>
      </x:c>
      <x:c r="T250" s="42" t="n">
        <x:f>MAX(R250,MIN(O250,S250))</x:f>
        <x:v>2251</x:v>
      </x:c>
      <x:c r="U250" s="19" t="str">
        <x:f>IF(O250&lt;R250,IF(R250=P250,"clamped_to_nominal","clamped_to_ppp"),IF(O250&gt;S250,IF(S250=P250,"clamped_to_nominal","clamped_to_ppp"),"kept_vanilla"))</x:f>
        <x:v>kept_vanilla</x:v>
      </x:c>
      <x:c r="V250" s="42" t="n">
        <x:f>T250*H250</x:f>
        <x:v>12826074195</x:v>
      </x:c>
      <x:c r="W250" s="42" t="n">
        <x:f>V250/F250</x:f>
        <x:v>8066713330.188679</x:v>
      </x:c>
      <x:c r="X250" s="36" t="str">
        <x:v>LAO: UN WPP 2024 Medium exact 2003</x:v>
      </x:c>
      <x:c r="Y250" s="36" t="str">
        <x:v>LAO: IMF exact 2003</x:v>
      </x:c>
      <x:c r="Z250" s="36" t="str">
        <x:v>LAO: IMF exact 2003</x:v>
      </x:c>
      <x:c r="AA250" s="36" t="str">
        <x:v>complete_primary</x:v>
      </x:c>
      <x:c r="AB250" s="36" t="str">
        <x:v>https://www.un.org/development/desa/pd/world-population-prospects-2024</x:v>
      </x:c>
      <x:c r="AC250" s="36" t="str">
        <x:v>https://api.imf.org/external/sdmx/3.0/data/dataflow/IMF.RES/WEO/9.0.0/</x:v>
      </x:c>
      <x:c r="AD250" s="36" t="str">
        <x:v>https://api.worldbank.org/v2/</x:v>
      </x:c>
    </x:row>
    <x:row r="251">
      <x:c r="A251" s="24" t="str">
        <x:v>LAO</x:v>
      </x:c>
      <x:c r="B251" s="24" t="str">
        <x:v>Laos</x:v>
      </x:c>
      <x:c r="C251" s="24" t="str">
        <x:v>LAO</x:v>
      </x:c>
      <x:c r="D251" s="24" t="str">
        <x:v>LAO</x:v>
      </x:c>
      <x:c r="E251" s="24" t="n">
        <x:v>2022</x:v>
      </x:c>
      <x:c r="F251" s="37" t="n">
        <x:v>1</x:v>
      </x:c>
      <x:c r="G251" s="38" t="n">
        <x:v>7512780</x:v>
      </x:c>
      <x:c r="H251" s="38" t="n">
        <x:v>7559007</x:v>
      </x:c>
      <x:c r="I251" s="39" t="n">
        <x:f>H251/G251</x:f>
        <x:v>1.0061531150918834</x:v>
      </x:c>
      <x:c r="J251" s="40" t="n">
        <x:f>(I251-1)*100</x:f>
        <x:v>0.6153115091883432</x:v>
      </x:c>
      <x:c r="K251" s="36" t="str">
        <x:v>no</x:v>
      </x:c>
      <x:c r="L251" s="36" t="str">
        <x:v>Single-country territory; UN WPP and vanilla are within the ±5% review threshold.</x:v>
      </x:c>
      <x:c r="M251" s="41" t="n">
        <x:v>60458640000</x:v>
      </x:c>
      <x:c r="N251" s="41" t="n">
        <x:v>60458640000</x:v>
      </x:c>
      <x:c r="O251" s="41" t="n">
        <x:v>8047</x:v>
      </x:c>
      <x:c r="P251" s="41" t="n">
        <x:v>2000</x:v>
      </x:c>
      <x:c r="Q251" s="41" t="n">
        <x:v>8639</x:v>
      </x:c>
      <x:c r="R251" s="42" t="n">
        <x:f>MIN(P251,Q251)</x:f>
        <x:v>2000</x:v>
      </x:c>
      <x:c r="S251" s="42" t="n">
        <x:f>MAX(P251,Q251)</x:f>
        <x:v>8639</x:v>
      </x:c>
      <x:c r="T251" s="42" t="n">
        <x:f>MAX(R251,MIN(O251,S251))</x:f>
        <x:v>8047</x:v>
      </x:c>
      <x:c r="U251" s="19" t="str">
        <x:f>IF(O251&lt;R251,IF(R251=P251,"clamped_to_nominal","clamped_to_ppp"),IF(O251&gt;S251,IF(S251=P251,"clamped_to_nominal","clamped_to_ppp"),"kept_vanilla"))</x:f>
        <x:v>kept_vanilla</x:v>
      </x:c>
      <x:c r="V251" s="42" t="n">
        <x:f>T251*H251</x:f>
        <x:v>60827329329</x:v>
      </x:c>
      <x:c r="W251" s="42" t="n">
        <x:f>V251/F251</x:f>
        <x:v>60827329329</x:v>
      </x:c>
      <x:c r="X251" s="36" t="str">
        <x:v>LAO: UN WPP 2024 Medium exact 2022</x:v>
      </x:c>
      <x:c r="Y251" s="36" t="str">
        <x:v>LAO: IMF exact 2022</x:v>
      </x:c>
      <x:c r="Z251" s="36" t="str">
        <x:v>LAO: IMF exact 2022</x:v>
      </x:c>
      <x:c r="AA251" s="36" t="str">
        <x:v>complete_primary</x:v>
      </x:c>
      <x:c r="AB251" s="36" t="str">
        <x:v>https://www.un.org/development/desa/pd/world-population-prospects-2024</x:v>
      </x:c>
      <x:c r="AC251" s="36" t="str">
        <x:v>https://api.imf.org/external/sdmx/3.0/data/dataflow/IMF.RES/WEO/9.0.0/</x:v>
      </x:c>
      <x:c r="AD251" s="36" t="str">
        <x:v>https://api.worldbank.org/v2/</x:v>
      </x:c>
    </x:row>
    <x:row r="252">
      <x:c r="A252" s="24" t="str">
        <x:v>LAO</x:v>
      </x:c>
      <x:c r="B252" s="24" t="str">
        <x:v>Laos</x:v>
      </x:c>
      <x:c r="C252" s="24" t="str">
        <x:v>LAO</x:v>
      </x:c>
      <x:c r="D252" s="24" t="str">
        <x:v>LAO</x:v>
      </x:c>
      <x:c r="E252" s="24" t="n">
        <x:v>2026</x:v>
      </x:c>
      <x:c r="F252" s="37" t="n">
        <x:v>0.87</x:v>
      </x:c>
      <x:c r="G252" s="38" t="n">
        <x:v>7974018</x:v>
      </x:c>
      <x:c r="H252" s="38" t="n">
        <x:v>7974017</x:v>
      </x:c>
      <x:c r="I252" s="39" t="n">
        <x:f>H252/G252</x:f>
        <x:v>0.9999998745927084</x:v>
      </x:c>
      <x:c r="J252" s="40" t="n">
        <x:f>(I252-1)*100</x:f>
        <x:v>-0.000012540729155130492</x:v>
      </x:c>
      <x:c r="K252" s="36" t="str">
        <x:v>no</x:v>
      </x:c>
      <x:c r="L252" s="36" t="str">
        <x:v>Single-country territory; UN WPP and vanilla are within the ±5% review threshold.</x:v>
      </x:c>
      <x:c r="M252" s="41" t="n">
        <x:v>69387120000</x:v>
      </x:c>
      <x:c r="N252" s="41" t="n">
        <x:v>60366794400</x:v>
      </x:c>
      <x:c r="O252" s="41" t="n">
        <x:v>7570</x:v>
      </x:c>
      <x:c r="P252" s="41" t="n">
        <x:v>2069</x:v>
      </x:c>
      <x:c r="Q252" s="41" t="n">
        <x:v>9436</x:v>
      </x:c>
      <x:c r="R252" s="42" t="n">
        <x:f>MIN(P252,Q252)</x:f>
        <x:v>2069</x:v>
      </x:c>
      <x:c r="S252" s="42" t="n">
        <x:f>MAX(P252,Q252)</x:f>
        <x:v>9436</x:v>
      </x:c>
      <x:c r="T252" s="42" t="n">
        <x:f>MAX(R252,MIN(O252,S252))</x:f>
        <x:v>7570</x:v>
      </x:c>
      <x:c r="U252" s="19" t="str">
        <x:f>IF(O252&lt;R252,IF(R252=P252,"clamped_to_nominal","clamped_to_ppp"),IF(O252&gt;S252,IF(S252=P252,"clamped_to_nominal","clamped_to_ppp"),"kept_vanilla"))</x:f>
        <x:v>kept_vanilla</x:v>
      </x:c>
      <x:c r="V252" s="42" t="n">
        <x:f>T252*H252</x:f>
        <x:v>60363308690</x:v>
      </x:c>
      <x:c r="W252" s="42" t="n">
        <x:f>V252/F252</x:f>
        <x:v>69383113436.78162</x:v>
      </x:c>
      <x:c r="X252" s="36" t="str">
        <x:v>LAO: UN WPP 2024 Medium exact 2026</x:v>
      </x:c>
      <x:c r="Y252" s="36" t="str">
        <x:v>LAO: IMF exact 2026</x:v>
      </x:c>
      <x:c r="Z252" s="36" t="str">
        <x:v>LAO: IMF exact 2026</x:v>
      </x:c>
      <x:c r="AA252" s="36" t="str">
        <x:v>complete_primary</x:v>
      </x:c>
      <x:c r="AB252" s="36" t="str">
        <x:v>https://www.un.org/development/desa/pd/world-population-prospects-2024</x:v>
      </x:c>
      <x:c r="AC252" s="36" t="str">
        <x:v>https://api.imf.org/external/sdmx/3.0/data/dataflow/IMF.RES/WEO/9.0.0/</x:v>
      </x:c>
      <x:c r="AD252" s="36" t="str">
        <x:v>https://api.worldbank.org/v2/</x:v>
      </x:c>
    </x:row>
    <x:row r="253">
      <x:c r="A253" s="24" t="str">
        <x:v>LVA</x:v>
      </x:c>
      <x:c r="B253" s="24" t="str">
        <x:v>Latvia</x:v>
      </x:c>
      <x:c r="C253" s="24" t="str">
        <x:v>LVA</x:v>
      </x:c>
      <x:c r="D253" s="24" t="str">
        <x:v>LVA</x:v>
      </x:c>
      <x:c r="E253" s="24" t="n">
        <x:v>2003</x:v>
      </x:c>
      <x:c r="F253" s="37" t="n">
        <x:v>1.59</x:v>
      </x:c>
      <x:c r="G253" s="38" t="n">
        <x:v>2288984</x:v>
      </x:c>
      <x:c r="H253" s="38" t="n">
        <x:v>2288984</x:v>
      </x:c>
      <x:c r="I253" s="39" t="n">
        <x:f>H253/G253</x:f>
        <x:v>1</x:v>
      </x:c>
      <x:c r="J253" s="40" t="n">
        <x:f>(I253-1)*100</x:f>
        <x:v>0</x:v>
      </x:c>
      <x:c r="K253" s="36" t="str">
        <x:v>no</x:v>
      </x:c>
      <x:c r="L253" s="36" t="str">
        <x:v>Single-country territory; UN WPP and vanilla are within the ±5% review threshold.</x:v>
      </x:c>
      <x:c r="M253" s="41" t="n">
        <x:v>17097076023</x:v>
      </x:c>
      <x:c r="N253" s="41" t="n">
        <x:v>27184350877</x:v>
      </x:c>
      <x:c r="O253" s="41" t="n">
        <x:v>11876</x:v>
      </x:c>
      <x:c r="P253" s="41" t="n">
        <x:v>7814</x:v>
      </x:c>
      <x:c r="Q253" s="41" t="n">
        <x:v>19170</x:v>
      </x:c>
      <x:c r="R253" s="42" t="n">
        <x:f>MIN(P253,Q253)</x:f>
        <x:v>7814</x:v>
      </x:c>
      <x:c r="S253" s="42" t="n">
        <x:f>MAX(P253,Q253)</x:f>
        <x:v>19170</x:v>
      </x:c>
      <x:c r="T253" s="42" t="n">
        <x:f>MAX(R253,MIN(O253,S253))</x:f>
        <x:v>11876</x:v>
      </x:c>
      <x:c r="U253" s="19" t="str">
        <x:f>IF(O253&lt;R253,IF(R253=P253,"clamped_to_nominal","clamped_to_ppp"),IF(O253&gt;S253,IF(S253=P253,"clamped_to_nominal","clamped_to_ppp"),"kept_vanilla"))</x:f>
        <x:v>kept_vanilla</x:v>
      </x:c>
      <x:c r="V253" s="42" t="n">
        <x:f>T253*H253</x:f>
        <x:v>27183973984</x:v>
      </x:c>
      <x:c r="W253" s="42" t="n">
        <x:f>V253/F253</x:f>
        <x:v>17096838983.647799</x:v>
      </x:c>
      <x:c r="X253" s="36" t="str">
        <x:v>LVA: UN WPP 2024 Medium exact 2003</x:v>
      </x:c>
      <x:c r="Y253" s="36" t="str">
        <x:v>LVA: IMF exact 2003</x:v>
      </x:c>
      <x:c r="Z253" s="36" t="str">
        <x:v>LVA: IMF exact 2003</x:v>
      </x:c>
      <x:c r="AA253" s="36" t="str">
        <x:v>complete_primary</x:v>
      </x:c>
      <x:c r="AB253" s="36" t="str">
        <x:v>https://www.un.org/development/desa/pd/world-population-prospects-2024</x:v>
      </x:c>
      <x:c r="AC253" s="36" t="str">
        <x:v>https://api.imf.org/external/sdmx/3.0/data/dataflow/IMF.RES/WEO/9.0.0/</x:v>
      </x:c>
      <x:c r="AD253" s="36" t="str">
        <x:v>https://api.worldbank.org/v2/</x:v>
      </x:c>
    </x:row>
    <x:row r="254">
      <x:c r="A254" s="24" t="str">
        <x:v>LVA</x:v>
      </x:c>
      <x:c r="B254" s="24" t="str">
        <x:v>Latvia</x:v>
      </x:c>
      <x:c r="C254" s="24" t="str">
        <x:v>LVA</x:v>
      </x:c>
      <x:c r="D254" s="24" t="str">
        <x:v>LVA</x:v>
      </x:c>
      <x:c r="E254" s="24" t="n">
        <x:v>2022</x:v>
      </x:c>
      <x:c r="F254" s="37" t="n">
        <x:v>1</x:v>
      </x:c>
      <x:c r="G254" s="38" t="n">
        <x:v>1843485</x:v>
      </x:c>
      <x:c r="H254" s="38" t="n">
        <x:v>1881063</x:v>
      </x:c>
      <x:c r="I254" s="39" t="n">
        <x:f>H254/G254</x:f>
        <x:v>1.0203842179350524</x:v>
      </x:c>
      <x:c r="J254" s="40" t="n">
        <x:f>(I254-1)*100</x:f>
        <x:v>2.0384217935052407</x:v>
      </x:c>
      <x:c r="K254" s="36" t="str">
        <x:v>no</x:v>
      </x:c>
      <x:c r="L254" s="36" t="str">
        <x:v>Single-country territory; UN WPP and vanilla are within the ±5% review threshold.</x:v>
      </x:c>
      <x:c r="M254" s="41" t="n">
        <x:v>62068160000</x:v>
      </x:c>
      <x:c r="N254" s="41" t="n">
        <x:v>62068160000</x:v>
      </x:c>
      <x:c r="O254" s="41" t="n">
        <x:v>33669</x:v>
      </x:c>
      <x:c r="P254" s="41" t="n">
        <x:v>20219</x:v>
      </x:c>
      <x:c r="Q254" s="41" t="n">
        <x:v>38934</x:v>
      </x:c>
      <x:c r="R254" s="42" t="n">
        <x:f>MIN(P254,Q254)</x:f>
        <x:v>20219</x:v>
      </x:c>
      <x:c r="S254" s="42" t="n">
        <x:f>MAX(P254,Q254)</x:f>
        <x:v>38934</x:v>
      </x:c>
      <x:c r="T254" s="42" t="n">
        <x:f>MAX(R254,MIN(O254,S254))</x:f>
        <x:v>33669</x:v>
      </x:c>
      <x:c r="U254" s="19" t="str">
        <x:f>IF(O254&lt;R254,IF(R254=P254,"clamped_to_nominal","clamped_to_ppp"),IF(O254&gt;S254,IF(S254=P254,"clamped_to_nominal","clamped_to_ppp"),"kept_vanilla"))</x:f>
        <x:v>kept_vanilla</x:v>
      </x:c>
      <x:c r="V254" s="42" t="n">
        <x:f>T254*H254</x:f>
        <x:v>63333510147</x:v>
      </x:c>
      <x:c r="W254" s="42" t="n">
        <x:f>V254/F254</x:f>
        <x:v>63333510147</x:v>
      </x:c>
      <x:c r="X254" s="36" t="str">
        <x:v>LVA: UN WPP 2024 Medium exact 2022</x:v>
      </x:c>
      <x:c r="Y254" s="36" t="str">
        <x:v>LVA: IMF exact 2022</x:v>
      </x:c>
      <x:c r="Z254" s="36" t="str">
        <x:v>LVA: IMF exact 2022</x:v>
      </x:c>
      <x:c r="AA254" s="36" t="str">
        <x:v>complete_primary</x:v>
      </x:c>
      <x:c r="AB254" s="36" t="str">
        <x:v>https://www.un.org/development/desa/pd/world-population-prospects-2024</x:v>
      </x:c>
      <x:c r="AC254" s="36" t="str">
        <x:v>https://api.imf.org/external/sdmx/3.0/data/dataflow/IMF.RES/WEO/9.0.0/</x:v>
      </x:c>
      <x:c r="AD254" s="36" t="str">
        <x:v>https://api.worldbank.org/v2/</x:v>
      </x:c>
    </x:row>
    <x:row r="255">
      <x:c r="A255" s="24" t="str">
        <x:v>LVA</x:v>
      </x:c>
      <x:c r="B255" s="24" t="str">
        <x:v>Latvia</x:v>
      </x:c>
      <x:c r="C255" s="24" t="str">
        <x:v>LVA</x:v>
      </x:c>
      <x:c r="D255" s="24" t="str">
        <x:v>LVA</x:v>
      </x:c>
      <x:c r="E255" s="24" t="n">
        <x:v>2026</x:v>
      </x:c>
      <x:c r="F255" s="37" t="n">
        <x:v>0.87</x:v>
      </x:c>
      <x:c r="G255" s="38" t="n">
        <x:v>1835935</x:v>
      </x:c>
      <x:c r="H255" s="38" t="n">
        <x:v>1835935</x:v>
      </x:c>
      <x:c r="I255" s="39" t="n">
        <x:f>H255/G255</x:f>
        <x:v>1</x:v>
      </x:c>
      <x:c r="J255" s="40" t="n">
        <x:f>(I255-1)*100</x:f>
        <x:v>0</x:v>
      </x:c>
      <x:c r="K255" s="36" t="str">
        <x:v>no</x:v>
      </x:c>
      <x:c r="L255" s="36" t="str">
        <x:v>Single-country territory; UN WPP and vanilla are within the ±5% review threshold.</x:v>
      </x:c>
      <x:c r="M255" s="41" t="n">
        <x:v>73260880000</x:v>
      </x:c>
      <x:c r="N255" s="41" t="n">
        <x:v>63736965600</x:v>
      </x:c>
      <x:c r="O255" s="41" t="n">
        <x:v>34716</x:v>
      </x:c>
      <x:c r="P255" s="41" t="n">
        <x:v>25440</x:v>
      </x:c>
      <x:c r="Q255" s="41" t="n">
        <x:v>40335</x:v>
      </x:c>
      <x:c r="R255" s="42" t="n">
        <x:f>MIN(P255,Q255)</x:f>
        <x:v>25440</x:v>
      </x:c>
      <x:c r="S255" s="42" t="n">
        <x:f>MAX(P255,Q255)</x:f>
        <x:v>40335</x:v>
      </x:c>
      <x:c r="T255" s="42" t="n">
        <x:f>MAX(R255,MIN(O255,S255))</x:f>
        <x:v>34716</x:v>
      </x:c>
      <x:c r="U255" s="19" t="str">
        <x:f>IF(O255&lt;R255,IF(R255=P255,"clamped_to_nominal","clamped_to_ppp"),IF(O255&gt;S255,IF(S255=P255,"clamped_to_nominal","clamped_to_ppp"),"kept_vanilla"))</x:f>
        <x:v>kept_vanilla</x:v>
      </x:c>
      <x:c r="V255" s="42" t="n">
        <x:f>T255*H255</x:f>
        <x:v>63736319460</x:v>
      </x:c>
      <x:c r="W255" s="42" t="n">
        <x:f>V255/F255</x:f>
        <x:v>73260137310.34483</x:v>
      </x:c>
      <x:c r="X255" s="36" t="str">
        <x:v>LVA: UN WPP 2024 Medium exact 2026</x:v>
      </x:c>
      <x:c r="Y255" s="36" t="str">
        <x:v>LVA: IMF exact 2026</x:v>
      </x:c>
      <x:c r="Z255" s="36" t="str">
        <x:v>LVA: IMF exact 2026</x:v>
      </x:c>
      <x:c r="AA255" s="36" t="str">
        <x:v>complete_primary</x:v>
      </x:c>
      <x:c r="AB255" s="36" t="str">
        <x:v>https://www.un.org/development/desa/pd/world-population-prospects-2024</x:v>
      </x:c>
      <x:c r="AC255" s="36" t="str">
        <x:v>https://api.imf.org/external/sdmx/3.0/data/dataflow/IMF.RES/WEO/9.0.0/</x:v>
      </x:c>
      <x:c r="AD255" s="36" t="str">
        <x:v>https://api.worldbank.org/v2/</x:v>
      </x:c>
    </x:row>
    <x:row r="256">
      <x:c r="A256" s="24" t="str">
        <x:v>LEB</x:v>
      </x:c>
      <x:c r="B256" s="24" t="str">
        <x:v>Lebanon</x:v>
      </x:c>
      <x:c r="C256" s="24" t="str">
        <x:v>LBN</x:v>
      </x:c>
      <x:c r="D256" s="24" t="str">
        <x:v>LBN</x:v>
      </x:c>
      <x:c r="E256" s="24" t="n">
        <x:v>2003</x:v>
      </x:c>
      <x:c r="F256" s="37" t="n">
        <x:v>1.59</x:v>
      </x:c>
      <x:c r="G256" s="38" t="n">
        <x:v>4525508</x:v>
      </x:c>
      <x:c r="H256" s="38" t="n">
        <x:v>4525508</x:v>
      </x:c>
      <x:c r="I256" s="39" t="n">
        <x:f>H256/G256</x:f>
        <x:v>1</x:v>
      </x:c>
      <x:c r="J256" s="40" t="n">
        <x:f>(I256-1)*100</x:f>
        <x:v>0</x:v>
      </x:c>
      <x:c r="K256" s="36" t="str">
        <x:v>no</x:v>
      </x:c>
      <x:c r="L256" s="36" t="str">
        <x:v>Single-country territory; UN WPP and vanilla are within the ±5% review threshold.</x:v>
      </x:c>
      <x:c r="M256" s="41" t="n">
        <x:v>32277192982</x:v>
      </x:c>
      <x:c r="N256" s="41" t="n">
        <x:v>51320736841</x:v>
      </x:c>
      <x:c r="O256" s="41" t="n">
        <x:v>11340</x:v>
      </x:c>
      <x:c r="P256" s="41" t="n">
        <x:v>6846</x:v>
      </x:c>
      <x:c r="Q256" s="41" t="n">
        <x:v>19344</x:v>
      </x:c>
      <x:c r="R256" s="42" t="n">
        <x:f>MIN(P256,Q256)</x:f>
        <x:v>6846</x:v>
      </x:c>
      <x:c r="S256" s="42" t="n">
        <x:f>MAX(P256,Q256)</x:f>
        <x:v>19344</x:v>
      </x:c>
      <x:c r="T256" s="42" t="n">
        <x:f>MAX(R256,MIN(O256,S256))</x:f>
        <x:v>11340</x:v>
      </x:c>
      <x:c r="U256" s="19" t="str">
        <x:f>IF(O256&lt;R256,IF(R256=P256,"clamped_to_nominal","clamped_to_ppp"),IF(O256&gt;S256,IF(S256=P256,"clamped_to_nominal","clamped_to_ppp"),"kept_vanilla"))</x:f>
        <x:v>kept_vanilla</x:v>
      </x:c>
      <x:c r="V256" s="42" t="n">
        <x:f>T256*H256</x:f>
        <x:v>51319260720</x:v>
      </x:c>
      <x:c r="W256" s="42" t="n">
        <x:f>V256/F256</x:f>
        <x:v>32276264603.773582</x:v>
      </x:c>
      <x:c r="X256" s="36" t="str">
        <x:v>LBN: UN WPP 2024 Medium exact 2003</x:v>
      </x:c>
      <x:c r="Y256" s="36" t="str">
        <x:v>LBN: IMF exact 2003</x:v>
      </x:c>
      <x:c r="Z256" s="36" t="str">
        <x:v>LBN: IMF exact 2003</x:v>
      </x:c>
      <x:c r="AA256" s="36" t="str">
        <x:v>complete_primary</x:v>
      </x:c>
      <x:c r="AB256" s="36" t="str">
        <x:v>https://www.un.org/development/desa/pd/world-population-prospects-2024</x:v>
      </x:c>
      <x:c r="AC256" s="36" t="str">
        <x:v>https://api.imf.org/external/sdmx/3.0/data/dataflow/IMF.RES/WEO/9.0.0/</x:v>
      </x:c>
      <x:c r="AD256" s="36" t="str">
        <x:v>https://api.worldbank.org/v2/</x:v>
      </x:c>
    </x:row>
    <x:row r="257">
      <x:c r="A257" s="24" t="str">
        <x:v>LEB</x:v>
      </x:c>
      <x:c r="B257" s="24" t="str">
        <x:v>Lebanon</x:v>
      </x:c>
      <x:c r="C257" s="24" t="str">
        <x:v>LBN</x:v>
      </x:c>
      <x:c r="D257" s="24" t="str">
        <x:v>LBN</x:v>
      </x:c>
      <x:c r="E257" s="24" t="n">
        <x:v>2022</x:v>
      </x:c>
      <x:c r="F257" s="37" t="n">
        <x:v>1</x:v>
      </x:c>
      <x:c r="G257" s="38" t="n">
        <x:v>6654038</x:v>
      </x:c>
      <x:c r="H257" s="38" t="n">
        <x:v>5744489</x:v>
      </x:c>
      <x:c r="I257" s="39" t="n">
        <x:f>H257/G257</x:f>
        <x:v>0.8633087157001508</x:v>
      </x:c>
      <x:c r="J257" s="40" t="n">
        <x:f>(I257-1)*100</x:f>
        <x:v>-13.669128429984923</x:v>
      </x:c>
      <x:c r="K257" s="36" t="str">
        <x:v>yes — reviewed</x:v>
      </x:c>
      <x:c r="L257" s="36" t="str">
        <x:v>Single-country game territory and UN country/area boundary align. The difference is an updated historical estimate/projection vintage, not a geographic-scope mismatch; accept the UN WPP value for a consistent source vintage.</x:v>
      </x:c>
      <x:c r="M257" s="41" t="n">
        <x:v>72286720000</x:v>
      </x:c>
      <x:c r="N257" s="41" t="n">
        <x:v>72286720000</x:v>
      </x:c>
      <x:c r="O257" s="41" t="n">
        <x:v>10864</x:v>
      </x:c>
      <x:c r="P257" s="41" t="n">
        <x:v>4469</x:v>
      </x:c>
      <x:c r="Q257" s="41" t="n">
        <x:v>11703</x:v>
      </x:c>
      <x:c r="R257" s="42" t="n">
        <x:f>MIN(P257,Q257)</x:f>
        <x:v>4469</x:v>
      </x:c>
      <x:c r="S257" s="42" t="n">
        <x:f>MAX(P257,Q257)</x:f>
        <x:v>11703</x:v>
      </x:c>
      <x:c r="T257" s="42" t="n">
        <x:f>MAX(R257,MIN(O257,S257))</x:f>
        <x:v>10864</x:v>
      </x:c>
      <x:c r="U257" s="19" t="str">
        <x:f>IF(O257&lt;R257,IF(R257=P257,"clamped_to_nominal","clamped_to_ppp"),IF(O257&gt;S257,IF(S257=P257,"clamped_to_nominal","clamped_to_ppp"),"kept_vanilla"))</x:f>
        <x:v>kept_vanilla</x:v>
      </x:c>
      <x:c r="V257" s="42" t="n">
        <x:f>T257*H257</x:f>
        <x:v>62408128496</x:v>
      </x:c>
      <x:c r="W257" s="42" t="n">
        <x:f>V257/F257</x:f>
        <x:v>62408128496</x:v>
      </x:c>
      <x:c r="X257" s="36" t="str">
        <x:v>LBN: UN WPP 2024 Medium exact 2022</x:v>
      </x:c>
      <x:c r="Y257" s="36" t="str">
        <x:v>LBN: IMF exact 2022</x:v>
      </x:c>
      <x:c r="Z257" s="36" t="str">
        <x:v>LBN: IMF exact 2022</x:v>
      </x:c>
      <x:c r="AA257" s="36" t="str">
        <x:v>complete_primary</x:v>
      </x:c>
      <x:c r="AB257" s="36" t="str">
        <x:v>https://www.un.org/development/desa/pd/world-population-prospects-2024</x:v>
      </x:c>
      <x:c r="AC257" s="36" t="str">
        <x:v>https://api.imf.org/external/sdmx/3.0/data/dataflow/IMF.RES/WEO/9.0.0/</x:v>
      </x:c>
      <x:c r="AD257" s="36" t="str">
        <x:v>https://api.worldbank.org/v2/</x:v>
      </x:c>
    </x:row>
    <x:row r="258">
      <x:c r="A258" s="24" t="str">
        <x:v>LEB</x:v>
      </x:c>
      <x:c r="B258" s="24" t="str">
        <x:v>Lebanon</x:v>
      </x:c>
      <x:c r="C258" s="24" t="str">
        <x:v>LBN</x:v>
      </x:c>
      <x:c r="D258" s="24" t="str">
        <x:v>LBN</x:v>
      </x:c>
      <x:c r="E258" s="24" t="n">
        <x:v>2026</x:v>
      </x:c>
      <x:c r="F258" s="37" t="n">
        <x:v>0.87</x:v>
      </x:c>
      <x:c r="G258" s="38" t="n">
        <x:v>5897467</x:v>
      </x:c>
      <x:c r="H258" s="38" t="n">
        <x:v>5897467</x:v>
      </x:c>
      <x:c r="I258" s="39" t="n">
        <x:f>H258/G258</x:f>
        <x:v>1</x:v>
      </x:c>
      <x:c r="J258" s="40" t="n">
        <x:f>(I258-1)*100</x:f>
        <x:v>0</x:v>
      </x:c>
      <x:c r="K258" s="36" t="str">
        <x:v>no</x:v>
      </x:c>
      <x:c r="L258" s="36" t="str">
        <x:v>Single-country territory; UN WPP and vanilla are within the ±5% review threshold.</x:v>
      </x:c>
      <x:c r="M258" s="41" t="n">
        <x:v>55587840000</x:v>
      </x:c>
      <x:c r="N258" s="41" t="n">
        <x:v>48361420800</x:v>
      </x:c>
      <x:c r="O258" s="41" t="n">
        <x:v>8200</x:v>
      </x:c>
      <x:c r="P258" s="41" t="n">
        <x:v>5872</x:v>
      </x:c>
      <x:c r="Q258" s="41" t="n">
        <x:v>11273</x:v>
      </x:c>
      <x:c r="R258" s="42" t="n">
        <x:f>MIN(P258,Q258)</x:f>
        <x:v>5872</x:v>
      </x:c>
      <x:c r="S258" s="42" t="n">
        <x:f>MAX(P258,Q258)</x:f>
        <x:v>11273</x:v>
      </x:c>
      <x:c r="T258" s="42" t="n">
        <x:f>MAX(R258,MIN(O258,S258))</x:f>
        <x:v>8200</x:v>
      </x:c>
      <x:c r="U258" s="19" t="str">
        <x:f>IF(O258&lt;R258,IF(R258=P258,"clamped_to_nominal","clamped_to_ppp"),IF(O258&gt;S258,IF(S258=P258,"clamped_to_nominal","clamped_to_ppp"),"kept_vanilla"))</x:f>
        <x:v>kept_vanilla</x:v>
      </x:c>
      <x:c r="V258" s="42" t="n">
        <x:f>T258*H258</x:f>
        <x:v>48359229400</x:v>
      </x:c>
      <x:c r="W258" s="42" t="n">
        <x:f>V258/F258</x:f>
        <x:v>55585321149.425285</x:v>
      </x:c>
      <x:c r="X258" s="36" t="str">
        <x:v>LBN: UN WPP 2024 Medium exact 2026</x:v>
      </x:c>
      <x:c r="Y258" s="36" t="str">
        <x:v>LBN: peer-growth inference from IMF 2025; Middle East, North Africa, Afghanistan &amp; Pakistan median 1.83%/yr (18 peers, capped at ±8%)</x:v>
      </x:c>
      <x:c r="Z258" s="36" t="str">
        <x:v>LBN: peer-growth inference from IMF 2025; Middle East, North Africa, Afghanistan &amp; Pakistan; Lower middle income median -3.91%/yr (5 peers, capped at ±8%)</x:v>
      </x:c>
      <x:c r="AA258" s="36" t="str">
        <x:v>inferred</x:v>
      </x:c>
      <x:c r="AB258" s="36" t="str">
        <x:v>https://www.un.org/development/desa/pd/world-population-prospects-2024</x:v>
      </x:c>
      <x:c r="AC258" s="36" t="str">
        <x:v>https://api.imf.org/external/sdmx/3.0/data/dataflow/IMF.RES/WEO/9.0.0/</x:v>
      </x:c>
      <x:c r="AD258" s="36" t="str">
        <x:v>https://api.worldbank.org/v2/</x:v>
      </x:c>
    </x:row>
    <x:row r="259">
      <x:c r="A259" s="24" t="str">
        <x:v>LES</x:v>
      </x:c>
      <x:c r="B259" s="24" t="str">
        <x:v>Lesotho</x:v>
      </x:c>
      <x:c r="C259" s="24" t="str">
        <x:v>LSO</x:v>
      </x:c>
      <x:c r="D259" s="24" t="str">
        <x:v>LSO</x:v>
      </x:c>
      <x:c r="E259" s="24" t="n">
        <x:v>2003</x:v>
      </x:c>
      <x:c r="F259" s="37" t="n">
        <x:v>1.59</x:v>
      </x:c>
      <x:c r="G259" s="38" t="n">
        <x:v>1985059</x:v>
      </x:c>
      <x:c r="H259" s="38" t="n">
        <x:v>1985059</x:v>
      </x:c>
      <x:c r="I259" s="39" t="n">
        <x:f>H259/G259</x:f>
        <x:v>1</x:v>
      </x:c>
      <x:c r="J259" s="40" t="n">
        <x:f>(I259-1)*100</x:f>
        <x:v>0</x:v>
      </x:c>
      <x:c r="K259" s="36" t="str">
        <x:v>no</x:v>
      </x:c>
      <x:c r="L259" s="36" t="str">
        <x:v>Single-country territory; UN WPP and vanilla are within the ±5% review threshold.</x:v>
      </x:c>
      <x:c r="M259" s="41" t="n">
        <x:v>1772514620</x:v>
      </x:c>
      <x:c r="N259" s="41" t="n">
        <x:v>2818298246</x:v>
      </x:c>
      <x:c r="O259" s="41" t="n">
        <x:v>1420</x:v>
      </x:c>
      <x:c r="P259" s="41" t="n">
        <x:v>1006</x:v>
      </x:c>
      <x:c r="Q259" s="41" t="n">
        <x:v>2435</x:v>
      </x:c>
      <x:c r="R259" s="42" t="n">
        <x:f>MIN(P259,Q259)</x:f>
        <x:v>1006</x:v>
      </x:c>
      <x:c r="S259" s="42" t="n">
        <x:f>MAX(P259,Q259)</x:f>
        <x:v>2435</x:v>
      </x:c>
      <x:c r="T259" s="42" t="n">
        <x:f>MAX(R259,MIN(O259,S259))</x:f>
        <x:v>1420</x:v>
      </x:c>
      <x:c r="U259" s="19" t="str">
        <x:f>IF(O259&lt;R259,IF(R259=P259,"clamped_to_nominal","clamped_to_ppp"),IF(O259&gt;S259,IF(S259=P259,"clamped_to_nominal","clamped_to_ppp"),"kept_vanilla"))</x:f>
        <x:v>kept_vanilla</x:v>
      </x:c>
      <x:c r="V259" s="42" t="n">
        <x:f>T259*H259</x:f>
        <x:v>2818783780</x:v>
      </x:c>
      <x:c r="W259" s="42" t="n">
        <x:f>V259/F259</x:f>
        <x:v>1772819987.4213836</x:v>
      </x:c>
      <x:c r="X259" s="36" t="str">
        <x:v>LSO: UN WPP 2024 Medium exact 2003</x:v>
      </x:c>
      <x:c r="Y259" s="36" t="str">
        <x:v>LSO: IMF exact 2003</x:v>
      </x:c>
      <x:c r="Z259" s="36" t="str">
        <x:v>LSO: IMF exact 2003</x:v>
      </x:c>
      <x:c r="AA259" s="36" t="str">
        <x:v>complete_primary</x:v>
      </x:c>
      <x:c r="AB259" s="36" t="str">
        <x:v>https://www.un.org/development/desa/pd/world-population-prospects-2024</x:v>
      </x:c>
      <x:c r="AC259" s="36" t="str">
        <x:v>https://api.imf.org/external/sdmx/3.0/data/dataflow/IMF.RES/WEO/9.0.0/</x:v>
      </x:c>
      <x:c r="AD259" s="36" t="str">
        <x:v>https://api.worldbank.org/v2/</x:v>
      </x:c>
    </x:row>
    <x:row r="260">
      <x:c r="A260" s="24" t="str">
        <x:v>LES</x:v>
      </x:c>
      <x:c r="B260" s="24" t="str">
        <x:v>Lesotho</x:v>
      </x:c>
      <x:c r="C260" s="24" t="str">
        <x:v>LSO</x:v>
      </x:c>
      <x:c r="D260" s="24" t="str">
        <x:v>LSO</x:v>
      </x:c>
      <x:c r="E260" s="24" t="n">
        <x:v>2022</x:v>
      </x:c>
      <x:c r="F260" s="37" t="n">
        <x:v>1</x:v>
      </x:c>
      <x:c r="G260" s="38" t="n">
        <x:v>2180787</x:v>
      </x:c>
      <x:c r="H260" s="38" t="n">
        <x:v>2286110</x:v>
      </x:c>
      <x:c r="I260" s="39" t="n">
        <x:f>H260/G260</x:f>
        <x:v>1.0482958675010443</x:v>
      </x:c>
      <x:c r="J260" s="40" t="n">
        <x:f>(I260-1)*100</x:f>
        <x:v>4.829586750104431</x:v>
      </x:c>
      <x:c r="K260" s="36" t="str">
        <x:v>no</x:v>
      </x:c>
      <x:c r="L260" s="36" t="str">
        <x:v>Single-country territory; UN WPP and vanilla are within the ±5% review threshold.</x:v>
      </x:c>
      <x:c r="M260" s="41" t="n">
        <x:v>5639040000</x:v>
      </x:c>
      <x:c r="N260" s="41" t="n">
        <x:v>5639040000</x:v>
      </x:c>
      <x:c r="O260" s="41" t="n">
        <x:v>2586</x:v>
      </x:c>
      <x:c r="P260" s="41" t="n">
        <x:v>995</x:v>
      </x:c>
      <x:c r="Q260" s="41" t="n">
        <x:v>2790</x:v>
      </x:c>
      <x:c r="R260" s="42" t="n">
        <x:f>MIN(P260,Q260)</x:f>
        <x:v>995</x:v>
      </x:c>
      <x:c r="S260" s="42" t="n">
        <x:f>MAX(P260,Q260)</x:f>
        <x:v>2790</x:v>
      </x:c>
      <x:c r="T260" s="42" t="n">
        <x:f>MAX(R260,MIN(O260,S260))</x:f>
        <x:v>2586</x:v>
      </x:c>
      <x:c r="U260" s="19" t="str">
        <x:f>IF(O260&lt;R260,IF(R260=P260,"clamped_to_nominal","clamped_to_ppp"),IF(O260&gt;S260,IF(S260=P260,"clamped_to_nominal","clamped_to_ppp"),"kept_vanilla"))</x:f>
        <x:v>kept_vanilla</x:v>
      </x:c>
      <x:c r="V260" s="42" t="n">
        <x:f>T260*H260</x:f>
        <x:v>5911880460</x:v>
      </x:c>
      <x:c r="W260" s="42" t="n">
        <x:f>V260/F260</x:f>
        <x:v>5911880460</x:v>
      </x:c>
      <x:c r="X260" s="36" t="str">
        <x:v>LSO: UN WPP 2024 Medium exact 2022</x:v>
      </x:c>
      <x:c r="Y260" s="36" t="str">
        <x:v>LSO: IMF exact 2022</x:v>
      </x:c>
      <x:c r="Z260" s="36" t="str">
        <x:v>LSO: IMF exact 2022</x:v>
      </x:c>
      <x:c r="AA260" s="36" t="str">
        <x:v>complete_primary</x:v>
      </x:c>
      <x:c r="AB260" s="36" t="str">
        <x:v>https://www.un.org/development/desa/pd/world-population-prospects-2024</x:v>
      </x:c>
      <x:c r="AC260" s="36" t="str">
        <x:v>https://api.imf.org/external/sdmx/3.0/data/dataflow/IMF.RES/WEO/9.0.0/</x:v>
      </x:c>
      <x:c r="AD260" s="36" t="str">
        <x:v>https://api.worldbank.org/v2/</x:v>
      </x:c>
    </x:row>
    <x:row r="261">
      <x:c r="A261" s="24" t="str">
        <x:v>LES</x:v>
      </x:c>
      <x:c r="B261" s="24" t="str">
        <x:v>Lesotho</x:v>
      </x:c>
      <x:c r="C261" s="24" t="str">
        <x:v>LSO</x:v>
      </x:c>
      <x:c r="D261" s="24" t="str">
        <x:v>LSO</x:v>
      </x:c>
      <x:c r="E261" s="24" t="n">
        <x:v>2026</x:v>
      </x:c>
      <x:c r="F261" s="37" t="n">
        <x:v>0.87</x:v>
      </x:c>
      <x:c r="G261" s="38" t="n">
        <x:v>2389336</x:v>
      </x:c>
      <x:c r="H261" s="38" t="n">
        <x:v>2389336</x:v>
      </x:c>
      <x:c r="I261" s="39" t="n">
        <x:f>H261/G261</x:f>
        <x:v>1</x:v>
      </x:c>
      <x:c r="J261" s="40" t="n">
        <x:f>(I261-1)*100</x:f>
        <x:v>0</x:v>
      </x:c>
      <x:c r="K261" s="36" t="str">
        <x:v>no</x:v>
      </x:c>
      <x:c r="L261" s="36" t="str">
        <x:v>Single-country territory; UN WPP and vanilla are within the ±5% review threshold.</x:v>
      </x:c>
      <x:c r="M261" s="41" t="n">
        <x:v>6520800000</x:v>
      </x:c>
      <x:c r="N261" s="41" t="n">
        <x:v>5673096000</x:v>
      </x:c>
      <x:c r="O261" s="41" t="n">
        <x:v>2374</x:v>
      </x:c>
      <x:c r="P261" s="41" t="n">
        <x:v>1082</x:v>
      </x:c>
      <x:c r="Q261" s="41" t="n">
        <x:v>2878</x:v>
      </x:c>
      <x:c r="R261" s="42" t="n">
        <x:f>MIN(P261,Q261)</x:f>
        <x:v>1082</x:v>
      </x:c>
      <x:c r="S261" s="42" t="n">
        <x:f>MAX(P261,Q261)</x:f>
        <x:v>2878</x:v>
      </x:c>
      <x:c r="T261" s="42" t="n">
        <x:f>MAX(R261,MIN(O261,S261))</x:f>
        <x:v>2374</x:v>
      </x:c>
      <x:c r="U261" s="19" t="str">
        <x:f>IF(O261&lt;R261,IF(R261=P261,"clamped_to_nominal","clamped_to_ppp"),IF(O261&gt;S261,IF(S261=P261,"clamped_to_nominal","clamped_to_ppp"),"kept_vanilla"))</x:f>
        <x:v>kept_vanilla</x:v>
      </x:c>
      <x:c r="V261" s="42" t="n">
        <x:f>T261*H261</x:f>
        <x:v>5672283664</x:v>
      </x:c>
      <x:c r="W261" s="42" t="n">
        <x:f>V261/F261</x:f>
        <x:v>6519866280.45977</x:v>
      </x:c>
      <x:c r="X261" s="36" t="str">
        <x:v>LSO: UN WPP 2024 Medium exact 2026</x:v>
      </x:c>
      <x:c r="Y261" s="36" t="str">
        <x:v>LSO: IMF exact 2026</x:v>
      </x:c>
      <x:c r="Z261" s="36" t="str">
        <x:v>LSO: IMF exact 2026</x:v>
      </x:c>
      <x:c r="AA261" s="36" t="str">
        <x:v>complete_primary</x:v>
      </x:c>
      <x:c r="AB261" s="36" t="str">
        <x:v>https://www.un.org/development/desa/pd/world-population-prospects-2024</x:v>
      </x:c>
      <x:c r="AC261" s="36" t="str">
        <x:v>https://api.imf.org/external/sdmx/3.0/data/dataflow/IMF.RES/WEO/9.0.0/</x:v>
      </x:c>
      <x:c r="AD261" s="36" t="str">
        <x:v>https://api.worldbank.org/v2/</x:v>
      </x:c>
    </x:row>
    <x:row r="262">
      <x:c r="A262" s="24" t="str">
        <x:v>CAB</x:v>
      </x:c>
      <x:c r="B262" s="24" t="str">
        <x:v>Lesser Antilles States</x:v>
      </x:c>
      <x:c r="C262" s="24" t="str">
        <x:v>TTO+BRB+LCA</x:v>
      </x:c>
      <x:c r="D262" s="24" t="str">
        <x:v>TTO+BRB+LCA+ATG+DMA+GRD+VCT+KNA</x:v>
      </x:c>
      <x:c r="E262" s="24" t="n">
        <x:v>2003</x:v>
      </x:c>
      <x:c r="F262" s="37" t="n">
        <x:v>1.59</x:v>
      </x:c>
      <x:c r="G262" s="38" t="n">
        <x:v>2182077</x:v>
      </x:c>
      <x:c r="H262" s="38" t="n">
        <x:v>2182077</x:v>
      </x:c>
      <x:c r="I262" s="39" t="n">
        <x:f>H262/G262</x:f>
        <x:v>1</x:v>
      </x:c>
      <x:c r="J262" s="40" t="n">
        <x:f>(I262-1)*100</x:f>
        <x:v>0</x:v>
      </x:c>
      <x:c r="K262" s="36" t="str">
        <x:v>no</x:v>
      </x:c>
      <x:c r="L262" s="36" t="str">
        <x:v>Added Antigua and Barbuda, Dominica, Grenada, Saint Vincent and the Grenadines, and Saint Kitts and Nevis. The expanded sovereign-island set exactly reproduces the 2003 and 2026 vanilla totals.</x:v>
      </x:c>
      <x:c r="M262" s="41" t="n">
        <x:v>19515136183</x:v>
      </x:c>
      <x:c r="N262" s="41" t="n">
        <x:v>31029066531</x:v>
      </x:c>
      <x:c r="O262" s="41" t="n">
        <x:v>14220</x:v>
      </x:c>
      <x:c r="P262" s="41" t="n">
        <x:v>13858</x:v>
      </x:c>
      <x:c r="Q262" s="41" t="n">
        <x:v>23486</x:v>
      </x:c>
      <x:c r="R262" s="42" t="n">
        <x:f>MIN(P262,Q262)</x:f>
        <x:v>13858</x:v>
      </x:c>
      <x:c r="S262" s="42" t="n">
        <x:f>MAX(P262,Q262)</x:f>
        <x:v>23486</x:v>
      </x:c>
      <x:c r="T262" s="42" t="n">
        <x:f>MAX(R262,MIN(O262,S262))</x:f>
        <x:v>14220</x:v>
      </x:c>
      <x:c r="U262" s="19" t="str">
        <x:f>IF(O262&lt;R262,IF(R262=P262,"clamped_to_nominal","clamped_to_ppp"),IF(O262&gt;S262,IF(S262=P262,"clamped_to_nominal","clamped_to_ppp"),"kept_vanilla"))</x:f>
        <x:v>kept_vanilla</x:v>
      </x:c>
      <x:c r="V262" s="42" t="n">
        <x:f>T262*H262</x:f>
        <x:v>31029134940</x:v>
      </x:c>
      <x:c r="W262" s="42" t="n">
        <x:f>V262/F262</x:f>
        <x:v>19515179207.54717</x:v>
      </x:c>
      <x:c r="X262" s="36" t="str">
        <x:v>TTO: UN WPP 2024 Medium exact 2003; BRB: UN WPP 2024 Medium exact 2003; LCA: UN WPP 2024 Medium exact 2003; ATG: UN WPP 2024 Medium exact 2003; DMA: UN WPP 2024 Medium exact 2003; GRD: UN WPP 2024 Medium exact 2003; VCT: UN WPP 2024 Medium exact 2003; KNA: UN WPP 2024 Medium exact 2003</x:v>
      </x:c>
      <x:c r="Y262" s="36" t="str">
        <x:v>TTO: IMF exact 2003; BRB: IMF exact 2003; LCA: IMF exact 2003; ATG: World Bank exact 2003; DMA: World Bank exact 2003; GRD: World Bank exact 2003; VCT: World Bank exact 2003; KNA: World Bank exact 2003</x:v>
      </x:c>
      <x:c r="Z262" s="36" t="str">
        <x:v>TTO: IMF exact 2003; BRB: IMF exact 2003; LCA: IMF exact 2003; ATG: World Bank exact 2003; DMA: World Bank exact 2003; GRD: World Bank exact 2003; VCT: World Bank exact 2003; KNA: World Bank exact 2003</x:v>
      </x:c>
      <x:c r="AA262" s="36" t="str">
        <x:v>secondary_source</x:v>
      </x:c>
      <x:c r="AB262" s="36" t="str">
        <x:v>https://www.un.org/development/desa/pd/world-population-prospects-2024</x:v>
      </x:c>
      <x:c r="AC262" s="36" t="str">
        <x:v>https://api.imf.org/external/sdmx/3.0/data/dataflow/IMF.RES/WEO/9.0.0/</x:v>
      </x:c>
      <x:c r="AD262" s="36" t="str">
        <x:v>https://api.worldbank.org/v2/</x:v>
      </x:c>
    </x:row>
    <x:row r="263">
      <x:c r="A263" s="24" t="str">
        <x:v>CAB</x:v>
      </x:c>
      <x:c r="B263" s="24" t="str">
        <x:v>Lesser Antilles States</x:v>
      </x:c>
      <x:c r="C263" s="24" t="str">
        <x:v>TTO+BRB+LCA</x:v>
      </x:c>
      <x:c r="D263" s="24" t="str">
        <x:v>TTO+BRB+LCA+ATG+DMA+GRD+VCT+KNA</x:v>
      </x:c>
      <x:c r="E263" s="24" t="n">
        <x:v>2022</x:v>
      </x:c>
      <x:c r="F263" s="37" t="n">
        <x:v>1</x:v>
      </x:c>
      <x:c r="G263" s="38" t="n">
        <x:v>2332559</x:v>
      </x:c>
      <x:c r="H263" s="38" t="n">
        <x:v>2382354</x:v>
      </x:c>
      <x:c r="I263" s="39" t="n">
        <x:f>H263/G263</x:f>
        <x:v>1.0213477987051989</x:v>
      </x:c>
      <x:c r="J263" s="40" t="n">
        <x:f>(I263-1)*100</x:f>
        <x:v>2.1347798705198873</x:v>
      </x:c>
      <x:c r="K263" s="36" t="str">
        <x:v>no</x:v>
      </x:c>
      <x:c r="L263" s="36" t="str">
        <x:v>Added Antigua and Barbuda, Dominica, Grenada, Saint Vincent and the Grenadines, and Saint Kitts and Nevis. The expanded sovereign-island set exactly reproduces the 2003 and 2026 vanilla totals.</x:v>
      </x:c>
      <x:c r="M263" s="41" t="n">
        <x:v>51929680000</x:v>
      </x:c>
      <x:c r="N263" s="41" t="n">
        <x:v>51929680000</x:v>
      </x:c>
      <x:c r="O263" s="41" t="n">
        <x:v>22263</x:v>
      </x:c>
      <x:c r="P263" s="41" t="n">
        <x:v>18149</x:v>
      </x:c>
      <x:c r="Q263" s="41" t="n">
        <x:v>27301</x:v>
      </x:c>
      <x:c r="R263" s="42" t="n">
        <x:f>MIN(P263,Q263)</x:f>
        <x:v>18149</x:v>
      </x:c>
      <x:c r="S263" s="42" t="n">
        <x:f>MAX(P263,Q263)</x:f>
        <x:v>27301</x:v>
      </x:c>
      <x:c r="T263" s="42" t="n">
        <x:f>MAX(R263,MIN(O263,S263))</x:f>
        <x:v>22263</x:v>
      </x:c>
      <x:c r="U263" s="19" t="str">
        <x:f>IF(O263&lt;R263,IF(R263=P263,"clamped_to_nominal","clamped_to_ppp"),IF(O263&gt;S263,IF(S263=P263,"clamped_to_nominal","clamped_to_ppp"),"kept_vanilla"))</x:f>
        <x:v>kept_vanilla</x:v>
      </x:c>
      <x:c r="V263" s="42" t="n">
        <x:f>T263*H263</x:f>
        <x:v>53038347102</x:v>
      </x:c>
      <x:c r="W263" s="42" t="n">
        <x:f>V263/F263</x:f>
        <x:v>53038347102</x:v>
      </x:c>
      <x:c r="X263" s="36" t="str">
        <x:v>TTO: UN WPP 2024 Medium exact 2022; BRB: UN WPP 2024 Medium exact 2022; LCA: UN WPP 2024 Medium exact 2022; ATG: UN WPP 2024 Medium exact 2022; DMA: UN WPP 2024 Medium exact 2022; GRD: UN WPP 2024 Medium exact 2022; VCT: UN WPP 2024 Medium exact 2022; KNA: UN WPP 2024 Medium exact 2022</x:v>
      </x:c>
      <x:c r="Y263" s="36" t="str">
        <x:v>TTO: IMF exact 2022; BRB: IMF exact 2022; LCA: IMF exact 2022; ATG: World Bank exact 2022; DMA: World Bank exact 2022; GRD: World Bank exact 2022; VCT: World Bank exact 2022; KNA: World Bank exact 2022</x:v>
      </x:c>
      <x:c r="Z263" s="36" t="str">
        <x:v>TTO: IMF exact 2022; BRB: IMF exact 2022; LCA: IMF exact 2022; ATG: World Bank exact 2022; DMA: World Bank exact 2022; GRD: World Bank exact 2022; VCT: World Bank exact 2022; KNA: World Bank exact 2022</x:v>
      </x:c>
      <x:c r="AA263" s="36" t="str">
        <x:v>secondary_source</x:v>
      </x:c>
      <x:c r="AB263" s="36" t="str">
        <x:v>https://www.un.org/development/desa/pd/world-population-prospects-2024</x:v>
      </x:c>
      <x:c r="AC263" s="36" t="str">
        <x:v>https://api.imf.org/external/sdmx/3.0/data/dataflow/IMF.RES/WEO/9.0.0/</x:v>
      </x:c>
      <x:c r="AD263" s="36" t="str">
        <x:v>https://api.worldbank.org/v2/</x:v>
      </x:c>
    </x:row>
    <x:row r="264">
      <x:c r="A264" s="24" t="str">
        <x:v>CAB</x:v>
      </x:c>
      <x:c r="B264" s="24" t="str">
        <x:v>Lesser Antilles States</x:v>
      </x:c>
      <x:c r="C264" s="24" t="str">
        <x:v>TTO+BRB+LCA</x:v>
      </x:c>
      <x:c r="D264" s="24" t="str">
        <x:v>TTO+BRB+LCA+ATG+DMA+GRD+VCT+KNA</x:v>
      </x:c>
      <x:c r="E264" s="24" t="n">
        <x:v>2026</x:v>
      </x:c>
      <x:c r="F264" s="37" t="n">
        <x:v>0.87</x:v>
      </x:c>
      <x:c r="G264" s="38" t="n">
        <x:v>2400215</x:v>
      </x:c>
      <x:c r="H264" s="38" t="n">
        <x:v>2400216</x:v>
      </x:c>
      <x:c r="I264" s="39" t="n">
        <x:f>H264/G264</x:f>
        <x:v>1.0000004166293437</x:v>
      </x:c>
      <x:c r="J264" s="40" t="n">
        <x:f>(I264-1)*100</x:f>
        <x:v>0.000041662934369135485</x:v>
      </x:c>
      <x:c r="K264" s="36" t="str">
        <x:v>no</x:v>
      </x:c>
      <x:c r="L264" s="36" t="str">
        <x:v>Added Antigua and Barbuda, Dominica, Grenada, Saint Vincent and the Grenadines, and Saint Kitts and Nevis. The expanded sovereign-island set exactly reproduces the 2003 and 2026 vanilla totals.</x:v>
      </x:c>
      <x:c r="M264" s="41" t="n">
        <x:v>96646000000</x:v>
      </x:c>
      <x:c r="N264" s="41" t="n">
        <x:v>84082020000</x:v>
      </x:c>
      <x:c r="O264" s="41" t="n">
        <x:v>35031</x:v>
      </x:c>
      <x:c r="P264" s="41" t="n">
        <x:v>16501</x:v>
      </x:c>
      <x:c r="Q264" s="41" t="n">
        <x:v>28551</x:v>
      </x:c>
      <x:c r="R264" s="42" t="n">
        <x:f>MIN(P264,Q264)</x:f>
        <x:v>16501</x:v>
      </x:c>
      <x:c r="S264" s="42" t="n">
        <x:f>MAX(P264,Q264)</x:f>
        <x:v>28551</x:v>
      </x:c>
      <x:c r="T264" s="42" t="n">
        <x:f>MAX(R264,MIN(O264,S264))</x:f>
        <x:v>28551</x:v>
      </x:c>
      <x:c r="U264" s="19" t="str">
        <x:f>IF(O264&lt;R264,IF(R264=P264,"clamped_to_nominal","clamped_to_ppp"),IF(O264&gt;S264,IF(S264=P264,"clamped_to_nominal","clamped_to_ppp"),"kept_vanilla"))</x:f>
        <x:v>clamped_to_ppp</x:v>
      </x:c>
      <x:c r="V264" s="42" t="n">
        <x:f>T264*H264</x:f>
        <x:v>68528567016</x:v>
      </x:c>
      <x:c r="W264" s="42" t="n">
        <x:f>V264/F264</x:f>
        <x:v>78768467834.48276</x:v>
      </x:c>
      <x:c r="X264" s="36" t="str">
        <x:v>TTO: UN WPP 2024 Medium exact 2026; BRB: UN WPP 2024 Medium exact 2026; LCA: UN WPP 2024 Medium exact 2026; ATG: UN WPP 2024 Medium exact 2026; DMA: UN WPP 2024 Medium exact 2026; GRD: UN WPP 2024 Medium exact 2026; VCT: UN WPP 2024 Medium exact 2026; KNA: UN WPP 2024 Medium exact 2026</x:v>
      </x:c>
      <x:c r="Y264" s="36" t="str">
        <x:v>TTO: IMF exact 2026; BRB: IMF exact 2026; LCA: IMF exact 2026; ATG: peer-growth inference from World Bank 2025; Latin America &amp; Caribbean ; High income median 6.09%/yr (9 peers, capped at ±8%); DMA: peer-growth inference from World Bank 2025; Latin America &amp; Caribbean ; Upper middle income median 2.88%/yr (14 peers, capped at ±8%); GRD: peer-growth inference from World Bank 2025; Latin America &amp; Caribbean ; Upper middle income median 2.88%/yr (14 peers, capped at ±8%); VCT: peer-growth inference from World Bank 2025; Latin America &amp; Caribbean ; Upper middle income median 2.88%/yr (14 peers, capped at ±8%); KNA: peer-growth inference from World Bank 2025; Latin America &amp; Caribbean ; High income median 6.09%/yr (9 peers, capped at ±8%)</x:v>
      </x:c>
      <x:c r="Z264" s="36" t="str">
        <x:v>TTO: IMF exact 2026; BRB: IMF exact 2026; LCA: IMF exact 2026; ATG: peer-growth inference from World Bank 2025; Latin America &amp; Caribbean ; High income median 4.12%/yr (9 peers, capped at ±8%); DMA: peer-growth inference from World Bank 2025; Latin America &amp; Caribbean ; Upper middle income median 1.56%/yr (14 peers, capped at ±8%); GRD: peer-growth inference from World Bank 2025; Latin America &amp; Caribbean ; Upper middle income median 1.56%/yr (14 peers, capped at ±8%); VCT: peer-growth inference from World Bank 2025; Latin America &amp; Caribbean ; Upper middle income median 1.56%/yr (14 peers, capped at ±8%); KNA: peer-growth inference from World Bank 2025; Latin America &amp; Caribbean ; High income median 4.12%/yr (9 peers, capped at ±8%)</x:v>
      </x:c>
      <x:c r="AA264" s="36" t="str">
        <x:v>inferred</x:v>
      </x:c>
      <x:c r="AB264" s="36" t="str">
        <x:v>https://www.un.org/development/desa/pd/world-population-prospects-2024</x:v>
      </x:c>
      <x:c r="AC264" s="36" t="str">
        <x:v>https://api.imf.org/external/sdmx/3.0/data/dataflow/IMF.RES/WEO/9.0.0/</x:v>
      </x:c>
      <x:c r="AD264" s="36" t="str">
        <x:v>https://api.worldbank.org/v2/</x:v>
      </x:c>
    </x:row>
    <x:row r="265">
      <x:c r="A265" s="24" t="str">
        <x:v>LBR</x:v>
      </x:c>
      <x:c r="B265" s="24" t="str">
        <x:v>Liberia</x:v>
      </x:c>
      <x:c r="C265" s="24" t="str">
        <x:v>LBR</x:v>
      </x:c>
      <x:c r="D265" s="24" t="str">
        <x:v>LBR</x:v>
      </x:c>
      <x:c r="E265" s="24" t="n">
        <x:v>2003</x:v>
      </x:c>
      <x:c r="F265" s="37" t="n">
        <x:v>1.59</x:v>
      </x:c>
      <x:c r="G265" s="38" t="n">
        <x:v>3119532</x:v>
      </x:c>
      <x:c r="H265" s="38" t="n">
        <x:v>3119532</x:v>
      </x:c>
      <x:c r="I265" s="39" t="n">
        <x:f>H265/G265</x:f>
        <x:v>1</x:v>
      </x:c>
      <x:c r="J265" s="40" t="n">
        <x:f>(I265-1)*100</x:f>
        <x:v>0</x:v>
      </x:c>
      <x:c r="K265" s="36" t="str">
        <x:v>no</x:v>
      </x:c>
      <x:c r="L265" s="36" t="str">
        <x:v>Single-country territory; UN WPP and vanilla are within the ±5% review threshold.</x:v>
      </x:c>
      <x:c r="M265" s="41" t="n">
        <x:v>1723391813</x:v>
      </x:c>
      <x:c r="N265" s="41" t="n">
        <x:v>2740192983</x:v>
      </x:c>
      <x:c r="O265" s="41" t="n">
        <x:v>878</x:v>
      </x:c>
      <x:c r="P265" s="41" t="n">
        <x:v>364</x:v>
      </x:c>
      <x:c r="Q265" s="41" t="n">
        <x:v>1502</x:v>
      </x:c>
      <x:c r="R265" s="42" t="n">
        <x:f>MIN(P265,Q265)</x:f>
        <x:v>364</x:v>
      </x:c>
      <x:c r="S265" s="42" t="n">
        <x:f>MAX(P265,Q265)</x:f>
        <x:v>1502</x:v>
      </x:c>
      <x:c r="T265" s="42" t="n">
        <x:f>MAX(R265,MIN(O265,S265))</x:f>
        <x:v>878</x:v>
      </x:c>
      <x:c r="U265" s="19" t="str">
        <x:f>IF(O265&lt;R265,IF(R265=P265,"clamped_to_nominal","clamped_to_ppp"),IF(O265&gt;S265,IF(S265=P265,"clamped_to_nominal","clamped_to_ppp"),"kept_vanilla"))</x:f>
        <x:v>kept_vanilla</x:v>
      </x:c>
      <x:c r="V265" s="42" t="n">
        <x:f>T265*H265</x:f>
        <x:v>2738949096</x:v>
      </x:c>
      <x:c r="W265" s="42" t="n">
        <x:f>V265/F265</x:f>
        <x:v>1722609494.3396225</x:v>
      </x:c>
      <x:c r="X265" s="36" t="str">
        <x:v>LBR: UN WPP 2024 Medium exact 2003</x:v>
      </x:c>
      <x:c r="Y265" s="36" t="str">
        <x:v>LBR: IMF exact 2003</x:v>
      </x:c>
      <x:c r="Z265" s="36" t="str">
        <x:v>LBR: IMF exact 2003</x:v>
      </x:c>
      <x:c r="AA265" s="36" t="str">
        <x:v>complete_primary</x:v>
      </x:c>
      <x:c r="AB265" s="36" t="str">
        <x:v>https://www.un.org/development/desa/pd/world-population-prospects-2024</x:v>
      </x:c>
      <x:c r="AC265" s="36" t="str">
        <x:v>https://api.imf.org/external/sdmx/3.0/data/dataflow/IMF.RES/WEO/9.0.0/</x:v>
      </x:c>
      <x:c r="AD265" s="36" t="str">
        <x:v>https://api.worldbank.org/v2/</x:v>
      </x:c>
    </x:row>
    <x:row r="266">
      <x:c r="A266" s="24" t="str">
        <x:v>LBR</x:v>
      </x:c>
      <x:c r="B266" s="24" t="str">
        <x:v>Liberia</x:v>
      </x:c>
      <x:c r="C266" s="24" t="str">
        <x:v>LBR</x:v>
      </x:c>
      <x:c r="D266" s="24" t="str">
        <x:v>LBR</x:v>
      </x:c>
      <x:c r="E266" s="24" t="n">
        <x:v>2022</x:v>
      </x:c>
      <x:c r="F266" s="37" t="n">
        <x:v>1</x:v>
      </x:c>
      <x:c r="G266" s="38" t="n">
        <x:v>5344396</x:v>
      </x:c>
      <x:c r="H266" s="38" t="n">
        <x:v>5373294</x:v>
      </x:c>
      <x:c r="I266" s="39" t="n">
        <x:f>H266/G266</x:f>
        <x:v>1.0054071592000293</x:v>
      </x:c>
      <x:c r="J266" s="40" t="n">
        <x:f>(I266-1)*100</x:f>
        <x:v>0.5407159200029321</x:v>
      </x:c>
      <x:c r="K266" s="36" t="str">
        <x:v>no</x:v>
      </x:c>
      <x:c r="L266" s="36" t="str">
        <x:v>Single-country territory; UN WPP and vanilla are within the ±5% review threshold.</x:v>
      </x:c>
      <x:c r="M266" s="41" t="n">
        <x:v>7722880000</x:v>
      </x:c>
      <x:c r="N266" s="41" t="n">
        <x:v>7722880000</x:v>
      </x:c>
      <x:c r="O266" s="41" t="n">
        <x:v>1445</x:v>
      </x:c>
      <x:c r="P266" s="41" t="n">
        <x:v>740</x:v>
      </x:c>
      <x:c r="Q266" s="41" t="n">
        <x:v>1689</x:v>
      </x:c>
      <x:c r="R266" s="42" t="n">
        <x:f>MIN(P266,Q266)</x:f>
        <x:v>740</x:v>
      </x:c>
      <x:c r="S266" s="42" t="n">
        <x:f>MAX(P266,Q266)</x:f>
        <x:v>1689</x:v>
      </x:c>
      <x:c r="T266" s="42" t="n">
        <x:f>MAX(R266,MIN(O266,S266))</x:f>
        <x:v>1445</x:v>
      </x:c>
      <x:c r="U266" s="19" t="str">
        <x:f>IF(O266&lt;R266,IF(R266=P266,"clamped_to_nominal","clamped_to_ppp"),IF(O266&gt;S266,IF(S266=P266,"clamped_to_nominal","clamped_to_ppp"),"kept_vanilla"))</x:f>
        <x:v>kept_vanilla</x:v>
      </x:c>
      <x:c r="V266" s="42" t="n">
        <x:f>T266*H266</x:f>
        <x:v>7764409830</x:v>
      </x:c>
      <x:c r="W266" s="42" t="n">
        <x:f>V266/F266</x:f>
        <x:v>7764409830</x:v>
      </x:c>
      <x:c r="X266" s="36" t="str">
        <x:v>LBR: UN WPP 2024 Medium exact 2022</x:v>
      </x:c>
      <x:c r="Y266" s="36" t="str">
        <x:v>LBR: IMF exact 2022</x:v>
      </x:c>
      <x:c r="Z266" s="36" t="str">
        <x:v>LBR: IMF exact 2022</x:v>
      </x:c>
      <x:c r="AA266" s="36" t="str">
        <x:v>complete_primary</x:v>
      </x:c>
      <x:c r="AB266" s="36" t="str">
        <x:v>https://www.un.org/development/desa/pd/world-population-prospects-2024</x:v>
      </x:c>
      <x:c r="AC266" s="36" t="str">
        <x:v>https://api.imf.org/external/sdmx/3.0/data/dataflow/IMF.RES/WEO/9.0.0/</x:v>
      </x:c>
      <x:c r="AD266" s="36" t="str">
        <x:v>https://api.worldbank.org/v2/</x:v>
      </x:c>
    </x:row>
    <x:row r="267">
      <x:c r="A267" s="24" t="str">
        <x:v>LBR</x:v>
      </x:c>
      <x:c r="B267" s="24" t="str">
        <x:v>Liberia</x:v>
      </x:c>
      <x:c r="C267" s="24" t="str">
        <x:v>LBR</x:v>
      </x:c>
      <x:c r="D267" s="24" t="str">
        <x:v>LBR</x:v>
      </x:c>
      <x:c r="E267" s="24" t="n">
        <x:v>2026</x:v>
      </x:c>
      <x:c r="F267" s="37" t="n">
        <x:v>0.87</x:v>
      </x:c>
      <x:c r="G267" s="38" t="n">
        <x:v>5853949</x:v>
      </x:c>
      <x:c r="H267" s="38" t="n">
        <x:v>5853949</x:v>
      </x:c>
      <x:c r="I267" s="39" t="n">
        <x:f>H267/G267</x:f>
        <x:v>1</x:v>
      </x:c>
      <x:c r="J267" s="40" t="n">
        <x:f>(I267-1)*100</x:f>
        <x:v>0</x:v>
      </x:c>
      <x:c r="K267" s="36" t="str">
        <x:v>no</x:v>
      </x:c>
      <x:c r="L267" s="36" t="str">
        <x:v>Single-country territory; UN WPP and vanilla are within the ±5% review threshold.</x:v>
      </x:c>
      <x:c r="M267" s="41" t="n">
        <x:v>10046960000</x:v>
      </x:c>
      <x:c r="N267" s="41" t="n">
        <x:v>8740855200</x:v>
      </x:c>
      <x:c r="O267" s="41" t="n">
        <x:v>1493</x:v>
      </x:c>
      <x:c r="P267" s="41" t="n">
        <x:v>838</x:v>
      </x:c>
      <x:c r="Q267" s="41" t="n">
        <x:v>1823</x:v>
      </x:c>
      <x:c r="R267" s="42" t="n">
        <x:f>MIN(P267,Q267)</x:f>
        <x:v>838</x:v>
      </x:c>
      <x:c r="S267" s="42" t="n">
        <x:f>MAX(P267,Q267)</x:f>
        <x:v>1823</x:v>
      </x:c>
      <x:c r="T267" s="42" t="n">
        <x:f>MAX(R267,MIN(O267,S267))</x:f>
        <x:v>1493</x:v>
      </x:c>
      <x:c r="U267" s="19" t="str">
        <x:f>IF(O267&lt;R267,IF(R267=P267,"clamped_to_nominal","clamped_to_ppp"),IF(O267&gt;S267,IF(S267=P267,"clamped_to_nominal","clamped_to_ppp"),"kept_vanilla"))</x:f>
        <x:v>kept_vanilla</x:v>
      </x:c>
      <x:c r="V267" s="42" t="n">
        <x:f>T267*H267</x:f>
        <x:v>8739945857</x:v>
      </x:c>
      <x:c r="W267" s="42" t="n">
        <x:f>V267/F267</x:f>
        <x:v>10045914778.16092</x:v>
      </x:c>
      <x:c r="X267" s="36" t="str">
        <x:v>LBR: UN WPP 2024 Medium exact 2026</x:v>
      </x:c>
      <x:c r="Y267" s="36" t="str">
        <x:v>LBR: IMF exact 2026</x:v>
      </x:c>
      <x:c r="Z267" s="36" t="str">
        <x:v>LBR: IMF exact 2026</x:v>
      </x:c>
      <x:c r="AA267" s="36" t="str">
        <x:v>complete_primary</x:v>
      </x:c>
      <x:c r="AB267" s="36" t="str">
        <x:v>https://www.un.org/development/desa/pd/world-population-prospects-2024</x:v>
      </x:c>
      <x:c r="AC267" s="36" t="str">
        <x:v>https://api.imf.org/external/sdmx/3.0/data/dataflow/IMF.RES/WEO/9.0.0/</x:v>
      </x:c>
      <x:c r="AD267" s="36" t="str">
        <x:v>https://api.worldbank.org/v2/</x:v>
      </x:c>
    </x:row>
    <x:row r="268">
      <x:c r="A268" s="24" t="str">
        <x:v>LBY</x:v>
      </x:c>
      <x:c r="B268" s="24" t="str">
        <x:v>Libya</x:v>
      </x:c>
      <x:c r="C268" s="24" t="str">
        <x:v>LBY</x:v>
      </x:c>
      <x:c r="D268" s="24" t="str">
        <x:v>LBY</x:v>
      </x:c>
      <x:c r="E268" s="24" t="n">
        <x:v>2003</x:v>
      </x:c>
      <x:c r="F268" s="37" t="n">
        <x:v>1.59</x:v>
      </x:c>
      <x:c r="G268" s="38" t="n">
        <x:v>5619398</x:v>
      </x:c>
      <x:c r="H268" s="38" t="n">
        <x:v>5619398</x:v>
      </x:c>
      <x:c r="I268" s="39" t="n">
        <x:f>H268/G268</x:f>
        <x:v>1</x:v>
      </x:c>
      <x:c r="J268" s="40" t="n">
        <x:f>(I268-1)*100</x:f>
        <x:v>0</x:v>
      </x:c>
      <x:c r="K268" s="36" t="str">
        <x:v>no</x:v>
      </x:c>
      <x:c r="L268" s="36" t="str">
        <x:v>Single-country territory; UN WPP and vanilla are within the ±5% review threshold.</x:v>
      </x:c>
      <x:c r="M268" s="41" t="n">
        <x:v>57739766082</x:v>
      </x:c>
      <x:c r="N268" s="41" t="n">
        <x:v>91806228070</x:v>
      </x:c>
      <x:c r="O268" s="41" t="n">
        <x:v>16337</x:v>
      </x:c>
      <x:c r="P268" s="41" t="n">
        <x:v>7647</x:v>
      </x:c>
      <x:c r="Q268" s="41" t="n">
        <x:v>27937</x:v>
      </x:c>
      <x:c r="R268" s="42" t="n">
        <x:f>MIN(P268,Q268)</x:f>
        <x:v>7647</x:v>
      </x:c>
      <x:c r="S268" s="42" t="n">
        <x:f>MAX(P268,Q268)</x:f>
        <x:v>27937</x:v>
      </x:c>
      <x:c r="T268" s="42" t="n">
        <x:f>MAX(R268,MIN(O268,S268))</x:f>
        <x:v>16337</x:v>
      </x:c>
      <x:c r="U268" s="19" t="str">
        <x:f>IF(O268&lt;R268,IF(R268=P268,"clamped_to_nominal","clamped_to_ppp"),IF(O268&gt;S268,IF(S268=P268,"clamped_to_nominal","clamped_to_ppp"),"kept_vanilla"))</x:f>
        <x:v>kept_vanilla</x:v>
      </x:c>
      <x:c r="V268" s="42" t="n">
        <x:f>T268*H268</x:f>
        <x:v>91804105126</x:v>
      </x:c>
      <x:c r="W268" s="42" t="n">
        <x:f>V268/F268</x:f>
        <x:v>57738430896.85535</x:v>
      </x:c>
      <x:c r="X268" s="36" t="str">
        <x:v>LBY: UN WPP 2024 Medium exact 2003</x:v>
      </x:c>
      <x:c r="Y268" s="36" t="str">
        <x:v>LBY: IMF exact 2003</x:v>
      </x:c>
      <x:c r="Z268" s="36" t="str">
        <x:v>LBY: IMF exact 2003</x:v>
      </x:c>
      <x:c r="AA268" s="36" t="str">
        <x:v>complete_primary</x:v>
      </x:c>
      <x:c r="AB268" s="36" t="str">
        <x:v>https://www.un.org/development/desa/pd/world-population-prospects-2024</x:v>
      </x:c>
      <x:c r="AC268" s="36" t="str">
        <x:v>https://api.imf.org/external/sdmx/3.0/data/dataflow/IMF.RES/WEO/9.0.0/</x:v>
      </x:c>
      <x:c r="AD268" s="36" t="str">
        <x:v>https://api.worldbank.org/v2/</x:v>
      </x:c>
    </x:row>
    <x:row r="269">
      <x:c r="A269" s="24" t="str">
        <x:v>LBY</x:v>
      </x:c>
      <x:c r="B269" s="24" t="str">
        <x:v>Libya</x:v>
      </x:c>
      <x:c r="C269" s="24" t="str">
        <x:v>LBY</x:v>
      </x:c>
      <x:c r="D269" s="24" t="str">
        <x:v>LBY</x:v>
      </x:c>
      <x:c r="E269" s="24" t="n">
        <x:v>2022</x:v>
      </x:c>
      <x:c r="F269" s="37" t="n">
        <x:v>1</x:v>
      </x:c>
      <x:c r="G269" s="38" t="n">
        <x:v>7066241</x:v>
      </x:c>
      <x:c r="H269" s="38" t="n">
        <x:v>7223805</x:v>
      </x:c>
      <x:c r="I269" s="39" t="n">
        <x:f>H269/G269</x:f>
        <x:v>1.0222981355999605</x:v>
      </x:c>
      <x:c r="J269" s="40" t="n">
        <x:f>(I269-1)*100</x:f>
        <x:v>2.2298135599960522</x:v>
      </x:c>
      <x:c r="K269" s="36" t="str">
        <x:v>no</x:v>
      </x:c>
      <x:c r="L269" s="36" t="str">
        <x:v>Single-country territory; UN WPP and vanilla are within the ±5% review threshold.</x:v>
      </x:c>
      <x:c r="M269" s="41" t="n">
        <x:v>109406880000</x:v>
      </x:c>
      <x:c r="N269" s="41" t="n">
        <x:v>109406880000</x:v>
      </x:c>
      <x:c r="O269" s="41" t="n">
        <x:v>15483</x:v>
      </x:c>
      <x:c r="P269" s="41" t="n">
        <x:v>5991</x:v>
      </x:c>
      <x:c r="Q269" s="41" t="n">
        <x:v>12221</x:v>
      </x:c>
      <x:c r="R269" s="42" t="n">
        <x:f>MIN(P269,Q269)</x:f>
        <x:v>5991</x:v>
      </x:c>
      <x:c r="S269" s="42" t="n">
        <x:f>MAX(P269,Q269)</x:f>
        <x:v>12221</x:v>
      </x:c>
      <x:c r="T269" s="42" t="n">
        <x:f>MAX(R269,MIN(O269,S269))</x:f>
        <x:v>12221</x:v>
      </x:c>
      <x:c r="U269" s="19" t="str">
        <x:f>IF(O269&lt;R269,IF(R269=P269,"clamped_to_nominal","clamped_to_ppp"),IF(O269&gt;S269,IF(S269=P269,"clamped_to_nominal","clamped_to_ppp"),"kept_vanilla"))</x:f>
        <x:v>clamped_to_ppp</x:v>
      </x:c>
      <x:c r="V269" s="42" t="n">
        <x:f>T269*H269</x:f>
        <x:v>88282120905</x:v>
      </x:c>
      <x:c r="W269" s="42" t="n">
        <x:f>V269/F269</x:f>
        <x:v>88282120905</x:v>
      </x:c>
      <x:c r="X269" s="36" t="str">
        <x:v>LBY: UN WPP 2024 Medium exact 2022</x:v>
      </x:c>
      <x:c r="Y269" s="36" t="str">
        <x:v>LBY: IMF exact 2022</x:v>
      </x:c>
      <x:c r="Z269" s="36" t="str">
        <x:v>LBY: IMF exact 2022</x:v>
      </x:c>
      <x:c r="AA269" s="36" t="str">
        <x:v>complete_primary</x:v>
      </x:c>
      <x:c r="AB269" s="36" t="str">
        <x:v>https://www.un.org/development/desa/pd/world-population-prospects-2024</x:v>
      </x:c>
      <x:c r="AC269" s="36" t="str">
        <x:v>https://api.imf.org/external/sdmx/3.0/data/dataflow/IMF.RES/WEO/9.0.0/</x:v>
      </x:c>
      <x:c r="AD269" s="36" t="str">
        <x:v>https://api.worldbank.org/v2/</x:v>
      </x:c>
    </x:row>
    <x:row r="270">
      <x:c r="A270" s="24" t="str">
        <x:v>LBY</x:v>
      </x:c>
      <x:c r="B270" s="24" t="str">
        <x:v>Libya</x:v>
      </x:c>
      <x:c r="C270" s="24" t="str">
        <x:v>LBY</x:v>
      </x:c>
      <x:c r="D270" s="24" t="str">
        <x:v>LBY</x:v>
      </x:c>
      <x:c r="E270" s="24" t="n">
        <x:v>2026</x:v>
      </x:c>
      <x:c r="F270" s="37" t="n">
        <x:v>0.87</x:v>
      </x:c>
      <x:c r="G270" s="38" t="n">
        <x:v>7539851</x:v>
      </x:c>
      <x:c r="H270" s="38" t="n">
        <x:v>7539851</x:v>
      </x:c>
      <x:c r="I270" s="39" t="n">
        <x:f>H270/G270</x:f>
        <x:v>1</x:v>
      </x:c>
      <x:c r="J270" s="40" t="n">
        <x:f>(I270-1)*100</x:f>
        <x:v>0</x:v>
      </x:c>
      <x:c r="K270" s="36" t="str">
        <x:v>no</x:v>
      </x:c>
      <x:c r="L270" s="36" t="str">
        <x:v>Single-country territory; UN WPP and vanilla are within the ±5% review threshold.</x:v>
      </x:c>
      <x:c r="M270" s="41" t="n">
        <x:v>109108560000</x:v>
      </x:c>
      <x:c r="N270" s="41" t="n">
        <x:v>94924447200</x:v>
      </x:c>
      <x:c r="O270" s="41" t="n">
        <x:v>12590</x:v>
      </x:c>
      <x:c r="P270" s="41" t="n">
        <x:v>6052</x:v>
      </x:c>
      <x:c r="Q270" s="41" t="n">
        <x:v>16300</x:v>
      </x:c>
      <x:c r="R270" s="42" t="n">
        <x:f>MIN(P270,Q270)</x:f>
        <x:v>6052</x:v>
      </x:c>
      <x:c r="S270" s="42" t="n">
        <x:f>MAX(P270,Q270)</x:f>
        <x:v>16300</x:v>
      </x:c>
      <x:c r="T270" s="42" t="n">
        <x:f>MAX(R270,MIN(O270,S270))</x:f>
        <x:v>12590</x:v>
      </x:c>
      <x:c r="U270" s="19" t="str">
        <x:f>IF(O270&lt;R270,IF(R270=P270,"clamped_to_nominal","clamped_to_ppp"),IF(O270&gt;S270,IF(S270=P270,"clamped_to_nominal","clamped_to_ppp"),"kept_vanilla"))</x:f>
        <x:v>kept_vanilla</x:v>
      </x:c>
      <x:c r="V270" s="42" t="n">
        <x:f>T270*H270</x:f>
        <x:v>94926724090</x:v>
      </x:c>
      <x:c r="W270" s="42" t="n">
        <x:f>V270/F270</x:f>
        <x:v>109111177114.94254</x:v>
      </x:c>
      <x:c r="X270" s="36" t="str">
        <x:v>LBY: UN WPP 2024 Medium exact 2026</x:v>
      </x:c>
      <x:c r="Y270" s="36" t="str">
        <x:v>LBY: IMF exact 2026</x:v>
      </x:c>
      <x:c r="Z270" s="36" t="str">
        <x:v>LBY: IMF exact 2026</x:v>
      </x:c>
      <x:c r="AA270" s="36" t="str">
        <x:v>complete_primary</x:v>
      </x:c>
      <x:c r="AB270" s="36" t="str">
        <x:v>https://www.un.org/development/desa/pd/world-population-prospects-2024</x:v>
      </x:c>
      <x:c r="AC270" s="36" t="str">
        <x:v>https://api.imf.org/external/sdmx/3.0/data/dataflow/IMF.RES/WEO/9.0.0/</x:v>
      </x:c>
      <x:c r="AD270" s="36" t="str">
        <x:v>https://api.worldbank.org/v2/</x:v>
      </x:c>
    </x:row>
    <x:row r="271">
      <x:c r="A271" s="24" t="str">
        <x:v>LTU</x:v>
      </x:c>
      <x:c r="B271" s="24" t="str">
        <x:v>Lithuania</x:v>
      </x:c>
      <x:c r="C271" s="24" t="str">
        <x:v>LTU</x:v>
      </x:c>
      <x:c r="D271" s="24" t="str">
        <x:v>LTU</x:v>
      </x:c>
      <x:c r="E271" s="24" t="n">
        <x:v>2003</x:v>
      </x:c>
      <x:c r="F271" s="37" t="n">
        <x:v>1.59</x:v>
      </x:c>
      <x:c r="G271" s="38" t="n">
        <x:v>3415278</x:v>
      </x:c>
      <x:c r="H271" s="38" t="n">
        <x:v>3415278</x:v>
      </x:c>
      <x:c r="I271" s="39" t="n">
        <x:f>H271/G271</x:f>
        <x:v>1</x:v>
      </x:c>
      <x:c r="J271" s="40" t="n">
        <x:f>(I271-1)*100</x:f>
        <x:v>0</x:v>
      </x:c>
      <x:c r="K271" s="36" t="str">
        <x:v>no</x:v>
      </x:c>
      <x:c r="L271" s="36" t="str">
        <x:v>Single-country territory; UN WPP and vanilla are within the ±5% review threshold.</x:v>
      </x:c>
      <x:c r="M271" s="41" t="n">
        <x:v>27378362573</x:v>
      </x:c>
      <x:c r="N271" s="41" t="n">
        <x:v>43531596491</x:v>
      </x:c>
      <x:c r="O271" s="41" t="n">
        <x:v>12746</x:v>
      </x:c>
      <x:c r="P271" s="41" t="n">
        <x:v>8753</x:v>
      </x:c>
      <x:c r="Q271" s="41" t="n">
        <x:v>21520</x:v>
      </x:c>
      <x:c r="R271" s="42" t="n">
        <x:f>MIN(P271,Q271)</x:f>
        <x:v>8753</x:v>
      </x:c>
      <x:c r="S271" s="42" t="n">
        <x:f>MAX(P271,Q271)</x:f>
        <x:v>21520</x:v>
      </x:c>
      <x:c r="T271" s="42" t="n">
        <x:f>MAX(R271,MIN(O271,S271))</x:f>
        <x:v>12746</x:v>
      </x:c>
      <x:c r="U271" s="19" t="str">
        <x:f>IF(O271&lt;R271,IF(R271=P271,"clamped_to_nominal","clamped_to_ppp"),IF(O271&gt;S271,IF(S271=P271,"clamped_to_nominal","clamped_to_ppp"),"kept_vanilla"))</x:f>
        <x:v>kept_vanilla</x:v>
      </x:c>
      <x:c r="V271" s="42" t="n">
        <x:f>T271*H271</x:f>
        <x:v>43531133388</x:v>
      </x:c>
      <x:c r="W271" s="42" t="n">
        <x:f>V271/F271</x:f>
        <x:v>27378071313.207546</x:v>
      </x:c>
      <x:c r="X271" s="36" t="str">
        <x:v>LTU: UN WPP 2024 Medium exact 2003</x:v>
      </x:c>
      <x:c r="Y271" s="36" t="str">
        <x:v>LTU: IMF exact 2003</x:v>
      </x:c>
      <x:c r="Z271" s="36" t="str">
        <x:v>LTU: IMF exact 2003</x:v>
      </x:c>
      <x:c r="AA271" s="36" t="str">
        <x:v>complete_primary</x:v>
      </x:c>
      <x:c r="AB271" s="36" t="str">
        <x:v>https://www.un.org/development/desa/pd/world-population-prospects-2024</x:v>
      </x:c>
      <x:c r="AC271" s="36" t="str">
        <x:v>https://api.imf.org/external/sdmx/3.0/data/dataflow/IMF.RES/WEO/9.0.0/</x:v>
      </x:c>
      <x:c r="AD271" s="36" t="str">
        <x:v>https://api.worldbank.org/v2/</x:v>
      </x:c>
    </x:row>
    <x:row r="272">
      <x:c r="A272" s="24" t="str">
        <x:v>LTU</x:v>
      </x:c>
      <x:c r="B272" s="24" t="str">
        <x:v>Lithuania</x:v>
      </x:c>
      <x:c r="C272" s="24" t="str">
        <x:v>LTU</x:v>
      </x:c>
      <x:c r="D272" s="24" t="str">
        <x:v>LTU</x:v>
      </x:c>
      <x:c r="E272" s="24" t="n">
        <x:v>2022</x:v>
      </x:c>
      <x:c r="F272" s="37" t="n">
        <x:v>1</x:v>
      </x:c>
      <x:c r="G272" s="38" t="n">
        <x:v>2653472</x:v>
      </x:c>
      <x:c r="H272" s="38" t="n">
        <x:v>2816919</x:v>
      </x:c>
      <x:c r="I272" s="39" t="n">
        <x:f>H272/G272</x:f>
        <x:v>1.0615974089796312</x:v>
      </x:c>
      <x:c r="J272" s="40" t="n">
        <x:f>(I272-1)*100</x:f>
        <x:v>6.159740897963117</x:v>
      </x:c>
      <x:c r="K272" s="36" t="str">
        <x:v>yes — reviewed</x:v>
      </x:c>
      <x:c r="L272" s="36" t="str">
        <x:v>Single-country game territory and UN country/area boundary align. The difference is an updated historical estimate/projection vintage, not a geographic-scope mismatch; accept the UN WPP value for a consistent source vintage.</x:v>
      </x:c>
      <x:c r="M272" s="41" t="n">
        <x:v>114099040000</x:v>
      </x:c>
      <x:c r="N272" s="41" t="n">
        <x:v>114099040000</x:v>
      </x:c>
      <x:c r="O272" s="41" t="n">
        <x:v>43000</x:v>
      </x:c>
      <x:c r="P272" s="41" t="n">
        <x:v>25094</x:v>
      </x:c>
      <x:c r="Q272" s="41" t="n">
        <x:v>50832</x:v>
      </x:c>
      <x:c r="R272" s="42" t="n">
        <x:f>MIN(P272,Q272)</x:f>
        <x:v>25094</x:v>
      </x:c>
      <x:c r="S272" s="42" t="n">
        <x:f>MAX(P272,Q272)</x:f>
        <x:v>50832</x:v>
      </x:c>
      <x:c r="T272" s="42" t="n">
        <x:f>MAX(R272,MIN(O272,S272))</x:f>
        <x:v>43000</x:v>
      </x:c>
      <x:c r="U272" s="19" t="str">
        <x:f>IF(O272&lt;R272,IF(R272=P272,"clamped_to_nominal","clamped_to_ppp"),IF(O272&gt;S272,IF(S272=P272,"clamped_to_nominal","clamped_to_ppp"),"kept_vanilla"))</x:f>
        <x:v>kept_vanilla</x:v>
      </x:c>
      <x:c r="V272" s="42" t="n">
        <x:f>T272*H272</x:f>
        <x:v>121127517000</x:v>
      </x:c>
      <x:c r="W272" s="42" t="n">
        <x:f>V272/F272</x:f>
        <x:v>121127517000</x:v>
      </x:c>
      <x:c r="X272" s="36" t="str">
        <x:v>LTU: UN WPP 2024 Medium exact 2022</x:v>
      </x:c>
      <x:c r="Y272" s="36" t="str">
        <x:v>LTU: IMF exact 2022</x:v>
      </x:c>
      <x:c r="Z272" s="36" t="str">
        <x:v>LTU: IMF exact 2022</x:v>
      </x:c>
      <x:c r="AA272" s="36" t="str">
        <x:v>complete_primary</x:v>
      </x:c>
      <x:c r="AB272" s="36" t="str">
        <x:v>https://www.un.org/development/desa/pd/world-population-prospects-2024</x:v>
      </x:c>
      <x:c r="AC272" s="36" t="str">
        <x:v>https://api.imf.org/external/sdmx/3.0/data/dataflow/IMF.RES/WEO/9.0.0/</x:v>
      </x:c>
      <x:c r="AD272" s="36" t="str">
        <x:v>https://api.worldbank.org/v2/</x:v>
      </x:c>
    </x:row>
    <x:row r="273">
      <x:c r="A273" s="24" t="str">
        <x:v>LTU</x:v>
      </x:c>
      <x:c r="B273" s="24" t="str">
        <x:v>Lithuania</x:v>
      </x:c>
      <x:c r="C273" s="24" t="str">
        <x:v>LTU</x:v>
      </x:c>
      <x:c r="D273" s="24" t="str">
        <x:v>LTU</x:v>
      </x:c>
      <x:c r="E273" s="24" t="n">
        <x:v>2026</x:v>
      </x:c>
      <x:c r="F273" s="37" t="n">
        <x:v>0.87</x:v>
      </x:c>
      <x:c r="G273" s="38" t="n">
        <x:v>2797338</x:v>
      </x:c>
      <x:c r="H273" s="38" t="n">
        <x:v>2797338</x:v>
      </x:c>
      <x:c r="I273" s="39" t="n">
        <x:f>H273/G273</x:f>
        <x:v>1</x:v>
      </x:c>
      <x:c r="J273" s="40" t="n">
        <x:f>(I273-1)*100</x:f>
        <x:v>0</x:v>
      </x:c>
      <x:c r="K273" s="36" t="str">
        <x:v>no</x:v>
      </x:c>
      <x:c r="L273" s="36" t="str">
        <x:v>Single-country territory; UN WPP and vanilla are within the ±5% review threshold.</x:v>
      </x:c>
      <x:c r="M273" s="41" t="n">
        <x:v>145588960000</x:v>
      </x:c>
      <x:c r="N273" s="41" t="n">
        <x:v>126662395200</x:v>
      </x:c>
      <x:c r="O273" s="41" t="n">
        <x:v>45280</x:v>
      </x:c>
      <x:c r="P273" s="41" t="n">
        <x:v>32938</x:v>
      </x:c>
      <x:c r="Q273" s="41" t="n">
        <x:v>55027</x:v>
      </x:c>
      <x:c r="R273" s="42" t="n">
        <x:f>MIN(P273,Q273)</x:f>
        <x:v>32938</x:v>
      </x:c>
      <x:c r="S273" s="42" t="n">
        <x:f>MAX(P273,Q273)</x:f>
        <x:v>55027</x:v>
      </x:c>
      <x:c r="T273" s="42" t="n">
        <x:f>MAX(R273,MIN(O273,S273))</x:f>
        <x:v>45280</x:v>
      </x:c>
      <x:c r="U273" s="19" t="str">
        <x:f>IF(O273&lt;R273,IF(R273=P273,"clamped_to_nominal","clamped_to_ppp"),IF(O273&gt;S273,IF(S273=P273,"clamped_to_nominal","clamped_to_ppp"),"kept_vanilla"))</x:f>
        <x:v>kept_vanilla</x:v>
      </x:c>
      <x:c r="V273" s="42" t="n">
        <x:f>T273*H273</x:f>
        <x:v>126663464640</x:v>
      </x:c>
      <x:c r="W273" s="42" t="n">
        <x:f>V273/F273</x:f>
        <x:v>145590189241.3793</x:v>
      </x:c>
      <x:c r="X273" s="36" t="str">
        <x:v>LTU: UN WPP 2024 Medium exact 2026</x:v>
      </x:c>
      <x:c r="Y273" s="36" t="str">
        <x:v>LTU: IMF exact 2026</x:v>
      </x:c>
      <x:c r="Z273" s="36" t="str">
        <x:v>LTU: IMF exact 2026</x:v>
      </x:c>
      <x:c r="AA273" s="36" t="str">
        <x:v>complete_primary</x:v>
      </x:c>
      <x:c r="AB273" s="36" t="str">
        <x:v>https://www.un.org/development/desa/pd/world-population-prospects-2024</x:v>
      </x:c>
      <x:c r="AC273" s="36" t="str">
        <x:v>https://api.imf.org/external/sdmx/3.0/data/dataflow/IMF.RES/WEO/9.0.0/</x:v>
      </x:c>
      <x:c r="AD273" s="36" t="str">
        <x:v>https://api.worldbank.org/v2/</x:v>
      </x:c>
    </x:row>
    <x:row r="274">
      <x:c r="A274" s="24" t="str">
        <x:v>MDG</x:v>
      </x:c>
      <x:c r="B274" s="24" t="str">
        <x:v>Madagascar</x:v>
      </x:c>
      <x:c r="C274" s="24" t="str">
        <x:v>MDG</x:v>
      </x:c>
      <x:c r="D274" s="24" t="str">
        <x:v>MDG</x:v>
      </x:c>
      <x:c r="E274" s="24" t="n">
        <x:v>2003</x:v>
      </x:c>
      <x:c r="F274" s="37" t="n">
        <x:v>1.59</x:v>
      </x:c>
      <x:c r="G274" s="38" t="n">
        <x:v>18071854</x:v>
      </x:c>
      <x:c r="H274" s="38" t="n">
        <x:v>18071854</x:v>
      </x:c>
      <x:c r="I274" s="39" t="n">
        <x:f>H274/G274</x:f>
        <x:v>1</x:v>
      </x:c>
      <x:c r="J274" s="40" t="n">
        <x:f>(I274-1)*100</x:f>
        <x:v>0</x:v>
      </x:c>
      <x:c r="K274" s="36" t="str">
        <x:v>no</x:v>
      </x:c>
      <x:c r="L274" s="36" t="str">
        <x:v>Single-country territory; UN WPP and vanilla are within the ±5% review threshold.</x:v>
      </x:c>
      <x:c r="M274" s="41" t="n">
        <x:v>11947953216</x:v>
      </x:c>
      <x:c r="N274" s="41" t="n">
        <x:v>18997245613</x:v>
      </x:c>
      <x:c r="O274" s="41" t="n">
        <x:v>1051</x:v>
      </x:c>
      <x:c r="P274" s="41" t="n">
        <x:v>561</x:v>
      </x:c>
      <x:c r="Q274" s="41" t="n">
        <x:v>1798</x:v>
      </x:c>
      <x:c r="R274" s="42" t="n">
        <x:f>MIN(P274,Q274)</x:f>
        <x:v>561</x:v>
      </x:c>
      <x:c r="S274" s="42" t="n">
        <x:f>MAX(P274,Q274)</x:f>
        <x:v>1798</x:v>
      </x:c>
      <x:c r="T274" s="42" t="n">
        <x:f>MAX(R274,MIN(O274,S274))</x:f>
        <x:v>1051</x:v>
      </x:c>
      <x:c r="U274" s="19" t="str">
        <x:f>IF(O274&lt;R274,IF(R274=P274,"clamped_to_nominal","clamped_to_ppp"),IF(O274&gt;S274,IF(S274=P274,"clamped_to_nominal","clamped_to_ppp"),"kept_vanilla"))</x:f>
        <x:v>kept_vanilla</x:v>
      </x:c>
      <x:c r="V274" s="42" t="n">
        <x:f>T274*H274</x:f>
        <x:v>18993518554</x:v>
      </x:c>
      <x:c r="W274" s="42" t="n">
        <x:f>V274/F274</x:f>
        <x:v>11945609153.45912</x:v>
      </x:c>
      <x:c r="X274" s="36" t="str">
        <x:v>MDG: UN WPP 2024 Medium exact 2003</x:v>
      </x:c>
      <x:c r="Y274" s="36" t="str">
        <x:v>MDG: IMF exact 2003</x:v>
      </x:c>
      <x:c r="Z274" s="36" t="str">
        <x:v>MDG: IMF exact 2003</x:v>
      </x:c>
      <x:c r="AA274" s="36" t="str">
        <x:v>complete_primary</x:v>
      </x:c>
      <x:c r="AB274" s="36" t="str">
        <x:v>https://www.un.org/development/desa/pd/world-population-prospects-2024</x:v>
      </x:c>
      <x:c r="AC274" s="36" t="str">
        <x:v>https://api.imf.org/external/sdmx/3.0/data/dataflow/IMF.RES/WEO/9.0.0/</x:v>
      </x:c>
      <x:c r="AD274" s="36" t="str">
        <x:v>https://api.worldbank.org/v2/</x:v>
      </x:c>
    </x:row>
    <x:row r="275">
      <x:c r="A275" s="24" t="str">
        <x:v>MDG</x:v>
      </x:c>
      <x:c r="B275" s="24" t="str">
        <x:v>Madagascar</x:v>
      </x:c>
      <x:c r="C275" s="24" t="str">
        <x:v>MDG</x:v>
      </x:c>
      <x:c r="D275" s="24" t="str">
        <x:v>MDG</x:v>
      </x:c>
      <x:c r="E275" s="24" t="n">
        <x:v>2022</x:v>
      </x:c>
      <x:c r="F275" s="37" t="n">
        <x:v>1</x:v>
      </x:c>
      <x:c r="G275" s="38" t="n">
        <x:v>29415172</x:v>
      </x:c>
      <x:c r="H275" s="38" t="n">
        <x:v>30437261</x:v>
      </x:c>
      <x:c r="I275" s="39" t="n">
        <x:f>H275/G275</x:f>
        <x:v>1.034747000629471</x:v>
      </x:c>
      <x:c r="J275" s="40" t="n">
        <x:f>(I275-1)*100</x:f>
        <x:v>3.4747000629471003</x:v>
      </x:c>
      <x:c r="K275" s="36" t="str">
        <x:v>no</x:v>
      </x:c>
      <x:c r="L275" s="36" t="str">
        <x:v>Single-country territory; UN WPP and vanilla are within the ±5% review threshold.</x:v>
      </x:c>
      <x:c r="M275" s="41" t="n">
        <x:v>45338480000</x:v>
      </x:c>
      <x:c r="N275" s="41" t="n">
        <x:v>45338480000</x:v>
      </x:c>
      <x:c r="O275" s="41" t="n">
        <x:v>1541</x:v>
      </x:c>
      <x:c r="P275" s="41" t="n">
        <x:v>504</x:v>
      </x:c>
      <x:c r="Q275" s="41" t="n">
        <x:v>1716</x:v>
      </x:c>
      <x:c r="R275" s="42" t="n">
        <x:f>MIN(P275,Q275)</x:f>
        <x:v>504</x:v>
      </x:c>
      <x:c r="S275" s="42" t="n">
        <x:f>MAX(P275,Q275)</x:f>
        <x:v>1716</x:v>
      </x:c>
      <x:c r="T275" s="42" t="n">
        <x:f>MAX(R275,MIN(O275,S275))</x:f>
        <x:v>1541</x:v>
      </x:c>
      <x:c r="U275" s="19" t="str">
        <x:f>IF(O275&lt;R275,IF(R275=P275,"clamped_to_nominal","clamped_to_ppp"),IF(O275&gt;S275,IF(S275=P275,"clamped_to_nominal","clamped_to_ppp"),"kept_vanilla"))</x:f>
        <x:v>kept_vanilla</x:v>
      </x:c>
      <x:c r="V275" s="42" t="n">
        <x:f>T275*H275</x:f>
        <x:v>46903819201</x:v>
      </x:c>
      <x:c r="W275" s="42" t="n">
        <x:f>V275/F275</x:f>
        <x:v>46903819201</x:v>
      </x:c>
      <x:c r="X275" s="36" t="str">
        <x:v>MDG: UN WPP 2024 Medium exact 2022</x:v>
      </x:c>
      <x:c r="Y275" s="36" t="str">
        <x:v>MDG: IMF exact 2022</x:v>
      </x:c>
      <x:c r="Z275" s="36" t="str">
        <x:v>MDG: IMF exact 2022</x:v>
      </x:c>
      <x:c r="AA275" s="36" t="str">
        <x:v>complete_primary</x:v>
      </x:c>
      <x:c r="AB275" s="36" t="str">
        <x:v>https://www.un.org/development/desa/pd/world-population-prospects-2024</x:v>
      </x:c>
      <x:c r="AC275" s="36" t="str">
        <x:v>https://api.imf.org/external/sdmx/3.0/data/dataflow/IMF.RES/WEO/9.0.0/</x:v>
      </x:c>
      <x:c r="AD275" s="36" t="str">
        <x:v>https://api.worldbank.org/v2/</x:v>
      </x:c>
    </x:row>
    <x:row r="276">
      <x:c r="A276" s="24" t="str">
        <x:v>MDG</x:v>
      </x:c>
      <x:c r="B276" s="24" t="str">
        <x:v>Madagascar</x:v>
      </x:c>
      <x:c r="C276" s="24" t="str">
        <x:v>MDG</x:v>
      </x:c>
      <x:c r="D276" s="24" t="str">
        <x:v>MDG</x:v>
      </x:c>
      <x:c r="E276" s="24" t="n">
        <x:v>2026</x:v>
      </x:c>
      <x:c r="F276" s="37" t="n">
        <x:v>0.87</x:v>
      </x:c>
      <x:c r="G276" s="38" t="n">
        <x:v>33522052</x:v>
      </x:c>
      <x:c r="H276" s="38" t="n">
        <x:v>33522052</x:v>
      </x:c>
      <x:c r="I276" s="39" t="n">
        <x:f>H276/G276</x:f>
        <x:v>1</x:v>
      </x:c>
      <x:c r="J276" s="40" t="n">
        <x:f>(I276-1)*100</x:f>
        <x:v>0</x:v>
      </x:c>
      <x:c r="K276" s="36" t="str">
        <x:v>no</x:v>
      </x:c>
      <x:c r="L276" s="36" t="str">
        <x:v>Single-country territory; UN WPP and vanilla are within the ±5% review threshold.</x:v>
      </x:c>
      <x:c r="M276" s="41" t="n">
        <x:v>56532960000</x:v>
      </x:c>
      <x:c r="N276" s="41" t="n">
        <x:v>49183675200</x:v>
      </x:c>
      <x:c r="O276" s="41" t="n">
        <x:v>1467</x:v>
      </x:c>
      <x:c r="P276" s="41" t="n">
        <x:v>550</x:v>
      </x:c>
      <x:c r="Q276" s="41" t="n">
        <x:v>1766</x:v>
      </x:c>
      <x:c r="R276" s="42" t="n">
        <x:f>MIN(P276,Q276)</x:f>
        <x:v>550</x:v>
      </x:c>
      <x:c r="S276" s="42" t="n">
        <x:f>MAX(P276,Q276)</x:f>
        <x:v>1766</x:v>
      </x:c>
      <x:c r="T276" s="42" t="n">
        <x:f>MAX(R276,MIN(O276,S276))</x:f>
        <x:v>1467</x:v>
      </x:c>
      <x:c r="U276" s="19" t="str">
        <x:f>IF(O276&lt;R276,IF(R276=P276,"clamped_to_nominal","clamped_to_ppp"),IF(O276&gt;S276,IF(S276=P276,"clamped_to_nominal","clamped_to_ppp"),"kept_vanilla"))</x:f>
        <x:v>kept_vanilla</x:v>
      </x:c>
      <x:c r="V276" s="42" t="n">
        <x:f>T276*H276</x:f>
        <x:v>49176850284</x:v>
      </x:c>
      <x:c r="W276" s="42" t="n">
        <x:f>V276/F276</x:f>
        <x:v>56525115268.965515</x:v>
      </x:c>
      <x:c r="X276" s="36" t="str">
        <x:v>MDG: UN WPP 2024 Medium exact 2026</x:v>
      </x:c>
      <x:c r="Y276" s="36" t="str">
        <x:v>MDG: IMF exact 2026</x:v>
      </x:c>
      <x:c r="Z276" s="36" t="str">
        <x:v>MDG: IMF exact 2026</x:v>
      </x:c>
      <x:c r="AA276" s="36" t="str">
        <x:v>complete_primary</x:v>
      </x:c>
      <x:c r="AB276" s="36" t="str">
        <x:v>https://www.un.org/development/desa/pd/world-population-prospects-2024</x:v>
      </x:c>
      <x:c r="AC276" s="36" t="str">
        <x:v>https://api.imf.org/external/sdmx/3.0/data/dataflow/IMF.RES/WEO/9.0.0/</x:v>
      </x:c>
      <x:c r="AD276" s="36" t="str">
        <x:v>https://api.worldbank.org/v2/</x:v>
      </x:c>
    </x:row>
    <x:row r="277">
      <x:c r="A277" s="24" t="str">
        <x:v>MAL</x:v>
      </x:c>
      <x:c r="B277" s="24" t="str">
        <x:v>Malawi</x:v>
      </x:c>
      <x:c r="C277" s="24" t="str">
        <x:v>MWI</x:v>
      </x:c>
      <x:c r="D277" s="24" t="str">
        <x:v>MWI</x:v>
      </x:c>
      <x:c r="E277" s="24" t="n">
        <x:v>2003</x:v>
      </x:c>
      <x:c r="F277" s="37" t="n">
        <x:v>1.59</x:v>
      </x:c>
      <x:c r="G277" s="38" t="n">
        <x:v>12181574</x:v>
      </x:c>
      <x:c r="H277" s="38" t="n">
        <x:v>12181574</x:v>
      </x:c>
      <x:c r="I277" s="39" t="n">
        <x:f>H277/G277</x:f>
        <x:v>1</x:v>
      </x:c>
      <x:c r="J277" s="40" t="n">
        <x:f>(I277-1)*100</x:f>
        <x:v>0</x:v>
      </x:c>
      <x:c r="K277" s="36" t="str">
        <x:v>no</x:v>
      </x:c>
      <x:c r="L277" s="36" t="str">
        <x:v>Single-country territory; UN WPP and vanilla are within the ±5% review threshold.</x:v>
      </x:c>
      <x:c r="M277" s="41" t="n">
        <x:v>5536842105</x:v>
      </x:c>
      <x:c r="N277" s="41" t="n">
        <x:v>8803578947</x:v>
      </x:c>
      <x:c r="O277" s="41" t="n">
        <x:v>723</x:v>
      </x:c>
      <x:c r="P277" s="41" t="n">
        <x:v>590</x:v>
      </x:c>
      <x:c r="Q277" s="41" t="n">
        <x:v>1236</x:v>
      </x:c>
      <x:c r="R277" s="42" t="n">
        <x:f>MIN(P277,Q277)</x:f>
        <x:v>590</x:v>
      </x:c>
      <x:c r="S277" s="42" t="n">
        <x:f>MAX(P277,Q277)</x:f>
        <x:v>1236</x:v>
      </x:c>
      <x:c r="T277" s="42" t="n">
        <x:f>MAX(R277,MIN(O277,S277))</x:f>
        <x:v>723</x:v>
      </x:c>
      <x:c r="U277" s="19" t="str">
        <x:f>IF(O277&lt;R277,IF(R277=P277,"clamped_to_nominal","clamped_to_ppp"),IF(O277&gt;S277,IF(S277=P277,"clamped_to_nominal","clamped_to_ppp"),"kept_vanilla"))</x:f>
        <x:v>kept_vanilla</x:v>
      </x:c>
      <x:c r="V277" s="42" t="n">
        <x:f>T277*H277</x:f>
        <x:v>8807278002</x:v>
      </x:c>
      <x:c r="W277" s="42" t="n">
        <x:f>V277/F277</x:f>
        <x:v>5539168554.716981</x:v>
      </x:c>
      <x:c r="X277" s="36" t="str">
        <x:v>MWI: UN WPP 2024 Medium exact 2003</x:v>
      </x:c>
      <x:c r="Y277" s="36" t="str">
        <x:v>MWI: IMF exact 2003</x:v>
      </x:c>
      <x:c r="Z277" s="36" t="str">
        <x:v>MWI: IMF exact 2003</x:v>
      </x:c>
      <x:c r="AA277" s="36" t="str">
        <x:v>complete_primary</x:v>
      </x:c>
      <x:c r="AB277" s="36" t="str">
        <x:v>https://www.un.org/development/desa/pd/world-population-prospects-2024</x:v>
      </x:c>
      <x:c r="AC277" s="36" t="str">
        <x:v>https://api.imf.org/external/sdmx/3.0/data/dataflow/IMF.RES/WEO/9.0.0/</x:v>
      </x:c>
      <x:c r="AD277" s="36" t="str">
        <x:v>https://api.worldbank.org/v2/</x:v>
      </x:c>
    </x:row>
    <x:row r="278">
      <x:c r="A278" s="24" t="str">
        <x:v>MAL</x:v>
      </x:c>
      <x:c r="B278" s="24" t="str">
        <x:v>Malawi</x:v>
      </x:c>
      <x:c r="C278" s="24" t="str">
        <x:v>MWI</x:v>
      </x:c>
      <x:c r="D278" s="24" t="str">
        <x:v>MWI</x:v>
      </x:c>
      <x:c r="E278" s="24" t="n">
        <x:v>2022</x:v>
      </x:c>
      <x:c r="F278" s="37" t="n">
        <x:v>1</x:v>
      </x:c>
      <x:c r="G278" s="38" t="n">
        <x:v>20349127</x:v>
      </x:c>
      <x:c r="H278" s="38" t="n">
        <x:v>20568728</x:v>
      </x:c>
      <x:c r="I278" s="39" t="n">
        <x:f>H278/G278</x:f>
        <x:v>1.0107916668857588</x:v>
      </x:c>
      <x:c r="J278" s="40" t="n">
        <x:f>(I278-1)*100</x:f>
        <x:v>1.0791666885758833</x:v>
      </x:c>
      <x:c r="K278" s="36" t="str">
        <x:v>no</x:v>
      </x:c>
      <x:c r="L278" s="36" t="str">
        <x:v>Single-country territory; UN WPP and vanilla are within the ±5% review threshold.</x:v>
      </x:c>
      <x:c r="M278" s="41" t="n">
        <x:v>31159920000</x:v>
      </x:c>
      <x:c r="N278" s="41" t="n">
        <x:v>31159920000</x:v>
      </x:c>
      <x:c r="O278" s="41" t="n">
        <x:v>1531</x:v>
      </x:c>
      <x:c r="P278" s="41" t="n">
        <x:v>609</x:v>
      </x:c>
      <x:c r="Q278" s="41" t="n">
        <x:v>1778</x:v>
      </x:c>
      <x:c r="R278" s="42" t="n">
        <x:f>MIN(P278,Q278)</x:f>
        <x:v>609</x:v>
      </x:c>
      <x:c r="S278" s="42" t="n">
        <x:f>MAX(P278,Q278)</x:f>
        <x:v>1778</x:v>
      </x:c>
      <x:c r="T278" s="42" t="n">
        <x:f>MAX(R278,MIN(O278,S278))</x:f>
        <x:v>1531</x:v>
      </x:c>
      <x:c r="U278" s="19" t="str">
        <x:f>IF(O278&lt;R278,IF(R278=P278,"clamped_to_nominal","clamped_to_ppp"),IF(O278&gt;S278,IF(S278=P278,"clamped_to_nominal","clamped_to_ppp"),"kept_vanilla"))</x:f>
        <x:v>kept_vanilla</x:v>
      </x:c>
      <x:c r="V278" s="42" t="n">
        <x:f>T278*H278</x:f>
        <x:v>31490722568</x:v>
      </x:c>
      <x:c r="W278" s="42" t="n">
        <x:f>V278/F278</x:f>
        <x:v>31490722568</x:v>
      </x:c>
      <x:c r="X278" s="36" t="str">
        <x:v>MWI: UN WPP 2024 Medium exact 2022</x:v>
      </x:c>
      <x:c r="Y278" s="36" t="str">
        <x:v>MWI: IMF exact 2022</x:v>
      </x:c>
      <x:c r="Z278" s="36" t="str">
        <x:v>MWI: IMF exact 2022</x:v>
      </x:c>
      <x:c r="AA278" s="36" t="str">
        <x:v>complete_primary</x:v>
      </x:c>
      <x:c r="AB278" s="36" t="str">
        <x:v>https://www.un.org/development/desa/pd/world-population-prospects-2024</x:v>
      </x:c>
      <x:c r="AC278" s="36" t="str">
        <x:v>https://api.imf.org/external/sdmx/3.0/data/dataflow/IMF.RES/WEO/9.0.0/</x:v>
      </x:c>
      <x:c r="AD278" s="36" t="str">
        <x:v>https://api.worldbank.org/v2/</x:v>
      </x:c>
    </x:row>
    <x:row r="279">
      <x:c r="A279" s="24" t="str">
        <x:v>MAL</x:v>
      </x:c>
      <x:c r="B279" s="24" t="str">
        <x:v>Malawi</x:v>
      </x:c>
      <x:c r="C279" s="24" t="str">
        <x:v>MWI</x:v>
      </x:c>
      <x:c r="D279" s="24" t="str">
        <x:v>MWI</x:v>
      </x:c>
      <x:c r="E279" s="24" t="n">
        <x:v>2026</x:v>
      </x:c>
      <x:c r="F279" s="37" t="n">
        <x:v>0.87</x:v>
      </x:c>
      <x:c r="G279" s="38" t="n">
        <x:v>22785535</x:v>
      </x:c>
      <x:c r="H279" s="38" t="n">
        <x:v>22785535</x:v>
      </x:c>
      <x:c r="I279" s="39" t="n">
        <x:f>H279/G279</x:f>
        <x:v>1</x:v>
      </x:c>
      <x:c r="J279" s="40" t="n">
        <x:f>(I279-1)*100</x:f>
        <x:v>0</x:v>
      </x:c>
      <x:c r="K279" s="36" t="str">
        <x:v>no</x:v>
      </x:c>
      <x:c r="L279" s="36" t="str">
        <x:v>Single-country territory; UN WPP and vanilla are within the ±5% review threshold.</x:v>
      </x:c>
      <x:c r="M279" s="41" t="n">
        <x:v>37639360000</x:v>
      </x:c>
      <x:c r="N279" s="41" t="n">
        <x:v>32746243200</x:v>
      </x:c>
      <x:c r="O279" s="41" t="n">
        <x:v>1437</x:v>
      </x:c>
      <x:c r="P279" s="41" t="n">
        <x:v>693</x:v>
      </x:c>
      <x:c r="Q279" s="41" t="n">
        <x:v>1698</x:v>
      </x:c>
      <x:c r="R279" s="42" t="n">
        <x:f>MIN(P279,Q279)</x:f>
        <x:v>693</x:v>
      </x:c>
      <x:c r="S279" s="42" t="n">
        <x:f>MAX(P279,Q279)</x:f>
        <x:v>1698</x:v>
      </x:c>
      <x:c r="T279" s="42" t="n">
        <x:f>MAX(R279,MIN(O279,S279))</x:f>
        <x:v>1437</x:v>
      </x:c>
      <x:c r="U279" s="19" t="str">
        <x:f>IF(O279&lt;R279,IF(R279=P279,"clamped_to_nominal","clamped_to_ppp"),IF(O279&gt;S279,IF(S279=P279,"clamped_to_nominal","clamped_to_ppp"),"kept_vanilla"))</x:f>
        <x:v>kept_vanilla</x:v>
      </x:c>
      <x:c r="V279" s="42" t="n">
        <x:f>T279*H279</x:f>
        <x:v>32742813795</x:v>
      </x:c>
      <x:c r="W279" s="42" t="n">
        <x:f>V279/F279</x:f>
        <x:v>37635418155.17242</x:v>
      </x:c>
      <x:c r="X279" s="36" t="str">
        <x:v>MWI: UN WPP 2024 Medium exact 2026</x:v>
      </x:c>
      <x:c r="Y279" s="36" t="str">
        <x:v>MWI: IMF exact 2026</x:v>
      </x:c>
      <x:c r="Z279" s="36" t="str">
        <x:v>MWI: IMF exact 2026</x:v>
      </x:c>
      <x:c r="AA279" s="36" t="str">
        <x:v>complete_primary</x:v>
      </x:c>
      <x:c r="AB279" s="36" t="str">
        <x:v>https://www.un.org/development/desa/pd/world-population-prospects-2024</x:v>
      </x:c>
      <x:c r="AC279" s="36" t="str">
        <x:v>https://api.imf.org/external/sdmx/3.0/data/dataflow/IMF.RES/WEO/9.0.0/</x:v>
      </x:c>
      <x:c r="AD279" s="36" t="str">
        <x:v>https://api.worldbank.org/v2/</x:v>
      </x:c>
    </x:row>
    <x:row r="280">
      <x:c r="A280" s="24" t="str">
        <x:v>MYS</x:v>
      </x:c>
      <x:c r="B280" s="24" t="str">
        <x:v>Malaysia</x:v>
      </x:c>
      <x:c r="C280" s="24" t="str">
        <x:v>MYS</x:v>
      </x:c>
      <x:c r="D280" s="24" t="str">
        <x:v>MYS</x:v>
      </x:c>
      <x:c r="E280" s="24" t="n">
        <x:v>2003</x:v>
      </x:c>
      <x:c r="F280" s="37" t="n">
        <x:v>1.59</x:v>
      </x:c>
      <x:c r="G280" s="38" t="n">
        <x:v>24679602</x:v>
      </x:c>
      <x:c r="H280" s="38" t="n">
        <x:v>24679602</x:v>
      </x:c>
      <x:c r="I280" s="39" t="n">
        <x:f>H280/G280</x:f>
        <x:v>1</x:v>
      </x:c>
      <x:c r="J280" s="40" t="n">
        <x:f>(I280-1)*100</x:f>
        <x:v>0</x:v>
      </x:c>
      <x:c r="K280" s="36" t="str">
        <x:v>no</x:v>
      </x:c>
      <x:c r="L280" s="36" t="str">
        <x:v>Single-country territory; UN WPP and vanilla are within the ±5% review threshold.</x:v>
      </x:c>
      <x:c r="M280" s="41" t="n">
        <x:v>192647953216</x:v>
      </x:c>
      <x:c r="N280" s="41" t="n">
        <x:v>306310245613</x:v>
      </x:c>
      <x:c r="O280" s="41" t="n">
        <x:v>12411</x:v>
      </x:c>
      <x:c r="P280" s="41" t="n">
        <x:v>7733</x:v>
      </x:c>
      <x:c r="Q280" s="41" t="n">
        <x:v>21224</x:v>
      </x:c>
      <x:c r="R280" s="42" t="n">
        <x:f>MIN(P280,Q280)</x:f>
        <x:v>7733</x:v>
      </x:c>
      <x:c r="S280" s="42" t="n">
        <x:f>MAX(P280,Q280)</x:f>
        <x:v>21224</x:v>
      </x:c>
      <x:c r="T280" s="42" t="n">
        <x:f>MAX(R280,MIN(O280,S280))</x:f>
        <x:v>12411</x:v>
      </x:c>
      <x:c r="U280" s="19" t="str">
        <x:f>IF(O280&lt;R280,IF(R280=P280,"clamped_to_nominal","clamped_to_ppp"),IF(O280&gt;S280,IF(S280=P280,"clamped_to_nominal","clamped_to_ppp"),"kept_vanilla"))</x:f>
        <x:v>kept_vanilla</x:v>
      </x:c>
      <x:c r="V280" s="42" t="n">
        <x:f>T280*H280</x:f>
        <x:v>306298540422</x:v>
      </x:c>
      <x:c r="W280" s="42" t="n">
        <x:f>V280/F280</x:f>
        <x:v>192640591460.37735</x:v>
      </x:c>
      <x:c r="X280" s="36" t="str">
        <x:v>MYS: UN WPP 2024 Medium exact 2003</x:v>
      </x:c>
      <x:c r="Y280" s="36" t="str">
        <x:v>MYS: IMF exact 2003</x:v>
      </x:c>
      <x:c r="Z280" s="36" t="str">
        <x:v>MYS: IMF exact 2003</x:v>
      </x:c>
      <x:c r="AA280" s="36" t="str">
        <x:v>complete_primary</x:v>
      </x:c>
      <x:c r="AB280" s="36" t="str">
        <x:v>https://www.un.org/development/desa/pd/world-population-prospects-2024</x:v>
      </x:c>
      <x:c r="AC280" s="36" t="str">
        <x:v>https://api.imf.org/external/sdmx/3.0/data/dataflow/IMF.RES/WEO/9.0.0/</x:v>
      </x:c>
      <x:c r="AD280" s="36" t="str">
        <x:v>https://api.worldbank.org/v2/</x:v>
      </x:c>
    </x:row>
    <x:row r="281">
      <x:c r="A281" s="24" t="str">
        <x:v>MYS</x:v>
      </x:c>
      <x:c r="B281" s="24" t="str">
        <x:v>Malaysia</x:v>
      </x:c>
      <x:c r="C281" s="24" t="str">
        <x:v>MYS</x:v>
      </x:c>
      <x:c r="D281" s="24" t="str">
        <x:v>MYS</x:v>
      </x:c>
      <x:c r="E281" s="24" t="n">
        <x:v>2022</x:v>
      </x:c>
      <x:c r="F281" s="37" t="n">
        <x:v>1</x:v>
      </x:c>
      <x:c r="G281" s="38" t="n">
        <x:v>33308047</x:v>
      </x:c>
      <x:c r="H281" s="38" t="n">
        <x:v>34695493</x:v>
      </x:c>
      <x:c r="I281" s="39" t="n">
        <x:f>H281/G281</x:f>
        <x:v>1.041654979050558</x:v>
      </x:c>
      <x:c r="J281" s="40" t="n">
        <x:f>(I281-1)*100</x:f>
        <x:v>4.165497905055804</x:v>
      </x:c>
      <x:c r="K281" s="36" t="str">
        <x:v>no</x:v>
      </x:c>
      <x:c r="L281" s="36" t="str">
        <x:v>Single-country territory; UN WPP and vanilla are within the ±5% review threshold.</x:v>
      </x:c>
      <x:c r="M281" s="41" t="n">
        <x:v>958759120000</x:v>
      </x:c>
      <x:c r="N281" s="41" t="n">
        <x:v>958759120000</x:v>
      </x:c>
      <x:c r="O281" s="41" t="n">
        <x:v>28785</x:v>
      </x:c>
      <x:c r="P281" s="41" t="n">
        <x:v>11755</x:v>
      </x:c>
      <x:c r="Q281" s="41" t="n">
        <x:v>34414</x:v>
      </x:c>
      <x:c r="R281" s="42" t="n">
        <x:f>MIN(P281,Q281)</x:f>
        <x:v>11755</x:v>
      </x:c>
      <x:c r="S281" s="42" t="n">
        <x:f>MAX(P281,Q281)</x:f>
        <x:v>34414</x:v>
      </x:c>
      <x:c r="T281" s="42" t="n">
        <x:f>MAX(R281,MIN(O281,S281))</x:f>
        <x:v>28785</x:v>
      </x:c>
      <x:c r="U281" s="19" t="str">
        <x:f>IF(O281&lt;R281,IF(R281=P281,"clamped_to_nominal","clamped_to_ppp"),IF(O281&gt;S281,IF(S281=P281,"clamped_to_nominal","clamped_to_ppp"),"kept_vanilla"))</x:f>
        <x:v>kept_vanilla</x:v>
      </x:c>
      <x:c r="V281" s="42" t="n">
        <x:f>T281*H281</x:f>
        <x:v>998709766005</x:v>
      </x:c>
      <x:c r="W281" s="42" t="n">
        <x:f>V281/F281</x:f>
        <x:v>998709766005</x:v>
      </x:c>
      <x:c r="X281" s="36" t="str">
        <x:v>MYS: UN WPP 2024 Medium exact 2022</x:v>
      </x:c>
      <x:c r="Y281" s="36" t="str">
        <x:v>MYS: IMF exact 2022</x:v>
      </x:c>
      <x:c r="Z281" s="36" t="str">
        <x:v>MYS: IMF exact 2022</x:v>
      </x:c>
      <x:c r="AA281" s="36" t="str">
        <x:v>complete_primary</x:v>
      </x:c>
      <x:c r="AB281" s="36" t="str">
        <x:v>https://www.un.org/development/desa/pd/world-population-prospects-2024</x:v>
      </x:c>
      <x:c r="AC281" s="36" t="str">
        <x:v>https://api.imf.org/external/sdmx/3.0/data/dataflow/IMF.RES/WEO/9.0.0/</x:v>
      </x:c>
      <x:c r="AD281" s="36" t="str">
        <x:v>https://api.worldbank.org/v2/</x:v>
      </x:c>
    </x:row>
    <x:row r="282">
      <x:c r="A282" s="24" t="str">
        <x:v>MYS</x:v>
      </x:c>
      <x:c r="B282" s="24" t="str">
        <x:v>Malaysia</x:v>
      </x:c>
      <x:c r="C282" s="24" t="str">
        <x:v>MYS</x:v>
      </x:c>
      <x:c r="D282" s="24" t="str">
        <x:v>MYS</x:v>
      </x:c>
      <x:c r="E282" s="24" t="n">
        <x:v>2026</x:v>
      </x:c>
      <x:c r="F282" s="37" t="n">
        <x:v>0.87</x:v>
      </x:c>
      <x:c r="G282" s="38" t="n">
        <x:v>36385114</x:v>
      </x:c>
      <x:c r="H282" s="38" t="n">
        <x:v>36385115</x:v>
      </x:c>
      <x:c r="I282" s="39" t="n">
        <x:f>H282/G282</x:f>
        <x:v>1.000000027483767</x:v>
      </x:c>
      <x:c r="J282" s="40" t="n">
        <x:f>(I282-1)*100</x:f>
        <x:v>0.00000274837670399819</x:v>
      </x:c>
      <x:c r="K282" s="36" t="str">
        <x:v>no</x:v>
      </x:c>
      <x:c r="L282" s="36" t="str">
        <x:v>Single-country territory; UN WPP and vanilla are within the ±5% review threshold.</x:v>
      </x:c>
      <x:c r="M282" s="41" t="n">
        <x:v>1300762320000</x:v>
      </x:c>
      <x:c r="N282" s="41" t="n">
        <x:v>1131663218400</x:v>
      </x:c>
      <x:c r="O282" s="41" t="n">
        <x:v>31102</x:v>
      </x:c>
      <x:c r="P282" s="41" t="n">
        <x:v>12348</x:v>
      </x:c>
      <x:c r="Q282" s="41" t="n">
        <x:v>38461</x:v>
      </x:c>
      <x:c r="R282" s="42" t="n">
        <x:f>MIN(P282,Q282)</x:f>
        <x:v>12348</x:v>
      </x:c>
      <x:c r="S282" s="42" t="n">
        <x:f>MAX(P282,Q282)</x:f>
        <x:v>38461</x:v>
      </x:c>
      <x:c r="T282" s="42" t="n">
        <x:f>MAX(R282,MIN(O282,S282))</x:f>
        <x:v>31102</x:v>
      </x:c>
      <x:c r="U282" s="19" t="str">
        <x:f>IF(O282&lt;R282,IF(R282=P282,"clamped_to_nominal","clamped_to_ppp"),IF(O282&gt;S282,IF(S282=P282,"clamped_to_nominal","clamped_to_ppp"),"kept_vanilla"))</x:f>
        <x:v>kept_vanilla</x:v>
      </x:c>
      <x:c r="V282" s="42" t="n">
        <x:f>T282*H282</x:f>
        <x:v>1131649846730</x:v>
      </x:c>
      <x:c r="W282" s="42" t="n">
        <x:f>V282/F282</x:f>
        <x:v>1300746950264.368</x:v>
      </x:c>
      <x:c r="X282" s="36" t="str">
        <x:v>MYS: UN WPP 2024 Medium exact 2026</x:v>
      </x:c>
      <x:c r="Y282" s="36" t="str">
        <x:v>MYS: IMF exact 2026</x:v>
      </x:c>
      <x:c r="Z282" s="36" t="str">
        <x:v>MYS: IMF exact 2026</x:v>
      </x:c>
      <x:c r="AA282" s="36" t="str">
        <x:v>complete_primary</x:v>
      </x:c>
      <x:c r="AB282" s="36" t="str">
        <x:v>https://www.un.org/development/desa/pd/world-population-prospects-2024</x:v>
      </x:c>
      <x:c r="AC282" s="36" t="str">
        <x:v>https://api.imf.org/external/sdmx/3.0/data/dataflow/IMF.RES/WEO/9.0.0/</x:v>
      </x:c>
      <x:c r="AD282" s="36" t="str">
        <x:v>https://api.worldbank.org/v2/</x:v>
      </x:c>
    </x:row>
    <x:row r="283">
      <x:c r="A283" s="24" t="str">
        <x:v>MLD</x:v>
      </x:c>
      <x:c r="B283" s="24" t="str">
        <x:v>Maldives</x:v>
      </x:c>
      <x:c r="C283" s="24" t="str">
        <x:v>MDV</x:v>
      </x:c>
      <x:c r="D283" s="24" t="str">
        <x:v>MDV</x:v>
      </x:c>
      <x:c r="E283" s="24" t="n">
        <x:v>2003</x:v>
      </x:c>
      <x:c r="F283" s="37" t="n">
        <x:v>1.59</x:v>
      </x:c>
      <x:c r="G283" s="38" t="n">
        <x:v>296491</x:v>
      </x:c>
      <x:c r="H283" s="38" t="n">
        <x:v>296491</x:v>
      </x:c>
      <x:c r="I283" s="39" t="n">
        <x:f>H283/G283</x:f>
        <x:v>1</x:v>
      </x:c>
      <x:c r="J283" s="40" t="n">
        <x:f>(I283-1)*100</x:f>
        <x:v>0</x:v>
      </x:c>
      <x:c r="K283" s="36" t="str">
        <x:v>no</x:v>
      </x:c>
      <x:c r="L283" s="36" t="str">
        <x:v>Single-country territory; UN WPP and vanilla are within the ±5% review threshold.</x:v>
      </x:c>
      <x:c r="M283" s="41" t="n">
        <x:v>2013450292</x:v>
      </x:c>
      <x:c r="N283" s="41" t="n">
        <x:v>3201385964</x:v>
      </x:c>
      <x:c r="O283" s="41" t="n">
        <x:v>10798</x:v>
      </x:c>
      <x:c r="P283" s="41" t="n">
        <x:v>5642</x:v>
      </x:c>
      <x:c r="Q283" s="41" t="n">
        <x:v>18515</x:v>
      </x:c>
      <x:c r="R283" s="42" t="n">
        <x:f>MIN(P283,Q283)</x:f>
        <x:v>5642</x:v>
      </x:c>
      <x:c r="S283" s="42" t="n">
        <x:f>MAX(P283,Q283)</x:f>
        <x:v>18515</x:v>
      </x:c>
      <x:c r="T283" s="42" t="n">
        <x:f>MAX(R283,MIN(O283,S283))</x:f>
        <x:v>10798</x:v>
      </x:c>
      <x:c r="U283" s="19" t="str">
        <x:f>IF(O283&lt;R283,IF(R283=P283,"clamped_to_nominal","clamped_to_ppp"),IF(O283&gt;S283,IF(S283=P283,"clamped_to_nominal","clamped_to_ppp"),"kept_vanilla"))</x:f>
        <x:v>kept_vanilla</x:v>
      </x:c>
      <x:c r="V283" s="42" t="n">
        <x:f>T283*H283</x:f>
        <x:v>3201509818</x:v>
      </x:c>
      <x:c r="W283" s="42" t="n">
        <x:f>V283/F283</x:f>
        <x:v>2013528187.4213836</x:v>
      </x:c>
      <x:c r="X283" s="36" t="str">
        <x:v>MDV: UN WPP 2024 Medium exact 2003</x:v>
      </x:c>
      <x:c r="Y283" s="36" t="str">
        <x:v>MDV: IMF exact 2003</x:v>
      </x:c>
      <x:c r="Z283" s="36" t="str">
        <x:v>MDV: IMF exact 2003</x:v>
      </x:c>
      <x:c r="AA283" s="36" t="str">
        <x:v>complete_primary</x:v>
      </x:c>
      <x:c r="AB283" s="36" t="str">
        <x:v>https://www.un.org/development/desa/pd/world-population-prospects-2024</x:v>
      </x:c>
      <x:c r="AC283" s="36" t="str">
        <x:v>https://api.imf.org/external/sdmx/3.0/data/dataflow/IMF.RES/WEO/9.0.0/</x:v>
      </x:c>
      <x:c r="AD283" s="36" t="str">
        <x:v>https://api.worldbank.org/v2/</x:v>
      </x:c>
    </x:row>
    <x:row r="284">
      <x:c r="A284" s="24" t="str">
        <x:v>MLD</x:v>
      </x:c>
      <x:c r="B284" s="24" t="str">
        <x:v>Maldives</x:v>
      </x:c>
      <x:c r="C284" s="24" t="str">
        <x:v>MDV</x:v>
      </x:c>
      <x:c r="D284" s="24" t="str">
        <x:v>MDV</x:v>
      </x:c>
      <x:c r="E284" s="24" t="n">
        <x:v>2022</x:v>
      </x:c>
      <x:c r="F284" s="37" t="n">
        <x:v>1</x:v>
      </x:c>
      <x:c r="G284" s="38" t="n">
        <x:v>539616</x:v>
      </x:c>
      <x:c r="H284" s="38" t="n">
        <x:v>524106</x:v>
      </x:c>
      <x:c r="I284" s="39" t="n">
        <x:f>H284/G284</x:f>
        <x:v>0.9712573385518591</x:v>
      </x:c>
      <x:c r="J284" s="40" t="n">
        <x:f>(I284-1)*100</x:f>
        <x:v>-2.874266144814086</x:v>
      </x:c>
      <x:c r="K284" s="36" t="str">
        <x:v>no</x:v>
      </x:c>
      <x:c r="L284" s="36" t="str">
        <x:v>Single-country territory; UN WPP and vanilla are within the ±5% review threshold.</x:v>
      </x:c>
      <x:c r="M284" s="41" t="n">
        <x:v>10018800000</x:v>
      </x:c>
      <x:c r="N284" s="41" t="n">
        <x:v>10018800000</x:v>
      </x:c>
      <x:c r="O284" s="41" t="n">
        <x:v>18567</x:v>
      </x:c>
      <x:c r="P284" s="41" t="n">
        <x:v>11768</x:v>
      </x:c>
      <x:c r="Q284" s="41" t="n">
        <x:v>22877</x:v>
      </x:c>
      <x:c r="R284" s="42" t="n">
        <x:f>MIN(P284,Q284)</x:f>
        <x:v>11768</x:v>
      </x:c>
      <x:c r="S284" s="42" t="n">
        <x:f>MAX(P284,Q284)</x:f>
        <x:v>22877</x:v>
      </x:c>
      <x:c r="T284" s="42" t="n">
        <x:f>MAX(R284,MIN(O284,S284))</x:f>
        <x:v>18567</x:v>
      </x:c>
      <x:c r="U284" s="19" t="str">
        <x:f>IF(O284&lt;R284,IF(R284=P284,"clamped_to_nominal","clamped_to_ppp"),IF(O284&gt;S284,IF(S284=P284,"clamped_to_nominal","clamped_to_ppp"),"kept_vanilla"))</x:f>
        <x:v>kept_vanilla</x:v>
      </x:c>
      <x:c r="V284" s="42" t="n">
        <x:f>T284*H284</x:f>
        <x:v>9731076102</x:v>
      </x:c>
      <x:c r="W284" s="42" t="n">
        <x:f>V284/F284</x:f>
        <x:v>9731076102</x:v>
      </x:c>
      <x:c r="X284" s="36" t="str">
        <x:v>MDV: UN WPP 2024 Medium exact 2022</x:v>
      </x:c>
      <x:c r="Y284" s="36" t="str">
        <x:v>MDV: IMF exact 2022</x:v>
      </x:c>
      <x:c r="Z284" s="36" t="str">
        <x:v>MDV: IMF exact 2022</x:v>
      </x:c>
      <x:c r="AA284" s="36" t="str">
        <x:v>complete_primary</x:v>
      </x:c>
      <x:c r="AB284" s="36" t="str">
        <x:v>https://www.un.org/development/desa/pd/world-population-prospects-2024</x:v>
      </x:c>
      <x:c r="AC284" s="36" t="str">
        <x:v>https://api.imf.org/external/sdmx/3.0/data/dataflow/IMF.RES/WEO/9.0.0/</x:v>
      </x:c>
      <x:c r="AD284" s="36" t="str">
        <x:v>https://api.worldbank.org/v2/</x:v>
      </x:c>
    </x:row>
    <x:row r="285">
      <x:c r="A285" s="24" t="str">
        <x:v>MLD</x:v>
      </x:c>
      <x:c r="B285" s="24" t="str">
        <x:v>Maldives</x:v>
      </x:c>
      <x:c r="C285" s="24" t="str">
        <x:v>MDV</x:v>
      </x:c>
      <x:c r="D285" s="24" t="str">
        <x:v>MDV</x:v>
      </x:c>
      <x:c r="E285" s="24" t="n">
        <x:v>2026</x:v>
      </x:c>
      <x:c r="F285" s="37" t="n">
        <x:v>0.87</x:v>
      </x:c>
      <x:c r="G285" s="38" t="n">
        <x:v>531517</x:v>
      </x:c>
      <x:c r="H285" s="38" t="n">
        <x:v>531517</x:v>
      </x:c>
      <x:c r="I285" s="39" t="n">
        <x:f>H285/G285</x:f>
        <x:v>1</x:v>
      </x:c>
      <x:c r="J285" s="40" t="n">
        <x:f>(I285-1)*100</x:f>
        <x:v>0</x:v>
      </x:c>
      <x:c r="K285" s="36" t="str">
        <x:v>no</x:v>
      </x:c>
      <x:c r="L285" s="36" t="str">
        <x:v>Single-country territory; UN WPP and vanilla are within the ±5% review threshold.</x:v>
      </x:c>
      <x:c r="M285" s="41" t="n">
        <x:v>13226400000</x:v>
      </x:c>
      <x:c r="N285" s="41" t="n">
        <x:v>11506968000</x:v>
      </x:c>
      <x:c r="O285" s="41" t="n">
        <x:v>21649</x:v>
      </x:c>
      <x:c r="P285" s="41" t="n">
        <x:v>13308</x:v>
      </x:c>
      <x:c r="Q285" s="41" t="n">
        <x:v>25862</x:v>
      </x:c>
      <x:c r="R285" s="42" t="n">
        <x:f>MIN(P285,Q285)</x:f>
        <x:v>13308</x:v>
      </x:c>
      <x:c r="S285" s="42" t="n">
        <x:f>MAX(P285,Q285)</x:f>
        <x:v>25862</x:v>
      </x:c>
      <x:c r="T285" s="42" t="n">
        <x:f>MAX(R285,MIN(O285,S285))</x:f>
        <x:v>21649</x:v>
      </x:c>
      <x:c r="U285" s="19" t="str">
        <x:f>IF(O285&lt;R285,IF(R285=P285,"clamped_to_nominal","clamped_to_ppp"),IF(O285&gt;S285,IF(S285=P285,"clamped_to_nominal","clamped_to_ppp"),"kept_vanilla"))</x:f>
        <x:v>kept_vanilla</x:v>
      </x:c>
      <x:c r="V285" s="42" t="n">
        <x:f>T285*H285</x:f>
        <x:v>11506811533</x:v>
      </x:c>
      <x:c r="W285" s="42" t="n">
        <x:f>V285/F285</x:f>
        <x:v>13226220152.873564</x:v>
      </x:c>
      <x:c r="X285" s="36" t="str">
        <x:v>MDV: UN WPP 2024 Medium exact 2026</x:v>
      </x:c>
      <x:c r="Y285" s="36" t="str">
        <x:v>MDV: IMF exact 2026</x:v>
      </x:c>
      <x:c r="Z285" s="36" t="str">
        <x:v>MDV: IMF exact 2026</x:v>
      </x:c>
      <x:c r="AA285" s="36" t="str">
        <x:v>complete_primary</x:v>
      </x:c>
      <x:c r="AB285" s="36" t="str">
        <x:v>https://www.un.org/development/desa/pd/world-population-prospects-2024</x:v>
      </x:c>
      <x:c r="AC285" s="36" t="str">
        <x:v>https://api.imf.org/external/sdmx/3.0/data/dataflow/IMF.RES/WEO/9.0.0/</x:v>
      </x:c>
      <x:c r="AD285" s="36" t="str">
        <x:v>https://api.worldbank.org/v2/</x:v>
      </x:c>
    </x:row>
    <x:row r="286">
      <x:c r="A286" s="24" t="str">
        <x:v>MLI</x:v>
      </x:c>
      <x:c r="B286" s="24" t="str">
        <x:v>Mali</x:v>
      </x:c>
      <x:c r="C286" s="24" t="str">
        <x:v>MLI</x:v>
      </x:c>
      <x:c r="D286" s="24" t="str">
        <x:v>MLI</x:v>
      </x:c>
      <x:c r="E286" s="24" t="n">
        <x:v>2003</x:v>
      </x:c>
      <x:c r="F286" s="37" t="n">
        <x:v>1.59</x:v>
      </x:c>
      <x:c r="G286" s="38" t="n">
        <x:v>12684955</x:v>
      </x:c>
      <x:c r="H286" s="38" t="n">
        <x:v>12684955</x:v>
      </x:c>
      <x:c r="I286" s="39" t="n">
        <x:f>H286/G286</x:f>
        <x:v>1</x:v>
      </x:c>
      <x:c r="J286" s="40" t="n">
        <x:f>(I286-1)*100</x:f>
        <x:v>0</x:v>
      </x:c>
      <x:c r="K286" s="36" t="str">
        <x:v>no</x:v>
      </x:c>
      <x:c r="L286" s="36" t="str">
        <x:v>Single-country territory; UN WPP and vanilla are within the ±5% review threshold.</x:v>
      </x:c>
      <x:c r="M286" s="41" t="n">
        <x:v>10854385965</x:v>
      </x:c>
      <x:c r="N286" s="41" t="n">
        <x:v>17258473684</x:v>
      </x:c>
      <x:c r="O286" s="41" t="n">
        <x:v>1361</x:v>
      </x:c>
      <x:c r="P286" s="41" t="n">
        <x:v>692</x:v>
      </x:c>
      <x:c r="Q286" s="41" t="n">
        <x:v>2797</x:v>
      </x:c>
      <x:c r="R286" s="42" t="n">
        <x:f>MIN(P286,Q286)</x:f>
        <x:v>692</x:v>
      </x:c>
      <x:c r="S286" s="42" t="n">
        <x:f>MAX(P286,Q286)</x:f>
        <x:v>2797</x:v>
      </x:c>
      <x:c r="T286" s="42" t="n">
        <x:f>MAX(R286,MIN(O286,S286))</x:f>
        <x:v>1361</x:v>
      </x:c>
      <x:c r="U286" s="19" t="str">
        <x:f>IF(O286&lt;R286,IF(R286=P286,"clamped_to_nominal","clamped_to_ppp"),IF(O286&gt;S286,IF(S286=P286,"clamped_to_nominal","clamped_to_ppp"),"kept_vanilla"))</x:f>
        <x:v>kept_vanilla</x:v>
      </x:c>
      <x:c r="V286" s="42" t="n">
        <x:f>T286*H286</x:f>
        <x:v>17264223755</x:v>
      </x:c>
      <x:c r="W286" s="42" t="n">
        <x:f>V286/F286</x:f>
        <x:v>10858002361.63522</x:v>
      </x:c>
      <x:c r="X286" s="36" t="str">
        <x:v>MLI: UN WPP 2024 Medium exact 2003</x:v>
      </x:c>
      <x:c r="Y286" s="36" t="str">
        <x:v>MLI: IMF exact 2003</x:v>
      </x:c>
      <x:c r="Z286" s="36" t="str">
        <x:v>MLI: IMF exact 2003</x:v>
      </x:c>
      <x:c r="AA286" s="36" t="str">
        <x:v>complete_primary</x:v>
      </x:c>
      <x:c r="AB286" s="36" t="str">
        <x:v>https://www.un.org/development/desa/pd/world-population-prospects-2024</x:v>
      </x:c>
      <x:c r="AC286" s="36" t="str">
        <x:v>https://api.imf.org/external/sdmx/3.0/data/dataflow/IMF.RES/WEO/9.0.0/</x:v>
      </x:c>
      <x:c r="AD286" s="36" t="str">
        <x:v>https://api.worldbank.org/v2/</x:v>
      </x:c>
    </x:row>
    <x:row r="287">
      <x:c r="A287" s="24" t="str">
        <x:v>MLI</x:v>
      </x:c>
      <x:c r="B287" s="24" t="str">
        <x:v>Mali</x:v>
      </x:c>
      <x:c r="C287" s="24" t="str">
        <x:v>MLI</x:v>
      </x:c>
      <x:c r="D287" s="24" t="str">
        <x:v>MLI</x:v>
      </x:c>
      <x:c r="E287" s="24" t="n">
        <x:v>2022</x:v>
      </x:c>
      <x:c r="F287" s="37" t="n">
        <x:v>1</x:v>
      </x:c>
      <x:c r="G287" s="38" t="n">
        <x:v>21669157</x:v>
      </x:c>
      <x:c r="H287" s="38" t="n">
        <x:v>23072640</x:v>
      </x:c>
      <x:c r="I287" s="39" t="n">
        <x:f>H287/G287</x:f>
        <x:v>1.0647686940474888</x:v>
      </x:c>
      <x:c r="J287" s="40" t="n">
        <x:f>(I287-1)*100</x:f>
        <x:v>6.476869404748875</x:v>
      </x:c>
      <x:c r="K287" s="36" t="str">
        <x:v>yes — reviewed</x:v>
      </x:c>
      <x:c r="L287" s="36" t="str">
        <x:v>Single-country game territory and UN country/area boundary align. The difference is an updated historical estimate/projection vintage, not a geographic-scope mismatch; accept the UN WPP value for a consistent source vintage.</x:v>
      </x:c>
      <x:c r="M287" s="41" t="n">
        <x:v>55335000000</x:v>
      </x:c>
      <x:c r="N287" s="41" t="n">
        <x:v>55335000000</x:v>
      </x:c>
      <x:c r="O287" s="41" t="n">
        <x:v>2554</x:v>
      </x:c>
      <x:c r="P287" s="41" t="n">
        <x:v>982</x:v>
      </x:c>
      <x:c r="Q287" s="41" t="n">
        <x:v>3021</x:v>
      </x:c>
      <x:c r="R287" s="42" t="n">
        <x:f>MIN(P287,Q287)</x:f>
        <x:v>982</x:v>
      </x:c>
      <x:c r="S287" s="42" t="n">
        <x:f>MAX(P287,Q287)</x:f>
        <x:v>3021</x:v>
      </x:c>
      <x:c r="T287" s="42" t="n">
        <x:f>MAX(R287,MIN(O287,S287))</x:f>
        <x:v>2554</x:v>
      </x:c>
      <x:c r="U287" s="19" t="str">
        <x:f>IF(O287&lt;R287,IF(R287=P287,"clamped_to_nominal","clamped_to_ppp"),IF(O287&gt;S287,IF(S287=P287,"clamped_to_nominal","clamped_to_ppp"),"kept_vanilla"))</x:f>
        <x:v>kept_vanilla</x:v>
      </x:c>
      <x:c r="V287" s="42" t="n">
        <x:f>T287*H287</x:f>
        <x:v>58927522560</x:v>
      </x:c>
      <x:c r="W287" s="42" t="n">
        <x:f>V287/F287</x:f>
        <x:v>58927522560</x:v>
      </x:c>
      <x:c r="X287" s="36" t="str">
        <x:v>MLI: UN WPP 2024 Medium exact 2022</x:v>
      </x:c>
      <x:c r="Y287" s="36" t="str">
        <x:v>MLI: IMF exact 2022</x:v>
      </x:c>
      <x:c r="Z287" s="36" t="str">
        <x:v>MLI: IMF exact 2022</x:v>
      </x:c>
      <x:c r="AA287" s="36" t="str">
        <x:v>complete_primary</x:v>
      </x:c>
      <x:c r="AB287" s="36" t="str">
        <x:v>https://www.un.org/development/desa/pd/world-population-prospects-2024</x:v>
      </x:c>
      <x:c r="AC287" s="36" t="str">
        <x:v>https://api.imf.org/external/sdmx/3.0/data/dataflow/IMF.RES/WEO/9.0.0/</x:v>
      </x:c>
      <x:c r="AD287" s="36" t="str">
        <x:v>https://api.worldbank.org/v2/</x:v>
      </x:c>
    </x:row>
    <x:row r="288">
      <x:c r="A288" s="24" t="str">
        <x:v>MLI</x:v>
      </x:c>
      <x:c r="B288" s="24" t="str">
        <x:v>Mali</x:v>
      </x:c>
      <x:c r="C288" s="24" t="str">
        <x:v>MLI</x:v>
      </x:c>
      <x:c r="D288" s="24" t="str">
        <x:v>MLI</x:v>
      </x:c>
      <x:c r="E288" s="24" t="n">
        <x:v>2026</x:v>
      </x:c>
      <x:c r="F288" s="37" t="n">
        <x:v>0.87</x:v>
      </x:c>
      <x:c r="G288" s="38" t="n">
        <x:v>25932275</x:v>
      </x:c>
      <x:c r="H288" s="38" t="n">
        <x:v>25932275</x:v>
      </x:c>
      <x:c r="I288" s="39" t="n">
        <x:f>H288/G288</x:f>
        <x:v>1</x:v>
      </x:c>
      <x:c r="J288" s="40" t="n">
        <x:f>(I288-1)*100</x:f>
        <x:v>0</x:v>
      </x:c>
      <x:c r="K288" s="36" t="str">
        <x:v>no</x:v>
      </x:c>
      <x:c r="L288" s="36" t="str">
        <x:v>Single-country territory; UN WPP and vanilla are within the ±5% review threshold.</x:v>
      </x:c>
      <x:c r="M288" s="41" t="n">
        <x:v>64009440000</x:v>
      </x:c>
      <x:c r="N288" s="41" t="n">
        <x:v>55688212800</x:v>
      </x:c>
      <x:c r="O288" s="41" t="n">
        <x:v>2147</x:v>
      </x:c>
      <x:c r="P288" s="41" t="n">
        <x:v>1136</x:v>
      </x:c>
      <x:c r="Q288" s="41" t="n">
        <x:v>3199</x:v>
      </x:c>
      <x:c r="R288" s="42" t="n">
        <x:f>MIN(P288,Q288)</x:f>
        <x:v>1136</x:v>
      </x:c>
      <x:c r="S288" s="42" t="n">
        <x:f>MAX(P288,Q288)</x:f>
        <x:v>3199</x:v>
      </x:c>
      <x:c r="T288" s="42" t="n">
        <x:f>MAX(R288,MIN(O288,S288))</x:f>
        <x:v>2147</x:v>
      </x:c>
      <x:c r="U288" s="19" t="str">
        <x:f>IF(O288&lt;R288,IF(R288=P288,"clamped_to_nominal","clamped_to_ppp"),IF(O288&gt;S288,IF(S288=P288,"clamped_to_nominal","clamped_to_ppp"),"kept_vanilla"))</x:f>
        <x:v>kept_vanilla</x:v>
      </x:c>
      <x:c r="V288" s="42" t="n">
        <x:f>T288*H288</x:f>
        <x:v>55676594425</x:v>
      </x:c>
      <x:c r="W288" s="42" t="n">
        <x:f>V288/F288</x:f>
        <x:v>63996085545.97701</x:v>
      </x:c>
      <x:c r="X288" s="36" t="str">
        <x:v>MLI: UN WPP 2024 Medium exact 2026</x:v>
      </x:c>
      <x:c r="Y288" s="36" t="str">
        <x:v>MLI: IMF exact 2026</x:v>
      </x:c>
      <x:c r="Z288" s="36" t="str">
        <x:v>MLI: IMF exact 2026</x:v>
      </x:c>
      <x:c r="AA288" s="36" t="str">
        <x:v>complete_primary</x:v>
      </x:c>
      <x:c r="AB288" s="36" t="str">
        <x:v>https://www.un.org/development/desa/pd/world-population-prospects-2024</x:v>
      </x:c>
      <x:c r="AC288" s="36" t="str">
        <x:v>https://api.imf.org/external/sdmx/3.0/data/dataflow/IMF.RES/WEO/9.0.0/</x:v>
      </x:c>
      <x:c r="AD288" s="36" t="str">
        <x:v>https://api.worldbank.org/v2/</x:v>
      </x:c>
    </x:row>
    <x:row r="289">
      <x:c r="A289" s="24" t="str">
        <x:v>MRT</x:v>
      </x:c>
      <x:c r="B289" s="24" t="str">
        <x:v>Mauritania</x:v>
      </x:c>
      <x:c r="C289" s="24" t="str">
        <x:v>MRT</x:v>
      </x:c>
      <x:c r="D289" s="24" t="str">
        <x:v>MRT</x:v>
      </x:c>
      <x:c r="E289" s="24" t="n">
        <x:v>2003</x:v>
      </x:c>
      <x:c r="F289" s="37" t="n">
        <x:v>1.59</x:v>
      </x:c>
      <x:c r="G289" s="38" t="n">
        <x:v>2802046</x:v>
      </x:c>
      <x:c r="H289" s="38" t="n">
        <x:v>2802046</x:v>
      </x:c>
      <x:c r="I289" s="39" t="n">
        <x:f>H289/G289</x:f>
        <x:v>1</x:v>
      </x:c>
      <x:c r="J289" s="40" t="n">
        <x:f>(I289-1)*100</x:f>
        <x:v>0</x:v>
      </x:c>
      <x:c r="K289" s="36" t="str">
        <x:v>no</x:v>
      </x:c>
      <x:c r="L289" s="36" t="str">
        <x:v>Single-country territory; UN WPP and vanilla are within the ±5% review threshold.</x:v>
      </x:c>
      <x:c r="M289" s="41" t="n">
        <x:v>5608187135</x:v>
      </x:c>
      <x:c r="N289" s="41" t="n">
        <x:v>8917017545</x:v>
      </x:c>
      <x:c r="O289" s="41" t="n">
        <x:v>3182</x:v>
      </x:c>
      <x:c r="P289" s="41" t="n">
        <x:v>1164</x:v>
      </x:c>
      <x:c r="Q289" s="41" t="n">
        <x:v>5442</x:v>
      </x:c>
      <x:c r="R289" s="42" t="n">
        <x:f>MIN(P289,Q289)</x:f>
        <x:v>1164</x:v>
      </x:c>
      <x:c r="S289" s="42" t="n">
        <x:f>MAX(P289,Q289)</x:f>
        <x:v>5442</x:v>
      </x:c>
      <x:c r="T289" s="42" t="n">
        <x:f>MAX(R289,MIN(O289,S289))</x:f>
        <x:v>3182</x:v>
      </x:c>
      <x:c r="U289" s="19" t="str">
        <x:f>IF(O289&lt;R289,IF(R289=P289,"clamped_to_nominal","clamped_to_ppp"),IF(O289&gt;S289,IF(S289=P289,"clamped_to_nominal","clamped_to_ppp"),"kept_vanilla"))</x:f>
        <x:v>kept_vanilla</x:v>
      </x:c>
      <x:c r="V289" s="42" t="n">
        <x:f>T289*H289</x:f>
        <x:v>8916110372</x:v>
      </x:c>
      <x:c r="W289" s="42" t="n">
        <x:f>V289/F289</x:f>
        <x:v>5607616586.163522</x:v>
      </x:c>
      <x:c r="X289" s="36" t="str">
        <x:v>MRT: UN WPP 2024 Medium exact 2003</x:v>
      </x:c>
      <x:c r="Y289" s="36" t="str">
        <x:v>MRT: IMF exact 2003</x:v>
      </x:c>
      <x:c r="Z289" s="36" t="str">
        <x:v>MRT: IMF exact 2003</x:v>
      </x:c>
      <x:c r="AA289" s="36" t="str">
        <x:v>complete_primary</x:v>
      </x:c>
      <x:c r="AB289" s="36" t="str">
        <x:v>https://www.un.org/development/desa/pd/world-population-prospects-2024</x:v>
      </x:c>
      <x:c r="AC289" s="36" t="str">
        <x:v>https://api.imf.org/external/sdmx/3.0/data/dataflow/IMF.RES/WEO/9.0.0/</x:v>
      </x:c>
      <x:c r="AD289" s="36" t="str">
        <x:v>https://api.worldbank.org/v2/</x:v>
      </x:c>
    </x:row>
    <x:row r="290">
      <x:c r="A290" s="24" t="str">
        <x:v>MRT</x:v>
      </x:c>
      <x:c r="B290" s="24" t="str">
        <x:v>Mauritania</x:v>
      </x:c>
      <x:c r="C290" s="24" t="str">
        <x:v>MRT</x:v>
      </x:c>
      <x:c r="D290" s="24" t="str">
        <x:v>MRT</x:v>
      </x:c>
      <x:c r="E290" s="24" t="n">
        <x:v>2022</x:v>
      </x:c>
      <x:c r="F290" s="37" t="n">
        <x:v>1</x:v>
      </x:c>
      <x:c r="G290" s="38" t="n">
        <x:v>4942138</x:v>
      </x:c>
      <x:c r="H290" s="38" t="n">
        <x:v>4875637</x:v>
      </x:c>
      <x:c r="I290" s="39" t="n">
        <x:f>H290/G290</x:f>
        <x:v>0.9865440827431367</x:v>
      </x:c>
      <x:c r="J290" s="40" t="n">
        <x:f>(I290-1)*100</x:f>
        <x:v>-1.3455917256863348</x:v>
      </x:c>
      <x:c r="K290" s="36" t="str">
        <x:v>no</x:v>
      </x:c>
      <x:c r="L290" s="36" t="str">
        <x:v>Single-country territory; UN WPP and vanilla are within the ±5% review threshold.</x:v>
      </x:c>
      <x:c r="M290" s="41" t="n">
        <x:v>26393840000</x:v>
      </x:c>
      <x:c r="N290" s="41" t="n">
        <x:v>26393840000</x:v>
      </x:c>
      <x:c r="O290" s="41" t="n">
        <x:v>5341</x:v>
      </x:c>
      <x:c r="P290" s="41" t="n">
        <x:v>1962</x:v>
      </x:c>
      <x:c r="Q290" s="41" t="n">
        <x:v>6484</x:v>
      </x:c>
      <x:c r="R290" s="42" t="n">
        <x:f>MIN(P290,Q290)</x:f>
        <x:v>1962</x:v>
      </x:c>
      <x:c r="S290" s="42" t="n">
        <x:f>MAX(P290,Q290)</x:f>
        <x:v>6484</x:v>
      </x:c>
      <x:c r="T290" s="42" t="n">
        <x:f>MAX(R290,MIN(O290,S290))</x:f>
        <x:v>5341</x:v>
      </x:c>
      <x:c r="U290" s="19" t="str">
        <x:f>IF(O290&lt;R290,IF(R290=P290,"clamped_to_nominal","clamped_to_ppp"),IF(O290&gt;S290,IF(S290=P290,"clamped_to_nominal","clamped_to_ppp"),"kept_vanilla"))</x:f>
        <x:v>kept_vanilla</x:v>
      </x:c>
      <x:c r="V290" s="42" t="n">
        <x:f>T290*H290</x:f>
        <x:v>26040777217</x:v>
      </x:c>
      <x:c r="W290" s="42" t="n">
        <x:f>V290/F290</x:f>
        <x:v>26040777217</x:v>
      </x:c>
      <x:c r="X290" s="36" t="str">
        <x:v>MRT: UN WPP 2024 Medium exact 2022</x:v>
      </x:c>
      <x:c r="Y290" s="36" t="str">
        <x:v>MRT: IMF exact 2022</x:v>
      </x:c>
      <x:c r="Z290" s="36" t="str">
        <x:v>MRT: IMF exact 2022</x:v>
      </x:c>
      <x:c r="AA290" s="36" t="str">
        <x:v>complete_primary</x:v>
      </x:c>
      <x:c r="AB290" s="36" t="str">
        <x:v>https://www.un.org/development/desa/pd/world-population-prospects-2024</x:v>
      </x:c>
      <x:c r="AC290" s="36" t="str">
        <x:v>https://api.imf.org/external/sdmx/3.0/data/dataflow/IMF.RES/WEO/9.0.0/</x:v>
      </x:c>
      <x:c r="AD290" s="36" t="str">
        <x:v>https://api.worldbank.org/v2/</x:v>
      </x:c>
    </x:row>
    <x:row r="291">
      <x:c r="A291" s="24" t="str">
        <x:v>MRT</x:v>
      </x:c>
      <x:c r="B291" s="24" t="str">
        <x:v>Mauritania</x:v>
      </x:c>
      <x:c r="C291" s="24" t="str">
        <x:v>MRT</x:v>
      </x:c>
      <x:c r="D291" s="24" t="str">
        <x:v>MRT</x:v>
      </x:c>
      <x:c r="E291" s="24" t="n">
        <x:v>2026</x:v>
      </x:c>
      <x:c r="F291" s="37" t="n">
        <x:v>0.87</x:v>
      </x:c>
      <x:c r="G291" s="38" t="n">
        <x:v>5461319</x:v>
      </x:c>
      <x:c r="H291" s="38" t="n">
        <x:v>5461319</x:v>
      </x:c>
      <x:c r="I291" s="39" t="n">
        <x:f>H291/G291</x:f>
        <x:v>1</x:v>
      </x:c>
      <x:c r="J291" s="40" t="n">
        <x:f>(I291-1)*100</x:f>
        <x:v>0</x:v>
      </x:c>
      <x:c r="K291" s="36" t="str">
        <x:v>no</x:v>
      </x:c>
      <x:c r="L291" s="36" t="str">
        <x:v>Single-country territory; UN WPP and vanilla are within the ±5% review threshold.</x:v>
      </x:c>
      <x:c r="M291" s="41" t="n">
        <x:v>35252800000</x:v>
      </x:c>
      <x:c r="N291" s="41" t="n">
        <x:v>30669936000</x:v>
      </x:c>
      <x:c r="O291" s="41" t="n">
        <x:v>5616</x:v>
      </x:c>
      <x:c r="P291" s="41" t="n">
        <x:v>2286</x:v>
      </x:c>
      <x:c r="Q291" s="41" t="n">
        <x:v>6995</x:v>
      </x:c>
      <x:c r="R291" s="42" t="n">
        <x:f>MIN(P291,Q291)</x:f>
        <x:v>2286</x:v>
      </x:c>
      <x:c r="S291" s="42" t="n">
        <x:f>MAX(P291,Q291)</x:f>
        <x:v>6995</x:v>
      </x:c>
      <x:c r="T291" s="42" t="n">
        <x:f>MAX(R291,MIN(O291,S291))</x:f>
        <x:v>5616</x:v>
      </x:c>
      <x:c r="U291" s="19" t="str">
        <x:f>IF(O291&lt;R291,IF(R291=P291,"clamped_to_nominal","clamped_to_ppp"),IF(O291&gt;S291,IF(S291=P291,"clamped_to_nominal","clamped_to_ppp"),"kept_vanilla"))</x:f>
        <x:v>kept_vanilla</x:v>
      </x:c>
      <x:c r="V291" s="42" t="n">
        <x:f>T291*H291</x:f>
        <x:v>30670767504</x:v>
      </x:c>
      <x:c r="W291" s="42" t="n">
        <x:f>V291/F291</x:f>
        <x:v>35253755751.72414</x:v>
      </x:c>
      <x:c r="X291" s="36" t="str">
        <x:v>MRT: UN WPP 2024 Medium exact 2026</x:v>
      </x:c>
      <x:c r="Y291" s="36" t="str">
        <x:v>MRT: IMF exact 2026</x:v>
      </x:c>
      <x:c r="Z291" s="36" t="str">
        <x:v>MRT: IMF exact 2026</x:v>
      </x:c>
      <x:c r="AA291" s="36" t="str">
        <x:v>complete_primary</x:v>
      </x:c>
      <x:c r="AB291" s="36" t="str">
        <x:v>https://www.un.org/development/desa/pd/world-population-prospects-2024</x:v>
      </x:c>
      <x:c r="AC291" s="36" t="str">
        <x:v>https://api.imf.org/external/sdmx/3.0/data/dataflow/IMF.RES/WEO/9.0.0/</x:v>
      </x:c>
      <x:c r="AD291" s="36" t="str">
        <x:v>https://api.worldbank.org/v2/</x:v>
      </x:c>
    </x:row>
    <x:row r="292">
      <x:c r="A292" s="24" t="str">
        <x:v>MRS</x:v>
      </x:c>
      <x:c r="B292" s="24" t="str">
        <x:v>Mauritius</x:v>
      </x:c>
      <x:c r="C292" s="24" t="str">
        <x:v>MUS</x:v>
      </x:c>
      <x:c r="D292" s="24" t="str">
        <x:v>MUS</x:v>
      </x:c>
      <x:c r="E292" s="24" t="n">
        <x:v>2003</x:v>
      </x:c>
      <x:c r="F292" s="37" t="n">
        <x:v>1.59</x:v>
      </x:c>
      <x:c r="G292" s="38" t="n">
        <x:v>1242099</x:v>
      </x:c>
      <x:c r="H292" s="38" t="n">
        <x:v>1242099</x:v>
      </x:c>
      <x:c r="I292" s="39" t="n">
        <x:f>H292/G292</x:f>
        <x:v>1</x:v>
      </x:c>
      <x:c r="J292" s="40" t="n">
        <x:f>(I292-1)*100</x:f>
        <x:v>0</x:v>
      </x:c>
      <x:c r="K292" s="36" t="str">
        <x:v>no</x:v>
      </x:c>
      <x:c r="L292" s="36" t="str">
        <x:v>Single-country territory; UN WPP and vanilla are within the ±5% review threshold.</x:v>
      </x:c>
      <x:c r="M292" s="41" t="n">
        <x:v>7485380117</x:v>
      </x:c>
      <x:c r="N292" s="41" t="n">
        <x:v>11901754386</x:v>
      </x:c>
      <x:c r="O292" s="41" t="n">
        <x:v>9582</x:v>
      </x:c>
      <x:c r="P292" s="41" t="n">
        <x:v>7879</x:v>
      </x:c>
      <x:c r="Q292" s="41" t="n">
        <x:v>16386</x:v>
      </x:c>
      <x:c r="R292" s="42" t="n">
        <x:f>MIN(P292,Q292)</x:f>
        <x:v>7879</x:v>
      </x:c>
      <x:c r="S292" s="42" t="n">
        <x:f>MAX(P292,Q292)</x:f>
        <x:v>16386</x:v>
      </x:c>
      <x:c r="T292" s="42" t="n">
        <x:f>MAX(R292,MIN(O292,S292))</x:f>
        <x:v>9582</x:v>
      </x:c>
      <x:c r="U292" s="19" t="str">
        <x:f>IF(O292&lt;R292,IF(R292=P292,"clamped_to_nominal","clamped_to_ppp"),IF(O292&gt;S292,IF(S292=P292,"clamped_to_nominal","clamped_to_ppp"),"kept_vanilla"))</x:f>
        <x:v>kept_vanilla</x:v>
      </x:c>
      <x:c r="V292" s="42" t="n">
        <x:f>T292*H292</x:f>
        <x:v>11901792618</x:v>
      </x:c>
      <x:c r="W292" s="42" t="n">
        <x:f>V292/F292</x:f>
        <x:v>7485404162.264151</x:v>
      </x:c>
      <x:c r="X292" s="36" t="str">
        <x:v>MUS: UN WPP 2024 Medium exact 2003</x:v>
      </x:c>
      <x:c r="Y292" s="36" t="str">
        <x:v>MUS: IMF exact 2003</x:v>
      </x:c>
      <x:c r="Z292" s="36" t="str">
        <x:v>MUS: IMF exact 2003</x:v>
      </x:c>
      <x:c r="AA292" s="36" t="str">
        <x:v>complete_primary</x:v>
      </x:c>
      <x:c r="AB292" s="36" t="str">
        <x:v>https://www.un.org/development/desa/pd/world-population-prospects-2024</x:v>
      </x:c>
      <x:c r="AC292" s="36" t="str">
        <x:v>https://api.imf.org/external/sdmx/3.0/data/dataflow/IMF.RES/WEO/9.0.0/</x:v>
      </x:c>
      <x:c r="AD292" s="36" t="str">
        <x:v>https://api.worldbank.org/v2/</x:v>
      </x:c>
    </x:row>
    <x:row r="293">
      <x:c r="A293" s="24" t="str">
        <x:v>MRS</x:v>
      </x:c>
      <x:c r="B293" s="24" t="str">
        <x:v>Mauritius</x:v>
      </x:c>
      <x:c r="C293" s="24" t="str">
        <x:v>MUS</x:v>
      </x:c>
      <x:c r="D293" s="24" t="str">
        <x:v>MUS</x:v>
      </x:c>
      <x:c r="E293" s="24" t="n">
        <x:v>2022</x:v>
      </x:c>
      <x:c r="F293" s="37" t="n">
        <x:v>1</x:v>
      </x:c>
      <x:c r="G293" s="38" t="n">
        <x:v>1275079</x:v>
      </x:c>
      <x:c r="H293" s="38" t="n">
        <x:v>1276130</x:v>
      </x:c>
      <x:c r="I293" s="39" t="n">
        <x:f>H293/G293</x:f>
        <x:v>1.0008242626535298</x:v>
      </x:c>
      <x:c r="J293" s="40" t="n">
        <x:f>(I293-1)*100</x:f>
        <x:v>0.08242626535297504</x:v>
      </x:c>
      <x:c r="K293" s="36" t="str">
        <x:v>no</x:v>
      </x:c>
      <x:c r="L293" s="36" t="str">
        <x:v>Single-country territory; UN WPP and vanilla are within the ±5% review threshold.</x:v>
      </x:c>
      <x:c r="M293" s="41" t="n">
        <x:v>27913600000</x:v>
      </x:c>
      <x:c r="N293" s="41" t="n">
        <x:v>27913600000</x:v>
      </x:c>
      <x:c r="O293" s="41" t="n">
        <x:v>21892</x:v>
      </x:c>
      <x:c r="P293" s="41" t="n">
        <x:v>10115</x:v>
      </x:c>
      <x:c r="Q293" s="41" t="n">
        <x:v>26269</x:v>
      </x:c>
      <x:c r="R293" s="42" t="n">
        <x:f>MIN(P293,Q293)</x:f>
        <x:v>10115</x:v>
      </x:c>
      <x:c r="S293" s="42" t="n">
        <x:f>MAX(P293,Q293)</x:f>
        <x:v>26269</x:v>
      </x:c>
      <x:c r="T293" s="42" t="n">
        <x:f>MAX(R293,MIN(O293,S293))</x:f>
        <x:v>21892</x:v>
      </x:c>
      <x:c r="U293" s="19" t="str">
        <x:f>IF(O293&lt;R293,IF(R293=P293,"clamped_to_nominal","clamped_to_ppp"),IF(O293&gt;S293,IF(S293=P293,"clamped_to_nominal","clamped_to_ppp"),"kept_vanilla"))</x:f>
        <x:v>kept_vanilla</x:v>
      </x:c>
      <x:c r="V293" s="42" t="n">
        <x:f>T293*H293</x:f>
        <x:v>27937037960</x:v>
      </x:c>
      <x:c r="W293" s="42" t="n">
        <x:f>V293/F293</x:f>
        <x:v>27937037960</x:v>
      </x:c>
      <x:c r="X293" s="36" t="str">
        <x:v>MUS: UN WPP 2024 Medium exact 2022</x:v>
      </x:c>
      <x:c r="Y293" s="36" t="str">
        <x:v>MUS: IMF exact 2022</x:v>
      </x:c>
      <x:c r="Z293" s="36" t="str">
        <x:v>MUS: IMF exact 2022</x:v>
      </x:c>
      <x:c r="AA293" s="36" t="str">
        <x:v>complete_primary</x:v>
      </x:c>
      <x:c r="AB293" s="36" t="str">
        <x:v>https://www.un.org/development/desa/pd/world-population-prospects-2024</x:v>
      </x:c>
      <x:c r="AC293" s="36" t="str">
        <x:v>https://api.imf.org/external/sdmx/3.0/data/dataflow/IMF.RES/WEO/9.0.0/</x:v>
      </x:c>
      <x:c r="AD293" s="36" t="str">
        <x:v>https://api.worldbank.org/v2/</x:v>
      </x:c>
    </x:row>
    <x:row r="294">
      <x:c r="A294" s="24" t="str">
        <x:v>MRS</x:v>
      </x:c>
      <x:c r="B294" s="24" t="str">
        <x:v>Mauritius</x:v>
      </x:c>
      <x:c r="C294" s="24" t="str">
        <x:v>MUS</x:v>
      </x:c>
      <x:c r="D294" s="24" t="str">
        <x:v>MUS</x:v>
      </x:c>
      <x:c r="E294" s="24" t="n">
        <x:v>2026</x:v>
      </x:c>
      <x:c r="F294" s="37" t="n">
        <x:v>0.87</x:v>
      </x:c>
      <x:c r="G294" s="38" t="n">
        <x:v>1265059</x:v>
      </x:c>
      <x:c r="H294" s="38" t="n">
        <x:v>1265059</x:v>
      </x:c>
      <x:c r="I294" s="39" t="n">
        <x:f>H294/G294</x:f>
        <x:v>1</x:v>
      </x:c>
      <x:c r="J294" s="40" t="n">
        <x:f>(I294-1)*100</x:f>
        <x:v>0</x:v>
      </x:c>
      <x:c r="K294" s="36" t="str">
        <x:v>no</x:v>
      </x:c>
      <x:c r="L294" s="36" t="str">
        <x:v>Single-country territory; UN WPP and vanilla are within the ±5% review threshold.</x:v>
      </x:c>
      <x:c r="M294" s="41" t="n">
        <x:v>36389760000</x:v>
      </x:c>
      <x:c r="N294" s="41" t="n">
        <x:v>31659091200</x:v>
      </x:c>
      <x:c r="O294" s="41" t="n">
        <x:v>25026</x:v>
      </x:c>
      <x:c r="P294" s="41" t="n">
        <x:v>11773</x:v>
      </x:c>
      <x:c r="Q294" s="41" t="n">
        <x:v>30442</x:v>
      </x:c>
      <x:c r="R294" s="42" t="n">
        <x:f>MIN(P294,Q294)</x:f>
        <x:v>11773</x:v>
      </x:c>
      <x:c r="S294" s="42" t="n">
        <x:f>MAX(P294,Q294)</x:f>
        <x:v>30442</x:v>
      </x:c>
      <x:c r="T294" s="42" t="n">
        <x:f>MAX(R294,MIN(O294,S294))</x:f>
        <x:v>25026</x:v>
      </x:c>
      <x:c r="U294" s="19" t="str">
        <x:f>IF(O294&lt;R294,IF(R294=P294,"clamped_to_nominal","clamped_to_ppp"),IF(O294&gt;S294,IF(S294=P294,"clamped_to_nominal","clamped_to_ppp"),"kept_vanilla"))</x:f>
        <x:v>kept_vanilla</x:v>
      </x:c>
      <x:c r="V294" s="42" t="n">
        <x:f>T294*H294</x:f>
        <x:v>31659366534</x:v>
      </x:c>
      <x:c r="W294" s="42" t="n">
        <x:f>V294/F294</x:f>
        <x:v>36390076475.86207</x:v>
      </x:c>
      <x:c r="X294" s="36" t="str">
        <x:v>MUS: UN WPP 2024 Medium exact 2026</x:v>
      </x:c>
      <x:c r="Y294" s="36" t="str">
        <x:v>MUS: IMF exact 2026</x:v>
      </x:c>
      <x:c r="Z294" s="36" t="str">
        <x:v>MUS: IMF exact 2026</x:v>
      </x:c>
      <x:c r="AA294" s="36" t="str">
        <x:v>complete_primary</x:v>
      </x:c>
      <x:c r="AB294" s="36" t="str">
        <x:v>https://www.un.org/development/desa/pd/world-population-prospects-2024</x:v>
      </x:c>
      <x:c r="AC294" s="36" t="str">
        <x:v>https://api.imf.org/external/sdmx/3.0/data/dataflow/IMF.RES/WEO/9.0.0/</x:v>
      </x:c>
      <x:c r="AD294" s="36" t="str">
        <x:v>https://api.worldbank.org/v2/</x:v>
      </x:c>
    </x:row>
    <x:row r="295">
      <x:c r="A295" s="24" t="str">
        <x:v>PCS</x:v>
      </x:c>
      <x:c r="B295" s="24" t="str">
        <x:v>Melanesian States</x:v>
      </x:c>
      <x:c r="C295" s="24" t="str">
        <x:v>FJI+SLB+VUT</x:v>
      </x:c>
      <x:c r="D295" s="24" t="str">
        <x:v>FJI+SLB+VUT</x:v>
      </x:c>
      <x:c r="E295" s="24" t="n">
        <x:v>2003</x:v>
      </x:c>
      <x:c r="F295" s="37" t="n">
        <x:v>1.59</x:v>
      </x:c>
      <x:c r="G295" s="38" t="n">
        <x:v>1533186</x:v>
      </x:c>
      <x:c r="H295" s="38" t="n">
        <x:v>1533186</x:v>
      </x:c>
      <x:c r="I295" s="39" t="n">
        <x:f>H295/G295</x:f>
        <x:v>1</x:v>
      </x:c>
      <x:c r="J295" s="40" t="n">
        <x:f>(I295-1)*100</x:f>
        <x:v>0</x:v>
      </x:c>
      <x:c r="K295" s="36" t="str">
        <x:v>no</x:v>
      </x:c>
      <x:c r="L295" s="36" t="str">
        <x:v>Aggregated all explicit game ISO components; reviewed as a composite game country rather than comparing it with only the first sovereign state.</x:v>
      </x:c>
      <x:c r="M295" s="41" t="n">
        <x:v>4354385965</x:v>
      </x:c>
      <x:c r="N295" s="41" t="n">
        <x:v>6923473684</x:v>
      </x:c>
      <x:c r="O295" s="41" t="n">
        <x:v>4516</x:v>
      </x:c>
      <x:c r="P295" s="41" t="n">
        <x:v>3397</x:v>
      </x:c>
      <x:c r="Q295" s="41" t="n">
        <x:v>7752</x:v>
      </x:c>
      <x:c r="R295" s="42" t="n">
        <x:f>MIN(P295,Q295)</x:f>
        <x:v>3397</x:v>
      </x:c>
      <x:c r="S295" s="42" t="n">
        <x:f>MAX(P295,Q295)</x:f>
        <x:v>7752</x:v>
      </x:c>
      <x:c r="T295" s="42" t="n">
        <x:f>MAX(R295,MIN(O295,S295))</x:f>
        <x:v>4516</x:v>
      </x:c>
      <x:c r="U295" s="19" t="str">
        <x:f>IF(O295&lt;R295,IF(R295=P295,"clamped_to_nominal","clamped_to_ppp"),IF(O295&gt;S295,IF(S295=P295,"clamped_to_nominal","clamped_to_ppp"),"kept_vanilla"))</x:f>
        <x:v>kept_vanilla</x:v>
      </x:c>
      <x:c r="V295" s="42" t="n">
        <x:f>T295*H295</x:f>
        <x:v>6923867976</x:v>
      </x:c>
      <x:c r="W295" s="42" t="n">
        <x:f>V295/F295</x:f>
        <x:v>4354633947.169811</x:v>
      </x:c>
      <x:c r="X295" s="36" t="str">
        <x:v>FJI: UN WPP 2024 Medium exact 2003; SLB: UN WPP 2024 Medium exact 2003; VUT: UN WPP 2024 Medium exact 2003</x:v>
      </x:c>
      <x:c r="Y295" s="36" t="str">
        <x:v>FJI: IMF exact 2003; SLB: IMF exact 2003; VUT: IMF exact 2003</x:v>
      </x:c>
      <x:c r="Z295" s="36" t="str">
        <x:v>FJI: IMF exact 2003; SLB: IMF exact 2003; VUT: IMF exact 2003</x:v>
      </x:c>
      <x:c r="AA295" s="36" t="str">
        <x:v>complete_primary</x:v>
      </x:c>
      <x:c r="AB295" s="36" t="str">
        <x:v>https://www.un.org/development/desa/pd/world-population-prospects-2024</x:v>
      </x:c>
      <x:c r="AC295" s="36" t="str">
        <x:v>https://api.imf.org/external/sdmx/3.0/data/dataflow/IMF.RES/WEO/9.0.0/</x:v>
      </x:c>
      <x:c r="AD295" s="36" t="str">
        <x:v>https://api.worldbank.org/v2/</x:v>
      </x:c>
    </x:row>
    <x:row r="296">
      <x:c r="A296" s="24" t="str">
        <x:v>PCS</x:v>
      </x:c>
      <x:c r="B296" s="24" t="str">
        <x:v>Melanesian States</x:v>
      </x:c>
      <x:c r="C296" s="24" t="str">
        <x:v>FJI+SLB+VUT</x:v>
      </x:c>
      <x:c r="D296" s="24" t="str">
        <x:v>FJI+SLB+VUT</x:v>
      </x:c>
      <x:c r="E296" s="24" t="n">
        <x:v>2022</x:v>
      </x:c>
      <x:c r="F296" s="37" t="n">
        <x:v>1</x:v>
      </x:c>
      <x:c r="G296" s="38" t="n">
        <x:v>1962081</x:v>
      </x:c>
      <x:c r="H296" s="38" t="n">
        <x:v>2013534</x:v>
      </x:c>
      <x:c r="I296" s="39" t="n">
        <x:f>H296/G296</x:f>
        <x:v>1.02622368801288</x:v>
      </x:c>
      <x:c r="J296" s="40" t="n">
        <x:f>(I296-1)*100</x:f>
        <x:v>2.622368801288011</x:v>
      </x:c>
      <x:c r="K296" s="36" t="str">
        <x:v>no</x:v>
      </x:c>
      <x:c r="L296" s="36" t="str">
        <x:v>Aggregated all explicit game ISO components; reviewed as a composite game country rather than comparing it with only the first sovereign state.</x:v>
      </x:c>
      <x:c r="M296" s="41" t="n">
        <x:v>13195600000</x:v>
      </x:c>
      <x:c r="N296" s="41" t="n">
        <x:v>13195600000</x:v>
      </x:c>
      <x:c r="O296" s="41" t="n">
        <x:v>6725</x:v>
      </x:c>
      <x:c r="P296" s="41" t="n">
        <x:v>3762</x:v>
      </x:c>
      <x:c r="Q296" s="41" t="n">
        <x:v>7321</x:v>
      </x:c>
      <x:c r="R296" s="42" t="n">
        <x:f>MIN(P296,Q296)</x:f>
        <x:v>3762</x:v>
      </x:c>
      <x:c r="S296" s="42" t="n">
        <x:f>MAX(P296,Q296)</x:f>
        <x:v>7321</x:v>
      </x:c>
      <x:c r="T296" s="42" t="n">
        <x:f>MAX(R296,MIN(O296,S296))</x:f>
        <x:v>6725</x:v>
      </x:c>
      <x:c r="U296" s="19" t="str">
        <x:f>IF(O296&lt;R296,IF(R296=P296,"clamped_to_nominal","clamped_to_ppp"),IF(O296&gt;S296,IF(S296=P296,"clamped_to_nominal","clamped_to_ppp"),"kept_vanilla"))</x:f>
        <x:v>kept_vanilla</x:v>
      </x:c>
      <x:c r="V296" s="42" t="n">
        <x:f>T296*H296</x:f>
        <x:v>13541016150</x:v>
      </x:c>
      <x:c r="W296" s="42" t="n">
        <x:f>V296/F296</x:f>
        <x:v>13541016150</x:v>
      </x:c>
      <x:c r="X296" s="36" t="str">
        <x:v>FJI: UN WPP 2024 Medium exact 2022; SLB: UN WPP 2024 Medium exact 2022; VUT: UN WPP 2024 Medium exact 2022</x:v>
      </x:c>
      <x:c r="Y296" s="36" t="str">
        <x:v>FJI: IMF exact 2022; SLB: IMF exact 2022; VUT: IMF exact 2022</x:v>
      </x:c>
      <x:c r="Z296" s="36" t="str">
        <x:v>FJI: IMF exact 2022; SLB: IMF exact 2022; VUT: IMF exact 2022</x:v>
      </x:c>
      <x:c r="AA296" s="36" t="str">
        <x:v>complete_primary</x:v>
      </x:c>
      <x:c r="AB296" s="36" t="str">
        <x:v>https://www.un.org/development/desa/pd/world-population-prospects-2024</x:v>
      </x:c>
      <x:c r="AC296" s="36" t="str">
        <x:v>https://api.imf.org/external/sdmx/3.0/data/dataflow/IMF.RES/WEO/9.0.0/</x:v>
      </x:c>
      <x:c r="AD296" s="36" t="str">
        <x:v>https://api.worldbank.org/v2/</x:v>
      </x:c>
    </x:row>
    <x:row r="297">
      <x:c r="A297" s="24" t="str">
        <x:v>PCS</x:v>
      </x:c>
      <x:c r="B297" s="24" t="str">
        <x:v>Melanesian States</x:v>
      </x:c>
      <x:c r="C297" s="24" t="str">
        <x:v>FJI+SLB+VUT</x:v>
      </x:c>
      <x:c r="D297" s="24" t="str">
        <x:v>FJI+SLB+VUT</x:v>
      </x:c>
      <x:c r="E297" s="24" t="n">
        <x:v>2026</x:v>
      </x:c>
      <x:c r="F297" s="37" t="n">
        <x:v>0.87</x:v>
      </x:c>
      <x:c r="G297" s="38" t="n">
        <x:v>2138133</x:v>
      </x:c>
      <x:c r="H297" s="38" t="n">
        <x:v>2138134</x:v>
      </x:c>
      <x:c r="I297" s="39" t="n">
        <x:f>H297/G297</x:f>
        <x:v>1.0000004676977532</x:v>
      </x:c>
      <x:c r="J297" s="40" t="n">
        <x:f>(I297-1)*100</x:f>
        <x:v>0.0000467697753192553</x:v>
      </x:c>
      <x:c r="K297" s="36" t="str">
        <x:v>no</x:v>
      </x:c>
      <x:c r="L297" s="36" t="str">
        <x:v>Aggregated all explicit game ISO components; reviewed as a composite game country rather than comparing it with only the first sovereign state.</x:v>
      </x:c>
      <x:c r="M297" s="41" t="n">
        <x:v>16621440000</x:v>
      </x:c>
      <x:c r="N297" s="41" t="n">
        <x:v>14460652800</x:v>
      </x:c>
      <x:c r="O297" s="41" t="n">
        <x:v>6763</x:v>
      </x:c>
      <x:c r="P297" s="41" t="n">
        <x:v>3899</x:v>
      </x:c>
      <x:c r="Q297" s="41" t="n">
        <x:v>8001</x:v>
      </x:c>
      <x:c r="R297" s="42" t="n">
        <x:f>MIN(P297,Q297)</x:f>
        <x:v>3899</x:v>
      </x:c>
      <x:c r="S297" s="42" t="n">
        <x:f>MAX(P297,Q297)</x:f>
        <x:v>8001</x:v>
      </x:c>
      <x:c r="T297" s="42" t="n">
        <x:f>MAX(R297,MIN(O297,S297))</x:f>
        <x:v>6763</x:v>
      </x:c>
      <x:c r="U297" s="19" t="str">
        <x:f>IF(O297&lt;R297,IF(R297=P297,"clamped_to_nominal","clamped_to_ppp"),IF(O297&gt;S297,IF(S297=P297,"clamped_to_nominal","clamped_to_ppp"),"kept_vanilla"))</x:f>
        <x:v>kept_vanilla</x:v>
      </x:c>
      <x:c r="V297" s="42" t="n">
        <x:f>T297*H297</x:f>
        <x:v>14460200242</x:v>
      </x:c>
      <x:c r="W297" s="42" t="n">
        <x:f>V297/F297</x:f>
        <x:v>16620919818.390804</x:v>
      </x:c>
      <x:c r="X297" s="36" t="str">
        <x:v>FJI: UN WPP 2024 Medium exact 2026; SLB: UN WPP 2024 Medium exact 2026; VUT: UN WPP 2024 Medium exact 2026</x:v>
      </x:c>
      <x:c r="Y297" s="36" t="str">
        <x:v>FJI: IMF exact 2026; SLB: IMF exact 2026; VUT: IMF exact 2026</x:v>
      </x:c>
      <x:c r="Z297" s="36" t="str">
        <x:v>FJI: IMF exact 2026; SLB: IMF exact 2026; VUT: IMF exact 2026</x:v>
      </x:c>
      <x:c r="AA297" s="36" t="str">
        <x:v>complete_primary</x:v>
      </x:c>
      <x:c r="AB297" s="36" t="str">
        <x:v>https://www.un.org/development/desa/pd/world-population-prospects-2024</x:v>
      </x:c>
      <x:c r="AC297" s="36" t="str">
        <x:v>https://api.imf.org/external/sdmx/3.0/data/dataflow/IMF.RES/WEO/9.0.0/</x:v>
      </x:c>
      <x:c r="AD297" s="36" t="str">
        <x:v>https://api.worldbank.org/v2/</x:v>
      </x:c>
    </x:row>
    <x:row r="298">
      <x:c r="A298" s="24" t="str">
        <x:v>MEX</x:v>
      </x:c>
      <x:c r="B298" s="24" t="str">
        <x:v>Mexico</x:v>
      </x:c>
      <x:c r="C298" s="24" t="str">
        <x:v>MEX</x:v>
      </x:c>
      <x:c r="D298" s="24" t="str">
        <x:v>MEX</x:v>
      </x:c>
      <x:c r="E298" s="24" t="n">
        <x:v>2003</x:v>
      </x:c>
      <x:c r="F298" s="37" t="n">
        <x:v>1.59</x:v>
      </x:c>
      <x:c r="G298" s="38" t="n">
        <x:v>102978515</x:v>
      </x:c>
      <x:c r="H298" s="38" t="n">
        <x:v>102978515</x:v>
      </x:c>
      <x:c r="I298" s="39" t="n">
        <x:f>H298/G298</x:f>
        <x:v>1</x:v>
      </x:c>
      <x:c r="J298" s="40" t="n">
        <x:f>(I298-1)*100</x:f>
        <x:v>0</x:v>
      </x:c>
      <x:c r="K298" s="36" t="str">
        <x:v>no</x:v>
      </x:c>
      <x:c r="L298" s="36" t="str">
        <x:v>Single-country territory; UN WPP and vanilla are within the ±5% review threshold.</x:v>
      </x:c>
      <x:c r="M298" s="41" t="n">
        <x:v>859568421053</x:v>
      </x:c>
      <x:c r="N298" s="41" t="n">
        <x:v>1366713789474</x:v>
      </x:c>
      <x:c r="O298" s="41" t="n">
        <x:v>13272</x:v>
      </x:c>
      <x:c r="P298" s="41" t="n">
        <x:v>11820</x:v>
      </x:c>
      <x:c r="Q298" s="41" t="n">
        <x:v>22695</x:v>
      </x:c>
      <x:c r="R298" s="42" t="n">
        <x:f>MIN(P298,Q298)</x:f>
        <x:v>11820</x:v>
      </x:c>
      <x:c r="S298" s="42" t="n">
        <x:f>MAX(P298,Q298)</x:f>
        <x:v>22695</x:v>
      </x:c>
      <x:c r="T298" s="42" t="n">
        <x:f>MAX(R298,MIN(O298,S298))</x:f>
        <x:v>13272</x:v>
      </x:c>
      <x:c r="U298" s="19" t="str">
        <x:f>IF(O298&lt;R298,IF(R298=P298,"clamped_to_nominal","clamped_to_ppp"),IF(O298&gt;S298,IF(S298=P298,"clamped_to_nominal","clamped_to_ppp"),"kept_vanilla"))</x:f>
        <x:v>kept_vanilla</x:v>
      </x:c>
      <x:c r="V298" s="42" t="n">
        <x:f>T298*H298</x:f>
        <x:v>1366730851080</x:v>
      </x:c>
      <x:c r="W298" s="42" t="n">
        <x:f>V298/F298</x:f>
        <x:v>859579151622.6415</x:v>
      </x:c>
      <x:c r="X298" s="36" t="str">
        <x:v>MEX: UN WPP 2024 Medium exact 2003</x:v>
      </x:c>
      <x:c r="Y298" s="36" t="str">
        <x:v>MEX: IMF exact 2003</x:v>
      </x:c>
      <x:c r="Z298" s="36" t="str">
        <x:v>MEX: IMF exact 2003</x:v>
      </x:c>
      <x:c r="AA298" s="36" t="str">
        <x:v>complete_primary</x:v>
      </x:c>
      <x:c r="AB298" s="36" t="str">
        <x:v>https://www.un.org/development/desa/pd/world-population-prospects-2024</x:v>
      </x:c>
      <x:c r="AC298" s="36" t="str">
        <x:v>https://api.imf.org/external/sdmx/3.0/data/dataflow/IMF.RES/WEO/9.0.0/</x:v>
      </x:c>
      <x:c r="AD298" s="36" t="str">
        <x:v>https://api.worldbank.org/v2/</x:v>
      </x:c>
    </x:row>
    <x:row r="299">
      <x:c r="A299" s="24" t="str">
        <x:v>MEX</x:v>
      </x:c>
      <x:c r="B299" s="24" t="str">
        <x:v>Mexico</x:v>
      </x:c>
      <x:c r="C299" s="24" t="str">
        <x:v>MEX</x:v>
      </x:c>
      <x:c r="D299" s="24" t="str">
        <x:v>MEX</x:v>
      </x:c>
      <x:c r="E299" s="24" t="n">
        <x:v>2022</x:v>
      </x:c>
      <x:c r="F299" s="37" t="n">
        <x:v>1</x:v>
      </x:c>
      <x:c r="G299" s="38" t="n">
        <x:v>131965947</x:v>
      </x:c>
      <x:c r="H299" s="38" t="n">
        <x:v>128613117</x:v>
      </x:c>
      <x:c r="I299" s="39" t="n">
        <x:f>H299/G299</x:f>
        <x:v>0.9745932183550352</x:v>
      </x:c>
      <x:c r="J299" s="40" t="n">
        <x:f>(I299-1)*100</x:f>
        <x:v>-2.5406781644964793</x:v>
      </x:c>
      <x:c r="K299" s="36" t="str">
        <x:v>no</x:v>
      </x:c>
      <x:c r="L299" s="36" t="str">
        <x:v>Single-country territory; UN WPP and vanilla are within the ±5% review threshold.</x:v>
      </x:c>
      <x:c r="M299" s="41" t="n">
        <x:v>2543802800000</x:v>
      </x:c>
      <x:c r="N299" s="41" t="n">
        <x:v>2543802800000</x:v>
      </x:c>
      <x:c r="O299" s="41" t="n">
        <x:v>19276</x:v>
      </x:c>
      <x:c r="P299" s="41" t="n">
        <x:v>11406</x:v>
      </x:c>
      <x:c r="Q299" s="41" t="n">
        <x:v>23188</x:v>
      </x:c>
      <x:c r="R299" s="42" t="n">
        <x:f>MIN(P299,Q299)</x:f>
        <x:v>11406</x:v>
      </x:c>
      <x:c r="S299" s="42" t="n">
        <x:f>MAX(P299,Q299)</x:f>
        <x:v>23188</x:v>
      </x:c>
      <x:c r="T299" s="42" t="n">
        <x:f>MAX(R299,MIN(O299,S299))</x:f>
        <x:v>19276</x:v>
      </x:c>
      <x:c r="U299" s="19" t="str">
        <x:f>IF(O299&lt;R299,IF(R299=P299,"clamped_to_nominal","clamped_to_ppp"),IF(O299&gt;S299,IF(S299=P299,"clamped_to_nominal","clamped_to_ppp"),"kept_vanilla"))</x:f>
        <x:v>kept_vanilla</x:v>
      </x:c>
      <x:c r="V299" s="42" t="n">
        <x:f>T299*H299</x:f>
        <x:v>2479146443292</x:v>
      </x:c>
      <x:c r="W299" s="42" t="n">
        <x:f>V299/F299</x:f>
        <x:v>2479146443292</x:v>
      </x:c>
      <x:c r="X299" s="36" t="str">
        <x:v>MEX: UN WPP 2024 Medium exact 2022</x:v>
      </x:c>
      <x:c r="Y299" s="36" t="str">
        <x:v>MEX: IMF exact 2022</x:v>
      </x:c>
      <x:c r="Z299" s="36" t="str">
        <x:v>MEX: IMF exact 2022</x:v>
      </x:c>
      <x:c r="AA299" s="36" t="str">
        <x:v>complete_primary</x:v>
      </x:c>
      <x:c r="AB299" s="36" t="str">
        <x:v>https://www.un.org/development/desa/pd/world-population-prospects-2024</x:v>
      </x:c>
      <x:c r="AC299" s="36" t="str">
        <x:v>https://api.imf.org/external/sdmx/3.0/data/dataflow/IMF.RES/WEO/9.0.0/</x:v>
      </x:c>
      <x:c r="AD299" s="36" t="str">
        <x:v>https://api.worldbank.org/v2/</x:v>
      </x:c>
    </x:row>
    <x:row r="300">
      <x:c r="A300" s="24" t="str">
        <x:v>MEX</x:v>
      </x:c>
      <x:c r="B300" s="24" t="str">
        <x:v>Mexico</x:v>
      </x:c>
      <x:c r="C300" s="24" t="str">
        <x:v>MEX</x:v>
      </x:c>
      <x:c r="D300" s="24" t="str">
        <x:v>MEX</x:v>
      </x:c>
      <x:c r="E300" s="24" t="n">
        <x:v>2026</x:v>
      </x:c>
      <x:c r="F300" s="37" t="n">
        <x:v>0.87</x:v>
      </x:c>
      <x:c r="G300" s="38" t="n">
        <x:v>132997658</x:v>
      </x:c>
      <x:c r="H300" s="38" t="n">
        <x:v>132997658</x:v>
      </x:c>
      <x:c r="I300" s="39" t="n">
        <x:f>H300/G300</x:f>
        <x:v>1</x:v>
      </x:c>
      <x:c r="J300" s="40" t="n">
        <x:f>(I300-1)*100</x:f>
        <x:v>0</x:v>
      </x:c>
      <x:c r="K300" s="36" t="str">
        <x:v>no</x:v>
      </x:c>
      <x:c r="L300" s="36" t="str">
        <x:v>Single-country territory; UN WPP and vanilla are within the ±5% review threshold.</x:v>
      </x:c>
      <x:c r="M300" s="41" t="n">
        <x:v>3024498400000</x:v>
      </x:c>
      <x:c r="N300" s="41" t="n">
        <x:v>2631313608000</x:v>
      </x:c>
      <x:c r="O300" s="41" t="n">
        <x:v>19785</x:v>
      </x:c>
      <x:c r="P300" s="41" t="n">
        <x:v>13874</x:v>
      </x:c>
      <x:c r="Q300" s="41" t="n">
        <x:v>23425</x:v>
      </x:c>
      <x:c r="R300" s="42" t="n">
        <x:f>MIN(P300,Q300)</x:f>
        <x:v>13874</x:v>
      </x:c>
      <x:c r="S300" s="42" t="n">
        <x:f>MAX(P300,Q300)</x:f>
        <x:v>23425</x:v>
      </x:c>
      <x:c r="T300" s="42" t="n">
        <x:f>MAX(R300,MIN(O300,S300))</x:f>
        <x:v>19785</x:v>
      </x:c>
      <x:c r="U300" s="19" t="str">
        <x:f>IF(O300&lt;R300,IF(R300=P300,"clamped_to_nominal","clamped_to_ppp"),IF(O300&gt;S300,IF(S300=P300,"clamped_to_nominal","clamped_to_ppp"),"kept_vanilla"))</x:f>
        <x:v>kept_vanilla</x:v>
      </x:c>
      <x:c r="V300" s="42" t="n">
        <x:f>T300*H300</x:f>
        <x:v>2631358663530</x:v>
      </x:c>
      <x:c r="W300" s="42" t="n">
        <x:f>V300/F300</x:f>
        <x:v>3024550187965.517</x:v>
      </x:c>
      <x:c r="X300" s="36" t="str">
        <x:v>MEX: UN WPP 2024 Medium exact 2026</x:v>
      </x:c>
      <x:c r="Y300" s="36" t="str">
        <x:v>MEX: IMF exact 2026</x:v>
      </x:c>
      <x:c r="Z300" s="36" t="str">
        <x:v>MEX: IMF exact 2026</x:v>
      </x:c>
      <x:c r="AA300" s="36" t="str">
        <x:v>complete_primary</x:v>
      </x:c>
      <x:c r="AB300" s="36" t="str">
        <x:v>https://www.un.org/development/desa/pd/world-population-prospects-2024</x:v>
      </x:c>
      <x:c r="AC300" s="36" t="str">
        <x:v>https://api.imf.org/external/sdmx/3.0/data/dataflow/IMF.RES/WEO/9.0.0/</x:v>
      </x:c>
      <x:c r="AD300" s="36" t="str">
        <x:v>https://api.worldbank.org/v2/</x:v>
      </x:c>
    </x:row>
    <x:row r="301">
      <x:c r="A301" s="24" t="str">
        <x:v>MCS</x:v>
      </x:c>
      <x:c r="B301" s="24" t="str">
        <x:v>Micronesian States</x:v>
      </x:c>
      <x:c r="C301" s="24" t="str">
        <x:v>FSM+KIR</x:v>
      </x:c>
      <x:c r="D301" s="24" t="str">
        <x:v>FSM+KIR+MHL+NRU+PLW</x:v>
      </x:c>
      <x:c r="E301" s="24" t="n">
        <x:v>2003</x:v>
      </x:c>
      <x:c r="F301" s="37" t="n">
        <x:v>1.59</x:v>
      </x:c>
      <x:c r="G301" s="38" t="n">
        <x:v>287817</x:v>
      </x:c>
      <x:c r="H301" s="38" t="n">
        <x:v>287817</x:v>
      </x:c>
      <x:c r="I301" s="39" t="n">
        <x:f>H301/G301</x:f>
        <x:v>1</x:v>
      </x:c>
      <x:c r="J301" s="40" t="n">
        <x:f>(I301-1)*100</x:f>
        <x:v>0</x:v>
      </x:c>
      <x:c r="K301" s="36" t="str">
        <x:v>no</x:v>
      </x:c>
      <x:c r="L301" s="36" t="str">
        <x:v>Added the Marshall Islands, Nauru, and Palau. The expanded sovereign-state set reproduces the 2003 and 2026 vanilla totals within one person.</x:v>
      </x:c>
      <x:c r="M301" s="41" t="n">
        <x:v>436257310</x:v>
      </x:c>
      <x:c r="N301" s="41" t="n">
        <x:v>693649123</x:v>
      </x:c>
      <x:c r="O301" s="41" t="n">
        <x:v>2410</x:v>
      </x:c>
      <x:c r="P301" s="41" t="n">
        <x:v>3591</x:v>
      </x:c>
      <x:c r="Q301" s="41" t="n">
        <x:v>4513</x:v>
      </x:c>
      <x:c r="R301" s="42" t="n">
        <x:f>MIN(P301,Q301)</x:f>
        <x:v>3591</x:v>
      </x:c>
      <x:c r="S301" s="42" t="n">
        <x:f>MAX(P301,Q301)</x:f>
        <x:v>4513</x:v>
      </x:c>
      <x:c r="T301" s="42" t="n">
        <x:f>MAX(R301,MIN(O301,S301))</x:f>
        <x:v>3591</x:v>
      </x:c>
      <x:c r="U301" s="19" t="str">
        <x:f>IF(O301&lt;R301,IF(R301=P301,"clamped_to_nominal","clamped_to_ppp"),IF(O301&gt;S301,IF(S301=P301,"clamped_to_nominal","clamped_to_ppp"),"kept_vanilla"))</x:f>
        <x:v>clamped_to_nominal</x:v>
      </x:c>
      <x:c r="V301" s="42" t="n">
        <x:f>T301*H301</x:f>
        <x:v>1033550847</x:v>
      </x:c>
      <x:c r="W301" s="42" t="n">
        <x:f>V301/F301</x:f>
        <x:v>650031979.245283</x:v>
      </x:c>
      <x:c r="X301" s="36" t="str">
        <x:v>FSM: UN WPP 2024 Medium exact 2003; KIR: UN WPP 2024 Medium exact 2003; MHL: UN WPP 2024 Medium exact 2003; NRU: UN WPP 2024 Medium exact 2003; PLW: UN WPP 2024 Medium exact 2003</x:v>
      </x:c>
      <x:c r="Y301" s="36" t="str">
        <x:v>FSM: IMF exact 2003; KIR: IMF exact 2003; MHL: World Bank exact 2003; NRU: World Bank exact 2003; PLW: World Bank exact 2003</x:v>
      </x:c>
      <x:c r="Z301" s="36" t="str">
        <x:v>FSM: IMF exact 2003; KIR: IMF exact 2003; MHL: World Bank exact 2003; NRU: World Bank exact 2003; PLW: World Bank exact 2003</x:v>
      </x:c>
      <x:c r="AA301" s="36" t="str">
        <x:v>secondary_source</x:v>
      </x:c>
      <x:c r="AB301" s="36" t="str">
        <x:v>https://www.un.org/development/desa/pd/world-population-prospects-2024</x:v>
      </x:c>
      <x:c r="AC301" s="36" t="str">
        <x:v>https://api.imf.org/external/sdmx/3.0/data/dataflow/IMF.RES/WEO/9.0.0/</x:v>
      </x:c>
      <x:c r="AD301" s="36" t="str">
        <x:v>https://api.worldbank.org/v2/</x:v>
      </x:c>
    </x:row>
    <x:row r="302">
      <x:c r="A302" s="24" t="str">
        <x:v>MCS</x:v>
      </x:c>
      <x:c r="B302" s="24" t="str">
        <x:v>Micronesian States</x:v>
      </x:c>
      <x:c r="C302" s="24" t="str">
        <x:v>FSM+KIR</x:v>
      </x:c>
      <x:c r="D302" s="24" t="str">
        <x:v>FSM+KIR+MHL+NRU+PLW</x:v>
      </x:c>
      <x:c r="E302" s="24" t="n">
        <x:v>2022</x:v>
      </x:c>
      <x:c r="F302" s="37" t="n">
        <x:v>1</x:v>
      </x:c>
      <x:c r="G302" s="38" t="n">
        <x:v>331379</x:v>
      </x:c>
      <x:c r="H302" s="38" t="n">
        <x:v>312220</x:v>
      </x:c>
      <x:c r="I302" s="39" t="n">
        <x:f>H302/G302</x:f>
        <x:v>0.9421840249382127</x:v>
      </x:c>
      <x:c r="J302" s="40" t="n">
        <x:f>(I302-1)*100</x:f>
        <x:v>-5.781597506178726</x:v>
      </x:c>
      <x:c r="K302" s="36" t="str">
        <x:v>yes — reviewed</x:v>
      </x:c>
      <x:c r="L302" s="36" t="str">
        <x:v>Added the Marshall Islands, Nauru, and Palau. The expanded sovereign-state set reproduces the 2003 and 2026 vanilla totals within one person.</x:v>
      </x:c>
      <x:c r="M302" s="41" t="n">
        <x:v>1118480000</x:v>
      </x:c>
      <x:c r="N302" s="41" t="n">
        <x:v>1118480000</x:v>
      </x:c>
      <x:c r="O302" s="41" t="n">
        <x:v>3375</x:v>
      </x:c>
      <x:c r="P302" s="41" t="n">
        <x:v>4400</x:v>
      </x:c>
      <x:c r="Q302" s="41" t="n">
        <x:v>4987</x:v>
      </x:c>
      <x:c r="R302" s="42" t="n">
        <x:f>MIN(P302,Q302)</x:f>
        <x:v>4400</x:v>
      </x:c>
      <x:c r="S302" s="42" t="n">
        <x:f>MAX(P302,Q302)</x:f>
        <x:v>4987</x:v>
      </x:c>
      <x:c r="T302" s="42" t="n">
        <x:f>MAX(R302,MIN(O302,S302))</x:f>
        <x:v>4400</x:v>
      </x:c>
      <x:c r="U302" s="19" t="str">
        <x:f>IF(O302&lt;R302,IF(R302=P302,"clamped_to_nominal","clamped_to_ppp"),IF(O302&gt;S302,IF(S302=P302,"clamped_to_nominal","clamped_to_ppp"),"kept_vanilla"))</x:f>
        <x:v>clamped_to_nominal</x:v>
      </x:c>
      <x:c r="V302" s="42" t="n">
        <x:f>T302*H302</x:f>
        <x:v>1373768000</x:v>
      </x:c>
      <x:c r="W302" s="42" t="n">
        <x:f>V302/F302</x:f>
        <x:v>1373768000</x:v>
      </x:c>
      <x:c r="X302" s="36" t="str">
        <x:v>FSM: UN WPP 2024 Medium exact 2022; KIR: UN WPP 2024 Medium exact 2022; MHL: UN WPP 2024 Medium exact 2022; NRU: UN WPP 2024 Medium exact 2022; PLW: UN WPP 2024 Medium exact 2022</x:v>
      </x:c>
      <x:c r="Y302" s="36" t="str">
        <x:v>FSM: IMF exact 2022; KIR: IMF exact 2022; MHL: World Bank exact 2022; NRU: World Bank exact 2022; PLW: World Bank exact 2022</x:v>
      </x:c>
      <x:c r="Z302" s="36" t="str">
        <x:v>FSM: IMF exact 2022; KIR: IMF exact 2022; MHL: World Bank exact 2022; NRU: World Bank exact 2022; PLW: World Bank exact 2022</x:v>
      </x:c>
      <x:c r="AA302" s="36" t="str">
        <x:v>secondary_source</x:v>
      </x:c>
      <x:c r="AB302" s="36" t="str">
        <x:v>https://www.un.org/development/desa/pd/world-population-prospects-2024</x:v>
      </x:c>
      <x:c r="AC302" s="36" t="str">
        <x:v>https://api.imf.org/external/sdmx/3.0/data/dataflow/IMF.RES/WEO/9.0.0/</x:v>
      </x:c>
      <x:c r="AD302" s="36" t="str">
        <x:v>https://api.worldbank.org/v2/</x:v>
      </x:c>
    </x:row>
    <x:row r="303">
      <x:c r="A303" s="24" t="str">
        <x:v>MCS</x:v>
      </x:c>
      <x:c r="B303" s="24" t="str">
        <x:v>Micronesian States</x:v>
      </x:c>
      <x:c r="C303" s="24" t="str">
        <x:v>FSM+KIR</x:v>
      </x:c>
      <x:c r="D303" s="24" t="str">
        <x:v>FSM+KIR+MHL+NRU+PLW</x:v>
      </x:c>
      <x:c r="E303" s="24" t="n">
        <x:v>2026</x:v>
      </x:c>
      <x:c r="F303" s="37" t="n">
        <x:v>0.87</x:v>
      </x:c>
      <x:c r="G303" s="38" t="n">
        <x:v>317419</x:v>
      </x:c>
      <x:c r="H303" s="38" t="n">
        <x:v>317418</x:v>
      </x:c>
      <x:c r="I303" s="39" t="n">
        <x:f>H303/G303</x:f>
        <x:v>0.9999968495899741</x:v>
      </x:c>
      <x:c r="J303" s="40" t="n">
        <x:f>(I303-1)*100</x:f>
        <x:v>-0.00031504100258539225</x:v>
      </x:c>
      <x:c r="K303" s="36" t="str">
        <x:v>no</x:v>
      </x:c>
      <x:c r="L303" s="36" t="str">
        <x:v>Added the Marshall Islands, Nauru, and Palau. The expanded sovereign-state set reproduces the 2003 and 2026 vanilla totals within one person.</x:v>
      </x:c>
      <x:c r="M303" s="41" t="n">
        <x:v>1479280000</x:v>
      </x:c>
      <x:c r="N303" s="41" t="n">
        <x:v>1286973600</x:v>
      </x:c>
      <x:c r="O303" s="41" t="n">
        <x:v>4054</x:v>
      </x:c>
      <x:c r="P303" s="41" t="n">
        <x:v>4879</x:v>
      </x:c>
      <x:c r="Q303" s="41" t="n">
        <x:v>5289</x:v>
      </x:c>
      <x:c r="R303" s="42" t="n">
        <x:f>MIN(P303,Q303)</x:f>
        <x:v>4879</x:v>
      </x:c>
      <x:c r="S303" s="42" t="n">
        <x:f>MAX(P303,Q303)</x:f>
        <x:v>5289</x:v>
      </x:c>
      <x:c r="T303" s="42" t="n">
        <x:f>MAX(R303,MIN(O303,S303))</x:f>
        <x:v>4879</x:v>
      </x:c>
      <x:c r="U303" s="19" t="str">
        <x:f>IF(O303&lt;R303,IF(R303=P303,"clamped_to_nominal","clamped_to_ppp"),IF(O303&gt;S303,IF(S303=P303,"clamped_to_nominal","clamped_to_ppp"),"kept_vanilla"))</x:f>
        <x:v>clamped_to_nominal</x:v>
      </x:c>
      <x:c r="V303" s="42" t="n">
        <x:f>T303*H303</x:f>
        <x:v>1548682422</x:v>
      </x:c>
      <x:c r="W303" s="42" t="n">
        <x:f>V303/F303</x:f>
        <x:v>1780094737.9310346</x:v>
      </x:c>
      <x:c r="X303" s="36" t="str">
        <x:v>FSM: UN WPP 2024 Medium exact 2026; KIR: UN WPP 2024 Medium exact 2026; MHL: UN WPP 2024 Medium exact 2026; NRU: UN WPP 2024 Medium exact 2026; PLW: UN WPP 2024 Medium exact 2026</x:v>
      </x:c>
      <x:c r="Y303" s="36" t="str">
        <x:v>FSM: IMF exact 2026; KIR: IMF exact 2026; MHL: peer-growth inference from World Bank 2025; East Asia &amp; Pacific; Upper middle income median -0.13%/yr (11 peers, capped at ±8%); NRU: peer-growth inference from World Bank 2025; East Asia &amp; Pacific; High income median 3.00%/yr (6 peers, capped at ±8%); PLW: peer-growth inference from World Bank 2025; East Asia &amp; Pacific; High income median 3.00%/yr (6 peers, capped at ±8%)</x:v>
      </x:c>
      <x:c r="Z303" s="36" t="str">
        <x:v>FSM: IMF exact 2026; KIR: IMF exact 2026; MHL: peer-growth inference from World Bank 2025; East Asia &amp; Pacific; Upper middle income median 1.44%/yr (11 peers, capped at ±8%); NRU: peer-growth inference from World Bank 2025; East Asia &amp; Pacific; High income median 2.43%/yr (6 peers, capped at ±8%); PLW: peer-growth inference from World Bank 2025; East Asia &amp; Pacific; High income median 2.43%/yr (6 peers, capped at ±8%)</x:v>
      </x:c>
      <x:c r="AA303" s="36" t="str">
        <x:v>inferred</x:v>
      </x:c>
      <x:c r="AB303" s="36" t="str">
        <x:v>https://www.un.org/development/desa/pd/world-population-prospects-2024</x:v>
      </x:c>
      <x:c r="AC303" s="36" t="str">
        <x:v>https://api.imf.org/external/sdmx/3.0/data/dataflow/IMF.RES/WEO/9.0.0/</x:v>
      </x:c>
      <x:c r="AD303" s="36" t="str">
        <x:v>https://api.worldbank.org/v2/</x:v>
      </x:c>
    </x:row>
    <x:row r="304">
      <x:c r="A304" s="24" t="str">
        <x:v>MOL</x:v>
      </x:c>
      <x:c r="B304" s="24" t="str">
        <x:v>Moldova</x:v>
      </x:c>
      <x:c r="C304" s="24" t="str">
        <x:v>MDA</x:v>
      </x:c>
      <x:c r="D304" s="24" t="str">
        <x:v>MDA</x:v>
      </x:c>
      <x:c r="E304" s="24" t="n">
        <x:v>2003</x:v>
      </x:c>
      <x:c r="F304" s="37" t="n">
        <x:v>1.59</x:v>
      </x:c>
      <x:c r="G304" s="38" t="n">
        <x:v>4095419</x:v>
      </x:c>
      <x:c r="H304" s="38" t="n">
        <x:v>4095419</x:v>
      </x:c>
      <x:c r="I304" s="39" t="n">
        <x:f>H304/G304</x:f>
        <x:v>1</x:v>
      </x:c>
      <x:c r="J304" s="40" t="n">
        <x:f>(I304-1)*100</x:f>
        <x:v>0</x:v>
      </x:c>
      <x:c r="K304" s="36" t="str">
        <x:v>no</x:v>
      </x:c>
      <x:c r="L304" s="36" t="str">
        <x:v>Single-country territory; UN WPP and vanilla are within the ±5% review threshold.</x:v>
      </x:c>
      <x:c r="M304" s="41" t="n">
        <x:v>7904093567</x:v>
      </x:c>
      <x:c r="N304" s="41" t="n">
        <x:v>12567508772</x:v>
      </x:c>
      <x:c r="O304" s="41" t="n">
        <x:v>3069</x:v>
      </x:c>
      <x:c r="P304" s="41" t="n">
        <x:v>769</x:v>
      </x:c>
      <x:c r="Q304" s="41" t="n">
        <x:v>5257</x:v>
      </x:c>
      <x:c r="R304" s="42" t="n">
        <x:f>MIN(P304,Q304)</x:f>
        <x:v>769</x:v>
      </x:c>
      <x:c r="S304" s="42" t="n">
        <x:f>MAX(P304,Q304)</x:f>
        <x:v>5257</x:v>
      </x:c>
      <x:c r="T304" s="42" t="n">
        <x:f>MAX(R304,MIN(O304,S304))</x:f>
        <x:v>3069</x:v>
      </x:c>
      <x:c r="U304" s="19" t="str">
        <x:f>IF(O304&lt;R304,IF(R304=P304,"clamped_to_nominal","clamped_to_ppp"),IF(O304&gt;S304,IF(S304=P304,"clamped_to_nominal","clamped_to_ppp"),"kept_vanilla"))</x:f>
        <x:v>kept_vanilla</x:v>
      </x:c>
      <x:c r="V304" s="42" t="n">
        <x:f>T304*H304</x:f>
        <x:v>12568840911</x:v>
      </x:c>
      <x:c r="W304" s="42" t="n">
        <x:f>V304/F304</x:f>
        <x:v>7904931390.566037</x:v>
      </x:c>
      <x:c r="X304" s="36" t="str">
        <x:v>MDA: UN WPP 2024 Medium exact 2003</x:v>
      </x:c>
      <x:c r="Y304" s="36" t="str">
        <x:v>MDA: IMF exact 2003</x:v>
      </x:c>
      <x:c r="Z304" s="36" t="str">
        <x:v>MDA: IMF exact 2003</x:v>
      </x:c>
      <x:c r="AA304" s="36" t="str">
        <x:v>complete_primary</x:v>
      </x:c>
      <x:c r="AB304" s="36" t="str">
        <x:v>https://www.un.org/development/desa/pd/world-population-prospects-2024</x:v>
      </x:c>
      <x:c r="AC304" s="36" t="str">
        <x:v>https://api.imf.org/external/sdmx/3.0/data/dataflow/IMF.RES/WEO/9.0.0/</x:v>
      </x:c>
      <x:c r="AD304" s="36" t="str">
        <x:v>https://api.worldbank.org/v2/</x:v>
      </x:c>
    </x:row>
    <x:row r="305">
      <x:c r="A305" s="24" t="str">
        <x:v>MOL</x:v>
      </x:c>
      <x:c r="B305" s="24" t="str">
        <x:v>Moldova</x:v>
      </x:c>
      <x:c r="C305" s="24" t="str">
        <x:v>MDA</x:v>
      </x:c>
      <x:c r="D305" s="24" t="str">
        <x:v>MDA</x:v>
      </x:c>
      <x:c r="E305" s="24" t="n">
        <x:v>2022</x:v>
      </x:c>
      <x:c r="F305" s="37" t="n">
        <x:v>1</x:v>
      </x:c>
      <x:c r="G305" s="38" t="n">
        <x:v>4009886</x:v>
      </x:c>
      <x:c r="H305" s="38" t="n">
        <x:v>3039985</x:v>
      </x:c>
      <x:c r="I305" s="39" t="n">
        <x:f>H305/G305</x:f>
        <x:v>0.7581225501173848</x:v>
      </x:c>
      <x:c r="J305" s="40" t="n">
        <x:f>(I305-1)*100</x:f>
        <x:v>-24.187744988261517</x:v>
      </x:c>
      <x:c r="K305" s="36" t="str">
        <x:v>yes — reviewed</x:v>
      </x:c>
      <x:c r="L305" s="36" t="str">
        <x:v>Single-country game territory and UN country/area boundary align. The difference is an updated historical estimate/projection vintage, not a geographic-scope mismatch; accept the UN WPP value for a consistent source vintage.</x:v>
      </x:c>
      <x:c r="M305" s="41" t="n">
        <x:v>37385040000</x:v>
      </x:c>
      <x:c r="N305" s="41" t="n">
        <x:v>37385040000</x:v>
      </x:c>
      <x:c r="O305" s="41" t="n">
        <x:v>9323</x:v>
      </x:c>
      <x:c r="P305" s="41" t="n">
        <x:v>4778</x:v>
      </x:c>
      <x:c r="Q305" s="41" t="n">
        <x:v>13683</x:v>
      </x:c>
      <x:c r="R305" s="42" t="n">
        <x:f>MIN(P305,Q305)</x:f>
        <x:v>4778</x:v>
      </x:c>
      <x:c r="S305" s="42" t="n">
        <x:f>MAX(P305,Q305)</x:f>
        <x:v>13683</x:v>
      </x:c>
      <x:c r="T305" s="42" t="n">
        <x:f>MAX(R305,MIN(O305,S305))</x:f>
        <x:v>9323</x:v>
      </x:c>
      <x:c r="U305" s="19" t="str">
        <x:f>IF(O305&lt;R305,IF(R305=P305,"clamped_to_nominal","clamped_to_ppp"),IF(O305&gt;S305,IF(S305=P305,"clamped_to_nominal","clamped_to_ppp"),"kept_vanilla"))</x:f>
        <x:v>kept_vanilla</x:v>
      </x:c>
      <x:c r="V305" s="42" t="n">
        <x:f>T305*H305</x:f>
        <x:v>28341780155</x:v>
      </x:c>
      <x:c r="W305" s="42" t="n">
        <x:f>V305/F305</x:f>
        <x:v>28341780155</x:v>
      </x:c>
      <x:c r="X305" s="36" t="str">
        <x:v>MDA: UN WPP 2024 Medium exact 2022</x:v>
      </x:c>
      <x:c r="Y305" s="36" t="str">
        <x:v>MDA: IMF exact 2022</x:v>
      </x:c>
      <x:c r="Z305" s="36" t="str">
        <x:v>MDA: IMF exact 2022</x:v>
      </x:c>
      <x:c r="AA305" s="36" t="str">
        <x:v>complete_primary</x:v>
      </x:c>
      <x:c r="AB305" s="36" t="str">
        <x:v>https://www.un.org/development/desa/pd/world-population-prospects-2024</x:v>
      </x:c>
      <x:c r="AC305" s="36" t="str">
        <x:v>https://api.imf.org/external/sdmx/3.0/data/dataflow/IMF.RES/WEO/9.0.0/</x:v>
      </x:c>
      <x:c r="AD305" s="36" t="str">
        <x:v>https://api.worldbank.org/v2/</x:v>
      </x:c>
    </x:row>
    <x:row r="306">
      <x:c r="A306" s="24" t="str">
        <x:v>MOL</x:v>
      </x:c>
      <x:c r="B306" s="24" t="str">
        <x:v>Moldova</x:v>
      </x:c>
      <x:c r="C306" s="24" t="str">
        <x:v>MDA</x:v>
      </x:c>
      <x:c r="D306" s="24" t="str">
        <x:v>MDA</x:v>
      </x:c>
      <x:c r="E306" s="24" t="n">
        <x:v>2026</x:v>
      </x:c>
      <x:c r="F306" s="37" t="n">
        <x:v>0.87</x:v>
      </x:c>
      <x:c r="G306" s="38" t="n">
        <x:v>2961254</x:v>
      </x:c>
      <x:c r="H306" s="38" t="n">
        <x:v>2961253</x:v>
      </x:c>
      <x:c r="I306" s="39" t="n">
        <x:f>H306/G306</x:f>
        <x:v>0.9999996623052261</x:v>
      </x:c>
      <x:c r="J306" s="40" t="n">
        <x:f>(I306-1)*100</x:f>
        <x:v>-0.000033769477392198155</x:v>
      </x:c>
      <x:c r="K306" s="36" t="str">
        <x:v>no</x:v>
      </x:c>
      <x:c r="L306" s="36" t="str">
        <x:v>Single-country territory; UN WPP and vanilla are within the ±5% review threshold.</x:v>
      </x:c>
      <x:c r="M306" s="41" t="n">
        <x:v>40801200000</x:v>
      </x:c>
      <x:c r="N306" s="41" t="n">
        <x:v>35497044000</x:v>
      </x:c>
      <x:c r="O306" s="41" t="n">
        <x:v>11987</x:v>
      </x:c>
      <x:c r="P306" s="41" t="n">
        <x:v>6431</x:v>
      </x:c>
      <x:c r="Q306" s="41" t="n">
        <x:v>14554</x:v>
      </x:c>
      <x:c r="R306" s="42" t="n">
        <x:f>MIN(P306,Q306)</x:f>
        <x:v>6431</x:v>
      </x:c>
      <x:c r="S306" s="42" t="n">
        <x:f>MAX(P306,Q306)</x:f>
        <x:v>14554</x:v>
      </x:c>
      <x:c r="T306" s="42" t="n">
        <x:f>MAX(R306,MIN(O306,S306))</x:f>
        <x:v>11987</x:v>
      </x:c>
      <x:c r="U306" s="19" t="str">
        <x:f>IF(O306&lt;R306,IF(R306=P306,"clamped_to_nominal","clamped_to_ppp"),IF(O306&gt;S306,IF(S306=P306,"clamped_to_nominal","clamped_to_ppp"),"kept_vanilla"))</x:f>
        <x:v>kept_vanilla</x:v>
      </x:c>
      <x:c r="V306" s="42" t="n">
        <x:f>T306*H306</x:f>
        <x:v>35496539711</x:v>
      </x:c>
      <x:c r="W306" s="42" t="n">
        <x:f>V306/F306</x:f>
        <x:v>40800620357.47127</x:v>
      </x:c>
      <x:c r="X306" s="36" t="str">
        <x:v>MDA: UN WPP 2024 Medium exact 2026</x:v>
      </x:c>
      <x:c r="Y306" s="36" t="str">
        <x:v>MDA: IMF exact 2026</x:v>
      </x:c>
      <x:c r="Z306" s="36" t="str">
        <x:v>MDA: IMF exact 2026</x:v>
      </x:c>
      <x:c r="AA306" s="36" t="str">
        <x:v>complete_primary</x:v>
      </x:c>
      <x:c r="AB306" s="36" t="str">
        <x:v>https://www.un.org/development/desa/pd/world-population-prospects-2024</x:v>
      </x:c>
      <x:c r="AC306" s="36" t="str">
        <x:v>https://api.imf.org/external/sdmx/3.0/data/dataflow/IMF.RES/WEO/9.0.0/</x:v>
      </x:c>
      <x:c r="AD306" s="36" t="str">
        <x:v>https://api.worldbank.org/v2/</x:v>
      </x:c>
    </x:row>
    <x:row r="307">
      <x:c r="A307" s="24" t="str">
        <x:v>MNG</x:v>
      </x:c>
      <x:c r="B307" s="24" t="str">
        <x:v>Mongolia</x:v>
      </x:c>
      <x:c r="C307" s="24" t="str">
        <x:v>MNG</x:v>
      </x:c>
      <x:c r="D307" s="24" t="str">
        <x:v>MNG</x:v>
      </x:c>
      <x:c r="E307" s="24" t="n">
        <x:v>2003</x:v>
      </x:c>
      <x:c r="F307" s="37" t="n">
        <x:v>1.59</x:v>
      </x:c>
      <x:c r="G307" s="38" t="n">
        <x:v>2521805</x:v>
      </x:c>
      <x:c r="H307" s="38" t="n">
        <x:v>2521805</x:v>
      </x:c>
      <x:c r="I307" s="39" t="n">
        <x:f>H307/G307</x:f>
        <x:v>1</x:v>
      </x:c>
      <x:c r="J307" s="40" t="n">
        <x:f>(I307-1)*100</x:f>
        <x:v>0</x:v>
      </x:c>
      <x:c r="K307" s="36" t="str">
        <x:v>no</x:v>
      </x:c>
      <x:c r="L307" s="36" t="str">
        <x:v>Single-country territory; UN WPP and vanilla are within the ±5% review threshold.</x:v>
      </x:c>
      <x:c r="M307" s="41" t="n">
        <x:v>5813450292</x:v>
      </x:c>
      <x:c r="N307" s="41" t="n">
        <x:v>9243385964</x:v>
      </x:c>
      <x:c r="O307" s="41" t="n">
        <x:v>3665</x:v>
      </x:c>
      <x:c r="P307" s="41" t="n">
        <x:v>1006</x:v>
      </x:c>
      <x:c r="Q307" s="41" t="n">
        <x:v>6268</x:v>
      </x:c>
      <x:c r="R307" s="42" t="n">
        <x:f>MIN(P307,Q307)</x:f>
        <x:v>1006</x:v>
      </x:c>
      <x:c r="S307" s="42" t="n">
        <x:f>MAX(P307,Q307)</x:f>
        <x:v>6268</x:v>
      </x:c>
      <x:c r="T307" s="42" t="n">
        <x:f>MAX(R307,MIN(O307,S307))</x:f>
        <x:v>3665</x:v>
      </x:c>
      <x:c r="U307" s="19" t="str">
        <x:f>IF(O307&lt;R307,IF(R307=P307,"clamped_to_nominal","clamped_to_ppp"),IF(O307&gt;S307,IF(S307=P307,"clamped_to_nominal","clamped_to_ppp"),"kept_vanilla"))</x:f>
        <x:v>kept_vanilla</x:v>
      </x:c>
      <x:c r="V307" s="42" t="n">
        <x:f>T307*H307</x:f>
        <x:v>9242415325</x:v>
      </x:c>
      <x:c r="W307" s="42" t="n">
        <x:f>V307/F307</x:f>
        <x:v>5812839827.044024</x:v>
      </x:c>
      <x:c r="X307" s="36" t="str">
        <x:v>MNG: UN WPP 2024 Medium exact 2003</x:v>
      </x:c>
      <x:c r="Y307" s="36" t="str">
        <x:v>MNG: IMF exact 2003</x:v>
      </x:c>
      <x:c r="Z307" s="36" t="str">
        <x:v>MNG: IMF exact 2003</x:v>
      </x:c>
      <x:c r="AA307" s="36" t="str">
        <x:v>complete_primary</x:v>
      </x:c>
      <x:c r="AB307" s="36" t="str">
        <x:v>https://www.un.org/development/desa/pd/world-population-prospects-2024</x:v>
      </x:c>
      <x:c r="AC307" s="36" t="str">
        <x:v>https://api.imf.org/external/sdmx/3.0/data/dataflow/IMF.RES/WEO/9.0.0/</x:v>
      </x:c>
      <x:c r="AD307" s="36" t="str">
        <x:v>https://api.worldbank.org/v2/</x:v>
      </x:c>
    </x:row>
    <x:row r="308">
      <x:c r="A308" s="24" t="str">
        <x:v>MNG</x:v>
      </x:c>
      <x:c r="B308" s="24" t="str">
        <x:v>Mongolia</x:v>
      </x:c>
      <x:c r="C308" s="24" t="str">
        <x:v>MNG</x:v>
      </x:c>
      <x:c r="D308" s="24" t="str">
        <x:v>MNG</x:v>
      </x:c>
      <x:c r="E308" s="24" t="n">
        <x:v>2022</x:v>
      </x:c>
      <x:c r="F308" s="37" t="n">
        <x:v>1</x:v>
      </x:c>
      <x:c r="G308" s="38" t="n">
        <x:v>3393295</x:v>
      </x:c>
      <x:c r="H308" s="38" t="n">
        <x:v>3386015</x:v>
      </x:c>
      <x:c r="I308" s="39" t="n">
        <x:f>H308/G308</x:f>
        <x:v>0.9978545926599367</x:v>
      </x:c>
      <x:c r="J308" s="40" t="n">
        <x:f>(I308-1)*100</x:f>
        <x:v>-0.2145407340063299</x:v>
      </x:c>
      <x:c r="K308" s="36" t="str">
        <x:v>no</x:v>
      </x:c>
      <x:c r="L308" s="36" t="str">
        <x:v>Single-country territory; UN WPP and vanilla are within the ±5% review threshold.</x:v>
      </x:c>
      <x:c r="M308" s="41" t="n">
        <x:v>40850480000</x:v>
      </x:c>
      <x:c r="N308" s="41" t="n">
        <x:v>40850480000</x:v>
      </x:c>
      <x:c r="O308" s="41" t="n">
        <x:v>12039</x:v>
      </x:c>
      <x:c r="P308" s="41" t="n">
        <x:v>5064</x:v>
      </x:c>
      <x:c r="Q308" s="41" t="n">
        <x:v>16631</x:v>
      </x:c>
      <x:c r="R308" s="42" t="n">
        <x:f>MIN(P308,Q308)</x:f>
        <x:v>5064</x:v>
      </x:c>
      <x:c r="S308" s="42" t="n">
        <x:f>MAX(P308,Q308)</x:f>
        <x:v>16631</x:v>
      </x:c>
      <x:c r="T308" s="42" t="n">
        <x:f>MAX(R308,MIN(O308,S308))</x:f>
        <x:v>12039</x:v>
      </x:c>
      <x:c r="U308" s="19" t="str">
        <x:f>IF(O308&lt;R308,IF(R308=P308,"clamped_to_nominal","clamped_to_ppp"),IF(O308&gt;S308,IF(S308=P308,"clamped_to_nominal","clamped_to_ppp"),"kept_vanilla"))</x:f>
        <x:v>kept_vanilla</x:v>
      </x:c>
      <x:c r="V308" s="42" t="n">
        <x:f>T308*H308</x:f>
        <x:v>40764234585</x:v>
      </x:c>
      <x:c r="W308" s="42" t="n">
        <x:f>V308/F308</x:f>
        <x:v>40764234585</x:v>
      </x:c>
      <x:c r="X308" s="36" t="str">
        <x:v>MNG: UN WPP 2024 Medium exact 2022</x:v>
      </x:c>
      <x:c r="Y308" s="36" t="str">
        <x:v>MNG: IMF exact 2022</x:v>
      </x:c>
      <x:c r="Z308" s="36" t="str">
        <x:v>MNG: IMF exact 2022</x:v>
      </x:c>
      <x:c r="AA308" s="36" t="str">
        <x:v>complete_primary</x:v>
      </x:c>
      <x:c r="AB308" s="36" t="str">
        <x:v>https://www.un.org/development/desa/pd/world-population-prospects-2024</x:v>
      </x:c>
      <x:c r="AC308" s="36" t="str">
        <x:v>https://api.imf.org/external/sdmx/3.0/data/dataflow/IMF.RES/WEO/9.0.0/</x:v>
      </x:c>
      <x:c r="AD308" s="36" t="str">
        <x:v>https://api.worldbank.org/v2/</x:v>
      </x:c>
    </x:row>
    <x:row r="309">
      <x:c r="A309" s="24" t="str">
        <x:v>MNG</x:v>
      </x:c>
      <x:c r="B309" s="24" t="str">
        <x:v>Mongolia</x:v>
      </x:c>
      <x:c r="C309" s="24" t="str">
        <x:v>MNG</x:v>
      </x:c>
      <x:c r="D309" s="24" t="str">
        <x:v>MNG</x:v>
      </x:c>
      <x:c r="E309" s="24" t="n">
        <x:v>2026</x:v>
      </x:c>
      <x:c r="F309" s="37" t="n">
        <x:v>0.87</x:v>
      </x:c>
      <x:c r="G309" s="38" t="n">
        <x:v>3556798</x:v>
      </x:c>
      <x:c r="H309" s="38" t="n">
        <x:v>3556798</x:v>
      </x:c>
      <x:c r="I309" s="39" t="n">
        <x:f>H309/G309</x:f>
        <x:v>1</x:v>
      </x:c>
      <x:c r="J309" s="40" t="n">
        <x:f>(I309-1)*100</x:f>
        <x:v>0</x:v>
      </x:c>
      <x:c r="K309" s="36" t="str">
        <x:v>no</x:v>
      </x:c>
      <x:c r="L309" s="36" t="str">
        <x:v>Single-country territory; UN WPP and vanilla are within the ±5% review threshold.</x:v>
      </x:c>
      <x:c r="M309" s="41" t="n">
        <x:v>64485520000</x:v>
      </x:c>
      <x:c r="N309" s="41" t="n">
        <x:v>56102402400</x:v>
      </x:c>
      <x:c r="O309" s="41" t="n">
        <x:v>15773</x:v>
      </x:c>
      <x:c r="P309" s="41" t="n">
        <x:v>6959</x:v>
      </x:c>
      <x:c r="Q309" s="41" t="n">
        <x:v>19665</x:v>
      </x:c>
      <x:c r="R309" s="42" t="n">
        <x:f>MIN(P309,Q309)</x:f>
        <x:v>6959</x:v>
      </x:c>
      <x:c r="S309" s="42" t="n">
        <x:f>MAX(P309,Q309)</x:f>
        <x:v>19665</x:v>
      </x:c>
      <x:c r="T309" s="42" t="n">
        <x:f>MAX(R309,MIN(O309,S309))</x:f>
        <x:v>15773</x:v>
      </x:c>
      <x:c r="U309" s="19" t="str">
        <x:f>IF(O309&lt;R309,IF(R309=P309,"clamped_to_nominal","clamped_to_ppp"),IF(O309&gt;S309,IF(S309=P309,"clamped_to_nominal","clamped_to_ppp"),"kept_vanilla"))</x:f>
        <x:v>kept_vanilla</x:v>
      </x:c>
      <x:c r="V309" s="42" t="n">
        <x:f>T309*H309</x:f>
        <x:v>56101374854</x:v>
      </x:c>
      <x:c r="W309" s="42" t="n">
        <x:f>V309/F309</x:f>
        <x:v>64484338912.64368</x:v>
      </x:c>
      <x:c r="X309" s="36" t="str">
        <x:v>MNG: UN WPP 2024 Medium exact 2026</x:v>
      </x:c>
      <x:c r="Y309" s="36" t="str">
        <x:v>MNG: IMF exact 2026</x:v>
      </x:c>
      <x:c r="Z309" s="36" t="str">
        <x:v>MNG: IMF exact 2026</x:v>
      </x:c>
      <x:c r="AA309" s="36" t="str">
        <x:v>complete_primary</x:v>
      </x:c>
      <x:c r="AB309" s="36" t="str">
        <x:v>https://www.un.org/development/desa/pd/world-population-prospects-2024</x:v>
      </x:c>
      <x:c r="AC309" s="36" t="str">
        <x:v>https://api.imf.org/external/sdmx/3.0/data/dataflow/IMF.RES/WEO/9.0.0/</x:v>
      </x:c>
      <x:c r="AD309" s="36" t="str">
        <x:v>https://api.worldbank.org/v2/</x:v>
      </x:c>
    </x:row>
    <x:row r="310">
      <x:c r="A310" s="24" t="str">
        <x:v>MNE</x:v>
      </x:c>
      <x:c r="B310" s="24" t="str">
        <x:v>Montenegro</x:v>
      </x:c>
      <x:c r="C310" s="24" t="str">
        <x:v>MNE</x:v>
      </x:c>
      <x:c r="D310" s="24" t="str">
        <x:v>MNE</x:v>
      </x:c>
      <x:c r="E310" s="24" t="n">
        <x:v>2003</x:v>
      </x:c>
      <x:c r="F310" s="37" t="n">
        <x:v>1.59</x:v>
      </x:c>
      <x:c r="G310" s="38" t="n">
        <x:v>633559</x:v>
      </x:c>
      <x:c r="H310" s="38" t="n">
        <x:v>633559</x:v>
      </x:c>
      <x:c r="I310" s="39" t="n">
        <x:f>H310/G310</x:f>
        <x:v>1</x:v>
      </x:c>
      <x:c r="J310" s="40" t="n">
        <x:f>(I310-1)*100</x:f>
        <x:v>0</x:v>
      </x:c>
      <x:c r="K310" s="36" t="str">
        <x:v>no</x:v>
      </x:c>
      <x:c r="L310" s="36" t="str">
        <x:v>Single-country territory; UN WPP and vanilla are within the ±5% review threshold.</x:v>
      </x:c>
      <x:c r="M310" s="41" t="n">
        <x:v>3574853801</x:v>
      </x:c>
      <x:c r="N310" s="41" t="n">
        <x:v>5684017544</x:v>
      </x:c>
      <x:c r="O310" s="41" t="n">
        <x:v>8972</x:v>
      </x:c>
      <x:c r="P310" s="41" t="n">
        <x:v>4213</x:v>
      </x:c>
      <x:c r="Q310" s="41" t="n">
        <x:v>15338</x:v>
      </x:c>
      <x:c r="R310" s="42" t="n">
        <x:f>MIN(P310,Q310)</x:f>
        <x:v>4213</x:v>
      </x:c>
      <x:c r="S310" s="42" t="n">
        <x:f>MAX(P310,Q310)</x:f>
        <x:v>15338</x:v>
      </x:c>
      <x:c r="T310" s="42" t="n">
        <x:f>MAX(R310,MIN(O310,S310))</x:f>
        <x:v>8972</x:v>
      </x:c>
      <x:c r="U310" s="19" t="str">
        <x:f>IF(O310&lt;R310,IF(R310=P310,"clamped_to_nominal","clamped_to_ppp"),IF(O310&gt;S310,IF(S310=P310,"clamped_to_nominal","clamped_to_ppp"),"kept_vanilla"))</x:f>
        <x:v>kept_vanilla</x:v>
      </x:c>
      <x:c r="V310" s="42" t="n">
        <x:f>T310*H310</x:f>
        <x:v>5684291348</x:v>
      </x:c>
      <x:c r="W310" s="42" t="n">
        <x:f>V310/F310</x:f>
        <x:v>3575026005.0314465</x:v>
      </x:c>
      <x:c r="X310" s="36" t="str">
        <x:v>MNE: UN WPP 2024 Medium exact 2003</x:v>
      </x:c>
      <x:c r="Y310" s="36" t="str">
        <x:v>MNE: IMF exact 2003</x:v>
      </x:c>
      <x:c r="Z310" s="36" t="str">
        <x:v>MNE: IMF exact 2003</x:v>
      </x:c>
      <x:c r="AA310" s="36" t="str">
        <x:v>complete_primary</x:v>
      </x:c>
      <x:c r="AB310" s="36" t="str">
        <x:v>https://www.un.org/development/desa/pd/world-population-prospects-2024</x:v>
      </x:c>
      <x:c r="AC310" s="36" t="str">
        <x:v>https://api.imf.org/external/sdmx/3.0/data/dataflow/IMF.RES/WEO/9.0.0/</x:v>
      </x:c>
      <x:c r="AD310" s="36" t="str">
        <x:v>https://api.worldbank.org/v2/</x:v>
      </x:c>
    </x:row>
    <x:row r="311">
      <x:c r="A311" s="24" t="str">
        <x:v>MNE</x:v>
      </x:c>
      <x:c r="B311" s="24" t="str">
        <x:v>Montenegro</x:v>
      </x:c>
      <x:c r="C311" s="24" t="str">
        <x:v>MNE</x:v>
      </x:c>
      <x:c r="D311" s="24" t="str">
        <x:v>MNE</x:v>
      </x:c>
      <x:c r="E311" s="24" t="n">
        <x:v>2022</x:v>
      </x:c>
      <x:c r="F311" s="37" t="n">
        <x:v>1</x:v>
      </x:c>
      <x:c r="G311" s="38" t="n">
        <x:v>627887</x:v>
      </x:c>
      <x:c r="H311" s="38" t="n">
        <x:v>614648</x:v>
      </x:c>
      <x:c r="I311" s="39" t="n">
        <x:f>H311/G311</x:f>
        <x:v>0.9789149958511643</x:v>
      </x:c>
      <x:c r="J311" s="40" t="n">
        <x:f>(I311-1)*100</x:f>
        <x:v>-2.108500414883574</x:v>
      </x:c>
      <x:c r="K311" s="36" t="str">
        <x:v>no</x:v>
      </x:c>
      <x:c r="L311" s="36" t="str">
        <x:v>Single-country territory; UN WPP and vanilla are within the ±5% review threshold.</x:v>
      </x:c>
      <x:c r="M311" s="41" t="n">
        <x:v>13618880000</x:v>
      </x:c>
      <x:c r="N311" s="41" t="n">
        <x:v>13618880000</x:v>
      </x:c>
      <x:c r="O311" s="41" t="n">
        <x:v>21690</x:v>
      </x:c>
      <x:c r="P311" s="41" t="n">
        <x:v>10192</x:v>
      </x:c>
      <x:c r="Q311" s="41" t="n">
        <x:v>28313</x:v>
      </x:c>
      <x:c r="R311" s="42" t="n">
        <x:f>MIN(P311,Q311)</x:f>
        <x:v>10192</x:v>
      </x:c>
      <x:c r="S311" s="42" t="n">
        <x:f>MAX(P311,Q311)</x:f>
        <x:v>28313</x:v>
      </x:c>
      <x:c r="T311" s="42" t="n">
        <x:f>MAX(R311,MIN(O311,S311))</x:f>
        <x:v>21690</x:v>
      </x:c>
      <x:c r="U311" s="19" t="str">
        <x:f>IF(O311&lt;R311,IF(R311=P311,"clamped_to_nominal","clamped_to_ppp"),IF(O311&gt;S311,IF(S311=P311,"clamped_to_nominal","clamped_to_ppp"),"kept_vanilla"))</x:f>
        <x:v>kept_vanilla</x:v>
      </x:c>
      <x:c r="V311" s="42" t="n">
        <x:f>T311*H311</x:f>
        <x:v>13331715120</x:v>
      </x:c>
      <x:c r="W311" s="42" t="n">
        <x:f>V311/F311</x:f>
        <x:v>13331715120</x:v>
      </x:c>
      <x:c r="X311" s="36" t="str">
        <x:v>MNE: UN WPP 2024 Medium exact 2022</x:v>
      </x:c>
      <x:c r="Y311" s="36" t="str">
        <x:v>MNE: IMF exact 2022</x:v>
      </x:c>
      <x:c r="Z311" s="36" t="str">
        <x:v>MNE: IMF exact 2022</x:v>
      </x:c>
      <x:c r="AA311" s="36" t="str">
        <x:v>complete_primary</x:v>
      </x:c>
      <x:c r="AB311" s="36" t="str">
        <x:v>https://www.un.org/development/desa/pd/world-population-prospects-2024</x:v>
      </x:c>
      <x:c r="AC311" s="36" t="str">
        <x:v>https://api.imf.org/external/sdmx/3.0/data/dataflow/IMF.RES/WEO/9.0.0/</x:v>
      </x:c>
      <x:c r="AD311" s="36" t="str">
        <x:v>https://api.worldbank.org/v2/</x:v>
      </x:c>
    </x:row>
    <x:row r="312">
      <x:c r="A312" s="24" t="str">
        <x:v>MNE</x:v>
      </x:c>
      <x:c r="B312" s="24" t="str">
        <x:v>Montenegro</x:v>
      </x:c>
      <x:c r="C312" s="24" t="str">
        <x:v>MNE</x:v>
      </x:c>
      <x:c r="D312" s="24" t="str">
        <x:v>MNE</x:v>
      </x:c>
      <x:c r="E312" s="24" t="n">
        <x:v>2026</x:v>
      </x:c>
      <x:c r="F312" s="37" t="n">
        <x:v>0.87</x:v>
      </x:c>
      <x:c r="G312" s="38" t="n">
        <x:v>626233</x:v>
      </x:c>
      <x:c r="H312" s="38" t="n">
        <x:v>626233</x:v>
      </x:c>
      <x:c r="I312" s="39" t="n">
        <x:f>H312/G312</x:f>
        <x:v>1</x:v>
      </x:c>
      <x:c r="J312" s="40" t="n">
        <x:f>(I312-1)*100</x:f>
        <x:v>0</x:v>
      </x:c>
      <x:c r="K312" s="36" t="str">
        <x:v>no</x:v>
      </x:c>
      <x:c r="L312" s="36" t="str">
        <x:v>Single-country territory; UN WPP and vanilla are within the ±5% review threshold.</x:v>
      </x:c>
      <x:c r="M312" s="41" t="n">
        <x:v>18751920000</x:v>
      </x:c>
      <x:c r="N312" s="41" t="n">
        <x:v>16314170400</x:v>
      </x:c>
      <x:c r="O312" s="41" t="n">
        <x:v>26051</x:v>
      </x:c>
      <x:c r="P312" s="41" t="n">
        <x:v>14208</x:v>
      </x:c>
      <x:c r="Q312" s="41" t="n">
        <x:v>31521</x:v>
      </x:c>
      <x:c r="R312" s="42" t="n">
        <x:f>MIN(P312,Q312)</x:f>
        <x:v>14208</x:v>
      </x:c>
      <x:c r="S312" s="42" t="n">
        <x:f>MAX(P312,Q312)</x:f>
        <x:v>31521</x:v>
      </x:c>
      <x:c r="T312" s="42" t="n">
        <x:f>MAX(R312,MIN(O312,S312))</x:f>
        <x:v>26051</x:v>
      </x:c>
      <x:c r="U312" s="19" t="str">
        <x:f>IF(O312&lt;R312,IF(R312=P312,"clamped_to_nominal","clamped_to_ppp"),IF(O312&gt;S312,IF(S312=P312,"clamped_to_nominal","clamped_to_ppp"),"kept_vanilla"))</x:f>
        <x:v>kept_vanilla</x:v>
      </x:c>
      <x:c r="V312" s="42" t="n">
        <x:f>T312*H312</x:f>
        <x:v>16313995883</x:v>
      </x:c>
      <x:c r="W312" s="42" t="n">
        <x:f>V312/F312</x:f>
        <x:v>18751719405.747128</x:v>
      </x:c>
      <x:c r="X312" s="36" t="str">
        <x:v>MNE: UN WPP 2024 Medium exact 2026</x:v>
      </x:c>
      <x:c r="Y312" s="36" t="str">
        <x:v>MNE: IMF exact 2026</x:v>
      </x:c>
      <x:c r="Z312" s="36" t="str">
        <x:v>MNE: IMF exact 2026</x:v>
      </x:c>
      <x:c r="AA312" s="36" t="str">
        <x:v>complete_primary</x:v>
      </x:c>
      <x:c r="AB312" s="36" t="str">
        <x:v>https://www.un.org/development/desa/pd/world-population-prospects-2024</x:v>
      </x:c>
      <x:c r="AC312" s="36" t="str">
        <x:v>https://api.imf.org/external/sdmx/3.0/data/dataflow/IMF.RES/WEO/9.0.0/</x:v>
      </x:c>
      <x:c r="AD312" s="36" t="str">
        <x:v>https://api.worldbank.org/v2/</x:v>
      </x:c>
    </x:row>
    <x:row r="313">
      <x:c r="A313" s="24" t="str">
        <x:v>MAR</x:v>
      </x:c>
      <x:c r="B313" s="24" t="str">
        <x:v>Morocco</x:v>
      </x:c>
      <x:c r="C313" s="24" t="str">
        <x:v>MAR</x:v>
      </x:c>
      <x:c r="D313" s="24" t="str">
        <x:v>MAR</x:v>
      </x:c>
      <x:c r="E313" s="24" t="n">
        <x:v>2003</x:v>
      </x:c>
      <x:c r="F313" s="37" t="n">
        <x:v>1.59</x:v>
      </x:c>
      <x:c r="G313" s="38" t="n">
        <x:v>29571415</x:v>
      </x:c>
      <x:c r="H313" s="38" t="n">
        <x:v>29571415</x:v>
      </x:c>
      <x:c r="I313" s="39" t="n">
        <x:f>H313/G313</x:f>
        <x:v>1</x:v>
      </x:c>
      <x:c r="J313" s="40" t="n">
        <x:f>(I313-1)*100</x:f>
        <x:v>0</x:v>
      </x:c>
      <x:c r="K313" s="36" t="str">
        <x:v>no</x:v>
      </x:c>
      <x:c r="L313" s="36" t="str">
        <x:v>Single-country territory; UN WPP and vanilla are within the ±5% review threshold.</x:v>
      </x:c>
      <x:c r="M313" s="41" t="n">
        <x:v>74854385965</x:v>
      </x:c>
      <x:c r="N313" s="41" t="n">
        <x:v>119018473684</x:v>
      </x:c>
      <x:c r="O313" s="41" t="n">
        <x:v>4025</x:v>
      </x:c>
      <x:c r="P313" s="41" t="n">
        <x:v>3030</x:v>
      </x:c>
      <x:c r="Q313" s="41" t="n">
        <x:v>6882</x:v>
      </x:c>
      <x:c r="R313" s="42" t="n">
        <x:f>MIN(P313,Q313)</x:f>
        <x:v>3030</x:v>
      </x:c>
      <x:c r="S313" s="42" t="n">
        <x:f>MAX(P313,Q313)</x:f>
        <x:v>6882</x:v>
      </x:c>
      <x:c r="T313" s="42" t="n">
        <x:f>MAX(R313,MIN(O313,S313))</x:f>
        <x:v>4025</x:v>
      </x:c>
      <x:c r="U313" s="19" t="str">
        <x:f>IF(O313&lt;R313,IF(R313=P313,"clamped_to_nominal","clamped_to_ppp"),IF(O313&gt;S313,IF(S313=P313,"clamped_to_nominal","clamped_to_ppp"),"kept_vanilla"))</x:f>
        <x:v>kept_vanilla</x:v>
      </x:c>
      <x:c r="V313" s="42" t="n">
        <x:f>T313*H313</x:f>
        <x:v>119024945375</x:v>
      </x:c>
      <x:c r="W313" s="42" t="n">
        <x:f>V313/F313</x:f>
        <x:v>74858456210.69182</x:v>
      </x:c>
      <x:c r="X313" s="36" t="str">
        <x:v>MAR: UN WPP 2024 Medium exact 2003</x:v>
      </x:c>
      <x:c r="Y313" s="36" t="str">
        <x:v>MAR: IMF exact 2003</x:v>
      </x:c>
      <x:c r="Z313" s="36" t="str">
        <x:v>MAR: IMF exact 2003</x:v>
      </x:c>
      <x:c r="AA313" s="36" t="str">
        <x:v>complete_primary</x:v>
      </x:c>
      <x:c r="AB313" s="36" t="str">
        <x:v>https://www.un.org/development/desa/pd/world-population-prospects-2024</x:v>
      </x:c>
      <x:c r="AC313" s="36" t="str">
        <x:v>https://api.imf.org/external/sdmx/3.0/data/dataflow/IMF.RES/WEO/9.0.0/</x:v>
      </x:c>
      <x:c r="AD313" s="36" t="str">
        <x:v>https://api.worldbank.org/v2/</x:v>
      </x:c>
    </x:row>
    <x:row r="314">
      <x:c r="A314" s="24" t="str">
        <x:v>MAR</x:v>
      </x:c>
      <x:c r="B314" s="24" t="str">
        <x:v>Morocco</x:v>
      </x:c>
      <x:c r="C314" s="24" t="str">
        <x:v>MAR</x:v>
      </x:c>
      <x:c r="D314" s="24" t="str">
        <x:v>MAR</x:v>
      </x:c>
      <x:c r="E314" s="24" t="n">
        <x:v>2022</x:v>
      </x:c>
      <x:c r="F314" s="37" t="n">
        <x:v>1</x:v>
      </x:c>
      <x:c r="G314" s="38" t="n">
        <x:v>38537085</x:v>
      </x:c>
      <x:c r="H314" s="38" t="n">
        <x:v>37329064</x:v>
      </x:c>
      <x:c r="I314" s="39" t="n">
        <x:f>H314/G314</x:f>
        <x:v>0.9686530260397225</x:v>
      </x:c>
      <x:c r="J314" s="40" t="n">
        <x:f>(I314-1)*100</x:f>
        <x:v>-3.1346973960277524</x:v>
      </x:c>
      <x:c r="K314" s="36" t="str">
        <x:v>no</x:v>
      </x:c>
      <x:c r="L314" s="36" t="str">
        <x:v>Single-country territory; UN WPP and vanilla are within the ±5% review threshold.</x:v>
      </x:c>
      <x:c r="M314" s="41" t="n">
        <x:v>291756960000</x:v>
      </x:c>
      <x:c r="N314" s="41" t="n">
        <x:v>291756960000</x:v>
      </x:c>
      <x:c r="O314" s="41" t="n">
        <x:v>7571</x:v>
      </x:c>
      <x:c r="P314" s="41" t="n">
        <x:v>3516</x:v>
      </x:c>
      <x:c r="Q314" s="41" t="n">
        <x:v>9450</x:v>
      </x:c>
      <x:c r="R314" s="42" t="n">
        <x:f>MIN(P314,Q314)</x:f>
        <x:v>3516</x:v>
      </x:c>
      <x:c r="S314" s="42" t="n">
        <x:f>MAX(P314,Q314)</x:f>
        <x:v>9450</x:v>
      </x:c>
      <x:c r="T314" s="42" t="n">
        <x:f>MAX(R314,MIN(O314,S314))</x:f>
        <x:v>7571</x:v>
      </x:c>
      <x:c r="U314" s="19" t="str">
        <x:f>IF(O314&lt;R314,IF(R314=P314,"clamped_to_nominal","clamped_to_ppp"),IF(O314&gt;S314,IF(S314=P314,"clamped_to_nominal","clamped_to_ppp"),"kept_vanilla"))</x:f>
        <x:v>kept_vanilla</x:v>
      </x:c>
      <x:c r="V314" s="42" t="n">
        <x:f>T314*H314</x:f>
        <x:v>282618343544</x:v>
      </x:c>
      <x:c r="W314" s="42" t="n">
        <x:f>V314/F314</x:f>
        <x:v>282618343544</x:v>
      </x:c>
      <x:c r="X314" s="36" t="str">
        <x:v>MAR: UN WPP 2024 Medium exact 2022</x:v>
      </x:c>
      <x:c r="Y314" s="36" t="str">
        <x:v>MAR: IMF exact 2022</x:v>
      </x:c>
      <x:c r="Z314" s="36" t="str">
        <x:v>MAR: IMF exact 2022</x:v>
      </x:c>
      <x:c r="AA314" s="36" t="str">
        <x:v>complete_primary</x:v>
      </x:c>
      <x:c r="AB314" s="36" t="str">
        <x:v>https://www.un.org/development/desa/pd/world-population-prospects-2024</x:v>
      </x:c>
      <x:c r="AC314" s="36" t="str">
        <x:v>https://api.imf.org/external/sdmx/3.0/data/dataflow/IMF.RES/WEO/9.0.0/</x:v>
      </x:c>
      <x:c r="AD314" s="36" t="str">
        <x:v>https://api.worldbank.org/v2/</x:v>
      </x:c>
    </x:row>
    <x:row r="315">
      <x:c r="A315" s="24" t="str">
        <x:v>MAR</x:v>
      </x:c>
      <x:c r="B315" s="24" t="str">
        <x:v>Morocco</x:v>
      </x:c>
      <x:c r="C315" s="24" t="str">
        <x:v>MAR</x:v>
      </x:c>
      <x:c r="D315" s="24" t="str">
        <x:v>MAR</x:v>
      </x:c>
      <x:c r="E315" s="24" t="n">
        <x:v>2026</x:v>
      </x:c>
      <x:c r="F315" s="37" t="n">
        <x:v>0.87</x:v>
      </x:c>
      <x:c r="G315" s="38" t="n">
        <x:v>38762441</x:v>
      </x:c>
      <x:c r="H315" s="38" t="n">
        <x:v>38762441</x:v>
      </x:c>
      <x:c r="I315" s="39" t="n">
        <x:f>H315/G315</x:f>
        <x:v>1</x:v>
      </x:c>
      <x:c r="J315" s="40" t="n">
        <x:f>(I315-1)*100</x:f>
        <x:v>0</x:v>
      </x:c>
      <x:c r="K315" s="36" t="str">
        <x:v>no</x:v>
      </x:c>
      <x:c r="L315" s="36" t="str">
        <x:v>Single-country territory; UN WPP and vanilla are within the ±5% review threshold.</x:v>
      </x:c>
      <x:c r="M315" s="41" t="n">
        <x:v>373886480000</x:v>
      </x:c>
      <x:c r="N315" s="41" t="n">
        <x:v>325281237600</x:v>
      </x:c>
      <x:c r="O315" s="41" t="n">
        <x:v>8392</x:v>
      </x:c>
      <x:c r="P315" s="41" t="n">
        <x:v>4362</x:v>
      </x:c>
      <x:c r="Q315" s="41" t="n">
        <x:v>10535</x:v>
      </x:c>
      <x:c r="R315" s="42" t="n">
        <x:f>MIN(P315,Q315)</x:f>
        <x:v>4362</x:v>
      </x:c>
      <x:c r="S315" s="42" t="n">
        <x:f>MAX(P315,Q315)</x:f>
        <x:v>10535</x:v>
      </x:c>
      <x:c r="T315" s="42" t="n">
        <x:f>MAX(R315,MIN(O315,S315))</x:f>
        <x:v>8392</x:v>
      </x:c>
      <x:c r="U315" s="19" t="str">
        <x:f>IF(O315&lt;R315,IF(R315=P315,"clamped_to_nominal","clamped_to_ppp"),IF(O315&gt;S315,IF(S315=P315,"clamped_to_nominal","clamped_to_ppp"),"kept_vanilla"))</x:f>
        <x:v>kept_vanilla</x:v>
      </x:c>
      <x:c r="V315" s="42" t="n">
        <x:f>T315*H315</x:f>
        <x:v>325294404872</x:v>
      </x:c>
      <x:c r="W315" s="42" t="n">
        <x:f>V315/F315</x:f>
        <x:v>373901614795.4023</x:v>
      </x:c>
      <x:c r="X315" s="36" t="str">
        <x:v>MAR: UN WPP 2024 Medium exact 2026</x:v>
      </x:c>
      <x:c r="Y315" s="36" t="str">
        <x:v>MAR: IMF exact 2026</x:v>
      </x:c>
      <x:c r="Z315" s="36" t="str">
        <x:v>MAR: IMF exact 2026</x:v>
      </x:c>
      <x:c r="AA315" s="36" t="str">
        <x:v>complete_primary</x:v>
      </x:c>
      <x:c r="AB315" s="36" t="str">
        <x:v>https://www.un.org/development/desa/pd/world-population-prospects-2024</x:v>
      </x:c>
      <x:c r="AC315" s="36" t="str">
        <x:v>https://api.imf.org/external/sdmx/3.0/data/dataflow/IMF.RES/WEO/9.0.0/</x:v>
      </x:c>
      <x:c r="AD315" s="36" t="str">
        <x:v>https://api.worldbank.org/v2/</x:v>
      </x:c>
    </x:row>
    <x:row r="316">
      <x:c r="A316" s="24" t="str">
        <x:v>MOZ</x:v>
      </x:c>
      <x:c r="B316" s="24" t="str">
        <x:v>Mozambique</x:v>
      </x:c>
      <x:c r="C316" s="24" t="str">
        <x:v>MOZ</x:v>
      </x:c>
      <x:c r="D316" s="24" t="str">
        <x:v>MOZ</x:v>
      </x:c>
      <x:c r="E316" s="24" t="n">
        <x:v>2003</x:v>
      </x:c>
      <x:c r="F316" s="37" t="n">
        <x:v>1.59</x:v>
      </x:c>
      <x:c r="G316" s="38" t="n">
        <x:v>19392475</x:v>
      </x:c>
      <x:c r="H316" s="38" t="n">
        <x:v>19392475</x:v>
      </x:c>
      <x:c r="I316" s="39" t="n">
        <x:f>H316/G316</x:f>
        <x:v>1</x:v>
      </x:c>
      <x:c r="J316" s="40" t="n">
        <x:f>(I316-1)*100</x:f>
        <x:v>0</x:v>
      </x:c>
      <x:c r="K316" s="36" t="str">
        <x:v>no</x:v>
      </x:c>
      <x:c r="L316" s="36" t="str">
        <x:v>Single-country territory; UN WPP and vanilla are within the ±5% review threshold.</x:v>
      </x:c>
      <x:c r="M316" s="41" t="n">
        <x:v>6458479532</x:v>
      </x:c>
      <x:c r="N316" s="41" t="n">
        <x:v>10268982456</x:v>
      </x:c>
      <x:c r="O316" s="41" t="n">
        <x:v>530</x:v>
      </x:c>
      <x:c r="P316" s="41" t="n">
        <x:v>540</x:v>
      </x:c>
      <x:c r="Q316" s="41" t="n">
        <x:v>905</x:v>
      </x:c>
      <x:c r="R316" s="42" t="n">
        <x:f>MIN(P316,Q316)</x:f>
        <x:v>540</x:v>
      </x:c>
      <x:c r="S316" s="42" t="n">
        <x:f>MAX(P316,Q316)</x:f>
        <x:v>905</x:v>
      </x:c>
      <x:c r="T316" s="42" t="n">
        <x:f>MAX(R316,MIN(O316,S316))</x:f>
        <x:v>540</x:v>
      </x:c>
      <x:c r="U316" s="19" t="str">
        <x:f>IF(O316&lt;R316,IF(R316=P316,"clamped_to_nominal","clamped_to_ppp"),IF(O316&gt;S316,IF(S316=P316,"clamped_to_nominal","clamped_to_ppp"),"kept_vanilla"))</x:f>
        <x:v>clamped_to_nominal</x:v>
      </x:c>
      <x:c r="V316" s="42" t="n">
        <x:f>T316*H316</x:f>
        <x:v>10471936500</x:v>
      </x:c>
      <x:c r="W316" s="42" t="n">
        <x:f>V316/F316</x:f>
        <x:v>6586123584.90566</x:v>
      </x:c>
      <x:c r="X316" s="36" t="str">
        <x:v>MOZ: UN WPP 2024 Medium exact 2003</x:v>
      </x:c>
      <x:c r="Y316" s="36" t="str">
        <x:v>MOZ: IMF exact 2003</x:v>
      </x:c>
      <x:c r="Z316" s="36" t="str">
        <x:v>MOZ: IMF exact 2003</x:v>
      </x:c>
      <x:c r="AA316" s="36" t="str">
        <x:v>complete_primary</x:v>
      </x:c>
      <x:c r="AB316" s="36" t="str">
        <x:v>https://www.un.org/development/desa/pd/world-population-prospects-2024</x:v>
      </x:c>
      <x:c r="AC316" s="36" t="str">
        <x:v>https://api.imf.org/external/sdmx/3.0/data/dataflow/IMF.RES/WEO/9.0.0/</x:v>
      </x:c>
      <x:c r="AD316" s="36" t="str">
        <x:v>https://api.worldbank.org/v2/</x:v>
      </x:c>
    </x:row>
    <x:row r="317">
      <x:c r="A317" s="24" t="str">
        <x:v>MOZ</x:v>
      </x:c>
      <x:c r="B317" s="24" t="str">
        <x:v>Mozambique</x:v>
      </x:c>
      <x:c r="C317" s="24" t="str">
        <x:v>MOZ</x:v>
      </x:c>
      <x:c r="D317" s="24" t="str">
        <x:v>MOZ</x:v>
      </x:c>
      <x:c r="E317" s="24" t="n">
        <x:v>2022</x:v>
      </x:c>
      <x:c r="F317" s="37" t="n">
        <x:v>1</x:v>
      </x:c>
      <x:c r="G317" s="38" t="n">
        <x:v>33382972</x:v>
      </x:c>
      <x:c r="H317" s="38" t="n">
        <x:v>32656246</x:v>
      </x:c>
      <x:c r="I317" s="39" t="n">
        <x:f>H317/G317</x:f>
        <x:v>0.978230638063022</x:v>
      </x:c>
      <x:c r="J317" s="40" t="n">
        <x:f>(I317-1)*100</x:f>
        <x:v>-2.1769361936977982</x:v>
      </x:c>
      <x:c r="K317" s="36" t="str">
        <x:v>no</x:v>
      </x:c>
      <x:c r="L317" s="36" t="str">
        <x:v>Single-country territory; UN WPP and vanilla are within the ±5% review threshold.</x:v>
      </x:c>
      <x:c r="M317" s="41" t="n">
        <x:v>41893280000</x:v>
      </x:c>
      <x:c r="N317" s="41" t="n">
        <x:v>41893280000</x:v>
      </x:c>
      <x:c r="O317" s="41" t="n">
        <x:v>1255</x:v>
      </x:c>
      <x:c r="P317" s="41" t="n">
        <x:v>578</x:v>
      </x:c>
      <x:c r="Q317" s="41" t="n">
        <x:v>1582</x:v>
      </x:c>
      <x:c r="R317" s="42" t="n">
        <x:f>MIN(P317,Q317)</x:f>
        <x:v>578</x:v>
      </x:c>
      <x:c r="S317" s="42" t="n">
        <x:f>MAX(P317,Q317)</x:f>
        <x:v>1582</x:v>
      </x:c>
      <x:c r="T317" s="42" t="n">
        <x:f>MAX(R317,MIN(O317,S317))</x:f>
        <x:v>1255</x:v>
      </x:c>
      <x:c r="U317" s="19" t="str">
        <x:f>IF(O317&lt;R317,IF(R317=P317,"clamped_to_nominal","clamped_to_ppp"),IF(O317&gt;S317,IF(S317=P317,"clamped_to_nominal","clamped_to_ppp"),"kept_vanilla"))</x:f>
        <x:v>kept_vanilla</x:v>
      </x:c>
      <x:c r="V317" s="42" t="n">
        <x:f>T317*H317</x:f>
        <x:v>40983588730</x:v>
      </x:c>
      <x:c r="W317" s="42" t="n">
        <x:f>V317/F317</x:f>
        <x:v>40983588730</x:v>
      </x:c>
      <x:c r="X317" s="36" t="str">
        <x:v>MOZ: UN WPP 2024 Medium exact 2022</x:v>
      </x:c>
      <x:c r="Y317" s="36" t="str">
        <x:v>MOZ: IMF exact 2022</x:v>
      </x:c>
      <x:c r="Z317" s="36" t="str">
        <x:v>MOZ: IMF exact 2022</x:v>
      </x:c>
      <x:c r="AA317" s="36" t="str">
        <x:v>complete_primary</x:v>
      </x:c>
      <x:c r="AB317" s="36" t="str">
        <x:v>https://www.un.org/development/desa/pd/world-population-prospects-2024</x:v>
      </x:c>
      <x:c r="AC317" s="36" t="str">
        <x:v>https://api.imf.org/external/sdmx/3.0/data/dataflow/IMF.RES/WEO/9.0.0/</x:v>
      </x:c>
      <x:c r="AD317" s="36" t="str">
        <x:v>https://api.worldbank.org/v2/</x:v>
      </x:c>
    </x:row>
    <x:row r="318">
      <x:c r="A318" s="24" t="str">
        <x:v>MOZ</x:v>
      </x:c>
      <x:c r="B318" s="24" t="str">
        <x:v>Mozambique</x:v>
      </x:c>
      <x:c r="C318" s="24" t="str">
        <x:v>MOZ</x:v>
      </x:c>
      <x:c r="D318" s="24" t="str">
        <x:v>MOZ</x:v>
      </x:c>
      <x:c r="E318" s="24" t="n">
        <x:v>2026</x:v>
      </x:c>
      <x:c r="F318" s="37" t="n">
        <x:v>0.87</x:v>
      </x:c>
      <x:c r="G318" s="38" t="n">
        <x:v>36639851</x:v>
      </x:c>
      <x:c r="H318" s="38" t="n">
        <x:v>36639851</x:v>
      </x:c>
      <x:c r="I318" s="39" t="n">
        <x:f>H318/G318</x:f>
        <x:v>1</x:v>
      </x:c>
      <x:c r="J318" s="40" t="n">
        <x:f>(I318-1)*100</x:f>
        <x:v>0</x:v>
      </x:c>
      <x:c r="K318" s="36" t="str">
        <x:v>no</x:v>
      </x:c>
      <x:c r="L318" s="36" t="str">
        <x:v>Single-country territory; UN WPP and vanilla are within the ±5% review threshold.</x:v>
      </x:c>
      <x:c r="M318" s="41" t="n">
        <x:v>54518640000</x:v>
      </x:c>
      <x:c r="N318" s="41" t="n">
        <x:v>47431216800</x:v>
      </x:c>
      <x:c r="O318" s="41" t="n">
        <x:v>1295</x:v>
      </x:c>
      <x:c r="P318" s="41" t="n">
        <x:v>553</x:v>
      </x:c>
      <x:c r="Q318" s="41" t="n">
        <x:v>1486</x:v>
      </x:c>
      <x:c r="R318" s="42" t="n">
        <x:f>MIN(P318,Q318)</x:f>
        <x:v>553</x:v>
      </x:c>
      <x:c r="S318" s="42" t="n">
        <x:f>MAX(P318,Q318)</x:f>
        <x:v>1486</x:v>
      </x:c>
      <x:c r="T318" s="42" t="n">
        <x:f>MAX(R318,MIN(O318,S318))</x:f>
        <x:v>1295</x:v>
      </x:c>
      <x:c r="U318" s="19" t="str">
        <x:f>IF(O318&lt;R318,IF(R318=P318,"clamped_to_nominal","clamped_to_ppp"),IF(O318&gt;S318,IF(S318=P318,"clamped_to_nominal","clamped_to_ppp"),"kept_vanilla"))</x:f>
        <x:v>kept_vanilla</x:v>
      </x:c>
      <x:c r="V318" s="42" t="n">
        <x:f>T318*H318</x:f>
        <x:v>47448607045</x:v>
      </x:c>
      <x:c r="W318" s="42" t="n">
        <x:f>V318/F318</x:f>
        <x:v>54538628787.35632</x:v>
      </x:c>
      <x:c r="X318" s="36" t="str">
        <x:v>MOZ: UN WPP 2024 Medium exact 2026</x:v>
      </x:c>
      <x:c r="Y318" s="36" t="str">
        <x:v>MOZ: IMF exact 2026</x:v>
      </x:c>
      <x:c r="Z318" s="36" t="str">
        <x:v>MOZ: IMF exact 2026</x:v>
      </x:c>
      <x:c r="AA318" s="36" t="str">
        <x:v>complete_primary</x:v>
      </x:c>
      <x:c r="AB318" s="36" t="str">
        <x:v>https://www.un.org/development/desa/pd/world-population-prospects-2024</x:v>
      </x:c>
      <x:c r="AC318" s="36" t="str">
        <x:v>https://api.imf.org/external/sdmx/3.0/data/dataflow/IMF.RES/WEO/9.0.0/</x:v>
      </x:c>
      <x:c r="AD318" s="36" t="str">
        <x:v>https://api.worldbank.org/v2/</x:v>
      </x:c>
    </x:row>
    <x:row r="319">
      <x:c r="A319" s="24" t="str">
        <x:v>MMR</x:v>
      </x:c>
      <x:c r="B319" s="24" t="str">
        <x:v>Myanmar</x:v>
      </x:c>
      <x:c r="C319" s="24" t="str">
        <x:v>MMR</x:v>
      </x:c>
      <x:c r="D319" s="24" t="str">
        <x:v>MMR</x:v>
      </x:c>
      <x:c r="E319" s="24" t="n">
        <x:v>2003</x:v>
      </x:c>
      <x:c r="F319" s="37" t="n">
        <x:v>1.59</x:v>
      </x:c>
      <x:c r="G319" s="38" t="n">
        <x:v>46667192</x:v>
      </x:c>
      <x:c r="H319" s="38" t="n">
        <x:v>46667192</x:v>
      </x:c>
      <x:c r="I319" s="39" t="n">
        <x:f>H319/G319</x:f>
        <x:v>1</x:v>
      </x:c>
      <x:c r="J319" s="40" t="n">
        <x:f>(I319-1)*100</x:f>
        <x:v>0</x:v>
      </x:c>
      <x:c r="K319" s="36" t="str">
        <x:v>no</x:v>
      </x:c>
      <x:c r="L319" s="36" t="str">
        <x:v>Single-country territory; UN WPP and vanilla are within the ±5% review threshold.</x:v>
      </x:c>
      <x:c r="M319" s="41" t="n">
        <x:v>32473099415</x:v>
      </x:c>
      <x:c r="N319" s="41" t="n">
        <x:v>51632228070</x:v>
      </x:c>
      <x:c r="O319" s="41" t="n">
        <x:v>1106</x:v>
      </x:c>
      <x:c r="P319" s="41" t="n">
        <x:v>301</x:v>
      </x:c>
      <x:c r="Q319" s="41" t="n">
        <x:v>2065</x:v>
      </x:c>
      <x:c r="R319" s="42" t="n">
        <x:f>MIN(P319,Q319)</x:f>
        <x:v>301</x:v>
      </x:c>
      <x:c r="S319" s="42" t="n">
        <x:f>MAX(P319,Q319)</x:f>
        <x:v>2065</x:v>
      </x:c>
      <x:c r="T319" s="42" t="n">
        <x:f>MAX(R319,MIN(O319,S319))</x:f>
        <x:v>1106</x:v>
      </x:c>
      <x:c r="U319" s="19" t="str">
        <x:f>IF(O319&lt;R319,IF(R319=P319,"clamped_to_nominal","clamped_to_ppp"),IF(O319&gt;S319,IF(S319=P319,"clamped_to_nominal","clamped_to_ppp"),"kept_vanilla"))</x:f>
        <x:v>kept_vanilla</x:v>
      </x:c>
      <x:c r="V319" s="42" t="n">
        <x:f>T319*H319</x:f>
        <x:v>51613914352</x:v>
      </x:c>
      <x:c r="W319" s="42" t="n">
        <x:f>V319/F319</x:f>
        <x:v>32461581353.459118</x:v>
      </x:c>
      <x:c r="X319" s="36" t="str">
        <x:v>MMR: UN WPP 2024 Medium exact 2003</x:v>
      </x:c>
      <x:c r="Y319" s="36" t="str">
        <x:v>MMR: IMF exact 2003</x:v>
      </x:c>
      <x:c r="Z319" s="36" t="str">
        <x:v>MMR: IMF exact 2003</x:v>
      </x:c>
      <x:c r="AA319" s="36" t="str">
        <x:v>complete_primary</x:v>
      </x:c>
      <x:c r="AB319" s="36" t="str">
        <x:v>https://www.un.org/development/desa/pd/world-population-prospects-2024</x:v>
      </x:c>
      <x:c r="AC319" s="36" t="str">
        <x:v>https://api.imf.org/external/sdmx/3.0/data/dataflow/IMF.RES/WEO/9.0.0/</x:v>
      </x:c>
      <x:c r="AD319" s="36" t="str">
        <x:v>https://api.worldbank.org/v2/</x:v>
      </x:c>
    </x:row>
    <x:row r="320">
      <x:c r="A320" s="24" t="str">
        <x:v>MMR</x:v>
      </x:c>
      <x:c r="B320" s="24" t="str">
        <x:v>Myanmar</x:v>
      </x:c>
      <x:c r="C320" s="24" t="str">
        <x:v>MMR</x:v>
      </x:c>
      <x:c r="D320" s="24" t="str">
        <x:v>MMR</x:v>
      </x:c>
      <x:c r="E320" s="24" t="n">
        <x:v>2022</x:v>
      </x:c>
      <x:c r="F320" s="37" t="n">
        <x:v>1</x:v>
      </x:c>
      <x:c r="G320" s="38" t="n">
        <x:v>55359846</x:v>
      </x:c>
      <x:c r="H320" s="38" t="n">
        <x:v>53756787</x:v>
      </x:c>
      <x:c r="I320" s="39" t="n">
        <x:f>H320/G320</x:f>
        <x:v>0.9710429288405173</x:v>
      </x:c>
      <x:c r="J320" s="40" t="n">
        <x:f>(I320-1)*100</x:f>
        <x:v>-2.895707115948265</x:v>
      </x:c>
      <x:c r="K320" s="36" t="str">
        <x:v>no</x:v>
      </x:c>
      <x:c r="L320" s="36" t="str">
        <x:v>Single-country territory; UN WPP and vanilla are within the ±5% review threshold.</x:v>
      </x:c>
      <x:c r="M320" s="41" t="n">
        <x:v>226461840000</x:v>
      </x:c>
      <x:c r="N320" s="41" t="n">
        <x:v>226461840000</x:v>
      </x:c>
      <x:c r="O320" s="41" t="n">
        <x:v>4091</x:v>
      </x:c>
      <x:c r="P320" s="41" t="n">
        <x:v>1254</x:v>
      </x:c>
      <x:c r="Q320" s="41" t="n">
        <x:v>4806</x:v>
      </x:c>
      <x:c r="R320" s="42" t="n">
        <x:f>MIN(P320,Q320)</x:f>
        <x:v>1254</x:v>
      </x:c>
      <x:c r="S320" s="42" t="n">
        <x:f>MAX(P320,Q320)</x:f>
        <x:v>4806</x:v>
      </x:c>
      <x:c r="T320" s="42" t="n">
        <x:f>MAX(R320,MIN(O320,S320))</x:f>
        <x:v>4091</x:v>
      </x:c>
      <x:c r="U320" s="19" t="str">
        <x:f>IF(O320&lt;R320,IF(R320=P320,"clamped_to_nominal","clamped_to_ppp"),IF(O320&gt;S320,IF(S320=P320,"clamped_to_nominal","clamped_to_ppp"),"kept_vanilla"))</x:f>
        <x:v>kept_vanilla</x:v>
      </x:c>
      <x:c r="V320" s="42" t="n">
        <x:f>T320*H320</x:f>
        <x:v>219919015617</x:v>
      </x:c>
      <x:c r="W320" s="42" t="n">
        <x:f>V320/F320</x:f>
        <x:v>219919015617</x:v>
      </x:c>
      <x:c r="X320" s="36" t="str">
        <x:v>MMR: UN WPP 2024 Medium exact 2022</x:v>
      </x:c>
      <x:c r="Y320" s="36" t="str">
        <x:v>MMR: IMF exact 2022</x:v>
      </x:c>
      <x:c r="Z320" s="36" t="str">
        <x:v>MMR: IMF exact 2022</x:v>
      </x:c>
      <x:c r="AA320" s="36" t="str">
        <x:v>complete_primary</x:v>
      </x:c>
      <x:c r="AB320" s="36" t="str">
        <x:v>https://www.un.org/development/desa/pd/world-population-prospects-2024</x:v>
      </x:c>
      <x:c r="AC320" s="36" t="str">
        <x:v>https://api.imf.org/external/sdmx/3.0/data/dataflow/IMF.RES/WEO/9.0.0/</x:v>
      </x:c>
      <x:c r="AD320" s="36" t="str">
        <x:v>https://api.worldbank.org/v2/</x:v>
      </x:c>
    </x:row>
    <x:row r="321">
      <x:c r="A321" s="24" t="str">
        <x:v>MMR</x:v>
      </x:c>
      <x:c r="B321" s="24" t="str">
        <x:v>Myanmar</x:v>
      </x:c>
      <x:c r="C321" s="24" t="str">
        <x:v>MMR</x:v>
      </x:c>
      <x:c r="D321" s="24" t="str">
        <x:v>MMR</x:v>
      </x:c>
      <x:c r="E321" s="24" t="n">
        <x:v>2026</x:v>
      </x:c>
      <x:c r="F321" s="37" t="n">
        <x:v>0.87</x:v>
      </x:c>
      <x:c r="G321" s="38" t="n">
        <x:v>55184819</x:v>
      </x:c>
      <x:c r="H321" s="38" t="n">
        <x:v>55184819</x:v>
      </x:c>
      <x:c r="I321" s="39" t="n">
        <x:f>H321/G321</x:f>
        <x:v>1</x:v>
      </x:c>
      <x:c r="J321" s="40" t="n">
        <x:f>(I321-1)*100</x:f>
        <x:v>0</x:v>
      </x:c>
      <x:c r="K321" s="36" t="str">
        <x:v>no</x:v>
      </x:c>
      <x:c r="L321" s="36" t="str">
        <x:v>Single-country territory; UN WPP and vanilla are within the ±5% review threshold.</x:v>
      </x:c>
      <x:c r="M321" s="41" t="n">
        <x:v>287666720000</x:v>
      </x:c>
      <x:c r="N321" s="41" t="n">
        <x:v>250270046400</x:v>
      </x:c>
      <x:c r="O321" s="41" t="n">
        <x:v>4535</x:v>
      </x:c>
      <x:c r="P321" s="41" t="n">
        <x:v>1322</x:v>
      </x:c>
      <x:c r="Q321" s="41" t="n">
        <x:v>4624</x:v>
      </x:c>
      <x:c r="R321" s="42" t="n">
        <x:f>MIN(P321,Q321)</x:f>
        <x:v>1322</x:v>
      </x:c>
      <x:c r="S321" s="42" t="n">
        <x:f>MAX(P321,Q321)</x:f>
        <x:v>4624</x:v>
      </x:c>
      <x:c r="T321" s="42" t="n">
        <x:f>MAX(R321,MIN(O321,S321))</x:f>
        <x:v>4535</x:v>
      </x:c>
      <x:c r="U321" s="19" t="str">
        <x:f>IF(O321&lt;R321,IF(R321=P321,"clamped_to_nominal","clamped_to_ppp"),IF(O321&gt;S321,IF(S321=P321,"clamped_to_nominal","clamped_to_ppp"),"kept_vanilla"))</x:f>
        <x:v>kept_vanilla</x:v>
      </x:c>
      <x:c r="V321" s="42" t="n">
        <x:f>T321*H321</x:f>
        <x:v>250263154165</x:v>
      </x:c>
      <x:c r="W321" s="42" t="n">
        <x:f>V321/F321</x:f>
        <x:v>287658797890.8046</x:v>
      </x:c>
      <x:c r="X321" s="36" t="str">
        <x:v>MMR: UN WPP 2024 Medium exact 2026</x:v>
      </x:c>
      <x:c r="Y321" s="36" t="str">
        <x:v>MMR: IMF exact 2026</x:v>
      </x:c>
      <x:c r="Z321" s="36" t="str">
        <x:v>MMR: IMF exact 2026</x:v>
      </x:c>
      <x:c r="AA321" s="36" t="str">
        <x:v>complete_primary</x:v>
      </x:c>
      <x:c r="AB321" s="36" t="str">
        <x:v>https://www.un.org/development/desa/pd/world-population-prospects-2024</x:v>
      </x:c>
      <x:c r="AC321" s="36" t="str">
        <x:v>https://api.imf.org/external/sdmx/3.0/data/dataflow/IMF.RES/WEO/9.0.0/</x:v>
      </x:c>
      <x:c r="AD321" s="36" t="str">
        <x:v>https://api.worldbank.org/v2/</x:v>
      </x:c>
    </x:row>
    <x:row r="322">
      <x:c r="A322" s="24" t="str">
        <x:v>SWA</x:v>
      </x:c>
      <x:c r="B322" s="24" t="str">
        <x:v>Namibia</x:v>
      </x:c>
      <x:c r="C322" s="24" t="str">
        <x:v>NAM</x:v>
      </x:c>
      <x:c r="D322" s="24" t="str">
        <x:v>NAM</x:v>
      </x:c>
      <x:c r="E322" s="24" t="n">
        <x:v>2003</x:v>
      </x:c>
      <x:c r="F322" s="37" t="n">
        <x:v>1.59</x:v>
      </x:c>
      <x:c r="G322" s="38" t="n">
        <x:v>1917464</x:v>
      </x:c>
      <x:c r="H322" s="38" t="n">
        <x:v>1917464</x:v>
      </x:c>
      <x:c r="I322" s="39" t="n">
        <x:f>H322/G322</x:f>
        <x:v>1</x:v>
      </x:c>
      <x:c r="J322" s="40" t="n">
        <x:f>(I322-1)*100</x:f>
        <x:v>0</x:v>
      </x:c>
      <x:c r="K322" s="36" t="str">
        <x:v>no</x:v>
      </x:c>
      <x:c r="L322" s="36" t="str">
        <x:v>Single-country territory; UN WPP and vanilla are within the ±5% review threshold.</x:v>
      </x:c>
      <x:c r="M322" s="41" t="n">
        <x:v>6658479532</x:v>
      </x:c>
      <x:c r="N322" s="41" t="n">
        <x:v>10586982456</x:v>
      </x:c>
      <x:c r="O322" s="41" t="n">
        <x:v>5521</x:v>
      </x:c>
      <x:c r="P322" s="41" t="n">
        <x:v>4124</x:v>
      </x:c>
      <x:c r="Q322" s="41" t="n">
        <x:v>9441</x:v>
      </x:c>
      <x:c r="R322" s="42" t="n">
        <x:f>MIN(P322,Q322)</x:f>
        <x:v>4124</x:v>
      </x:c>
      <x:c r="S322" s="42" t="n">
        <x:f>MAX(P322,Q322)</x:f>
        <x:v>9441</x:v>
      </x:c>
      <x:c r="T322" s="42" t="n">
        <x:f>MAX(R322,MIN(O322,S322))</x:f>
        <x:v>5521</x:v>
      </x:c>
      <x:c r="U322" s="19" t="str">
        <x:f>IF(O322&lt;R322,IF(R322=P322,"clamped_to_nominal","clamped_to_ppp"),IF(O322&gt;S322,IF(S322=P322,"clamped_to_nominal","clamped_to_ppp"),"kept_vanilla"))</x:f>
        <x:v>kept_vanilla</x:v>
      </x:c>
      <x:c r="V322" s="42" t="n">
        <x:f>T322*H322</x:f>
        <x:v>10586318744</x:v>
      </x:c>
      <x:c r="W322" s="42" t="n">
        <x:f>V322/F322</x:f>
        <x:v>6658062103.144653</x:v>
      </x:c>
      <x:c r="X322" s="36" t="str">
        <x:v>NAM: UN WPP 2024 Medium exact 2003</x:v>
      </x:c>
      <x:c r="Y322" s="36" t="str">
        <x:v>NAM: IMF exact 2003</x:v>
      </x:c>
      <x:c r="Z322" s="36" t="str">
        <x:v>NAM: IMF exact 2003</x:v>
      </x:c>
      <x:c r="AA322" s="36" t="str">
        <x:v>complete_primary</x:v>
      </x:c>
      <x:c r="AB322" s="36" t="str">
        <x:v>https://www.un.org/development/desa/pd/world-population-prospects-2024</x:v>
      </x:c>
      <x:c r="AC322" s="36" t="str">
        <x:v>https://api.imf.org/external/sdmx/3.0/data/dataflow/IMF.RES/WEO/9.0.0/</x:v>
      </x:c>
      <x:c r="AD322" s="36" t="str">
        <x:v>https://api.worldbank.org/v2/</x:v>
      </x:c>
    </x:row>
    <x:row r="323">
      <x:c r="A323" s="24" t="str">
        <x:v>SWA</x:v>
      </x:c>
      <x:c r="B323" s="24" t="str">
        <x:v>Namibia</x:v>
      </x:c>
      <x:c r="C323" s="24" t="str">
        <x:v>NAM</x:v>
      </x:c>
      <x:c r="D323" s="24" t="str">
        <x:v>NAM</x:v>
      </x:c>
      <x:c r="E323" s="24" t="n">
        <x:v>2022</x:v>
      </x:c>
      <x:c r="F323" s="37" t="n">
        <x:v>1</x:v>
      </x:c>
      <x:c r="G323" s="38" t="n">
        <x:v>2648453</x:v>
      </x:c>
      <x:c r="H323" s="38" t="n">
        <x:v>2889662</x:v>
      </x:c>
      <x:c r="I323" s="39" t="n">
        <x:f>H323/G323</x:f>
        <x:v>1.091075431582135</x:v>
      </x:c>
      <x:c r="J323" s="40" t="n">
        <x:f>(I323-1)*100</x:f>
        <x:v>9.107543158213494</x:v>
      </x:c>
      <x:c r="K323" s="36" t="str">
        <x:v>yes — reviewed</x:v>
      </x:c>
      <x:c r="L323" s="36" t="str">
        <x:v>Single-country game territory and UN country/area boundary align. The difference is an updated historical estimate/projection vintage, not a geographic-scope mismatch; accept the UN WPP value for a consistent source vintage.</x:v>
      </x:c>
      <x:c r="M323" s="41" t="n">
        <x:v>23863840000</x:v>
      </x:c>
      <x:c r="N323" s="41" t="n">
        <x:v>23863840000</x:v>
      </x:c>
      <x:c r="O323" s="41" t="n">
        <x:v>9010</x:v>
      </x:c>
      <x:c r="P323" s="41" t="n">
        <x:v>4348</x:v>
      </x:c>
      <x:c r="Q323" s="41" t="n">
        <x:v>10661</x:v>
      </x:c>
      <x:c r="R323" s="42" t="n">
        <x:f>MIN(P323,Q323)</x:f>
        <x:v>4348</x:v>
      </x:c>
      <x:c r="S323" s="42" t="n">
        <x:f>MAX(P323,Q323)</x:f>
        <x:v>10661</x:v>
      </x:c>
      <x:c r="T323" s="42" t="n">
        <x:f>MAX(R323,MIN(O323,S323))</x:f>
        <x:v>9010</x:v>
      </x:c>
      <x:c r="U323" s="19" t="str">
        <x:f>IF(O323&lt;R323,IF(R323=P323,"clamped_to_nominal","clamped_to_ppp"),IF(O323&gt;S323,IF(S323=P323,"clamped_to_nominal","clamped_to_ppp"),"kept_vanilla"))</x:f>
        <x:v>kept_vanilla</x:v>
      </x:c>
      <x:c r="V323" s="42" t="n">
        <x:f>T323*H323</x:f>
        <x:v>26035854620</x:v>
      </x:c>
      <x:c r="W323" s="42" t="n">
        <x:f>V323/F323</x:f>
        <x:v>26035854620</x:v>
      </x:c>
      <x:c r="X323" s="36" t="str">
        <x:v>NAM: UN WPP 2024 Medium exact 2022</x:v>
      </x:c>
      <x:c r="Y323" s="36" t="str">
        <x:v>NAM: IMF exact 2022</x:v>
      </x:c>
      <x:c r="Z323" s="36" t="str">
        <x:v>NAM: IMF exact 2022</x:v>
      </x:c>
      <x:c r="AA323" s="36" t="str">
        <x:v>complete_primary</x:v>
      </x:c>
      <x:c r="AB323" s="36" t="str">
        <x:v>https://www.un.org/development/desa/pd/world-population-prospects-2024</x:v>
      </x:c>
      <x:c r="AC323" s="36" t="str">
        <x:v>https://api.imf.org/external/sdmx/3.0/data/dataflow/IMF.RES/WEO/9.0.0/</x:v>
      </x:c>
      <x:c r="AD323" s="36" t="str">
        <x:v>https://api.worldbank.org/v2/</x:v>
      </x:c>
    </x:row>
    <x:row r="324">
      <x:c r="A324" s="24" t="str">
        <x:v>SWA</x:v>
      </x:c>
      <x:c r="B324" s="24" t="str">
        <x:v>Namibia</x:v>
      </x:c>
      <x:c r="C324" s="24" t="str">
        <x:v>NAM</x:v>
      </x:c>
      <x:c r="D324" s="24" t="str">
        <x:v>NAM</x:v>
      </x:c>
      <x:c r="E324" s="24" t="n">
        <x:v>2026</x:v>
      </x:c>
      <x:c r="F324" s="37" t="n">
        <x:v>0.87</x:v>
      </x:c>
      <x:c r="G324" s="38" t="n">
        <x:v>3153246</x:v>
      </x:c>
      <x:c r="H324" s="38" t="n">
        <x:v>3153246</x:v>
      </x:c>
      <x:c r="I324" s="39" t="n">
        <x:f>H324/G324</x:f>
        <x:v>1</x:v>
      </x:c>
      <x:c r="J324" s="40" t="n">
        <x:f>(I324-1)*100</x:f>
        <x:v>0</x:v>
      </x:c>
      <x:c r="K324" s="36" t="str">
        <x:v>no</x:v>
      </x:c>
      <x:c r="L324" s="36" t="str">
        <x:v>Single-country territory; UN WPP and vanilla are within the ±5% review threshold.</x:v>
      </x:c>
      <x:c r="M324" s="41" t="n">
        <x:v>33200640000</x:v>
      </x:c>
      <x:c r="N324" s="41" t="n">
        <x:v>28884556800</x:v>
      </x:c>
      <x:c r="O324" s="41" t="n">
        <x:v>9160</x:v>
      </x:c>
      <x:c r="P324" s="41" t="n">
        <x:v>4777</x:v>
      </x:c>
      <x:c r="Q324" s="41" t="n">
        <x:v>10857</x:v>
      </x:c>
      <x:c r="R324" s="42" t="n">
        <x:f>MIN(P324,Q324)</x:f>
        <x:v>4777</x:v>
      </x:c>
      <x:c r="S324" s="42" t="n">
        <x:f>MAX(P324,Q324)</x:f>
        <x:v>10857</x:v>
      </x:c>
      <x:c r="T324" s="42" t="n">
        <x:f>MAX(R324,MIN(O324,S324))</x:f>
        <x:v>9160</x:v>
      </x:c>
      <x:c r="U324" s="19" t="str">
        <x:f>IF(O324&lt;R324,IF(R324=P324,"clamped_to_nominal","clamped_to_ppp"),IF(O324&gt;S324,IF(S324=P324,"clamped_to_nominal","clamped_to_ppp"),"kept_vanilla"))</x:f>
        <x:v>kept_vanilla</x:v>
      </x:c>
      <x:c r="V324" s="42" t="n">
        <x:f>T324*H324</x:f>
        <x:v>28883733360</x:v>
      </x:c>
      <x:c r="W324" s="42" t="n">
        <x:f>V324/F324</x:f>
        <x:v>33199693517.24138</x:v>
      </x:c>
      <x:c r="X324" s="36" t="str">
        <x:v>NAM: UN WPP 2024 Medium exact 2026</x:v>
      </x:c>
      <x:c r="Y324" s="36" t="str">
        <x:v>NAM: IMF exact 2026</x:v>
      </x:c>
      <x:c r="Z324" s="36" t="str">
        <x:v>NAM: IMF exact 2026</x:v>
      </x:c>
      <x:c r="AA324" s="36" t="str">
        <x:v>complete_primary</x:v>
      </x:c>
      <x:c r="AB324" s="36" t="str">
        <x:v>https://www.un.org/development/desa/pd/world-population-prospects-2024</x:v>
      </x:c>
      <x:c r="AC324" s="36" t="str">
        <x:v>https://api.imf.org/external/sdmx/3.0/data/dataflow/IMF.RES/WEO/9.0.0/</x:v>
      </x:c>
      <x:c r="AD324" s="36" t="str">
        <x:v>https://api.worldbank.org/v2/</x:v>
      </x:c>
    </x:row>
    <x:row r="325">
      <x:c r="A325" s="24" t="str">
        <x:v>HYS</x:v>
      </x:c>
      <x:c r="B325" s="24" t="str">
        <x:v>Nepal</x:v>
      </x:c>
      <x:c r="C325" s="24" t="str">
        <x:v>NPL</x:v>
      </x:c>
      <x:c r="D325" s="24" t="str">
        <x:v>NPL</x:v>
      </x:c>
      <x:c r="E325" s="24" t="n">
        <x:v>2003</x:v>
      </x:c>
      <x:c r="F325" s="37" t="n">
        <x:v>1.59</x:v>
      </x:c>
      <x:c r="G325" s="38" t="n">
        <x:v>25688758</x:v>
      </x:c>
      <x:c r="H325" s="38" t="n">
        <x:v>25688758</x:v>
      </x:c>
      <x:c r="I325" s="39" t="n">
        <x:f>H325/G325</x:f>
        <x:v>1</x:v>
      </x:c>
      <x:c r="J325" s="40" t="n">
        <x:f>(I325-1)*100</x:f>
        <x:v>0</x:v>
      </x:c>
      <x:c r="K325" s="36" t="str">
        <x:v>no</x:v>
      </x:c>
      <x:c r="L325" s="36" t="str">
        <x:v>Single-country territory; UN WPP and vanilla are within the ±5% review threshold.</x:v>
      </x:c>
      <x:c r="M325" s="41" t="n">
        <x:v>24984210526</x:v>
      </x:c>
      <x:c r="N325" s="41" t="n">
        <x:v>39724894736</x:v>
      </x:c>
      <x:c r="O325" s="41" t="n">
        <x:v>1546</x:v>
      </x:c>
      <x:c r="P325" s="41" t="n">
        <x:v>447</x:v>
      </x:c>
      <x:c r="Q325" s="41" t="n">
        <x:v>2644</x:v>
      </x:c>
      <x:c r="R325" s="42" t="n">
        <x:f>MIN(P325,Q325)</x:f>
        <x:v>447</x:v>
      </x:c>
      <x:c r="S325" s="42" t="n">
        <x:f>MAX(P325,Q325)</x:f>
        <x:v>2644</x:v>
      </x:c>
      <x:c r="T325" s="42" t="n">
        <x:f>MAX(R325,MIN(O325,S325))</x:f>
        <x:v>1546</x:v>
      </x:c>
      <x:c r="U325" s="19" t="str">
        <x:f>IF(O325&lt;R325,IF(R325=P325,"clamped_to_nominal","clamped_to_ppp"),IF(O325&gt;S325,IF(S325=P325,"clamped_to_nominal","clamped_to_ppp"),"kept_vanilla"))</x:f>
        <x:v>kept_vanilla</x:v>
      </x:c>
      <x:c r="V325" s="42" t="n">
        <x:f>T325*H325</x:f>
        <x:v>39714819868</x:v>
      </x:c>
      <x:c r="W325" s="42" t="n">
        <x:f>V325/F325</x:f>
        <x:v>24977874130.817608</x:v>
      </x:c>
      <x:c r="X325" s="36" t="str">
        <x:v>NPL: UN WPP 2024 Medium exact 2003</x:v>
      </x:c>
      <x:c r="Y325" s="36" t="str">
        <x:v>NPL: IMF exact 2003</x:v>
      </x:c>
      <x:c r="Z325" s="36" t="str">
        <x:v>NPL: IMF exact 2003</x:v>
      </x:c>
      <x:c r="AA325" s="36" t="str">
        <x:v>complete_primary</x:v>
      </x:c>
      <x:c r="AB325" s="36" t="str">
        <x:v>https://www.un.org/development/desa/pd/world-population-prospects-2024</x:v>
      </x:c>
      <x:c r="AC325" s="36" t="str">
        <x:v>https://api.imf.org/external/sdmx/3.0/data/dataflow/IMF.RES/WEO/9.0.0/</x:v>
      </x:c>
      <x:c r="AD325" s="36" t="str">
        <x:v>https://api.worldbank.org/v2/</x:v>
      </x:c>
    </x:row>
    <x:row r="326">
      <x:c r="A326" s="24" t="str">
        <x:v>HYS</x:v>
      </x:c>
      <x:c r="B326" s="24" t="str">
        <x:v>Nepal</x:v>
      </x:c>
      <x:c r="C326" s="24" t="str">
        <x:v>NPL</x:v>
      </x:c>
      <x:c r="D326" s="24" t="str">
        <x:v>NPL</x:v>
      </x:c>
      <x:c r="E326" s="24" t="n">
        <x:v>2022</x:v>
      </x:c>
      <x:c r="F326" s="37" t="n">
        <x:v>1</x:v>
      </x:c>
      <x:c r="G326" s="38" t="n">
        <x:v>30407421</x:v>
      </x:c>
      <x:c r="H326" s="38" t="n">
        <x:v>29715436</x:v>
      </x:c>
      <x:c r="I326" s="39" t="n">
        <x:f>H326/G326</x:f>
        <x:v>0.9772428908061621</x:v>
      </x:c>
      <x:c r="J326" s="40" t="n">
        <x:f>(I326-1)*100</x:f>
        <x:v>-2.2757109193837888</x:v>
      </x:c>
      <x:c r="K326" s="36" t="str">
        <x:v>no</x:v>
      </x:c>
      <x:c r="L326" s="36" t="str">
        <x:v>Single-country territory; UN WPP and vanilla are within the ±5% review threshold.</x:v>
      </x:c>
      <x:c r="M326" s="41" t="n">
        <x:v>121616000000</x:v>
      </x:c>
      <x:c r="N326" s="41" t="n">
        <x:v>121616000000</x:v>
      </x:c>
      <x:c r="O326" s="41" t="n">
        <x:v>4000</x:v>
      </x:c>
      <x:c r="P326" s="41" t="n">
        <x:v>1386</x:v>
      </x:c>
      <x:c r="Q326" s="41" t="n">
        <x:v>5102</x:v>
      </x:c>
      <x:c r="R326" s="42" t="n">
        <x:f>MIN(P326,Q326)</x:f>
        <x:v>1386</x:v>
      </x:c>
      <x:c r="S326" s="42" t="n">
        <x:f>MAX(P326,Q326)</x:f>
        <x:v>5102</x:v>
      </x:c>
      <x:c r="T326" s="42" t="n">
        <x:f>MAX(R326,MIN(O326,S326))</x:f>
        <x:v>4000</x:v>
      </x:c>
      <x:c r="U326" s="19" t="str">
        <x:f>IF(O326&lt;R326,IF(R326=P326,"clamped_to_nominal","clamped_to_ppp"),IF(O326&gt;S326,IF(S326=P326,"clamped_to_nominal","clamped_to_ppp"),"kept_vanilla"))</x:f>
        <x:v>kept_vanilla</x:v>
      </x:c>
      <x:c r="V326" s="42" t="n">
        <x:f>T326*H326</x:f>
        <x:v>118861744000</x:v>
      </x:c>
      <x:c r="W326" s="42" t="n">
        <x:f>V326/F326</x:f>
        <x:v>118861744000</x:v>
      </x:c>
      <x:c r="X326" s="36" t="str">
        <x:v>NPL: UN WPP 2024 Medium exact 2022</x:v>
      </x:c>
      <x:c r="Y326" s="36" t="str">
        <x:v>NPL: IMF exact 2022</x:v>
      </x:c>
      <x:c r="Z326" s="36" t="str">
        <x:v>NPL: IMF exact 2022</x:v>
      </x:c>
      <x:c r="AA326" s="36" t="str">
        <x:v>complete_primary</x:v>
      </x:c>
      <x:c r="AB326" s="36" t="str">
        <x:v>https://www.un.org/development/desa/pd/world-population-prospects-2024</x:v>
      </x:c>
      <x:c r="AC326" s="36" t="str">
        <x:v>https://api.imf.org/external/sdmx/3.0/data/dataflow/IMF.RES/WEO/9.0.0/</x:v>
      </x:c>
      <x:c r="AD326" s="36" t="str">
        <x:v>https://api.worldbank.org/v2/</x:v>
      </x:c>
    </x:row>
    <x:row r="327">
      <x:c r="A327" s="24" t="str">
        <x:v>HYS</x:v>
      </x:c>
      <x:c r="B327" s="24" t="str">
        <x:v>Nepal</x:v>
      </x:c>
      <x:c r="C327" s="24" t="str">
        <x:v>NPL</x:v>
      </x:c>
      <x:c r="D327" s="24" t="str">
        <x:v>NPL</x:v>
      </x:c>
      <x:c r="E327" s="24" t="n">
        <x:v>2026</x:v>
      </x:c>
      <x:c r="F327" s="37" t="n">
        <x:v>0.87</x:v>
      </x:c>
      <x:c r="G327" s="38" t="n">
        <x:v>29629410</x:v>
      </x:c>
      <x:c r="H327" s="38" t="n">
        <x:v>29629410</x:v>
      </x:c>
      <x:c r="I327" s="39" t="n">
        <x:f>H327/G327</x:f>
        <x:v>1</x:v>
      </x:c>
      <x:c r="J327" s="40" t="n">
        <x:f>(I327-1)*100</x:f>
        <x:v>0</x:v>
      </x:c>
      <x:c r="K327" s="36" t="str">
        <x:v>no</x:v>
      </x:c>
      <x:c r="L327" s="36" t="str">
        <x:v>Single-country territory; UN WPP and vanilla are within the ±5% review threshold.</x:v>
      </x:c>
      <x:c r="M327" s="41" t="n">
        <x:v>158963200000</x:v>
      </x:c>
      <x:c r="N327" s="41" t="n">
        <x:v>138297984000</x:v>
      </x:c>
      <x:c r="O327" s="41" t="n">
        <x:v>4668</x:v>
      </x:c>
      <x:c r="P327" s="41" t="n">
        <x:v>1346</x:v>
      </x:c>
      <x:c r="Q327" s="41" t="n">
        <x:v>5698</x:v>
      </x:c>
      <x:c r="R327" s="42" t="n">
        <x:f>MIN(P327,Q327)</x:f>
        <x:v>1346</x:v>
      </x:c>
      <x:c r="S327" s="42" t="n">
        <x:f>MAX(P327,Q327)</x:f>
        <x:v>5698</x:v>
      </x:c>
      <x:c r="T327" s="42" t="n">
        <x:f>MAX(R327,MIN(O327,S327))</x:f>
        <x:v>4668</x:v>
      </x:c>
      <x:c r="U327" s="19" t="str">
        <x:f>IF(O327&lt;R327,IF(R327=P327,"clamped_to_nominal","clamped_to_ppp"),IF(O327&gt;S327,IF(S327=P327,"clamped_to_nominal","clamped_to_ppp"),"kept_vanilla"))</x:f>
        <x:v>kept_vanilla</x:v>
      </x:c>
      <x:c r="V327" s="42" t="n">
        <x:f>T327*H327</x:f>
        <x:v>138310085880</x:v>
      </x:c>
      <x:c r="W327" s="42" t="n">
        <x:f>V327/F327</x:f>
        <x:v>158977110206.89655</x:v>
      </x:c>
      <x:c r="X327" s="36" t="str">
        <x:v>NPL: UN WPP 2024 Medium exact 2026</x:v>
      </x:c>
      <x:c r="Y327" s="36" t="str">
        <x:v>NPL: IMF exact 2026</x:v>
      </x:c>
      <x:c r="Z327" s="36" t="str">
        <x:v>NPL: IMF exact 2026</x:v>
      </x:c>
      <x:c r="AA327" s="36" t="str">
        <x:v>complete_primary</x:v>
      </x:c>
      <x:c r="AB327" s="36" t="str">
        <x:v>https://www.un.org/development/desa/pd/world-population-prospects-2024</x:v>
      </x:c>
      <x:c r="AC327" s="36" t="str">
        <x:v>https://api.imf.org/external/sdmx/3.0/data/dataflow/IMF.RES/WEO/9.0.0/</x:v>
      </x:c>
      <x:c r="AD327" s="36" t="str">
        <x:v>https://api.worldbank.org/v2/</x:v>
      </x:c>
    </x:row>
    <x:row r="328">
      <x:c r="A328" s="24" t="str">
        <x:v>NET</x:v>
      </x:c>
      <x:c r="B328" s="24" t="str">
        <x:v>Netherlands</x:v>
      </x:c>
      <x:c r="C328" s="24" t="str">
        <x:v>NLD</x:v>
      </x:c>
      <x:c r="D328" s="24" t="str">
        <x:v>NLD+ABW+CUW+SXM+BES</x:v>
      </x:c>
      <x:c r="E328" s="24" t="n">
        <x:v>2003</x:v>
      </x:c>
      <x:c r="F328" s="37" t="n">
        <x:v>1.59</x:v>
      </x:c>
      <x:c r="G328" s="38" t="n">
        <x:v>16856460</x:v>
      </x:c>
      <x:c r="H328" s="38" t="n">
        <x:v>16654103</x:v>
      </x:c>
      <x:c r="I328" s="39" t="n">
        <x:f>H328/G328</x:f>
        <x:v>0.987995284893744</x:v>
      </x:c>
      <x:c r="J328" s="40" t="n">
        <x:f>(I328-1)*100</x:f>
        <x:v>-1.2004715106256003</x:v>
      </x:c>
      <x:c r="K328" s="36" t="str">
        <x:v>no</x:v>
      </x:c>
      <x:c r="L328" s="36" t="str">
        <x:v>Added Aruba, Curaçao, Sint Maarten, and the Caribbean Netherlands because the game includes a Dutch Caribbean region; the 2026 total matches vanilla within two people.</x:v>
      </x:c>
      <x:c r="M328" s="41" t="n">
        <x:v>352013450292</x:v>
      </x:c>
      <x:c r="N328" s="41" t="n">
        <x:v>559701385964</x:v>
      </x:c>
      <x:c r="O328" s="41" t="n">
        <x:v>33204</x:v>
      </x:c>
      <x:c r="P328" s="41" t="n">
        <x:v>56057</x:v>
      </x:c>
      <x:c r="Q328" s="41" t="n">
        <x:v>58146</x:v>
      </x:c>
      <x:c r="R328" s="42" t="n">
        <x:f>MIN(P328,Q328)</x:f>
        <x:v>56057</x:v>
      </x:c>
      <x:c r="S328" s="42" t="n">
        <x:f>MAX(P328,Q328)</x:f>
        <x:v>58146</x:v>
      </x:c>
      <x:c r="T328" s="42" t="n">
        <x:f>MAX(R328,MIN(O328,S328))</x:f>
        <x:v>56057</x:v>
      </x:c>
      <x:c r="U328" s="19" t="str">
        <x:f>IF(O328&lt;R328,IF(R328=P328,"clamped_to_nominal","clamped_to_ppp"),IF(O328&gt;S328,IF(S328=P328,"clamped_to_nominal","clamped_to_ppp"),"kept_vanilla"))</x:f>
        <x:v>clamped_to_nominal</x:v>
      </x:c>
      <x:c r="V328" s="42" t="n">
        <x:f>T328*H328</x:f>
        <x:v>933579051871</x:v>
      </x:c>
      <x:c r="W328" s="42" t="n">
        <x:f>V328/F328</x:f>
        <x:v>587156636396.8553</x:v>
      </x:c>
      <x:c r="X328" s="36" t="str">
        <x:v>NLD: UN WPP 2024 Medium exact 2003; ABW: UN WPP 2024 Medium exact 2003; CUW: UN WPP 2024 Medium exact 2003; SXM: UN WPP 2024 Medium exact 2003; BES: UN WPP 2024 Medium exact 2003</x:v>
      </x:c>
      <x:c r="Y328" s="36" t="str">
        <x:v>NLD: IMF exact 2003; ABW: World Bank exact 2003; CUW: World Bank exact 2003; SXM: peer-growth inference from World Bank 2009; Latin America &amp; Caribbean ; High income median 3.20%/yr (15 peers, capped at ±8%); BES: nominal GDP/c inferred from global available-country peers median level (210 peers)</x:v>
      </x:c>
      <x:c r="Z328" s="36" t="str">
        <x:v>NLD: IMF exact 2003; ABW: World Bank exact 2003; CUW: World Bank exact 2003; SXM: peer-growth inference from World Bank 2009; Latin America &amp; Caribbean ; High income median 2.57%/yr (14 peers, capped at ±8%); BES: PPP inferred from filled nominal GDP using global available-country peers median PPP/nominal ratio 2.577 (199 peers)</x:v>
      </x:c>
      <x:c r="AA328" s="36" t="str">
        <x:v>inferred+secondary_source</x:v>
      </x:c>
      <x:c r="AB328" s="36" t="str">
        <x:v>https://www.un.org/development/desa/pd/world-population-prospects-2024</x:v>
      </x:c>
      <x:c r="AC328" s="36" t="str">
        <x:v>https://api.imf.org/external/sdmx/3.0/data/dataflow/IMF.RES/WEO/9.0.0/</x:v>
      </x:c>
      <x:c r="AD328" s="36" t="str">
        <x:v>https://api.worldbank.org/v2/</x:v>
      </x:c>
    </x:row>
    <x:row r="329">
      <x:c r="A329" s="24" t="str">
        <x:v>NET</x:v>
      </x:c>
      <x:c r="B329" s="24" t="str">
        <x:v>Netherlands</x:v>
      </x:c>
      <x:c r="C329" s="24" t="str">
        <x:v>NLD</x:v>
      </x:c>
      <x:c r="D329" s="24" t="str">
        <x:v>NLD+ABW+CUW+SXM+BES</x:v>
      </x:c>
      <x:c r="E329" s="24" t="n">
        <x:v>2022</x:v>
      </x:c>
      <x:c r="F329" s="37" t="n">
        <x:v>1</x:v>
      </x:c>
      <x:c r="G329" s="38" t="n">
        <x:v>17566765</x:v>
      </x:c>
      <x:c r="H329" s="38" t="n">
        <x:v>18268314</x:v>
      </x:c>
      <x:c r="I329" s="39" t="n">
        <x:f>H329/G329</x:f>
        <x:v>1.039936152160059</x:v>
      </x:c>
      <x:c r="J329" s="40" t="n">
        <x:f>(I329-1)*100</x:f>
        <x:v>3.993615216005897</x:v>
      </x:c>
      <x:c r="K329" s="36" t="str">
        <x:v>no</x:v>
      </x:c>
      <x:c r="L329" s="36" t="str">
        <x:v>Added Aruba, Curaçao, Sint Maarten, and the Caribbean Netherlands because the game includes a Dutch Caribbean region; the 2026 total matches vanilla within two people.</x:v>
      </x:c>
      <x:c r="M329" s="41" t="n">
        <x:v>1057544400000</x:v>
      </x:c>
      <x:c r="N329" s="41" t="n">
        <x:v>1057544400000</x:v>
      </x:c>
      <x:c r="O329" s="41" t="n">
        <x:v>60201</x:v>
      </x:c>
      <x:c r="P329" s="41" t="n">
        <x:v>57782</x:v>
      </x:c>
      <x:c r="Q329" s="41" t="n">
        <x:v>75460</x:v>
      </x:c>
      <x:c r="R329" s="42" t="n">
        <x:f>MIN(P329,Q329)</x:f>
        <x:v>57782</x:v>
      </x:c>
      <x:c r="S329" s="42" t="n">
        <x:f>MAX(P329,Q329)</x:f>
        <x:v>75460</x:v>
      </x:c>
      <x:c r="T329" s="42" t="n">
        <x:f>MAX(R329,MIN(O329,S329))</x:f>
        <x:v>60201</x:v>
      </x:c>
      <x:c r="U329" s="19" t="str">
        <x:f>IF(O329&lt;R329,IF(R329=P329,"clamped_to_nominal","clamped_to_ppp"),IF(O329&gt;S329,IF(S329=P329,"clamped_to_nominal","clamped_to_ppp"),"kept_vanilla"))</x:f>
        <x:v>kept_vanilla</x:v>
      </x:c>
      <x:c r="V329" s="42" t="n">
        <x:f>T329*H329</x:f>
        <x:v>1099770771114</x:v>
      </x:c>
      <x:c r="W329" s="42" t="n">
        <x:f>V329/F329</x:f>
        <x:v>1099770771114</x:v>
      </x:c>
      <x:c r="X329" s="36" t="str">
        <x:v>NLD: UN WPP 2024 Medium exact 2022; ABW: UN WPP 2024 Medium exact 2022; CUW: UN WPP 2024 Medium exact 2022; SXM: UN WPP 2024 Medium exact 2022; BES: UN WPP 2024 Medium exact 2022</x:v>
      </x:c>
      <x:c r="Y329" s="36" t="str">
        <x:v>NLD: IMF exact 2022; ABW: World Bank exact 2022; CUW: World Bank exact 2022; SXM: World Bank exact 2022; BES: nominal GDP/c inferred from global available-country peers median level (211 peers)</x:v>
      </x:c>
      <x:c r="Z329" s="36" t="str">
        <x:v>NLD: IMF exact 2022; ABW: World Bank exact 2022; CUW: World Bank exact 2022; SXM: World Bank exact 2022; BES: PPP inferred from filled nominal GDP using global available-country peers median PPP/nominal ratio 2.283 (203 peers)</x:v>
      </x:c>
      <x:c r="AA329" s="36" t="str">
        <x:v>inferred+secondary_source</x:v>
      </x:c>
      <x:c r="AB329" s="36" t="str">
        <x:v>https://www.un.org/development/desa/pd/world-population-prospects-2024</x:v>
      </x:c>
      <x:c r="AC329" s="36" t="str">
        <x:v>https://api.imf.org/external/sdmx/3.0/data/dataflow/IMF.RES/WEO/9.0.0/</x:v>
      </x:c>
      <x:c r="AD329" s="36" t="str">
        <x:v>https://api.worldbank.org/v2/</x:v>
      </x:c>
    </x:row>
    <x:row r="330">
      <x:c r="A330" s="24" t="str">
        <x:v>NET</x:v>
      </x:c>
      <x:c r="B330" s="24" t="str">
        <x:v>Netherlands</x:v>
      </x:c>
      <x:c r="C330" s="24" t="str">
        <x:v>NLD</x:v>
      </x:c>
      <x:c r="D330" s="24" t="str">
        <x:v>NLD+ABW+CUW+SXM+BES</x:v>
      </x:c>
      <x:c r="E330" s="24" t="n">
        <x:v>2026</x:v>
      </x:c>
      <x:c r="F330" s="37" t="n">
        <x:v>0.87</x:v>
      </x:c>
      <x:c r="G330" s="38" t="n">
        <x:v>18818741</x:v>
      </x:c>
      <x:c r="H330" s="38" t="n">
        <x:v>18818739</x:v>
      </x:c>
      <x:c r="I330" s="39" t="n">
        <x:f>H330/G330</x:f>
        <x:v>0.9999998937229648</x:v>
      </x:c>
      <x:c r="J330" s="40" t="n">
        <x:f>(I330-1)*100</x:f>
        <x:v>-0.000010627703517229747</x:v>
      </x:c>
      <x:c r="K330" s="36" t="str">
        <x:v>no</x:v>
      </x:c>
      <x:c r="L330" s="36" t="str">
        <x:v>Added Aruba, Curaçao, Sint Maarten, and the Caribbean Netherlands because the game includes a Dutch Caribbean region; the 2026 total matches vanilla within two people.</x:v>
      </x:c>
      <x:c r="M330" s="41" t="n">
        <x:v>1334663440000</x:v>
      </x:c>
      <x:c r="N330" s="41" t="n">
        <x:v>1161157192800</x:v>
      </x:c>
      <x:c r="O330" s="41" t="n">
        <x:v>61702</x:v>
      </x:c>
      <x:c r="P330" s="41" t="n">
        <x:v>67576</x:v>
      </x:c>
      <x:c r="Q330" s="41" t="n">
        <x:v>74364</x:v>
      </x:c>
      <x:c r="R330" s="42" t="n">
        <x:f>MIN(P330,Q330)</x:f>
        <x:v>67576</x:v>
      </x:c>
      <x:c r="S330" s="42" t="n">
        <x:f>MAX(P330,Q330)</x:f>
        <x:v>74364</x:v>
      </x:c>
      <x:c r="T330" s="42" t="n">
        <x:f>MAX(R330,MIN(O330,S330))</x:f>
        <x:v>67576</x:v>
      </x:c>
      <x:c r="U330" s="19" t="str">
        <x:f>IF(O330&lt;R330,IF(R330=P330,"clamped_to_nominal","clamped_to_ppp"),IF(O330&gt;S330,IF(S330=P330,"clamped_to_nominal","clamped_to_ppp"),"kept_vanilla"))</x:f>
        <x:v>clamped_to_nominal</x:v>
      </x:c>
      <x:c r="V330" s="42" t="n">
        <x:f>T330*H330</x:f>
        <x:v>1271695106664</x:v>
      </x:c>
      <x:c r="W330" s="42" t="n">
        <x:f>V330/F330</x:f>
        <x:v>1461718513406.8965</x:v>
      </x:c>
      <x:c r="X330" s="36" t="str">
        <x:v>NLD: UN WPP 2024 Medium exact 2026; ABW: UN WPP 2024 Medium exact 2026; CUW: UN WPP 2024 Medium exact 2026; SXM: UN WPP 2024 Medium exact 2026; BES: UN WPP 2024 Medium exact 2026</x:v>
      </x:c>
      <x:c r="Y330" s="36" t="str">
        <x:v>NLD: IMF exact 2026; ABW: peer-growth inference from World Bank 2024; Latin America &amp; Caribbean ; High income median 4.29%/yr (9 peers, capped at ±8%); CUW: peer-growth inference from World Bank 2024; Latin America &amp; Caribbean ; High income median 4.29%/yr (9 peers, capped at ±8%); SXM: peer-growth inference from World Bank 2025; Latin America &amp; Caribbean ; High income median 6.09%/yr (9 peers, capped at ±8%); BES: nominal GDP/c inferred from global available-country peers median level (177 peers)</x:v>
      </x:c>
      <x:c r="Z330" s="36" t="str">
        <x:v>NLD: IMF exact 2026; ABW: peer-growth inference from World Bank 2024; Latin America &amp; Caribbean ; High income median 2.89%/yr (9 peers, capped at ±8%); CUW: peer-growth inference from World Bank 2024; Latin America &amp; Caribbean ; High income median 2.89%/yr (9 peers, capped at ±8%); SXM: peer-growth inference from World Bank 2025; Latin America &amp; Caribbean ; High income median 4.12%/yr (9 peers, capped at ±8%); BES: PPP inferred from filled nominal GDP using global available-country peers median PPP/nominal ratio 2.285 (177 peers)</x:v>
      </x:c>
      <x:c r="AA330" s="36" t="str">
        <x:v>inferred</x:v>
      </x:c>
      <x:c r="AB330" s="36" t="str">
        <x:v>https://www.un.org/development/desa/pd/world-population-prospects-2024</x:v>
      </x:c>
      <x:c r="AC330" s="36" t="str">
        <x:v>https://api.imf.org/external/sdmx/3.0/data/dataflow/IMF.RES/WEO/9.0.0/</x:v>
      </x:c>
      <x:c r="AD330" s="36" t="str">
        <x:v>https://api.worldbank.org/v2/</x:v>
      </x:c>
    </x:row>
    <x:row r="331">
      <x:c r="A331" s="24" t="str">
        <x:v>NZL</x:v>
      </x:c>
      <x:c r="B331" s="24" t="str">
        <x:v>New Zealand</x:v>
      </x:c>
      <x:c r="C331" s="24" t="str">
        <x:v>NZL</x:v>
      </x:c>
      <x:c r="D331" s="24" t="str">
        <x:v>NZL</x:v>
      </x:c>
      <x:c r="E331" s="24" t="n">
        <x:v>2003</x:v>
      </x:c>
      <x:c r="F331" s="37" t="n">
        <x:v>1.59</x:v>
      </x:c>
      <x:c r="G331" s="38" t="n">
        <x:v>4022586</x:v>
      </x:c>
      <x:c r="H331" s="38" t="n">
        <x:v>4022586</x:v>
      </x:c>
      <x:c r="I331" s="39" t="n">
        <x:f>H331/G331</x:f>
        <x:v>1</x:v>
      </x:c>
      <x:c r="J331" s="40" t="n">
        <x:f>(I331-1)*100</x:f>
        <x:v>0</x:v>
      </x:c>
      <x:c r="K331" s="36" t="str">
        <x:v>no</x:v>
      </x:c>
      <x:c r="L331" s="36" t="str">
        <x:v>Single-country territory; UN WPP and vanilla are within the ±5% review threshold.</x:v>
      </x:c>
      <x:c r="M331" s="41" t="n">
        <x:v>63326900585</x:v>
      </x:c>
      <x:c r="N331" s="41" t="n">
        <x:v>100689771930</x:v>
      </x:c>
      <x:c r="O331" s="41" t="n">
        <x:v>25031</x:v>
      </x:c>
      <x:c r="P331" s="41" t="n">
        <x:v>32573</x:v>
      </x:c>
      <x:c r="Q331" s="41" t="n">
        <x:v>42811</x:v>
      </x:c>
      <x:c r="R331" s="42" t="n">
        <x:f>MIN(P331,Q331)</x:f>
        <x:v>32573</x:v>
      </x:c>
      <x:c r="S331" s="42" t="n">
        <x:f>MAX(P331,Q331)</x:f>
        <x:v>42811</x:v>
      </x:c>
      <x:c r="T331" s="42" t="n">
        <x:f>MAX(R331,MIN(O331,S331))</x:f>
        <x:v>32573</x:v>
      </x:c>
      <x:c r="U331" s="19" t="str">
        <x:f>IF(O331&lt;R331,IF(R331=P331,"clamped_to_nominal","clamped_to_ppp"),IF(O331&gt;S331,IF(S331=P331,"clamped_to_nominal","clamped_to_ppp"),"kept_vanilla"))</x:f>
        <x:v>clamped_to_nominal</x:v>
      </x:c>
      <x:c r="V331" s="42" t="n">
        <x:f>T331*H331</x:f>
        <x:v>131027693778</x:v>
      </x:c>
      <x:c r="W331" s="42" t="n">
        <x:f>V331/F331</x:f>
        <x:v>82407354577.35849</x:v>
      </x:c>
      <x:c r="X331" s="36" t="str">
        <x:v>NZL: UN WPP 2024 Medium exact 2003</x:v>
      </x:c>
      <x:c r="Y331" s="36" t="str">
        <x:v>NZL: IMF exact 2003</x:v>
      </x:c>
      <x:c r="Z331" s="36" t="str">
        <x:v>NZL: IMF exact 2003</x:v>
      </x:c>
      <x:c r="AA331" s="36" t="str">
        <x:v>complete_primary</x:v>
      </x:c>
      <x:c r="AB331" s="36" t="str">
        <x:v>https://www.un.org/development/desa/pd/world-population-prospects-2024</x:v>
      </x:c>
      <x:c r="AC331" s="36" t="str">
        <x:v>https://api.imf.org/external/sdmx/3.0/data/dataflow/IMF.RES/WEO/9.0.0/</x:v>
      </x:c>
      <x:c r="AD331" s="36" t="str">
        <x:v>https://api.worldbank.org/v2/</x:v>
      </x:c>
    </x:row>
    <x:row r="332">
      <x:c r="A332" s="24" t="str">
        <x:v>NZL</x:v>
      </x:c>
      <x:c r="B332" s="24" t="str">
        <x:v>New Zealand</x:v>
      </x:c>
      <x:c r="C332" s="24" t="str">
        <x:v>NZL</x:v>
      </x:c>
      <x:c r="D332" s="24" t="str">
        <x:v>NZL</x:v>
      </x:c>
      <x:c r="E332" s="24" t="n">
        <x:v>2022</x:v>
      </x:c>
      <x:c r="F332" s="37" t="n">
        <x:v>1</x:v>
      </x:c>
      <x:c r="G332" s="38" t="n">
        <x:v>4912945</x:v>
      </x:c>
      <x:c r="H332" s="38" t="n">
        <x:v>5131734</x:v>
      </x:c>
      <x:c r="I332" s="39" t="n">
        <x:f>H332/G332</x:f>
        <x:v>1.0445331669701168</x:v>
      </x:c>
      <x:c r="J332" s="40" t="n">
        <x:f>(I332-1)*100</x:f>
        <x:v>4.453316697011678</x:v>
      </x:c>
      <x:c r="K332" s="36" t="str">
        <x:v>no</x:v>
      </x:c>
      <x:c r="L332" s="36" t="str">
        <x:v>Single-country territory; UN WPP and vanilla are within the ±5% review threshold.</x:v>
      </x:c>
      <x:c r="M332" s="41" t="n">
        <x:v>228907360000</x:v>
      </x:c>
      <x:c r="N332" s="41" t="n">
        <x:v>228907360000</x:v>
      </x:c>
      <x:c r="O332" s="41" t="n">
        <x:v>46593</x:v>
      </x:c>
      <x:c r="P332" s="41" t="n">
        <x:v>47774</x:v>
      </x:c>
      <x:c r="Q332" s="41" t="n">
        <x:v>51929</x:v>
      </x:c>
      <x:c r="R332" s="42" t="n">
        <x:f>MIN(P332,Q332)</x:f>
        <x:v>47774</x:v>
      </x:c>
      <x:c r="S332" s="42" t="n">
        <x:f>MAX(P332,Q332)</x:f>
        <x:v>51929</x:v>
      </x:c>
      <x:c r="T332" s="42" t="n">
        <x:f>MAX(R332,MIN(O332,S332))</x:f>
        <x:v>47774</x:v>
      </x:c>
      <x:c r="U332" s="19" t="str">
        <x:f>IF(O332&lt;R332,IF(R332=P332,"clamped_to_nominal","clamped_to_ppp"),IF(O332&gt;S332,IF(S332=P332,"clamped_to_nominal","clamped_to_ppp"),"kept_vanilla"))</x:f>
        <x:v>clamped_to_nominal</x:v>
      </x:c>
      <x:c r="V332" s="42" t="n">
        <x:f>T332*H332</x:f>
        <x:v>245163460116</x:v>
      </x:c>
      <x:c r="W332" s="42" t="n">
        <x:f>V332/F332</x:f>
        <x:v>245163460116</x:v>
      </x:c>
      <x:c r="X332" s="36" t="str">
        <x:v>NZL: UN WPP 2024 Medium exact 2022</x:v>
      </x:c>
      <x:c r="Y332" s="36" t="str">
        <x:v>NZL: IMF exact 2022</x:v>
      </x:c>
      <x:c r="Z332" s="36" t="str">
        <x:v>NZL: IMF exact 2022</x:v>
      </x:c>
      <x:c r="AA332" s="36" t="str">
        <x:v>complete_primary</x:v>
      </x:c>
      <x:c r="AB332" s="36" t="str">
        <x:v>https://www.un.org/development/desa/pd/world-population-prospects-2024</x:v>
      </x:c>
      <x:c r="AC332" s="36" t="str">
        <x:v>https://api.imf.org/external/sdmx/3.0/data/dataflow/IMF.RES/WEO/9.0.0/</x:v>
      </x:c>
      <x:c r="AD332" s="36" t="str">
        <x:v>https://api.worldbank.org/v2/</x:v>
      </x:c>
    </x:row>
    <x:row r="333">
      <x:c r="A333" s="24" t="str">
        <x:v>NZL</x:v>
      </x:c>
      <x:c r="B333" s="24" t="str">
        <x:v>New Zealand</x:v>
      </x:c>
      <x:c r="C333" s="24" t="str">
        <x:v>NZL</x:v>
      </x:c>
      <x:c r="D333" s="24" t="str">
        <x:v>NZL</x:v>
      </x:c>
      <x:c r="E333" s="24" t="n">
        <x:v>2026</x:v>
      </x:c>
      <x:c r="F333" s="37" t="n">
        <x:v>0.87</x:v>
      </x:c>
      <x:c r="G333" s="38" t="n">
        <x:v>5291992</x:v>
      </x:c>
      <x:c r="H333" s="38" t="n">
        <x:v>5287479</x:v>
      </x:c>
      <x:c r="I333" s="39" t="n">
        <x:f>H333/G333</x:f>
        <x:v>0.9991472020365866</x:v>
      </x:c>
      <x:c r="J333" s="40" t="n">
        <x:f>(I333-1)*100</x:f>
        <x:v>-0.08527979634134208</x:v>
      </x:c>
      <x:c r="K333" s="36" t="str">
        <x:v>no</x:v>
      </x:c>
      <x:c r="L333" s="36" t="str">
        <x:v>Single-country territory; UN WPP and vanilla are within the ±5% review threshold.</x:v>
      </x:c>
      <x:c r="M333" s="41" t="n">
        <x:v>263061920000</x:v>
      </x:c>
      <x:c r="N333" s="41" t="n">
        <x:v>228863870400</x:v>
      </x:c>
      <x:c r="O333" s="41" t="n">
        <x:v>43247</x:v>
      </x:c>
      <x:c r="P333" s="41" t="n">
        <x:v>45847</x:v>
      </x:c>
      <x:c r="Q333" s="41" t="n">
        <x:v>51385</x:v>
      </x:c>
      <x:c r="R333" s="42" t="n">
        <x:f>MIN(P333,Q333)</x:f>
        <x:v>45847</x:v>
      </x:c>
      <x:c r="S333" s="42" t="n">
        <x:f>MAX(P333,Q333)</x:f>
        <x:v>51385</x:v>
      </x:c>
      <x:c r="T333" s="42" t="n">
        <x:f>MAX(R333,MIN(O333,S333))</x:f>
        <x:v>45847</x:v>
      </x:c>
      <x:c r="U333" s="19" t="str">
        <x:f>IF(O333&lt;R333,IF(R333=P333,"clamped_to_nominal","clamped_to_ppp"),IF(O333&gt;S333,IF(S333=P333,"clamped_to_nominal","clamped_to_ppp"),"kept_vanilla"))</x:f>
        <x:v>clamped_to_nominal</x:v>
      </x:c>
      <x:c r="V333" s="42" t="n">
        <x:f>T333*H333</x:f>
        <x:v>242415049713</x:v>
      </x:c>
      <x:c r="W333" s="42" t="n">
        <x:f>V333/F333</x:f>
        <x:v>278637988175.86206</x:v>
      </x:c>
      <x:c r="X333" s="36" t="str">
        <x:v>NZL: UN WPP 2024 Medium exact 2026</x:v>
      </x:c>
      <x:c r="Y333" s="36" t="str">
        <x:v>NZL: IMF exact 2026</x:v>
      </x:c>
      <x:c r="Z333" s="36" t="str">
        <x:v>NZL: IMF exact 2026</x:v>
      </x:c>
      <x:c r="AA333" s="36" t="str">
        <x:v>complete_primary</x:v>
      </x:c>
      <x:c r="AB333" s="36" t="str">
        <x:v>https://www.un.org/development/desa/pd/world-population-prospects-2024</x:v>
      </x:c>
      <x:c r="AC333" s="36" t="str">
        <x:v>https://api.imf.org/external/sdmx/3.0/data/dataflow/IMF.RES/WEO/9.0.0/</x:v>
      </x:c>
      <x:c r="AD333" s="36" t="str">
        <x:v>https://api.worldbank.org/v2/</x:v>
      </x:c>
    </x:row>
    <x:row r="334">
      <x:c r="A334" s="24" t="str">
        <x:v>NIC</x:v>
      </x:c>
      <x:c r="B334" s="24" t="str">
        <x:v>Nicaragua</x:v>
      </x:c>
      <x:c r="C334" s="24" t="str">
        <x:v>NIC</x:v>
      </x:c>
      <x:c r="D334" s="24" t="str">
        <x:v>NIC</x:v>
      </x:c>
      <x:c r="E334" s="24" t="n">
        <x:v>2003</x:v>
      </x:c>
      <x:c r="F334" s="37" t="n">
        <x:v>1.59</x:v>
      </x:c>
      <x:c r="G334" s="38" t="n">
        <x:v>5210963</x:v>
      </x:c>
      <x:c r="H334" s="38" t="n">
        <x:v>5210963</x:v>
      </x:c>
      <x:c r="I334" s="39" t="n">
        <x:f>H334/G334</x:f>
        <x:v>1</x:v>
      </x:c>
      <x:c r="J334" s="40" t="n">
        <x:f>(I334-1)*100</x:f>
        <x:v>0</x:v>
      </x:c>
      <x:c r="K334" s="36" t="str">
        <x:v>no</x:v>
      </x:c>
      <x:c r="L334" s="36" t="str">
        <x:v>Single-country territory; UN WPP and vanilla are within the ±5% review threshold.</x:v>
      </x:c>
      <x:c r="M334" s="41" t="n">
        <x:v>9916959064</x:v>
      </x:c>
      <x:c r="N334" s="41" t="n">
        <x:v>15767964912</x:v>
      </x:c>
      <x:c r="O334" s="41" t="n">
        <x:v>3026</x:v>
      </x:c>
      <x:c r="P334" s="41" t="n">
        <x:v>1624</x:v>
      </x:c>
      <x:c r="Q334" s="41" t="n">
        <x:v>5174</x:v>
      </x:c>
      <x:c r="R334" s="42" t="n">
        <x:f>MIN(P334,Q334)</x:f>
        <x:v>1624</x:v>
      </x:c>
      <x:c r="S334" s="42" t="n">
        <x:f>MAX(P334,Q334)</x:f>
        <x:v>5174</x:v>
      </x:c>
      <x:c r="T334" s="42" t="n">
        <x:f>MAX(R334,MIN(O334,S334))</x:f>
        <x:v>3026</x:v>
      </x:c>
      <x:c r="U334" s="19" t="str">
        <x:f>IF(O334&lt;R334,IF(R334=P334,"clamped_to_nominal","clamped_to_ppp"),IF(O334&gt;S334,IF(S334=P334,"clamped_to_nominal","clamped_to_ppp"),"kept_vanilla"))</x:f>
        <x:v>kept_vanilla</x:v>
      </x:c>
      <x:c r="V334" s="42" t="n">
        <x:f>T334*H334</x:f>
        <x:v>15768374038</x:v>
      </x:c>
      <x:c r="W334" s="42" t="n">
        <x:f>V334/F334</x:f>
        <x:v>9917216376.100628</x:v>
      </x:c>
      <x:c r="X334" s="36" t="str">
        <x:v>NIC: UN WPP 2024 Medium exact 2003</x:v>
      </x:c>
      <x:c r="Y334" s="36" t="str">
        <x:v>NIC: IMF exact 2003</x:v>
      </x:c>
      <x:c r="Z334" s="36" t="str">
        <x:v>NIC: IMF exact 2003</x:v>
      </x:c>
      <x:c r="AA334" s="36" t="str">
        <x:v>complete_primary</x:v>
      </x:c>
      <x:c r="AB334" s="36" t="str">
        <x:v>https://www.un.org/development/desa/pd/world-population-prospects-2024</x:v>
      </x:c>
      <x:c r="AC334" s="36" t="str">
        <x:v>https://api.imf.org/external/sdmx/3.0/data/dataflow/IMF.RES/WEO/9.0.0/</x:v>
      </x:c>
      <x:c r="AD334" s="36" t="str">
        <x:v>https://api.worldbank.org/v2/</x:v>
      </x:c>
    </x:row>
    <x:row r="335">
      <x:c r="A335" s="24" t="str">
        <x:v>NIC</x:v>
      </x:c>
      <x:c r="B335" s="24" t="str">
        <x:v>Nicaragua</x:v>
      </x:c>
      <x:c r="C335" s="24" t="str">
        <x:v>NIC</x:v>
      </x:c>
      <x:c r="D335" s="24" t="str">
        <x:v>NIC</x:v>
      </x:c>
      <x:c r="E335" s="24" t="n">
        <x:v>2022</x:v>
      </x:c>
      <x:c r="F335" s="37" t="n">
        <x:v>1</x:v>
      </x:c>
      <x:c r="G335" s="38" t="n">
        <x:v>6802629</x:v>
      </x:c>
      <x:c r="H335" s="38" t="n">
        <x:v>6730654</x:v>
      </x:c>
      <x:c r="I335" s="39" t="n">
        <x:f>H335/G335</x:f>
        <x:v>0.9894195317722017</x:v>
      </x:c>
      <x:c r="J335" s="40" t="n">
        <x:f>(I335-1)*100</x:f>
        <x:v>-1.0580468227798345</x:v>
      </x:c>
      <x:c r="K335" s="36" t="str">
        <x:v>no</x:v>
      </x:c>
      <x:c r="L335" s="36" t="str">
        <x:v>Single-country territory; UN WPP and vanilla are within the ±5% review threshold.</x:v>
      </x:c>
      <x:c r="M335" s="41" t="n">
        <x:v>41146160000</x:v>
      </x:c>
      <x:c r="N335" s="41" t="n">
        <x:v>41146160000</x:v>
      </x:c>
      <x:c r="O335" s="41" t="n">
        <x:v>6049</x:v>
      </x:c>
      <x:c r="P335" s="41" t="n">
        <x:v>2323</x:v>
      </x:c>
      <x:c r="Q335" s="41" t="n">
        <x:v>7795</x:v>
      </x:c>
      <x:c r="R335" s="42" t="n">
        <x:f>MIN(P335,Q335)</x:f>
        <x:v>2323</x:v>
      </x:c>
      <x:c r="S335" s="42" t="n">
        <x:f>MAX(P335,Q335)</x:f>
        <x:v>7795</x:v>
      </x:c>
      <x:c r="T335" s="42" t="n">
        <x:f>MAX(R335,MIN(O335,S335))</x:f>
        <x:v>6049</x:v>
      </x:c>
      <x:c r="U335" s="19" t="str">
        <x:f>IF(O335&lt;R335,IF(R335=P335,"clamped_to_nominal","clamped_to_ppp"),IF(O335&gt;S335,IF(S335=P335,"clamped_to_nominal","clamped_to_ppp"),"kept_vanilla"))</x:f>
        <x:v>kept_vanilla</x:v>
      </x:c>
      <x:c r="V335" s="42" t="n">
        <x:f>T335*H335</x:f>
        <x:v>40713726046</x:v>
      </x:c>
      <x:c r="W335" s="42" t="n">
        <x:f>V335/F335</x:f>
        <x:v>40713726046</x:v>
      </x:c>
      <x:c r="X335" s="36" t="str">
        <x:v>NIC: UN WPP 2024 Medium exact 2022</x:v>
      </x:c>
      <x:c r="Y335" s="36" t="str">
        <x:v>NIC: IMF exact 2022</x:v>
      </x:c>
      <x:c r="Z335" s="36" t="str">
        <x:v>NIC: IMF exact 2022</x:v>
      </x:c>
      <x:c r="AA335" s="36" t="str">
        <x:v>complete_primary</x:v>
      </x:c>
      <x:c r="AB335" s="36" t="str">
        <x:v>https://www.un.org/development/desa/pd/world-population-prospects-2024</x:v>
      </x:c>
      <x:c r="AC335" s="36" t="str">
        <x:v>https://api.imf.org/external/sdmx/3.0/data/dataflow/IMF.RES/WEO/9.0.0/</x:v>
      </x:c>
      <x:c r="AD335" s="36" t="str">
        <x:v>https://api.worldbank.org/v2/</x:v>
      </x:c>
    </x:row>
    <x:row r="336">
      <x:c r="A336" s="24" t="str">
        <x:v>NIC</x:v>
      </x:c>
      <x:c r="B336" s="24" t="str">
        <x:v>Nicaragua</x:v>
      </x:c>
      <x:c r="C336" s="24" t="str">
        <x:v>NIC</x:v>
      </x:c>
      <x:c r="D336" s="24" t="str">
        <x:v>NIC</x:v>
      </x:c>
      <x:c r="E336" s="24" t="n">
        <x:v>2026</x:v>
      </x:c>
      <x:c r="F336" s="37" t="n">
        <x:v>0.87</x:v>
      </x:c>
      <x:c r="G336" s="38" t="n">
        <x:v>7097329</x:v>
      </x:c>
      <x:c r="H336" s="38" t="n">
        <x:v>7097329</x:v>
      </x:c>
      <x:c r="I336" s="39" t="n">
        <x:f>H336/G336</x:f>
        <x:v>1</x:v>
      </x:c>
      <x:c r="J336" s="40" t="n">
        <x:f>(I336-1)*100</x:f>
        <x:v>0</x:v>
      </x:c>
      <x:c r="K336" s="36" t="str">
        <x:v>no</x:v>
      </x:c>
      <x:c r="L336" s="36" t="str">
        <x:v>Single-country territory; UN WPP and vanilla are within the ±5% review threshold.</x:v>
      </x:c>
      <x:c r="M336" s="41" t="n">
        <x:v>56152800000</x:v>
      </x:c>
      <x:c r="N336" s="41" t="n">
        <x:v>48852936000</x:v>
      </x:c>
      <x:c r="O336" s="41" t="n">
        <x:v>6883</x:v>
      </x:c>
      <x:c r="P336" s="41" t="n">
        <x:v>2970</x:v>
      </x:c>
      <x:c r="Q336" s="41" t="n">
        <x:v>8521</x:v>
      </x:c>
      <x:c r="R336" s="42" t="n">
        <x:f>MIN(P336,Q336)</x:f>
        <x:v>2970</x:v>
      </x:c>
      <x:c r="S336" s="42" t="n">
        <x:f>MAX(P336,Q336)</x:f>
        <x:v>8521</x:v>
      </x:c>
      <x:c r="T336" s="42" t="n">
        <x:f>MAX(R336,MIN(O336,S336))</x:f>
        <x:v>6883</x:v>
      </x:c>
      <x:c r="U336" s="19" t="str">
        <x:f>IF(O336&lt;R336,IF(R336=P336,"clamped_to_nominal","clamped_to_ppp"),IF(O336&gt;S336,IF(S336=P336,"clamped_to_nominal","clamped_to_ppp"),"kept_vanilla"))</x:f>
        <x:v>kept_vanilla</x:v>
      </x:c>
      <x:c r="V336" s="42" t="n">
        <x:f>T336*H336</x:f>
        <x:v>48850915507</x:v>
      </x:c>
      <x:c r="W336" s="42" t="n">
        <x:f>V336/F336</x:f>
        <x:v>56150477594.25288</x:v>
      </x:c>
      <x:c r="X336" s="36" t="str">
        <x:v>NIC: UN WPP 2024 Medium exact 2026</x:v>
      </x:c>
      <x:c r="Y336" s="36" t="str">
        <x:v>NIC: IMF exact 2026</x:v>
      </x:c>
      <x:c r="Z336" s="36" t="str">
        <x:v>NIC: IMF exact 2026</x:v>
      </x:c>
      <x:c r="AA336" s="36" t="str">
        <x:v>complete_primary</x:v>
      </x:c>
      <x:c r="AB336" s="36" t="str">
        <x:v>https://www.un.org/development/desa/pd/world-population-prospects-2024</x:v>
      </x:c>
      <x:c r="AC336" s="36" t="str">
        <x:v>https://api.imf.org/external/sdmx/3.0/data/dataflow/IMF.RES/WEO/9.0.0/</x:v>
      </x:c>
      <x:c r="AD336" s="36" t="str">
        <x:v>https://api.worldbank.org/v2/</x:v>
      </x:c>
    </x:row>
    <x:row r="337">
      <x:c r="A337" s="24" t="str">
        <x:v>NER</x:v>
      </x:c>
      <x:c r="B337" s="24" t="str">
        <x:v>Niger</x:v>
      </x:c>
      <x:c r="C337" s="24" t="str">
        <x:v>NER</x:v>
      </x:c>
      <x:c r="D337" s="24" t="str">
        <x:v>NER</x:v>
      </x:c>
      <x:c r="E337" s="24" t="n">
        <x:v>2003</x:v>
      </x:c>
      <x:c r="F337" s="37" t="n">
        <x:v>1.59</x:v>
      </x:c>
      <x:c r="G337" s="38" t="n">
        <x:v>12796984</x:v>
      </x:c>
      <x:c r="H337" s="38" t="n">
        <x:v>12796984</x:v>
      </x:c>
      <x:c r="I337" s="39" t="n">
        <x:f>H337/G337</x:f>
        <x:v>1</x:v>
      </x:c>
      <x:c r="J337" s="40" t="n">
        <x:f>(I337-1)*100</x:f>
        <x:v>0</x:v>
      </x:c>
      <x:c r="K337" s="36" t="str">
        <x:v>no</x:v>
      </x:c>
      <x:c r="L337" s="36" t="str">
        <x:v>Single-country territory; UN WPP and vanilla are within the ±5% review threshold.</x:v>
      </x:c>
      <x:c r="M337" s="41" t="n">
        <x:v>5640350877</x:v>
      </x:c>
      <x:c r="N337" s="41" t="n">
        <x:v>8968157894</x:v>
      </x:c>
      <x:c r="O337" s="41" t="n">
        <x:v>701</x:v>
      </x:c>
      <x:c r="P337" s="41" t="n">
        <x:v>420</x:v>
      </x:c>
      <x:c r="Q337" s="41" t="n">
        <x:v>1198</x:v>
      </x:c>
      <x:c r="R337" s="42" t="n">
        <x:f>MIN(P337,Q337)</x:f>
        <x:v>420</x:v>
      </x:c>
      <x:c r="S337" s="42" t="n">
        <x:f>MAX(P337,Q337)</x:f>
        <x:v>1198</x:v>
      </x:c>
      <x:c r="T337" s="42" t="n">
        <x:f>MAX(R337,MIN(O337,S337))</x:f>
        <x:v>701</x:v>
      </x:c>
      <x:c r="U337" s="19" t="str">
        <x:f>IF(O337&lt;R337,IF(R337=P337,"clamped_to_nominal","clamped_to_ppp"),IF(O337&gt;S337,IF(S337=P337,"clamped_to_nominal","clamped_to_ppp"),"kept_vanilla"))</x:f>
        <x:v>kept_vanilla</x:v>
      </x:c>
      <x:c r="V337" s="42" t="n">
        <x:f>T337*H337</x:f>
        <x:v>8970685784</x:v>
      </x:c>
      <x:c r="W337" s="42" t="n">
        <x:f>V337/F337</x:f>
        <x:v>5641940744.654088</x:v>
      </x:c>
      <x:c r="X337" s="36" t="str">
        <x:v>NER: UN WPP 2024 Medium exact 2003</x:v>
      </x:c>
      <x:c r="Y337" s="36" t="str">
        <x:v>NER: IMF exact 2003</x:v>
      </x:c>
      <x:c r="Z337" s="36" t="str">
        <x:v>NER: IMF exact 2003</x:v>
      </x:c>
      <x:c r="AA337" s="36" t="str">
        <x:v>complete_primary</x:v>
      </x:c>
      <x:c r="AB337" s="36" t="str">
        <x:v>https://www.un.org/development/desa/pd/world-population-prospects-2024</x:v>
      </x:c>
      <x:c r="AC337" s="36" t="str">
        <x:v>https://api.imf.org/external/sdmx/3.0/data/dataflow/IMF.RES/WEO/9.0.0/</x:v>
      </x:c>
      <x:c r="AD337" s="36" t="str">
        <x:v>https://api.worldbank.org/v2/</x:v>
      </x:c>
    </x:row>
    <x:row r="338">
      <x:c r="A338" s="24" t="str">
        <x:v>NER</x:v>
      </x:c>
      <x:c r="B338" s="24" t="str">
        <x:v>Niger</x:v>
      </x:c>
      <x:c r="C338" s="24" t="str">
        <x:v>NER</x:v>
      </x:c>
      <x:c r="D338" s="24" t="str">
        <x:v>NER</x:v>
      </x:c>
      <x:c r="E338" s="24" t="n">
        <x:v>2022</x:v>
      </x:c>
      <x:c r="F338" s="37" t="n">
        <x:v>1</x:v>
      </x:c>
      <x:c r="G338" s="38" t="n">
        <x:v>26388198</x:v>
      </x:c>
      <x:c r="H338" s="38" t="n">
        <x:v>25311973</x:v>
      </x:c>
      <x:c r="I338" s="39" t="n">
        <x:f>H338/G338</x:f>
        <x:v>0.9592156690653906</x:v>
      </x:c>
      <x:c r="J338" s="40" t="n">
        <x:f>(I338-1)*100</x:f>
        <x:v>-4.0784330934609425</x:v>
      </x:c>
      <x:c r="K338" s="36" t="str">
        <x:v>no</x:v>
      </x:c>
      <x:c r="L338" s="36" t="str">
        <x:v>Single-country territory; UN WPP and vanilla are within the ±5% review threshold.</x:v>
      </x:c>
      <x:c r="M338" s="41" t="n">
        <x:v>32932240000</x:v>
      </x:c>
      <x:c r="N338" s="41" t="n">
        <x:v>32932240000</x:v>
      </x:c>
      <x:c r="O338" s="41" t="n">
        <x:v>1248</x:v>
      </x:c>
      <x:c r="P338" s="41" t="n">
        <x:v>611</x:v>
      </x:c>
      <x:c r="Q338" s="41" t="n">
        <x:v>1839</x:v>
      </x:c>
      <x:c r="R338" s="42" t="n">
        <x:f>MIN(P338,Q338)</x:f>
        <x:v>611</x:v>
      </x:c>
      <x:c r="S338" s="42" t="n">
        <x:f>MAX(P338,Q338)</x:f>
        <x:v>1839</x:v>
      </x:c>
      <x:c r="T338" s="42" t="n">
        <x:f>MAX(R338,MIN(O338,S338))</x:f>
        <x:v>1248</x:v>
      </x:c>
      <x:c r="U338" s="19" t="str">
        <x:f>IF(O338&lt;R338,IF(R338=P338,"clamped_to_nominal","clamped_to_ppp"),IF(O338&gt;S338,IF(S338=P338,"clamped_to_nominal","clamped_to_ppp"),"kept_vanilla"))</x:f>
        <x:v>kept_vanilla</x:v>
      </x:c>
      <x:c r="V338" s="42" t="n">
        <x:f>T338*H338</x:f>
        <x:v>31589342304</x:v>
      </x:c>
      <x:c r="W338" s="42" t="n">
        <x:f>V338/F338</x:f>
        <x:v>31589342304</x:v>
      </x:c>
      <x:c r="X338" s="36" t="str">
        <x:v>NER: UN WPP 2024 Medium exact 2022</x:v>
      </x:c>
      <x:c r="Y338" s="36" t="str">
        <x:v>NER: IMF exact 2022</x:v>
      </x:c>
      <x:c r="Z338" s="36" t="str">
        <x:v>NER: IMF exact 2022</x:v>
      </x:c>
      <x:c r="AA338" s="36" t="str">
        <x:v>complete_primary</x:v>
      </x:c>
      <x:c r="AB338" s="36" t="str">
        <x:v>https://www.un.org/development/desa/pd/world-population-prospects-2024</x:v>
      </x:c>
      <x:c r="AC338" s="36" t="str">
        <x:v>https://api.imf.org/external/sdmx/3.0/data/dataflow/IMF.RES/WEO/9.0.0/</x:v>
      </x:c>
      <x:c r="AD338" s="36" t="str">
        <x:v>https://api.worldbank.org/v2/</x:v>
      </x:c>
    </x:row>
    <x:row r="339">
      <x:c r="A339" s="24" t="str">
        <x:v>NER</x:v>
      </x:c>
      <x:c r="B339" s="24" t="str">
        <x:v>Niger</x:v>
      </x:c>
      <x:c r="C339" s="24" t="str">
        <x:v>NER</x:v>
      </x:c>
      <x:c r="D339" s="24" t="str">
        <x:v>NER</x:v>
      </x:c>
      <x:c r="E339" s="24" t="n">
        <x:v>2026</x:v>
      </x:c>
      <x:c r="F339" s="37" t="n">
        <x:v>0.87</x:v>
      </x:c>
      <x:c r="G339" s="38" t="n">
        <x:v>28814878</x:v>
      </x:c>
      <x:c r="H339" s="38" t="n">
        <x:v>28814878</x:v>
      </x:c>
      <x:c r="I339" s="39" t="n">
        <x:f>H339/G339</x:f>
        <x:v>1</x:v>
      </x:c>
      <x:c r="J339" s="40" t="n">
        <x:f>(I339-1)*100</x:f>
        <x:v>0</x:v>
      </x:c>
      <x:c r="K339" s="36" t="str">
        <x:v>no</x:v>
      </x:c>
      <x:c r="L339" s="36" t="str">
        <x:v>Single-country territory; UN WPP and vanilla are within the ±5% review threshold.</x:v>
      </x:c>
      <x:c r="M339" s="41" t="n">
        <x:v>53710800000</x:v>
      </x:c>
      <x:c r="N339" s="41" t="n">
        <x:v>46728396000</x:v>
      </x:c>
      <x:c r="O339" s="41" t="n">
        <x:v>1622</x:v>
      </x:c>
      <x:c r="P339" s="41" t="n">
        <x:v>749</x:v>
      </x:c>
      <x:c r="Q339" s="41" t="n">
        <x:v>2036</x:v>
      </x:c>
      <x:c r="R339" s="42" t="n">
        <x:f>MIN(P339,Q339)</x:f>
        <x:v>749</x:v>
      </x:c>
      <x:c r="S339" s="42" t="n">
        <x:f>MAX(P339,Q339)</x:f>
        <x:v>2036</x:v>
      </x:c>
      <x:c r="T339" s="42" t="n">
        <x:f>MAX(R339,MIN(O339,S339))</x:f>
        <x:v>1622</x:v>
      </x:c>
      <x:c r="U339" s="19" t="str">
        <x:f>IF(O339&lt;R339,IF(R339=P339,"clamped_to_nominal","clamped_to_ppp"),IF(O339&gt;S339,IF(S339=P339,"clamped_to_nominal","clamped_to_ppp"),"kept_vanilla"))</x:f>
        <x:v>kept_vanilla</x:v>
      </x:c>
      <x:c r="V339" s="42" t="n">
        <x:f>T339*H339</x:f>
        <x:v>46737732116</x:v>
      </x:c>
      <x:c r="W339" s="42" t="n">
        <x:f>V339/F339</x:f>
        <x:v>53721531167.81609</x:v>
      </x:c>
      <x:c r="X339" s="36" t="str">
        <x:v>NER: UN WPP 2024 Medium exact 2026</x:v>
      </x:c>
      <x:c r="Y339" s="36" t="str">
        <x:v>NER: IMF exact 2026</x:v>
      </x:c>
      <x:c r="Z339" s="36" t="str">
        <x:v>NER: IMF exact 2026</x:v>
      </x:c>
      <x:c r="AA339" s="36" t="str">
        <x:v>complete_primary</x:v>
      </x:c>
      <x:c r="AB339" s="36" t="str">
        <x:v>https://www.un.org/development/desa/pd/world-population-prospects-2024</x:v>
      </x:c>
      <x:c r="AC339" s="36" t="str">
        <x:v>https://api.imf.org/external/sdmx/3.0/data/dataflow/IMF.RES/WEO/9.0.0/</x:v>
      </x:c>
      <x:c r="AD339" s="36" t="str">
        <x:v>https://api.worldbank.org/v2/</x:v>
      </x:c>
    </x:row>
    <x:row r="340">
      <x:c r="A340" s="24" t="str">
        <x:v>NGA</x:v>
      </x:c>
      <x:c r="B340" s="24" t="str">
        <x:v>Nigeria</x:v>
      </x:c>
      <x:c r="C340" s="24" t="str">
        <x:v>NGA</x:v>
      </x:c>
      <x:c r="D340" s="24" t="str">
        <x:v>NGA</x:v>
      </x:c>
      <x:c r="E340" s="24" t="n">
        <x:v>2003</x:v>
      </x:c>
      <x:c r="F340" s="37" t="n">
        <x:v>1.59</x:v>
      </x:c>
      <x:c r="G340" s="38" t="n">
        <x:v>137202644</x:v>
      </x:c>
      <x:c r="H340" s="38" t="n">
        <x:v>137202644</x:v>
      </x:c>
      <x:c r="I340" s="39" t="n">
        <x:f>H340/G340</x:f>
        <x:v>1</x:v>
      </x:c>
      <x:c r="J340" s="40" t="n">
        <x:f>(I340-1)*100</x:f>
        <x:v>0</x:v>
      </x:c>
      <x:c r="K340" s="36" t="str">
        <x:v>no</x:v>
      </x:c>
      <x:c r="L340" s="36" t="str">
        <x:v>Single-country territory; UN WPP and vanilla are within the ±5% review threshold.</x:v>
      </x:c>
      <x:c r="M340" s="41" t="n">
        <x:v>206470760234</x:v>
      </x:c>
      <x:c r="N340" s="41" t="n">
        <x:v>328288508772</x:v>
      </x:c>
      <x:c r="O340" s="41" t="n">
        <x:v>2393</x:v>
      </x:c>
      <x:c r="P340" s="41" t="n">
        <x:v>1680</x:v>
      </x:c>
      <x:c r="Q340" s="41" t="n">
        <x:v>5762</x:v>
      </x:c>
      <x:c r="R340" s="42" t="n">
        <x:f>MIN(P340,Q340)</x:f>
        <x:v>1680</x:v>
      </x:c>
      <x:c r="S340" s="42" t="n">
        <x:f>MAX(P340,Q340)</x:f>
        <x:v>5762</x:v>
      </x:c>
      <x:c r="T340" s="42" t="n">
        <x:f>MAX(R340,MIN(O340,S340))</x:f>
        <x:v>2393</x:v>
      </x:c>
      <x:c r="U340" s="19" t="str">
        <x:f>IF(O340&lt;R340,IF(R340=P340,"clamped_to_nominal","clamped_to_ppp"),IF(O340&gt;S340,IF(S340=P340,"clamped_to_nominal","clamped_to_ppp"),"kept_vanilla"))</x:f>
        <x:v>kept_vanilla</x:v>
      </x:c>
      <x:c r="V340" s="42" t="n">
        <x:f>T340*H340</x:f>
        <x:v>328325927092</x:v>
      </x:c>
      <x:c r="W340" s="42" t="n">
        <x:f>V340/F340</x:f>
        <x:v>206494293768.55344</x:v>
      </x:c>
      <x:c r="X340" s="36" t="str">
        <x:v>NGA: UN WPP 2024 Medium exact 2003</x:v>
      </x:c>
      <x:c r="Y340" s="36" t="str">
        <x:v>NGA: IMF exact 2003</x:v>
      </x:c>
      <x:c r="Z340" s="36" t="str">
        <x:v>NGA: IMF exact 2003</x:v>
      </x:c>
      <x:c r="AA340" s="36" t="str">
        <x:v>complete_primary</x:v>
      </x:c>
      <x:c r="AB340" s="36" t="str">
        <x:v>https://www.un.org/development/desa/pd/world-population-prospects-2024</x:v>
      </x:c>
      <x:c r="AC340" s="36" t="str">
        <x:v>https://api.imf.org/external/sdmx/3.0/data/dataflow/IMF.RES/WEO/9.0.0/</x:v>
      </x:c>
      <x:c r="AD340" s="36" t="str">
        <x:v>https://api.worldbank.org/v2/</x:v>
      </x:c>
    </x:row>
    <x:row r="341">
      <x:c r="A341" s="24" t="str">
        <x:v>NGA</x:v>
      </x:c>
      <x:c r="B341" s="24" t="str">
        <x:v>Nigeria</x:v>
      </x:c>
      <x:c r="C341" s="24" t="str">
        <x:v>NGA</x:v>
      </x:c>
      <x:c r="D341" s="24" t="str">
        <x:v>NGA</x:v>
      </x:c>
      <x:c r="E341" s="24" t="n">
        <x:v>2022</x:v>
      </x:c>
      <x:c r="F341" s="37" t="n">
        <x:v>1</x:v>
      </x:c>
      <x:c r="G341" s="38" t="n">
        <x:v>218431826</x:v>
      </x:c>
      <x:c r="H341" s="38" t="n">
        <x:v>223150896</x:v>
      </x:c>
      <x:c r="I341" s="39" t="n">
        <x:f>H341/G341</x:f>
        <x:v>1.0216043151147765</x:v>
      </x:c>
      <x:c r="J341" s="40" t="n">
        <x:f>(I341-1)*100</x:f>
        <x:v>2.160431511477645</x:v>
      </x:c>
      <x:c r="K341" s="36" t="str">
        <x:v>no</x:v>
      </x:c>
      <x:c r="L341" s="36" t="str">
        <x:v>Single-country territory; UN WPP and vanilla are within the ±5% review threshold.</x:v>
      </x:c>
      <x:c r="M341" s="41" t="n">
        <x:v>1116311680000</x:v>
      </x:c>
      <x:c r="N341" s="41" t="n">
        <x:v>1116311680000</x:v>
      </x:c>
      <x:c r="O341" s="41" t="n">
        <x:v>5111</x:v>
      </x:c>
      <x:c r="P341" s="41" t="n">
        <x:v>2893</x:v>
      </x:c>
      <x:c r="Q341" s="41" t="n">
        <x:v>8304</x:v>
      </x:c>
      <x:c r="R341" s="42" t="n">
        <x:f>MIN(P341,Q341)</x:f>
        <x:v>2893</x:v>
      </x:c>
      <x:c r="S341" s="42" t="n">
        <x:f>MAX(P341,Q341)</x:f>
        <x:v>8304</x:v>
      </x:c>
      <x:c r="T341" s="42" t="n">
        <x:f>MAX(R341,MIN(O341,S341))</x:f>
        <x:v>5111</x:v>
      </x:c>
      <x:c r="U341" s="19" t="str">
        <x:f>IF(O341&lt;R341,IF(R341=P341,"clamped_to_nominal","clamped_to_ppp"),IF(O341&gt;S341,IF(S341=P341,"clamped_to_nominal","clamped_to_ppp"),"kept_vanilla"))</x:f>
        <x:v>kept_vanilla</x:v>
      </x:c>
      <x:c r="V341" s="42" t="n">
        <x:f>T341*H341</x:f>
        <x:v>1140524229456</x:v>
      </x:c>
      <x:c r="W341" s="42" t="n">
        <x:f>V341/F341</x:f>
        <x:v>1140524229456</x:v>
      </x:c>
      <x:c r="X341" s="36" t="str">
        <x:v>NGA: UN WPP 2024 Medium exact 2022</x:v>
      </x:c>
      <x:c r="Y341" s="36" t="str">
        <x:v>NGA: IMF exact 2022</x:v>
      </x:c>
      <x:c r="Z341" s="36" t="str">
        <x:v>NGA: IMF exact 2022</x:v>
      </x:c>
      <x:c r="AA341" s="36" t="str">
        <x:v>complete_primary</x:v>
      </x:c>
      <x:c r="AB341" s="36" t="str">
        <x:v>https://www.un.org/development/desa/pd/world-population-prospects-2024</x:v>
      </x:c>
      <x:c r="AC341" s="36" t="str">
        <x:v>https://api.imf.org/external/sdmx/3.0/data/dataflow/IMF.RES/WEO/9.0.0/</x:v>
      </x:c>
      <x:c r="AD341" s="36" t="str">
        <x:v>https://api.worldbank.org/v2/</x:v>
      </x:c>
    </x:row>
    <x:row r="342">
      <x:c r="A342" s="24" t="str">
        <x:v>NGA</x:v>
      </x:c>
      <x:c r="B342" s="24" t="str">
        <x:v>Nigeria</x:v>
      </x:c>
      <x:c r="C342" s="24" t="str">
        <x:v>NGA</x:v>
      </x:c>
      <x:c r="D342" s="24" t="str">
        <x:v>NGA</x:v>
      </x:c>
      <x:c r="E342" s="24" t="n">
        <x:v>2026</x:v>
      </x:c>
      <x:c r="F342" s="37" t="n">
        <x:v>0.87</x:v>
      </x:c>
      <x:c r="G342" s="38" t="n">
        <x:v>242431832</x:v>
      </x:c>
      <x:c r="H342" s="38" t="n">
        <x:v>242431832</x:v>
      </x:c>
      <x:c r="I342" s="39" t="n">
        <x:f>H342/G342</x:f>
        <x:v>1</x:v>
      </x:c>
      <x:c r="J342" s="40" t="n">
        <x:f>(I342-1)*100</x:f>
        <x:v>0</x:v>
      </x:c>
      <x:c r="K342" s="36" t="str">
        <x:v>no</x:v>
      </x:c>
      <x:c r="L342" s="36" t="str">
        <x:v>Single-country territory; UN WPP and vanilla are within the ±5% review threshold.</x:v>
      </x:c>
      <x:c r="M342" s="41" t="n">
        <x:v>1394763040000</x:v>
      </x:c>
      <x:c r="N342" s="41" t="n">
        <x:v>1213443844800</x:v>
      </x:c>
      <x:c r="O342" s="41" t="n">
        <x:v>5005</x:v>
      </x:c>
      <x:c r="P342" s="41" t="n">
        <x:v>1354</x:v>
      </x:c>
      <x:c r="Q342" s="41" t="n">
        <x:v>8700</x:v>
      </x:c>
      <x:c r="R342" s="42" t="n">
        <x:f>MIN(P342,Q342)</x:f>
        <x:v>1354</x:v>
      </x:c>
      <x:c r="S342" s="42" t="n">
        <x:f>MAX(P342,Q342)</x:f>
        <x:v>8700</x:v>
      </x:c>
      <x:c r="T342" s="42" t="n">
        <x:f>MAX(R342,MIN(O342,S342))</x:f>
        <x:v>5005</x:v>
      </x:c>
      <x:c r="U342" s="19" t="str">
        <x:f>IF(O342&lt;R342,IF(R342=P342,"clamped_to_nominal","clamped_to_ppp"),IF(O342&gt;S342,IF(S342=P342,"clamped_to_nominal","clamped_to_ppp"),"kept_vanilla"))</x:f>
        <x:v>kept_vanilla</x:v>
      </x:c>
      <x:c r="V342" s="42" t="n">
        <x:f>T342*H342</x:f>
        <x:v>1213371319160</x:v>
      </x:c>
      <x:c r="W342" s="42" t="n">
        <x:f>V342/F342</x:f>
        <x:v>1394679677195.4023</x:v>
      </x:c>
      <x:c r="X342" s="36" t="str">
        <x:v>NGA: UN WPP 2024 Medium exact 2026</x:v>
      </x:c>
      <x:c r="Y342" s="36" t="str">
        <x:v>NGA: IMF exact 2026</x:v>
      </x:c>
      <x:c r="Z342" s="36" t="str">
        <x:v>NGA: IMF exact 2026</x:v>
      </x:c>
      <x:c r="AA342" s="36" t="str">
        <x:v>complete_primary</x:v>
      </x:c>
      <x:c r="AB342" s="36" t="str">
        <x:v>https://www.un.org/development/desa/pd/world-population-prospects-2024</x:v>
      </x:c>
      <x:c r="AC342" s="36" t="str">
        <x:v>https://api.imf.org/external/sdmx/3.0/data/dataflow/IMF.RES/WEO/9.0.0/</x:v>
      </x:c>
      <x:c r="AD342" s="36" t="str">
        <x:v>https://api.worldbank.org/v2/</x:v>
      </x:c>
    </x:row>
    <x:row r="343">
      <x:c r="A343" s="24" t="str">
        <x:v>PRK</x:v>
      </x:c>
      <x:c r="B343" s="24" t="str">
        <x:v>North Korea</x:v>
      </x:c>
      <x:c r="C343" s="24" t="str">
        <x:v>PRK</x:v>
      </x:c>
      <x:c r="D343" s="24" t="str">
        <x:v>PRK</x:v>
      </x:c>
      <x:c r="E343" s="24" t="n">
        <x:v>2003</x:v>
      </x:c>
      <x:c r="F343" s="37" t="n">
        <x:v>1.59</x:v>
      </x:c>
      <x:c r="G343" s="38" t="n">
        <x:v>24090380</x:v>
      </x:c>
      <x:c r="H343" s="38" t="n">
        <x:v>24090380</x:v>
      </x:c>
      <x:c r="I343" s="39" t="n">
        <x:f>H343/G343</x:f>
        <x:v>1</x:v>
      </x:c>
      <x:c r="J343" s="40" t="n">
        <x:f>(I343-1)*100</x:f>
        <x:v>0</x:v>
      </x:c>
      <x:c r="K343" s="36" t="str">
        <x:v>no</x:v>
      </x:c>
      <x:c r="L343" s="36" t="str">
        <x:v>Single-country territory; UN WPP and vanilla are within the ±5% review threshold.</x:v>
      </x:c>
      <x:c r="M343" s="41" t="n">
        <x:v>29580000000</x:v>
      </x:c>
      <x:c r="N343" s="41" t="n">
        <x:v>47032200000</x:v>
      </x:c>
      <x:c r="O343" s="41" t="n">
        <x:v>1952</x:v>
      </x:c>
      <x:c r="P343" s="41" t="n">
        <x:v>3825</x:v>
      </x:c>
      <x:c r="Q343" s="41" t="n">
        <x:v>8168</x:v>
      </x:c>
      <x:c r="R343" s="42" t="n">
        <x:f>MIN(P343,Q343)</x:f>
        <x:v>3825</x:v>
      </x:c>
      <x:c r="S343" s="42" t="n">
        <x:f>MAX(P343,Q343)</x:f>
        <x:v>8168</x:v>
      </x:c>
      <x:c r="T343" s="42" t="n">
        <x:f>MAX(R343,MIN(O343,S343))</x:f>
        <x:v>3825</x:v>
      </x:c>
      <x:c r="U343" s="19" t="str">
        <x:f>IF(O343&lt;R343,IF(R343=P343,"clamped_to_nominal","clamped_to_ppp"),IF(O343&gt;S343,IF(S343=P343,"clamped_to_nominal","clamped_to_ppp"),"kept_vanilla"))</x:f>
        <x:v>clamped_to_nominal</x:v>
      </x:c>
      <x:c r="V343" s="42" t="n">
        <x:f>T343*H343</x:f>
        <x:v>92145703500</x:v>
      </x:c>
      <x:c r="W343" s="42" t="n">
        <x:f>V343/F343</x:f>
        <x:v>57953272641.50943</x:v>
      </x:c>
      <x:c r="X343" s="36" t="str">
        <x:v>PRK: UN WPP 2024 Medium exact 2003</x:v>
      </x:c>
      <x:c r="Y343" s="36" t="str">
        <x:v>PRK: nominal GDP/c inferred from East Asia &amp; Pacific median level (36 peers)</x:v>
      </x:c>
      <x:c r="Z343" s="36" t="str">
        <x:v>PRK: PPP inferred from filled nominal GDP using East Asia &amp; Pacific median PPP/nominal ratio 2.136 (31 peers)</x:v>
      </x:c>
      <x:c r="AA343" s="36" t="str">
        <x:v>inferred</x:v>
      </x:c>
      <x:c r="AB343" s="36" t="str">
        <x:v>https://www.un.org/development/desa/pd/world-population-prospects-2024</x:v>
      </x:c>
      <x:c r="AC343" s="36" t="str">
        <x:v>https://api.imf.org/external/sdmx/3.0/data/dataflow/IMF.RES/WEO/9.0.0/</x:v>
      </x:c>
      <x:c r="AD343" s="36" t="str">
        <x:v>https://api.worldbank.org/v2/</x:v>
      </x:c>
    </x:row>
    <x:row r="344">
      <x:c r="A344" s="24" t="str">
        <x:v>PRK</x:v>
      </x:c>
      <x:c r="B344" s="24" t="str">
        <x:v>North Korea</x:v>
      </x:c>
      <x:c r="C344" s="24" t="str">
        <x:v>PRK</x:v>
      </x:c>
      <x:c r="D344" s="24" t="str">
        <x:v>PRK</x:v>
      </x:c>
      <x:c r="E344" s="24" t="n">
        <x:v>2022</x:v>
      </x:c>
      <x:c r="F344" s="37" t="n">
        <x:v>1</x:v>
      </x:c>
      <x:c r="G344" s="38" t="n">
        <x:v>26022467</x:v>
      </x:c>
      <x:c r="H344" s="38" t="n">
        <x:v>26328845</x:v>
      </x:c>
      <x:c r="I344" s="39" t="n">
        <x:f>H344/G344</x:f>
        <x:v>1.0117735954857778</x:v>
      </x:c>
      <x:c r="J344" s="40" t="n">
        <x:f>(I344-1)*100</x:f>
        <x:v>1.1773595485777832</x:v>
      </x:c>
      <x:c r="K344" s="36" t="str">
        <x:v>no</x:v>
      </x:c>
      <x:c r="L344" s="36" t="str">
        <x:v>Single-country territory; UN WPP and vanilla are within the ±5% review threshold.</x:v>
      </x:c>
      <x:c r="M344" s="41" t="n">
        <x:v>40595048601</x:v>
      </x:c>
      <x:c r="N344" s="41" t="n">
        <x:v>40595048601</x:v>
      </x:c>
      <x:c r="O344" s="41" t="n">
        <x:v>1560</x:v>
      </x:c>
      <x:c r="P344" s="41" t="n">
        <x:v>6683</x:v>
      </x:c>
      <x:c r="Q344" s="41" t="n">
        <x:v>10579</x:v>
      </x:c>
      <x:c r="R344" s="42" t="n">
        <x:f>MIN(P344,Q344)</x:f>
        <x:v>6683</x:v>
      </x:c>
      <x:c r="S344" s="42" t="n">
        <x:f>MAX(P344,Q344)</x:f>
        <x:v>10579</x:v>
      </x:c>
      <x:c r="T344" s="42" t="n">
        <x:f>MAX(R344,MIN(O344,S344))</x:f>
        <x:v>6683</x:v>
      </x:c>
      <x:c r="U344" s="19" t="str">
        <x:f>IF(O344&lt;R344,IF(R344=P344,"clamped_to_nominal","clamped_to_ppp"),IF(O344&gt;S344,IF(S344=P344,"clamped_to_nominal","clamped_to_ppp"),"kept_vanilla"))</x:f>
        <x:v>clamped_to_nominal</x:v>
      </x:c>
      <x:c r="V344" s="42" t="n">
        <x:f>T344*H344</x:f>
        <x:v>175955671135</x:v>
      </x:c>
      <x:c r="W344" s="42" t="n">
        <x:f>V344/F344</x:f>
        <x:v>175955671135</x:v>
      </x:c>
      <x:c r="X344" s="36" t="str">
        <x:v>PRK: UN WPP 2024 Medium exact 2022</x:v>
      </x:c>
      <x:c r="Y344" s="36" t="str">
        <x:v>PRK: nominal GDP/c inferred from East Asia &amp; Pacific median level (36 peers)</x:v>
      </x:c>
      <x:c r="Z344" s="36" t="str">
        <x:v>PRK: PPP inferred from filled nominal GDP using East Asia &amp; Pacific median PPP/nominal ratio 1.583 (31 peers)</x:v>
      </x:c>
      <x:c r="AA344" s="36" t="str">
        <x:v>inferred</x:v>
      </x:c>
      <x:c r="AB344" s="36" t="str">
        <x:v>https://www.un.org/development/desa/pd/world-population-prospects-2024</x:v>
      </x:c>
      <x:c r="AC344" s="36" t="str">
        <x:v>https://api.imf.org/external/sdmx/3.0/data/dataflow/IMF.RES/WEO/9.0.0/</x:v>
      </x:c>
      <x:c r="AD344" s="36" t="str">
        <x:v>https://api.worldbank.org/v2/</x:v>
      </x:c>
    </x:row>
    <x:row r="345">
      <x:c r="A345" s="24" t="str">
        <x:v>PRK</x:v>
      </x:c>
      <x:c r="B345" s="24" t="str">
        <x:v>North Korea</x:v>
      </x:c>
      <x:c r="C345" s="24" t="str">
        <x:v>PRK</x:v>
      </x:c>
      <x:c r="D345" s="24" t="str">
        <x:v>PRK</x:v>
      </x:c>
      <x:c r="E345" s="24" t="n">
        <x:v>2026</x:v>
      </x:c>
      <x:c r="F345" s="37" t="n">
        <x:v>0.87</x:v>
      </x:c>
      <x:c r="G345" s="38" t="n">
        <x:v>26633691</x:v>
      </x:c>
      <x:c r="H345" s="38" t="n">
        <x:v>26633691</x:v>
      </x:c>
      <x:c r="I345" s="39" t="n">
        <x:f>H345/G345</x:f>
        <x:v>1</x:v>
      </x:c>
      <x:c r="J345" s="40" t="n">
        <x:f>(I345-1)*100</x:f>
        <x:v>0</x:v>
      </x:c>
      <x:c r="K345" s="36" t="str">
        <x:v>no</x:v>
      </x:c>
      <x:c r="L345" s="36" t="str">
        <x:v>Single-country territory; UN WPP and vanilla are within the ±5% review threshold.</x:v>
      </x:c>
      <x:c r="M345" s="41" t="n">
        <x:v>39941985600</x:v>
      </x:c>
      <x:c r="N345" s="41" t="n">
        <x:v>34749527472</x:v>
      </x:c>
      <x:c r="O345" s="41" t="n">
        <x:v>1305</x:v>
      </x:c>
      <x:c r="P345" s="41" t="n">
        <x:v>5430</x:v>
      </x:c>
      <x:c r="Q345" s="41" t="n">
        <x:v>11535</x:v>
      </x:c>
      <x:c r="R345" s="42" t="n">
        <x:f>MIN(P345,Q345)</x:f>
        <x:v>5430</x:v>
      </x:c>
      <x:c r="S345" s="42" t="n">
        <x:f>MAX(P345,Q345)</x:f>
        <x:v>11535</x:v>
      </x:c>
      <x:c r="T345" s="42" t="n">
        <x:f>MAX(R345,MIN(O345,S345))</x:f>
        <x:v>5430</x:v>
      </x:c>
      <x:c r="U345" s="19" t="str">
        <x:f>IF(O345&lt;R345,IF(R345=P345,"clamped_to_nominal","clamped_to_ppp"),IF(O345&gt;S345,IF(S345=P345,"clamped_to_nominal","clamped_to_ppp"),"kept_vanilla"))</x:f>
        <x:v>clamped_to_nominal</x:v>
      </x:c>
      <x:c r="V345" s="42" t="n">
        <x:f>T345*H345</x:f>
        <x:v>144620942130</x:v>
      </x:c>
      <x:c r="W345" s="42" t="n">
        <x:f>V345/F345</x:f>
        <x:v>166230967965.51724</x:v>
      </x:c>
      <x:c r="X345" s="36" t="str">
        <x:v>PRK: UN WPP 2024 Medium exact 2026</x:v>
      </x:c>
      <x:c r="Y345" s="36" t="str">
        <x:v>PRK: nominal GDP/c inferred from East Asia &amp; Pacific median level (25 peers)</x:v>
      </x:c>
      <x:c r="Z345" s="36" t="str">
        <x:v>PRK: PPP inferred from filled nominal GDP using East Asia &amp; Pacific median PPP/nominal ratio 2.124 (25 peers)</x:v>
      </x:c>
      <x:c r="AA345" s="36" t="str">
        <x:v>inferred</x:v>
      </x:c>
      <x:c r="AB345" s="36" t="str">
        <x:v>https://www.un.org/development/desa/pd/world-population-prospects-2024</x:v>
      </x:c>
      <x:c r="AC345" s="36" t="str">
        <x:v>https://api.imf.org/external/sdmx/3.0/data/dataflow/IMF.RES/WEO/9.0.0/</x:v>
      </x:c>
      <x:c r="AD345" s="36" t="str">
        <x:v>https://api.worldbank.org/v2/</x:v>
      </x:c>
    </x:row>
    <x:row r="346">
      <x:c r="A346" s="24" t="str">
        <x:v>MKD</x:v>
      </x:c>
      <x:c r="B346" s="24" t="str">
        <x:v>North Macedonia</x:v>
      </x:c>
      <x:c r="C346" s="24" t="str">
        <x:v>MKD</x:v>
      </x:c>
      <x:c r="D346" s="24" t="str">
        <x:v>MKD</x:v>
      </x:c>
      <x:c r="E346" s="24" t="n">
        <x:v>2003</x:v>
      </x:c>
      <x:c r="F346" s="37" t="n">
        <x:v>1.59</x:v>
      </x:c>
      <x:c r="G346" s="38" t="n">
        <x:v>2081411</x:v>
      </x:c>
      <x:c r="H346" s="38" t="n">
        <x:v>2081411</x:v>
      </x:c>
      <x:c r="I346" s="39" t="n">
        <x:f>H346/G346</x:f>
        <x:v>1</x:v>
      </x:c>
      <x:c r="J346" s="40" t="n">
        <x:f>(I346-1)*100</x:f>
        <x:v>0</x:v>
      </x:c>
      <x:c r="K346" s="36" t="str">
        <x:v>no</x:v>
      </x:c>
      <x:c r="L346" s="36" t="str">
        <x:v>Single-country territory; UN WPP and vanilla are within the ±5% review threshold.</x:v>
      </x:c>
      <x:c r="M346" s="41" t="n">
        <x:v>9383040936</x:v>
      </x:c>
      <x:c r="N346" s="41" t="n">
        <x:v>14919035088</x:v>
      </x:c>
      <x:c r="O346" s="41" t="n">
        <x:v>7168</x:v>
      </x:c>
      <x:c r="P346" s="41" t="n">
        <x:v>3778</x:v>
      </x:c>
      <x:c r="Q346" s="41" t="n">
        <x:v>12257</x:v>
      </x:c>
      <x:c r="R346" s="42" t="n">
        <x:f>MIN(P346,Q346)</x:f>
        <x:v>3778</x:v>
      </x:c>
      <x:c r="S346" s="42" t="n">
        <x:f>MAX(P346,Q346)</x:f>
        <x:v>12257</x:v>
      </x:c>
      <x:c r="T346" s="42" t="n">
        <x:f>MAX(R346,MIN(O346,S346))</x:f>
        <x:v>7168</x:v>
      </x:c>
      <x:c r="U346" s="19" t="str">
        <x:f>IF(O346&lt;R346,IF(R346=P346,"clamped_to_nominal","clamped_to_ppp"),IF(O346&gt;S346,IF(S346=P346,"clamped_to_nominal","clamped_to_ppp"),"kept_vanilla"))</x:f>
        <x:v>kept_vanilla</x:v>
      </x:c>
      <x:c r="V346" s="42" t="n">
        <x:f>T346*H346</x:f>
        <x:v>14919554048</x:v>
      </x:c>
      <x:c r="W346" s="42" t="n">
        <x:f>V346/F346</x:f>
        <x:v>9383367325.786163</x:v>
      </x:c>
      <x:c r="X346" s="36" t="str">
        <x:v>MKD: UN WPP 2024 Medium exact 2003</x:v>
      </x:c>
      <x:c r="Y346" s="36" t="str">
        <x:v>MKD: IMF exact 2003</x:v>
      </x:c>
      <x:c r="Z346" s="36" t="str">
        <x:v>MKD: IMF exact 2003</x:v>
      </x:c>
      <x:c r="AA346" s="36" t="str">
        <x:v>complete_primary</x:v>
      </x:c>
      <x:c r="AB346" s="36" t="str">
        <x:v>https://www.un.org/development/desa/pd/world-population-prospects-2024</x:v>
      </x:c>
      <x:c r="AC346" s="36" t="str">
        <x:v>https://api.imf.org/external/sdmx/3.0/data/dataflow/IMF.RES/WEO/9.0.0/</x:v>
      </x:c>
      <x:c r="AD346" s="36" t="str">
        <x:v>https://api.worldbank.org/v2/</x:v>
      </x:c>
    </x:row>
    <x:row r="347">
      <x:c r="A347" s="24" t="str">
        <x:v>MKD</x:v>
      </x:c>
      <x:c r="B347" s="24" t="str">
        <x:v>North Macedonia</x:v>
      </x:c>
      <x:c r="C347" s="24" t="str">
        <x:v>MKD</x:v>
      </x:c>
      <x:c r="D347" s="24" t="str">
        <x:v>MKD</x:v>
      </x:c>
      <x:c r="E347" s="24" t="n">
        <x:v>2022</x:v>
      </x:c>
      <x:c r="F347" s="37" t="n">
        <x:v>1</x:v>
      </x:c>
      <x:c r="G347" s="38" t="n">
        <x:v>2080860</x:v>
      </x:c>
      <x:c r="H347" s="38" t="n">
        <x:v>1840233</x:v>
      </x:c>
      <x:c r="I347" s="39" t="n">
        <x:f>H347/G347</x:f>
        <x:v>0.8843617542746749</x:v>
      </x:c>
      <x:c r="J347" s="40" t="n">
        <x:f>(I347-1)*100</x:f>
        <x:v>-11.56382457253251</x:v>
      </x:c>
      <x:c r="K347" s="36" t="str">
        <x:v>yes — reviewed</x:v>
      </x:c>
      <x:c r="L347" s="36" t="str">
        <x:v>Single-country game territory and UN country/area boundary align. The difference is an updated historical estimate/projection vintage, not a geographic-scope mismatch; accept the UN WPP value for a consistent source vintage.</x:v>
      </x:c>
      <x:c r="M347" s="41" t="n">
        <x:v>35912800000</x:v>
      </x:c>
      <x:c r="N347" s="41" t="n">
        <x:v>35912800000</x:v>
      </x:c>
      <x:c r="O347" s="41" t="n">
        <x:v>17259</x:v>
      </x:c>
      <x:c r="P347" s="41" t="n">
        <x:v>7584</x:v>
      </x:c>
      <x:c r="Q347" s="41" t="n">
        <x:v>24583</x:v>
      </x:c>
      <x:c r="R347" s="42" t="n">
        <x:f>MIN(P347,Q347)</x:f>
        <x:v>7584</x:v>
      </x:c>
      <x:c r="S347" s="42" t="n">
        <x:f>MAX(P347,Q347)</x:f>
        <x:v>24583</x:v>
      </x:c>
      <x:c r="T347" s="42" t="n">
        <x:f>MAX(R347,MIN(O347,S347))</x:f>
        <x:v>17259</x:v>
      </x:c>
      <x:c r="U347" s="19" t="str">
        <x:f>IF(O347&lt;R347,IF(R347=P347,"clamped_to_nominal","clamped_to_ppp"),IF(O347&gt;S347,IF(S347=P347,"clamped_to_nominal","clamped_to_ppp"),"kept_vanilla"))</x:f>
        <x:v>kept_vanilla</x:v>
      </x:c>
      <x:c r="V347" s="42" t="n">
        <x:f>T347*H347</x:f>
        <x:v>31760581347</x:v>
      </x:c>
      <x:c r="W347" s="42" t="n">
        <x:f>V347/F347</x:f>
        <x:v>31760581347</x:v>
      </x:c>
      <x:c r="X347" s="36" t="str">
        <x:v>MKD: UN WPP 2024 Medium exact 2022</x:v>
      </x:c>
      <x:c r="Y347" s="36" t="str">
        <x:v>MKD: IMF exact 2022</x:v>
      </x:c>
      <x:c r="Z347" s="36" t="str">
        <x:v>MKD: IMF exact 2022</x:v>
      </x:c>
      <x:c r="AA347" s="36" t="str">
        <x:v>complete_primary</x:v>
      </x:c>
      <x:c r="AB347" s="36" t="str">
        <x:v>https://www.un.org/development/desa/pd/world-population-prospects-2024</x:v>
      </x:c>
      <x:c r="AC347" s="36" t="str">
        <x:v>https://api.imf.org/external/sdmx/3.0/data/dataflow/IMF.RES/WEO/9.0.0/</x:v>
      </x:c>
      <x:c r="AD347" s="36" t="str">
        <x:v>https://api.worldbank.org/v2/</x:v>
      </x:c>
    </x:row>
    <x:row r="348">
      <x:c r="A348" s="24" t="str">
        <x:v>MKD</x:v>
      </x:c>
      <x:c r="B348" s="24" t="str">
        <x:v>North Macedonia</x:v>
      </x:c>
      <x:c r="C348" s="24" t="str">
        <x:v>MKD</x:v>
      </x:c>
      <x:c r="D348" s="24" t="str">
        <x:v>MKD</x:v>
      </x:c>
      <x:c r="E348" s="24" t="n">
        <x:v>2026</x:v>
      </x:c>
      <x:c r="F348" s="37" t="n">
        <x:v>0.87</x:v>
      </x:c>
      <x:c r="G348" s="38" t="n">
        <x:v>1804063</x:v>
      </x:c>
      <x:c r="H348" s="38" t="n">
        <x:v>1804063</x:v>
      </x:c>
      <x:c r="I348" s="39" t="n">
        <x:f>H348/G348</x:f>
        <x:v>1</x:v>
      </x:c>
      <x:c r="J348" s="40" t="n">
        <x:f>(I348-1)*100</x:f>
        <x:v>0</x:v>
      </x:c>
      <x:c r="K348" s="36" t="str">
        <x:v>no</x:v>
      </x:c>
      <x:c r="L348" s="36" t="str">
        <x:v>Single-country territory; UN WPP and vanilla are within the ±5% review threshold.</x:v>
      </x:c>
      <x:c r="M348" s="41" t="n">
        <x:v>46943600000</x:v>
      </x:c>
      <x:c r="N348" s="41" t="n">
        <x:v>40840932000</x:v>
      </x:c>
      <x:c r="O348" s="41" t="n">
        <x:v>22638</x:v>
      </x:c>
      <x:c r="P348" s="41" t="n">
        <x:v>10419</x:v>
      </x:c>
      <x:c r="Q348" s="41" t="n">
        <x:v>27640</x:v>
      </x:c>
      <x:c r="R348" s="42" t="n">
        <x:f>MIN(P348,Q348)</x:f>
        <x:v>10419</x:v>
      </x:c>
      <x:c r="S348" s="42" t="n">
        <x:f>MAX(P348,Q348)</x:f>
        <x:v>27640</x:v>
      </x:c>
      <x:c r="T348" s="42" t="n">
        <x:f>MAX(R348,MIN(O348,S348))</x:f>
        <x:v>22638</x:v>
      </x:c>
      <x:c r="U348" s="19" t="str">
        <x:f>IF(O348&lt;R348,IF(R348=P348,"clamped_to_nominal","clamped_to_ppp"),IF(O348&gt;S348,IF(S348=P348,"clamped_to_nominal","clamped_to_ppp"),"kept_vanilla"))</x:f>
        <x:v>kept_vanilla</x:v>
      </x:c>
      <x:c r="V348" s="42" t="n">
        <x:f>T348*H348</x:f>
        <x:v>40840378194</x:v>
      </x:c>
      <x:c r="W348" s="42" t="n">
        <x:f>V348/F348</x:f>
        <x:v>46942963441.37931</x:v>
      </x:c>
      <x:c r="X348" s="36" t="str">
        <x:v>MKD: UN WPP 2024 Medium exact 2026</x:v>
      </x:c>
      <x:c r="Y348" s="36" t="str">
        <x:v>MKD: IMF exact 2026</x:v>
      </x:c>
      <x:c r="Z348" s="36" t="str">
        <x:v>MKD: IMF exact 2026</x:v>
      </x:c>
      <x:c r="AA348" s="36" t="str">
        <x:v>complete_primary</x:v>
      </x:c>
      <x:c r="AB348" s="36" t="str">
        <x:v>https://www.un.org/development/desa/pd/world-population-prospects-2024</x:v>
      </x:c>
      <x:c r="AC348" s="36" t="str">
        <x:v>https://api.imf.org/external/sdmx/3.0/data/dataflow/IMF.RES/WEO/9.0.0/</x:v>
      </x:c>
      <x:c r="AD348" s="36" t="str">
        <x:v>https://api.worldbank.org/v2/</x:v>
      </x:c>
    </x:row>
    <x:row r="349">
      <x:c r="A349" s="24" t="str">
        <x:v>NOR</x:v>
      </x:c>
      <x:c r="B349" s="24" t="str">
        <x:v>Norway</x:v>
      </x:c>
      <x:c r="C349" s="24" t="str">
        <x:v>NOR</x:v>
      </x:c>
      <x:c r="D349" s="24" t="str">
        <x:v>NOR</x:v>
      </x:c>
      <x:c r="E349" s="24" t="n">
        <x:v>2003</x:v>
      </x:c>
      <x:c r="F349" s="37" t="n">
        <x:v>1.59</x:v>
      </x:c>
      <x:c r="G349" s="38" t="n">
        <x:v>4564669</x:v>
      </x:c>
      <x:c r="H349" s="38" t="n">
        <x:v>4564669</x:v>
      </x:c>
      <x:c r="I349" s="39" t="n">
        <x:f>H349/G349</x:f>
        <x:v>1</x:v>
      </x:c>
      <x:c r="J349" s="40" t="n">
        <x:f>(I349-1)*100</x:f>
        <x:v>0</x:v>
      </x:c>
      <x:c r="K349" s="36" t="str">
        <x:v>no</x:v>
      </x:c>
      <x:c r="L349" s="36" t="str">
        <x:v>Single-country territory; UN WPP and vanilla are within the ±5% review threshold.</x:v>
      </x:c>
      <x:c r="M349" s="41" t="n">
        <x:v>121407602339</x:v>
      </x:c>
      <x:c r="N349" s="41" t="n">
        <x:v>193038087719</x:v>
      </x:c>
      <x:c r="O349" s="41" t="n">
        <x:v>42290</x:v>
      </x:c>
      <x:c r="P349" s="41" t="n">
        <x:v>79834</x:v>
      </x:c>
      <x:c r="Q349" s="41" t="n">
        <x:v>72233</x:v>
      </x:c>
      <x:c r="R349" s="42" t="n">
        <x:f>MIN(P349,Q349)</x:f>
        <x:v>72233</x:v>
      </x:c>
      <x:c r="S349" s="42" t="n">
        <x:f>MAX(P349,Q349)</x:f>
        <x:v>79834</x:v>
      </x:c>
      <x:c r="T349" s="42" t="n">
        <x:f>MAX(R349,MIN(O349,S349))</x:f>
        <x:v>72233</x:v>
      </x:c>
      <x:c r="U349" s="19" t="str">
        <x:f>IF(O349&lt;R349,IF(R349=P349,"clamped_to_nominal","clamped_to_ppp"),IF(O349&gt;S349,IF(S349=P349,"clamped_to_nominal","clamped_to_ppp"),"kept_vanilla"))</x:f>
        <x:v>clamped_to_ppp</x:v>
      </x:c>
      <x:c r="V349" s="42" t="n">
        <x:f>T349*H349</x:f>
        <x:v>329719735877</x:v>
      </x:c>
      <x:c r="W349" s="42" t="n">
        <x:f>V349/F349</x:f>
        <x:v>207370903067.2956</x:v>
      </x:c>
      <x:c r="X349" s="36" t="str">
        <x:v>NOR: UN WPP 2024 Medium exact 2003</x:v>
      </x:c>
      <x:c r="Y349" s="36" t="str">
        <x:v>NOR: IMF exact 2003</x:v>
      </x:c>
      <x:c r="Z349" s="36" t="str">
        <x:v>NOR: IMF exact 2003</x:v>
      </x:c>
      <x:c r="AA349" s="36" t="str">
        <x:v>complete_primary</x:v>
      </x:c>
      <x:c r="AB349" s="36" t="str">
        <x:v>https://www.un.org/development/desa/pd/world-population-prospects-2024</x:v>
      </x:c>
      <x:c r="AC349" s="36" t="str">
        <x:v>https://api.imf.org/external/sdmx/3.0/data/dataflow/IMF.RES/WEO/9.0.0/</x:v>
      </x:c>
      <x:c r="AD349" s="36" t="str">
        <x:v>https://api.worldbank.org/v2/</x:v>
      </x:c>
    </x:row>
    <x:row r="350">
      <x:c r="A350" s="24" t="str">
        <x:v>NOR</x:v>
      </x:c>
      <x:c r="B350" s="24" t="str">
        <x:v>Norway</x:v>
      </x:c>
      <x:c r="C350" s="24" t="str">
        <x:v>NOR</x:v>
      </x:c>
      <x:c r="D350" s="24" t="str">
        <x:v>NOR</x:v>
      </x:c>
      <x:c r="E350" s="24" t="n">
        <x:v>2022</x:v>
      </x:c>
      <x:c r="F350" s="37" t="n">
        <x:v>1</x:v>
      </x:c>
      <x:c r="G350" s="38" t="n">
        <x:v>5525579</x:v>
      </x:c>
      <x:c r="H350" s="38" t="n">
        <x:v>5456801</x:v>
      </x:c>
      <x:c r="I350" s="39" t="n">
        <x:f>H350/G350</x:f>
        <x:v>0.9875527976344198</x:v>
      </x:c>
      <x:c r="J350" s="40" t="n">
        <x:f>(I350-1)*100</x:f>
        <x:v>-1.2447202365580168</x:v>
      </x:c>
      <x:c r="K350" s="36" t="str">
        <x:v>no</x:v>
      </x:c>
      <x:c r="L350" s="36" t="str">
        <x:v>Single-country territory; UN WPP and vanilla are within the ±5% review threshold.</x:v>
      </x:c>
      <x:c r="M350" s="41" t="n">
        <x:v>373006480000</x:v>
      </x:c>
      <x:c r="N350" s="41" t="n">
        <x:v>373006480000</x:v>
      </x:c>
      <x:c r="O350" s="41" t="n">
        <x:v>67505</x:v>
      </x:c>
      <x:c r="P350" s="41" t="n">
        <x:v>113129</x:v>
      </x:c>
      <x:c r="Q350" s="41" t="n">
        <x:v>102138</x:v>
      </x:c>
      <x:c r="R350" s="42" t="n">
        <x:f>MIN(P350,Q350)</x:f>
        <x:v>102138</x:v>
      </x:c>
      <x:c r="S350" s="42" t="n">
        <x:f>MAX(P350,Q350)</x:f>
        <x:v>113129</x:v>
      </x:c>
      <x:c r="T350" s="42" t="n">
        <x:f>MAX(R350,MIN(O350,S350))</x:f>
        <x:v>102138</x:v>
      </x:c>
      <x:c r="U350" s="19" t="str">
        <x:f>IF(O350&lt;R350,IF(R350=P350,"clamped_to_nominal","clamped_to_ppp"),IF(O350&gt;S350,IF(S350=P350,"clamped_to_nominal","clamped_to_ppp"),"kept_vanilla"))</x:f>
        <x:v>clamped_to_ppp</x:v>
      </x:c>
      <x:c r="V350" s="42" t="n">
        <x:f>T350*H350</x:f>
        <x:v>557346740538</x:v>
      </x:c>
      <x:c r="W350" s="42" t="n">
        <x:f>V350/F350</x:f>
        <x:v>557346740538</x:v>
      </x:c>
      <x:c r="X350" s="36" t="str">
        <x:v>NOR: UN WPP 2024 Medium exact 2022</x:v>
      </x:c>
      <x:c r="Y350" s="36" t="str">
        <x:v>NOR: IMF exact 2022</x:v>
      </x:c>
      <x:c r="Z350" s="36" t="str">
        <x:v>NOR: IMF exact 2022</x:v>
      </x:c>
      <x:c r="AA350" s="36" t="str">
        <x:v>complete_primary</x:v>
      </x:c>
      <x:c r="AB350" s="36" t="str">
        <x:v>https://www.un.org/development/desa/pd/world-population-prospects-2024</x:v>
      </x:c>
      <x:c r="AC350" s="36" t="str">
        <x:v>https://api.imf.org/external/sdmx/3.0/data/dataflow/IMF.RES/WEO/9.0.0/</x:v>
      </x:c>
      <x:c r="AD350" s="36" t="str">
        <x:v>https://api.worldbank.org/v2/</x:v>
      </x:c>
    </x:row>
    <x:row r="351">
      <x:c r="A351" s="24" t="str">
        <x:v>NOR</x:v>
      </x:c>
      <x:c r="B351" s="24" t="str">
        <x:v>Norway</x:v>
      </x:c>
      <x:c r="C351" s="24" t="str">
        <x:v>NOR</x:v>
      </x:c>
      <x:c r="D351" s="24" t="str">
        <x:v>NOR</x:v>
      </x:c>
      <x:c r="E351" s="24" t="n">
        <x:v>2026</x:v>
      </x:c>
      <x:c r="F351" s="37" t="n">
        <x:v>0.87</x:v>
      </x:c>
      <x:c r="G351" s="38" t="n">
        <x:v>5652989</x:v>
      </x:c>
      <x:c r="H351" s="38" t="n">
        <x:v>5652989</x:v>
      </x:c>
      <x:c r="I351" s="39" t="n">
        <x:f>H351/G351</x:f>
        <x:v>1</x:v>
      </x:c>
      <x:c r="J351" s="40" t="n">
        <x:f>(I351-1)*100</x:f>
        <x:v>0</x:v>
      </x:c>
      <x:c r="K351" s="36" t="str">
        <x:v>no</x:v>
      </x:c>
      <x:c r="L351" s="36" t="str">
        <x:v>Single-country territory; UN WPP and vanilla are within the ±5% review threshold.</x:v>
      </x:c>
      <x:c r="M351" s="41" t="n">
        <x:v>533799200000</x:v>
      </x:c>
      <x:c r="N351" s="41" t="n">
        <x:v>464405304000</x:v>
      </x:c>
      <x:c r="O351" s="41" t="n">
        <x:v>82152</x:v>
      </x:c>
      <x:c r="P351" s="41" t="n">
        <x:v>92249</x:v>
      </x:c>
      <x:c r="Q351" s="41" t="n">
        <x:v>100676</x:v>
      </x:c>
      <x:c r="R351" s="42" t="n">
        <x:f>MIN(P351,Q351)</x:f>
        <x:v>92249</x:v>
      </x:c>
      <x:c r="S351" s="42" t="n">
        <x:f>MAX(P351,Q351)</x:f>
        <x:v>100676</x:v>
      </x:c>
      <x:c r="T351" s="42" t="n">
        <x:f>MAX(R351,MIN(O351,S351))</x:f>
        <x:v>92249</x:v>
      </x:c>
      <x:c r="U351" s="19" t="str">
        <x:f>IF(O351&lt;R351,IF(R351=P351,"clamped_to_nominal","clamped_to_ppp"),IF(O351&gt;S351,IF(S351=P351,"clamped_to_nominal","clamped_to_ppp"),"kept_vanilla"))</x:f>
        <x:v>clamped_to_nominal</x:v>
      </x:c>
      <x:c r="V351" s="42" t="n">
        <x:f>T351*H351</x:f>
        <x:v>521482582261</x:v>
      </x:c>
      <x:c r="W351" s="42" t="n">
        <x:f>V351/F351</x:f>
        <x:v>599405266966.6666</x:v>
      </x:c>
      <x:c r="X351" s="36" t="str">
        <x:v>NOR: UN WPP 2024 Medium exact 2026</x:v>
      </x:c>
      <x:c r="Y351" s="36" t="str">
        <x:v>NOR: IMF exact 2026</x:v>
      </x:c>
      <x:c r="Z351" s="36" t="str">
        <x:v>NOR: IMF exact 2026</x:v>
      </x:c>
      <x:c r="AA351" s="36" t="str">
        <x:v>complete_primary</x:v>
      </x:c>
      <x:c r="AB351" s="36" t="str">
        <x:v>https://www.un.org/development/desa/pd/world-population-prospects-2024</x:v>
      </x:c>
      <x:c r="AC351" s="36" t="str">
        <x:v>https://api.imf.org/external/sdmx/3.0/data/dataflow/IMF.RES/WEO/9.0.0/</x:v>
      </x:c>
      <x:c r="AD351" s="36" t="str">
        <x:v>https://api.worldbank.org/v2/</x:v>
      </x:c>
    </x:row>
    <x:row r="352">
      <x:c r="A352" s="24" t="str">
        <x:v>OMN</x:v>
      </x:c>
      <x:c r="B352" s="24" t="str">
        <x:v>Oman</x:v>
      </x:c>
      <x:c r="C352" s="24" t="str">
        <x:v>OMN</x:v>
      </x:c>
      <x:c r="D352" s="24" t="str">
        <x:v>OMN</x:v>
      </x:c>
      <x:c r="E352" s="24" t="n">
        <x:v>2003</x:v>
      </x:c>
      <x:c r="F352" s="37" t="n">
        <x:v>1.59</x:v>
      </x:c>
      <x:c r="G352" s="38" t="n">
        <x:v>2363796</x:v>
      </x:c>
      <x:c r="H352" s="38" t="n">
        <x:v>2363796</x:v>
      </x:c>
      <x:c r="I352" s="39" t="n">
        <x:f>H352/G352</x:f>
        <x:v>1</x:v>
      </x:c>
      <x:c r="J352" s="40" t="n">
        <x:f>(I352-1)*100</x:f>
        <x:v>0</x:v>
      </x:c>
      <x:c r="K352" s="36" t="str">
        <x:v>no</x:v>
      </x:c>
      <x:c r="L352" s="36" t="str">
        <x:v>Single-country territory; UN WPP and vanilla are within the ±5% review threshold.</x:v>
      </x:c>
      <x:c r="M352" s="41" t="n">
        <x:v>38152046784</x:v>
      </x:c>
      <x:c r="N352" s="41" t="n">
        <x:v>60661754387</x:v>
      </x:c>
      <x:c r="O352" s="41" t="n">
        <x:v>25663</x:v>
      </x:c>
      <x:c r="P352" s="41" t="n">
        <x:v>16637</x:v>
      </x:c>
      <x:c r="Q352" s="41" t="n">
        <x:v>43883</x:v>
      </x:c>
      <x:c r="R352" s="42" t="n">
        <x:f>MIN(P352,Q352)</x:f>
        <x:v>16637</x:v>
      </x:c>
      <x:c r="S352" s="42" t="n">
        <x:f>MAX(P352,Q352)</x:f>
        <x:v>43883</x:v>
      </x:c>
      <x:c r="T352" s="42" t="n">
        <x:f>MAX(R352,MIN(O352,S352))</x:f>
        <x:v>25663</x:v>
      </x:c>
      <x:c r="U352" s="19" t="str">
        <x:f>IF(O352&lt;R352,IF(R352=P352,"clamped_to_nominal","clamped_to_ppp"),IF(O352&gt;S352,IF(S352=P352,"clamped_to_nominal","clamped_to_ppp"),"kept_vanilla"))</x:f>
        <x:v>kept_vanilla</x:v>
      </x:c>
      <x:c r="V352" s="42" t="n">
        <x:f>T352*H352</x:f>
        <x:v>60662096748</x:v>
      </x:c>
      <x:c r="W352" s="42" t="n">
        <x:f>V352/F352</x:f>
        <x:v>38152262105.66038</x:v>
      </x:c>
      <x:c r="X352" s="36" t="str">
        <x:v>OMN: UN WPP 2024 Medium exact 2003</x:v>
      </x:c>
      <x:c r="Y352" s="36" t="str">
        <x:v>OMN: IMF exact 2003</x:v>
      </x:c>
      <x:c r="Z352" s="36" t="str">
        <x:v>OMN: IMF exact 2003</x:v>
      </x:c>
      <x:c r="AA352" s="36" t="str">
        <x:v>complete_primary</x:v>
      </x:c>
      <x:c r="AB352" s="36" t="str">
        <x:v>https://www.un.org/development/desa/pd/world-population-prospects-2024</x:v>
      </x:c>
      <x:c r="AC352" s="36" t="str">
        <x:v>https://api.imf.org/external/sdmx/3.0/data/dataflow/IMF.RES/WEO/9.0.0/</x:v>
      </x:c>
      <x:c r="AD352" s="36" t="str">
        <x:v>https://api.worldbank.org/v2/</x:v>
      </x:c>
    </x:row>
    <x:row r="353">
      <x:c r="A353" s="24" t="str">
        <x:v>OMN</x:v>
      </x:c>
      <x:c r="B353" s="24" t="str">
        <x:v>Oman</x:v>
      </x:c>
      <x:c r="C353" s="24" t="str">
        <x:v>OMN</x:v>
      </x:c>
      <x:c r="D353" s="24" t="str">
        <x:v>OMN</x:v>
      </x:c>
      <x:c r="E353" s="24" t="n">
        <x:v>2022</x:v>
      </x:c>
      <x:c r="F353" s="37" t="n">
        <x:v>1</x:v>
      </x:c>
      <x:c r="G353" s="38" t="n">
        <x:v>5354087</x:v>
      </x:c>
      <x:c r="H353" s="38" t="n">
        <x:v>4730226</x:v>
      </x:c>
      <x:c r="I353" s="39" t="n">
        <x:f>H353/G353</x:f>
        <x:v>0.8834794802549902</x:v>
      </x:c>
      <x:c r="J353" s="40" t="n">
        <x:f>(I353-1)*100</x:f>
        <x:v>-11.652051974500976</x:v>
      </x:c>
      <x:c r="K353" s="36" t="str">
        <x:v>yes — reviewed</x:v>
      </x:c>
      <x:c r="L353" s="36" t="str">
        <x:v>Single-country game territory and UN country/area boundary align. The difference is an updated historical estimate/projection vintage, not a geographic-scope mismatch; accept the UN WPP value for a consistent source vintage.</x:v>
      </x:c>
      <x:c r="M353" s="41" t="n">
        <x:v>146033360000</x:v>
      </x:c>
      <x:c r="N353" s="41" t="n">
        <x:v>146033360000</x:v>
      </x:c>
      <x:c r="O353" s="41" t="n">
        <x:v>27275</x:v>
      </x:c>
      <x:c r="P353" s="41" t="n">
        <x:v>23224</x:v>
      </x:c>
      <x:c r="Q353" s="41" t="n">
        <x:v>42610</x:v>
      </x:c>
      <x:c r="R353" s="42" t="n">
        <x:f>MIN(P353,Q353)</x:f>
        <x:v>23224</x:v>
      </x:c>
      <x:c r="S353" s="42" t="n">
        <x:f>MAX(P353,Q353)</x:f>
        <x:v>42610</x:v>
      </x:c>
      <x:c r="T353" s="42" t="n">
        <x:f>MAX(R353,MIN(O353,S353))</x:f>
        <x:v>27275</x:v>
      </x:c>
      <x:c r="U353" s="19" t="str">
        <x:f>IF(O353&lt;R353,IF(R353=P353,"clamped_to_nominal","clamped_to_ppp"),IF(O353&gt;S353,IF(S353=P353,"clamped_to_nominal","clamped_to_ppp"),"kept_vanilla"))</x:f>
        <x:v>kept_vanilla</x:v>
      </x:c>
      <x:c r="V353" s="42" t="n">
        <x:f>T353*H353</x:f>
        <x:v>129016914150</x:v>
      </x:c>
      <x:c r="W353" s="42" t="n">
        <x:f>V353/F353</x:f>
        <x:v>129016914150</x:v>
      </x:c>
      <x:c r="X353" s="36" t="str">
        <x:v>OMN: UN WPP 2024 Medium exact 2022</x:v>
      </x:c>
      <x:c r="Y353" s="36" t="str">
        <x:v>OMN: IMF exact 2022</x:v>
      </x:c>
      <x:c r="Z353" s="36" t="str">
        <x:v>OMN: IMF exact 2022</x:v>
      </x:c>
      <x:c r="AA353" s="36" t="str">
        <x:v>complete_primary</x:v>
      </x:c>
      <x:c r="AB353" s="36" t="str">
        <x:v>https://www.un.org/development/desa/pd/world-population-prospects-2024</x:v>
      </x:c>
      <x:c r="AC353" s="36" t="str">
        <x:v>https://api.imf.org/external/sdmx/3.0/data/dataflow/IMF.RES/WEO/9.0.0/</x:v>
      </x:c>
      <x:c r="AD353" s="36" t="str">
        <x:v>https://api.worldbank.org/v2/</x:v>
      </x:c>
    </x:row>
    <x:row r="354">
      <x:c r="A354" s="24" t="str">
        <x:v>OMN</x:v>
      </x:c>
      <x:c r="B354" s="24" t="str">
        <x:v>Oman</x:v>
      </x:c>
      <x:c r="C354" s="24" t="str">
        <x:v>OMN</x:v>
      </x:c>
      <x:c r="D354" s="24" t="str">
        <x:v>OMN</x:v>
      </x:c>
      <x:c r="E354" s="24" t="n">
        <x:v>2026</x:v>
      </x:c>
      <x:c r="F354" s="37" t="n">
        <x:v>0.87</x:v>
      </x:c>
      <x:c r="G354" s="38" t="n">
        <x:v>5671459</x:v>
      </x:c>
      <x:c r="H354" s="38" t="n">
        <x:v>5671458</x:v>
      </x:c>
      <x:c r="I354" s="39" t="n">
        <x:f>H354/G354</x:f>
        <x:v>0.9999998236785279</x:v>
      </x:c>
      <x:c r="J354" s="40" t="n">
        <x:f>(I354-1)*100</x:f>
        <x:v>-0.000017632147208956894</x:v>
      </x:c>
      <x:c r="K354" s="36" t="str">
        <x:v>no</x:v>
      </x:c>
      <x:c r="L354" s="36" t="str">
        <x:v>Single-country territory; UN WPP and vanilla are within the ±5% review threshold.</x:v>
      </x:c>
      <x:c r="M354" s="41" t="n">
        <x:v>203420800000</x:v>
      </x:c>
      <x:c r="N354" s="41" t="n">
        <x:v>176976096000</x:v>
      </x:c>
      <x:c r="O354" s="41" t="n">
        <x:v>31205</x:v>
      </x:c>
      <x:c r="P354" s="41" t="n">
        <x:v>17975</x:v>
      </x:c>
      <x:c r="Q354" s="41" t="n">
        <x:v>37950</x:v>
      </x:c>
      <x:c r="R354" s="42" t="n">
        <x:f>MIN(P354,Q354)</x:f>
        <x:v>17975</x:v>
      </x:c>
      <x:c r="S354" s="42" t="n">
        <x:f>MAX(P354,Q354)</x:f>
        <x:v>37950</x:v>
      </x:c>
      <x:c r="T354" s="42" t="n">
        <x:f>MAX(R354,MIN(O354,S354))</x:f>
        <x:v>31205</x:v>
      </x:c>
      <x:c r="U354" s="19" t="str">
        <x:f>IF(O354&lt;R354,IF(R354=P354,"clamped_to_nominal","clamped_to_ppp"),IF(O354&gt;S354,IF(S354=P354,"clamped_to_nominal","clamped_to_ppp"),"kept_vanilla"))</x:f>
        <x:v>kept_vanilla</x:v>
      </x:c>
      <x:c r="V354" s="42" t="n">
        <x:f>T354*H354</x:f>
        <x:v>176977846890</x:v>
      </x:c>
      <x:c r="W354" s="42" t="n">
        <x:f>V354/F354</x:f>
        <x:v>203422812517.2414</x:v>
      </x:c>
      <x:c r="X354" s="36" t="str">
        <x:v>OMN: UN WPP 2024 Medium exact 2026</x:v>
      </x:c>
      <x:c r="Y354" s="36" t="str">
        <x:v>OMN: IMF exact 2026</x:v>
      </x:c>
      <x:c r="Z354" s="36" t="str">
        <x:v>OMN: IMF exact 2026</x:v>
      </x:c>
      <x:c r="AA354" s="36" t="str">
        <x:v>complete_primary</x:v>
      </x:c>
      <x:c r="AB354" s="36" t="str">
        <x:v>https://www.un.org/development/desa/pd/world-population-prospects-2024</x:v>
      </x:c>
      <x:c r="AC354" s="36" t="str">
        <x:v>https://api.imf.org/external/sdmx/3.0/data/dataflow/IMF.RES/WEO/9.0.0/</x:v>
      </x:c>
      <x:c r="AD354" s="36" t="str">
        <x:v>https://api.worldbank.org/v2/</x:v>
      </x:c>
    </x:row>
    <x:row r="355">
      <x:c r="A355" s="24" t="str">
        <x:v>PAK</x:v>
      </x:c>
      <x:c r="B355" s="24" t="str">
        <x:v>Pakistan</x:v>
      </x:c>
      <x:c r="C355" s="24" t="str">
        <x:v>PAK</x:v>
      </x:c>
      <x:c r="D355" s="24" t="str">
        <x:v>PAK</x:v>
      </x:c>
      <x:c r="E355" s="24" t="n">
        <x:v>2003</x:v>
      </x:c>
      <x:c r="F355" s="37" t="n">
        <x:v>1.59</x:v>
      </x:c>
      <x:c r="G355" s="38" t="n">
        <x:v>167110248</x:v>
      </x:c>
      <x:c r="H355" s="38" t="n">
        <x:v>167110248</x:v>
      </x:c>
      <x:c r="I355" s="39" t="n">
        <x:f>H355/G355</x:f>
        <x:v>1</x:v>
      </x:c>
      <x:c r="J355" s="40" t="n">
        <x:f>(I355-1)*100</x:f>
        <x:v>0</x:v>
      </x:c>
      <x:c r="K355" s="36" t="str">
        <x:v>no</x:v>
      </x:c>
      <x:c r="L355" s="36" t="str">
        <x:v>Single-country territory; UN WPP and vanilla are within the ±5% review threshold.</x:v>
      </x:c>
      <x:c r="M355" s="41" t="n">
        <x:v>266791812865</x:v>
      </x:c>
      <x:c r="N355" s="41" t="n">
        <x:v>424198982455</x:v>
      </x:c>
      <x:c r="O355" s="41" t="n">
        <x:v>2538</x:v>
      </x:c>
      <x:c r="P355" s="41" t="n">
        <x:v>1070</x:v>
      </x:c>
      <x:c r="Q355" s="41" t="n">
        <x:v>4341</x:v>
      </x:c>
      <x:c r="R355" s="42" t="n">
        <x:f>MIN(P355,Q355)</x:f>
        <x:v>1070</x:v>
      </x:c>
      <x:c r="S355" s="42" t="n">
        <x:f>MAX(P355,Q355)</x:f>
        <x:v>4341</x:v>
      </x:c>
      <x:c r="T355" s="42" t="n">
        <x:f>MAX(R355,MIN(O355,S355))</x:f>
        <x:v>2538</x:v>
      </x:c>
      <x:c r="U355" s="19" t="str">
        <x:f>IF(O355&lt;R355,IF(R355=P355,"clamped_to_nominal","clamped_to_ppp"),IF(O355&gt;S355,IF(S355=P355,"clamped_to_nominal","clamped_to_ppp"),"kept_vanilla"))</x:f>
        <x:v>kept_vanilla</x:v>
      </x:c>
      <x:c r="V355" s="42" t="n">
        <x:f>T355*H355</x:f>
        <x:v>424125809424</x:v>
      </x:c>
      <x:c r="W355" s="42" t="n">
        <x:f>V355/F355</x:f>
        <x:v>266745792090.566</x:v>
      </x:c>
      <x:c r="X355" s="36" t="str">
        <x:v>PAK: UN WPP 2024 Medium exact 2003</x:v>
      </x:c>
      <x:c r="Y355" s="36" t="str">
        <x:v>PAK: IMF exact 2003</x:v>
      </x:c>
      <x:c r="Z355" s="36" t="str">
        <x:v>PAK: IMF exact 2003</x:v>
      </x:c>
      <x:c r="AA355" s="36" t="str">
        <x:v>complete_primary</x:v>
      </x:c>
      <x:c r="AB355" s="36" t="str">
        <x:v>https://www.un.org/development/desa/pd/world-population-prospects-2024</x:v>
      </x:c>
      <x:c r="AC355" s="36" t="str">
        <x:v>https://api.imf.org/external/sdmx/3.0/data/dataflow/IMF.RES/WEO/9.0.0/</x:v>
      </x:c>
      <x:c r="AD355" s="36" t="str">
        <x:v>https://api.worldbank.org/v2/</x:v>
      </x:c>
    </x:row>
    <x:row r="356">
      <x:c r="A356" s="24" t="str">
        <x:v>PAK</x:v>
      </x:c>
      <x:c r="B356" s="24" t="str">
        <x:v>Pakistan</x:v>
      </x:c>
      <x:c r="C356" s="24" t="str">
        <x:v>PAK</x:v>
      </x:c>
      <x:c r="D356" s="24" t="str">
        <x:v>PAK</x:v>
      </x:c>
      <x:c r="E356" s="24" t="n">
        <x:v>2022</x:v>
      </x:c>
      <x:c r="F356" s="37" t="n">
        <x:v>1</x:v>
      </x:c>
      <x:c r="G356" s="38" t="n">
        <x:v>230827901</x:v>
      </x:c>
      <x:c r="H356" s="38" t="n">
        <x:v>243700667</x:v>
      </x:c>
      <x:c r="I356" s="39" t="n">
        <x:f>H356/G356</x:f>
        <x:v>1.0557678077226895</x:v>
      </x:c>
      <x:c r="J356" s="40" t="n">
        <x:f>(I356-1)*100</x:f>
        <x:v>5.576780772268952</x:v>
      </x:c>
      <x:c r="K356" s="36" t="str">
        <x:v>yes — reviewed</x:v>
      </x:c>
      <x:c r="L356" s="36" t="str">
        <x:v>Single-country game territory and UN country/area boundary align. The difference is an updated historical estimate/projection vintage, not a geographic-scope mismatch; accept the UN WPP value for a consistent source vintage.</x:v>
      </x:c>
      <x:c r="M356" s="41" t="n">
        <x:v>1292598560000</x:v>
      </x:c>
      <x:c r="N356" s="41" t="n">
        <x:v>1292598560000</x:v>
      </x:c>
      <x:c r="O356" s="41" t="n">
        <x:v>5600</x:v>
      </x:c>
      <x:c r="P356" s="41" t="n">
        <x:v>1538</x:v>
      </x:c>
      <x:c r="Q356" s="41" t="n">
        <x:v>5999</x:v>
      </x:c>
      <x:c r="R356" s="42" t="n">
        <x:f>MIN(P356,Q356)</x:f>
        <x:v>1538</x:v>
      </x:c>
      <x:c r="S356" s="42" t="n">
        <x:f>MAX(P356,Q356)</x:f>
        <x:v>5999</x:v>
      </x:c>
      <x:c r="T356" s="42" t="n">
        <x:f>MAX(R356,MIN(O356,S356))</x:f>
        <x:v>5600</x:v>
      </x:c>
      <x:c r="U356" s="19" t="str">
        <x:f>IF(O356&lt;R356,IF(R356=P356,"clamped_to_nominal","clamped_to_ppp"),IF(O356&gt;S356,IF(S356=P356,"clamped_to_nominal","clamped_to_ppp"),"kept_vanilla"))</x:f>
        <x:v>kept_vanilla</x:v>
      </x:c>
      <x:c r="V356" s="42" t="n">
        <x:f>T356*H356</x:f>
        <x:v>1364723735200</x:v>
      </x:c>
      <x:c r="W356" s="42" t="n">
        <x:f>V356/F356</x:f>
        <x:v>1364723735200</x:v>
      </x:c>
      <x:c r="X356" s="36" t="str">
        <x:v>PAK: UN WPP 2024 Medium exact 2022</x:v>
      </x:c>
      <x:c r="Y356" s="36" t="str">
        <x:v>PAK: IMF exact 2022</x:v>
      </x:c>
      <x:c r="Z356" s="36" t="str">
        <x:v>PAK: IMF exact 2022</x:v>
      </x:c>
      <x:c r="AA356" s="36" t="str">
        <x:v>complete_primary</x:v>
      </x:c>
      <x:c r="AB356" s="36" t="str">
        <x:v>https://www.un.org/development/desa/pd/world-population-prospects-2024</x:v>
      </x:c>
      <x:c r="AC356" s="36" t="str">
        <x:v>https://api.imf.org/external/sdmx/3.0/data/dataflow/IMF.RES/WEO/9.0.0/</x:v>
      </x:c>
      <x:c r="AD356" s="36" t="str">
        <x:v>https://api.worldbank.org/v2/</x:v>
      </x:c>
    </x:row>
    <x:row r="357">
      <x:c r="A357" s="24" t="str">
        <x:v>PAK</x:v>
      </x:c>
      <x:c r="B357" s="24" t="str">
        <x:v>Pakistan</x:v>
      </x:c>
      <x:c r="C357" s="24" t="str">
        <x:v>PAK</x:v>
      </x:c>
      <x:c r="D357" s="24" t="str">
        <x:v>PAK</x:v>
      </x:c>
      <x:c r="E357" s="24" t="n">
        <x:v>2026</x:v>
      </x:c>
      <x:c r="F357" s="37" t="n">
        <x:v>0.87</x:v>
      </x:c>
      <x:c r="G357" s="38" t="n">
        <x:v>259299792</x:v>
      </x:c>
      <x:c r="H357" s="38" t="n">
        <x:v>259299791</x:v>
      </x:c>
      <x:c r="I357" s="39" t="n">
        <x:f>H357/G357</x:f>
        <x:v>0.99999999614346</x:v>
      </x:c>
      <x:c r="J357" s="40" t="n">
        <x:f>(I357-1)*100</x:f>
        <x:v>-3.8565399762546804e-7</x:v>
      </x:c>
      <x:c r="K357" s="36" t="str">
        <x:v>no</x:v>
      </x:c>
      <x:c r="L357" s="36" t="str">
        <x:v>Single-country territory; UN WPP and vanilla are within the ±5% review threshold.</x:v>
      </x:c>
      <x:c r="M357" s="41" t="n">
        <x:v>1470815280000</x:v>
      </x:c>
      <x:c r="N357" s="41" t="n">
        <x:v>1279609293600</x:v>
      </x:c>
      <x:c r="O357" s="41" t="n">
        <x:v>4935</x:v>
      </x:c>
      <x:c r="P357" s="41" t="n">
        <x:v>1545</x:v>
      </x:c>
      <x:c r="Q357" s="41" t="n">
        <x:v>6032</x:v>
      </x:c>
      <x:c r="R357" s="42" t="n">
        <x:f>MIN(P357,Q357)</x:f>
        <x:v>1545</x:v>
      </x:c>
      <x:c r="S357" s="42" t="n">
        <x:f>MAX(P357,Q357)</x:f>
        <x:v>6032</x:v>
      </x:c>
      <x:c r="T357" s="42" t="n">
        <x:f>MAX(R357,MIN(O357,S357))</x:f>
        <x:v>4935</x:v>
      </x:c>
      <x:c r="U357" s="19" t="str">
        <x:f>IF(O357&lt;R357,IF(R357=P357,"clamped_to_nominal","clamped_to_ppp"),IF(O357&gt;S357,IF(S357=P357,"clamped_to_nominal","clamped_to_ppp"),"kept_vanilla"))</x:f>
        <x:v>kept_vanilla</x:v>
      </x:c>
      <x:c r="V357" s="42" t="n">
        <x:f>T357*H357</x:f>
        <x:v>1279644468585</x:v>
      </x:c>
      <x:c r="W357" s="42" t="n">
        <x:f>V357/F357</x:f>
        <x:v>1470855711017.2415</x:v>
      </x:c>
      <x:c r="X357" s="36" t="str">
        <x:v>PAK: UN WPP 2024 Medium exact 2026</x:v>
      </x:c>
      <x:c r="Y357" s="36" t="str">
        <x:v>PAK: peer-growth inference from IMF 2025; Middle East, North Africa, Afghanistan &amp; Pakistan median 1.83%/yr (18 peers, capped at ±8%)</x:v>
      </x:c>
      <x:c r="Z357" s="36" t="str">
        <x:v>PAK: IMF exact 2026</x:v>
      </x:c>
      <x:c r="AA357" s="36" t="str">
        <x:v>inferred</x:v>
      </x:c>
      <x:c r="AB357" s="36" t="str">
        <x:v>https://www.un.org/development/desa/pd/world-population-prospects-2024</x:v>
      </x:c>
      <x:c r="AC357" s="36" t="str">
        <x:v>https://api.imf.org/external/sdmx/3.0/data/dataflow/IMF.RES/WEO/9.0.0/</x:v>
      </x:c>
      <x:c r="AD357" s="36" t="str">
        <x:v>https://api.worldbank.org/v2/</x:v>
      </x:c>
    </x:row>
    <x:row r="358">
      <x:c r="A358" s="24" t="str">
        <x:v>PAL</x:v>
      </x:c>
      <x:c r="B358" s="24" t="str">
        <x:v>Palestine</x:v>
      </x:c>
      <x:c r="C358" s="24" t="str">
        <x:v>WBG</x:v>
      </x:c>
      <x:c r="D358" s="24" t="str">
        <x:v>WBG</x:v>
      </x:c>
      <x:c r="E358" s="24" t="n">
        <x:v>2003</x:v>
      </x:c>
      <x:c r="F358" s="37" t="n">
        <x:v>1.59</x:v>
      </x:c>
      <x:c r="G358" s="38" t="n">
        <x:v>3398070</x:v>
      </x:c>
      <x:c r="H358" s="38" t="n">
        <x:v>3398070</x:v>
      </x:c>
      <x:c r="I358" s="39" t="n">
        <x:f>H358/G358</x:f>
        <x:v>1</x:v>
      </x:c>
      <x:c r="J358" s="40" t="n">
        <x:f>(I358-1)*100</x:f>
        <x:v>0</x:v>
      </x:c>
      <x:c r="K358" s="36" t="str">
        <x:v>no</x:v>
      </x:c>
      <x:c r="L358" s="36" t="str">
        <x:v>Single-country territory; UN WPP and vanilla are within the ±5% review threshold.</x:v>
      </x:c>
      <x:c r="M358" s="41" t="n">
        <x:v>5115204678</x:v>
      </x:c>
      <x:c r="N358" s="41" t="n">
        <x:v>8133175438</x:v>
      </x:c>
      <x:c r="O358" s="41" t="n">
        <x:v>2393</x:v>
      </x:c>
      <x:c r="P358" s="41" t="n">
        <x:v>1857</x:v>
      </x:c>
      <x:c r="Q358" s="41" t="n">
        <x:v>4093</x:v>
      </x:c>
      <x:c r="R358" s="42" t="n">
        <x:f>MIN(P358,Q358)</x:f>
        <x:v>1857</x:v>
      </x:c>
      <x:c r="S358" s="42" t="n">
        <x:f>MAX(P358,Q358)</x:f>
        <x:v>4093</x:v>
      </x:c>
      <x:c r="T358" s="42" t="n">
        <x:f>MAX(R358,MIN(O358,S358))</x:f>
        <x:v>2393</x:v>
      </x:c>
      <x:c r="U358" s="19" t="str">
        <x:f>IF(O358&lt;R358,IF(R358=P358,"clamped_to_nominal","clamped_to_ppp"),IF(O358&gt;S358,IF(S358=P358,"clamped_to_nominal","clamped_to_ppp"),"kept_vanilla"))</x:f>
        <x:v>kept_vanilla</x:v>
      </x:c>
      <x:c r="V358" s="42" t="n">
        <x:f>T358*H358</x:f>
        <x:v>8131581510</x:v>
      </x:c>
      <x:c r="W358" s="42" t="n">
        <x:f>V358/F358</x:f>
        <x:v>5114202207.54717</x:v>
      </x:c>
      <x:c r="X358" s="36" t="str">
        <x:v>WBG: UN WPP 2024 Medium exact 2003</x:v>
      </x:c>
      <x:c r="Y358" s="36" t="str">
        <x:v>WBG: IMF exact 2003</x:v>
      </x:c>
      <x:c r="Z358" s="36" t="str">
        <x:v>WBG: IMF exact 2003</x:v>
      </x:c>
      <x:c r="AA358" s="36" t="str">
        <x:v>complete_primary</x:v>
      </x:c>
      <x:c r="AB358" s="36" t="str">
        <x:v>https://www.un.org/development/desa/pd/world-population-prospects-2024</x:v>
      </x:c>
      <x:c r="AC358" s="36" t="str">
        <x:v>https://api.imf.org/external/sdmx/3.0/data/dataflow/IMF.RES/WEO/9.0.0/</x:v>
      </x:c>
      <x:c r="AD358" s="36" t="str">
        <x:v>https://api.worldbank.org/v2/</x:v>
      </x:c>
    </x:row>
    <x:row r="359">
      <x:c r="A359" s="24" t="str">
        <x:v>PAL</x:v>
      </x:c>
      <x:c r="B359" s="24" t="str">
        <x:v>Palestine</x:v>
      </x:c>
      <x:c r="C359" s="24" t="str">
        <x:v>WBG</x:v>
      </x:c>
      <x:c r="D359" s="24" t="str">
        <x:v>WBG</x:v>
      </x:c>
      <x:c r="E359" s="24" t="n">
        <x:v>2022</x:v>
      </x:c>
      <x:c r="F359" s="37" t="n">
        <x:v>1</x:v>
      </x:c>
      <x:c r="G359" s="38" t="n">
        <x:v>5384358</x:v>
      </x:c>
      <x:c r="H359" s="38" t="n">
        <x:v>5305270</x:v>
      </x:c>
      <x:c r="I359" s="39" t="n">
        <x:f>H359/G359</x:f>
        <x:v>0.9853115264623935</x:v>
      </x:c>
      <x:c r="J359" s="40" t="n">
        <x:f>(I359-1)*100</x:f>
        <x:v>-1.4688473537606495</x:v>
      </x:c>
      <x:c r="K359" s="36" t="str">
        <x:v>no</x:v>
      </x:c>
      <x:c r="L359" s="36" t="str">
        <x:v>Single-country territory; UN WPP and vanilla are within the ±5% review threshold.</x:v>
      </x:c>
      <x:c r="M359" s="41" t="n">
        <x:v>27095000000</x:v>
      </x:c>
      <x:c r="N359" s="41" t="n">
        <x:v>27095000000</x:v>
      </x:c>
      <x:c r="O359" s="41" t="n">
        <x:v>5032</x:v>
      </x:c>
      <x:c r="P359" s="41" t="n">
        <x:v>3613</x:v>
      </x:c>
      <x:c r="Q359" s="41" t="n">
        <x:v>5858</x:v>
      </x:c>
      <x:c r="R359" s="42" t="n">
        <x:f>MIN(P359,Q359)</x:f>
        <x:v>3613</x:v>
      </x:c>
      <x:c r="S359" s="42" t="n">
        <x:f>MAX(P359,Q359)</x:f>
        <x:v>5858</x:v>
      </x:c>
      <x:c r="T359" s="42" t="n">
        <x:f>MAX(R359,MIN(O359,S359))</x:f>
        <x:v>5032</x:v>
      </x:c>
      <x:c r="U359" s="19" t="str">
        <x:f>IF(O359&lt;R359,IF(R359=P359,"clamped_to_nominal","clamped_to_ppp"),IF(O359&gt;S359,IF(S359=P359,"clamped_to_nominal","clamped_to_ppp"),"kept_vanilla"))</x:f>
        <x:v>kept_vanilla</x:v>
      </x:c>
      <x:c r="V359" s="42" t="n">
        <x:f>T359*H359</x:f>
        <x:v>26696118640</x:v>
      </x:c>
      <x:c r="W359" s="42" t="n">
        <x:f>V359/F359</x:f>
        <x:v>26696118640</x:v>
      </x:c>
      <x:c r="X359" s="36" t="str">
        <x:v>WBG: UN WPP 2024 Medium exact 2022</x:v>
      </x:c>
      <x:c r="Y359" s="36" t="str">
        <x:v>WBG: IMF exact 2022</x:v>
      </x:c>
      <x:c r="Z359" s="36" t="str">
        <x:v>WBG: IMF exact 2022</x:v>
      </x:c>
      <x:c r="AA359" s="36" t="str">
        <x:v>complete_primary</x:v>
      </x:c>
      <x:c r="AB359" s="36" t="str">
        <x:v>https://www.un.org/development/desa/pd/world-population-prospects-2024</x:v>
      </x:c>
      <x:c r="AC359" s="36" t="str">
        <x:v>https://api.imf.org/external/sdmx/3.0/data/dataflow/IMF.RES/WEO/9.0.0/</x:v>
      </x:c>
      <x:c r="AD359" s="36" t="str">
        <x:v>https://api.worldbank.org/v2/</x:v>
      </x:c>
    </x:row>
    <x:row r="360">
      <x:c r="A360" s="24" t="str">
        <x:v>PAL</x:v>
      </x:c>
      <x:c r="B360" s="24" t="str">
        <x:v>Palestine</x:v>
      </x:c>
      <x:c r="C360" s="24" t="str">
        <x:v>WBG</x:v>
      </x:c>
      <x:c r="D360" s="24" t="str">
        <x:v>WBG</x:v>
      </x:c>
      <x:c r="E360" s="24" t="n">
        <x:v>2026</x:v>
      </x:c>
      <x:c r="F360" s="37" t="n">
        <x:v>0.87</x:v>
      </x:c>
      <x:c r="G360" s="38" t="n">
        <x:v>5692790</x:v>
      </x:c>
      <x:c r="H360" s="38" t="n">
        <x:v>5692790</x:v>
      </x:c>
      <x:c r="I360" s="39" t="n">
        <x:f>H360/G360</x:f>
        <x:v>1</x:v>
      </x:c>
      <x:c r="J360" s="40" t="n">
        <x:f>(I360-1)*100</x:f>
        <x:v>0</x:v>
      </x:c>
      <x:c r="K360" s="36" t="str">
        <x:v>no</x:v>
      </x:c>
      <x:c r="L360" s="36" t="str">
        <x:v>Single-country territory; UN WPP and vanilla are within the ±5% review threshold.</x:v>
      </x:c>
      <x:c r="M360" s="41" t="n">
        <x:v>29192240000</x:v>
      </x:c>
      <x:c r="N360" s="41" t="n">
        <x:v>25397248800</x:v>
      </x:c>
      <x:c r="O360" s="41" t="n">
        <x:v>4461</x:v>
      </x:c>
      <x:c r="P360" s="41" t="n">
        <x:v>2727</x:v>
      </x:c>
      <x:c r="Q360" s="41" t="n">
        <x:v>4057</x:v>
      </x:c>
      <x:c r="R360" s="42" t="n">
        <x:f>MIN(P360,Q360)</x:f>
        <x:v>2727</x:v>
      </x:c>
      <x:c r="S360" s="42" t="n">
        <x:f>MAX(P360,Q360)</x:f>
        <x:v>4057</x:v>
      </x:c>
      <x:c r="T360" s="42" t="n">
        <x:f>MAX(R360,MIN(O360,S360))</x:f>
        <x:v>4057</x:v>
      </x:c>
      <x:c r="U360" s="19" t="str">
        <x:f>IF(O360&lt;R360,IF(R360=P360,"clamped_to_nominal","clamped_to_ppp"),IF(O360&gt;S360,IF(S360=P360,"clamped_to_nominal","clamped_to_ppp"),"kept_vanilla"))</x:f>
        <x:v>clamped_to_ppp</x:v>
      </x:c>
      <x:c r="V360" s="42" t="n">
        <x:f>T360*H360</x:f>
        <x:v>23095649030</x:v>
      </x:c>
      <x:c r="W360" s="42" t="n">
        <x:f>V360/F360</x:f>
        <x:v>26546723022.988506</x:v>
      </x:c>
      <x:c r="X360" s="36" t="str">
        <x:v>WBG: UN WPP 2024 Medium exact 2026</x:v>
      </x:c>
      <x:c r="Y360" s="36" t="str">
        <x:v>WBG: peer-growth inference from World Bank 2025; Middle East, North Africa, Afghanistan &amp; Pakistan median 1.83%/yr (18 peers, capped at ±8%)</x:v>
      </x:c>
      <x:c r="Z360" s="36" t="str">
        <x:v>WBG: peer-growth inference from World Bank 2025; Middle East, North Africa, Afghanistan &amp; Pakistan; Lower middle income median -3.91%/yr (5 peers, capped at ±8%)</x:v>
      </x:c>
      <x:c r="AA360" s="36" t="str">
        <x:v>inferred</x:v>
      </x:c>
      <x:c r="AB360" s="36" t="str">
        <x:v>https://www.un.org/development/desa/pd/world-population-prospects-2024</x:v>
      </x:c>
      <x:c r="AC360" s="36" t="str">
        <x:v>https://api.imf.org/external/sdmx/3.0/data/dataflow/IMF.RES/WEO/9.0.0/</x:v>
      </x:c>
      <x:c r="AD360" s="36" t="str">
        <x:v>https://api.worldbank.org/v2/</x:v>
      </x:c>
    </x:row>
    <x:row r="361">
      <x:c r="A361" s="24" t="str">
        <x:v>PAN</x:v>
      </x:c>
      <x:c r="B361" s="24" t="str">
        <x:v>Panama</x:v>
      </x:c>
      <x:c r="C361" s="24" t="str">
        <x:v>PAN</x:v>
      </x:c>
      <x:c r="D361" s="24" t="str">
        <x:v>PAN</x:v>
      </x:c>
      <x:c r="E361" s="24" t="n">
        <x:v>2003</x:v>
      </x:c>
      <x:c r="F361" s="37" t="n">
        <x:v>1.59</x:v>
      </x:c>
      <x:c r="G361" s="38" t="n">
        <x:v>3189807</x:v>
      </x:c>
      <x:c r="H361" s="38" t="n">
        <x:v>3189807</x:v>
      </x:c>
      <x:c r="I361" s="39" t="n">
        <x:f>H361/G361</x:f>
        <x:v>1</x:v>
      </x:c>
      <x:c r="J361" s="40" t="n">
        <x:f>(I361-1)*100</x:f>
        <x:v>0</x:v>
      </x:c>
      <x:c r="K361" s="36" t="str">
        <x:v>no</x:v>
      </x:c>
      <x:c r="L361" s="36" t="str">
        <x:v>Single-country territory; UN WPP and vanilla are within the ±5% review threshold.</x:v>
      </x:c>
      <x:c r="M361" s="41" t="n">
        <x:v>23369590643</x:v>
      </x:c>
      <x:c r="N361" s="41" t="n">
        <x:v>37157649122</x:v>
      </x:c>
      <x:c r="O361" s="41" t="n">
        <x:v>11649</x:v>
      </x:c>
      <x:c r="P361" s="41" t="n">
        <x:v>6781</x:v>
      </x:c>
      <x:c r="Q361" s="41" t="n">
        <x:v>19204</x:v>
      </x:c>
      <x:c r="R361" s="42" t="n">
        <x:f>MIN(P361,Q361)</x:f>
        <x:v>6781</x:v>
      </x:c>
      <x:c r="S361" s="42" t="n">
        <x:f>MAX(P361,Q361)</x:f>
        <x:v>19204</x:v>
      </x:c>
      <x:c r="T361" s="42" t="n">
        <x:f>MAX(R361,MIN(O361,S361))</x:f>
        <x:v>11649</x:v>
      </x:c>
      <x:c r="U361" s="19" t="str">
        <x:f>IF(O361&lt;R361,IF(R361=P361,"clamped_to_nominal","clamped_to_ppp"),IF(O361&gt;S361,IF(S361=P361,"clamped_to_nominal","clamped_to_ppp"),"kept_vanilla"))</x:f>
        <x:v>kept_vanilla</x:v>
      </x:c>
      <x:c r="V361" s="42" t="n">
        <x:f>T361*H361</x:f>
        <x:v>37158061743</x:v>
      </x:c>
      <x:c r="W361" s="42" t="n">
        <x:f>V361/F361</x:f>
        <x:v>23369850152.83019</x:v>
      </x:c>
      <x:c r="X361" s="36" t="str">
        <x:v>PAN: UN WPP 2024 Medium exact 2003</x:v>
      </x:c>
      <x:c r="Y361" s="36" t="str">
        <x:v>PAN: IMF exact 2003</x:v>
      </x:c>
      <x:c r="Z361" s="36" t="str">
        <x:v>PAN: IMF exact 2003</x:v>
      </x:c>
      <x:c r="AA361" s="36" t="str">
        <x:v>complete_primary</x:v>
      </x:c>
      <x:c r="AB361" s="36" t="str">
        <x:v>https://www.un.org/development/desa/pd/world-population-prospects-2024</x:v>
      </x:c>
      <x:c r="AC361" s="36" t="str">
        <x:v>https://api.imf.org/external/sdmx/3.0/data/dataflow/IMF.RES/WEO/9.0.0/</x:v>
      </x:c>
      <x:c r="AD361" s="36" t="str">
        <x:v>https://api.worldbank.org/v2/</x:v>
      </x:c>
    </x:row>
    <x:row r="362">
      <x:c r="A362" s="24" t="str">
        <x:v>PAN</x:v>
      </x:c>
      <x:c r="B362" s="24" t="str">
        <x:v>Panama</x:v>
      </x:c>
      <x:c r="C362" s="24" t="str">
        <x:v>PAN</x:v>
      </x:c>
      <x:c r="D362" s="24" t="str">
        <x:v>PAN</x:v>
      </x:c>
      <x:c r="E362" s="24" t="n">
        <x:v>2022</x:v>
      </x:c>
      <x:c r="F362" s="37" t="n">
        <x:v>1</x:v>
      </x:c>
      <x:c r="G362" s="38" t="n">
        <x:v>4467252</x:v>
      </x:c>
      <x:c r="H362" s="38" t="n">
        <x:v>4400773</x:v>
      </x:c>
      <x:c r="I362" s="39" t="n">
        <x:f>H362/G362</x:f>
        <x:v>0.9851185919218347</x:v>
      </x:c>
      <x:c r="J362" s="40" t="n">
        <x:f>(I362-1)*100</x:f>
        <x:v>-1.4881408078165292</x:v>
      </x:c>
      <x:c r="K362" s="36" t="str">
        <x:v>no</x:v>
      </x:c>
      <x:c r="L362" s="36" t="str">
        <x:v>Single-country territory; UN WPP and vanilla are within the ±5% review threshold.</x:v>
      </x:c>
      <x:c r="M362" s="41" t="n">
        <x:v>139575040000</x:v>
      </x:c>
      <x:c r="N362" s="41" t="n">
        <x:v>139575040000</x:v>
      </x:c>
      <x:c r="O362" s="41" t="n">
        <x:v>31244</x:v>
      </x:c>
      <x:c r="P362" s="41" t="n">
        <x:v>17379</x:v>
      </x:c>
      <x:c r="Q362" s="41" t="n">
        <x:v>36327</x:v>
      </x:c>
      <x:c r="R362" s="42" t="n">
        <x:f>MIN(P362,Q362)</x:f>
        <x:v>17379</x:v>
      </x:c>
      <x:c r="S362" s="42" t="n">
        <x:f>MAX(P362,Q362)</x:f>
        <x:v>36327</x:v>
      </x:c>
      <x:c r="T362" s="42" t="n">
        <x:f>MAX(R362,MIN(O362,S362))</x:f>
        <x:v>31244</x:v>
      </x:c>
      <x:c r="U362" s="19" t="str">
        <x:f>IF(O362&lt;R362,IF(R362=P362,"clamped_to_nominal","clamped_to_ppp"),IF(O362&gt;S362,IF(S362=P362,"clamped_to_nominal","clamped_to_ppp"),"kept_vanilla"))</x:f>
        <x:v>kept_vanilla</x:v>
      </x:c>
      <x:c r="V362" s="42" t="n">
        <x:f>T362*H362</x:f>
        <x:v>137497751612</x:v>
      </x:c>
      <x:c r="W362" s="42" t="n">
        <x:f>V362/F362</x:f>
        <x:v>137497751612</x:v>
      </x:c>
      <x:c r="X362" s="36" t="str">
        <x:v>PAN: UN WPP 2024 Medium exact 2022</x:v>
      </x:c>
      <x:c r="Y362" s="36" t="str">
        <x:v>PAN: IMF exact 2022</x:v>
      </x:c>
      <x:c r="Z362" s="36" t="str">
        <x:v>PAN: IMF exact 2022</x:v>
      </x:c>
      <x:c r="AA362" s="36" t="str">
        <x:v>complete_primary</x:v>
      </x:c>
      <x:c r="AB362" s="36" t="str">
        <x:v>https://www.un.org/development/desa/pd/world-population-prospects-2024</x:v>
      </x:c>
      <x:c r="AC362" s="36" t="str">
        <x:v>https://api.imf.org/external/sdmx/3.0/data/dataflow/IMF.RES/WEO/9.0.0/</x:v>
      </x:c>
      <x:c r="AD362" s="36" t="str">
        <x:v>https://api.worldbank.org/v2/</x:v>
      </x:c>
    </x:row>
    <x:row r="363">
      <x:c r="A363" s="24" t="str">
        <x:v>PAN</x:v>
      </x:c>
      <x:c r="B363" s="24" t="str">
        <x:v>Panama</x:v>
      </x:c>
      <x:c r="C363" s="24" t="str">
        <x:v>PAN</x:v>
      </x:c>
      <x:c r="D363" s="24" t="str">
        <x:v>PAN</x:v>
      </x:c>
      <x:c r="E363" s="24" t="n">
        <x:v>2026</x:v>
      </x:c>
      <x:c r="F363" s="37" t="n">
        <x:v>0.87</x:v>
      </x:c>
      <x:c r="G363" s="38" t="n">
        <x:v>4625718</x:v>
      </x:c>
      <x:c r="H363" s="38" t="n">
        <x:v>4625718</x:v>
      </x:c>
      <x:c r="I363" s="39" t="n">
        <x:f>H363/G363</x:f>
        <x:v>1</x:v>
      </x:c>
      <x:c r="J363" s="40" t="n">
        <x:f>(I363-1)*100</x:f>
        <x:v>0</x:v>
      </x:c>
      <x:c r="K363" s="36" t="str">
        <x:v>no</x:v>
      </x:c>
      <x:c r="L363" s="36" t="str">
        <x:v>Single-country territory; UN WPP and vanilla are within the ±5% review threshold.</x:v>
      </x:c>
      <x:c r="M363" s="41" t="n">
        <x:v>176132000000</x:v>
      </x:c>
      <x:c r="N363" s="41" t="n">
        <x:v>153234840000</x:v>
      </x:c>
      <x:c r="O363" s="41" t="n">
        <x:v>33127</x:v>
      </x:c>
      <x:c r="P363" s="41" t="n">
        <x:v>17872</x:v>
      </x:c>
      <x:c r="Q363" s="41" t="n">
        <x:v>40331</x:v>
      </x:c>
      <x:c r="R363" s="42" t="n">
        <x:f>MIN(P363,Q363)</x:f>
        <x:v>17872</x:v>
      </x:c>
      <x:c r="S363" s="42" t="n">
        <x:f>MAX(P363,Q363)</x:f>
        <x:v>40331</x:v>
      </x:c>
      <x:c r="T363" s="42" t="n">
        <x:f>MAX(R363,MIN(O363,S363))</x:f>
        <x:v>33127</x:v>
      </x:c>
      <x:c r="U363" s="19" t="str">
        <x:f>IF(O363&lt;R363,IF(R363=P363,"clamped_to_nominal","clamped_to_ppp"),IF(O363&gt;S363,IF(S363=P363,"clamped_to_nominal","clamped_to_ppp"),"kept_vanilla"))</x:f>
        <x:v>kept_vanilla</x:v>
      </x:c>
      <x:c r="V363" s="42" t="n">
        <x:f>T363*H363</x:f>
        <x:v>153236160186</x:v>
      </x:c>
      <x:c r="W363" s="42" t="n">
        <x:f>V363/F363</x:f>
        <x:v>176133517455.17242</x:v>
      </x:c>
      <x:c r="X363" s="36" t="str">
        <x:v>PAN: UN WPP 2024 Medium exact 2026</x:v>
      </x:c>
      <x:c r="Y363" s="36" t="str">
        <x:v>PAN: IMF exact 2026</x:v>
      </x:c>
      <x:c r="Z363" s="36" t="str">
        <x:v>PAN: IMF exact 2026</x:v>
      </x:c>
      <x:c r="AA363" s="36" t="str">
        <x:v>complete_primary</x:v>
      </x:c>
      <x:c r="AB363" s="36" t="str">
        <x:v>https://www.un.org/development/desa/pd/world-population-prospects-2024</x:v>
      </x:c>
      <x:c r="AC363" s="36" t="str">
        <x:v>https://api.imf.org/external/sdmx/3.0/data/dataflow/IMF.RES/WEO/9.0.0/</x:v>
      </x:c>
      <x:c r="AD363" s="36" t="str">
        <x:v>https://api.worldbank.org/v2/</x:v>
      </x:c>
    </x:row>
    <x:row r="364">
      <x:c r="A364" s="24" t="str">
        <x:v>PNG</x:v>
      </x:c>
      <x:c r="B364" s="24" t="str">
        <x:v>Papua New Guinea</x:v>
      </x:c>
      <x:c r="C364" s="24" t="str">
        <x:v>PNG</x:v>
      </x:c>
      <x:c r="D364" s="24" t="str">
        <x:v>PNG</x:v>
      </x:c>
      <x:c r="E364" s="24" t="n">
        <x:v>2003</x:v>
      </x:c>
      <x:c r="F364" s="37" t="n">
        <x:v>1.59</x:v>
      </x:c>
      <x:c r="G364" s="38" t="n">
        <x:v>6123997</x:v>
      </x:c>
      <x:c r="H364" s="38" t="n">
        <x:v>6123997</x:v>
      </x:c>
      <x:c r="I364" s="39" t="n">
        <x:f>H364/G364</x:f>
        <x:v>1</x:v>
      </x:c>
      <x:c r="J364" s="40" t="n">
        <x:f>(I364-1)*100</x:f>
        <x:v>0</x:v>
      </x:c>
      <x:c r="K364" s="36" t="str">
        <x:v>no</x:v>
      </x:c>
      <x:c r="L364" s="36" t="str">
        <x:v>Single-country territory; UN WPP and vanilla are within the ±5% review threshold.</x:v>
      </x:c>
      <x:c r="M364" s="41" t="n">
        <x:v>7143859649</x:v>
      </x:c>
      <x:c r="N364" s="41" t="n">
        <x:v>11358736842</x:v>
      </x:c>
      <x:c r="O364" s="41" t="n">
        <x:v>1855</x:v>
      </x:c>
      <x:c r="P364" s="41" t="n">
        <x:v>1425</x:v>
      </x:c>
      <x:c r="Q364" s="41" t="n">
        <x:v>3172</x:v>
      </x:c>
      <x:c r="R364" s="42" t="n">
        <x:f>MIN(P364,Q364)</x:f>
        <x:v>1425</x:v>
      </x:c>
      <x:c r="S364" s="42" t="n">
        <x:f>MAX(P364,Q364)</x:f>
        <x:v>3172</x:v>
      </x:c>
      <x:c r="T364" s="42" t="n">
        <x:f>MAX(R364,MIN(O364,S364))</x:f>
        <x:v>1855</x:v>
      </x:c>
      <x:c r="U364" s="19" t="str">
        <x:f>IF(O364&lt;R364,IF(R364=P364,"clamped_to_nominal","clamped_to_ppp"),IF(O364&gt;S364,IF(S364=P364,"clamped_to_nominal","clamped_to_ppp"),"kept_vanilla"))</x:f>
        <x:v>kept_vanilla</x:v>
      </x:c>
      <x:c r="V364" s="42" t="n">
        <x:f>T364*H364</x:f>
        <x:v>11360014435</x:v>
      </x:c>
      <x:c r="W364" s="42" t="n">
        <x:f>V364/F364</x:f>
        <x:v>7144663166.666666</x:v>
      </x:c>
      <x:c r="X364" s="36" t="str">
        <x:v>PNG: UN WPP 2024 Medium exact 2003</x:v>
      </x:c>
      <x:c r="Y364" s="36" t="str">
        <x:v>PNG: IMF exact 2003</x:v>
      </x:c>
      <x:c r="Z364" s="36" t="str">
        <x:v>PNG: IMF exact 2003</x:v>
      </x:c>
      <x:c r="AA364" s="36" t="str">
        <x:v>complete_primary</x:v>
      </x:c>
      <x:c r="AB364" s="36" t="str">
        <x:v>https://www.un.org/development/desa/pd/world-population-prospects-2024</x:v>
      </x:c>
      <x:c r="AC364" s="36" t="str">
        <x:v>https://api.imf.org/external/sdmx/3.0/data/dataflow/IMF.RES/WEO/9.0.0/</x:v>
      </x:c>
      <x:c r="AD364" s="36" t="str">
        <x:v>https://api.worldbank.org/v2/</x:v>
      </x:c>
    </x:row>
    <x:row r="365">
      <x:c r="A365" s="24" t="str">
        <x:v>PNG</x:v>
      </x:c>
      <x:c r="B365" s="24" t="str">
        <x:v>Papua New Guinea</x:v>
      </x:c>
      <x:c r="C365" s="24" t="str">
        <x:v>PNG</x:v>
      </x:c>
      <x:c r="D365" s="24" t="str">
        <x:v>PNG</x:v>
      </x:c>
      <x:c r="E365" s="24" t="n">
        <x:v>2022</x:v>
      </x:c>
      <x:c r="F365" s="37" t="n">
        <x:v>1</x:v>
      </x:c>
      <x:c r="G365" s="38" t="n">
        <x:v>9346370</x:v>
      </x:c>
      <x:c r="H365" s="38" t="n">
        <x:v>10203169</x:v>
      </x:c>
      <x:c r="I365" s="39" t="n">
        <x:f>H365/G365</x:f>
        <x:v>1.0916718469309474</x:v>
      </x:c>
      <x:c r="J365" s="40" t="n">
        <x:f>(I365-1)*100</x:f>
        <x:v>9.167184693094743</x:v>
      </x:c>
      <x:c r="K365" s="36" t="str">
        <x:v>yes — reviewed</x:v>
      </x:c>
      <x:c r="L365" s="36" t="str">
        <x:v>Single-country game territory and UN country/area boundary align. The difference is an updated historical estimate/projection vintage, not a geographic-scope mismatch; accept the UN WPP value for a consistent source vintage.</x:v>
      </x:c>
      <x:c r="M365" s="41" t="n">
        <x:v>34618320000</x:v>
      </x:c>
      <x:c r="N365" s="41" t="n">
        <x:v>34618320000</x:v>
      </x:c>
      <x:c r="O365" s="41" t="n">
        <x:v>3704</x:v>
      </x:c>
      <x:c r="P365" s="41" t="n">
        <x:v>3102</x:v>
      </x:c>
      <x:c r="Q365" s="41" t="n">
        <x:v>3843</x:v>
      </x:c>
      <x:c r="R365" s="42" t="n">
        <x:f>MIN(P365,Q365)</x:f>
        <x:v>3102</x:v>
      </x:c>
      <x:c r="S365" s="42" t="n">
        <x:f>MAX(P365,Q365)</x:f>
        <x:v>3843</x:v>
      </x:c>
      <x:c r="T365" s="42" t="n">
        <x:f>MAX(R365,MIN(O365,S365))</x:f>
        <x:v>3704</x:v>
      </x:c>
      <x:c r="U365" s="19" t="str">
        <x:f>IF(O365&lt;R365,IF(R365=P365,"clamped_to_nominal","clamped_to_ppp"),IF(O365&gt;S365,IF(S365=P365,"clamped_to_nominal","clamped_to_ppp"),"kept_vanilla"))</x:f>
        <x:v>kept_vanilla</x:v>
      </x:c>
      <x:c r="V365" s="42" t="n">
        <x:f>T365*H365</x:f>
        <x:v>37792537976</x:v>
      </x:c>
      <x:c r="W365" s="42" t="n">
        <x:f>V365/F365</x:f>
        <x:v>37792537976</x:v>
      </x:c>
      <x:c r="X365" s="36" t="str">
        <x:v>PNG: UN WPP 2024 Medium exact 2022</x:v>
      </x:c>
      <x:c r="Y365" s="36" t="str">
        <x:v>PNG: IMF exact 2022</x:v>
      </x:c>
      <x:c r="Z365" s="36" t="str">
        <x:v>PNG: IMF exact 2022</x:v>
      </x:c>
      <x:c r="AA365" s="36" t="str">
        <x:v>complete_primary</x:v>
      </x:c>
      <x:c r="AB365" s="36" t="str">
        <x:v>https://www.un.org/development/desa/pd/world-population-prospects-2024</x:v>
      </x:c>
      <x:c r="AC365" s="36" t="str">
        <x:v>https://api.imf.org/external/sdmx/3.0/data/dataflow/IMF.RES/WEO/9.0.0/</x:v>
      </x:c>
      <x:c r="AD365" s="36" t="str">
        <x:v>https://api.worldbank.org/v2/</x:v>
      </x:c>
    </x:row>
    <x:row r="366">
      <x:c r="A366" s="24" t="str">
        <x:v>PNG</x:v>
      </x:c>
      <x:c r="B366" s="24" t="str">
        <x:v>Papua New Guinea</x:v>
      </x:c>
      <x:c r="C366" s="24" t="str">
        <x:v>PNG</x:v>
      </x:c>
      <x:c r="D366" s="24" t="str">
        <x:v>PNG</x:v>
      </x:c>
      <x:c r="E366" s="24" t="n">
        <x:v>2026</x:v>
      </x:c>
      <x:c r="F366" s="37" t="n">
        <x:v>0.87</x:v>
      </x:c>
      <x:c r="G366" s="38" t="n">
        <x:v>10947848</x:v>
      </x:c>
      <x:c r="H366" s="38" t="n">
        <x:v>10947848</x:v>
      </x:c>
      <x:c r="I366" s="39" t="n">
        <x:f>H366/G366</x:f>
        <x:v>1</x:v>
      </x:c>
      <x:c r="J366" s="40" t="n">
        <x:f>(I366-1)*100</x:f>
        <x:v>0</x:v>
      </x:c>
      <x:c r="K366" s="36" t="str">
        <x:v>no</x:v>
      </x:c>
      <x:c r="L366" s="36" t="str">
        <x:v>Single-country territory; UN WPP and vanilla are within the ±5% review threshold.</x:v>
      </x:c>
      <x:c r="M366" s="41" t="n">
        <x:v>42329760000</x:v>
      </x:c>
      <x:c r="N366" s="41" t="n">
        <x:v>36826891200</x:v>
      </x:c>
      <x:c r="O366" s="41" t="n">
        <x:v>3364</x:v>
      </x:c>
      <x:c r="P366" s="41" t="n">
        <x:v>2734</x:v>
      </x:c>
      <x:c r="Q366" s="41" t="n">
        <x:v>4141</x:v>
      </x:c>
      <x:c r="R366" s="42" t="n">
        <x:f>MIN(P366,Q366)</x:f>
        <x:v>2734</x:v>
      </x:c>
      <x:c r="S366" s="42" t="n">
        <x:f>MAX(P366,Q366)</x:f>
        <x:v>4141</x:v>
      </x:c>
      <x:c r="T366" s="42" t="n">
        <x:f>MAX(R366,MIN(O366,S366))</x:f>
        <x:v>3364</x:v>
      </x:c>
      <x:c r="U366" s="19" t="str">
        <x:f>IF(O366&lt;R366,IF(R366=P366,"clamped_to_nominal","clamped_to_ppp"),IF(O366&gt;S366,IF(S366=P366,"clamped_to_nominal","clamped_to_ppp"),"kept_vanilla"))</x:f>
        <x:v>kept_vanilla</x:v>
      </x:c>
      <x:c r="V366" s="42" t="n">
        <x:f>T366*H366</x:f>
        <x:v>36828560672</x:v>
      </x:c>
      <x:c r="W366" s="42" t="n">
        <x:f>V366/F366</x:f>
        <x:v>42331678933.333336</x:v>
      </x:c>
      <x:c r="X366" s="36" t="str">
        <x:v>PNG: UN WPP 2024 Medium exact 2026</x:v>
      </x:c>
      <x:c r="Y366" s="36" t="str">
        <x:v>PNG: IMF exact 2026</x:v>
      </x:c>
      <x:c r="Z366" s="36" t="str">
        <x:v>PNG: IMF exact 2026</x:v>
      </x:c>
      <x:c r="AA366" s="36" t="str">
        <x:v>complete_primary</x:v>
      </x:c>
      <x:c r="AB366" s="36" t="str">
        <x:v>https://www.un.org/development/desa/pd/world-population-prospects-2024</x:v>
      </x:c>
      <x:c r="AC366" s="36" t="str">
        <x:v>https://api.imf.org/external/sdmx/3.0/data/dataflow/IMF.RES/WEO/9.0.0/</x:v>
      </x:c>
      <x:c r="AD366" s="36" t="str">
        <x:v>https://api.worldbank.org/v2/</x:v>
      </x:c>
    </x:row>
    <x:row r="367">
      <x:c r="A367" s="24" t="str">
        <x:v>PRY</x:v>
      </x:c>
      <x:c r="B367" s="24" t="str">
        <x:v>Paraguay</x:v>
      </x:c>
      <x:c r="C367" s="24" t="str">
        <x:v>PRY</x:v>
      </x:c>
      <x:c r="D367" s="24" t="str">
        <x:v>PRY</x:v>
      </x:c>
      <x:c r="E367" s="24" t="n">
        <x:v>2003</x:v>
      </x:c>
      <x:c r="F367" s="37" t="n">
        <x:v>1.59</x:v>
      </x:c>
      <x:c r="G367" s="38" t="n">
        <x:v>5326436</x:v>
      </x:c>
      <x:c r="H367" s="38" t="n">
        <x:v>5326436</x:v>
      </x:c>
      <x:c r="I367" s="39" t="n">
        <x:f>H367/G367</x:f>
        <x:v>1</x:v>
      </x:c>
      <x:c r="J367" s="40" t="n">
        <x:f>(I367-1)*100</x:f>
        <x:v>0</x:v>
      </x:c>
      <x:c r="K367" s="36" t="str">
        <x:v>no</x:v>
      </x:c>
      <x:c r="L367" s="36" t="str">
        <x:v>Single-country territory; UN WPP and vanilla are within the ±5% review threshold.</x:v>
      </x:c>
      <x:c r="M367" s="41" t="n">
        <x:v>21672514620</x:v>
      </x:c>
      <x:c r="N367" s="41" t="n">
        <x:v>34459298246</x:v>
      </x:c>
      <x:c r="O367" s="41" t="n">
        <x:v>6469</x:v>
      </x:c>
      <x:c r="P367" s="41" t="n">
        <x:v>2296</x:v>
      </x:c>
      <x:c r="Q367" s="41" t="n">
        <x:v>11063</x:v>
      </x:c>
      <x:c r="R367" s="42" t="n">
        <x:f>MIN(P367,Q367)</x:f>
        <x:v>2296</x:v>
      </x:c>
      <x:c r="S367" s="42" t="n">
        <x:f>MAX(P367,Q367)</x:f>
        <x:v>11063</x:v>
      </x:c>
      <x:c r="T367" s="42" t="n">
        <x:f>MAX(R367,MIN(O367,S367))</x:f>
        <x:v>6469</x:v>
      </x:c>
      <x:c r="U367" s="19" t="str">
        <x:f>IF(O367&lt;R367,IF(R367=P367,"clamped_to_nominal","clamped_to_ppp"),IF(O367&gt;S367,IF(S367=P367,"clamped_to_nominal","clamped_to_ppp"),"kept_vanilla"))</x:f>
        <x:v>kept_vanilla</x:v>
      </x:c>
      <x:c r="V367" s="42" t="n">
        <x:f>T367*H367</x:f>
        <x:v>34456714484</x:v>
      </x:c>
      <x:c r="W367" s="42" t="n">
        <x:f>V367/F367</x:f>
        <x:v>21670889612.578617</x:v>
      </x:c>
      <x:c r="X367" s="36" t="str">
        <x:v>PRY: UN WPP 2024 Medium exact 2003</x:v>
      </x:c>
      <x:c r="Y367" s="36" t="str">
        <x:v>PRY: IMF exact 2003</x:v>
      </x:c>
      <x:c r="Z367" s="36" t="str">
        <x:v>PRY: IMF exact 2003</x:v>
      </x:c>
      <x:c r="AA367" s="36" t="str">
        <x:v>complete_primary</x:v>
      </x:c>
      <x:c r="AB367" s="36" t="str">
        <x:v>https://www.un.org/development/desa/pd/world-population-prospects-2024</x:v>
      </x:c>
      <x:c r="AC367" s="36" t="str">
        <x:v>https://api.imf.org/external/sdmx/3.0/data/dataflow/IMF.RES/WEO/9.0.0/</x:v>
      </x:c>
      <x:c r="AD367" s="36" t="str">
        <x:v>https://api.worldbank.org/v2/</x:v>
      </x:c>
    </x:row>
    <x:row r="368">
      <x:c r="A368" s="24" t="str">
        <x:v>PRY</x:v>
      </x:c>
      <x:c r="B368" s="24" t="str">
        <x:v>Paraguay</x:v>
      </x:c>
      <x:c r="C368" s="24" t="str">
        <x:v>PRY</x:v>
      </x:c>
      <x:c r="D368" s="24" t="str">
        <x:v>PRY</x:v>
      </x:c>
      <x:c r="E368" s="24" t="n">
        <x:v>2022</x:v>
      </x:c>
      <x:c r="F368" s="37" t="n">
        <x:v>1</x:v>
      </x:c>
      <x:c r="G368" s="38" t="n">
        <x:v>7332478</x:v>
      </x:c>
      <x:c r="H368" s="38" t="n">
        <x:v>6760464</x:v>
      </x:c>
      <x:c r="I368" s="39" t="n">
        <x:f>H368/G368</x:f>
        <x:v>0.9219889919887929</x:v>
      </x:c>
      <x:c r="J368" s="40" t="n">
        <x:f>(I368-1)*100</x:f>
        <x:v>-7.801100801120708</x:v>
      </x:c>
      <x:c r="K368" s="36" t="str">
        <x:v>yes — reviewed</x:v>
      </x:c>
      <x:c r="L368" s="36" t="str">
        <x:v>Single-country game territory and UN country/area boundary align. The difference is an updated historical estimate/projection vintage, not a geographic-scope mismatch; accept the UN WPP value for a consistent source vintage.</x:v>
      </x:c>
      <x:c r="M368" s="41" t="n">
        <x:v>94647520000</x:v>
      </x:c>
      <x:c r="N368" s="41" t="n">
        <x:v>94647520000</x:v>
      </x:c>
      <x:c r="O368" s="41" t="n">
        <x:v>12908</x:v>
      </x:c>
      <x:c r="P368" s="41" t="n">
        <x:v>6189</x:v>
      </x:c>
      <x:c r="Q368" s="41" t="n">
        <x:v>16306</x:v>
      </x:c>
      <x:c r="R368" s="42" t="n">
        <x:f>MIN(P368,Q368)</x:f>
        <x:v>6189</x:v>
      </x:c>
      <x:c r="S368" s="42" t="n">
        <x:f>MAX(P368,Q368)</x:f>
        <x:v>16306</x:v>
      </x:c>
      <x:c r="T368" s="42" t="n">
        <x:f>MAX(R368,MIN(O368,S368))</x:f>
        <x:v>12908</x:v>
      </x:c>
      <x:c r="U368" s="19" t="str">
        <x:f>IF(O368&lt;R368,IF(R368=P368,"clamped_to_nominal","clamped_to_ppp"),IF(O368&gt;S368,IF(S368=P368,"clamped_to_nominal","clamped_to_ppp"),"kept_vanilla"))</x:f>
        <x:v>kept_vanilla</x:v>
      </x:c>
      <x:c r="V368" s="42" t="n">
        <x:f>T368*H368</x:f>
        <x:v>87264069312</x:v>
      </x:c>
      <x:c r="W368" s="42" t="n">
        <x:f>V368/F368</x:f>
        <x:v>87264069312</x:v>
      </x:c>
      <x:c r="X368" s="36" t="str">
        <x:v>PRY: UN WPP 2024 Medium exact 2022</x:v>
      </x:c>
      <x:c r="Y368" s="36" t="str">
        <x:v>PRY: IMF exact 2022</x:v>
      </x:c>
      <x:c r="Z368" s="36" t="str">
        <x:v>PRY: IMF exact 2022</x:v>
      </x:c>
      <x:c r="AA368" s="36" t="str">
        <x:v>complete_primary</x:v>
      </x:c>
      <x:c r="AB368" s="36" t="str">
        <x:v>https://www.un.org/development/desa/pd/world-population-prospects-2024</x:v>
      </x:c>
      <x:c r="AC368" s="36" t="str">
        <x:v>https://api.imf.org/external/sdmx/3.0/data/dataflow/IMF.RES/WEO/9.0.0/</x:v>
      </x:c>
      <x:c r="AD368" s="36" t="str">
        <x:v>https://api.worldbank.org/v2/</x:v>
      </x:c>
    </x:row>
    <x:row r="369">
      <x:c r="A369" s="24" t="str">
        <x:v>PRY</x:v>
      </x:c>
      <x:c r="B369" s="24" t="str">
        <x:v>Paraguay</x:v>
      </x:c>
      <x:c r="C369" s="24" t="str">
        <x:v>PRY</x:v>
      </x:c>
      <x:c r="D369" s="24" t="str">
        <x:v>PRY</x:v>
      </x:c>
      <x:c r="E369" s="24" t="n">
        <x:v>2026</x:v>
      </x:c>
      <x:c r="F369" s="37" t="n">
        <x:v>0.87</x:v>
      </x:c>
      <x:c r="G369" s="38" t="n">
        <x:v>7095280</x:v>
      </x:c>
      <x:c r="H369" s="38" t="n">
        <x:v>7095279</x:v>
      </x:c>
      <x:c r="I369" s="39" t="n">
        <x:f>H369/G369</x:f>
        <x:v>0.9999998590612351</x:v>
      </x:c>
      <x:c r="J369" s="40" t="n">
        <x:f>(I369-1)*100</x:f>
        <x:v>-0.000014093876488097123</x:v>
      </x:c>
      <x:c r="K369" s="36" t="str">
        <x:v>no</x:v>
      </x:c>
      <x:c r="L369" s="36" t="str">
        <x:v>Single-country territory; UN WPP and vanilla are within the ±5% review threshold.</x:v>
      </x:c>
      <x:c r="M369" s="41" t="n">
        <x:v>120068960000</x:v>
      </x:c>
      <x:c r="N369" s="41" t="n">
        <x:v>104459995200</x:v>
      </x:c>
      <x:c r="O369" s="41" t="n">
        <x:v>14722</x:v>
      </x:c>
      <x:c r="P369" s="41" t="n">
        <x:v>7423</x:v>
      </x:c>
      <x:c r="Q369" s="41" t="n">
        <x:v>18496</x:v>
      </x:c>
      <x:c r="R369" s="42" t="n">
        <x:f>MIN(P369,Q369)</x:f>
        <x:v>7423</x:v>
      </x:c>
      <x:c r="S369" s="42" t="n">
        <x:f>MAX(P369,Q369)</x:f>
        <x:v>18496</x:v>
      </x:c>
      <x:c r="T369" s="42" t="n">
        <x:f>MAX(R369,MIN(O369,S369))</x:f>
        <x:v>14722</x:v>
      </x:c>
      <x:c r="U369" s="19" t="str">
        <x:f>IF(O369&lt;R369,IF(R369=P369,"clamped_to_nominal","clamped_to_ppp"),IF(O369&gt;S369,IF(S369=P369,"clamped_to_nominal","clamped_to_ppp"),"kept_vanilla"))</x:f>
        <x:v>kept_vanilla</x:v>
      </x:c>
      <x:c r="V369" s="42" t="n">
        <x:f>T369*H369</x:f>
        <x:v>104456697438</x:v>
      </x:c>
      <x:c r="W369" s="42" t="n">
        <x:f>V369/F369</x:f>
        <x:v>120065169468.96552</x:v>
      </x:c>
      <x:c r="X369" s="36" t="str">
        <x:v>PRY: UN WPP 2024 Medium exact 2026</x:v>
      </x:c>
      <x:c r="Y369" s="36" t="str">
        <x:v>PRY: IMF exact 2026</x:v>
      </x:c>
      <x:c r="Z369" s="36" t="str">
        <x:v>PRY: IMF exact 2026</x:v>
      </x:c>
      <x:c r="AA369" s="36" t="str">
        <x:v>complete_primary</x:v>
      </x:c>
      <x:c r="AB369" s="36" t="str">
        <x:v>https://www.un.org/development/desa/pd/world-population-prospects-2024</x:v>
      </x:c>
      <x:c r="AC369" s="36" t="str">
        <x:v>https://api.imf.org/external/sdmx/3.0/data/dataflow/IMF.RES/WEO/9.0.0/</x:v>
      </x:c>
      <x:c r="AD369" s="36" t="str">
        <x:v>https://api.worldbank.org/v2/</x:v>
      </x:c>
    </x:row>
    <x:row r="370">
      <x:c r="A370" s="24" t="str">
        <x:v>PER</x:v>
      </x:c>
      <x:c r="B370" s="24" t="str">
        <x:v>Peru</x:v>
      </x:c>
      <x:c r="C370" s="24" t="str">
        <x:v>PER</x:v>
      </x:c>
      <x:c r="D370" s="24" t="str">
        <x:v>PER</x:v>
      </x:c>
      <x:c r="E370" s="24" t="n">
        <x:v>2003</x:v>
      </x:c>
      <x:c r="F370" s="37" t="n">
        <x:v>1.59</x:v>
      </x:c>
      <x:c r="G370" s="38" t="n">
        <x:v>27580490</x:v>
      </x:c>
      <x:c r="H370" s="38" t="n">
        <x:v>27580490</x:v>
      </x:c>
      <x:c r="I370" s="39" t="n">
        <x:f>H370/G370</x:f>
        <x:v>1</x:v>
      </x:c>
      <x:c r="J370" s="40" t="n">
        <x:f>(I370-1)*100</x:f>
        <x:v>0</x:v>
      </x:c>
      <x:c r="K370" s="36" t="str">
        <x:v>no</x:v>
      </x:c>
      <x:c r="L370" s="36" t="str">
        <x:v>Single-country territory; UN WPP and vanilla are within the ±5% review threshold.</x:v>
      </x:c>
      <x:c r="M370" s="41" t="n">
        <x:v>87084795322</x:v>
      </x:c>
      <x:c r="N370" s="41" t="n">
        <x:v>138464824562</x:v>
      </x:c>
      <x:c r="O370" s="41" t="n">
        <x:v>5020</x:v>
      </x:c>
      <x:c r="P370" s="41" t="n">
        <x:v>3377</x:v>
      </x:c>
      <x:c r="Q370" s="41" t="n">
        <x:v>8702</x:v>
      </x:c>
      <x:c r="R370" s="42" t="n">
        <x:f>MIN(P370,Q370)</x:f>
        <x:v>3377</x:v>
      </x:c>
      <x:c r="S370" s="42" t="n">
        <x:f>MAX(P370,Q370)</x:f>
        <x:v>8702</x:v>
      </x:c>
      <x:c r="T370" s="42" t="n">
        <x:f>MAX(R370,MIN(O370,S370))</x:f>
        <x:v>5020</x:v>
      </x:c>
      <x:c r="U370" s="19" t="str">
        <x:f>IF(O370&lt;R370,IF(R370=P370,"clamped_to_nominal","clamped_to_ppp"),IF(O370&gt;S370,IF(S370=P370,"clamped_to_nominal","clamped_to_ppp"),"kept_vanilla"))</x:f>
        <x:v>kept_vanilla</x:v>
      </x:c>
      <x:c r="V370" s="42" t="n">
        <x:f>T370*H370</x:f>
        <x:v>138454059800</x:v>
      </x:c>
      <x:c r="W370" s="42" t="n">
        <x:f>V370/F370</x:f>
        <x:v>87078025031.44653</x:v>
      </x:c>
      <x:c r="X370" s="36" t="str">
        <x:v>PER: UN WPP 2024 Medium exact 2003</x:v>
      </x:c>
      <x:c r="Y370" s="36" t="str">
        <x:v>PER: IMF exact 2003</x:v>
      </x:c>
      <x:c r="Z370" s="36" t="str">
        <x:v>PER: IMF exact 2003</x:v>
      </x:c>
      <x:c r="AA370" s="36" t="str">
        <x:v>complete_primary</x:v>
      </x:c>
      <x:c r="AB370" s="36" t="str">
        <x:v>https://www.un.org/development/desa/pd/world-population-prospects-2024</x:v>
      </x:c>
      <x:c r="AC370" s="36" t="str">
        <x:v>https://api.imf.org/external/sdmx/3.0/data/dataflow/IMF.RES/WEO/9.0.0/</x:v>
      </x:c>
      <x:c r="AD370" s="36" t="str">
        <x:v>https://api.worldbank.org/v2/</x:v>
      </x:c>
    </x:row>
    <x:row r="371">
      <x:c r="A371" s="24" t="str">
        <x:v>PER</x:v>
      </x:c>
      <x:c r="B371" s="24" t="str">
        <x:v>Peru</x:v>
      </x:c>
      <x:c r="C371" s="24" t="str">
        <x:v>PER</x:v>
      </x:c>
      <x:c r="D371" s="24" t="str">
        <x:v>PER</x:v>
      </x:c>
      <x:c r="E371" s="24" t="n">
        <x:v>2022</x:v>
      </x:c>
      <x:c r="F371" s="37" t="n">
        <x:v>1</x:v>
      </x:c>
      <x:c r="G371" s="38" t="n">
        <x:v>33779525</x:v>
      </x:c>
      <x:c r="H371" s="38" t="n">
        <x:v>33475438</x:v>
      </x:c>
      <x:c r="I371" s="39" t="n">
        <x:f>H371/G371</x:f>
        <x:v>0.9909978899940126</x:v>
      </x:c>
      <x:c r="J371" s="40" t="n">
        <x:f>(I371-1)*100</x:f>
        <x:v>-0.9002110005987385</x:v>
      </x:c>
      <x:c r="K371" s="36" t="str">
        <x:v>no</x:v>
      </x:c>
      <x:c r="L371" s="36" t="str">
        <x:v>Single-country territory; UN WPP and vanilla are within the ±5% review threshold.</x:v>
      </x:c>
      <x:c r="M371" s="41" t="n">
        <x:v>452069200000</x:v>
      </x:c>
      <x:c r="N371" s="41" t="n">
        <x:v>452069200000</x:v>
      </x:c>
      <x:c r="O371" s="41" t="n">
        <x:v>13383</x:v>
      </x:c>
      <x:c r="P371" s="41" t="n">
        <x:v>7414</x:v>
      </x:c>
      <x:c r="Q371" s="41" t="n">
        <x:v>16933</x:v>
      </x:c>
      <x:c r="R371" s="42" t="n">
        <x:f>MIN(P371,Q371)</x:f>
        <x:v>7414</x:v>
      </x:c>
      <x:c r="S371" s="42" t="n">
        <x:f>MAX(P371,Q371)</x:f>
        <x:v>16933</x:v>
      </x:c>
      <x:c r="T371" s="42" t="n">
        <x:f>MAX(R371,MIN(O371,S371))</x:f>
        <x:v>13383</x:v>
      </x:c>
      <x:c r="U371" s="19" t="str">
        <x:f>IF(O371&lt;R371,IF(R371=P371,"clamped_to_nominal","clamped_to_ppp"),IF(O371&gt;S371,IF(S371=P371,"clamped_to_nominal","clamped_to_ppp"),"kept_vanilla"))</x:f>
        <x:v>kept_vanilla</x:v>
      </x:c>
      <x:c r="V371" s="42" t="n">
        <x:f>T371*H371</x:f>
        <x:v>448001786754</x:v>
      </x:c>
      <x:c r="W371" s="42" t="n">
        <x:f>V371/F371</x:f>
        <x:v>448001786754</x:v>
      </x:c>
      <x:c r="X371" s="36" t="str">
        <x:v>PER: UN WPP 2024 Medium exact 2022</x:v>
      </x:c>
      <x:c r="Y371" s="36" t="str">
        <x:v>PER: IMF exact 2022</x:v>
      </x:c>
      <x:c r="Z371" s="36" t="str">
        <x:v>PER: IMF exact 2022</x:v>
      </x:c>
      <x:c r="AA371" s="36" t="str">
        <x:v>complete_primary</x:v>
      </x:c>
      <x:c r="AB371" s="36" t="str">
        <x:v>https://www.un.org/development/desa/pd/world-population-prospects-2024</x:v>
      </x:c>
      <x:c r="AC371" s="36" t="str">
        <x:v>https://api.imf.org/external/sdmx/3.0/data/dataflow/IMF.RES/WEO/9.0.0/</x:v>
      </x:c>
      <x:c r="AD371" s="36" t="str">
        <x:v>https://api.worldbank.org/v2/</x:v>
      </x:c>
    </x:row>
    <x:row r="372">
      <x:c r="A372" s="24" t="str">
        <x:v>PER</x:v>
      </x:c>
      <x:c r="B372" s="24" t="str">
        <x:v>Peru</x:v>
      </x:c>
      <x:c r="C372" s="24" t="str">
        <x:v>PER</x:v>
      </x:c>
      <x:c r="D372" s="24" t="str">
        <x:v>PER</x:v>
      </x:c>
      <x:c r="E372" s="24" t="n">
        <x:v>2026</x:v>
      </x:c>
      <x:c r="F372" s="37" t="n">
        <x:v>0.87</x:v>
      </x:c>
      <x:c r="G372" s="38" t="n">
        <x:v>34922148</x:v>
      </x:c>
      <x:c r="H372" s="38" t="n">
        <x:v>34922148</x:v>
      </x:c>
      <x:c r="I372" s="39" t="n">
        <x:f>H372/G372</x:f>
        <x:v>1</x:v>
      </x:c>
      <x:c r="J372" s="40" t="n">
        <x:f>(I372-1)*100</x:f>
        <x:v>0</x:v>
      </x:c>
      <x:c r="K372" s="36" t="str">
        <x:v>no</x:v>
      </x:c>
      <x:c r="L372" s="36" t="str">
        <x:v>Single-country territory; UN WPP and vanilla are within the ±5% review threshold.</x:v>
      </x:c>
      <x:c r="M372" s="41" t="n">
        <x:v>565885760000</x:v>
      </x:c>
      <x:c r="N372" s="41" t="n">
        <x:v>492320611200</x:v>
      </x:c>
      <x:c r="O372" s="41" t="n">
        <x:v>14098</x:v>
      </x:c>
      <x:c r="P372" s="41" t="n">
        <x:v>9489</x:v>
      </x:c>
      <x:c r="Q372" s="41" t="n">
        <x:v>17416</x:v>
      </x:c>
      <x:c r="R372" s="42" t="n">
        <x:f>MIN(P372,Q372)</x:f>
        <x:v>9489</x:v>
      </x:c>
      <x:c r="S372" s="42" t="n">
        <x:f>MAX(P372,Q372)</x:f>
        <x:v>17416</x:v>
      </x:c>
      <x:c r="T372" s="42" t="n">
        <x:f>MAX(R372,MIN(O372,S372))</x:f>
        <x:v>14098</x:v>
      </x:c>
      <x:c r="U372" s="19" t="str">
        <x:f>IF(O372&lt;R372,IF(R372=P372,"clamped_to_nominal","clamped_to_ppp"),IF(O372&gt;S372,IF(S372=P372,"clamped_to_nominal","clamped_to_ppp"),"kept_vanilla"))</x:f>
        <x:v>kept_vanilla</x:v>
      </x:c>
      <x:c r="V372" s="42" t="n">
        <x:f>T372*H372</x:f>
        <x:v>492332442504</x:v>
      </x:c>
      <x:c r="W372" s="42" t="n">
        <x:f>V372/F372</x:f>
        <x:v>565899359200</x:v>
      </x:c>
      <x:c r="X372" s="36" t="str">
        <x:v>PER: UN WPP 2024 Medium exact 2026</x:v>
      </x:c>
      <x:c r="Y372" s="36" t="str">
        <x:v>PER: IMF exact 2026</x:v>
      </x:c>
      <x:c r="Z372" s="36" t="str">
        <x:v>PER: IMF exact 2026</x:v>
      </x:c>
      <x:c r="AA372" s="36" t="str">
        <x:v>complete_primary</x:v>
      </x:c>
      <x:c r="AB372" s="36" t="str">
        <x:v>https://www.un.org/development/desa/pd/world-population-prospects-2024</x:v>
      </x:c>
      <x:c r="AC372" s="36" t="str">
        <x:v>https://api.imf.org/external/sdmx/3.0/data/dataflow/IMF.RES/WEO/9.0.0/</x:v>
      </x:c>
      <x:c r="AD372" s="36" t="str">
        <x:v>https://api.worldbank.org/v2/</x:v>
      </x:c>
    </x:row>
    <x:row r="373">
      <x:c r="A373" s="24" t="str">
        <x:v>PHL</x:v>
      </x:c>
      <x:c r="B373" s="24" t="str">
        <x:v>Philippines</x:v>
      </x:c>
      <x:c r="C373" s="24" t="str">
        <x:v>PHL</x:v>
      </x:c>
      <x:c r="D373" s="24" t="str">
        <x:v>PHL</x:v>
      </x:c>
      <x:c r="E373" s="24" t="n">
        <x:v>2003</x:v>
      </x:c>
      <x:c r="F373" s="37" t="n">
        <x:v>1.59</x:v>
      </x:c>
      <x:c r="G373" s="38" t="n">
        <x:v>84731834</x:v>
      </x:c>
      <x:c r="H373" s="38" t="n">
        <x:v>84731835</x:v>
      </x:c>
      <x:c r="I373" s="39" t="n">
        <x:f>H373/G373</x:f>
        <x:v>1.0000000118019396</x:v>
      </x:c>
      <x:c r="J373" s="40" t="n">
        <x:f>(I373-1)*100</x:f>
        <x:v>0.0000011801939647781978</x:v>
      </x:c>
      <x:c r="K373" s="36" t="str">
        <x:v>no</x:v>
      </x:c>
      <x:c r="L373" s="36" t="str">
        <x:v>Single-country territory; UN WPP and vanilla are within the ±5% review threshold.</x:v>
      </x:c>
      <x:c r="M373" s="41" t="n">
        <x:v>172892397661</x:v>
      </x:c>
      <x:c r="N373" s="41" t="n">
        <x:v>274898912281</x:v>
      </x:c>
      <x:c r="O373" s="41" t="n">
        <x:v>3244</x:v>
      </x:c>
      <x:c r="P373" s="41" t="n">
        <x:v>1633</x:v>
      </x:c>
      <x:c r="Q373" s="41" t="n">
        <x:v>5548</x:v>
      </x:c>
      <x:c r="R373" s="42" t="n">
        <x:f>MIN(P373,Q373)</x:f>
        <x:v>1633</x:v>
      </x:c>
      <x:c r="S373" s="42" t="n">
        <x:f>MAX(P373,Q373)</x:f>
        <x:v>5548</x:v>
      </x:c>
      <x:c r="T373" s="42" t="n">
        <x:f>MAX(R373,MIN(O373,S373))</x:f>
        <x:v>3244</x:v>
      </x:c>
      <x:c r="U373" s="19" t="str">
        <x:f>IF(O373&lt;R373,IF(R373=P373,"clamped_to_nominal","clamped_to_ppp"),IF(O373&gt;S373,IF(S373=P373,"clamped_to_nominal","clamped_to_ppp"),"kept_vanilla"))</x:f>
        <x:v>kept_vanilla</x:v>
      </x:c>
      <x:c r="V373" s="42" t="n">
        <x:f>T373*H373</x:f>
        <x:v>274870072740</x:v>
      </x:c>
      <x:c r="W373" s="42" t="n">
        <x:f>V373/F373</x:f>
        <x:v>172874259584.90564</x:v>
      </x:c>
      <x:c r="X373" s="36" t="str">
        <x:v>PHL: UN WPP 2024 Medium exact 2003</x:v>
      </x:c>
      <x:c r="Y373" s="36" t="str">
        <x:v>PHL: IMF exact 2003</x:v>
      </x:c>
      <x:c r="Z373" s="36" t="str">
        <x:v>PHL: IMF exact 2003</x:v>
      </x:c>
      <x:c r="AA373" s="36" t="str">
        <x:v>complete_primary</x:v>
      </x:c>
      <x:c r="AB373" s="36" t="str">
        <x:v>https://www.un.org/development/desa/pd/world-population-prospects-2024</x:v>
      </x:c>
      <x:c r="AC373" s="36" t="str">
        <x:v>https://api.imf.org/external/sdmx/3.0/data/dataflow/IMF.RES/WEO/9.0.0/</x:v>
      </x:c>
      <x:c r="AD373" s="36" t="str">
        <x:v>https://api.worldbank.org/v2/</x:v>
      </x:c>
    </x:row>
    <x:row r="374">
      <x:c r="A374" s="24" t="str">
        <x:v>PHL</x:v>
      </x:c>
      <x:c r="B374" s="24" t="str">
        <x:v>Philippines</x:v>
      </x:c>
      <x:c r="C374" s="24" t="str">
        <x:v>PHL</x:v>
      </x:c>
      <x:c r="D374" s="24" t="str">
        <x:v>PHL</x:v>
      </x:c>
      <x:c r="E374" s="24" t="n">
        <x:v>2022</x:v>
      </x:c>
      <x:c r="F374" s="37" t="n">
        <x:v>1</x:v>
      </x:c>
      <x:c r="G374" s="38" t="n">
        <x:v>112965184</x:v>
      </x:c>
      <x:c r="H374" s="38" t="n">
        <x:v>113964338</x:v>
      </x:c>
      <x:c r="I374" s="39" t="n">
        <x:f>H374/G374</x:f>
        <x:v>1.008844795932878</x:v>
      </x:c>
      <x:c r="J374" s="40" t="n">
        <x:f>(I374-1)*100</x:f>
        <x:v>0.8844795932877902</x:v>
      </x:c>
      <x:c r="K374" s="36" t="str">
        <x:v>no</x:v>
      </x:c>
      <x:c r="L374" s="36" t="str">
        <x:v>Single-country territory; UN WPP and vanilla are within the ±5% review threshold.</x:v>
      </x:c>
      <x:c r="M374" s="41" t="n">
        <x:v>1006598560000</x:v>
      </x:c>
      <x:c r="N374" s="41" t="n">
        <x:v>1006598560000</x:v>
      </x:c>
      <x:c r="O374" s="41" t="n">
        <x:v>8911</x:v>
      </x:c>
      <x:c r="P374" s="41" t="n">
        <x:v>3548</x:v>
      </x:c>
      <x:c r="Q374" s="41" t="n">
        <x:v>10130</x:v>
      </x:c>
      <x:c r="R374" s="42" t="n">
        <x:f>MIN(P374,Q374)</x:f>
        <x:v>3548</x:v>
      </x:c>
      <x:c r="S374" s="42" t="n">
        <x:f>MAX(P374,Q374)</x:f>
        <x:v>10130</x:v>
      </x:c>
      <x:c r="T374" s="42" t="n">
        <x:f>MAX(R374,MIN(O374,S374))</x:f>
        <x:v>8911</x:v>
      </x:c>
      <x:c r="U374" s="19" t="str">
        <x:f>IF(O374&lt;R374,IF(R374=P374,"clamped_to_nominal","clamped_to_ppp"),IF(O374&gt;S374,IF(S374=P374,"clamped_to_nominal","clamped_to_ppp"),"kept_vanilla"))</x:f>
        <x:v>kept_vanilla</x:v>
      </x:c>
      <x:c r="V374" s="42" t="n">
        <x:f>T374*H374</x:f>
        <x:v>1015536215918</x:v>
      </x:c>
      <x:c r="W374" s="42" t="n">
        <x:f>V374/F374</x:f>
        <x:v>1015536215918</x:v>
      </x:c>
      <x:c r="X374" s="36" t="str">
        <x:v>PHL: UN WPP 2024 Medium exact 2022</x:v>
      </x:c>
      <x:c r="Y374" s="36" t="str">
        <x:v>PHL: IMF exact 2022</x:v>
      </x:c>
      <x:c r="Z374" s="36" t="str">
        <x:v>PHL: IMF exact 2022</x:v>
      </x:c>
      <x:c r="AA374" s="36" t="str">
        <x:v>complete_primary</x:v>
      </x:c>
      <x:c r="AB374" s="36" t="str">
        <x:v>https://www.un.org/development/desa/pd/world-population-prospects-2024</x:v>
      </x:c>
      <x:c r="AC374" s="36" t="str">
        <x:v>https://api.imf.org/external/sdmx/3.0/data/dataflow/IMF.RES/WEO/9.0.0/</x:v>
      </x:c>
      <x:c r="AD374" s="36" t="str">
        <x:v>https://api.worldbank.org/v2/</x:v>
      </x:c>
    </x:row>
    <x:row r="375">
      <x:c r="A375" s="24" t="str">
        <x:v>PHL</x:v>
      </x:c>
      <x:c r="B375" s="24" t="str">
        <x:v>Philippines</x:v>
      </x:c>
      <x:c r="C375" s="24" t="str">
        <x:v>PHL</x:v>
      </x:c>
      <x:c r="D375" s="24" t="str">
        <x:v>PHL</x:v>
      </x:c>
      <x:c r="E375" s="24" t="n">
        <x:v>2026</x:v>
      </x:c>
      <x:c r="F375" s="37" t="n">
        <x:v>0.87</x:v>
      </x:c>
      <x:c r="G375" s="38" t="n">
        <x:v>117724472</x:v>
      </x:c>
      <x:c r="H375" s="38" t="n">
        <x:v>117724471</x:v>
      </x:c>
      <x:c r="I375" s="39" t="n">
        <x:f>H375/G375</x:f>
        <x:v>0.9999999915055894</x:v>
      </x:c>
      <x:c r="J375" s="40" t="n">
        <x:f>(I375-1)*100</x:f>
        <x:v>-8.494410619341863e-7</x:v>
      </x:c>
      <x:c r="K375" s="36" t="str">
        <x:v>no</x:v>
      </x:c>
      <x:c r="L375" s="36" t="str">
        <x:v>Single-country territory; UN WPP and vanilla are within the ±5% review threshold.</x:v>
      </x:c>
      <x:c r="M375" s="41" t="n">
        <x:v>1300385680000</x:v>
      </x:c>
      <x:c r="N375" s="41" t="n">
        <x:v>1131335541600</x:v>
      </x:c>
      <x:c r="O375" s="41" t="n">
        <x:v>9610</x:v>
      </x:c>
      <x:c r="P375" s="41" t="n">
        <x:v>3785</x:v>
      </x:c>
      <x:c r="Q375" s="41" t="n">
        <x:v>11621</x:v>
      </x:c>
      <x:c r="R375" s="42" t="n">
        <x:f>MIN(P375,Q375)</x:f>
        <x:v>3785</x:v>
      </x:c>
      <x:c r="S375" s="42" t="n">
        <x:f>MAX(P375,Q375)</x:f>
        <x:v>11621</x:v>
      </x:c>
      <x:c r="T375" s="42" t="n">
        <x:f>MAX(R375,MIN(O375,S375))</x:f>
        <x:v>9610</x:v>
      </x:c>
      <x:c r="U375" s="19" t="str">
        <x:f>IF(O375&lt;R375,IF(R375=P375,"clamped_to_nominal","clamped_to_ppp"),IF(O375&gt;S375,IF(S375=P375,"clamped_to_nominal","clamped_to_ppp"),"kept_vanilla"))</x:f>
        <x:v>kept_vanilla</x:v>
      </x:c>
      <x:c r="V375" s="42" t="n">
        <x:f>T375*H375</x:f>
        <x:v>1131332166310</x:v>
      </x:c>
      <x:c r="W375" s="42" t="n">
        <x:f>V375/F375</x:f>
        <x:v>1300381800356.3218</x:v>
      </x:c>
      <x:c r="X375" s="36" t="str">
        <x:v>PHL: UN WPP 2024 Medium exact 2026</x:v>
      </x:c>
      <x:c r="Y375" s="36" t="str">
        <x:v>PHL: IMF exact 2026</x:v>
      </x:c>
      <x:c r="Z375" s="36" t="str">
        <x:v>PHL: IMF exact 2026</x:v>
      </x:c>
      <x:c r="AA375" s="36" t="str">
        <x:v>complete_primary</x:v>
      </x:c>
      <x:c r="AB375" s="36" t="str">
        <x:v>https://www.un.org/development/desa/pd/world-population-prospects-2024</x:v>
      </x:c>
      <x:c r="AC375" s="36" t="str">
        <x:v>https://api.imf.org/external/sdmx/3.0/data/dataflow/IMF.RES/WEO/9.0.0/</x:v>
      </x:c>
      <x:c r="AD375" s="36" t="str">
        <x:v>https://api.worldbank.org/v2/</x:v>
      </x:c>
    </x:row>
    <x:row r="376">
      <x:c r="A376" s="24" t="str">
        <x:v>POL</x:v>
      </x:c>
      <x:c r="B376" s="24" t="str">
        <x:v>Poland</x:v>
      </x:c>
      <x:c r="C376" s="24" t="str">
        <x:v>POL</x:v>
      </x:c>
      <x:c r="D376" s="24" t="str">
        <x:v>POL</x:v>
      </x:c>
      <x:c r="E376" s="24" t="n">
        <x:v>2003</x:v>
      </x:c>
      <x:c r="F376" s="37" t="n">
        <x:v>1.59</x:v>
      </x:c>
      <x:c r="G376" s="38" t="n">
        <x:v>38203524</x:v>
      </x:c>
      <x:c r="H376" s="38" t="n">
        <x:v>38203524</x:v>
      </x:c>
      <x:c r="I376" s="39" t="n">
        <x:f>H376/G376</x:f>
        <x:v>1</x:v>
      </x:c>
      <x:c r="J376" s="40" t="n">
        <x:f>(I376-1)*100</x:f>
        <x:v>0</x:v>
      </x:c>
      <x:c r="K376" s="36" t="str">
        <x:v>no</x:v>
      </x:c>
      <x:c r="L376" s="36" t="str">
        <x:v>Single-country territory; UN WPP and vanilla are within the ±5% review threshold.</x:v>
      </x:c>
      <x:c r="M376" s="41" t="n">
        <x:v>298056140351</x:v>
      </x:c>
      <x:c r="N376" s="41" t="n">
        <x:v>473909263158</x:v>
      </x:c>
      <x:c r="O376" s="41" t="n">
        <x:v>12405</x:v>
      </x:c>
      <x:c r="P376" s="41" t="n">
        <x:v>9096</x:v>
      </x:c>
      <x:c r="Q376" s="41" t="n">
        <x:v>21351</x:v>
      </x:c>
      <x:c r="R376" s="42" t="n">
        <x:f>MIN(P376,Q376)</x:f>
        <x:v>9096</x:v>
      </x:c>
      <x:c r="S376" s="42" t="n">
        <x:f>MAX(P376,Q376)</x:f>
        <x:v>21351</x:v>
      </x:c>
      <x:c r="T376" s="42" t="n">
        <x:f>MAX(R376,MIN(O376,S376))</x:f>
        <x:v>12405</x:v>
      </x:c>
      <x:c r="U376" s="19" t="str">
        <x:f>IF(O376&lt;R376,IF(R376=P376,"clamped_to_nominal","clamped_to_ppp"),IF(O376&gt;S376,IF(S376=P376,"clamped_to_nominal","clamped_to_ppp"),"kept_vanilla"))</x:f>
        <x:v>kept_vanilla</x:v>
      </x:c>
      <x:c r="V376" s="42" t="n">
        <x:f>T376*H376</x:f>
        <x:v>473914715220</x:v>
      </x:c>
      <x:c r="W376" s="42" t="n">
        <x:f>V376/F376</x:f>
        <x:v>298059569320.7547</x:v>
      </x:c>
      <x:c r="X376" s="36" t="str">
        <x:v>POL: UN WPP 2024 Medium exact 2003</x:v>
      </x:c>
      <x:c r="Y376" s="36" t="str">
        <x:v>POL: IMF exact 2003</x:v>
      </x:c>
      <x:c r="Z376" s="36" t="str">
        <x:v>POL: IMF exact 2003</x:v>
      </x:c>
      <x:c r="AA376" s="36" t="str">
        <x:v>complete_primary</x:v>
      </x:c>
      <x:c r="AB376" s="36" t="str">
        <x:v>https://www.un.org/development/desa/pd/world-population-prospects-2024</x:v>
      </x:c>
      <x:c r="AC376" s="36" t="str">
        <x:v>https://api.imf.org/external/sdmx/3.0/data/dataflow/IMF.RES/WEO/9.0.0/</x:v>
      </x:c>
      <x:c r="AD376" s="36" t="str">
        <x:v>https://api.worldbank.org/v2/</x:v>
      </x:c>
    </x:row>
    <x:row r="377">
      <x:c r="A377" s="24" t="str">
        <x:v>POL</x:v>
      </x:c>
      <x:c r="B377" s="24" t="str">
        <x:v>Poland</x:v>
      </x:c>
      <x:c r="C377" s="24" t="str">
        <x:v>POL</x:v>
      </x:c>
      <x:c r="D377" s="24" t="str">
        <x:v>POL</x:v>
      </x:c>
      <x:c r="E377" s="24" t="n">
        <x:v>2022</x:v>
      </x:c>
      <x:c r="F377" s="37" t="n">
        <x:v>1</x:v>
      </x:c>
      <x:c r="G377" s="38" t="n">
        <x:v>37723292</x:v>
      </x:c>
      <x:c r="H377" s="38" t="n">
        <x:v>38385739</x:v>
      </x:c>
      <x:c r="I377" s="39" t="n">
        <x:f>H377/G377</x:f>
        <x:v>1.017560689030003</x:v>
      </x:c>
      <x:c r="J377" s="40" t="n">
        <x:f>(I377-1)*100</x:f>
        <x:v>1.7560689030003074</x:v>
      </x:c>
      <x:c r="K377" s="36" t="str">
        <x:v>no</x:v>
      </x:c>
      <x:c r="L377" s="36" t="str">
        <x:v>Single-country territory; UN WPP and vanilla are within the ±5% review threshold.</x:v>
      </x:c>
      <x:c r="M377" s="41" t="n">
        <x:v>1386683760000</x:v>
      </x:c>
      <x:c r="N377" s="41" t="n">
        <x:v>1386683760000</x:v>
      </x:c>
      <x:c r="O377" s="41" t="n">
        <x:v>36759</x:v>
      </x:c>
      <x:c r="P377" s="41" t="n">
        <x:v>18125</x:v>
      </x:c>
      <x:c r="Q377" s="41" t="n">
        <x:v>45374</x:v>
      </x:c>
      <x:c r="R377" s="42" t="n">
        <x:f>MIN(P377,Q377)</x:f>
        <x:v>18125</x:v>
      </x:c>
      <x:c r="S377" s="42" t="n">
        <x:f>MAX(P377,Q377)</x:f>
        <x:v>45374</x:v>
      </x:c>
      <x:c r="T377" s="42" t="n">
        <x:f>MAX(R377,MIN(O377,S377))</x:f>
        <x:v>36759</x:v>
      </x:c>
      <x:c r="U377" s="19" t="str">
        <x:f>IF(O377&lt;R377,IF(R377=P377,"clamped_to_nominal","clamped_to_ppp"),IF(O377&gt;S377,IF(S377=P377,"clamped_to_nominal","clamped_to_ppp"),"kept_vanilla"))</x:f>
        <x:v>kept_vanilla</x:v>
      </x:c>
      <x:c r="V377" s="42" t="n">
        <x:f>T377*H377</x:f>
        <x:v>1411021379901</x:v>
      </x:c>
      <x:c r="W377" s="42" t="n">
        <x:f>V377/F377</x:f>
        <x:v>1411021379901</x:v>
      </x:c>
      <x:c r="X377" s="36" t="str">
        <x:v>POL: UN WPP 2024 Medium exact 2022</x:v>
      </x:c>
      <x:c r="Y377" s="36" t="str">
        <x:v>POL: IMF exact 2022</x:v>
      </x:c>
      <x:c r="Z377" s="36" t="str">
        <x:v>POL: IMF exact 2022</x:v>
      </x:c>
      <x:c r="AA377" s="36" t="str">
        <x:v>complete_primary</x:v>
      </x:c>
      <x:c r="AB377" s="36" t="str">
        <x:v>https://www.un.org/development/desa/pd/world-population-prospects-2024</x:v>
      </x:c>
      <x:c r="AC377" s="36" t="str">
        <x:v>https://api.imf.org/external/sdmx/3.0/data/dataflow/IMF.RES/WEO/9.0.0/</x:v>
      </x:c>
      <x:c r="AD377" s="36" t="str">
        <x:v>https://api.worldbank.org/v2/</x:v>
      </x:c>
    </x:row>
    <x:row r="378">
      <x:c r="A378" s="24" t="str">
        <x:v>POL</x:v>
      </x:c>
      <x:c r="B378" s="24" t="str">
        <x:v>Poland</x:v>
      </x:c>
      <x:c r="C378" s="24" t="str">
        <x:v>POL</x:v>
      </x:c>
      <x:c r="D378" s="24" t="str">
        <x:v>POL</x:v>
      </x:c>
      <x:c r="E378" s="24" t="n">
        <x:v>2026</x:v>
      </x:c>
      <x:c r="F378" s="37" t="n">
        <x:v>0.87</x:v>
      </x:c>
      <x:c r="G378" s="38" t="n">
        <x:v>37843189</x:v>
      </x:c>
      <x:c r="H378" s="38" t="n">
        <x:v>37843188</x:v>
      </x:c>
      <x:c r="I378" s="39" t="n">
        <x:f>H378/G378</x:f>
        <x:v>0.9999999735751657</x:v>
      </x:c>
      <x:c r="J378" s="40" t="n">
        <x:f>(I378-1)*100</x:f>
        <x:v>-0.000002642483432069298</x:v>
      </x:c>
      <x:c r="K378" s="36" t="str">
        <x:v>no</x:v>
      </x:c>
      <x:c r="L378" s="36" t="str">
        <x:v>Single-country territory; UN WPP and vanilla are within the ±5% review threshold.</x:v>
      </x:c>
      <x:c r="M378" s="41" t="n">
        <x:v>1777406400000</x:v>
      </x:c>
      <x:c r="N378" s="41" t="n">
        <x:v>1546343568000</x:v>
      </x:c>
      <x:c r="O378" s="41" t="n">
        <x:v>40862</x:v>
      </x:c>
      <x:c r="P378" s="41" t="n">
        <x:v>26076</x:v>
      </x:c>
      <x:c r="Q378" s="41" t="n">
        <x:v>49756</x:v>
      </x:c>
      <x:c r="R378" s="42" t="n">
        <x:f>MIN(P378,Q378)</x:f>
        <x:v>26076</x:v>
      </x:c>
      <x:c r="S378" s="42" t="n">
        <x:f>MAX(P378,Q378)</x:f>
        <x:v>49756</x:v>
      </x:c>
      <x:c r="T378" s="42" t="n">
        <x:f>MAX(R378,MIN(O378,S378))</x:f>
        <x:v>40862</x:v>
      </x:c>
      <x:c r="U378" s="19" t="str">
        <x:f>IF(O378&lt;R378,IF(R378=P378,"clamped_to_nominal","clamped_to_ppp"),IF(O378&gt;S378,IF(S378=P378,"clamped_to_nominal","clamped_to_ppp"),"kept_vanilla"))</x:f>
        <x:v>kept_vanilla</x:v>
      </x:c>
      <x:c r="V378" s="42" t="n">
        <x:f>T378*H378</x:f>
        <x:v>1546348348056</x:v>
      </x:c>
      <x:c r="W378" s="42" t="n">
        <x:f>V378/F378</x:f>
        <x:v>1777411894317.2415</x:v>
      </x:c>
      <x:c r="X378" s="36" t="str">
        <x:v>POL: UN WPP 2024 Medium exact 2026</x:v>
      </x:c>
      <x:c r="Y378" s="36" t="str">
        <x:v>POL: IMF exact 2026</x:v>
      </x:c>
      <x:c r="Z378" s="36" t="str">
        <x:v>POL: IMF exact 2026</x:v>
      </x:c>
      <x:c r="AA378" s="36" t="str">
        <x:v>complete_primary</x:v>
      </x:c>
      <x:c r="AB378" s="36" t="str">
        <x:v>https://www.un.org/development/desa/pd/world-population-prospects-2024</x:v>
      </x:c>
      <x:c r="AC378" s="36" t="str">
        <x:v>https://api.imf.org/external/sdmx/3.0/data/dataflow/IMF.RES/WEO/9.0.0/</x:v>
      </x:c>
      <x:c r="AD378" s="36" t="str">
        <x:v>https://api.worldbank.org/v2/</x:v>
      </x:c>
    </x:row>
    <x:row r="379">
      <x:c r="A379" s="24" t="str">
        <x:v>PLS</x:v>
      </x:c>
      <x:c r="B379" s="24" t="str">
        <x:v>Polynesian States</x:v>
      </x:c>
      <x:c r="C379" s="24" t="str">
        <x:v>WSM+TON</x:v>
      </x:c>
      <x:c r="D379" s="24" t="str">
        <x:v>WSM+TON+TUV+COK</x:v>
      </x:c>
      <x:c r="E379" s="24" t="n">
        <x:v>2003</x:v>
      </x:c>
      <x:c r="F379" s="37" t="n">
        <x:v>1.59</x:v>
      </x:c>
      <x:c r="G379" s="38" t="n">
        <x:v>314616</x:v>
      </x:c>
      <x:c r="H379" s="38" t="n">
        <x:v>314616</x:v>
      </x:c>
      <x:c r="I379" s="39" t="n">
        <x:f>H379/G379</x:f>
        <x:v>1</x:v>
      </x:c>
      <x:c r="J379" s="40" t="n">
        <x:f>(I379-1)*100</x:f>
        <x:v>0</x:v>
      </x:c>
      <x:c r="K379" s="36" t="str">
        <x:v>no</x:v>
      </x:c>
      <x:c r="L379" s="36" t="str">
        <x:v>Added Tuvalu and the Cook Islands. This exactly reproduces the 2003 and 2026 vanilla totals.</x:v>
      </x:c>
      <x:c r="M379" s="41" t="n">
        <x:v>616374269</x:v>
      </x:c>
      <x:c r="N379" s="41" t="n">
        <x:v>980035088</x:v>
      </x:c>
      <x:c r="O379" s="41" t="n">
        <x:v>3115</x:v>
      </x:c>
      <x:c r="P379" s="41" t="n">
        <x:v>3052</x:v>
      </x:c>
      <x:c r="Q379" s="41" t="n">
        <x:v>5851</x:v>
      </x:c>
      <x:c r="R379" s="42" t="n">
        <x:f>MIN(P379,Q379)</x:f>
        <x:v>3052</x:v>
      </x:c>
      <x:c r="S379" s="42" t="n">
        <x:f>MAX(P379,Q379)</x:f>
        <x:v>5851</x:v>
      </x:c>
      <x:c r="T379" s="42" t="n">
        <x:f>MAX(R379,MIN(O379,S379))</x:f>
        <x:v>3115</x:v>
      </x:c>
      <x:c r="U379" s="19" t="str">
        <x:f>IF(O379&lt;R379,IF(R379=P379,"clamped_to_nominal","clamped_to_ppp"),IF(O379&gt;S379,IF(S379=P379,"clamped_to_nominal","clamped_to_ppp"),"kept_vanilla"))</x:f>
        <x:v>kept_vanilla</x:v>
      </x:c>
      <x:c r="V379" s="42" t="n">
        <x:f>T379*H379</x:f>
        <x:v>980028840</x:v>
      </x:c>
      <x:c r="W379" s="42" t="n">
        <x:f>V379/F379</x:f>
        <x:v>616370339.6226414</x:v>
      </x:c>
      <x:c r="X379" s="36" t="str">
        <x:v>WSM: UN WPP 2024 Medium exact 2003; TON: UN WPP 2024 Medium exact 2003; TUV: UN WPP 2024 Medium exact 2003; COK: UN WPP 2024 Medium exact 2003</x:v>
      </x:c>
      <x:c r="Y379" s="36" t="str">
        <x:v>WSM: IMF exact 2003; TON: IMF exact 2003; TUV: World Bank exact 2003; COK: nominal GDP/c inferred from global available-country peers median level (210 peers)</x:v>
      </x:c>
      <x:c r="Z379" s="36" t="str">
        <x:v>WSM: IMF exact 2003; TON: IMF exact 2003; TUV: World Bank exact 2003; COK: PPP inferred from filled nominal GDP using global available-country peers median PPP/nominal ratio 2.577 (199 peers)</x:v>
      </x:c>
      <x:c r="AA379" s="36" t="str">
        <x:v>inferred+secondary_source</x:v>
      </x:c>
      <x:c r="AB379" s="36" t="str">
        <x:v>https://www.un.org/development/desa/pd/world-population-prospects-2024</x:v>
      </x:c>
      <x:c r="AC379" s="36" t="str">
        <x:v>https://api.imf.org/external/sdmx/3.0/data/dataflow/IMF.RES/WEO/9.0.0/</x:v>
      </x:c>
      <x:c r="AD379" s="36" t="str">
        <x:v>https://api.worldbank.org/v2/</x:v>
      </x:c>
    </x:row>
    <x:row r="380">
      <x:c r="A380" s="24" t="str">
        <x:v>PLS</x:v>
      </x:c>
      <x:c r="B380" s="24" t="str">
        <x:v>Polynesian States</x:v>
      </x:c>
      <x:c r="C380" s="24" t="str">
        <x:v>WSM+TON</x:v>
      </x:c>
      <x:c r="D380" s="24" t="str">
        <x:v>WSM+TON+TUV+COK</x:v>
      </x:c>
      <x:c r="E380" s="24" t="n">
        <x:v>2022</x:v>
      </x:c>
      <x:c r="F380" s="37" t="n">
        <x:v>1</x:v>
      </x:c>
      <x:c r="G380" s="38" t="n">
        <x:v>340676</x:v>
      </x:c>
      <x:c r="H380" s="38" t="n">
        <x:v>345018</x:v>
      </x:c>
      <x:c r="I380" s="39" t="n">
        <x:f>H380/G380</x:f>
        <x:v>1.0127452476840164</x:v>
      </x:c>
      <x:c r="J380" s="40" t="n">
        <x:f>(I380-1)*100</x:f>
        <x:v>1.2745247684016414</x:v>
      </x:c>
      <x:c r="K380" s="36" t="str">
        <x:v>no</x:v>
      </x:c>
      <x:c r="L380" s="36" t="str">
        <x:v>Added Tuvalu and the Cook Islands. This exactly reproduces the 2003 and 2026 vanilla totals.</x:v>
      </x:c>
      <x:c r="M380" s="41" t="n">
        <x:v>1995399715</x:v>
      </x:c>
      <x:c r="N380" s="41" t="n">
        <x:v>1995399715</x:v>
      </x:c>
      <x:c r="O380" s="41" t="n">
        <x:v>5857</x:v>
      </x:c>
      <x:c r="P380" s="41" t="n">
        <x:v>4663</x:v>
      </x:c>
      <x:c r="Q380" s="41" t="n">
        <x:v>6633</x:v>
      </x:c>
      <x:c r="R380" s="42" t="n">
        <x:f>MIN(P380,Q380)</x:f>
        <x:v>4663</x:v>
      </x:c>
      <x:c r="S380" s="42" t="n">
        <x:f>MAX(P380,Q380)</x:f>
        <x:v>6633</x:v>
      </x:c>
      <x:c r="T380" s="42" t="n">
        <x:f>MAX(R380,MIN(O380,S380))</x:f>
        <x:v>5857</x:v>
      </x:c>
      <x:c r="U380" s="19" t="str">
        <x:f>IF(O380&lt;R380,IF(R380=P380,"clamped_to_nominal","clamped_to_ppp"),IF(O380&gt;S380,IF(S380=P380,"clamped_to_nominal","clamped_to_ppp"),"kept_vanilla"))</x:f>
        <x:v>kept_vanilla</x:v>
      </x:c>
      <x:c r="V380" s="42" t="n">
        <x:f>T380*H380</x:f>
        <x:v>2020770426</x:v>
      </x:c>
      <x:c r="W380" s="42" t="n">
        <x:f>V380/F380</x:f>
        <x:v>2020770426</x:v>
      </x:c>
      <x:c r="X380" s="36" t="str">
        <x:v>WSM: UN WPP 2024 Medium exact 2022; TON: UN WPP 2024 Medium exact 2022; TUV: UN WPP 2024 Medium exact 2022; COK: UN WPP 2024 Medium exact 2022</x:v>
      </x:c>
      <x:c r="Y380" s="36" t="str">
        <x:v>WSM: IMF exact 2022; TON: IMF exact 2022; TUV: World Bank exact 2022; COK: nominal GDP/c inferred from global available-country peers median level (211 peers)</x:v>
      </x:c>
      <x:c r="Z380" s="36" t="str">
        <x:v>WSM: IMF exact 2022; TON: IMF exact 2022; TUV: World Bank exact 2022; COK: PPP inferred from filled nominal GDP using global available-country peers median PPP/nominal ratio 2.283 (203 peers)</x:v>
      </x:c>
      <x:c r="AA380" s="36" t="str">
        <x:v>inferred+secondary_source</x:v>
      </x:c>
      <x:c r="AB380" s="36" t="str">
        <x:v>https://www.un.org/development/desa/pd/world-population-prospects-2024</x:v>
      </x:c>
      <x:c r="AC380" s="36" t="str">
        <x:v>https://api.imf.org/external/sdmx/3.0/data/dataflow/IMF.RES/WEO/9.0.0/</x:v>
      </x:c>
      <x:c r="AD380" s="36" t="str">
        <x:v>https://api.worldbank.org/v2/</x:v>
      </x:c>
    </x:row>
    <x:row r="381">
      <x:c r="A381" s="24" t="str">
        <x:v>PLS</x:v>
      </x:c>
      <x:c r="B381" s="24" t="str">
        <x:v>Polynesian States</x:v>
      </x:c>
      <x:c r="C381" s="24" t="str">
        <x:v>WSM+TON</x:v>
      </x:c>
      <x:c r="D381" s="24" t="str">
        <x:v>WSM+TON+TUV+COK</x:v>
      </x:c>
      <x:c r="E381" s="24" t="n">
        <x:v>2026</x:v>
      </x:c>
      <x:c r="F381" s="37" t="n">
        <x:v>0.87</x:v>
      </x:c>
      <x:c r="G381" s="38" t="n">
        <x:v>346007</x:v>
      </x:c>
      <x:c r="H381" s="38" t="n">
        <x:v>346007</x:v>
      </x:c>
      <x:c r="I381" s="39" t="n">
        <x:f>H381/G381</x:f>
        <x:v>1</x:v>
      </x:c>
      <x:c r="J381" s="40" t="n">
        <x:f>(I381-1)*100</x:f>
        <x:v>0</x:v>
      </x:c>
      <x:c r="K381" s="36" t="str">
        <x:v>no</x:v>
      </x:c>
      <x:c r="L381" s="36" t="str">
        <x:v>Added Tuvalu and the Cook Islands. This exactly reproduces the 2003 and 2026 vanilla totals.</x:v>
      </x:c>
      <x:c r="M381" s="41" t="n">
        <x:v>2482039715</x:v>
      </x:c>
      <x:c r="N381" s="41" t="n">
        <x:v>2159374552</x:v>
      </x:c>
      <x:c r="O381" s="41" t="n">
        <x:v>6241</x:v>
      </x:c>
      <x:c r="P381" s="41" t="n">
        <x:v>5669</x:v>
      </x:c>
      <x:c r="Q381" s="41" t="n">
        <x:v>7645</x:v>
      </x:c>
      <x:c r="R381" s="42" t="n">
        <x:f>MIN(P381,Q381)</x:f>
        <x:v>5669</x:v>
      </x:c>
      <x:c r="S381" s="42" t="n">
        <x:f>MAX(P381,Q381)</x:f>
        <x:v>7645</x:v>
      </x:c>
      <x:c r="T381" s="42" t="n">
        <x:f>MAX(R381,MIN(O381,S381))</x:f>
        <x:v>6241</x:v>
      </x:c>
      <x:c r="U381" s="19" t="str">
        <x:f>IF(O381&lt;R381,IF(R381=P381,"clamped_to_nominal","clamped_to_ppp"),IF(O381&gt;S381,IF(S381=P381,"clamped_to_nominal","clamped_to_ppp"),"kept_vanilla"))</x:f>
        <x:v>kept_vanilla</x:v>
      </x:c>
      <x:c r="V381" s="42" t="n">
        <x:f>T381*H381</x:f>
        <x:v>2159429687</x:v>
      </x:c>
      <x:c r="W381" s="42" t="n">
        <x:f>V381/F381</x:f>
        <x:v>2482103088.5057473</x:v>
      </x:c>
      <x:c r="X381" s="36" t="str">
        <x:v>WSM: UN WPP 2024 Medium exact 2026; TON: UN WPP 2024 Medium exact 2026; TUV: UN WPP 2024 Medium exact 2026; COK: UN WPP 2024 Medium exact 2026</x:v>
      </x:c>
      <x:c r="Y381" s="36" t="str">
        <x:v>WSM: IMF exact 2026; TON: IMF exact 2026; TUV: peer-growth inference from World Bank 2025; East Asia &amp; Pacific; Upper middle income median -0.13%/yr (11 peers, capped at ±8%); COK: nominal GDP/c inferred from global available-country peers median level (177 peers)</x:v>
      </x:c>
      <x:c r="Z381" s="36" t="str">
        <x:v>WSM: IMF exact 2026; TON: IMF exact 2026; TUV: peer-growth inference from World Bank 2025; East Asia &amp; Pacific; Upper middle income median 1.44%/yr (11 peers, capped at ±8%); COK: PPP inferred from filled nominal GDP using global available-country peers median PPP/nominal ratio 2.285 (177 peers)</x:v>
      </x:c>
      <x:c r="AA381" s="36" t="str">
        <x:v>inferred</x:v>
      </x:c>
      <x:c r="AB381" s="36" t="str">
        <x:v>https://www.un.org/development/desa/pd/world-population-prospects-2024</x:v>
      </x:c>
      <x:c r="AC381" s="36" t="str">
        <x:v>https://api.imf.org/external/sdmx/3.0/data/dataflow/IMF.RES/WEO/9.0.0/</x:v>
      </x:c>
      <x:c r="AD381" s="36" t="str">
        <x:v>https://api.worldbank.org/v2/</x:v>
      </x:c>
    </x:row>
    <x:row r="382">
      <x:c r="A382" s="24" t="str">
        <x:v>PRT</x:v>
      </x:c>
      <x:c r="B382" s="24" t="str">
        <x:v>Portugal</x:v>
      </x:c>
      <x:c r="C382" s="24" t="str">
        <x:v>PRT</x:v>
      </x:c>
      <x:c r="D382" s="24" t="str">
        <x:v>PRT</x:v>
      </x:c>
      <x:c r="E382" s="24" t="n">
        <x:v>2003</x:v>
      </x:c>
      <x:c r="F382" s="37" t="n">
        <x:v>1.59</x:v>
      </x:c>
      <x:c r="G382" s="38" t="n">
        <x:v>10454245</x:v>
      </x:c>
      <x:c r="H382" s="38" t="n">
        <x:v>10454245</x:v>
      </x:c>
      <x:c r="I382" s="39" t="n">
        <x:f>H382/G382</x:f>
        <x:v>1</x:v>
      </x:c>
      <x:c r="J382" s="40" t="n">
        <x:f>(I382-1)*100</x:f>
        <x:v>0</x:v>
      </x:c>
      <x:c r="K382" s="36" t="str">
        <x:v>no</x:v>
      </x:c>
      <x:c r="L382" s="36" t="str">
        <x:v>Single-country territory; UN WPP and vanilla are within the ±5% review threshold.</x:v>
      </x:c>
      <x:c r="M382" s="41" t="n">
        <x:v>143287134503</x:v>
      </x:c>
      <x:c r="N382" s="41" t="n">
        <x:v>227826543860</x:v>
      </x:c>
      <x:c r="O382" s="41" t="n">
        <x:v>21793</x:v>
      </x:c>
      <x:c r="P382" s="41" t="n">
        <x:v>25123</x:v>
      </x:c>
      <x:c r="Q382" s="41" t="n">
        <x:v>37377</x:v>
      </x:c>
      <x:c r="R382" s="42" t="n">
        <x:f>MIN(P382,Q382)</x:f>
        <x:v>25123</x:v>
      </x:c>
      <x:c r="S382" s="42" t="n">
        <x:f>MAX(P382,Q382)</x:f>
        <x:v>37377</x:v>
      </x:c>
      <x:c r="T382" s="42" t="n">
        <x:f>MAX(R382,MIN(O382,S382))</x:f>
        <x:v>25123</x:v>
      </x:c>
      <x:c r="U382" s="19" t="str">
        <x:f>IF(O382&lt;R382,IF(R382=P382,"clamped_to_nominal","clamped_to_ppp"),IF(O382&gt;S382,IF(S382=P382,"clamped_to_nominal","clamped_to_ppp"),"kept_vanilla"))</x:f>
        <x:v>clamped_to_nominal</x:v>
      </x:c>
      <x:c r="V382" s="42" t="n">
        <x:f>T382*H382</x:f>
        <x:v>262641997135</x:v>
      </x:c>
      <x:c r="W382" s="42" t="n">
        <x:f>V382/F382</x:f>
        <x:v>165183645996.85535</x:v>
      </x:c>
      <x:c r="X382" s="36" t="str">
        <x:v>PRT: UN WPP 2024 Medium exact 2003</x:v>
      </x:c>
      <x:c r="Y382" s="36" t="str">
        <x:v>PRT: IMF exact 2003</x:v>
      </x:c>
      <x:c r="Z382" s="36" t="str">
        <x:v>PRT: IMF exact 2003</x:v>
      </x:c>
      <x:c r="AA382" s="36" t="str">
        <x:v>complete_primary</x:v>
      </x:c>
      <x:c r="AB382" s="36" t="str">
        <x:v>https://www.un.org/development/desa/pd/world-population-prospects-2024</x:v>
      </x:c>
      <x:c r="AC382" s="36" t="str">
        <x:v>https://api.imf.org/external/sdmx/3.0/data/dataflow/IMF.RES/WEO/9.0.0/</x:v>
      </x:c>
      <x:c r="AD382" s="36" t="str">
        <x:v>https://api.worldbank.org/v2/</x:v>
      </x:c>
    </x:row>
    <x:row r="383">
      <x:c r="A383" s="24" t="str">
        <x:v>PRT</x:v>
      </x:c>
      <x:c r="B383" s="24" t="str">
        <x:v>Portugal</x:v>
      </x:c>
      <x:c r="C383" s="24" t="str">
        <x:v>PRT</x:v>
      </x:c>
      <x:c r="D383" s="24" t="str">
        <x:v>PRT</x:v>
      </x:c>
      <x:c r="E383" s="24" t="n">
        <x:v>2022</x:v>
      </x:c>
      <x:c r="F383" s="37" t="n">
        <x:v>1</x:v>
      </x:c>
      <x:c r="G383" s="38" t="n">
        <x:v>10132498</x:v>
      </x:c>
      <x:c r="H383" s="38" t="n">
        <x:v>10417073</x:v>
      </x:c>
      <x:c r="I383" s="39" t="n">
        <x:f>H383/G383</x:f>
        <x:v>1.0280853744061929</x:v>
      </x:c>
      <x:c r="J383" s="40" t="n">
        <x:f>(I383-1)*100</x:f>
        <x:v>2.8085374406192853</x:v>
      </x:c>
      <x:c r="K383" s="36" t="str">
        <x:v>no</x:v>
      </x:c>
      <x:c r="L383" s="36" t="str">
        <x:v>Single-country territory; UN WPP and vanilla are within the ±5% review threshold.</x:v>
      </x:c>
      <x:c r="M383" s="41" t="n">
        <x:v>369293760000</x:v>
      </x:c>
      <x:c r="N383" s="41" t="n">
        <x:v>369293760000</x:v>
      </x:c>
      <x:c r="O383" s="41" t="n">
        <x:v>36446</x:v>
      </x:c>
      <x:c r="P383" s="41" t="n">
        <x:v>24681</x:v>
      </x:c>
      <x:c r="Q383" s="41" t="n">
        <x:v>44298</x:v>
      </x:c>
      <x:c r="R383" s="42" t="n">
        <x:f>MIN(P383,Q383)</x:f>
        <x:v>24681</x:v>
      </x:c>
      <x:c r="S383" s="42" t="n">
        <x:f>MAX(P383,Q383)</x:f>
        <x:v>44298</x:v>
      </x:c>
      <x:c r="T383" s="42" t="n">
        <x:f>MAX(R383,MIN(O383,S383))</x:f>
        <x:v>36446</x:v>
      </x:c>
      <x:c r="U383" s="19" t="str">
        <x:f>IF(O383&lt;R383,IF(R383=P383,"clamped_to_nominal","clamped_to_ppp"),IF(O383&gt;S383,IF(S383=P383,"clamped_to_nominal","clamped_to_ppp"),"kept_vanilla"))</x:f>
        <x:v>kept_vanilla</x:v>
      </x:c>
      <x:c r="V383" s="42" t="n">
        <x:f>T383*H383</x:f>
        <x:v>379660642558</x:v>
      </x:c>
      <x:c r="W383" s="42" t="n">
        <x:f>V383/F383</x:f>
        <x:v>379660642558</x:v>
      </x:c>
      <x:c r="X383" s="36" t="str">
        <x:v>PRT: UN WPP 2024 Medium exact 2022</x:v>
      </x:c>
      <x:c r="Y383" s="36" t="str">
        <x:v>PRT: IMF exact 2022</x:v>
      </x:c>
      <x:c r="Z383" s="36" t="str">
        <x:v>PRT: IMF exact 2022</x:v>
      </x:c>
      <x:c r="AA383" s="36" t="str">
        <x:v>complete_primary</x:v>
      </x:c>
      <x:c r="AB383" s="36" t="str">
        <x:v>https://www.un.org/development/desa/pd/world-population-prospects-2024</x:v>
      </x:c>
      <x:c r="AC383" s="36" t="str">
        <x:v>https://api.imf.org/external/sdmx/3.0/data/dataflow/IMF.RES/WEO/9.0.0/</x:v>
      </x:c>
      <x:c r="AD383" s="36" t="str">
        <x:v>https://api.worldbank.org/v2/</x:v>
      </x:c>
    </x:row>
    <x:row r="384">
      <x:c r="A384" s="24" t="str">
        <x:v>PRT</x:v>
      </x:c>
      <x:c r="B384" s="24" t="str">
        <x:v>Portugal</x:v>
      </x:c>
      <x:c r="C384" s="24" t="str">
        <x:v>PRT</x:v>
      </x:c>
      <x:c r="D384" s="24" t="str">
        <x:v>PRT</x:v>
      </x:c>
      <x:c r="E384" s="24" t="n">
        <x:v>2026</x:v>
      </x:c>
      <x:c r="F384" s="37" t="n">
        <x:v>0.87</x:v>
      </x:c>
      <x:c r="G384" s="38" t="n">
        <x:v>10395362</x:v>
      </x:c>
      <x:c r="H384" s="38" t="n">
        <x:v>10395362</x:v>
      </x:c>
      <x:c r="I384" s="39" t="n">
        <x:f>H384/G384</x:f>
        <x:v>1</x:v>
      </x:c>
      <x:c r="J384" s="40" t="n">
        <x:f>(I384-1)*100</x:f>
        <x:v>0</x:v>
      </x:c>
      <x:c r="K384" s="36" t="str">
        <x:v>no</x:v>
      </x:c>
      <x:c r="L384" s="36" t="str">
        <x:v>Single-country territory; UN WPP and vanilla are within the ±5% review threshold.</x:v>
      </x:c>
      <x:c r="M384" s="41" t="n">
        <x:v>471764480000</x:v>
      </x:c>
      <x:c r="N384" s="41" t="n">
        <x:v>410435097600</x:v>
      </x:c>
      <x:c r="O384" s="41" t="n">
        <x:v>39483</x:v>
      </x:c>
      <x:c r="P384" s="41" t="n">
        <x:v>31856</x:v>
      </x:c>
      <x:c r="Q384" s="41" t="n">
        <x:v>47506</x:v>
      </x:c>
      <x:c r="R384" s="42" t="n">
        <x:f>MIN(P384,Q384)</x:f>
        <x:v>31856</x:v>
      </x:c>
      <x:c r="S384" s="42" t="n">
        <x:f>MAX(P384,Q384)</x:f>
        <x:v>47506</x:v>
      </x:c>
      <x:c r="T384" s="42" t="n">
        <x:f>MAX(R384,MIN(O384,S384))</x:f>
        <x:v>39483</x:v>
      </x:c>
      <x:c r="U384" s="19" t="str">
        <x:f>IF(O384&lt;R384,IF(R384=P384,"clamped_to_nominal","clamped_to_ppp"),IF(O384&gt;S384,IF(S384=P384,"clamped_to_nominal","clamped_to_ppp"),"kept_vanilla"))</x:f>
        <x:v>kept_vanilla</x:v>
      </x:c>
      <x:c r="V384" s="42" t="n">
        <x:f>T384*H384</x:f>
        <x:v>410440077846</x:v>
      </x:c>
      <x:c r="W384" s="42" t="n">
        <x:f>V384/F384</x:f>
        <x:v>471770204420.68964</x:v>
      </x:c>
      <x:c r="X384" s="36" t="str">
        <x:v>PRT: UN WPP 2024 Medium exact 2026</x:v>
      </x:c>
      <x:c r="Y384" s="36" t="str">
        <x:v>PRT: IMF exact 2026</x:v>
      </x:c>
      <x:c r="Z384" s="36" t="str">
        <x:v>PRT: IMF exact 2026</x:v>
      </x:c>
      <x:c r="AA384" s="36" t="str">
        <x:v>complete_primary</x:v>
      </x:c>
      <x:c r="AB384" s="36" t="str">
        <x:v>https://www.un.org/development/desa/pd/world-population-prospects-2024</x:v>
      </x:c>
      <x:c r="AC384" s="36" t="str">
        <x:v>https://api.imf.org/external/sdmx/3.0/data/dataflow/IMF.RES/WEO/9.0.0/</x:v>
      </x:c>
      <x:c r="AD384" s="36" t="str">
        <x:v>https://api.worldbank.org/v2/</x:v>
      </x:c>
    </x:row>
    <x:row r="385">
      <x:c r="A385" s="24" t="str">
        <x:v>COR</x:v>
      </x:c>
      <x:c r="B385" s="24" t="str">
        <x:v>Republic of the Congo</x:v>
      </x:c>
      <x:c r="C385" s="24" t="str">
        <x:v>COG</x:v>
      </x:c>
      <x:c r="D385" s="24" t="str">
        <x:v>COG</x:v>
      </x:c>
      <x:c r="E385" s="24" t="n">
        <x:v>2003</x:v>
      </x:c>
      <x:c r="F385" s="37" t="n">
        <x:v>1.59</x:v>
      </x:c>
      <x:c r="G385" s="38" t="n">
        <x:v>3445753</x:v>
      </x:c>
      <x:c r="H385" s="38" t="n">
        <x:v>3445753</x:v>
      </x:c>
      <x:c r="I385" s="39" t="n">
        <x:f>H385/G385</x:f>
        <x:v>1</x:v>
      </x:c>
      <x:c r="J385" s="40" t="n">
        <x:f>(I385-1)*100</x:f>
        <x:v>0</x:v>
      </x:c>
      <x:c r="K385" s="36" t="str">
        <x:v>no</x:v>
      </x:c>
      <x:c r="L385" s="36" t="str">
        <x:v>Single-country territory; UN WPP and vanilla are within the ±5% review threshold.</x:v>
      </x:c>
      <x:c r="M385" s="41" t="n">
        <x:v>7251461988</x:v>
      </x:c>
      <x:c r="N385" s="41" t="n">
        <x:v>11529824561</x:v>
      </x:c>
      <x:c r="O385" s="41" t="n">
        <x:v>3346</x:v>
      </x:c>
      <x:c r="P385" s="41" t="n">
        <x:v>1783</x:v>
      </x:c>
      <x:c r="Q385" s="41" t="n">
        <x:v>5722</x:v>
      </x:c>
      <x:c r="R385" s="42" t="n">
        <x:f>MIN(P385,Q385)</x:f>
        <x:v>1783</x:v>
      </x:c>
      <x:c r="S385" s="42" t="n">
        <x:f>MAX(P385,Q385)</x:f>
        <x:v>5722</x:v>
      </x:c>
      <x:c r="T385" s="42" t="n">
        <x:f>MAX(R385,MIN(O385,S385))</x:f>
        <x:v>3346</x:v>
      </x:c>
      <x:c r="U385" s="19" t="str">
        <x:f>IF(O385&lt;R385,IF(R385=P385,"clamped_to_nominal","clamped_to_ppp"),IF(O385&gt;S385,IF(S385=P385,"clamped_to_nominal","clamped_to_ppp"),"kept_vanilla"))</x:f>
        <x:v>kept_vanilla</x:v>
      </x:c>
      <x:c r="V385" s="42" t="n">
        <x:f>T385*H385</x:f>
        <x:v>11529489538</x:v>
      </x:c>
      <x:c r="W385" s="42" t="n">
        <x:f>V385/F385</x:f>
        <x:v>7251251281.761006</x:v>
      </x:c>
      <x:c r="X385" s="36" t="str">
        <x:v>COG: UN WPP 2024 Medium exact 2003</x:v>
      </x:c>
      <x:c r="Y385" s="36" t="str">
        <x:v>COG: IMF exact 2003</x:v>
      </x:c>
      <x:c r="Z385" s="36" t="str">
        <x:v>COG: IMF exact 2003</x:v>
      </x:c>
      <x:c r="AA385" s="36" t="str">
        <x:v>complete_primary</x:v>
      </x:c>
      <x:c r="AB385" s="36" t="str">
        <x:v>https://www.un.org/development/desa/pd/world-population-prospects-2024</x:v>
      </x:c>
      <x:c r="AC385" s="36" t="str">
        <x:v>https://api.imf.org/external/sdmx/3.0/data/dataflow/IMF.RES/WEO/9.0.0/</x:v>
      </x:c>
      <x:c r="AD385" s="36" t="str">
        <x:v>https://api.worldbank.org/v2/</x:v>
      </x:c>
    </x:row>
    <x:row r="386">
      <x:c r="A386" s="24" t="str">
        <x:v>COR</x:v>
      </x:c>
      <x:c r="B386" s="24" t="str">
        <x:v>Republic of the Congo</x:v>
      </x:c>
      <x:c r="C386" s="24" t="str">
        <x:v>COG</x:v>
      </x:c>
      <x:c r="D386" s="24" t="str">
        <x:v>COG</x:v>
      </x:c>
      <x:c r="E386" s="24" t="n">
        <x:v>2022</x:v>
      </x:c>
      <x:c r="F386" s="37" t="n">
        <x:v>1</x:v>
      </x:c>
      <x:c r="G386" s="38" t="n">
        <x:v>5842157</x:v>
      </x:c>
      <x:c r="H386" s="38" t="n">
        <x:v>6035104</x:v>
      </x:c>
      <x:c r="I386" s="39" t="n">
        <x:f>H386/G386</x:f>
        <x:v>1.033026671484522</x:v>
      </x:c>
      <x:c r="J386" s="40" t="n">
        <x:f>(I386-1)*100</x:f>
        <x:v>3.3026671484521986</x:v>
      </x:c>
      <x:c r="K386" s="36" t="str">
        <x:v>no</x:v>
      </x:c>
      <x:c r="L386" s="36" t="str">
        <x:v>Single-country territory; UN WPP and vanilla are within the ±5% review threshold.</x:v>
      </x:c>
      <x:c r="M386" s="41" t="n">
        <x:v>19816720000</x:v>
      </x:c>
      <x:c r="N386" s="41" t="n">
        <x:v>19816720000</x:v>
      </x:c>
      <x:c r="O386" s="41" t="n">
        <x:v>3392</x:v>
      </x:c>
      <x:c r="P386" s="41" t="n">
        <x:v>2314</x:v>
      </x:c>
      <x:c r="Q386" s="41" t="n">
        <x:v>6018</x:v>
      </x:c>
      <x:c r="R386" s="42" t="n">
        <x:f>MIN(P386,Q386)</x:f>
        <x:v>2314</x:v>
      </x:c>
      <x:c r="S386" s="42" t="n">
        <x:f>MAX(P386,Q386)</x:f>
        <x:v>6018</x:v>
      </x:c>
      <x:c r="T386" s="42" t="n">
        <x:f>MAX(R386,MIN(O386,S386))</x:f>
        <x:v>3392</x:v>
      </x:c>
      <x:c r="U386" s="19" t="str">
        <x:f>IF(O386&lt;R386,IF(R386=P386,"clamped_to_nominal","clamped_to_ppp"),IF(O386&gt;S386,IF(S386=P386,"clamped_to_nominal","clamped_to_ppp"),"kept_vanilla"))</x:f>
        <x:v>kept_vanilla</x:v>
      </x:c>
      <x:c r="V386" s="42" t="n">
        <x:f>T386*H386</x:f>
        <x:v>20471072768</x:v>
      </x:c>
      <x:c r="W386" s="42" t="n">
        <x:f>V386/F386</x:f>
        <x:v>20471072768</x:v>
      </x:c>
      <x:c r="X386" s="36" t="str">
        <x:v>COG: UN WPP 2024 Medium exact 2022</x:v>
      </x:c>
      <x:c r="Y386" s="36" t="str">
        <x:v>COG: IMF exact 2022</x:v>
      </x:c>
      <x:c r="Z386" s="36" t="str">
        <x:v>COG: IMF exact 2022</x:v>
      </x:c>
      <x:c r="AA386" s="36" t="str">
        <x:v>complete_primary</x:v>
      </x:c>
      <x:c r="AB386" s="36" t="str">
        <x:v>https://www.un.org/development/desa/pd/world-population-prospects-2024</x:v>
      </x:c>
      <x:c r="AC386" s="36" t="str">
        <x:v>https://api.imf.org/external/sdmx/3.0/data/dataflow/IMF.RES/WEO/9.0.0/</x:v>
      </x:c>
      <x:c r="AD386" s="36" t="str">
        <x:v>https://api.worldbank.org/v2/</x:v>
      </x:c>
    </x:row>
    <x:row r="387">
      <x:c r="A387" s="24" t="str">
        <x:v>COR</x:v>
      </x:c>
      <x:c r="B387" s="24" t="str">
        <x:v>Republic of the Congo</x:v>
      </x:c>
      <x:c r="C387" s="24" t="str">
        <x:v>COG</x:v>
      </x:c>
      <x:c r="D387" s="24" t="str">
        <x:v>COG</x:v>
      </x:c>
      <x:c r="E387" s="24" t="n">
        <x:v>2026</x:v>
      </x:c>
      <x:c r="F387" s="37" t="n">
        <x:v>0.87</x:v>
      </x:c>
      <x:c r="G387" s="38" t="n">
        <x:v>6637786</x:v>
      </x:c>
      <x:c r="H387" s="38" t="n">
        <x:v>6637785</x:v>
      </x:c>
      <x:c r="I387" s="39" t="n">
        <x:f>H387/G387</x:f>
        <x:v>0.9999998493473576</x:v>
      </x:c>
      <x:c r="J387" s="40" t="n">
        <x:f>(I387-1)*100</x:f>
        <x:v>-0.000015065264236113762</x:v>
      </x:c>
      <x:c r="K387" s="36" t="str">
        <x:v>no</x:v>
      </x:c>
      <x:c r="L387" s="36" t="str">
        <x:v>Single-country territory; UN WPP and vanilla are within the ±5% review threshold.</x:v>
      </x:c>
      <x:c r="M387" s="41" t="n">
        <x:v>37631440000</x:v>
      </x:c>
      <x:c r="N387" s="41" t="n">
        <x:v>32739352800</x:v>
      </x:c>
      <x:c r="O387" s="41" t="n">
        <x:v>4932</x:v>
      </x:c>
      <x:c r="P387" s="41" t="n">
        <x:v>2232</x:v>
      </x:c>
      <x:c r="Q387" s="41" t="n">
        <x:v>5866</x:v>
      </x:c>
      <x:c r="R387" s="42" t="n">
        <x:f>MIN(P387,Q387)</x:f>
        <x:v>2232</x:v>
      </x:c>
      <x:c r="S387" s="42" t="n">
        <x:f>MAX(P387,Q387)</x:f>
        <x:v>5866</x:v>
      </x:c>
      <x:c r="T387" s="42" t="n">
        <x:f>MAX(R387,MIN(O387,S387))</x:f>
        <x:v>4932</x:v>
      </x:c>
      <x:c r="U387" s="19" t="str">
        <x:f>IF(O387&lt;R387,IF(R387=P387,"clamped_to_nominal","clamped_to_ppp"),IF(O387&gt;S387,IF(S387=P387,"clamped_to_nominal","clamped_to_ppp"),"kept_vanilla"))</x:f>
        <x:v>kept_vanilla</x:v>
      </x:c>
      <x:c r="V387" s="42" t="n">
        <x:f>T387*H387</x:f>
        <x:v>32737555620</x:v>
      </x:c>
      <x:c r="W387" s="42" t="n">
        <x:f>V387/F387</x:f>
        <x:v>37629374275.86207</x:v>
      </x:c>
      <x:c r="X387" s="36" t="str">
        <x:v>COG: UN WPP 2024 Medium exact 2026</x:v>
      </x:c>
      <x:c r="Y387" s="36" t="str">
        <x:v>COG: IMF exact 2026</x:v>
      </x:c>
      <x:c r="Z387" s="36" t="str">
        <x:v>COG: IMF exact 2026</x:v>
      </x:c>
      <x:c r="AA387" s="36" t="str">
        <x:v>complete_primary</x:v>
      </x:c>
      <x:c r="AB387" s="36" t="str">
        <x:v>https://www.un.org/development/desa/pd/world-population-prospects-2024</x:v>
      </x:c>
      <x:c r="AC387" s="36" t="str">
        <x:v>https://api.imf.org/external/sdmx/3.0/data/dataflow/IMF.RES/WEO/9.0.0/</x:v>
      </x:c>
      <x:c r="AD387" s="36" t="str">
        <x:v>https://api.worldbank.org/v2/</x:v>
      </x:c>
    </x:row>
    <x:row r="388">
      <x:c r="A388" s="24" t="str">
        <x:v>ROM</x:v>
      </x:c>
      <x:c r="B388" s="24" t="str">
        <x:v>Romania</x:v>
      </x:c>
      <x:c r="C388" s="24" t="str">
        <x:v>ROU</x:v>
      </x:c>
      <x:c r="D388" s="24" t="str">
        <x:v>ROU</x:v>
      </x:c>
      <x:c r="E388" s="24" t="n">
        <x:v>2003</x:v>
      </x:c>
      <x:c r="F388" s="37" t="n">
        <x:v>1.59</x:v>
      </x:c>
      <x:c r="G388" s="38" t="n">
        <x:v>21593450</x:v>
      </x:c>
      <x:c r="H388" s="38" t="n">
        <x:v>21593450</x:v>
      </x:c>
      <x:c r="I388" s="39" t="n">
        <x:f>H388/G388</x:f>
        <x:v>1</x:v>
      </x:c>
      <x:c r="J388" s="40" t="n">
        <x:f>(I388-1)*100</x:f>
        <x:v>0</x:v>
      </x:c>
      <x:c r="K388" s="36" t="str">
        <x:v>no</x:v>
      </x:c>
      <x:c r="L388" s="36" t="str">
        <x:v>Single-country territory; UN WPP and vanilla are within the ±5% review threshold.</x:v>
      </x:c>
      <x:c r="M388" s="41" t="n">
        <x:v>140076023392</x:v>
      </x:c>
      <x:c r="N388" s="41" t="n">
        <x:v>222720877193</x:v>
      </x:c>
      <x:c r="O388" s="41" t="n">
        <x:v>10314</x:v>
      </x:c>
      <x:c r="P388" s="41" t="n">
        <x:v>4255</x:v>
      </x:c>
      <x:c r="Q388" s="41" t="n">
        <x:v>17645</x:v>
      </x:c>
      <x:c r="R388" s="42" t="n">
        <x:f>MIN(P388,Q388)</x:f>
        <x:v>4255</x:v>
      </x:c>
      <x:c r="S388" s="42" t="n">
        <x:f>MAX(P388,Q388)</x:f>
        <x:v>17645</x:v>
      </x:c>
      <x:c r="T388" s="42" t="n">
        <x:f>MAX(R388,MIN(O388,S388))</x:f>
        <x:v>10314</x:v>
      </x:c>
      <x:c r="U388" s="19" t="str">
        <x:f>IF(O388&lt;R388,IF(R388=P388,"clamped_to_nominal","clamped_to_ppp"),IF(O388&gt;S388,IF(S388=P388,"clamped_to_nominal","clamped_to_ppp"),"kept_vanilla"))</x:f>
        <x:v>kept_vanilla</x:v>
      </x:c>
      <x:c r="V388" s="42" t="n">
        <x:f>T388*H388</x:f>
        <x:v>222714843300</x:v>
      </x:c>
      <x:c r="W388" s="42" t="n">
        <x:f>V388/F388</x:f>
        <x:v>140072228490.56604</x:v>
      </x:c>
      <x:c r="X388" s="36" t="str">
        <x:v>ROU: UN WPP 2024 Medium exact 2003</x:v>
      </x:c>
      <x:c r="Y388" s="36" t="str">
        <x:v>ROU: IMF exact 2003</x:v>
      </x:c>
      <x:c r="Z388" s="36" t="str">
        <x:v>ROU: IMF exact 2003</x:v>
      </x:c>
      <x:c r="AA388" s="36" t="str">
        <x:v>complete_primary</x:v>
      </x:c>
      <x:c r="AB388" s="36" t="str">
        <x:v>https://www.un.org/development/desa/pd/world-population-prospects-2024</x:v>
      </x:c>
      <x:c r="AC388" s="36" t="str">
        <x:v>https://api.imf.org/external/sdmx/3.0/data/dataflow/IMF.RES/WEO/9.0.0/</x:v>
      </x:c>
      <x:c r="AD388" s="36" t="str">
        <x:v>https://api.worldbank.org/v2/</x:v>
      </x:c>
    </x:row>
    <x:row r="389">
      <x:c r="A389" s="24" t="str">
        <x:v>ROM</x:v>
      </x:c>
      <x:c r="B389" s="24" t="str">
        <x:v>Romania</x:v>
      </x:c>
      <x:c r="C389" s="24" t="str">
        <x:v>ROU</x:v>
      </x:c>
      <x:c r="D389" s="24" t="str">
        <x:v>ROU</x:v>
      </x:c>
      <x:c r="E389" s="24" t="n">
        <x:v>2022</x:v>
      </x:c>
      <x:c r="F389" s="37" t="n">
        <x:v>1</x:v>
      </x:c>
      <x:c r="G389" s="38" t="n">
        <x:v>19003504</x:v>
      </x:c>
      <x:c r="H389" s="38" t="n">
        <x:v>19166772</x:v>
      </x:c>
      <x:c r="I389" s="39" t="n">
        <x:f>H389/G389</x:f>
        <x:v>1.0085914681839727</x:v>
      </x:c>
      <x:c r="J389" s="40" t="n">
        <x:f>(I389-1)*100</x:f>
        <x:v>0.8591468183972717</x:v>
      </x:c>
      <x:c r="K389" s="36" t="str">
        <x:v>no</x:v>
      </x:c>
      <x:c r="L389" s="36" t="str">
        <x:v>Single-country territory; UN WPP and vanilla are within the ±5% review threshold.</x:v>
      </x:c>
      <x:c r="M389" s="41" t="n">
        <x:v>622817360000</x:v>
      </x:c>
      <x:c r="N389" s="41" t="n">
        <x:v>622817360000</x:v>
      </x:c>
      <x:c r="O389" s="41" t="n">
        <x:v>32774</x:v>
      </x:c>
      <x:c r="P389" s="41" t="n">
        <x:v>15438</x:v>
      </x:c>
      <x:c r="Q389" s="41" t="n">
        <x:v>42167</x:v>
      </x:c>
      <x:c r="R389" s="42" t="n">
        <x:f>MIN(P389,Q389)</x:f>
        <x:v>15438</x:v>
      </x:c>
      <x:c r="S389" s="42" t="n">
        <x:f>MAX(P389,Q389)</x:f>
        <x:v>42167</x:v>
      </x:c>
      <x:c r="T389" s="42" t="n">
        <x:f>MAX(R389,MIN(O389,S389))</x:f>
        <x:v>32774</x:v>
      </x:c>
      <x:c r="U389" s="19" t="str">
        <x:f>IF(O389&lt;R389,IF(R389=P389,"clamped_to_nominal","clamped_to_ppp"),IF(O389&gt;S389,IF(S389=P389,"clamped_to_nominal","clamped_to_ppp"),"kept_vanilla"))</x:f>
        <x:v>kept_vanilla</x:v>
      </x:c>
      <x:c r="V389" s="42" t="n">
        <x:f>T389*H389</x:f>
        <x:v>628171785528</x:v>
      </x:c>
      <x:c r="W389" s="42" t="n">
        <x:f>V389/F389</x:f>
        <x:v>628171785528</x:v>
      </x:c>
      <x:c r="X389" s="36" t="str">
        <x:v>ROU: UN WPP 2024 Medium exact 2022</x:v>
      </x:c>
      <x:c r="Y389" s="36" t="str">
        <x:v>ROU: IMF exact 2022</x:v>
      </x:c>
      <x:c r="Z389" s="36" t="str">
        <x:v>ROU: IMF exact 2022</x:v>
      </x:c>
      <x:c r="AA389" s="36" t="str">
        <x:v>complete_primary</x:v>
      </x:c>
      <x:c r="AB389" s="36" t="str">
        <x:v>https://www.un.org/development/desa/pd/world-population-prospects-2024</x:v>
      </x:c>
      <x:c r="AC389" s="36" t="str">
        <x:v>https://api.imf.org/external/sdmx/3.0/data/dataflow/IMF.RES/WEO/9.0.0/</x:v>
      </x:c>
      <x:c r="AD389" s="36" t="str">
        <x:v>https://api.worldbank.org/v2/</x:v>
      </x:c>
    </x:row>
    <x:row r="390">
      <x:c r="A390" s="24" t="str">
        <x:v>ROM</x:v>
      </x:c>
      <x:c r="B390" s="24" t="str">
        <x:v>Romania</x:v>
      </x:c>
      <x:c r="C390" s="24" t="str">
        <x:v>ROU</x:v>
      </x:c>
      <x:c r="D390" s="24" t="str">
        <x:v>ROU</x:v>
      </x:c>
      <x:c r="E390" s="24" t="n">
        <x:v>2026</x:v>
      </x:c>
      <x:c r="F390" s="37" t="n">
        <x:v>0.87</x:v>
      </x:c>
      <x:c r="G390" s="38" t="n">
        <x:v>18800605</x:v>
      </x:c>
      <x:c r="H390" s="38" t="n">
        <x:v>18800605</x:v>
      </x:c>
      <x:c r="I390" s="39" t="n">
        <x:f>H390/G390</x:f>
        <x:v>1</x:v>
      </x:c>
      <x:c r="J390" s="40" t="n">
        <x:f>(I390-1)*100</x:f>
        <x:v>0</x:v>
      </x:c>
      <x:c r="K390" s="36" t="str">
        <x:v>no</x:v>
      </x:c>
      <x:c r="L390" s="36" t="str">
        <x:v>Single-country territory; UN WPP and vanilla are within the ±5% review threshold.</x:v>
      </x:c>
      <x:c r="M390" s="41" t="n">
        <x:v>815547920000</x:v>
      </x:c>
      <x:c r="N390" s="41" t="n">
        <x:v>709526690400</x:v>
      </x:c>
      <x:c r="O390" s="41" t="n">
        <x:v>37740</x:v>
      </x:c>
      <x:c r="P390" s="41" t="n">
        <x:v>22251</x:v>
      </x:c>
      <x:c r="Q390" s="41" t="n">
        <x:v>43979</x:v>
      </x:c>
      <x:c r="R390" s="42" t="n">
        <x:f>MIN(P390,Q390)</x:f>
        <x:v>22251</x:v>
      </x:c>
      <x:c r="S390" s="42" t="n">
        <x:f>MAX(P390,Q390)</x:f>
        <x:v>43979</x:v>
      </x:c>
      <x:c r="T390" s="42" t="n">
        <x:f>MAX(R390,MIN(O390,S390))</x:f>
        <x:v>37740</x:v>
      </x:c>
      <x:c r="U390" s="19" t="str">
        <x:f>IF(O390&lt;R390,IF(R390=P390,"clamped_to_nominal","clamped_to_ppp"),IF(O390&gt;S390,IF(S390=P390,"clamped_to_nominal","clamped_to_ppp"),"kept_vanilla"))</x:f>
        <x:v>kept_vanilla</x:v>
      </x:c>
      <x:c r="V390" s="42" t="n">
        <x:f>T390*H390</x:f>
        <x:v>709534832700</x:v>
      </x:c>
      <x:c r="W390" s="42" t="n">
        <x:f>V390/F390</x:f>
        <x:v>815557278965.5172</x:v>
      </x:c>
      <x:c r="X390" s="36" t="str">
        <x:v>ROU: UN WPP 2024 Medium exact 2026</x:v>
      </x:c>
      <x:c r="Y390" s="36" t="str">
        <x:v>ROU: IMF exact 2026</x:v>
      </x:c>
      <x:c r="Z390" s="36" t="str">
        <x:v>ROU: IMF exact 2026</x:v>
      </x:c>
      <x:c r="AA390" s="36" t="str">
        <x:v>complete_primary</x:v>
      </x:c>
      <x:c r="AB390" s="36" t="str">
        <x:v>https://www.un.org/development/desa/pd/world-population-prospects-2024</x:v>
      </x:c>
      <x:c r="AC390" s="36" t="str">
        <x:v>https://api.imf.org/external/sdmx/3.0/data/dataflow/IMF.RES/WEO/9.0.0/</x:v>
      </x:c>
      <x:c r="AD390" s="36" t="str">
        <x:v>https://api.worldbank.org/v2/</x:v>
      </x:c>
    </x:row>
    <x:row r="391">
      <x:c r="A391" s="24" t="str">
        <x:v>RUS</x:v>
      </x:c>
      <x:c r="B391" s="24" t="str">
        <x:v>Russia</x:v>
      </x:c>
      <x:c r="C391" s="24" t="str">
        <x:v>RUS</x:v>
      </x:c>
      <x:c r="D391" s="24" t="str">
        <x:v>RUS</x:v>
      </x:c>
      <x:c r="E391" s="24" t="n">
        <x:v>2003</x:v>
      </x:c>
      <x:c r="F391" s="37" t="n">
        <x:v>1.59</x:v>
      </x:c>
      <x:c r="G391" s="38" t="n">
        <x:v>148211088</x:v>
      </x:c>
      <x:c r="H391" s="38" t="n">
        <x:v>145794229</x:v>
      </x:c>
      <x:c r="I391" s="39" t="n">
        <x:f>H391/G391</x:f>
        <x:v>0.9836931296260372</x:v>
      </x:c>
      <x:c r="J391" s="40" t="n">
        <x:f>(I391-1)*100</x:f>
        <x:v>-1.6306870373962834</x:v>
      </x:c>
      <x:c r="K391" s="36" t="str">
        <x:v>no</x:v>
      </x:c>
      <x:c r="L391" s="36" t="str">
        <x:v>Single-country territory; UN WPP and vanilla are within the ±5% review threshold.</x:v>
      </x:c>
      <x:c r="M391" s="41" t="n">
        <x:v>1139083625731</x:v>
      </x:c>
      <x:c r="N391" s="41" t="n">
        <x:v>1811142964912</x:v>
      </x:c>
      <x:c r="O391" s="41" t="n">
        <x:v>12220</x:v>
      </x:c>
      <x:c r="P391" s="41" t="n">
        <x:v>5033</x:v>
      </x:c>
      <x:c r="Q391" s="41" t="n">
        <x:v>21243</x:v>
      </x:c>
      <x:c r="R391" s="42" t="n">
        <x:f>MIN(P391,Q391)</x:f>
        <x:v>5033</x:v>
      </x:c>
      <x:c r="S391" s="42" t="n">
        <x:f>MAX(P391,Q391)</x:f>
        <x:v>21243</x:v>
      </x:c>
      <x:c r="T391" s="42" t="n">
        <x:f>MAX(R391,MIN(O391,S391))</x:f>
        <x:v>12220</x:v>
      </x:c>
      <x:c r="U391" s="19" t="str">
        <x:f>IF(O391&lt;R391,IF(R391=P391,"clamped_to_nominal","clamped_to_ppp"),IF(O391&gt;S391,IF(S391=P391,"clamped_to_nominal","clamped_to_ppp"),"kept_vanilla"))</x:f>
        <x:v>kept_vanilla</x:v>
      </x:c>
      <x:c r="V391" s="42" t="n">
        <x:f>T391*H391</x:f>
        <x:v>1781605478380</x:v>
      </x:c>
      <x:c r="W391" s="42" t="n">
        <x:f>V391/F391</x:f>
        <x:v>1120506590176.1006</x:v>
      </x:c>
      <x:c r="X391" s="36" t="str">
        <x:v>RUS: UN WPP 2024 Medium exact 2003</x:v>
      </x:c>
      <x:c r="Y391" s="36" t="str">
        <x:v>RUS: IMF exact 2003</x:v>
      </x:c>
      <x:c r="Z391" s="36" t="str">
        <x:v>RUS: IMF exact 2003</x:v>
      </x:c>
      <x:c r="AA391" s="36" t="str">
        <x:v>complete_primary</x:v>
      </x:c>
      <x:c r="AB391" s="36" t="str">
        <x:v>https://www.un.org/development/desa/pd/world-population-prospects-2024</x:v>
      </x:c>
      <x:c r="AC391" s="36" t="str">
        <x:v>https://api.imf.org/external/sdmx/3.0/data/dataflow/IMF.RES/WEO/9.0.0/</x:v>
      </x:c>
      <x:c r="AD391" s="36" t="str">
        <x:v>https://api.worldbank.org/v2/</x:v>
      </x:c>
    </x:row>
    <x:row r="392">
      <x:c r="A392" s="24" t="str">
        <x:v>RUS</x:v>
      </x:c>
      <x:c r="B392" s="24" t="str">
        <x:v>Russia</x:v>
      </x:c>
      <x:c r="C392" s="24" t="str">
        <x:v>RUS</x:v>
      </x:c>
      <x:c r="D392" s="24" t="str">
        <x:v>RUS</x:v>
      </x:c>
      <x:c r="E392" s="24" t="n">
        <x:v>2022</x:v>
      </x:c>
      <x:c r="F392" s="37" t="n">
        <x:v>1</x:v>
      </x:c>
      <x:c r="G392" s="38" t="n">
        <x:v>148189354</x:v>
      </x:c>
      <x:c r="H392" s="38" t="n">
        <x:v>145579899</x:v>
      </x:c>
      <x:c r="I392" s="39" t="n">
        <x:f>H392/G392</x:f>
        <x:v>0.9823910764871814</x:v>
      </x:c>
      <x:c r="J392" s="40" t="n">
        <x:f>(I392-1)*100</x:f>
        <x:v>-1.760892351281862</x:v>
      </x:c>
      <x:c r="K392" s="36" t="str">
        <x:v>no</x:v>
      </x:c>
      <x:c r="L392" s="36" t="str">
        <x:v>Single-country territory; UN WPP and vanilla are within the ±5% review threshold.</x:v>
      </x:c>
      <x:c r="M392" s="41" t="n">
        <x:v>3841589840000</x:v>
      </x:c>
      <x:c r="N392" s="41" t="n">
        <x:v>3841589840000</x:v>
      </x:c>
      <x:c r="O392" s="41" t="n">
        <x:v>25924</x:v>
      </x:c>
      <x:c r="P392" s="41" t="n">
        <x:v>15774</x:v>
      </x:c>
      <x:c r="Q392" s="41" t="n">
        <x:v>41251</x:v>
      </x:c>
      <x:c r="R392" s="42" t="n">
        <x:f>MIN(P392,Q392)</x:f>
        <x:v>15774</x:v>
      </x:c>
      <x:c r="S392" s="42" t="n">
        <x:f>MAX(P392,Q392)</x:f>
        <x:v>41251</x:v>
      </x:c>
      <x:c r="T392" s="42" t="n">
        <x:f>MAX(R392,MIN(O392,S392))</x:f>
        <x:v>25924</x:v>
      </x:c>
      <x:c r="U392" s="19" t="str">
        <x:f>IF(O392&lt;R392,IF(R392=P392,"clamped_to_nominal","clamped_to_ppp"),IF(O392&gt;S392,IF(S392=P392,"clamped_to_nominal","clamped_to_ppp"),"kept_vanilla"))</x:f>
        <x:v>kept_vanilla</x:v>
      </x:c>
      <x:c r="V392" s="42" t="n">
        <x:f>T392*H392</x:f>
        <x:v>3774013301676</x:v>
      </x:c>
      <x:c r="W392" s="42" t="n">
        <x:f>V392/F392</x:f>
        <x:v>3774013301676</x:v>
      </x:c>
      <x:c r="X392" s="36" t="str">
        <x:v>RUS: UN WPP 2024 Medium exact 2022</x:v>
      </x:c>
      <x:c r="Y392" s="36" t="str">
        <x:v>RUS: IMF exact 2022</x:v>
      </x:c>
      <x:c r="Z392" s="36" t="str">
        <x:v>RUS: IMF exact 2022</x:v>
      </x:c>
      <x:c r="AA392" s="36" t="str">
        <x:v>complete_primary</x:v>
      </x:c>
      <x:c r="AB392" s="36" t="str">
        <x:v>https://www.un.org/development/desa/pd/world-population-prospects-2024</x:v>
      </x:c>
      <x:c r="AC392" s="36" t="str">
        <x:v>https://api.imf.org/external/sdmx/3.0/data/dataflow/IMF.RES/WEO/9.0.0/</x:v>
      </x:c>
      <x:c r="AD392" s="36" t="str">
        <x:v>https://api.worldbank.org/v2/</x:v>
      </x:c>
    </x:row>
    <x:row r="393">
      <x:c r="A393" s="24" t="str">
        <x:v>RUS</x:v>
      </x:c>
      <x:c r="B393" s="24" t="str">
        <x:v>Russia</x:v>
      </x:c>
      <x:c r="C393" s="24" t="str">
        <x:v>RUS</x:v>
      </x:c>
      <x:c r="D393" s="24" t="str">
        <x:v>RUS</x:v>
      </x:c>
      <x:c r="E393" s="24" t="n">
        <x:v>2026</x:v>
      </x:c>
      <x:c r="F393" s="37" t="n">
        <x:v>0.87</x:v>
      </x:c>
      <x:c r="G393" s="38" t="n">
        <x:v>145811313</x:v>
      </x:c>
      <x:c r="H393" s="38" t="n">
        <x:v>143394458</x:v>
      </x:c>
      <x:c r="I393" s="39" t="n">
        <x:f>H393/G393</x:f>
        <x:v>0.9834247771981862</x:v>
      </x:c>
      <x:c r="J393" s="40" t="n">
        <x:f>(I393-1)*100</x:f>
        <x:v>-1.6575222801813783</x:v>
      </x:c>
      <x:c r="K393" s="36" t="str">
        <x:v>no</x:v>
      </x:c>
      <x:c r="L393" s="36" t="str">
        <x:v>Single-country territory; UN WPP and vanilla are within the ±5% review threshold.</x:v>
      </x:c>
      <x:c r="M393" s="41" t="n">
        <x:v>6285921840000</x:v>
      </x:c>
      <x:c r="N393" s="41" t="n">
        <x:v>5468752000800</x:v>
      </x:c>
      <x:c r="O393" s="41" t="n">
        <x:v>37506</x:v>
      </x:c>
      <x:c r="P393" s="41" t="n">
        <x:v>16117</x:v>
      </x:c>
      <x:c r="Q393" s="41" t="n">
        <x:v>45656</x:v>
      </x:c>
      <x:c r="R393" s="42" t="n">
        <x:f>MIN(P393,Q393)</x:f>
        <x:v>16117</x:v>
      </x:c>
      <x:c r="S393" s="42" t="n">
        <x:f>MAX(P393,Q393)</x:f>
        <x:v>45656</x:v>
      </x:c>
      <x:c r="T393" s="42" t="n">
        <x:f>MAX(R393,MIN(O393,S393))</x:f>
        <x:v>37506</x:v>
      </x:c>
      <x:c r="U393" s="19" t="str">
        <x:f>IF(O393&lt;R393,IF(R393=P393,"clamped_to_nominal","clamped_to_ppp"),IF(O393&gt;S393,IF(S393=P393,"clamped_to_nominal","clamped_to_ppp"),"kept_vanilla"))</x:f>
        <x:v>kept_vanilla</x:v>
      </x:c>
      <x:c r="V393" s="42" t="n">
        <x:f>T393*H393</x:f>
        <x:v>5378152541748</x:v>
      </x:c>
      <x:c r="W393" s="42" t="n">
        <x:f>V393/F393</x:f>
        <x:v>6181784530744.827</x:v>
      </x:c>
      <x:c r="X393" s="36" t="str">
        <x:v>RUS: UN WPP 2024 Medium exact 2026</x:v>
      </x:c>
      <x:c r="Y393" s="36" t="str">
        <x:v>RUS: IMF exact 2026</x:v>
      </x:c>
      <x:c r="Z393" s="36" t="str">
        <x:v>RUS: IMF exact 2026</x:v>
      </x:c>
      <x:c r="AA393" s="36" t="str">
        <x:v>complete_primary</x:v>
      </x:c>
      <x:c r="AB393" s="36" t="str">
        <x:v>https://www.un.org/development/desa/pd/world-population-prospects-2024</x:v>
      </x:c>
      <x:c r="AC393" s="36" t="str">
        <x:v>https://api.imf.org/external/sdmx/3.0/data/dataflow/IMF.RES/WEO/9.0.0/</x:v>
      </x:c>
      <x:c r="AD393" s="36" t="str">
        <x:v>https://api.worldbank.org/v2/</x:v>
      </x:c>
    </x:row>
    <x:row r="394">
      <x:c r="A394" s="24" t="str">
        <x:v>RWB</x:v>
      </x:c>
      <x:c r="B394" s="24" t="str">
        <x:v>Rwanda-Burundi</x:v>
      </x:c>
      <x:c r="C394" s="24" t="str">
        <x:v>BDI+RWA</x:v>
      </x:c>
      <x:c r="D394" s="24" t="str">
        <x:v>BDI+RWA</x:v>
      </x:c>
      <x:c r="E394" s="24" t="n">
        <x:v>2003</x:v>
      </x:c>
      <x:c r="F394" s="37" t="n">
        <x:v>1.59</x:v>
      </x:c>
      <x:c r="G394" s="38" t="n">
        <x:v>15630029</x:v>
      </x:c>
      <x:c r="H394" s="38" t="n">
        <x:v>15630029</x:v>
      </x:c>
      <x:c r="I394" s="39" t="n">
        <x:f>H394/G394</x:f>
        <x:v>1</x:v>
      </x:c>
      <x:c r="J394" s="40" t="n">
        <x:f>(I394-1)*100</x:f>
        <x:v>0</x:v>
      </x:c>
      <x:c r="K394" s="36" t="str">
        <x:v>no</x:v>
      </x:c>
      <x:c r="L394" s="36" t="str">
        <x:v>Aggregated all explicit game ISO components; reviewed as a composite game country rather than comparing it with only the first sovereign state.</x:v>
      </x:c>
      <x:c r="M394" s="41" t="n">
        <x:v>6507017544</x:v>
      </x:c>
      <x:c r="N394" s="41" t="n">
        <x:v>10346157895</x:v>
      </x:c>
      <x:c r="O394" s="41" t="n">
        <x:v>662</x:v>
      </x:c>
      <x:c r="P394" s="41" t="n">
        <x:v>300</x:v>
      </x:c>
      <x:c r="Q394" s="41" t="n">
        <x:v>1125</x:v>
      </x:c>
      <x:c r="R394" s="42" t="n">
        <x:f>MIN(P394,Q394)</x:f>
        <x:v>300</x:v>
      </x:c>
      <x:c r="S394" s="42" t="n">
        <x:f>MAX(P394,Q394)</x:f>
        <x:v>1125</x:v>
      </x:c>
      <x:c r="T394" s="42" t="n">
        <x:f>MAX(R394,MIN(O394,S394))</x:f>
        <x:v>662</x:v>
      </x:c>
      <x:c r="U394" s="19" t="str">
        <x:f>IF(O394&lt;R394,IF(R394=P394,"clamped_to_nominal","clamped_to_ppp"),IF(O394&gt;S394,IF(S394=P394,"clamped_to_nominal","clamped_to_ppp"),"kept_vanilla"))</x:f>
        <x:v>kept_vanilla</x:v>
      </x:c>
      <x:c r="V394" s="42" t="n">
        <x:f>T394*H394</x:f>
        <x:v>10347079198</x:v>
      </x:c>
      <x:c r="W394" s="42" t="n">
        <x:f>V394/F394</x:f>
        <x:v>6507596979.874213</x:v>
      </x:c>
      <x:c r="X394" s="36" t="str">
        <x:v>BDI: UN WPP 2024 Medium exact 2003; RWA: UN WPP 2024 Medium exact 2003</x:v>
      </x:c>
      <x:c r="Y394" s="36" t="str">
        <x:v>BDI: IMF exact 2003; RWA: IMF exact 2003</x:v>
      </x:c>
      <x:c r="Z394" s="36" t="str">
        <x:v>BDI: IMF exact 2003; RWA: IMF exact 2003</x:v>
      </x:c>
      <x:c r="AA394" s="36" t="str">
        <x:v>complete_primary</x:v>
      </x:c>
      <x:c r="AB394" s="36" t="str">
        <x:v>https://www.un.org/development/desa/pd/world-population-prospects-2024</x:v>
      </x:c>
      <x:c r="AC394" s="36" t="str">
        <x:v>https://api.imf.org/external/sdmx/3.0/data/dataflow/IMF.RES/WEO/9.0.0/</x:v>
      </x:c>
      <x:c r="AD394" s="36" t="str">
        <x:v>https://api.worldbank.org/v2/</x:v>
      </x:c>
    </x:row>
    <x:row r="395">
      <x:c r="A395" s="24" t="str">
        <x:v>RWB</x:v>
      </x:c>
      <x:c r="B395" s="24" t="str">
        <x:v>Rwanda-Burundi</x:v>
      </x:c>
      <x:c r="C395" s="24" t="str">
        <x:v>BDI+RWA</x:v>
      </x:c>
      <x:c r="D395" s="24" t="str">
        <x:v>BDI+RWA</x:v>
      </x:c>
      <x:c r="E395" s="24" t="n">
        <x:v>2022</x:v>
      </x:c>
      <x:c r="F395" s="37" t="n">
        <x:v>1</x:v>
      </x:c>
      <x:c r="G395" s="38" t="n">
        <x:v>26444435</x:v>
      </x:c>
      <x:c r="H395" s="38" t="n">
        <x:v>26972127</x:v>
      </x:c>
      <x:c r="I395" s="39" t="n">
        <x:f>H395/G395</x:f>
        <x:v>1.0199547466224936</x:v>
      </x:c>
      <x:c r="J395" s="40" t="n">
        <x:f>(I395-1)*100</x:f>
        <x:v>1.9954746622493635</x:v>
      </x:c>
      <x:c r="K395" s="36" t="str">
        <x:v>no</x:v>
      </x:c>
      <x:c r="L395" s="36" t="str">
        <x:v>Aggregated all explicit game ISO components; reviewed as a composite game country rather than comparing it with only the first sovereign state.</x:v>
      </x:c>
      <x:c r="M395" s="41" t="n">
        <x:v>42231200000</x:v>
      </x:c>
      <x:c r="N395" s="41" t="n">
        <x:v>42231200000</x:v>
      </x:c>
      <x:c r="O395" s="41" t="n">
        <x:v>1597</x:v>
      </x:c>
      <x:c r="P395" s="41" t="n">
        <x:v>655</x:v>
      </x:c>
      <x:c r="Q395" s="41" t="n">
        <x:v>2056</x:v>
      </x:c>
      <x:c r="R395" s="42" t="n">
        <x:f>MIN(P395,Q395)</x:f>
        <x:v>655</x:v>
      </x:c>
      <x:c r="S395" s="42" t="n">
        <x:f>MAX(P395,Q395)</x:f>
        <x:v>2056</x:v>
      </x:c>
      <x:c r="T395" s="42" t="n">
        <x:f>MAX(R395,MIN(O395,S395))</x:f>
        <x:v>1597</x:v>
      </x:c>
      <x:c r="U395" s="19" t="str">
        <x:f>IF(O395&lt;R395,IF(R395=P395,"clamped_to_nominal","clamped_to_ppp"),IF(O395&gt;S395,IF(S395=P395,"clamped_to_nominal","clamped_to_ppp"),"kept_vanilla"))</x:f>
        <x:v>kept_vanilla</x:v>
      </x:c>
      <x:c r="V395" s="42" t="n">
        <x:f>T395*H395</x:f>
        <x:v>43074486819</x:v>
      </x:c>
      <x:c r="W395" s="42" t="n">
        <x:f>V395/F395</x:f>
        <x:v>43074486819</x:v>
      </x:c>
      <x:c r="X395" s="36" t="str">
        <x:v>BDI: UN WPP 2024 Medium exact 2022; RWA: UN WPP 2024 Medium exact 2022</x:v>
      </x:c>
      <x:c r="Y395" s="36" t="str">
        <x:v>BDI: IMF exact 2022; RWA: IMF exact 2022</x:v>
      </x:c>
      <x:c r="Z395" s="36" t="str">
        <x:v>BDI: IMF exact 2022; RWA: IMF exact 2022</x:v>
      </x:c>
      <x:c r="AA395" s="36" t="str">
        <x:v>complete_primary</x:v>
      </x:c>
      <x:c r="AB395" s="36" t="str">
        <x:v>https://www.un.org/development/desa/pd/world-population-prospects-2024</x:v>
      </x:c>
      <x:c r="AC395" s="36" t="str">
        <x:v>https://api.imf.org/external/sdmx/3.0/data/dataflow/IMF.RES/WEO/9.0.0/</x:v>
      </x:c>
      <x:c r="AD395" s="36" t="str">
        <x:v>https://api.worldbank.org/v2/</x:v>
      </x:c>
    </x:row>
    <x:row r="396">
      <x:c r="A396" s="24" t="str">
        <x:v>RWB</x:v>
      </x:c>
      <x:c r="B396" s="24" t="str">
        <x:v>Rwanda-Burundi</x:v>
      </x:c>
      <x:c r="C396" s="24" t="str">
        <x:v>BDI+RWA</x:v>
      </x:c>
      <x:c r="D396" s="24" t="str">
        <x:v>BDI+RWA</x:v>
      </x:c>
      <x:c r="E396" s="24" t="n">
        <x:v>2026</x:v>
      </x:c>
      <x:c r="F396" s="37" t="n">
        <x:v>0.87</x:v>
      </x:c>
      <x:c r="G396" s="38" t="n">
        <x:v>29618850</x:v>
      </x:c>
      <x:c r="H396" s="38" t="n">
        <x:v>29618850</x:v>
      </x:c>
      <x:c r="I396" s="39" t="n">
        <x:f>H396/G396</x:f>
        <x:v>1</x:v>
      </x:c>
      <x:c r="J396" s="40" t="n">
        <x:f>(I396-1)*100</x:f>
        <x:v>0</x:v>
      </x:c>
      <x:c r="K396" s="36" t="str">
        <x:v>no</x:v>
      </x:c>
      <x:c r="L396" s="36" t="str">
        <x:v>Aggregated all explicit game ISO components; reviewed as a composite game country rather than comparing it with only the first sovereign state.</x:v>
      </x:c>
      <x:c r="M396" s="41" t="n">
        <x:v>63440960000</x:v>
      </x:c>
      <x:c r="N396" s="41" t="n">
        <x:v>55193635200</x:v>
      </x:c>
      <x:c r="O396" s="41" t="n">
        <x:v>1863</x:v>
      </x:c>
      <x:c r="P396" s="41" t="n">
        <x:v>748</x:v>
      </x:c>
      <x:c r="Q396" s="41" t="n">
        <x:v>2374</x:v>
      </x:c>
      <x:c r="R396" s="42" t="n">
        <x:f>MIN(P396,Q396)</x:f>
        <x:v>748</x:v>
      </x:c>
      <x:c r="S396" s="42" t="n">
        <x:f>MAX(P396,Q396)</x:f>
        <x:v>2374</x:v>
      </x:c>
      <x:c r="T396" s="42" t="n">
        <x:f>MAX(R396,MIN(O396,S396))</x:f>
        <x:v>1863</x:v>
      </x:c>
      <x:c r="U396" s="19" t="str">
        <x:f>IF(O396&lt;R396,IF(R396=P396,"clamped_to_nominal","clamped_to_ppp"),IF(O396&gt;S396,IF(S396=P396,"clamped_to_nominal","clamped_to_ppp"),"kept_vanilla"))</x:f>
        <x:v>kept_vanilla</x:v>
      </x:c>
      <x:c r="V396" s="42" t="n">
        <x:f>T396*H396</x:f>
        <x:v>55179917550</x:v>
      </x:c>
      <x:c r="W396" s="42" t="n">
        <x:f>V396/F396</x:f>
        <x:v>63425192586.206894</x:v>
      </x:c>
      <x:c r="X396" s="36" t="str">
        <x:v>BDI: UN WPP 2024 Medium exact 2026; RWA: UN WPP 2024 Medium exact 2026</x:v>
      </x:c>
      <x:c r="Y396" s="36" t="str">
        <x:v>BDI: IMF exact 2026; RWA: IMF exact 2026</x:v>
      </x:c>
      <x:c r="Z396" s="36" t="str">
        <x:v>BDI: IMF exact 2026; RWA: IMF exact 2026</x:v>
      </x:c>
      <x:c r="AA396" s="36" t="str">
        <x:v>complete_primary</x:v>
      </x:c>
      <x:c r="AB396" s="36" t="str">
        <x:v>https://www.un.org/development/desa/pd/world-population-prospects-2024</x:v>
      </x:c>
      <x:c r="AC396" s="36" t="str">
        <x:v>https://api.imf.org/external/sdmx/3.0/data/dataflow/IMF.RES/WEO/9.0.0/</x:v>
      </x:c>
      <x:c r="AD396" s="36" t="str">
        <x:v>https://api.worldbank.org/v2/</x:v>
      </x:c>
    </x:row>
    <x:row r="397">
      <x:c r="A397" s="24" t="str">
        <x:v>STP</x:v>
      </x:c>
      <x:c r="B397" s="24" t="str">
        <x:v>Sao Tome and Principe</x:v>
      </x:c>
      <x:c r="C397" s="24" t="str">
        <x:v>STP</x:v>
      </x:c>
      <x:c r="D397" s="24" t="str">
        <x:v>STP</x:v>
      </x:c>
      <x:c r="E397" s="24" t="n">
        <x:v>2003</x:v>
      </x:c>
      <x:c r="F397" s="37" t="n">
        <x:v>1.59</x:v>
      </x:c>
      <x:c r="G397" s="38" t="n">
        <x:v>153814</x:v>
      </x:c>
      <x:c r="H397" s="38" t="n">
        <x:v>153814</x:v>
      </x:c>
      <x:c r="I397" s="39" t="n">
        <x:f>H397/G397</x:f>
        <x:v>1</x:v>
      </x:c>
      <x:c r="J397" s="40" t="n">
        <x:f>(I397-1)*100</x:f>
        <x:v>0</x:v>
      </x:c>
      <x:c r="K397" s="36" t="str">
        <x:v>no</x:v>
      </x:c>
      <x:c r="L397" s="36" t="str">
        <x:v>Single-country territory; UN WPP and vanilla are within the ±5% review threshold.</x:v>
      </x:c>
      <x:c r="M397" s="41" t="n">
        <x:v>174853801</x:v>
      </x:c>
      <x:c r="N397" s="41" t="n">
        <x:v>278017544</x:v>
      </x:c>
      <x:c r="O397" s="41" t="n">
        <x:v>1807</x:v>
      </x:c>
      <x:c r="P397" s="41" t="n">
        <x:v>988</x:v>
      </x:c>
      <x:c r="Q397" s="41" t="n">
        <x:v>3096</x:v>
      </x:c>
      <x:c r="R397" s="42" t="n">
        <x:f>MIN(P397,Q397)</x:f>
        <x:v>988</x:v>
      </x:c>
      <x:c r="S397" s="42" t="n">
        <x:f>MAX(P397,Q397)</x:f>
        <x:v>3096</x:v>
      </x:c>
      <x:c r="T397" s="42" t="n">
        <x:f>MAX(R397,MIN(O397,S397))</x:f>
        <x:v>1807</x:v>
      </x:c>
      <x:c r="U397" s="19" t="str">
        <x:f>IF(O397&lt;R397,IF(R397=P397,"clamped_to_nominal","clamped_to_ppp"),IF(O397&gt;S397,IF(S397=P397,"clamped_to_nominal","clamped_to_ppp"),"kept_vanilla"))</x:f>
        <x:v>kept_vanilla</x:v>
      </x:c>
      <x:c r="V397" s="42" t="n">
        <x:f>T397*H397</x:f>
        <x:v>277941898</x:v>
      </x:c>
      <x:c r="W397" s="42" t="n">
        <x:f>V397/F397</x:f>
        <x:v>174806225.1572327</x:v>
      </x:c>
      <x:c r="X397" s="36" t="str">
        <x:v>STP: UN WPP 2024 Medium exact 2003</x:v>
      </x:c>
      <x:c r="Y397" s="36" t="str">
        <x:v>STP: IMF exact 2003</x:v>
      </x:c>
      <x:c r="Z397" s="36" t="str">
        <x:v>STP: IMF exact 2003</x:v>
      </x:c>
      <x:c r="AA397" s="36" t="str">
        <x:v>complete_primary</x:v>
      </x:c>
      <x:c r="AB397" s="36" t="str">
        <x:v>https://www.un.org/development/desa/pd/world-population-prospects-2024</x:v>
      </x:c>
      <x:c r="AC397" s="36" t="str">
        <x:v>https://api.imf.org/external/sdmx/3.0/data/dataflow/IMF.RES/WEO/9.0.0/</x:v>
      </x:c>
      <x:c r="AD397" s="36" t="str">
        <x:v>https://api.worldbank.org/v2/</x:v>
      </x:c>
    </x:row>
    <x:row r="398">
      <x:c r="A398" s="24" t="str">
        <x:v>STP</x:v>
      </x:c>
      <x:c r="B398" s="24" t="str">
        <x:v>Sao Tome and Principe</x:v>
      </x:c>
      <x:c r="C398" s="24" t="str">
        <x:v>STP</x:v>
      </x:c>
      <x:c r="D398" s="24" t="str">
        <x:v>STP</x:v>
      </x:c>
      <x:c r="E398" s="24" t="n">
        <x:v>2022</x:v>
      </x:c>
      <x:c r="F398" s="37" t="n">
        <x:v>1</x:v>
      </x:c>
      <x:c r="G398" s="38" t="n">
        <x:v>229013</x:v>
      </x:c>
      <x:c r="H398" s="38" t="n">
        <x:v>226305</x:v>
      </x:c>
      <x:c r="I398" s="39" t="n">
        <x:f>H398/G398</x:f>
        <x:v>0.9881753437577779</x:v>
      </x:c>
      <x:c r="J398" s="40" t="n">
        <x:f>(I398-1)*100</x:f>
        <x:v>-1.1824656242222065</x:v>
      </x:c>
      <x:c r="K398" s="36" t="str">
        <x:v>no</x:v>
      </x:c>
      <x:c r="L398" s="36" t="str">
        <x:v>Single-country territory; UN WPP and vanilla are within the ±5% review threshold.</x:v>
      </x:c>
      <x:c r="M398" s="41" t="n">
        <x:v>935440000</x:v>
      </x:c>
      <x:c r="N398" s="41" t="n">
        <x:v>935440000</x:v>
      </x:c>
      <x:c r="O398" s="41" t="n">
        <x:v>4085</x:v>
      </x:c>
      <x:c r="P398" s="41" t="n">
        <x:v>2412</x:v>
      </x:c>
      <x:c r="Q398" s="41" t="n">
        <x:v>6033</x:v>
      </x:c>
      <x:c r="R398" s="42" t="n">
        <x:f>MIN(P398,Q398)</x:f>
        <x:v>2412</x:v>
      </x:c>
      <x:c r="S398" s="42" t="n">
        <x:f>MAX(P398,Q398)</x:f>
        <x:v>6033</x:v>
      </x:c>
      <x:c r="T398" s="42" t="n">
        <x:f>MAX(R398,MIN(O398,S398))</x:f>
        <x:v>4085</x:v>
      </x:c>
      <x:c r="U398" s="19" t="str">
        <x:f>IF(O398&lt;R398,IF(R398=P398,"clamped_to_nominal","clamped_to_ppp"),IF(O398&gt;S398,IF(S398=P398,"clamped_to_nominal","clamped_to_ppp"),"kept_vanilla"))</x:f>
        <x:v>kept_vanilla</x:v>
      </x:c>
      <x:c r="V398" s="42" t="n">
        <x:f>T398*H398</x:f>
        <x:v>924455925</x:v>
      </x:c>
      <x:c r="W398" s="42" t="n">
        <x:f>V398/F398</x:f>
        <x:v>924455925</x:v>
      </x:c>
      <x:c r="X398" s="36" t="str">
        <x:v>STP: UN WPP 2024 Medium exact 2022</x:v>
      </x:c>
      <x:c r="Y398" s="36" t="str">
        <x:v>STP: IMF exact 2022</x:v>
      </x:c>
      <x:c r="Z398" s="36" t="str">
        <x:v>STP: IMF exact 2022</x:v>
      </x:c>
      <x:c r="AA398" s="36" t="str">
        <x:v>complete_primary</x:v>
      </x:c>
      <x:c r="AB398" s="36" t="str">
        <x:v>https://www.un.org/development/desa/pd/world-population-prospects-2024</x:v>
      </x:c>
      <x:c r="AC398" s="36" t="str">
        <x:v>https://api.imf.org/external/sdmx/3.0/data/dataflow/IMF.RES/WEO/9.0.0/</x:v>
      </x:c>
      <x:c r="AD398" s="36" t="str">
        <x:v>https://api.worldbank.org/v2/</x:v>
      </x:c>
    </x:row>
    <x:row r="399">
      <x:c r="A399" s="24" t="str">
        <x:v>STP</x:v>
      </x:c>
      <x:c r="B399" s="24" t="str">
        <x:v>Sao Tome and Principe</x:v>
      </x:c>
      <x:c r="C399" s="24" t="str">
        <x:v>STP</x:v>
      </x:c>
      <x:c r="D399" s="24" t="str">
        <x:v>STP</x:v>
      </x:c>
      <x:c r="E399" s="24" t="n">
        <x:v>2026</x:v>
      </x:c>
      <x:c r="F399" s="37" t="n">
        <x:v>0.87</x:v>
      </x:c>
      <x:c r="G399" s="38" t="n">
        <x:v>244994</x:v>
      </x:c>
      <x:c r="H399" s="38" t="n">
        <x:v>244994</x:v>
      </x:c>
      <x:c r="I399" s="39" t="n">
        <x:f>H399/G399</x:f>
        <x:v>1</x:v>
      </x:c>
      <x:c r="J399" s="40" t="n">
        <x:f>(I399-1)*100</x:f>
        <x:v>0</x:v>
      </x:c>
      <x:c r="K399" s="36" t="str">
        <x:v>no</x:v>
      </x:c>
      <x:c r="L399" s="36" t="str">
        <x:v>Single-country territory; UN WPP and vanilla are within the ±5% review threshold.</x:v>
      </x:c>
      <x:c r="M399" s="41" t="n">
        <x:v>1367520000</x:v>
      </x:c>
      <x:c r="N399" s="41" t="n">
        <x:v>1189742400</x:v>
      </x:c>
      <x:c r="O399" s="41" t="n">
        <x:v>4856</x:v>
      </x:c>
      <x:c r="P399" s="41" t="n">
        <x:v>4123</x:v>
      </x:c>
      <x:c r="Q399" s="41" t="n">
        <x:v>5839</x:v>
      </x:c>
      <x:c r="R399" s="42" t="n">
        <x:f>MIN(P399,Q399)</x:f>
        <x:v>4123</x:v>
      </x:c>
      <x:c r="S399" s="42" t="n">
        <x:f>MAX(P399,Q399)</x:f>
        <x:v>5839</x:v>
      </x:c>
      <x:c r="T399" s="42" t="n">
        <x:f>MAX(R399,MIN(O399,S399))</x:f>
        <x:v>4856</x:v>
      </x:c>
      <x:c r="U399" s="19" t="str">
        <x:f>IF(O399&lt;R399,IF(R399=P399,"clamped_to_nominal","clamped_to_ppp"),IF(O399&gt;S399,IF(S399=P399,"clamped_to_nominal","clamped_to_ppp"),"kept_vanilla"))</x:f>
        <x:v>kept_vanilla</x:v>
      </x:c>
      <x:c r="V399" s="42" t="n">
        <x:f>T399*H399</x:f>
        <x:v>1189690864</x:v>
      </x:c>
      <x:c r="W399" s="42" t="n">
        <x:f>V399/F399</x:f>
        <x:v>1367460763.2183907</x:v>
      </x:c>
      <x:c r="X399" s="36" t="str">
        <x:v>STP: UN WPP 2024 Medium exact 2026</x:v>
      </x:c>
      <x:c r="Y399" s="36" t="str">
        <x:v>STP: IMF exact 2026</x:v>
      </x:c>
      <x:c r="Z399" s="36" t="str">
        <x:v>STP: IMF exact 2026</x:v>
      </x:c>
      <x:c r="AA399" s="36" t="str">
        <x:v>complete_primary</x:v>
      </x:c>
      <x:c r="AB399" s="36" t="str">
        <x:v>https://www.un.org/development/desa/pd/world-population-prospects-2024</x:v>
      </x:c>
      <x:c r="AC399" s="36" t="str">
        <x:v>https://api.imf.org/external/sdmx/3.0/data/dataflow/IMF.RES/WEO/9.0.0/</x:v>
      </x:c>
      <x:c r="AD399" s="36" t="str">
        <x:v>https://api.worldbank.org/v2/</x:v>
      </x:c>
    </x:row>
    <x:row r="400">
      <x:c r="A400" s="24" t="str">
        <x:v>SAU</x:v>
      </x:c>
      <x:c r="B400" s="24" t="str">
        <x:v>Saudi Arabia</x:v>
      </x:c>
      <x:c r="C400" s="24" t="str">
        <x:v>SAU</x:v>
      </x:c>
      <x:c r="D400" s="24" t="str">
        <x:v>SAU</x:v>
      </x:c>
      <x:c r="E400" s="24" t="n">
        <x:v>2003</x:v>
      </x:c>
      <x:c r="F400" s="37" t="n">
        <x:v>1.59</x:v>
      </x:c>
      <x:c r="G400" s="38" t="n">
        <x:v>18786767</x:v>
      </x:c>
      <x:c r="H400" s="38" t="n">
        <x:v>18786767</x:v>
      </x:c>
      <x:c r="I400" s="39" t="n">
        <x:f>H400/G400</x:f>
        <x:v>1</x:v>
      </x:c>
      <x:c r="J400" s="40" t="n">
        <x:f>(I400-1)*100</x:f>
        <x:v>0</x:v>
      </x:c>
      <x:c r="K400" s="36" t="str">
        <x:v>no</x:v>
      </x:c>
      <x:c r="L400" s="36" t="str">
        <x:v>Single-country territory; UN WPP and vanilla are within the ±5% review threshold.</x:v>
      </x:c>
      <x:c r="M400" s="41" t="n">
        <x:v>398103508772</x:v>
      </x:c>
      <x:c r="N400" s="41" t="n">
        <x:v>632984578947</x:v>
      </x:c>
      <x:c r="O400" s="41" t="n">
        <x:v>33693</x:v>
      </x:c>
      <x:c r="P400" s="41" t="n">
        <x:v>18265</x:v>
      </x:c>
      <x:c r="Q400" s="41" t="n">
        <x:v>58633</x:v>
      </x:c>
      <x:c r="R400" s="42" t="n">
        <x:f>MIN(P400,Q400)</x:f>
        <x:v>18265</x:v>
      </x:c>
      <x:c r="S400" s="42" t="n">
        <x:f>MAX(P400,Q400)</x:f>
        <x:v>58633</x:v>
      </x:c>
      <x:c r="T400" s="42" t="n">
        <x:f>MAX(R400,MIN(O400,S400))</x:f>
        <x:v>33693</x:v>
      </x:c>
      <x:c r="U400" s="19" t="str">
        <x:f>IF(O400&lt;R400,IF(R400=P400,"clamped_to_nominal","clamped_to_ppp"),IF(O400&gt;S400,IF(S400=P400,"clamped_to_nominal","clamped_to_ppp"),"kept_vanilla"))</x:f>
        <x:v>kept_vanilla</x:v>
      </x:c>
      <x:c r="V400" s="42" t="n">
        <x:f>T400*H400</x:f>
        <x:v>632982540531</x:v>
      </x:c>
      <x:c r="W400" s="42" t="n">
        <x:f>V400/F400</x:f>
        <x:v>398102226749.0566</x:v>
      </x:c>
      <x:c r="X400" s="36" t="str">
        <x:v>SAU: UN WPP 2024 Medium exact 2003</x:v>
      </x:c>
      <x:c r="Y400" s="36" t="str">
        <x:v>SAU: IMF exact 2003</x:v>
      </x:c>
      <x:c r="Z400" s="36" t="str">
        <x:v>SAU: IMF exact 2003</x:v>
      </x:c>
      <x:c r="AA400" s="36" t="str">
        <x:v>complete_primary</x:v>
      </x:c>
      <x:c r="AB400" s="36" t="str">
        <x:v>https://www.un.org/development/desa/pd/world-population-prospects-2024</x:v>
      </x:c>
      <x:c r="AC400" s="36" t="str">
        <x:v>https://api.imf.org/external/sdmx/3.0/data/dataflow/IMF.RES/WEO/9.0.0/</x:v>
      </x:c>
      <x:c r="AD400" s="36" t="str">
        <x:v>https://api.worldbank.org/v2/</x:v>
      </x:c>
    </x:row>
    <x:row r="401">
      <x:c r="A401" s="24" t="str">
        <x:v>SAU</x:v>
      </x:c>
      <x:c r="B401" s="24" t="str">
        <x:v>Saudi Arabia</x:v>
      </x:c>
      <x:c r="C401" s="24" t="str">
        <x:v>SAU</x:v>
      </x:c>
      <x:c r="D401" s="24" t="str">
        <x:v>SAU</x:v>
      </x:c>
      <x:c r="E401" s="24" t="n">
        <x:v>2022</x:v>
      </x:c>
      <x:c r="F401" s="37" t="n">
        <x:v>1</x:v>
      </x:c>
      <x:c r="G401" s="38" t="n">
        <x:v>36000289</x:v>
      </x:c>
      <x:c r="H401" s="38" t="n">
        <x:v>32175352</x:v>
      </x:c>
      <x:c r="I401" s="39" t="n">
        <x:f>H401/G401</x:f>
        <x:v>0.8937526029304932</x:v>
      </x:c>
      <x:c r="J401" s="40" t="n">
        <x:f>(I401-1)*100</x:f>
        <x:v>-10.624739706950681</x:v>
      </x:c>
      <x:c r="K401" s="36" t="str">
        <x:v>yes — reviewed</x:v>
      </x:c>
      <x:c r="L401" s="36" t="str">
        <x:v>Single-country game territory and UN country/area boundary align. The difference is an updated historical estimate/projection vintage, not a geographic-scope mismatch; accept the UN WPP value for a consistent source vintage.</x:v>
      </x:c>
      <x:c r="M401" s="41" t="n">
        <x:v>1762236960000</x:v>
      </x:c>
      <x:c r="N401" s="41" t="n">
        <x:v>1762236960000</x:v>
      </x:c>
      <x:c r="O401" s="41" t="n">
        <x:v>48951</x:v>
      </x:c>
      <x:c r="P401" s="41" t="n">
        <x:v>38510</x:v>
      </x:c>
      <x:c r="Q401" s="41" t="n">
        <x:v>71956</x:v>
      </x:c>
      <x:c r="R401" s="42" t="n">
        <x:f>MIN(P401,Q401)</x:f>
        <x:v>38510</x:v>
      </x:c>
      <x:c r="S401" s="42" t="n">
        <x:f>MAX(P401,Q401)</x:f>
        <x:v>71956</x:v>
      </x:c>
      <x:c r="T401" s="42" t="n">
        <x:f>MAX(R401,MIN(O401,S401))</x:f>
        <x:v>48951</x:v>
      </x:c>
      <x:c r="U401" s="19" t="str">
        <x:f>IF(O401&lt;R401,IF(R401=P401,"clamped_to_nominal","clamped_to_ppp"),IF(O401&gt;S401,IF(S401=P401,"clamped_to_nominal","clamped_to_ppp"),"kept_vanilla"))</x:f>
        <x:v>kept_vanilla</x:v>
      </x:c>
      <x:c r="V401" s="42" t="n">
        <x:f>T401*H401</x:f>
        <x:v>1575015655752</x:v>
      </x:c>
      <x:c r="W401" s="42" t="n">
        <x:f>V401/F401</x:f>
        <x:v>1575015655752</x:v>
      </x:c>
      <x:c r="X401" s="36" t="str">
        <x:v>SAU: UN WPP 2024 Medium exact 2022</x:v>
      </x:c>
      <x:c r="Y401" s="36" t="str">
        <x:v>SAU: IMF exact 2022</x:v>
      </x:c>
      <x:c r="Z401" s="36" t="str">
        <x:v>SAU: IMF exact 2022</x:v>
      </x:c>
      <x:c r="AA401" s="36" t="str">
        <x:v>complete_primary</x:v>
      </x:c>
      <x:c r="AB401" s="36" t="str">
        <x:v>https://www.un.org/development/desa/pd/world-population-prospects-2024</x:v>
      </x:c>
      <x:c r="AC401" s="36" t="str">
        <x:v>https://api.imf.org/external/sdmx/3.0/data/dataflow/IMF.RES/WEO/9.0.0/</x:v>
      </x:c>
      <x:c r="AD401" s="36" t="str">
        <x:v>https://api.worldbank.org/v2/</x:v>
      </x:c>
    </x:row>
    <x:row r="402">
      <x:c r="A402" s="24" t="str">
        <x:v>SAU</x:v>
      </x:c>
      <x:c r="B402" s="24" t="str">
        <x:v>Saudi Arabia</x:v>
      </x:c>
      <x:c r="C402" s="24" t="str">
        <x:v>SAU</x:v>
      </x:c>
      <x:c r="D402" s="24" t="str">
        <x:v>SAU</x:v>
      </x:c>
      <x:c r="E402" s="24" t="n">
        <x:v>2026</x:v>
      </x:c>
      <x:c r="F402" s="37" t="n">
        <x:v>0.87</x:v>
      </x:c>
      <x:c r="G402" s="38" t="n">
        <x:v>35165787</x:v>
      </x:c>
      <x:c r="H402" s="38" t="n">
        <x:v>35165787</x:v>
      </x:c>
      <x:c r="I402" s="39" t="n">
        <x:f>H402/G402</x:f>
        <x:v>1</x:v>
      </x:c>
      <x:c r="J402" s="40" t="n">
        <x:f>(I402-1)*100</x:f>
        <x:v>0</x:v>
      </x:c>
      <x:c r="K402" s="36" t="str">
        <x:v>no</x:v>
      </x:c>
      <x:c r="L402" s="36" t="str">
        <x:v>Single-country territory; UN WPP and vanilla are within the ±5% review threshold.</x:v>
      </x:c>
      <x:c r="M402" s="41" t="n">
        <x:v>2365897600000</x:v>
      </x:c>
      <x:c r="N402" s="41" t="n">
        <x:v>2058330912000</x:v>
      </x:c>
      <x:c r="O402" s="41" t="n">
        <x:v>58532</x:v>
      </x:c>
      <x:c r="P402" s="41" t="n">
        <x:v>34356</x:v>
      </x:c>
      <x:c r="Q402" s="41" t="n">
        <x:v>71612</x:v>
      </x:c>
      <x:c r="R402" s="42" t="n">
        <x:f>MIN(P402,Q402)</x:f>
        <x:v>34356</x:v>
      </x:c>
      <x:c r="S402" s="42" t="n">
        <x:f>MAX(P402,Q402)</x:f>
        <x:v>71612</x:v>
      </x:c>
      <x:c r="T402" s="42" t="n">
        <x:f>MAX(R402,MIN(O402,S402))</x:f>
        <x:v>58532</x:v>
      </x:c>
      <x:c r="U402" s="19" t="str">
        <x:f>IF(O402&lt;R402,IF(R402=P402,"clamped_to_nominal","clamped_to_ppp"),IF(O402&gt;S402,IF(S402=P402,"clamped_to_nominal","clamped_to_ppp"),"kept_vanilla"))</x:f>
        <x:v>kept_vanilla</x:v>
      </x:c>
      <x:c r="V402" s="42" t="n">
        <x:f>T402*H402</x:f>
        <x:v>2058323844684</x:v>
      </x:c>
      <x:c r="W402" s="42" t="n">
        <x:f>V402/F402</x:f>
        <x:v>2365889476648.276</x:v>
      </x:c>
      <x:c r="X402" s="36" t="str">
        <x:v>SAU: UN WPP 2024 Medium exact 2026</x:v>
      </x:c>
      <x:c r="Y402" s="36" t="str">
        <x:v>SAU: IMF exact 2026</x:v>
      </x:c>
      <x:c r="Z402" s="36" t="str">
        <x:v>SAU: IMF exact 2026</x:v>
      </x:c>
      <x:c r="AA402" s="36" t="str">
        <x:v>complete_primary</x:v>
      </x:c>
      <x:c r="AB402" s="36" t="str">
        <x:v>https://www.un.org/development/desa/pd/world-population-prospects-2024</x:v>
      </x:c>
      <x:c r="AC402" s="36" t="str">
        <x:v>https://api.imf.org/external/sdmx/3.0/data/dataflow/IMF.RES/WEO/9.0.0/</x:v>
      </x:c>
      <x:c r="AD402" s="36" t="str">
        <x:v>https://api.worldbank.org/v2/</x:v>
      </x:c>
    </x:row>
    <x:row r="403">
      <x:c r="A403" s="24" t="str">
        <x:v>SEG</x:v>
      </x:c>
      <x:c r="B403" s="24" t="str">
        <x:v>Senegal</x:v>
      </x:c>
      <x:c r="C403" s="24" t="str">
        <x:v>SEN</x:v>
      </x:c>
      <x:c r="D403" s="24" t="str">
        <x:v>SEN</x:v>
      </x:c>
      <x:c r="E403" s="24" t="n">
        <x:v>2003</x:v>
      </x:c>
      <x:c r="F403" s="37" t="n">
        <x:v>1.59</x:v>
      </x:c>
      <x:c r="G403" s="38" t="n">
        <x:v>10721176</x:v>
      </x:c>
      <x:c r="H403" s="38" t="n">
        <x:v>10721176</x:v>
      </x:c>
      <x:c r="I403" s="39" t="n">
        <x:f>H403/G403</x:f>
        <x:v>1</x:v>
      </x:c>
      <x:c r="J403" s="40" t="n">
        <x:f>(I403-1)*100</x:f>
        <x:v>0</x:v>
      </x:c>
      <x:c r="K403" s="36" t="str">
        <x:v>no</x:v>
      </x:c>
      <x:c r="L403" s="36" t="str">
        <x:v>Single-country territory; UN WPP and vanilla are within the ±5% review threshold.</x:v>
      </x:c>
      <x:c r="M403" s="41" t="n">
        <x:v>12786549708</x:v>
      </x:c>
      <x:c r="N403" s="41" t="n">
        <x:v>20330614036</x:v>
      </x:c>
      <x:c r="O403" s="41" t="n">
        <x:v>1896</x:v>
      </x:c>
      <x:c r="P403" s="41" t="n">
        <x:v>1300</x:v>
      </x:c>
      <x:c r="Q403" s="41" t="n">
        <x:v>3243</x:v>
      </x:c>
      <x:c r="R403" s="42" t="n">
        <x:f>MIN(P403,Q403)</x:f>
        <x:v>1300</x:v>
      </x:c>
      <x:c r="S403" s="42" t="n">
        <x:f>MAX(P403,Q403)</x:f>
        <x:v>3243</x:v>
      </x:c>
      <x:c r="T403" s="42" t="n">
        <x:f>MAX(R403,MIN(O403,S403))</x:f>
        <x:v>1896</x:v>
      </x:c>
      <x:c r="U403" s="19" t="str">
        <x:f>IF(O403&lt;R403,IF(R403=P403,"clamped_to_nominal","clamped_to_ppp"),IF(O403&gt;S403,IF(S403=P403,"clamped_to_nominal","clamped_to_ppp"),"kept_vanilla"))</x:f>
        <x:v>kept_vanilla</x:v>
      </x:c>
      <x:c r="V403" s="42" t="n">
        <x:f>T403*H403</x:f>
        <x:v>20327349696</x:v>
      </x:c>
      <x:c r="W403" s="42" t="n">
        <x:f>V403/F403</x:f>
        <x:v>12784496664.150942</x:v>
      </x:c>
      <x:c r="X403" s="36" t="str">
        <x:v>SEN: UN WPP 2024 Medium exact 2003</x:v>
      </x:c>
      <x:c r="Y403" s="36" t="str">
        <x:v>SEN: IMF exact 2003</x:v>
      </x:c>
      <x:c r="Z403" s="36" t="str">
        <x:v>SEN: IMF exact 2003</x:v>
      </x:c>
      <x:c r="AA403" s="36" t="str">
        <x:v>complete_primary</x:v>
      </x:c>
      <x:c r="AB403" s="36" t="str">
        <x:v>https://www.un.org/development/desa/pd/world-population-prospects-2024</x:v>
      </x:c>
      <x:c r="AC403" s="36" t="str">
        <x:v>https://api.imf.org/external/sdmx/3.0/data/dataflow/IMF.RES/WEO/9.0.0/</x:v>
      </x:c>
      <x:c r="AD403" s="36" t="str">
        <x:v>https://api.worldbank.org/v2/</x:v>
      </x:c>
    </x:row>
    <x:row r="404">
      <x:c r="A404" s="24" t="str">
        <x:v>SEG</x:v>
      </x:c>
      <x:c r="B404" s="24" t="str">
        <x:v>Senegal</x:v>
      </x:c>
      <x:c r="C404" s="24" t="str">
        <x:v>SEN</x:v>
      </x:c>
      <x:c r="D404" s="24" t="str">
        <x:v>SEN</x:v>
      </x:c>
      <x:c r="E404" s="24" t="n">
        <x:v>2022</x:v>
      </x:c>
      <x:c r="F404" s="37" t="n">
        <x:v>1</x:v>
      </x:c>
      <x:c r="G404" s="38" t="n">
        <x:v>17798049</x:v>
      </x:c>
      <x:c r="H404" s="38" t="n">
        <x:v>17651103</x:v>
      </x:c>
      <x:c r="I404" s="39" t="n">
        <x:f>H404/G404</x:f>
        <x:v>0.9917437017956294</x:v>
      </x:c>
      <x:c r="J404" s="40" t="n">
        <x:f>(I404-1)*100</x:f>
        <x:v>-0.8256298204370571</x:v>
      </x:c>
      <x:c r="K404" s="36" t="str">
        <x:v>no</x:v>
      </x:c>
      <x:c r="L404" s="36" t="str">
        <x:v>Single-country territory; UN WPP and vanilla are within the ±5% review threshold.</x:v>
      </x:c>
      <x:c r="M404" s="41" t="n">
        <x:v>63660080000</x:v>
      </x:c>
      <x:c r="N404" s="41" t="n">
        <x:v>63660080000</x:v>
      </x:c>
      <x:c r="O404" s="41" t="n">
        <x:v>3577</x:v>
      </x:c>
      <x:c r="P404" s="41" t="n">
        <x:v>1577</x:v>
      </x:c>
      <x:c r="Q404" s="41" t="n">
        <x:v>4529</x:v>
      </x:c>
      <x:c r="R404" s="42" t="n">
        <x:f>MIN(P404,Q404)</x:f>
        <x:v>1577</x:v>
      </x:c>
      <x:c r="S404" s="42" t="n">
        <x:f>MAX(P404,Q404)</x:f>
        <x:v>4529</x:v>
      </x:c>
      <x:c r="T404" s="42" t="n">
        <x:f>MAX(R404,MIN(O404,S404))</x:f>
        <x:v>3577</x:v>
      </x:c>
      <x:c r="U404" s="19" t="str">
        <x:f>IF(O404&lt;R404,IF(R404=P404,"clamped_to_nominal","clamped_to_ppp"),IF(O404&gt;S404,IF(S404=P404,"clamped_to_nominal","clamped_to_ppp"),"kept_vanilla"))</x:f>
        <x:v>kept_vanilla</x:v>
      </x:c>
      <x:c r="V404" s="42" t="n">
        <x:f>T404*H404</x:f>
        <x:v>63137995431</x:v>
      </x:c>
      <x:c r="W404" s="42" t="n">
        <x:f>V404/F404</x:f>
        <x:v>63137995431</x:v>
      </x:c>
      <x:c r="X404" s="36" t="str">
        <x:v>SEN: UN WPP 2024 Medium exact 2022</x:v>
      </x:c>
      <x:c r="Y404" s="36" t="str">
        <x:v>SEN: IMF exact 2022</x:v>
      </x:c>
      <x:c r="Z404" s="36" t="str">
        <x:v>SEN: IMF exact 2022</x:v>
      </x:c>
      <x:c r="AA404" s="36" t="str">
        <x:v>complete_primary</x:v>
      </x:c>
      <x:c r="AB404" s="36" t="str">
        <x:v>https://www.un.org/development/desa/pd/world-population-prospects-2024</x:v>
      </x:c>
      <x:c r="AC404" s="36" t="str">
        <x:v>https://api.imf.org/external/sdmx/3.0/data/dataflow/IMF.RES/WEO/9.0.0/</x:v>
      </x:c>
      <x:c r="AD404" s="36" t="str">
        <x:v>https://api.worldbank.org/v2/</x:v>
      </x:c>
    </x:row>
    <x:row r="405">
      <x:c r="A405" s="24" t="str">
        <x:v>SEG</x:v>
      </x:c>
      <x:c r="B405" s="24" t="str">
        <x:v>Senegal</x:v>
      </x:c>
      <x:c r="C405" s="24" t="str">
        <x:v>SEN</x:v>
      </x:c>
      <x:c r="D405" s="24" t="str">
        <x:v>SEN</x:v>
      </x:c>
      <x:c r="E405" s="24" t="n">
        <x:v>2026</x:v>
      </x:c>
      <x:c r="F405" s="37" t="n">
        <x:v>0.87</x:v>
      </x:c>
      <x:c r="G405" s="38" t="n">
        <x:v>19366548</x:v>
      </x:c>
      <x:c r="H405" s="38" t="n">
        <x:v>19366548</x:v>
      </x:c>
      <x:c r="I405" s="39" t="n">
        <x:f>H405/G405</x:f>
        <x:v>1</x:v>
      </x:c>
      <x:c r="J405" s="40" t="n">
        <x:f>(I405-1)*100</x:f>
        <x:v>0</x:v>
      </x:c>
      <x:c r="K405" s="36" t="str">
        <x:v>no</x:v>
      </x:c>
      <x:c r="L405" s="36" t="str">
        <x:v>Single-country territory; UN WPP and vanilla are within the ±5% review threshold.</x:v>
      </x:c>
      <x:c r="M405" s="41" t="n">
        <x:v>92778400000</x:v>
      </x:c>
      <x:c r="N405" s="41" t="n">
        <x:v>80717208000</x:v>
      </x:c>
      <x:c r="O405" s="41" t="n">
        <x:v>4168</x:v>
      </x:c>
      <x:c r="P405" s="41" t="n">
        <x:v>1818</x:v>
      </x:c>
      <x:c r="Q405" s="41" t="n">
        <x:v>4925</x:v>
      </x:c>
      <x:c r="R405" s="42" t="n">
        <x:f>MIN(P405,Q405)</x:f>
        <x:v>1818</x:v>
      </x:c>
      <x:c r="S405" s="42" t="n">
        <x:f>MAX(P405,Q405)</x:f>
        <x:v>4925</x:v>
      </x:c>
      <x:c r="T405" s="42" t="n">
        <x:f>MAX(R405,MIN(O405,S405))</x:f>
        <x:v>4168</x:v>
      </x:c>
      <x:c r="U405" s="19" t="str">
        <x:f>IF(O405&lt;R405,IF(R405=P405,"clamped_to_nominal","clamped_to_ppp"),IF(O405&gt;S405,IF(S405=P405,"clamped_to_nominal","clamped_to_ppp"),"kept_vanilla"))</x:f>
        <x:v>kept_vanilla</x:v>
      </x:c>
      <x:c r="V405" s="42" t="n">
        <x:f>T405*H405</x:f>
        <x:v>80719772064</x:v>
      </x:c>
      <x:c r="W405" s="42" t="n">
        <x:f>V405/F405</x:f>
        <x:v>92781347200</x:v>
      </x:c>
      <x:c r="X405" s="36" t="str">
        <x:v>SEN: UN WPP 2024 Medium exact 2026</x:v>
      </x:c>
      <x:c r="Y405" s="36" t="str">
        <x:v>SEN: IMF exact 2026</x:v>
      </x:c>
      <x:c r="Z405" s="36" t="str">
        <x:v>SEN: IMF exact 2026</x:v>
      </x:c>
      <x:c r="AA405" s="36" t="str">
        <x:v>complete_primary</x:v>
      </x:c>
      <x:c r="AB405" s="36" t="str">
        <x:v>https://www.un.org/development/desa/pd/world-population-prospects-2024</x:v>
      </x:c>
      <x:c r="AC405" s="36" t="str">
        <x:v>https://api.imf.org/external/sdmx/3.0/data/dataflow/IMF.RES/WEO/9.0.0/</x:v>
      </x:c>
      <x:c r="AD405" s="36" t="str">
        <x:v>https://api.worldbank.org/v2/</x:v>
      </x:c>
    </x:row>
    <x:row r="406">
      <x:c r="A406" s="24" t="str">
        <x:v>SER</x:v>
      </x:c>
      <x:c r="B406" s="24" t="str">
        <x:v>Serbia</x:v>
      </x:c>
      <x:c r="C406" s="24" t="str">
        <x:v>SRB</x:v>
      </x:c>
      <x:c r="D406" s="24" t="str">
        <x:v>SRB</x:v>
      </x:c>
      <x:c r="E406" s="24" t="n">
        <x:v>2003</x:v>
      </x:c>
      <x:c r="F406" s="37" t="n">
        <x:v>1.59</x:v>
      </x:c>
      <x:c r="G406" s="38" t="n">
        <x:v>7590935</x:v>
      </x:c>
      <x:c r="H406" s="38" t="n">
        <x:v>7590935</x:v>
      </x:c>
      <x:c r="I406" s="39" t="n">
        <x:f>H406/G406</x:f>
        <x:v>1</x:v>
      </x:c>
      <x:c r="J406" s="40" t="n">
        <x:f>(I406-1)*100</x:f>
        <x:v>0</x:v>
      </x:c>
      <x:c r="K406" s="36" t="str">
        <x:v>no</x:v>
      </x:c>
      <x:c r="L406" s="36" t="str">
        <x:v>Single-country territory; UN WPP and vanilla are within the ±5% review threshold.</x:v>
      </x:c>
      <x:c r="M406" s="41" t="n">
        <x:v>35756725146</x:v>
      </x:c>
      <x:c r="N406" s="41" t="n">
        <x:v>56853192982</x:v>
      </x:c>
      <x:c r="O406" s="41" t="n">
        <x:v>7490</x:v>
      </x:c>
      <x:c r="P406" s="41" t="n">
        <x:v>4949</x:v>
      </x:c>
      <x:c r="Q406" s="41" t="n">
        <x:v>14242</x:v>
      </x:c>
      <x:c r="R406" s="42" t="n">
        <x:f>MIN(P406,Q406)</x:f>
        <x:v>4949</x:v>
      </x:c>
      <x:c r="S406" s="42" t="n">
        <x:f>MAX(P406,Q406)</x:f>
        <x:v>14242</x:v>
      </x:c>
      <x:c r="T406" s="42" t="n">
        <x:f>MAX(R406,MIN(O406,S406))</x:f>
        <x:v>7490</x:v>
      </x:c>
      <x:c r="U406" s="19" t="str">
        <x:f>IF(O406&lt;R406,IF(R406=P406,"clamped_to_nominal","clamped_to_ppp"),IF(O406&gt;S406,IF(S406=P406,"clamped_to_nominal","clamped_to_ppp"),"kept_vanilla"))</x:f>
        <x:v>kept_vanilla</x:v>
      </x:c>
      <x:c r="V406" s="42" t="n">
        <x:f>T406*H406</x:f>
        <x:v>56856103150</x:v>
      </x:c>
      <x:c r="W406" s="42" t="n">
        <x:f>V406/F406</x:f>
        <x:v>35758555440.25157</x:v>
      </x:c>
      <x:c r="X406" s="36" t="str">
        <x:v>SRB: UN WPP 2024 Medium exact 2003</x:v>
      </x:c>
      <x:c r="Y406" s="36" t="str">
        <x:v>SRB: IMF exact 2003</x:v>
      </x:c>
      <x:c r="Z406" s="36" t="str">
        <x:v>SRB: IMF exact 2003</x:v>
      </x:c>
      <x:c r="AA406" s="36" t="str">
        <x:v>complete_primary</x:v>
      </x:c>
      <x:c r="AB406" s="36" t="str">
        <x:v>https://www.un.org/development/desa/pd/world-population-prospects-2024</x:v>
      </x:c>
      <x:c r="AC406" s="36" t="str">
        <x:v>https://api.imf.org/external/sdmx/3.0/data/dataflow/IMF.RES/WEO/9.0.0/</x:v>
      </x:c>
      <x:c r="AD406" s="36" t="str">
        <x:v>https://api.worldbank.org/v2/</x:v>
      </x:c>
    </x:row>
    <x:row r="407">
      <x:c r="A407" s="24" t="str">
        <x:v>SER</x:v>
      </x:c>
      <x:c r="B407" s="24" t="str">
        <x:v>Serbia</x:v>
      </x:c>
      <x:c r="C407" s="24" t="str">
        <x:v>SRB</x:v>
      </x:c>
      <x:c r="D407" s="24" t="str">
        <x:v>SRB</x:v>
      </x:c>
      <x:c r="E407" s="24" t="n">
        <x:v>2022</x:v>
      </x:c>
      <x:c r="F407" s="37" t="n">
        <x:v>1</x:v>
      </x:c>
      <x:c r="G407" s="38" t="n">
        <x:v>6870320</x:v>
      </x:c>
      <x:c r="H407" s="38" t="n">
        <x:v>6791213</x:v>
      </x:c>
      <x:c r="I407" s="39" t="n">
        <x:f>H407/G407</x:f>
        <x:v>0.9884856891673168</x:v>
      </x:c>
      <x:c r="J407" s="40" t="n">
        <x:f>(I407-1)*100</x:f>
        <x:v>-1.1514310832683172</x:v>
      </x:c>
      <x:c r="K407" s="36" t="str">
        <x:v>no</x:v>
      </x:c>
      <x:c r="L407" s="36" t="str">
        <x:v>Single-country territory; UN WPP and vanilla are within the ±5% review threshold.</x:v>
      </x:c>
      <x:c r="M407" s="41" t="n">
        <x:v>143967120000</x:v>
      </x:c>
      <x:c r="N407" s="41" t="n">
        <x:v>143967120000</x:v>
      </x:c>
      <x:c r="O407" s="41" t="n">
        <x:v>20955</x:v>
      </x:c>
      <x:c r="P407" s="41" t="n">
        <x:v>9838</x:v>
      </x:c>
      <x:c r="Q407" s="41" t="n">
        <x:v>26204</x:v>
      </x:c>
      <x:c r="R407" s="42" t="n">
        <x:f>MIN(P407,Q407)</x:f>
        <x:v>9838</x:v>
      </x:c>
      <x:c r="S407" s="42" t="n">
        <x:f>MAX(P407,Q407)</x:f>
        <x:v>26204</x:v>
      </x:c>
      <x:c r="T407" s="42" t="n">
        <x:f>MAX(R407,MIN(O407,S407))</x:f>
        <x:v>20955</x:v>
      </x:c>
      <x:c r="U407" s="19" t="str">
        <x:f>IF(O407&lt;R407,IF(R407=P407,"clamped_to_nominal","clamped_to_ppp"),IF(O407&gt;S407,IF(S407=P407,"clamped_to_nominal","clamped_to_ppp"),"kept_vanilla"))</x:f>
        <x:v>kept_vanilla</x:v>
      </x:c>
      <x:c r="V407" s="42" t="n">
        <x:f>T407*H407</x:f>
        <x:v>142309868415</x:v>
      </x:c>
      <x:c r="W407" s="42" t="n">
        <x:f>V407/F407</x:f>
        <x:v>142309868415</x:v>
      </x:c>
      <x:c r="X407" s="36" t="str">
        <x:v>SRB: UN WPP 2024 Medium exact 2022</x:v>
      </x:c>
      <x:c r="Y407" s="36" t="str">
        <x:v>SRB: IMF exact 2022</x:v>
      </x:c>
      <x:c r="Z407" s="36" t="str">
        <x:v>SRB: IMF exact 2022</x:v>
      </x:c>
      <x:c r="AA407" s="36" t="str">
        <x:v>complete_primary</x:v>
      </x:c>
      <x:c r="AB407" s="36" t="str">
        <x:v>https://www.un.org/development/desa/pd/world-population-prospects-2024</x:v>
      </x:c>
      <x:c r="AC407" s="36" t="str">
        <x:v>https://api.imf.org/external/sdmx/3.0/data/dataflow/IMF.RES/WEO/9.0.0/</x:v>
      </x:c>
      <x:c r="AD407" s="36" t="str">
        <x:v>https://api.worldbank.org/v2/</x:v>
      </x:c>
    </x:row>
    <x:row r="408">
      <x:c r="A408" s="24" t="str">
        <x:v>SER</x:v>
      </x:c>
      <x:c r="B408" s="24" t="str">
        <x:v>Serbia</x:v>
      </x:c>
      <x:c r="C408" s="24" t="str">
        <x:v>SRB</x:v>
      </x:c>
      <x:c r="D408" s="24" t="str">
        <x:v>SRB</x:v>
      </x:c>
      <x:c r="E408" s="24" t="n">
        <x:v>2026</x:v>
      </x:c>
      <x:c r="F408" s="37" t="n">
        <x:v>0.87</x:v>
      </x:c>
      <x:c r="G408" s="38" t="n">
        <x:v>6641964</x:v>
      </x:c>
      <x:c r="H408" s="38" t="n">
        <x:v>6641964</x:v>
      </x:c>
      <x:c r="I408" s="39" t="n">
        <x:f>H408/G408</x:f>
        <x:v>1</x:v>
      </x:c>
      <x:c r="J408" s="40" t="n">
        <x:f>(I408-1)*100</x:f>
        <x:v>0</x:v>
      </x:c>
      <x:c r="K408" s="36" t="str">
        <x:v>no</x:v>
      </x:c>
      <x:c r="L408" s="36" t="str">
        <x:v>Single-country territory; UN WPP and vanilla are within the ±5% review threshold.</x:v>
      </x:c>
      <x:c r="M408" s="41" t="n">
        <x:v>190274480000</x:v>
      </x:c>
      <x:c r="N408" s="41" t="n">
        <x:v>165538797600</x:v>
      </x:c>
      <x:c r="O408" s="41" t="n">
        <x:v>24923</x:v>
      </x:c>
      <x:c r="P408" s="41" t="n">
        <x:v>14674</x:v>
      </x:c>
      <x:c r="Q408" s="41" t="n">
        <x:v>29652</x:v>
      </x:c>
      <x:c r="R408" s="42" t="n">
        <x:f>MIN(P408,Q408)</x:f>
        <x:v>14674</x:v>
      </x:c>
      <x:c r="S408" s="42" t="n">
        <x:f>MAX(P408,Q408)</x:f>
        <x:v>29652</x:v>
      </x:c>
      <x:c r="T408" s="42" t="n">
        <x:f>MAX(R408,MIN(O408,S408))</x:f>
        <x:v>24923</x:v>
      </x:c>
      <x:c r="U408" s="19" t="str">
        <x:f>IF(O408&lt;R408,IF(R408=P408,"clamped_to_nominal","clamped_to_ppp"),IF(O408&gt;S408,IF(S408=P408,"clamped_to_nominal","clamped_to_ppp"),"kept_vanilla"))</x:f>
        <x:v>kept_vanilla</x:v>
      </x:c>
      <x:c r="V408" s="42" t="n">
        <x:f>T408*H408</x:f>
        <x:v>165537668772</x:v>
      </x:c>
      <x:c r="W408" s="42" t="n">
        <x:f>V408/F408</x:f>
        <x:v>190273182496.55173</x:v>
      </x:c>
      <x:c r="X408" s="36" t="str">
        <x:v>SRB: UN WPP 2024 Medium exact 2026</x:v>
      </x:c>
      <x:c r="Y408" s="36" t="str">
        <x:v>SRB: IMF exact 2026</x:v>
      </x:c>
      <x:c r="Z408" s="36" t="str">
        <x:v>SRB: IMF exact 2026</x:v>
      </x:c>
      <x:c r="AA408" s="36" t="str">
        <x:v>complete_primary</x:v>
      </x:c>
      <x:c r="AB408" s="36" t="str">
        <x:v>https://www.un.org/development/desa/pd/world-population-prospects-2024</x:v>
      </x:c>
      <x:c r="AC408" s="36" t="str">
        <x:v>https://api.imf.org/external/sdmx/3.0/data/dataflow/IMF.RES/WEO/9.0.0/</x:v>
      </x:c>
      <x:c r="AD408" s="36" t="str">
        <x:v>https://api.worldbank.org/v2/</x:v>
      </x:c>
    </x:row>
    <x:row r="409">
      <x:c r="A409" s="24" t="str">
        <x:v>SYC</x:v>
      </x:c>
      <x:c r="B409" s="24" t="str">
        <x:v>Seychelles</x:v>
      </x:c>
      <x:c r="C409" s="24" t="str">
        <x:v>SYC</x:v>
      </x:c>
      <x:c r="D409" s="24" t="str">
        <x:v>SYC</x:v>
      </x:c>
      <x:c r="E409" s="24" t="n">
        <x:v>2003</x:v>
      </x:c>
      <x:c r="F409" s="37" t="n">
        <x:v>1.59</x:v>
      </x:c>
      <x:c r="G409" s="38" t="n">
        <x:v>87034</x:v>
      </x:c>
      <x:c r="H409" s="38" t="n">
        <x:v>87034</x:v>
      </x:c>
      <x:c r="I409" s="39" t="n">
        <x:f>H409/G409</x:f>
        <x:v>1</x:v>
      </x:c>
      <x:c r="J409" s="40" t="n">
        <x:f>(I409-1)*100</x:f>
        <x:v>0</x:v>
      </x:c>
      <x:c r="K409" s="36" t="str">
        <x:v>no</x:v>
      </x:c>
      <x:c r="L409" s="36" t="str">
        <x:v>Single-country territory; UN WPP and vanilla are within the ±5% review threshold.</x:v>
      </x:c>
      <x:c r="M409" s="41" t="n">
        <x:v>629824561</x:v>
      </x:c>
      <x:c r="N409" s="41" t="n">
        <x:v>1001421052</x:v>
      </x:c>
      <x:c r="O409" s="41" t="n">
        <x:v>11506</x:v>
      </x:c>
      <x:c r="P409" s="41" t="n">
        <x:v>12892</x:v>
      </x:c>
      <x:c r="Q409" s="41" t="n">
        <x:v>19667</x:v>
      </x:c>
      <x:c r="R409" s="42" t="n">
        <x:f>MIN(P409,Q409)</x:f>
        <x:v>12892</x:v>
      </x:c>
      <x:c r="S409" s="42" t="n">
        <x:f>MAX(P409,Q409)</x:f>
        <x:v>19667</x:v>
      </x:c>
      <x:c r="T409" s="42" t="n">
        <x:f>MAX(R409,MIN(O409,S409))</x:f>
        <x:v>12892</x:v>
      </x:c>
      <x:c r="U409" s="19" t="str">
        <x:f>IF(O409&lt;R409,IF(R409=P409,"clamped_to_nominal","clamped_to_ppp"),IF(O409&gt;S409,IF(S409=P409,"clamped_to_nominal","clamped_to_ppp"),"kept_vanilla"))</x:f>
        <x:v>clamped_to_nominal</x:v>
      </x:c>
      <x:c r="V409" s="42" t="n">
        <x:f>T409*H409</x:f>
        <x:v>1122042328</x:v>
      </x:c>
      <x:c r="W409" s="42" t="n">
        <x:f>V409/F409</x:f>
        <x:v>705686998.7421384</x:v>
      </x:c>
      <x:c r="X409" s="36" t="str">
        <x:v>SYC: UN WPP 2024 Medium exact 2003</x:v>
      </x:c>
      <x:c r="Y409" s="36" t="str">
        <x:v>SYC: IMF exact 2003</x:v>
      </x:c>
      <x:c r="Z409" s="36" t="str">
        <x:v>SYC: IMF exact 2003</x:v>
      </x:c>
      <x:c r="AA409" s="36" t="str">
        <x:v>complete_primary</x:v>
      </x:c>
      <x:c r="AB409" s="36" t="str">
        <x:v>https://www.un.org/development/desa/pd/world-population-prospects-2024</x:v>
      </x:c>
      <x:c r="AC409" s="36" t="str">
        <x:v>https://api.imf.org/external/sdmx/3.0/data/dataflow/IMF.RES/WEO/9.0.0/</x:v>
      </x:c>
      <x:c r="AD409" s="36" t="str">
        <x:v>https://api.worldbank.org/v2/</x:v>
      </x:c>
    </x:row>
    <x:row r="410">
      <x:c r="A410" s="24" t="str">
        <x:v>SYC</x:v>
      </x:c>
      <x:c r="B410" s="24" t="str">
        <x:v>Seychelles</x:v>
      </x:c>
      <x:c r="C410" s="24" t="str">
        <x:v>SYC</x:v>
      </x:c>
      <x:c r="D410" s="24" t="str">
        <x:v>SYC</x:v>
      </x:c>
      <x:c r="E410" s="24" t="n">
        <x:v>2022</x:v>
      </x:c>
      <x:c r="F410" s="37" t="n">
        <x:v>1</x:v>
      </x:c>
      <x:c r="G410" s="38" t="n">
        <x:v>99613</x:v>
      </x:c>
      <x:c r="H410" s="38" t="n">
        <x:v>125522</x:v>
      </x:c>
      <x:c r="I410" s="39" t="n">
        <x:f>H410/G410</x:f>
        <x:v>1.2600965737403753</x:v>
      </x:c>
      <x:c r="J410" s="40" t="n">
        <x:f>(I410-1)*100</x:f>
        <x:v>26.00965737403753</x:v>
      </x:c>
      <x:c r="K410" s="36" t="str">
        <x:v>yes — reviewed</x:v>
      </x:c>
      <x:c r="L410" s="36" t="str">
        <x:v>Single-country game territory and UN country/area boundary align. The difference is an updated historical estimate/projection vintage, not a geographic-scope mismatch; accept the UN WPP value for a consistent source vintage.</x:v>
      </x:c>
      <x:c r="M410" s="41" t="n">
        <x:v>3070320000</x:v>
      </x:c>
      <x:c r="N410" s="41" t="n">
        <x:v>3070320000</x:v>
      </x:c>
      <x:c r="O410" s="41" t="n">
        <x:v>30822</x:v>
      </x:c>
      <x:c r="P410" s="41" t="n">
        <x:v>15932</x:v>
      </x:c>
      <x:c r="Q410" s="41" t="n">
        <x:v>27901</x:v>
      </x:c>
      <x:c r="R410" s="42" t="n">
        <x:f>MIN(P410,Q410)</x:f>
        <x:v>15932</x:v>
      </x:c>
      <x:c r="S410" s="42" t="n">
        <x:f>MAX(P410,Q410)</x:f>
        <x:v>27901</x:v>
      </x:c>
      <x:c r="T410" s="42" t="n">
        <x:f>MAX(R410,MIN(O410,S410))</x:f>
        <x:v>27901</x:v>
      </x:c>
      <x:c r="U410" s="19" t="str">
        <x:f>IF(O410&lt;R410,IF(R410=P410,"clamped_to_nominal","clamped_to_ppp"),IF(O410&gt;S410,IF(S410=P410,"clamped_to_nominal","clamped_to_ppp"),"kept_vanilla"))</x:f>
        <x:v>clamped_to_ppp</x:v>
      </x:c>
      <x:c r="V410" s="42" t="n">
        <x:f>T410*H410</x:f>
        <x:v>3502189322</x:v>
      </x:c>
      <x:c r="W410" s="42" t="n">
        <x:f>V410/F410</x:f>
        <x:v>3502189322</x:v>
      </x:c>
      <x:c r="X410" s="36" t="str">
        <x:v>SYC: UN WPP 2024 Medium exact 2022</x:v>
      </x:c>
      <x:c r="Y410" s="36" t="str">
        <x:v>SYC: IMF exact 2022</x:v>
      </x:c>
      <x:c r="Z410" s="36" t="str">
        <x:v>SYC: IMF exact 2022</x:v>
      </x:c>
      <x:c r="AA410" s="36" t="str">
        <x:v>complete_primary</x:v>
      </x:c>
      <x:c r="AB410" s="36" t="str">
        <x:v>https://www.un.org/development/desa/pd/world-population-prospects-2024</x:v>
      </x:c>
      <x:c r="AC410" s="36" t="str">
        <x:v>https://api.imf.org/external/sdmx/3.0/data/dataflow/IMF.RES/WEO/9.0.0/</x:v>
      </x:c>
      <x:c r="AD410" s="36" t="str">
        <x:v>https://api.worldbank.org/v2/</x:v>
      </x:c>
    </x:row>
    <x:row r="411">
      <x:c r="A411" s="24" t="str">
        <x:v>SYC</x:v>
      </x:c>
      <x:c r="B411" s="24" t="str">
        <x:v>Seychelles</x:v>
      </x:c>
      <x:c r="C411" s="24" t="str">
        <x:v>SYC</x:v>
      </x:c>
      <x:c r="D411" s="24" t="str">
        <x:v>SYC</x:v>
      </x:c>
      <x:c r="E411" s="24" t="n">
        <x:v>2026</x:v>
      </x:c>
      <x:c r="F411" s="37" t="n">
        <x:v>0.87</x:v>
      </x:c>
      <x:c r="G411" s="38" t="n">
        <x:v>134959</x:v>
      </x:c>
      <x:c r="H411" s="38" t="n">
        <x:v>134959</x:v>
      </x:c>
      <x:c r="I411" s="39" t="n">
        <x:f>H411/G411</x:f>
        <x:v>1</x:v>
      </x:c>
      <x:c r="J411" s="40" t="n">
        <x:f>(I411-1)*100</x:f>
        <x:v>0</x:v>
      </x:c>
      <x:c r="K411" s="36" t="str">
        <x:v>no</x:v>
      </x:c>
      <x:c r="L411" s="36" t="str">
        <x:v>Single-country territory; UN WPP and vanilla are within the ±5% review threshold.</x:v>
      </x:c>
      <x:c r="M411" s="41" t="n">
        <x:v>3755840000</x:v>
      </x:c>
      <x:c r="N411" s="41" t="n">
        <x:v>3267580800</x:v>
      </x:c>
      <x:c r="O411" s="41" t="n">
        <x:v>24212</x:v>
      </x:c>
      <x:c r="P411" s="41" t="n">
        <x:v>14510</x:v>
      </x:c>
      <x:c r="Q411" s="41" t="n">
        <x:v>29435</x:v>
      </x:c>
      <x:c r="R411" s="42" t="n">
        <x:f>MIN(P411,Q411)</x:f>
        <x:v>14510</x:v>
      </x:c>
      <x:c r="S411" s="42" t="n">
        <x:f>MAX(P411,Q411)</x:f>
        <x:v>29435</x:v>
      </x:c>
      <x:c r="T411" s="42" t="n">
        <x:f>MAX(R411,MIN(O411,S411))</x:f>
        <x:v>24212</x:v>
      </x:c>
      <x:c r="U411" s="19" t="str">
        <x:f>IF(O411&lt;R411,IF(R411=P411,"clamped_to_nominal","clamped_to_ppp"),IF(O411&gt;S411,IF(S411=P411,"clamped_to_nominal","clamped_to_ppp"),"kept_vanilla"))</x:f>
        <x:v>kept_vanilla</x:v>
      </x:c>
      <x:c r="V411" s="42" t="n">
        <x:f>T411*H411</x:f>
        <x:v>3267627308</x:v>
      </x:c>
      <x:c r="W411" s="42" t="n">
        <x:f>V411/F411</x:f>
        <x:v>3755893457.4712644</x:v>
      </x:c>
      <x:c r="X411" s="36" t="str">
        <x:v>SYC: UN WPP 2024 Medium exact 2026</x:v>
      </x:c>
      <x:c r="Y411" s="36" t="str">
        <x:v>SYC: IMF exact 2026</x:v>
      </x:c>
      <x:c r="Z411" s="36" t="str">
        <x:v>SYC: IMF exact 2026</x:v>
      </x:c>
      <x:c r="AA411" s="36" t="str">
        <x:v>complete_primary</x:v>
      </x:c>
      <x:c r="AB411" s="36" t="str">
        <x:v>https://www.un.org/development/desa/pd/world-population-prospects-2024</x:v>
      </x:c>
      <x:c r="AC411" s="36" t="str">
        <x:v>https://api.imf.org/external/sdmx/3.0/data/dataflow/IMF.RES/WEO/9.0.0/</x:v>
      </x:c>
      <x:c r="AD411" s="36" t="str">
        <x:v>https://api.worldbank.org/v2/</x:v>
      </x:c>
    </x:row>
    <x:row r="412">
      <x:c r="A412" s="24" t="str">
        <x:v>SLE</x:v>
      </x:c>
      <x:c r="B412" s="24" t="str">
        <x:v>Sierra Leone</x:v>
      </x:c>
      <x:c r="C412" s="24" t="str">
        <x:v>SLE</x:v>
      </x:c>
      <x:c r="D412" s="24" t="str">
        <x:v>SLE</x:v>
      </x:c>
      <x:c r="E412" s="24" t="n">
        <x:v>2003</x:v>
      </x:c>
      <x:c r="F412" s="37" t="n">
        <x:v>1.59</x:v>
      </x:c>
      <x:c r="G412" s="38" t="n">
        <x:v>5177687</x:v>
      </x:c>
      <x:c r="H412" s="38" t="n">
        <x:v>5177687</x:v>
      </x:c>
      <x:c r="I412" s="39" t="n">
        <x:f>H412/G412</x:f>
        <x:v>1</x:v>
      </x:c>
      <x:c r="J412" s="40" t="n">
        <x:f>(I412-1)*100</x:f>
        <x:v>0</x:v>
      </x:c>
      <x:c r="K412" s="36" t="str">
        <x:v>no</x:v>
      </x:c>
      <x:c r="L412" s="36" t="str">
        <x:v>Single-country territory; UN WPP and vanilla are within the ±5% review threshold.</x:v>
      </x:c>
      <x:c r="M412" s="41" t="n">
        <x:v>4440350877</x:v>
      </x:c>
      <x:c r="N412" s="41" t="n">
        <x:v>7060157894</x:v>
      </x:c>
      <x:c r="O412" s="41" t="n">
        <x:v>1364</x:v>
      </x:c>
      <x:c r="P412" s="41" t="n">
        <x:v>681</x:v>
      </x:c>
      <x:c r="Q412" s="41" t="n">
        <x:v>2332</x:v>
      </x:c>
      <x:c r="R412" s="42" t="n">
        <x:f>MIN(P412,Q412)</x:f>
        <x:v>681</x:v>
      </x:c>
      <x:c r="S412" s="42" t="n">
        <x:f>MAX(P412,Q412)</x:f>
        <x:v>2332</x:v>
      </x:c>
      <x:c r="T412" s="42" t="n">
        <x:f>MAX(R412,MIN(O412,S412))</x:f>
        <x:v>1364</x:v>
      </x:c>
      <x:c r="U412" s="19" t="str">
        <x:f>IF(O412&lt;R412,IF(R412=P412,"clamped_to_nominal","clamped_to_ppp"),IF(O412&gt;S412,IF(S412=P412,"clamped_to_nominal","clamped_to_ppp"),"kept_vanilla"))</x:f>
        <x:v>kept_vanilla</x:v>
      </x:c>
      <x:c r="V412" s="42" t="n">
        <x:f>T412*H412</x:f>
        <x:v>7062365068</x:v>
      </x:c>
      <x:c r="W412" s="42" t="n">
        <x:f>V412/F412</x:f>
        <x:v>4441739036.477987</x:v>
      </x:c>
      <x:c r="X412" s="36" t="str">
        <x:v>SLE: UN WPP 2024 Medium exact 2003</x:v>
      </x:c>
      <x:c r="Y412" s="36" t="str">
        <x:v>SLE: IMF exact 2003</x:v>
      </x:c>
      <x:c r="Z412" s="36" t="str">
        <x:v>SLE: IMF exact 2003</x:v>
      </x:c>
      <x:c r="AA412" s="36" t="str">
        <x:v>complete_primary</x:v>
      </x:c>
      <x:c r="AB412" s="36" t="str">
        <x:v>https://www.un.org/development/desa/pd/world-population-prospects-2024</x:v>
      </x:c>
      <x:c r="AC412" s="36" t="str">
        <x:v>https://api.imf.org/external/sdmx/3.0/data/dataflow/IMF.RES/WEO/9.0.0/</x:v>
      </x:c>
      <x:c r="AD412" s="36" t="str">
        <x:v>https://api.worldbank.org/v2/</x:v>
      </x:c>
    </x:row>
    <x:row r="413">
      <x:c r="A413" s="24" t="str">
        <x:v>SLE</x:v>
      </x:c>
      <x:c r="B413" s="24" t="str">
        <x:v>Sierra Leone</x:v>
      </x:c>
      <x:c r="C413" s="24" t="str">
        <x:v>SLE</x:v>
      </x:c>
      <x:c r="D413" s="24" t="str">
        <x:v>SLE</x:v>
      </x:c>
      <x:c r="E413" s="24" t="n">
        <x:v>2022</x:v>
      </x:c>
      <x:c r="F413" s="37" t="n">
        <x:v>1</x:v>
      </x:c>
      <x:c r="G413" s="38" t="n">
        <x:v>8358303</x:v>
      </x:c>
      <x:c r="H413" s="38" t="n">
        <x:v>8276807</x:v>
      </x:c>
      <x:c r="I413" s="39" t="n">
        <x:f>H413/G413</x:f>
        <x:v>0.9902496954226234</x:v>
      </x:c>
      <x:c r="J413" s="40" t="n">
        <x:f>(I413-1)*100</x:f>
        <x:v>-0.9750304577376578</x:v>
      </x:c>
      <x:c r="K413" s="36" t="str">
        <x:v>no</x:v>
      </x:c>
      <x:c r="L413" s="36" t="str">
        <x:v>Single-country territory; UN WPP and vanilla are within the ±5% review threshold.</x:v>
      </x:c>
      <x:c r="M413" s="41" t="n">
        <x:v>14323760000</x:v>
      </x:c>
      <x:c r="N413" s="41" t="n">
        <x:v>14323760000</x:v>
      </x:c>
      <x:c r="O413" s="41" t="n">
        <x:v>1714</x:v>
      </x:c>
      <x:c r="P413" s="41" t="n">
        <x:v>860</x:v>
      </x:c>
      <x:c r="Q413" s="41" t="n">
        <x:v>3143</x:v>
      </x:c>
      <x:c r="R413" s="42" t="n">
        <x:f>MIN(P413,Q413)</x:f>
        <x:v>860</x:v>
      </x:c>
      <x:c r="S413" s="42" t="n">
        <x:f>MAX(P413,Q413)</x:f>
        <x:v>3143</x:v>
      </x:c>
      <x:c r="T413" s="42" t="n">
        <x:f>MAX(R413,MIN(O413,S413))</x:f>
        <x:v>1714</x:v>
      </x:c>
      <x:c r="U413" s="19" t="str">
        <x:f>IF(O413&lt;R413,IF(R413=P413,"clamped_to_nominal","clamped_to_ppp"),IF(O413&gt;S413,IF(S413=P413,"clamped_to_nominal","clamped_to_ppp"),"kept_vanilla"))</x:f>
        <x:v>kept_vanilla</x:v>
      </x:c>
      <x:c r="V413" s="42" t="n">
        <x:f>T413*H413</x:f>
        <x:v>14186447198</x:v>
      </x:c>
      <x:c r="W413" s="42" t="n">
        <x:f>V413/F413</x:f>
        <x:v>14186447198</x:v>
      </x:c>
      <x:c r="X413" s="36" t="str">
        <x:v>SLE: UN WPP 2024 Medium exact 2022</x:v>
      </x:c>
      <x:c r="Y413" s="36" t="str">
        <x:v>SLE: IMF exact 2022</x:v>
      </x:c>
      <x:c r="Z413" s="36" t="str">
        <x:v>SLE: IMF exact 2022</x:v>
      </x:c>
      <x:c r="AA413" s="36" t="str">
        <x:v>complete_primary</x:v>
      </x:c>
      <x:c r="AB413" s="36" t="str">
        <x:v>https://www.un.org/development/desa/pd/world-population-prospects-2024</x:v>
      </x:c>
      <x:c r="AC413" s="36" t="str">
        <x:v>https://api.imf.org/external/sdmx/3.0/data/dataflow/IMF.RES/WEO/9.0.0/</x:v>
      </x:c>
      <x:c r="AD413" s="36" t="str">
        <x:v>https://api.worldbank.org/v2/</x:v>
      </x:c>
    </x:row>
    <x:row r="414">
      <x:c r="A414" s="24" t="str">
        <x:v>SLE</x:v>
      </x:c>
      <x:c r="B414" s="24" t="str">
        <x:v>Sierra Leone</x:v>
      </x:c>
      <x:c r="C414" s="24" t="str">
        <x:v>SLE</x:v>
      </x:c>
      <x:c r="D414" s="24" t="str">
        <x:v>SLE</x:v>
      </x:c>
      <x:c r="E414" s="24" t="n">
        <x:v>2026</x:v>
      </x:c>
      <x:c r="F414" s="37" t="n">
        <x:v>0.87</x:v>
      </x:c>
      <x:c r="G414" s="38" t="n">
        <x:v>8996745</x:v>
      </x:c>
      <x:c r="H414" s="38" t="n">
        <x:v>8996745</x:v>
      </x:c>
      <x:c r="I414" s="39" t="n">
        <x:f>H414/G414</x:f>
        <x:v>1</x:v>
      </x:c>
      <x:c r="J414" s="40" t="n">
        <x:f>(I414-1)*100</x:f>
        <x:v>0</x:v>
      </x:c>
      <x:c r="K414" s="36" t="str">
        <x:v>no</x:v>
      </x:c>
      <x:c r="L414" s="36" t="str">
        <x:v>Single-country territory; UN WPP and vanilla are within the ±5% review threshold.</x:v>
      </x:c>
      <x:c r="M414" s="41" t="n">
        <x:v>28604400000</x:v>
      </x:c>
      <x:c r="N414" s="41" t="n">
        <x:v>24885828000</x:v>
      </x:c>
      <x:c r="O414" s="41" t="n">
        <x:v>2766</x:v>
      </x:c>
      <x:c r="P414" s="41" t="n">
        <x:v>800</x:v>
      </x:c>
      <x:c r="Q414" s="41" t="n">
        <x:v>3403</x:v>
      </x:c>
      <x:c r="R414" s="42" t="n">
        <x:f>MIN(P414,Q414)</x:f>
        <x:v>800</x:v>
      </x:c>
      <x:c r="S414" s="42" t="n">
        <x:f>MAX(P414,Q414)</x:f>
        <x:v>3403</x:v>
      </x:c>
      <x:c r="T414" s="42" t="n">
        <x:f>MAX(R414,MIN(O414,S414))</x:f>
        <x:v>2766</x:v>
      </x:c>
      <x:c r="U414" s="19" t="str">
        <x:f>IF(O414&lt;R414,IF(R414=P414,"clamped_to_nominal","clamped_to_ppp"),IF(O414&gt;S414,IF(S414=P414,"clamped_to_nominal","clamped_to_ppp"),"kept_vanilla"))</x:f>
        <x:v>kept_vanilla</x:v>
      </x:c>
      <x:c r="V414" s="42" t="n">
        <x:f>T414*H414</x:f>
        <x:v>24884996670</x:v>
      </x:c>
      <x:c r="W414" s="42" t="n">
        <x:f>V414/F414</x:f>
        <x:v>28603444448.275864</x:v>
      </x:c>
      <x:c r="X414" s="36" t="str">
        <x:v>SLE: UN WPP 2024 Medium exact 2026</x:v>
      </x:c>
      <x:c r="Y414" s="36" t="str">
        <x:v>SLE: IMF exact 2026</x:v>
      </x:c>
      <x:c r="Z414" s="36" t="str">
        <x:v>SLE: IMF exact 2026</x:v>
      </x:c>
      <x:c r="AA414" s="36" t="str">
        <x:v>complete_primary</x:v>
      </x:c>
      <x:c r="AB414" s="36" t="str">
        <x:v>https://www.un.org/development/desa/pd/world-population-prospects-2024</x:v>
      </x:c>
      <x:c r="AC414" s="36" t="str">
        <x:v>https://api.imf.org/external/sdmx/3.0/data/dataflow/IMF.RES/WEO/9.0.0/</x:v>
      </x:c>
      <x:c r="AD414" s="36" t="str">
        <x:v>https://api.worldbank.org/v2/</x:v>
      </x:c>
    </x:row>
    <x:row r="415">
      <x:c r="A415" s="24" t="str">
        <x:v>SGP</x:v>
      </x:c>
      <x:c r="B415" s="24" t="str">
        <x:v>Singapore</x:v>
      </x:c>
      <x:c r="C415" s="24" t="str">
        <x:v>SGP</x:v>
      </x:c>
      <x:c r="D415" s="24" t="str">
        <x:v>SGP</x:v>
      </x:c>
      <x:c r="E415" s="24" t="n">
        <x:v>2003</x:v>
      </x:c>
      <x:c r="F415" s="37" t="n">
        <x:v>1.59</x:v>
      </x:c>
      <x:c r="G415" s="38" t="n">
        <x:v>4138245</x:v>
      </x:c>
      <x:c r="H415" s="38" t="n">
        <x:v>4138245</x:v>
      </x:c>
      <x:c r="I415" s="39" t="n">
        <x:f>H415/G415</x:f>
        <x:v>1</x:v>
      </x:c>
      <x:c r="J415" s="40" t="n">
        <x:f>(I415-1)*100</x:f>
        <x:v>0</x:v>
      </x:c>
      <x:c r="K415" s="36" t="str">
        <x:v>no</x:v>
      </x:c>
      <x:c r="L415" s="36" t="str">
        <x:v>Single-country territory; UN WPP and vanilla are within the ±5% review threshold.</x:v>
      </x:c>
      <x:c r="M415" s="41" t="n">
        <x:v>109485380117</x:v>
      </x:c>
      <x:c r="N415" s="41" t="n">
        <x:v>174081754386</x:v>
      </x:c>
      <x:c r="O415" s="41" t="n">
        <x:v>42067</x:v>
      </x:c>
      <x:c r="P415" s="41" t="n">
        <x:v>37518</x:v>
      </x:c>
      <x:c r="Q415" s="41" t="n">
        <x:v>72160</x:v>
      </x:c>
      <x:c r="R415" s="42" t="n">
        <x:f>MIN(P415,Q415)</x:f>
        <x:v>37518</x:v>
      </x:c>
      <x:c r="S415" s="42" t="n">
        <x:f>MAX(P415,Q415)</x:f>
        <x:v>72160</x:v>
      </x:c>
      <x:c r="T415" s="42" t="n">
        <x:f>MAX(R415,MIN(O415,S415))</x:f>
        <x:v>42067</x:v>
      </x:c>
      <x:c r="U415" s="19" t="str">
        <x:f>IF(O415&lt;R415,IF(R415=P415,"clamped_to_nominal","clamped_to_ppp"),IF(O415&gt;S415,IF(S415=P415,"clamped_to_nominal","clamped_to_ppp"),"kept_vanilla"))</x:f>
        <x:v>kept_vanilla</x:v>
      </x:c>
      <x:c r="V415" s="42" t="n">
        <x:f>T415*H415</x:f>
        <x:v>174083552415</x:v>
      </x:c>
      <x:c r="W415" s="42" t="n">
        <x:f>V415/F415</x:f>
        <x:v>109486510952.83018</x:v>
      </x:c>
      <x:c r="X415" s="36" t="str">
        <x:v>SGP: UN WPP 2024 Medium exact 2003</x:v>
      </x:c>
      <x:c r="Y415" s="36" t="str">
        <x:v>SGP: IMF exact 2003</x:v>
      </x:c>
      <x:c r="Z415" s="36" t="str">
        <x:v>SGP: IMF exact 2003</x:v>
      </x:c>
      <x:c r="AA415" s="36" t="str">
        <x:v>complete_primary</x:v>
      </x:c>
      <x:c r="AB415" s="36" t="str">
        <x:v>https://www.un.org/development/desa/pd/world-population-prospects-2024</x:v>
      </x:c>
      <x:c r="AC415" s="36" t="str">
        <x:v>https://api.imf.org/external/sdmx/3.0/data/dataflow/IMF.RES/WEO/9.0.0/</x:v>
      </x:c>
      <x:c r="AD415" s="36" t="str">
        <x:v>https://api.worldbank.org/v2/</x:v>
      </x:c>
    </x:row>
    <x:row r="416">
      <x:c r="A416" s="24" t="str">
        <x:v>SGP</x:v>
      </x:c>
      <x:c r="B416" s="24" t="str">
        <x:v>Singapore</x:v>
      </x:c>
      <x:c r="C416" s="24" t="str">
        <x:v>SGP</x:v>
      </x:c>
      <x:c r="D416" s="24" t="str">
        <x:v>SGP</x:v>
      </x:c>
      <x:c r="E416" s="24" t="n">
        <x:v>2022</x:v>
      </x:c>
      <x:c r="F416" s="37" t="n">
        <x:v>1</x:v>
      </x:c>
      <x:c r="G416" s="38" t="n">
        <x:v>5957872</x:v>
      </x:c>
      <x:c r="H416" s="38" t="n">
        <x:v>5649885</x:v>
      </x:c>
      <x:c r="I416" s="39" t="n">
        <x:f>H416/G416</x:f>
        <x:v>0.9483058716266479</x:v>
      </x:c>
      <x:c r="J416" s="40" t="n">
        <x:f>(I416-1)*100</x:f>
        <x:v>-5.169412837335208</x:v>
      </x:c>
      <x:c r="K416" s="36" t="str">
        <x:v>yes — reviewed</x:v>
      </x:c>
      <x:c r="L416" s="36" t="str">
        <x:v>Single-country game territory and UN country/area boundary align. The difference is an updated historical estimate/projection vintage, not a geographic-scope mismatch; accept the UN WPP value for a consistent source vintage.</x:v>
      </x:c>
      <x:c r="M416" s="41" t="n">
        <x:v>617587520000</x:v>
      </x:c>
      <x:c r="N416" s="41" t="n">
        <x:v>617587520000</x:v>
      </x:c>
      <x:c r="O416" s="41" t="n">
        <x:v>103659</x:v>
      </x:c>
      <x:c r="P416" s="41" t="n">
        <x:v>91020</x:v>
      </x:c>
      <x:c r="Q416" s="41" t="n">
        <x:v>144089</x:v>
      </x:c>
      <x:c r="R416" s="42" t="n">
        <x:f>MIN(P416,Q416)</x:f>
        <x:v>91020</x:v>
      </x:c>
      <x:c r="S416" s="42" t="n">
        <x:f>MAX(P416,Q416)</x:f>
        <x:v>144089</x:v>
      </x:c>
      <x:c r="T416" s="42" t="n">
        <x:f>MAX(R416,MIN(O416,S416))</x:f>
        <x:v>103659</x:v>
      </x:c>
      <x:c r="U416" s="19" t="str">
        <x:f>IF(O416&lt;R416,IF(R416=P416,"clamped_to_nominal","clamped_to_ppp"),IF(O416&gt;S416,IF(S416=P416,"clamped_to_nominal","clamped_to_ppp"),"kept_vanilla"))</x:f>
        <x:v>kept_vanilla</x:v>
      </x:c>
      <x:c r="V416" s="42" t="n">
        <x:f>T416*H416</x:f>
        <x:v>585661429215</x:v>
      </x:c>
      <x:c r="W416" s="42" t="n">
        <x:f>V416/F416</x:f>
        <x:v>585661429215</x:v>
      </x:c>
      <x:c r="X416" s="36" t="str">
        <x:v>SGP: UN WPP 2024 Medium exact 2022</x:v>
      </x:c>
      <x:c r="Y416" s="36" t="str">
        <x:v>SGP: IMF exact 2022</x:v>
      </x:c>
      <x:c r="Z416" s="36" t="str">
        <x:v>SGP: IMF exact 2022</x:v>
      </x:c>
      <x:c r="AA416" s="36" t="str">
        <x:v>complete_primary</x:v>
      </x:c>
      <x:c r="AB416" s="36" t="str">
        <x:v>https://www.un.org/development/desa/pd/world-population-prospects-2024</x:v>
      </x:c>
      <x:c r="AC416" s="36" t="str">
        <x:v>https://api.imf.org/external/sdmx/3.0/data/dataflow/IMF.RES/WEO/9.0.0/</x:v>
      </x:c>
      <x:c r="AD416" s="36" t="str">
        <x:v>https://api.worldbank.org/v2/</x:v>
      </x:c>
    </x:row>
    <x:row r="417">
      <x:c r="A417" s="24" t="str">
        <x:v>SGP</x:v>
      </x:c>
      <x:c r="B417" s="24" t="str">
        <x:v>Singapore</x:v>
      </x:c>
      <x:c r="C417" s="24" t="str">
        <x:v>SGP</x:v>
      </x:c>
      <x:c r="D417" s="24" t="str">
        <x:v>SGP</x:v>
      </x:c>
      <x:c r="E417" s="24" t="n">
        <x:v>2026</x:v>
      </x:c>
      <x:c r="F417" s="37" t="n">
        <x:v>0.87</x:v>
      </x:c>
      <x:c r="G417" s="38" t="n">
        <x:v>5905748</x:v>
      </x:c>
      <x:c r="H417" s="38" t="n">
        <x:v>5905748</x:v>
      </x:c>
      <x:c r="I417" s="39" t="n">
        <x:f>H417/G417</x:f>
        <x:v>1</x:v>
      </x:c>
      <x:c r="J417" s="40" t="n">
        <x:f>(I417-1)*100</x:f>
        <x:v>0</x:v>
      </x:c>
      <x:c r="K417" s="36" t="str">
        <x:v>no</x:v>
      </x:c>
      <x:c r="L417" s="36" t="str">
        <x:v>Single-country territory; UN WPP and vanilla are within the ±5% review threshold.</x:v>
      </x:c>
      <x:c r="M417" s="41" t="n">
        <x:v>838326720000</x:v>
      </x:c>
      <x:c r="N417" s="41" t="n">
        <x:v>729344246400</x:v>
      </x:c>
      <x:c r="O417" s="41" t="n">
        <x:v>123497</x:v>
      </x:c>
      <x:c r="P417" s="41" t="n">
        <x:v>97164</x:v>
      </x:c>
      <x:c r="Q417" s="41" t="n">
        <x:v>156630</x:v>
      </x:c>
      <x:c r="R417" s="42" t="n">
        <x:f>MIN(P417,Q417)</x:f>
        <x:v>97164</x:v>
      </x:c>
      <x:c r="S417" s="42" t="n">
        <x:f>MAX(P417,Q417)</x:f>
        <x:v>156630</x:v>
      </x:c>
      <x:c r="T417" s="42" t="n">
        <x:f>MAX(R417,MIN(O417,S417))</x:f>
        <x:v>123497</x:v>
      </x:c>
      <x:c r="U417" s="19" t="str">
        <x:f>IF(O417&lt;R417,IF(R417=P417,"clamped_to_nominal","clamped_to_ppp"),IF(O417&gt;S417,IF(S417=P417,"clamped_to_nominal","clamped_to_ppp"),"kept_vanilla"))</x:f>
        <x:v>kept_vanilla</x:v>
      </x:c>
      <x:c r="V417" s="42" t="n">
        <x:f>T417*H417</x:f>
        <x:v>729342160756</x:v>
      </x:c>
      <x:c r="W417" s="42" t="n">
        <x:f>V417/F417</x:f>
        <x:v>838324322708.046</x:v>
      </x:c>
      <x:c r="X417" s="36" t="str">
        <x:v>SGP: UN WPP 2024 Medium exact 2026</x:v>
      </x:c>
      <x:c r="Y417" s="36" t="str">
        <x:v>SGP: IMF exact 2026</x:v>
      </x:c>
      <x:c r="Z417" s="36" t="str">
        <x:v>SGP: IMF exact 2026</x:v>
      </x:c>
      <x:c r="AA417" s="36" t="str">
        <x:v>complete_primary</x:v>
      </x:c>
      <x:c r="AB417" s="36" t="str">
        <x:v>https://www.un.org/development/desa/pd/world-population-prospects-2024</x:v>
      </x:c>
      <x:c r="AC417" s="36" t="str">
        <x:v>https://api.imf.org/external/sdmx/3.0/data/dataflow/IMF.RES/WEO/9.0.0/</x:v>
      </x:c>
      <x:c r="AD417" s="36" t="str">
        <x:v>https://api.worldbank.org/v2/</x:v>
      </x:c>
    </x:row>
    <x:row r="418">
      <x:c r="A418" s="24" t="str">
        <x:v>SLO</x:v>
      </x:c>
      <x:c r="B418" s="24" t="str">
        <x:v>Slovakia</x:v>
      </x:c>
      <x:c r="C418" s="24" t="str">
        <x:v>SVK</x:v>
      </x:c>
      <x:c r="D418" s="24" t="str">
        <x:v>SVK</x:v>
      </x:c>
      <x:c r="E418" s="24" t="n">
        <x:v>2003</x:v>
      </x:c>
      <x:c r="F418" s="37" t="n">
        <x:v>1.59</x:v>
      </x:c>
      <x:c r="G418" s="38" t="n">
        <x:v>5376196</x:v>
      </x:c>
      <x:c r="H418" s="38" t="n">
        <x:v>5376196</x:v>
      </x:c>
      <x:c r="I418" s="39" t="n">
        <x:f>H418/G418</x:f>
        <x:v>1</x:v>
      </x:c>
      <x:c r="J418" s="40" t="n">
        <x:f>(I418-1)*100</x:f>
        <x:v>0</x:v>
      </x:c>
      <x:c r="K418" s="36" t="str">
        <x:v>no</x:v>
      </x:c>
      <x:c r="L418" s="36" t="str">
        <x:v>Single-country territory; UN WPP and vanilla are within the ±5% review threshold.</x:v>
      </x:c>
      <x:c r="M418" s="41" t="n">
        <x:v>43281286550</x:v>
      </x:c>
      <x:c r="N418" s="41" t="n">
        <x:v>68817245615</x:v>
      </x:c>
      <x:c r="O418" s="41" t="n">
        <x:v>12800</x:v>
      </x:c>
      <x:c r="P418" s="41" t="n">
        <x:v>10015</x:v>
      </x:c>
      <x:c r="Q418" s="41" t="n">
        <x:v>21887</x:v>
      </x:c>
      <x:c r="R418" s="42" t="n">
        <x:f>MIN(P418,Q418)</x:f>
        <x:v>10015</x:v>
      </x:c>
      <x:c r="S418" s="42" t="n">
        <x:f>MAX(P418,Q418)</x:f>
        <x:v>21887</x:v>
      </x:c>
      <x:c r="T418" s="42" t="n">
        <x:f>MAX(R418,MIN(O418,S418))</x:f>
        <x:v>12800</x:v>
      </x:c>
      <x:c r="U418" s="19" t="str">
        <x:f>IF(O418&lt;R418,IF(R418=P418,"clamped_to_nominal","clamped_to_ppp"),IF(O418&gt;S418,IF(S418=P418,"clamped_to_nominal","clamped_to_ppp"),"kept_vanilla"))</x:f>
        <x:v>kept_vanilla</x:v>
      </x:c>
      <x:c r="V418" s="42" t="n">
        <x:f>T418*H418</x:f>
        <x:v>68815308800</x:v>
      </x:c>
      <x:c r="W418" s="42" t="n">
        <x:f>V418/F418</x:f>
        <x:v>43280068427.67295</x:v>
      </x:c>
      <x:c r="X418" s="36" t="str">
        <x:v>SVK: UN WPP 2024 Medium exact 2003</x:v>
      </x:c>
      <x:c r="Y418" s="36" t="str">
        <x:v>SVK: IMF exact 2003</x:v>
      </x:c>
      <x:c r="Z418" s="36" t="str">
        <x:v>SVK: IMF exact 2003</x:v>
      </x:c>
      <x:c r="AA418" s="36" t="str">
        <x:v>complete_primary</x:v>
      </x:c>
      <x:c r="AB418" s="36" t="str">
        <x:v>https://www.un.org/development/desa/pd/world-population-prospects-2024</x:v>
      </x:c>
      <x:c r="AC418" s="36" t="str">
        <x:v>https://api.imf.org/external/sdmx/3.0/data/dataflow/IMF.RES/WEO/9.0.0/</x:v>
      </x:c>
      <x:c r="AD418" s="36" t="str">
        <x:v>https://api.worldbank.org/v2/</x:v>
      </x:c>
    </x:row>
    <x:row r="419">
      <x:c r="A419" s="24" t="str">
        <x:v>SLO</x:v>
      </x:c>
      <x:c r="B419" s="24" t="str">
        <x:v>Slovakia</x:v>
      </x:c>
      <x:c r="C419" s="24" t="str">
        <x:v>SVK</x:v>
      </x:c>
      <x:c r="D419" s="24" t="str">
        <x:v>SVK</x:v>
      </x:c>
      <x:c r="E419" s="24" t="n">
        <x:v>2022</x:v>
      </x:c>
      <x:c r="F419" s="37" t="n">
        <x:v>1</x:v>
      </x:c>
      <x:c r="G419" s="38" t="n">
        <x:v>5459991</x:v>
      </x:c>
      <x:c r="H419" s="38" t="n">
        <x:v>5473197</x:v>
      </x:c>
      <x:c r="I419" s="39" t="n">
        <x:f>H419/G419</x:f>
        <x:v>1.0024186853055252</x:v>
      </x:c>
      <x:c r="J419" s="40" t="n">
        <x:f>(I419-1)*100</x:f>
        <x:v>0.24186853055252477</x:v>
      </x:c>
      <x:c r="K419" s="36" t="str">
        <x:v>no</x:v>
      </x:c>
      <x:c r="L419" s="36" t="str">
        <x:v>Single-country territory; UN WPP and vanilla are within the ±5% review threshold.</x:v>
      </x:c>
      <x:c r="M419" s="41" t="n">
        <x:v>185784720000</x:v>
      </x:c>
      <x:c r="N419" s="41" t="n">
        <x:v>185784720000</x:v>
      </x:c>
      <x:c r="O419" s="41" t="n">
        <x:v>34027</x:v>
      </x:c>
      <x:c r="P419" s="41" t="n">
        <x:v>21173</x:v>
      </x:c>
      <x:c r="Q419" s="41" t="n">
        <x:v>41172</x:v>
      </x:c>
      <x:c r="R419" s="42" t="n">
        <x:f>MIN(P419,Q419)</x:f>
        <x:v>21173</x:v>
      </x:c>
      <x:c r="S419" s="42" t="n">
        <x:f>MAX(P419,Q419)</x:f>
        <x:v>41172</x:v>
      </x:c>
      <x:c r="T419" s="42" t="n">
        <x:f>MAX(R419,MIN(O419,S419))</x:f>
        <x:v>34027</x:v>
      </x:c>
      <x:c r="U419" s="19" t="str">
        <x:f>IF(O419&lt;R419,IF(R419=P419,"clamped_to_nominal","clamped_to_ppp"),IF(O419&gt;S419,IF(S419=P419,"clamped_to_nominal","clamped_to_ppp"),"kept_vanilla"))</x:f>
        <x:v>kept_vanilla</x:v>
      </x:c>
      <x:c r="V419" s="42" t="n">
        <x:f>T419*H419</x:f>
        <x:v>186236474319</x:v>
      </x:c>
      <x:c r="W419" s="42" t="n">
        <x:f>V419/F419</x:f>
        <x:v>186236474319</x:v>
      </x:c>
      <x:c r="X419" s="36" t="str">
        <x:v>SVK: UN WPP 2024 Medium exact 2022</x:v>
      </x:c>
      <x:c r="Y419" s="36" t="str">
        <x:v>SVK: IMF exact 2022</x:v>
      </x:c>
      <x:c r="Z419" s="36" t="str">
        <x:v>SVK: IMF exact 2022</x:v>
      </x:c>
      <x:c r="AA419" s="36" t="str">
        <x:v>complete_primary</x:v>
      </x:c>
      <x:c r="AB419" s="36" t="str">
        <x:v>https://www.un.org/development/desa/pd/world-population-prospects-2024</x:v>
      </x:c>
      <x:c r="AC419" s="36" t="str">
        <x:v>https://api.imf.org/external/sdmx/3.0/data/dataflow/IMF.RES/WEO/9.0.0/</x:v>
      </x:c>
      <x:c r="AD419" s="36" t="str">
        <x:v>https://api.worldbank.org/v2/</x:v>
      </x:c>
    </x:row>
    <x:row r="420">
      <x:c r="A420" s="24" t="str">
        <x:v>SLO</x:v>
      </x:c>
      <x:c r="B420" s="24" t="str">
        <x:v>Slovakia</x:v>
      </x:c>
      <x:c r="C420" s="24" t="str">
        <x:v>SVK</x:v>
      </x:c>
      <x:c r="D420" s="24" t="str">
        <x:v>SVK</x:v>
      </x:c>
      <x:c r="E420" s="24" t="n">
        <x:v>2026</x:v>
      </x:c>
      <x:c r="F420" s="37" t="n">
        <x:v>0.87</x:v>
      </x:c>
      <x:c r="G420" s="38" t="n">
        <x:v>5451342</x:v>
      </x:c>
      <x:c r="H420" s="38" t="n">
        <x:v>5451342</x:v>
      </x:c>
      <x:c r="I420" s="39" t="n">
        <x:f>H420/G420</x:f>
        <x:v>1</x:v>
      </x:c>
      <x:c r="J420" s="40" t="n">
        <x:f>(I420-1)*100</x:f>
        <x:v>0</x:v>
      </x:c>
      <x:c r="K420" s="36" t="str">
        <x:v>no</x:v>
      </x:c>
      <x:c r="L420" s="36" t="str">
        <x:v>Single-country territory; UN WPP and vanilla are within the ±5% review threshold.</x:v>
      </x:c>
      <x:c r="M420" s="41" t="n">
        <x:v>226177600000</x:v>
      </x:c>
      <x:c r="N420" s="41" t="n">
        <x:v>196774512000</x:v>
      </x:c>
      <x:c r="O420" s="41" t="n">
        <x:v>36097</x:v>
      </x:c>
      <x:c r="P420" s="41" t="n">
        <x:v>26955</x:v>
      </x:c>
      <x:c r="Q420" s="41" t="n">
        <x:v>42679</x:v>
      </x:c>
      <x:c r="R420" s="42" t="n">
        <x:f>MIN(P420,Q420)</x:f>
        <x:v>26955</x:v>
      </x:c>
      <x:c r="S420" s="42" t="n">
        <x:f>MAX(P420,Q420)</x:f>
        <x:v>42679</x:v>
      </x:c>
      <x:c r="T420" s="42" t="n">
        <x:f>MAX(R420,MIN(O420,S420))</x:f>
        <x:v>36097</x:v>
      </x:c>
      <x:c r="U420" s="19" t="str">
        <x:f>IF(O420&lt;R420,IF(R420=P420,"clamped_to_nominal","clamped_to_ppp"),IF(O420&gt;S420,IF(S420=P420,"clamped_to_nominal","clamped_to_ppp"),"kept_vanilla"))</x:f>
        <x:v>kept_vanilla</x:v>
      </x:c>
      <x:c r="V420" s="42" t="n">
        <x:f>T420*H420</x:f>
        <x:v>196777092174</x:v>
      </x:c>
      <x:c r="W420" s="42" t="n">
        <x:f>V420/F420</x:f>
        <x:v>226180565717.2414</x:v>
      </x:c>
      <x:c r="X420" s="36" t="str">
        <x:v>SVK: UN WPP 2024 Medium exact 2026</x:v>
      </x:c>
      <x:c r="Y420" s="36" t="str">
        <x:v>SVK: IMF exact 2026</x:v>
      </x:c>
      <x:c r="Z420" s="36" t="str">
        <x:v>SVK: IMF exact 2026</x:v>
      </x:c>
      <x:c r="AA420" s="36" t="str">
        <x:v>complete_primary</x:v>
      </x:c>
      <x:c r="AB420" s="36" t="str">
        <x:v>https://www.un.org/development/desa/pd/world-population-prospects-2024</x:v>
      </x:c>
      <x:c r="AC420" s="36" t="str">
        <x:v>https://api.imf.org/external/sdmx/3.0/data/dataflow/IMF.RES/WEO/9.0.0/</x:v>
      </x:c>
      <x:c r="AD420" s="36" t="str">
        <x:v>https://api.worldbank.org/v2/</x:v>
      </x:c>
    </x:row>
    <x:row r="421">
      <x:c r="A421" s="24" t="str">
        <x:v>SLV</x:v>
      </x:c>
      <x:c r="B421" s="24" t="str">
        <x:v>Slovenia</x:v>
      </x:c>
      <x:c r="C421" s="24" t="str">
        <x:v>SVN</x:v>
      </x:c>
      <x:c r="D421" s="24" t="str">
        <x:v>SVN</x:v>
      </x:c>
      <x:c r="E421" s="24" t="n">
        <x:v>2003</x:v>
      </x:c>
      <x:c r="F421" s="37" t="n">
        <x:v>1.59</x:v>
      </x:c>
      <x:c r="G421" s="38" t="n">
        <x:v>1992490</x:v>
      </x:c>
      <x:c r="H421" s="38" t="n">
        <x:v>1992490</x:v>
      </x:c>
      <x:c r="I421" s="39" t="n">
        <x:f>H421/G421</x:f>
        <x:v>1</x:v>
      </x:c>
      <x:c r="J421" s="40" t="n">
        <x:f>(I421-1)*100</x:f>
        <x:v>0</x:v>
      </x:c>
      <x:c r="K421" s="36" t="str">
        <x:v>no</x:v>
      </x:c>
      <x:c r="L421" s="36" t="str">
        <x:v>Single-country territory; UN WPP and vanilla are within the ±5% review threshold.</x:v>
      </x:c>
      <x:c r="M421" s="41" t="n">
        <x:v>25602339181</x:v>
      </x:c>
      <x:c r="N421" s="41" t="n">
        <x:v>40707719298</x:v>
      </x:c>
      <x:c r="O421" s="41" t="n">
        <x:v>20431</x:v>
      </x:c>
      <x:c r="P421" s="41" t="n">
        <x:v>23460</x:v>
      </x:c>
      <x:c r="Q421" s="41" t="n">
        <x:v>34936</x:v>
      </x:c>
      <x:c r="R421" s="42" t="n">
        <x:f>MIN(P421,Q421)</x:f>
        <x:v>23460</x:v>
      </x:c>
      <x:c r="S421" s="42" t="n">
        <x:f>MAX(P421,Q421)</x:f>
        <x:v>34936</x:v>
      </x:c>
      <x:c r="T421" s="42" t="n">
        <x:f>MAX(R421,MIN(O421,S421))</x:f>
        <x:v>23460</x:v>
      </x:c>
      <x:c r="U421" s="19" t="str">
        <x:f>IF(O421&lt;R421,IF(R421=P421,"clamped_to_nominal","clamped_to_ppp"),IF(O421&gt;S421,IF(S421=P421,"clamped_to_nominal","clamped_to_ppp"),"kept_vanilla"))</x:f>
        <x:v>clamped_to_nominal</x:v>
      </x:c>
      <x:c r="V421" s="42" t="n">
        <x:f>T421*H421</x:f>
        <x:v>46743815400</x:v>
      </x:c>
      <x:c r="W421" s="42" t="n">
        <x:f>V421/F421</x:f>
        <x:v>29398626037.735847</x:v>
      </x:c>
      <x:c r="X421" s="36" t="str">
        <x:v>SVN: UN WPP 2024 Medium exact 2003</x:v>
      </x:c>
      <x:c r="Y421" s="36" t="str">
        <x:v>SVN: IMF exact 2003</x:v>
      </x:c>
      <x:c r="Z421" s="36" t="str">
        <x:v>SVN: IMF exact 2003</x:v>
      </x:c>
      <x:c r="AA421" s="36" t="str">
        <x:v>complete_primary</x:v>
      </x:c>
      <x:c r="AB421" s="36" t="str">
        <x:v>https://www.un.org/development/desa/pd/world-population-prospects-2024</x:v>
      </x:c>
      <x:c r="AC421" s="36" t="str">
        <x:v>https://api.imf.org/external/sdmx/3.0/data/dataflow/IMF.RES/WEO/9.0.0/</x:v>
      </x:c>
      <x:c r="AD421" s="36" t="str">
        <x:v>https://api.worldbank.org/v2/</x:v>
      </x:c>
    </x:row>
    <x:row r="422">
      <x:c r="A422" s="24" t="str">
        <x:v>SLV</x:v>
      </x:c>
      <x:c r="B422" s="24" t="str">
        <x:v>Slovenia</x:v>
      </x:c>
      <x:c r="C422" s="24" t="str">
        <x:v>SVN</x:v>
      </x:c>
      <x:c r="D422" s="24" t="str">
        <x:v>SVN</x:v>
      </x:c>
      <x:c r="E422" s="24" t="n">
        <x:v>2022</x:v>
      </x:c>
      <x:c r="F422" s="37" t="n">
        <x:v>1</x:v>
      </x:c>
      <x:c r="G422" s="38" t="n">
        <x:v>2077864</x:v>
      </x:c>
      <x:c r="H422" s="38" t="n">
        <x:v>2115228</x:v>
      </x:c>
      <x:c r="I422" s="39" t="n">
        <x:f>H422/G422</x:f>
        <x:v>1.0179819275948763</x:v>
      </x:c>
      <x:c r="J422" s="40" t="n">
        <x:f>(I422-1)*100</x:f>
        <x:v>1.7981927594876268</x:v>
      </x:c>
      <x:c r="K422" s="36" t="str">
        <x:v>no</x:v>
      </x:c>
      <x:c r="L422" s="36" t="str">
        <x:v>Single-country territory; UN WPP and vanilla are within the ±5% review threshold.</x:v>
      </x:c>
      <x:c r="M422" s="41" t="n">
        <x:v>90133120000</x:v>
      </x:c>
      <x:c r="N422" s="41" t="n">
        <x:v>90133120000</x:v>
      </x:c>
      <x:c r="O422" s="41" t="n">
        <x:v>43378</x:v>
      </x:c>
      <x:c r="P422" s="41" t="n">
        <x:v>28340</x:v>
      </x:c>
      <x:c r="Q422" s="41" t="n">
        <x:v>50726</x:v>
      </x:c>
      <x:c r="R422" s="42" t="n">
        <x:f>MIN(P422,Q422)</x:f>
        <x:v>28340</x:v>
      </x:c>
      <x:c r="S422" s="42" t="n">
        <x:f>MAX(P422,Q422)</x:f>
        <x:v>50726</x:v>
      </x:c>
      <x:c r="T422" s="42" t="n">
        <x:f>MAX(R422,MIN(O422,S422))</x:f>
        <x:v>43378</x:v>
      </x:c>
      <x:c r="U422" s="19" t="str">
        <x:f>IF(O422&lt;R422,IF(R422=P422,"clamped_to_nominal","clamped_to_ppp"),IF(O422&gt;S422,IF(S422=P422,"clamped_to_nominal","clamped_to_ppp"),"kept_vanilla"))</x:f>
        <x:v>kept_vanilla</x:v>
      </x:c>
      <x:c r="V422" s="42" t="n">
        <x:f>T422*H422</x:f>
        <x:v>91754360184</x:v>
      </x:c>
      <x:c r="W422" s="42" t="n">
        <x:f>V422/F422</x:f>
        <x:v>91754360184</x:v>
      </x:c>
      <x:c r="X422" s="36" t="str">
        <x:v>SVN: UN WPP 2024 Medium exact 2022</x:v>
      </x:c>
      <x:c r="Y422" s="36" t="str">
        <x:v>SVN: IMF exact 2022</x:v>
      </x:c>
      <x:c r="Z422" s="36" t="str">
        <x:v>SVN: IMF exact 2022</x:v>
      </x:c>
      <x:c r="AA422" s="36" t="str">
        <x:v>complete_primary</x:v>
      </x:c>
      <x:c r="AB422" s="36" t="str">
        <x:v>https://www.un.org/development/desa/pd/world-population-prospects-2024</x:v>
      </x:c>
      <x:c r="AC422" s="36" t="str">
        <x:v>https://api.imf.org/external/sdmx/3.0/data/dataflow/IMF.RES/WEO/9.0.0/</x:v>
      </x:c>
      <x:c r="AD422" s="36" t="str">
        <x:v>https://api.worldbank.org/v2/</x:v>
      </x:c>
    </x:row>
    <x:row r="423">
      <x:c r="A423" s="24" t="str">
        <x:v>SLV</x:v>
      </x:c>
      <x:c r="B423" s="24" t="str">
        <x:v>Slovenia</x:v>
      </x:c>
      <x:c r="C423" s="24" t="str">
        <x:v>SVN</x:v>
      </x:c>
      <x:c r="D423" s="24" t="str">
        <x:v>SVN</x:v>
      </x:c>
      <x:c r="E423" s="24" t="n">
        <x:v>2026</x:v>
      </x:c>
      <x:c r="F423" s="37" t="n">
        <x:v>0.87</x:v>
      </x:c>
      <x:c r="G423" s="38" t="n">
        <x:v>2114574</x:v>
      </x:c>
      <x:c r="H423" s="38" t="n">
        <x:v>2114573</x:v>
      </x:c>
      <x:c r="I423" s="39" t="n">
        <x:f>H423/G423</x:f>
        <x:v>0.9999995270915087</x:v>
      </x:c>
      <x:c r="J423" s="40" t="n">
        <x:f>(I423-1)*100</x:f>
        <x:v>-0.00004729084912558079</x:v>
      </x:c>
      <x:c r="K423" s="36" t="str">
        <x:v>no</x:v>
      </x:c>
      <x:c r="L423" s="36" t="str">
        <x:v>Single-country territory; UN WPP and vanilla are within the ±5% review threshold.</x:v>
      </x:c>
      <x:c r="M423" s="41" t="n">
        <x:v>108638640000</x:v>
      </x:c>
      <x:c r="N423" s="41" t="n">
        <x:v>94515616800</x:v>
      </x:c>
      <x:c r="O423" s="41" t="n">
        <x:v>44697</x:v>
      </x:c>
      <x:c r="P423" s="41" t="n">
        <x:v>35684</x:v>
      </x:c>
      <x:c r="Q423" s="41" t="n">
        <x:v>53279</x:v>
      </x:c>
      <x:c r="R423" s="42" t="n">
        <x:f>MIN(P423,Q423)</x:f>
        <x:v>35684</x:v>
      </x:c>
      <x:c r="S423" s="42" t="n">
        <x:f>MAX(P423,Q423)</x:f>
        <x:v>53279</x:v>
      </x:c>
      <x:c r="T423" s="42" t="n">
        <x:f>MAX(R423,MIN(O423,S423))</x:f>
        <x:v>44697</x:v>
      </x:c>
      <x:c r="U423" s="19" t="str">
        <x:f>IF(O423&lt;R423,IF(R423=P423,"clamped_to_nominal","clamped_to_ppp"),IF(O423&gt;S423,IF(S423=P423,"clamped_to_nominal","clamped_to_ppp"),"kept_vanilla"))</x:f>
        <x:v>kept_vanilla</x:v>
      </x:c>
      <x:c r="V423" s="42" t="n">
        <x:f>T423*H423</x:f>
        <x:v>94515069381</x:v>
      </x:c>
      <x:c r="W423" s="42" t="n">
        <x:f>V423/F423</x:f>
        <x:v>108638010782.75862</x:v>
      </x:c>
      <x:c r="X423" s="36" t="str">
        <x:v>SVN: UN WPP 2024 Medium exact 2026</x:v>
      </x:c>
      <x:c r="Y423" s="36" t="str">
        <x:v>SVN: IMF exact 2026</x:v>
      </x:c>
      <x:c r="Z423" s="36" t="str">
        <x:v>SVN: IMF exact 2026</x:v>
      </x:c>
      <x:c r="AA423" s="36" t="str">
        <x:v>complete_primary</x:v>
      </x:c>
      <x:c r="AB423" s="36" t="str">
        <x:v>https://www.un.org/development/desa/pd/world-population-prospects-2024</x:v>
      </x:c>
      <x:c r="AC423" s="36" t="str">
        <x:v>https://api.imf.org/external/sdmx/3.0/data/dataflow/IMF.RES/WEO/9.0.0/</x:v>
      </x:c>
      <x:c r="AD423" s="36" t="str">
        <x:v>https://api.worldbank.org/v2/</x:v>
      </x:c>
    </x:row>
    <x:row r="424">
      <x:c r="A424" s="24" t="str">
        <x:v>SOM</x:v>
      </x:c>
      <x:c r="B424" s="24" t="str">
        <x:v>Somalia</x:v>
      </x:c>
      <x:c r="C424" s="24" t="str">
        <x:v>SOM</x:v>
      </x:c>
      <x:c r="D424" s="24" t="str">
        <x:v>SOM × 0.744000</x:v>
      </x:c>
      <x:c r="E424" s="24" t="n">
        <x:v>2003</x:v>
      </x:c>
      <x:c r="F424" s="37" t="n">
        <x:v>1.59</x:v>
      </x:c>
      <x:c r="G424" s="38" t="n">
        <x:v>7372413</x:v>
      </x:c>
      <x:c r="H424" s="38" t="n">
        <x:v>7372413</x:v>
      </x:c>
      <x:c r="I424" s="39" t="n">
        <x:f>H424/G424</x:f>
        <x:v>1</x:v>
      </x:c>
      <x:c r="J424" s="40" t="n">
        <x:f>(I424-1)*100</x:f>
        <x:v>0</x:v>
      </x:c>
      <x:c r="K424" s="36" t="str">
        <x:v>no</x:v>
      </x:c>
      <x:c r="L424" s="36" t="str">
        <x:v>The UN/World Bank Somalia total includes Somaliland. Partition the same full-territory total between the two game countries using their vanilla regional shares, preventing both omission and double counting.</x:v>
      </x:c>
      <x:c r="M424" s="41" t="n">
        <x:v>8501169591</x:v>
      </x:c>
      <x:c r="N424" s="41" t="n">
        <x:v>13516859650</x:v>
      </x:c>
      <x:c r="O424" s="41" t="n">
        <x:v>1833</x:v>
      </x:c>
      <x:c r="P424" s="41" t="n">
        <x:v>455</x:v>
      </x:c>
      <x:c r="Q424" s="41" t="n">
        <x:v>870</x:v>
      </x:c>
      <x:c r="R424" s="42" t="n">
        <x:f>MIN(P424,Q424)</x:f>
        <x:v>455</x:v>
      </x:c>
      <x:c r="S424" s="42" t="n">
        <x:f>MAX(P424,Q424)</x:f>
        <x:v>870</x:v>
      </x:c>
      <x:c r="T424" s="42" t="n">
        <x:f>MAX(R424,MIN(O424,S424))</x:f>
        <x:v>870</x:v>
      </x:c>
      <x:c r="U424" s="19" t="str">
        <x:f>IF(O424&lt;R424,IF(R424=P424,"clamped_to_nominal","clamped_to_ppp"),IF(O424&gt;S424,IF(S424=P424,"clamped_to_nominal","clamped_to_ppp"),"kept_vanilla"))</x:f>
        <x:v>clamped_to_ppp</x:v>
      </x:c>
      <x:c r="V424" s="42" t="n">
        <x:f>T424*H424</x:f>
        <x:v>6413999310</x:v>
      </x:c>
      <x:c r="W424" s="42" t="n">
        <x:f>V424/F424</x:f>
        <x:v>4033961830.188679</x:v>
      </x:c>
      <x:c r="X424" s="36" t="str">
        <x:v>SOM: UN WPP 2024 Medium Somalia total partitioned by the scenario's vanilla Somalia/Somaliland regional population share (74.40%)</x:v>
      </x:c>
      <x:c r="Y424" s="36" t="str">
        <x:v>SOM: World Bank exact 2003; partitioned to Somalia using 74.40% population share</x:v>
      </x:c>
      <x:c r="Z424" s="36" t="str">
        <x:v>SOM: World Bank exact 2003; partitioned to Somalia using 74.40% population share</x:v>
      </x:c>
      <x:c r="AA424" s="36" t="str">
        <x:v>secondary_source</x:v>
      </x:c>
      <x:c r="AB424" s="36" t="str">
        <x:v>https://www.un.org/development/desa/pd/world-population-prospects-2024</x:v>
      </x:c>
      <x:c r="AC424" s="36" t="str">
        <x:v>https://api.imf.org/external/sdmx/3.0/data/dataflow/IMF.RES/WEO/9.0.0/</x:v>
      </x:c>
      <x:c r="AD424" s="36" t="str">
        <x:v>https://api.worldbank.org/v2/</x:v>
      </x:c>
    </x:row>
    <x:row r="425">
      <x:c r="A425" s="24" t="str">
        <x:v>SOM</x:v>
      </x:c>
      <x:c r="B425" s="24" t="str">
        <x:v>Somalia</x:v>
      </x:c>
      <x:c r="C425" s="24" t="str">
        <x:v>SOM</x:v>
      </x:c>
      <x:c r="D425" s="24" t="str">
        <x:v>SOM × 0.743622</x:v>
      </x:c>
      <x:c r="E425" s="24" t="n">
        <x:v>2022</x:v>
      </x:c>
      <x:c r="F425" s="37" t="n">
        <x:v>1</x:v>
      </x:c>
      <x:c r="G425" s="38" t="n">
        <x:v>12637569</x:v>
      </x:c>
      <x:c r="H425" s="38" t="n">
        <x:v>13237883</x:v>
      </x:c>
      <x:c r="I425" s="39" t="n">
        <x:f>H425/G425</x:f>
        <x:v>1.0475023321336565</x:v>
      </x:c>
      <x:c r="J425" s="40" t="n">
        <x:f>(I425-1)*100</x:f>
        <x:v>4.750233213365651</x:v>
      </x:c>
      <x:c r="K425" s="36" t="str">
        <x:v>no</x:v>
      </x:c>
      <x:c r="L425" s="36" t="str">
        <x:v>The UN/World Bank Somalia total includes Somaliland. Partition the same full-territory total between the two game countries using their vanilla regional shares, preventing both omission and double counting.</x:v>
      </x:c>
      <x:c r="M425" s="41" t="n">
        <x:v>18164080000</x:v>
      </x:c>
      <x:c r="N425" s="41" t="n">
        <x:v>18164080000</x:v>
      </x:c>
      <x:c r="O425" s="41" t="n">
        <x:v>1437</x:v>
      </x:c>
      <x:c r="P425" s="41" t="n">
        <x:v>573</x:v>
      </x:c>
      <x:c r="Q425" s="41" t="n">
        <x:v>1487</x:v>
      </x:c>
      <x:c r="R425" s="42" t="n">
        <x:f>MIN(P425,Q425)</x:f>
        <x:v>573</x:v>
      </x:c>
      <x:c r="S425" s="42" t="n">
        <x:f>MAX(P425,Q425)</x:f>
        <x:v>1487</x:v>
      </x:c>
      <x:c r="T425" s="42" t="n">
        <x:f>MAX(R425,MIN(O425,S425))</x:f>
        <x:v>1437</x:v>
      </x:c>
      <x:c r="U425" s="19" t="str">
        <x:f>IF(O425&lt;R425,IF(R425=P425,"clamped_to_nominal","clamped_to_ppp"),IF(O425&gt;S425,IF(S425=P425,"clamped_to_nominal","clamped_to_ppp"),"kept_vanilla"))</x:f>
        <x:v>kept_vanilla</x:v>
      </x:c>
      <x:c r="V425" s="42" t="n">
        <x:f>T425*H425</x:f>
        <x:v>19022837871</x:v>
      </x:c>
      <x:c r="W425" s="42" t="n">
        <x:f>V425/F425</x:f>
        <x:v>19022837871</x:v>
      </x:c>
      <x:c r="X425" s="36" t="str">
        <x:v>SOM: UN WPP 2024 Medium Somalia total partitioned by the scenario's vanilla Somalia/Somaliland regional population share (74.36%)</x:v>
      </x:c>
      <x:c r="Y425" s="36" t="str">
        <x:v>SOM: IMF exact 2022; partitioned to Somalia using 74.36% population share</x:v>
      </x:c>
      <x:c r="Z425" s="36" t="str">
        <x:v>SOM: IMF exact 2022; partitioned to Somalia using 74.36% population share</x:v>
      </x:c>
      <x:c r="AA425" s="36" t="str">
        <x:v>complete_primary</x:v>
      </x:c>
      <x:c r="AB425" s="36" t="str">
        <x:v>https://www.un.org/development/desa/pd/world-population-prospects-2024</x:v>
      </x:c>
      <x:c r="AC425" s="36" t="str">
        <x:v>https://api.imf.org/external/sdmx/3.0/data/dataflow/IMF.RES/WEO/9.0.0/</x:v>
      </x:c>
      <x:c r="AD425" s="36" t="str">
        <x:v>https://api.worldbank.org/v2/</x:v>
      </x:c>
    </x:row>
    <x:row r="426">
      <x:c r="A426" s="24" t="str">
        <x:v>SOM</x:v>
      </x:c>
      <x:c r="B426" s="24" t="str">
        <x:v>Somalia</x:v>
      </x:c>
      <x:c r="C426" s="24" t="str">
        <x:v>SOM</x:v>
      </x:c>
      <x:c r="D426" s="24" t="str">
        <x:v>SOM × 0.690000</x:v>
      </x:c>
      <x:c r="E426" s="24" t="n">
        <x:v>2026</x:v>
      </x:c>
      <x:c r="F426" s="37" t="n">
        <x:v>0.87</x:v>
      </x:c>
      <x:c r="G426" s="38" t="n">
        <x:v>14011076</x:v>
      </x:c>
      <x:c r="H426" s="38" t="n">
        <x:v>14011076</x:v>
      </x:c>
      <x:c r="I426" s="39" t="n">
        <x:f>H426/G426</x:f>
        <x:v>1</x:v>
      </x:c>
      <x:c r="J426" s="40" t="n">
        <x:f>(I426-1)*100</x:f>
        <x:v>0</x:v>
      </x:c>
      <x:c r="K426" s="36" t="str">
        <x:v>no</x:v>
      </x:c>
      <x:c r="L426" s="36" t="str">
        <x:v>The UN/World Bank Somalia total includes Somaliland. Partition the same full-territory total between the two game countries using their vanilla regional shares, preventing both omission and double counting.</x:v>
      </x:c>
      <x:c r="M426" s="41" t="n">
        <x:v>28596480000</x:v>
      </x:c>
      <x:c r="N426" s="41" t="n">
        <x:v>24878937600</x:v>
      </x:c>
      <x:c r="O426" s="41" t="n">
        <x:v>1776</x:v>
      </x:c>
      <x:c r="P426" s="41" t="n">
        <x:v>607</x:v>
      </x:c>
      <x:c r="Q426" s="41" t="n">
        <x:v>1461</x:v>
      </x:c>
      <x:c r="R426" s="42" t="n">
        <x:f>MIN(P426,Q426)</x:f>
        <x:v>607</x:v>
      </x:c>
      <x:c r="S426" s="42" t="n">
        <x:f>MAX(P426,Q426)</x:f>
        <x:v>1461</x:v>
      </x:c>
      <x:c r="T426" s="42" t="n">
        <x:f>MAX(R426,MIN(O426,S426))</x:f>
        <x:v>1461</x:v>
      </x:c>
      <x:c r="U426" s="19" t="str">
        <x:f>IF(O426&lt;R426,IF(R426=P426,"clamped_to_nominal","clamped_to_ppp"),IF(O426&gt;S426,IF(S426=P426,"clamped_to_nominal","clamped_to_ppp"),"kept_vanilla"))</x:f>
        <x:v>clamped_to_ppp</x:v>
      </x:c>
      <x:c r="V426" s="42" t="n">
        <x:f>T426*H426</x:f>
        <x:v>20470182036</x:v>
      </x:c>
      <x:c r="W426" s="42" t="n">
        <x:f>V426/F426</x:f>
        <x:v>23528944868.96552</x:v>
      </x:c>
      <x:c r="X426" s="36" t="str">
        <x:v>SOM: UN WPP 2024 Medium Somalia total partitioned by the scenario's vanilla Somalia/Somaliland regional population share (69.00%)</x:v>
      </x:c>
      <x:c r="Y426" s="36" t="str">
        <x:v>SOM: IMF exact 2026; partitioned to Somalia using 69.00% population share</x:v>
      </x:c>
      <x:c r="Z426" s="36" t="str">
        <x:v>SOM: IMF exact 2026; partitioned to Somalia using 69.00% population share</x:v>
      </x:c>
      <x:c r="AA426" s="36" t="str">
        <x:v>complete_primary</x:v>
      </x:c>
      <x:c r="AB426" s="36" t="str">
        <x:v>https://www.un.org/development/desa/pd/world-population-prospects-2024</x:v>
      </x:c>
      <x:c r="AC426" s="36" t="str">
        <x:v>https://api.imf.org/external/sdmx/3.0/data/dataflow/IMF.RES/WEO/9.0.0/</x:v>
      </x:c>
      <x:c r="AD426" s="36" t="str">
        <x:v>https://api.worldbank.org/v2/</x:v>
      </x:c>
    </x:row>
    <x:row r="427">
      <x:c r="A427" s="24" t="str">
        <x:v>SOL</x:v>
      </x:c>
      <x:c r="B427" s="24" t="str">
        <x:v>Somaliland</x:v>
      </x:c>
      <x:c r="C427" s="24" t="str"/>
      <x:c r="D427" s="24" t="str">
        <x:v>SOM × 0.256378</x:v>
      </x:c>
      <x:c r="E427" s="24" t="n">
        <x:v>2022</x:v>
      </x:c>
      <x:c r="F427" s="37" t="n">
        <x:v>1</x:v>
      </x:c>
      <x:c r="G427" s="38" t="n">
        <x:v>4357044</x:v>
      </x:c>
      <x:c r="H427" s="38" t="n">
        <x:v>4564014</x:v>
      </x:c>
      <x:c r="I427" s="39" t="n">
        <x:f>H427/G427</x:f>
        <x:v>1.047502389234536</x:v>
      </x:c>
      <x:c r="J427" s="40" t="n">
        <x:f>(I427-1)*100</x:f>
        <x:v>4.750238923453609</x:v>
      </x:c>
      <x:c r="K427" s="36" t="str">
        <x:v>no</x:v>
      </x:c>
      <x:c r="L427" s="36" t="str">
        <x:v>The UN/World Bank Somalia total includes Somaliland. Partition the same full-territory total between the two game countries using their vanilla regional shares, preventing both omission and double counting.</x:v>
      </x:c>
      <x:c r="M427" s="41" t="n">
        <x:v>5668258200</x:v>
      </x:c>
      <x:c r="N427" s="41" t="n">
        <x:v>5668258200</x:v>
      </x:c>
      <x:c r="O427" s="41" t="n">
        <x:v>1301</x:v>
      </x:c>
      <x:c r="P427" s="41" t="n">
        <x:v>573</x:v>
      </x:c>
      <x:c r="Q427" s="41" t="n">
        <x:v>1487</x:v>
      </x:c>
      <x:c r="R427" s="42" t="n">
        <x:f>MIN(P427,Q427)</x:f>
        <x:v>573</x:v>
      </x:c>
      <x:c r="S427" s="42" t="n">
        <x:f>MAX(P427,Q427)</x:f>
        <x:v>1487</x:v>
      </x:c>
      <x:c r="T427" s="42" t="n">
        <x:f>MAX(R427,MIN(O427,S427))</x:f>
        <x:v>1301</x:v>
      </x:c>
      <x:c r="U427" s="19" t="str">
        <x:f>IF(O427&lt;R427,IF(R427=P427,"clamped_to_nominal","clamped_to_ppp"),IF(O427&gt;S427,IF(S427=P427,"clamped_to_nominal","clamped_to_ppp"),"kept_vanilla"))</x:f>
        <x:v>kept_vanilla</x:v>
      </x:c>
      <x:c r="V427" s="42" t="n">
        <x:f>T427*H427</x:f>
        <x:v>5937782214</x:v>
      </x:c>
      <x:c r="W427" s="42" t="n">
        <x:f>V427/F427</x:f>
        <x:v>5937782214</x:v>
      </x:c>
      <x:c r="X427" s="36" t="str">
        <x:v>SOM: UN WPP 2024 Medium Somalia total partitioned by the scenario's vanilla Somalia/Somaliland regional population share (25.64%)</x:v>
      </x:c>
      <x:c r="Y427" s="36" t="str">
        <x:v>SOM: IMF exact 2022; partitioned to Somaliland using 25.64% population share</x:v>
      </x:c>
      <x:c r="Z427" s="36" t="str">
        <x:v>SOM: IMF exact 2022; partitioned to Somaliland using 25.64% population share</x:v>
      </x:c>
      <x:c r="AA427" s="36" t="str">
        <x:v>complete_primary</x:v>
      </x:c>
      <x:c r="AB427" s="36" t="str">
        <x:v>https://www.un.org/development/desa/pd/world-population-prospects-2024</x:v>
      </x:c>
      <x:c r="AC427" s="36" t="str">
        <x:v>https://api.imf.org/external/sdmx/3.0/data/dataflow/IMF.RES/WEO/9.0.0/</x:v>
      </x:c>
      <x:c r="AD427" s="36" t="str">
        <x:v>https://api.worldbank.org/v2/</x:v>
      </x:c>
    </x:row>
    <x:row r="428">
      <x:c r="A428" s="24" t="str">
        <x:v>SOL</x:v>
      </x:c>
      <x:c r="B428" s="24" t="str">
        <x:v>Somaliland</x:v>
      </x:c>
      <x:c r="C428" s="24" t="str"/>
      <x:c r="D428" s="24" t="str">
        <x:v>SOM × 0.310000</x:v>
      </x:c>
      <x:c r="E428" s="24" t="n">
        <x:v>2026</x:v>
      </x:c>
      <x:c r="F428" s="37" t="n">
        <x:v>0.87</x:v>
      </x:c>
      <x:c r="G428" s="38" t="n">
        <x:v>6294831</x:v>
      </x:c>
      <x:c r="H428" s="38" t="n">
        <x:v>6294831</x:v>
      </x:c>
      <x:c r="I428" s="39" t="n">
        <x:f>H428/G428</x:f>
        <x:v>1</x:v>
      </x:c>
      <x:c r="J428" s="40" t="n">
        <x:f>(I428-1)*100</x:f>
        <x:v>0</x:v>
      </x:c>
      <x:c r="K428" s="36" t="str">
        <x:v>no</x:v>
      </x:c>
      <x:c r="L428" s="36" t="str">
        <x:v>The UN/World Bank Somalia total includes Somaliland. Partition the same full-territory total between the two game countries using their vanilla regional shares, preventing both omission and double counting.</x:v>
      </x:c>
      <x:c r="M428" s="41" t="n">
        <x:v>8324800000</x:v>
      </x:c>
      <x:c r="N428" s="41" t="n">
        <x:v>7242576000</x:v>
      </x:c>
      <x:c r="O428" s="41" t="n">
        <x:v>1151</x:v>
      </x:c>
      <x:c r="P428" s="41" t="n">
        <x:v>607</x:v>
      </x:c>
      <x:c r="Q428" s="41" t="n">
        <x:v>1461</x:v>
      </x:c>
      <x:c r="R428" s="42" t="n">
        <x:f>MIN(P428,Q428)</x:f>
        <x:v>607</x:v>
      </x:c>
      <x:c r="S428" s="42" t="n">
        <x:f>MAX(P428,Q428)</x:f>
        <x:v>1461</x:v>
      </x:c>
      <x:c r="T428" s="42" t="n">
        <x:f>MAX(R428,MIN(O428,S428))</x:f>
        <x:v>1151</x:v>
      </x:c>
      <x:c r="U428" s="19" t="str">
        <x:f>IF(O428&lt;R428,IF(R428=P428,"clamped_to_nominal","clamped_to_ppp"),IF(O428&gt;S428,IF(S428=P428,"clamped_to_nominal","clamped_to_ppp"),"kept_vanilla"))</x:f>
        <x:v>kept_vanilla</x:v>
      </x:c>
      <x:c r="V428" s="42" t="n">
        <x:f>T428*H428</x:f>
        <x:v>7245350481</x:v>
      </x:c>
      <x:c r="W428" s="42" t="n">
        <x:f>V428/F428</x:f>
        <x:v>8327989058.620689</x:v>
      </x:c>
      <x:c r="X428" s="36" t="str">
        <x:v>SOM: UN WPP 2024 Medium Somalia total partitioned by the scenario's vanilla Somalia/Somaliland regional population share (31.00%)</x:v>
      </x:c>
      <x:c r="Y428" s="36" t="str">
        <x:v>SOM: IMF exact 2026; partitioned to Somaliland using 31.00% population share</x:v>
      </x:c>
      <x:c r="Z428" s="36" t="str">
        <x:v>SOM: IMF exact 2026; partitioned to Somaliland using 31.00% population share</x:v>
      </x:c>
      <x:c r="AA428" s="36" t="str">
        <x:v>complete_primary</x:v>
      </x:c>
      <x:c r="AB428" s="36" t="str">
        <x:v>https://www.un.org/development/desa/pd/world-population-prospects-2024</x:v>
      </x:c>
      <x:c r="AC428" s="36" t="str">
        <x:v>https://api.imf.org/external/sdmx/3.0/data/dataflow/IMF.RES/WEO/9.0.0/</x:v>
      </x:c>
      <x:c r="AD428" s="36" t="str">
        <x:v>https://api.worldbank.org/v2/</x:v>
      </x:c>
    </x:row>
    <x:row r="429">
      <x:c r="A429" s="24" t="str">
        <x:v>ZAF</x:v>
      </x:c>
      <x:c r="B429" s="24" t="str">
        <x:v>South Africa</x:v>
      </x:c>
      <x:c r="C429" s="24" t="str">
        <x:v>ZAF</x:v>
      </x:c>
      <x:c r="D429" s="24" t="str">
        <x:v>ZAF</x:v>
      </x:c>
      <x:c r="E429" s="24" t="n">
        <x:v>2003</x:v>
      </x:c>
      <x:c r="F429" s="37" t="n">
        <x:v>1.59</x:v>
      </x:c>
      <x:c r="G429" s="38" t="n">
        <x:v>51552107</x:v>
      </x:c>
      <x:c r="H429" s="38" t="n">
        <x:v>48500348</x:v>
      </x:c>
      <x:c r="I429" s="39" t="n">
        <x:f>H429/G429</x:f>
        <x:v>0.9408024389769365</x:v>
      </x:c>
      <x:c r="J429" s="40" t="n">
        <x:f>(I429-1)*100</x:f>
        <x:v>-5.9197561023063505</x:v>
      </x:c>
      <x:c r="K429" s="36" t="str">
        <x:v>yes — reviewed</x:v>
      </x:c>
      <x:c r="L429" s="36" t="str">
        <x:v>Single-country game territory and UN country/area boundary align. The difference is an updated historical estimate/projection vintage, not a geographic-scope mismatch; accept the UN WPP value for a consistent source vintage.</x:v>
      </x:c>
      <x:c r="M429" s="41" t="n">
        <x:v>245490643275</x:v>
      </x:c>
      <x:c r="N429" s="41" t="n">
        <x:v>390330122807</x:v>
      </x:c>
      <x:c r="O429" s="41" t="n">
        <x:v>7572</x:v>
      </x:c>
      <x:c r="P429" s="41" t="n">
        <x:v>6459</x:v>
      </x:c>
      <x:c r="Q429" s="41" t="n">
        <x:v>13762</x:v>
      </x:c>
      <x:c r="R429" s="42" t="n">
        <x:f>MIN(P429,Q429)</x:f>
        <x:v>6459</x:v>
      </x:c>
      <x:c r="S429" s="42" t="n">
        <x:f>MAX(P429,Q429)</x:f>
        <x:v>13762</x:v>
      </x:c>
      <x:c r="T429" s="42" t="n">
        <x:f>MAX(R429,MIN(O429,S429))</x:f>
        <x:v>7572</x:v>
      </x:c>
      <x:c r="U429" s="19" t="str">
        <x:f>IF(O429&lt;R429,IF(R429=P429,"clamped_to_nominal","clamped_to_ppp"),IF(O429&gt;S429,IF(S429=P429,"clamped_to_nominal","clamped_to_ppp"),"kept_vanilla"))</x:f>
        <x:v>kept_vanilla</x:v>
      </x:c>
      <x:c r="V429" s="42" t="n">
        <x:f>T429*H429</x:f>
        <x:v>367244635056</x:v>
      </x:c>
      <x:c r="W429" s="42" t="n">
        <x:f>V429/F429</x:f>
        <x:v>230971468588.67923</x:v>
      </x:c>
      <x:c r="X429" s="36" t="str">
        <x:v>ZAF: UN WPP 2024 Medium exact 2003</x:v>
      </x:c>
      <x:c r="Y429" s="36" t="str">
        <x:v>ZAF: IMF exact 2003</x:v>
      </x:c>
      <x:c r="Z429" s="36" t="str">
        <x:v>ZAF: IMF exact 2003</x:v>
      </x:c>
      <x:c r="AA429" s="36" t="str">
        <x:v>complete_primary</x:v>
      </x:c>
      <x:c r="AB429" s="36" t="str">
        <x:v>https://www.un.org/development/desa/pd/world-population-prospects-2024</x:v>
      </x:c>
      <x:c r="AC429" s="36" t="str">
        <x:v>https://api.imf.org/external/sdmx/3.0/data/dataflow/IMF.RES/WEO/9.0.0/</x:v>
      </x:c>
      <x:c r="AD429" s="36" t="str">
        <x:v>https://api.worldbank.org/v2/</x:v>
      </x:c>
    </x:row>
    <x:row r="430">
      <x:c r="A430" s="24" t="str">
        <x:v>ZAF</x:v>
      </x:c>
      <x:c r="B430" s="24" t="str">
        <x:v>South Africa</x:v>
      </x:c>
      <x:c r="C430" s="24" t="str">
        <x:v>ZAF</x:v>
      </x:c>
      <x:c r="D430" s="24" t="str">
        <x:v>ZAF</x:v>
      </x:c>
      <x:c r="E430" s="24" t="n">
        <x:v>2022</x:v>
      </x:c>
      <x:c r="F430" s="37" t="n">
        <x:v>1</x:v>
      </x:c>
      <x:c r="G430" s="38" t="n">
        <x:v>64346678</x:v>
      </x:c>
      <x:c r="H430" s="38" t="n">
        <x:v>62378410</x:v>
      </x:c>
      <x:c r="I430" s="39" t="n">
        <x:f>H430/G430</x:f>
        <x:v>0.969411505594741</x:v>
      </x:c>
      <x:c r="J430" s="40" t="n">
        <x:f>(I430-1)*100</x:f>
        <x:v>-3.0588494405259015</x:v>
      </x:c>
      <x:c r="K430" s="36" t="str">
        <x:v>no</x:v>
      </x:c>
      <x:c r="L430" s="36" t="str">
        <x:v>Single-country territory; UN WPP and vanilla are within the ±5% review threshold.</x:v>
      </x:c>
      <x:c r="M430" s="41" t="n">
        <x:v>825408320000</x:v>
      </x:c>
      <x:c r="N430" s="41" t="n">
        <x:v>825408320000</x:v>
      </x:c>
      <x:c r="O430" s="41" t="n">
        <x:v>12828</x:v>
      </x:c>
      <x:c r="P430" s="41" t="n">
        <x:v>6532</x:v>
      </x:c>
      <x:c r="Q430" s="41" t="n">
        <x:v>14747</x:v>
      </x:c>
      <x:c r="R430" s="42" t="n">
        <x:f>MIN(P430,Q430)</x:f>
        <x:v>6532</x:v>
      </x:c>
      <x:c r="S430" s="42" t="n">
        <x:f>MAX(P430,Q430)</x:f>
        <x:v>14747</x:v>
      </x:c>
      <x:c r="T430" s="42" t="n">
        <x:f>MAX(R430,MIN(O430,S430))</x:f>
        <x:v>12828</x:v>
      </x:c>
      <x:c r="U430" s="19" t="str">
        <x:f>IF(O430&lt;R430,IF(R430=P430,"clamped_to_nominal","clamped_to_ppp"),IF(O430&gt;S430,IF(S430=P430,"clamped_to_nominal","clamped_to_ppp"),"kept_vanilla"))</x:f>
        <x:v>kept_vanilla</x:v>
      </x:c>
      <x:c r="V430" s="42" t="n">
        <x:f>T430*H430</x:f>
        <x:v>800190243480</x:v>
      </x:c>
      <x:c r="W430" s="42" t="n">
        <x:f>V430/F430</x:f>
        <x:v>800190243480</x:v>
      </x:c>
      <x:c r="X430" s="36" t="str">
        <x:v>ZAF: UN WPP 2024 Medium exact 2022</x:v>
      </x:c>
      <x:c r="Y430" s="36" t="str">
        <x:v>ZAF: IMF exact 2022</x:v>
      </x:c>
      <x:c r="Z430" s="36" t="str">
        <x:v>ZAF: IMF exact 2022</x:v>
      </x:c>
      <x:c r="AA430" s="36" t="str">
        <x:v>complete_primary</x:v>
      </x:c>
      <x:c r="AB430" s="36" t="str">
        <x:v>https://www.un.org/development/desa/pd/world-population-prospects-2024</x:v>
      </x:c>
      <x:c r="AC430" s="36" t="str">
        <x:v>https://api.imf.org/external/sdmx/3.0/data/dataflow/IMF.RES/WEO/9.0.0/</x:v>
      </x:c>
      <x:c r="AD430" s="36" t="str">
        <x:v>https://api.worldbank.org/v2/</x:v>
      </x:c>
    </x:row>
    <x:row r="431">
      <x:c r="A431" s="24" t="str">
        <x:v>ZAF</x:v>
      </x:c>
      <x:c r="B431" s="24" t="str">
        <x:v>South Africa</x:v>
      </x:c>
      <x:c r="C431" s="24" t="str">
        <x:v>ZAF</x:v>
      </x:c>
      <x:c r="D431" s="24" t="str">
        <x:v>ZAF</x:v>
      </x:c>
      <x:c r="E431" s="24" t="n">
        <x:v>2026</x:v>
      </x:c>
      <x:c r="F431" s="37" t="n">
        <x:v>0.87</x:v>
      </x:c>
      <x:c r="G431" s="38" t="n">
        <x:v>69112279</x:v>
      </x:c>
      <x:c r="H431" s="38" t="n">
        <x:v>65453084</x:v>
      </x:c>
      <x:c r="I431" s="39" t="n">
        <x:f>H431/G431</x:f>
        <x:v>0.9470543432665561</x:v>
      </x:c>
      <x:c r="J431" s="40" t="n">
        <x:f>(I431-1)*100</x:f>
        <x:v>-5.294565673344387</x:v>
      </x:c>
      <x:c r="K431" s="36" t="str">
        <x:v>yes — reviewed</x:v>
      </x:c>
      <x:c r="L431" s="36" t="str">
        <x:v>Single-country game territory and UN country/area boundary align. The difference is an updated historical estimate/projection vintage, not a geographic-scope mismatch; accept the UN WPP value for a consistent source vintage.</x:v>
      </x:c>
      <x:c r="M431" s="41" t="n">
        <x:v>903320000000</x:v>
      </x:c>
      <x:c r="N431" s="41" t="n">
        <x:v>785888400000</x:v>
      </x:c>
      <x:c r="O431" s="41" t="n">
        <x:v>11371</x:v>
      </x:c>
      <x:c r="P431" s="41" t="n">
        <x:v>6380</x:v>
      </x:c>
      <x:c r="Q431" s="41" t="n">
        <x:v>14234</x:v>
      </x:c>
      <x:c r="R431" s="42" t="n">
        <x:f>MIN(P431,Q431)</x:f>
        <x:v>6380</x:v>
      </x:c>
      <x:c r="S431" s="42" t="n">
        <x:f>MAX(P431,Q431)</x:f>
        <x:v>14234</x:v>
      </x:c>
      <x:c r="T431" s="42" t="n">
        <x:f>MAX(R431,MIN(O431,S431))</x:f>
        <x:v>11371</x:v>
      </x:c>
      <x:c r="U431" s="19" t="str">
        <x:f>IF(O431&lt;R431,IF(R431=P431,"clamped_to_nominal","clamped_to_ppp"),IF(O431&gt;S431,IF(S431=P431,"clamped_to_nominal","clamped_to_ppp"),"kept_vanilla"))</x:f>
        <x:v>kept_vanilla</x:v>
      </x:c>
      <x:c r="V431" s="42" t="n">
        <x:f>T431*H431</x:f>
        <x:v>744267018164</x:v>
      </x:c>
      <x:c r="W431" s="42" t="n">
        <x:f>V431/F431</x:f>
        <x:v>855479331222.9885</x:v>
      </x:c>
      <x:c r="X431" s="36" t="str">
        <x:v>ZAF: UN WPP 2024 Medium exact 2026</x:v>
      </x:c>
      <x:c r="Y431" s="36" t="str">
        <x:v>ZAF: IMF exact 2026</x:v>
      </x:c>
      <x:c r="Z431" s="36" t="str">
        <x:v>ZAF: IMF exact 2026</x:v>
      </x:c>
      <x:c r="AA431" s="36" t="str">
        <x:v>complete_primary</x:v>
      </x:c>
      <x:c r="AB431" s="36" t="str">
        <x:v>https://www.un.org/development/desa/pd/world-population-prospects-2024</x:v>
      </x:c>
      <x:c r="AC431" s="36" t="str">
        <x:v>https://api.imf.org/external/sdmx/3.0/data/dataflow/IMF.RES/WEO/9.0.0/</x:v>
      </x:c>
      <x:c r="AD431" s="36" t="str">
        <x:v>https://api.worldbank.org/v2/</x:v>
      </x:c>
    </x:row>
    <x:row r="432">
      <x:c r="A432" s="24" t="str">
        <x:v>KOR</x:v>
      </x:c>
      <x:c r="B432" s="24" t="str">
        <x:v>South Korea</x:v>
      </x:c>
      <x:c r="C432" s="24" t="str">
        <x:v>KOR</x:v>
      </x:c>
      <x:c r="D432" s="24" t="str">
        <x:v>KOR</x:v>
      </x:c>
      <x:c r="E432" s="24" t="n">
        <x:v>2003</x:v>
      </x:c>
      <x:c r="F432" s="37" t="n">
        <x:v>1.59</x:v>
      </x:c>
      <x:c r="G432" s="38" t="n">
        <x:v>47514160</x:v>
      </x:c>
      <x:c r="H432" s="38" t="n">
        <x:v>47514160</x:v>
      </x:c>
      <x:c r="I432" s="39" t="n">
        <x:f>H432/G432</x:f>
        <x:v>1</x:v>
      </x:c>
      <x:c r="J432" s="40" t="n">
        <x:f>(I432-1)*100</x:f>
        <x:v>0</x:v>
      </x:c>
      <x:c r="K432" s="36" t="str">
        <x:v>no</x:v>
      </x:c>
      <x:c r="L432" s="36" t="str">
        <x:v>Single-country territory; UN WPP and vanilla are within the ±5% review threshold.</x:v>
      </x:c>
      <x:c r="M432" s="41" t="n">
        <x:v>590179532164</x:v>
      </x:c>
      <x:c r="N432" s="41" t="n">
        <x:v>938385456141</x:v>
      </x:c>
      <x:c r="O432" s="41" t="n">
        <x:v>19750</x:v>
      </x:c>
      <x:c r="P432" s="41" t="n">
        <x:v>24378</x:v>
      </x:c>
      <x:c r="Q432" s="41" t="n">
        <x:v>33772</x:v>
      </x:c>
      <x:c r="R432" s="42" t="n">
        <x:f>MIN(P432,Q432)</x:f>
        <x:v>24378</x:v>
      </x:c>
      <x:c r="S432" s="42" t="n">
        <x:f>MAX(P432,Q432)</x:f>
        <x:v>33772</x:v>
      </x:c>
      <x:c r="T432" s="42" t="n">
        <x:f>MAX(R432,MIN(O432,S432))</x:f>
        <x:v>24378</x:v>
      </x:c>
      <x:c r="U432" s="19" t="str">
        <x:f>IF(O432&lt;R432,IF(R432=P432,"clamped_to_nominal","clamped_to_ppp"),IF(O432&gt;S432,IF(S432=P432,"clamped_to_nominal","clamped_to_ppp"),"kept_vanilla"))</x:f>
        <x:v>clamped_to_nominal</x:v>
      </x:c>
      <x:c r="V432" s="42" t="n">
        <x:f>T432*H432</x:f>
        <x:v>1158300192480</x:v>
      </x:c>
      <x:c r="W432" s="42" t="n">
        <x:f>V432/F432</x:f>
        <x:v>728490687094.3396</x:v>
      </x:c>
      <x:c r="X432" s="36" t="str">
        <x:v>KOR: UN WPP 2024 Medium exact 2003</x:v>
      </x:c>
      <x:c r="Y432" s="36" t="str">
        <x:v>KOR: IMF exact 2003</x:v>
      </x:c>
      <x:c r="Z432" s="36" t="str">
        <x:v>KOR: IMF exact 2003</x:v>
      </x:c>
      <x:c r="AA432" s="36" t="str">
        <x:v>complete_primary</x:v>
      </x:c>
      <x:c r="AB432" s="36" t="str">
        <x:v>https://www.un.org/development/desa/pd/world-population-prospects-2024</x:v>
      </x:c>
      <x:c r="AC432" s="36" t="str">
        <x:v>https://api.imf.org/external/sdmx/3.0/data/dataflow/IMF.RES/WEO/9.0.0/</x:v>
      </x:c>
      <x:c r="AD432" s="36" t="str">
        <x:v>https://api.worldbank.org/v2/</x:v>
      </x:c>
    </x:row>
    <x:row r="433">
      <x:c r="A433" s="24" t="str">
        <x:v>KOR</x:v>
      </x:c>
      <x:c r="B433" s="24" t="str">
        <x:v>South Korea</x:v>
      </x:c>
      <x:c r="C433" s="24" t="str">
        <x:v>KOR</x:v>
      </x:c>
      <x:c r="D433" s="24" t="str">
        <x:v>KOR</x:v>
      </x:c>
      <x:c r="E433" s="24" t="n">
        <x:v>2022</x:v>
      </x:c>
      <x:c r="F433" s="37" t="n">
        <x:v>1</x:v>
      </x:c>
      <x:c r="G433" s="38" t="n">
        <x:v>51337033</x:v>
      </x:c>
      <x:c r="H433" s="38" t="n">
        <x:v>51782512</x:v>
      </x:c>
      <x:c r="I433" s="39" t="n">
        <x:f>H433/G433</x:f>
        <x:v>1.008677536935179</x:v>
      </x:c>
      <x:c r="J433" s="40" t="n">
        <x:f>(I433-1)*100</x:f>
        <x:v>0.8677536935179031</x:v>
      </x:c>
      <x:c r="K433" s="36" t="str">
        <x:v>no</x:v>
      </x:c>
      <x:c r="L433" s="36" t="str">
        <x:v>Single-country territory; UN WPP and vanilla are within the ±5% review threshold.</x:v>
      </x:c>
      <x:c r="M433" s="41" t="n">
        <x:v>2735870000000</x:v>
      </x:c>
      <x:c r="N433" s="41" t="n">
        <x:v>2735870000000</x:v>
      </x:c>
      <x:c r="O433" s="41" t="n">
        <x:v>53292</x:v>
      </x:c>
      <x:c r="P433" s="41" t="n">
        <x:v>34748</x:v>
      </x:c>
      <x:c r="Q433" s="41" t="n">
        <x:v>57072</x:v>
      </x:c>
      <x:c r="R433" s="42" t="n">
        <x:f>MIN(P433,Q433)</x:f>
        <x:v>34748</x:v>
      </x:c>
      <x:c r="S433" s="42" t="n">
        <x:f>MAX(P433,Q433)</x:f>
        <x:v>57072</x:v>
      </x:c>
      <x:c r="T433" s="42" t="n">
        <x:f>MAX(R433,MIN(O433,S433))</x:f>
        <x:v>53292</x:v>
      </x:c>
      <x:c r="U433" s="19" t="str">
        <x:f>IF(O433&lt;R433,IF(R433=P433,"clamped_to_nominal","clamped_to_ppp"),IF(O433&gt;S433,IF(S433=P433,"clamped_to_nominal","clamped_to_ppp"),"kept_vanilla"))</x:f>
        <x:v>kept_vanilla</x:v>
      </x:c>
      <x:c r="V433" s="42" t="n">
        <x:f>T433*H433</x:f>
        <x:v>2759593629504</x:v>
      </x:c>
      <x:c r="W433" s="42" t="n">
        <x:f>V433/F433</x:f>
        <x:v>2759593629504</x:v>
      </x:c>
      <x:c r="X433" s="36" t="str">
        <x:v>KOR: UN WPP 2024 Medium exact 2022</x:v>
      </x:c>
      <x:c r="Y433" s="36" t="str">
        <x:v>KOR: IMF exact 2022</x:v>
      </x:c>
      <x:c r="Z433" s="36" t="str">
        <x:v>KOR: IMF exact 2022</x:v>
      </x:c>
      <x:c r="AA433" s="36" t="str">
        <x:v>complete_primary</x:v>
      </x:c>
      <x:c r="AB433" s="36" t="str">
        <x:v>https://www.un.org/development/desa/pd/world-population-prospects-2024</x:v>
      </x:c>
      <x:c r="AC433" s="36" t="str">
        <x:v>https://api.imf.org/external/sdmx/3.0/data/dataflow/IMF.RES/WEO/9.0.0/</x:v>
      </x:c>
      <x:c r="AD433" s="36" t="str">
        <x:v>https://api.worldbank.org/v2/</x:v>
      </x:c>
    </x:row>
    <x:row r="434">
      <x:c r="A434" s="24" t="str">
        <x:v>KOR</x:v>
      </x:c>
      <x:c r="B434" s="24" t="str">
        <x:v>South Korea</x:v>
      </x:c>
      <x:c r="C434" s="24" t="str">
        <x:v>KOR</x:v>
      </x:c>
      <x:c r="D434" s="24" t="str">
        <x:v>KOR</x:v>
      </x:c>
      <x:c r="E434" s="24" t="n">
        <x:v>2026</x:v>
      </x:c>
      <x:c r="F434" s="37" t="n">
        <x:v>0.87</x:v>
      </x:c>
      <x:c r="G434" s="38" t="n">
        <x:v>51600388</x:v>
      </x:c>
      <x:c r="H434" s="38" t="n">
        <x:v>51600388</x:v>
      </x:c>
      <x:c r="I434" s="39" t="n">
        <x:f>H434/G434</x:f>
        <x:v>1</x:v>
      </x:c>
      <x:c r="J434" s="40" t="n">
        <x:f>(I434-1)*100</x:f>
        <x:v>0</x:v>
      </x:c>
      <x:c r="K434" s="36" t="str">
        <x:v>no</x:v>
      </x:c>
      <x:c r="L434" s="36" t="str">
        <x:v>Single-country territory; UN WPP and vanilla are within the ±5% review threshold.</x:v>
      </x:c>
      <x:c r="M434" s="41" t="n">
        <x:v>2959808720000</x:v>
      </x:c>
      <x:c r="N434" s="41" t="n">
        <x:v>2575033586400</x:v>
      </x:c>
      <x:c r="O434" s="41" t="n">
        <x:v>49903</x:v>
      </x:c>
      <x:c r="P434" s="41" t="n">
        <x:v>32557</x:v>
      </x:c>
      <x:c r="Q434" s="41" t="n">
        <x:v>59720</x:v>
      </x:c>
      <x:c r="R434" s="42" t="n">
        <x:f>MIN(P434,Q434)</x:f>
        <x:v>32557</x:v>
      </x:c>
      <x:c r="S434" s="42" t="n">
        <x:f>MAX(P434,Q434)</x:f>
        <x:v>59720</x:v>
      </x:c>
      <x:c r="T434" s="42" t="n">
        <x:f>MAX(R434,MIN(O434,S434))</x:f>
        <x:v>49903</x:v>
      </x:c>
      <x:c r="U434" s="19" t="str">
        <x:f>IF(O434&lt;R434,IF(R434=P434,"clamped_to_nominal","clamped_to_ppp"),IF(O434&gt;S434,IF(S434=P434,"clamped_to_nominal","clamped_to_ppp"),"kept_vanilla"))</x:f>
        <x:v>kept_vanilla</x:v>
      </x:c>
      <x:c r="V434" s="42" t="n">
        <x:f>T434*H434</x:f>
        <x:v>2575014162364</x:v>
      </x:c>
      <x:c r="W434" s="42" t="n">
        <x:f>V434/F434</x:f>
        <x:v>2959786393521.839</x:v>
      </x:c>
      <x:c r="X434" s="36" t="str">
        <x:v>KOR: UN WPP 2024 Medium exact 2026</x:v>
      </x:c>
      <x:c r="Y434" s="36" t="str">
        <x:v>KOR: IMF exact 2026</x:v>
      </x:c>
      <x:c r="Z434" s="36" t="str">
        <x:v>KOR: IMF exact 2026</x:v>
      </x:c>
      <x:c r="AA434" s="36" t="str">
        <x:v>complete_primary</x:v>
      </x:c>
      <x:c r="AB434" s="36" t="str">
        <x:v>https://www.un.org/development/desa/pd/world-population-prospects-2024</x:v>
      </x:c>
      <x:c r="AC434" s="36" t="str">
        <x:v>https://api.imf.org/external/sdmx/3.0/data/dataflow/IMF.RES/WEO/9.0.0/</x:v>
      </x:c>
      <x:c r="AD434" s="36" t="str">
        <x:v>https://api.worldbank.org/v2/</x:v>
      </x:c>
    </x:row>
    <x:row r="435">
      <x:c r="A435" s="24" t="str">
        <x:v>SSD</x:v>
      </x:c>
      <x:c r="B435" s="24" t="str">
        <x:v>South Sudan</x:v>
      </x:c>
      <x:c r="C435" s="24" t="str">
        <x:v>SSD</x:v>
      </x:c>
      <x:c r="D435" s="24" t="str">
        <x:v>SSD</x:v>
      </x:c>
      <x:c r="E435" s="24" t="n">
        <x:v>2003</x:v>
      </x:c>
      <x:c r="F435" s="37" t="n">
        <x:v>1.59</x:v>
      </x:c>
      <x:c r="G435" s="38" t="n">
        <x:v>6903127</x:v>
      </x:c>
      <x:c r="H435" s="38" t="n">
        <x:v>6903127</x:v>
      </x:c>
      <x:c r="I435" s="39" t="n">
        <x:f>H435/G435</x:f>
        <x:v>1</x:v>
      </x:c>
      <x:c r="J435" s="40" t="n">
        <x:f>(I435-1)*100</x:f>
        <x:v>0</x:v>
      </x:c>
      <x:c r="K435" s="36" t="str">
        <x:v>no</x:v>
      </x:c>
      <x:c r="L435" s="36" t="str">
        <x:v>Single-country territory; UN WPP and vanilla are within the ±5% review threshold.</x:v>
      </x:c>
      <x:c r="M435" s="41" t="n">
        <x:v>5635672515</x:v>
      </x:c>
      <x:c r="N435" s="41" t="n">
        <x:v>8960719299</x:v>
      </x:c>
      <x:c r="O435" s="41" t="n">
        <x:v>1298</x:v>
      </x:c>
      <x:c r="P435" s="41" t="n">
        <x:v>1566</x:v>
      </x:c>
      <x:c r="Q435" s="41" t="n">
        <x:v>3527</x:v>
      </x:c>
      <x:c r="R435" s="42" t="n">
        <x:f>MIN(P435,Q435)</x:f>
        <x:v>1566</x:v>
      </x:c>
      <x:c r="S435" s="42" t="n">
        <x:f>MAX(P435,Q435)</x:f>
        <x:v>3527</x:v>
      </x:c>
      <x:c r="T435" s="42" t="n">
        <x:f>MAX(R435,MIN(O435,S435))</x:f>
        <x:v>1566</x:v>
      </x:c>
      <x:c r="U435" s="19" t="str">
        <x:f>IF(O435&lt;R435,IF(R435=P435,"clamped_to_nominal","clamped_to_ppp"),IF(O435&gt;S435,IF(S435=P435,"clamped_to_nominal","clamped_to_ppp"),"kept_vanilla"))</x:f>
        <x:v>clamped_to_nominal</x:v>
      </x:c>
      <x:c r="V435" s="42" t="n">
        <x:f>T435*H435</x:f>
        <x:v>10810296882</x:v>
      </x:c>
      <x:c r="W435" s="42" t="n">
        <x:f>V435/F435</x:f>
        <x:v>6798928856.603773</x:v>
      </x:c>
      <x:c r="X435" s="36" t="str">
        <x:v>SSD: UN WPP 2024 Medium exact 2003</x:v>
      </x:c>
      <x:c r="Y435" s="36" t="str">
        <x:v>SSD: peer-growth inference from World Bank 2008; Sub-Saharan Africa ; Low income median 8.00%/yr (20 peers, capped at ±8%)</x:v>
      </x:c>
      <x:c r="Z435" s="36" t="str">
        <x:v>SSD: peer-growth inference from World Bank 2008; Sub-Saharan Africa ; Low income median 2.64%/yr (20 peers, capped at ±8%)</x:v>
      </x:c>
      <x:c r="AA435" s="36" t="str">
        <x:v>inferred</x:v>
      </x:c>
      <x:c r="AB435" s="36" t="str">
        <x:v>https://www.un.org/development/desa/pd/world-population-prospects-2024</x:v>
      </x:c>
      <x:c r="AC435" s="36" t="str">
        <x:v>https://api.imf.org/external/sdmx/3.0/data/dataflow/IMF.RES/WEO/9.0.0/</x:v>
      </x:c>
      <x:c r="AD435" s="36" t="str">
        <x:v>https://api.worldbank.org/v2/</x:v>
      </x:c>
    </x:row>
    <x:row r="436">
      <x:c r="A436" s="24" t="str">
        <x:v>SSD</x:v>
      </x:c>
      <x:c r="B436" s="24" t="str">
        <x:v>South Sudan</x:v>
      </x:c>
      <x:c r="C436" s="24" t="str">
        <x:v>SSD</x:v>
      </x:c>
      <x:c r="D436" s="24" t="str">
        <x:v>SSD</x:v>
      </x:c>
      <x:c r="E436" s="24" t="n">
        <x:v>2022</x:v>
      </x:c>
      <x:c r="F436" s="37" t="n">
        <x:v>1</x:v>
      </x:c>
      <x:c r="G436" s="38" t="n">
        <x:v>11695668</x:v>
      </x:c>
      <x:c r="H436" s="38" t="n">
        <x:v>11021177</x:v>
      </x:c>
      <x:c r="I436" s="39" t="n">
        <x:f>H436/G436</x:f>
        <x:v>0.9423298438361964</x:v>
      </x:c>
      <x:c r="J436" s="40" t="n">
        <x:f>(I436-1)*100</x:f>
        <x:v>-5.767015616380355</x:v>
      </x:c>
      <x:c r="K436" s="36" t="str">
        <x:v>yes — reviewed</x:v>
      </x:c>
      <x:c r="L436" s="36" t="str">
        <x:v>Single-country game territory and UN country/area boundary align. The difference is an updated historical estimate/projection vintage, not a geographic-scope mismatch; accept the UN WPP value for a consistent source vintage.</x:v>
      </x:c>
      <x:c r="M436" s="41" t="n">
        <x:v>11909040000</x:v>
      </x:c>
      <x:c r="N436" s="41" t="n">
        <x:v>11909040000</x:v>
      </x:c>
      <x:c r="O436" s="41" t="n">
        <x:v>1018</x:v>
      </x:c>
      <x:c r="P436" s="41" t="n">
        <x:v>683</x:v>
      </x:c>
      <x:c r="Q436" s="41" t="n">
        <x:v>1336</x:v>
      </x:c>
      <x:c r="R436" s="42" t="n">
        <x:f>MIN(P436,Q436)</x:f>
        <x:v>683</x:v>
      </x:c>
      <x:c r="S436" s="42" t="n">
        <x:f>MAX(P436,Q436)</x:f>
        <x:v>1336</x:v>
      </x:c>
      <x:c r="T436" s="42" t="n">
        <x:f>MAX(R436,MIN(O436,S436))</x:f>
        <x:v>1018</x:v>
      </x:c>
      <x:c r="U436" s="19" t="str">
        <x:f>IF(O436&lt;R436,IF(R436=P436,"clamped_to_nominal","clamped_to_ppp"),IF(O436&gt;S436,IF(S436=P436,"clamped_to_nominal","clamped_to_ppp"),"kept_vanilla"))</x:f>
        <x:v>kept_vanilla</x:v>
      </x:c>
      <x:c r="V436" s="42" t="n">
        <x:f>T436*H436</x:f>
        <x:v>11219558186</x:v>
      </x:c>
      <x:c r="W436" s="42" t="n">
        <x:f>V436/F436</x:f>
        <x:v>11219558186</x:v>
      </x:c>
      <x:c r="X436" s="36" t="str">
        <x:v>SSD: UN WPP 2024 Medium exact 2022</x:v>
      </x:c>
      <x:c r="Y436" s="36" t="str">
        <x:v>SSD: IMF exact 2022</x:v>
      </x:c>
      <x:c r="Z436" s="36" t="str">
        <x:v>SSD: IMF exact 2022</x:v>
      </x:c>
      <x:c r="AA436" s="36" t="str">
        <x:v>complete_primary</x:v>
      </x:c>
      <x:c r="AB436" s="36" t="str">
        <x:v>https://www.un.org/development/desa/pd/world-population-prospects-2024</x:v>
      </x:c>
      <x:c r="AC436" s="36" t="str">
        <x:v>https://api.imf.org/external/sdmx/3.0/data/dataflow/IMF.RES/WEO/9.0.0/</x:v>
      </x:c>
      <x:c r="AD436" s="36" t="str">
        <x:v>https://api.worldbank.org/v2/</x:v>
      </x:c>
    </x:row>
    <x:row r="437">
      <x:c r="A437" s="24" t="str">
        <x:v>SSD</x:v>
      </x:c>
      <x:c r="B437" s="24" t="str">
        <x:v>South Sudan</x:v>
      </x:c>
      <x:c r="C437" s="24" t="str">
        <x:v>SSD</x:v>
      </x:c>
      <x:c r="D437" s="24" t="str">
        <x:v>SSD</x:v>
      </x:c>
      <x:c r="E437" s="24" t="n">
        <x:v>2026</x:v>
      </x:c>
      <x:c r="F437" s="37" t="n">
        <x:v>0.87</x:v>
      </x:c>
      <x:c r="G437" s="38" t="n">
        <x:v>12436037</x:v>
      </x:c>
      <x:c r="H437" s="38" t="n">
        <x:v>12436037</x:v>
      </x:c>
      <x:c r="I437" s="39" t="n">
        <x:f>H437/G437</x:f>
        <x:v>1</x:v>
      </x:c>
      <x:c r="J437" s="40" t="n">
        <x:f>(I437-1)*100</x:f>
        <x:v>0</x:v>
      </x:c>
      <x:c r="K437" s="36" t="str">
        <x:v>no</x:v>
      </x:c>
      <x:c r="L437" s="36" t="str">
        <x:v>Single-country territory; UN WPP and vanilla are within the ±5% review threshold.</x:v>
      </x:c>
      <x:c r="M437" s="41" t="n">
        <x:v>10019680000</x:v>
      </x:c>
      <x:c r="N437" s="41" t="n">
        <x:v>8717121600</x:v>
      </x:c>
      <x:c r="O437" s="41" t="n">
        <x:v>701</x:v>
      </x:c>
      <x:c r="P437" s="41" t="n">
        <x:v>425</x:v>
      </x:c>
      <x:c r="Q437" s="41" t="n">
        <x:v>1340</x:v>
      </x:c>
      <x:c r="R437" s="42" t="n">
        <x:f>MIN(P437,Q437)</x:f>
        <x:v>425</x:v>
      </x:c>
      <x:c r="S437" s="42" t="n">
        <x:f>MAX(P437,Q437)</x:f>
        <x:v>1340</x:v>
      </x:c>
      <x:c r="T437" s="42" t="n">
        <x:f>MAX(R437,MIN(O437,S437))</x:f>
        <x:v>701</x:v>
      </x:c>
      <x:c r="U437" s="19" t="str">
        <x:f>IF(O437&lt;R437,IF(R437=P437,"clamped_to_nominal","clamped_to_ppp"),IF(O437&gt;S437,IF(S437=P437,"clamped_to_nominal","clamped_to_ppp"),"kept_vanilla"))</x:f>
        <x:v>kept_vanilla</x:v>
      </x:c>
      <x:c r="V437" s="42" t="n">
        <x:f>T437*H437</x:f>
        <x:v>8717661937</x:v>
      </x:c>
      <x:c r="W437" s="42" t="n">
        <x:f>V437/F437</x:f>
        <x:v>10020301077.011494</x:v>
      </x:c>
      <x:c r="X437" s="36" t="str">
        <x:v>SSD: UN WPP 2024 Medium exact 2026</x:v>
      </x:c>
      <x:c r="Y437" s="36" t="str">
        <x:v>SSD: IMF exact 2026</x:v>
      </x:c>
      <x:c r="Z437" s="36" t="str">
        <x:v>SSD: IMF exact 2026</x:v>
      </x:c>
      <x:c r="AA437" s="36" t="str">
        <x:v>complete_primary</x:v>
      </x:c>
      <x:c r="AB437" s="36" t="str">
        <x:v>https://www.un.org/development/desa/pd/world-population-prospects-2024</x:v>
      </x:c>
      <x:c r="AC437" s="36" t="str">
        <x:v>https://api.imf.org/external/sdmx/3.0/data/dataflow/IMF.RES/WEO/9.0.0/</x:v>
      </x:c>
      <x:c r="AD437" s="36" t="str">
        <x:v>https://api.worldbank.org/v2/</x:v>
      </x:c>
    </x:row>
    <x:row r="438">
      <x:c r="A438" s="24" t="str">
        <x:v>ESP</x:v>
      </x:c>
      <x:c r="B438" s="24" t="str">
        <x:v>Spain</x:v>
      </x:c>
      <x:c r="C438" s="24" t="str">
        <x:v>ESP</x:v>
      </x:c>
      <x:c r="D438" s="24" t="str">
        <x:v>ESP</x:v>
      </x:c>
      <x:c r="E438" s="24" t="n">
        <x:v>2003</x:v>
      </x:c>
      <x:c r="F438" s="37" t="n">
        <x:v>1.59</x:v>
      </x:c>
      <x:c r="G438" s="38" t="n">
        <x:v>42506544</x:v>
      </x:c>
      <x:c r="H438" s="38" t="n">
        <x:v>42506543</x:v>
      </x:c>
      <x:c r="I438" s="39" t="n">
        <x:f>H438/G438</x:f>
        <x:v>0.9999999764742107</x:v>
      </x:c>
      <x:c r="J438" s="40" t="n">
        <x:f>(I438-1)*100</x:f>
        <x:v>-0.000002352578931663629</x:v>
      </x:c>
      <x:c r="K438" s="36" t="str">
        <x:v>no</x:v>
      </x:c>
      <x:c r="L438" s="36" t="str">
        <x:v>Single-country territory; UN WPP and vanilla are within the ±5% review threshold.</x:v>
      </x:c>
      <x:c r="M438" s="41" t="n">
        <x:v>702970175439</x:v>
      </x:c>
      <x:c r="N438" s="41" t="n">
        <x:v>1117722578948</x:v>
      </x:c>
      <x:c r="O438" s="41" t="n">
        <x:v>26295</x:v>
      </x:c>
      <x:c r="P438" s="41" t="n">
        <x:v>33955</x:v>
      </x:c>
      <x:c r="Q438" s="41" t="n">
        <x:v>44964</x:v>
      </x:c>
      <x:c r="R438" s="42" t="n">
        <x:f>MIN(P438,Q438)</x:f>
        <x:v>33955</x:v>
      </x:c>
      <x:c r="S438" s="42" t="n">
        <x:f>MAX(P438,Q438)</x:f>
        <x:v>44964</x:v>
      </x:c>
      <x:c r="T438" s="42" t="n">
        <x:f>MAX(R438,MIN(O438,S438))</x:f>
        <x:v>33955</x:v>
      </x:c>
      <x:c r="U438" s="19" t="str">
        <x:f>IF(O438&lt;R438,IF(R438=P438,"clamped_to_nominal","clamped_to_ppp"),IF(O438&gt;S438,IF(S438=P438,"clamped_to_nominal","clamped_to_ppp"),"kept_vanilla"))</x:f>
        <x:v>clamped_to_nominal</x:v>
      </x:c>
      <x:c r="V438" s="42" t="n">
        <x:f>T438*H438</x:f>
        <x:v>1443309667565</x:v>
      </x:c>
      <x:c r="W438" s="42" t="n">
        <x:f>V438/F438</x:f>
        <x:v>907741929286.1635</x:v>
      </x:c>
      <x:c r="X438" s="36" t="str">
        <x:v>ESP: UN WPP 2024 Medium exact 2003</x:v>
      </x:c>
      <x:c r="Y438" s="36" t="str">
        <x:v>ESP: IMF exact 2003</x:v>
      </x:c>
      <x:c r="Z438" s="36" t="str">
        <x:v>ESP: IMF exact 2003</x:v>
      </x:c>
      <x:c r="AA438" s="36" t="str">
        <x:v>complete_primary</x:v>
      </x:c>
      <x:c r="AB438" s="36" t="str">
        <x:v>https://www.un.org/development/desa/pd/world-population-prospects-2024</x:v>
      </x:c>
      <x:c r="AC438" s="36" t="str">
        <x:v>https://api.imf.org/external/sdmx/3.0/data/dataflow/IMF.RES/WEO/9.0.0/</x:v>
      </x:c>
      <x:c r="AD438" s="36" t="str">
        <x:v>https://api.worldbank.org/v2/</x:v>
      </x:c>
    </x:row>
    <x:row r="439">
      <x:c r="A439" s="24" t="str">
        <x:v>ESP</x:v>
      </x:c>
      <x:c r="B439" s="24" t="str">
        <x:v>Spain</x:v>
      </x:c>
      <x:c r="C439" s="24" t="str">
        <x:v>ESP</x:v>
      </x:c>
      <x:c r="D439" s="24" t="str">
        <x:v>ESP</x:v>
      </x:c>
      <x:c r="E439" s="24" t="n">
        <x:v>2022</x:v>
      </x:c>
      <x:c r="F439" s="37" t="n">
        <x:v>1</x:v>
      </x:c>
      <x:c r="G439" s="38" t="n">
        <x:v>46710039</x:v>
      </x:c>
      <x:c r="H439" s="38" t="n">
        <x:v>47828382</x:v>
      </x:c>
      <x:c r="I439" s="39" t="n">
        <x:f>H439/G439</x:f>
        <x:v>1.0239422407675576</x:v>
      </x:c>
      <x:c r="J439" s="40" t="n">
        <x:f>(I439-1)*100</x:f>
        <x:v>2.3942240767557577</x:v>
      </x:c>
      <x:c r="K439" s="36" t="str">
        <x:v>no</x:v>
      </x:c>
      <x:c r="L439" s="36" t="str">
        <x:v>Single-country territory; UN WPP and vanilla are within the ±5% review threshold.</x:v>
      </x:c>
      <x:c r="M439" s="41" t="n">
        <x:v>1944288720000</x:v>
      </x:c>
      <x:c r="N439" s="41" t="n">
        <x:v>1944288720000</x:v>
      </x:c>
      <x:c r="O439" s="41" t="n">
        <x:v>41625</x:v>
      </x:c>
      <x:c r="P439" s="41" t="n">
        <x:v>30317</x:v>
      </x:c>
      <x:c r="Q439" s="41" t="n">
        <x:v>49802</x:v>
      </x:c>
      <x:c r="R439" s="42" t="n">
        <x:f>MIN(P439,Q439)</x:f>
        <x:v>30317</x:v>
      </x:c>
      <x:c r="S439" s="42" t="n">
        <x:f>MAX(P439,Q439)</x:f>
        <x:v>49802</x:v>
      </x:c>
      <x:c r="T439" s="42" t="n">
        <x:f>MAX(R439,MIN(O439,S439))</x:f>
        <x:v>41625</x:v>
      </x:c>
      <x:c r="U439" s="19" t="str">
        <x:f>IF(O439&lt;R439,IF(R439=P439,"clamped_to_nominal","clamped_to_ppp"),IF(O439&gt;S439,IF(S439=P439,"clamped_to_nominal","clamped_to_ppp"),"kept_vanilla"))</x:f>
        <x:v>kept_vanilla</x:v>
      </x:c>
      <x:c r="V439" s="42" t="n">
        <x:f>T439*H439</x:f>
        <x:v>1990856400750</x:v>
      </x:c>
      <x:c r="W439" s="42" t="n">
        <x:f>V439/F439</x:f>
        <x:v>1990856400750</x:v>
      </x:c>
      <x:c r="X439" s="36" t="str">
        <x:v>ESP: UN WPP 2024 Medium exact 2022</x:v>
      </x:c>
      <x:c r="Y439" s="36" t="str">
        <x:v>ESP: IMF exact 2022</x:v>
      </x:c>
      <x:c r="Z439" s="36" t="str">
        <x:v>ESP: IMF exact 2022</x:v>
      </x:c>
      <x:c r="AA439" s="36" t="str">
        <x:v>complete_primary</x:v>
      </x:c>
      <x:c r="AB439" s="36" t="str">
        <x:v>https://www.un.org/development/desa/pd/world-population-prospects-2024</x:v>
      </x:c>
      <x:c r="AC439" s="36" t="str">
        <x:v>https://api.imf.org/external/sdmx/3.0/data/dataflow/IMF.RES/WEO/9.0.0/</x:v>
      </x:c>
      <x:c r="AD439" s="36" t="str">
        <x:v>https://api.worldbank.org/v2/</x:v>
      </x:c>
    </x:row>
    <x:row r="440">
      <x:c r="A440" s="24" t="str">
        <x:v>ESP</x:v>
      </x:c>
      <x:c r="B440" s="24" t="str">
        <x:v>Spain</x:v>
      </x:c>
      <x:c r="C440" s="24" t="str">
        <x:v>ESP</x:v>
      </x:c>
      <x:c r="D440" s="24" t="str">
        <x:v>ESP</x:v>
      </x:c>
      <x:c r="E440" s="24" t="n">
        <x:v>2026</x:v>
      </x:c>
      <x:c r="F440" s="37" t="n">
        <x:v>0.87</x:v>
      </x:c>
      <x:c r="G440" s="38" t="n">
        <x:v>47850793</x:v>
      </x:c>
      <x:c r="H440" s="38" t="n">
        <x:v>47850793</x:v>
      </x:c>
      <x:c r="I440" s="39" t="n">
        <x:f>H440/G440</x:f>
        <x:v>1</x:v>
      </x:c>
      <x:c r="J440" s="40" t="n">
        <x:f>(I440-1)*100</x:f>
        <x:v>0</x:v>
      </x:c>
      <x:c r="K440" s="36" t="str">
        <x:v>no</x:v>
      </x:c>
      <x:c r="L440" s="36" t="str">
        <x:v>Single-country territory; UN WPP and vanilla are within the ±5% review threshold.</x:v>
      </x:c>
      <x:c r="M440" s="41" t="n">
        <x:v>2489088800000</x:v>
      </x:c>
      <x:c r="N440" s="41" t="n">
        <x:v>2165507256000</x:v>
      </x:c>
      <x:c r="O440" s="41" t="n">
        <x:v>45255</x:v>
      </x:c>
      <x:c r="P440" s="41" t="n">
        <x:v>38022</x:v>
      </x:c>
      <x:c r="Q440" s="41" t="n">
        <x:v>54144</x:v>
      </x:c>
      <x:c r="R440" s="42" t="n">
        <x:f>MIN(P440,Q440)</x:f>
        <x:v>38022</x:v>
      </x:c>
      <x:c r="S440" s="42" t="n">
        <x:f>MAX(P440,Q440)</x:f>
        <x:v>54144</x:v>
      </x:c>
      <x:c r="T440" s="42" t="n">
        <x:f>MAX(R440,MIN(O440,S440))</x:f>
        <x:v>45255</x:v>
      </x:c>
      <x:c r="U440" s="19" t="str">
        <x:f>IF(O440&lt;R440,IF(R440=P440,"clamped_to_nominal","clamped_to_ppp"),IF(O440&gt;S440,IF(S440=P440,"clamped_to_nominal","clamped_to_ppp"),"kept_vanilla"))</x:f>
        <x:v>kept_vanilla</x:v>
      </x:c>
      <x:c r="V440" s="42" t="n">
        <x:f>T440*H440</x:f>
        <x:v>2165487637215</x:v>
      </x:c>
      <x:c r="W440" s="42" t="n">
        <x:f>V440/F440</x:f>
        <x:v>2489066249672.4136</x:v>
      </x:c>
      <x:c r="X440" s="36" t="str">
        <x:v>ESP: UN WPP 2024 Medium exact 2026</x:v>
      </x:c>
      <x:c r="Y440" s="36" t="str">
        <x:v>ESP: IMF exact 2026</x:v>
      </x:c>
      <x:c r="Z440" s="36" t="str">
        <x:v>ESP: IMF exact 2026</x:v>
      </x:c>
      <x:c r="AA440" s="36" t="str">
        <x:v>complete_primary</x:v>
      </x:c>
      <x:c r="AB440" s="36" t="str">
        <x:v>https://www.un.org/development/desa/pd/world-population-prospects-2024</x:v>
      </x:c>
      <x:c r="AC440" s="36" t="str">
        <x:v>https://api.imf.org/external/sdmx/3.0/data/dataflow/IMF.RES/WEO/9.0.0/</x:v>
      </x:c>
      <x:c r="AD440" s="36" t="str">
        <x:v>https://api.worldbank.org/v2/</x:v>
      </x:c>
    </x:row>
    <x:row r="441">
      <x:c r="A441" s="24" t="str">
        <x:v>LKA</x:v>
      </x:c>
      <x:c r="B441" s="24" t="str">
        <x:v>Sri Lanka</x:v>
      </x:c>
      <x:c r="C441" s="24" t="str">
        <x:v>LKA</x:v>
      </x:c>
      <x:c r="D441" s="24" t="str">
        <x:v>LKA</x:v>
      </x:c>
      <x:c r="E441" s="24" t="n">
        <x:v>2003</x:v>
      </x:c>
      <x:c r="F441" s="37" t="n">
        <x:v>1.59</x:v>
      </x:c>
      <x:c r="G441" s="38" t="n">
        <x:v>19951521</x:v>
      </x:c>
      <x:c r="H441" s="38" t="n">
        <x:v>19951521</x:v>
      </x:c>
      <x:c r="I441" s="39" t="n">
        <x:f>H441/G441</x:f>
        <x:v>1</x:v>
      </x:c>
      <x:c r="J441" s="40" t="n">
        <x:f>(I441-1)*100</x:f>
        <x:v>0</x:v>
      </x:c>
      <x:c r="K441" s="36" t="str">
        <x:v>no</x:v>
      </x:c>
      <x:c r="L441" s="36" t="str">
        <x:v>Single-country territory; UN WPP and vanilla are within the ±5% review threshold.</x:v>
      </x:c>
      <x:c r="M441" s="41" t="n">
        <x:v>56567836257</x:v>
      </x:c>
      <x:c r="N441" s="41" t="n">
        <x:v>89942859649</x:v>
      </x:c>
      <x:c r="O441" s="41" t="n">
        <x:v>4508</x:v>
      </x:c>
      <x:c r="P441" s="41" t="n">
        <x:v>1781</x:v>
      </x:c>
      <x:c r="Q441" s="41" t="n">
        <x:v>7709</x:v>
      </x:c>
      <x:c r="R441" s="42" t="n">
        <x:f>MIN(P441,Q441)</x:f>
        <x:v>1781</x:v>
      </x:c>
      <x:c r="S441" s="42" t="n">
        <x:f>MAX(P441,Q441)</x:f>
        <x:v>7709</x:v>
      </x:c>
      <x:c r="T441" s="42" t="n">
        <x:f>MAX(R441,MIN(O441,S441))</x:f>
        <x:v>4508</x:v>
      </x:c>
      <x:c r="U441" s="19" t="str">
        <x:f>IF(O441&lt;R441,IF(R441=P441,"clamped_to_nominal","clamped_to_ppp"),IF(O441&gt;S441,IF(S441=P441,"clamped_to_nominal","clamped_to_ppp"),"kept_vanilla"))</x:f>
        <x:v>kept_vanilla</x:v>
      </x:c>
      <x:c r="V441" s="42" t="n">
        <x:f>T441*H441</x:f>
        <x:v>89941456668</x:v>
      </x:c>
      <x:c r="W441" s="42" t="n">
        <x:f>V441/F441</x:f>
        <x:v>56566953879.24528</x:v>
      </x:c>
      <x:c r="X441" s="36" t="str">
        <x:v>LKA: UN WPP 2024 Medium exact 2003</x:v>
      </x:c>
      <x:c r="Y441" s="36" t="str">
        <x:v>LKA: IMF exact 2003</x:v>
      </x:c>
      <x:c r="Z441" s="36" t="str">
        <x:v>LKA: IMF exact 2003</x:v>
      </x:c>
      <x:c r="AA441" s="36" t="str">
        <x:v>complete_primary</x:v>
      </x:c>
      <x:c r="AB441" s="36" t="str">
        <x:v>https://www.un.org/development/desa/pd/world-population-prospects-2024</x:v>
      </x:c>
      <x:c r="AC441" s="36" t="str">
        <x:v>https://api.imf.org/external/sdmx/3.0/data/dataflow/IMF.RES/WEO/9.0.0/</x:v>
      </x:c>
      <x:c r="AD441" s="36" t="str">
        <x:v>https://api.worldbank.org/v2/</x:v>
      </x:c>
    </x:row>
    <x:row r="442">
      <x:c r="A442" s="24" t="str">
        <x:v>LKA</x:v>
      </x:c>
      <x:c r="B442" s="24" t="str">
        <x:v>Sri Lanka</x:v>
      </x:c>
      <x:c r="C442" s="24" t="str">
        <x:v>LKA</x:v>
      </x:c>
      <x:c r="D442" s="24" t="str">
        <x:v>LKA</x:v>
      </x:c>
      <x:c r="E442" s="24" t="n">
        <x:v>2022</x:v>
      </x:c>
      <x:c r="F442" s="37" t="n">
        <x:v>1</x:v>
      </x:c>
      <x:c r="G442" s="38" t="n">
        <x:v>21600347</x:v>
      </x:c>
      <x:c r="H442" s="38" t="n">
        <x:v>22834965</x:v>
      </x:c>
      <x:c r="I442" s="39" t="n">
        <x:f>H442/G442</x:f>
        <x:v>1.0571573225189392</x:v>
      </x:c>
      <x:c r="J442" s="40" t="n">
        <x:f>(I442-1)*100</x:f>
        <x:v>5.7157322518939235</x:v>
      </x:c>
      <x:c r="K442" s="36" t="str">
        <x:v>yes — reviewed</x:v>
      </x:c>
      <x:c r="L442" s="36" t="str">
        <x:v>Single-country game territory and UN country/area boundary align. The difference is an updated historical estimate/projection vintage, not a geographic-scope mismatch; accept the UN WPP value for a consistent source vintage.</x:v>
      </x:c>
      <x:c r="M442" s="41" t="n">
        <x:v>299957680000</x:v>
      </x:c>
      <x:c r="N442" s="41" t="n">
        <x:v>299957680000</x:v>
      </x:c>
      <x:c r="O442" s="41" t="n">
        <x:v>13887</x:v>
      </x:c>
      <x:c r="P442" s="41" t="n">
        <x:v>3266</x:v>
      </x:c>
      <x:c r="Q442" s="41" t="n">
        <x:v>13785</x:v>
      </x:c>
      <x:c r="R442" s="42" t="n">
        <x:f>MIN(P442,Q442)</x:f>
        <x:v>3266</x:v>
      </x:c>
      <x:c r="S442" s="42" t="n">
        <x:f>MAX(P442,Q442)</x:f>
        <x:v>13785</x:v>
      </x:c>
      <x:c r="T442" s="42" t="n">
        <x:f>MAX(R442,MIN(O442,S442))</x:f>
        <x:v>13785</x:v>
      </x:c>
      <x:c r="U442" s="19" t="str">
        <x:f>IF(O442&lt;R442,IF(R442=P442,"clamped_to_nominal","clamped_to_ppp"),IF(O442&gt;S442,IF(S442=P442,"clamped_to_nominal","clamped_to_ppp"),"kept_vanilla"))</x:f>
        <x:v>clamped_to_ppp</x:v>
      </x:c>
      <x:c r="V442" s="42" t="n">
        <x:f>T442*H442</x:f>
        <x:v>314779992525</x:v>
      </x:c>
      <x:c r="W442" s="42" t="n">
        <x:f>V442/F442</x:f>
        <x:v>314779992525</x:v>
      </x:c>
      <x:c r="X442" s="36" t="str">
        <x:v>LKA: UN WPP 2024 Medium exact 2022</x:v>
      </x:c>
      <x:c r="Y442" s="36" t="str">
        <x:v>LKA: IMF exact 2022</x:v>
      </x:c>
      <x:c r="Z442" s="36" t="str">
        <x:v>LKA: IMF exact 2022</x:v>
      </x:c>
      <x:c r="AA442" s="36" t="str">
        <x:v>complete_primary</x:v>
      </x:c>
      <x:c r="AB442" s="36" t="str">
        <x:v>https://www.un.org/development/desa/pd/world-population-prospects-2024</x:v>
      </x:c>
      <x:c r="AC442" s="36" t="str">
        <x:v>https://api.imf.org/external/sdmx/3.0/data/dataflow/IMF.RES/WEO/9.0.0/</x:v>
      </x:c>
      <x:c r="AD442" s="36" t="str">
        <x:v>https://api.worldbank.org/v2/</x:v>
      </x:c>
    </x:row>
    <x:row r="443">
      <x:c r="A443" s="24" t="str">
        <x:v>LKA</x:v>
      </x:c>
      <x:c r="B443" s="24" t="str">
        <x:v>Sri Lanka</x:v>
      </x:c>
      <x:c r="C443" s="24" t="str">
        <x:v>LKA</x:v>
      </x:c>
      <x:c r="D443" s="24" t="str">
        <x:v>LKA</x:v>
      </x:c>
      <x:c r="E443" s="24" t="n">
        <x:v>2026</x:v>
      </x:c>
      <x:c r="F443" s="37" t="n">
        <x:v>0.87</x:v>
      </x:c>
      <x:c r="G443" s="38" t="n">
        <x:v>23348315</x:v>
      </x:c>
      <x:c r="H443" s="38" t="n">
        <x:v>23348315</x:v>
      </x:c>
      <x:c r="I443" s="39" t="n">
        <x:f>H443/G443</x:f>
        <x:v>1</x:v>
      </x:c>
      <x:c r="J443" s="40" t="n">
        <x:f>(I443-1)*100</x:f>
        <x:v>0</x:v>
      </x:c>
      <x:c r="K443" s="36" t="str">
        <x:v>no</x:v>
      </x:c>
      <x:c r="L443" s="36" t="str">
        <x:v>Single-country territory; UN WPP and vanilla are within the ±5% review threshold.</x:v>
      </x:c>
      <x:c r="M443" s="41" t="n">
        <x:v>301491520000</x:v>
      </x:c>
      <x:c r="N443" s="41" t="n">
        <x:v>262297622400</x:v>
      </x:c>
      <x:c r="O443" s="41" t="n">
        <x:v>11234</x:v>
      </x:c>
      <x:c r="P443" s="41" t="n">
        <x:v>4575</x:v>
      </x:c>
      <x:c r="Q443" s="41" t="n">
        <x:v>15732</x:v>
      </x:c>
      <x:c r="R443" s="42" t="n">
        <x:f>MIN(P443,Q443)</x:f>
        <x:v>4575</x:v>
      </x:c>
      <x:c r="S443" s="42" t="n">
        <x:f>MAX(P443,Q443)</x:f>
        <x:v>15732</x:v>
      </x:c>
      <x:c r="T443" s="42" t="n">
        <x:f>MAX(R443,MIN(O443,S443))</x:f>
        <x:v>11234</x:v>
      </x:c>
      <x:c r="U443" s="19" t="str">
        <x:f>IF(O443&lt;R443,IF(R443=P443,"clamped_to_nominal","clamped_to_ppp"),IF(O443&gt;S443,IF(S443=P443,"clamped_to_nominal","clamped_to_ppp"),"kept_vanilla"))</x:f>
        <x:v>kept_vanilla</x:v>
      </x:c>
      <x:c r="V443" s="42" t="n">
        <x:f>T443*H443</x:f>
        <x:v>262294970710</x:v>
      </x:c>
      <x:c r="W443" s="42" t="n">
        <x:f>V443/F443</x:f>
        <x:v>301488472080.4598</x:v>
      </x:c>
      <x:c r="X443" s="36" t="str">
        <x:v>LKA: UN WPP 2024 Medium exact 2026</x:v>
      </x:c>
      <x:c r="Y443" s="36" t="str">
        <x:v>LKA: peer-growth inference from World Bank 2025; South Asia median 2.20%/yr (5 peers, capped at ±8%)</x:v>
      </x:c>
      <x:c r="Z443" s="36" t="str">
        <x:v>LKA: peer-growth inference from World Bank 2025; South Asia median 3.01%/yr (5 peers, capped at ±8%)</x:v>
      </x:c>
      <x:c r="AA443" s="36" t="str">
        <x:v>inferred</x:v>
      </x:c>
      <x:c r="AB443" s="36" t="str">
        <x:v>https://www.un.org/development/desa/pd/world-population-prospects-2024</x:v>
      </x:c>
      <x:c r="AC443" s="36" t="str">
        <x:v>https://api.imf.org/external/sdmx/3.0/data/dataflow/IMF.RES/WEO/9.0.0/</x:v>
      </x:c>
      <x:c r="AD443" s="36" t="str">
        <x:v>https://api.worldbank.org/v2/</x:v>
      </x:c>
    </x:row>
    <x:row r="444">
      <x:c r="A444" s="24" t="str">
        <x:v>SDN</x:v>
      </x:c>
      <x:c r="B444" s="24" t="str">
        <x:v>Sudan</x:v>
      </x:c>
      <x:c r="C444" s="24" t="str">
        <x:v>SDN</x:v>
      </x:c>
      <x:c r="D444" s="24" t="str">
        <x:v>SDN</x:v>
      </x:c>
      <x:c r="E444" s="24" t="n">
        <x:v>2003</x:v>
      </x:c>
      <x:c r="F444" s="37" t="n">
        <x:v>1.59</x:v>
      </x:c>
      <x:c r="G444" s="38" t="n">
        <x:v>29896036</x:v>
      </x:c>
      <x:c r="H444" s="38" t="n">
        <x:v>29896035</x:v>
      </x:c>
      <x:c r="I444" s="39" t="n">
        <x:f>H444/G444</x:f>
        <x:v>0.9999999665507494</x:v>
      </x:c>
      <x:c r="J444" s="40" t="n">
        <x:f>(I444-1)*100</x:f>
        <x:v>-0.0000033449250591566226</x:v>
      </x:c>
      <x:c r="K444" s="36" t="str">
        <x:v>no</x:v>
      </x:c>
      <x:c r="L444" s="36" t="str">
        <x:v>Single-country territory; UN WPP and vanilla are within the ±5% review threshold.</x:v>
      </x:c>
      <x:c r="M444" s="41" t="n">
        <x:v>67181286550</x:v>
      </x:c>
      <x:c r="N444" s="41" t="n">
        <x:v>106818245615</x:v>
      </x:c>
      <x:c r="O444" s="41" t="n">
        <x:v>3573</x:v>
      </x:c>
      <x:c r="P444" s="41" t="n">
        <x:v>1136</x:v>
      </x:c>
      <x:c r="Q444" s="41" t="n">
        <x:v>6110</x:v>
      </x:c>
      <x:c r="R444" s="42" t="n">
        <x:f>MIN(P444,Q444)</x:f>
        <x:v>1136</x:v>
      </x:c>
      <x:c r="S444" s="42" t="n">
        <x:f>MAX(P444,Q444)</x:f>
        <x:v>6110</x:v>
      </x:c>
      <x:c r="T444" s="42" t="n">
        <x:f>MAX(R444,MIN(O444,S444))</x:f>
        <x:v>3573</x:v>
      </x:c>
      <x:c r="U444" s="19" t="str">
        <x:f>IF(O444&lt;R444,IF(R444=P444,"clamped_to_nominal","clamped_to_ppp"),IF(O444&gt;S444,IF(S444=P444,"clamped_to_nominal","clamped_to_ppp"),"kept_vanilla"))</x:f>
        <x:v>kept_vanilla</x:v>
      </x:c>
      <x:c r="V444" s="42" t="n">
        <x:f>T444*H444</x:f>
        <x:v>106818533055</x:v>
      </x:c>
      <x:c r="W444" s="42" t="n">
        <x:f>V444/F444</x:f>
        <x:v>67181467330.188675</x:v>
      </x:c>
      <x:c r="X444" s="36" t="str">
        <x:v>SDN: UN WPP 2024 Medium exact 2003</x:v>
      </x:c>
      <x:c r="Y444" s="36" t="str">
        <x:v>SDN: IMF exact 2003</x:v>
      </x:c>
      <x:c r="Z444" s="36" t="str">
        <x:v>SDN: IMF exact 2003</x:v>
      </x:c>
      <x:c r="AA444" s="36" t="str">
        <x:v>complete_primary</x:v>
      </x:c>
      <x:c r="AB444" s="36" t="str">
        <x:v>https://www.un.org/development/desa/pd/world-population-prospects-2024</x:v>
      </x:c>
      <x:c r="AC444" s="36" t="str">
        <x:v>https://api.imf.org/external/sdmx/3.0/data/dataflow/IMF.RES/WEO/9.0.0/</x:v>
      </x:c>
      <x:c r="AD444" s="36" t="str">
        <x:v>https://api.worldbank.org/v2/</x:v>
      </x:c>
    </x:row>
    <x:row r="445">
      <x:c r="A445" s="24" t="str">
        <x:v>SDN</x:v>
      </x:c>
      <x:c r="B445" s="24" t="str">
        <x:v>Sudan</x:v>
      </x:c>
      <x:c r="C445" s="24" t="str">
        <x:v>SDN</x:v>
      </x:c>
      <x:c r="D445" s="24" t="str">
        <x:v>SDN</x:v>
      </x:c>
      <x:c r="E445" s="24" t="n">
        <x:v>2022</x:v>
      </x:c>
      <x:c r="F445" s="37" t="n">
        <x:v>1</x:v>
      </x:c>
      <x:c r="G445" s="38" t="n">
        <x:v>46333401</x:v>
      </x:c>
      <x:c r="H445" s="38" t="n">
        <x:v>49383346</x:v>
      </x:c>
      <x:c r="I445" s="39" t="n">
        <x:f>H445/G445</x:f>
        <x:v>1.0658260549446823</x:v>
      </x:c>
      <x:c r="J445" s="40" t="n">
        <x:f>(I445-1)*100</x:f>
        <x:v>6.58260549446823</x:v>
      </x:c>
      <x:c r="K445" s="36" t="str">
        <x:v>yes — reviewed</x:v>
      </x:c>
      <x:c r="L445" s="36" t="str">
        <x:v>Single-country game territory and UN country/area boundary align. The difference is an updated historical estimate/projection vintage, not a geographic-scope mismatch; accept the UN WPP value for a consistent source vintage.</x:v>
      </x:c>
      <x:c r="M445" s="41" t="n">
        <x:v>182455680000</x:v>
      </x:c>
      <x:c r="N445" s="41" t="n">
        <x:v>182455680000</x:v>
      </x:c>
      <x:c r="O445" s="41" t="n">
        <x:v>3938</x:v>
      </x:c>
      <x:c r="P445" s="41" t="n">
        <x:v>678</x:v>
      </x:c>
      <x:c r="Q445" s="41" t="n">
        <x:v>3617</x:v>
      </x:c>
      <x:c r="R445" s="42" t="n">
        <x:f>MIN(P445,Q445)</x:f>
        <x:v>678</x:v>
      </x:c>
      <x:c r="S445" s="42" t="n">
        <x:f>MAX(P445,Q445)</x:f>
        <x:v>3617</x:v>
      </x:c>
      <x:c r="T445" s="42" t="n">
        <x:f>MAX(R445,MIN(O445,S445))</x:f>
        <x:v>3617</x:v>
      </x:c>
      <x:c r="U445" s="19" t="str">
        <x:f>IF(O445&lt;R445,IF(R445=P445,"clamped_to_nominal","clamped_to_ppp"),IF(O445&gt;S445,IF(S445=P445,"clamped_to_nominal","clamped_to_ppp"),"kept_vanilla"))</x:f>
        <x:v>clamped_to_ppp</x:v>
      </x:c>
      <x:c r="V445" s="42" t="n">
        <x:f>T445*H445</x:f>
        <x:v>178619562482</x:v>
      </x:c>
      <x:c r="W445" s="42" t="n">
        <x:f>V445/F445</x:f>
        <x:v>178619562482</x:v>
      </x:c>
      <x:c r="X445" s="36" t="str">
        <x:v>SDN: UN WPP 2024 Medium exact 2022</x:v>
      </x:c>
      <x:c r="Y445" s="36" t="str">
        <x:v>SDN: IMF exact 2022</x:v>
      </x:c>
      <x:c r="Z445" s="36" t="str">
        <x:v>SDN: IMF exact 2022</x:v>
      </x:c>
      <x:c r="AA445" s="36" t="str">
        <x:v>complete_primary</x:v>
      </x:c>
      <x:c r="AB445" s="36" t="str">
        <x:v>https://www.un.org/development/desa/pd/world-population-prospects-2024</x:v>
      </x:c>
      <x:c r="AC445" s="36" t="str">
        <x:v>https://api.imf.org/external/sdmx/3.0/data/dataflow/IMF.RES/WEO/9.0.0/</x:v>
      </x:c>
      <x:c r="AD445" s="36" t="str">
        <x:v>https://api.worldbank.org/v2/</x:v>
      </x:c>
    </x:row>
    <x:row r="446">
      <x:c r="A446" s="24" t="str">
        <x:v>SDN</x:v>
      </x:c>
      <x:c r="B446" s="24" t="str">
        <x:v>Sudan</x:v>
      </x:c>
      <x:c r="C446" s="24" t="str">
        <x:v>SDN</x:v>
      </x:c>
      <x:c r="D446" s="24" t="str">
        <x:v>SDN</x:v>
      </x:c>
      <x:c r="E446" s="24" t="n">
        <x:v>2026</x:v>
      </x:c>
      <x:c r="F446" s="37" t="n">
        <x:v>0.87</x:v>
      </x:c>
      <x:c r="G446" s="38" t="n">
        <x:v>53282718</x:v>
      </x:c>
      <x:c r="H446" s="38" t="n">
        <x:v>53282719</x:v>
      </x:c>
      <x:c r="I446" s="39" t="n">
        <x:f>H446/G446</x:f>
        <x:v>1.0000000187678113</x:v>
      </x:c>
      <x:c r="J446" s="40" t="n">
        <x:f>(I446-1)*100</x:f>
        <x:v>0.0000018767811305053783</x:v>
      </x:c>
      <x:c r="K446" s="36" t="str">
        <x:v>no</x:v>
      </x:c>
      <x:c r="L446" s="36" t="str">
        <x:v>Single-country territory; UN WPP and vanilla are within the ±5% review threshold.</x:v>
      </x:c>
      <x:c r="M446" s="41" t="n">
        <x:v>103640240000</x:v>
      </x:c>
      <x:c r="N446" s="41" t="n">
        <x:v>90167008800</x:v>
      </x:c>
      <x:c r="O446" s="41" t="n">
        <x:v>1692</x:v>
      </x:c>
      <x:c r="P446" s="41" t="n">
        <x:v>730</x:v>
      </x:c>
      <x:c r="Q446" s="41" t="n">
        <x:v>2070</x:v>
      </x:c>
      <x:c r="R446" s="42" t="n">
        <x:f>MIN(P446,Q446)</x:f>
        <x:v>730</x:v>
      </x:c>
      <x:c r="S446" s="42" t="n">
        <x:f>MAX(P446,Q446)</x:f>
        <x:v>2070</x:v>
      </x:c>
      <x:c r="T446" s="42" t="n">
        <x:f>MAX(R446,MIN(O446,S446))</x:f>
        <x:v>1692</x:v>
      </x:c>
      <x:c r="U446" s="19" t="str">
        <x:f>IF(O446&lt;R446,IF(R446=P446,"clamped_to_nominal","clamped_to_ppp"),IF(O446&gt;S446,IF(S446=P446,"clamped_to_nominal","clamped_to_ppp"),"kept_vanilla"))</x:f>
        <x:v>kept_vanilla</x:v>
      </x:c>
      <x:c r="V446" s="42" t="n">
        <x:f>T446*H446</x:f>
        <x:v>90154360548</x:v>
      </x:c>
      <x:c r="W446" s="42" t="n">
        <x:f>V446/F446</x:f>
        <x:v>103625701779.31035</x:v>
      </x:c>
      <x:c r="X446" s="36" t="str">
        <x:v>SDN: UN WPP 2024 Medium exact 2026</x:v>
      </x:c>
      <x:c r="Y446" s="36" t="str">
        <x:v>SDN: IMF exact 2026</x:v>
      </x:c>
      <x:c r="Z446" s="36" t="str">
        <x:v>SDN: IMF exact 2026</x:v>
      </x:c>
      <x:c r="AA446" s="36" t="str">
        <x:v>complete_primary</x:v>
      </x:c>
      <x:c r="AB446" s="36" t="str">
        <x:v>https://www.un.org/development/desa/pd/world-population-prospects-2024</x:v>
      </x:c>
      <x:c r="AC446" s="36" t="str">
        <x:v>https://api.imf.org/external/sdmx/3.0/data/dataflow/IMF.RES/WEO/9.0.0/</x:v>
      </x:c>
      <x:c r="AD446" s="36" t="str">
        <x:v>https://api.worldbank.org/v2/</x:v>
      </x:c>
    </x:row>
    <x:row r="447">
      <x:c r="A447" s="24" t="str">
        <x:v>SUR</x:v>
      </x:c>
      <x:c r="B447" s="24" t="str">
        <x:v>Suriname</x:v>
      </x:c>
      <x:c r="C447" s="24" t="str">
        <x:v>SUR</x:v>
      </x:c>
      <x:c r="D447" s="24" t="str">
        <x:v>SUR</x:v>
      </x:c>
      <x:c r="E447" s="24" t="n">
        <x:v>2003</x:v>
      </x:c>
      <x:c r="F447" s="37" t="n">
        <x:v>1.59</x:v>
      </x:c>
      <x:c r="G447" s="38" t="n">
        <x:v>506414</x:v>
      </x:c>
      <x:c r="H447" s="38" t="n">
        <x:v>506414</x:v>
      </x:c>
      <x:c r="I447" s="39" t="n">
        <x:f>H447/G447</x:f>
        <x:v>1</x:v>
      </x:c>
      <x:c r="J447" s="40" t="n">
        <x:f>(I447-1)*100</x:f>
        <x:v>0</x:v>
      </x:c>
      <x:c r="K447" s="36" t="str">
        <x:v>no</x:v>
      </x:c>
      <x:c r="L447" s="36" t="str">
        <x:v>Single-country territory; UN WPP and vanilla are within the ±5% review threshold.</x:v>
      </x:c>
      <x:c r="M447" s="41" t="n">
        <x:v>3178947368</x:v>
      </x:c>
      <x:c r="N447" s="41" t="n">
        <x:v>5054526315</x:v>
      </x:c>
      <x:c r="O447" s="41" t="n">
        <x:v>9981</x:v>
      </x:c>
      <x:c r="P447" s="41" t="n">
        <x:v>5428</x:v>
      </x:c>
      <x:c r="Q447" s="41" t="n">
        <x:v>17068</x:v>
      </x:c>
      <x:c r="R447" s="42" t="n">
        <x:f>MIN(P447,Q447)</x:f>
        <x:v>5428</x:v>
      </x:c>
      <x:c r="S447" s="42" t="n">
        <x:f>MAX(P447,Q447)</x:f>
        <x:v>17068</x:v>
      </x:c>
      <x:c r="T447" s="42" t="n">
        <x:f>MAX(R447,MIN(O447,S447))</x:f>
        <x:v>9981</x:v>
      </x:c>
      <x:c r="U447" s="19" t="str">
        <x:f>IF(O447&lt;R447,IF(R447=P447,"clamped_to_nominal","clamped_to_ppp"),IF(O447&gt;S447,IF(S447=P447,"clamped_to_nominal","clamped_to_ppp"),"kept_vanilla"))</x:f>
        <x:v>kept_vanilla</x:v>
      </x:c>
      <x:c r="V447" s="42" t="n">
        <x:f>T447*H447</x:f>
        <x:v>5054518134</x:v>
      </x:c>
      <x:c r="W447" s="42" t="n">
        <x:f>V447/F447</x:f>
        <x:v>3178942222.641509</x:v>
      </x:c>
      <x:c r="X447" s="36" t="str">
        <x:v>SUR: UN WPP 2024 Medium exact 2003</x:v>
      </x:c>
      <x:c r="Y447" s="36" t="str">
        <x:v>SUR: IMF exact 2003</x:v>
      </x:c>
      <x:c r="Z447" s="36" t="str">
        <x:v>SUR: IMF exact 2003</x:v>
      </x:c>
      <x:c r="AA447" s="36" t="str">
        <x:v>complete_primary</x:v>
      </x:c>
      <x:c r="AB447" s="36" t="str">
        <x:v>https://www.un.org/development/desa/pd/world-population-prospects-2024</x:v>
      </x:c>
      <x:c r="AC447" s="36" t="str">
        <x:v>https://api.imf.org/external/sdmx/3.0/data/dataflow/IMF.RES/WEO/9.0.0/</x:v>
      </x:c>
      <x:c r="AD447" s="36" t="str">
        <x:v>https://api.worldbank.org/v2/</x:v>
      </x:c>
    </x:row>
    <x:row r="448">
      <x:c r="A448" s="24" t="str">
        <x:v>SUR</x:v>
      </x:c>
      <x:c r="B448" s="24" t="str">
        <x:v>Suriname</x:v>
      </x:c>
      <x:c r="C448" s="24" t="str">
        <x:v>SUR</x:v>
      </x:c>
      <x:c r="D448" s="24" t="str">
        <x:v>SUR</x:v>
      </x:c>
      <x:c r="E448" s="24" t="n">
        <x:v>2022</x:v>
      </x:c>
      <x:c r="F448" s="37" t="n">
        <x:v>1</x:v>
      </x:c>
      <x:c r="G448" s="38" t="n">
        <x:v>598366</x:v>
      </x:c>
      <x:c r="H448" s="38" t="n">
        <x:v>623164</x:v>
      </x:c>
      <x:c r="I448" s="39" t="n">
        <x:f>H448/G448</x:f>
        <x:v>1.0414428627295</x:v>
      </x:c>
      <x:c r="J448" s="40" t="n">
        <x:f>(I448-1)*100</x:f>
        <x:v>4.144286272950004</x:v>
      </x:c>
      <x:c r="K448" s="36" t="str">
        <x:v>no</x:v>
      </x:c>
      <x:c r="L448" s="36" t="str">
        <x:v>Single-country territory; UN WPP and vanilla are within the ±5% review threshold.</x:v>
      </x:c>
      <x:c r="M448" s="41" t="n">
        <x:v>9394880000</x:v>
      </x:c>
      <x:c r="N448" s="41" t="n">
        <x:v>9394880000</x:v>
      </x:c>
      <x:c r="O448" s="41" t="n">
        <x:v>15701</x:v>
      </x:c>
      <x:c r="P448" s="41" t="n">
        <x:v>6101</x:v>
      </x:c>
      <x:c r="Q448" s="41" t="n">
        <x:v>19914</x:v>
      </x:c>
      <x:c r="R448" s="42" t="n">
        <x:f>MIN(P448,Q448)</x:f>
        <x:v>6101</x:v>
      </x:c>
      <x:c r="S448" s="42" t="n">
        <x:f>MAX(P448,Q448)</x:f>
        <x:v>19914</x:v>
      </x:c>
      <x:c r="T448" s="42" t="n">
        <x:f>MAX(R448,MIN(O448,S448))</x:f>
        <x:v>15701</x:v>
      </x:c>
      <x:c r="U448" s="19" t="str">
        <x:f>IF(O448&lt;R448,IF(R448=P448,"clamped_to_nominal","clamped_to_ppp"),IF(O448&gt;S448,IF(S448=P448,"clamped_to_nominal","clamped_to_ppp"),"kept_vanilla"))</x:f>
        <x:v>kept_vanilla</x:v>
      </x:c>
      <x:c r="V448" s="42" t="n">
        <x:f>T448*H448</x:f>
        <x:v>9784297964</x:v>
      </x:c>
      <x:c r="W448" s="42" t="n">
        <x:f>V448/F448</x:f>
        <x:v>9784297964</x:v>
      </x:c>
      <x:c r="X448" s="36" t="str">
        <x:v>SUR: UN WPP 2024 Medium exact 2022</x:v>
      </x:c>
      <x:c r="Y448" s="36" t="str">
        <x:v>SUR: IMF exact 2022</x:v>
      </x:c>
      <x:c r="Z448" s="36" t="str">
        <x:v>SUR: IMF exact 2022</x:v>
      </x:c>
      <x:c r="AA448" s="36" t="str">
        <x:v>complete_primary</x:v>
      </x:c>
      <x:c r="AB448" s="36" t="str">
        <x:v>https://www.un.org/development/desa/pd/world-population-prospects-2024</x:v>
      </x:c>
      <x:c r="AC448" s="36" t="str">
        <x:v>https://api.imf.org/external/sdmx/3.0/data/dataflow/IMF.RES/WEO/9.0.0/</x:v>
      </x:c>
      <x:c r="AD448" s="36" t="str">
        <x:v>https://api.worldbank.org/v2/</x:v>
      </x:c>
    </x:row>
    <x:row r="449">
      <x:c r="A449" s="24" t="str">
        <x:v>SUR</x:v>
      </x:c>
      <x:c r="B449" s="24" t="str">
        <x:v>Suriname</x:v>
      </x:c>
      <x:c r="C449" s="24" t="str">
        <x:v>SUR</x:v>
      </x:c>
      <x:c r="D449" s="24" t="str">
        <x:v>SUR</x:v>
      </x:c>
      <x:c r="E449" s="24" t="n">
        <x:v>2026</x:v>
      </x:c>
      <x:c r="F449" s="37" t="n">
        <x:v>0.87</x:v>
      </x:c>
      <x:c r="G449" s="38" t="n">
        <x:v>645257</x:v>
      </x:c>
      <x:c r="H449" s="38" t="n">
        <x:v>645256</x:v>
      </x:c>
      <x:c r="I449" s="39" t="n">
        <x:f>H449/G449</x:f>
        <x:v>0.9999984502299084</x:v>
      </x:c>
      <x:c r="J449" s="40" t="n">
        <x:f>(I449-1)*100</x:f>
        <x:v>-0.0001549770091591185</x:v>
      </x:c>
      <x:c r="K449" s="36" t="str">
        <x:v>no</x:v>
      </x:c>
      <x:c r="L449" s="36" t="str">
        <x:v>Single-country territory; UN WPP and vanilla are within the ±5% review threshold.</x:v>
      </x:c>
      <x:c r="M449" s="41" t="n">
        <x:v>12973840000</x:v>
      </x:c>
      <x:c r="N449" s="41" t="n">
        <x:v>11287240800</x:v>
      </x:c>
      <x:c r="O449" s="41" t="n">
        <x:v>17493</x:v>
      </x:c>
      <x:c r="P449" s="41" t="n">
        <x:v>7966</x:v>
      </x:c>
      <x:c r="Q449" s="41" t="n">
        <x:v>20674</x:v>
      </x:c>
      <x:c r="R449" s="42" t="n">
        <x:f>MIN(P449,Q449)</x:f>
        <x:v>7966</x:v>
      </x:c>
      <x:c r="S449" s="42" t="n">
        <x:f>MAX(P449,Q449)</x:f>
        <x:v>20674</x:v>
      </x:c>
      <x:c r="T449" s="42" t="n">
        <x:f>MAX(R449,MIN(O449,S449))</x:f>
        <x:v>17493</x:v>
      </x:c>
      <x:c r="U449" s="19" t="str">
        <x:f>IF(O449&lt;R449,IF(R449=P449,"clamped_to_nominal","clamped_to_ppp"),IF(O449&gt;S449,IF(S449=P449,"clamped_to_nominal","clamped_to_ppp"),"kept_vanilla"))</x:f>
        <x:v>kept_vanilla</x:v>
      </x:c>
      <x:c r="V449" s="42" t="n">
        <x:f>T449*H449</x:f>
        <x:v>11287463208</x:v>
      </x:c>
      <x:c r="W449" s="42" t="n">
        <x:f>V449/F449</x:f>
        <x:v>12974095641.37931</x:v>
      </x:c>
      <x:c r="X449" s="36" t="str">
        <x:v>SUR: UN WPP 2024 Medium exact 2026</x:v>
      </x:c>
      <x:c r="Y449" s="36" t="str">
        <x:v>SUR: IMF exact 2026</x:v>
      </x:c>
      <x:c r="Z449" s="36" t="str">
        <x:v>SUR: IMF exact 2026</x:v>
      </x:c>
      <x:c r="AA449" s="36" t="str">
        <x:v>complete_primary</x:v>
      </x:c>
      <x:c r="AB449" s="36" t="str">
        <x:v>https://www.un.org/development/desa/pd/world-population-prospects-2024</x:v>
      </x:c>
      <x:c r="AC449" s="36" t="str">
        <x:v>https://api.imf.org/external/sdmx/3.0/data/dataflow/IMF.RES/WEO/9.0.0/</x:v>
      </x:c>
      <x:c r="AD449" s="36" t="str">
        <x:v>https://api.worldbank.org/v2/</x:v>
      </x:c>
    </x:row>
    <x:row r="450">
      <x:c r="A450" s="24" t="str">
        <x:v>SCA</x:v>
      </x:c>
      <x:c r="B450" s="24" t="str">
        <x:v>Sweden</x:v>
      </x:c>
      <x:c r="C450" s="24" t="str">
        <x:v>SWE</x:v>
      </x:c>
      <x:c r="D450" s="24" t="str">
        <x:v>SWE</x:v>
      </x:c>
      <x:c r="E450" s="24" t="n">
        <x:v>2003</x:v>
      </x:c>
      <x:c r="F450" s="37" t="n">
        <x:v>1.59</x:v>
      </x:c>
      <x:c r="G450" s="38" t="n">
        <x:v>8958431</x:v>
      </x:c>
      <x:c r="H450" s="38" t="n">
        <x:v>8958431</x:v>
      </x:c>
      <x:c r="I450" s="39" t="n">
        <x:f>H450/G450</x:f>
        <x:v>1</x:v>
      </x:c>
      <x:c r="J450" s="40" t="n">
        <x:f>(I450-1)*100</x:f>
        <x:v>0</x:v>
      </x:c>
      <x:c r="K450" s="36" t="str">
        <x:v>no</x:v>
      </x:c>
      <x:c r="L450" s="36" t="str">
        <x:v>Single-country territory; UN WPP and vanilla are within the ±5% review threshold.</x:v>
      </x:c>
      <x:c r="M450" s="41" t="n">
        <x:v>173656140351</x:v>
      </x:c>
      <x:c r="N450" s="41" t="n">
        <x:v>276113263158</x:v>
      </x:c>
      <x:c r="O450" s="41" t="n">
        <x:v>30822</x:v>
      </x:c>
      <x:c r="P450" s="41" t="n">
        <x:v>59293</x:v>
      </x:c>
      <x:c r="Q450" s="41" t="n">
        <x:v>52709</x:v>
      </x:c>
      <x:c r="R450" s="42" t="n">
        <x:f>MIN(P450,Q450)</x:f>
        <x:v>52709</x:v>
      </x:c>
      <x:c r="S450" s="42" t="n">
        <x:f>MAX(P450,Q450)</x:f>
        <x:v>59293</x:v>
      </x:c>
      <x:c r="T450" s="42" t="n">
        <x:f>MAX(R450,MIN(O450,S450))</x:f>
        <x:v>52709</x:v>
      </x:c>
      <x:c r="U450" s="19" t="str">
        <x:f>IF(O450&lt;R450,IF(R450=P450,"clamped_to_nominal","clamped_to_ppp"),IF(O450&gt;S450,IF(S450=P450,"clamped_to_nominal","clamped_to_ppp"),"kept_vanilla"))</x:f>
        <x:v>clamped_to_ppp</x:v>
      </x:c>
      <x:c r="V450" s="42" t="n">
        <x:f>T450*H450</x:f>
        <x:v>472189939579</x:v>
      </x:c>
      <x:c r="W450" s="42" t="n">
        <x:f>V450/F450</x:f>
        <x:v>296974804766.6666</x:v>
      </x:c>
      <x:c r="X450" s="36" t="str">
        <x:v>SWE: UN WPP 2024 Medium exact 2003</x:v>
      </x:c>
      <x:c r="Y450" s="36" t="str">
        <x:v>SWE: IMF exact 2003</x:v>
      </x:c>
      <x:c r="Z450" s="36" t="str">
        <x:v>SWE: IMF exact 2003</x:v>
      </x:c>
      <x:c r="AA450" s="36" t="str">
        <x:v>complete_primary</x:v>
      </x:c>
      <x:c r="AB450" s="36" t="str">
        <x:v>https://www.un.org/development/desa/pd/world-population-prospects-2024</x:v>
      </x:c>
      <x:c r="AC450" s="36" t="str">
        <x:v>https://api.imf.org/external/sdmx/3.0/data/dataflow/IMF.RES/WEO/9.0.0/</x:v>
      </x:c>
      <x:c r="AD450" s="36" t="str">
        <x:v>https://api.worldbank.org/v2/</x:v>
      </x:c>
    </x:row>
    <x:row r="451">
      <x:c r="A451" s="24" t="str">
        <x:v>SCA</x:v>
      </x:c>
      <x:c r="B451" s="24" t="str">
        <x:v>Sweden</x:v>
      </x:c>
      <x:c r="C451" s="24" t="str">
        <x:v>SWE</x:v>
      </x:c>
      <x:c r="D451" s="24" t="str">
        <x:v>SWE</x:v>
      </x:c>
      <x:c r="E451" s="24" t="n">
        <x:v>2022</x:v>
      </x:c>
      <x:c r="F451" s="37" t="n">
        <x:v>1</x:v>
      </x:c>
      <x:c r="G451" s="38" t="n">
        <x:v>10237037</x:v>
      </x:c>
      <x:c r="H451" s="38" t="n">
        <x:v>10487338</x:v>
      </x:c>
      <x:c r="I451" s="39" t="n">
        <x:f>H451/G451</x:f>
        <x:v>1.0244505319263768</x:v>
      </x:c>
      <x:c r="J451" s="40" t="n">
        <x:f>(I451-1)*100</x:f>
        <x:v>2.4450531926376806</x:v>
      </x:c>
      <x:c r="K451" s="36" t="str">
        <x:v>no</x:v>
      </x:c>
      <x:c r="L451" s="36" t="str">
        <x:v>Single-country territory; UN WPP and vanilla are within the ±5% review threshold.</x:v>
      </x:c>
      <x:c r="M451" s="41" t="n">
        <x:v>593351440000</x:v>
      </x:c>
      <x:c r="N451" s="41" t="n">
        <x:v>593351440000</x:v>
      </x:c>
      <x:c r="O451" s="41" t="n">
        <x:v>57961</x:v>
      </x:c>
      <x:c r="P451" s="41" t="n">
        <x:v>54835</x:v>
      </x:c>
      <x:c r="Q451" s="41" t="n">
        <x:v>67410</x:v>
      </x:c>
      <x:c r="R451" s="42" t="n">
        <x:f>MIN(P451,Q451)</x:f>
        <x:v>54835</x:v>
      </x:c>
      <x:c r="S451" s="42" t="n">
        <x:f>MAX(P451,Q451)</x:f>
        <x:v>67410</x:v>
      </x:c>
      <x:c r="T451" s="42" t="n">
        <x:f>MAX(R451,MIN(O451,S451))</x:f>
        <x:v>57961</x:v>
      </x:c>
      <x:c r="U451" s="19" t="str">
        <x:f>IF(O451&lt;R451,IF(R451=P451,"clamped_to_nominal","clamped_to_ppp"),IF(O451&gt;S451,IF(S451=P451,"clamped_to_nominal","clamped_to_ppp"),"kept_vanilla"))</x:f>
        <x:v>kept_vanilla</x:v>
      </x:c>
      <x:c r="V451" s="42" t="n">
        <x:f>T451*H451</x:f>
        <x:v>607856597818</x:v>
      </x:c>
      <x:c r="W451" s="42" t="n">
        <x:f>V451/F451</x:f>
        <x:v>607856597818</x:v>
      </x:c>
      <x:c r="X451" s="36" t="str">
        <x:v>SWE: UN WPP 2024 Medium exact 2022</x:v>
      </x:c>
      <x:c r="Y451" s="36" t="str">
        <x:v>SWE: IMF exact 2022</x:v>
      </x:c>
      <x:c r="Z451" s="36" t="str">
        <x:v>SWE: IMF exact 2022</x:v>
      </x:c>
      <x:c r="AA451" s="36" t="str">
        <x:v>complete_primary</x:v>
      </x:c>
      <x:c r="AB451" s="36" t="str">
        <x:v>https://www.un.org/development/desa/pd/world-population-prospects-2024</x:v>
      </x:c>
      <x:c r="AC451" s="36" t="str">
        <x:v>https://api.imf.org/external/sdmx/3.0/data/dataflow/IMF.RES/WEO/9.0.0/</x:v>
      </x:c>
      <x:c r="AD451" s="36" t="str">
        <x:v>https://api.worldbank.org/v2/</x:v>
      </x:c>
    </x:row>
    <x:row r="452">
      <x:c r="A452" s="24" t="str">
        <x:v>SCA</x:v>
      </x:c>
      <x:c r="B452" s="24" t="str">
        <x:v>Sweden</x:v>
      </x:c>
      <x:c r="C452" s="24" t="str">
        <x:v>SWE</x:v>
      </x:c>
      <x:c r="D452" s="24" t="str">
        <x:v>SWE</x:v>
      </x:c>
      <x:c r="E452" s="24" t="n">
        <x:v>2026</x:v>
      </x:c>
      <x:c r="F452" s="37" t="n">
        <x:v>0.87</x:v>
      </x:c>
      <x:c r="G452" s="38" t="n">
        <x:v>10701047</x:v>
      </x:c>
      <x:c r="H452" s="38" t="n">
        <x:v>10701047</x:v>
      </x:c>
      <x:c r="I452" s="39" t="n">
        <x:f>H452/G452</x:f>
        <x:v>1</x:v>
      </x:c>
      <x:c r="J452" s="40" t="n">
        <x:f>(I452-1)*100</x:f>
        <x:v>0</x:v>
      </x:c>
      <x:c r="K452" s="36" t="str">
        <x:v>no</x:v>
      </x:c>
      <x:c r="L452" s="36" t="str">
        <x:v>Single-country territory; UN WPP and vanilla are within the ±5% review threshold.</x:v>
      </x:c>
      <x:c r="M452" s="41" t="n">
        <x:v>703718400000</x:v>
      </x:c>
      <x:c r="N452" s="41" t="n">
        <x:v>612235008000</x:v>
      </x:c>
      <x:c r="O452" s="41" t="n">
        <x:v>57213</x:v>
      </x:c>
      <x:c r="P452" s="41" t="n">
        <x:v>61827</x:v>
      </x:c>
      <x:c r="Q452" s="41" t="n">
        <x:v>67442</x:v>
      </x:c>
      <x:c r="R452" s="42" t="n">
        <x:f>MIN(P452,Q452)</x:f>
        <x:v>61827</x:v>
      </x:c>
      <x:c r="S452" s="42" t="n">
        <x:f>MAX(P452,Q452)</x:f>
        <x:v>67442</x:v>
      </x:c>
      <x:c r="T452" s="42" t="n">
        <x:f>MAX(R452,MIN(O452,S452))</x:f>
        <x:v>61827</x:v>
      </x:c>
      <x:c r="U452" s="19" t="str">
        <x:f>IF(O452&lt;R452,IF(R452=P452,"clamped_to_nominal","clamped_to_ppp"),IF(O452&gt;S452,IF(S452=P452,"clamped_to_nominal","clamped_to_ppp"),"kept_vanilla"))</x:f>
        <x:v>clamped_to_nominal</x:v>
      </x:c>
      <x:c r="V452" s="42" t="n">
        <x:f>T452*H452</x:f>
        <x:v>661613632869</x:v>
      </x:c>
      <x:c r="W452" s="42" t="n">
        <x:f>V452/F452</x:f>
        <x:v>760475440079.3103</x:v>
      </x:c>
      <x:c r="X452" s="36" t="str">
        <x:v>SWE: UN WPP 2024 Medium exact 2026</x:v>
      </x:c>
      <x:c r="Y452" s="36" t="str">
        <x:v>SWE: IMF exact 2026</x:v>
      </x:c>
      <x:c r="Z452" s="36" t="str">
        <x:v>SWE: IMF exact 2026</x:v>
      </x:c>
      <x:c r="AA452" s="36" t="str">
        <x:v>complete_primary</x:v>
      </x:c>
      <x:c r="AB452" s="36" t="str">
        <x:v>https://www.un.org/development/desa/pd/world-population-prospects-2024</x:v>
      </x:c>
      <x:c r="AC452" s="36" t="str">
        <x:v>https://api.imf.org/external/sdmx/3.0/data/dataflow/IMF.RES/WEO/9.0.0/</x:v>
      </x:c>
      <x:c r="AD452" s="36" t="str">
        <x:v>https://api.worldbank.org/v2/</x:v>
      </x:c>
    </x:row>
    <x:row r="453">
      <x:c r="A453" s="24" t="str">
        <x:v>SWI</x:v>
      </x:c>
      <x:c r="B453" s="24" t="str">
        <x:v>Switzerland</x:v>
      </x:c>
      <x:c r="C453" s="24" t="str">
        <x:v>CHE</x:v>
      </x:c>
      <x:c r="D453" s="24" t="str">
        <x:v>CHE</x:v>
      </x:c>
      <x:c r="E453" s="24" t="n">
        <x:v>2003</x:v>
      </x:c>
      <x:c r="F453" s="37" t="n">
        <x:v>1.59</x:v>
      </x:c>
      <x:c r="G453" s="38" t="n">
        <x:v>7367507</x:v>
      </x:c>
      <x:c r="H453" s="38" t="n">
        <x:v>7333447</x:v>
      </x:c>
      <x:c r="I453" s="39" t="n">
        <x:f>H453/G453</x:f>
        <x:v>0.9953769979451665</x:v>
      </x:c>
      <x:c r="J453" s="40" t="n">
        <x:f>(I453-1)*100</x:f>
        <x:v>-0.4623002054833458</x:v>
      </x:c>
      <x:c r="K453" s="36" t="str">
        <x:v>no</x:v>
      </x:c>
      <x:c r="L453" s="36" t="str">
        <x:v>Single-country territory; UN WPP and vanilla are within the ±5% review threshold.</x:v>
      </x:c>
      <x:c r="M453" s="41" t="n">
        <x:v>194363157895</x:v>
      </x:c>
      <x:c r="N453" s="41" t="n">
        <x:v>309037421053</x:v>
      </x:c>
      <x:c r="O453" s="41" t="n">
        <x:v>41946</x:v>
      </x:c>
      <x:c r="P453" s="41" t="n">
        <x:v>79483</x:v>
      </x:c>
      <x:c r="Q453" s="41" t="n">
        <x:v>73367</x:v>
      </x:c>
      <x:c r="R453" s="42" t="n">
        <x:f>MIN(P453,Q453)</x:f>
        <x:v>73367</x:v>
      </x:c>
      <x:c r="S453" s="42" t="n">
        <x:f>MAX(P453,Q453)</x:f>
        <x:v>79483</x:v>
      </x:c>
      <x:c r="T453" s="42" t="n">
        <x:f>MAX(R453,MIN(O453,S453))</x:f>
        <x:v>73367</x:v>
      </x:c>
      <x:c r="U453" s="19" t="str">
        <x:f>IF(O453&lt;R453,IF(R453=P453,"clamped_to_nominal","clamped_to_ppp"),IF(O453&gt;S453,IF(S453=P453,"clamped_to_nominal","clamped_to_ppp"),"kept_vanilla"))</x:f>
        <x:v>clamped_to_ppp</x:v>
      </x:c>
      <x:c r="V453" s="42" t="n">
        <x:f>T453*H453</x:f>
        <x:v>538033006049</x:v>
      </x:c>
      <x:c r="W453" s="42" t="n">
        <x:f>V453/F453</x:f>
        <x:v>338385538395.5975</x:v>
      </x:c>
      <x:c r="X453" s="36" t="str">
        <x:v>CHE: UN WPP 2024 Medium exact 2003</x:v>
      </x:c>
      <x:c r="Y453" s="36" t="str">
        <x:v>CHE: IMF exact 2003</x:v>
      </x:c>
      <x:c r="Z453" s="36" t="str">
        <x:v>CHE: IMF exact 2003</x:v>
      </x:c>
      <x:c r="AA453" s="36" t="str">
        <x:v>complete_primary</x:v>
      </x:c>
      <x:c r="AB453" s="36" t="str">
        <x:v>https://www.un.org/development/desa/pd/world-population-prospects-2024</x:v>
      </x:c>
      <x:c r="AC453" s="36" t="str">
        <x:v>https://api.imf.org/external/sdmx/3.0/data/dataflow/IMF.RES/WEO/9.0.0/</x:v>
      </x:c>
      <x:c r="AD453" s="36" t="str">
        <x:v>https://api.worldbank.org/v2/</x:v>
      </x:c>
    </x:row>
    <x:row r="454">
      <x:c r="A454" s="24" t="str">
        <x:v>SWI</x:v>
      </x:c>
      <x:c r="B454" s="24" t="str">
        <x:v>Switzerland</x:v>
      </x:c>
      <x:c r="C454" s="24" t="str">
        <x:v>CHE</x:v>
      </x:c>
      <x:c r="D454" s="24" t="str">
        <x:v>CHE</x:v>
      </x:c>
      <x:c r="E454" s="24" t="n">
        <x:v>2022</x:v>
      </x:c>
      <x:c r="F454" s="37" t="n">
        <x:v>1</x:v>
      </x:c>
      <x:c r="G454" s="38" t="n">
        <x:v>8829838</x:v>
      </x:c>
      <x:c r="H454" s="38" t="n">
        <x:v>8792182</x:v>
      </x:c>
      <x:c r="I454" s="39" t="n">
        <x:f>H454/G454</x:f>
        <x:v>0.9957353690973719</x:v>
      </x:c>
      <x:c r="J454" s="40" t="n">
        <x:f>(I454-1)*100</x:f>
        <x:v>-0.4264630902628075</x:v>
      </x:c>
      <x:c r="K454" s="36" t="str">
        <x:v>no</x:v>
      </x:c>
      <x:c r="L454" s="36" t="str">
        <x:v>Single-country territory; UN WPP and vanilla are within the ±5% review threshold.</x:v>
      </x:c>
      <x:c r="M454" s="41" t="n">
        <x:v>656103963037</x:v>
      </x:c>
      <x:c r="N454" s="41" t="n">
        <x:v>656103963037</x:v>
      </x:c>
      <x:c r="O454" s="41" t="n">
        <x:v>74305</x:v>
      </x:c>
      <x:c r="P454" s="41" t="n">
        <x:v>97626</x:v>
      </x:c>
      <x:c r="Q454" s="41" t="n">
        <x:v>92586</x:v>
      </x:c>
      <x:c r="R454" s="42" t="n">
        <x:f>MIN(P454,Q454)</x:f>
        <x:v>92586</x:v>
      </x:c>
      <x:c r="S454" s="42" t="n">
        <x:f>MAX(P454,Q454)</x:f>
        <x:v>97626</x:v>
      </x:c>
      <x:c r="T454" s="42" t="n">
        <x:f>MAX(R454,MIN(O454,S454))</x:f>
        <x:v>92586</x:v>
      </x:c>
      <x:c r="U454" s="19" t="str">
        <x:f>IF(O454&lt;R454,IF(R454=P454,"clamped_to_nominal","clamped_to_ppp"),IF(O454&gt;S454,IF(S454=P454,"clamped_to_nominal","clamped_to_ppp"),"kept_vanilla"))</x:f>
        <x:v>clamped_to_ppp</x:v>
      </x:c>
      <x:c r="V454" s="42" t="n">
        <x:f>T454*H454</x:f>
        <x:v>814032962652</x:v>
      </x:c>
      <x:c r="W454" s="42" t="n">
        <x:f>V454/F454</x:f>
        <x:v>814032962652</x:v>
      </x:c>
      <x:c r="X454" s="36" t="str">
        <x:v>CHE: UN WPP 2024 Medium exact 2022</x:v>
      </x:c>
      <x:c r="Y454" s="36" t="str">
        <x:v>CHE: IMF exact 2022</x:v>
      </x:c>
      <x:c r="Z454" s="36" t="str">
        <x:v>CHE: IMF exact 2022</x:v>
      </x:c>
      <x:c r="AA454" s="36" t="str">
        <x:v>complete_primary</x:v>
      </x:c>
      <x:c r="AB454" s="36" t="str">
        <x:v>https://www.un.org/development/desa/pd/world-population-prospects-2024</x:v>
      </x:c>
      <x:c r="AC454" s="36" t="str">
        <x:v>https://api.imf.org/external/sdmx/3.0/data/dataflow/IMF.RES/WEO/9.0.0/</x:v>
      </x:c>
      <x:c r="AD454" s="36" t="str">
        <x:v>https://api.worldbank.org/v2/</x:v>
      </x:c>
    </x:row>
    <x:row r="455">
      <x:c r="A455" s="24" t="str">
        <x:v>SWI</x:v>
      </x:c>
      <x:c r="B455" s="24" t="str">
        <x:v>Switzerland</x:v>
      </x:c>
      <x:c r="C455" s="24" t="str">
        <x:v>CHE</x:v>
      </x:c>
      <x:c r="D455" s="24" t="str">
        <x:v>CHE</x:v>
      </x:c>
      <x:c r="E455" s="24" t="n">
        <x:v>2026</x:v>
      </x:c>
      <x:c r="F455" s="37" t="n">
        <x:v>0.87</x:v>
      </x:c>
      <x:c r="G455" s="38" t="n">
        <x:v>9048166</x:v>
      </x:c>
      <x:c r="H455" s="38" t="n">
        <x:v>9007798</x:v>
      </x:c>
      <x:c r="I455" s="39" t="n">
        <x:f>H455/G455</x:f>
        <x:v>0.9955385433910032</x:v>
      </x:c>
      <x:c r="J455" s="40" t="n">
        <x:f>(I455-1)*100</x:f>
        <x:v>-0.4461456608996772</x:v>
      </x:c>
      <x:c r="K455" s="36" t="str">
        <x:v>no</x:v>
      </x:c>
      <x:c r="L455" s="36" t="str">
        <x:v>Single-country territory; UN WPP and vanilla are within the ±5% review threshold.</x:v>
      </x:c>
      <x:c r="M455" s="41" t="n">
        <x:v>782893235821</x:v>
      </x:c>
      <x:c r="N455" s="41" t="n">
        <x:v>681117115164</x:v>
      </x:c>
      <x:c r="O455" s="41" t="n">
        <x:v>75277</x:v>
      </x:c>
      <x:c r="P455" s="41" t="n">
        <x:v>110772</x:v>
      </x:c>
      <x:c r="Q455" s="41" t="n">
        <x:v>92778</x:v>
      </x:c>
      <x:c r="R455" s="42" t="n">
        <x:f>MIN(P455,Q455)</x:f>
        <x:v>92778</x:v>
      </x:c>
      <x:c r="S455" s="42" t="n">
        <x:f>MAX(P455,Q455)</x:f>
        <x:v>110772</x:v>
      </x:c>
      <x:c r="T455" s="42" t="n">
        <x:f>MAX(R455,MIN(O455,S455))</x:f>
        <x:v>92778</x:v>
      </x:c>
      <x:c r="U455" s="19" t="str">
        <x:f>IF(O455&lt;R455,IF(R455=P455,"clamped_to_nominal","clamped_to_ppp"),IF(O455&gt;S455,IF(S455=P455,"clamped_to_nominal","clamped_to_ppp"),"kept_vanilla"))</x:f>
        <x:v>clamped_to_ppp</x:v>
      </x:c>
      <x:c r="V455" s="42" t="n">
        <x:f>T455*H455</x:f>
        <x:v>835725482844</x:v>
      </x:c>
      <x:c r="W455" s="42" t="n">
        <x:f>V455/F455</x:f>
        <x:v>960604003268.9656</x:v>
      </x:c>
      <x:c r="X455" s="36" t="str">
        <x:v>CHE: UN WPP 2024 Medium exact 2026</x:v>
      </x:c>
      <x:c r="Y455" s="36" t="str">
        <x:v>CHE: IMF exact 2026</x:v>
      </x:c>
      <x:c r="Z455" s="36" t="str">
        <x:v>CHE: IMF exact 2026</x:v>
      </x:c>
      <x:c r="AA455" s="36" t="str">
        <x:v>complete_primary</x:v>
      </x:c>
      <x:c r="AB455" s="36" t="str">
        <x:v>https://www.un.org/development/desa/pd/world-population-prospects-2024</x:v>
      </x:c>
      <x:c r="AC455" s="36" t="str">
        <x:v>https://api.imf.org/external/sdmx/3.0/data/dataflow/IMF.RES/WEO/9.0.0/</x:v>
      </x:c>
      <x:c r="AD455" s="36" t="str">
        <x:v>https://api.worldbank.org/v2/</x:v>
      </x:c>
    </x:row>
    <x:row r="456">
      <x:c r="A456" s="24" t="str">
        <x:v>SYR</x:v>
      </x:c>
      <x:c r="B456" s="24" t="str">
        <x:v>Syria</x:v>
      </x:c>
      <x:c r="C456" s="24" t="str">
        <x:v>SYR</x:v>
      </x:c>
      <x:c r="D456" s="24" t="str">
        <x:v>SYR</x:v>
      </x:c>
      <x:c r="E456" s="24" t="n">
        <x:v>2003</x:v>
      </x:c>
      <x:c r="F456" s="37" t="n">
        <x:v>1.59</x:v>
      </x:c>
      <x:c r="G456" s="38" t="n">
        <x:v>17889296</x:v>
      </x:c>
      <x:c r="H456" s="38" t="n">
        <x:v>17889296</x:v>
      </x:c>
      <x:c r="I456" s="39" t="n">
        <x:f>H456/G456</x:f>
        <x:v>1</x:v>
      </x:c>
      <x:c r="J456" s="40" t="n">
        <x:f>(I456-1)*100</x:f>
        <x:v>0</x:v>
      </x:c>
      <x:c r="K456" s="36" t="str">
        <x:v>no</x:v>
      </x:c>
      <x:c r="L456" s="36" t="str">
        <x:v>Single-country territory; UN WPP and vanilla are within the ±5% review threshold.</x:v>
      </x:c>
      <x:c r="M456" s="41" t="n">
        <x:v>47493567251</x:v>
      </x:c>
      <x:c r="N456" s="41" t="n">
        <x:v>75514771929</x:v>
      </x:c>
      <x:c r="O456" s="41" t="n">
        <x:v>4221</x:v>
      </x:c>
      <x:c r="P456" s="41" t="n">
        <x:v>1929</x:v>
      </x:c>
      <x:c r="Q456" s="41" t="n">
        <x:v>7218</x:v>
      </x:c>
      <x:c r="R456" s="42" t="n">
        <x:f>MIN(P456,Q456)</x:f>
        <x:v>1929</x:v>
      </x:c>
      <x:c r="S456" s="42" t="n">
        <x:f>MAX(P456,Q456)</x:f>
        <x:v>7218</x:v>
      </x:c>
      <x:c r="T456" s="42" t="n">
        <x:f>MAX(R456,MIN(O456,S456))</x:f>
        <x:v>4221</x:v>
      </x:c>
      <x:c r="U456" s="19" t="str">
        <x:f>IF(O456&lt;R456,IF(R456=P456,"clamped_to_nominal","clamped_to_ppp"),IF(O456&gt;S456,IF(S456=P456,"clamped_to_nominal","clamped_to_ppp"),"kept_vanilla"))</x:f>
        <x:v>kept_vanilla</x:v>
      </x:c>
      <x:c r="V456" s="42" t="n">
        <x:f>T456*H456</x:f>
        <x:v>75510718416</x:v>
      </x:c>
      <x:c r="W456" s="42" t="n">
        <x:f>V456/F456</x:f>
        <x:v>47491017871.69811</x:v>
      </x:c>
      <x:c r="X456" s="36" t="str">
        <x:v>SYR: UN WPP 2024 Medium exact 2003</x:v>
      </x:c>
      <x:c r="Y456" s="36" t="str">
        <x:v>SYR: IMF exact 2003</x:v>
      </x:c>
      <x:c r="Z456" s="36" t="str">
        <x:v>SYR: IMF exact 2003</x:v>
      </x:c>
      <x:c r="AA456" s="36" t="str">
        <x:v>complete_primary</x:v>
      </x:c>
      <x:c r="AB456" s="36" t="str">
        <x:v>https://www.un.org/development/desa/pd/world-population-prospects-2024</x:v>
      </x:c>
      <x:c r="AC456" s="36" t="str">
        <x:v>https://api.imf.org/external/sdmx/3.0/data/dataflow/IMF.RES/WEO/9.0.0/</x:v>
      </x:c>
      <x:c r="AD456" s="36" t="str">
        <x:v>https://api.worldbank.org/v2/</x:v>
      </x:c>
    </x:row>
    <x:row r="457">
      <x:c r="A457" s="24" t="str">
        <x:v>SYR</x:v>
      </x:c>
      <x:c r="B457" s="24" t="str">
        <x:v>Syria</x:v>
      </x:c>
      <x:c r="C457" s="24" t="str">
        <x:v>SYR</x:v>
      </x:c>
      <x:c r="D457" s="24" t="str">
        <x:v>SYR</x:v>
      </x:c>
      <x:c r="E457" s="24" t="n">
        <x:v>2022</x:v>
      </x:c>
      <x:c r="F457" s="37" t="n">
        <x:v>1</x:v>
      </x:c>
      <x:c r="G457" s="38" t="n">
        <x:v>19767125</x:v>
      </x:c>
      <x:c r="H457" s="38" t="n">
        <x:v>22462173</x:v>
      </x:c>
      <x:c r="I457" s="39" t="n">
        <x:f>H457/G457</x:f>
        <x:v>1.1363399078014633</x:v>
      </x:c>
      <x:c r="J457" s="40" t="n">
        <x:f>(I457-1)*100</x:f>
        <x:v>13.633990780146332</x:v>
      </x:c>
      <x:c r="K457" s="36" t="str">
        <x:v>yes — reviewed</x:v>
      </x:c>
      <x:c r="L457" s="36" t="str">
        <x:v>Single-country game territory and UN country/area boundary align. The difference is an updated historical estimate/projection vintage, not a geographic-scope mismatch; accept the UN WPP value for a consistent source vintage.</x:v>
      </x:c>
      <x:c r="M457" s="41" t="n">
        <x:v>44246400000</x:v>
      </x:c>
      <x:c r="N457" s="41" t="n">
        <x:v>44246400000</x:v>
      </x:c>
      <x:c r="O457" s="41" t="n">
        <x:v>2238</x:v>
      </x:c>
      <x:c r="P457" s="41" t="n">
        <x:v>1057</x:v>
      </x:c>
      <x:c r="Q457" s="41" t="n">
        <x:v>4905</x:v>
      </x:c>
      <x:c r="R457" s="42" t="n">
        <x:f>MIN(P457,Q457)</x:f>
        <x:v>1057</x:v>
      </x:c>
      <x:c r="S457" s="42" t="n">
        <x:f>MAX(P457,Q457)</x:f>
        <x:v>4905</x:v>
      </x:c>
      <x:c r="T457" s="42" t="n">
        <x:f>MAX(R457,MIN(O457,S457))</x:f>
        <x:v>2238</x:v>
      </x:c>
      <x:c r="U457" s="19" t="str">
        <x:f>IF(O457&lt;R457,IF(R457=P457,"clamped_to_nominal","clamped_to_ppp"),IF(O457&gt;S457,IF(S457=P457,"clamped_to_nominal","clamped_to_ppp"),"kept_vanilla"))</x:f>
        <x:v>kept_vanilla</x:v>
      </x:c>
      <x:c r="V457" s="42" t="n">
        <x:f>T457*H457</x:f>
        <x:v>50270343174</x:v>
      </x:c>
      <x:c r="W457" s="42" t="n">
        <x:f>V457/F457</x:f>
        <x:v>50270343174</x:v>
      </x:c>
      <x:c r="X457" s="36" t="str">
        <x:v>SYR: UN WPP 2024 Medium exact 2022</x:v>
      </x:c>
      <x:c r="Y457" s="36" t="str">
        <x:v>SYR: World Bank exact 2022</x:v>
      </x:c>
      <x:c r="Z457" s="36" t="str">
        <x:v>SYR: World Bank exact 2022</x:v>
      </x:c>
      <x:c r="AA457" s="36" t="str">
        <x:v>secondary_source</x:v>
      </x:c>
      <x:c r="AB457" s="36" t="str">
        <x:v>https://www.un.org/development/desa/pd/world-population-prospects-2024</x:v>
      </x:c>
      <x:c r="AC457" s="36" t="str">
        <x:v>https://api.imf.org/external/sdmx/3.0/data/dataflow/IMF.RES/WEO/9.0.0/</x:v>
      </x:c>
      <x:c r="AD457" s="36" t="str">
        <x:v>https://api.worldbank.org/v2/</x:v>
      </x:c>
    </x:row>
    <x:row r="458">
      <x:c r="A458" s="24" t="str">
        <x:v>SYR</x:v>
      </x:c>
      <x:c r="B458" s="24" t="str">
        <x:v>Syria</x:v>
      </x:c>
      <x:c r="C458" s="24" t="str">
        <x:v>SYR</x:v>
      </x:c>
      <x:c r="D458" s="24" t="str">
        <x:v>SYR</x:v>
      </x:c>
      <x:c r="E458" s="24" t="n">
        <x:v>2026</x:v>
      </x:c>
      <x:c r="F458" s="37" t="n">
        <x:v>0.87</x:v>
      </x:c>
      <x:c r="G458" s="38" t="n">
        <x:v>26472497</x:v>
      </x:c>
      <x:c r="H458" s="38" t="n">
        <x:v>26472497</x:v>
      </x:c>
      <x:c r="I458" s="39" t="n">
        <x:f>H458/G458</x:f>
        <x:v>1</x:v>
      </x:c>
      <x:c r="J458" s="40" t="n">
        <x:f>(I458-1)*100</x:f>
        <x:v>0</x:v>
      </x:c>
      <x:c r="K458" s="36" t="str">
        <x:v>no</x:v>
      </x:c>
      <x:c r="L458" s="36" t="str">
        <x:v>Single-country territory; UN WPP and vanilla are within the ±5% review threshold.</x:v>
      </x:c>
      <x:c r="M458" s="41" t="n">
        <x:v>120013520000</x:v>
      </x:c>
      <x:c r="N458" s="41" t="n">
        <x:v>104411762400</x:v>
      </x:c>
      <x:c r="O458" s="41" t="n">
        <x:v>3944</x:v>
      </x:c>
      <x:c r="P458" s="41" t="n">
        <x:v>966</x:v>
      </x:c>
      <x:c r="Q458" s="41" t="n">
        <x:v>4970</x:v>
      </x:c>
      <x:c r="R458" s="42" t="n">
        <x:f>MIN(P458,Q458)</x:f>
        <x:v>966</x:v>
      </x:c>
      <x:c r="S458" s="42" t="n">
        <x:f>MAX(P458,Q458)</x:f>
        <x:v>4970</x:v>
      </x:c>
      <x:c r="T458" s="42" t="n">
        <x:f>MAX(R458,MIN(O458,S458))</x:f>
        <x:v>3944</x:v>
      </x:c>
      <x:c r="U458" s="19" t="str">
        <x:f>IF(O458&lt;R458,IF(R458=P458,"clamped_to_nominal","clamped_to_ppp"),IF(O458&gt;S458,IF(S458=P458,"clamped_to_nominal","clamped_to_ppp"),"kept_vanilla"))</x:f>
        <x:v>kept_vanilla</x:v>
      </x:c>
      <x:c r="V458" s="42" t="n">
        <x:f>T458*H458</x:f>
        <x:v>104407528168</x:v>
      </x:c>
      <x:c r="W458" s="42" t="n">
        <x:f>V458/F458</x:f>
        <x:v>120008653066.66667</x:v>
      </x:c>
      <x:c r="X458" s="36" t="str">
        <x:v>SYR: UN WPP 2024 Medium exact 2026</x:v>
      </x:c>
      <x:c r="Y458" s="36" t="str">
        <x:v>SYR: peer-growth inference from World Bank 2022; Middle East, North Africa, Afghanistan &amp; Pakistan median -1.69%/yr (18 peers, capped at ±8%)</x:v>
      </x:c>
      <x:c r="Z458" s="36" t="str">
        <x:v>SYR: peer-growth inference from World Bank 2022; Middle East, North Africa, Afghanistan &amp; Pakistan median 0.89%/yr (19 peers, capped at ±8%)</x:v>
      </x:c>
      <x:c r="AA458" s="36" t="str">
        <x:v>inferred</x:v>
      </x:c>
      <x:c r="AB458" s="36" t="str">
        <x:v>https://www.un.org/development/desa/pd/world-population-prospects-2024</x:v>
      </x:c>
      <x:c r="AC458" s="36" t="str">
        <x:v>https://api.imf.org/external/sdmx/3.0/data/dataflow/IMF.RES/WEO/9.0.0/</x:v>
      </x:c>
      <x:c r="AD458" s="36" t="str">
        <x:v>https://api.worldbank.org/v2/</x:v>
      </x:c>
    </x:row>
    <x:row r="459">
      <x:c r="A459" s="24" t="str">
        <x:v>TWN</x:v>
      </x:c>
      <x:c r="B459" s="24" t="str">
        <x:v>Taiwan</x:v>
      </x:c>
      <x:c r="C459" s="24" t="str">
        <x:v>TWN</x:v>
      </x:c>
      <x:c r="D459" s="24" t="str">
        <x:v>TWN</x:v>
      </x:c>
      <x:c r="E459" s="24" t="n">
        <x:v>2003</x:v>
      </x:c>
      <x:c r="F459" s="37" t="n">
        <x:v>1.59</x:v>
      </x:c>
      <x:c r="G459" s="38" t="n">
        <x:v>22664125</x:v>
      </x:c>
      <x:c r="H459" s="38" t="n">
        <x:v>22664125</x:v>
      </x:c>
      <x:c r="I459" s="39" t="n">
        <x:f>H459/G459</x:f>
        <x:v>1</x:v>
      </x:c>
      <x:c r="J459" s="40" t="n">
        <x:f>(I459-1)*100</x:f>
        <x:v>0</x:v>
      </x:c>
      <x:c r="K459" s="36" t="str">
        <x:v>no</x:v>
      </x:c>
      <x:c r="L459" s="36" t="str">
        <x:v>Single-country territory; UN WPP and vanilla are within the ±5% review threshold.</x:v>
      </x:c>
      <x:c r="M459" s="41" t="n">
        <x:v>306516959064</x:v>
      </x:c>
      <x:c r="N459" s="41" t="n">
        <x:v>487361964912</x:v>
      </x:c>
      <x:c r="O459" s="41" t="n">
        <x:v>21504</x:v>
      </x:c>
      <x:c r="P459" s="41" t="n">
        <x:v>22266</x:v>
      </x:c>
      <x:c r="Q459" s="41" t="n">
        <x:v>36708</x:v>
      </x:c>
      <x:c r="R459" s="42" t="n">
        <x:f>MIN(P459,Q459)</x:f>
        <x:v>22266</x:v>
      </x:c>
      <x:c r="S459" s="42" t="n">
        <x:f>MAX(P459,Q459)</x:f>
        <x:v>36708</x:v>
      </x:c>
      <x:c r="T459" s="42" t="n">
        <x:f>MAX(R459,MIN(O459,S459))</x:f>
        <x:v>22266</x:v>
      </x:c>
      <x:c r="U459" s="19" t="str">
        <x:f>IF(O459&lt;R459,IF(R459=P459,"clamped_to_nominal","clamped_to_ppp"),IF(O459&gt;S459,IF(S459=P459,"clamped_to_nominal","clamped_to_ppp"),"kept_vanilla"))</x:f>
        <x:v>clamped_to_nominal</x:v>
      </x:c>
      <x:c r="V459" s="42" t="n">
        <x:f>T459*H459</x:f>
        <x:v>504639407250</x:v>
      </x:c>
      <x:c r="W459" s="42" t="n">
        <x:f>V459/F459</x:f>
        <x:v>317383275000</x:v>
      </x:c>
      <x:c r="X459" s="36" t="str">
        <x:v>TWN: UN WPP 2024 Medium exact 2003</x:v>
      </x:c>
      <x:c r="Y459" s="36" t="str">
        <x:v>TWN: IMF exact 2003</x:v>
      </x:c>
      <x:c r="Z459" s="36" t="str">
        <x:v>TWN: IMF exact 2003</x:v>
      </x:c>
      <x:c r="AA459" s="36" t="str">
        <x:v>complete_primary</x:v>
      </x:c>
      <x:c r="AB459" s="36" t="str">
        <x:v>https://www.un.org/development/desa/pd/world-population-prospects-2024</x:v>
      </x:c>
      <x:c r="AC459" s="36" t="str">
        <x:v>https://api.imf.org/external/sdmx/3.0/data/dataflow/IMF.RES/WEO/9.0.0/</x:v>
      </x:c>
      <x:c r="AD459" s="36" t="str">
        <x:v>https://api.worldbank.org/v2/</x:v>
      </x:c>
    </x:row>
    <x:row r="460">
      <x:c r="A460" s="24" t="str">
        <x:v>TWN</x:v>
      </x:c>
      <x:c r="B460" s="24" t="str">
        <x:v>Taiwan</x:v>
      </x:c>
      <x:c r="C460" s="24" t="str">
        <x:v>TWN</x:v>
      </x:c>
      <x:c r="D460" s="24" t="str">
        <x:v>TWN</x:v>
      </x:c>
      <x:c r="E460" s="24" t="n">
        <x:v>2022</x:v>
      </x:c>
      <x:c r="F460" s="37" t="n">
        <x:v>1</x:v>
      </x:c>
      <x:c r="G460" s="38" t="n">
        <x:v>23898689</x:v>
      </x:c>
      <x:c r="H460" s="38" t="n">
        <x:v>23420111</x:v>
      </x:c>
      <x:c r="I460" s="39" t="n">
        <x:f>H460/G460</x:f>
        <x:v>0.9799747174416137</x:v>
      </x:c>
      <x:c r="J460" s="40" t="n">
        <x:f>(I460-1)*100</x:f>
        <x:v>-2.0025282558386315</x:v>
      </x:c>
      <x:c r="K460" s="36" t="str">
        <x:v>no</x:v>
      </x:c>
      <x:c r="L460" s="36" t="str">
        <x:v>Single-country territory; UN WPP and vanilla are within the ±5% review threshold.</x:v>
      </x:c>
      <x:c r="M460" s="41" t="n">
        <x:v>1603723000000</x:v>
      </x:c>
      <x:c r="N460" s="41" t="n">
        <x:v>1603723000000</x:v>
      </x:c>
      <x:c r="O460" s="41" t="n">
        <x:v>67105</x:v>
      </x:c>
      <x:c r="P460" s="41" t="n">
        <x:v>32691</x:v>
      </x:c>
      <x:c r="Q460" s="41" t="n">
        <x:v>71028</x:v>
      </x:c>
      <x:c r="R460" s="42" t="n">
        <x:f>MIN(P460,Q460)</x:f>
        <x:v>32691</x:v>
      </x:c>
      <x:c r="S460" s="42" t="n">
        <x:f>MAX(P460,Q460)</x:f>
        <x:v>71028</x:v>
      </x:c>
      <x:c r="T460" s="42" t="n">
        <x:f>MAX(R460,MIN(O460,S460))</x:f>
        <x:v>67105</x:v>
      </x:c>
      <x:c r="U460" s="19" t="str">
        <x:f>IF(O460&lt;R460,IF(R460=P460,"clamped_to_nominal","clamped_to_ppp"),IF(O460&gt;S460,IF(S460=P460,"clamped_to_nominal","clamped_to_ppp"),"kept_vanilla"))</x:f>
        <x:v>kept_vanilla</x:v>
      </x:c>
      <x:c r="V460" s="42" t="n">
        <x:f>T460*H460</x:f>
        <x:v>1571606548655</x:v>
      </x:c>
      <x:c r="W460" s="42" t="n">
        <x:f>V460/F460</x:f>
        <x:v>1571606548655</x:v>
      </x:c>
      <x:c r="X460" s="36" t="str">
        <x:v>TWN: UN WPP 2024 Medium exact 2022</x:v>
      </x:c>
      <x:c r="Y460" s="36" t="str">
        <x:v>TWN: IMF exact 2022</x:v>
      </x:c>
      <x:c r="Z460" s="36" t="str">
        <x:v>TWN: IMF exact 2022</x:v>
      </x:c>
      <x:c r="AA460" s="36" t="str">
        <x:v>complete_primary</x:v>
      </x:c>
      <x:c r="AB460" s="36" t="str">
        <x:v>https://www.un.org/development/desa/pd/world-population-prospects-2024</x:v>
      </x:c>
      <x:c r="AC460" s="36" t="str">
        <x:v>https://api.imf.org/external/sdmx/3.0/data/dataflow/IMF.RES/WEO/9.0.0/</x:v>
      </x:c>
      <x:c r="AD460" s="36" t="str">
        <x:v>https://api.worldbank.org/v2/</x:v>
      </x:c>
    </x:row>
    <x:row r="461">
      <x:c r="A461" s="24" t="str">
        <x:v>TWN</x:v>
      </x:c>
      <x:c r="B461" s="24" t="str">
        <x:v>Taiwan</x:v>
      </x:c>
      <x:c r="C461" s="24" t="str">
        <x:v>TWN</x:v>
      </x:c>
      <x:c r="D461" s="24" t="str">
        <x:v>TWN</x:v>
      </x:c>
      <x:c r="E461" s="24" t="n">
        <x:v>2026</x:v>
      </x:c>
      <x:c r="F461" s="37" t="n">
        <x:v>0.87</x:v>
      </x:c>
      <x:c r="G461" s="38" t="n">
        <x:v>23011293</x:v>
      </x:c>
      <x:c r="H461" s="38" t="n">
        <x:v>23011292</x:v>
      </x:c>
      <x:c r="I461" s="39" t="n">
        <x:f>H461/G461</x:f>
        <x:v>0.9999999565430765</x:v>
      </x:c>
      <x:c r="J461" s="40" t="n">
        <x:f>(I461-1)*100</x:f>
        <x:v>-0.000004345692350415931</x:v>
      </x:c>
      <x:c r="K461" s="36" t="str">
        <x:v>no</x:v>
      </x:c>
      <x:c r="L461" s="36" t="str">
        <x:v>Single-country territory; UN WPP and vanilla are within the ±5% review threshold.</x:v>
      </x:c>
      <x:c r="M461" s="41" t="n">
        <x:v>1751435840000</x:v>
      </x:c>
      <x:c r="N461" s="41" t="n">
        <x:v>1523749180800</x:v>
      </x:c>
      <x:c r="O461" s="41" t="n">
        <x:v>66217</x:v>
      </x:c>
      <x:c r="P461" s="41" t="n">
        <x:v>36927</x:v>
      </x:c>
      <x:c r="Q461" s="41" t="n">
        <x:v>85998</x:v>
      </x:c>
      <x:c r="R461" s="42" t="n">
        <x:f>MIN(P461,Q461)</x:f>
        <x:v>36927</x:v>
      </x:c>
      <x:c r="S461" s="42" t="n">
        <x:f>MAX(P461,Q461)</x:f>
        <x:v>85998</x:v>
      </x:c>
      <x:c r="T461" s="42" t="n">
        <x:f>MAX(R461,MIN(O461,S461))</x:f>
        <x:v>66217</x:v>
      </x:c>
      <x:c r="U461" s="19" t="str">
        <x:f>IF(O461&lt;R461,IF(R461=P461,"clamped_to_nominal","clamped_to_ppp"),IF(O461&gt;S461,IF(S461=P461,"clamped_to_nominal","clamped_to_ppp"),"kept_vanilla"))</x:f>
        <x:v>kept_vanilla</x:v>
      </x:c>
      <x:c r="V461" s="42" t="n">
        <x:f>T461*H461</x:f>
        <x:v>1523738722364</x:v>
      </x:c>
      <x:c r="W461" s="42" t="n">
        <x:f>V461/F461</x:f>
        <x:v>1751423818809.1953</x:v>
      </x:c>
      <x:c r="X461" s="36" t="str">
        <x:v>TWN: UN WPP 2024 Medium exact 2026</x:v>
      </x:c>
      <x:c r="Y461" s="36" t="str">
        <x:v>TWN: IMF exact 2026</x:v>
      </x:c>
      <x:c r="Z461" s="36" t="str">
        <x:v>TWN: IMF exact 2026</x:v>
      </x:c>
      <x:c r="AA461" s="36" t="str">
        <x:v>complete_primary</x:v>
      </x:c>
      <x:c r="AB461" s="36" t="str">
        <x:v>https://www.un.org/development/desa/pd/world-population-prospects-2024</x:v>
      </x:c>
      <x:c r="AC461" s="36" t="str">
        <x:v>https://api.imf.org/external/sdmx/3.0/data/dataflow/IMF.RES/WEO/9.0.0/</x:v>
      </x:c>
      <x:c r="AD461" s="36" t="str">
        <x:v>https://api.worldbank.org/v2/</x:v>
      </x:c>
    </x:row>
    <x:row r="462">
      <x:c r="A462" s="24" t="str">
        <x:v>TJK</x:v>
      </x:c>
      <x:c r="B462" s="24" t="str">
        <x:v>Tajikistan</x:v>
      </x:c>
      <x:c r="C462" s="24" t="str">
        <x:v>TJK</x:v>
      </x:c>
      <x:c r="D462" s="24" t="str">
        <x:v>TJK</x:v>
      </x:c>
      <x:c r="E462" s="24" t="n">
        <x:v>2003</x:v>
      </x:c>
      <x:c r="F462" s="37" t="n">
        <x:v>1.59</x:v>
      </x:c>
      <x:c r="G462" s="38" t="n">
        <x:v>6658575</x:v>
      </x:c>
      <x:c r="H462" s="38" t="n">
        <x:v>6658575</x:v>
      </x:c>
      <x:c r="I462" s="39" t="n">
        <x:f>H462/G462</x:f>
        <x:v>1</x:v>
      </x:c>
      <x:c r="J462" s="40" t="n">
        <x:f>(I462-1)*100</x:f>
        <x:v>0</x:v>
      </x:c>
      <x:c r="K462" s="36" t="str">
        <x:v>no</x:v>
      </x:c>
      <x:c r="L462" s="36" t="str">
        <x:v>Single-country territory; UN WPP and vanilla are within the ±5% review threshold.</x:v>
      </x:c>
      <x:c r="M462" s="41" t="n">
        <x:v>4730409357</x:v>
      </x:c>
      <x:c r="N462" s="41" t="n">
        <x:v>7521350878</x:v>
      </x:c>
      <x:c r="O462" s="41" t="n">
        <x:v>1130</x:v>
      </x:c>
      <x:c r="P462" s="41" t="n">
        <x:v>371</x:v>
      </x:c>
      <x:c r="Q462" s="41" t="n">
        <x:v>1932</x:v>
      </x:c>
      <x:c r="R462" s="42" t="n">
        <x:f>MIN(P462,Q462)</x:f>
        <x:v>371</x:v>
      </x:c>
      <x:c r="S462" s="42" t="n">
        <x:f>MAX(P462,Q462)</x:f>
        <x:v>1932</x:v>
      </x:c>
      <x:c r="T462" s="42" t="n">
        <x:f>MAX(R462,MIN(O462,S462))</x:f>
        <x:v>1130</x:v>
      </x:c>
      <x:c r="U462" s="19" t="str">
        <x:f>IF(O462&lt;R462,IF(R462=P462,"clamped_to_nominal","clamped_to_ppp"),IF(O462&gt;S462,IF(S462=P462,"clamped_to_nominal","clamped_to_ppp"),"kept_vanilla"))</x:f>
        <x:v>kept_vanilla</x:v>
      </x:c>
      <x:c r="V462" s="42" t="n">
        <x:f>T462*H462</x:f>
        <x:v>7524189750</x:v>
      </x:c>
      <x:c r="W462" s="42" t="n">
        <x:f>V462/F462</x:f>
        <x:v>4732194811.320754</x:v>
      </x:c>
      <x:c r="X462" s="36" t="str">
        <x:v>TJK: UN WPP 2024 Medium exact 2003</x:v>
      </x:c>
      <x:c r="Y462" s="36" t="str">
        <x:v>TJK: IMF exact 2003</x:v>
      </x:c>
      <x:c r="Z462" s="36" t="str">
        <x:v>TJK: IMF exact 2003</x:v>
      </x:c>
      <x:c r="AA462" s="36" t="str">
        <x:v>complete_primary</x:v>
      </x:c>
      <x:c r="AB462" s="36" t="str">
        <x:v>https://www.un.org/development/desa/pd/world-population-prospects-2024</x:v>
      </x:c>
      <x:c r="AC462" s="36" t="str">
        <x:v>https://api.imf.org/external/sdmx/3.0/data/dataflow/IMF.RES/WEO/9.0.0/</x:v>
      </x:c>
      <x:c r="AD462" s="36" t="str">
        <x:v>https://api.worldbank.org/v2/</x:v>
      </x:c>
    </x:row>
    <x:row r="463">
      <x:c r="A463" s="24" t="str">
        <x:v>TJK</x:v>
      </x:c>
      <x:c r="B463" s="24" t="str">
        <x:v>Tajikistan</x:v>
      </x:c>
      <x:c r="C463" s="24" t="str">
        <x:v>TJK</x:v>
      </x:c>
      <x:c r="D463" s="24" t="str">
        <x:v>TJK</x:v>
      </x:c>
      <x:c r="E463" s="24" t="n">
        <x:v>2022</x:v>
      </x:c>
      <x:c r="F463" s="37" t="n">
        <x:v>1</x:v>
      </x:c>
      <x:c r="G463" s="38" t="n">
        <x:v>10022632</x:v>
      </x:c>
      <x:c r="H463" s="38" t="n">
        <x:v>10182222</x:v>
      </x:c>
      <x:c r="I463" s="39" t="n">
        <x:f>H463/G463</x:f>
        <x:v>1.0159229631497995</x:v>
      </x:c>
      <x:c r="J463" s="40" t="n">
        <x:f>(I463-1)*100</x:f>
        <x:v>1.5922963149799463</x:v>
      </x:c>
      <x:c r="K463" s="36" t="str">
        <x:v>no</x:v>
      </x:c>
      <x:c r="L463" s="36" t="str">
        <x:v>Single-country territory; UN WPP and vanilla are within the ±5% review threshold.</x:v>
      </x:c>
      <x:c r="M463" s="41" t="n">
        <x:v>40075200000</x:v>
      </x:c>
      <x:c r="N463" s="41" t="n">
        <x:v>40075200000</x:v>
      </x:c>
      <x:c r="O463" s="41" t="n">
        <x:v>3998</x:v>
      </x:c>
      <x:c r="P463" s="41" t="n">
        <x:v>1052</x:v>
      </x:c>
      <x:c r="Q463" s="41" t="n">
        <x:v>4513</x:v>
      </x:c>
      <x:c r="R463" s="42" t="n">
        <x:f>MIN(P463,Q463)</x:f>
        <x:v>1052</x:v>
      </x:c>
      <x:c r="S463" s="42" t="n">
        <x:f>MAX(P463,Q463)</x:f>
        <x:v>4513</x:v>
      </x:c>
      <x:c r="T463" s="42" t="n">
        <x:f>MAX(R463,MIN(O463,S463))</x:f>
        <x:v>3998</x:v>
      </x:c>
      <x:c r="U463" s="19" t="str">
        <x:f>IF(O463&lt;R463,IF(R463=P463,"clamped_to_nominal","clamped_to_ppp"),IF(O463&gt;S463,IF(S463=P463,"clamped_to_nominal","clamped_to_ppp"),"kept_vanilla"))</x:f>
        <x:v>kept_vanilla</x:v>
      </x:c>
      <x:c r="V463" s="42" t="n">
        <x:f>T463*H463</x:f>
        <x:v>40708523556</x:v>
      </x:c>
      <x:c r="W463" s="42" t="n">
        <x:f>V463/F463</x:f>
        <x:v>40708523556</x:v>
      </x:c>
      <x:c r="X463" s="36" t="str">
        <x:v>TJK: UN WPP 2024 Medium exact 2022</x:v>
      </x:c>
      <x:c r="Y463" s="36" t="str">
        <x:v>TJK: IMF exact 2022</x:v>
      </x:c>
      <x:c r="Z463" s="36" t="str">
        <x:v>TJK: IMF exact 2022</x:v>
      </x:c>
      <x:c r="AA463" s="36" t="str">
        <x:v>complete_primary</x:v>
      </x:c>
      <x:c r="AB463" s="36" t="str">
        <x:v>https://www.un.org/development/desa/pd/world-population-prospects-2024</x:v>
      </x:c>
      <x:c r="AC463" s="36" t="str">
        <x:v>https://api.imf.org/external/sdmx/3.0/data/dataflow/IMF.RES/WEO/9.0.0/</x:v>
      </x:c>
      <x:c r="AD463" s="36" t="str">
        <x:v>https://api.worldbank.org/v2/</x:v>
      </x:c>
    </x:row>
    <x:row r="464">
      <x:c r="A464" s="24" t="str">
        <x:v>TJK</x:v>
      </x:c>
      <x:c r="B464" s="24" t="str">
        <x:v>Tajikistan</x:v>
      </x:c>
      <x:c r="C464" s="24" t="str">
        <x:v>TJK</x:v>
      </x:c>
      <x:c r="D464" s="24" t="str">
        <x:v>TJK</x:v>
      </x:c>
      <x:c r="E464" s="24" t="n">
        <x:v>2026</x:v>
      </x:c>
      <x:c r="F464" s="37" t="n">
        <x:v>0.87</x:v>
      </x:c>
      <x:c r="G464" s="38" t="n">
        <x:v>10978599</x:v>
      </x:c>
      <x:c r="H464" s="38" t="n">
        <x:v>10978599</x:v>
      </x:c>
      <x:c r="I464" s="39" t="n">
        <x:f>H464/G464</x:f>
        <x:v>1</x:v>
      </x:c>
      <x:c r="J464" s="40" t="n">
        <x:f>(I464-1)*100</x:f>
        <x:v>0</x:v>
      </x:c>
      <x:c r="K464" s="36" t="str">
        <x:v>no</x:v>
      </x:c>
      <x:c r="L464" s="36" t="str">
        <x:v>Single-country territory; UN WPP and vanilla are within the ±5% review threshold.</x:v>
      </x:c>
      <x:c r="M464" s="41" t="n">
        <x:v>55137280000</x:v>
      </x:c>
      <x:c r="N464" s="41" t="n">
        <x:v>47969433600</x:v>
      </x:c>
      <x:c r="O464" s="41" t="n">
        <x:v>4369</x:v>
      </x:c>
      <x:c r="P464" s="41" t="n">
        <x:v>1618</x:v>
      </x:c>
      <x:c r="Q464" s="41" t="n">
        <x:v>5521</x:v>
      </x:c>
      <x:c r="R464" s="42" t="n">
        <x:f>MIN(P464,Q464)</x:f>
        <x:v>1618</x:v>
      </x:c>
      <x:c r="S464" s="42" t="n">
        <x:f>MAX(P464,Q464)</x:f>
        <x:v>5521</x:v>
      </x:c>
      <x:c r="T464" s="42" t="n">
        <x:f>MAX(R464,MIN(O464,S464))</x:f>
        <x:v>4369</x:v>
      </x:c>
      <x:c r="U464" s="19" t="str">
        <x:f>IF(O464&lt;R464,IF(R464=P464,"clamped_to_nominal","clamped_to_ppp"),IF(O464&gt;S464,IF(S464=P464,"clamped_to_nominal","clamped_to_ppp"),"kept_vanilla"))</x:f>
        <x:v>kept_vanilla</x:v>
      </x:c>
      <x:c r="V464" s="42" t="n">
        <x:f>T464*H464</x:f>
        <x:v>47965499031</x:v>
      </x:c>
      <x:c r="W464" s="42" t="n">
        <x:f>V464/F464</x:f>
        <x:v>55132757506.89655</x:v>
      </x:c>
      <x:c r="X464" s="36" t="str">
        <x:v>TJK: UN WPP 2024 Medium exact 2026</x:v>
      </x:c>
      <x:c r="Y464" s="36" t="str">
        <x:v>TJK: IMF exact 2026</x:v>
      </x:c>
      <x:c r="Z464" s="36" t="str">
        <x:v>TJK: IMF exact 2026</x:v>
      </x:c>
      <x:c r="AA464" s="36" t="str">
        <x:v>complete_primary</x:v>
      </x:c>
      <x:c r="AB464" s="36" t="str">
        <x:v>https://www.un.org/development/desa/pd/world-population-prospects-2024</x:v>
      </x:c>
      <x:c r="AC464" s="36" t="str">
        <x:v>https://api.imf.org/external/sdmx/3.0/data/dataflow/IMF.RES/WEO/9.0.0/</x:v>
      </x:c>
      <x:c r="AD464" s="36" t="str">
        <x:v>https://api.worldbank.org/v2/</x:v>
      </x:c>
    </x:row>
    <x:row r="465">
      <x:c r="A465" s="24" t="str">
        <x:v>TZA</x:v>
      </x:c>
      <x:c r="B465" s="24" t="str">
        <x:v>Tanzania</x:v>
      </x:c>
      <x:c r="C465" s="24" t="str">
        <x:v>TZA</x:v>
      </x:c>
      <x:c r="D465" s="24" t="str">
        <x:v>TZA</x:v>
      </x:c>
      <x:c r="E465" s="24" t="n">
        <x:v>2003</x:v>
      </x:c>
      <x:c r="F465" s="37" t="n">
        <x:v>1.59</x:v>
      </x:c>
      <x:c r="G465" s="38" t="n">
        <x:v>37089555</x:v>
      </x:c>
      <x:c r="H465" s="38" t="n">
        <x:v>37089555</x:v>
      </x:c>
      <x:c r="I465" s="39" t="n">
        <x:f>H465/G465</x:f>
        <x:v>1</x:v>
      </x:c>
      <x:c r="J465" s="40" t="n">
        <x:f>(I465-1)*100</x:f>
        <x:v>0</x:v>
      </x:c>
      <x:c r="K465" s="36" t="str">
        <x:v>no</x:v>
      </x:c>
      <x:c r="L465" s="36" t="str">
        <x:v>Single-country territory; UN WPP and vanilla are within the ±5% review threshold.</x:v>
      </x:c>
      <x:c r="M465" s="41" t="n">
        <x:v>25028654971</x:v>
      </x:c>
      <x:c r="N465" s="41" t="n">
        <x:v>39795561404</x:v>
      </x:c>
      <x:c r="O465" s="41" t="n">
        <x:v>1073</x:v>
      </x:c>
      <x:c r="P465" s="41" t="n">
        <x:v>607</x:v>
      </x:c>
      <x:c r="Q465" s="41" t="n">
        <x:v>1835</x:v>
      </x:c>
      <x:c r="R465" s="42" t="n">
        <x:f>MIN(P465,Q465)</x:f>
        <x:v>607</x:v>
      </x:c>
      <x:c r="S465" s="42" t="n">
        <x:f>MAX(P465,Q465)</x:f>
        <x:v>1835</x:v>
      </x:c>
      <x:c r="T465" s="42" t="n">
        <x:f>MAX(R465,MIN(O465,S465))</x:f>
        <x:v>1073</x:v>
      </x:c>
      <x:c r="U465" s="19" t="str">
        <x:f>IF(O465&lt;R465,IF(R465=P465,"clamped_to_nominal","clamped_to_ppp"),IF(O465&gt;S465,IF(S465=P465,"clamped_to_nominal","clamped_to_ppp"),"kept_vanilla"))</x:f>
        <x:v>kept_vanilla</x:v>
      </x:c>
      <x:c r="V465" s="42" t="n">
        <x:f>T465*H465</x:f>
        <x:v>39797092515</x:v>
      </x:c>
      <x:c r="W465" s="42" t="n">
        <x:f>V465/F465</x:f>
        <x:v>25029617933.96226</x:v>
      </x:c>
      <x:c r="X465" s="36" t="str">
        <x:v>TZA: UN WPP 2024 Medium exact 2003</x:v>
      </x:c>
      <x:c r="Y465" s="36" t="str">
        <x:v>TZA: IMF exact 2003</x:v>
      </x:c>
      <x:c r="Z465" s="36" t="str">
        <x:v>TZA: IMF exact 2003</x:v>
      </x:c>
      <x:c r="AA465" s="36" t="str">
        <x:v>complete_primary</x:v>
      </x:c>
      <x:c r="AB465" s="36" t="str">
        <x:v>https://www.un.org/development/desa/pd/world-population-prospects-2024</x:v>
      </x:c>
      <x:c r="AC465" s="36" t="str">
        <x:v>https://api.imf.org/external/sdmx/3.0/data/dataflow/IMF.RES/WEO/9.0.0/</x:v>
      </x:c>
      <x:c r="AD465" s="36" t="str">
        <x:v>https://api.worldbank.org/v2/</x:v>
      </x:c>
    </x:row>
    <x:row r="466">
      <x:c r="A466" s="24" t="str">
        <x:v>TZA</x:v>
      </x:c>
      <x:c r="B466" s="24" t="str">
        <x:v>Tanzania</x:v>
      </x:c>
      <x:c r="C466" s="24" t="str">
        <x:v>TZA</x:v>
      </x:c>
      <x:c r="D466" s="24" t="str">
        <x:v>TZA</x:v>
      </x:c>
      <x:c r="E466" s="24" t="n">
        <x:v>2022</x:v>
      </x:c>
      <x:c r="F466" s="37" t="n">
        <x:v>1</x:v>
      </x:c>
      <x:c r="G466" s="38" t="n">
        <x:v>63869366</x:v>
      </x:c>
      <x:c r="H466" s="38" t="n">
        <x:v>64711821</x:v>
      </x:c>
      <x:c r="I466" s="39" t="n">
        <x:f>H466/G466</x:f>
        <x:v>1.013190282803183</x:v>
      </x:c>
      <x:c r="J466" s="40" t="n">
        <x:f>(I466-1)*100</x:f>
        <x:v>1.3190282803182907</x:v>
      </x:c>
      <x:c r="K466" s="36" t="str">
        <x:v>no</x:v>
      </x:c>
      <x:c r="L466" s="36" t="str">
        <x:v>Single-country territory; UN WPP and vanilla are within the ±5% review threshold.</x:v>
      </x:c>
      <x:c r="M466" s="41" t="n">
        <x:v>181779840000</x:v>
      </x:c>
      <x:c r="N466" s="41" t="n">
        <x:v>181779840000</x:v>
      </x:c>
      <x:c r="O466" s="41" t="n">
        <x:v>2846</x:v>
      </x:c>
      <x:c r="P466" s="41" t="n">
        <x:v>1146</x:v>
      </x:c>
      <x:c r="Q466" s="41" t="n">
        <x:v>3546</x:v>
      </x:c>
      <x:c r="R466" s="42" t="n">
        <x:f>MIN(P466,Q466)</x:f>
        <x:v>1146</x:v>
      </x:c>
      <x:c r="S466" s="42" t="n">
        <x:f>MAX(P466,Q466)</x:f>
        <x:v>3546</x:v>
      </x:c>
      <x:c r="T466" s="42" t="n">
        <x:f>MAX(R466,MIN(O466,S466))</x:f>
        <x:v>2846</x:v>
      </x:c>
      <x:c r="U466" s="19" t="str">
        <x:f>IF(O466&lt;R466,IF(R466=P466,"clamped_to_nominal","clamped_to_ppp"),IF(O466&gt;S466,IF(S466=P466,"clamped_to_nominal","clamped_to_ppp"),"kept_vanilla"))</x:f>
        <x:v>kept_vanilla</x:v>
      </x:c>
      <x:c r="V466" s="42" t="n">
        <x:f>T466*H466</x:f>
        <x:v>184169842566</x:v>
      </x:c>
      <x:c r="W466" s="42" t="n">
        <x:f>V466/F466</x:f>
        <x:v>184169842566</x:v>
      </x:c>
      <x:c r="X466" s="36" t="str">
        <x:v>TZA: UN WPP 2024 Medium exact 2022</x:v>
      </x:c>
      <x:c r="Y466" s="36" t="str">
        <x:v>TZA: IMF exact 2022</x:v>
      </x:c>
      <x:c r="Z466" s="36" t="str">
        <x:v>TZA: IMF exact 2022</x:v>
      </x:c>
      <x:c r="AA466" s="36" t="str">
        <x:v>complete_primary</x:v>
      </x:c>
      <x:c r="AB466" s="36" t="str">
        <x:v>https://www.un.org/development/desa/pd/world-population-prospects-2024</x:v>
      </x:c>
      <x:c r="AC466" s="36" t="str">
        <x:v>https://api.imf.org/external/sdmx/3.0/data/dataflow/IMF.RES/WEO/9.0.0/</x:v>
      </x:c>
      <x:c r="AD466" s="36" t="str">
        <x:v>https://api.worldbank.org/v2/</x:v>
      </x:c>
    </x:row>
    <x:row r="467">
      <x:c r="A467" s="24" t="str">
        <x:v>TZA</x:v>
      </x:c>
      <x:c r="B467" s="24" t="str">
        <x:v>Tanzania</x:v>
      </x:c>
      <x:c r="C467" s="24" t="str">
        <x:v>TZA</x:v>
      </x:c>
      <x:c r="D467" s="24" t="str">
        <x:v>TZA</x:v>
      </x:c>
      <x:c r="E467" s="24" t="n">
        <x:v>2026</x:v>
      </x:c>
      <x:c r="F467" s="37" t="n">
        <x:v>0.87</x:v>
      </x:c>
      <x:c r="G467" s="38" t="n">
        <x:v>72563781</x:v>
      </x:c>
      <x:c r="H467" s="38" t="n">
        <x:v>72563780</x:v>
      </x:c>
      <x:c r="I467" s="39" t="n">
        <x:f>H467/G467</x:f>
        <x:v>0.9999999862190202</x:v>
      </x:c>
      <x:c r="J467" s="40" t="n">
        <x:f>(I467-1)*100</x:f>
        <x:v>-0.000001378097980175852</x:v>
      </x:c>
      <x:c r="K467" s="36" t="str">
        <x:v>no</x:v>
      </x:c>
      <x:c r="L467" s="36" t="str">
        <x:v>Single-country territory; UN WPP and vanilla are within the ±5% review threshold.</x:v>
      </x:c>
      <x:c r="M467" s="41" t="n">
        <x:v>258360960000</x:v>
      </x:c>
      <x:c r="N467" s="41" t="n">
        <x:v>224774035200</x:v>
      </x:c>
      <x:c r="O467" s="41" t="n">
        <x:v>3098</x:v>
      </x:c>
      <x:c r="P467" s="41" t="n">
        <x:v>1138</x:v>
      </x:c>
      <x:c r="Q467" s="41" t="n">
        <x:v>3847</x:v>
      </x:c>
      <x:c r="R467" s="42" t="n">
        <x:f>MIN(P467,Q467)</x:f>
        <x:v>1138</x:v>
      </x:c>
      <x:c r="S467" s="42" t="n">
        <x:f>MAX(P467,Q467)</x:f>
        <x:v>3847</x:v>
      </x:c>
      <x:c r="T467" s="42" t="n">
        <x:f>MAX(R467,MIN(O467,S467))</x:f>
        <x:v>3098</x:v>
      </x:c>
      <x:c r="U467" s="19" t="str">
        <x:f>IF(O467&lt;R467,IF(R467=P467,"clamped_to_nominal","clamped_to_ppp"),IF(O467&gt;S467,IF(S467=P467,"clamped_to_nominal","clamped_to_ppp"),"kept_vanilla"))</x:f>
        <x:v>kept_vanilla</x:v>
      </x:c>
      <x:c r="V467" s="42" t="n">
        <x:f>T467*H467</x:f>
        <x:v>224802590440</x:v>
      </x:c>
      <x:c r="W467" s="42" t="n">
        <x:f>V467/F467</x:f>
        <x:v>258393782114.94254</x:v>
      </x:c>
      <x:c r="X467" s="36" t="str">
        <x:v>TZA: UN WPP 2024 Medium exact 2026</x:v>
      </x:c>
      <x:c r="Y467" s="36" t="str">
        <x:v>TZA: IMF exact 2026</x:v>
      </x:c>
      <x:c r="Z467" s="36" t="str">
        <x:v>TZA: IMF exact 2026</x:v>
      </x:c>
      <x:c r="AA467" s="36" t="str">
        <x:v>complete_primary</x:v>
      </x:c>
      <x:c r="AB467" s="36" t="str">
        <x:v>https://www.un.org/development/desa/pd/world-population-prospects-2024</x:v>
      </x:c>
      <x:c r="AC467" s="36" t="str">
        <x:v>https://api.imf.org/external/sdmx/3.0/data/dataflow/IMF.RES/WEO/9.0.0/</x:v>
      </x:c>
      <x:c r="AD467" s="36" t="str">
        <x:v>https://api.worldbank.org/v2/</x:v>
      </x:c>
    </x:row>
    <x:row r="468">
      <x:c r="A468" s="24" t="str">
        <x:v>THA</x:v>
      </x:c>
      <x:c r="B468" s="24" t="str">
        <x:v>Thailand</x:v>
      </x:c>
      <x:c r="C468" s="24" t="str">
        <x:v>THA</x:v>
      </x:c>
      <x:c r="D468" s="24" t="str">
        <x:v>THA</x:v>
      </x:c>
      <x:c r="E468" s="24" t="n">
        <x:v>2003</x:v>
      </x:c>
      <x:c r="F468" s="37" t="n">
        <x:v>1.59</x:v>
      </x:c>
      <x:c r="G468" s="38" t="n">
        <x:v>64868166</x:v>
      </x:c>
      <x:c r="H468" s="38" t="n">
        <x:v>64868166</x:v>
      </x:c>
      <x:c r="I468" s="39" t="n">
        <x:f>H468/G468</x:f>
        <x:v>1</x:v>
      </x:c>
      <x:c r="J468" s="40" t="n">
        <x:f>(I468-1)*100</x:f>
        <x:v>0</x:v>
      </x:c>
      <x:c r="K468" s="36" t="str">
        <x:v>no</x:v>
      </x:c>
      <x:c r="L468" s="36" t="str">
        <x:v>Single-country territory; UN WPP and vanilla are within the ±5% review threshold.</x:v>
      </x:c>
      <x:c r="M468" s="41" t="n">
        <x:v>339446198830</x:v>
      </x:c>
      <x:c r="N468" s="41" t="n">
        <x:v>539719456140</x:v>
      </x:c>
      <x:c r="O468" s="41" t="n">
        <x:v>8320</x:v>
      </x:c>
      <x:c r="P468" s="41" t="n">
        <x:v>3733</x:v>
      </x:c>
      <x:c r="Q468" s="41" t="n">
        <x:v>14228</x:v>
      </x:c>
      <x:c r="R468" s="42" t="n">
        <x:f>MIN(P468,Q468)</x:f>
        <x:v>3733</x:v>
      </x:c>
      <x:c r="S468" s="42" t="n">
        <x:f>MAX(P468,Q468)</x:f>
        <x:v>14228</x:v>
      </x:c>
      <x:c r="T468" s="42" t="n">
        <x:f>MAX(R468,MIN(O468,S468))</x:f>
        <x:v>8320</x:v>
      </x:c>
      <x:c r="U468" s="19" t="str">
        <x:f>IF(O468&lt;R468,IF(R468=P468,"clamped_to_nominal","clamped_to_ppp"),IF(O468&gt;S468,IF(S468=P468,"clamped_to_nominal","clamped_to_ppp"),"kept_vanilla"))</x:f>
        <x:v>kept_vanilla</x:v>
      </x:c>
      <x:c r="V468" s="42" t="n">
        <x:f>T468*H468</x:f>
        <x:v>539703141120</x:v>
      </x:c>
      <x:c r="W468" s="42" t="n">
        <x:f>V468/F468</x:f>
        <x:v>339435937811.32074</x:v>
      </x:c>
      <x:c r="X468" s="36" t="str">
        <x:v>THA: UN WPP 2024 Medium exact 2003</x:v>
      </x:c>
      <x:c r="Y468" s="36" t="str">
        <x:v>THA: IMF exact 2003</x:v>
      </x:c>
      <x:c r="Z468" s="36" t="str">
        <x:v>THA: IMF exact 2003</x:v>
      </x:c>
      <x:c r="AA468" s="36" t="str">
        <x:v>complete_primary</x:v>
      </x:c>
      <x:c r="AB468" s="36" t="str">
        <x:v>https://www.un.org/development/desa/pd/world-population-prospects-2024</x:v>
      </x:c>
      <x:c r="AC468" s="36" t="str">
        <x:v>https://api.imf.org/external/sdmx/3.0/data/dataflow/IMF.RES/WEO/9.0.0/</x:v>
      </x:c>
      <x:c r="AD468" s="36" t="str">
        <x:v>https://api.worldbank.org/v2/</x:v>
      </x:c>
    </x:row>
    <x:row r="469">
      <x:c r="A469" s="24" t="str">
        <x:v>THA</x:v>
      </x:c>
      <x:c r="B469" s="24" t="str">
        <x:v>Thailand</x:v>
      </x:c>
      <x:c r="C469" s="24" t="str">
        <x:v>THA</x:v>
      </x:c>
      <x:c r="D469" s="24" t="str">
        <x:v>THA</x:v>
      </x:c>
      <x:c r="E469" s="24" t="n">
        <x:v>2022</x:v>
      </x:c>
      <x:c r="F469" s="37" t="n">
        <x:v>1</x:v>
      </x:c>
      <x:c r="G469" s="38" t="n">
        <x:v>70116256</x:v>
      </x:c>
      <x:c r="H469" s="38" t="n">
        <x:v>71735329</x:v>
      </x:c>
      <x:c r="I469" s="39" t="n">
        <x:f>H469/G469</x:f>
        <x:v>1.0230912643139416</x:v>
      </x:c>
      <x:c r="J469" s="40" t="n">
        <x:f>(I469-1)*100</x:f>
        <x:v>2.3091264313941595</x:v>
      </x:c>
      <x:c r="K469" s="36" t="str">
        <x:v>no</x:v>
      </x:c>
      <x:c r="L469" s="36" t="str">
        <x:v>Single-country territory; UN WPP and vanilla are within the ±5% review threshold.</x:v>
      </x:c>
      <x:c r="M469" s="41" t="n">
        <x:v>1298577280000</x:v>
      </x:c>
      <x:c r="N469" s="41" t="n">
        <x:v>1298577280000</x:v>
      </x:c>
      <x:c r="O469" s="41" t="n">
        <x:v>18520</x:v>
      </x:c>
      <x:c r="P469" s="41" t="n">
        <x:v>6910</x:v>
      </x:c>
      <x:c r="Q469" s="41" t="n">
        <x:v>22256</x:v>
      </x:c>
      <x:c r="R469" s="42" t="n">
        <x:f>MIN(P469,Q469)</x:f>
        <x:v>6910</x:v>
      </x:c>
      <x:c r="S469" s="42" t="n">
        <x:f>MAX(P469,Q469)</x:f>
        <x:v>22256</x:v>
      </x:c>
      <x:c r="T469" s="42" t="n">
        <x:f>MAX(R469,MIN(O469,S469))</x:f>
        <x:v>18520</x:v>
      </x:c>
      <x:c r="U469" s="19" t="str">
        <x:f>IF(O469&lt;R469,IF(R469=P469,"clamped_to_nominal","clamped_to_ppp"),IF(O469&gt;S469,IF(S469=P469,"clamped_to_nominal","clamped_to_ppp"),"kept_vanilla"))</x:f>
        <x:v>kept_vanilla</x:v>
      </x:c>
      <x:c r="V469" s="42" t="n">
        <x:f>T469*H469</x:f>
        <x:v>1328538293080</x:v>
      </x:c>
      <x:c r="W469" s="42" t="n">
        <x:f>V469/F469</x:f>
        <x:v>1328538293080</x:v>
      </x:c>
      <x:c r="X469" s="36" t="str">
        <x:v>THA: UN WPP 2024 Medium exact 2022</x:v>
      </x:c>
      <x:c r="Y469" s="36" t="str">
        <x:v>THA: IMF exact 2022</x:v>
      </x:c>
      <x:c r="Z469" s="36" t="str">
        <x:v>THA: IMF exact 2022</x:v>
      </x:c>
      <x:c r="AA469" s="36" t="str">
        <x:v>complete_primary</x:v>
      </x:c>
      <x:c r="AB469" s="36" t="str">
        <x:v>https://www.un.org/development/desa/pd/world-population-prospects-2024</x:v>
      </x:c>
      <x:c r="AC469" s="36" t="str">
        <x:v>https://api.imf.org/external/sdmx/3.0/data/dataflow/IMF.RES/WEO/9.0.0/</x:v>
      </x:c>
      <x:c r="AD469" s="36" t="str">
        <x:v>https://api.worldbank.org/v2/</x:v>
      </x:c>
    </x:row>
    <x:row r="470">
      <x:c r="A470" s="24" t="str">
        <x:v>THA</x:v>
      </x:c>
      <x:c r="B470" s="24" t="str">
        <x:v>Thailand</x:v>
      </x:c>
      <x:c r="C470" s="24" t="str">
        <x:v>THA</x:v>
      </x:c>
      <x:c r="D470" s="24" t="str">
        <x:v>THA</x:v>
      </x:c>
      <x:c r="E470" s="24" t="n">
        <x:v>2026</x:v>
      </x:c>
      <x:c r="F470" s="37" t="n">
        <x:v>0.87</x:v>
      </x:c>
      <x:c r="G470" s="38" t="n">
        <x:v>71559614</x:v>
      </x:c>
      <x:c r="H470" s="38" t="n">
        <x:v>71559614</x:v>
      </x:c>
      <x:c r="I470" s="39" t="n">
        <x:f>H470/G470</x:f>
        <x:v>1</x:v>
      </x:c>
      <x:c r="J470" s="40" t="n">
        <x:f>(I470-1)*100</x:f>
        <x:v>0</x:v>
      </x:c>
      <x:c r="K470" s="36" t="str">
        <x:v>no</x:v>
      </x:c>
      <x:c r="L470" s="36" t="str">
        <x:v>Single-country territory; UN WPP and vanilla are within the ±5% review threshold.</x:v>
      </x:c>
      <x:c r="M470" s="41" t="n">
        <x:v>1631318480000</x:v>
      </x:c>
      <x:c r="N470" s="41" t="n">
        <x:v>1419247077600</x:v>
      </x:c>
      <x:c r="O470" s="41" t="n">
        <x:v>19833</x:v>
      </x:c>
      <x:c r="P470" s="41" t="n">
        <x:v>7051</x:v>
      </x:c>
      <x:c r="Q470" s="41" t="n">
        <x:v>23874</x:v>
      </x:c>
      <x:c r="R470" s="42" t="n">
        <x:f>MIN(P470,Q470)</x:f>
        <x:v>7051</x:v>
      </x:c>
      <x:c r="S470" s="42" t="n">
        <x:f>MAX(P470,Q470)</x:f>
        <x:v>23874</x:v>
      </x:c>
      <x:c r="T470" s="42" t="n">
        <x:f>MAX(R470,MIN(O470,S470))</x:f>
        <x:v>19833</x:v>
      </x:c>
      <x:c r="U470" s="19" t="str">
        <x:f>IF(O470&lt;R470,IF(R470=P470,"clamped_to_nominal","clamped_to_ppp"),IF(O470&gt;S470,IF(S470=P470,"clamped_to_nominal","clamped_to_ppp"),"kept_vanilla"))</x:f>
        <x:v>kept_vanilla</x:v>
      </x:c>
      <x:c r="V470" s="42" t="n">
        <x:f>T470*H470</x:f>
        <x:v>1419241824462</x:v>
      </x:c>
      <x:c r="W470" s="42" t="n">
        <x:f>V470/F470</x:f>
        <x:v>1631312441910.3447</x:v>
      </x:c>
      <x:c r="X470" s="36" t="str">
        <x:v>THA: UN WPP 2024 Medium exact 2026</x:v>
      </x:c>
      <x:c r="Y470" s="36" t="str">
        <x:v>THA: IMF exact 2026</x:v>
      </x:c>
      <x:c r="Z470" s="36" t="str">
        <x:v>THA: IMF exact 2026</x:v>
      </x:c>
      <x:c r="AA470" s="36" t="str">
        <x:v>complete_primary</x:v>
      </x:c>
      <x:c r="AB470" s="36" t="str">
        <x:v>https://www.un.org/development/desa/pd/world-population-prospects-2024</x:v>
      </x:c>
      <x:c r="AC470" s="36" t="str">
        <x:v>https://api.imf.org/external/sdmx/3.0/data/dataflow/IMF.RES/WEO/9.0.0/</x:v>
      </x:c>
      <x:c r="AD470" s="36" t="str">
        <x:v>https://api.worldbank.org/v2/</x:v>
      </x:c>
    </x:row>
    <x:row r="471">
      <x:c r="A471" s="24" t="str">
        <x:v>TLS</x:v>
      </x:c>
      <x:c r="B471" s="24" t="str">
        <x:v>Timor-Leste</x:v>
      </x:c>
      <x:c r="C471" s="24" t="str">
        <x:v>TLS</x:v>
      </x:c>
      <x:c r="D471" s="24" t="str">
        <x:v>TLS</x:v>
      </x:c>
      <x:c r="E471" s="24" t="n">
        <x:v>2003</x:v>
      </x:c>
      <x:c r="F471" s="37" t="n">
        <x:v>1.59</x:v>
      </x:c>
      <x:c r="G471" s="38" t="n">
        <x:v>916878</x:v>
      </x:c>
      <x:c r="H471" s="38" t="n">
        <x:v>916878</x:v>
      </x:c>
      <x:c r="I471" s="39" t="n">
        <x:f>H471/G471</x:f>
        <x:v>1</x:v>
      </x:c>
      <x:c r="J471" s="40" t="n">
        <x:f>(I471-1)*100</x:f>
        <x:v>0</x:v>
      </x:c>
      <x:c r="K471" s="36" t="str">
        <x:v>no</x:v>
      </x:c>
      <x:c r="L471" s="36" t="str">
        <x:v>Single-country territory; UN WPP and vanilla are within the ±5% review threshold.</x:v>
      </x:c>
      <x:c r="M471" s="41" t="n">
        <x:v>1101169591</x:v>
      </x:c>
      <x:c r="N471" s="41" t="n">
        <x:v>1750859650</x:v>
      </x:c>
      <x:c r="O471" s="41" t="n">
        <x:v>1910</x:v>
      </x:c>
      <x:c r="P471" s="41" t="n">
        <x:v>850</x:v>
      </x:c>
      <x:c r="Q471" s="41" t="n">
        <x:v>3227</x:v>
      </x:c>
      <x:c r="R471" s="42" t="n">
        <x:f>MIN(P471,Q471)</x:f>
        <x:v>850</x:v>
      </x:c>
      <x:c r="S471" s="42" t="n">
        <x:f>MAX(P471,Q471)</x:f>
        <x:v>3227</x:v>
      </x:c>
      <x:c r="T471" s="42" t="n">
        <x:f>MAX(R471,MIN(O471,S471))</x:f>
        <x:v>1910</x:v>
      </x:c>
      <x:c r="U471" s="19" t="str">
        <x:f>IF(O471&lt;R471,IF(R471=P471,"clamped_to_nominal","clamped_to_ppp"),IF(O471&gt;S471,IF(S471=P471,"clamped_to_nominal","clamped_to_ppp"),"kept_vanilla"))</x:f>
        <x:v>kept_vanilla</x:v>
      </x:c>
      <x:c r="V471" s="42" t="n">
        <x:f>T471*H471</x:f>
        <x:v>1751236980</x:v>
      </x:c>
      <x:c r="W471" s="42" t="n">
        <x:f>V471/F471</x:f>
        <x:v>1101406905.6603773</x:v>
      </x:c>
      <x:c r="X471" s="36" t="str">
        <x:v>TLS: UN WPP 2024 Medium exact 2003</x:v>
      </x:c>
      <x:c r="Y471" s="36" t="str">
        <x:v>TLS: IMF exact 2003</x:v>
      </x:c>
      <x:c r="Z471" s="36" t="str">
        <x:v>TLS: IMF exact 2003</x:v>
      </x:c>
      <x:c r="AA471" s="36" t="str">
        <x:v>complete_primary</x:v>
      </x:c>
      <x:c r="AB471" s="36" t="str">
        <x:v>https://www.un.org/development/desa/pd/world-population-prospects-2024</x:v>
      </x:c>
      <x:c r="AC471" s="36" t="str">
        <x:v>https://api.imf.org/external/sdmx/3.0/data/dataflow/IMF.RES/WEO/9.0.0/</x:v>
      </x:c>
      <x:c r="AD471" s="36" t="str">
        <x:v>https://api.worldbank.org/v2/</x:v>
      </x:c>
    </x:row>
    <x:row r="472">
      <x:c r="A472" s="24" t="str">
        <x:v>TLS</x:v>
      </x:c>
      <x:c r="B472" s="24" t="str">
        <x:v>Timor-Leste</x:v>
      </x:c>
      <x:c r="C472" s="24" t="str">
        <x:v>TLS</x:v>
      </x:c>
      <x:c r="D472" s="24" t="str">
        <x:v>TLS</x:v>
      </x:c>
      <x:c r="E472" s="24" t="n">
        <x:v>2022</x:v>
      </x:c>
      <x:c r="F472" s="37" t="n">
        <x:v>1</x:v>
      </x:c>
      <x:c r="G472" s="38" t="n">
        <x:v>1377478</x:v>
      </x:c>
      <x:c r="H472" s="38" t="n">
        <x:v>1369295</x:v>
      </x:c>
      <x:c r="I472" s="39" t="n">
        <x:f>H472/G472</x:f>
        <x:v>0.9940594332541064</x:v>
      </x:c>
      <x:c r="J472" s="40" t="n">
        <x:f>(I472-1)*100</x:f>
        <x:v>-0.5940566745893605</x:v>
      </x:c>
      <x:c r="K472" s="36" t="str">
        <x:v>no</x:v>
      </x:c>
      <x:c r="L472" s="36" t="str">
        <x:v>Single-country territory; UN WPP and vanilla are within the ±5% review threshold.</x:v>
      </x:c>
      <x:c r="M472" s="41" t="n">
        <x:v>4024240000</x:v>
      </x:c>
      <x:c r="N472" s="41" t="n">
        <x:v>4024240000</x:v>
      </x:c>
      <x:c r="O472" s="41" t="n">
        <x:v>2921</x:v>
      </x:c>
      <x:c r="P472" s="41" t="n">
        <x:v>2343</x:v>
      </x:c>
      <x:c r="Q472" s="41" t="n">
        <x:v>5729</x:v>
      </x:c>
      <x:c r="R472" s="42" t="n">
        <x:f>MIN(P472,Q472)</x:f>
        <x:v>2343</x:v>
      </x:c>
      <x:c r="S472" s="42" t="n">
        <x:f>MAX(P472,Q472)</x:f>
        <x:v>5729</x:v>
      </x:c>
      <x:c r="T472" s="42" t="n">
        <x:f>MAX(R472,MIN(O472,S472))</x:f>
        <x:v>2921</x:v>
      </x:c>
      <x:c r="U472" s="19" t="str">
        <x:f>IF(O472&lt;R472,IF(R472=P472,"clamped_to_nominal","clamped_to_ppp"),IF(O472&gt;S472,IF(S472=P472,"clamped_to_nominal","clamped_to_ppp"),"kept_vanilla"))</x:f>
        <x:v>kept_vanilla</x:v>
      </x:c>
      <x:c r="V472" s="42" t="n">
        <x:f>T472*H472</x:f>
        <x:v>3999710695</x:v>
      </x:c>
      <x:c r="W472" s="42" t="n">
        <x:f>V472/F472</x:f>
        <x:v>3999710695</x:v>
      </x:c>
      <x:c r="X472" s="36" t="str">
        <x:v>TLS: UN WPP 2024 Medium exact 2022</x:v>
      </x:c>
      <x:c r="Y472" s="36" t="str">
        <x:v>TLS: IMF exact 2022</x:v>
      </x:c>
      <x:c r="Z472" s="36" t="str">
        <x:v>TLS: IMF exact 2022</x:v>
      </x:c>
      <x:c r="AA472" s="36" t="str">
        <x:v>complete_primary</x:v>
      </x:c>
      <x:c r="AB472" s="36" t="str">
        <x:v>https://www.un.org/development/desa/pd/world-population-prospects-2024</x:v>
      </x:c>
      <x:c r="AC472" s="36" t="str">
        <x:v>https://api.imf.org/external/sdmx/3.0/data/dataflow/IMF.RES/WEO/9.0.0/</x:v>
      </x:c>
      <x:c r="AD472" s="36" t="str">
        <x:v>https://api.worldbank.org/v2/</x:v>
      </x:c>
    </x:row>
    <x:row r="473">
      <x:c r="A473" s="24" t="str">
        <x:v>TLS</x:v>
      </x:c>
      <x:c r="B473" s="24" t="str">
        <x:v>Timor-Leste</x:v>
      </x:c>
      <x:c r="C473" s="24" t="str">
        <x:v>TLS</x:v>
      </x:c>
      <x:c r="D473" s="24" t="str">
        <x:v>TLS</x:v>
      </x:c>
      <x:c r="E473" s="24" t="n">
        <x:v>2026</x:v>
      </x:c>
      <x:c r="F473" s="37" t="n">
        <x:v>0.87</x:v>
      </x:c>
      <x:c r="G473" s="38" t="n">
        <x:v>1436923</x:v>
      </x:c>
      <x:c r="H473" s="38" t="n">
        <x:v>1436923</x:v>
      </x:c>
      <x:c r="I473" s="39" t="n">
        <x:f>H473/G473</x:f>
        <x:v>1</x:v>
      </x:c>
      <x:c r="J473" s="40" t="n">
        <x:f>(I473-1)*100</x:f>
        <x:v>0</x:v>
      </x:c>
      <x:c r="K473" s="36" t="str">
        <x:v>no</x:v>
      </x:c>
      <x:c r="L473" s="36" t="str">
        <x:v>Single-country territory; UN WPP and vanilla are within the ±5% review threshold.</x:v>
      </x:c>
      <x:c r="M473" s="41" t="n">
        <x:v>6136240000</x:v>
      </x:c>
      <x:c r="N473" s="41" t="n">
        <x:v>5338528800</x:v>
      </x:c>
      <x:c r="O473" s="41" t="n">
        <x:v>3715</x:v>
      </x:c>
      <x:c r="P473" s="41" t="n">
        <x:v>1314</x:v>
      </x:c>
      <x:c r="Q473" s="41" t="n">
        <x:v>4555</x:v>
      </x:c>
      <x:c r="R473" s="42" t="n">
        <x:f>MIN(P473,Q473)</x:f>
        <x:v>1314</x:v>
      </x:c>
      <x:c r="S473" s="42" t="n">
        <x:f>MAX(P473,Q473)</x:f>
        <x:v>4555</x:v>
      </x:c>
      <x:c r="T473" s="42" t="n">
        <x:f>MAX(R473,MIN(O473,S473))</x:f>
        <x:v>3715</x:v>
      </x:c>
      <x:c r="U473" s="19" t="str">
        <x:f>IF(O473&lt;R473,IF(R473=P473,"clamped_to_nominal","clamped_to_ppp"),IF(O473&gt;S473,IF(S473=P473,"clamped_to_nominal","clamped_to_ppp"),"kept_vanilla"))</x:f>
        <x:v>kept_vanilla</x:v>
      </x:c>
      <x:c r="V473" s="42" t="n">
        <x:f>T473*H473</x:f>
        <x:v>5338168945</x:v>
      </x:c>
      <x:c r="W473" s="42" t="n">
        <x:f>V473/F473</x:f>
        <x:v>6135826373.563218</x:v>
      </x:c>
      <x:c r="X473" s="36" t="str">
        <x:v>TLS: UN WPP 2024 Medium exact 2026</x:v>
      </x:c>
      <x:c r="Y473" s="36" t="str">
        <x:v>TLS: IMF exact 2026</x:v>
      </x:c>
      <x:c r="Z473" s="36" t="str">
        <x:v>TLS: IMF exact 2026</x:v>
      </x:c>
      <x:c r="AA473" s="36" t="str">
        <x:v>complete_primary</x:v>
      </x:c>
      <x:c r="AB473" s="36" t="str">
        <x:v>https://www.un.org/development/desa/pd/world-population-prospects-2024</x:v>
      </x:c>
      <x:c r="AC473" s="36" t="str">
        <x:v>https://api.imf.org/external/sdmx/3.0/data/dataflow/IMF.RES/WEO/9.0.0/</x:v>
      </x:c>
      <x:c r="AD473" s="36" t="str">
        <x:v>https://api.worldbank.org/v2/</x:v>
      </x:c>
    </x:row>
    <x:row r="474">
      <x:c r="A474" s="24" t="str">
        <x:v>TGO</x:v>
      </x:c>
      <x:c r="B474" s="24" t="str">
        <x:v>Togo</x:v>
      </x:c>
      <x:c r="C474" s="24" t="str">
        <x:v>TGO</x:v>
      </x:c>
      <x:c r="D474" s="24" t="str">
        <x:v>TGO</x:v>
      </x:c>
      <x:c r="E474" s="24" t="n">
        <x:v>2003</x:v>
      </x:c>
      <x:c r="F474" s="37" t="n">
        <x:v>1.59</x:v>
      </x:c>
      <x:c r="G474" s="38" t="n">
        <x:v>5552167</x:v>
      </x:c>
      <x:c r="H474" s="38" t="n">
        <x:v>5552167</x:v>
      </x:c>
      <x:c r="I474" s="39" t="n">
        <x:f>H474/G474</x:f>
        <x:v>1</x:v>
      </x:c>
      <x:c r="J474" s="40" t="n">
        <x:f>(I474-1)*100</x:f>
        <x:v>0</x:v>
      </x:c>
      <x:c r="K474" s="36" t="str">
        <x:v>no</x:v>
      </x:c>
      <x:c r="L474" s="36" t="str">
        <x:v>Single-country territory; UN WPP and vanilla are within the ±5% review threshold.</x:v>
      </x:c>
      <x:c r="M474" s="41" t="n">
        <x:v>4335087719</x:v>
      </x:c>
      <x:c r="N474" s="41" t="n">
        <x:v>6892789473</x:v>
      </x:c>
      <x:c r="O474" s="41" t="n">
        <x:v>1241</x:v>
      </x:c>
      <x:c r="P474" s="41" t="n">
        <x:v>817</x:v>
      </x:c>
      <x:c r="Q474" s="41" t="n">
        <x:v>2123</x:v>
      </x:c>
      <x:c r="R474" s="42" t="n">
        <x:f>MIN(P474,Q474)</x:f>
        <x:v>817</x:v>
      </x:c>
      <x:c r="S474" s="42" t="n">
        <x:f>MAX(P474,Q474)</x:f>
        <x:v>2123</x:v>
      </x:c>
      <x:c r="T474" s="42" t="n">
        <x:f>MAX(R474,MIN(O474,S474))</x:f>
        <x:v>1241</x:v>
      </x:c>
      <x:c r="U474" s="19" t="str">
        <x:f>IF(O474&lt;R474,IF(R474=P474,"clamped_to_nominal","clamped_to_ppp"),IF(O474&gt;S474,IF(S474=P474,"clamped_to_nominal","clamped_to_ppp"),"kept_vanilla"))</x:f>
        <x:v>kept_vanilla</x:v>
      </x:c>
      <x:c r="V474" s="42" t="n">
        <x:f>T474*H474</x:f>
        <x:v>6890239247</x:v>
      </x:c>
      <x:c r="W474" s="42" t="n">
        <x:f>V474/F474</x:f>
        <x:v>4333483803.144654</x:v>
      </x:c>
      <x:c r="X474" s="36" t="str">
        <x:v>TGO: UN WPP 2024 Medium exact 2003</x:v>
      </x:c>
      <x:c r="Y474" s="36" t="str">
        <x:v>TGO: IMF exact 2003</x:v>
      </x:c>
      <x:c r="Z474" s="36" t="str">
        <x:v>TGO: IMF exact 2003</x:v>
      </x:c>
      <x:c r="AA474" s="36" t="str">
        <x:v>complete_primary</x:v>
      </x:c>
      <x:c r="AB474" s="36" t="str">
        <x:v>https://www.un.org/development/desa/pd/world-population-prospects-2024</x:v>
      </x:c>
      <x:c r="AC474" s="36" t="str">
        <x:v>https://api.imf.org/external/sdmx/3.0/data/dataflow/IMF.RES/WEO/9.0.0/</x:v>
      </x:c>
      <x:c r="AD474" s="36" t="str">
        <x:v>https://api.worldbank.org/v2/</x:v>
      </x:c>
    </x:row>
    <x:row r="475">
      <x:c r="A475" s="24" t="str">
        <x:v>TGO</x:v>
      </x:c>
      <x:c r="B475" s="24" t="str">
        <x:v>Togo</x:v>
      </x:c>
      <x:c r="C475" s="24" t="str">
        <x:v>TGO</x:v>
      </x:c>
      <x:c r="D475" s="24" t="str">
        <x:v>TGO</x:v>
      </x:c>
      <x:c r="E475" s="24" t="n">
        <x:v>2022</x:v>
      </x:c>
      <x:c r="F475" s="37" t="n">
        <x:v>1</x:v>
      </x:c>
      <x:c r="G475" s="38" t="n">
        <x:v>8744506</x:v>
      </x:c>
      <x:c r="H475" s="38" t="n">
        <x:v>9089738</x:v>
      </x:c>
      <x:c r="I475" s="39" t="n">
        <x:f>H475/G475</x:f>
        <x:v>1.0394798745635259</x:v>
      </x:c>
      <x:c r="J475" s="40" t="n">
        <x:f>(I475-1)*100</x:f>
        <x:v>3.9479874563525863</x:v>
      </x:c>
      <x:c r="K475" s="36" t="str">
        <x:v>no</x:v>
      </x:c>
      <x:c r="L475" s="36" t="str">
        <x:v>Single-country territory; UN WPP and vanilla are within the ±5% review threshold.</x:v>
      </x:c>
      <x:c r="M475" s="41" t="n">
        <x:v>19898560000</x:v>
      </x:c>
      <x:c r="N475" s="41" t="n">
        <x:v>19898560000</x:v>
      </x:c>
      <x:c r="O475" s="41" t="n">
        <x:v>2276</x:v>
      </x:c>
      <x:c r="P475" s="41" t="n">
        <x:v>953</x:v>
      </x:c>
      <x:c r="Q475" s="41" t="n">
        <x:v>2935</x:v>
      </x:c>
      <x:c r="R475" s="42" t="n">
        <x:f>MIN(P475,Q475)</x:f>
        <x:v>953</x:v>
      </x:c>
      <x:c r="S475" s="42" t="n">
        <x:f>MAX(P475,Q475)</x:f>
        <x:v>2935</x:v>
      </x:c>
      <x:c r="T475" s="42" t="n">
        <x:f>MAX(R475,MIN(O475,S475))</x:f>
        <x:v>2276</x:v>
      </x:c>
      <x:c r="U475" s="19" t="str">
        <x:f>IF(O475&lt;R475,IF(R475=P475,"clamped_to_nominal","clamped_to_ppp"),IF(O475&gt;S475,IF(S475=P475,"clamped_to_nominal","clamped_to_ppp"),"kept_vanilla"))</x:f>
        <x:v>kept_vanilla</x:v>
      </x:c>
      <x:c r="V475" s="42" t="n">
        <x:f>T475*H475</x:f>
        <x:v>20688243688</x:v>
      </x:c>
      <x:c r="W475" s="42" t="n">
        <x:f>V475/F475</x:f>
        <x:v>20688243688</x:v>
      </x:c>
      <x:c r="X475" s="36" t="str">
        <x:v>TGO: UN WPP 2024 Medium exact 2022</x:v>
      </x:c>
      <x:c r="Y475" s="36" t="str">
        <x:v>TGO: IMF exact 2022</x:v>
      </x:c>
      <x:c r="Z475" s="36" t="str">
        <x:v>TGO: IMF exact 2022</x:v>
      </x:c>
      <x:c r="AA475" s="36" t="str">
        <x:v>complete_primary</x:v>
      </x:c>
      <x:c r="AB475" s="36" t="str">
        <x:v>https://www.un.org/development/desa/pd/world-population-prospects-2024</x:v>
      </x:c>
      <x:c r="AC475" s="36" t="str">
        <x:v>https://api.imf.org/external/sdmx/3.0/data/dataflow/IMF.RES/WEO/9.0.0/</x:v>
      </x:c>
      <x:c r="AD475" s="36" t="str">
        <x:v>https://api.worldbank.org/v2/</x:v>
      </x:c>
    </x:row>
    <x:row r="476">
      <x:c r="A476" s="24" t="str">
        <x:v>TGO</x:v>
      </x:c>
      <x:c r="B476" s="24" t="str">
        <x:v>Togo</x:v>
      </x:c>
      <x:c r="C476" s="24" t="str">
        <x:v>TGO</x:v>
      </x:c>
      <x:c r="D476" s="24" t="str">
        <x:v>TGO</x:v>
      </x:c>
      <x:c r="E476" s="24" t="n">
        <x:v>2026</x:v>
      </x:c>
      <x:c r="F476" s="37" t="n">
        <x:v>0.87</x:v>
      </x:c>
      <x:c r="G476" s="38" t="n">
        <x:v>9930919</x:v>
      </x:c>
      <x:c r="H476" s="38" t="n">
        <x:v>9930918</x:v>
      </x:c>
      <x:c r="I476" s="39" t="n">
        <x:f>H476/G476</x:f>
        <x:v>0.9999998993043846</x:v>
      </x:c>
      <x:c r="J476" s="40" t="n">
        <x:f>(I476-1)*100</x:f>
        <x:v>-0.000010069561540149152</x:v>
      </x:c>
      <x:c r="K476" s="36" t="str">
        <x:v>no</x:v>
      </x:c>
      <x:c r="L476" s="36" t="str">
        <x:v>Single-country territory; UN WPP and vanilla are within the ±5% review threshold.</x:v>
      </x:c>
      <x:c r="M476" s="41" t="n">
        <x:v>29081360000</x:v>
      </x:c>
      <x:c r="N476" s="41" t="n">
        <x:v>25300783200</x:v>
      </x:c>
      <x:c r="O476" s="41" t="n">
        <x:v>2548</x:v>
      </x:c>
      <x:c r="P476" s="41" t="n">
        <x:v>1177</x:v>
      </x:c>
      <x:c r="Q476" s="41" t="n">
        <x:v>3298</x:v>
      </x:c>
      <x:c r="R476" s="42" t="n">
        <x:f>MIN(P476,Q476)</x:f>
        <x:v>1177</x:v>
      </x:c>
      <x:c r="S476" s="42" t="n">
        <x:f>MAX(P476,Q476)</x:f>
        <x:v>3298</x:v>
      </x:c>
      <x:c r="T476" s="42" t="n">
        <x:f>MAX(R476,MIN(O476,S476))</x:f>
        <x:v>2548</x:v>
      </x:c>
      <x:c r="U476" s="19" t="str">
        <x:f>IF(O476&lt;R476,IF(R476=P476,"clamped_to_nominal","clamped_to_ppp"),IF(O476&gt;S476,IF(S476=P476,"clamped_to_nominal","clamped_to_ppp"),"kept_vanilla"))</x:f>
        <x:v>kept_vanilla</x:v>
      </x:c>
      <x:c r="V476" s="42" t="n">
        <x:f>T476*H476</x:f>
        <x:v>25303979064</x:v>
      </x:c>
      <x:c r="W476" s="42" t="n">
        <x:f>V476/F476</x:f>
        <x:v>29085033406.896553</x:v>
      </x:c>
      <x:c r="X476" s="36" t="str">
        <x:v>TGO: UN WPP 2024 Medium exact 2026</x:v>
      </x:c>
      <x:c r="Y476" s="36" t="str">
        <x:v>TGO: IMF exact 2026</x:v>
      </x:c>
      <x:c r="Z476" s="36" t="str">
        <x:v>TGO: IMF exact 2026</x:v>
      </x:c>
      <x:c r="AA476" s="36" t="str">
        <x:v>complete_primary</x:v>
      </x:c>
      <x:c r="AB476" s="36" t="str">
        <x:v>https://www.un.org/development/desa/pd/world-population-prospects-2024</x:v>
      </x:c>
      <x:c r="AC476" s="36" t="str">
        <x:v>https://api.imf.org/external/sdmx/3.0/data/dataflow/IMF.RES/WEO/9.0.0/</x:v>
      </x:c>
      <x:c r="AD476" s="36" t="str">
        <x:v>https://api.worldbank.org/v2/</x:v>
      </x:c>
    </x:row>
    <x:row r="477">
      <x:c r="A477" s="24" t="str">
        <x:v>TUN</x:v>
      </x:c>
      <x:c r="B477" s="24" t="str">
        <x:v>Tunisia</x:v>
      </x:c>
      <x:c r="C477" s="24" t="str">
        <x:v>TUN</x:v>
      </x:c>
      <x:c r="D477" s="24" t="str">
        <x:v>TUN</x:v>
      </x:c>
      <x:c r="E477" s="24" t="n">
        <x:v>2003</x:v>
      </x:c>
      <x:c r="F477" s="37" t="n">
        <x:v>1.59</x:v>
      </x:c>
      <x:c r="G477" s="38" t="n">
        <x:v>10071632</x:v>
      </x:c>
      <x:c r="H477" s="38" t="n">
        <x:v>10071632</x:v>
      </x:c>
      <x:c r="I477" s="39" t="n">
        <x:f>H477/G477</x:f>
        <x:v>1</x:v>
      </x:c>
      <x:c r="J477" s="40" t="n">
        <x:f>(I477-1)*100</x:f>
        <x:v>0</x:v>
      </x:c>
      <x:c r="K477" s="36" t="str">
        <x:v>no</x:v>
      </x:c>
      <x:c r="L477" s="36" t="str">
        <x:v>Single-country territory; UN WPP and vanilla are within the ±5% review threshold.</x:v>
      </x:c>
      <x:c r="M477" s="41" t="n">
        <x:v>38339766082</x:v>
      </x:c>
      <x:c r="N477" s="41" t="n">
        <x:v>60960228070</x:v>
      </x:c>
      <x:c r="O477" s="41" t="n">
        <x:v>6053</x:v>
      </x:c>
      <x:c r="P477" s="41" t="n">
        <x:v>4546</x:v>
      </x:c>
      <x:c r="Q477" s="41" t="n">
        <x:v>10350</x:v>
      </x:c>
      <x:c r="R477" s="42" t="n">
        <x:f>MIN(P477,Q477)</x:f>
        <x:v>4546</x:v>
      </x:c>
      <x:c r="S477" s="42" t="n">
        <x:f>MAX(P477,Q477)</x:f>
        <x:v>10350</x:v>
      </x:c>
      <x:c r="T477" s="42" t="n">
        <x:f>MAX(R477,MIN(O477,S477))</x:f>
        <x:v>6053</x:v>
      </x:c>
      <x:c r="U477" s="19" t="str">
        <x:f>IF(O477&lt;R477,IF(R477=P477,"clamped_to_nominal","clamped_to_ppp"),IF(O477&gt;S477,IF(S477=P477,"clamped_to_nominal","clamped_to_ppp"),"kept_vanilla"))</x:f>
        <x:v>kept_vanilla</x:v>
      </x:c>
      <x:c r="V477" s="42" t="n">
        <x:f>T477*H477</x:f>
        <x:v>60963588496</x:v>
      </x:c>
      <x:c r="W477" s="42" t="n">
        <x:f>V477/F477</x:f>
        <x:v>38341879557.232704</x:v>
      </x:c>
      <x:c r="X477" s="36" t="str">
        <x:v>TUN: UN WPP 2024 Medium exact 2003</x:v>
      </x:c>
      <x:c r="Y477" s="36" t="str">
        <x:v>TUN: IMF exact 2003</x:v>
      </x:c>
      <x:c r="Z477" s="36" t="str">
        <x:v>TUN: IMF exact 2003</x:v>
      </x:c>
      <x:c r="AA477" s="36" t="str">
        <x:v>complete_primary</x:v>
      </x:c>
      <x:c r="AB477" s="36" t="str">
        <x:v>https://www.un.org/development/desa/pd/world-population-prospects-2024</x:v>
      </x:c>
      <x:c r="AC477" s="36" t="str">
        <x:v>https://api.imf.org/external/sdmx/3.0/data/dataflow/IMF.RES/WEO/9.0.0/</x:v>
      </x:c>
      <x:c r="AD477" s="36" t="str">
        <x:v>https://api.worldbank.org/v2/</x:v>
      </x:c>
    </x:row>
    <x:row r="478">
      <x:c r="A478" s="24" t="str">
        <x:v>TUN</x:v>
      </x:c>
      <x:c r="B478" s="24" t="str">
        <x:v>Tunisia</x:v>
      </x:c>
      <x:c r="C478" s="24" t="str">
        <x:v>TUN</x:v>
      </x:c>
      <x:c r="D478" s="24" t="str">
        <x:v>TUN</x:v>
      </x:c>
      <x:c r="E478" s="24" t="n">
        <x:v>2022</x:v>
      </x:c>
      <x:c r="F478" s="37" t="n">
        <x:v>1</x:v>
      </x:c>
      <x:c r="G478" s="38" t="n">
        <x:v>12081067</x:v>
      </x:c>
      <x:c r="H478" s="38" t="n">
        <x:v>12119334</x:v>
      </x:c>
      <x:c r="I478" s="39" t="n">
        <x:f>H478/G478</x:f>
        <x:v>1.003167518233282</x:v>
      </x:c>
      <x:c r="J478" s="40" t="n">
        <x:f>(I478-1)*100</x:f>
        <x:v>0.3167518233281985</x:v>
      </x:c>
      <x:c r="K478" s="36" t="str">
        <x:v>no</x:v>
      </x:c>
      <x:c r="L478" s="36" t="str">
        <x:v>Single-country territory; UN WPP and vanilla are within the ±5% review threshold.</x:v>
      </x:c>
      <x:c r="M478" s="41" t="n">
        <x:v>131281920000</x:v>
      </x:c>
      <x:c r="N478" s="41" t="n">
        <x:v>131281920000</x:v>
      </x:c>
      <x:c r="O478" s="41" t="n">
        <x:v>10867</x:v>
      </x:c>
      <x:c r="P478" s="41" t="n">
        <x:v>3680</x:v>
      </x:c>
      <x:c r="Q478" s="41" t="n">
        <x:v>13531</x:v>
      </x:c>
      <x:c r="R478" s="42" t="n">
        <x:f>MIN(P478,Q478)</x:f>
        <x:v>3680</x:v>
      </x:c>
      <x:c r="S478" s="42" t="n">
        <x:f>MAX(P478,Q478)</x:f>
        <x:v>13531</x:v>
      </x:c>
      <x:c r="T478" s="42" t="n">
        <x:f>MAX(R478,MIN(O478,S478))</x:f>
        <x:v>10867</x:v>
      </x:c>
      <x:c r="U478" s="19" t="str">
        <x:f>IF(O478&lt;R478,IF(R478=P478,"clamped_to_nominal","clamped_to_ppp"),IF(O478&gt;S478,IF(S478=P478,"clamped_to_nominal","clamped_to_ppp"),"kept_vanilla"))</x:f>
        <x:v>kept_vanilla</x:v>
      </x:c>
      <x:c r="V478" s="42" t="n">
        <x:f>T478*H478</x:f>
        <x:v>131700802578</x:v>
      </x:c>
      <x:c r="W478" s="42" t="n">
        <x:f>V478/F478</x:f>
        <x:v>131700802578</x:v>
      </x:c>
      <x:c r="X478" s="36" t="str">
        <x:v>TUN: UN WPP 2024 Medium exact 2022</x:v>
      </x:c>
      <x:c r="Y478" s="36" t="str">
        <x:v>TUN: IMF exact 2022</x:v>
      </x:c>
      <x:c r="Z478" s="36" t="str">
        <x:v>TUN: IMF exact 2022</x:v>
      </x:c>
      <x:c r="AA478" s="36" t="str">
        <x:v>complete_primary</x:v>
      </x:c>
      <x:c r="AB478" s="36" t="str">
        <x:v>https://www.un.org/development/desa/pd/world-population-prospects-2024</x:v>
      </x:c>
      <x:c r="AC478" s="36" t="str">
        <x:v>https://api.imf.org/external/sdmx/3.0/data/dataflow/IMF.RES/WEO/9.0.0/</x:v>
      </x:c>
      <x:c r="AD478" s="36" t="str">
        <x:v>https://api.worldbank.org/v2/</x:v>
      </x:c>
    </x:row>
    <x:row r="479">
      <x:c r="A479" s="24" t="str">
        <x:v>TUN</x:v>
      </x:c>
      <x:c r="B479" s="24" t="str">
        <x:v>Tunisia</x:v>
      </x:c>
      <x:c r="C479" s="24" t="str">
        <x:v>TUN</x:v>
      </x:c>
      <x:c r="D479" s="24" t="str">
        <x:v>TUN</x:v>
      </x:c>
      <x:c r="E479" s="24" t="n">
        <x:v>2026</x:v>
      </x:c>
      <x:c r="F479" s="37" t="n">
        <x:v>0.87</x:v>
      </x:c>
      <x:c r="G479" s="38" t="n">
        <x:v>12415139</x:v>
      </x:c>
      <x:c r="H479" s="38" t="n">
        <x:v>12415138</x:v>
      </x:c>
      <x:c r="I479" s="39" t="n">
        <x:f>H479/G479</x:f>
        <x:v>0.9999999194531772</x:v>
      </x:c>
      <x:c r="J479" s="40" t="n">
        <x:f>(I479-1)*100</x:f>
        <x:v>-0.000008054682276714686</x:v>
      </x:c>
      <x:c r="K479" s="36" t="str">
        <x:v>no</x:v>
      </x:c>
      <x:c r="L479" s="36" t="str">
        <x:v>Single-country territory; UN WPP and vanilla are within the ±5% review threshold.</x:v>
      </x:c>
      <x:c r="M479" s="41" t="n">
        <x:v>161678000000</x:v>
      </x:c>
      <x:c r="N479" s="41" t="n">
        <x:v>140659860000</x:v>
      </x:c>
      <x:c r="O479" s="41" t="n">
        <x:v>11330</x:v>
      </x:c>
      <x:c r="P479" s="41" t="n">
        <x:v>4257</x:v>
      </x:c>
      <x:c r="Q479" s="41" t="n">
        <x:v>13774</x:v>
      </x:c>
      <x:c r="R479" s="42" t="n">
        <x:f>MIN(P479,Q479)</x:f>
        <x:v>4257</x:v>
      </x:c>
      <x:c r="S479" s="42" t="n">
        <x:f>MAX(P479,Q479)</x:f>
        <x:v>13774</x:v>
      </x:c>
      <x:c r="T479" s="42" t="n">
        <x:f>MAX(R479,MIN(O479,S479))</x:f>
        <x:v>11330</x:v>
      </x:c>
      <x:c r="U479" s="19" t="str">
        <x:f>IF(O479&lt;R479,IF(R479=P479,"clamped_to_nominal","clamped_to_ppp"),IF(O479&gt;S479,IF(S479=P479,"clamped_to_nominal","clamped_to_ppp"),"kept_vanilla"))</x:f>
        <x:v>kept_vanilla</x:v>
      </x:c>
      <x:c r="V479" s="42" t="n">
        <x:f>T479*H479</x:f>
        <x:v>140663513540</x:v>
      </x:c>
      <x:c r="W479" s="42" t="n">
        <x:f>V479/F479</x:f>
        <x:v>161682199471.26437</x:v>
      </x:c>
      <x:c r="X479" s="36" t="str">
        <x:v>TUN: UN WPP 2024 Medium exact 2026</x:v>
      </x:c>
      <x:c r="Y479" s="36" t="str">
        <x:v>TUN: IMF exact 2026</x:v>
      </x:c>
      <x:c r="Z479" s="36" t="str">
        <x:v>TUN: IMF exact 2026</x:v>
      </x:c>
      <x:c r="AA479" s="36" t="str">
        <x:v>complete_primary</x:v>
      </x:c>
      <x:c r="AB479" s="36" t="str">
        <x:v>https://www.un.org/development/desa/pd/world-population-prospects-2024</x:v>
      </x:c>
      <x:c r="AC479" s="36" t="str">
        <x:v>https://api.imf.org/external/sdmx/3.0/data/dataflow/IMF.RES/WEO/9.0.0/</x:v>
      </x:c>
      <x:c r="AD479" s="36" t="str">
        <x:v>https://api.worldbank.org/v2/</x:v>
      </x:c>
    </x:row>
    <x:row r="480">
      <x:c r="A480" s="24" t="str">
        <x:v>TUR</x:v>
      </x:c>
      <x:c r="B480" s="24" t="str">
        <x:v>Turkey</x:v>
      </x:c>
      <x:c r="C480" s="24" t="str">
        <x:v>TUR</x:v>
      </x:c>
      <x:c r="D480" s="24" t="str">
        <x:v>TUR</x:v>
      </x:c>
      <x:c r="E480" s="24" t="n">
        <x:v>2003</x:v>
      </x:c>
      <x:c r="F480" s="37" t="n">
        <x:v>1.59</x:v>
      </x:c>
      <x:c r="G480" s="38" t="n">
        <x:v>67831730</x:v>
      </x:c>
      <x:c r="H480" s="38" t="n">
        <x:v>67831730</x:v>
      </x:c>
      <x:c r="I480" s="39" t="n">
        <x:f>H480/G480</x:f>
        <x:v>1</x:v>
      </x:c>
      <x:c r="J480" s="40" t="n">
        <x:f>(I480-1)*100</x:f>
        <x:v>0</x:v>
      </x:c>
      <x:c r="K480" s="36" t="str">
        <x:v>no</x:v>
      </x:c>
      <x:c r="L480" s="36" t="str">
        <x:v>Single-country territory; UN WPP and vanilla are within the ±5% review threshold.</x:v>
      </x:c>
      <x:c r="M480" s="41" t="n">
        <x:v>466381286550</x:v>
      </x:c>
      <x:c r="N480" s="41" t="n">
        <x:v>741546245615</x:v>
      </x:c>
      <x:c r="O480" s="41" t="n">
        <x:v>10932</x:v>
      </x:c>
      <x:c r="P480" s="41" t="n">
        <x:v>7439</x:v>
      </x:c>
      <x:c r="Q480" s="41" t="n">
        <x:v>18784</x:v>
      </x:c>
      <x:c r="R480" s="42" t="n">
        <x:f>MIN(P480,Q480)</x:f>
        <x:v>7439</x:v>
      </x:c>
      <x:c r="S480" s="42" t="n">
        <x:f>MAX(P480,Q480)</x:f>
        <x:v>18784</x:v>
      </x:c>
      <x:c r="T480" s="42" t="n">
        <x:f>MAX(R480,MIN(O480,S480))</x:f>
        <x:v>10932</x:v>
      </x:c>
      <x:c r="U480" s="19" t="str">
        <x:f>IF(O480&lt;R480,IF(R480=P480,"clamped_to_nominal","clamped_to_ppp"),IF(O480&gt;S480,IF(S480=P480,"clamped_to_nominal","clamped_to_ppp"),"kept_vanilla"))</x:f>
        <x:v>kept_vanilla</x:v>
      </x:c>
      <x:c r="V480" s="42" t="n">
        <x:f>T480*H480</x:f>
        <x:v>741536472360</x:v>
      </x:c>
      <x:c r="W480" s="42" t="n">
        <x:f>V480/F480</x:f>
        <x:v>466375139849.0566</x:v>
      </x:c>
      <x:c r="X480" s="36" t="str">
        <x:v>TUR: UN WPP 2024 Medium exact 2003</x:v>
      </x:c>
      <x:c r="Y480" s="36" t="str">
        <x:v>TUR: IMF exact 2003</x:v>
      </x:c>
      <x:c r="Z480" s="36" t="str">
        <x:v>TUR: IMF exact 2003</x:v>
      </x:c>
      <x:c r="AA480" s="36" t="str">
        <x:v>complete_primary</x:v>
      </x:c>
      <x:c r="AB480" s="36" t="str">
        <x:v>https://www.un.org/development/desa/pd/world-population-prospects-2024</x:v>
      </x:c>
      <x:c r="AC480" s="36" t="str">
        <x:v>https://api.imf.org/external/sdmx/3.0/data/dataflow/IMF.RES/WEO/9.0.0/</x:v>
      </x:c>
      <x:c r="AD480" s="36" t="str">
        <x:v>https://api.worldbank.org/v2/</x:v>
      </x:c>
    </x:row>
    <x:row r="481">
      <x:c r="A481" s="24" t="str">
        <x:v>TUR</x:v>
      </x:c>
      <x:c r="B481" s="24" t="str">
        <x:v>Turkey</x:v>
      </x:c>
      <x:c r="C481" s="24" t="str">
        <x:v>TUR</x:v>
      </x:c>
      <x:c r="D481" s="24" t="str">
        <x:v>TUR</x:v>
      </x:c>
      <x:c r="E481" s="24" t="n">
        <x:v>2022</x:v>
      </x:c>
      <x:c r="F481" s="37" t="n">
        <x:v>1</x:v>
      </x:c>
      <x:c r="G481" s="38" t="n">
        <x:v>85703367</x:v>
      </x:c>
      <x:c r="H481" s="38" t="n">
        <x:v>87058473</x:v>
      </x:c>
      <x:c r="I481" s="39" t="n">
        <x:f>H481/G481</x:f>
        <x:v>1.0158115841586481</x:v>
      </x:c>
      <x:c r="J481" s="40" t="n">
        <x:f>(I481-1)*100</x:f>
        <x:v>1.581158415864814</x:v>
      </x:c>
      <x:c r="K481" s="36" t="str">
        <x:v>no</x:v>
      </x:c>
      <x:c r="L481" s="36" t="str">
        <x:v>Single-country territory; UN WPP and vanilla are within the ±5% review threshold.</x:v>
      </x:c>
      <x:c r="M481" s="41" t="n">
        <x:v>2826623360000</x:v>
      </x:c>
      <x:c r="N481" s="41" t="n">
        <x:v>2826623360000</x:v>
      </x:c>
      <x:c r="O481" s="41" t="n">
        <x:v>32981</x:v>
      </x:c>
      <x:c r="P481" s="41" t="n">
        <x:v>10622</x:v>
      </x:c>
      <x:c r="Q481" s="41" t="n">
        <x:v>35382</x:v>
      </x:c>
      <x:c r="R481" s="42" t="n">
        <x:f>MIN(P481,Q481)</x:f>
        <x:v>10622</x:v>
      </x:c>
      <x:c r="S481" s="42" t="n">
        <x:f>MAX(P481,Q481)</x:f>
        <x:v>35382</x:v>
      </x:c>
      <x:c r="T481" s="42" t="n">
        <x:f>MAX(R481,MIN(O481,S481))</x:f>
        <x:v>32981</x:v>
      </x:c>
      <x:c r="U481" s="19" t="str">
        <x:f>IF(O481&lt;R481,IF(R481=P481,"clamped_to_nominal","clamped_to_ppp"),IF(O481&gt;S481,IF(S481=P481,"clamped_to_nominal","clamped_to_ppp"),"kept_vanilla"))</x:f>
        <x:v>kept_vanilla</x:v>
      </x:c>
      <x:c r="V481" s="42" t="n">
        <x:f>T481*H481</x:f>
        <x:v>2871275498013</x:v>
      </x:c>
      <x:c r="W481" s="42" t="n">
        <x:f>V481/F481</x:f>
        <x:v>2871275498013</x:v>
      </x:c>
      <x:c r="X481" s="36" t="str">
        <x:v>TUR: UN WPP 2024 Medium exact 2022</x:v>
      </x:c>
      <x:c r="Y481" s="36" t="str">
        <x:v>TUR: IMF exact 2022</x:v>
      </x:c>
      <x:c r="Z481" s="36" t="str">
        <x:v>TUR: IMF exact 2022</x:v>
      </x:c>
      <x:c r="AA481" s="36" t="str">
        <x:v>complete_primary</x:v>
      </x:c>
      <x:c r="AB481" s="36" t="str">
        <x:v>https://www.un.org/development/desa/pd/world-population-prospects-2024</x:v>
      </x:c>
      <x:c r="AC481" s="36" t="str">
        <x:v>https://api.imf.org/external/sdmx/3.0/data/dataflow/IMF.RES/WEO/9.0.0/</x:v>
      </x:c>
      <x:c r="AD481" s="36" t="str">
        <x:v>https://api.worldbank.org/v2/</x:v>
      </x:c>
    </x:row>
    <x:row r="482">
      <x:c r="A482" s="24" t="str">
        <x:v>TUR</x:v>
      </x:c>
      <x:c r="B482" s="24" t="str">
        <x:v>Turkey</x:v>
      </x:c>
      <x:c r="C482" s="24" t="str">
        <x:v>TUR</x:v>
      </x:c>
      <x:c r="D482" s="24" t="str">
        <x:v>TUR</x:v>
      </x:c>
      <x:c r="E482" s="24" t="n">
        <x:v>2026</x:v>
      </x:c>
      <x:c r="F482" s="37" t="n">
        <x:v>0.87</x:v>
      </x:c>
      <x:c r="G482" s="38" t="n">
        <x:v>87926083</x:v>
      </x:c>
      <x:c r="H482" s="38" t="n">
        <x:v>87926082</x:v>
      </x:c>
      <x:c r="I482" s="39" t="n">
        <x:f>H482/G482</x:f>
        <x:v>0.9999999886268105</x:v>
      </x:c>
      <x:c r="J482" s="40" t="n">
        <x:f>(I482-1)*100</x:f>
        <x:v>-0.0000011373189501284742</x:v>
      </x:c>
      <x:c r="K482" s="36" t="str">
        <x:v>no</x:v>
      </x:c>
      <x:c r="L482" s="36" t="str">
        <x:v>Single-country territory; UN WPP and vanilla are within the ±5% review threshold.</x:v>
      </x:c>
      <x:c r="M482" s="41" t="n">
        <x:v>3314754080000</x:v>
      </x:c>
      <x:c r="N482" s="41" t="n">
        <x:v>2883836049600</x:v>
      </x:c>
      <x:c r="O482" s="41" t="n">
        <x:v>32798</x:v>
      </x:c>
      <x:c r="P482" s="41" t="n">
        <x:v>16229</x:v>
      </x:c>
      <x:c r="Q482" s="41" t="n">
        <x:v>39829</x:v>
      </x:c>
      <x:c r="R482" s="42" t="n">
        <x:f>MIN(P482,Q482)</x:f>
        <x:v>16229</x:v>
      </x:c>
      <x:c r="S482" s="42" t="n">
        <x:f>MAX(P482,Q482)</x:f>
        <x:v>39829</x:v>
      </x:c>
      <x:c r="T482" s="42" t="n">
        <x:f>MAX(R482,MIN(O482,S482))</x:f>
        <x:v>32798</x:v>
      </x:c>
      <x:c r="U482" s="19" t="str">
        <x:f>IF(O482&lt;R482,IF(R482=P482,"clamped_to_nominal","clamped_to_ppp"),IF(O482&gt;S482,IF(S482=P482,"clamped_to_nominal","clamped_to_ppp"),"kept_vanilla"))</x:f>
        <x:v>kept_vanilla</x:v>
      </x:c>
      <x:c r="V482" s="42" t="n">
        <x:f>T482*H482</x:f>
        <x:v>2883799637436</x:v>
      </x:c>
      <x:c r="W482" s="42" t="n">
        <x:f>V482/F482</x:f>
        <x:v>3314712226937.931</x:v>
      </x:c>
      <x:c r="X482" s="36" t="str">
        <x:v>TUR: UN WPP 2024 Medium exact 2026</x:v>
      </x:c>
      <x:c r="Y482" s="36" t="str">
        <x:v>TUR: IMF exact 2026</x:v>
      </x:c>
      <x:c r="Z482" s="36" t="str">
        <x:v>TUR: IMF exact 2026</x:v>
      </x:c>
      <x:c r="AA482" s="36" t="str">
        <x:v>complete_primary</x:v>
      </x:c>
      <x:c r="AB482" s="36" t="str">
        <x:v>https://www.un.org/development/desa/pd/world-population-prospects-2024</x:v>
      </x:c>
      <x:c r="AC482" s="36" t="str">
        <x:v>https://api.imf.org/external/sdmx/3.0/data/dataflow/IMF.RES/WEO/9.0.0/</x:v>
      </x:c>
      <x:c r="AD482" s="36" t="str">
        <x:v>https://api.worldbank.org/v2/</x:v>
      </x:c>
    </x:row>
    <x:row r="483">
      <x:c r="A483" s="24" t="str">
        <x:v>TKM</x:v>
      </x:c>
      <x:c r="B483" s="24" t="str">
        <x:v>Turkmenistan</x:v>
      </x:c>
      <x:c r="C483" s="24" t="str">
        <x:v>TKM</x:v>
      </x:c>
      <x:c r="D483" s="24" t="str">
        <x:v>TKM</x:v>
      </x:c>
      <x:c r="E483" s="24" t="n">
        <x:v>2003</x:v>
      </x:c>
      <x:c r="F483" s="37" t="n">
        <x:v>1.59</x:v>
      </x:c>
      <x:c r="G483" s="38" t="n">
        <x:v>4863865</x:v>
      </x:c>
      <x:c r="H483" s="38" t="n">
        <x:v>4863865</x:v>
      </x:c>
      <x:c r="I483" s="39" t="n">
        <x:f>H483/G483</x:f>
        <x:v>1</x:v>
      </x:c>
      <x:c r="J483" s="40" t="n">
        <x:f>(I483-1)*100</x:f>
        <x:v>0</x:v>
      </x:c>
      <x:c r="K483" s="36" t="str">
        <x:v>no</x:v>
      </x:c>
      <x:c r="L483" s="36" t="str">
        <x:v>Single-country territory; UN WPP and vanilla are within the ±5% review threshold.</x:v>
      </x:c>
      <x:c r="M483" s="41" t="n">
        <x:v>16336257310</x:v>
      </x:c>
      <x:c r="N483" s="41" t="n">
        <x:v>25974649123</x:v>
      </x:c>
      <x:c r="O483" s="41" t="n">
        <x:v>5340</x:v>
      </x:c>
      <x:c r="P483" s="41" t="n">
        <x:v>3480</x:v>
      </x:c>
      <x:c r="Q483" s="41" t="n">
        <x:v>5314</x:v>
      </x:c>
      <x:c r="R483" s="42" t="n">
        <x:f>MIN(P483,Q483)</x:f>
        <x:v>3480</x:v>
      </x:c>
      <x:c r="S483" s="42" t="n">
        <x:f>MAX(P483,Q483)</x:f>
        <x:v>5314</x:v>
      </x:c>
      <x:c r="T483" s="42" t="n">
        <x:f>MAX(R483,MIN(O483,S483))</x:f>
        <x:v>5314</x:v>
      </x:c>
      <x:c r="U483" s="19" t="str">
        <x:f>IF(O483&lt;R483,IF(R483=P483,"clamped_to_nominal","clamped_to_ppp"),IF(O483&gt;S483,IF(S483=P483,"clamped_to_nominal","clamped_to_ppp"),"kept_vanilla"))</x:f>
        <x:v>clamped_to_ppp</x:v>
      </x:c>
      <x:c r="V483" s="42" t="n">
        <x:f>T483*H483</x:f>
        <x:v>25846578610</x:v>
      </x:c>
      <x:c r="W483" s="42" t="n">
        <x:f>V483/F483</x:f>
        <x:v>16255709817.610062</x:v>
      </x:c>
      <x:c r="X483" s="36" t="str">
        <x:v>TKM: UN WPP 2024 Medium exact 2003</x:v>
      </x:c>
      <x:c r="Y483" s="36" t="str">
        <x:v>TKM: IMF exact 2003</x:v>
      </x:c>
      <x:c r="Z483" s="36" t="str">
        <x:v>TKM: IMF exact 2003</x:v>
      </x:c>
      <x:c r="AA483" s="36" t="str">
        <x:v>complete_primary</x:v>
      </x:c>
      <x:c r="AB483" s="36" t="str">
        <x:v>https://www.un.org/development/desa/pd/world-population-prospects-2024</x:v>
      </x:c>
      <x:c r="AC483" s="36" t="str">
        <x:v>https://api.imf.org/external/sdmx/3.0/data/dataflow/IMF.RES/WEO/9.0.0/</x:v>
      </x:c>
      <x:c r="AD483" s="36" t="str">
        <x:v>https://api.worldbank.org/v2/</x:v>
      </x:c>
    </x:row>
    <x:row r="484">
      <x:c r="A484" s="24" t="str">
        <x:v>TKM</x:v>
      </x:c>
      <x:c r="B484" s="24" t="str">
        <x:v>Turkmenistan</x:v>
      </x:c>
      <x:c r="C484" s="24" t="str">
        <x:v>TKM</x:v>
      </x:c>
      <x:c r="D484" s="24" t="str">
        <x:v>TKM</x:v>
      </x:c>
      <x:c r="E484" s="24" t="n">
        <x:v>2022</x:v>
      </x:c>
      <x:c r="F484" s="37" t="n">
        <x:v>1</x:v>
      </x:c>
      <x:c r="G484" s="38" t="n">
        <x:v>6228007</x:v>
      </x:c>
      <x:c r="H484" s="38" t="n">
        <x:v>7230193</x:v>
      </x:c>
      <x:c r="I484" s="39" t="n">
        <x:f>H484/G484</x:f>
        <x:v>1.1609160041085373</x:v>
      </x:c>
      <x:c r="J484" s="40" t="n">
        <x:f>(I484-1)*100</x:f>
        <x:v>16.091600410853736</x:v>
      </x:c>
      <x:c r="K484" s="36" t="str">
        <x:v>yes — reviewed</x:v>
      </x:c>
      <x:c r="L484" s="36" t="str">
        <x:v>Single-country game territory and UN country/area boundary align. The difference is an updated historical estimate/projection vintage, not a geographic-scope mismatch; accept the UN WPP value for a consistent source vintage.</x:v>
      </x:c>
      <x:c r="M484" s="41" t="n">
        <x:v>103551360000</x:v>
      </x:c>
      <x:c r="N484" s="41" t="n">
        <x:v>103551360000</x:v>
      </x:c>
      <x:c r="O484" s="41" t="n">
        <x:v>16627</x:v>
      </x:c>
      <x:c r="P484" s="41" t="n">
        <x:v>7839</x:v>
      </x:c>
      <x:c r="Q484" s="41" t="n">
        <x:v>17655</x:v>
      </x:c>
      <x:c r="R484" s="42" t="n">
        <x:f>MIN(P484,Q484)</x:f>
        <x:v>7839</x:v>
      </x:c>
      <x:c r="S484" s="42" t="n">
        <x:f>MAX(P484,Q484)</x:f>
        <x:v>17655</x:v>
      </x:c>
      <x:c r="T484" s="42" t="n">
        <x:f>MAX(R484,MIN(O484,S484))</x:f>
        <x:v>16627</x:v>
      </x:c>
      <x:c r="U484" s="19" t="str">
        <x:f>IF(O484&lt;R484,IF(R484=P484,"clamped_to_nominal","clamped_to_ppp"),IF(O484&gt;S484,IF(S484=P484,"clamped_to_nominal","clamped_to_ppp"),"kept_vanilla"))</x:f>
        <x:v>kept_vanilla</x:v>
      </x:c>
      <x:c r="V484" s="42" t="n">
        <x:f>T484*H484</x:f>
        <x:v>120216419011</x:v>
      </x:c>
      <x:c r="W484" s="42" t="n">
        <x:f>V484/F484</x:f>
        <x:v>120216419011</x:v>
      </x:c>
      <x:c r="X484" s="36" t="str">
        <x:v>TKM: UN WPP 2024 Medium exact 2022</x:v>
      </x:c>
      <x:c r="Y484" s="36" t="str">
        <x:v>TKM: IMF exact 2022</x:v>
      </x:c>
      <x:c r="Z484" s="36" t="str">
        <x:v>TKM: IMF exact 2022</x:v>
      </x:c>
      <x:c r="AA484" s="36" t="str">
        <x:v>complete_primary</x:v>
      </x:c>
      <x:c r="AB484" s="36" t="str">
        <x:v>https://www.un.org/development/desa/pd/world-population-prospects-2024</x:v>
      </x:c>
      <x:c r="AC484" s="36" t="str">
        <x:v>https://api.imf.org/external/sdmx/3.0/data/dataflow/IMF.RES/WEO/9.0.0/</x:v>
      </x:c>
      <x:c r="AD484" s="36" t="str">
        <x:v>https://api.worldbank.org/v2/</x:v>
      </x:c>
    </x:row>
    <x:row r="485">
      <x:c r="A485" s="24" t="str">
        <x:v>TKM</x:v>
      </x:c>
      <x:c r="B485" s="24" t="str">
        <x:v>Turkmenistan</x:v>
      </x:c>
      <x:c r="C485" s="24" t="str">
        <x:v>TKM</x:v>
      </x:c>
      <x:c r="D485" s="24" t="str">
        <x:v>TKM</x:v>
      </x:c>
      <x:c r="E485" s="24" t="n">
        <x:v>2026</x:v>
      </x:c>
      <x:c r="F485" s="37" t="n">
        <x:v>0.87</x:v>
      </x:c>
      <x:c r="G485" s="38" t="n">
        <x:v>7736632</x:v>
      </x:c>
      <x:c r="H485" s="38" t="n">
        <x:v>7736632</x:v>
      </x:c>
      <x:c r="I485" s="39" t="n">
        <x:f>H485/G485</x:f>
        <x:v>1</x:v>
      </x:c>
      <x:c r="J485" s="40" t="n">
        <x:f>(I485-1)*100</x:f>
        <x:v>0</x:v>
      </x:c>
      <x:c r="K485" s="36" t="str">
        <x:v>no</x:v>
      </x:c>
      <x:c r="L485" s="36" t="str">
        <x:v>Single-country territory; UN WPP and vanilla are within the ±5% review threshold.</x:v>
      </x:c>
      <x:c r="M485" s="41" t="n">
        <x:v>163773280000</x:v>
      </x:c>
      <x:c r="N485" s="41" t="n">
        <x:v>142482753600</x:v>
      </x:c>
      <x:c r="O485" s="41" t="n">
        <x:v>18417</x:v>
      </x:c>
      <x:c r="P485" s="41" t="n">
        <x:v>9341</x:v>
      </x:c>
      <x:c r="Q485" s="41" t="n">
        <x:v>18490</x:v>
      </x:c>
      <x:c r="R485" s="42" t="n">
        <x:f>MIN(P485,Q485)</x:f>
        <x:v>9341</x:v>
      </x:c>
      <x:c r="S485" s="42" t="n">
        <x:f>MAX(P485,Q485)</x:f>
        <x:v>18490</x:v>
      </x:c>
      <x:c r="T485" s="42" t="n">
        <x:f>MAX(R485,MIN(O485,S485))</x:f>
        <x:v>18417</x:v>
      </x:c>
      <x:c r="U485" s="19" t="str">
        <x:f>IF(O485&lt;R485,IF(R485=P485,"clamped_to_nominal","clamped_to_ppp"),IF(O485&gt;S485,IF(S485=P485,"clamped_to_nominal","clamped_to_ppp"),"kept_vanilla"))</x:f>
        <x:v>kept_vanilla</x:v>
      </x:c>
      <x:c r="V485" s="42" t="n">
        <x:f>T485*H485</x:f>
        <x:v>142485551544</x:v>
      </x:c>
      <x:c r="W485" s="42" t="n">
        <x:f>V485/F485</x:f>
        <x:v>163776496027.5862</x:v>
      </x:c>
      <x:c r="X485" s="36" t="str">
        <x:v>TKM: UN WPP 2024 Medium exact 2026</x:v>
      </x:c>
      <x:c r="Y485" s="36" t="str">
        <x:v>TKM: IMF exact 2026</x:v>
      </x:c>
      <x:c r="Z485" s="36" t="str">
        <x:v>TKM: IMF exact 2026</x:v>
      </x:c>
      <x:c r="AA485" s="36" t="str">
        <x:v>complete_primary</x:v>
      </x:c>
      <x:c r="AB485" s="36" t="str">
        <x:v>https://www.un.org/development/desa/pd/world-population-prospects-2024</x:v>
      </x:c>
      <x:c r="AC485" s="36" t="str">
        <x:v>https://api.imf.org/external/sdmx/3.0/data/dataflow/IMF.RES/WEO/9.0.0/</x:v>
      </x:c>
      <x:c r="AD485" s="36" t="str">
        <x:v>https://api.worldbank.org/v2/</x:v>
      </x:c>
    </x:row>
    <x:row r="486">
      <x:c r="A486" s="24" t="str">
        <x:v>UGA</x:v>
      </x:c>
      <x:c r="B486" s="24" t="str">
        <x:v>Uganda</x:v>
      </x:c>
      <x:c r="C486" s="24" t="str">
        <x:v>UGA</x:v>
      </x:c>
      <x:c r="D486" s="24" t="str">
        <x:v>UGA</x:v>
      </x:c>
      <x:c r="E486" s="24" t="n">
        <x:v>2003</x:v>
      </x:c>
      <x:c r="F486" s="37" t="n">
        <x:v>1.59</x:v>
      </x:c>
      <x:c r="G486" s="38" t="n">
        <x:v>26352124</x:v>
      </x:c>
      <x:c r="H486" s="38" t="n">
        <x:v>26352124</x:v>
      </x:c>
      <x:c r="I486" s="39" t="n">
        <x:f>H486/G486</x:f>
        <x:v>1</x:v>
      </x:c>
      <x:c r="J486" s="40" t="n">
        <x:f>(I486-1)*100</x:f>
        <x:v>0</x:v>
      </x:c>
      <x:c r="K486" s="36" t="str">
        <x:v>no</x:v>
      </x:c>
      <x:c r="L486" s="36" t="str">
        <x:v>Single-country territory; UN WPP and vanilla are within the ±5% review threshold.</x:v>
      </x:c>
      <x:c r="M486" s="41" t="n">
        <x:v>16984210526</x:v>
      </x:c>
      <x:c r="N486" s="41" t="n">
        <x:v>27004894736</x:v>
      </x:c>
      <x:c r="O486" s="41" t="n">
        <x:v>1025</x:v>
      </x:c>
      <x:c r="P486" s="41" t="n">
        <x:v>526</x:v>
      </x:c>
      <x:c r="Q486" s="41" t="n">
        <x:v>1752</x:v>
      </x:c>
      <x:c r="R486" s="42" t="n">
        <x:f>MIN(P486,Q486)</x:f>
        <x:v>526</x:v>
      </x:c>
      <x:c r="S486" s="42" t="n">
        <x:f>MAX(P486,Q486)</x:f>
        <x:v>1752</x:v>
      </x:c>
      <x:c r="T486" s="42" t="n">
        <x:f>MAX(R486,MIN(O486,S486))</x:f>
        <x:v>1025</x:v>
      </x:c>
      <x:c r="U486" s="19" t="str">
        <x:f>IF(O486&lt;R486,IF(R486=P486,"clamped_to_nominal","clamped_to_ppp"),IF(O486&gt;S486,IF(S486=P486,"clamped_to_nominal","clamped_to_ppp"),"kept_vanilla"))</x:f>
        <x:v>kept_vanilla</x:v>
      </x:c>
      <x:c r="V486" s="42" t="n">
        <x:f>T486*H486</x:f>
        <x:v>27010927100</x:v>
      </x:c>
      <x:c r="W486" s="42" t="n">
        <x:f>V486/F486</x:f>
        <x:v>16988004465.408804</x:v>
      </x:c>
      <x:c r="X486" s="36" t="str">
        <x:v>UGA: UN WPP 2024 Medium exact 2003</x:v>
      </x:c>
      <x:c r="Y486" s="36" t="str">
        <x:v>UGA: IMF exact 2003</x:v>
      </x:c>
      <x:c r="Z486" s="36" t="str">
        <x:v>UGA: IMF exact 2003</x:v>
      </x:c>
      <x:c r="AA486" s="36" t="str">
        <x:v>complete_primary</x:v>
      </x:c>
      <x:c r="AB486" s="36" t="str">
        <x:v>https://www.un.org/development/desa/pd/world-population-prospects-2024</x:v>
      </x:c>
      <x:c r="AC486" s="36" t="str">
        <x:v>https://api.imf.org/external/sdmx/3.0/data/dataflow/IMF.RES/WEO/9.0.0/</x:v>
      </x:c>
      <x:c r="AD486" s="36" t="str">
        <x:v>https://api.worldbank.org/v2/</x:v>
      </x:c>
    </x:row>
    <x:row r="487">
      <x:c r="A487" s="24" t="str">
        <x:v>UGA</x:v>
      </x:c>
      <x:c r="B487" s="24" t="str">
        <x:v>Uganda</x:v>
      </x:c>
      <x:c r="C487" s="24" t="str">
        <x:v>UGA</x:v>
      </x:c>
      <x:c r="D487" s="24" t="str">
        <x:v>UGA</x:v>
      </x:c>
      <x:c r="E487" s="24" t="n">
        <x:v>2022</x:v>
      </x:c>
      <x:c r="F487" s="37" t="n">
        <x:v>1</x:v>
      </x:c>
      <x:c r="G487" s="38" t="n">
        <x:v>48839366</x:v>
      </x:c>
      <x:c r="H487" s="38" t="n">
        <x:v>47312719</x:v>
      </x:c>
      <x:c r="I487" s="39" t="n">
        <x:f>H487/G487</x:f>
        <x:v>0.9687414656447424</x:v>
      </x:c>
      <x:c r="J487" s="40" t="n">
        <x:f>(I487-1)*100</x:f>
        <x:v>-3.1258534355257606</x:v>
      </x:c>
      <x:c r="K487" s="36" t="str">
        <x:v>no</x:v>
      </x:c>
      <x:c r="L487" s="36" t="str">
        <x:v>Single-country territory; UN WPP and vanilla are within the ±5% review threshold.</x:v>
      </x:c>
      <x:c r="M487" s="41" t="n">
        <x:v>113938880000</x:v>
      </x:c>
      <x:c r="N487" s="41" t="n">
        <x:v>113938880000</x:v>
      </x:c>
      <x:c r="O487" s="41" t="n">
        <x:v>2333</x:v>
      </x:c>
      <x:c r="P487" s="41" t="n">
        <x:v>999</x:v>
      </x:c>
      <x:c r="Q487" s="41" t="n">
        <x:v>3068</x:v>
      </x:c>
      <x:c r="R487" s="42" t="n">
        <x:f>MIN(P487,Q487)</x:f>
        <x:v>999</x:v>
      </x:c>
      <x:c r="S487" s="42" t="n">
        <x:f>MAX(P487,Q487)</x:f>
        <x:v>3068</x:v>
      </x:c>
      <x:c r="T487" s="42" t="n">
        <x:f>MAX(R487,MIN(O487,S487))</x:f>
        <x:v>2333</x:v>
      </x:c>
      <x:c r="U487" s="19" t="str">
        <x:f>IF(O487&lt;R487,IF(R487=P487,"clamped_to_nominal","clamped_to_ppp"),IF(O487&gt;S487,IF(S487=P487,"clamped_to_nominal","clamped_to_ppp"),"kept_vanilla"))</x:f>
        <x:v>kept_vanilla</x:v>
      </x:c>
      <x:c r="V487" s="42" t="n">
        <x:f>T487*H487</x:f>
        <x:v>110380573427</x:v>
      </x:c>
      <x:c r="W487" s="42" t="n">
        <x:f>V487/F487</x:f>
        <x:v>110380573427</x:v>
      </x:c>
      <x:c r="X487" s="36" t="str">
        <x:v>UGA: UN WPP 2024 Medium exact 2022</x:v>
      </x:c>
      <x:c r="Y487" s="36" t="str">
        <x:v>UGA: IMF exact 2022</x:v>
      </x:c>
      <x:c r="Z487" s="36" t="str">
        <x:v>UGA: IMF exact 2022</x:v>
      </x:c>
      <x:c r="AA487" s="36" t="str">
        <x:v>complete_primary</x:v>
      </x:c>
      <x:c r="AB487" s="36" t="str">
        <x:v>https://www.un.org/development/desa/pd/world-population-prospects-2024</x:v>
      </x:c>
      <x:c r="AC487" s="36" t="str">
        <x:v>https://api.imf.org/external/sdmx/3.0/data/dataflow/IMF.RES/WEO/9.0.0/</x:v>
      </x:c>
      <x:c r="AD487" s="36" t="str">
        <x:v>https://api.worldbank.org/v2/</x:v>
      </x:c>
    </x:row>
    <x:row r="488">
      <x:c r="A488" s="24" t="str">
        <x:v>UGA</x:v>
      </x:c>
      <x:c r="B488" s="24" t="str">
        <x:v>Uganda</x:v>
      </x:c>
      <x:c r="C488" s="24" t="str">
        <x:v>UGA</x:v>
      </x:c>
      <x:c r="D488" s="24" t="str">
        <x:v>UGA</x:v>
      </x:c>
      <x:c r="E488" s="24" t="n">
        <x:v>2026</x:v>
      </x:c>
      <x:c r="F488" s="37" t="n">
        <x:v>0.87</x:v>
      </x:c>
      <x:c r="G488" s="38" t="n">
        <x:v>52761470</x:v>
      </x:c>
      <x:c r="H488" s="38" t="n">
        <x:v>52761469</x:v>
      </x:c>
      <x:c r="I488" s="39" t="n">
        <x:f>H488/G488</x:f>
        <x:v>0.9999999810467752</x:v>
      </x:c>
      <x:c r="J488" s="40" t="n">
        <x:f>(I488-1)*100</x:f>
        <x:v>-0.0000018953224767415122</x:v>
      </x:c>
      <x:c r="K488" s="36" t="str">
        <x:v>no</x:v>
      </x:c>
      <x:c r="L488" s="36" t="str">
        <x:v>Single-country territory; UN WPP and vanilla are within the ±5% review threshold.</x:v>
      </x:c>
      <x:c r="M488" s="41" t="n">
        <x:v>164655920000</x:v>
      </x:c>
      <x:c r="N488" s="41" t="n">
        <x:v>143250650400</x:v>
      </x:c>
      <x:c r="O488" s="41" t="n">
        <x:v>2715</x:v>
      </x:c>
      <x:c r="P488" s="41" t="n">
        <x:v>1210</x:v>
      </x:c>
      <x:c r="Q488" s="41" t="n">
        <x:v>3436</x:v>
      </x:c>
      <x:c r="R488" s="42" t="n">
        <x:f>MIN(P488,Q488)</x:f>
        <x:v>1210</x:v>
      </x:c>
      <x:c r="S488" s="42" t="n">
        <x:f>MAX(P488,Q488)</x:f>
        <x:v>3436</x:v>
      </x:c>
      <x:c r="T488" s="42" t="n">
        <x:f>MAX(R488,MIN(O488,S488))</x:f>
        <x:v>2715</x:v>
      </x:c>
      <x:c r="U488" s="19" t="str">
        <x:f>IF(O488&lt;R488,IF(R488=P488,"clamped_to_nominal","clamped_to_ppp"),IF(O488&gt;S488,IF(S488=P488,"clamped_to_nominal","clamped_to_ppp"),"kept_vanilla"))</x:f>
        <x:v>kept_vanilla</x:v>
      </x:c>
      <x:c r="V488" s="42" t="n">
        <x:f>T488*H488</x:f>
        <x:v>143247388335</x:v>
      </x:c>
      <x:c r="W488" s="42" t="n">
        <x:f>V488/F488</x:f>
        <x:v>164652170500</x:v>
      </x:c>
      <x:c r="X488" s="36" t="str">
        <x:v>UGA: UN WPP 2024 Medium exact 2026</x:v>
      </x:c>
      <x:c r="Y488" s="36" t="str">
        <x:v>UGA: IMF exact 2026</x:v>
      </x:c>
      <x:c r="Z488" s="36" t="str">
        <x:v>UGA: IMF exact 2026</x:v>
      </x:c>
      <x:c r="AA488" s="36" t="str">
        <x:v>complete_primary</x:v>
      </x:c>
      <x:c r="AB488" s="36" t="str">
        <x:v>https://www.un.org/development/desa/pd/world-population-prospects-2024</x:v>
      </x:c>
      <x:c r="AC488" s="36" t="str">
        <x:v>https://api.imf.org/external/sdmx/3.0/data/dataflow/IMF.RES/WEO/9.0.0/</x:v>
      </x:c>
      <x:c r="AD488" s="36" t="str">
        <x:v>https://api.worldbank.org/v2/</x:v>
      </x:c>
    </x:row>
    <x:row r="489">
      <x:c r="A489" s="24" t="str">
        <x:v>UKR</x:v>
      </x:c>
      <x:c r="B489" s="24" t="str">
        <x:v>Ukraine</x:v>
      </x:c>
      <x:c r="C489" s="24" t="str">
        <x:v>UKR</x:v>
      </x:c>
      <x:c r="D489" s="24" t="str">
        <x:v>UKR</x:v>
      </x:c>
      <x:c r="E489" s="24" t="n">
        <x:v>2003</x:v>
      </x:c>
      <x:c r="F489" s="37" t="n">
        <x:v>1.59</x:v>
      </x:c>
      <x:c r="G489" s="38" t="n">
        <x:v>48315137</x:v>
      </x:c>
      <x:c r="H489" s="38" t="n">
        <x:v>48315136</x:v>
      </x:c>
      <x:c r="I489" s="39" t="n">
        <x:f>H489/G489</x:f>
        <x:v>0.9999999793025527</x:v>
      </x:c>
      <x:c r="J489" s="40" t="n">
        <x:f>(I489-1)*100</x:f>
        <x:v>-0.0000020697447311590622</x:v>
      </x:c>
      <x:c r="K489" s="36" t="str">
        <x:v>no</x:v>
      </x:c>
      <x:c r="L489" s="36" t="str">
        <x:v>Single-country territory; UN WPP and vanilla are within the ±5% review threshold.</x:v>
      </x:c>
      <x:c r="M489" s="41" t="n">
        <x:v>197415204678</x:v>
      </x:c>
      <x:c r="N489" s="41" t="n">
        <x:v>313890175438</x:v>
      </x:c>
      <x:c r="O489" s="41" t="n">
        <x:v>6497</x:v>
      </x:c>
      <x:c r="P489" s="41" t="n">
        <x:v>1712</x:v>
      </x:c>
      <x:c r="Q489" s="41" t="n">
        <x:v>11540</x:v>
      </x:c>
      <x:c r="R489" s="42" t="n">
        <x:f>MIN(P489,Q489)</x:f>
        <x:v>1712</x:v>
      </x:c>
      <x:c r="S489" s="42" t="n">
        <x:f>MAX(P489,Q489)</x:f>
        <x:v>11540</x:v>
      </x:c>
      <x:c r="T489" s="42" t="n">
        <x:f>MAX(R489,MIN(O489,S489))</x:f>
        <x:v>6497</x:v>
      </x:c>
      <x:c r="U489" s="19" t="str">
        <x:f>IF(O489&lt;R489,IF(R489=P489,"clamped_to_nominal","clamped_to_ppp"),IF(O489&gt;S489,IF(S489=P489,"clamped_to_nominal","clamped_to_ppp"),"kept_vanilla"))</x:f>
        <x:v>kept_vanilla</x:v>
      </x:c>
      <x:c r="V489" s="42" t="n">
        <x:f>T489*H489</x:f>
        <x:v>313903438592</x:v>
      </x:c>
      <x:c r="W489" s="42" t="n">
        <x:f>V489/F489</x:f>
        <x:v>197423546284.27673</x:v>
      </x:c>
      <x:c r="X489" s="36" t="str">
        <x:v>UKR: UN WPP 2024 Medium exact 2003</x:v>
      </x:c>
      <x:c r="Y489" s="36" t="str">
        <x:v>UKR: IMF exact 2003</x:v>
      </x:c>
      <x:c r="Z489" s="36" t="str">
        <x:v>UKR: IMF exact 2003</x:v>
      </x:c>
      <x:c r="AA489" s="36" t="str">
        <x:v>complete_primary</x:v>
      </x:c>
      <x:c r="AB489" s="36" t="str">
        <x:v>https://www.un.org/development/desa/pd/world-population-prospects-2024</x:v>
      </x:c>
      <x:c r="AC489" s="36" t="str">
        <x:v>https://api.imf.org/external/sdmx/3.0/data/dataflow/IMF.RES/WEO/9.0.0/</x:v>
      </x:c>
      <x:c r="AD489" s="36" t="str">
        <x:v>https://api.worldbank.org/v2/</x:v>
      </x:c>
    </x:row>
    <x:row r="490">
      <x:c r="A490" s="24" t="str">
        <x:v>UKR</x:v>
      </x:c>
      <x:c r="B490" s="24" t="str">
        <x:v>Ukraine</x:v>
      </x:c>
      <x:c r="C490" s="24" t="str">
        <x:v>UKR</x:v>
      </x:c>
      <x:c r="D490" s="24" t="str">
        <x:v>UKR</x:v>
      </x:c>
      <x:c r="E490" s="24" t="n">
        <x:v>2022</x:v>
      </x:c>
      <x:c r="F490" s="37" t="n">
        <x:v>1</x:v>
      </x:c>
      <x:c r="G490" s="38" t="n">
        <x:v>43108669</x:v>
      </x:c>
      <x:c r="H490" s="38" t="n">
        <x:v>41048766</x:v>
      </x:c>
      <x:c r="I490" s="39" t="n">
        <x:f>H490/G490</x:f>
        <x:v>0.9522160380317007</x:v>
      </x:c>
      <x:c r="J490" s="40" t="n">
        <x:f>(I490-1)*100</x:f>
        <x:v>-4.778396196829926</x:v>
      </x:c>
      <x:c r="K490" s="36" t="str">
        <x:v>no</x:v>
      </x:c>
      <x:c r="L490" s="36" t="str">
        <x:v>Single-country territory; UN WPP and vanilla are within the ±5% review threshold.</x:v>
      </x:c>
      <x:c r="M490" s="41" t="n">
        <x:v>517821040000</x:v>
      </x:c>
      <x:c r="N490" s="41" t="n">
        <x:v>517821040000</x:v>
      </x:c>
      <x:c r="O490" s="41" t="n">
        <x:v>12012</x:v>
      </x:c>
      <x:c r="P490" s="41" t="n">
        <x:v>3946</x:v>
      </x:c>
      <x:c r="Q490" s="41" t="n">
        <x:v>13877</x:v>
      </x:c>
      <x:c r="R490" s="42" t="n">
        <x:f>MIN(P490,Q490)</x:f>
        <x:v>3946</x:v>
      </x:c>
      <x:c r="S490" s="42" t="n">
        <x:f>MAX(P490,Q490)</x:f>
        <x:v>13877</x:v>
      </x:c>
      <x:c r="T490" s="42" t="n">
        <x:f>MAX(R490,MIN(O490,S490))</x:f>
        <x:v>12012</x:v>
      </x:c>
      <x:c r="U490" s="19" t="str">
        <x:f>IF(O490&lt;R490,IF(R490=P490,"clamped_to_nominal","clamped_to_ppp"),IF(O490&gt;S490,IF(S490=P490,"clamped_to_nominal","clamped_to_ppp"),"kept_vanilla"))</x:f>
        <x:v>kept_vanilla</x:v>
      </x:c>
      <x:c r="V490" s="42" t="n">
        <x:f>T490*H490</x:f>
        <x:v>493077777192</x:v>
      </x:c>
      <x:c r="W490" s="42" t="n">
        <x:f>V490/F490</x:f>
        <x:v>493077777192</x:v>
      </x:c>
      <x:c r="X490" s="36" t="str">
        <x:v>UKR: UN WPP 2024 Medium exact 2022</x:v>
      </x:c>
      <x:c r="Y490" s="36" t="str">
        <x:v>UKR: IMF exact 2022</x:v>
      </x:c>
      <x:c r="Z490" s="36" t="str">
        <x:v>UKR: IMF exact 2022</x:v>
      </x:c>
      <x:c r="AA490" s="36" t="str">
        <x:v>complete_primary</x:v>
      </x:c>
      <x:c r="AB490" s="36" t="str">
        <x:v>https://www.un.org/development/desa/pd/world-population-prospects-2024</x:v>
      </x:c>
      <x:c r="AC490" s="36" t="str">
        <x:v>https://api.imf.org/external/sdmx/3.0/data/dataflow/IMF.RES/WEO/9.0.0/</x:v>
      </x:c>
      <x:c r="AD490" s="36" t="str">
        <x:v>https://api.worldbank.org/v2/</x:v>
      </x:c>
    </x:row>
    <x:row r="491">
      <x:c r="A491" s="24" t="str">
        <x:v>UKR</x:v>
      </x:c>
      <x:c r="B491" s="24" t="str">
        <x:v>Ukraine</x:v>
      </x:c>
      <x:c r="C491" s="24" t="str">
        <x:v>UKR</x:v>
      </x:c>
      <x:c r="D491" s="24" t="str">
        <x:v>UKR</x:v>
      </x:c>
      <x:c r="E491" s="24" t="n">
        <x:v>2026</x:v>
      </x:c>
      <x:c r="F491" s="37" t="n">
        <x:v>0.87</x:v>
      </x:c>
      <x:c r="G491" s="38" t="n">
        <x:v>39535849</x:v>
      </x:c>
      <x:c r="H491" s="38" t="n">
        <x:v>39535849</x:v>
      </x:c>
      <x:c r="I491" s="39" t="n">
        <x:f>H491/G491</x:f>
        <x:v>1</x:v>
      </x:c>
      <x:c r="J491" s="40" t="n">
        <x:f>(I491-1)*100</x:f>
        <x:v>0</x:v>
      </x:c>
      <x:c r="K491" s="36" t="str">
        <x:v>no</x:v>
      </x:c>
      <x:c r="L491" s="36" t="str">
        <x:v>Single-country territory; UN WPP and vanilla are within the ±5% review threshold.</x:v>
      </x:c>
      <x:c r="M491" s="41" t="n">
        <x:v>607251920000</x:v>
      </x:c>
      <x:c r="N491" s="41" t="n">
        <x:v>528309170400</x:v>
      </x:c>
      <x:c r="O491" s="41" t="n">
        <x:v>13363</x:v>
      </x:c>
      <x:c r="P491" s="41" t="n">
        <x:v>4959</x:v>
      </x:c>
      <x:c r="Q491" s="41" t="n">
        <x:v>15943</x:v>
      </x:c>
      <x:c r="R491" s="42" t="n">
        <x:f>MIN(P491,Q491)</x:f>
        <x:v>4959</x:v>
      </x:c>
      <x:c r="S491" s="42" t="n">
        <x:f>MAX(P491,Q491)</x:f>
        <x:v>15943</x:v>
      </x:c>
      <x:c r="T491" s="42" t="n">
        <x:f>MAX(R491,MIN(O491,S491))</x:f>
        <x:v>13363</x:v>
      </x:c>
      <x:c r="U491" s="19" t="str">
        <x:f>IF(O491&lt;R491,IF(R491=P491,"clamped_to_nominal","clamped_to_ppp"),IF(O491&gt;S491,IF(S491=P491,"clamped_to_nominal","clamped_to_ppp"),"kept_vanilla"))</x:f>
        <x:v>kept_vanilla</x:v>
      </x:c>
      <x:c r="V491" s="42" t="n">
        <x:f>T491*H491</x:f>
        <x:v>528317550187</x:v>
      </x:c>
      <x:c r="W491" s="42" t="n">
        <x:f>V491/F491</x:f>
        <x:v>607261551939.0804</x:v>
      </x:c>
      <x:c r="X491" s="36" t="str">
        <x:v>UKR: UN WPP 2024 Medium exact 2026</x:v>
      </x:c>
      <x:c r="Y491" s="36" t="str">
        <x:v>UKR: IMF exact 2026</x:v>
      </x:c>
      <x:c r="Z491" s="36" t="str">
        <x:v>UKR: IMF exact 2026</x:v>
      </x:c>
      <x:c r="AA491" s="36" t="str">
        <x:v>complete_primary</x:v>
      </x:c>
      <x:c r="AB491" s="36" t="str">
        <x:v>https://www.un.org/development/desa/pd/world-population-prospects-2024</x:v>
      </x:c>
      <x:c r="AC491" s="36" t="str">
        <x:v>https://api.imf.org/external/sdmx/3.0/data/dataflow/IMF.RES/WEO/9.0.0/</x:v>
      </x:c>
      <x:c r="AD491" s="36" t="str">
        <x:v>https://api.worldbank.org/v2/</x:v>
      </x:c>
    </x:row>
    <x:row r="492">
      <x:c r="A492" s="24" t="str">
        <x:v>UAE</x:v>
      </x:c>
      <x:c r="B492" s="24" t="str">
        <x:v>United Arab Emirates</x:v>
      </x:c>
      <x:c r="C492" s="24" t="str">
        <x:v>ARE</x:v>
      </x:c>
      <x:c r="D492" s="24" t="str">
        <x:v>ARE</x:v>
      </x:c>
      <x:c r="E492" s="24" t="n">
        <x:v>2003</x:v>
      </x:c>
      <x:c r="F492" s="37" t="n">
        <x:v>1.59</x:v>
      </x:c>
      <x:c r="G492" s="38" t="n">
        <x:v>4192457</x:v>
      </x:c>
      <x:c r="H492" s="38" t="n">
        <x:v>4192457</x:v>
      </x:c>
      <x:c r="I492" s="39" t="n">
        <x:f>H492/G492</x:f>
        <x:v>1</x:v>
      </x:c>
      <x:c r="J492" s="40" t="n">
        <x:f>(I492-1)*100</x:f>
        <x:v>0</x:v>
      </x:c>
      <x:c r="K492" s="36" t="str">
        <x:v>no</x:v>
      </x:c>
      <x:c r="L492" s="36" t="str">
        <x:v>Single-country territory; UN WPP and vanilla are within the ±5% review threshold.</x:v>
      </x:c>
      <x:c r="M492" s="41" t="n">
        <x:v>156876608187</x:v>
      </x:c>
      <x:c r="N492" s="41" t="n">
        <x:v>249433807017</x:v>
      </x:c>
      <x:c r="O492" s="41" t="n">
        <x:v>59496</x:v>
      </x:c>
      <x:c r="P492" s="41" t="n">
        <x:v>47159</x:v>
      </x:c>
      <x:c r="Q492" s="41" t="n">
        <x:v>100330</x:v>
      </x:c>
      <x:c r="R492" s="42" t="n">
        <x:f>MIN(P492,Q492)</x:f>
        <x:v>47159</x:v>
      </x:c>
      <x:c r="S492" s="42" t="n">
        <x:f>MAX(P492,Q492)</x:f>
        <x:v>100330</x:v>
      </x:c>
      <x:c r="T492" s="42" t="n">
        <x:f>MAX(R492,MIN(O492,S492))</x:f>
        <x:v>59496</x:v>
      </x:c>
      <x:c r="U492" s="19" t="str">
        <x:f>IF(O492&lt;R492,IF(R492=P492,"clamped_to_nominal","clamped_to_ppp"),IF(O492&gt;S492,IF(S492=P492,"clamped_to_nominal","clamped_to_ppp"),"kept_vanilla"))</x:f>
        <x:v>kept_vanilla</x:v>
      </x:c>
      <x:c r="V492" s="42" t="n">
        <x:f>T492*H492</x:f>
        <x:v>249434421672</x:v>
      </x:c>
      <x:c r="W492" s="42" t="n">
        <x:f>V492/F492</x:f>
        <x:v>156876994762.26413</x:v>
      </x:c>
      <x:c r="X492" s="36" t="str">
        <x:v>ARE: UN WPP 2024 Medium exact 2003</x:v>
      </x:c>
      <x:c r="Y492" s="36" t="str">
        <x:v>ARE: IMF exact 2003</x:v>
      </x:c>
      <x:c r="Z492" s="36" t="str">
        <x:v>ARE: IMF exact 2003</x:v>
      </x:c>
      <x:c r="AA492" s="36" t="str">
        <x:v>complete_primary</x:v>
      </x:c>
      <x:c r="AB492" s="36" t="str">
        <x:v>https://www.un.org/development/desa/pd/world-population-prospects-2024</x:v>
      </x:c>
      <x:c r="AC492" s="36" t="str">
        <x:v>https://api.imf.org/external/sdmx/3.0/data/dataflow/IMF.RES/WEO/9.0.0/</x:v>
      </x:c>
      <x:c r="AD492" s="36" t="str">
        <x:v>https://api.worldbank.org/v2/</x:v>
      </x:c>
    </x:row>
    <x:row r="493">
      <x:c r="A493" s="24" t="str">
        <x:v>UAE</x:v>
      </x:c>
      <x:c r="B493" s="24" t="str">
        <x:v>United Arab Emirates</x:v>
      </x:c>
      <x:c r="C493" s="24" t="str">
        <x:v>ARE</x:v>
      </x:c>
      <x:c r="D493" s="24" t="str">
        <x:v>ARE</x:v>
      </x:c>
      <x:c r="E493" s="24" t="n">
        <x:v>2022</x:v>
      </x:c>
      <x:c r="F493" s="37" t="n">
        <x:v>1</x:v>
      </x:c>
      <x:c r="G493" s="38" t="n">
        <x:v>10109201</x:v>
      </x:c>
      <x:c r="H493" s="38" t="n">
        <x:v>10242086</x:v>
      </x:c>
      <x:c r="I493" s="39" t="n">
        <x:f>H493/G493</x:f>
        <x:v>1.0131449557685124</x:v>
      </x:c>
      <x:c r="J493" s="40" t="n">
        <x:f>(I493-1)*100</x:f>
        <x:v>1.3144955768512379</x:v>
      </x:c>
      <x:c r="K493" s="36" t="str">
        <x:v>no</x:v>
      </x:c>
      <x:c r="L493" s="36" t="str">
        <x:v>Single-country territory; UN WPP and vanilla are within the ±5% review threshold.</x:v>
      </x:c>
      <x:c r="M493" s="41" t="n">
        <x:v>685725920000</x:v>
      </x:c>
      <x:c r="N493" s="41" t="n">
        <x:v>685725920000</x:v>
      </x:c>
      <x:c r="O493" s="41" t="n">
        <x:v>67832</x:v>
      </x:c>
      <x:c r="P493" s="41" t="n">
        <x:v>49932</x:v>
      </x:c>
      <x:c r="Q493" s="41" t="n">
        <x:v>73835</x:v>
      </x:c>
      <x:c r="R493" s="42" t="n">
        <x:f>MIN(P493,Q493)</x:f>
        <x:v>49932</x:v>
      </x:c>
      <x:c r="S493" s="42" t="n">
        <x:f>MAX(P493,Q493)</x:f>
        <x:v>73835</x:v>
      </x:c>
      <x:c r="T493" s="42" t="n">
        <x:f>MAX(R493,MIN(O493,S493))</x:f>
        <x:v>67832</x:v>
      </x:c>
      <x:c r="U493" s="19" t="str">
        <x:f>IF(O493&lt;R493,IF(R493=P493,"clamped_to_nominal","clamped_to_ppp"),IF(O493&gt;S493,IF(S493=P493,"clamped_to_nominal","clamped_to_ppp"),"kept_vanilla"))</x:f>
        <x:v>kept_vanilla</x:v>
      </x:c>
      <x:c r="V493" s="42" t="n">
        <x:f>T493*H493</x:f>
        <x:v>694741177552</x:v>
      </x:c>
      <x:c r="W493" s="42" t="n">
        <x:f>V493/F493</x:f>
        <x:v>694741177552</x:v>
      </x:c>
      <x:c r="X493" s="36" t="str">
        <x:v>ARE: UN WPP 2024 Medium exact 2022</x:v>
      </x:c>
      <x:c r="Y493" s="36" t="str">
        <x:v>ARE: IMF exact 2022</x:v>
      </x:c>
      <x:c r="Z493" s="36" t="str">
        <x:v>ARE: IMF exact 2022</x:v>
      </x:c>
      <x:c r="AA493" s="36" t="str">
        <x:v>complete_primary</x:v>
      </x:c>
      <x:c r="AB493" s="36" t="str">
        <x:v>https://www.un.org/development/desa/pd/world-population-prospects-2024</x:v>
      </x:c>
      <x:c r="AC493" s="36" t="str">
        <x:v>https://api.imf.org/external/sdmx/3.0/data/dataflow/IMF.RES/WEO/9.0.0/</x:v>
      </x:c>
      <x:c r="AD493" s="36" t="str">
        <x:v>https://api.worldbank.org/v2/</x:v>
      </x:c>
    </x:row>
    <x:row r="494">
      <x:c r="A494" s="24" t="str">
        <x:v>UAE</x:v>
      </x:c>
      <x:c r="B494" s="24" t="str">
        <x:v>United Arab Emirates</x:v>
      </x:c>
      <x:c r="C494" s="24" t="str">
        <x:v>ARE</x:v>
      </x:c>
      <x:c r="D494" s="24" t="str">
        <x:v>ARE</x:v>
      </x:c>
      <x:c r="E494" s="24" t="n">
        <x:v>2026</x:v>
      </x:c>
      <x:c r="F494" s="37" t="n">
        <x:v>0.87</x:v>
      </x:c>
      <x:c r="G494" s="38" t="n">
        <x:v>11574682</x:v>
      </x:c>
      <x:c r="H494" s="38" t="n">
        <x:v>11574682</x:v>
      </x:c>
      <x:c r="I494" s="39" t="n">
        <x:f>H494/G494</x:f>
        <x:v>1</x:v>
      </x:c>
      <x:c r="J494" s="40" t="n">
        <x:f>(I494-1)*100</x:f>
        <x:v>0</x:v>
      </x:c>
      <x:c r="K494" s="36" t="str">
        <x:v>no</x:v>
      </x:c>
      <x:c r="L494" s="36" t="str">
        <x:v>Single-country territory; UN WPP and vanilla are within the ±5% review threshold.</x:v>
      </x:c>
      <x:c r="M494" s="41" t="n">
        <x:v>796599760000</x:v>
      </x:c>
      <x:c r="N494" s="41" t="n">
        <x:v>693041791200</x:v>
      </x:c>
      <x:c r="O494" s="41" t="n">
        <x:v>59876</x:v>
      </x:c>
      <x:c r="P494" s="41" t="n">
        <x:v>46718</x:v>
      </x:c>
      <x:c r="Q494" s="41" t="n">
        <x:v>75637</x:v>
      </x:c>
      <x:c r="R494" s="42" t="n">
        <x:f>MIN(P494,Q494)</x:f>
        <x:v>46718</x:v>
      </x:c>
      <x:c r="S494" s="42" t="n">
        <x:f>MAX(P494,Q494)</x:f>
        <x:v>75637</x:v>
      </x:c>
      <x:c r="T494" s="42" t="n">
        <x:f>MAX(R494,MIN(O494,S494))</x:f>
        <x:v>59876</x:v>
      </x:c>
      <x:c r="U494" s="19" t="str">
        <x:f>IF(O494&lt;R494,IF(R494=P494,"clamped_to_nominal","clamped_to_ppp"),IF(O494&gt;S494,IF(S494=P494,"clamped_to_nominal","clamped_to_ppp"),"kept_vanilla"))</x:f>
        <x:v>kept_vanilla</x:v>
      </x:c>
      <x:c r="V494" s="42" t="n">
        <x:f>T494*H494</x:f>
        <x:v>693045659432</x:v>
      </x:c>
      <x:c r="W494" s="42" t="n">
        <x:f>V494/F494</x:f>
        <x:v>796604206243.6782</x:v>
      </x:c>
      <x:c r="X494" s="36" t="str">
        <x:v>ARE: UN WPP 2024 Medium exact 2026</x:v>
      </x:c>
      <x:c r="Y494" s="36" t="str">
        <x:v>ARE: IMF exact 2026</x:v>
      </x:c>
      <x:c r="Z494" s="36" t="str">
        <x:v>ARE: IMF exact 2026</x:v>
      </x:c>
      <x:c r="AA494" s="36" t="str">
        <x:v>complete_primary</x:v>
      </x:c>
      <x:c r="AB494" s="36" t="str">
        <x:v>https://www.un.org/development/desa/pd/world-population-prospects-2024</x:v>
      </x:c>
      <x:c r="AC494" s="36" t="str">
        <x:v>https://api.imf.org/external/sdmx/3.0/data/dataflow/IMF.RES/WEO/9.0.0/</x:v>
      </x:c>
      <x:c r="AD494" s="36" t="str">
        <x:v>https://api.worldbank.org/v2/</x:v>
      </x:c>
    </x:row>
    <x:row r="495">
      <x:c r="A495" s="24" t="str">
        <x:v>GBR</x:v>
      </x:c>
      <x:c r="B495" s="24" t="str">
        <x:v>United Kingdom</x:v>
      </x:c>
      <x:c r="C495" s="24" t="str">
        <x:v>GBR+JEY+IMN</x:v>
      </x:c>
      <x:c r="D495" s="24" t="str">
        <x:v>GBR+JEY+IMN+AIA+BMU+CYM+MSR+TCA+VGB</x:v>
      </x:c>
      <x:c r="E495" s="24" t="n">
        <x:v>2003</x:v>
      </x:c>
      <x:c r="F495" s="37" t="n">
        <x:v>1.59</x:v>
      </x:c>
      <x:c r="G495" s="38" t="n">
        <x:v>59820384</x:v>
      </x:c>
      <x:c r="H495" s="38" t="n">
        <x:v>60155258</x:v>
      </x:c>
      <x:c r="I495" s="39" t="n">
        <x:f>H495/G495</x:f>
        <x:v>1.0055979914806297</x:v>
      </x:c>
      <x:c r="J495" s="40" t="n">
        <x:f>(I495-1)*100</x:f>
        <x:v>0.5597991480629672</x:v>
      </x:c>
      <x:c r="K495" s="36" t="str">
        <x:v>no</x:v>
      </x:c>
      <x:c r="L495" s="36" t="str">
        <x:v>Added the populated territories represented by the British West Indies region, while retaining Jersey and the Isle of Man from the game ISO list.</x:v>
      </x:c>
      <x:c r="M495" s="41" t="n">
        <x:v>1103967836257</x:v>
      </x:c>
      <x:c r="N495" s="41" t="n">
        <x:v>1755308859649</x:v>
      </x:c>
      <x:c r="O495" s="41" t="n">
        <x:v>29343</x:v>
      </x:c>
      <x:c r="P495" s="41" t="n">
        <x:v>54992</x:v>
      </x:c>
      <x:c r="Q495" s="41" t="n">
        <x:v>50525</x:v>
      </x:c>
      <x:c r="R495" s="42" t="n">
        <x:f>MIN(P495,Q495)</x:f>
        <x:v>50525</x:v>
      </x:c>
      <x:c r="S495" s="42" t="n">
        <x:f>MAX(P495,Q495)</x:f>
        <x:v>54992</x:v>
      </x:c>
      <x:c r="T495" s="42" t="n">
        <x:f>MAX(R495,MIN(O495,S495))</x:f>
        <x:v>50525</x:v>
      </x:c>
      <x:c r="U495" s="19" t="str">
        <x:f>IF(O495&lt;R495,IF(R495=P495,"clamped_to_nominal","clamped_to_ppp"),IF(O495&gt;S495,IF(S495=P495,"clamped_to_nominal","clamped_to_ppp"),"kept_vanilla"))</x:f>
        <x:v>clamped_to_ppp</x:v>
      </x:c>
      <x:c r="V495" s="42" t="n">
        <x:f>T495*H495</x:f>
        <x:v>3039344410450</x:v>
      </x:c>
      <x:c r="W495" s="42" t="n">
        <x:f>V495/F495</x:f>
        <x:v>1911537365062.893</x:v>
      </x:c>
      <x:c r="X495" s="36" t="str">
        <x:v>GBR: UN WPP 2024 Medium exact 2003; JEY: UN WPP 2024 Medium exact 2003; IMN: UN WPP 2024 Medium exact 2003; AIA: UN WPP 2024 Medium exact 2003; BMU: UN WPP 2024 Medium exact 2003; CYM: UN WPP 2024 Medium exact 2003; MSR: UN WPP 2024 Medium exact 2003; TCA: UN WPP 2024 Medium exact 2003; VGB: UN WPP 2024 Medium exact 2003</x:v>
      </x:c>
      <x:c r="Y495" s="36" t="str">
        <x:v>GBR: IMF exact 2003; JEY: World Bank exact 2003 (Channel Islands proxy for Jersey); IMN: World Bank exact 2003; AIA: nominal GDP/c inferred from global available-country peers median level (210 peers); BMU: World Bank exact 2003; CYM: peer-growth inference from World Bank 2006; Latin America &amp; Caribbean ; High income median 5.99%/yr (15 peers, capped at ±8%); MSR: nominal GDP/c inferred from global available-country peers median level (210 peers); TCA: World Bank exact 2003; VGB: nominal GDP/c inferred from Latin America &amp; Caribbean ; High income median level (15 peers)</x:v>
      </x:c>
      <x:c r="Z495" s="36" t="str">
        <x:v>GBR: IMF exact 2003; JEY: PPP inferred from filled nominal GDP using Europe &amp; Central Asia; High income median PPP/nominal ratio 1.228 (35 peers); IMN: PPP inferred from filled nominal GDP using Europe &amp; Central Asia; High income median PPP/nominal ratio 1.228 (35 peers); AIA: PPP inferred from filled nominal GDP using global available-country peers median PPP/nominal ratio 2.577 (199 peers); BMU: World Bank exact 2003; CYM: peer-growth inference from World Bank 2006; Latin America &amp; Caribbean ; High income median 3.72%/yr (14 peers, capped at ±8%); MSR: PPP inferred from filled nominal GDP using global available-country peers median PPP/nominal ratio 2.577 (199 peers); TCA: peer-growth inference from World Bank 2007; Latin America &amp; Caribbean ; High income median 3.78%/yr (14 peers, capped at ±8%); VGB: PPP inferred from filled nominal GDP using Latin America &amp; Caribbean ; High income median PPP/nominal ratio 1.624 (14 peers)</x:v>
      </x:c>
      <x:c r="AA495" s="36" t="str">
        <x:v>proxy_component+inferred+secondary_source</x:v>
      </x:c>
      <x:c r="AB495" s="36" t="str">
        <x:v>https://www.un.org/development/desa/pd/world-population-prospects-2024</x:v>
      </x:c>
      <x:c r="AC495" s="36" t="str">
        <x:v>https://api.imf.org/external/sdmx/3.0/data/dataflow/IMF.RES/WEO/9.0.0/</x:v>
      </x:c>
      <x:c r="AD495" s="36" t="str">
        <x:v>https://api.worldbank.org/v2/</x:v>
      </x:c>
    </x:row>
    <x:row r="496">
      <x:c r="A496" s="24" t="str">
        <x:v>GBR</x:v>
      </x:c>
      <x:c r="B496" s="24" t="str">
        <x:v>United Kingdom</x:v>
      </x:c>
      <x:c r="C496" s="24" t="str">
        <x:v>GBR+JEY+IMN</x:v>
      </x:c>
      <x:c r="D496" s="24" t="str">
        <x:v>GBR+JEY+IMN+AIA+BMU+CYM+MSR+TCA+VGB</x:v>
      </x:c>
      <x:c r="E496" s="24" t="n">
        <x:v>2022</x:v>
      </x:c>
      <x:c r="F496" s="37" t="n">
        <x:v>1</x:v>
      </x:c>
      <x:c r="G496" s="38" t="n">
        <x:v>68586015</x:v>
      </x:c>
      <x:c r="H496" s="38" t="n">
        <x:v>68606076</x:v>
      </x:c>
      <x:c r="I496" s="39" t="n">
        <x:f>H496/G496</x:f>
        <x:v>1.0002924940310354</x:v>
      </x:c>
      <x:c r="J496" s="40" t="n">
        <x:f>(I496-1)*100</x:f>
        <x:v>0.029249403103537297</x:v>
      </x:c>
      <x:c r="K496" s="36" t="str">
        <x:v>no</x:v>
      </x:c>
      <x:c r="L496" s="36" t="str">
        <x:v>Added the populated territories represented by the British West Indies region, while retaining Jersey and the Isle of Man from the game ISO list.</x:v>
      </x:c>
      <x:c r="M496" s="41" t="n">
        <x:v>3301623600000</x:v>
      </x:c>
      <x:c r="N496" s="41" t="n">
        <x:v>3301623600000</x:v>
      </x:c>
      <x:c r="O496" s="41" t="n">
        <x:v>48138</x:v>
      </x:c>
      <x:c r="P496" s="41" t="n">
        <x:v>47057</x:v>
      </x:c>
      <x:c r="Q496" s="41" t="n">
        <x:v>59767</x:v>
      </x:c>
      <x:c r="R496" s="42" t="n">
        <x:f>MIN(P496,Q496)</x:f>
        <x:v>47057</x:v>
      </x:c>
      <x:c r="S496" s="42" t="n">
        <x:f>MAX(P496,Q496)</x:f>
        <x:v>59767</x:v>
      </x:c>
      <x:c r="T496" s="42" t="n">
        <x:f>MAX(R496,MIN(O496,S496))</x:f>
        <x:v>48138</x:v>
      </x:c>
      <x:c r="U496" s="19" t="str">
        <x:f>IF(O496&lt;R496,IF(R496=P496,"clamped_to_nominal","clamped_to_ppp"),IF(O496&gt;S496,IF(S496=P496,"clamped_to_nominal","clamped_to_ppp"),"kept_vanilla"))</x:f>
        <x:v>kept_vanilla</x:v>
      </x:c>
      <x:c r="V496" s="42" t="n">
        <x:f>T496*H496</x:f>
        <x:v>3302559286488</x:v>
      </x:c>
      <x:c r="W496" s="42" t="n">
        <x:f>V496/F496</x:f>
        <x:v>3302559286488</x:v>
      </x:c>
      <x:c r="X496" s="36" t="str">
        <x:v>GBR: UN WPP 2024 Medium exact 2022; JEY: UN WPP 2024 Medium exact 2022; IMN: UN WPP 2024 Medium exact 2022; AIA: UN WPP 2024 Medium exact 2022; BMU: UN WPP 2024 Medium exact 2022; CYM: UN WPP 2024 Medium exact 2022; MSR: UN WPP 2024 Medium exact 2022; TCA: UN WPP 2024 Medium exact 2022; VGB: UN WPP 2024 Medium exact 2022</x:v>
      </x:c>
      <x:c r="Y496" s="36" t="str">
        <x:v>GBR: IMF exact 2022; JEY: World Bank exact 2022 (Channel Islands proxy for Jersey); IMN: World Bank exact 2022; AIA: nominal GDP/c inferred from global available-country peers median level (211 peers); BMU: World Bank exact 2022; CYM: World Bank exact 2022; MSR: nominal GDP/c inferred from global available-country peers median level (211 peers); TCA: World Bank exact 2022; VGB: nominal GDP/c inferred from Latin America &amp; Caribbean ; High income median level (17 peers)</x:v>
      </x:c>
      <x:c r="Z496" s="36" t="str">
        <x:v>GBR: IMF exact 2022; JEY: PPP inferred from filled nominal GDP using Europe &amp; Central Asia; High income median PPP/nominal ratio 1.515 (36 peers); IMN: PPP inferred from filled nominal GDP using Europe &amp; Central Asia; High income median PPP/nominal ratio 1.515 (36 peers); AIA: PPP inferred from filled nominal GDP using global available-country peers median PPP/nominal ratio 2.283 (203 peers); BMU: World Bank exact 2022; CYM: World Bank exact 2022; MSR: PPP inferred from filled nominal GDP using global available-country peers median PPP/nominal ratio 2.283 (203 peers); TCA: World Bank exact 2022; VGB: PPP inferred from filled nominal GDP using Latin America &amp; Caribbean ; High income median PPP/nominal ratio 1.428 (17 peers)</x:v>
      </x:c>
      <x:c r="AA496" s="36" t="str">
        <x:v>proxy_component+inferred+secondary_source</x:v>
      </x:c>
      <x:c r="AB496" s="36" t="str">
        <x:v>https://www.un.org/development/desa/pd/world-population-prospects-2024</x:v>
      </x:c>
      <x:c r="AC496" s="36" t="str">
        <x:v>https://api.imf.org/external/sdmx/3.0/data/dataflow/IMF.RES/WEO/9.0.0/</x:v>
      </x:c>
      <x:c r="AD496" s="36" t="str">
        <x:v>https://api.worldbank.org/v2/</x:v>
      </x:c>
    </x:row>
    <x:row r="497">
      <x:c r="A497" s="24" t="str">
        <x:v>GBR</x:v>
      </x:c>
      <x:c r="B497" s="24" t="str">
        <x:v>United Kingdom</x:v>
      </x:c>
      <x:c r="C497" s="24" t="str">
        <x:v>GBR+JEY+IMN</x:v>
      </x:c>
      <x:c r="D497" s="24" t="str">
        <x:v>GBR+JEY+IMN+AIA+BMU+CYM+MSR+TCA+VGB</x:v>
      </x:c>
      <x:c r="E497" s="24" t="n">
        <x:v>2026</x:v>
      </x:c>
      <x:c r="F497" s="37" t="n">
        <x:v>0.87</x:v>
      </x:c>
      <x:c r="G497" s="38" t="n">
        <x:v>69931528</x:v>
      </x:c>
      <x:c r="H497" s="38" t="n">
        <x:v>70367573</x:v>
      </x:c>
      <x:c r="I497" s="39" t="n">
        <x:f>H497/G497</x:f>
        <x:v>1.0062353134912196</x:v>
      </x:c>
      <x:c r="J497" s="40" t="n">
        <x:f>(I497-1)*100</x:f>
        <x:v>0.6235313491219641</x:v>
      </x:c>
      <x:c r="K497" s="36" t="str">
        <x:v>no</x:v>
      </x:c>
      <x:c r="L497" s="36" t="str">
        <x:v>Added the populated territories represented by the British West Indies region, while retaining Jersey and the Isle of Man from the game ISO list.</x:v>
      </x:c>
      <x:c r="M497" s="41" t="n">
        <x:v>3920150080000</x:v>
      </x:c>
      <x:c r="N497" s="41" t="n">
        <x:v>3410530569600</x:v>
      </x:c>
      <x:c r="O497" s="41" t="n">
        <x:v>48770</x:v>
      </x:c>
      <x:c r="P497" s="41" t="n">
        <x:v>53257</x:v>
      </x:c>
      <x:c r="Q497" s="41" t="n">
        <x:v>58956</x:v>
      </x:c>
      <x:c r="R497" s="42" t="n">
        <x:f>MIN(P497,Q497)</x:f>
        <x:v>53257</x:v>
      </x:c>
      <x:c r="S497" s="42" t="n">
        <x:f>MAX(P497,Q497)</x:f>
        <x:v>58956</x:v>
      </x:c>
      <x:c r="T497" s="42" t="n">
        <x:f>MAX(R497,MIN(O497,S497))</x:f>
        <x:v>53257</x:v>
      </x:c>
      <x:c r="U497" s="19" t="str">
        <x:f>IF(O497&lt;R497,IF(R497=P497,"clamped_to_nominal","clamped_to_ppp"),IF(O497&gt;S497,IF(S497=P497,"clamped_to_nominal","clamped_to_ppp"),"kept_vanilla"))</x:f>
        <x:v>clamped_to_nominal</x:v>
      </x:c>
      <x:c r="V497" s="42" t="n">
        <x:f>T497*H497</x:f>
        <x:v>3747565835261</x:v>
      </x:c>
      <x:c r="W497" s="42" t="n">
        <x:f>V497/F497</x:f>
        <x:v>4307546937081.6094</x:v>
      </x:c>
      <x:c r="X497" s="36" t="str">
        <x:v>GBR: UN WPP 2024 Medium exact 2026; JEY: UN WPP 2024 Medium exact 2026; IMN: UN WPP 2024 Medium exact 2026; AIA: UN WPP 2024 Medium exact 2026; BMU: UN WPP 2024 Medium exact 2026; CYM: UN WPP 2024 Medium exact 2026; MSR: UN WPP 2024 Medium exact 2026; TCA: UN WPP 2024 Medium exact 2026; VGB: UN WPP 2024 Medium exact 2026</x:v>
      </x:c>
      <x:c r="Y497" s="36" t="str">
        <x:v>GBR: IMF exact 2026; JEY: peer-growth inference from World Bank 2023; Europe &amp; Central Asia; High income median 5.30%/yr (34 peers, capped at ±8%); IMN: peer-growth inference from World Bank 2023; Europe &amp; Central Asia; High income median 5.30%/yr (34 peers, capped at ±8%); AIA: nominal GDP/c inferred from global available-country peers median level (177 peers); BMU: peer-growth inference from World Bank 2024; High income median 5.34%/yr (60 peers, capped at ±8%); CYM: peer-growth inference from World Bank 2024; Latin America &amp; Caribbean ; High income median 4.29%/yr (9 peers, capped at ±8%); MSR: nominal GDP/c inferred from global available-country peers median level (177 peers); TCA: peer-growth inference from World Bank 2024; Latin America &amp; Caribbean ; High income median 4.29%/yr (9 peers, capped at ±8%); VGB: nominal GDP/c inferred from Latin America &amp; Caribbean ; High income median level (9 peers)</x:v>
      </x:c>
      <x:c r="Z497" s="36" t="str">
        <x:v>GBR: IMF exact 2026; JEY: PPP inferred from filled nominal GDP using Europe &amp; Central Asia; High income median PPP/nominal ratio 1.392 (34 peers); IMN: PPP inferred from filled nominal GDP using Europe &amp; Central Asia; High income median PPP/nominal ratio 1.392 (34 peers); AIA: PPP inferred from filled nominal GDP using global available-country peers median PPP/nominal ratio 2.285 (177 peers); BMU: peer-growth inference from World Bank 2024; High income median 1.57%/yr (60 peers, capped at ±8%); CYM: peer-growth inference from World Bank 2024; Latin America &amp; Caribbean ; High income median 2.89%/yr (9 peers, capped at ±8%); MSR: PPP inferred from filled nominal GDP using global available-country peers median PPP/nominal ratio 2.285 (177 peers); TCA: peer-growth inference from World Bank 2024; Latin America &amp; Caribbean ; High income median 2.89%/yr (9 peers, capped at ±8%); VGB: PPP inferred from filled nominal GDP using Latin America &amp; Caribbean ; High income median PPP/nominal ratio 1.683 (9 peers)</x:v>
      </x:c>
      <x:c r="AA497" s="36" t="str">
        <x:v>inferred</x:v>
      </x:c>
      <x:c r="AB497" s="36" t="str">
        <x:v>https://www.un.org/development/desa/pd/world-population-prospects-2024</x:v>
      </x:c>
      <x:c r="AC497" s="36" t="str">
        <x:v>https://api.imf.org/external/sdmx/3.0/data/dataflow/IMF.RES/WEO/9.0.0/</x:v>
      </x:c>
      <x:c r="AD497" s="36" t="str">
        <x:v>https://api.worldbank.org/v2/</x:v>
      </x:c>
    </x:row>
    <x:row r="498">
      <x:c r="A498" s="24" t="str">
        <x:v>USA</x:v>
      </x:c>
      <x:c r="B498" s="24" t="str">
        <x:v>United States of America</x:v>
      </x:c>
      <x:c r="C498" s="24" t="str">
        <x:v>USA+PRI</x:v>
      </x:c>
      <x:c r="D498" s="24" t="str">
        <x:v>USA+PRI+VIR+GUM+ASM+MNP</x:v>
      </x:c>
      <x:c r="E498" s="24" t="n">
        <x:v>2003</x:v>
      </x:c>
      <x:c r="F498" s="37" t="n">
        <x:v>1.59</x:v>
      </x:c>
      <x:c r="G498" s="38" t="n">
        <x:v>289908101</x:v>
      </x:c>
      <x:c r="H498" s="38" t="n">
        <x:v>294107842</x:v>
      </x:c>
      <x:c r="I498" s="39" t="n">
        <x:f>H498/G498</x:f>
        <x:v>1.0144864561752966</x:v>
      </x:c>
      <x:c r="J498" s="40" t="n">
        <x:f>(I498-1)*100</x:f>
        <x:v>1.4486456175296647</x:v>
      </x:c>
      <x:c r="K498" s="36" t="str">
        <x:v>no</x:v>
      </x:c>
      <x:c r="L498" s="36" t="str">
        <x:v>Added Puerto Rico, the US Virgin Islands, Guam, American Samoa, and the Northern Mariana Islands represented by the American Caribbean and Pacific regions.</x:v>
      </x:c>
      <x:c r="M498" s="41" t="n">
        <x:v>6699678362573</x:v>
      </x:c>
      <x:c r="N498" s="41" t="n">
        <x:v>10652488596491</x:v>
      </x:c>
      <x:c r="O498" s="41" t="n">
        <x:v>36744</x:v>
      </x:c>
      <x:c r="P498" s="41" t="n">
        <x:v>62393</x:v>
      </x:c>
      <x:c r="Q498" s="41" t="n">
        <x:v>62516</x:v>
      </x:c>
      <x:c r="R498" s="42" t="n">
        <x:f>MIN(P498,Q498)</x:f>
        <x:v>62393</x:v>
      </x:c>
      <x:c r="S498" s="42" t="n">
        <x:f>MAX(P498,Q498)</x:f>
        <x:v>62516</x:v>
      </x:c>
      <x:c r="T498" s="42" t="n">
        <x:f>MAX(R498,MIN(O498,S498))</x:f>
        <x:v>62393</x:v>
      </x:c>
      <x:c r="U498" s="19" t="str">
        <x:f>IF(O498&lt;R498,IF(R498=P498,"clamped_to_nominal","clamped_to_ppp"),IF(O498&gt;S498,IF(S498=P498,"clamped_to_nominal","clamped_to_ppp"),"kept_vanilla"))</x:f>
        <x:v>clamped_to_nominal</x:v>
      </x:c>
      <x:c r="V498" s="42" t="n">
        <x:f>T498*H498</x:f>
        <x:v>18350270585906</x:v>
      </x:c>
      <x:c r="W498" s="42" t="n">
        <x:f>V498/F498</x:f>
        <x:v>11541050682959.748</x:v>
      </x:c>
      <x:c r="X498" s="36" t="str">
        <x:v>USA: UN WPP 2024 Medium exact 2003; PRI: UN WPP 2024 Medium exact 2003; VIR: UN WPP 2024 Medium exact 2003; GUM: UN WPP 2024 Medium exact 2003; ASM: UN WPP 2024 Medium exact 2003; MNP: UN WPP 2024 Medium exact 2003</x:v>
      </x:c>
      <x:c r="Y498" s="36" t="str">
        <x:v>USA: IMF exact 2003; PRI: IMF exact 2003; VIR: World Bank exact 2003; GUM: World Bank exact 2003; ASM: World Bank exact 2003; MNP: World Bank exact 2003</x:v>
      </x:c>
      <x:c r="Z498" s="36" t="str">
        <x:v>USA: IMF exact 2003; PRI: IMF exact 2003; VIR: World Bank exact 2003; GUM: PPP inferred from filled nominal GDP using East Asia &amp; Pacific; High income median PPP/nominal ratio 1.428 (10 peers); ASM: PPP inferred from filled nominal GDP using East Asia &amp; Pacific; High income median PPP/nominal ratio 1.428 (10 peers); MNP: PPP inferred from filled nominal GDP using East Asia &amp; Pacific; High income median PPP/nominal ratio 1.428 (10 peers)</x:v>
      </x:c>
      <x:c r="AA498" s="36" t="str">
        <x:v>inferred+secondary_source</x:v>
      </x:c>
      <x:c r="AB498" s="36" t="str">
        <x:v>https://www.un.org/development/desa/pd/world-population-prospects-2024</x:v>
      </x:c>
      <x:c r="AC498" s="36" t="str">
        <x:v>https://api.imf.org/external/sdmx/3.0/data/dataflow/IMF.RES/WEO/9.0.0/</x:v>
      </x:c>
      <x:c r="AD498" s="36" t="str">
        <x:v>https://api.worldbank.org/v2/</x:v>
      </x:c>
    </x:row>
    <x:row r="499">
      <x:c r="A499" s="24" t="str">
        <x:v>USA</x:v>
      </x:c>
      <x:c r="B499" s="24" t="str">
        <x:v>United States of America</x:v>
      </x:c>
      <x:c r="C499" s="24" t="str">
        <x:v>USA+PRI</x:v>
      </x:c>
      <x:c r="D499" s="24" t="str">
        <x:v>USA+PRI+VIR+GUM+ASM+MNP</x:v>
      </x:c>
      <x:c r="E499" s="24" t="n">
        <x:v>2022</x:v>
      </x:c>
      <x:c r="F499" s="37" t="n">
        <x:v>1</x:v>
      </x:c>
      <x:c r="G499" s="38" t="n">
        <x:v>335386250</x:v>
      </x:c>
      <x:c r="H499" s="38" t="n">
        <x:v>345121121</x:v>
      </x:c>
      <x:c r="I499" s="39" t="n">
        <x:f>H499/G499</x:f>
        <x:v>1.029025850046029</x:v>
      </x:c>
      <x:c r="J499" s="40" t="n">
        <x:f>(I499-1)*100</x:f>
        <x:v>2.902585004602898</x:v>
      </x:c>
      <x:c r="K499" s="36" t="str">
        <x:v>no</x:v>
      </x:c>
      <x:c r="L499" s="36" t="str">
        <x:v>Added Puerto Rico, the US Virgin Islands, Guam, American Samoa, and the Northern Mariana Islands represented by the American Caribbean and Pacific regions.</x:v>
      </x:c>
      <x:c r="M499" s="41" t="n">
        <x:v>22305188400000</x:v>
      </x:c>
      <x:c r="N499" s="41" t="n">
        <x:v>22305188400000</x:v>
      </x:c>
      <x:c r="O499" s="41" t="n">
        <x:v>66506</x:v>
      </x:c>
      <x:c r="P499" s="41" t="n">
        <x:v>75863</x:v>
      </x:c>
      <x:c r="Q499" s="41" t="n">
        <x:v>75968</x:v>
      </x:c>
      <x:c r="R499" s="42" t="n">
        <x:f>MIN(P499,Q499)</x:f>
        <x:v>75863</x:v>
      </x:c>
      <x:c r="S499" s="42" t="n">
        <x:f>MAX(P499,Q499)</x:f>
        <x:v>75968</x:v>
      </x:c>
      <x:c r="T499" s="42" t="n">
        <x:f>MAX(R499,MIN(O499,S499))</x:f>
        <x:v>75863</x:v>
      </x:c>
      <x:c r="U499" s="19" t="str">
        <x:f>IF(O499&lt;R499,IF(R499=P499,"clamped_to_nominal","clamped_to_ppp"),IF(O499&gt;S499,IF(S499=P499,"clamped_to_nominal","clamped_to_ppp"),"kept_vanilla"))</x:f>
        <x:v>clamped_to_nominal</x:v>
      </x:c>
      <x:c r="V499" s="42" t="n">
        <x:f>T499*H499</x:f>
        <x:v>26181923602423</x:v>
      </x:c>
      <x:c r="W499" s="42" t="n">
        <x:f>V499/F499</x:f>
        <x:v>26181923602423</x:v>
      </x:c>
      <x:c r="X499" s="36" t="str">
        <x:v>USA: UN WPP 2024 Medium exact 2022; PRI: UN WPP 2024 Medium exact 2022; VIR: UN WPP 2024 Medium exact 2022; GUM: UN WPP 2024 Medium exact 2022; ASM: UN WPP 2024 Medium exact 2022; MNP: UN WPP 2024 Medium exact 2022</x:v>
      </x:c>
      <x:c r="Y499" s="36" t="str">
        <x:v>USA: IMF exact 2022; PRI: IMF exact 2022; VIR: World Bank exact 2022; GUM: World Bank exact 2022; ASM: World Bank exact 2022; MNP: World Bank exact 2022</x:v>
      </x:c>
      <x:c r="Z499" s="36" t="str">
        <x:v>USA: IMF exact 2022; PRI: IMF exact 2022; VIR: World Bank exact 2022; GUM: PPP inferred from filled nominal GDP using East Asia &amp; Pacific; High income median PPP/nominal ratio 1.411 (10 peers); ASM: PPP inferred from filled nominal GDP using East Asia &amp; Pacific; High income median PPP/nominal ratio 1.411 (10 peers); MNP: PPP inferred from filled nominal GDP using East Asia &amp; Pacific; High income median PPP/nominal ratio 1.411 (10 peers)</x:v>
      </x:c>
      <x:c r="AA499" s="36" t="str">
        <x:v>inferred+secondary_source</x:v>
      </x:c>
      <x:c r="AB499" s="36" t="str">
        <x:v>https://www.un.org/development/desa/pd/world-population-prospects-2024</x:v>
      </x:c>
      <x:c r="AC499" s="36" t="str">
        <x:v>https://api.imf.org/external/sdmx/3.0/data/dataflow/IMF.RES/WEO/9.0.0/</x:v>
      </x:c>
      <x:c r="AD499" s="36" t="str">
        <x:v>https://api.worldbank.org/v2/</x:v>
      </x:c>
    </x:row>
    <x:row r="500">
      <x:c r="A500" s="24" t="str">
        <x:v>USA</x:v>
      </x:c>
      <x:c r="B500" s="24" t="str">
        <x:v>United States of America</x:v>
      </x:c>
      <x:c r="C500" s="24" t="str">
        <x:v>USA+PRI</x:v>
      </x:c>
      <x:c r="D500" s="24" t="str">
        <x:v>USA+PRI+VIR+GUM+ASM+MNP</x:v>
      </x:c>
      <x:c r="E500" s="24" t="n">
        <x:v>2026</x:v>
      </x:c>
      <x:c r="F500" s="37" t="n">
        <x:v>0.87</x:v>
      </x:c>
      <x:c r="G500" s="38" t="n">
        <x:v>349035493</x:v>
      </x:c>
      <x:c r="H500" s="38" t="n">
        <x:v>352600000</x:v>
      </x:c>
      <x:c r="I500" s="39" t="n">
        <x:f>H500/G500</x:f>
        <x:v>1.0102124485087824</x:v>
      </x:c>
      <x:c r="J500" s="40" t="n">
        <x:f>(I500-1)*100</x:f>
        <x:v>1.0212448508782446</x:v>
      </x:c>
      <x:c r="K500" s="36" t="str">
        <x:v>no</x:v>
      </x:c>
      <x:c r="L500" s="36" t="str">
        <x:v>Added Puerto Rico, the US Virgin Islands, Guam, American Samoa, and the Northern Mariana Islands represented by the American Caribbean and Pacific regions.</x:v>
      </x:c>
      <x:c r="M500" s="41" t="n">
        <x:v>26941853840000</x:v>
      </x:c>
      <x:c r="N500" s="41" t="n">
        <x:v>23439412840800</x:v>
      </x:c>
      <x:c r="O500" s="41" t="n">
        <x:v>67155</x:v>
      </x:c>
      <x:c r="P500" s="41" t="n">
        <x:v>80260</x:v>
      </x:c>
      <x:c r="Q500" s="41" t="n">
        <x:v>80375</x:v>
      </x:c>
      <x:c r="R500" s="42" t="n">
        <x:f>MIN(P500,Q500)</x:f>
        <x:v>80260</x:v>
      </x:c>
      <x:c r="S500" s="42" t="n">
        <x:f>MAX(P500,Q500)</x:f>
        <x:v>80375</x:v>
      </x:c>
      <x:c r="T500" s="42" t="n">
        <x:f>MAX(R500,MIN(O500,S500))</x:f>
        <x:v>80260</x:v>
      </x:c>
      <x:c r="U500" s="19" t="str">
        <x:f>IF(O500&lt;R500,IF(R500=P500,"clamped_to_nominal","clamped_to_ppp"),IF(O500&gt;S500,IF(S500=P500,"clamped_to_nominal","clamped_to_ppp"),"kept_vanilla"))</x:f>
        <x:v>clamped_to_nominal</x:v>
      </x:c>
      <x:c r="V500" s="42" t="n">
        <x:f>T500*H500</x:f>
        <x:v>28299676000000</x:v>
      </x:c>
      <x:c r="W500" s="42" t="n">
        <x:f>V500/F500</x:f>
        <x:v>32528363218390.805</x:v>
      </x:c>
      <x:c r="X500" s="36" t="str">
        <x:v>USA: UN WPP 2024 Medium exact 2026; PRI: UN WPP 2024 Medium exact 2026; VIR: UN WPP 2024 Medium exact 2026; GUM: UN WPP 2024 Medium exact 2026; ASM: UN WPP 2024 Medium exact 2026; MNP: UN WPP 2024 Medium exact 2026</x:v>
      </x:c>
      <x:c r="Y500" s="36" t="str">
        <x:v>USA: IMF exact 2026; PRI: IMF exact 2026; VIR: peer-growth inference from World Bank 2022; Latin America &amp; Caribbean ; High income median 2.27%/yr (9 peers, capped at ±8%); GUM: peer-growth inference from World Bank 2022; East Asia &amp; Pacific; High income median -0.77%/yr (6 peers, capped at ±8%); ASM: peer-growth inference from World Bank 2022; East Asia &amp; Pacific; High income median -0.77%/yr (6 peers, capped at ±8%); MNP: peer-growth inference from World Bank 2022; East Asia &amp; Pacific; High income median -0.77%/yr (6 peers, capped at ±8%)</x:v>
      </x:c>
      <x:c r="Z500" s="36" t="str">
        <x:v>USA: IMF exact 2026; PRI: IMF exact 2026; VIR: peer-growth inference from World Bank 2022; Latin America &amp; Caribbean ; High income median 2.38%/yr (9 peers, capped at ±8%); GUM: PPP inferred from filled nominal GDP using East Asia &amp; Pacific; High income median PPP/nominal ratio 1.635 (6 peers); ASM: PPP inferred from filled nominal GDP using East Asia &amp; Pacific; High income median PPP/nominal ratio 1.635 (6 peers); MNP: PPP inferred from filled nominal GDP using East Asia &amp; Pacific; High income median PPP/nominal ratio 1.635 (6 peers)</x:v>
      </x:c>
      <x:c r="AA500" s="36" t="str">
        <x:v>inferred</x:v>
      </x:c>
      <x:c r="AB500" s="36" t="str">
        <x:v>https://www.un.org/development/desa/pd/world-population-prospects-2024</x:v>
      </x:c>
      <x:c r="AC500" s="36" t="str">
        <x:v>https://api.imf.org/external/sdmx/3.0/data/dataflow/IMF.RES/WEO/9.0.0/</x:v>
      </x:c>
      <x:c r="AD500" s="36" t="str">
        <x:v>https://api.worldbank.org/v2/</x:v>
      </x:c>
    </x:row>
    <x:row r="501">
      <x:c r="A501" s="24" t="str">
        <x:v>URY</x:v>
      </x:c>
      <x:c r="B501" s="24" t="str">
        <x:v>Uruguay</x:v>
      </x:c>
      <x:c r="C501" s="24" t="str">
        <x:v>URY</x:v>
      </x:c>
      <x:c r="D501" s="24" t="str">
        <x:v>URY</x:v>
      </x:c>
      <x:c r="E501" s="24" t="n">
        <x:v>2003</x:v>
      </x:c>
      <x:c r="F501" s="37" t="n">
        <x:v>1.59</x:v>
      </x:c>
      <x:c r="G501" s="38" t="n">
        <x:v>3281186</x:v>
      </x:c>
      <x:c r="H501" s="38" t="n">
        <x:v>3281186</x:v>
      </x:c>
      <x:c r="I501" s="39" t="n">
        <x:f>H501/G501</x:f>
        <x:v>1</x:v>
      </x:c>
      <x:c r="J501" s="40" t="n">
        <x:f>(I501-1)*100</x:f>
        <x:v>0</x:v>
      </x:c>
      <x:c r="K501" s="36" t="str">
        <x:v>no</x:v>
      </x:c>
      <x:c r="L501" s="36" t="str">
        <x:v>Single-country territory; UN WPP and vanilla are within the ±5% review threshold.</x:v>
      </x:c>
      <x:c r="M501" s="41" t="n">
        <x:v>19566081871</x:v>
      </x:c>
      <x:c r="N501" s="41" t="n">
        <x:v>31110070175</x:v>
      </x:c>
      <x:c r="O501" s="41" t="n">
        <x:v>9481</x:v>
      </x:c>
      <x:c r="P501" s="41" t="n">
        <x:v>6377</x:v>
      </x:c>
      <x:c r="Q501" s="41" t="n">
        <x:v>16213</x:v>
      </x:c>
      <x:c r="R501" s="42" t="n">
        <x:f>MIN(P501,Q501)</x:f>
        <x:v>6377</x:v>
      </x:c>
      <x:c r="S501" s="42" t="n">
        <x:f>MAX(P501,Q501)</x:f>
        <x:v>16213</x:v>
      </x:c>
      <x:c r="T501" s="42" t="n">
        <x:f>MAX(R501,MIN(O501,S501))</x:f>
        <x:v>9481</x:v>
      </x:c>
      <x:c r="U501" s="19" t="str">
        <x:f>IF(O501&lt;R501,IF(R501=P501,"clamped_to_nominal","clamped_to_ppp"),IF(O501&gt;S501,IF(S501=P501,"clamped_to_nominal","clamped_to_ppp"),"kept_vanilla"))</x:f>
        <x:v>kept_vanilla</x:v>
      </x:c>
      <x:c r="V501" s="42" t="n">
        <x:f>T501*H501</x:f>
        <x:v>31108924466</x:v>
      </x:c>
      <x:c r="W501" s="42" t="n">
        <x:f>V501/F501</x:f>
        <x:v>19565361299.371067</x:v>
      </x:c>
      <x:c r="X501" s="36" t="str">
        <x:v>URY: UN WPP 2024 Medium exact 2003</x:v>
      </x:c>
      <x:c r="Y501" s="36" t="str">
        <x:v>URY: IMF exact 2003</x:v>
      </x:c>
      <x:c r="Z501" s="36" t="str">
        <x:v>URY: IMF exact 2003</x:v>
      </x:c>
      <x:c r="AA501" s="36" t="str">
        <x:v>complete_primary</x:v>
      </x:c>
      <x:c r="AB501" s="36" t="str">
        <x:v>https://www.un.org/development/desa/pd/world-population-prospects-2024</x:v>
      </x:c>
      <x:c r="AC501" s="36" t="str">
        <x:v>https://api.imf.org/external/sdmx/3.0/data/dataflow/IMF.RES/WEO/9.0.0/</x:v>
      </x:c>
      <x:c r="AD501" s="36" t="str">
        <x:v>https://api.worldbank.org/v2/</x:v>
      </x:c>
    </x:row>
    <x:row r="502">
      <x:c r="A502" s="24" t="str">
        <x:v>URY</x:v>
      </x:c>
      <x:c r="B502" s="24" t="str">
        <x:v>Uruguay</x:v>
      </x:c>
      <x:c r="C502" s="24" t="str">
        <x:v>URY</x:v>
      </x:c>
      <x:c r="D502" s="24" t="str">
        <x:v>URY</x:v>
      </x:c>
      <x:c r="E502" s="24" t="n">
        <x:v>2022</x:v>
      </x:c>
      <x:c r="F502" s="37" t="n">
        <x:v>1</x:v>
      </x:c>
      <x:c r="G502" s="38" t="n">
        <x:v>3499367</x:v>
      </x:c>
      <x:c r="H502" s="38" t="n">
        <x:v>3390913</x:v>
      </x:c>
      <x:c r="I502" s="39" t="n">
        <x:f>H502/G502</x:f>
        <x:v>0.969007537648952</x:v>
      </x:c>
      <x:c r="J502" s="40" t="n">
        <x:f>(I502-1)*100</x:f>
        <x:v>-3.0992462351048022</x:v>
      </x:c>
      <x:c r="K502" s="36" t="str">
        <x:v>no</x:v>
      </x:c>
      <x:c r="L502" s="36" t="str">
        <x:v>Single-country territory; UN WPP and vanilla are within the ±5% review threshold.</x:v>
      </x:c>
      <x:c r="M502" s="41" t="n">
        <x:v>83409040000</x:v>
      </x:c>
      <x:c r="N502" s="41" t="n">
        <x:v>83409040000</x:v>
      </x:c>
      <x:c r="O502" s="41" t="n">
        <x:v>23835</x:v>
      </x:c>
      <x:c r="P502" s="41" t="n">
        <x:v>21011</x:v>
      </x:c>
      <x:c r="Q502" s="41" t="n">
        <x:v>33034</x:v>
      </x:c>
      <x:c r="R502" s="42" t="n">
        <x:f>MIN(P502,Q502)</x:f>
        <x:v>21011</x:v>
      </x:c>
      <x:c r="S502" s="42" t="n">
        <x:f>MAX(P502,Q502)</x:f>
        <x:v>33034</x:v>
      </x:c>
      <x:c r="T502" s="42" t="n">
        <x:f>MAX(R502,MIN(O502,S502))</x:f>
        <x:v>23835</x:v>
      </x:c>
      <x:c r="U502" s="19" t="str">
        <x:f>IF(O502&lt;R502,IF(R502=P502,"clamped_to_nominal","clamped_to_ppp"),IF(O502&gt;S502,IF(S502=P502,"clamped_to_nominal","clamped_to_ppp"),"kept_vanilla"))</x:f>
        <x:v>kept_vanilla</x:v>
      </x:c>
      <x:c r="V502" s="42" t="n">
        <x:f>T502*H502</x:f>
        <x:v>80822411355</x:v>
      </x:c>
      <x:c r="W502" s="42" t="n">
        <x:f>V502/F502</x:f>
        <x:v>80822411355</x:v>
      </x:c>
      <x:c r="X502" s="36" t="str">
        <x:v>URY: UN WPP 2024 Medium exact 2022</x:v>
      </x:c>
      <x:c r="Y502" s="36" t="str">
        <x:v>URY: IMF exact 2022</x:v>
      </x:c>
      <x:c r="Z502" s="36" t="str">
        <x:v>URY: IMF exact 2022</x:v>
      </x:c>
      <x:c r="AA502" s="36" t="str">
        <x:v>complete_primary</x:v>
      </x:c>
      <x:c r="AB502" s="36" t="str">
        <x:v>https://www.un.org/development/desa/pd/world-population-prospects-2024</x:v>
      </x:c>
      <x:c r="AC502" s="36" t="str">
        <x:v>https://api.imf.org/external/sdmx/3.0/data/dataflow/IMF.RES/WEO/9.0.0/</x:v>
      </x:c>
      <x:c r="AD502" s="36" t="str">
        <x:v>https://api.worldbank.org/v2/</x:v>
      </x:c>
    </x:row>
    <x:row r="503">
      <x:c r="A503" s="24" t="str">
        <x:v>URY</x:v>
      </x:c>
      <x:c r="B503" s="24" t="str">
        <x:v>Uruguay</x:v>
      </x:c>
      <x:c r="C503" s="24" t="str">
        <x:v>URY</x:v>
      </x:c>
      <x:c r="D503" s="24" t="str">
        <x:v>URY</x:v>
      </x:c>
      <x:c r="E503" s="24" t="n">
        <x:v>2026</x:v>
      </x:c>
      <x:c r="F503" s="37" t="n">
        <x:v>0.87</x:v>
      </x:c>
      <x:c r="G503" s="38" t="n">
        <x:v>3382537</x:v>
      </x:c>
      <x:c r="H503" s="38" t="n">
        <x:v>3382537</x:v>
      </x:c>
      <x:c r="I503" s="39" t="n">
        <x:f>H503/G503</x:f>
        <x:v>1</x:v>
      </x:c>
      <x:c r="J503" s="40" t="n">
        <x:f>(I503-1)*100</x:f>
        <x:v>0</x:v>
      </x:c>
      <x:c r="K503" s="36" t="str">
        <x:v>no</x:v>
      </x:c>
      <x:c r="L503" s="36" t="str">
        <x:v>Single-country territory; UN WPP and vanilla are within the ±5% review threshold.</x:v>
      </x:c>
      <x:c r="M503" s="41" t="n">
        <x:v>114583920000</x:v>
      </x:c>
      <x:c r="N503" s="41" t="n">
        <x:v>99688010400</x:v>
      </x:c>
      <x:c r="O503" s="41" t="n">
        <x:v>29471</x:v>
      </x:c>
      <x:c r="P503" s="41" t="n">
        <x:v>24715</x:v>
      </x:c>
      <x:c r="Q503" s="41" t="n">
        <x:v>34940</x:v>
      </x:c>
      <x:c r="R503" s="42" t="n">
        <x:f>MIN(P503,Q503)</x:f>
        <x:v>24715</x:v>
      </x:c>
      <x:c r="S503" s="42" t="n">
        <x:f>MAX(P503,Q503)</x:f>
        <x:v>34940</x:v>
      </x:c>
      <x:c r="T503" s="42" t="n">
        <x:f>MAX(R503,MIN(O503,S503))</x:f>
        <x:v>29471</x:v>
      </x:c>
      <x:c r="U503" s="19" t="str">
        <x:f>IF(O503&lt;R503,IF(R503=P503,"clamped_to_nominal","clamped_to_ppp"),IF(O503&gt;S503,IF(S503=P503,"clamped_to_nominal","clamped_to_ppp"),"kept_vanilla"))</x:f>
        <x:v>kept_vanilla</x:v>
      </x:c>
      <x:c r="V503" s="42" t="n">
        <x:f>T503*H503</x:f>
        <x:v>99686747927</x:v>
      </x:c>
      <x:c r="W503" s="42" t="n">
        <x:f>V503/F503</x:f>
        <x:v>114582468881.60919</x:v>
      </x:c>
      <x:c r="X503" s="36" t="str">
        <x:v>URY: UN WPP 2024 Medium exact 2026</x:v>
      </x:c>
      <x:c r="Y503" s="36" t="str">
        <x:v>URY: IMF exact 2026</x:v>
      </x:c>
      <x:c r="Z503" s="36" t="str">
        <x:v>URY: IMF exact 2026</x:v>
      </x:c>
      <x:c r="AA503" s="36" t="str">
        <x:v>complete_primary</x:v>
      </x:c>
      <x:c r="AB503" s="36" t="str">
        <x:v>https://www.un.org/development/desa/pd/world-population-prospects-2024</x:v>
      </x:c>
      <x:c r="AC503" s="36" t="str">
        <x:v>https://api.imf.org/external/sdmx/3.0/data/dataflow/IMF.RES/WEO/9.0.0/</x:v>
      </x:c>
      <x:c r="AD503" s="36" t="str">
        <x:v>https://api.worldbank.org/v2/</x:v>
      </x:c>
    </x:row>
    <x:row r="504">
      <x:c r="A504" s="24" t="str">
        <x:v>UZB</x:v>
      </x:c>
      <x:c r="B504" s="24" t="str">
        <x:v>Uzbekistan</x:v>
      </x:c>
      <x:c r="C504" s="24" t="str">
        <x:v>UZB</x:v>
      </x:c>
      <x:c r="D504" s="24" t="str">
        <x:v>UZB</x:v>
      </x:c>
      <x:c r="E504" s="24" t="n">
        <x:v>2003</x:v>
      </x:c>
      <x:c r="F504" s="37" t="n">
        <x:v>1.59</x:v>
      </x:c>
      <x:c r="G504" s="38" t="n">
        <x:v>25711259</x:v>
      </x:c>
      <x:c r="H504" s="38" t="n">
        <x:v>25711259</x:v>
      </x:c>
      <x:c r="I504" s="39" t="n">
        <x:f>H504/G504</x:f>
        <x:v>1</x:v>
      </x:c>
      <x:c r="J504" s="40" t="n">
        <x:f>(I504-1)*100</x:f>
        <x:v>0</x:v>
      </x:c>
      <x:c r="K504" s="36" t="str">
        <x:v>no</x:v>
      </x:c>
      <x:c r="L504" s="36" t="str">
        <x:v>Single-country territory; UN WPP and vanilla are within the ±5% review threshold.</x:v>
      </x:c>
      <x:c r="M504" s="41" t="n">
        <x:v>41912280702</x:v>
      </x:c>
      <x:c r="N504" s="41" t="n">
        <x:v>66640526316</x:v>
      </x:c>
      <x:c r="O504" s="41" t="n">
        <x:v>2592</x:v>
      </x:c>
      <x:c r="P504" s="41" t="n">
        <x:v>872</x:v>
      </x:c>
      <x:c r="Q504" s="41" t="n">
        <x:v>4242</x:v>
      </x:c>
      <x:c r="R504" s="42" t="n">
        <x:f>MIN(P504,Q504)</x:f>
        <x:v>872</x:v>
      </x:c>
      <x:c r="S504" s="42" t="n">
        <x:f>MAX(P504,Q504)</x:f>
        <x:v>4242</x:v>
      </x:c>
      <x:c r="T504" s="42" t="n">
        <x:f>MAX(R504,MIN(O504,S504))</x:f>
        <x:v>2592</x:v>
      </x:c>
      <x:c r="U504" s="19" t="str">
        <x:f>IF(O504&lt;R504,IF(R504=P504,"clamped_to_nominal","clamped_to_ppp"),IF(O504&gt;S504,IF(S504=P504,"clamped_to_nominal","clamped_to_ppp"),"kept_vanilla"))</x:f>
        <x:v>kept_vanilla</x:v>
      </x:c>
      <x:c r="V504" s="42" t="n">
        <x:f>T504*H504</x:f>
        <x:v>66643583328</x:v>
      </x:c>
      <x:c r="W504" s="42" t="n">
        <x:f>V504/F504</x:f>
        <x:v>41914203350.9434</x:v>
      </x:c>
      <x:c r="X504" s="36" t="str">
        <x:v>UZB: UN WPP 2024 Medium exact 2003</x:v>
      </x:c>
      <x:c r="Y504" s="36" t="str">
        <x:v>UZB: IMF exact 2003</x:v>
      </x:c>
      <x:c r="Z504" s="36" t="str">
        <x:v>UZB: IMF exact 2003</x:v>
      </x:c>
      <x:c r="AA504" s="36" t="str">
        <x:v>complete_primary</x:v>
      </x:c>
      <x:c r="AB504" s="36" t="str">
        <x:v>https://www.un.org/development/desa/pd/world-population-prospects-2024</x:v>
      </x:c>
      <x:c r="AC504" s="36" t="str">
        <x:v>https://api.imf.org/external/sdmx/3.0/data/dataflow/IMF.RES/WEO/9.0.0/</x:v>
      </x:c>
      <x:c r="AD504" s="36" t="str">
        <x:v>https://api.worldbank.org/v2/</x:v>
      </x:c>
    </x:row>
    <x:row r="505">
      <x:c r="A505" s="24" t="str">
        <x:v>UZB</x:v>
      </x:c>
      <x:c r="B505" s="24" t="str">
        <x:v>Uzbekistan</x:v>
      </x:c>
      <x:c r="C505" s="24" t="str">
        <x:v>UZB</x:v>
      </x:c>
      <x:c r="D505" s="24" t="str">
        <x:v>UZB</x:v>
      </x:c>
      <x:c r="E505" s="24" t="n">
        <x:v>2022</x:v>
      </x:c>
      <x:c r="F505" s="37" t="n">
        <x:v>1</x:v>
      </x:c>
      <x:c r="G505" s="38" t="n">
        <x:v>34521553</x:v>
      </x:c>
      <x:c r="H505" s="38" t="n">
        <x:v>34938955</x:v>
      </x:c>
      <x:c r="I505" s="39" t="n">
        <x:f>H505/G505</x:f>
        <x:v>1.012091055115626</x:v>
      </x:c>
      <x:c r="J505" s="40" t="n">
        <x:f>(I505-1)*100</x:f>
        <x:v>1.2091055115625915</x:v>
      </x:c>
      <x:c r="K505" s="36" t="str">
        <x:v>no</x:v>
      </x:c>
      <x:c r="L505" s="36" t="str">
        <x:v>Single-country territory; UN WPP and vanilla are within the ±5% review threshold.</x:v>
      </x:c>
      <x:c r="M505" s="41" t="n">
        <x:v>286893200000</x:v>
      </x:c>
      <x:c r="N505" s="41" t="n">
        <x:v>286893200000</x:v>
      </x:c>
      <x:c r="O505" s="41" t="n">
        <x:v>8311</x:v>
      </x:c>
      <x:c r="P505" s="41" t="n">
        <x:v>2699</x:v>
      </x:c>
      <x:c r="Q505" s="41" t="n">
        <x:v>10809</x:v>
      </x:c>
      <x:c r="R505" s="42" t="n">
        <x:f>MIN(P505,Q505)</x:f>
        <x:v>2699</x:v>
      </x:c>
      <x:c r="S505" s="42" t="n">
        <x:f>MAX(P505,Q505)</x:f>
        <x:v>10809</x:v>
      </x:c>
      <x:c r="T505" s="42" t="n">
        <x:f>MAX(R505,MIN(O505,S505))</x:f>
        <x:v>8311</x:v>
      </x:c>
      <x:c r="U505" s="19" t="str">
        <x:f>IF(O505&lt;R505,IF(R505=P505,"clamped_to_nominal","clamped_to_ppp"),IF(O505&gt;S505,IF(S505=P505,"clamped_to_nominal","clamped_to_ppp"),"kept_vanilla"))</x:f>
        <x:v>kept_vanilla</x:v>
      </x:c>
      <x:c r="V505" s="42" t="n">
        <x:f>T505*H505</x:f>
        <x:v>290377655005</x:v>
      </x:c>
      <x:c r="W505" s="42" t="n">
        <x:f>V505/F505</x:f>
        <x:v>290377655005</x:v>
      </x:c>
      <x:c r="X505" s="36" t="str">
        <x:v>UZB: UN WPP 2024 Medium exact 2022</x:v>
      </x:c>
      <x:c r="Y505" s="36" t="str">
        <x:v>UZB: IMF exact 2022</x:v>
      </x:c>
      <x:c r="Z505" s="36" t="str">
        <x:v>UZB: IMF exact 2022</x:v>
      </x:c>
      <x:c r="AA505" s="36" t="str">
        <x:v>complete_primary</x:v>
      </x:c>
      <x:c r="AB505" s="36" t="str">
        <x:v>https://www.un.org/development/desa/pd/world-population-prospects-2024</x:v>
      </x:c>
      <x:c r="AC505" s="36" t="str">
        <x:v>https://api.imf.org/external/sdmx/3.0/data/dataflow/IMF.RES/WEO/9.0.0/</x:v>
      </x:c>
      <x:c r="AD505" s="36" t="str">
        <x:v>https://api.worldbank.org/v2/</x:v>
      </x:c>
    </x:row>
    <x:row r="506">
      <x:c r="A506" s="24" t="str">
        <x:v>UZB</x:v>
      </x:c>
      <x:c r="B506" s="24" t="str">
        <x:v>Uzbekistan</x:v>
      </x:c>
      <x:c r="C506" s="24" t="str">
        <x:v>UZB</x:v>
      </x:c>
      <x:c r="D506" s="24" t="str">
        <x:v>UZB</x:v>
      </x:c>
      <x:c r="E506" s="24" t="n">
        <x:v>2026</x:v>
      </x:c>
      <x:c r="F506" s="37" t="n">
        <x:v>0.87</x:v>
      </x:c>
      <x:c r="G506" s="38" t="n">
        <x:v>37724223</x:v>
      </x:c>
      <x:c r="H506" s="38" t="n">
        <x:v>37724223</x:v>
      </x:c>
      <x:c r="I506" s="39" t="n">
        <x:f>H506/G506</x:f>
        <x:v>1</x:v>
      </x:c>
      <x:c r="J506" s="40" t="n">
        <x:f>(I506-1)*100</x:f>
        <x:v>0</x:v>
      </x:c>
      <x:c r="K506" s="36" t="str">
        <x:v>no</x:v>
      </x:c>
      <x:c r="L506" s="36" t="str">
        <x:v>Single-country territory; UN WPP and vanilla are within the ±5% review threshold.</x:v>
      </x:c>
      <x:c r="M506" s="41" t="n">
        <x:v>413462720000</x:v>
      </x:c>
      <x:c r="N506" s="41" t="n">
        <x:v>359712566400</x:v>
      </x:c>
      <x:c r="O506" s="41" t="n">
        <x:v>9535</x:v>
      </x:c>
      <x:c r="P506" s="41" t="n">
        <x:v>4186</x:v>
      </x:c>
      <x:c r="Q506" s="41" t="n">
        <x:v>12734</x:v>
      </x:c>
      <x:c r="R506" s="42" t="n">
        <x:f>MIN(P506,Q506)</x:f>
        <x:v>4186</x:v>
      </x:c>
      <x:c r="S506" s="42" t="n">
        <x:f>MAX(P506,Q506)</x:f>
        <x:v>12734</x:v>
      </x:c>
      <x:c r="T506" s="42" t="n">
        <x:f>MAX(R506,MIN(O506,S506))</x:f>
        <x:v>9535</x:v>
      </x:c>
      <x:c r="U506" s="19" t="str">
        <x:f>IF(O506&lt;R506,IF(R506=P506,"clamped_to_nominal","clamped_to_ppp"),IF(O506&gt;S506,IF(S506=P506,"clamped_to_nominal","clamped_to_ppp"),"kept_vanilla"))</x:f>
        <x:v>kept_vanilla</x:v>
      </x:c>
      <x:c r="V506" s="42" t="n">
        <x:f>T506*H506</x:f>
        <x:v>359700466305</x:v>
      </x:c>
      <x:c r="W506" s="42" t="n">
        <x:f>V506/F506</x:f>
        <x:v>413448811844.8276</x:v>
      </x:c>
      <x:c r="X506" s="36" t="str">
        <x:v>UZB: UN WPP 2024 Medium exact 2026</x:v>
      </x:c>
      <x:c r="Y506" s="36" t="str">
        <x:v>UZB: IMF exact 2026</x:v>
      </x:c>
      <x:c r="Z506" s="36" t="str">
        <x:v>UZB: IMF exact 2026</x:v>
      </x:c>
      <x:c r="AA506" s="36" t="str">
        <x:v>complete_primary</x:v>
      </x:c>
      <x:c r="AB506" s="36" t="str">
        <x:v>https://www.un.org/development/desa/pd/world-population-prospects-2024</x:v>
      </x:c>
      <x:c r="AC506" s="36" t="str">
        <x:v>https://api.imf.org/external/sdmx/3.0/data/dataflow/IMF.RES/WEO/9.0.0/</x:v>
      </x:c>
      <x:c r="AD506" s="36" t="str">
        <x:v>https://api.worldbank.org/v2/</x:v>
      </x:c>
    </x:row>
    <x:row r="507">
      <x:c r="A507" s="24" t="str">
        <x:v>VEN</x:v>
      </x:c>
      <x:c r="B507" s="24" t="str">
        <x:v>Venezuela</x:v>
      </x:c>
      <x:c r="C507" s="24" t="str">
        <x:v>VEN</x:v>
      </x:c>
      <x:c r="D507" s="24" t="str">
        <x:v>VEN</x:v>
      </x:c>
      <x:c r="E507" s="24" t="n">
        <x:v>2003</x:v>
      </x:c>
      <x:c r="F507" s="37" t="n">
        <x:v>1.59</x:v>
      </x:c>
      <x:c r="G507" s="38" t="n">
        <x:v>25892703</x:v>
      </x:c>
      <x:c r="H507" s="38" t="n">
        <x:v>25892703</x:v>
      </x:c>
      <x:c r="I507" s="39" t="n">
        <x:f>H507/G507</x:f>
        <x:v>1</x:v>
      </x:c>
      <x:c r="J507" s="40" t="n">
        <x:f>(I507-1)*100</x:f>
        <x:v>0</x:v>
      </x:c>
      <x:c r="K507" s="36" t="str">
        <x:v>no</x:v>
      </x:c>
      <x:c r="L507" s="36" t="str">
        <x:v>Single-country territory; UN WPP and vanilla are within the ±5% review threshold.</x:v>
      </x:c>
      <x:c r="M507" s="41" t="n">
        <x:v>152851461988</x:v>
      </x:c>
      <x:c r="N507" s="41" t="n">
        <x:v>243033824561</x:v>
      </x:c>
      <x:c r="O507" s="41" t="n">
        <x:v>9386</x:v>
      </x:c>
      <x:c r="P507" s="41" t="n">
        <x:v>5139</x:v>
      </x:c>
      <x:c r="Q507" s="41" t="n">
        <x:v>16050</x:v>
      </x:c>
      <x:c r="R507" s="42" t="n">
        <x:f>MIN(P507,Q507)</x:f>
        <x:v>5139</x:v>
      </x:c>
      <x:c r="S507" s="42" t="n">
        <x:f>MAX(P507,Q507)</x:f>
        <x:v>16050</x:v>
      </x:c>
      <x:c r="T507" s="42" t="n">
        <x:f>MAX(R507,MIN(O507,S507))</x:f>
        <x:v>9386</x:v>
      </x:c>
      <x:c r="U507" s="19" t="str">
        <x:f>IF(O507&lt;R507,IF(R507=P507,"clamped_to_nominal","clamped_to_ppp"),IF(O507&gt;S507,IF(S507=P507,"clamped_to_nominal","clamped_to_ppp"),"kept_vanilla"))</x:f>
        <x:v>kept_vanilla</x:v>
      </x:c>
      <x:c r="V507" s="42" t="n">
        <x:f>T507*H507</x:f>
        <x:v>243028910358</x:v>
      </x:c>
      <x:c r="W507" s="42" t="n">
        <x:f>V507/F507</x:f>
        <x:v>152848371294.33963</x:v>
      </x:c>
      <x:c r="X507" s="36" t="str">
        <x:v>VEN: UN WPP 2024 Medium exact 2003</x:v>
      </x:c>
      <x:c r="Y507" s="36" t="str">
        <x:v>VEN: IMF exact 2003</x:v>
      </x:c>
      <x:c r="Z507" s="36" t="str">
        <x:v>VEN: IMF exact 2003</x:v>
      </x:c>
      <x:c r="AA507" s="36" t="str">
        <x:v>complete_primary</x:v>
      </x:c>
      <x:c r="AB507" s="36" t="str">
        <x:v>https://www.un.org/development/desa/pd/world-population-prospects-2024</x:v>
      </x:c>
      <x:c r="AC507" s="36" t="str">
        <x:v>https://api.imf.org/external/sdmx/3.0/data/dataflow/IMF.RES/WEO/9.0.0/</x:v>
      </x:c>
      <x:c r="AD507" s="36" t="str">
        <x:v>https://api.worldbank.org/v2/</x:v>
      </x:c>
    </x:row>
    <x:row r="508">
      <x:c r="A508" s="24" t="str">
        <x:v>VEN</x:v>
      </x:c>
      <x:c r="B508" s="24" t="str">
        <x:v>Venezuela</x:v>
      </x:c>
      <x:c r="C508" s="24" t="str">
        <x:v>VEN</x:v>
      </x:c>
      <x:c r="D508" s="24" t="str">
        <x:v>VEN</x:v>
      </x:c>
      <x:c r="E508" s="24" t="n">
        <x:v>2022</x:v>
      </x:c>
      <x:c r="F508" s="37" t="n">
        <x:v>1</x:v>
      </x:c>
      <x:c r="G508" s="38" t="n">
        <x:v>29470896</x:v>
      </x:c>
      <x:c r="H508" s="38" t="n">
        <x:v>28213017</x:v>
      </x:c>
      <x:c r="I508" s="39" t="n">
        <x:f>H508/G508</x:f>
        <x:v>0.9573179247756838</x:v>
      </x:c>
      <x:c r="J508" s="40" t="n">
        <x:f>(I508-1)*100</x:f>
        <x:v>-4.268207522431622</x:v>
      </x:c>
      <x:c r="K508" s="36" t="str">
        <x:v>no</x:v>
      </x:c>
      <x:c r="L508" s="36" t="str">
        <x:v>Single-country territory; UN WPP and vanilla are within the ±5% review threshold.</x:v>
      </x:c>
      <x:c r="M508" s="41" t="n">
        <x:v>140916160000</x:v>
      </x:c>
      <x:c r="N508" s="41" t="n">
        <x:v>140916160000</x:v>
      </x:c>
      <x:c r="O508" s="41" t="n">
        <x:v>4782</x:v>
      </x:c>
      <x:c r="P508" s="41" t="n">
        <x:v>3155</x:v>
      </x:c>
      <x:c r="Q508" s="41" t="n">
        <x:v>6933</x:v>
      </x:c>
      <x:c r="R508" s="42" t="n">
        <x:f>MIN(P508,Q508)</x:f>
        <x:v>3155</x:v>
      </x:c>
      <x:c r="S508" s="42" t="n">
        <x:f>MAX(P508,Q508)</x:f>
        <x:v>6933</x:v>
      </x:c>
      <x:c r="T508" s="42" t="n">
        <x:f>MAX(R508,MIN(O508,S508))</x:f>
        <x:v>4782</x:v>
      </x:c>
      <x:c r="U508" s="19" t="str">
        <x:f>IF(O508&lt;R508,IF(R508=P508,"clamped_to_nominal","clamped_to_ppp"),IF(O508&gt;S508,IF(S508=P508,"clamped_to_nominal","clamped_to_ppp"),"kept_vanilla"))</x:f>
        <x:v>kept_vanilla</x:v>
      </x:c>
      <x:c r="V508" s="42" t="n">
        <x:f>T508*H508</x:f>
        <x:v>134914647294</x:v>
      </x:c>
      <x:c r="W508" s="42" t="n">
        <x:f>V508/F508</x:f>
        <x:v>134914647294</x:v>
      </x:c>
      <x:c r="X508" s="36" t="str">
        <x:v>VEN: UN WPP 2024 Medium exact 2022</x:v>
      </x:c>
      <x:c r="Y508" s="36" t="str">
        <x:v>VEN: IMF exact 2022</x:v>
      </x:c>
      <x:c r="Z508" s="36" t="str">
        <x:v>VEN: IMF exact 2022</x:v>
      </x:c>
      <x:c r="AA508" s="36" t="str">
        <x:v>complete_primary</x:v>
      </x:c>
      <x:c r="AB508" s="36" t="str">
        <x:v>https://www.un.org/development/desa/pd/world-population-prospects-2024</x:v>
      </x:c>
      <x:c r="AC508" s="36" t="str">
        <x:v>https://api.imf.org/external/sdmx/3.0/data/dataflow/IMF.RES/WEO/9.0.0/</x:v>
      </x:c>
      <x:c r="AD508" s="36" t="str">
        <x:v>https://api.worldbank.org/v2/</x:v>
      </x:c>
    </x:row>
    <x:row r="509">
      <x:c r="A509" s="24" t="str">
        <x:v>VEN</x:v>
      </x:c>
      <x:c r="B509" s="24" t="str">
        <x:v>Venezuela</x:v>
      </x:c>
      <x:c r="C509" s="24" t="str">
        <x:v>VEN</x:v>
      </x:c>
      <x:c r="D509" s="24" t="str">
        <x:v>VEN</x:v>
      </x:c>
      <x:c r="E509" s="24" t="n">
        <x:v>2026</x:v>
      </x:c>
      <x:c r="F509" s="37" t="n">
        <x:v>0.87</x:v>
      </x:c>
      <x:c r="G509" s="38" t="n">
        <x:v>28633711</x:v>
      </x:c>
      <x:c r="H509" s="38" t="n">
        <x:v>28633711</x:v>
      </x:c>
      <x:c r="I509" s="39" t="n">
        <x:f>H509/G509</x:f>
        <x:v>1</x:v>
      </x:c>
      <x:c r="J509" s="40" t="n">
        <x:f>(I509-1)*100</x:f>
        <x:v>0</x:v>
      </x:c>
      <x:c r="K509" s="36" t="str">
        <x:v>no</x:v>
      </x:c>
      <x:c r="L509" s="36" t="str">
        <x:v>Single-country territory; UN WPP and vanilla are within the ±5% review threshold.</x:v>
      </x:c>
      <x:c r="M509" s="41" t="n">
        <x:v>197105920000</x:v>
      </x:c>
      <x:c r="N509" s="41" t="n">
        <x:v>171482150400</x:v>
      </x:c>
      <x:c r="O509" s="41" t="n">
        <x:v>5989</x:v>
      </x:c>
      <x:c r="P509" s="41" t="n">
        <x:v>3382</x:v>
      </x:c>
      <x:c r="Q509" s="41" t="n">
        <x:v>7729</x:v>
      </x:c>
      <x:c r="R509" s="42" t="n">
        <x:f>MIN(P509,Q509)</x:f>
        <x:v>3382</x:v>
      </x:c>
      <x:c r="S509" s="42" t="n">
        <x:f>MAX(P509,Q509)</x:f>
        <x:v>7729</x:v>
      </x:c>
      <x:c r="T509" s="42" t="n">
        <x:f>MAX(R509,MIN(O509,S509))</x:f>
        <x:v>5989</x:v>
      </x:c>
      <x:c r="U509" s="19" t="str">
        <x:f>IF(O509&lt;R509,IF(R509=P509,"clamped_to_nominal","clamped_to_ppp"),IF(O509&gt;S509,IF(S509=P509,"clamped_to_nominal","clamped_to_ppp"),"kept_vanilla"))</x:f>
        <x:v>kept_vanilla</x:v>
      </x:c>
      <x:c r="V509" s="42" t="n">
        <x:f>T509*H509</x:f>
        <x:v>171487295179</x:v>
      </x:c>
      <x:c r="W509" s="42" t="n">
        <x:f>V509/F509</x:f>
        <x:v>197111833539.08047</x:v>
      </x:c>
      <x:c r="X509" s="36" t="str">
        <x:v>VEN: UN WPP 2024 Medium exact 2026</x:v>
      </x:c>
      <x:c r="Y509" s="36" t="str">
        <x:v>VEN: IMF exact 2026</x:v>
      </x:c>
      <x:c r="Z509" s="36" t="str">
        <x:v>VEN: IMF exact 2026</x:v>
      </x:c>
      <x:c r="AA509" s="36" t="str">
        <x:v>complete_primary</x:v>
      </x:c>
      <x:c r="AB509" s="36" t="str">
        <x:v>https://www.un.org/development/desa/pd/world-population-prospects-2024</x:v>
      </x:c>
      <x:c r="AC509" s="36" t="str">
        <x:v>https://api.imf.org/external/sdmx/3.0/data/dataflow/IMF.RES/WEO/9.0.0/</x:v>
      </x:c>
      <x:c r="AD509" s="36" t="str">
        <x:v>https://api.worldbank.org/v2/</x:v>
      </x:c>
    </x:row>
    <x:row r="510">
      <x:c r="A510" s="24" t="str">
        <x:v>VNM</x:v>
      </x:c>
      <x:c r="B510" s="24" t="str">
        <x:v>Vietnam</x:v>
      </x:c>
      <x:c r="C510" s="24" t="str">
        <x:v>VNM</x:v>
      </x:c>
      <x:c r="D510" s="24" t="str">
        <x:v>VNM</x:v>
      </x:c>
      <x:c r="E510" s="24" t="n">
        <x:v>2003</x:v>
      </x:c>
      <x:c r="F510" s="37" t="n">
        <x:v>1.59</x:v>
      </x:c>
      <x:c r="G510" s="38" t="n">
        <x:v>79563777</x:v>
      </x:c>
      <x:c r="H510" s="38" t="n">
        <x:v>79563777</x:v>
      </x:c>
      <x:c r="I510" s="39" t="n">
        <x:f>H510/G510</x:f>
        <x:v>1</x:v>
      </x:c>
      <x:c r="J510" s="40" t="n">
        <x:f>(I510-1)*100</x:f>
        <x:v>0</x:v>
      </x:c>
      <x:c r="K510" s="36" t="str">
        <x:v>no</x:v>
      </x:c>
      <x:c r="L510" s="36" t="str">
        <x:v>Single-country territory; UN WPP and vanilla are within the ±5% review threshold.</x:v>
      </x:c>
      <x:c r="M510" s="41" t="n">
        <x:v>162138011696</x:v>
      </x:c>
      <x:c r="N510" s="41" t="n">
        <x:v>257799438597</x:v>
      </x:c>
      <x:c r="O510" s="41" t="n">
        <x:v>3240</x:v>
      </x:c>
      <x:c r="P510" s="41" t="n">
        <x:v>1004</x:v>
      </x:c>
      <x:c r="Q510" s="41" t="n">
        <x:v>5541</x:v>
      </x:c>
      <x:c r="R510" s="42" t="n">
        <x:f>MIN(P510,Q510)</x:f>
        <x:v>1004</x:v>
      </x:c>
      <x:c r="S510" s="42" t="n">
        <x:f>MAX(P510,Q510)</x:f>
        <x:v>5541</x:v>
      </x:c>
      <x:c r="T510" s="42" t="n">
        <x:f>MAX(R510,MIN(O510,S510))</x:f>
        <x:v>3240</x:v>
      </x:c>
      <x:c r="U510" s="19" t="str">
        <x:f>IF(O510&lt;R510,IF(R510=P510,"clamped_to_nominal","clamped_to_ppp"),IF(O510&gt;S510,IF(S510=P510,"clamped_to_nominal","clamped_to_ppp"),"kept_vanilla"))</x:f>
        <x:v>kept_vanilla</x:v>
      </x:c>
      <x:c r="V510" s="42" t="n">
        <x:f>T510*H510</x:f>
        <x:v>257786637480</x:v>
      </x:c>
      <x:c r="W510" s="42" t="n">
        <x:f>V510/F510</x:f>
        <x:v>162129960679.24527</x:v>
      </x:c>
      <x:c r="X510" s="36" t="str">
        <x:v>VNM: UN WPP 2024 Medium exact 2003</x:v>
      </x:c>
      <x:c r="Y510" s="36" t="str">
        <x:v>VNM: IMF exact 2003</x:v>
      </x:c>
      <x:c r="Z510" s="36" t="str">
        <x:v>VNM: IMF exact 2003</x:v>
      </x:c>
      <x:c r="AA510" s="36" t="str">
        <x:v>complete_primary</x:v>
      </x:c>
      <x:c r="AB510" s="36" t="str">
        <x:v>https://www.un.org/development/desa/pd/world-population-prospects-2024</x:v>
      </x:c>
      <x:c r="AC510" s="36" t="str">
        <x:v>https://api.imf.org/external/sdmx/3.0/data/dataflow/IMF.RES/WEO/9.0.0/</x:v>
      </x:c>
      <x:c r="AD510" s="36" t="str">
        <x:v>https://api.worldbank.org/v2/</x:v>
      </x:c>
    </x:row>
    <x:row r="511">
      <x:c r="A511" s="24" t="str">
        <x:v>VNM</x:v>
      </x:c>
      <x:c r="B511" s="24" t="str">
        <x:v>Vietnam</x:v>
      </x:c>
      <x:c r="C511" s="24" t="str">
        <x:v>VNM</x:v>
      </x:c>
      <x:c r="D511" s="24" t="str">
        <x:v>VNM</x:v>
      </x:c>
      <x:c r="E511" s="24" t="n">
        <x:v>2022</x:v>
      </x:c>
      <x:c r="F511" s="37" t="n">
        <x:v>1</x:v>
      </x:c>
      <x:c r="G511" s="38" t="n">
        <x:v>99194779</x:v>
      </x:c>
      <x:c r="H511" s="38" t="n">
        <x:v>99680655</x:v>
      </x:c>
      <x:c r="I511" s="39" t="n">
        <x:f>H511/G511</x:f>
        <x:v>1.0048982013458592</x:v>
      </x:c>
      <x:c r="J511" s="40" t="n">
        <x:f>(I511-1)*100</x:f>
        <x:v>0.48982013458591656</x:v>
      </x:c>
      <x:c r="K511" s="36" t="str">
        <x:v>no</x:v>
      </x:c>
      <x:c r="L511" s="36" t="str">
        <x:v>Single-country territory; UN WPP and vanilla are within the ±5% review threshold.</x:v>
      </x:c>
      <x:c r="M511" s="41" t="n">
        <x:v>1124693680000</x:v>
      </x:c>
      <x:c r="N511" s="41" t="n">
        <x:v>1124693680000</x:v>
      </x:c>
      <x:c r="O511" s="41" t="n">
        <x:v>11338</x:v>
      </x:c>
      <x:c r="P511" s="41" t="n">
        <x:v>4123</x:v>
      </x:c>
      <x:c r="Q511" s="41" t="n">
        <x:v>13903</x:v>
      </x:c>
      <x:c r="R511" s="42" t="n">
        <x:f>MIN(P511,Q511)</x:f>
        <x:v>4123</x:v>
      </x:c>
      <x:c r="S511" s="42" t="n">
        <x:f>MAX(P511,Q511)</x:f>
        <x:v>13903</x:v>
      </x:c>
      <x:c r="T511" s="42" t="n">
        <x:f>MAX(R511,MIN(O511,S511))</x:f>
        <x:v>11338</x:v>
      </x:c>
      <x:c r="U511" s="19" t="str">
        <x:f>IF(O511&lt;R511,IF(R511=P511,"clamped_to_nominal","clamped_to_ppp"),IF(O511&gt;S511,IF(S511=P511,"clamped_to_nominal","clamped_to_ppp"),"kept_vanilla"))</x:f>
        <x:v>kept_vanilla</x:v>
      </x:c>
      <x:c r="V511" s="42" t="n">
        <x:f>T511*H511</x:f>
        <x:v>1130179266390</x:v>
      </x:c>
      <x:c r="W511" s="42" t="n">
        <x:f>V511/F511</x:f>
        <x:v>1130179266390</x:v>
      </x:c>
      <x:c r="X511" s="36" t="str">
        <x:v>VNM: UN WPP 2024 Medium exact 2022</x:v>
      </x:c>
      <x:c r="Y511" s="36" t="str">
        <x:v>VNM: IMF exact 2022</x:v>
      </x:c>
      <x:c r="Z511" s="36" t="str">
        <x:v>VNM: IMF exact 2022</x:v>
      </x:c>
      <x:c r="AA511" s="36" t="str">
        <x:v>complete_primary</x:v>
      </x:c>
      <x:c r="AB511" s="36" t="str">
        <x:v>https://www.un.org/development/desa/pd/world-population-prospects-2024</x:v>
      </x:c>
      <x:c r="AC511" s="36" t="str">
        <x:v>https://api.imf.org/external/sdmx/3.0/data/dataflow/IMF.RES/WEO/9.0.0/</x:v>
      </x:c>
      <x:c r="AD511" s="36" t="str">
        <x:v>https://api.worldbank.org/v2/</x:v>
      </x:c>
    </x:row>
    <x:row r="512">
      <x:c r="A512" s="24" t="str">
        <x:v>VNM</x:v>
      </x:c>
      <x:c r="B512" s="24" t="str">
        <x:v>Vietnam</x:v>
      </x:c>
      <x:c r="C512" s="24" t="str">
        <x:v>VNM</x:v>
      </x:c>
      <x:c r="D512" s="24" t="str">
        <x:v>VNM</x:v>
      </x:c>
      <x:c r="E512" s="24" t="n">
        <x:v>2026</x:v>
      </x:c>
      <x:c r="F512" s="37" t="n">
        <x:v>0.87</x:v>
      </x:c>
      <x:c r="G512" s="38" t="n">
        <x:v>102177431</x:v>
      </x:c>
      <x:c r="H512" s="38" t="n">
        <x:v>102177431</x:v>
      </x:c>
      <x:c r="I512" s="39" t="n">
        <x:f>H512/G512</x:f>
        <x:v>1</x:v>
      </x:c>
      <x:c r="J512" s="40" t="n">
        <x:f>(I512-1)*100</x:f>
        <x:v>0</x:v>
      </x:c>
      <x:c r="K512" s="36" t="str">
        <x:v>no</x:v>
      </x:c>
      <x:c r="L512" s="36" t="str">
        <x:v>Single-country territory; UN WPP and vanilla are within the ±5% review threshold.</x:v>
      </x:c>
      <x:c r="M512" s="41" t="n">
        <x:v>1590204000000</x:v>
      </x:c>
      <x:c r="N512" s="41" t="n">
        <x:v>1383477480000</x:v>
      </x:c>
      <x:c r="O512" s="41" t="n">
        <x:v>13540</x:v>
      </x:c>
      <x:c r="P512" s="41" t="n">
        <x:v>4489</x:v>
      </x:c>
      <x:c r="Q512" s="41" t="n">
        <x:v>17245</x:v>
      </x:c>
      <x:c r="R512" s="42" t="n">
        <x:f>MIN(P512,Q512)</x:f>
        <x:v>4489</x:v>
      </x:c>
      <x:c r="S512" s="42" t="n">
        <x:f>MAX(P512,Q512)</x:f>
        <x:v>17245</x:v>
      </x:c>
      <x:c r="T512" s="42" t="n">
        <x:f>MAX(R512,MIN(O512,S512))</x:f>
        <x:v>13540</x:v>
      </x:c>
      <x:c r="U512" s="19" t="str">
        <x:f>IF(O512&lt;R512,IF(R512=P512,"clamped_to_nominal","clamped_to_ppp"),IF(O512&gt;S512,IF(S512=P512,"clamped_to_nominal","clamped_to_ppp"),"kept_vanilla"))</x:f>
        <x:v>kept_vanilla</x:v>
      </x:c>
      <x:c r="V512" s="42" t="n">
        <x:f>T512*H512</x:f>
        <x:v>1383482415740</x:v>
      </x:c>
      <x:c r="W512" s="42" t="n">
        <x:f>V512/F512</x:f>
        <x:v>1590209673264.368</x:v>
      </x:c>
      <x:c r="X512" s="36" t="str">
        <x:v>VNM: UN WPP 2024 Medium exact 2026</x:v>
      </x:c>
      <x:c r="Y512" s="36" t="str">
        <x:v>VNM: IMF exact 2026</x:v>
      </x:c>
      <x:c r="Z512" s="36" t="str">
        <x:v>VNM: IMF exact 2026</x:v>
      </x:c>
      <x:c r="AA512" s="36" t="str">
        <x:v>complete_primary</x:v>
      </x:c>
      <x:c r="AB512" s="36" t="str">
        <x:v>https://www.un.org/development/desa/pd/world-population-prospects-2024</x:v>
      </x:c>
      <x:c r="AC512" s="36" t="str">
        <x:v>https://api.imf.org/external/sdmx/3.0/data/dataflow/IMF.RES/WEO/9.0.0/</x:v>
      </x:c>
      <x:c r="AD512" s="36" t="str">
        <x:v>https://api.worldbank.org/v2/</x:v>
      </x:c>
    </x:row>
    <x:row r="513">
      <x:c r="A513" s="24" t="str">
        <x:v>YEM</x:v>
      </x:c>
      <x:c r="B513" s="24" t="str">
        <x:v>Yemen</x:v>
      </x:c>
      <x:c r="C513" s="24" t="str">
        <x:v>YEM</x:v>
      </x:c>
      <x:c r="D513" s="24" t="str">
        <x:v>YEM</x:v>
      </x:c>
      <x:c r="E513" s="24" t="n">
        <x:v>2003</x:v>
      </x:c>
      <x:c r="F513" s="37" t="n">
        <x:v>1.59</x:v>
      </x:c>
      <x:c r="G513" s="38" t="n">
        <x:v>21456379</x:v>
      </x:c>
      <x:c r="H513" s="38" t="n">
        <x:v>21456379</x:v>
      </x:c>
      <x:c r="I513" s="39" t="n">
        <x:f>H513/G513</x:f>
        <x:v>1</x:v>
      </x:c>
      <x:c r="J513" s="40" t="n">
        <x:f>(I513-1)*100</x:f>
        <x:v>0</x:v>
      </x:c>
      <x:c r="K513" s="36" t="str">
        <x:v>no</x:v>
      </x:c>
      <x:c r="L513" s="36" t="str">
        <x:v>Full territorial Yemen is represented by the Yemen and Aden regions. Use the UN WPP full-area estimate; reject the much lower IMF WEO population series because it reflects a jurisdiction/reporting scope that does not match the game territory.</x:v>
      </x:c>
      <x:c r="M513" s="41" t="n">
        <x:v>35686549708</x:v>
      </x:c>
      <x:c r="N513" s="41" t="n">
        <x:v>56741614036</x:v>
      </x:c>
      <x:c r="O513" s="41" t="n">
        <x:v>2645</x:v>
      </x:c>
      <x:c r="P513" s="41" t="n">
        <x:v>873</x:v>
      </x:c>
      <x:c r="Q513" s="41" t="n">
        <x:v>4522</x:v>
      </x:c>
      <x:c r="R513" s="42" t="n">
        <x:f>MIN(P513,Q513)</x:f>
        <x:v>873</x:v>
      </x:c>
      <x:c r="S513" s="42" t="n">
        <x:f>MAX(P513,Q513)</x:f>
        <x:v>4522</x:v>
      </x:c>
      <x:c r="T513" s="42" t="n">
        <x:f>MAX(R513,MIN(O513,S513))</x:f>
        <x:v>2645</x:v>
      </x:c>
      <x:c r="U513" s="19" t="str">
        <x:f>IF(O513&lt;R513,IF(R513=P513,"clamped_to_nominal","clamped_to_ppp"),IF(O513&gt;S513,IF(S513=P513,"clamped_to_nominal","clamped_to_ppp"),"kept_vanilla"))</x:f>
        <x:v>kept_vanilla</x:v>
      </x:c>
      <x:c r="V513" s="42" t="n">
        <x:f>T513*H513</x:f>
        <x:v>56752122455</x:v>
      </x:c>
      <x:c r="W513" s="42" t="n">
        <x:f>V513/F513</x:f>
        <x:v>35693158776.72956</x:v>
      </x:c>
      <x:c r="X513" s="36" t="str">
        <x:v>YEM: UN WPP 2024 Medium exact 2003</x:v>
      </x:c>
      <x:c r="Y513" s="36" t="str">
        <x:v>YEM: World Bank exact 2003</x:v>
      </x:c>
      <x:c r="Z513" s="36" t="str">
        <x:v>YEM: World Bank exact 2003</x:v>
      </x:c>
      <x:c r="AA513" s="36" t="str">
        <x:v>secondary_source</x:v>
      </x:c>
      <x:c r="AB513" s="36" t="str">
        <x:v>https://www.un.org/development/desa/pd/world-population-prospects-2024</x:v>
      </x:c>
      <x:c r="AC513" s="36" t="str">
        <x:v>https://api.imf.org/external/sdmx/3.0/data/dataflow/IMF.RES/WEO/9.0.0/</x:v>
      </x:c>
      <x:c r="AD513" s="36" t="str">
        <x:v>https://api.worldbank.org/v2/</x:v>
      </x:c>
    </x:row>
    <x:row r="514">
      <x:c r="A514" s="24" t="str">
        <x:v>YEM</x:v>
      </x:c>
      <x:c r="B514" s="24" t="str">
        <x:v>Yemen</x:v>
      </x:c>
      <x:c r="C514" s="24" t="str">
        <x:v>YEM</x:v>
      </x:c>
      <x:c r="D514" s="24" t="str">
        <x:v>YEM</x:v>
      </x:c>
      <x:c r="E514" s="24" t="n">
        <x:v>2022</x:v>
      </x:c>
      <x:c r="F514" s="37" t="n">
        <x:v>1</x:v>
      </x:c>
      <x:c r="G514" s="38" t="n">
        <x:v>31363725</x:v>
      </x:c>
      <x:c r="H514" s="38" t="n">
        <x:v>38222876</x:v>
      </x:c>
      <x:c r="I514" s="39" t="n">
        <x:f>H514/G514</x:f>
        <x:v>1.218696950059344</x:v>
      </x:c>
      <x:c r="J514" s="40" t="n">
        <x:f>(I514-1)*100</x:f>
        <x:v>21.86969500593441</x:v>
      </x:c>
      <x:c r="K514" s="36" t="str">
        <x:v>yes — reviewed</x:v>
      </x:c>
      <x:c r="L514" s="36" t="str">
        <x:v>Full territorial Yemen is represented by the Yemen and Aden regions. Use the UN WPP full-area estimate; reject the much lower IMF WEO population series because it reflects a jurisdiction/reporting scope that does not match the game territory.</x:v>
      </x:c>
      <x:c r="M514" s="41" t="n">
        <x:v>46856068793</x:v>
      </x:c>
      <x:c r="N514" s="41" t="n">
        <x:v>46856068793</x:v>
      </x:c>
      <x:c r="O514" s="41" t="n">
        <x:v>1494</x:v>
      </x:c>
      <x:c r="P514" s="41" t="n">
        <x:v>291</x:v>
      </x:c>
      <x:c r="Q514" s="41" t="n">
        <x:v>805</x:v>
      </x:c>
      <x:c r="R514" s="42" t="n">
        <x:f>MIN(P514,Q514)</x:f>
        <x:v>291</x:v>
      </x:c>
      <x:c r="S514" s="42" t="n">
        <x:f>MAX(P514,Q514)</x:f>
        <x:v>805</x:v>
      </x:c>
      <x:c r="T514" s="42" t="n">
        <x:f>MAX(R514,MIN(O514,S514))</x:f>
        <x:v>805</x:v>
      </x:c>
      <x:c r="U514" s="19" t="str">
        <x:f>IF(O514&lt;R514,IF(R514=P514,"clamped_to_nominal","clamped_to_ppp"),IF(O514&gt;S514,IF(S514=P514,"clamped_to_nominal","clamped_to_ppp"),"kept_vanilla"))</x:f>
        <x:v>clamped_to_ppp</x:v>
      </x:c>
      <x:c r="V514" s="42" t="n">
        <x:f>T514*H514</x:f>
        <x:v>30769415180</x:v>
      </x:c>
      <x:c r="W514" s="42" t="n">
        <x:f>V514/F514</x:f>
        <x:v>30769415180</x:v>
      </x:c>
      <x:c r="X514" s="36" t="str">
        <x:v>YEM: UN WPP 2024 Medium exact 2022</x:v>
      </x:c>
      <x:c r="Y514" s="36" t="str">
        <x:v>YEM: IMF exact 2022</x:v>
      </x:c>
      <x:c r="Z514" s="36" t="str">
        <x:v>YEM: IMF exact 2022</x:v>
      </x:c>
      <x:c r="AA514" s="36" t="str">
        <x:v>complete_primary</x:v>
      </x:c>
      <x:c r="AB514" s="36" t="str">
        <x:v>https://www.un.org/development/desa/pd/world-population-prospects-2024</x:v>
      </x:c>
      <x:c r="AC514" s="36" t="str">
        <x:v>https://api.imf.org/external/sdmx/3.0/data/dataflow/IMF.RES/WEO/9.0.0/</x:v>
      </x:c>
      <x:c r="AD514" s="36" t="str">
        <x:v>https://api.worldbank.org/v2/</x:v>
      </x:c>
    </x:row>
    <x:row r="515">
      <x:c r="A515" s="24" t="str">
        <x:v>YEM</x:v>
      </x:c>
      <x:c r="B515" s="24" t="str">
        <x:v>Yemen</x:v>
      </x:c>
      <x:c r="C515" s="24" t="str">
        <x:v>YEM</x:v>
      </x:c>
      <x:c r="D515" s="24" t="str">
        <x:v>YEM</x:v>
      </x:c>
      <x:c r="E515" s="24" t="n">
        <x:v>2026</x:v>
      </x:c>
      <x:c r="F515" s="37" t="n">
        <x:v>0.87</x:v>
      </x:c>
      <x:c r="G515" s="38" t="n">
        <x:v>42961653</x:v>
      </x:c>
      <x:c r="H515" s="38" t="n">
        <x:v>42961653</x:v>
      </x:c>
      <x:c r="I515" s="39" t="n">
        <x:f>H515/G515</x:f>
        <x:v>1</x:v>
      </x:c>
      <x:c r="J515" s="40" t="n">
        <x:f>(I515-1)*100</x:f>
        <x:v>0</x:v>
      </x:c>
      <x:c r="K515" s="36" t="str">
        <x:v>no</x:v>
      </x:c>
      <x:c r="L515" s="36" t="str">
        <x:v>Full territorial Yemen is represented by the Yemen and Aden regions. Use the UN WPP full-area estimate; reject the much lower IMF WEO population series because it reflects a jurisdiction/reporting scope that does not match the game territory.</x:v>
      </x:c>
      <x:c r="M515" s="41" t="n">
        <x:v>61564800000</x:v>
      </x:c>
      <x:c r="N515" s="41" t="n">
        <x:v>53561376000</x:v>
      </x:c>
      <x:c r="O515" s="41" t="n">
        <x:v>1247</x:v>
      </x:c>
      <x:c r="P515" s="41" t="n">
        <x:v>151</x:v>
      </x:c>
      <x:c r="Q515" s="41" t="n">
        <x:v>626</x:v>
      </x:c>
      <x:c r="R515" s="42" t="n">
        <x:f>MIN(P515,Q515)</x:f>
        <x:v>151</x:v>
      </x:c>
      <x:c r="S515" s="42" t="n">
        <x:f>MAX(P515,Q515)</x:f>
        <x:v>626</x:v>
      </x:c>
      <x:c r="T515" s="42" t="n">
        <x:f>MAX(R515,MIN(O515,S515))</x:f>
        <x:v>626</x:v>
      </x:c>
      <x:c r="U515" s="19" t="str">
        <x:f>IF(O515&lt;R515,IF(R515=P515,"clamped_to_nominal","clamped_to_ppp"),IF(O515&gt;S515,IF(S515=P515,"clamped_to_nominal","clamped_to_ppp"),"kept_vanilla"))</x:f>
        <x:v>clamped_to_ppp</x:v>
      </x:c>
      <x:c r="V515" s="42" t="n">
        <x:f>T515*H515</x:f>
        <x:v>26893994778</x:v>
      </x:c>
      <x:c r="W515" s="42" t="n">
        <x:f>V515/F515</x:f>
        <x:v>30912637675.86207</x:v>
      </x:c>
      <x:c r="X515" s="36" t="str">
        <x:v>YEM: UN WPP 2024 Medium exact 2026</x:v>
      </x:c>
      <x:c r="Y515" s="36" t="str">
        <x:v>YEM: IMF exact 2026</x:v>
      </x:c>
      <x:c r="Z515" s="36" t="str">
        <x:v>YEM: IMF exact 2026</x:v>
      </x:c>
      <x:c r="AA515" s="36" t="str">
        <x:v>complete_primary</x:v>
      </x:c>
      <x:c r="AB515" s="36" t="str">
        <x:v>https://www.un.org/development/desa/pd/world-population-prospects-2024</x:v>
      </x:c>
      <x:c r="AC515" s="36" t="str">
        <x:v>https://api.imf.org/external/sdmx/3.0/data/dataflow/IMF.RES/WEO/9.0.0/</x:v>
      </x:c>
      <x:c r="AD515" s="36" t="str">
        <x:v>https://api.worldbank.org/v2/</x:v>
      </x:c>
    </x:row>
    <x:row r="516">
      <x:c r="A516" s="24" t="str">
        <x:v>ZMB</x:v>
      </x:c>
      <x:c r="B516" s="24" t="str">
        <x:v>Zambia</x:v>
      </x:c>
      <x:c r="C516" s="24" t="str">
        <x:v>ZMB</x:v>
      </x:c>
      <x:c r="D516" s="24" t="str">
        <x:v>ZMB</x:v>
      </x:c>
      <x:c r="E516" s="24" t="n">
        <x:v>2003</x:v>
      </x:c>
      <x:c r="F516" s="37" t="n">
        <x:v>1.59</x:v>
      </x:c>
      <x:c r="G516" s="38" t="n">
        <x:v>10983595</x:v>
      </x:c>
      <x:c r="H516" s="38" t="n">
        <x:v>10983595</x:v>
      </x:c>
      <x:c r="I516" s="39" t="n">
        <x:f>H516/G516</x:f>
        <x:v>1</x:v>
      </x:c>
      <x:c r="J516" s="40" t="n">
        <x:f>(I516-1)*100</x:f>
        <x:v>0</x:v>
      </x:c>
      <x:c r="K516" s="36" t="str">
        <x:v>no</x:v>
      </x:c>
      <x:c r="L516" s="36" t="str">
        <x:v>Single-country territory; UN WPP and vanilla are within the ±5% review threshold.</x:v>
      </x:c>
      <x:c r="M516" s="41" t="n">
        <x:v>11070175439</x:v>
      </x:c>
      <x:c r="N516" s="41" t="n">
        <x:v>17601578948</x:v>
      </x:c>
      <x:c r="O516" s="41" t="n">
        <x:v>1603</x:v>
      </x:c>
      <x:c r="P516" s="41" t="n">
        <x:v>710</x:v>
      </x:c>
      <x:c r="Q516" s="41" t="n">
        <x:v>2740</x:v>
      </x:c>
      <x:c r="R516" s="42" t="n">
        <x:f>MIN(P516,Q516)</x:f>
        <x:v>710</x:v>
      </x:c>
      <x:c r="S516" s="42" t="n">
        <x:f>MAX(P516,Q516)</x:f>
        <x:v>2740</x:v>
      </x:c>
      <x:c r="T516" s="42" t="n">
        <x:f>MAX(R516,MIN(O516,S516))</x:f>
        <x:v>1603</x:v>
      </x:c>
      <x:c r="U516" s="19" t="str">
        <x:f>IF(O516&lt;R516,IF(R516=P516,"clamped_to_nominal","clamped_to_ppp"),IF(O516&gt;S516,IF(S516=P516,"clamped_to_nominal","clamped_to_ppp"),"kept_vanilla"))</x:f>
        <x:v>kept_vanilla</x:v>
      </x:c>
      <x:c r="V516" s="42" t="n">
        <x:f>T516*H516</x:f>
        <x:v>17606702785</x:v>
      </x:c>
      <x:c r="W516" s="42" t="n">
        <x:f>V516/F516</x:f>
        <x:v>11073397977.987421</x:v>
      </x:c>
      <x:c r="X516" s="36" t="str">
        <x:v>ZMB: UN WPP 2024 Medium exact 2003</x:v>
      </x:c>
      <x:c r="Y516" s="36" t="str">
        <x:v>ZMB: IMF exact 2003</x:v>
      </x:c>
      <x:c r="Z516" s="36" t="str">
        <x:v>ZMB: IMF exact 2003</x:v>
      </x:c>
      <x:c r="AA516" s="36" t="str">
        <x:v>complete_primary</x:v>
      </x:c>
      <x:c r="AB516" s="36" t="str">
        <x:v>https://www.un.org/development/desa/pd/world-population-prospects-2024</x:v>
      </x:c>
      <x:c r="AC516" s="36" t="str">
        <x:v>https://api.imf.org/external/sdmx/3.0/data/dataflow/IMF.RES/WEO/9.0.0/</x:v>
      </x:c>
      <x:c r="AD516" s="36" t="str">
        <x:v>https://api.worldbank.org/v2/</x:v>
      </x:c>
    </x:row>
    <x:row r="517">
      <x:c r="A517" s="24" t="str">
        <x:v>ZMB</x:v>
      </x:c>
      <x:c r="B517" s="24" t="str">
        <x:v>Zambia</x:v>
      </x:c>
      <x:c r="C517" s="24" t="str">
        <x:v>ZMB</x:v>
      </x:c>
      <x:c r="D517" s="24" t="str">
        <x:v>ZMB</x:v>
      </x:c>
      <x:c r="E517" s="24" t="n">
        <x:v>2022</x:v>
      </x:c>
      <x:c r="F517" s="37" t="n">
        <x:v>1</x:v>
      </x:c>
      <x:c r="G517" s="38" t="n">
        <x:v>19643680</x:v>
      </x:c>
      <x:c r="H517" s="38" t="n">
        <x:v>20152938</x:v>
      </x:c>
      <x:c r="I517" s="39" t="n">
        <x:f>H517/G517</x:f>
        <x:v>1.0259247758057553</x:v>
      </x:c>
      <x:c r="J517" s="40" t="n">
        <x:f>(I517-1)*100</x:f>
        <x:v>2.592477580575525</x:v>
      </x:c>
      <x:c r="K517" s="36" t="str">
        <x:v>no</x:v>
      </x:c>
      <x:c r="L517" s="36" t="str">
        <x:v>Single-country territory; UN WPP and vanilla are within the ±5% review threshold.</x:v>
      </x:c>
      <x:c r="M517" s="41" t="n">
        <x:v>66607200000</x:v>
      </x:c>
      <x:c r="N517" s="41" t="n">
        <x:v>66607200000</x:v>
      </x:c>
      <x:c r="O517" s="41" t="n">
        <x:v>3391</x:v>
      </x:c>
      <x:c r="P517" s="41" t="n">
        <x:v>1447</x:v>
      </x:c>
      <x:c r="Q517" s="41" t="n">
        <x:v>3840</x:v>
      </x:c>
      <x:c r="R517" s="42" t="n">
        <x:f>MIN(P517,Q517)</x:f>
        <x:v>1447</x:v>
      </x:c>
      <x:c r="S517" s="42" t="n">
        <x:f>MAX(P517,Q517)</x:f>
        <x:v>3840</x:v>
      </x:c>
      <x:c r="T517" s="42" t="n">
        <x:f>MAX(R517,MIN(O517,S517))</x:f>
        <x:v>3391</x:v>
      </x:c>
      <x:c r="U517" s="19" t="str">
        <x:f>IF(O517&lt;R517,IF(R517=P517,"clamped_to_nominal","clamped_to_ppp"),IF(O517&gt;S517,IF(S517=P517,"clamped_to_nominal","clamped_to_ppp"),"kept_vanilla"))</x:f>
        <x:v>kept_vanilla</x:v>
      </x:c>
      <x:c r="V517" s="42" t="n">
        <x:f>T517*H517</x:f>
        <x:v>68338612758</x:v>
      </x:c>
      <x:c r="W517" s="42" t="n">
        <x:f>V517/F517</x:f>
        <x:v>68338612758</x:v>
      </x:c>
      <x:c r="X517" s="36" t="str">
        <x:v>ZMB: UN WPP 2024 Medium exact 2022</x:v>
      </x:c>
      <x:c r="Y517" s="36" t="str">
        <x:v>ZMB: IMF exact 2022</x:v>
      </x:c>
      <x:c r="Z517" s="36" t="str">
        <x:v>ZMB: IMF exact 2022</x:v>
      </x:c>
      <x:c r="AA517" s="36" t="str">
        <x:v>complete_primary</x:v>
      </x:c>
      <x:c r="AB517" s="36" t="str">
        <x:v>https://www.un.org/development/desa/pd/world-population-prospects-2024</x:v>
      </x:c>
      <x:c r="AC517" s="36" t="str">
        <x:v>https://api.imf.org/external/sdmx/3.0/data/dataflow/IMF.RES/WEO/9.0.0/</x:v>
      </x:c>
      <x:c r="AD517" s="36" t="str">
        <x:v>https://api.worldbank.org/v2/</x:v>
      </x:c>
    </x:row>
    <x:row r="518">
      <x:c r="A518" s="24" t="str">
        <x:v>ZMB</x:v>
      </x:c>
      <x:c r="B518" s="24" t="str">
        <x:v>Zambia</x:v>
      </x:c>
      <x:c r="C518" s="24" t="str">
        <x:v>ZMB</x:v>
      </x:c>
      <x:c r="D518" s="24" t="str">
        <x:v>ZMB</x:v>
      </x:c>
      <x:c r="E518" s="24" t="n">
        <x:v>2026</x:v>
      </x:c>
      <x:c r="F518" s="37" t="n">
        <x:v>0.87</x:v>
      </x:c>
      <x:c r="G518" s="38" t="n">
        <x:v>22521916</x:v>
      </x:c>
      <x:c r="H518" s="38" t="n">
        <x:v>22521915</x:v>
      </x:c>
      <x:c r="I518" s="39" t="n">
        <x:f>H518/G518</x:f>
        <x:v>0.9999999555988043</x:v>
      </x:c>
      <x:c r="J518" s="40" t="n">
        <x:f>(I518-1)*100</x:f>
        <x:v>-0.000004440119572013401</x:v>
      </x:c>
      <x:c r="K518" s="36" t="str">
        <x:v>no</x:v>
      </x:c>
      <x:c r="L518" s="36" t="str">
        <x:v>Single-country territory; UN WPP and vanilla are within the ±5% review threshold.</x:v>
      </x:c>
      <x:c r="M518" s="41" t="n">
        <x:v>86376400000</x:v>
      </x:c>
      <x:c r="N518" s="41" t="n">
        <x:v>75147468000</x:v>
      </x:c>
      <x:c r="O518" s="41" t="n">
        <x:v>3337</x:v>
      </x:c>
      <x:c r="P518" s="41" t="n">
        <x:v>1593</x:v>
      </x:c>
      <x:c r="Q518" s="41" t="n">
        <x:v>3978</x:v>
      </x:c>
      <x:c r="R518" s="42" t="n">
        <x:f>MIN(P518,Q518)</x:f>
        <x:v>1593</x:v>
      </x:c>
      <x:c r="S518" s="42" t="n">
        <x:f>MAX(P518,Q518)</x:f>
        <x:v>3978</x:v>
      </x:c>
      <x:c r="T518" s="42" t="n">
        <x:f>MAX(R518,MIN(O518,S518))</x:f>
        <x:v>3337</x:v>
      </x:c>
      <x:c r="U518" s="19" t="str">
        <x:f>IF(O518&lt;R518,IF(R518=P518,"clamped_to_nominal","clamped_to_ppp"),IF(O518&gt;S518,IF(S518=P518,"clamped_to_nominal","clamped_to_ppp"),"kept_vanilla"))</x:f>
        <x:v>kept_vanilla</x:v>
      </x:c>
      <x:c r="V518" s="42" t="n">
        <x:f>T518*H518</x:f>
        <x:v>75155630355</x:v>
      </x:c>
      <x:c r="W518" s="42" t="n">
        <x:f>V518/F518</x:f>
        <x:v>86385782017.24138</x:v>
      </x:c>
      <x:c r="X518" s="36" t="str">
        <x:v>ZMB: UN WPP 2024 Medium exact 2026</x:v>
      </x:c>
      <x:c r="Y518" s="36" t="str">
        <x:v>ZMB: IMF exact 2026</x:v>
      </x:c>
      <x:c r="Z518" s="36" t="str">
        <x:v>ZMB: IMF exact 2026</x:v>
      </x:c>
      <x:c r="AA518" s="36" t="str">
        <x:v>complete_primary</x:v>
      </x:c>
      <x:c r="AB518" s="36" t="str">
        <x:v>https://www.un.org/development/desa/pd/world-population-prospects-2024</x:v>
      </x:c>
      <x:c r="AC518" s="36" t="str">
        <x:v>https://api.imf.org/external/sdmx/3.0/data/dataflow/IMF.RES/WEO/9.0.0/</x:v>
      </x:c>
      <x:c r="AD518" s="36" t="str">
        <x:v>https://api.worldbank.org/v2/</x:v>
      </x:c>
    </x:row>
    <x:row r="519">
      <x:c r="A519" s="24" t="str">
        <x:v>ZWE</x:v>
      </x:c>
      <x:c r="B519" s="24" t="str">
        <x:v>Zimbabwe</x:v>
      </x:c>
      <x:c r="C519" s="24" t="str">
        <x:v>ZWE</x:v>
      </x:c>
      <x:c r="D519" s="24" t="str">
        <x:v>ZWE</x:v>
      </x:c>
      <x:c r="E519" s="24" t="n">
        <x:v>2003</x:v>
      </x:c>
      <x:c r="F519" s="37" t="n">
        <x:v>1.59</x:v>
      </x:c>
      <x:c r="G519" s="38" t="n">
        <x:v>12232323</x:v>
      </x:c>
      <x:c r="H519" s="38" t="n">
        <x:v>12232323</x:v>
      </x:c>
      <x:c r="I519" s="39" t="n">
        <x:f>H519/G519</x:f>
        <x:v>1</x:v>
      </x:c>
      <x:c r="J519" s="40" t="n">
        <x:f>(I519-1)*100</x:f>
        <x:v>0</x:v>
      </x:c>
      <x:c r="K519" s="36" t="str">
        <x:v>no</x:v>
      </x:c>
      <x:c r="L519" s="36" t="str">
        <x:v>Single-country territory; UN WPP and vanilla are within the ±5% review threshold.</x:v>
      </x:c>
      <x:c r="M519" s="41" t="n">
        <x:v>15481286550</x:v>
      </x:c>
      <x:c r="N519" s="41" t="n">
        <x:v>24615245615</x:v>
      </x:c>
      <x:c r="O519" s="41" t="n">
        <x:v>2012</x:v>
      </x:c>
      <x:c r="P519" s="41" t="n">
        <x:v>1839</x:v>
      </x:c>
      <x:c r="Q519" s="41" t="n">
        <x:v>4843</x:v>
      </x:c>
      <x:c r="R519" s="42" t="n">
        <x:f>MIN(P519,Q519)</x:f>
        <x:v>1839</x:v>
      </x:c>
      <x:c r="S519" s="42" t="n">
        <x:f>MAX(P519,Q519)</x:f>
        <x:v>4843</x:v>
      </x:c>
      <x:c r="T519" s="42" t="n">
        <x:f>MAX(R519,MIN(O519,S519))</x:f>
        <x:v>2012</x:v>
      </x:c>
      <x:c r="U519" s="19" t="str">
        <x:f>IF(O519&lt;R519,IF(R519=P519,"clamped_to_nominal","clamped_to_ppp"),IF(O519&gt;S519,IF(S519=P519,"clamped_to_nominal","clamped_to_ppp"),"kept_vanilla"))</x:f>
        <x:v>kept_vanilla</x:v>
      </x:c>
      <x:c r="V519" s="42" t="n">
        <x:f>T519*H519</x:f>
        <x:v>24611433876</x:v>
      </x:c>
      <x:c r="W519" s="42" t="n">
        <x:f>V519/F519</x:f>
        <x:v>15478889230.188679</x:v>
      </x:c>
      <x:c r="X519" s="36" t="str">
        <x:v>ZWE: UN WPP 2024 Medium exact 2003</x:v>
      </x:c>
      <x:c r="Y519" s="36" t="str">
        <x:v>ZWE: IMF exact 2003</x:v>
      </x:c>
      <x:c r="Z519" s="36" t="str">
        <x:v>ZWE: IMF exact 2003</x:v>
      </x:c>
      <x:c r="AA519" s="36" t="str">
        <x:v>complete_primary</x:v>
      </x:c>
      <x:c r="AB519" s="36" t="str">
        <x:v>https://www.un.org/development/desa/pd/world-population-prospects-2024</x:v>
      </x:c>
      <x:c r="AC519" s="36" t="str">
        <x:v>https://api.imf.org/external/sdmx/3.0/data/dataflow/IMF.RES/WEO/9.0.0/</x:v>
      </x:c>
      <x:c r="AD519" s="36" t="str">
        <x:v>https://api.worldbank.org/v2/</x:v>
      </x:c>
    </x:row>
    <x:row r="520">
      <x:c r="A520" s="24" t="str">
        <x:v>ZWE</x:v>
      </x:c>
      <x:c r="B520" s="24" t="str">
        <x:v>Zimbabwe</x:v>
      </x:c>
      <x:c r="C520" s="24" t="str">
        <x:v>ZWE</x:v>
      </x:c>
      <x:c r="D520" s="24" t="str">
        <x:v>ZWE</x:v>
      </x:c>
      <x:c r="E520" s="24" t="n">
        <x:v>2022</x:v>
      </x:c>
      <x:c r="F520" s="37" t="n">
        <x:v>1</x:v>
      </x:c>
      <x:c r="G520" s="38" t="n">
        <x:v>15405796</x:v>
      </x:c>
      <x:c r="H520" s="38" t="n">
        <x:v>16069056</x:v>
      </x:c>
      <x:c r="I520" s="39" t="n">
        <x:f>H520/G520</x:f>
        <x:v>1.0430526277253054</x:v>
      </x:c>
      <x:c r="J520" s="40" t="n">
        <x:f>(I520-1)*100</x:f>
        <x:v>4.305262772530538</x:v>
      </x:c>
      <x:c r="K520" s="36" t="str">
        <x:v>no</x:v>
      </x:c>
      <x:c r="L520" s="36" t="str">
        <x:v>Single-country territory; UN WPP and vanilla are within the ±5% review threshold.</x:v>
      </x:c>
      <x:c r="M520" s="41" t="n">
        <x:v>35117280000</x:v>
      </x:c>
      <x:c r="N520" s="41" t="n">
        <x:v>35117280000</x:v>
      </x:c>
      <x:c r="O520" s="41" t="n">
        <x:v>2279</x:v>
      </x:c>
      <x:c r="P520" s="41" t="n">
        <x:v>3023</x:v>
      </x:c>
      <x:c r="Q520" s="41" t="n">
        <x:v>6849</x:v>
      </x:c>
      <x:c r="R520" s="42" t="n">
        <x:f>MIN(P520,Q520)</x:f>
        <x:v>3023</x:v>
      </x:c>
      <x:c r="S520" s="42" t="n">
        <x:f>MAX(P520,Q520)</x:f>
        <x:v>6849</x:v>
      </x:c>
      <x:c r="T520" s="42" t="n">
        <x:f>MAX(R520,MIN(O520,S520))</x:f>
        <x:v>3023</x:v>
      </x:c>
      <x:c r="U520" s="19" t="str">
        <x:f>IF(O520&lt;R520,IF(R520=P520,"clamped_to_nominal","clamped_to_ppp"),IF(O520&gt;S520,IF(S520=P520,"clamped_to_nominal","clamped_to_ppp"),"kept_vanilla"))</x:f>
        <x:v>clamped_to_nominal</x:v>
      </x:c>
      <x:c r="V520" s="42" t="n">
        <x:f>T520*H520</x:f>
        <x:v>48576756288</x:v>
      </x:c>
      <x:c r="W520" s="42" t="n">
        <x:f>V520/F520</x:f>
        <x:v>48576756288</x:v>
      </x:c>
      <x:c r="X520" s="36" t="str">
        <x:v>ZWE: UN WPP 2024 Medium exact 2022</x:v>
      </x:c>
      <x:c r="Y520" s="36" t="str">
        <x:v>ZWE: IMF exact 2022</x:v>
      </x:c>
      <x:c r="Z520" s="36" t="str">
        <x:v>ZWE: IMF exact 2022</x:v>
      </x:c>
      <x:c r="AA520" s="36" t="str">
        <x:v>complete_primary</x:v>
      </x:c>
      <x:c r="AB520" s="36" t="str">
        <x:v>https://www.un.org/development/desa/pd/world-population-prospects-2024</x:v>
      </x:c>
      <x:c r="AC520" s="36" t="str">
        <x:v>https://api.imf.org/external/sdmx/3.0/data/dataflow/IMF.RES/WEO/9.0.0/</x:v>
      </x:c>
      <x:c r="AD520" s="36" t="str">
        <x:v>https://api.worldbank.org/v2/</x:v>
      </x:c>
    </x:row>
    <x:row r="521">
      <x:c r="A521" s="24" t="str">
        <x:v>ZWE</x:v>
      </x:c>
      <x:c r="B521" s="24" t="str">
        <x:v>Zimbabwe</x:v>
      </x:c>
      <x:c r="C521" s="24" t="str">
        <x:v>ZWE</x:v>
      </x:c>
      <x:c r="D521" s="24" t="str">
        <x:v>ZWE</x:v>
      </x:c>
      <x:c r="E521" s="24" t="n">
        <x:v>2026</x:v>
      </x:c>
      <x:c r="F521" s="37" t="n">
        <x:v>0.87</x:v>
      </x:c>
      <x:c r="G521" s="38" t="n">
        <x:v>17273580</x:v>
      </x:c>
      <x:c r="H521" s="38" t="n">
        <x:v>17273580</x:v>
      </x:c>
      <x:c r="I521" s="39" t="n">
        <x:f>H521/G521</x:f>
        <x:v>1</x:v>
      </x:c>
      <x:c r="J521" s="40" t="n">
        <x:f>(I521-1)*100</x:f>
        <x:v>0</x:v>
      </x:c>
      <x:c r="K521" s="36" t="str">
        <x:v>no</x:v>
      </x:c>
      <x:c r="L521" s="36" t="str">
        <x:v>Single-country territory; UN WPP and vanilla are within the ±5% review threshold.</x:v>
      </x:c>
      <x:c r="M521" s="41" t="n">
        <x:v>82606480000</x:v>
      </x:c>
      <x:c r="N521" s="41" t="n">
        <x:v>71867637600</x:v>
      </x:c>
      <x:c r="O521" s="41" t="n">
        <x:v>4161</x:v>
      </x:c>
      <x:c r="P521" s="41" t="n">
        <x:v>2856</x:v>
      </x:c>
      <x:c r="Q521" s="41" t="n">
        <x:v>7539</x:v>
      </x:c>
      <x:c r="R521" s="42" t="n">
        <x:f>MIN(P521,Q521)</x:f>
        <x:v>2856</x:v>
      </x:c>
      <x:c r="S521" s="42" t="n">
        <x:f>MAX(P521,Q521)</x:f>
        <x:v>7539</x:v>
      </x:c>
      <x:c r="T521" s="42" t="n">
        <x:f>MAX(R521,MIN(O521,S521))</x:f>
        <x:v>4161</x:v>
      </x:c>
      <x:c r="U521" s="19" t="str">
        <x:f>IF(O521&lt;R521,IF(R521=P521,"clamped_to_nominal","clamped_to_ppp"),IF(O521&gt;S521,IF(S521=P521,"clamped_to_nominal","clamped_to_ppp"),"kept_vanilla"))</x:f>
        <x:v>kept_vanilla</x:v>
      </x:c>
      <x:c r="V521" s="42" t="n">
        <x:f>T521*H521</x:f>
        <x:v>71875366380</x:v>
      </x:c>
      <x:c r="W521" s="42" t="n">
        <x:f>V521/F521</x:f>
        <x:v>82615363655.17241</x:v>
      </x:c>
      <x:c r="X521" s="36" t="str">
        <x:v>ZWE: UN WPP 2024 Medium exact 2026</x:v>
      </x:c>
      <x:c r="Y521" s="36" t="str">
        <x:v>ZWE: IMF exact 2026</x:v>
      </x:c>
      <x:c r="Z521" s="36" t="str">
        <x:v>ZWE: IMF exact 2026</x:v>
      </x:c>
      <x:c r="AA521" s="36" t="str">
        <x:v>complete_primary</x:v>
      </x:c>
      <x:c r="AB521" s="36" t="str">
        <x:v>https://www.un.org/development/desa/pd/world-population-prospects-2024</x:v>
      </x:c>
      <x:c r="AC521" s="36" t="str">
        <x:v>https://api.imf.org/external/sdmx/3.0/data/dataflow/IMF.RES/WEO/9.0.0/</x:v>
      </x:c>
      <x:c r="AD521" s="36" t="str">
        <x:v>https://api.worldbank.org/v2/</x:v>
      </x:c>
    </x:row>
  </x:sheetData>
  <x:mergeCells>
    <x:mergeCell ref="A1:AD1"/>
    <x:mergeCell ref="A2:AD2"/>
  </x:mergeCells>
  <x:conditionalFormatting sqref="U4:U521">
    <x:cfRule type="containsText" dxfId="0" priority="1" operator="containsText" text="kept_vanilla"/>
    <x:cfRule type="containsText" dxfId="1" priority="2" operator="containsText" text="clamped"/>
  </x:conditionalFormatting>
  <x:pageMargins left="0.7" right="0.7" top="0.75" bottom="0.75" header="0.3" footer="0.3"/>
  <x:tableParts count="1">
    <x:tablePart xmlns:r="http://schemas.openxmlformats.org/officeDocument/2006/relationships" r:id="R075432b67af947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0" hidden="0" customWidth="1"/>
    <x:col min="4" max="4" width="34" hidden="0" customWidth="1"/>
    <x:col min="5" max="5" width="34" hidden="0" customWidth="1"/>
    <x:col min="6" max="6" width="18" hidden="0" customWidth="1"/>
    <x:col min="7" max="7" width="18" hidden="0" customWidth="1"/>
    <x:col min="8" max="8" width="16" hidden="0" customWidth="1"/>
    <x:col min="9" max="9" width="16" hidden="0" customWidth="1"/>
    <x:col min="10" max="10" width="30" hidden="0" customWidth="1"/>
    <x:col min="11" max="11" width="75" hidden="0" customWidth="1"/>
    <x:col min="12" max="12" width="48" hidden="0" customWidth="1"/>
  </x:cols>
  <x:sheetData>
    <x:row r="1">
      <x:c r="A1" s="3" t="str">
        <x:v>Population geography audit — every &gt;±5% proposal and every corrected composite scope</x:v>
      </x:c>
      <x:c r="B1" s="3"/>
      <x:c r="C1" s="3"/>
      <x:c r="D1" s="3"/>
      <x:c r="E1" s="3"/>
      <x:c r="F1" s="3"/>
      <x:c r="G1" s="3"/>
      <x:c r="H1" s="3"/>
      <x:c r="I1" s="3"/>
      <x:c r="J1" s="3"/>
      <x:c r="K1" s="3"/>
      <x:c r="L1" s="3"/>
    </x:row>
    <x:row r="2">
      <x:c r="A2" s="43" t="str">
        <x:v>All threshold cases shown here have been checked against the game-owned region set and the UN WPP country/area scope. 'Accepted' means the discrepancy is not caused by comparing different territory.</x:v>
      </x:c>
      <x:c r="B2" s="43"/>
      <x:c r="C2" s="43"/>
      <x:c r="D2" s="43"/>
      <x:c r="E2" s="43"/>
      <x:c r="F2" s="43"/>
      <x:c r="G2" s="43"/>
      <x:c r="H2" s="43"/>
      <x:c r="I2" s="43"/>
      <x:c r="J2" s="43"/>
      <x:c r="K2" s="43"/>
      <x:c r="L2" s="43"/>
    </x:row>
    <x:row r="3" ht="42" customHeight="1">
      <x:c r="A3" s="12" t="str">
        <x:v>country id</x:v>
      </x:c>
      <x:c r="B3" s="13" t="str">
        <x:v>country</x:v>
      </x:c>
      <x:c r="C3" s="13" t="str">
        <x:v>year</x:v>
      </x:c>
      <x:c r="D3" s="13" t="str">
        <x:v>game ISO components</x:v>
      </x:c>
      <x:c r="E3" s="13" t="str">
        <x:v>reviewed population scope</x:v>
      </x:c>
      <x:c r="F3" s="13" t="str">
        <x:v>vanilla population</x:v>
      </x:c>
      <x:c r="G3" s="13" t="str">
        <x:v>proposed population</x:v>
      </x:c>
      <x:c r="H3" s="13" t="str">
        <x:v>delta %</x:v>
      </x:c>
      <x:c r="I3" s="13" t="str">
        <x:v>threshold review</x:v>
      </x:c>
      <x:c r="J3" s="13" t="str">
        <x:v>review outcome</x:v>
      </x:c>
      <x:c r="K3" s="13" t="str">
        <x:v>geography note</x:v>
      </x:c>
      <x:c r="L3" s="14" t="str">
        <x:v>UN WPP source</x:v>
      </x:c>
    </x:row>
    <x:row r="4">
      <x:c r="A4" s="24" t="str">
        <x:v>BGM</x:v>
      </x:c>
      <x:c r="B4" s="24" t="str">
        <x:v>Belgium</x:v>
      </x:c>
      <x:c r="C4" s="24" t="n">
        <x:v>2022</x:v>
      </x:c>
      <x:c r="D4" s="24" t="str">
        <x:v>BEL+LUX</x:v>
      </x:c>
      <x:c r="E4" s="24" t="str">
        <x:v>BEL+LUX</x:v>
      </x:c>
      <x:c r="F4" s="38" t="n">
        <x:v>11678732</x:v>
      </x:c>
      <x:c r="G4" s="38" t="n">
        <x:v>12295133</x:v>
      </x:c>
      <x:c r="H4" s="37" t="n">
        <x:v>5.277978807973338</x:v>
      </x:c>
      <x:c r="I4" s="36" t="str">
        <x:v>yes — reviewed</x:v>
      </x:c>
      <x:c r="J4" s="36" t="str">
        <x:v>accepted — geographic scope aligned</x:v>
      </x:c>
      <x:c r="K4" s="36" t="str">
        <x:v>Aggregated all explicit game ISO components; reviewed as a composite game country rather than comparing it with only the first sovereign state.</x:v>
      </x:c>
      <x:c r="L4" s="36" t="str">
        <x:v>https://www.un.org/development/desa/pd/world-population-prospects-2024</x:v>
      </x:c>
    </x:row>
    <x:row r="5">
      <x:c r="A5" s="24" t="str">
        <x:v>BGM</x:v>
      </x:c>
      <x:c r="B5" s="24" t="str">
        <x:v>Belgium</x:v>
      </x:c>
      <x:c r="C5" s="24" t="n">
        <x:v>2026</x:v>
      </x:c>
      <x:c r="D5" s="24" t="str">
        <x:v>BEL+LUX</x:v>
      </x:c>
      <x:c r="E5" s="24" t="str">
        <x:v>BEL+LUX</x:v>
      </x:c>
      <x:c r="F5" s="38" t="n">
        <x:v>11774643</x:v>
      </x:c>
      <x:c r="G5" s="38" t="n">
        <x:v>12462090</x:v>
      </x:c>
      <x:c r="H5" s="37" t="n">
        <x:v>5.838368093198243</x:v>
      </x:c>
      <x:c r="I5" s="36" t="str">
        <x:v>yes — reviewed</x:v>
      </x:c>
      <x:c r="J5" s="36" t="str">
        <x:v>accepted — geographic scope aligned</x:v>
      </x:c>
      <x:c r="K5" s="36" t="str">
        <x:v>Aggregated all explicit game ISO components; reviewed as a composite game country rather than comparing it with only the first sovereign state.</x:v>
      </x:c>
      <x:c r="L5" s="36" t="str">
        <x:v>https://www.un.org/development/desa/pd/world-population-prospects-2024</x:v>
      </x:c>
    </x:row>
    <x:row r="6">
      <x:c r="A6" s="24" t="str">
        <x:v>BEN</x:v>
      </x:c>
      <x:c r="B6" s="24" t="str">
        <x:v>Benin</x:v>
      </x:c>
      <x:c r="C6" s="24" t="n">
        <x:v>2022</x:v>
      </x:c>
      <x:c r="D6" s="24" t="str">
        <x:v>BEN</x:v>
      </x:c>
      <x:c r="E6" s="24" t="str">
        <x:v>BEN</x:v>
      </x:c>
      <x:c r="F6" s="38" t="n">
        <x:v>12890081</x:v>
      </x:c>
      <x:c r="G6" s="38" t="n">
        <x:v>13759501</x:v>
      </x:c>
      <x:c r="H6" s="37" t="n">
        <x:v>6.744876157100954</x:v>
      </x:c>
      <x:c r="I6" s="36" t="str">
        <x:v>yes — reviewed</x:v>
      </x:c>
      <x:c r="J6" s="36" t="str">
        <x:v>accepted — geographic scope aligned</x:v>
      </x:c>
      <x:c r="K6" s="36" t="str">
        <x:v>Single-country game territory and UN country/area boundary align. The difference is an updated historical estimate/projection vintage, not a geographic-scope mismatch; accept the UN WPP value for a consistent source vintage.</x:v>
      </x:c>
      <x:c r="L6" s="36" t="str">
        <x:v>https://www.un.org/development/desa/pd/world-population-prospects-2024</x:v>
      </x:c>
    </x:row>
    <x:row r="7">
      <x:c r="A7" s="24" t="str">
        <x:v>CPV</x:v>
      </x:c>
      <x:c r="B7" s="24" t="str">
        <x:v>Cabo Verde</x:v>
      </x:c>
      <x:c r="C7" s="24" t="n">
        <x:v>2022</x:v>
      </x:c>
      <x:c r="D7" s="24" t="str">
        <x:v>CPV</x:v>
      </x:c>
      <x:c r="E7" s="24" t="str">
        <x:v>CPV</x:v>
      </x:c>
      <x:c r="F7" s="38" t="n">
        <x:v>569457</x:v>
      </x:c>
      <x:c r="G7" s="38" t="n">
        <x:v>519741</x:v>
      </x:c>
      <x:c r="H7" s="37" t="n">
        <x:v>-8.730422138985027</x:v>
      </x:c>
      <x:c r="I7" s="36" t="str">
        <x:v>yes — reviewed</x:v>
      </x:c>
      <x:c r="J7" s="36" t="str">
        <x:v>accepted — geographic scope aligned</x:v>
      </x:c>
      <x:c r="K7" s="36" t="str">
        <x:v>Single-country game territory and UN country/area boundary align. The difference is an updated historical estimate/projection vintage, not a geographic-scope mismatch; accept the UN WPP value for a consistent source vintage.</x:v>
      </x:c>
      <x:c r="L7" s="36" t="str">
        <x:v>https://www.un.org/development/desa/pd/world-population-prospects-2024</x:v>
      </x:c>
    </x:row>
    <x:row r="8">
      <x:c r="A8" s="24" t="str">
        <x:v>TCD</x:v>
      </x:c>
      <x:c r="B8" s="24" t="str">
        <x:v>Chad</x:v>
      </x:c>
      <x:c r="C8" s="24" t="n">
        <x:v>2022</x:v>
      </x:c>
      <x:c r="D8" s="24" t="str">
        <x:v>TCD</x:v>
      </x:c>
      <x:c r="E8" s="24" t="str">
        <x:v>TCD</x:v>
      </x:c>
      <x:c r="F8" s="38" t="n">
        <x:v>17571864</x:v>
      </x:c>
      <x:c r="G8" s="38" t="n">
        <x:v>18455316</x:v>
      </x:c>
      <x:c r="H8" s="37" t="n">
        <x:v>5.027651022111268</x:v>
      </x:c>
      <x:c r="I8" s="36" t="str">
        <x:v>yes — reviewed</x:v>
      </x:c>
      <x:c r="J8" s="36" t="str">
        <x:v>accepted — geographic scope aligned</x:v>
      </x:c>
      <x:c r="K8" s="36" t="str">
        <x:v>Single-country game territory and UN country/area boundary align. The difference is an updated historical estimate/projection vintage, not a geographic-scope mismatch; accept the UN WPP value for a consistent source vintage.</x:v>
      </x:c>
      <x:c r="L8" s="36" t="str">
        <x:v>https://www.un.org/development/desa/pd/world-population-prospects-2024</x:v>
      </x:c>
    </x:row>
    <x:row r="9">
      <x:c r="A9" s="24" t="str">
        <x:v>RTK</x:v>
      </x:c>
      <x:c r="B9" s="24" t="str">
        <x:v>Comoros</x:v>
      </x:c>
      <x:c r="C9" s="24" t="n">
        <x:v>2022</x:v>
      </x:c>
      <x:c r="D9" s="24" t="str">
        <x:v>COM</x:v>
      </x:c>
      <x:c r="E9" s="24" t="str">
        <x:v>COM</x:v>
      </x:c>
      <x:c r="F9" s="38" t="n">
        <x:v>913269</x:v>
      </x:c>
      <x:c r="G9" s="38" t="n">
        <x:v>834188</x:v>
      </x:c>
      <x:c r="H9" s="37" t="n">
        <x:v>-8.659113579898147</x:v>
      </x:c>
      <x:c r="I9" s="36" t="str">
        <x:v>yes — reviewed</x:v>
      </x:c>
      <x:c r="J9" s="36" t="str">
        <x:v>accepted — geographic scope aligned</x:v>
      </x:c>
      <x:c r="K9" s="36" t="str">
        <x:v>Single-country game territory and UN country/area boundary align. The difference is an updated historical estimate/projection vintage, not a geographic-scope mismatch; accept the UN WPP value for a consistent source vintage.</x:v>
      </x:c>
      <x:c r="L9" s="36" t="str">
        <x:v>https://www.un.org/development/desa/pd/world-population-prospects-2024</x:v>
      </x:c>
    </x:row>
    <x:row r="10">
      <x:c r="A10" s="24" t="str">
        <x:v>COD</x:v>
      </x:c>
      <x:c r="B10" s="24" t="str">
        <x:v>Congo</x:v>
      </x:c>
      <x:c r="C10" s="24" t="n">
        <x:v>2022</x:v>
      </x:c>
      <x:c r="D10" s="24" t="str">
        <x:v>COD</x:v>
      </x:c>
      <x:c r="E10" s="24" t="str">
        <x:v>COD</x:v>
      </x:c>
      <x:c r="F10" s="38" t="n">
        <x:v>96149852</x:v>
      </x:c>
      <x:c r="G10" s="38" t="n">
        <x:v>102396968</x:v>
      </x:c>
      <x:c r="H10" s="37" t="n">
        <x:v>6.497270531420063</x:v>
      </x:c>
      <x:c r="I10" s="36" t="str">
        <x:v>yes — reviewed</x:v>
      </x:c>
      <x:c r="J10" s="36" t="str">
        <x:v>accepted — geographic scope aligned</x:v>
      </x:c>
      <x:c r="K10" s="36" t="str">
        <x:v>Single-country game territory and UN country/area boundary align. The difference is an updated historical estimate/projection vintage, not a geographic-scope mismatch; accept the UN WPP value for a consistent source vintage.</x:v>
      </x:c>
      <x:c r="L10" s="36" t="str">
        <x:v>https://www.un.org/development/desa/pd/world-population-prospects-2024</x:v>
      </x:c>
    </x:row>
    <x:row r="11">
      <x:c r="A11" s="24" t="str">
        <x:v>DEN</x:v>
      </x:c>
      <x:c r="B11" s="24" t="str">
        <x:v>Denmark</x:v>
      </x:c>
      <x:c r="C11" s="24" t="n">
        <x:v>2003</x:v>
      </x:c>
      <x:c r="D11" s="24" t="str">
        <x:v>DNK</x:v>
      </x:c>
      <x:c r="E11" s="24" t="str">
        <x:v>DNK+GRL+FRO</x:v>
      </x:c>
      <x:c r="F11" s="38" t="n">
        <x:v>5494804</x:v>
      </x:c>
      <x:c r="G11" s="38" t="n">
        <x:v>5494804</x:v>
      </x:c>
      <x:c r="H11" s="37" t="n">
        <x:v>0</x:v>
      </x:c>
      <x:c r="I11" s="36" t="str">
        <x:v>no</x:v>
      </x:c>
      <x:c r="J11" s="36" t="str">
        <x:v>accepted — geographic scope aligned</x:v>
      </x:c>
      <x:c r="K11" s="36" t="str">
        <x:v>Added Greenland and the Faroe Islands because the game assigns a separate Greenland region to Denmark; this reproduces the 2003 and 2026 vanilla totals almost exactly.</x:v>
      </x:c>
      <x:c r="L11" s="36" t="str">
        <x:v>https://www.un.org/development/desa/pd/world-population-prospects-2024</x:v>
      </x:c>
    </x:row>
    <x:row r="12">
      <x:c r="A12" s="24" t="str">
        <x:v>DEN</x:v>
      </x:c>
      <x:c r="B12" s="24" t="str">
        <x:v>Denmark</x:v>
      </x:c>
      <x:c r="C12" s="24" t="n">
        <x:v>2022</x:v>
      </x:c>
      <x:c r="D12" s="24" t="str">
        <x:v>DNK</x:v>
      </x:c>
      <x:c r="E12" s="24" t="str">
        <x:v>DNK+GRL+FRO</x:v>
      </x:c>
      <x:c r="F12" s="38" t="n">
        <x:v>5947882</x:v>
      </x:c>
      <x:c r="G12" s="38" t="n">
        <x:v>6012905</x:v>
      </x:c>
      <x:c r="H12" s="37" t="n">
        <x:v>1.0932126763779193</x:v>
      </x:c>
      <x:c r="I12" s="36" t="str">
        <x:v>no</x:v>
      </x:c>
      <x:c r="J12" s="36" t="str">
        <x:v>accepted — geographic scope aligned</x:v>
      </x:c>
      <x:c r="K12" s="36" t="str">
        <x:v>Added Greenland and the Faroe Islands because the game assigns a separate Greenland region to Denmark; this reproduces the 2003 and 2026 vanilla totals almost exactly.</x:v>
      </x:c>
      <x:c r="L12" s="36" t="str">
        <x:v>https://www.un.org/development/desa/pd/world-population-prospects-2024</x:v>
      </x:c>
    </x:row>
    <x:row r="13">
      <x:c r="A13" s="24" t="str">
        <x:v>DEN</x:v>
      </x:c>
      <x:c r="B13" s="24" t="str">
        <x:v>Denmark</x:v>
      </x:c>
      <x:c r="C13" s="24" t="n">
        <x:v>2026</x:v>
      </x:c>
      <x:c r="D13" s="24" t="str">
        <x:v>DNK</x:v>
      </x:c>
      <x:c r="E13" s="24" t="str">
        <x:v>DNK+GRL+FRO</x:v>
      </x:c>
      <x:c r="F13" s="38" t="n">
        <x:v>6135676</x:v>
      </x:c>
      <x:c r="G13" s="38" t="n">
        <x:v>6135675</x:v>
      </x:c>
      <x:c r="H13" s="37" t="n">
        <x:v>-0.000016298122651470237</x:v>
      </x:c>
      <x:c r="I13" s="36" t="str">
        <x:v>no</x:v>
      </x:c>
      <x:c r="J13" s="36" t="str">
        <x:v>accepted — geographic scope aligned</x:v>
      </x:c>
      <x:c r="K13" s="36" t="str">
        <x:v>Added Greenland and the Faroe Islands because the game assigns a separate Greenland region to Denmark; this reproduces the 2003 and 2026 vanilla totals almost exactly.</x:v>
      </x:c>
      <x:c r="L13" s="36" t="str">
        <x:v>https://www.un.org/development/desa/pd/world-population-prospects-2024</x:v>
      </x:c>
    </x:row>
    <x:row r="14">
      <x:c r="A14" s="24" t="str">
        <x:v>DJI</x:v>
      </x:c>
      <x:c r="B14" s="24" t="str">
        <x:v>Djibouti</x:v>
      </x:c>
      <x:c r="C14" s="24" t="n">
        <x:v>2022</x:v>
      </x:c>
      <x:c r="D14" s="24" t="str">
        <x:v>DJI</x:v>
      </x:c>
      <x:c r="E14" s="24" t="str">
        <x:v>DJI</x:v>
      </x:c>
      <x:c r="F14" s="38" t="n">
        <x:v>1020434</x:v>
      </x:c>
      <x:c r="G14" s="38" t="n">
        <x:v>1137096</x:v>
      </x:c>
      <x:c r="H14" s="37" t="n">
        <x:v>11.432586526909127</x:v>
      </x:c>
      <x:c r="I14" s="36" t="str">
        <x:v>yes — reviewed</x:v>
      </x:c>
      <x:c r="J14" s="36" t="str">
        <x:v>accepted — geographic scope aligned</x:v>
      </x:c>
      <x:c r="K14" s="36" t="str">
        <x:v>Single-country game territory and UN country/area boundary align. The difference is an updated historical estimate/projection vintage, not a geographic-scope mismatch; accept the UN WPP value for a consistent source vintage.</x:v>
      </x:c>
      <x:c r="L14" s="36" t="str">
        <x:v>https://www.un.org/development/desa/pd/world-population-prospects-2024</x:v>
      </x:c>
    </x:row>
    <x:row r="15">
      <x:c r="A15" s="24" t="str">
        <x:v>EGY</x:v>
      </x:c>
      <x:c r="B15" s="24" t="str">
        <x:v>Egypt</x:v>
      </x:c>
      <x:c r="C15" s="24" t="n">
        <x:v>2022</x:v>
      </x:c>
      <x:c r="D15" s="24" t="str">
        <x:v>EGY</x:v>
      </x:c>
      <x:c r="E15" s="24" t="str">
        <x:v>EGY</x:v>
      </x:c>
      <x:c r="F15" s="38" t="n">
        <x:v>106749118</x:v>
      </x:c>
      <x:c r="G15" s="38" t="n">
        <x:v>112618250</x:v>
      </x:c>
      <x:c r="H15" s="37" t="n">
        <x:v>5.498061351663819</x:v>
      </x:c>
      <x:c r="I15" s="36" t="str">
        <x:v>yes — reviewed</x:v>
      </x:c>
      <x:c r="J15" s="36" t="str">
        <x:v>accepted — geographic scope aligned</x:v>
      </x:c>
      <x:c r="K15" s="36" t="str">
        <x:v>Single-country game territory and UN country/area boundary align. The difference is an updated historical estimate/projection vintage, not a geographic-scope mismatch; accept the UN WPP value for a consistent source vintage.</x:v>
      </x:c>
      <x:c r="L15" s="36" t="str">
        <x:v>https://www.un.org/development/desa/pd/world-population-prospects-2024</x:v>
      </x:c>
    </x:row>
    <x:row r="16">
      <x:c r="A16" s="24" t="str">
        <x:v>EQG</x:v>
      </x:c>
      <x:c r="B16" s="24" t="str">
        <x:v>Equatorial Guinea</x:v>
      </x:c>
      <x:c r="C16" s="24" t="n">
        <x:v>2022</x:v>
      </x:c>
      <x:c r="D16" s="24" t="str">
        <x:v>GNQ</x:v>
      </x:c>
      <x:c r="E16" s="24" t="str">
        <x:v>GNQ</x:v>
      </x:c>
      <x:c r="F16" s="38" t="n">
        <x:v>1511571</x:v>
      </x:c>
      <x:c r="G16" s="38" t="n">
        <x:v>1803545</x:v>
      </x:c>
      <x:c r="H16" s="37" t="n">
        <x:v>19.315930247404857</x:v>
      </x:c>
      <x:c r="I16" s="36" t="str">
        <x:v>yes — reviewed</x:v>
      </x:c>
      <x:c r="J16" s="36" t="str">
        <x:v>accepted — geographic scope aligned</x:v>
      </x:c>
      <x:c r="K16" s="36" t="str">
        <x:v>Single-country game territory and UN country/area boundary align. The difference is an updated historical estimate/projection vintage, not a geographic-scope mismatch; accept the UN WPP value for a consistent source vintage.</x:v>
      </x:c>
      <x:c r="L16" s="36" t="str">
        <x:v>https://www.un.org/development/desa/pd/world-population-prospects-2024</x:v>
      </x:c>
    </x:row>
    <x:row r="17">
      <x:c r="A17" s="24" t="str">
        <x:v>ERI</x:v>
      </x:c>
      <x:c r="B17" s="24" t="str">
        <x:v>Eritrea</x:v>
      </x:c>
      <x:c r="C17" s="24" t="n">
        <x:v>2022</x:v>
      </x:c>
      <x:c r="D17" s="24" t="str">
        <x:v>ERI</x:v>
      </x:c>
      <x:c r="E17" s="24" t="str">
        <x:v>ERI</x:v>
      </x:c>
      <x:c r="F17" s="38" t="n">
        <x:v>3681556</x:v>
      </x:c>
      <x:c r="G17" s="38" t="n">
        <x:v>3409447</x:v>
      </x:c>
      <x:c r="H17" s="37" t="n">
        <x:v>-7.391141137062696</x:v>
      </x:c>
      <x:c r="I17" s="36" t="str">
        <x:v>yes — reviewed</x:v>
      </x:c>
      <x:c r="J17" s="36" t="str">
        <x:v>accepted — geographic scope aligned</x:v>
      </x:c>
      <x:c r="K17" s="36" t="str">
        <x:v>Single-country game territory and UN country/area boundary align. The difference is an updated historical estimate/projection vintage, not a geographic-scope mismatch; accept the UN WPP value for a consistent source vintage.</x:v>
      </x:c>
      <x:c r="L17" s="36" t="str">
        <x:v>https://www.un.org/development/desa/pd/world-population-prospects-2024</x:v>
      </x:c>
    </x:row>
    <x:row r="18">
      <x:c r="A18" s="24" t="str">
        <x:v>EUA</x:v>
      </x:c>
      <x:c r="B18" s="24" t="str">
        <x:v>France</x:v>
      </x:c>
      <x:c r="C18" s="24" t="n">
        <x:v>2003</x:v>
      </x:c>
      <x:c r="D18" s="24" t="str">
        <x:v>FRA+MCO+AND</x:v>
      </x:c>
      <x:c r="E18" s="24" t="str">
        <x:v>FRA+MCO+AND+GUF+PYF+NCL+WLF+REU+MYT+GLP+MTQ+SPM</x:v>
      </x:c>
      <x:c r="F18" s="38" t="n">
        <x:v>63253713</x:v>
      </x:c>
      <x:c r="G18" s="38" t="n">
        <x:v>63321730</x:v>
      </x:c>
      <x:c r="H18" s="37" t="n">
        <x:v>0.10753044647355825</x:v>
      </x:c>
      <x:c r="I18" s="36" t="str">
        <x:v>no</x:v>
      </x:c>
      <x:c r="J18" s="36" t="str">
        <x:v>accepted — geographic scope aligned</x:v>
      </x:c>
      <x:c r="K18" s="36" t="str">
        <x:v>Aggregated metropolitan France, Monaco, Andorra, and the populations represented by the French Guiana, Pacific, Indian Ocean, and West Indies regions.</x:v>
      </x:c>
      <x:c r="L18" s="36" t="str">
        <x:v>https://www.un.org/development/desa/pd/world-population-prospects-2024</x:v>
      </x:c>
    </x:row>
    <x:row r="19">
      <x:c r="A19" s="24" t="str">
        <x:v>EUA</x:v>
      </x:c>
      <x:c r="B19" s="24" t="str">
        <x:v>France</x:v>
      </x:c>
      <x:c r="C19" s="24" t="n">
        <x:v>2022</x:v>
      </x:c>
      <x:c r="D19" s="24" t="str">
        <x:v>FRA+MCO+AND</x:v>
      </x:c>
      <x:c r="E19" s="24" t="str">
        <x:v>FRA+MCO+AND+GUF+PYF+NCL+WLF+REU+MYT+GLP+MTQ+SPM</x:v>
      </x:c>
      <x:c r="F19" s="38" t="n">
        <x:v>68676947</x:v>
      </x:c>
      <x:c r="G19" s="38" t="n">
        <x:v>69190027</x:v>
      </x:c>
      <x:c r="H19" s="37" t="n">
        <x:v>0.7470920336630549</x:v>
      </x:c>
      <x:c r="I19" s="36" t="str">
        <x:v>no</x:v>
      </x:c>
      <x:c r="J19" s="36" t="str">
        <x:v>accepted — geographic scope aligned</x:v>
      </x:c>
      <x:c r="K19" s="36" t="str">
        <x:v>Aggregated metropolitan France, Monaco, Andorra, and the populations represented by the French Guiana, Pacific, Indian Ocean, and West Indies regions.</x:v>
      </x:c>
      <x:c r="L19" s="36" t="str">
        <x:v>https://www.un.org/development/desa/pd/world-population-prospects-2024</x:v>
      </x:c>
    </x:row>
    <x:row r="20">
      <x:c r="A20" s="24" t="str">
        <x:v>EUA</x:v>
      </x:c>
      <x:c r="B20" s="24" t="str">
        <x:v>France</x:v>
      </x:c>
      <x:c r="C20" s="24" t="n">
        <x:v>2026</x:v>
      </x:c>
      <x:c r="D20" s="24" t="str">
        <x:v>FRA+MCO+AND</x:v>
      </x:c>
      <x:c r="E20" s="24" t="str">
        <x:v>FRA+MCO+AND+GUF+PYF+NCL+WLF+REU+MYT+GLP+MTQ+SPM</x:v>
      </x:c>
      <x:c r="F20" s="38" t="n">
        <x:v>69636800</x:v>
      </x:c>
      <x:c r="G20" s="38" t="n">
        <x:v>69728705</x:v>
      </x:c>
      <x:c r="H20" s="37" t="n">
        <x:v>0.1319776325161337</x:v>
      </x:c>
      <x:c r="I20" s="36" t="str">
        <x:v>no</x:v>
      </x:c>
      <x:c r="J20" s="36" t="str">
        <x:v>accepted — geographic scope aligned</x:v>
      </x:c>
      <x:c r="K20" s="36" t="str">
        <x:v>Aggregated metropolitan France, Monaco, Andorra, and the populations represented by the French Guiana, Pacific, Indian Ocean, and West Indies regions.</x:v>
      </x:c>
      <x:c r="L20" s="36" t="str">
        <x:v>https://www.un.org/development/desa/pd/world-population-prospects-2024</x:v>
      </x:c>
    </x:row>
    <x:row r="21">
      <x:c r="A21" s="24" t="str">
        <x:v>GRE</x:v>
      </x:c>
      <x:c r="B21" s="24" t="str">
        <x:v>Greece</x:v>
      </x:c>
      <x:c r="C21" s="24" t="n">
        <x:v>2022</x:v>
      </x:c>
      <x:c r="D21" s="24" t="str">
        <x:v>GRC+CYP</x:v>
      </x:c>
      <x:c r="E21" s="24" t="str">
        <x:v>GRC+CYP</x:v>
      </x:c>
      <x:c r="F21" s="38" t="n">
        <x:v>11140449</x:v>
      </x:c>
      <x:c r="G21" s="38" t="n">
        <x:v>11743850</x:v>
      </x:c>
      <x:c r="H21" s="37" t="n">
        <x:v>5.416307726914771</x:v>
      </x:c>
      <x:c r="I21" s="36" t="str">
        <x:v>yes — reviewed</x:v>
      </x:c>
      <x:c r="J21" s="36" t="str">
        <x:v>accepted — geographic scope aligned</x:v>
      </x:c>
      <x:c r="K21" s="36" t="str">
        <x:v>Aggregated all explicit game ISO components; reviewed as a composite game country rather than comparing it with only the first sovereign state.</x:v>
      </x:c>
      <x:c r="L21" s="36" t="str">
        <x:v>https://www.un.org/development/desa/pd/world-population-prospects-2024</x:v>
      </x:c>
    </x:row>
    <x:row r="22">
      <x:c r="A22" s="24" t="str">
        <x:v>GUS</x:v>
      </x:c>
      <x:c r="B22" s="24" t="str">
        <x:v>Gulf States</x:v>
      </x:c>
      <x:c r="C22" s="24" t="n">
        <x:v>2022</x:v>
      </x:c>
      <x:c r="D22" s="24" t="str">
        <x:v>QAT+BHR</x:v>
      </x:c>
      <x:c r="E22" s="24" t="str">
        <x:v>QAT+BHR</x:v>
      </x:c>
      <x:c r="F22" s="38" t="n">
        <x:v>4789451</x:v>
      </x:c>
      <x:c r="G22" s="38" t="n">
        <x:v>4425914</x:v>
      </x:c>
      <x:c r="H22" s="37" t="n">
        <x:v>-7.590368917022017</x:v>
      </x:c>
      <x:c r="I22" s="36" t="str">
        <x:v>yes — reviewed</x:v>
      </x:c>
      <x:c r="J22" s="36" t="str">
        <x:v>accepted — geographic scope aligned</x:v>
      </x:c>
      <x:c r="K22" s="36" t="str">
        <x:v>Aggregated all explicit game ISO components; reviewed as a composite game country rather than comparing it with only the first sovereign state.</x:v>
      </x:c>
      <x:c r="L22" s="36" t="str">
        <x:v>https://www.un.org/development/desa/pd/world-population-prospects-2024</x:v>
      </x:c>
    </x:row>
    <x:row r="23">
      <x:c r="A23" s="24" t="str">
        <x:v>ISL</x:v>
      </x:c>
      <x:c r="B23" s="24" t="str">
        <x:v>Iceland</x:v>
      </x:c>
      <x:c r="C23" s="24" t="n">
        <x:v>2022</x:v>
      </x:c>
      <x:c r="D23" s="24" t="str">
        <x:v>ISL</x:v>
      </x:c>
      <x:c r="E23" s="24" t="str">
        <x:v>ISL</x:v>
      </x:c>
      <x:c r="F23" s="38" t="n">
        <x:v>345984</x:v>
      </x:c>
      <x:c r="G23" s="38" t="n">
        <x:v>380356</x:v>
      </x:c>
      <x:c r="H23" s="37" t="n">
        <x:v>9.934563448020729</x:v>
      </x:c>
      <x:c r="I23" s="36" t="str">
        <x:v>yes — reviewed</x:v>
      </x:c>
      <x:c r="J23" s="36" t="str">
        <x:v>accepted — geographic scope aligned</x:v>
      </x:c>
      <x:c r="K23" s="36" t="str">
        <x:v>Single-country game territory and UN country/area boundary align. The difference is an updated historical estimate/projection vintage, not a geographic-scope mismatch; accept the UN WPP value for a consistent source vintage.</x:v>
      </x:c>
      <x:c r="L23" s="36" t="str">
        <x:v>https://www.un.org/development/desa/pd/world-population-prospects-2024</x:v>
      </x:c>
    </x:row>
    <x:row r="24">
      <x:c r="A24" s="24" t="str">
        <x:v>IVO</x:v>
      </x:c>
      <x:c r="B24" s="24" t="str">
        <x:v>Ivory Coast</x:v>
      </x:c>
      <x:c r="C24" s="24" t="n">
        <x:v>2022</x:v>
      </x:c>
      <x:c r="D24" s="24" t="str">
        <x:v>CIV</x:v>
      </x:c>
      <x:c r="E24" s="24" t="str">
        <x:v>CIV</x:v>
      </x:c>
      <x:c r="F24" s="38" t="n">
        <x:v>27960211</x:v>
      </x:c>
      <x:c r="G24" s="38" t="n">
        <x:v>30395002</x:v>
      </x:c>
      <x:c r="H24" s="37" t="n">
        <x:v>8.708056602291014</x:v>
      </x:c>
      <x:c r="I24" s="36" t="str">
        <x:v>yes — reviewed</x:v>
      </x:c>
      <x:c r="J24" s="36" t="str">
        <x:v>accepted — geographic scope aligned</x:v>
      </x:c>
      <x:c r="K24" s="36" t="str">
        <x:v>Single-country game territory and UN country/area boundary align. The difference is an updated historical estimate/projection vintage, not a geographic-scope mismatch; accept the UN WPP value for a consistent source vintage.</x:v>
      </x:c>
      <x:c r="L24" s="36" t="str">
        <x:v>https://www.un.org/development/desa/pd/world-population-prospects-2024</x:v>
      </x:c>
    </x:row>
    <x:row r="25">
      <x:c r="A25" s="24" t="str">
        <x:v>JAM</x:v>
      </x:c>
      <x:c r="B25" s="24" t="str">
        <x:v>Jamaica</x:v>
      </x:c>
      <x:c r="C25" s="24" t="n">
        <x:v>2022</x:v>
      </x:c>
      <x:c r="D25" s="24" t="str">
        <x:v>JAM</x:v>
      </x:c>
      <x:c r="E25" s="24" t="str">
        <x:v>JAM</x:v>
      </x:c>
      <x:c r="F25" s="38" t="n">
        <x:v>2988631</x:v>
      </x:c>
      <x:c r="G25" s="38" t="n">
        <x:v>2839144</x:v>
      </x:c>
      <x:c r="H25" s="37" t="n">
        <x:v>-5.001855364546515</x:v>
      </x:c>
      <x:c r="I25" s="36" t="str">
        <x:v>yes — reviewed</x:v>
      </x:c>
      <x:c r="J25" s="36" t="str">
        <x:v>accepted — geographic scope aligned</x:v>
      </x:c>
      <x:c r="K25" s="36" t="str">
        <x:v>Single-country game territory and UN country/area boundary align. The difference is an updated historical estimate/projection vintage, not a geographic-scope mismatch; accept the UN WPP value for a consistent source vintage.</x:v>
      </x:c>
      <x:c r="L25" s="36" t="str">
        <x:v>https://www.un.org/development/desa/pd/world-population-prospects-2024</x:v>
      </x:c>
    </x:row>
    <x:row r="26">
      <x:c r="A26" s="24" t="str">
        <x:v>JOR</x:v>
      </x:c>
      <x:c r="B26" s="24" t="str">
        <x:v>Jordan</x:v>
      </x:c>
      <x:c r="C26" s="24" t="n">
        <x:v>2022</x:v>
      </x:c>
      <x:c r="D26" s="24" t="str">
        <x:v>JOR</x:v>
      </x:c>
      <x:c r="E26" s="24" t="str">
        <x:v>JOR</x:v>
      </x:c>
      <x:c r="F26" s="38" t="n">
        <x:v>10305281</x:v>
      </x:c>
      <x:c r="G26" s="38" t="n">
        <x:v>11256263</x:v>
      </x:c>
      <x:c r="H26" s="37" t="n">
        <x:v>9.228103532548015</x:v>
      </x:c>
      <x:c r="I26" s="36" t="str">
        <x:v>yes — reviewed</x:v>
      </x:c>
      <x:c r="J26" s="36" t="str">
        <x:v>accepted — geographic scope aligned</x:v>
      </x:c>
      <x:c r="K26" s="36" t="str">
        <x:v>Single-country game territory and UN country/area boundary align. The difference is an updated historical estimate/projection vintage, not a geographic-scope mismatch; accept the UN WPP value for a consistent source vintage.</x:v>
      </x:c>
      <x:c r="L26" s="36" t="str">
        <x:v>https://www.un.org/development/desa/pd/world-population-prospects-2024</x:v>
      </x:c>
    </x:row>
    <x:row r="27">
      <x:c r="A27" s="24" t="str">
        <x:v>LEB</x:v>
      </x:c>
      <x:c r="B27" s="24" t="str">
        <x:v>Lebanon</x:v>
      </x:c>
      <x:c r="C27" s="24" t="n">
        <x:v>2022</x:v>
      </x:c>
      <x:c r="D27" s="24" t="str">
        <x:v>LBN</x:v>
      </x:c>
      <x:c r="E27" s="24" t="str">
        <x:v>LBN</x:v>
      </x:c>
      <x:c r="F27" s="38" t="n">
        <x:v>6654038</x:v>
      </x:c>
      <x:c r="G27" s="38" t="n">
        <x:v>5744489</x:v>
      </x:c>
      <x:c r="H27" s="37" t="n">
        <x:v>-13.669128429984923</x:v>
      </x:c>
      <x:c r="I27" s="36" t="str">
        <x:v>yes — reviewed</x:v>
      </x:c>
      <x:c r="J27" s="36" t="str">
        <x:v>accepted — geographic scope aligned</x:v>
      </x:c>
      <x:c r="K27" s="36" t="str">
        <x:v>Single-country game territory and UN country/area boundary align. The difference is an updated historical estimate/projection vintage, not a geographic-scope mismatch; accept the UN WPP value for a consistent source vintage.</x:v>
      </x:c>
      <x:c r="L27" s="36" t="str">
        <x:v>https://www.un.org/development/desa/pd/world-population-prospects-2024</x:v>
      </x:c>
    </x:row>
    <x:row r="28">
      <x:c r="A28" s="24" t="str">
        <x:v>CAB</x:v>
      </x:c>
      <x:c r="B28" s="24" t="str">
        <x:v>Lesser Antilles States</x:v>
      </x:c>
      <x:c r="C28" s="24" t="n">
        <x:v>2003</x:v>
      </x:c>
      <x:c r="D28" s="24" t="str">
        <x:v>TTO+BRB+LCA</x:v>
      </x:c>
      <x:c r="E28" s="24" t="str">
        <x:v>TTO+BRB+LCA+ATG+DMA+GRD+VCT+KNA</x:v>
      </x:c>
      <x:c r="F28" s="38" t="n">
        <x:v>2182077</x:v>
      </x:c>
      <x:c r="G28" s="38" t="n">
        <x:v>2182077</x:v>
      </x:c>
      <x:c r="H28" s="37" t="n">
        <x:v>0</x:v>
      </x:c>
      <x:c r="I28" s="36" t="str">
        <x:v>no</x:v>
      </x:c>
      <x:c r="J28" s="36" t="str">
        <x:v>accepted — geographic scope aligned</x:v>
      </x:c>
      <x:c r="K28" s="36" t="str">
        <x:v>Added Antigua and Barbuda, Dominica, Grenada, Saint Vincent and the Grenadines, and Saint Kitts and Nevis. The expanded sovereign-island set exactly reproduces the 2003 and 2026 vanilla totals.</x:v>
      </x:c>
      <x:c r="L28" s="36" t="str">
        <x:v>https://www.un.org/development/desa/pd/world-population-prospects-2024</x:v>
      </x:c>
    </x:row>
    <x:row r="29">
      <x:c r="A29" s="24" t="str">
        <x:v>CAB</x:v>
      </x:c>
      <x:c r="B29" s="24" t="str">
        <x:v>Lesser Antilles States</x:v>
      </x:c>
      <x:c r="C29" s="24" t="n">
        <x:v>2022</x:v>
      </x:c>
      <x:c r="D29" s="24" t="str">
        <x:v>TTO+BRB+LCA</x:v>
      </x:c>
      <x:c r="E29" s="24" t="str">
        <x:v>TTO+BRB+LCA+ATG+DMA+GRD+VCT+KNA</x:v>
      </x:c>
      <x:c r="F29" s="38" t="n">
        <x:v>2332559</x:v>
      </x:c>
      <x:c r="G29" s="38" t="n">
        <x:v>2382354</x:v>
      </x:c>
      <x:c r="H29" s="37" t="n">
        <x:v>2.1347798705198873</x:v>
      </x:c>
      <x:c r="I29" s="36" t="str">
        <x:v>no</x:v>
      </x:c>
      <x:c r="J29" s="36" t="str">
        <x:v>accepted — geographic scope aligned</x:v>
      </x:c>
      <x:c r="K29" s="36" t="str">
        <x:v>Added Antigua and Barbuda, Dominica, Grenada, Saint Vincent and the Grenadines, and Saint Kitts and Nevis. The expanded sovereign-island set exactly reproduces the 2003 and 2026 vanilla totals.</x:v>
      </x:c>
      <x:c r="L29" s="36" t="str">
        <x:v>https://www.un.org/development/desa/pd/world-population-prospects-2024</x:v>
      </x:c>
    </x:row>
    <x:row r="30">
      <x:c r="A30" s="24" t="str">
        <x:v>CAB</x:v>
      </x:c>
      <x:c r="B30" s="24" t="str">
        <x:v>Lesser Antilles States</x:v>
      </x:c>
      <x:c r="C30" s="24" t="n">
        <x:v>2026</x:v>
      </x:c>
      <x:c r="D30" s="24" t="str">
        <x:v>TTO+BRB+LCA</x:v>
      </x:c>
      <x:c r="E30" s="24" t="str">
        <x:v>TTO+BRB+LCA+ATG+DMA+GRD+VCT+KNA</x:v>
      </x:c>
      <x:c r="F30" s="38" t="n">
        <x:v>2400215</x:v>
      </x:c>
      <x:c r="G30" s="38" t="n">
        <x:v>2400216</x:v>
      </x:c>
      <x:c r="H30" s="37" t="n">
        <x:v>0.000041662934369135485</x:v>
      </x:c>
      <x:c r="I30" s="36" t="str">
        <x:v>no</x:v>
      </x:c>
      <x:c r="J30" s="36" t="str">
        <x:v>accepted — geographic scope aligned</x:v>
      </x:c>
      <x:c r="K30" s="36" t="str">
        <x:v>Added Antigua and Barbuda, Dominica, Grenada, Saint Vincent and the Grenadines, and Saint Kitts and Nevis. The expanded sovereign-island set exactly reproduces the 2003 and 2026 vanilla totals.</x:v>
      </x:c>
      <x:c r="L30" s="36" t="str">
        <x:v>https://www.un.org/development/desa/pd/world-population-prospects-2024</x:v>
      </x:c>
    </x:row>
    <x:row r="31">
      <x:c r="A31" s="24" t="str">
        <x:v>LTU</x:v>
      </x:c>
      <x:c r="B31" s="24" t="str">
        <x:v>Lithuania</x:v>
      </x:c>
      <x:c r="C31" s="24" t="n">
        <x:v>2022</x:v>
      </x:c>
      <x:c r="D31" s="24" t="str">
        <x:v>LTU</x:v>
      </x:c>
      <x:c r="E31" s="24" t="str">
        <x:v>LTU</x:v>
      </x:c>
      <x:c r="F31" s="38" t="n">
        <x:v>2653472</x:v>
      </x:c>
      <x:c r="G31" s="38" t="n">
        <x:v>2816919</x:v>
      </x:c>
      <x:c r="H31" s="37" t="n">
        <x:v>6.159740897963117</x:v>
      </x:c>
      <x:c r="I31" s="36" t="str">
        <x:v>yes — reviewed</x:v>
      </x:c>
      <x:c r="J31" s="36" t="str">
        <x:v>accepted — geographic scope aligned</x:v>
      </x:c>
      <x:c r="K31" s="36" t="str">
        <x:v>Single-country game territory and UN country/area boundary align. The difference is an updated historical estimate/projection vintage, not a geographic-scope mismatch; accept the UN WPP value for a consistent source vintage.</x:v>
      </x:c>
      <x:c r="L31" s="36" t="str">
        <x:v>https://www.un.org/development/desa/pd/world-population-prospects-2024</x:v>
      </x:c>
    </x:row>
    <x:row r="32">
      <x:c r="A32" s="24" t="str">
        <x:v>MLI</x:v>
      </x:c>
      <x:c r="B32" s="24" t="str">
        <x:v>Mali</x:v>
      </x:c>
      <x:c r="C32" s="24" t="n">
        <x:v>2022</x:v>
      </x:c>
      <x:c r="D32" s="24" t="str">
        <x:v>MLI</x:v>
      </x:c>
      <x:c r="E32" s="24" t="str">
        <x:v>MLI</x:v>
      </x:c>
      <x:c r="F32" s="38" t="n">
        <x:v>21669157</x:v>
      </x:c>
      <x:c r="G32" s="38" t="n">
        <x:v>23072640</x:v>
      </x:c>
      <x:c r="H32" s="37" t="n">
        <x:v>6.476869404748875</x:v>
      </x:c>
      <x:c r="I32" s="36" t="str">
        <x:v>yes — reviewed</x:v>
      </x:c>
      <x:c r="J32" s="36" t="str">
        <x:v>accepted — geographic scope aligned</x:v>
      </x:c>
      <x:c r="K32" s="36" t="str">
        <x:v>Single-country game territory and UN country/area boundary align. The difference is an updated historical estimate/projection vintage, not a geographic-scope mismatch; accept the UN WPP value for a consistent source vintage.</x:v>
      </x:c>
      <x:c r="L32" s="36" t="str">
        <x:v>https://www.un.org/development/desa/pd/world-population-prospects-2024</x:v>
      </x:c>
    </x:row>
    <x:row r="33">
      <x:c r="A33" s="24" t="str">
        <x:v>MCS</x:v>
      </x:c>
      <x:c r="B33" s="24" t="str">
        <x:v>Micronesian States</x:v>
      </x:c>
      <x:c r="C33" s="24" t="n">
        <x:v>2003</x:v>
      </x:c>
      <x:c r="D33" s="24" t="str">
        <x:v>FSM+KIR</x:v>
      </x:c>
      <x:c r="E33" s="24" t="str">
        <x:v>FSM+KIR+MHL+NRU+PLW</x:v>
      </x:c>
      <x:c r="F33" s="38" t="n">
        <x:v>287817</x:v>
      </x:c>
      <x:c r="G33" s="38" t="n">
        <x:v>287817</x:v>
      </x:c>
      <x:c r="H33" s="37" t="n">
        <x:v>0</x:v>
      </x:c>
      <x:c r="I33" s="36" t="str">
        <x:v>no</x:v>
      </x:c>
      <x:c r="J33" s="36" t="str">
        <x:v>accepted — geographic scope aligned</x:v>
      </x:c>
      <x:c r="K33" s="36" t="str">
        <x:v>Added the Marshall Islands, Nauru, and Palau. The expanded sovereign-state set reproduces the 2003 and 2026 vanilla totals within one person.</x:v>
      </x:c>
      <x:c r="L33" s="36" t="str">
        <x:v>https://www.un.org/development/desa/pd/world-population-prospects-2024</x:v>
      </x:c>
    </x:row>
    <x:row r="34">
      <x:c r="A34" s="24" t="str">
        <x:v>MCS</x:v>
      </x:c>
      <x:c r="B34" s="24" t="str">
        <x:v>Micronesian States</x:v>
      </x:c>
      <x:c r="C34" s="24" t="n">
        <x:v>2022</x:v>
      </x:c>
      <x:c r="D34" s="24" t="str">
        <x:v>FSM+KIR</x:v>
      </x:c>
      <x:c r="E34" s="24" t="str">
        <x:v>FSM+KIR+MHL+NRU+PLW</x:v>
      </x:c>
      <x:c r="F34" s="38" t="n">
        <x:v>331379</x:v>
      </x:c>
      <x:c r="G34" s="38" t="n">
        <x:v>312220</x:v>
      </x:c>
      <x:c r="H34" s="37" t="n">
        <x:v>-5.781597506178726</x:v>
      </x:c>
      <x:c r="I34" s="36" t="str">
        <x:v>yes — reviewed</x:v>
      </x:c>
      <x:c r="J34" s="36" t="str">
        <x:v>accepted — geographic scope aligned</x:v>
      </x:c>
      <x:c r="K34" s="36" t="str">
        <x:v>Added the Marshall Islands, Nauru, and Palau. The expanded sovereign-state set reproduces the 2003 and 2026 vanilla totals within one person.</x:v>
      </x:c>
      <x:c r="L34" s="36" t="str">
        <x:v>https://www.un.org/development/desa/pd/world-population-prospects-2024</x:v>
      </x:c>
    </x:row>
    <x:row r="35">
      <x:c r="A35" s="24" t="str">
        <x:v>MCS</x:v>
      </x:c>
      <x:c r="B35" s="24" t="str">
        <x:v>Micronesian States</x:v>
      </x:c>
      <x:c r="C35" s="24" t="n">
        <x:v>2026</x:v>
      </x:c>
      <x:c r="D35" s="24" t="str">
        <x:v>FSM+KIR</x:v>
      </x:c>
      <x:c r="E35" s="24" t="str">
        <x:v>FSM+KIR+MHL+NRU+PLW</x:v>
      </x:c>
      <x:c r="F35" s="38" t="n">
        <x:v>317419</x:v>
      </x:c>
      <x:c r="G35" s="38" t="n">
        <x:v>317418</x:v>
      </x:c>
      <x:c r="H35" s="37" t="n">
        <x:v>-0.00031504100258539225</x:v>
      </x:c>
      <x:c r="I35" s="36" t="str">
        <x:v>no</x:v>
      </x:c>
      <x:c r="J35" s="36" t="str">
        <x:v>accepted — geographic scope aligned</x:v>
      </x:c>
      <x:c r="K35" s="36" t="str">
        <x:v>Added the Marshall Islands, Nauru, and Palau. The expanded sovereign-state set reproduces the 2003 and 2026 vanilla totals within one person.</x:v>
      </x:c>
      <x:c r="L35" s="36" t="str">
        <x:v>https://www.un.org/development/desa/pd/world-population-prospects-2024</x:v>
      </x:c>
    </x:row>
    <x:row r="36">
      <x:c r="A36" s="24" t="str">
        <x:v>MOL</x:v>
      </x:c>
      <x:c r="B36" s="24" t="str">
        <x:v>Moldova</x:v>
      </x:c>
      <x:c r="C36" s="24" t="n">
        <x:v>2022</x:v>
      </x:c>
      <x:c r="D36" s="24" t="str">
        <x:v>MDA</x:v>
      </x:c>
      <x:c r="E36" s="24" t="str">
        <x:v>MDA</x:v>
      </x:c>
      <x:c r="F36" s="38" t="n">
        <x:v>4009886</x:v>
      </x:c>
      <x:c r="G36" s="38" t="n">
        <x:v>3039985</x:v>
      </x:c>
      <x:c r="H36" s="37" t="n">
        <x:v>-24.187744988261517</x:v>
      </x:c>
      <x:c r="I36" s="36" t="str">
        <x:v>yes — reviewed</x:v>
      </x:c>
      <x:c r="J36" s="36" t="str">
        <x:v>accepted — geographic scope aligned</x:v>
      </x:c>
      <x:c r="K36" s="36" t="str">
        <x:v>Single-country game territory and UN country/area boundary align. The difference is an updated historical estimate/projection vintage, not a geographic-scope mismatch; accept the UN WPP value for a consistent source vintage.</x:v>
      </x:c>
      <x:c r="L36" s="36" t="str">
        <x:v>https://www.un.org/development/desa/pd/world-population-prospects-2024</x:v>
      </x:c>
    </x:row>
    <x:row r="37">
      <x:c r="A37" s="24" t="str">
        <x:v>SWA</x:v>
      </x:c>
      <x:c r="B37" s="24" t="str">
        <x:v>Namibia</x:v>
      </x:c>
      <x:c r="C37" s="24" t="n">
        <x:v>2022</x:v>
      </x:c>
      <x:c r="D37" s="24" t="str">
        <x:v>NAM</x:v>
      </x:c>
      <x:c r="E37" s="24" t="str">
        <x:v>NAM</x:v>
      </x:c>
      <x:c r="F37" s="38" t="n">
        <x:v>2648453</x:v>
      </x:c>
      <x:c r="G37" s="38" t="n">
        <x:v>2889662</x:v>
      </x:c>
      <x:c r="H37" s="37" t="n">
        <x:v>9.107543158213494</x:v>
      </x:c>
      <x:c r="I37" s="36" t="str">
        <x:v>yes — reviewed</x:v>
      </x:c>
      <x:c r="J37" s="36" t="str">
        <x:v>accepted — geographic scope aligned</x:v>
      </x:c>
      <x:c r="K37" s="36" t="str">
        <x:v>Single-country game territory and UN country/area boundary align. The difference is an updated historical estimate/projection vintage, not a geographic-scope mismatch; accept the UN WPP value for a consistent source vintage.</x:v>
      </x:c>
      <x:c r="L37" s="36" t="str">
        <x:v>https://www.un.org/development/desa/pd/world-population-prospects-2024</x:v>
      </x:c>
    </x:row>
    <x:row r="38">
      <x:c r="A38" s="24" t="str">
        <x:v>NET</x:v>
      </x:c>
      <x:c r="B38" s="24" t="str">
        <x:v>Netherlands</x:v>
      </x:c>
      <x:c r="C38" s="24" t="n">
        <x:v>2003</x:v>
      </x:c>
      <x:c r="D38" s="24" t="str">
        <x:v>NLD</x:v>
      </x:c>
      <x:c r="E38" s="24" t="str">
        <x:v>NLD+ABW+CUW+SXM+BES</x:v>
      </x:c>
      <x:c r="F38" s="38" t="n">
        <x:v>16856460</x:v>
      </x:c>
      <x:c r="G38" s="38" t="n">
        <x:v>16654103</x:v>
      </x:c>
      <x:c r="H38" s="37" t="n">
        <x:v>-1.2004715106256003</x:v>
      </x:c>
      <x:c r="I38" s="36" t="str">
        <x:v>no</x:v>
      </x:c>
      <x:c r="J38" s="36" t="str">
        <x:v>accepted — geographic scope aligned</x:v>
      </x:c>
      <x:c r="K38" s="36" t="str">
        <x:v>Added Aruba, Curaçao, Sint Maarten, and the Caribbean Netherlands because the game includes a Dutch Caribbean region; the 2026 total matches vanilla within two people.</x:v>
      </x:c>
      <x:c r="L38" s="36" t="str">
        <x:v>https://www.un.org/development/desa/pd/world-population-prospects-2024</x:v>
      </x:c>
    </x:row>
    <x:row r="39">
      <x:c r="A39" s="24" t="str">
        <x:v>NET</x:v>
      </x:c>
      <x:c r="B39" s="24" t="str">
        <x:v>Netherlands</x:v>
      </x:c>
      <x:c r="C39" s="24" t="n">
        <x:v>2022</x:v>
      </x:c>
      <x:c r="D39" s="24" t="str">
        <x:v>NLD</x:v>
      </x:c>
      <x:c r="E39" s="24" t="str">
        <x:v>NLD+ABW+CUW+SXM+BES</x:v>
      </x:c>
      <x:c r="F39" s="38" t="n">
        <x:v>17566765</x:v>
      </x:c>
      <x:c r="G39" s="38" t="n">
        <x:v>18268314</x:v>
      </x:c>
      <x:c r="H39" s="37" t="n">
        <x:v>3.993615216005897</x:v>
      </x:c>
      <x:c r="I39" s="36" t="str">
        <x:v>no</x:v>
      </x:c>
      <x:c r="J39" s="36" t="str">
        <x:v>accepted — geographic scope aligned</x:v>
      </x:c>
      <x:c r="K39" s="36" t="str">
        <x:v>Added Aruba, Curaçao, Sint Maarten, and the Caribbean Netherlands because the game includes a Dutch Caribbean region; the 2026 total matches vanilla within two people.</x:v>
      </x:c>
      <x:c r="L39" s="36" t="str">
        <x:v>https://www.un.org/development/desa/pd/world-population-prospects-2024</x:v>
      </x:c>
    </x:row>
    <x:row r="40">
      <x:c r="A40" s="24" t="str">
        <x:v>NET</x:v>
      </x:c>
      <x:c r="B40" s="24" t="str">
        <x:v>Netherlands</x:v>
      </x:c>
      <x:c r="C40" s="24" t="n">
        <x:v>2026</x:v>
      </x:c>
      <x:c r="D40" s="24" t="str">
        <x:v>NLD</x:v>
      </x:c>
      <x:c r="E40" s="24" t="str">
        <x:v>NLD+ABW+CUW+SXM+BES</x:v>
      </x:c>
      <x:c r="F40" s="38" t="n">
        <x:v>18818741</x:v>
      </x:c>
      <x:c r="G40" s="38" t="n">
        <x:v>18818739</x:v>
      </x:c>
      <x:c r="H40" s="37" t="n">
        <x:v>-0.000010627703517229747</x:v>
      </x:c>
      <x:c r="I40" s="36" t="str">
        <x:v>no</x:v>
      </x:c>
      <x:c r="J40" s="36" t="str">
        <x:v>accepted — geographic scope aligned</x:v>
      </x:c>
      <x:c r="K40" s="36" t="str">
        <x:v>Added Aruba, Curaçao, Sint Maarten, and the Caribbean Netherlands because the game includes a Dutch Caribbean region; the 2026 total matches vanilla within two people.</x:v>
      </x:c>
      <x:c r="L40" s="36" t="str">
        <x:v>https://www.un.org/development/desa/pd/world-population-prospects-2024</x:v>
      </x:c>
    </x:row>
    <x:row r="41">
      <x:c r="A41" s="24" t="str">
        <x:v>MKD</x:v>
      </x:c>
      <x:c r="B41" s="24" t="str">
        <x:v>North Macedonia</x:v>
      </x:c>
      <x:c r="C41" s="24" t="n">
        <x:v>2022</x:v>
      </x:c>
      <x:c r="D41" s="24" t="str">
        <x:v>MKD</x:v>
      </x:c>
      <x:c r="E41" s="24" t="str">
        <x:v>MKD</x:v>
      </x:c>
      <x:c r="F41" s="38" t="n">
        <x:v>2080860</x:v>
      </x:c>
      <x:c r="G41" s="38" t="n">
        <x:v>1840233</x:v>
      </x:c>
      <x:c r="H41" s="37" t="n">
        <x:v>-11.56382457253251</x:v>
      </x:c>
      <x:c r="I41" s="36" t="str">
        <x:v>yes — reviewed</x:v>
      </x:c>
      <x:c r="J41" s="36" t="str">
        <x:v>accepted — geographic scope aligned</x:v>
      </x:c>
      <x:c r="K41" s="36" t="str">
        <x:v>Single-country game territory and UN country/area boundary align. The difference is an updated historical estimate/projection vintage, not a geographic-scope mismatch; accept the UN WPP value for a consistent source vintage.</x:v>
      </x:c>
      <x:c r="L41" s="36" t="str">
        <x:v>https://www.un.org/development/desa/pd/world-population-prospects-2024</x:v>
      </x:c>
    </x:row>
    <x:row r="42">
      <x:c r="A42" s="24" t="str">
        <x:v>OMN</x:v>
      </x:c>
      <x:c r="B42" s="24" t="str">
        <x:v>Oman</x:v>
      </x:c>
      <x:c r="C42" s="24" t="n">
        <x:v>2022</x:v>
      </x:c>
      <x:c r="D42" s="24" t="str">
        <x:v>OMN</x:v>
      </x:c>
      <x:c r="E42" s="24" t="str">
        <x:v>OMN</x:v>
      </x:c>
      <x:c r="F42" s="38" t="n">
        <x:v>5354087</x:v>
      </x:c>
      <x:c r="G42" s="38" t="n">
        <x:v>4730226</x:v>
      </x:c>
      <x:c r="H42" s="37" t="n">
        <x:v>-11.652051974500976</x:v>
      </x:c>
      <x:c r="I42" s="36" t="str">
        <x:v>yes — reviewed</x:v>
      </x:c>
      <x:c r="J42" s="36" t="str">
        <x:v>accepted — geographic scope aligned</x:v>
      </x:c>
      <x:c r="K42" s="36" t="str">
        <x:v>Single-country game territory and UN country/area boundary align. The difference is an updated historical estimate/projection vintage, not a geographic-scope mismatch; accept the UN WPP value for a consistent source vintage.</x:v>
      </x:c>
      <x:c r="L42" s="36" t="str">
        <x:v>https://www.un.org/development/desa/pd/world-population-prospects-2024</x:v>
      </x:c>
    </x:row>
    <x:row r="43">
      <x:c r="A43" s="24" t="str">
        <x:v>PAK</x:v>
      </x:c>
      <x:c r="B43" s="24" t="str">
        <x:v>Pakistan</x:v>
      </x:c>
      <x:c r="C43" s="24" t="n">
        <x:v>2022</x:v>
      </x:c>
      <x:c r="D43" s="24" t="str">
        <x:v>PAK</x:v>
      </x:c>
      <x:c r="E43" s="24" t="str">
        <x:v>PAK</x:v>
      </x:c>
      <x:c r="F43" s="38" t="n">
        <x:v>230827901</x:v>
      </x:c>
      <x:c r="G43" s="38" t="n">
        <x:v>243700667</x:v>
      </x:c>
      <x:c r="H43" s="37" t="n">
        <x:v>5.576780772268952</x:v>
      </x:c>
      <x:c r="I43" s="36" t="str">
        <x:v>yes — reviewed</x:v>
      </x:c>
      <x:c r="J43" s="36" t="str">
        <x:v>accepted — geographic scope aligned</x:v>
      </x:c>
      <x:c r="K43" s="36" t="str">
        <x:v>Single-country game territory and UN country/area boundary align. The difference is an updated historical estimate/projection vintage, not a geographic-scope mismatch; accept the UN WPP value for a consistent source vintage.</x:v>
      </x:c>
      <x:c r="L43" s="36" t="str">
        <x:v>https://www.un.org/development/desa/pd/world-population-prospects-2024</x:v>
      </x:c>
    </x:row>
    <x:row r="44">
      <x:c r="A44" s="24" t="str">
        <x:v>PNG</x:v>
      </x:c>
      <x:c r="B44" s="24" t="str">
        <x:v>Papua New Guinea</x:v>
      </x:c>
      <x:c r="C44" s="24" t="n">
        <x:v>2022</x:v>
      </x:c>
      <x:c r="D44" s="24" t="str">
        <x:v>PNG</x:v>
      </x:c>
      <x:c r="E44" s="24" t="str">
        <x:v>PNG</x:v>
      </x:c>
      <x:c r="F44" s="38" t="n">
        <x:v>9346370</x:v>
      </x:c>
      <x:c r="G44" s="38" t="n">
        <x:v>10203169</x:v>
      </x:c>
      <x:c r="H44" s="37" t="n">
        <x:v>9.167184693094743</x:v>
      </x:c>
      <x:c r="I44" s="36" t="str">
        <x:v>yes — reviewed</x:v>
      </x:c>
      <x:c r="J44" s="36" t="str">
        <x:v>accepted — geographic scope aligned</x:v>
      </x:c>
      <x:c r="K44" s="36" t="str">
        <x:v>Single-country game territory and UN country/area boundary align. The difference is an updated historical estimate/projection vintage, not a geographic-scope mismatch; accept the UN WPP value for a consistent source vintage.</x:v>
      </x:c>
      <x:c r="L44" s="36" t="str">
        <x:v>https://www.un.org/development/desa/pd/world-population-prospects-2024</x:v>
      </x:c>
    </x:row>
    <x:row r="45">
      <x:c r="A45" s="24" t="str">
        <x:v>PRY</x:v>
      </x:c>
      <x:c r="B45" s="24" t="str">
        <x:v>Paraguay</x:v>
      </x:c>
      <x:c r="C45" s="24" t="n">
        <x:v>2022</x:v>
      </x:c>
      <x:c r="D45" s="24" t="str">
        <x:v>PRY</x:v>
      </x:c>
      <x:c r="E45" s="24" t="str">
        <x:v>PRY</x:v>
      </x:c>
      <x:c r="F45" s="38" t="n">
        <x:v>7332478</x:v>
      </x:c>
      <x:c r="G45" s="38" t="n">
        <x:v>6760464</x:v>
      </x:c>
      <x:c r="H45" s="37" t="n">
        <x:v>-7.801100801120708</x:v>
      </x:c>
      <x:c r="I45" s="36" t="str">
        <x:v>yes — reviewed</x:v>
      </x:c>
      <x:c r="J45" s="36" t="str">
        <x:v>accepted — geographic scope aligned</x:v>
      </x:c>
      <x:c r="K45" s="36" t="str">
        <x:v>Single-country game territory and UN country/area boundary align. The difference is an updated historical estimate/projection vintage, not a geographic-scope mismatch; accept the UN WPP value for a consistent source vintage.</x:v>
      </x:c>
      <x:c r="L45" s="36" t="str">
        <x:v>https://www.un.org/development/desa/pd/world-population-prospects-2024</x:v>
      </x:c>
    </x:row>
    <x:row r="46">
      <x:c r="A46" s="24" t="str">
        <x:v>PLS</x:v>
      </x:c>
      <x:c r="B46" s="24" t="str">
        <x:v>Polynesian States</x:v>
      </x:c>
      <x:c r="C46" s="24" t="n">
        <x:v>2003</x:v>
      </x:c>
      <x:c r="D46" s="24" t="str">
        <x:v>WSM+TON</x:v>
      </x:c>
      <x:c r="E46" s="24" t="str">
        <x:v>WSM+TON+TUV+COK</x:v>
      </x:c>
      <x:c r="F46" s="38" t="n">
        <x:v>314616</x:v>
      </x:c>
      <x:c r="G46" s="38" t="n">
        <x:v>314616</x:v>
      </x:c>
      <x:c r="H46" s="37" t="n">
        <x:v>0</x:v>
      </x:c>
      <x:c r="I46" s="36" t="str">
        <x:v>no</x:v>
      </x:c>
      <x:c r="J46" s="36" t="str">
        <x:v>accepted — geographic scope aligned</x:v>
      </x:c>
      <x:c r="K46" s="36" t="str">
        <x:v>Added Tuvalu and the Cook Islands. This exactly reproduces the 2003 and 2026 vanilla totals.</x:v>
      </x:c>
      <x:c r="L46" s="36" t="str">
        <x:v>https://www.un.org/development/desa/pd/world-population-prospects-2024</x:v>
      </x:c>
    </x:row>
    <x:row r="47">
      <x:c r="A47" s="24" t="str">
        <x:v>PLS</x:v>
      </x:c>
      <x:c r="B47" s="24" t="str">
        <x:v>Polynesian States</x:v>
      </x:c>
      <x:c r="C47" s="24" t="n">
        <x:v>2022</x:v>
      </x:c>
      <x:c r="D47" s="24" t="str">
        <x:v>WSM+TON</x:v>
      </x:c>
      <x:c r="E47" s="24" t="str">
        <x:v>WSM+TON+TUV+COK</x:v>
      </x:c>
      <x:c r="F47" s="38" t="n">
        <x:v>340676</x:v>
      </x:c>
      <x:c r="G47" s="38" t="n">
        <x:v>345018</x:v>
      </x:c>
      <x:c r="H47" s="37" t="n">
        <x:v>1.2745247684016414</x:v>
      </x:c>
      <x:c r="I47" s="36" t="str">
        <x:v>no</x:v>
      </x:c>
      <x:c r="J47" s="36" t="str">
        <x:v>accepted — geographic scope aligned</x:v>
      </x:c>
      <x:c r="K47" s="36" t="str">
        <x:v>Added Tuvalu and the Cook Islands. This exactly reproduces the 2003 and 2026 vanilla totals.</x:v>
      </x:c>
      <x:c r="L47" s="36" t="str">
        <x:v>https://www.un.org/development/desa/pd/world-population-prospects-2024</x:v>
      </x:c>
    </x:row>
    <x:row r="48">
      <x:c r="A48" s="24" t="str">
        <x:v>PLS</x:v>
      </x:c>
      <x:c r="B48" s="24" t="str">
        <x:v>Polynesian States</x:v>
      </x:c>
      <x:c r="C48" s="24" t="n">
        <x:v>2026</x:v>
      </x:c>
      <x:c r="D48" s="24" t="str">
        <x:v>WSM+TON</x:v>
      </x:c>
      <x:c r="E48" s="24" t="str">
        <x:v>WSM+TON+TUV+COK</x:v>
      </x:c>
      <x:c r="F48" s="38" t="n">
        <x:v>346007</x:v>
      </x:c>
      <x:c r="G48" s="38" t="n">
        <x:v>346007</x:v>
      </x:c>
      <x:c r="H48" s="37" t="n">
        <x:v>0</x:v>
      </x:c>
      <x:c r="I48" s="36" t="str">
        <x:v>no</x:v>
      </x:c>
      <x:c r="J48" s="36" t="str">
        <x:v>accepted — geographic scope aligned</x:v>
      </x:c>
      <x:c r="K48" s="36" t="str">
        <x:v>Added Tuvalu and the Cook Islands. This exactly reproduces the 2003 and 2026 vanilla totals.</x:v>
      </x:c>
      <x:c r="L48" s="36" t="str">
        <x:v>https://www.un.org/development/desa/pd/world-population-prospects-2024</x:v>
      </x:c>
    </x:row>
    <x:row r="49">
      <x:c r="A49" s="24" t="str">
        <x:v>SAU</x:v>
      </x:c>
      <x:c r="B49" s="24" t="str">
        <x:v>Saudi Arabia</x:v>
      </x:c>
      <x:c r="C49" s="24" t="n">
        <x:v>2022</x:v>
      </x:c>
      <x:c r="D49" s="24" t="str">
        <x:v>SAU</x:v>
      </x:c>
      <x:c r="E49" s="24" t="str">
        <x:v>SAU</x:v>
      </x:c>
      <x:c r="F49" s="38" t="n">
        <x:v>36000289</x:v>
      </x:c>
      <x:c r="G49" s="38" t="n">
        <x:v>32175352</x:v>
      </x:c>
      <x:c r="H49" s="37" t="n">
        <x:v>-10.624739706950681</x:v>
      </x:c>
      <x:c r="I49" s="36" t="str">
        <x:v>yes — reviewed</x:v>
      </x:c>
      <x:c r="J49" s="36" t="str">
        <x:v>accepted — geographic scope aligned</x:v>
      </x:c>
      <x:c r="K49" s="36" t="str">
        <x:v>Single-country game territory and UN country/area boundary align. The difference is an updated historical estimate/projection vintage, not a geographic-scope mismatch; accept the UN WPP value for a consistent source vintage.</x:v>
      </x:c>
      <x:c r="L49" s="36" t="str">
        <x:v>https://www.un.org/development/desa/pd/world-population-prospects-2024</x:v>
      </x:c>
    </x:row>
    <x:row r="50">
      <x:c r="A50" s="24" t="str">
        <x:v>SYC</x:v>
      </x:c>
      <x:c r="B50" s="24" t="str">
        <x:v>Seychelles</x:v>
      </x:c>
      <x:c r="C50" s="24" t="n">
        <x:v>2022</x:v>
      </x:c>
      <x:c r="D50" s="24" t="str">
        <x:v>SYC</x:v>
      </x:c>
      <x:c r="E50" s="24" t="str">
        <x:v>SYC</x:v>
      </x:c>
      <x:c r="F50" s="38" t="n">
        <x:v>99613</x:v>
      </x:c>
      <x:c r="G50" s="38" t="n">
        <x:v>125522</x:v>
      </x:c>
      <x:c r="H50" s="37" t="n">
        <x:v>26.00965737403753</x:v>
      </x:c>
      <x:c r="I50" s="36" t="str">
        <x:v>yes — reviewed</x:v>
      </x:c>
      <x:c r="J50" s="36" t="str">
        <x:v>accepted — geographic scope aligned</x:v>
      </x:c>
      <x:c r="K50" s="36" t="str">
        <x:v>Single-country game territory and UN country/area boundary align. The difference is an updated historical estimate/projection vintage, not a geographic-scope mismatch; accept the UN WPP value for a consistent source vintage.</x:v>
      </x:c>
      <x:c r="L50" s="36" t="str">
        <x:v>https://www.un.org/development/desa/pd/world-population-prospects-2024</x:v>
      </x:c>
    </x:row>
    <x:row r="51">
      <x:c r="A51" s="24" t="str">
        <x:v>SGP</x:v>
      </x:c>
      <x:c r="B51" s="24" t="str">
        <x:v>Singapore</x:v>
      </x:c>
      <x:c r="C51" s="24" t="n">
        <x:v>2022</x:v>
      </x:c>
      <x:c r="D51" s="24" t="str">
        <x:v>SGP</x:v>
      </x:c>
      <x:c r="E51" s="24" t="str">
        <x:v>SGP</x:v>
      </x:c>
      <x:c r="F51" s="38" t="n">
        <x:v>5957872</x:v>
      </x:c>
      <x:c r="G51" s="38" t="n">
        <x:v>5649885</x:v>
      </x:c>
      <x:c r="H51" s="37" t="n">
        <x:v>-5.169412837335208</x:v>
      </x:c>
      <x:c r="I51" s="36" t="str">
        <x:v>yes — reviewed</x:v>
      </x:c>
      <x:c r="J51" s="36" t="str">
        <x:v>accepted — geographic scope aligned</x:v>
      </x:c>
      <x:c r="K51" s="36" t="str">
        <x:v>Single-country game territory and UN country/area boundary align. The difference is an updated historical estimate/projection vintage, not a geographic-scope mismatch; accept the UN WPP value for a consistent source vintage.</x:v>
      </x:c>
      <x:c r="L51" s="36" t="str">
        <x:v>https://www.un.org/development/desa/pd/world-population-prospects-2024</x:v>
      </x:c>
    </x:row>
    <x:row r="52">
      <x:c r="A52" s="24" t="str">
        <x:v>SOM</x:v>
      </x:c>
      <x:c r="B52" s="24" t="str">
        <x:v>Somalia</x:v>
      </x:c>
      <x:c r="C52" s="24" t="n">
        <x:v>2003</x:v>
      </x:c>
      <x:c r="D52" s="24" t="str">
        <x:v>SOM</x:v>
      </x:c>
      <x:c r="E52" s="24" t="str">
        <x:v>SOM × 0.744000</x:v>
      </x:c>
      <x:c r="F52" s="38" t="n">
        <x:v>7372413</x:v>
      </x:c>
      <x:c r="G52" s="38" t="n">
        <x:v>7372413</x:v>
      </x:c>
      <x:c r="H52" s="37" t="n">
        <x:v>0</x:v>
      </x:c>
      <x:c r="I52" s="36" t="str">
        <x:v>no</x:v>
      </x:c>
      <x:c r="J52" s="36" t="str">
        <x:v>accepted — geographic scope aligned</x:v>
      </x:c>
      <x:c r="K52" s="36" t="str">
        <x:v>The UN/World Bank Somalia total includes Somaliland. Partition the same full-territory total between the two game countries using their vanilla regional shares, preventing both omission and double counting.</x:v>
      </x:c>
      <x:c r="L52" s="36" t="str">
        <x:v>https://www.un.org/development/desa/pd/world-population-prospects-2024</x:v>
      </x:c>
    </x:row>
    <x:row r="53">
      <x:c r="A53" s="24" t="str">
        <x:v>SOM</x:v>
      </x:c>
      <x:c r="B53" s="24" t="str">
        <x:v>Somalia</x:v>
      </x:c>
      <x:c r="C53" s="24" t="n">
        <x:v>2022</x:v>
      </x:c>
      <x:c r="D53" s="24" t="str">
        <x:v>SOM</x:v>
      </x:c>
      <x:c r="E53" s="24" t="str">
        <x:v>SOM × 0.743622</x:v>
      </x:c>
      <x:c r="F53" s="38" t="n">
        <x:v>12637569</x:v>
      </x:c>
      <x:c r="G53" s="38" t="n">
        <x:v>13237883</x:v>
      </x:c>
      <x:c r="H53" s="37" t="n">
        <x:v>4.750234677306264</x:v>
      </x:c>
      <x:c r="I53" s="36" t="str">
        <x:v>no</x:v>
      </x:c>
      <x:c r="J53" s="36" t="str">
        <x:v>accepted — geographic scope aligned</x:v>
      </x:c>
      <x:c r="K53" s="36" t="str">
        <x:v>The UN/World Bank Somalia total includes Somaliland. Partition the same full-territory total between the two game countries using their vanilla regional shares, preventing both omission and double counting.</x:v>
      </x:c>
      <x:c r="L53" s="36" t="str">
        <x:v>https://www.un.org/development/desa/pd/world-population-prospects-2024</x:v>
      </x:c>
    </x:row>
    <x:row r="54">
      <x:c r="A54" s="24" t="str">
        <x:v>SOM</x:v>
      </x:c>
      <x:c r="B54" s="24" t="str">
        <x:v>Somalia</x:v>
      </x:c>
      <x:c r="C54" s="24" t="n">
        <x:v>2026</x:v>
      </x:c>
      <x:c r="D54" s="24" t="str">
        <x:v>SOM</x:v>
      </x:c>
      <x:c r="E54" s="24" t="str">
        <x:v>SOM × 0.690000</x:v>
      </x:c>
      <x:c r="F54" s="38" t="n">
        <x:v>14011076</x:v>
      </x:c>
      <x:c r="G54" s="38" t="n">
        <x:v>14011076</x:v>
      </x:c>
      <x:c r="H54" s="37" t="n">
        <x:v>0</x:v>
      </x:c>
      <x:c r="I54" s="36" t="str">
        <x:v>no</x:v>
      </x:c>
      <x:c r="J54" s="36" t="str">
        <x:v>accepted — geographic scope aligned</x:v>
      </x:c>
      <x:c r="K54" s="36" t="str">
        <x:v>The UN/World Bank Somalia total includes Somaliland. Partition the same full-territory total between the two game countries using their vanilla regional shares, preventing both omission and double counting.</x:v>
      </x:c>
      <x:c r="L54" s="36" t="str">
        <x:v>https://www.un.org/development/desa/pd/world-population-prospects-2024</x:v>
      </x:c>
    </x:row>
    <x:row r="55">
      <x:c r="A55" s="24" t="str">
        <x:v>SOL</x:v>
      </x:c>
      <x:c r="B55" s="24" t="str">
        <x:v>Somaliland</x:v>
      </x:c>
      <x:c r="C55" s="24" t="n">
        <x:v>2022</x:v>
      </x:c>
      <x:c r="D55" s="24" t="str"/>
      <x:c r="E55" s="24" t="str">
        <x:v>SOM × 0.256378</x:v>
      </x:c>
      <x:c r="F55" s="38" t="n">
        <x:v>4357044</x:v>
      </x:c>
      <x:c r="G55" s="38" t="n">
        <x:v>4564014</x:v>
      </x:c>
      <x:c r="H55" s="37" t="n">
        <x:v>4.750234677306264</x:v>
      </x:c>
      <x:c r="I55" s="36" t="str">
        <x:v>no</x:v>
      </x:c>
      <x:c r="J55" s="36" t="str">
        <x:v>accepted — geographic scope aligned</x:v>
      </x:c>
      <x:c r="K55" s="36" t="str">
        <x:v>The UN/World Bank Somalia total includes Somaliland. Partition the same full-territory total between the two game countries using their vanilla regional shares, preventing both omission and double counting.</x:v>
      </x:c>
      <x:c r="L55" s="36" t="str">
        <x:v>https://www.un.org/development/desa/pd/world-population-prospects-2024</x:v>
      </x:c>
    </x:row>
    <x:row r="56">
      <x:c r="A56" s="24" t="str">
        <x:v>SOL</x:v>
      </x:c>
      <x:c r="B56" s="24" t="str">
        <x:v>Somaliland</x:v>
      </x:c>
      <x:c r="C56" s="24" t="n">
        <x:v>2026</x:v>
      </x:c>
      <x:c r="D56" s="24" t="str"/>
      <x:c r="E56" s="24" t="str">
        <x:v>SOM × 0.310000</x:v>
      </x:c>
      <x:c r="F56" s="38" t="n">
        <x:v>6294831</x:v>
      </x:c>
      <x:c r="G56" s="38" t="n">
        <x:v>6294831</x:v>
      </x:c>
      <x:c r="H56" s="37" t="n">
        <x:v>0</x:v>
      </x:c>
      <x:c r="I56" s="36" t="str">
        <x:v>no</x:v>
      </x:c>
      <x:c r="J56" s="36" t="str">
        <x:v>accepted — geographic scope aligned</x:v>
      </x:c>
      <x:c r="K56" s="36" t="str">
        <x:v>The UN/World Bank Somalia total includes Somaliland. Partition the same full-territory total between the two game countries using their vanilla regional shares, preventing both omission and double counting.</x:v>
      </x:c>
      <x:c r="L56" s="36" t="str">
        <x:v>https://www.un.org/development/desa/pd/world-population-prospects-2024</x:v>
      </x:c>
    </x:row>
    <x:row r="57">
      <x:c r="A57" s="24" t="str">
        <x:v>ZAF</x:v>
      </x:c>
      <x:c r="B57" s="24" t="str">
        <x:v>South Africa</x:v>
      </x:c>
      <x:c r="C57" s="24" t="n">
        <x:v>2003</x:v>
      </x:c>
      <x:c r="D57" s="24" t="str">
        <x:v>ZAF</x:v>
      </x:c>
      <x:c r="E57" s="24" t="str">
        <x:v>ZAF</x:v>
      </x:c>
      <x:c r="F57" s="38" t="n">
        <x:v>51552107</x:v>
      </x:c>
      <x:c r="G57" s="38" t="n">
        <x:v>48500348</x:v>
      </x:c>
      <x:c r="H57" s="37" t="n">
        <x:v>-5.9197561023063505</x:v>
      </x:c>
      <x:c r="I57" s="36" t="str">
        <x:v>yes — reviewed</x:v>
      </x:c>
      <x:c r="J57" s="36" t="str">
        <x:v>accepted — geographic scope aligned</x:v>
      </x:c>
      <x:c r="K57" s="36" t="str">
        <x:v>Single-country game territory and UN country/area boundary align. The difference is an updated historical estimate/projection vintage, not a geographic-scope mismatch; accept the UN WPP value for a consistent source vintage.</x:v>
      </x:c>
      <x:c r="L57" s="36" t="str">
        <x:v>https://www.un.org/development/desa/pd/world-population-prospects-2024</x:v>
      </x:c>
    </x:row>
    <x:row r="58">
      <x:c r="A58" s="24" t="str">
        <x:v>ZAF</x:v>
      </x:c>
      <x:c r="B58" s="24" t="str">
        <x:v>South Africa</x:v>
      </x:c>
      <x:c r="C58" s="24" t="n">
        <x:v>2026</x:v>
      </x:c>
      <x:c r="D58" s="24" t="str">
        <x:v>ZAF</x:v>
      </x:c>
      <x:c r="E58" s="24" t="str">
        <x:v>ZAF</x:v>
      </x:c>
      <x:c r="F58" s="38" t="n">
        <x:v>69112279</x:v>
      </x:c>
      <x:c r="G58" s="38" t="n">
        <x:v>65453084</x:v>
      </x:c>
      <x:c r="H58" s="37" t="n">
        <x:v>-5.294565673344387</x:v>
      </x:c>
      <x:c r="I58" s="36" t="str">
        <x:v>yes — reviewed</x:v>
      </x:c>
      <x:c r="J58" s="36" t="str">
        <x:v>accepted — geographic scope aligned</x:v>
      </x:c>
      <x:c r="K58" s="36" t="str">
        <x:v>Single-country game territory and UN country/area boundary align. The difference is an updated historical estimate/projection vintage, not a geographic-scope mismatch; accept the UN WPP value for a consistent source vintage.</x:v>
      </x:c>
      <x:c r="L58" s="36" t="str">
        <x:v>https://www.un.org/development/desa/pd/world-population-prospects-2024</x:v>
      </x:c>
    </x:row>
    <x:row r="59">
      <x:c r="A59" s="24" t="str">
        <x:v>SSD</x:v>
      </x:c>
      <x:c r="B59" s="24" t="str">
        <x:v>South Sudan</x:v>
      </x:c>
      <x:c r="C59" s="24" t="n">
        <x:v>2022</x:v>
      </x:c>
      <x:c r="D59" s="24" t="str">
        <x:v>SSD</x:v>
      </x:c>
      <x:c r="E59" s="24" t="str">
        <x:v>SSD</x:v>
      </x:c>
      <x:c r="F59" s="38" t="n">
        <x:v>11695668</x:v>
      </x:c>
      <x:c r="G59" s="38" t="n">
        <x:v>11021177</x:v>
      </x:c>
      <x:c r="H59" s="37" t="n">
        <x:v>-5.767015616380355</x:v>
      </x:c>
      <x:c r="I59" s="36" t="str">
        <x:v>yes — reviewed</x:v>
      </x:c>
      <x:c r="J59" s="36" t="str">
        <x:v>accepted — geographic scope aligned</x:v>
      </x:c>
      <x:c r="K59" s="36" t="str">
        <x:v>Single-country game territory and UN country/area boundary align. The difference is an updated historical estimate/projection vintage, not a geographic-scope mismatch; accept the UN WPP value for a consistent source vintage.</x:v>
      </x:c>
      <x:c r="L59" s="36" t="str">
        <x:v>https://www.un.org/development/desa/pd/world-population-prospects-2024</x:v>
      </x:c>
    </x:row>
    <x:row r="60">
      <x:c r="A60" s="24" t="str">
        <x:v>LKA</x:v>
      </x:c>
      <x:c r="B60" s="24" t="str">
        <x:v>Sri Lanka</x:v>
      </x:c>
      <x:c r="C60" s="24" t="n">
        <x:v>2022</x:v>
      </x:c>
      <x:c r="D60" s="24" t="str">
        <x:v>LKA</x:v>
      </x:c>
      <x:c r="E60" s="24" t="str">
        <x:v>LKA</x:v>
      </x:c>
      <x:c r="F60" s="38" t="n">
        <x:v>21600347</x:v>
      </x:c>
      <x:c r="G60" s="38" t="n">
        <x:v>22834965</x:v>
      </x:c>
      <x:c r="H60" s="37" t="n">
        <x:v>5.7157322518939235</x:v>
      </x:c>
      <x:c r="I60" s="36" t="str">
        <x:v>yes — reviewed</x:v>
      </x:c>
      <x:c r="J60" s="36" t="str">
        <x:v>accepted — geographic scope aligned</x:v>
      </x:c>
      <x:c r="K60" s="36" t="str">
        <x:v>Single-country game territory and UN country/area boundary align. The difference is an updated historical estimate/projection vintage, not a geographic-scope mismatch; accept the UN WPP value for a consistent source vintage.</x:v>
      </x:c>
      <x:c r="L60" s="36" t="str">
        <x:v>https://www.un.org/development/desa/pd/world-population-prospects-2024</x:v>
      </x:c>
    </x:row>
    <x:row r="61">
      <x:c r="A61" s="24" t="str">
        <x:v>SDN</x:v>
      </x:c>
      <x:c r="B61" s="24" t="str">
        <x:v>Sudan</x:v>
      </x:c>
      <x:c r="C61" s="24" t="n">
        <x:v>2022</x:v>
      </x:c>
      <x:c r="D61" s="24" t="str">
        <x:v>SDN</x:v>
      </x:c>
      <x:c r="E61" s="24" t="str">
        <x:v>SDN</x:v>
      </x:c>
      <x:c r="F61" s="38" t="n">
        <x:v>46333401</x:v>
      </x:c>
      <x:c r="G61" s="38" t="n">
        <x:v>49383346</x:v>
      </x:c>
      <x:c r="H61" s="37" t="n">
        <x:v>6.58260549446823</x:v>
      </x:c>
      <x:c r="I61" s="36" t="str">
        <x:v>yes — reviewed</x:v>
      </x:c>
      <x:c r="J61" s="36" t="str">
        <x:v>accepted — geographic scope aligned</x:v>
      </x:c>
      <x:c r="K61" s="36" t="str">
        <x:v>Single-country game territory and UN country/area boundary align. The difference is an updated historical estimate/projection vintage, not a geographic-scope mismatch; accept the UN WPP value for a consistent source vintage.</x:v>
      </x:c>
      <x:c r="L61" s="36" t="str">
        <x:v>https://www.un.org/development/desa/pd/world-population-prospects-2024</x:v>
      </x:c>
    </x:row>
    <x:row r="62">
      <x:c r="A62" s="24" t="str">
        <x:v>SYR</x:v>
      </x:c>
      <x:c r="B62" s="24" t="str">
        <x:v>Syria</x:v>
      </x:c>
      <x:c r="C62" s="24" t="n">
        <x:v>2022</x:v>
      </x:c>
      <x:c r="D62" s="24" t="str">
        <x:v>SYR</x:v>
      </x:c>
      <x:c r="E62" s="24" t="str">
        <x:v>SYR</x:v>
      </x:c>
      <x:c r="F62" s="38" t="n">
        <x:v>19767125</x:v>
      </x:c>
      <x:c r="G62" s="38" t="n">
        <x:v>22462173</x:v>
      </x:c>
      <x:c r="H62" s="37" t="n">
        <x:v>13.633990780146332</x:v>
      </x:c>
      <x:c r="I62" s="36" t="str">
        <x:v>yes — reviewed</x:v>
      </x:c>
      <x:c r="J62" s="36" t="str">
        <x:v>accepted — geographic scope aligned</x:v>
      </x:c>
      <x:c r="K62" s="36" t="str">
        <x:v>Single-country game territory and UN country/area boundary align. The difference is an updated historical estimate/projection vintage, not a geographic-scope mismatch; accept the UN WPP value for a consistent source vintage.</x:v>
      </x:c>
      <x:c r="L62" s="36" t="str">
        <x:v>https://www.un.org/development/desa/pd/world-population-prospects-2024</x:v>
      </x:c>
    </x:row>
    <x:row r="63">
      <x:c r="A63" s="24" t="str">
        <x:v>TKM</x:v>
      </x:c>
      <x:c r="B63" s="24" t="str">
        <x:v>Turkmenistan</x:v>
      </x:c>
      <x:c r="C63" s="24" t="n">
        <x:v>2022</x:v>
      </x:c>
      <x:c r="D63" s="24" t="str">
        <x:v>TKM</x:v>
      </x:c>
      <x:c r="E63" s="24" t="str">
        <x:v>TKM</x:v>
      </x:c>
      <x:c r="F63" s="38" t="n">
        <x:v>6228007</x:v>
      </x:c>
      <x:c r="G63" s="38" t="n">
        <x:v>7230193</x:v>
      </x:c>
      <x:c r="H63" s="37" t="n">
        <x:v>16.091600410853736</x:v>
      </x:c>
      <x:c r="I63" s="36" t="str">
        <x:v>yes — reviewed</x:v>
      </x:c>
      <x:c r="J63" s="36" t="str">
        <x:v>accepted — geographic scope aligned</x:v>
      </x:c>
      <x:c r="K63" s="36" t="str">
        <x:v>Single-country game territory and UN country/area boundary align. The difference is an updated historical estimate/projection vintage, not a geographic-scope mismatch; accept the UN WPP value for a consistent source vintage.</x:v>
      </x:c>
      <x:c r="L63" s="36" t="str">
        <x:v>https://www.un.org/development/desa/pd/world-population-prospects-2024</x:v>
      </x:c>
    </x:row>
    <x:row r="64">
      <x:c r="A64" s="24" t="str">
        <x:v>GBR</x:v>
      </x:c>
      <x:c r="B64" s="24" t="str">
        <x:v>United Kingdom</x:v>
      </x:c>
      <x:c r="C64" s="24" t="n">
        <x:v>2003</x:v>
      </x:c>
      <x:c r="D64" s="24" t="str">
        <x:v>GBR+JEY+IMN</x:v>
      </x:c>
      <x:c r="E64" s="24" t="str">
        <x:v>GBR+JEY+IMN+AIA+BMU+CYM+MSR+TCA+VGB</x:v>
      </x:c>
      <x:c r="F64" s="38" t="n">
        <x:v>59820384</x:v>
      </x:c>
      <x:c r="G64" s="38" t="n">
        <x:v>60155258</x:v>
      </x:c>
      <x:c r="H64" s="37" t="n">
        <x:v>0.5597991480629672</x:v>
      </x:c>
      <x:c r="I64" s="36" t="str">
        <x:v>no</x:v>
      </x:c>
      <x:c r="J64" s="36" t="str">
        <x:v>accepted — geographic scope aligned</x:v>
      </x:c>
      <x:c r="K64" s="36" t="str">
        <x:v>Added the populated territories represented by the British West Indies region, while retaining Jersey and the Isle of Man from the game ISO list.</x:v>
      </x:c>
      <x:c r="L64" s="36" t="str">
        <x:v>https://www.un.org/development/desa/pd/world-population-prospects-2024</x:v>
      </x:c>
    </x:row>
    <x:row r="65">
      <x:c r="A65" s="24" t="str">
        <x:v>GBR</x:v>
      </x:c>
      <x:c r="B65" s="24" t="str">
        <x:v>United Kingdom</x:v>
      </x:c>
      <x:c r="C65" s="24" t="n">
        <x:v>2022</x:v>
      </x:c>
      <x:c r="D65" s="24" t="str">
        <x:v>GBR+JEY+IMN</x:v>
      </x:c>
      <x:c r="E65" s="24" t="str">
        <x:v>GBR+JEY+IMN+AIA+BMU+CYM+MSR+TCA+VGB</x:v>
      </x:c>
      <x:c r="F65" s="38" t="n">
        <x:v>68586015</x:v>
      </x:c>
      <x:c r="G65" s="38" t="n">
        <x:v>68606076</x:v>
      </x:c>
      <x:c r="H65" s="37" t="n">
        <x:v>0.029249403103537297</x:v>
      </x:c>
      <x:c r="I65" s="36" t="str">
        <x:v>no</x:v>
      </x:c>
      <x:c r="J65" s="36" t="str">
        <x:v>accepted — geographic scope aligned</x:v>
      </x:c>
      <x:c r="K65" s="36" t="str">
        <x:v>Added the populated territories represented by the British West Indies region, while retaining Jersey and the Isle of Man from the game ISO list.</x:v>
      </x:c>
      <x:c r="L65" s="36" t="str">
        <x:v>https://www.un.org/development/desa/pd/world-population-prospects-2024</x:v>
      </x:c>
    </x:row>
    <x:row r="66">
      <x:c r="A66" s="24" t="str">
        <x:v>GBR</x:v>
      </x:c>
      <x:c r="B66" s="24" t="str">
        <x:v>United Kingdom</x:v>
      </x:c>
      <x:c r="C66" s="24" t="n">
        <x:v>2026</x:v>
      </x:c>
      <x:c r="D66" s="24" t="str">
        <x:v>GBR+JEY+IMN</x:v>
      </x:c>
      <x:c r="E66" s="24" t="str">
        <x:v>GBR+JEY+IMN+AIA+BMU+CYM+MSR+TCA+VGB</x:v>
      </x:c>
      <x:c r="F66" s="38" t="n">
        <x:v>69931528</x:v>
      </x:c>
      <x:c r="G66" s="38" t="n">
        <x:v>70367573</x:v>
      </x:c>
      <x:c r="H66" s="37" t="n">
        <x:v>0.6235313491219641</x:v>
      </x:c>
      <x:c r="I66" s="36" t="str">
        <x:v>no</x:v>
      </x:c>
      <x:c r="J66" s="36" t="str">
        <x:v>accepted — geographic scope aligned</x:v>
      </x:c>
      <x:c r="K66" s="36" t="str">
        <x:v>Added the populated territories represented by the British West Indies region, while retaining Jersey and the Isle of Man from the game ISO list.</x:v>
      </x:c>
      <x:c r="L66" s="36" t="str">
        <x:v>https://www.un.org/development/desa/pd/world-population-prospects-2024</x:v>
      </x:c>
    </x:row>
    <x:row r="67">
      <x:c r="A67" s="24" t="str">
        <x:v>USA</x:v>
      </x:c>
      <x:c r="B67" s="24" t="str">
        <x:v>United States of America</x:v>
      </x:c>
      <x:c r="C67" s="24" t="n">
        <x:v>2003</x:v>
      </x:c>
      <x:c r="D67" s="24" t="str">
        <x:v>USA+PRI</x:v>
      </x:c>
      <x:c r="E67" s="24" t="str">
        <x:v>USA+PRI+VIR+GUM+ASM+MNP</x:v>
      </x:c>
      <x:c r="F67" s="38" t="n">
        <x:v>289908101</x:v>
      </x:c>
      <x:c r="G67" s="38" t="n">
        <x:v>294107842</x:v>
      </x:c>
      <x:c r="H67" s="37" t="n">
        <x:v>1.4486456175296647</x:v>
      </x:c>
      <x:c r="I67" s="36" t="str">
        <x:v>no</x:v>
      </x:c>
      <x:c r="J67" s="36" t="str">
        <x:v>accepted — geographic scope aligned</x:v>
      </x:c>
      <x:c r="K67" s="36" t="str">
        <x:v>Added Puerto Rico, the US Virgin Islands, Guam, American Samoa, and the Northern Mariana Islands represented by the American Caribbean and Pacific regions.</x:v>
      </x:c>
      <x:c r="L67" s="36" t="str">
        <x:v>https://www.un.org/development/desa/pd/world-population-prospects-2024</x:v>
      </x:c>
    </x:row>
    <x:row r="68">
      <x:c r="A68" s="24" t="str">
        <x:v>USA</x:v>
      </x:c>
      <x:c r="B68" s="24" t="str">
        <x:v>United States of America</x:v>
      </x:c>
      <x:c r="C68" s="24" t="n">
        <x:v>2022</x:v>
      </x:c>
      <x:c r="D68" s="24" t="str">
        <x:v>USA+PRI</x:v>
      </x:c>
      <x:c r="E68" s="24" t="str">
        <x:v>USA+PRI+VIR+GUM+ASM+MNP</x:v>
      </x:c>
      <x:c r="F68" s="38" t="n">
        <x:v>335386250</x:v>
      </x:c>
      <x:c r="G68" s="38" t="n">
        <x:v>345121121</x:v>
      </x:c>
      <x:c r="H68" s="37" t="n">
        <x:v>2.902585004602898</x:v>
      </x:c>
      <x:c r="I68" s="36" t="str">
        <x:v>no</x:v>
      </x:c>
      <x:c r="J68" s="36" t="str">
        <x:v>accepted — geographic scope aligned</x:v>
      </x:c>
      <x:c r="K68" s="36" t="str">
        <x:v>Added Puerto Rico, the US Virgin Islands, Guam, American Samoa, and the Northern Mariana Islands represented by the American Caribbean and Pacific regions.</x:v>
      </x:c>
      <x:c r="L68" s="36" t="str">
        <x:v>https://www.un.org/development/desa/pd/world-population-prospects-2024</x:v>
      </x:c>
    </x:row>
    <x:row r="69">
      <x:c r="A69" s="24" t="str">
        <x:v>USA</x:v>
      </x:c>
      <x:c r="B69" s="24" t="str">
        <x:v>United States of America</x:v>
      </x:c>
      <x:c r="C69" s="24" t="n">
        <x:v>2026</x:v>
      </x:c>
      <x:c r="D69" s="24" t="str">
        <x:v>USA+PRI</x:v>
      </x:c>
      <x:c r="E69" s="24" t="str">
        <x:v>USA+PRI+VIR+GUM+ASM+MNP</x:v>
      </x:c>
      <x:c r="F69" s="38" t="n">
        <x:v>349035493</x:v>
      </x:c>
      <x:c r="G69" s="38" t="n">
        <x:v>352600000</x:v>
      </x:c>
      <x:c r="H69" s="37" t="n">
        <x:v>1.0212448508782446</x:v>
      </x:c>
      <x:c r="I69" s="36" t="str">
        <x:v>no</x:v>
      </x:c>
      <x:c r="J69" s="36" t="str">
        <x:v>accepted — geographic scope aligned</x:v>
      </x:c>
      <x:c r="K69" s="36" t="str">
        <x:v>Added Puerto Rico, the US Virgin Islands, Guam, American Samoa, and the Northern Mariana Islands represented by the American Caribbean and Pacific regions.</x:v>
      </x:c>
      <x:c r="L69" s="36" t="str">
        <x:v>https://www.un.org/development/desa/pd/world-population-prospects-2024</x:v>
      </x:c>
    </x:row>
    <x:row r="70">
      <x:c r="A70" s="24" t="str">
        <x:v>YEM</x:v>
      </x:c>
      <x:c r="B70" s="24" t="str">
        <x:v>Yemen</x:v>
      </x:c>
      <x:c r="C70" s="24" t="n">
        <x:v>2022</x:v>
      </x:c>
      <x:c r="D70" s="24" t="str">
        <x:v>YEM</x:v>
      </x:c>
      <x:c r="E70" s="24" t="str">
        <x:v>YEM</x:v>
      </x:c>
      <x:c r="F70" s="38" t="n">
        <x:v>31363725</x:v>
      </x:c>
      <x:c r="G70" s="38" t="n">
        <x:v>38222876</x:v>
      </x:c>
      <x:c r="H70" s="37" t="n">
        <x:v>21.86969500593441</x:v>
      </x:c>
      <x:c r="I70" s="36" t="str">
        <x:v>yes — reviewed</x:v>
      </x:c>
      <x:c r="J70" s="36" t="str">
        <x:v>accepted — geographic scope aligned</x:v>
      </x:c>
      <x:c r="K70" s="36" t="str">
        <x:v>Full territorial Yemen is represented by the Yemen and Aden regions. Use the UN WPP full-area estimate; reject the much lower IMF WEO population series because it reflects a jurisdiction/reporting scope that does not match the game territory.</x:v>
      </x:c>
      <x:c r="L70" s="36" t="str">
        <x:v>https://www.un.org/development/desa/pd/world-population-prospects-2024</x:v>
      </x:c>
    </x:row>
  </x:sheetData>
  <x:mergeCells>
    <x:mergeCell ref="A1:L1"/>
    <x:mergeCell ref="A2:L2"/>
  </x:mergeCells>
  <x:conditionalFormatting sqref="H4:H70">
    <x:cfRule type="expression" dxfId="2" priority="1">
      <x:formula>ABS(H4)&gt;5</x:formula>
    </x:cfRule>
  </x:conditionalFormatting>
  <x:pageMargins left="0.7" right="0.7" top="0.75" bottom="0.75" header="0.3" footer="0.3"/>
  <x:tableParts count="1">
    <x:tablePart xmlns:r="http://schemas.openxmlformats.org/officeDocument/2006/relationships" r:id="R0cbff164ec0644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70" hidden="0" customWidth="1"/>
    <x:col min="9" max="9" width="60" hidden="0" customWidth="1"/>
    <x:col min="10" max="10" width="24" hidden="0" customWidth="1"/>
  </x:cols>
  <x:sheetData>
    <x:row r="1">
      <x:c r="A1" s="3" t="str">
        <x:v>Secondary-source and inferred component values</x:v>
      </x:c>
      <x:c r="B1" s="3"/>
      <x:c r="C1" s="3"/>
      <x:c r="D1" s="3"/>
      <x:c r="E1" s="3"/>
      <x:c r="F1" s="3"/>
      <x:c r="G1" s="3"/>
      <x:c r="H1" s="3"/>
      <x:c r="I1" s="3"/>
      <x:c r="J1" s="3"/>
    </x:row>
    <x:row r="2">
      <x:c r="A2" s="33" t="str">
        <x:v>Every component not supplied by an exact IMF target-year observation is listed here.</x:v>
      </x:c>
      <x:c r="B2" s="33"/>
      <x:c r="C2" s="33"/>
      <x:c r="D2" s="33"/>
      <x:c r="E2" s="33"/>
      <x:c r="F2" s="33"/>
      <x:c r="G2" s="33"/>
      <x:c r="H2" s="33"/>
      <x:c r="I2" s="33"/>
      <x:c r="J2" s="33"/>
    </x:row>
    <x:row r="3" ht="36" customHeight="1">
      <x:c r="A3" s="12" t="str">
        <x:v>country id</x:v>
      </x:c>
      <x:c r="B3" s="13" t="str">
        <x:v>country</x:v>
      </x:c>
      <x:c r="C3" s="13" t="str">
        <x:v>year</x:v>
      </x:c>
      <x:c r="D3" s="13" t="str">
        <x:v>ISO component</x:v>
      </x:c>
      <x:c r="E3" s="13" t="str">
        <x:v>measure</x:v>
      </x:c>
      <x:c r="F3" s="13" t="str">
        <x:v>filled value</x:v>
      </x:c>
      <x:c r="G3" s="13" t="str">
        <x:v>units</x:v>
      </x:c>
      <x:c r="H3" s="13" t="str">
        <x:v>method</x:v>
      </x:c>
      <x:c r="I3" s="13" t="str">
        <x:v>source URL</x:v>
      </x:c>
      <x:c r="J3" s="14" t="str">
        <x:v>review flag</x:v>
      </x:c>
    </x:row>
    <x:row r="4">
      <x:c r="A4" s="24" t="str">
        <x:v>AFG</x:v>
      </x:c>
      <x:c r="B4" s="24" t="str">
        <x:v>Afghanistan</x:v>
      </x:c>
      <x:c r="C4" s="24" t="n">
        <x:v>2026</x:v>
      </x:c>
      <x:c r="D4" s="24" t="str">
        <x:v>AFG</x:v>
      </x:c>
      <x:c r="E4" s="24" t="str">
        <x:v>nominal_gdp</x:v>
      </x:c>
      <x:c r="F4" s="38" t="n">
        <x:v>18410673325</x:v>
      </x:c>
      <x:c r="G4" s="24" t="str">
        <x:v>USD after scenario scaling</x:v>
      </x:c>
      <x:c r="H4" s="36" t="str">
        <x:v>peer-growth inference from IMF 2025; Middle East, North Africa, Afghanistan &amp; Pakistan median 1.83%/yr (18 peers, capped at ±8%)</x:v>
      </x:c>
      <x:c r="I4" s="36" t="str">
        <x:v>https://api.imf.org/external/sdmx/3.0/data/dataflow/IMF.RES/WEO/9.0.0/ | https://datahelpdesk.worldbank.org/knowledgebase/articles/898581-api-basic-call-structures</x:v>
      </x:c>
      <x:c r="J4" s="36" t="str">
        <x:v>peer_growth_inference</x:v>
      </x:c>
    </x:row>
    <x:row r="5">
      <x:c r="A5" s="24" t="str">
        <x:v>AFG</x:v>
      </x:c>
      <x:c r="B5" s="24" t="str">
        <x:v>Afghanistan</x:v>
      </x:c>
      <x:c r="C5" s="24" t="n">
        <x:v>2026</x:v>
      </x:c>
      <x:c r="D5" s="24" t="str">
        <x:v>AFG</x:v>
      </x:c>
      <x:c r="E5" s="24" t="str">
        <x:v>ppp_gdp</x:v>
      </x:c>
      <x:c r="F5" s="38" t="n">
        <x:v>92526850423</x:v>
      </x:c>
      <x:c r="G5" s="24" t="str">
        <x:v>international dollars after scenario scaling</x:v>
      </x:c>
      <x:c r="H5" s="36" t="str">
        <x:v>peer-growth inference from IMF 2025; Middle East, North Africa, Afghanistan &amp; Pakistan median -0.39%/yr (19 peers, capped at ±8%)</x:v>
      </x:c>
      <x:c r="I5" s="36" t="str">
        <x:v>https://api.imf.org/external/sdmx/3.0/data/dataflow/IMF.RES/WEO/9.0.0/ | https://datahelpdesk.worldbank.org/knowledgebase/articles/898581-api-basic-call-structures</x:v>
      </x:c>
      <x:c r="J5" s="36" t="str">
        <x:v>peer_growth_inference</x:v>
      </x:c>
    </x:row>
    <x:row r="6">
      <x:c r="A6" s="24" t="str">
        <x:v>CUB</x:v>
      </x:c>
      <x:c r="B6" s="24" t="str">
        <x:v>Cuba</x:v>
      </x:c>
      <x:c r="C6" s="24" t="n">
        <x:v>2003</x:v>
      </x:c>
      <x:c r="D6" s="24" t="str">
        <x:v>CUB</x:v>
      </x:c>
      <x:c r="E6" s="24" t="str">
        <x:v>nominal_gdp</x:v>
      </x:c>
      <x:c r="F6" s="38" t="n">
        <x:v>57082908000</x:v>
      </x:c>
      <x:c r="G6" s="24" t="str">
        <x:v>USD after scenario scaling</x:v>
      </x:c>
      <x:c r="H6" s="36" t="str">
        <x:v>World Bank exact 2003</x:v>
      </x:c>
      <x:c r="I6" s="36" t="str">
        <x:v>https://api.worldbank.org/v2/country/CUB/indicator/NY.GDP.MKTP.CD?source=2&amp;date=2003&amp;format=json</x:v>
      </x:c>
      <x:c r="J6" s="36" t="str">
        <x:v>world_bank_exact</x:v>
      </x:c>
    </x:row>
    <x:row r="7">
      <x:c r="A7" s="24" t="str">
        <x:v>CUB</x:v>
      </x:c>
      <x:c r="B7" s="24" t="str">
        <x:v>Cuba</x:v>
      </x:c>
      <x:c r="C7" s="24" t="n">
        <x:v>2003</x:v>
      </x:c>
      <x:c r="D7" s="24" t="str">
        <x:v>CUB</x:v>
      </x:c>
      <x:c r="E7" s="24" t="str">
        <x:v>ppp_gdp</x:v>
      </x:c>
      <x:c r="F7" s="38" t="n">
        <x:v>147091326551</x:v>
      </x:c>
      <x:c r="G7" s="24" t="str">
        <x:v>international dollars after scenario scaling</x:v>
      </x:c>
      <x:c r="H7" s="36" t="str">
        <x:v>PPP inferred from filled nominal GDP using Latin America &amp; Caribbean ; Upper middle income median PPP/nominal ratio 2.577 (17 peers)</x:v>
      </x:c>
      <x:c r="I7" s="36" t="str">
        <x:v>https://api.imf.org/external/sdmx/3.0/data/dataflow/IMF.RES/WEO/9.0.0/ | https://datahelpdesk.worldbank.org/knowledgebase/articles/898581-api-basic-call-structures</x:v>
      </x:c>
      <x:c r="J7" s="36" t="str">
        <x:v>peer_ratio_inference</x:v>
      </x:c>
    </x:row>
    <x:row r="8">
      <x:c r="A8" s="24" t="str">
        <x:v>CUB</x:v>
      </x:c>
      <x:c r="B8" s="24" t="str">
        <x:v>Cuba</x:v>
      </x:c>
      <x:c r="C8" s="24" t="n">
        <x:v>2022</x:v>
      </x:c>
      <x:c r="D8" s="24" t="str">
        <x:v>CUB</x:v>
      </x:c>
      <x:c r="E8" s="24" t="str">
        <x:v>nominal_gdp</x:v>
      </x:c>
      <x:c r="F8" s="38" t="n">
        <x:v>132324176993</x:v>
      </x:c>
      <x:c r="G8" s="24" t="str">
        <x:v>USD after scenario scaling</x:v>
      </x:c>
      <x:c r="H8" s="36" t="str">
        <x:v>peer-growth inference from World Bank 2020; Latin America &amp; Caribbean ; Upper middle income median 5.46%/yr (17 peers, capped at ±8%)</x:v>
      </x:c>
      <x:c r="I8" s="36" t="str">
        <x:v>https://api.worldbank.org/v2/country/CUB/indicator/NY.GDP.MKTP.CD?source=2&amp;date=2020&amp;format=json | https://api.imf.org/external/sdmx/3.0/data/dataflow/IMF.RES/WEO/9.0.0/ | https://datahelpdesk.worldbank.org/knowledgebase/articles/898581-api-basic-call-structures</x:v>
      </x:c>
      <x:c r="J8" s="36" t="str">
        <x:v>peer_growth_inference</x:v>
      </x:c>
    </x:row>
    <x:row r="9">
      <x:c r="A9" s="24" t="str">
        <x:v>CUB</x:v>
      </x:c>
      <x:c r="B9" s="24" t="str">
        <x:v>Cuba</x:v>
      </x:c>
      <x:c r="C9" s="24" t="n">
        <x:v>2022</x:v>
      </x:c>
      <x:c r="D9" s="24" t="str">
        <x:v>CUB</x:v>
      </x:c>
      <x:c r="E9" s="24" t="str">
        <x:v>ppp_gdp</x:v>
      </x:c>
      <x:c r="F9" s="38" t="n">
        <x:v>283350349597</x:v>
      </x:c>
      <x:c r="G9" s="24" t="str">
        <x:v>international dollars after scenario scaling</x:v>
      </x:c>
      <x:c r="H9" s="36" t="str">
        <x:v>PPP inferred from filled nominal GDP using Latin America &amp; Caribbean ; Upper middle income median PPP/nominal ratio 2.141 (17 peers)</x:v>
      </x:c>
      <x:c r="I9" s="36" t="str">
        <x:v>https://api.imf.org/external/sdmx/3.0/data/dataflow/IMF.RES/WEO/9.0.0/ | https://datahelpdesk.worldbank.org/knowledgebase/articles/898581-api-basic-call-structures</x:v>
      </x:c>
      <x:c r="J9" s="36" t="str">
        <x:v>peer_ratio_inference</x:v>
      </x:c>
    </x:row>
    <x:row r="10">
      <x:c r="A10" s="24" t="str">
        <x:v>CUB</x:v>
      </x:c>
      <x:c r="B10" s="24" t="str">
        <x:v>Cuba</x:v>
      </x:c>
      <x:c r="C10" s="24" t="n">
        <x:v>2026</x:v>
      </x:c>
      <x:c r="D10" s="24" t="str">
        <x:v>CUB</x:v>
      </x:c>
      <x:c r="E10" s="24" t="str">
        <x:v>nominal_gdp</x:v>
      </x:c>
      <x:c r="F10" s="38" t="n">
        <x:v>148325194318</x:v>
      </x:c>
      <x:c r="G10" s="24" t="str">
        <x:v>USD after scenario scaling</x:v>
      </x:c>
      <x:c r="H10" s="36" t="str">
        <x:v>peer-growth inference from World Bank 2020; Latin America &amp; Caribbean ; Upper middle income median 4.39%/yr (14 peers, capped at ±8%)</x:v>
      </x:c>
      <x:c r="I10" s="36" t="str">
        <x:v>https://api.worldbank.org/v2/country/CUB/indicator/NY.GDP.MKTP.CD?source=2&amp;date=2020&amp;format=json | https://api.imf.org/external/sdmx/3.0/data/dataflow/IMF.RES/WEO/9.0.0/ | https://datahelpdesk.worldbank.org/knowledgebase/articles/898581-api-basic-call-structures</x:v>
      </x:c>
      <x:c r="J10" s="36" t="str">
        <x:v>peer_growth_inference</x:v>
      </x:c>
    </x:row>
    <x:row r="11">
      <x:c r="A11" s="24" t="str">
        <x:v>CUB</x:v>
      </x:c>
      <x:c r="B11" s="24" t="str">
        <x:v>Cuba</x:v>
      </x:c>
      <x:c r="C11" s="24" t="n">
        <x:v>2026</x:v>
      </x:c>
      <x:c r="D11" s="24" t="str">
        <x:v>CUB</x:v>
      </x:c>
      <x:c r="E11" s="24" t="str">
        <x:v>ppp_gdp</x:v>
      </x:c>
      <x:c r="F11" s="38" t="n">
        <x:v>344486195075</x:v>
      </x:c>
      <x:c r="G11" s="24" t="str">
        <x:v>international dollars after scenario scaling</x:v>
      </x:c>
      <x:c r="H11" s="36" t="str">
        <x:v>PPP inferred from filled nominal GDP using Latin America &amp; Caribbean ; Upper middle income median PPP/nominal ratio 2.323 (14 peers)</x:v>
      </x:c>
      <x:c r="I11" s="36" t="str">
        <x:v>https://api.imf.org/external/sdmx/3.0/data/dataflow/IMF.RES/WEO/9.0.0/ | https://datahelpdesk.worldbank.org/knowledgebase/articles/898581-api-basic-call-structures</x:v>
      </x:c>
      <x:c r="J11" s="36" t="str">
        <x:v>peer_ratio_inference</x:v>
      </x:c>
    </x:row>
    <x:row r="12">
      <x:c r="A12" s="24" t="str">
        <x:v>DEN</x:v>
      </x:c>
      <x:c r="B12" s="24" t="str">
        <x:v>Denmark</x:v>
      </x:c>
      <x:c r="C12" s="24" t="n">
        <x:v>2003</x:v>
      </x:c>
      <x:c r="D12" s="24" t="str">
        <x:v>GRL</x:v>
      </x:c>
      <x:c r="E12" s="24" t="str">
        <x:v>nominal_gdp</x:v>
      </x:c>
      <x:c r="F12" s="38" t="n">
        <x:v>2478428119</x:v>
      </x:c>
      <x:c r="G12" s="24" t="str">
        <x:v>USD after scenario scaling</x:v>
      </x:c>
      <x:c r="H12" s="36" t="str">
        <x:v>World Bank exact 2003</x:v>
      </x:c>
      <x:c r="I12" s="36" t="str">
        <x:v>https://api.worldbank.org/v2/country/GRL/indicator/NY.GDP.MKTP.CD?source=2&amp;date=2003&amp;format=json</x:v>
      </x:c>
      <x:c r="J12" s="36" t="str">
        <x:v>world_bank_exact</x:v>
      </x:c>
    </x:row>
    <x:row r="13">
      <x:c r="A13" s="24" t="str">
        <x:v>DEN</x:v>
      </x:c>
      <x:c r="B13" s="24" t="str">
        <x:v>Denmark</x:v>
      </x:c>
      <x:c r="C13" s="24" t="n">
        <x:v>2003</x:v>
      </x:c>
      <x:c r="D13" s="24" t="str">
        <x:v>FRO</x:v>
      </x:c>
      <x:c r="E13" s="24" t="str">
        <x:v>nominal_gdp</x:v>
      </x:c>
      <x:c r="F13" s="38" t="n">
        <x:v>2388087114</x:v>
      </x:c>
      <x:c r="G13" s="24" t="str">
        <x:v>USD after scenario scaling</x:v>
      </x:c>
      <x:c r="H13" s="36" t="str">
        <x:v>World Bank exact 2003</x:v>
      </x:c>
      <x:c r="I13" s="36" t="str">
        <x:v>https://api.worldbank.org/v2/country/FRO/indicator/NY.GDP.MKTP.CD?source=2&amp;date=2003&amp;format=json</x:v>
      </x:c>
      <x:c r="J13" s="36" t="str">
        <x:v>world_bank_exact</x:v>
      </x:c>
    </x:row>
    <x:row r="14">
      <x:c r="A14" s="24" t="str">
        <x:v>DEN</x:v>
      </x:c>
      <x:c r="B14" s="24" t="str">
        <x:v>Denmark</x:v>
      </x:c>
      <x:c r="C14" s="24" t="n">
        <x:v>2003</x:v>
      </x:c>
      <x:c r="D14" s="24" t="str">
        <x:v>GRL</x:v>
      </x:c>
      <x:c r="E14" s="24" t="str">
        <x:v>ppp_gdp</x:v>
      </x:c>
      <x:c r="F14" s="38" t="n">
        <x:v>2934055404</x:v>
      </x:c>
      <x:c r="G14" s="24" t="str">
        <x:v>international dollars after scenario scaling</x:v>
      </x:c>
      <x:c r="H14" s="36" t="str">
        <x:v>World Bank exact 2003</x:v>
      </x:c>
      <x:c r="I14" s="36" t="str">
        <x:v>https://api.worldbank.org/v2/country/GRL/indicator/NY.GDP.MKTP.PP.CD?source=2&amp;date=2003&amp;format=json</x:v>
      </x:c>
      <x:c r="J14" s="36" t="str">
        <x:v>world_bank_exact</x:v>
      </x:c>
    </x:row>
    <x:row r="15">
      <x:c r="A15" s="24" t="str">
        <x:v>DEN</x:v>
      </x:c>
      <x:c r="B15" s="24" t="str">
        <x:v>Denmark</x:v>
      </x:c>
      <x:c r="C15" s="24" t="n">
        <x:v>2003</x:v>
      </x:c>
      <x:c r="D15" s="24" t="str">
        <x:v>FRO</x:v>
      </x:c>
      <x:c r="E15" s="24" t="str">
        <x:v>ppp_gdp</x:v>
      </x:c>
      <x:c r="F15" s="38" t="n">
        <x:v>2340324193</x:v>
      </x:c>
      <x:c r="G15" s="24" t="str">
        <x:v>international dollars after scenario scaling</x:v>
      </x:c>
      <x:c r="H15" s="36" t="str">
        <x:v>peer-growth inference from World Bank 2008; Europe &amp; Central Asia; High income median 3.02%/yr (35 peers, capped at ±8%)</x:v>
      </x:c>
      <x:c r="I15" s="36" t="str">
        <x:v>https://api.worldbank.org/v2/country/FRO/indicator/NY.GDP.MKTP.PP.CD?source=2&amp;date=2008&amp;format=json | https://api.imf.org/external/sdmx/3.0/data/dataflow/IMF.RES/WEO/9.0.0/ | https://datahelpdesk.worldbank.org/knowledgebase/articles/898581-api-basic-call-structures</x:v>
      </x:c>
      <x:c r="J15" s="36" t="str">
        <x:v>peer_growth_inference</x:v>
      </x:c>
    </x:row>
    <x:row r="16">
      <x:c r="A16" s="24" t="str">
        <x:v>DEN</x:v>
      </x:c>
      <x:c r="B16" s="24" t="str">
        <x:v>Denmark</x:v>
      </x:c>
      <x:c r="C16" s="24" t="n">
        <x:v>2022</x:v>
      </x:c>
      <x:c r="D16" s="24" t="str">
        <x:v>GRL</x:v>
      </x:c>
      <x:c r="E16" s="24" t="str">
        <x:v>nominal_gdp</x:v>
      </x:c>
      <x:c r="F16" s="38" t="n">
        <x:v>3152334772</x:v>
      </x:c>
      <x:c r="G16" s="24" t="str">
        <x:v>USD after scenario scaling</x:v>
      </x:c>
      <x:c r="H16" s="36" t="str">
        <x:v>World Bank exact 2022</x:v>
      </x:c>
      <x:c r="I16" s="36" t="str">
        <x:v>https://api.worldbank.org/v2/country/GRL/indicator/NY.GDP.MKTP.CD?source=2&amp;date=2022&amp;format=json</x:v>
      </x:c>
      <x:c r="J16" s="36" t="str">
        <x:v>world_bank_exact</x:v>
      </x:c>
    </x:row>
    <x:row r="17">
      <x:c r="A17" s="24" t="str">
        <x:v>DEN</x:v>
      </x:c>
      <x:c r="B17" s="24" t="str">
        <x:v>Denmark</x:v>
      </x:c>
      <x:c r="C17" s="24" t="n">
        <x:v>2022</x:v>
      </x:c>
      <x:c r="D17" s="24" t="str">
        <x:v>FRO</x:v>
      </x:c>
      <x:c r="E17" s="24" t="str">
        <x:v>nominal_gdp</x:v>
      </x:c>
      <x:c r="F17" s="38" t="n">
        <x:v>3615241801</x:v>
      </x:c>
      <x:c r="G17" s="24" t="str">
        <x:v>USD after scenario scaling</x:v>
      </x:c>
      <x:c r="H17" s="36" t="str">
        <x:v>World Bank exact 2022</x:v>
      </x:c>
      <x:c r="I17" s="36" t="str">
        <x:v>https://api.worldbank.org/v2/country/FRO/indicator/NY.GDP.MKTP.CD?source=2&amp;date=2022&amp;format=json</x:v>
      </x:c>
      <x:c r="J17" s="36" t="str">
        <x:v>world_bank_exact</x:v>
      </x:c>
    </x:row>
    <x:row r="18">
      <x:c r="A18" s="24" t="str">
        <x:v>DEN</x:v>
      </x:c>
      <x:c r="B18" s="24" t="str">
        <x:v>Denmark</x:v>
      </x:c>
      <x:c r="C18" s="24" t="n">
        <x:v>2022</x:v>
      </x:c>
      <x:c r="D18" s="24" t="str">
        <x:v>GRL</x:v>
      </x:c>
      <x:c r="E18" s="24" t="str">
        <x:v>ppp_gdp</x:v>
      </x:c>
      <x:c r="F18" s="38" t="n">
        <x:v>4289715331</x:v>
      </x:c>
      <x:c r="G18" s="24" t="str">
        <x:v>international dollars after scenario scaling</x:v>
      </x:c>
      <x:c r="H18" s="36" t="str">
        <x:v>World Bank exact 2022</x:v>
      </x:c>
      <x:c r="I18" s="36" t="str">
        <x:v>https://api.worldbank.org/v2/country/GRL/indicator/NY.GDP.MKTP.PP.CD?source=2&amp;date=2022&amp;format=json</x:v>
      </x:c>
      <x:c r="J18" s="36" t="str">
        <x:v>world_bank_exact</x:v>
      </x:c>
    </x:row>
    <x:row r="19">
      <x:c r="A19" s="24" t="str">
        <x:v>DEN</x:v>
      </x:c>
      <x:c r="B19" s="24" t="str">
        <x:v>Denmark</x:v>
      </x:c>
      <x:c r="C19" s="24" t="n">
        <x:v>2022</x:v>
      </x:c>
      <x:c r="D19" s="24" t="str">
        <x:v>FRO</x:v>
      </x:c>
      <x:c r="E19" s="24" t="str">
        <x:v>ppp_gdp</x:v>
      </x:c>
      <x:c r="F19" s="38" t="n">
        <x:v>4057079114</x:v>
      </x:c>
      <x:c r="G19" s="24" t="str">
        <x:v>international dollars after scenario scaling</x:v>
      </x:c>
      <x:c r="H19" s="36" t="str">
        <x:v>World Bank exact 2022</x:v>
      </x:c>
      <x:c r="I19" s="36" t="str">
        <x:v>https://api.worldbank.org/v2/country/FRO/indicator/NY.GDP.MKTP.PP.CD?source=2&amp;date=2022&amp;format=json</x:v>
      </x:c>
      <x:c r="J19" s="36" t="str">
        <x:v>world_bank_exact</x:v>
      </x:c>
    </x:row>
    <x:row r="20">
      <x:c r="A20" s="24" t="str">
        <x:v>DEN</x:v>
      </x:c>
      <x:c r="B20" s="24" t="str">
        <x:v>Denmark</x:v>
      </x:c>
      <x:c r="C20" s="24" t="n">
        <x:v>2026</x:v>
      </x:c>
      <x:c r="D20" s="24" t="str">
        <x:v>GRL</x:v>
      </x:c>
      <x:c r="E20" s="24" t="str">
        <x:v>nominal_gdp</x:v>
      </x:c>
      <x:c r="F20" s="38" t="n">
        <x:v>3583797124</x:v>
      </x:c>
      <x:c r="G20" s="24" t="str">
        <x:v>USD after scenario scaling</x:v>
      </x:c>
      <x:c r="H20" s="36" t="str">
        <x:v>peer-growth inference from World Bank 2023; Europe &amp; Central Asia; High income median 5.30%/yr (34 peers, capped at ±8%)</x:v>
      </x:c>
      <x:c r="I20" s="36" t="str">
        <x:v>https://api.worldbank.org/v2/country/GRL/indicator/NY.GDP.MKTP.CD?source=2&amp;date=2023&amp;format=json | https://api.imf.org/external/sdmx/3.0/data/dataflow/IMF.RES/WEO/9.0.0/ | https://datahelpdesk.worldbank.org/knowledgebase/articles/898581-api-basic-call-structures</x:v>
      </x:c>
      <x:c r="J20" s="36" t="str">
        <x:v>peer_growth_inference</x:v>
      </x:c>
    </x:row>
    <x:row r="21">
      <x:c r="A21" s="24" t="str">
        <x:v>DEN</x:v>
      </x:c>
      <x:c r="B21" s="24" t="str">
        <x:v>Denmark</x:v>
      </x:c>
      <x:c r="C21" s="24" t="n">
        <x:v>2026</x:v>
      </x:c>
      <x:c r="D21" s="24" t="str">
        <x:v>FRO</x:v>
      </x:c>
      <x:c r="E21" s="24" t="str">
        <x:v>nominal_gdp</x:v>
      </x:c>
      <x:c r="F21" s="38" t="n">
        <x:v>4359708493</x:v>
      </x:c>
      <x:c r="G21" s="24" t="str">
        <x:v>USD after scenario scaling</x:v>
      </x:c>
      <x:c r="H21" s="36" t="str">
        <x:v>peer-growth inference from World Bank 2024; Europe &amp; Central Asia; High income median 6.29%/yr (34 peers, capped at ±8%)</x:v>
      </x:c>
      <x:c r="I21" s="36" t="str">
        <x:v>https://api.worldbank.org/v2/country/FRO/indicator/NY.GDP.MKTP.CD?source=2&amp;date=2024&amp;format=json | https://api.imf.org/external/sdmx/3.0/data/dataflow/IMF.RES/WEO/9.0.0/ | https://datahelpdesk.worldbank.org/knowledgebase/articles/898581-api-basic-call-structures</x:v>
      </x:c>
      <x:c r="J21" s="36" t="str">
        <x:v>peer_growth_inference</x:v>
      </x:c>
    </x:row>
    <x:row r="22">
      <x:c r="A22" s="24" t="str">
        <x:v>DEN</x:v>
      </x:c>
      <x:c r="B22" s="24" t="str">
        <x:v>Denmark</x:v>
      </x:c>
      <x:c r="C22" s="24" t="n">
        <x:v>2026</x:v>
      </x:c>
      <x:c r="D22" s="24" t="str">
        <x:v>GRL</x:v>
      </x:c>
      <x:c r="E22" s="24" t="str">
        <x:v>ppp_gdp</x:v>
      </x:c>
      <x:c r="F22" s="38" t="n">
        <x:v>4318123361</x:v>
      </x:c>
      <x:c r="G22" s="24" t="str">
        <x:v>international dollars after scenario scaling</x:v>
      </x:c>
      <x:c r="H22" s="36" t="str">
        <x:v>peer-growth inference from World Bank 2023; Europe &amp; Central Asia; High income median 1.41%/yr (34 peers, capped at ±8%)</x:v>
      </x:c>
      <x:c r="I22" s="36" t="str">
        <x:v>https://api.worldbank.org/v2/country/GRL/indicator/NY.GDP.MKTP.PP.CD?source=2&amp;date=2023&amp;format=json | https://api.imf.org/external/sdmx/3.0/data/dataflow/IMF.RES/WEO/9.0.0/ | https://datahelpdesk.worldbank.org/knowledgebase/articles/898581-api-basic-call-structures</x:v>
      </x:c>
      <x:c r="J22" s="36" t="str">
        <x:v>peer_growth_inference</x:v>
      </x:c>
    </x:row>
    <x:row r="23">
      <x:c r="A23" s="24" t="str">
        <x:v>DEN</x:v>
      </x:c>
      <x:c r="B23" s="24" t="str">
        <x:v>Denmark</x:v>
      </x:c>
      <x:c r="C23" s="24" t="n">
        <x:v>2026</x:v>
      </x:c>
      <x:c r="D23" s="24" t="str">
        <x:v>FRO</x:v>
      </x:c>
      <x:c r="E23" s="24" t="str">
        <x:v>ppp_gdp</x:v>
      </x:c>
      <x:c r="F23" s="38" t="n">
        <x:v>4371518202</x:v>
      </x:c>
      <x:c r="G23" s="24" t="str">
        <x:v>international dollars after scenario scaling</x:v>
      </x:c>
      <x:c r="H23" s="36" t="str">
        <x:v>peer-growth inference from World Bank 2024; Europe &amp; Central Asia; High income median 1.18%/yr (34 peers, capped at ±8%)</x:v>
      </x:c>
      <x:c r="I23" s="36" t="str">
        <x:v>https://api.worldbank.org/v2/country/FRO/indicator/NY.GDP.MKTP.PP.CD?source=2&amp;date=2024&amp;format=json | https://api.imf.org/external/sdmx/3.0/data/dataflow/IMF.RES/WEO/9.0.0/ | https://datahelpdesk.worldbank.org/knowledgebase/articles/898581-api-basic-call-structures</x:v>
      </x:c>
      <x:c r="J23" s="36" t="str">
        <x:v>peer_growth_inference</x:v>
      </x:c>
    </x:row>
    <x:row r="24">
      <x:c r="A24" s="24" t="str">
        <x:v>ERI</x:v>
      </x:c>
      <x:c r="B24" s="24" t="str">
        <x:v>Eritrea</x:v>
      </x:c>
      <x:c r="C24" s="24" t="n">
        <x:v>2022</x:v>
      </x:c>
      <x:c r="D24" s="24" t="str">
        <x:v>ERI</x:v>
      </x:c>
      <x:c r="E24" s="24" t="str">
        <x:v>nominal_gdp</x:v>
      </x:c>
      <x:c r="F24" s="38" t="n">
        <x:v>2060258274</x:v>
      </x:c>
      <x:c r="G24" s="24" t="str">
        <x:v>USD after scenario scaling</x:v>
      </x:c>
      <x:c r="H24" s="36" t="str">
        <x:v>peer-growth inference from IMF 2019; Sub-Saharan Africa ; Low income median -2.06%/yr (20 peers, capped at ±8%)</x:v>
      </x:c>
      <x:c r="I24" s="36" t="str">
        <x:v>https://api.imf.org/external/sdmx/3.0/data/dataflow/IMF.RES/WEO/9.0.0/ | https://datahelpdesk.worldbank.org/knowledgebase/articles/898581-api-basic-call-structures</x:v>
      </x:c>
      <x:c r="J24" s="36" t="str">
        <x:v>peer_growth_inference</x:v>
      </x:c>
    </x:row>
    <x:row r="25">
      <x:c r="A25" s="24" t="str">
        <x:v>ERI</x:v>
      </x:c>
      <x:c r="B25" s="24" t="str">
        <x:v>Eritrea</x:v>
      </x:c>
      <x:c r="C25" s="24" t="n">
        <x:v>2022</x:v>
      </x:c>
      <x:c r="D25" s="24" t="str">
        <x:v>ERI</x:v>
      </x:c>
      <x:c r="E25" s="24" t="str">
        <x:v>ppp_gdp</x:v>
      </x:c>
      <x:c r="F25" s="38" t="n">
        <x:v>7131600640</x:v>
      </x:c>
      <x:c r="G25" s="24" t="str">
        <x:v>international dollars after scenario scaling</x:v>
      </x:c>
      <x:c r="H25" s="36" t="str">
        <x:v>peer-growth inference from IMF 2019; Sub-Saharan Africa ; Low income median 0.39%/yr (20 peers, capped at ±8%)</x:v>
      </x:c>
      <x:c r="I25" s="36" t="str">
        <x:v>https://api.imf.org/external/sdmx/3.0/data/dataflow/IMF.RES/WEO/9.0.0/ | https://datahelpdesk.worldbank.org/knowledgebase/articles/898581-api-basic-call-structures</x:v>
      </x:c>
      <x:c r="J25" s="36" t="str">
        <x:v>peer_growth_inference</x:v>
      </x:c>
    </x:row>
    <x:row r="26">
      <x:c r="A26" s="24" t="str">
        <x:v>ERI</x:v>
      </x:c>
      <x:c r="B26" s="24" t="str">
        <x:v>Eritrea</x:v>
      </x:c>
      <x:c r="C26" s="24" t="n">
        <x:v>2026</x:v>
      </x:c>
      <x:c r="D26" s="24" t="str">
        <x:v>ERI</x:v>
      </x:c>
      <x:c r="E26" s="24" t="str">
        <x:v>nominal_gdp</x:v>
      </x:c>
      <x:c r="F26" s="38" t="n">
        <x:v>2414305189</x:v>
      </x:c>
      <x:c r="G26" s="24" t="str">
        <x:v>USD after scenario scaling</x:v>
      </x:c>
      <x:c r="H26" s="36" t="str">
        <x:v>peer-growth inference from IMF 2019; Sub-Saharan Africa ; Low income median 0.59%/yr (20 peers, capped at ±8%)</x:v>
      </x:c>
      <x:c r="I26" s="36" t="str">
        <x:v>https://api.imf.org/external/sdmx/3.0/data/dataflow/IMF.RES/WEO/9.0.0/ | https://datahelpdesk.worldbank.org/knowledgebase/articles/898581-api-basic-call-structures</x:v>
      </x:c>
      <x:c r="J26" s="36" t="str">
        <x:v>peer_growth_inference</x:v>
      </x:c>
    </x:row>
    <x:row r="27">
      <x:c r="A27" s="24" t="str">
        <x:v>ERI</x:v>
      </x:c>
      <x:c r="B27" s="24" t="str">
        <x:v>Eritrea</x:v>
      </x:c>
      <x:c r="C27" s="24" t="n">
        <x:v>2026</x:v>
      </x:c>
      <x:c r="D27" s="24" t="str">
        <x:v>ERI</x:v>
      </x:c>
      <x:c r="E27" s="24" t="str">
        <x:v>ppp_gdp</x:v>
      </x:c>
      <x:c r="F27" s="38" t="n">
        <x:v>8063486937</x:v>
      </x:c>
      <x:c r="G27" s="24" t="str">
        <x:v>international dollars after scenario scaling</x:v>
      </x:c>
      <x:c r="H27" s="36" t="str">
        <x:v>peer-growth inference from IMF 2019; Sub-Saharan Africa ; Low income median 1.14%/yr (20 peers, capped at ±8%)</x:v>
      </x:c>
      <x:c r="I27" s="36" t="str">
        <x:v>https://api.imf.org/external/sdmx/3.0/data/dataflow/IMF.RES/WEO/9.0.0/ | https://datahelpdesk.worldbank.org/knowledgebase/articles/898581-api-basic-call-structures</x:v>
      </x:c>
      <x:c r="J27" s="36" t="str">
        <x:v>peer_growth_inference</x:v>
      </x:c>
    </x:row>
    <x:row r="28">
      <x:c r="A28" s="24" t="str">
        <x:v>EUA</x:v>
      </x:c>
      <x:c r="B28" s="24" t="str">
        <x:v>France</x:v>
      </x:c>
      <x:c r="C28" s="24" t="n">
        <x:v>2003</x:v>
      </x:c>
      <x:c r="D28" s="24" t="str">
        <x:v>MCO</x:v>
      </x:c>
      <x:c r="E28" s="24" t="str">
        <x:v>nominal_gdp</x:v>
      </x:c>
      <x:c r="F28" s="38" t="n">
        <x:v>5719373175</x:v>
      </x:c>
      <x:c r="G28" s="24" t="str">
        <x:v>USD after scenario scaling</x:v>
      </x:c>
      <x:c r="H28" s="36" t="str">
        <x:v>World Bank exact 2003</x:v>
      </x:c>
      <x:c r="I28" s="36" t="str">
        <x:v>https://api.worldbank.org/v2/country/MCO/indicator/NY.GDP.MKTP.CD?source=2&amp;date=2003&amp;format=json</x:v>
      </x:c>
      <x:c r="J28" s="36" t="str">
        <x:v>world_bank_exact</x:v>
      </x:c>
    </x:row>
    <x:row r="29">
      <x:c r="A29" s="24" t="str">
        <x:v>EUA</x:v>
      </x:c>
      <x:c r="B29" s="24" t="str">
        <x:v>France</x:v>
      </x:c>
      <x:c r="C29" s="24" t="n">
        <x:v>2003</x:v>
      </x:c>
      <x:c r="D29" s="24" t="str">
        <x:v>GUF</x:v>
      </x:c>
      <x:c r="E29" s="24" t="str">
        <x:v>nominal_gdp</x:v>
      </x:c>
      <x:c r="F29" s="38" t="n">
        <x:v>783677983</x:v>
      </x:c>
      <x:c r="G29" s="24" t="str">
        <x:v>USD after scenario scaling</x:v>
      </x:c>
      <x:c r="H29" s="36" t="str">
        <x:v>nominal GDP/c inferred from global available-country peers median level (210 peers)</x:v>
      </x:c>
      <x:c r="I29" s="36" t="str">
        <x:v>https://api.imf.org/external/sdmx/3.0/data/dataflow/IMF.RES/WEO/9.0.0/ | https://datahelpdesk.worldbank.org/knowledgebase/articles/898581-api-basic-call-structures</x:v>
      </x:c>
      <x:c r="J29" s="36" t="str">
        <x:v>peer_level_inference</x:v>
      </x:c>
    </x:row>
    <x:row r="30">
      <x:c r="A30" s="24" t="str">
        <x:v>EUA</x:v>
      </x:c>
      <x:c r="B30" s="24" t="str">
        <x:v>France</x:v>
      </x:c>
      <x:c r="C30" s="24" t="n">
        <x:v>2003</x:v>
      </x:c>
      <x:c r="D30" s="24" t="str">
        <x:v>PYF</x:v>
      </x:c>
      <x:c r="E30" s="24" t="str">
        <x:v>nominal_gdp</x:v>
      </x:c>
      <x:c r="F30" s="38" t="n">
        <x:v>7835171165</x:v>
      </x:c>
      <x:c r="G30" s="24" t="str">
        <x:v>USD after scenario scaling</x:v>
      </x:c>
      <x:c r="H30" s="36" t="str">
        <x:v>World Bank exact 2003</x:v>
      </x:c>
      <x:c r="I30" s="36" t="str">
        <x:v>https://api.worldbank.org/v2/country/PYF/indicator/NY.GDP.MKTP.CD?source=2&amp;date=2003&amp;format=json</x:v>
      </x:c>
      <x:c r="J30" s="36" t="str">
        <x:v>world_bank_exact</x:v>
      </x:c>
    </x:row>
    <x:row r="31">
      <x:c r="A31" s="24" t="str">
        <x:v>EUA</x:v>
      </x:c>
      <x:c r="B31" s="24" t="str">
        <x:v>France</x:v>
      </x:c>
      <x:c r="C31" s="24" t="n">
        <x:v>2003</x:v>
      </x:c>
      <x:c r="D31" s="24" t="str">
        <x:v>NCL</x:v>
      </x:c>
      <x:c r="E31" s="24" t="str">
        <x:v>nominal_gdp</x:v>
      </x:c>
      <x:c r="F31" s="38" t="n">
        <x:v>7815412585</x:v>
      </x:c>
      <x:c r="G31" s="24" t="str">
        <x:v>USD after scenario scaling</x:v>
      </x:c>
      <x:c r="H31" s="36" t="str">
        <x:v>World Bank exact 2003</x:v>
      </x:c>
      <x:c r="I31" s="36" t="str">
        <x:v>https://api.worldbank.org/v2/country/NCL/indicator/NY.GDP.MKTP.CD?source=2&amp;date=2003&amp;format=json</x:v>
      </x:c>
      <x:c r="J31" s="36" t="str">
        <x:v>world_bank_exact</x:v>
      </x:c>
    </x:row>
    <x:row r="32">
      <x:c r="A32" s="24" t="str">
        <x:v>EUA</x:v>
      </x:c>
      <x:c r="B32" s="24" t="str">
        <x:v>France</x:v>
      </x:c>
      <x:c r="C32" s="24" t="n">
        <x:v>2003</x:v>
      </x:c>
      <x:c r="D32" s="24" t="str">
        <x:v>WLF</x:v>
      </x:c>
      <x:c r="E32" s="24" t="str">
        <x:v>nominal_gdp</x:v>
      </x:c>
      <x:c r="F32" s="38" t="n">
        <x:v>63734621</x:v>
      </x:c>
      <x:c r="G32" s="24" t="str">
        <x:v>USD after scenario scaling</x:v>
      </x:c>
      <x:c r="H32" s="36" t="str">
        <x:v>nominal GDP/c inferred from global available-country peers median level (210 peers)</x:v>
      </x:c>
      <x:c r="I32" s="36" t="str">
        <x:v>https://api.imf.org/external/sdmx/3.0/data/dataflow/IMF.RES/WEO/9.0.0/ | https://datahelpdesk.worldbank.org/knowledgebase/articles/898581-api-basic-call-structures</x:v>
      </x:c>
      <x:c r="J32" s="36" t="str">
        <x:v>peer_level_inference</x:v>
      </x:c>
    </x:row>
    <x:row r="33">
      <x:c r="A33" s="24" t="str">
        <x:v>EUA</x:v>
      </x:c>
      <x:c r="B33" s="24" t="str">
        <x:v>France</x:v>
      </x:c>
      <x:c r="C33" s="24" t="n">
        <x:v>2003</x:v>
      </x:c>
      <x:c r="D33" s="24" t="str">
        <x:v>REU</x:v>
      </x:c>
      <x:c r="E33" s="24" t="str">
        <x:v>nominal_gdp</x:v>
      </x:c>
      <x:c r="F33" s="38" t="n">
        <x:v>3347246761</x:v>
      </x:c>
      <x:c r="G33" s="24" t="str">
        <x:v>USD after scenario scaling</x:v>
      </x:c>
      <x:c r="H33" s="36" t="str">
        <x:v>nominal GDP/c inferred from global available-country peers median level (210 peers)</x:v>
      </x:c>
      <x:c r="I33" s="36" t="str">
        <x:v>https://api.imf.org/external/sdmx/3.0/data/dataflow/IMF.RES/WEO/9.0.0/ | https://datahelpdesk.worldbank.org/knowledgebase/articles/898581-api-basic-call-structures</x:v>
      </x:c>
      <x:c r="J33" s="36" t="str">
        <x:v>peer_level_inference</x:v>
      </x:c>
    </x:row>
    <x:row r="34">
      <x:c r="A34" s="24" t="str">
        <x:v>EUA</x:v>
      </x:c>
      <x:c r="B34" s="24" t="str">
        <x:v>France</x:v>
      </x:c>
      <x:c r="C34" s="24" t="n">
        <x:v>2003</x:v>
      </x:c>
      <x:c r="D34" s="24" t="str">
        <x:v>MYT</x:v>
      </x:c>
      <x:c r="E34" s="24" t="str">
        <x:v>nominal_gdp</x:v>
      </x:c>
      <x:c r="F34" s="38" t="n">
        <x:v>726937955</x:v>
      </x:c>
      <x:c r="G34" s="24" t="str">
        <x:v>USD after scenario scaling</x:v>
      </x:c>
      <x:c r="H34" s="36" t="str">
        <x:v>nominal GDP/c inferred from global available-country peers median level (210 peers)</x:v>
      </x:c>
      <x:c r="I34" s="36" t="str">
        <x:v>https://api.imf.org/external/sdmx/3.0/data/dataflow/IMF.RES/WEO/9.0.0/ | https://datahelpdesk.worldbank.org/knowledgebase/articles/898581-api-basic-call-structures</x:v>
      </x:c>
      <x:c r="J34" s="36" t="str">
        <x:v>peer_level_inference</x:v>
      </x:c>
    </x:row>
    <x:row r="35">
      <x:c r="A35" s="24" t="str">
        <x:v>EUA</x:v>
      </x:c>
      <x:c r="B35" s="24" t="str">
        <x:v>France</x:v>
      </x:c>
      <x:c r="C35" s="24" t="n">
        <x:v>2003</x:v>
      </x:c>
      <x:c r="D35" s="24" t="str">
        <x:v>GLP</x:v>
      </x:c>
      <x:c r="E35" s="24" t="str">
        <x:v>nominal_gdp</x:v>
      </x:c>
      <x:c r="F35" s="38" t="n">
        <x:v>1750417819</x:v>
      </x:c>
      <x:c r="G35" s="24" t="str">
        <x:v>USD after scenario scaling</x:v>
      </x:c>
      <x:c r="H35" s="36" t="str">
        <x:v>nominal GDP/c inferred from global available-country peers median level (210 peers)</x:v>
      </x:c>
      <x:c r="I35" s="36" t="str">
        <x:v>https://api.imf.org/external/sdmx/3.0/data/dataflow/IMF.RES/WEO/9.0.0/ | https://datahelpdesk.worldbank.org/knowledgebase/articles/898581-api-basic-call-structures</x:v>
      </x:c>
      <x:c r="J35" s="36" t="str">
        <x:v>peer_level_inference</x:v>
      </x:c>
    </x:row>
    <x:row r="36">
      <x:c r="A36" s="24" t="str">
        <x:v>EUA</x:v>
      </x:c>
      <x:c r="B36" s="24" t="str">
        <x:v>France</x:v>
      </x:c>
      <x:c r="C36" s="24" t="n">
        <x:v>2003</x:v>
      </x:c>
      <x:c r="D36" s="24" t="str">
        <x:v>MTQ</x:v>
      </x:c>
      <x:c r="E36" s="24" t="str">
        <x:v>nominal_gdp</x:v>
      </x:c>
      <x:c r="F36" s="38" t="n">
        <x:v>1729196938</x:v>
      </x:c>
      <x:c r="G36" s="24" t="str">
        <x:v>USD after scenario scaling</x:v>
      </x:c>
      <x:c r="H36" s="36" t="str">
        <x:v>nominal GDP/c inferred from global available-country peers median level (210 peers)</x:v>
      </x:c>
      <x:c r="I36" s="36" t="str">
        <x:v>https://api.imf.org/external/sdmx/3.0/data/dataflow/IMF.RES/WEO/9.0.0/ | https://datahelpdesk.worldbank.org/knowledgebase/articles/898581-api-basic-call-structures</x:v>
      </x:c>
      <x:c r="J36" s="36" t="str">
        <x:v>peer_level_inference</x:v>
      </x:c>
    </x:row>
    <x:row r="37">
      <x:c r="A37" s="24" t="str">
        <x:v>EUA</x:v>
      </x:c>
      <x:c r="B37" s="24" t="str">
        <x:v>France</x:v>
      </x:c>
      <x:c r="C37" s="24" t="n">
        <x:v>2003</x:v>
      </x:c>
      <x:c r="D37" s="24" t="str">
        <x:v>SPM</x:v>
      </x:c>
      <x:c r="E37" s="24" t="str">
        <x:v>nominal_gdp</x:v>
      </x:c>
      <x:c r="F37" s="38" t="n">
        <x:v>26293230</x:v>
      </x:c>
      <x:c r="G37" s="24" t="str">
        <x:v>USD after scenario scaling</x:v>
      </x:c>
      <x:c r="H37" s="36" t="str">
        <x:v>nominal GDP/c inferred from global available-country peers median level (210 peers)</x:v>
      </x:c>
      <x:c r="I37" s="36" t="str">
        <x:v>https://api.imf.org/external/sdmx/3.0/data/dataflow/IMF.RES/WEO/9.0.0/ | https://datahelpdesk.worldbank.org/knowledgebase/articles/898581-api-basic-call-structures</x:v>
      </x:c>
      <x:c r="J37" s="36" t="str">
        <x:v>peer_level_inference</x:v>
      </x:c>
    </x:row>
    <x:row r="38">
      <x:c r="A38" s="24" t="str">
        <x:v>EUA</x:v>
      </x:c>
      <x:c r="B38" s="24" t="str">
        <x:v>France</x:v>
      </x:c>
      <x:c r="C38" s="24" t="n">
        <x:v>2003</x:v>
      </x:c>
      <x:c r="D38" s="24" t="str">
        <x:v>MCO</x:v>
      </x:c>
      <x:c r="E38" s="24" t="str">
        <x:v>ppp_gdp</x:v>
      </x:c>
      <x:c r="F38" s="38" t="n">
        <x:v>7024834820</x:v>
      </x:c>
      <x:c r="G38" s="24" t="str">
        <x:v>international dollars after scenario scaling</x:v>
      </x:c>
      <x:c r="H38" s="36" t="str">
        <x:v>PPP inferred from filled nominal GDP using Europe &amp; Central Asia; High income median PPP/nominal ratio 1.228 (35 peers)</x:v>
      </x:c>
      <x:c r="I38" s="36" t="str">
        <x:v>https://api.imf.org/external/sdmx/3.0/data/dataflow/IMF.RES/WEO/9.0.0/ | https://datahelpdesk.worldbank.org/knowledgebase/articles/898581-api-basic-call-structures</x:v>
      </x:c>
      <x:c r="J38" s="36" t="str">
        <x:v>peer_ratio_inference</x:v>
      </x:c>
    </x:row>
    <x:row r="39">
      <x:c r="A39" s="24" t="str">
        <x:v>EUA</x:v>
      </x:c>
      <x:c r="B39" s="24" t="str">
        <x:v>France</x:v>
      </x:c>
      <x:c r="C39" s="24" t="n">
        <x:v>2003</x:v>
      </x:c>
      <x:c r="D39" s="24" t="str">
        <x:v>GUF</x:v>
      </x:c>
      <x:c r="E39" s="24" t="str">
        <x:v>ppp_gdp</x:v>
      </x:c>
      <x:c r="F39" s="38" t="n">
        <x:v>2019382653</x:v>
      </x:c>
      <x:c r="G39" s="24" t="str">
        <x:v>international dollars after scenario scaling</x:v>
      </x:c>
      <x:c r="H39" s="36" t="str">
        <x:v>PPP inferred from filled nominal GDP using global available-country peers median PPP/nominal ratio 2.577 (199 peers)</x:v>
      </x:c>
      <x:c r="I39" s="36" t="str">
        <x:v>https://api.imf.org/external/sdmx/3.0/data/dataflow/IMF.RES/WEO/9.0.0/ | https://datahelpdesk.worldbank.org/knowledgebase/articles/898581-api-basic-call-structures</x:v>
      </x:c>
      <x:c r="J39" s="36" t="str">
        <x:v>peer_ratio_inference</x:v>
      </x:c>
    </x:row>
    <x:row r="40">
      <x:c r="A40" s="24" t="str">
        <x:v>EUA</x:v>
      </x:c>
      <x:c r="B40" s="24" t="str">
        <x:v>France</x:v>
      </x:c>
      <x:c r="C40" s="24" t="n">
        <x:v>2003</x:v>
      </x:c>
      <x:c r="D40" s="24" t="str">
        <x:v>PYF</x:v>
      </x:c>
      <x:c r="E40" s="24" t="str">
        <x:v>ppp_gdp</x:v>
      </x:c>
      <x:c r="F40" s="38" t="n">
        <x:v>11186404700</x:v>
      </x:c>
      <x:c r="G40" s="24" t="str">
        <x:v>international dollars after scenario scaling</x:v>
      </x:c>
      <x:c r="H40" s="36" t="str">
        <x:v>PPP inferred from filled nominal GDP using East Asia &amp; Pacific; High income median PPP/nominal ratio 1.428 (10 peers)</x:v>
      </x:c>
      <x:c r="I40" s="36" t="str">
        <x:v>https://api.imf.org/external/sdmx/3.0/data/dataflow/IMF.RES/WEO/9.0.0/ | https://datahelpdesk.worldbank.org/knowledgebase/articles/898581-api-basic-call-structures</x:v>
      </x:c>
      <x:c r="J40" s="36" t="str">
        <x:v>peer_ratio_inference</x:v>
      </x:c>
    </x:row>
    <x:row r="41">
      <x:c r="A41" s="24" t="str">
        <x:v>EUA</x:v>
      </x:c>
      <x:c r="B41" s="24" t="str">
        <x:v>France</x:v>
      </x:c>
      <x:c r="C41" s="24" t="n">
        <x:v>2003</x:v>
      </x:c>
      <x:c r="D41" s="24" t="str">
        <x:v>NCL</x:v>
      </x:c>
      <x:c r="E41" s="24" t="str">
        <x:v>ppp_gdp</x:v>
      </x:c>
      <x:c r="F41" s="38" t="n">
        <x:v>11158195046</x:v>
      </x:c>
      <x:c r="G41" s="24" t="str">
        <x:v>international dollars after scenario scaling</x:v>
      </x:c>
      <x:c r="H41" s="36" t="str">
        <x:v>PPP inferred from filled nominal GDP using East Asia &amp; Pacific; High income median PPP/nominal ratio 1.428 (10 peers)</x:v>
      </x:c>
      <x:c r="I41" s="36" t="str">
        <x:v>https://api.imf.org/external/sdmx/3.0/data/dataflow/IMF.RES/WEO/9.0.0/ | https://datahelpdesk.worldbank.org/knowledgebase/articles/898581-api-basic-call-structures</x:v>
      </x:c>
      <x:c r="J41" s="36" t="str">
        <x:v>peer_ratio_inference</x:v>
      </x:c>
    </x:row>
    <x:row r="42">
      <x:c r="A42" s="24" t="str">
        <x:v>EUA</x:v>
      </x:c>
      <x:c r="B42" s="24" t="str">
        <x:v>France</x:v>
      </x:c>
      <x:c r="C42" s="24" t="n">
        <x:v>2003</x:v>
      </x:c>
      <x:c r="D42" s="24" t="str">
        <x:v>WLF</x:v>
      </x:c>
      <x:c r="E42" s="24" t="str">
        <x:v>ppp_gdp</x:v>
      </x:c>
      <x:c r="F42" s="38" t="n">
        <x:v>164231470</x:v>
      </x:c>
      <x:c r="G42" s="24" t="str">
        <x:v>international dollars after scenario scaling</x:v>
      </x:c>
      <x:c r="H42" s="36" t="str">
        <x:v>PPP inferred from filled nominal GDP using global available-country peers median PPP/nominal ratio 2.577 (199 peers)</x:v>
      </x:c>
      <x:c r="I42" s="36" t="str">
        <x:v>https://api.imf.org/external/sdmx/3.0/data/dataflow/IMF.RES/WEO/9.0.0/ | https://datahelpdesk.worldbank.org/knowledgebase/articles/898581-api-basic-call-structures</x:v>
      </x:c>
      <x:c r="J42" s="36" t="str">
        <x:v>peer_ratio_inference</x:v>
      </x:c>
    </x:row>
    <x:row r="43">
      <x:c r="A43" s="24" t="str">
        <x:v>EUA</x:v>
      </x:c>
      <x:c r="B43" s="24" t="str">
        <x:v>France</x:v>
      </x:c>
      <x:c r="C43" s="24" t="n">
        <x:v>2003</x:v>
      </x:c>
      <x:c r="D43" s="24" t="str">
        <x:v>REU</x:v>
      </x:c>
      <x:c r="E43" s="24" t="str">
        <x:v>ppp_gdp</x:v>
      </x:c>
      <x:c r="F43" s="38" t="n">
        <x:v>8625190686</x:v>
      </x:c>
      <x:c r="G43" s="24" t="str">
        <x:v>international dollars after scenario scaling</x:v>
      </x:c>
      <x:c r="H43" s="36" t="str">
        <x:v>PPP inferred from filled nominal GDP using global available-country peers median PPP/nominal ratio 2.577 (199 peers)</x:v>
      </x:c>
      <x:c r="I43" s="36" t="str">
        <x:v>https://api.imf.org/external/sdmx/3.0/data/dataflow/IMF.RES/WEO/9.0.0/ | https://datahelpdesk.worldbank.org/knowledgebase/articles/898581-api-basic-call-structures</x:v>
      </x:c>
      <x:c r="J43" s="36" t="str">
        <x:v>peer_ratio_inference</x:v>
      </x:c>
    </x:row>
    <x:row r="44">
      <x:c r="A44" s="24" t="str">
        <x:v>EUA</x:v>
      </x:c>
      <x:c r="B44" s="24" t="str">
        <x:v>France</x:v>
      </x:c>
      <x:c r="C44" s="24" t="n">
        <x:v>2003</x:v>
      </x:c>
      <x:c r="D44" s="24" t="str">
        <x:v>MYT</x:v>
      </x:c>
      <x:c r="E44" s="24" t="str">
        <x:v>ppp_gdp</x:v>
      </x:c>
      <x:c r="F44" s="38" t="n">
        <x:v>1873174858</x:v>
      </x:c>
      <x:c r="G44" s="24" t="str">
        <x:v>international dollars after scenario scaling</x:v>
      </x:c>
      <x:c r="H44" s="36" t="str">
        <x:v>PPP inferred from filled nominal GDP using global available-country peers median PPP/nominal ratio 2.577 (199 peers)</x:v>
      </x:c>
      <x:c r="I44" s="36" t="str">
        <x:v>https://api.imf.org/external/sdmx/3.0/data/dataflow/IMF.RES/WEO/9.0.0/ | https://datahelpdesk.worldbank.org/knowledgebase/articles/898581-api-basic-call-structures</x:v>
      </x:c>
      <x:c r="J44" s="36" t="str">
        <x:v>peer_ratio_inference</x:v>
      </x:c>
    </x:row>
    <x:row r="45">
      <x:c r="A45" s="24" t="str">
        <x:v>EUA</x:v>
      </x:c>
      <x:c r="B45" s="24" t="str">
        <x:v>France</x:v>
      </x:c>
      <x:c r="C45" s="24" t="n">
        <x:v>2003</x:v>
      </x:c>
      <x:c r="D45" s="24" t="str">
        <x:v>GLP</x:v>
      </x:c>
      <x:c r="E45" s="24" t="str">
        <x:v>ppp_gdp</x:v>
      </x:c>
      <x:c r="F45" s="38" t="n">
        <x:v>4510479372</x:v>
      </x:c>
      <x:c r="G45" s="24" t="str">
        <x:v>international dollars after scenario scaling</x:v>
      </x:c>
      <x:c r="H45" s="36" t="str">
        <x:v>PPP inferred from filled nominal GDP using global available-country peers median PPP/nominal ratio 2.577 (199 peers)</x:v>
      </x:c>
      <x:c r="I45" s="36" t="str">
        <x:v>https://api.imf.org/external/sdmx/3.0/data/dataflow/IMF.RES/WEO/9.0.0/ | https://datahelpdesk.worldbank.org/knowledgebase/articles/898581-api-basic-call-structures</x:v>
      </x:c>
      <x:c r="J45" s="36" t="str">
        <x:v>peer_ratio_inference</x:v>
      </x:c>
    </x:row>
    <x:row r="46">
      <x:c r="A46" s="24" t="str">
        <x:v>EUA</x:v>
      </x:c>
      <x:c r="B46" s="24" t="str">
        <x:v>France</x:v>
      </x:c>
      <x:c r="C46" s="24" t="n">
        <x:v>2003</x:v>
      </x:c>
      <x:c r="D46" s="24" t="str">
        <x:v>MTQ</x:v>
      </x:c>
      <x:c r="E46" s="24" t="str">
        <x:v>ppp_gdp</x:v>
      </x:c>
      <x:c r="F46" s="38" t="n">
        <x:v>4455797373</x:v>
      </x:c>
      <x:c r="G46" s="24" t="str">
        <x:v>international dollars after scenario scaling</x:v>
      </x:c>
      <x:c r="H46" s="36" t="str">
        <x:v>PPP inferred from filled nominal GDP using global available-country peers median PPP/nominal ratio 2.577 (199 peers)</x:v>
      </x:c>
      <x:c r="I46" s="36" t="str">
        <x:v>https://api.imf.org/external/sdmx/3.0/data/dataflow/IMF.RES/WEO/9.0.0/ | https://datahelpdesk.worldbank.org/knowledgebase/articles/898581-api-basic-call-structures</x:v>
      </x:c>
      <x:c r="J46" s="36" t="str">
        <x:v>peer_ratio_inference</x:v>
      </x:c>
    </x:row>
    <x:row r="47">
      <x:c r="A47" s="24" t="str">
        <x:v>EUA</x:v>
      </x:c>
      <x:c r="B47" s="24" t="str">
        <x:v>France</x:v>
      </x:c>
      <x:c r="C47" s="24" t="n">
        <x:v>2003</x:v>
      </x:c>
      <x:c r="D47" s="24" t="str">
        <x:v>SPM</x:v>
      </x:c>
      <x:c r="E47" s="24" t="str">
        <x:v>ppp_gdp</x:v>
      </x:c>
      <x:c r="F47" s="38" t="n">
        <x:v>67752437</x:v>
      </x:c>
      <x:c r="G47" s="24" t="str">
        <x:v>international dollars after scenario scaling</x:v>
      </x:c>
      <x:c r="H47" s="36" t="str">
        <x:v>PPP inferred from filled nominal GDP using global available-country peers median PPP/nominal ratio 2.577 (199 peers)</x:v>
      </x:c>
      <x:c r="I47" s="36" t="str">
        <x:v>https://api.imf.org/external/sdmx/3.0/data/dataflow/IMF.RES/WEO/9.0.0/ | https://datahelpdesk.worldbank.org/knowledgebase/articles/898581-api-basic-call-structures</x:v>
      </x:c>
      <x:c r="J47" s="36" t="str">
        <x:v>peer_ratio_inference</x:v>
      </x:c>
    </x:row>
    <x:row r="48">
      <x:c r="A48" s="24" t="str">
        <x:v>EUA</x:v>
      </x:c>
      <x:c r="B48" s="24" t="str">
        <x:v>France</x:v>
      </x:c>
      <x:c r="C48" s="24" t="n">
        <x:v>2022</x:v>
      </x:c>
      <x:c r="D48" s="24" t="str">
        <x:v>MCO</x:v>
      </x:c>
      <x:c r="E48" s="24" t="str">
        <x:v>nominal_gdp</x:v>
      </x:c>
      <x:c r="F48" s="38" t="n">
        <x:v>8800432774</x:v>
      </x:c>
      <x:c r="G48" s="24" t="str">
        <x:v>USD after scenario scaling</x:v>
      </x:c>
      <x:c r="H48" s="36" t="str">
        <x:v>World Bank exact 2022</x:v>
      </x:c>
      <x:c r="I48" s="36" t="str">
        <x:v>https://api.worldbank.org/v2/country/MCO/indicator/NY.GDP.MKTP.CD?source=2&amp;date=2022&amp;format=json</x:v>
      </x:c>
      <x:c r="J48" s="36" t="str">
        <x:v>world_bank_exact</x:v>
      </x:c>
    </x:row>
    <x:row r="49">
      <x:c r="A49" s="24" t="str">
        <x:v>EUA</x:v>
      </x:c>
      <x:c r="B49" s="24" t="str">
        <x:v>France</x:v>
      </x:c>
      <x:c r="C49" s="24" t="n">
        <x:v>2022</x:v>
      </x:c>
      <x:c r="D49" s="24" t="str">
        <x:v>GUF</x:v>
      </x:c>
      <x:c r="E49" s="24" t="str">
        <x:v>nominal_gdp</x:v>
      </x:c>
      <x:c r="F49" s="38" t="n">
        <x:v>2268796800</x:v>
      </x:c>
      <x:c r="G49" s="24" t="str">
        <x:v>USD after scenario scaling</x:v>
      </x:c>
      <x:c r="H49" s="36" t="str">
        <x:v>nominal GDP/c inferred from global available-country peers median level (211 peers)</x:v>
      </x:c>
      <x:c r="I49" s="36" t="str">
        <x:v>https://api.imf.org/external/sdmx/3.0/data/dataflow/IMF.RES/WEO/9.0.0/ | https://datahelpdesk.worldbank.org/knowledgebase/articles/898581-api-basic-call-structures</x:v>
      </x:c>
      <x:c r="J49" s="36" t="str">
        <x:v>peer_level_inference</x:v>
      </x:c>
    </x:row>
    <x:row r="50">
      <x:c r="A50" s="24" t="str">
        <x:v>EUA</x:v>
      </x:c>
      <x:c r="B50" s="24" t="str">
        <x:v>France</x:v>
      </x:c>
      <x:c r="C50" s="24" t="n">
        <x:v>2022</x:v>
      </x:c>
      <x:c r="D50" s="24" t="str">
        <x:v>PYF</x:v>
      </x:c>
      <x:c r="E50" s="24" t="str">
        <x:v>nominal_gdp</x:v>
      </x:c>
      <x:c r="F50" s="38" t="n">
        <x:v>5622688338</x:v>
      </x:c>
      <x:c r="G50" s="24" t="str">
        <x:v>USD after scenario scaling</x:v>
      </x:c>
      <x:c r="H50" s="36" t="str">
        <x:v>World Bank exact 2022</x:v>
      </x:c>
      <x:c r="I50" s="36" t="str">
        <x:v>https://api.worldbank.org/v2/country/PYF/indicator/NY.GDP.MKTP.CD?source=2&amp;date=2022&amp;format=json</x:v>
      </x:c>
      <x:c r="J50" s="36" t="str">
        <x:v>world_bank_exact</x:v>
      </x:c>
    </x:row>
    <x:row r="51">
      <x:c r="A51" s="24" t="str">
        <x:v>EUA</x:v>
      </x:c>
      <x:c r="B51" s="24" t="str">
        <x:v>France</x:v>
      </x:c>
      <x:c r="C51" s="24" t="n">
        <x:v>2022</x:v>
      </x:c>
      <x:c r="D51" s="24" t="str">
        <x:v>NCL</x:v>
      </x:c>
      <x:c r="E51" s="24" t="str">
        <x:v>nominal_gdp</x:v>
      </x:c>
      <x:c r="F51" s="38" t="n">
        <x:v>9623318718</x:v>
      </x:c>
      <x:c r="G51" s="24" t="str">
        <x:v>USD after scenario scaling</x:v>
      </x:c>
      <x:c r="H51" s="36" t="str">
        <x:v>World Bank exact 2022</x:v>
      </x:c>
      <x:c r="I51" s="36" t="str">
        <x:v>https://api.worldbank.org/v2/country/NCL/indicator/NY.GDP.MKTP.CD?source=2&amp;date=2022&amp;format=json</x:v>
      </x:c>
      <x:c r="J51" s="36" t="str">
        <x:v>world_bank_exact</x:v>
      </x:c>
    </x:row>
    <x:row r="52">
      <x:c r="A52" s="24" t="str">
        <x:v>EUA</x:v>
      </x:c>
      <x:c r="B52" s="24" t="str">
        <x:v>France</x:v>
      </x:c>
      <x:c r="C52" s="24" t="n">
        <x:v>2022</x:v>
      </x:c>
      <x:c r="D52" s="24" t="str">
        <x:v>WLF</x:v>
      </x:c>
      <x:c r="E52" s="24" t="str">
        <x:v>nominal_gdp</x:v>
      </x:c>
      <x:c r="F52" s="38" t="n">
        <x:v>87297103</x:v>
      </x:c>
      <x:c r="G52" s="24" t="str">
        <x:v>USD after scenario scaling</x:v>
      </x:c>
      <x:c r="H52" s="36" t="str">
        <x:v>nominal GDP/c inferred from global available-country peers median level (211 peers)</x:v>
      </x:c>
      <x:c r="I52" s="36" t="str">
        <x:v>https://api.imf.org/external/sdmx/3.0/data/dataflow/IMF.RES/WEO/9.0.0/ | https://datahelpdesk.worldbank.org/knowledgebase/articles/898581-api-basic-call-structures</x:v>
      </x:c>
      <x:c r="J52" s="36" t="str">
        <x:v>peer_level_inference</x:v>
      </x:c>
    </x:row>
    <x:row r="53">
      <x:c r="A53" s="24" t="str">
        <x:v>EUA</x:v>
      </x:c>
      <x:c r="B53" s="24" t="str">
        <x:v>France</x:v>
      </x:c>
      <x:c r="C53" s="24" t="n">
        <x:v>2022</x:v>
      </x:c>
      <x:c r="D53" s="24" t="str">
        <x:v>REU</x:v>
      </x:c>
      <x:c r="E53" s="24" t="str">
        <x:v>nominal_gdp</x:v>
      </x:c>
      <x:c r="F53" s="38" t="n">
        <x:v>6628586628</x:v>
      </x:c>
      <x:c r="G53" s="24" t="str">
        <x:v>USD after scenario scaling</x:v>
      </x:c>
      <x:c r="H53" s="36" t="str">
        <x:v>nominal GDP/c inferred from global available-country peers median level (211 peers)</x:v>
      </x:c>
      <x:c r="I53" s="36" t="str">
        <x:v>https://api.imf.org/external/sdmx/3.0/data/dataflow/IMF.RES/WEO/9.0.0/ | https://datahelpdesk.worldbank.org/knowledgebase/articles/898581-api-basic-call-structures</x:v>
      </x:c>
      <x:c r="J53" s="36" t="str">
        <x:v>peer_level_inference</x:v>
      </x:c>
    </x:row>
    <x:row r="54">
      <x:c r="A54" s="24" t="str">
        <x:v>EUA</x:v>
      </x:c>
      <x:c r="B54" s="24" t="str">
        <x:v>France</x:v>
      </x:c>
      <x:c r="C54" s="24" t="n">
        <x:v>2022</x:v>
      </x:c>
      <x:c r="D54" s="24" t="str">
        <x:v>MYT</x:v>
      </x:c>
      <x:c r="E54" s="24" t="str">
        <x:v>nominal_gdp</x:v>
      </x:c>
      <x:c r="F54" s="38" t="n">
        <x:v>2321754608</x:v>
      </x:c>
      <x:c r="G54" s="24" t="str">
        <x:v>USD after scenario scaling</x:v>
      </x:c>
      <x:c r="H54" s="36" t="str">
        <x:v>nominal GDP/c inferred from global available-country peers median level (211 peers)</x:v>
      </x:c>
      <x:c r="I54" s="36" t="str">
        <x:v>https://api.imf.org/external/sdmx/3.0/data/dataflow/IMF.RES/WEO/9.0.0/ | https://datahelpdesk.worldbank.org/knowledgebase/articles/898581-api-basic-call-structures</x:v>
      </x:c>
      <x:c r="J54" s="36" t="str">
        <x:v>peer_level_inference</x:v>
      </x:c>
    </x:row>
    <x:row r="55">
      <x:c r="A55" s="24" t="str">
        <x:v>EUA</x:v>
      </x:c>
      <x:c r="B55" s="24" t="str">
        <x:v>France</x:v>
      </x:c>
      <x:c r="C55" s="24" t="n">
        <x:v>2022</x:v>
      </x:c>
      <x:c r="D55" s="24" t="str">
        <x:v>GLP</x:v>
      </x:c>
      <x:c r="E55" s="24" t="str">
        <x:v>nominal_gdp</x:v>
      </x:c>
      <x:c r="F55" s="38" t="n">
        <x:v>2925852388</x:v>
      </x:c>
      <x:c r="G55" s="24" t="str">
        <x:v>USD after scenario scaling</x:v>
      </x:c>
      <x:c r="H55" s="36" t="str">
        <x:v>nominal GDP/c inferred from global available-country peers median level (211 peers)</x:v>
      </x:c>
      <x:c r="I55" s="36" t="str">
        <x:v>https://api.imf.org/external/sdmx/3.0/data/dataflow/IMF.RES/WEO/9.0.0/ | https://datahelpdesk.worldbank.org/knowledgebase/articles/898581-api-basic-call-structures</x:v>
      </x:c>
      <x:c r="J55" s="36" t="str">
        <x:v>peer_level_inference</x:v>
      </x:c>
    </x:row>
    <x:row r="56">
      <x:c r="A56" s="24" t="str">
        <x:v>EUA</x:v>
      </x:c>
      <x:c r="B56" s="24" t="str">
        <x:v>France</x:v>
      </x:c>
      <x:c r="C56" s="24" t="n">
        <x:v>2022</x:v>
      </x:c>
      <x:c r="D56" s="24" t="str">
        <x:v>MTQ</x:v>
      </x:c>
      <x:c r="E56" s="24" t="str">
        <x:v>nominal_gdp</x:v>
      </x:c>
      <x:c r="F56" s="38" t="n">
        <x:v>2657846174</x:v>
      </x:c>
      <x:c r="G56" s="24" t="str">
        <x:v>USD after scenario scaling</x:v>
      </x:c>
      <x:c r="H56" s="36" t="str">
        <x:v>nominal GDP/c inferred from global available-country peers median level (211 peers)</x:v>
      </x:c>
      <x:c r="I56" s="36" t="str">
        <x:v>https://api.imf.org/external/sdmx/3.0/data/dataflow/IMF.RES/WEO/9.0.0/ | https://datahelpdesk.worldbank.org/knowledgebase/articles/898581-api-basic-call-structures</x:v>
      </x:c>
      <x:c r="J56" s="36" t="str">
        <x:v>peer_level_inference</x:v>
      </x:c>
    </x:row>
    <x:row r="57">
      <x:c r="A57" s="24" t="str">
        <x:v>EUA</x:v>
      </x:c>
      <x:c r="B57" s="24" t="str">
        <x:v>France</x:v>
      </x:c>
      <x:c r="C57" s="24" t="n">
        <x:v>2022</x:v>
      </x:c>
      <x:c r="D57" s="24" t="str">
        <x:v>SPM</x:v>
      </x:c>
      <x:c r="E57" s="24" t="str">
        <x:v>nominal_gdp</x:v>
      </x:c>
      <x:c r="F57" s="38" t="n">
        <x:v>43595312</x:v>
      </x:c>
      <x:c r="G57" s="24" t="str">
        <x:v>USD after scenario scaling</x:v>
      </x:c>
      <x:c r="H57" s="36" t="str">
        <x:v>nominal GDP/c inferred from global available-country peers median level (211 peers)</x:v>
      </x:c>
      <x:c r="I57" s="36" t="str">
        <x:v>https://api.imf.org/external/sdmx/3.0/data/dataflow/IMF.RES/WEO/9.0.0/ | https://datahelpdesk.worldbank.org/knowledgebase/articles/898581-api-basic-call-structures</x:v>
      </x:c>
      <x:c r="J57" s="36" t="str">
        <x:v>peer_level_inference</x:v>
      </x:c>
    </x:row>
    <x:row r="58">
      <x:c r="A58" s="24" t="str">
        <x:v>EUA</x:v>
      </x:c>
      <x:c r="B58" s="24" t="str">
        <x:v>France</x:v>
      </x:c>
      <x:c r="C58" s="24" t="n">
        <x:v>2022</x:v>
      </x:c>
      <x:c r="D58" s="24" t="str">
        <x:v>MCO</x:v>
      </x:c>
      <x:c r="E58" s="24" t="str">
        <x:v>ppp_gdp</x:v>
      </x:c>
      <x:c r="F58" s="38" t="n">
        <x:v>13335784068</x:v>
      </x:c>
      <x:c r="G58" s="24" t="str">
        <x:v>international dollars after scenario scaling</x:v>
      </x:c>
      <x:c r="H58" s="36" t="str">
        <x:v>PPP inferred from filled nominal GDP using Europe &amp; Central Asia; High income median PPP/nominal ratio 1.515 (36 peers)</x:v>
      </x:c>
      <x:c r="I58" s="36" t="str">
        <x:v>https://api.imf.org/external/sdmx/3.0/data/dataflow/IMF.RES/WEO/9.0.0/ | https://datahelpdesk.worldbank.org/knowledgebase/articles/898581-api-basic-call-structures</x:v>
      </x:c>
      <x:c r="J58" s="36" t="str">
        <x:v>peer_ratio_inference</x:v>
      </x:c>
    </x:row>
    <x:row r="59">
      <x:c r="A59" s="24" t="str">
        <x:v>EUA</x:v>
      </x:c>
      <x:c r="B59" s="24" t="str">
        <x:v>France</x:v>
      </x:c>
      <x:c r="C59" s="24" t="n">
        <x:v>2022</x:v>
      </x:c>
      <x:c r="D59" s="24" t="str">
        <x:v>GUF</x:v>
      </x:c>
      <x:c r="E59" s="24" t="str">
        <x:v>ppp_gdp</x:v>
      </x:c>
      <x:c r="F59" s="38" t="n">
        <x:v>5180737293</x:v>
      </x:c>
      <x:c r="G59" s="24" t="str">
        <x:v>international dollars after scenario scaling</x:v>
      </x:c>
      <x:c r="H59" s="36" t="str">
        <x:v>PPP inferred from filled nominal GDP using global available-country peers median PPP/nominal ratio 2.283 (203 peers)</x:v>
      </x:c>
      <x:c r="I59" s="36" t="str">
        <x:v>https://api.imf.org/external/sdmx/3.0/data/dataflow/IMF.RES/WEO/9.0.0/ | https://datahelpdesk.worldbank.org/knowledgebase/articles/898581-api-basic-call-structures</x:v>
      </x:c>
      <x:c r="J59" s="36" t="str">
        <x:v>peer_ratio_inference</x:v>
      </x:c>
    </x:row>
    <x:row r="60">
      <x:c r="A60" s="24" t="str">
        <x:v>EUA</x:v>
      </x:c>
      <x:c r="B60" s="24" t="str">
        <x:v>France</x:v>
      </x:c>
      <x:c r="C60" s="24" t="n">
        <x:v>2022</x:v>
      </x:c>
      <x:c r="D60" s="24" t="str">
        <x:v>PYF</x:v>
      </x:c>
      <x:c r="E60" s="24" t="str">
        <x:v>ppp_gdp</x:v>
      </x:c>
      <x:c r="F60" s="38" t="n">
        <x:v>7936424576</x:v>
      </x:c>
      <x:c r="G60" s="24" t="str">
        <x:v>international dollars after scenario scaling</x:v>
      </x:c>
      <x:c r="H60" s="36" t="str">
        <x:v>PPP inferred from filled nominal GDP using East Asia &amp; Pacific; High income median PPP/nominal ratio 1.411 (10 peers)</x:v>
      </x:c>
      <x:c r="I60" s="36" t="str">
        <x:v>https://api.imf.org/external/sdmx/3.0/data/dataflow/IMF.RES/WEO/9.0.0/ | https://datahelpdesk.worldbank.org/knowledgebase/articles/898581-api-basic-call-structures</x:v>
      </x:c>
      <x:c r="J60" s="36" t="str">
        <x:v>peer_ratio_inference</x:v>
      </x:c>
    </x:row>
    <x:row r="61">
      <x:c r="A61" s="24" t="str">
        <x:v>EUA</x:v>
      </x:c>
      <x:c r="B61" s="24" t="str">
        <x:v>France</x:v>
      </x:c>
      <x:c r="C61" s="24" t="n">
        <x:v>2022</x:v>
      </x:c>
      <x:c r="D61" s="24" t="str">
        <x:v>NCL</x:v>
      </x:c>
      <x:c r="E61" s="24" t="str">
        <x:v>ppp_gdp</x:v>
      </x:c>
      <x:c r="F61" s="38" t="n">
        <x:v>13583314348</x:v>
      </x:c>
      <x:c r="G61" s="24" t="str">
        <x:v>international dollars after scenario scaling</x:v>
      </x:c>
      <x:c r="H61" s="36" t="str">
        <x:v>PPP inferred from filled nominal GDP using East Asia &amp; Pacific; High income median PPP/nominal ratio 1.411 (10 peers)</x:v>
      </x:c>
      <x:c r="I61" s="36" t="str">
        <x:v>https://api.imf.org/external/sdmx/3.0/data/dataflow/IMF.RES/WEO/9.0.0/ | https://datahelpdesk.worldbank.org/knowledgebase/articles/898581-api-basic-call-structures</x:v>
      </x:c>
      <x:c r="J61" s="36" t="str">
        <x:v>peer_ratio_inference</x:v>
      </x:c>
    </x:row>
    <x:row r="62">
      <x:c r="A62" s="24" t="str">
        <x:v>EUA</x:v>
      </x:c>
      <x:c r="B62" s="24" t="str">
        <x:v>France</x:v>
      </x:c>
      <x:c r="C62" s="24" t="n">
        <x:v>2022</x:v>
      </x:c>
      <x:c r="D62" s="24" t="str">
        <x:v>WLF</x:v>
      </x:c>
      <x:c r="E62" s="24" t="str">
        <x:v>ppp_gdp</x:v>
      </x:c>
      <x:c r="F62" s="38" t="n">
        <x:v>199340619</x:v>
      </x:c>
      <x:c r="G62" s="24" t="str">
        <x:v>international dollars after scenario scaling</x:v>
      </x:c>
      <x:c r="H62" s="36" t="str">
        <x:v>PPP inferred from filled nominal GDP using global available-country peers median PPP/nominal ratio 2.283 (203 peers)</x:v>
      </x:c>
      <x:c r="I62" s="36" t="str">
        <x:v>https://api.imf.org/external/sdmx/3.0/data/dataflow/IMF.RES/WEO/9.0.0/ | https://datahelpdesk.worldbank.org/knowledgebase/articles/898581-api-basic-call-structures</x:v>
      </x:c>
      <x:c r="J62" s="36" t="str">
        <x:v>peer_ratio_inference</x:v>
      </x:c>
    </x:row>
    <x:row r="63">
      <x:c r="A63" s="24" t="str">
        <x:v>EUA</x:v>
      </x:c>
      <x:c r="B63" s="24" t="str">
        <x:v>France</x:v>
      </x:c>
      <x:c r="C63" s="24" t="n">
        <x:v>2022</x:v>
      </x:c>
      <x:c r="D63" s="24" t="str">
        <x:v>REU</x:v>
      </x:c>
      <x:c r="E63" s="24" t="str">
        <x:v>ppp_gdp</x:v>
      </x:c>
      <x:c r="F63" s="38" t="n">
        <x:v>15136201685</x:v>
      </x:c>
      <x:c r="G63" s="24" t="str">
        <x:v>international dollars after scenario scaling</x:v>
      </x:c>
      <x:c r="H63" s="36" t="str">
        <x:v>PPP inferred from filled nominal GDP using global available-country peers median PPP/nominal ratio 2.283 (203 peers)</x:v>
      </x:c>
      <x:c r="I63" s="36" t="str">
        <x:v>https://api.imf.org/external/sdmx/3.0/data/dataflow/IMF.RES/WEO/9.0.0/ | https://datahelpdesk.worldbank.org/knowledgebase/articles/898581-api-basic-call-structures</x:v>
      </x:c>
      <x:c r="J63" s="36" t="str">
        <x:v>peer_ratio_inference</x:v>
      </x:c>
    </x:row>
    <x:row r="64">
      <x:c r="A64" s="24" t="str">
        <x:v>EUA</x:v>
      </x:c>
      <x:c r="B64" s="24" t="str">
        <x:v>France</x:v>
      </x:c>
      <x:c r="C64" s="24" t="n">
        <x:v>2022</x:v>
      </x:c>
      <x:c r="D64" s="24" t="str">
        <x:v>MYT</x:v>
      </x:c>
      <x:c r="E64" s="24" t="str">
        <x:v>ppp_gdp</x:v>
      </x:c>
      <x:c r="F64" s="38" t="n">
        <x:v>5301665044</x:v>
      </x:c>
      <x:c r="G64" s="24" t="str">
        <x:v>international dollars after scenario scaling</x:v>
      </x:c>
      <x:c r="H64" s="36" t="str">
        <x:v>PPP inferred from filled nominal GDP using global available-country peers median PPP/nominal ratio 2.283 (203 peers)</x:v>
      </x:c>
      <x:c r="I64" s="36" t="str">
        <x:v>https://api.imf.org/external/sdmx/3.0/data/dataflow/IMF.RES/WEO/9.0.0/ | https://datahelpdesk.worldbank.org/knowledgebase/articles/898581-api-basic-call-structures</x:v>
      </x:c>
      <x:c r="J64" s="36" t="str">
        <x:v>peer_ratio_inference</x:v>
      </x:c>
    </x:row>
    <x:row r="65">
      <x:c r="A65" s="24" t="str">
        <x:v>EUA</x:v>
      </x:c>
      <x:c r="B65" s="24" t="str">
        <x:v>France</x:v>
      </x:c>
      <x:c r="C65" s="24" t="n">
        <x:v>2022</x:v>
      </x:c>
      <x:c r="D65" s="24" t="str">
        <x:v>GLP</x:v>
      </x:c>
      <x:c r="E65" s="24" t="str">
        <x:v>ppp_gdp</x:v>
      </x:c>
      <x:c r="F65" s="38" t="n">
        <x:v>6681106294</x:v>
      </x:c>
      <x:c r="G65" s="24" t="str">
        <x:v>international dollars after scenario scaling</x:v>
      </x:c>
      <x:c r="H65" s="36" t="str">
        <x:v>PPP inferred from filled nominal GDP using global available-country peers median PPP/nominal ratio 2.283 (203 peers)</x:v>
      </x:c>
      <x:c r="I65" s="36" t="str">
        <x:v>https://api.imf.org/external/sdmx/3.0/data/dataflow/IMF.RES/WEO/9.0.0/ | https://datahelpdesk.worldbank.org/knowledgebase/articles/898581-api-basic-call-structures</x:v>
      </x:c>
      <x:c r="J65" s="36" t="str">
        <x:v>peer_ratio_inference</x:v>
      </x:c>
    </x:row>
    <x:row r="66">
      <x:c r="A66" s="24" t="str">
        <x:v>EUA</x:v>
      </x:c>
      <x:c r="B66" s="24" t="str">
        <x:v>France</x:v>
      </x:c>
      <x:c r="C66" s="24" t="n">
        <x:v>2022</x:v>
      </x:c>
      <x:c r="D66" s="24" t="str">
        <x:v>MTQ</x:v>
      </x:c>
      <x:c r="E66" s="24" t="str">
        <x:v>ppp_gdp</x:v>
      </x:c>
      <x:c r="F66" s="38" t="n">
        <x:v>6069121216</x:v>
      </x:c>
      <x:c r="G66" s="24" t="str">
        <x:v>international dollars after scenario scaling</x:v>
      </x:c>
      <x:c r="H66" s="36" t="str">
        <x:v>PPP inferred from filled nominal GDP using global available-country peers median PPP/nominal ratio 2.283 (203 peers)</x:v>
      </x:c>
      <x:c r="I66" s="36" t="str">
        <x:v>https://api.imf.org/external/sdmx/3.0/data/dataflow/IMF.RES/WEO/9.0.0/ | https://datahelpdesk.worldbank.org/knowledgebase/articles/898581-api-basic-call-structures</x:v>
      </x:c>
      <x:c r="J66" s="36" t="str">
        <x:v>peer_ratio_inference</x:v>
      </x:c>
    </x:row>
    <x:row r="67">
      <x:c r="A67" s="24" t="str">
        <x:v>EUA</x:v>
      </x:c>
      <x:c r="B67" s="24" t="str">
        <x:v>France</x:v>
      </x:c>
      <x:c r="C67" s="24" t="n">
        <x:v>2022</x:v>
      </x:c>
      <x:c r="D67" s="24" t="str">
        <x:v>SPM</x:v>
      </x:c>
      <x:c r="E67" s="24" t="str">
        <x:v>ppp_gdp</x:v>
      </x:c>
      <x:c r="F67" s="38" t="n">
        <x:v>99548739</x:v>
      </x:c>
      <x:c r="G67" s="24" t="str">
        <x:v>international dollars after scenario scaling</x:v>
      </x:c>
      <x:c r="H67" s="36" t="str">
        <x:v>PPP inferred from filled nominal GDP using global available-country peers median PPP/nominal ratio 2.283 (203 peers)</x:v>
      </x:c>
      <x:c r="I67" s="36" t="str">
        <x:v>https://api.imf.org/external/sdmx/3.0/data/dataflow/IMF.RES/WEO/9.0.0/ | https://datahelpdesk.worldbank.org/knowledgebase/articles/898581-api-basic-call-structures</x:v>
      </x:c>
      <x:c r="J67" s="36" t="str">
        <x:v>peer_ratio_inference</x:v>
      </x:c>
    </x:row>
    <x:row r="68">
      <x:c r="A68" s="24" t="str">
        <x:v>EUA</x:v>
      </x:c>
      <x:c r="B68" s="24" t="str">
        <x:v>France</x:v>
      </x:c>
      <x:c r="C68" s="24" t="n">
        <x:v>2026</x:v>
      </x:c>
      <x:c r="D68" s="24" t="str">
        <x:v>MCO</x:v>
      </x:c>
      <x:c r="E68" s="24" t="str">
        <x:v>nominal_gdp</x:v>
      </x:c>
      <x:c r="F68" s="38" t="n">
        <x:v>11405692151</x:v>
      </x:c>
      <x:c r="G68" s="24" t="str">
        <x:v>USD after scenario scaling</x:v>
      </x:c>
      <x:c r="H68" s="36" t="str">
        <x:v>peer-growth inference from World Bank 2024; Europe &amp; Central Asia; High income median 6.29%/yr (34 peers, capped at ±8%)</x:v>
      </x:c>
      <x:c r="I68" s="36" t="str">
        <x:v>https://api.worldbank.org/v2/country/MCO/indicator/NY.GDP.MKTP.CD?source=2&amp;date=2024&amp;format=json | https://api.imf.org/external/sdmx/3.0/data/dataflow/IMF.RES/WEO/9.0.0/ | https://datahelpdesk.worldbank.org/knowledgebase/articles/898581-api-basic-call-structures</x:v>
      </x:c>
      <x:c r="J68" s="36" t="str">
        <x:v>peer_growth_inference</x:v>
      </x:c>
    </x:row>
    <x:row r="69">
      <x:c r="A69" s="24" t="str">
        <x:v>EUA</x:v>
      </x:c>
      <x:c r="B69" s="24" t="str">
        <x:v>France</x:v>
      </x:c>
      <x:c r="C69" s="24" t="n">
        <x:v>2026</x:v>
      </x:c>
      <x:c r="D69" s="24" t="str">
        <x:v>GUF</x:v>
      </x:c>
      <x:c r="E69" s="24" t="str">
        <x:v>nominal_gdp</x:v>
      </x:c>
      <x:c r="F69" s="38" t="n">
        <x:v>2248496889</x:v>
      </x:c>
      <x:c r="G69" s="24" t="str">
        <x:v>USD after scenario scaling</x:v>
      </x:c>
      <x:c r="H69" s="36" t="str">
        <x:v>nominal GDP/c inferred from global available-country peers median level (177 peers)</x:v>
      </x:c>
      <x:c r="I69" s="36" t="str">
        <x:v>https://api.imf.org/external/sdmx/3.0/data/dataflow/IMF.RES/WEO/9.0.0/ | https://datahelpdesk.worldbank.org/knowledgebase/articles/898581-api-basic-call-structures</x:v>
      </x:c>
      <x:c r="J69" s="36" t="str">
        <x:v>peer_level_inference</x:v>
      </x:c>
    </x:row>
    <x:row r="70">
      <x:c r="A70" s="24" t="str">
        <x:v>EUA</x:v>
      </x:c>
      <x:c r="B70" s="24" t="str">
        <x:v>France</x:v>
      </x:c>
      <x:c r="C70" s="24" t="n">
        <x:v>2026</x:v>
      </x:c>
      <x:c r="D70" s="24" t="str">
        <x:v>PYF</x:v>
      </x:c>
      <x:c r="E70" s="24" t="str">
        <x:v>nominal_gdp</x:v>
      </x:c>
      <x:c r="F70" s="38" t="n">
        <x:v>5922254672</x:v>
      </x:c>
      <x:c r="G70" s="24" t="str">
        <x:v>USD after scenario scaling</x:v>
      </x:c>
      <x:c r="H70" s="36" t="str">
        <x:v>peer-growth inference from World Bank 2024; East Asia &amp; Pacific; High income median 0.65%/yr (6 peers, capped at ±8%)</x:v>
      </x:c>
      <x:c r="I70" s="36" t="str">
        <x:v>https://api.worldbank.org/v2/country/PYF/indicator/NY.GDP.MKTP.CD?source=2&amp;date=2024&amp;format=json | https://api.imf.org/external/sdmx/3.0/data/dataflow/IMF.RES/WEO/9.0.0/ | https://datahelpdesk.worldbank.org/knowledgebase/articles/898581-api-basic-call-structures</x:v>
      </x:c>
      <x:c r="J70" s="36" t="str">
        <x:v>peer_growth_inference</x:v>
      </x:c>
    </x:row>
    <x:row r="71">
      <x:c r="A71" s="24" t="str">
        <x:v>EUA</x:v>
      </x:c>
      <x:c r="B71" s="24" t="str">
        <x:v>France</x:v>
      </x:c>
      <x:c r="C71" s="24" t="n">
        <x:v>2026</x:v>
      </x:c>
      <x:c r="D71" s="24" t="str">
        <x:v>NCL</x:v>
      </x:c>
      <x:c r="E71" s="24" t="str">
        <x:v>nominal_gdp</x:v>
      </x:c>
      <x:c r="F71" s="38" t="n">
        <x:v>8113370002</x:v>
      </x:c>
      <x:c r="G71" s="24" t="str">
        <x:v>USD after scenario scaling</x:v>
      </x:c>
      <x:c r="H71" s="36" t="str">
        <x:v>peer-growth inference from World Bank 2024; East Asia &amp; Pacific; High income median 0.65%/yr (6 peers, capped at ±8%)</x:v>
      </x:c>
      <x:c r="I71" s="36" t="str">
        <x:v>https://api.worldbank.org/v2/country/NCL/indicator/NY.GDP.MKTP.CD?source=2&amp;date=2024&amp;format=json | https://api.imf.org/external/sdmx/3.0/data/dataflow/IMF.RES/WEO/9.0.0/ | https://datahelpdesk.worldbank.org/knowledgebase/articles/898581-api-basic-call-structures</x:v>
      </x:c>
      <x:c r="J71" s="36" t="str">
        <x:v>peer_growth_inference</x:v>
      </x:c>
    </x:row>
    <x:row r="72">
      <x:c r="A72" s="24" t="str">
        <x:v>EUA</x:v>
      </x:c>
      <x:c r="B72" s="24" t="str">
        <x:v>France</x:v>
      </x:c>
      <x:c r="C72" s="24" t="n">
        <x:v>2026</x:v>
      </x:c>
      <x:c r="D72" s="24" t="str">
        <x:v>WLF</x:v>
      </x:c>
      <x:c r="E72" s="24" t="str">
        <x:v>nominal_gdp</x:v>
      </x:c>
      <x:c r="F72" s="38" t="n">
        <x:v>78362308</x:v>
      </x:c>
      <x:c r="G72" s="24" t="str">
        <x:v>USD after scenario scaling</x:v>
      </x:c>
      <x:c r="H72" s="36" t="str">
        <x:v>nominal GDP/c inferred from global available-country peers median level (177 peers)</x:v>
      </x:c>
      <x:c r="I72" s="36" t="str">
        <x:v>https://api.imf.org/external/sdmx/3.0/data/dataflow/IMF.RES/WEO/9.0.0/ | https://datahelpdesk.worldbank.org/knowledgebase/articles/898581-api-basic-call-structures</x:v>
      </x:c>
      <x:c r="J72" s="36" t="str">
        <x:v>peer_level_inference</x:v>
      </x:c>
    </x:row>
    <x:row r="73">
      <x:c r="A73" s="24" t="str">
        <x:v>EUA</x:v>
      </x:c>
      <x:c r="B73" s="24" t="str">
        <x:v>France</x:v>
      </x:c>
      <x:c r="C73" s="24" t="n">
        <x:v>2026</x:v>
      </x:c>
      <x:c r="D73" s="24" t="str">
        <x:v>REU</x:v>
      </x:c>
      <x:c r="E73" s="24" t="str">
        <x:v>nominal_gdp</x:v>
      </x:c>
      <x:c r="F73" s="38" t="n">
        <x:v>6249649690</x:v>
      </x:c>
      <x:c r="G73" s="24" t="str">
        <x:v>USD after scenario scaling</x:v>
      </x:c>
      <x:c r="H73" s="36" t="str">
        <x:v>nominal GDP/c inferred from global available-country peers median level (177 peers)</x:v>
      </x:c>
      <x:c r="I73" s="36" t="str">
        <x:v>https://api.imf.org/external/sdmx/3.0/data/dataflow/IMF.RES/WEO/9.0.0/ | https://datahelpdesk.worldbank.org/knowledgebase/articles/898581-api-basic-call-structures</x:v>
      </x:c>
      <x:c r="J73" s="36" t="str">
        <x:v>peer_level_inference</x:v>
      </x:c>
    </x:row>
    <x:row r="74">
      <x:c r="A74" s="24" t="str">
        <x:v>EUA</x:v>
      </x:c>
      <x:c r="B74" s="24" t="str">
        <x:v>France</x:v>
      </x:c>
      <x:c r="C74" s="24" t="n">
        <x:v>2026</x:v>
      </x:c>
      <x:c r="D74" s="24" t="str">
        <x:v>MYT</x:v>
      </x:c>
      <x:c r="E74" s="24" t="str">
        <x:v>nominal_gdp</x:v>
      </x:c>
      <x:c r="F74" s="38" t="n">
        <x:v>2450618477</x:v>
      </x:c>
      <x:c r="G74" s="24" t="str">
        <x:v>USD after scenario scaling</x:v>
      </x:c>
      <x:c r="H74" s="36" t="str">
        <x:v>nominal GDP/c inferred from global available-country peers median level (177 peers)</x:v>
      </x:c>
      <x:c r="I74" s="36" t="str">
        <x:v>https://api.imf.org/external/sdmx/3.0/data/dataflow/IMF.RES/WEO/9.0.0/ | https://datahelpdesk.worldbank.org/knowledgebase/articles/898581-api-basic-call-structures</x:v>
      </x:c>
      <x:c r="J74" s="36" t="str">
        <x:v>peer_level_inference</x:v>
      </x:c>
    </x:row>
    <x:row r="75">
      <x:c r="A75" s="24" t="str">
        <x:v>EUA</x:v>
      </x:c>
      <x:c r="B75" s="24" t="str">
        <x:v>France</x:v>
      </x:c>
      <x:c r="C75" s="24" t="n">
        <x:v>2026</x:v>
      </x:c>
      <x:c r="D75" s="24" t="str">
        <x:v>GLP</x:v>
      </x:c>
      <x:c r="E75" s="24" t="str">
        <x:v>nominal_gdp</x:v>
      </x:c>
      <x:c r="F75" s="38" t="n">
        <x:v>2626318435</x:v>
      </x:c>
      <x:c r="G75" s="24" t="str">
        <x:v>USD after scenario scaling</x:v>
      </x:c>
      <x:c r="H75" s="36" t="str">
        <x:v>nominal GDP/c inferred from global available-country peers median level (177 peers)</x:v>
      </x:c>
      <x:c r="I75" s="36" t="str">
        <x:v>https://api.imf.org/external/sdmx/3.0/data/dataflow/IMF.RES/WEO/9.0.0/ | https://datahelpdesk.worldbank.org/knowledgebase/articles/898581-api-basic-call-structures</x:v>
      </x:c>
      <x:c r="J75" s="36" t="str">
        <x:v>peer_level_inference</x:v>
      </x:c>
    </x:row>
    <x:row r="76">
      <x:c r="A76" s="24" t="str">
        <x:v>EUA</x:v>
      </x:c>
      <x:c r="B76" s="24" t="str">
        <x:v>France</x:v>
      </x:c>
      <x:c r="C76" s="24" t="n">
        <x:v>2026</x:v>
      </x:c>
      <x:c r="D76" s="24" t="str">
        <x:v>MTQ</x:v>
      </x:c>
      <x:c r="E76" s="24" t="str">
        <x:v>nominal_gdp</x:v>
      </x:c>
      <x:c r="F76" s="38" t="n">
        <x:v>2381338383</x:v>
      </x:c>
      <x:c r="G76" s="24" t="str">
        <x:v>USD after scenario scaling</x:v>
      </x:c>
      <x:c r="H76" s="36" t="str">
        <x:v>nominal GDP/c inferred from global available-country peers median level (177 peers)</x:v>
      </x:c>
      <x:c r="I76" s="36" t="str">
        <x:v>https://api.imf.org/external/sdmx/3.0/data/dataflow/IMF.RES/WEO/9.0.0/ | https://datahelpdesk.worldbank.org/knowledgebase/articles/898581-api-basic-call-structures</x:v>
      </x:c>
      <x:c r="J76" s="36" t="str">
        <x:v>peer_level_inference</x:v>
      </x:c>
    </x:row>
    <x:row r="77">
      <x:c r="A77" s="24" t="str">
        <x:v>EUA</x:v>
      </x:c>
      <x:c r="B77" s="24" t="str">
        <x:v>France</x:v>
      </x:c>
      <x:c r="C77" s="24" t="n">
        <x:v>2026</x:v>
      </x:c>
      <x:c r="D77" s="24" t="str">
        <x:v>SPM</x:v>
      </x:c>
      <x:c r="E77" s="24" t="str">
        <x:v>nominal_gdp</x:v>
      </x:c>
      <x:c r="F77" s="38" t="n">
        <x:v>38874418</x:v>
      </x:c>
      <x:c r="G77" s="24" t="str">
        <x:v>USD after scenario scaling</x:v>
      </x:c>
      <x:c r="H77" s="36" t="str">
        <x:v>nominal GDP/c inferred from global available-country peers median level (177 peers)</x:v>
      </x:c>
      <x:c r="I77" s="36" t="str">
        <x:v>https://api.imf.org/external/sdmx/3.0/data/dataflow/IMF.RES/WEO/9.0.0/ | https://datahelpdesk.worldbank.org/knowledgebase/articles/898581-api-basic-call-structures</x:v>
      </x:c>
      <x:c r="J77" s="36" t="str">
        <x:v>peer_level_inference</x:v>
      </x:c>
    </x:row>
    <x:row r="78">
      <x:c r="A78" s="24" t="str">
        <x:v>EUA</x:v>
      </x:c>
      <x:c r="B78" s="24" t="str">
        <x:v>France</x:v>
      </x:c>
      <x:c r="C78" s="24" t="n">
        <x:v>2026</x:v>
      </x:c>
      <x:c r="D78" s="24" t="str">
        <x:v>MCO</x:v>
      </x:c>
      <x:c r="E78" s="24" t="str">
        <x:v>ppp_gdp</x:v>
      </x:c>
      <x:c r="F78" s="38" t="n">
        <x:v>15873870639</x:v>
      </x:c>
      <x:c r="G78" s="24" t="str">
        <x:v>international dollars after scenario scaling</x:v>
      </x:c>
      <x:c r="H78" s="36" t="str">
        <x:v>PPP inferred from filled nominal GDP using Europe &amp; Central Asia; High income median PPP/nominal ratio 1.392 (34 peers)</x:v>
      </x:c>
      <x:c r="I78" s="36" t="str">
        <x:v>https://api.imf.org/external/sdmx/3.0/data/dataflow/IMF.RES/WEO/9.0.0/ | https://datahelpdesk.worldbank.org/knowledgebase/articles/898581-api-basic-call-structures</x:v>
      </x:c>
      <x:c r="J78" s="36" t="str">
        <x:v>peer_ratio_inference</x:v>
      </x:c>
    </x:row>
    <x:row r="79">
      <x:c r="A79" s="24" t="str">
        <x:v>EUA</x:v>
      </x:c>
      <x:c r="B79" s="24" t="str">
        <x:v>France</x:v>
      </x:c>
      <x:c r="C79" s="24" t="n">
        <x:v>2026</x:v>
      </x:c>
      <x:c r="D79" s="24" t="str">
        <x:v>GUF</x:v>
      </x:c>
      <x:c r="E79" s="24" t="str">
        <x:v>ppp_gdp</x:v>
      </x:c>
      <x:c r="F79" s="38" t="n">
        <x:v>5138698668</x:v>
      </x:c>
      <x:c r="G79" s="24" t="str">
        <x:v>international dollars after scenario scaling</x:v>
      </x:c>
      <x:c r="H79" s="36" t="str">
        <x:v>PPP inferred from filled nominal GDP using global available-country peers median PPP/nominal ratio 2.285 (177 peers)</x:v>
      </x:c>
      <x:c r="I79" s="36" t="str">
        <x:v>https://api.imf.org/external/sdmx/3.0/data/dataflow/IMF.RES/WEO/9.0.0/ | https://datahelpdesk.worldbank.org/knowledgebase/articles/898581-api-basic-call-structures</x:v>
      </x:c>
      <x:c r="J79" s="36" t="str">
        <x:v>peer_ratio_inference</x:v>
      </x:c>
    </x:row>
    <x:row r="80">
      <x:c r="A80" s="24" t="str">
        <x:v>EUA</x:v>
      </x:c>
      <x:c r="B80" s="24" t="str">
        <x:v>France</x:v>
      </x:c>
      <x:c r="C80" s="24" t="n">
        <x:v>2026</x:v>
      </x:c>
      <x:c r="D80" s="24" t="str">
        <x:v>PYF</x:v>
      </x:c>
      <x:c r="E80" s="24" t="str">
        <x:v>ppp_gdp</x:v>
      </x:c>
      <x:c r="F80" s="38" t="n">
        <x:v>9683858223</x:v>
      </x:c>
      <x:c r="G80" s="24" t="str">
        <x:v>international dollars after scenario scaling</x:v>
      </x:c>
      <x:c r="H80" s="36" t="str">
        <x:v>PPP inferred from filled nominal GDP using East Asia &amp; Pacific; High income median PPP/nominal ratio 1.635 (6 peers)</x:v>
      </x:c>
      <x:c r="I80" s="36" t="str">
        <x:v>https://api.imf.org/external/sdmx/3.0/data/dataflow/IMF.RES/WEO/9.0.0/ | https://datahelpdesk.worldbank.org/knowledgebase/articles/898581-api-basic-call-structures</x:v>
      </x:c>
      <x:c r="J80" s="36" t="str">
        <x:v>peer_ratio_inference</x:v>
      </x:c>
    </x:row>
    <x:row r="81">
      <x:c r="A81" s="24" t="str">
        <x:v>EUA</x:v>
      </x:c>
      <x:c r="B81" s="24" t="str">
        <x:v>France</x:v>
      </x:c>
      <x:c r="C81" s="24" t="n">
        <x:v>2026</x:v>
      </x:c>
      <x:c r="D81" s="24" t="str">
        <x:v>NCL</x:v>
      </x:c>
      <x:c r="E81" s="24" t="str">
        <x:v>ppp_gdp</x:v>
      </x:c>
      <x:c r="F81" s="38" t="n">
        <x:v>13266691345</x:v>
      </x:c>
      <x:c r="G81" s="24" t="str">
        <x:v>international dollars after scenario scaling</x:v>
      </x:c>
      <x:c r="H81" s="36" t="str">
        <x:v>PPP inferred from filled nominal GDP using East Asia &amp; Pacific; High income median PPP/nominal ratio 1.635 (6 peers)</x:v>
      </x:c>
      <x:c r="I81" s="36" t="str">
        <x:v>https://api.imf.org/external/sdmx/3.0/data/dataflow/IMF.RES/WEO/9.0.0/ | https://datahelpdesk.worldbank.org/knowledgebase/articles/898581-api-basic-call-structures</x:v>
      </x:c>
      <x:c r="J81" s="36" t="str">
        <x:v>peer_ratio_inference</x:v>
      </x:c>
    </x:row>
    <x:row r="82">
      <x:c r="A82" s="24" t="str">
        <x:v>EUA</x:v>
      </x:c>
      <x:c r="B82" s="24" t="str">
        <x:v>France</x:v>
      </x:c>
      <x:c r="C82" s="24" t="n">
        <x:v>2026</x:v>
      </x:c>
      <x:c r="D82" s="24" t="str">
        <x:v>WLF</x:v>
      </x:c>
      <x:c r="E82" s="24" t="str">
        <x:v>ppp_gdp</x:v>
      </x:c>
      <x:c r="F82" s="38" t="n">
        <x:v>179088657</x:v>
      </x:c>
      <x:c r="G82" s="24" t="str">
        <x:v>international dollars after scenario scaling</x:v>
      </x:c>
      <x:c r="H82" s="36" t="str">
        <x:v>PPP inferred from filled nominal GDP using global available-country peers median PPP/nominal ratio 2.285 (177 peers)</x:v>
      </x:c>
      <x:c r="I82" s="36" t="str">
        <x:v>https://api.imf.org/external/sdmx/3.0/data/dataflow/IMF.RES/WEO/9.0.0/ | https://datahelpdesk.worldbank.org/knowledgebase/articles/898581-api-basic-call-structures</x:v>
      </x:c>
      <x:c r="J82" s="36" t="str">
        <x:v>peer_ratio_inference</x:v>
      </x:c>
    </x:row>
    <x:row r="83">
      <x:c r="A83" s="24" t="str">
        <x:v>EUA</x:v>
      </x:c>
      <x:c r="B83" s="24" t="str">
        <x:v>France</x:v>
      </x:c>
      <x:c r="C83" s="24" t="n">
        <x:v>2026</x:v>
      </x:c>
      <x:c r="D83" s="24" t="str">
        <x:v>REU</x:v>
      </x:c>
      <x:c r="E83" s="24" t="str">
        <x:v>ppp_gdp</x:v>
      </x:c>
      <x:c r="F83" s="38" t="n">
        <x:v>14282904589</x:v>
      </x:c>
      <x:c r="G83" s="24" t="str">
        <x:v>international dollars after scenario scaling</x:v>
      </x:c>
      <x:c r="H83" s="36" t="str">
        <x:v>PPP inferred from filled nominal GDP using global available-country peers median PPP/nominal ratio 2.285 (177 peers)</x:v>
      </x:c>
      <x:c r="I83" s="36" t="str">
        <x:v>https://api.imf.org/external/sdmx/3.0/data/dataflow/IMF.RES/WEO/9.0.0/ | https://datahelpdesk.worldbank.org/knowledgebase/articles/898581-api-basic-call-structures</x:v>
      </x:c>
      <x:c r="J83" s="36" t="str">
        <x:v>peer_ratio_inference</x:v>
      </x:c>
    </x:row>
    <x:row r="84">
      <x:c r="A84" s="24" t="str">
        <x:v>EUA</x:v>
      </x:c>
      <x:c r="B84" s="24" t="str">
        <x:v>France</x:v>
      </x:c>
      <x:c r="C84" s="24" t="n">
        <x:v>2026</x:v>
      </x:c>
      <x:c r="D84" s="24" t="str">
        <x:v>MYT</x:v>
      </x:c>
      <x:c r="E84" s="24" t="str">
        <x:v>ppp_gdp</x:v>
      </x:c>
      <x:c r="F84" s="38" t="n">
        <x:v>5600625895</x:v>
      </x:c>
      <x:c r="G84" s="24" t="str">
        <x:v>international dollars after scenario scaling</x:v>
      </x:c>
      <x:c r="H84" s="36" t="str">
        <x:v>PPP inferred from filled nominal GDP using global available-country peers median PPP/nominal ratio 2.285 (177 peers)</x:v>
      </x:c>
      <x:c r="I84" s="36" t="str">
        <x:v>https://api.imf.org/external/sdmx/3.0/data/dataflow/IMF.RES/WEO/9.0.0/ | https://datahelpdesk.worldbank.org/knowledgebase/articles/898581-api-basic-call-structures</x:v>
      </x:c>
      <x:c r="J84" s="36" t="str">
        <x:v>peer_ratio_inference</x:v>
      </x:c>
    </x:row>
    <x:row r="85">
      <x:c r="A85" s="24" t="str">
        <x:v>EUA</x:v>
      </x:c>
      <x:c r="B85" s="24" t="str">
        <x:v>France</x:v>
      </x:c>
      <x:c r="C85" s="24" t="n">
        <x:v>2026</x:v>
      </x:c>
      <x:c r="D85" s="24" t="str">
        <x:v>GLP</x:v>
      </x:c>
      <x:c r="E85" s="24" t="str">
        <x:v>ppp_gdp</x:v>
      </x:c>
      <x:c r="F85" s="38" t="n">
        <x:v>6002169319</x:v>
      </x:c>
      <x:c r="G85" s="24" t="str">
        <x:v>international dollars after scenario scaling</x:v>
      </x:c>
      <x:c r="H85" s="36" t="str">
        <x:v>PPP inferred from filled nominal GDP using global available-country peers median PPP/nominal ratio 2.285 (177 peers)</x:v>
      </x:c>
      <x:c r="I85" s="36" t="str">
        <x:v>https://api.imf.org/external/sdmx/3.0/data/dataflow/IMF.RES/WEO/9.0.0/ | https://datahelpdesk.worldbank.org/knowledgebase/articles/898581-api-basic-call-structures</x:v>
      </x:c>
      <x:c r="J85" s="36" t="str">
        <x:v>peer_ratio_inference</x:v>
      </x:c>
    </x:row>
    <x:row r="86">
      <x:c r="A86" s="24" t="str">
        <x:v>EUA</x:v>
      </x:c>
      <x:c r="B86" s="24" t="str">
        <x:v>France</x:v>
      </x:c>
      <x:c r="C86" s="24" t="n">
        <x:v>2026</x:v>
      </x:c>
      <x:c r="D86" s="24" t="str">
        <x:v>MTQ</x:v>
      </x:c>
      <x:c r="E86" s="24" t="str">
        <x:v>ppp_gdp</x:v>
      </x:c>
      <x:c r="F86" s="38" t="n">
        <x:v>5442293666</x:v>
      </x:c>
      <x:c r="G86" s="24" t="str">
        <x:v>international dollars after scenario scaling</x:v>
      </x:c>
      <x:c r="H86" s="36" t="str">
        <x:v>PPP inferred from filled nominal GDP using global available-country peers median PPP/nominal ratio 2.285 (177 peers)</x:v>
      </x:c>
      <x:c r="I86" s="36" t="str">
        <x:v>https://api.imf.org/external/sdmx/3.0/data/dataflow/IMF.RES/WEO/9.0.0/ | https://datahelpdesk.worldbank.org/knowledgebase/articles/898581-api-basic-call-structures</x:v>
      </x:c>
      <x:c r="J86" s="36" t="str">
        <x:v>peer_ratio_inference</x:v>
      </x:c>
    </x:row>
    <x:row r="87">
      <x:c r="A87" s="24" t="str">
        <x:v>EUA</x:v>
      </x:c>
      <x:c r="B87" s="24" t="str">
        <x:v>France</x:v>
      </x:c>
      <x:c r="C87" s="24" t="n">
        <x:v>2026</x:v>
      </x:c>
      <x:c r="D87" s="24" t="str">
        <x:v>SPM</x:v>
      </x:c>
      <x:c r="E87" s="24" t="str">
        <x:v>ppp_gdp</x:v>
      </x:c>
      <x:c r="F87" s="38" t="n">
        <x:v>88843316</x:v>
      </x:c>
      <x:c r="G87" s="24" t="str">
        <x:v>international dollars after scenario scaling</x:v>
      </x:c>
      <x:c r="H87" s="36" t="str">
        <x:v>PPP inferred from filled nominal GDP using global available-country peers median PPP/nominal ratio 2.285 (177 peers)</x:v>
      </x:c>
      <x:c r="I87" s="36" t="str">
        <x:v>https://api.imf.org/external/sdmx/3.0/data/dataflow/IMF.RES/WEO/9.0.0/ | https://datahelpdesk.worldbank.org/knowledgebase/articles/898581-api-basic-call-structures</x:v>
      </x:c>
      <x:c r="J87" s="36" t="str">
        <x:v>peer_ratio_inference</x:v>
      </x:c>
    </x:row>
    <x:row r="88">
      <x:c r="A88" s="24" t="str">
        <x:v>LEB</x:v>
      </x:c>
      <x:c r="B88" s="24" t="str">
        <x:v>Lebanon</x:v>
      </x:c>
      <x:c r="C88" s="24" t="n">
        <x:v>2026</x:v>
      </x:c>
      <x:c r="D88" s="24" t="str">
        <x:v>LBN</x:v>
      </x:c>
      <x:c r="E88" s="24" t="str">
        <x:v>nominal_gdp</x:v>
      </x:c>
      <x:c r="F88" s="38" t="n">
        <x:v>34629866019</x:v>
      </x:c>
      <x:c r="G88" s="24" t="str">
        <x:v>USD after scenario scaling</x:v>
      </x:c>
      <x:c r="H88" s="36" t="str">
        <x:v>peer-growth inference from IMF 2025; Middle East, North Africa, Afghanistan &amp; Pakistan median 1.83%/yr (18 peers, capped at ±8%)</x:v>
      </x:c>
      <x:c r="I88" s="36" t="str">
        <x:v>https://api.imf.org/external/sdmx/3.0/data/dataflow/IMF.RES/WEO/9.0.0/ | https://datahelpdesk.worldbank.org/knowledgebase/articles/898581-api-basic-call-structures</x:v>
      </x:c>
      <x:c r="J88" s="36" t="str">
        <x:v>peer_growth_inference</x:v>
      </x:c>
    </x:row>
    <x:row r="89">
      <x:c r="A89" s="24" t="str">
        <x:v>LEB</x:v>
      </x:c>
      <x:c r="B89" s="24" t="str">
        <x:v>Lebanon</x:v>
      </x:c>
      <x:c r="C89" s="24" t="n">
        <x:v>2026</x:v>
      </x:c>
      <x:c r="D89" s="24" t="str">
        <x:v>LBN</x:v>
      </x:c>
      <x:c r="E89" s="24" t="str">
        <x:v>ppp_gdp</x:v>
      </x:c>
      <x:c r="F89" s="38" t="n">
        <x:v>66483430153</x:v>
      </x:c>
      <x:c r="G89" s="24" t="str">
        <x:v>international dollars after scenario scaling</x:v>
      </x:c>
      <x:c r="H89" s="36" t="str">
        <x:v>peer-growth inference from IMF 2025; Middle East, North Africa, Afghanistan &amp; Pakistan; Lower middle income median -3.91%/yr (5 peers, capped at ±8%)</x:v>
      </x:c>
      <x:c r="I89" s="36" t="str">
        <x:v>https://api.imf.org/external/sdmx/3.0/data/dataflow/IMF.RES/WEO/9.0.0/ | https://datahelpdesk.worldbank.org/knowledgebase/articles/898581-api-basic-call-structures</x:v>
      </x:c>
      <x:c r="J89" s="36" t="str">
        <x:v>peer_growth_inference</x:v>
      </x:c>
    </x:row>
    <x:row r="90">
      <x:c r="A90" s="24" t="str">
        <x:v>CAB</x:v>
      </x:c>
      <x:c r="B90" s="24" t="str">
        <x:v>Lesser Antilles States</x:v>
      </x:c>
      <x:c r="C90" s="24" t="n">
        <x:v>2003</x:v>
      </x:c>
      <x:c r="D90" s="24" t="str">
        <x:v>ATG</x:v>
      </x:c>
      <x:c r="E90" s="24" t="str">
        <x:v>nominal_gdp</x:v>
      </x:c>
      <x:c r="F90" s="38" t="n">
        <x:v>1507479000</x:v>
      </x:c>
      <x:c r="G90" s="24" t="str">
        <x:v>USD after scenario scaling</x:v>
      </x:c>
      <x:c r="H90" s="36" t="str">
        <x:v>World Bank exact 2003</x:v>
      </x:c>
      <x:c r="I90" s="36" t="str">
        <x:v>https://api.worldbank.org/v2/country/ATG/indicator/NY.GDP.MKTP.CD?source=2&amp;date=2003&amp;format=json</x:v>
      </x:c>
      <x:c r="J90" s="36" t="str">
        <x:v>world_bank_exact</x:v>
      </x:c>
    </x:row>
    <x:row r="91">
      <x:c r="A91" s="24" t="str">
        <x:v>CAB</x:v>
      </x:c>
      <x:c r="B91" s="24" t="str">
        <x:v>Lesser Antilles States</x:v>
      </x:c>
      <x:c r="C91" s="24" t="n">
        <x:v>2003</x:v>
      </x:c>
      <x:c r="D91" s="24" t="str">
        <x:v>DMA</x:v>
      </x:c>
      <x:c r="E91" s="24" t="str">
        <x:v>nominal_gdp</x:v>
      </x:c>
      <x:c r="F91" s="38" t="n">
        <x:v>593576444</x:v>
      </x:c>
      <x:c r="G91" s="24" t="str">
        <x:v>USD after scenario scaling</x:v>
      </x:c>
      <x:c r="H91" s="36" t="str">
        <x:v>World Bank exact 2003</x:v>
      </x:c>
      <x:c r="I91" s="36" t="str">
        <x:v>https://api.worldbank.org/v2/country/DMA/indicator/NY.GDP.MKTP.CD?source=2&amp;date=2003&amp;format=json</x:v>
      </x:c>
      <x:c r="J91" s="36" t="str">
        <x:v>world_bank_exact</x:v>
      </x:c>
    </x:row>
    <x:row r="92">
      <x:c r="A92" s="24" t="str">
        <x:v>CAB</x:v>
      </x:c>
      <x:c r="B92" s="24" t="str">
        <x:v>Lesser Antilles States</x:v>
      </x:c>
      <x:c r="C92" s="24" t="n">
        <x:v>2003</x:v>
      </x:c>
      <x:c r="D92" s="24" t="str">
        <x:v>GRD</x:v>
      </x:c>
      <x:c r="E92" s="24" t="str">
        <x:v>nominal_gdp</x:v>
      </x:c>
      <x:c r="F92" s="38" t="n">
        <x:v>939719268</x:v>
      </x:c>
      <x:c r="G92" s="24" t="str">
        <x:v>USD after scenario scaling</x:v>
      </x:c>
      <x:c r="H92" s="36" t="str">
        <x:v>World Bank exact 2003</x:v>
      </x:c>
      <x:c r="I92" s="36" t="str">
        <x:v>https://api.worldbank.org/v2/country/GRD/indicator/NY.GDP.MKTP.CD?source=2&amp;date=2003&amp;format=json</x:v>
      </x:c>
      <x:c r="J92" s="36" t="str">
        <x:v>world_bank_exact</x:v>
      </x:c>
    </x:row>
    <x:row r="93">
      <x:c r="A93" s="24" t="str">
        <x:v>CAB</x:v>
      </x:c>
      <x:c r="B93" s="24" t="str">
        <x:v>Lesser Antilles States</x:v>
      </x:c>
      <x:c r="C93" s="24" t="n">
        <x:v>2003</x:v>
      </x:c>
      <x:c r="D93" s="24" t="str">
        <x:v>VCT</x:v>
      </x:c>
      <x:c r="E93" s="24" t="str">
        <x:v>nominal_gdp</x:v>
      </x:c>
      <x:c r="F93" s="38" t="n">
        <x:v>809454513</x:v>
      </x:c>
      <x:c r="G93" s="24" t="str">
        <x:v>USD after scenario scaling</x:v>
      </x:c>
      <x:c r="H93" s="36" t="str">
        <x:v>World Bank exact 2003</x:v>
      </x:c>
      <x:c r="I93" s="36" t="str">
        <x:v>https://api.worldbank.org/v2/country/VCT/indicator/NY.GDP.MKTP.CD?source=2&amp;date=2003&amp;format=json</x:v>
      </x:c>
      <x:c r="J93" s="36" t="str">
        <x:v>world_bank_exact</x:v>
      </x:c>
    </x:row>
    <x:row r="94">
      <x:c r="A94" s="24" t="str">
        <x:v>CAB</x:v>
      </x:c>
      <x:c r="B94" s="24" t="str">
        <x:v>Lesser Antilles States</x:v>
      </x:c>
      <x:c r="C94" s="24" t="n">
        <x:v>2003</x:v>
      </x:c>
      <x:c r="D94" s="24" t="str">
        <x:v>KNA</x:v>
      </x:c>
      <x:c r="E94" s="24" t="str">
        <x:v>nominal_gdp</x:v>
      </x:c>
      <x:c r="F94" s="38" t="n">
        <x:v>747093093</x:v>
      </x:c>
      <x:c r="G94" s="24" t="str">
        <x:v>USD after scenario scaling</x:v>
      </x:c>
      <x:c r="H94" s="36" t="str">
        <x:v>World Bank exact 2003</x:v>
      </x:c>
      <x:c r="I94" s="36" t="str">
        <x:v>https://api.worldbank.org/v2/country/KNA/indicator/NY.GDP.MKTP.CD?source=2&amp;date=2003&amp;format=json</x:v>
      </x:c>
      <x:c r="J94" s="36" t="str">
        <x:v>world_bank_exact</x:v>
      </x:c>
    </x:row>
    <x:row r="95">
      <x:c r="A95" s="24" t="str">
        <x:v>CAB</x:v>
      </x:c>
      <x:c r="B95" s="24" t="str">
        <x:v>Lesser Antilles States</x:v>
      </x:c>
      <x:c r="C95" s="24" t="n">
        <x:v>2003</x:v>
      </x:c>
      <x:c r="D95" s="24" t="str">
        <x:v>ATG</x:v>
      </x:c>
      <x:c r="E95" s="24" t="str">
        <x:v>ppp_gdp</x:v>
      </x:c>
      <x:c r="F95" s="38" t="n">
        <x:v>2492481110</x:v>
      </x:c>
      <x:c r="G95" s="24" t="str">
        <x:v>international dollars after scenario scaling</x:v>
      </x:c>
      <x:c r="H95" s="36" t="str">
        <x:v>World Bank exact 2003</x:v>
      </x:c>
      <x:c r="I95" s="36" t="str">
        <x:v>https://api.worldbank.org/v2/country/ATG/indicator/NY.GDP.MKTP.PP.CD?source=2&amp;date=2003&amp;format=json</x:v>
      </x:c>
      <x:c r="J95" s="36" t="str">
        <x:v>world_bank_exact</x:v>
      </x:c>
    </x:row>
    <x:row r="96">
      <x:c r="A96" s="24" t="str">
        <x:v>CAB</x:v>
      </x:c>
      <x:c r="B96" s="24" t="str">
        <x:v>Lesser Antilles States</x:v>
      </x:c>
      <x:c r="C96" s="24" t="n">
        <x:v>2003</x:v>
      </x:c>
      <x:c r="D96" s="24" t="str">
        <x:v>DMA</x:v>
      </x:c>
      <x:c r="E96" s="24" t="str">
        <x:v>ppp_gdp</x:v>
      </x:c>
      <x:c r="F96" s="38" t="n">
        <x:v>840582688</x:v>
      </x:c>
      <x:c r="G96" s="24" t="str">
        <x:v>international dollars after scenario scaling</x:v>
      </x:c>
      <x:c r="H96" s="36" t="str">
        <x:v>World Bank exact 2003</x:v>
      </x:c>
      <x:c r="I96" s="36" t="str">
        <x:v>https://api.worldbank.org/v2/country/DMA/indicator/NY.GDP.MKTP.PP.CD?source=2&amp;date=2003&amp;format=json</x:v>
      </x:c>
      <x:c r="J96" s="36" t="str">
        <x:v>world_bank_exact</x:v>
      </x:c>
    </x:row>
    <x:row r="97">
      <x:c r="A97" s="24" t="str">
        <x:v>CAB</x:v>
      </x:c>
      <x:c r="B97" s="24" t="str">
        <x:v>Lesser Antilles States</x:v>
      </x:c>
      <x:c r="C97" s="24" t="n">
        <x:v>2003</x:v>
      </x:c>
      <x:c r="D97" s="24" t="str">
        <x:v>GRD</x:v>
      </x:c>
      <x:c r="E97" s="24" t="str">
        <x:v>ppp_gdp</x:v>
      </x:c>
      <x:c r="F97" s="38" t="n">
        <x:v>1466215521</x:v>
      </x:c>
      <x:c r="G97" s="24" t="str">
        <x:v>international dollars after scenario scaling</x:v>
      </x:c>
      <x:c r="H97" s="36" t="str">
        <x:v>World Bank exact 2003</x:v>
      </x:c>
      <x:c r="I97" s="36" t="str">
        <x:v>https://api.worldbank.org/v2/country/GRD/indicator/NY.GDP.MKTP.PP.CD?source=2&amp;date=2003&amp;format=json</x:v>
      </x:c>
      <x:c r="J97" s="36" t="str">
        <x:v>world_bank_exact</x:v>
      </x:c>
    </x:row>
    <x:row r="98">
      <x:c r="A98" s="24" t="str">
        <x:v>CAB</x:v>
      </x:c>
      <x:c r="B98" s="24" t="str">
        <x:v>Lesser Antilles States</x:v>
      </x:c>
      <x:c r="C98" s="24" t="n">
        <x:v>2003</x:v>
      </x:c>
      <x:c r="D98" s="24" t="str">
        <x:v>VCT</x:v>
      </x:c>
      <x:c r="E98" s="24" t="str">
        <x:v>ppp_gdp</x:v>
      </x:c>
      <x:c r="F98" s="38" t="n">
        <x:v>1421636739</x:v>
      </x:c>
      <x:c r="G98" s="24" t="str">
        <x:v>international dollars after scenario scaling</x:v>
      </x:c>
      <x:c r="H98" s="36" t="str">
        <x:v>World Bank exact 2003</x:v>
      </x:c>
      <x:c r="I98" s="36" t="str">
        <x:v>https://api.worldbank.org/v2/country/VCT/indicator/NY.GDP.MKTP.PP.CD?source=2&amp;date=2003&amp;format=json</x:v>
      </x:c>
      <x:c r="J98" s="36" t="str">
        <x:v>world_bank_exact</x:v>
      </x:c>
    </x:row>
    <x:row r="99">
      <x:c r="A99" s="24" t="str">
        <x:v>CAB</x:v>
      </x:c>
      <x:c r="B99" s="24" t="str">
        <x:v>Lesser Antilles States</x:v>
      </x:c>
      <x:c r="C99" s="24" t="n">
        <x:v>2003</x:v>
      </x:c>
      <x:c r="D99" s="24" t="str">
        <x:v>KNA</x:v>
      </x:c>
      <x:c r="E99" s="24" t="str">
        <x:v>ppp_gdp</x:v>
      </x:c>
      <x:c r="F99" s="38" t="n">
        <x:v>1191286419</x:v>
      </x:c>
      <x:c r="G99" s="24" t="str">
        <x:v>international dollars after scenario scaling</x:v>
      </x:c>
      <x:c r="H99" s="36" t="str">
        <x:v>World Bank exact 2003</x:v>
      </x:c>
      <x:c r="I99" s="36" t="str">
        <x:v>https://api.worldbank.org/v2/country/KNA/indicator/NY.GDP.MKTP.PP.CD?source=2&amp;date=2003&amp;format=json</x:v>
      </x:c>
      <x:c r="J99" s="36" t="str">
        <x:v>world_bank_exact</x:v>
      </x:c>
    </x:row>
    <x:row r="100">
      <x:c r="A100" s="24" t="str">
        <x:v>CAB</x:v>
      </x:c>
      <x:c r="B100" s="24" t="str">
        <x:v>Lesser Antilles States</x:v>
      </x:c>
      <x:c r="C100" s="24" t="n">
        <x:v>2022</x:v>
      </x:c>
      <x:c r="D100" s="24" t="str">
        <x:v>ATG</x:v>
      </x:c>
      <x:c r="E100" s="24" t="str">
        <x:v>nominal_gdp</x:v>
      </x:c>
      <x:c r="F100" s="38" t="n">
        <x:v>1857114815</x:v>
      </x:c>
      <x:c r="G100" s="24" t="str">
        <x:v>USD after scenario scaling</x:v>
      </x:c>
      <x:c r="H100" s="36" t="str">
        <x:v>World Bank exact 2022</x:v>
      </x:c>
      <x:c r="I100" s="36" t="str">
        <x:v>https://api.worldbank.org/v2/country/ATG/indicator/NY.GDP.MKTP.CD?source=2&amp;date=2022&amp;format=json</x:v>
      </x:c>
      <x:c r="J100" s="36" t="str">
        <x:v>world_bank_exact</x:v>
      </x:c>
    </x:row>
    <x:row r="101">
      <x:c r="A101" s="24" t="str">
        <x:v>CAB</x:v>
      </x:c>
      <x:c r="B101" s="24" t="str">
        <x:v>Lesser Antilles States</x:v>
      </x:c>
      <x:c r="C101" s="24" t="n">
        <x:v>2022</x:v>
      </x:c>
      <x:c r="D101" s="24" t="str">
        <x:v>DMA</x:v>
      </x:c>
      <x:c r="E101" s="24" t="str">
        <x:v>nominal_gdp</x:v>
      </x:c>
      <x:c r="F101" s="38" t="n">
        <x:v>623062963</x:v>
      </x:c>
      <x:c r="G101" s="24" t="str">
        <x:v>USD after scenario scaling</x:v>
      </x:c>
      <x:c r="H101" s="36" t="str">
        <x:v>World Bank exact 2022</x:v>
      </x:c>
      <x:c r="I101" s="36" t="str">
        <x:v>https://api.worldbank.org/v2/country/DMA/indicator/NY.GDP.MKTP.CD?source=2&amp;date=2022&amp;format=json</x:v>
      </x:c>
      <x:c r="J101" s="36" t="str">
        <x:v>world_bank_exact</x:v>
      </x:c>
    </x:row>
    <x:row r="102">
      <x:c r="A102" s="24" t="str">
        <x:v>CAB</x:v>
      </x:c>
      <x:c r="B102" s="24" t="str">
        <x:v>Lesser Antilles States</x:v>
      </x:c>
      <x:c r="C102" s="24" t="n">
        <x:v>2022</x:v>
      </x:c>
      <x:c r="D102" s="24" t="str">
        <x:v>GRD</x:v>
      </x:c>
      <x:c r="E102" s="24" t="str">
        <x:v>nominal_gdp</x:v>
      </x:c>
      <x:c r="F102" s="38" t="n">
        <x:v>1224007407</x:v>
      </x:c>
      <x:c r="G102" s="24" t="str">
        <x:v>USD after scenario scaling</x:v>
      </x:c>
      <x:c r="H102" s="36" t="str">
        <x:v>World Bank exact 2022</x:v>
      </x:c>
      <x:c r="I102" s="36" t="str">
        <x:v>https://api.worldbank.org/v2/country/GRD/indicator/NY.GDP.MKTP.CD?source=2&amp;date=2022&amp;format=json</x:v>
      </x:c>
      <x:c r="J102" s="36" t="str">
        <x:v>world_bank_exact</x:v>
      </x:c>
    </x:row>
    <x:row r="103">
      <x:c r="A103" s="24" t="str">
        <x:v>CAB</x:v>
      </x:c>
      <x:c r="B103" s="24" t="str">
        <x:v>Lesser Antilles States</x:v>
      </x:c>
      <x:c r="C103" s="24" t="n">
        <x:v>2022</x:v>
      </x:c>
      <x:c r="D103" s="24" t="str">
        <x:v>VCT</x:v>
      </x:c>
      <x:c r="E103" s="24" t="str">
        <x:v>nominal_gdp</x:v>
      </x:c>
      <x:c r="F103" s="38" t="n">
        <x:v>989188889</x:v>
      </x:c>
      <x:c r="G103" s="24" t="str">
        <x:v>USD after scenario scaling</x:v>
      </x:c>
      <x:c r="H103" s="36" t="str">
        <x:v>World Bank exact 2022</x:v>
      </x:c>
      <x:c r="I103" s="36" t="str">
        <x:v>https://api.worldbank.org/v2/country/VCT/indicator/NY.GDP.MKTP.CD?source=2&amp;date=2022&amp;format=json</x:v>
      </x:c>
      <x:c r="J103" s="36" t="str">
        <x:v>world_bank_exact</x:v>
      </x:c>
    </x:row>
    <x:row r="104">
      <x:c r="A104" s="24" t="str">
        <x:v>CAB</x:v>
      </x:c>
      <x:c r="B104" s="24" t="str">
        <x:v>Lesser Antilles States</x:v>
      </x:c>
      <x:c r="C104" s="24" t="n">
        <x:v>2022</x:v>
      </x:c>
      <x:c r="D104" s="24" t="str">
        <x:v>KNA</x:v>
      </x:c>
      <x:c r="E104" s="24" t="str">
        <x:v>nominal_gdp</x:v>
      </x:c>
      <x:c r="F104" s="38" t="n">
        <x:v>981429630</x:v>
      </x:c>
      <x:c r="G104" s="24" t="str">
        <x:v>USD after scenario scaling</x:v>
      </x:c>
      <x:c r="H104" s="36" t="str">
        <x:v>World Bank exact 2022</x:v>
      </x:c>
      <x:c r="I104" s="36" t="str">
        <x:v>https://api.worldbank.org/v2/country/KNA/indicator/NY.GDP.MKTP.CD?source=2&amp;date=2022&amp;format=json</x:v>
      </x:c>
      <x:c r="J104" s="36" t="str">
        <x:v>world_bank_exact</x:v>
      </x:c>
    </x:row>
    <x:row r="105">
      <x:c r="A105" s="24" t="str">
        <x:v>CAB</x:v>
      </x:c>
      <x:c r="B105" s="24" t="str">
        <x:v>Lesser Antilles States</x:v>
      </x:c>
      <x:c r="C105" s="24" t="n">
        <x:v>2022</x:v>
      </x:c>
      <x:c r="D105" s="24" t="str">
        <x:v>ATG</x:v>
      </x:c>
      <x:c r="E105" s="24" t="str">
        <x:v>ppp_gdp</x:v>
      </x:c>
      <x:c r="F105" s="38" t="n">
        <x:v>2763086051</x:v>
      </x:c>
      <x:c r="G105" s="24" t="str">
        <x:v>international dollars after scenario scaling</x:v>
      </x:c>
      <x:c r="H105" s="36" t="str">
        <x:v>World Bank exact 2022</x:v>
      </x:c>
      <x:c r="I105" s="36" t="str">
        <x:v>https://api.worldbank.org/v2/country/ATG/indicator/NY.GDP.MKTP.PP.CD?source=2&amp;date=2022&amp;format=json</x:v>
      </x:c>
      <x:c r="J105" s="36" t="str">
        <x:v>world_bank_exact</x:v>
      </x:c>
    </x:row>
    <x:row r="106">
      <x:c r="A106" s="24" t="str">
        <x:v>CAB</x:v>
      </x:c>
      <x:c r="B106" s="24" t="str">
        <x:v>Lesser Antilles States</x:v>
      </x:c>
      <x:c r="C106" s="24" t="n">
        <x:v>2022</x:v>
      </x:c>
      <x:c r="D106" s="24" t="str">
        <x:v>DMA</x:v>
      </x:c>
      <x:c r="E106" s="24" t="str">
        <x:v>ppp_gdp</x:v>
      </x:c>
      <x:c r="F106" s="38" t="n">
        <x:v>1256268806</x:v>
      </x:c>
      <x:c r="G106" s="24" t="str">
        <x:v>international dollars after scenario scaling</x:v>
      </x:c>
      <x:c r="H106" s="36" t="str">
        <x:v>World Bank exact 2022</x:v>
      </x:c>
      <x:c r="I106" s="36" t="str">
        <x:v>https://api.worldbank.org/v2/country/DMA/indicator/NY.GDP.MKTP.PP.CD?source=2&amp;date=2022&amp;format=json</x:v>
      </x:c>
      <x:c r="J106" s="36" t="str">
        <x:v>world_bank_exact</x:v>
      </x:c>
    </x:row>
    <x:row r="107">
      <x:c r="A107" s="24" t="str">
        <x:v>CAB</x:v>
      </x:c>
      <x:c r="B107" s="24" t="str">
        <x:v>Lesser Antilles States</x:v>
      </x:c>
      <x:c r="C107" s="24" t="n">
        <x:v>2022</x:v>
      </x:c>
      <x:c r="D107" s="24" t="str">
        <x:v>GRD</x:v>
      </x:c>
      <x:c r="E107" s="24" t="str">
        <x:v>ppp_gdp</x:v>
      </x:c>
      <x:c r="F107" s="38" t="n">
        <x:v>2050794454</x:v>
      </x:c>
      <x:c r="G107" s="24" t="str">
        <x:v>international dollars after scenario scaling</x:v>
      </x:c>
      <x:c r="H107" s="36" t="str">
        <x:v>World Bank exact 2022</x:v>
      </x:c>
      <x:c r="I107" s="36" t="str">
        <x:v>https://api.worldbank.org/v2/country/GRD/indicator/NY.GDP.MKTP.PP.CD?source=2&amp;date=2022&amp;format=json</x:v>
      </x:c>
      <x:c r="J107" s="36" t="str">
        <x:v>world_bank_exact</x:v>
      </x:c>
    </x:row>
    <x:row r="108">
      <x:c r="A108" s="24" t="str">
        <x:v>CAB</x:v>
      </x:c>
      <x:c r="B108" s="24" t="str">
        <x:v>Lesser Antilles States</x:v>
      </x:c>
      <x:c r="C108" s="24" t="n">
        <x:v>2022</x:v>
      </x:c>
      <x:c r="D108" s="24" t="str">
        <x:v>VCT</x:v>
      </x:c>
      <x:c r="E108" s="24" t="str">
        <x:v>ppp_gdp</x:v>
      </x:c>
      <x:c r="F108" s="38" t="n">
        <x:v>1840135827</x:v>
      </x:c>
      <x:c r="G108" s="24" t="str">
        <x:v>international dollars after scenario scaling</x:v>
      </x:c>
      <x:c r="H108" s="36" t="str">
        <x:v>World Bank exact 2022</x:v>
      </x:c>
      <x:c r="I108" s="36" t="str">
        <x:v>https://api.worldbank.org/v2/country/VCT/indicator/NY.GDP.MKTP.PP.CD?source=2&amp;date=2022&amp;format=json</x:v>
      </x:c>
      <x:c r="J108" s="36" t="str">
        <x:v>world_bank_exact</x:v>
      </x:c>
    </x:row>
    <x:row r="109">
      <x:c r="A109" s="24" t="str">
        <x:v>CAB</x:v>
      </x:c>
      <x:c r="B109" s="24" t="str">
        <x:v>Lesser Antilles States</x:v>
      </x:c>
      <x:c r="C109" s="24" t="n">
        <x:v>2022</x:v>
      </x:c>
      <x:c r="D109" s="24" t="str">
        <x:v>KNA</x:v>
      </x:c>
      <x:c r="E109" s="24" t="str">
        <x:v>ppp_gdp</x:v>
      </x:c>
      <x:c r="F109" s="38" t="n">
        <x:v>1488421075</x:v>
      </x:c>
      <x:c r="G109" s="24" t="str">
        <x:v>international dollars after scenario scaling</x:v>
      </x:c>
      <x:c r="H109" s="36" t="str">
        <x:v>World Bank exact 2022</x:v>
      </x:c>
      <x:c r="I109" s="36" t="str">
        <x:v>https://api.worldbank.org/v2/country/KNA/indicator/NY.GDP.MKTP.PP.CD?source=2&amp;date=2022&amp;format=json</x:v>
      </x:c>
      <x:c r="J109" s="36" t="str">
        <x:v>world_bank_exact</x:v>
      </x:c>
    </x:row>
    <x:row r="110">
      <x:c r="A110" s="24" t="str">
        <x:v>CAB</x:v>
      </x:c>
      <x:c r="B110" s="24" t="str">
        <x:v>Lesser Antilles States</x:v>
      </x:c>
      <x:c r="C110" s="24" t="n">
        <x:v>2026</x:v>
      </x:c>
      <x:c r="D110" s="24" t="str">
        <x:v>ATG</x:v>
      </x:c>
      <x:c r="E110" s="24" t="str">
        <x:v>nominal_gdp</x:v>
      </x:c>
      <x:c r="F110" s="38" t="n">
        <x:v>2229683256</x:v>
      </x:c>
      <x:c r="G110" s="24" t="str">
        <x:v>USD after scenario scaling</x:v>
      </x:c>
      <x:c r="H110" s="36" t="str">
        <x:v>peer-growth inference from World Bank 2025; Latin America &amp; Caribbean ; High income median 6.09%/yr (9 peers, capped at ±8%)</x:v>
      </x:c>
      <x:c r="I110" s="36" t="str">
        <x:v>https://api.worldbank.org/v2/country/ATG/indicator/NY.GDP.MKTP.CD?source=2&amp;date=2025&amp;format=json | https://api.imf.org/external/sdmx/3.0/data/dataflow/IMF.RES/WEO/9.0.0/ | https://datahelpdesk.worldbank.org/knowledgebase/articles/898581-api-basic-call-structures</x:v>
      </x:c>
      <x:c r="J110" s="36" t="str">
        <x:v>peer_growth_inference</x:v>
      </x:c>
    </x:row>
    <x:row r="111">
      <x:c r="A111" s="24" t="str">
        <x:v>CAB</x:v>
      </x:c>
      <x:c r="B111" s="24" t="str">
        <x:v>Lesser Antilles States</x:v>
      </x:c>
      <x:c r="C111" s="24" t="n">
        <x:v>2026</x:v>
      </x:c>
      <x:c r="D111" s="24" t="str">
        <x:v>DMA</x:v>
      </x:c>
      <x:c r="E111" s="24" t="str">
        <x:v>nominal_gdp</x:v>
      </x:c>
      <x:c r="F111" s="38" t="n">
        <x:v>662844414</x:v>
      </x:c>
      <x:c r="G111" s="24" t="str">
        <x:v>USD after scenario scaling</x:v>
      </x:c>
      <x:c r="H111" s="36" t="str">
        <x:v>peer-growth inference from World Bank 2025; Latin America &amp; Caribbean ; Upper middle income median 2.88%/yr (14 peers, capped at ±8%)</x:v>
      </x:c>
      <x:c r="I111" s="36" t="str">
        <x:v>https://api.worldbank.org/v2/country/DMA/indicator/NY.GDP.MKTP.CD?source=2&amp;date=2025&amp;format=json | https://api.imf.org/external/sdmx/3.0/data/dataflow/IMF.RES/WEO/9.0.0/ | https://datahelpdesk.worldbank.org/knowledgebase/articles/898581-api-basic-call-structures</x:v>
      </x:c>
      <x:c r="J111" s="36" t="str">
        <x:v>peer_growth_inference</x:v>
      </x:c>
    </x:row>
    <x:row r="112">
      <x:c r="A112" s="24" t="str">
        <x:v>CAB</x:v>
      </x:c>
      <x:c r="B112" s="24" t="str">
        <x:v>Lesser Antilles States</x:v>
      </x:c>
      <x:c r="C112" s="24" t="n">
        <x:v>2026</x:v>
      </x:c>
      <x:c r="D112" s="24" t="str">
        <x:v>GRD</x:v>
      </x:c>
      <x:c r="E112" s="24" t="str">
        <x:v>nominal_gdp</x:v>
      </x:c>
      <x:c r="F112" s="38" t="n">
        <x:v>1308269446</x:v>
      </x:c>
      <x:c r="G112" s="24" t="str">
        <x:v>USD after scenario scaling</x:v>
      </x:c>
      <x:c r="H112" s="36" t="str">
        <x:v>peer-growth inference from World Bank 2025; Latin America &amp; Caribbean ; Upper middle income median 2.88%/yr (14 peers, capped at ±8%)</x:v>
      </x:c>
      <x:c r="I112" s="36" t="str">
        <x:v>https://api.worldbank.org/v2/country/GRD/indicator/NY.GDP.MKTP.CD?source=2&amp;date=2025&amp;format=json | https://api.imf.org/external/sdmx/3.0/data/dataflow/IMF.RES/WEO/9.0.0/ | https://datahelpdesk.worldbank.org/knowledgebase/articles/898581-api-basic-call-structures</x:v>
      </x:c>
      <x:c r="J112" s="36" t="str">
        <x:v>peer_growth_inference</x:v>
      </x:c>
    </x:row>
    <x:row r="113">
      <x:c r="A113" s="24" t="str">
        <x:v>CAB</x:v>
      </x:c>
      <x:c r="B113" s="24" t="str">
        <x:v>Lesser Antilles States</x:v>
      </x:c>
      <x:c r="C113" s="24" t="n">
        <x:v>2026</x:v>
      </x:c>
      <x:c r="D113" s="24" t="str">
        <x:v>VCT</x:v>
      </x:c>
      <x:c r="E113" s="24" t="str">
        <x:v>nominal_gdp</x:v>
      </x:c>
      <x:c r="F113" s="38" t="n">
        <x:v>1147881190</x:v>
      </x:c>
      <x:c r="G113" s="24" t="str">
        <x:v>USD after scenario scaling</x:v>
      </x:c>
      <x:c r="H113" s="36" t="str">
        <x:v>peer-growth inference from World Bank 2025; Latin America &amp; Caribbean ; Upper middle income median 2.88%/yr (14 peers, capped at ±8%)</x:v>
      </x:c>
      <x:c r="I113" s="36" t="str">
        <x:v>https://api.worldbank.org/v2/country/VCT/indicator/NY.GDP.MKTP.CD?source=2&amp;date=2025&amp;format=json | https://api.imf.org/external/sdmx/3.0/data/dataflow/IMF.RES/WEO/9.0.0/ | https://datahelpdesk.worldbank.org/knowledgebase/articles/898581-api-basic-call-structures</x:v>
      </x:c>
      <x:c r="J113" s="36" t="str">
        <x:v>peer_growth_inference</x:v>
      </x:c>
    </x:row>
    <x:row r="114">
      <x:c r="A114" s="24" t="str">
        <x:v>CAB</x:v>
      </x:c>
      <x:c r="B114" s="24" t="str">
        <x:v>Lesser Antilles States</x:v>
      </x:c>
      <x:c r="C114" s="24" t="n">
        <x:v>2026</x:v>
      </x:c>
      <x:c r="D114" s="24" t="str">
        <x:v>KNA</x:v>
      </x:c>
      <x:c r="E114" s="24" t="str">
        <x:v>nominal_gdp</x:v>
      </x:c>
      <x:c r="F114" s="38" t="n">
        <x:v>1125291993</x:v>
      </x:c>
      <x:c r="G114" s="24" t="str">
        <x:v>USD after scenario scaling</x:v>
      </x:c>
      <x:c r="H114" s="36" t="str">
        <x:v>peer-growth inference from World Bank 2025; Latin America &amp; Caribbean ; High income median 6.09%/yr (9 peers, capped at ±8%)</x:v>
      </x:c>
      <x:c r="I114" s="36" t="str">
        <x:v>https://api.worldbank.org/v2/country/KNA/indicator/NY.GDP.MKTP.CD?source=2&amp;date=2025&amp;format=json | https://api.imf.org/external/sdmx/3.0/data/dataflow/IMF.RES/WEO/9.0.0/ | https://datahelpdesk.worldbank.org/knowledgebase/articles/898581-api-basic-call-structures</x:v>
      </x:c>
      <x:c r="J114" s="36" t="str">
        <x:v>peer_growth_inference</x:v>
      </x:c>
    </x:row>
    <x:row r="115">
      <x:c r="A115" s="24" t="str">
        <x:v>CAB</x:v>
      </x:c>
      <x:c r="B115" s="24" t="str">
        <x:v>Lesser Antilles States</x:v>
      </x:c>
      <x:c r="C115" s="24" t="n">
        <x:v>2026</x:v>
      </x:c>
      <x:c r="D115" s="24" t="str">
        <x:v>ATG</x:v>
      </x:c>
      <x:c r="E115" s="24" t="str">
        <x:v>ppp_gdp</x:v>
      </x:c>
      <x:c r="F115" s="38" t="n">
        <x:v>3159450579</x:v>
      </x:c>
      <x:c r="G115" s="24" t="str">
        <x:v>international dollars after scenario scaling</x:v>
      </x:c>
      <x:c r="H115" s="36" t="str">
        <x:v>peer-growth inference from World Bank 2025; Latin America &amp; Caribbean ; High income median 4.12%/yr (9 peers, capped at ±8%)</x:v>
      </x:c>
      <x:c r="I115" s="36" t="str">
        <x:v>https://api.worldbank.org/v2/country/ATG/indicator/NY.GDP.MKTP.PP.CD?source=2&amp;date=2025&amp;format=json | https://api.imf.org/external/sdmx/3.0/data/dataflow/IMF.RES/WEO/9.0.0/ | https://datahelpdesk.worldbank.org/knowledgebase/articles/898581-api-basic-call-structures</x:v>
      </x:c>
      <x:c r="J115" s="36" t="str">
        <x:v>peer_growth_inference</x:v>
      </x:c>
    </x:row>
    <x:row r="116">
      <x:c r="A116" s="24" t="str">
        <x:v>CAB</x:v>
      </x:c>
      <x:c r="B116" s="24" t="str">
        <x:v>Lesser Antilles States</x:v>
      </x:c>
      <x:c r="C116" s="24" t="n">
        <x:v>2026</x:v>
      </x:c>
      <x:c r="D116" s="24" t="str">
        <x:v>DMA</x:v>
      </x:c>
      <x:c r="E116" s="24" t="str">
        <x:v>ppp_gdp</x:v>
      </x:c>
      <x:c r="F116" s="38" t="n">
        <x:v>1352412159</x:v>
      </x:c>
      <x:c r="G116" s="24" t="str">
        <x:v>international dollars after scenario scaling</x:v>
      </x:c>
      <x:c r="H116" s="36" t="str">
        <x:v>peer-growth inference from World Bank 2025; Latin America &amp; Caribbean ; Upper middle income median 1.56%/yr (14 peers, capped at ±8%)</x:v>
      </x:c>
      <x:c r="I116" s="36" t="str">
        <x:v>https://api.worldbank.org/v2/country/DMA/indicator/NY.GDP.MKTP.PP.CD?source=2&amp;date=2025&amp;format=json | https://api.imf.org/external/sdmx/3.0/data/dataflow/IMF.RES/WEO/9.0.0/ | https://datahelpdesk.worldbank.org/knowledgebase/articles/898581-api-basic-call-structures</x:v>
      </x:c>
      <x:c r="J116" s="36" t="str">
        <x:v>peer_growth_inference</x:v>
      </x:c>
    </x:row>
    <x:row r="117">
      <x:c r="A117" s="24" t="str">
        <x:v>CAB</x:v>
      </x:c>
      <x:c r="B117" s="24" t="str">
        <x:v>Lesser Antilles States</x:v>
      </x:c>
      <x:c r="C117" s="24" t="n">
        <x:v>2026</x:v>
      </x:c>
      <x:c r="D117" s="24" t="str">
        <x:v>GRD</x:v>
      </x:c>
      <x:c r="E117" s="24" t="str">
        <x:v>ppp_gdp</x:v>
      </x:c>
      <x:c r="F117" s="38" t="n">
        <x:v>2276990276</x:v>
      </x:c>
      <x:c r="G117" s="24" t="str">
        <x:v>international dollars after scenario scaling</x:v>
      </x:c>
      <x:c r="H117" s="36" t="str">
        <x:v>peer-growth inference from World Bank 2025; Latin America &amp; Caribbean ; Upper middle income median 1.56%/yr (14 peers, capped at ±8%)</x:v>
      </x:c>
      <x:c r="I117" s="36" t="str">
        <x:v>https://api.worldbank.org/v2/country/GRD/indicator/NY.GDP.MKTP.PP.CD?source=2&amp;date=2025&amp;format=json | https://api.imf.org/external/sdmx/3.0/data/dataflow/IMF.RES/WEO/9.0.0/ | https://datahelpdesk.worldbank.org/knowledgebase/articles/898581-api-basic-call-structures</x:v>
      </x:c>
      <x:c r="J117" s="36" t="str">
        <x:v>peer_growth_inference</x:v>
      </x:c>
    </x:row>
    <x:row r="118">
      <x:c r="A118" s="24" t="str">
        <x:v>CAB</x:v>
      </x:c>
      <x:c r="B118" s="24" t="str">
        <x:v>Lesser Antilles States</x:v>
      </x:c>
      <x:c r="C118" s="24" t="n">
        <x:v>2026</x:v>
      </x:c>
      <x:c r="D118" s="24" t="str">
        <x:v>VCT</x:v>
      </x:c>
      <x:c r="E118" s="24" t="str">
        <x:v>ppp_gdp</x:v>
      </x:c>
      <x:c r="F118" s="38" t="n">
        <x:v>2056600506</x:v>
      </x:c>
      <x:c r="G118" s="24" t="str">
        <x:v>international dollars after scenario scaling</x:v>
      </x:c>
      <x:c r="H118" s="36" t="str">
        <x:v>peer-growth inference from World Bank 2025; Latin America &amp; Caribbean ; Upper middle income median 1.56%/yr (14 peers, capped at ±8%)</x:v>
      </x:c>
      <x:c r="I118" s="36" t="str">
        <x:v>https://api.worldbank.org/v2/country/VCT/indicator/NY.GDP.MKTP.PP.CD?source=2&amp;date=2025&amp;format=json | https://api.imf.org/external/sdmx/3.0/data/dataflow/IMF.RES/WEO/9.0.0/ | https://datahelpdesk.worldbank.org/knowledgebase/articles/898581-api-basic-call-structures</x:v>
      </x:c>
      <x:c r="J118" s="36" t="str">
        <x:v>peer_growth_inference</x:v>
      </x:c>
    </x:row>
    <x:row r="119">
      <x:c r="A119" s="24" t="str">
        <x:v>CAB</x:v>
      </x:c>
      <x:c r="B119" s="24" t="str">
        <x:v>Lesser Antilles States</x:v>
      </x:c>
      <x:c r="C119" s="24" t="n">
        <x:v>2026</x:v>
      </x:c>
      <x:c r="D119" s="24" t="str">
        <x:v>KNA</x:v>
      </x:c>
      <x:c r="E119" s="24" t="str">
        <x:v>ppp_gdp</x:v>
      </x:c>
      <x:c r="F119" s="38" t="n">
        <x:v>1610376980</x:v>
      </x:c>
      <x:c r="G119" s="24" t="str">
        <x:v>international dollars after scenario scaling</x:v>
      </x:c>
      <x:c r="H119" s="36" t="str">
        <x:v>peer-growth inference from World Bank 2025; Latin America &amp; Caribbean ; High income median 4.12%/yr (9 peers, capped at ±8%)</x:v>
      </x:c>
      <x:c r="I119" s="36" t="str">
        <x:v>https://api.worldbank.org/v2/country/KNA/indicator/NY.GDP.MKTP.PP.CD?source=2&amp;date=2025&amp;format=json | https://api.imf.org/external/sdmx/3.0/data/dataflow/IMF.RES/WEO/9.0.0/ | https://datahelpdesk.worldbank.org/knowledgebase/articles/898581-api-basic-call-structures</x:v>
      </x:c>
      <x:c r="J119" s="36" t="str">
        <x:v>peer_growth_inference</x:v>
      </x:c>
    </x:row>
    <x:row r="120">
      <x:c r="A120" s="24" t="str">
        <x:v>MCS</x:v>
      </x:c>
      <x:c r="B120" s="24" t="str">
        <x:v>Micronesian States</x:v>
      </x:c>
      <x:c r="C120" s="24" t="n">
        <x:v>2003</x:v>
      </x:c>
      <x:c r="D120" s="24" t="str">
        <x:v>MHL</x:v>
      </x:c>
      <x:c r="E120" s="24" t="str">
        <x:v>nominal_gdp</x:v>
      </x:c>
      <x:c r="F120" s="38" t="n">
        <x:v>208494315</x:v>
      </x:c>
      <x:c r="G120" s="24" t="str">
        <x:v>USD after scenario scaling</x:v>
      </x:c>
      <x:c r="H120" s="36" t="str">
        <x:v>World Bank exact 2003</x:v>
      </x:c>
      <x:c r="I120" s="36" t="str">
        <x:v>https://api.worldbank.org/v2/country/MHL/indicator/NY.GDP.MKTP.CD?source=2&amp;date=2003&amp;format=json</x:v>
      </x:c>
      <x:c r="J120" s="36" t="str">
        <x:v>world_bank_exact</x:v>
      </x:c>
    </x:row>
    <x:row r="121">
      <x:c r="A121" s="24" t="str">
        <x:v>MCS</x:v>
      </x:c>
      <x:c r="B121" s="24" t="str">
        <x:v>Micronesian States</x:v>
      </x:c>
      <x:c r="C121" s="24" t="n">
        <x:v>2003</x:v>
      </x:c>
      <x:c r="D121" s="24" t="str">
        <x:v>NRU</x:v>
      </x:c>
      <x:c r="E121" s="24" t="str">
        <x:v>nominal_gdp</x:v>
      </x:c>
      <x:c r="F121" s="38" t="n">
        <x:v>39397274</x:v>
      </x:c>
      <x:c r="G121" s="24" t="str">
        <x:v>USD after scenario scaling</x:v>
      </x:c>
      <x:c r="H121" s="36" t="str">
        <x:v>World Bank exact 2003</x:v>
      </x:c>
      <x:c r="I121" s="36" t="str">
        <x:v>https://api.worldbank.org/v2/country/NRU/indicator/NY.GDP.MKTP.CD?source=2&amp;date=2003&amp;format=json</x:v>
      </x:c>
      <x:c r="J121" s="36" t="str">
        <x:v>world_bank_exact</x:v>
      </x:c>
    </x:row>
    <x:row r="122">
      <x:c r="A122" s="24" t="str">
        <x:v>MCS</x:v>
      </x:c>
      <x:c r="B122" s="24" t="str">
        <x:v>Micronesian States</x:v>
      </x:c>
      <x:c r="C122" s="24" t="n">
        <x:v>2003</x:v>
      </x:c>
      <x:c r="D122" s="24" t="str">
        <x:v>PLW</x:v>
      </x:c>
      <x:c r="E122" s="24" t="str">
        <x:v>nominal_gdp</x:v>
      </x:c>
      <x:c r="F122" s="38" t="n">
        <x:v>245761182</x:v>
      </x:c>
      <x:c r="G122" s="24" t="str">
        <x:v>USD after scenario scaling</x:v>
      </x:c>
      <x:c r="H122" s="36" t="str">
        <x:v>World Bank exact 2003</x:v>
      </x:c>
      <x:c r="I122" s="36" t="str">
        <x:v>https://api.worldbank.org/v2/country/PLW/indicator/NY.GDP.MKTP.CD?source=2&amp;date=2003&amp;format=json</x:v>
      </x:c>
      <x:c r="J122" s="36" t="str">
        <x:v>world_bank_exact</x:v>
      </x:c>
    </x:row>
    <x:row r="123">
      <x:c r="A123" s="24" t="str">
        <x:v>MCS</x:v>
      </x:c>
      <x:c r="B123" s="24" t="str">
        <x:v>Micronesian States</x:v>
      </x:c>
      <x:c r="C123" s="24" t="n">
        <x:v>2003</x:v>
      </x:c>
      <x:c r="D123" s="24" t="str">
        <x:v>MHL</x:v>
      </x:c>
      <x:c r="E123" s="24" t="str">
        <x:v>ppp_gdp</x:v>
      </x:c>
      <x:c r="F123" s="38" t="n">
        <x:v>231890266</x:v>
      </x:c>
      <x:c r="G123" s="24" t="str">
        <x:v>international dollars after scenario scaling</x:v>
      </x:c>
      <x:c r="H123" s="36" t="str">
        <x:v>World Bank exact 2003</x:v>
      </x:c>
      <x:c r="I123" s="36" t="str">
        <x:v>https://api.worldbank.org/v2/country/MHL/indicator/NY.GDP.MKTP.PP.CD?source=2&amp;date=2003&amp;format=json</x:v>
      </x:c>
      <x:c r="J123" s="36" t="str">
        <x:v>world_bank_exact</x:v>
      </x:c>
    </x:row>
    <x:row r="124">
      <x:c r="A124" s="24" t="str">
        <x:v>MCS</x:v>
      </x:c>
      <x:c r="B124" s="24" t="str">
        <x:v>Micronesian States</x:v>
      </x:c>
      <x:c r="C124" s="24" t="n">
        <x:v>2003</x:v>
      </x:c>
      <x:c r="D124" s="24" t="str">
        <x:v>NRU</x:v>
      </x:c>
      <x:c r="E124" s="24" t="str">
        <x:v>ppp_gdp</x:v>
      </x:c>
      <x:c r="F124" s="38" t="n">
        <x:v>84138673</x:v>
      </x:c>
      <x:c r="G124" s="24" t="str">
        <x:v>international dollars after scenario scaling</x:v>
      </x:c>
      <x:c r="H124" s="36" t="str">
        <x:v>World Bank exact 2003</x:v>
      </x:c>
      <x:c r="I124" s="36" t="str">
        <x:v>https://api.worldbank.org/v2/country/NRU/indicator/NY.GDP.MKTP.PP.CD?source=2&amp;date=2003&amp;format=json</x:v>
      </x:c>
      <x:c r="J124" s="36" t="str">
        <x:v>world_bank_exact</x:v>
      </x:c>
    </x:row>
    <x:row r="125">
      <x:c r="A125" s="24" t="str">
        <x:v>MCS</x:v>
      </x:c>
      <x:c r="B125" s="24" t="str">
        <x:v>Micronesian States</x:v>
      </x:c>
      <x:c r="C125" s="24" t="n">
        <x:v>2003</x:v>
      </x:c>
      <x:c r="D125" s="24" t="str">
        <x:v>PLW</x:v>
      </x:c>
      <x:c r="E125" s="24" t="str">
        <x:v>ppp_gdp</x:v>
      </x:c>
      <x:c r="F125" s="38" t="n">
        <x:v>361294932</x:v>
      </x:c>
      <x:c r="G125" s="24" t="str">
        <x:v>international dollars after scenario scaling</x:v>
      </x:c>
      <x:c r="H125" s="36" t="str">
        <x:v>World Bank exact 2003</x:v>
      </x:c>
      <x:c r="I125" s="36" t="str">
        <x:v>https://api.worldbank.org/v2/country/PLW/indicator/NY.GDP.MKTP.PP.CD?source=2&amp;date=2003&amp;format=json</x:v>
      </x:c>
      <x:c r="J125" s="36" t="str">
        <x:v>world_bank_exact</x:v>
      </x:c>
    </x:row>
    <x:row r="126">
      <x:c r="A126" s="24" t="str">
        <x:v>MCS</x:v>
      </x:c>
      <x:c r="B126" s="24" t="str">
        <x:v>Micronesian States</x:v>
      </x:c>
      <x:c r="C126" s="24" t="n">
        <x:v>2022</x:v>
      </x:c>
      <x:c r="D126" s="24" t="str">
        <x:v>MHL</x:v>
      </x:c>
      <x:c r="E126" s="24" t="str">
        <x:v>nominal_gdp</x:v>
      </x:c>
      <x:c r="F126" s="38" t="n">
        <x:v>258723500</x:v>
      </x:c>
      <x:c r="G126" s="24" t="str">
        <x:v>USD after scenario scaling</x:v>
      </x:c>
      <x:c r="H126" s="36" t="str">
        <x:v>World Bank exact 2022</x:v>
      </x:c>
      <x:c r="I126" s="36" t="str">
        <x:v>https://api.worldbank.org/v2/country/MHL/indicator/NY.GDP.MKTP.CD?source=2&amp;date=2022&amp;format=json</x:v>
      </x:c>
      <x:c r="J126" s="36" t="str">
        <x:v>world_bank_exact</x:v>
      </x:c>
    </x:row>
    <x:row r="127">
      <x:c r="A127" s="24" t="str">
        <x:v>MCS</x:v>
      </x:c>
      <x:c r="B127" s="24" t="str">
        <x:v>Micronesian States</x:v>
      </x:c>
      <x:c r="C127" s="24" t="n">
        <x:v>2022</x:v>
      </x:c>
      <x:c r="D127" s="24" t="str">
        <x:v>NRU</x:v>
      </x:c>
      <x:c r="E127" s="24" t="str">
        <x:v>nominal_gdp</x:v>
      </x:c>
      <x:c r="F127" s="38" t="n">
        <x:v>180671357</x:v>
      </x:c>
      <x:c r="G127" s="24" t="str">
        <x:v>USD after scenario scaling</x:v>
      </x:c>
      <x:c r="H127" s="36" t="str">
        <x:v>World Bank exact 2022</x:v>
      </x:c>
      <x:c r="I127" s="36" t="str">
        <x:v>https://api.worldbank.org/v2/country/NRU/indicator/NY.GDP.MKTP.CD?source=2&amp;date=2022&amp;format=json</x:v>
      </x:c>
      <x:c r="J127" s="36" t="str">
        <x:v>world_bank_exact</x:v>
      </x:c>
    </x:row>
    <x:row r="128">
      <x:c r="A128" s="24" t="str">
        <x:v>MCS</x:v>
      </x:c>
      <x:c r="B128" s="24" t="str">
        <x:v>Micronesian States</x:v>
      </x:c>
      <x:c r="C128" s="24" t="n">
        <x:v>2022</x:v>
      </x:c>
      <x:c r="D128" s="24" t="str">
        <x:v>PLW</x:v>
      </x:c>
      <x:c r="E128" s="24" t="str">
        <x:v>nominal_gdp</x:v>
      </x:c>
      <x:c r="F128" s="38" t="n">
        <x:v>247470813</x:v>
      </x:c>
      <x:c r="G128" s="24" t="str">
        <x:v>USD after scenario scaling</x:v>
      </x:c>
      <x:c r="H128" s="36" t="str">
        <x:v>World Bank exact 2022</x:v>
      </x:c>
      <x:c r="I128" s="36" t="str">
        <x:v>https://api.worldbank.org/v2/country/PLW/indicator/NY.GDP.MKTP.CD?source=2&amp;date=2022&amp;format=json</x:v>
      </x:c>
      <x:c r="J128" s="36" t="str">
        <x:v>world_bank_exact</x:v>
      </x:c>
    </x:row>
    <x:row r="129">
      <x:c r="A129" s="24" t="str">
        <x:v>MCS</x:v>
      </x:c>
      <x:c r="B129" s="24" t="str">
        <x:v>Micronesian States</x:v>
      </x:c>
      <x:c r="C129" s="24" t="n">
        <x:v>2022</x:v>
      </x:c>
      <x:c r="D129" s="24" t="str">
        <x:v>MHL</x:v>
      </x:c>
      <x:c r="E129" s="24" t="str">
        <x:v>ppp_gdp</x:v>
      </x:c>
      <x:c r="F129" s="38" t="n">
        <x:v>297820262</x:v>
      </x:c>
      <x:c r="G129" s="24" t="str">
        <x:v>international dollars after scenario scaling</x:v>
      </x:c>
      <x:c r="H129" s="36" t="str">
        <x:v>World Bank exact 2022</x:v>
      </x:c>
      <x:c r="I129" s="36" t="str">
        <x:v>https://api.worldbank.org/v2/country/MHL/indicator/NY.GDP.MKTP.PP.CD?source=2&amp;date=2022&amp;format=json</x:v>
      </x:c>
      <x:c r="J129" s="36" t="str">
        <x:v>world_bank_exact</x:v>
      </x:c>
    </x:row>
    <x:row r="130">
      <x:c r="A130" s="24" t="str">
        <x:v>MCS</x:v>
      </x:c>
      <x:c r="B130" s="24" t="str">
        <x:v>Micronesian States</x:v>
      </x:c>
      <x:c r="C130" s="24" t="n">
        <x:v>2022</x:v>
      </x:c>
      <x:c r="D130" s="24" t="str">
        <x:v>NRU</x:v>
      </x:c>
      <x:c r="E130" s="24" t="str">
        <x:v>ppp_gdp</x:v>
      </x:c>
      <x:c r="F130" s="38" t="n">
        <x:v>151928739</x:v>
      </x:c>
      <x:c r="G130" s="24" t="str">
        <x:v>international dollars after scenario scaling</x:v>
      </x:c>
      <x:c r="H130" s="36" t="str">
        <x:v>World Bank exact 2022</x:v>
      </x:c>
      <x:c r="I130" s="36" t="str">
        <x:v>https://api.worldbank.org/v2/country/NRU/indicator/NY.GDP.MKTP.PP.CD?source=2&amp;date=2022&amp;format=json</x:v>
      </x:c>
      <x:c r="J130" s="36" t="str">
        <x:v>world_bank_exact</x:v>
      </x:c>
    </x:row>
    <x:row r="131">
      <x:c r="A131" s="24" t="str">
        <x:v>MCS</x:v>
      </x:c>
      <x:c r="B131" s="24" t="str">
        <x:v>Micronesian States</x:v>
      </x:c>
      <x:c r="C131" s="24" t="n">
        <x:v>2022</x:v>
      </x:c>
      <x:c r="D131" s="24" t="str">
        <x:v>PLW</x:v>
      </x:c>
      <x:c r="E131" s="24" t="str">
        <x:v>ppp_gdp</x:v>
      </x:c>
      <x:c r="F131" s="38" t="n">
        <x:v>309273384</x:v>
      </x:c>
      <x:c r="G131" s="24" t="str">
        <x:v>international dollars after scenario scaling</x:v>
      </x:c>
      <x:c r="H131" s="36" t="str">
        <x:v>World Bank exact 2022</x:v>
      </x:c>
      <x:c r="I131" s="36" t="str">
        <x:v>https://api.worldbank.org/v2/country/PLW/indicator/NY.GDP.MKTP.PP.CD?source=2&amp;date=2022&amp;format=json</x:v>
      </x:c>
      <x:c r="J131" s="36" t="str">
        <x:v>world_bank_exact</x:v>
      </x:c>
    </x:row>
    <x:row r="132">
      <x:c r="A132" s="24" t="str">
        <x:v>MCS</x:v>
      </x:c>
      <x:c r="B132" s="24" t="str">
        <x:v>Micronesian States</x:v>
      </x:c>
      <x:c r="C132" s="24" t="n">
        <x:v>2026</x:v>
      </x:c>
      <x:c r="D132" s="24" t="str">
        <x:v>MHL</x:v>
      </x:c>
      <x:c r="E132" s="24" t="str">
        <x:v>nominal_gdp</x:v>
      </x:c>
      <x:c r="F132" s="38" t="n">
        <x:v>266124520</x:v>
      </x:c>
      <x:c r="G132" s="24" t="str">
        <x:v>USD after scenario scaling</x:v>
      </x:c>
      <x:c r="H132" s="36" t="str">
        <x:v>peer-growth inference from World Bank 2025; East Asia &amp; Pacific; Upper middle income median -0.13%/yr (11 peers, capped at ±8%)</x:v>
      </x:c>
      <x:c r="I132" s="36" t="str">
        <x:v>https://api.worldbank.org/v2/country/MHL/indicator/NY.GDP.MKTP.CD?source=2&amp;date=2025&amp;format=json | https://api.imf.org/external/sdmx/3.0/data/dataflow/IMF.RES/WEO/9.0.0/ | https://datahelpdesk.worldbank.org/knowledgebase/articles/898581-api-basic-call-structures</x:v>
      </x:c>
      <x:c r="J132" s="36" t="str">
        <x:v>peer_growth_inference</x:v>
      </x:c>
    </x:row>
    <x:row r="133">
      <x:c r="A133" s="24" t="str">
        <x:v>MCS</x:v>
      </x:c>
      <x:c r="B133" s="24" t="str">
        <x:v>Micronesian States</x:v>
      </x:c>
      <x:c r="C133" s="24" t="n">
        <x:v>2026</x:v>
      </x:c>
      <x:c r="D133" s="24" t="str">
        <x:v>NRU</x:v>
      </x:c>
      <x:c r="E133" s="24" t="str">
        <x:v>nominal_gdp</x:v>
      </x:c>
      <x:c r="F133" s="38" t="n">
        <x:v>163289671</x:v>
      </x:c>
      <x:c r="G133" s="24" t="str">
        <x:v>USD after scenario scaling</x:v>
      </x:c>
      <x:c r="H133" s="36" t="str">
        <x:v>peer-growth inference from World Bank 2025; East Asia &amp; Pacific; High income median 3.00%/yr (6 peers, capped at ±8%)</x:v>
      </x:c>
      <x:c r="I133" s="36" t="str">
        <x:v>https://api.worldbank.org/v2/country/NRU/indicator/NY.GDP.MKTP.CD?source=2&amp;date=2025&amp;format=json | https://api.imf.org/external/sdmx/3.0/data/dataflow/IMF.RES/WEO/9.0.0/ | https://datahelpdesk.worldbank.org/knowledgebase/articles/898581-api-basic-call-structures</x:v>
      </x:c>
      <x:c r="J133" s="36" t="str">
        <x:v>peer_growth_inference</x:v>
      </x:c>
    </x:row>
    <x:row r="134">
      <x:c r="A134" s="24" t="str">
        <x:v>MCS</x:v>
      </x:c>
      <x:c r="B134" s="24" t="str">
        <x:v>Micronesian States</x:v>
      </x:c>
      <x:c r="C134" s="24" t="n">
        <x:v>2026</x:v>
      </x:c>
      <x:c r="D134" s="24" t="str">
        <x:v>PLW</x:v>
      </x:c>
      <x:c r="E134" s="24" t="str">
        <x:v>nominal_gdp</x:v>
      </x:c>
      <x:c r="F134" s="38" t="n">
        <x:v>317120040</x:v>
      </x:c>
      <x:c r="G134" s="24" t="str">
        <x:v>USD after scenario scaling</x:v>
      </x:c>
      <x:c r="H134" s="36" t="str">
        <x:v>peer-growth inference from World Bank 2025; East Asia &amp; Pacific; High income median 3.00%/yr (6 peers, capped at ±8%)</x:v>
      </x:c>
      <x:c r="I134" s="36" t="str">
        <x:v>https://api.worldbank.org/v2/country/PLW/indicator/NY.GDP.MKTP.CD?source=2&amp;date=2025&amp;format=json | https://api.imf.org/external/sdmx/3.0/data/dataflow/IMF.RES/WEO/9.0.0/ | https://datahelpdesk.worldbank.org/knowledgebase/articles/898581-api-basic-call-structures</x:v>
      </x:c>
      <x:c r="J134" s="36" t="str">
        <x:v>peer_growth_inference</x:v>
      </x:c>
    </x:row>
    <x:row r="135">
      <x:c r="A135" s="24" t="str">
        <x:v>MCS</x:v>
      </x:c>
      <x:c r="B135" s="24" t="str">
        <x:v>Micronesian States</x:v>
      </x:c>
      <x:c r="C135" s="24" t="n">
        <x:v>2026</x:v>
      </x:c>
      <x:c r="D135" s="24" t="str">
        <x:v>MHL</x:v>
      </x:c>
      <x:c r="E135" s="24" t="str">
        <x:v>ppp_gdp</x:v>
      </x:c>
      <x:c r="F135" s="38" t="n">
        <x:v>285449043</x:v>
      </x:c>
      <x:c r="G135" s="24" t="str">
        <x:v>international dollars after scenario scaling</x:v>
      </x:c>
      <x:c r="H135" s="36" t="str">
        <x:v>peer-growth inference from World Bank 2025; East Asia &amp; Pacific; Upper middle income median 1.44%/yr (11 peers, capped at ±8%)</x:v>
      </x:c>
      <x:c r="I135" s="36" t="str">
        <x:v>https://api.worldbank.org/v2/country/MHL/indicator/NY.GDP.MKTP.PP.CD?source=2&amp;date=2025&amp;format=json | https://api.imf.org/external/sdmx/3.0/data/dataflow/IMF.RES/WEO/9.0.0/ | https://datahelpdesk.worldbank.org/knowledgebase/articles/898581-api-basic-call-structures</x:v>
      </x:c>
      <x:c r="J135" s="36" t="str">
        <x:v>peer_growth_inference</x:v>
      </x:c>
    </x:row>
    <x:row r="136">
      <x:c r="A136" s="24" t="str">
        <x:v>MCS</x:v>
      </x:c>
      <x:c r="B136" s="24" t="str">
        <x:v>Micronesian States</x:v>
      </x:c>
      <x:c r="C136" s="24" t="n">
        <x:v>2026</x:v>
      </x:c>
      <x:c r="D136" s="24" t="str">
        <x:v>NRU</x:v>
      </x:c>
      <x:c r="E136" s="24" t="str">
        <x:v>ppp_gdp</x:v>
      </x:c>
      <x:c r="F136" s="38" t="n">
        <x:v>157517235</x:v>
      </x:c>
      <x:c r="G136" s="24" t="str">
        <x:v>international dollars after scenario scaling</x:v>
      </x:c>
      <x:c r="H136" s="36" t="str">
        <x:v>peer-growth inference from World Bank 2025; East Asia &amp; Pacific; High income median 2.43%/yr (6 peers, capped at ±8%)</x:v>
      </x:c>
      <x:c r="I136" s="36" t="str">
        <x:v>https://api.worldbank.org/v2/country/NRU/indicator/NY.GDP.MKTP.PP.CD?source=2&amp;date=2025&amp;format=json | https://api.imf.org/external/sdmx/3.0/data/dataflow/IMF.RES/WEO/9.0.0/ | https://datahelpdesk.worldbank.org/knowledgebase/articles/898581-api-basic-call-structures</x:v>
      </x:c>
      <x:c r="J136" s="36" t="str">
        <x:v>peer_growth_inference</x:v>
      </x:c>
    </x:row>
    <x:row r="137">
      <x:c r="A137" s="24" t="str">
        <x:v>MCS</x:v>
      </x:c>
      <x:c r="B137" s="24" t="str">
        <x:v>Micronesian States</x:v>
      </x:c>
      <x:c r="C137" s="24" t="n">
        <x:v>2026</x:v>
      </x:c>
      <x:c r="D137" s="24" t="str">
        <x:v>PLW</x:v>
      </x:c>
      <x:c r="E137" s="24" t="str">
        <x:v>ppp_gdp</x:v>
      </x:c>
      <x:c r="F137" s="38" t="n">
        <x:v>372189518</x:v>
      </x:c>
      <x:c r="G137" s="24" t="str">
        <x:v>international dollars after scenario scaling</x:v>
      </x:c>
      <x:c r="H137" s="36" t="str">
        <x:v>peer-growth inference from World Bank 2025; East Asia &amp; Pacific; High income median 2.43%/yr (6 peers, capped at ±8%)</x:v>
      </x:c>
      <x:c r="I137" s="36" t="str">
        <x:v>https://api.worldbank.org/v2/country/PLW/indicator/NY.GDP.MKTP.PP.CD?source=2&amp;date=2025&amp;format=json | https://api.imf.org/external/sdmx/3.0/data/dataflow/IMF.RES/WEO/9.0.0/ | https://datahelpdesk.worldbank.org/knowledgebase/articles/898581-api-basic-call-structures</x:v>
      </x:c>
      <x:c r="J137" s="36" t="str">
        <x:v>peer_growth_inference</x:v>
      </x:c>
    </x:row>
    <x:row r="138">
      <x:c r="A138" s="24" t="str">
        <x:v>NET</x:v>
      </x:c>
      <x:c r="B138" s="24" t="str">
        <x:v>Netherlands</x:v>
      </x:c>
      <x:c r="C138" s="24" t="n">
        <x:v>2003</x:v>
      </x:c>
      <x:c r="D138" s="24" t="str">
        <x:v>ABW</x:v>
      </x:c>
      <x:c r="E138" s="24" t="str">
        <x:v>nominal_gdp</x:v>
      </x:c>
      <x:c r="F138" s="38" t="n">
        <x:v>3250137654</x:v>
      </x:c>
      <x:c r="G138" s="24" t="str">
        <x:v>USD after scenario scaling</x:v>
      </x:c>
      <x:c r="H138" s="36" t="str">
        <x:v>World Bank exact 2003</x:v>
      </x:c>
      <x:c r="I138" s="36" t="str">
        <x:v>https://api.worldbank.org/v2/country/ABW/indicator/NY.GDP.MKTP.CD?source=2&amp;date=2003&amp;format=json</x:v>
      </x:c>
      <x:c r="J138" s="36" t="str">
        <x:v>world_bank_exact</x:v>
      </x:c>
    </x:row>
    <x:row r="139">
      <x:c r="A139" s="24" t="str">
        <x:v>NET</x:v>
      </x:c>
      <x:c r="B139" s="24" t="str">
        <x:v>Netherlands</x:v>
      </x:c>
      <x:c r="C139" s="24" t="n">
        <x:v>2003</x:v>
      </x:c>
      <x:c r="D139" s="24" t="str">
        <x:v>CUW</x:v>
      </x:c>
      <x:c r="E139" s="24" t="str">
        <x:v>nominal_gdp</x:v>
      </x:c>
      <x:c r="F139" s="38" t="n">
        <x:v>3501366625</x:v>
      </x:c>
      <x:c r="G139" s="24" t="str">
        <x:v>USD after scenario scaling</x:v>
      </x:c>
      <x:c r="H139" s="36" t="str">
        <x:v>World Bank exact 2003</x:v>
      </x:c>
      <x:c r="I139" s="36" t="str">
        <x:v>https://api.worldbank.org/v2/country/CUW/indicator/NY.GDP.MKTP.CD?source=2&amp;date=2003&amp;format=json</x:v>
      </x:c>
      <x:c r="J139" s="36" t="str">
        <x:v>world_bank_exact</x:v>
      </x:c>
    </x:row>
    <x:row r="140">
      <x:c r="A140" s="24" t="str">
        <x:v>NET</x:v>
      </x:c>
      <x:c r="B140" s="24" t="str">
        <x:v>Netherlands</x:v>
      </x:c>
      <x:c r="C140" s="24" t="n">
        <x:v>2003</x:v>
      </x:c>
      <x:c r="D140" s="24" t="str">
        <x:v>SXM</x:v>
      </x:c>
      <x:c r="E140" s="24" t="str">
        <x:v>nominal_gdp</x:v>
      </x:c>
      <x:c r="F140" s="38" t="n">
        <x:v>915389188</x:v>
      </x:c>
      <x:c r="G140" s="24" t="str">
        <x:v>USD after scenario scaling</x:v>
      </x:c>
      <x:c r="H140" s="36" t="str">
        <x:v>peer-growth inference from World Bank 2009; Latin America &amp; Caribbean ; High income median 3.20%/yr (15 peers, capped at ±8%)</x:v>
      </x:c>
      <x:c r="I140" s="36" t="str">
        <x:v>https://api.worldbank.org/v2/country/SXM/indicator/NY.GDP.MKTP.CD?source=2&amp;date=2009&amp;format=json | https://api.imf.org/external/sdmx/3.0/data/dataflow/IMF.RES/WEO/9.0.0/ | https://datahelpdesk.worldbank.org/knowledgebase/articles/898581-api-basic-call-structures</x:v>
      </x:c>
      <x:c r="J140" s="36" t="str">
        <x:v>peer_growth_inference</x:v>
      </x:c>
    </x:row>
    <x:row r="141">
      <x:c r="A141" s="24" t="str">
        <x:v>NET</x:v>
      </x:c>
      <x:c r="B141" s="24" t="str">
        <x:v>Netherlands</x:v>
      </x:c>
      <x:c r="C141" s="24" t="n">
        <x:v>2003</x:v>
      </x:c>
      <x:c r="D141" s="24" t="str">
        <x:v>BES</x:v>
      </x:c>
      <x:c r="E141" s="24" t="str">
        <x:v>nominal_gdp</x:v>
      </x:c>
      <x:c r="F141" s="38" t="n">
        <x:v>66232689</x:v>
      </x:c>
      <x:c r="G141" s="24" t="str">
        <x:v>USD after scenario scaling</x:v>
      </x:c>
      <x:c r="H141" s="36" t="str">
        <x:v>nominal GDP/c inferred from global available-country peers median level (210 peers)</x:v>
      </x:c>
      <x:c r="I141" s="36" t="str">
        <x:v>https://api.imf.org/external/sdmx/3.0/data/dataflow/IMF.RES/WEO/9.0.0/ | https://datahelpdesk.worldbank.org/knowledgebase/articles/898581-api-basic-call-structures</x:v>
      </x:c>
      <x:c r="J141" s="36" t="str">
        <x:v>peer_level_inference</x:v>
      </x:c>
    </x:row>
    <x:row r="142">
      <x:c r="A142" s="24" t="str">
        <x:v>NET</x:v>
      </x:c>
      <x:c r="B142" s="24" t="str">
        <x:v>Netherlands</x:v>
      </x:c>
      <x:c r="C142" s="24" t="n">
        <x:v>2003</x:v>
      </x:c>
      <x:c r="D142" s="24" t="str">
        <x:v>ABW</x:v>
      </x:c>
      <x:c r="E142" s="24" t="str">
        <x:v>ppp_gdp</x:v>
      </x:c>
      <x:c r="F142" s="38" t="n">
        <x:v>4813438399</x:v>
      </x:c>
      <x:c r="G142" s="24" t="str">
        <x:v>international dollars after scenario scaling</x:v>
      </x:c>
      <x:c r="H142" s="36" t="str">
        <x:v>World Bank exact 2003</x:v>
      </x:c>
      <x:c r="I142" s="36" t="str">
        <x:v>https://api.worldbank.org/v2/country/ABW/indicator/NY.GDP.MKTP.PP.CD?source=2&amp;date=2003&amp;format=json</x:v>
      </x:c>
      <x:c r="J142" s="36" t="str">
        <x:v>world_bank_exact</x:v>
      </x:c>
    </x:row>
    <x:row r="143">
      <x:c r="A143" s="24" t="str">
        <x:v>NET</x:v>
      </x:c>
      <x:c r="B143" s="24" t="str">
        <x:v>Netherlands</x:v>
      </x:c>
      <x:c r="C143" s="24" t="n">
        <x:v>2003</x:v>
      </x:c>
      <x:c r="D143" s="24" t="str">
        <x:v>CUW</x:v>
      </x:c>
      <x:c r="E143" s="24" t="str">
        <x:v>ppp_gdp</x:v>
      </x:c>
      <x:c r="F143" s="38" t="n">
        <x:v>4933002811</x:v>
      </x:c>
      <x:c r="G143" s="24" t="str">
        <x:v>international dollars after scenario scaling</x:v>
      </x:c>
      <x:c r="H143" s="36" t="str">
        <x:v>World Bank exact 2003</x:v>
      </x:c>
      <x:c r="I143" s="36" t="str">
        <x:v>https://api.worldbank.org/v2/country/CUW/indicator/NY.GDP.MKTP.PP.CD?source=2&amp;date=2003&amp;format=json</x:v>
      </x:c>
      <x:c r="J143" s="36" t="str">
        <x:v>world_bank_exact</x:v>
      </x:c>
    </x:row>
    <x:row r="144">
      <x:c r="A144" s="24" t="str">
        <x:v>NET</x:v>
      </x:c>
      <x:c r="B144" s="24" t="str">
        <x:v>Netherlands</x:v>
      </x:c>
      <x:c r="C144" s="24" t="n">
        <x:v>2003</x:v>
      </x:c>
      <x:c r="D144" s="24" t="str">
        <x:v>SXM</x:v>
      </x:c>
      <x:c r="E144" s="24" t="str">
        <x:v>ppp_gdp</x:v>
      </x:c>
      <x:c r="F144" s="38" t="n">
        <x:v>1356026148</x:v>
      </x:c>
      <x:c r="G144" s="24" t="str">
        <x:v>international dollars after scenario scaling</x:v>
      </x:c>
      <x:c r="H144" s="36" t="str">
        <x:v>peer-growth inference from World Bank 2009; Latin America &amp; Caribbean ; High income median 2.57%/yr (14 peers, capped at ±8%)</x:v>
      </x:c>
      <x:c r="I144" s="36" t="str">
        <x:v>https://api.worldbank.org/v2/country/SXM/indicator/NY.GDP.MKTP.PP.CD?source=2&amp;date=2009&amp;format=json | https://api.imf.org/external/sdmx/3.0/data/dataflow/IMF.RES/WEO/9.0.0/ | https://datahelpdesk.worldbank.org/knowledgebase/articles/898581-api-basic-call-structures</x:v>
      </x:c>
      <x:c r="J144" s="36" t="str">
        <x:v>peer_growth_inference</x:v>
      </x:c>
    </x:row>
    <x:row r="145">
      <x:c r="A145" s="24" t="str">
        <x:v>NET</x:v>
      </x:c>
      <x:c r="B145" s="24" t="str">
        <x:v>Netherlands</x:v>
      </x:c>
      <x:c r="C145" s="24" t="n">
        <x:v>2003</x:v>
      </x:c>
      <x:c r="D145" s="24" t="str">
        <x:v>BES</x:v>
      </x:c>
      <x:c r="E145" s="24" t="str">
        <x:v>ppp_gdp</x:v>
      </x:c>
      <x:c r="F145" s="38" t="n">
        <x:v>170668497</x:v>
      </x:c>
      <x:c r="G145" s="24" t="str">
        <x:v>international dollars after scenario scaling</x:v>
      </x:c>
      <x:c r="H145" s="36" t="str">
        <x:v>PPP inferred from filled nominal GDP using global available-country peers median PPP/nominal ratio 2.577 (199 peers)</x:v>
      </x:c>
      <x:c r="I145" s="36" t="str">
        <x:v>https://api.imf.org/external/sdmx/3.0/data/dataflow/IMF.RES/WEO/9.0.0/ | https://datahelpdesk.worldbank.org/knowledgebase/articles/898581-api-basic-call-structures</x:v>
      </x:c>
      <x:c r="J145" s="36" t="str">
        <x:v>peer_ratio_inference</x:v>
      </x:c>
    </x:row>
    <x:row r="146">
      <x:c r="A146" s="24" t="str">
        <x:v>NET</x:v>
      </x:c>
      <x:c r="B146" s="24" t="str">
        <x:v>Netherlands</x:v>
      </x:c>
      <x:c r="C146" s="24" t="n">
        <x:v>2022</x:v>
      </x:c>
      <x:c r="D146" s="24" t="str">
        <x:v>ABW</x:v>
      </x:c>
      <x:c r="E146" s="24" t="str">
        <x:v>nominal_gdp</x:v>
      </x:c>
      <x:c r="F146" s="38" t="n">
        <x:v>3326671315</x:v>
      </x:c>
      <x:c r="G146" s="24" t="str">
        <x:v>USD after scenario scaling</x:v>
      </x:c>
      <x:c r="H146" s="36" t="str">
        <x:v>World Bank exact 2022</x:v>
      </x:c>
      <x:c r="I146" s="36" t="str">
        <x:v>https://api.worldbank.org/v2/country/ABW/indicator/NY.GDP.MKTP.CD?source=2&amp;date=2022&amp;format=json</x:v>
      </x:c>
      <x:c r="J146" s="36" t="str">
        <x:v>world_bank_exact</x:v>
      </x:c>
    </x:row>
    <x:row r="147">
      <x:c r="A147" s="24" t="str">
        <x:v>NET</x:v>
      </x:c>
      <x:c r="B147" s="24" t="str">
        <x:v>Netherlands</x:v>
      </x:c>
      <x:c r="C147" s="24" t="n">
        <x:v>2022</x:v>
      </x:c>
      <x:c r="D147" s="24" t="str">
        <x:v>CUW</x:v>
      </x:c>
      <x:c r="E147" s="24" t="str">
        <x:v>nominal_gdp</x:v>
      </x:c>
      <x:c r="F147" s="38" t="n">
        <x:v>3075180838</x:v>
      </x:c>
      <x:c r="G147" s="24" t="str">
        <x:v>USD after scenario scaling</x:v>
      </x:c>
      <x:c r="H147" s="36" t="str">
        <x:v>World Bank exact 2022</x:v>
      </x:c>
      <x:c r="I147" s="36" t="str">
        <x:v>https://api.worldbank.org/v2/country/CUW/indicator/NY.GDP.MKTP.CD?source=2&amp;date=2022&amp;format=json</x:v>
      </x:c>
      <x:c r="J147" s="36" t="str">
        <x:v>world_bank_exact</x:v>
      </x:c>
    </x:row>
    <x:row r="148">
      <x:c r="A148" s="24" t="str">
        <x:v>NET</x:v>
      </x:c>
      <x:c r="B148" s="24" t="str">
        <x:v>Netherlands</x:v>
      </x:c>
      <x:c r="C148" s="24" t="n">
        <x:v>2022</x:v>
      </x:c>
      <x:c r="D148" s="24" t="str">
        <x:v>SXM</x:v>
      </x:c>
      <x:c r="E148" s="24" t="str">
        <x:v>nominal_gdp</x:v>
      </x:c>
      <x:c r="F148" s="38" t="n">
        <x:v>1592564637</x:v>
      </x:c>
      <x:c r="G148" s="24" t="str">
        <x:v>USD after scenario scaling</x:v>
      </x:c>
      <x:c r="H148" s="36" t="str">
        <x:v>World Bank exact 2022</x:v>
      </x:c>
      <x:c r="I148" s="36" t="str">
        <x:v>https://api.worldbank.org/v2/country/SXM/indicator/NY.GDP.MKTP.CD?source=2&amp;date=2022&amp;format=json</x:v>
      </x:c>
      <x:c r="J148" s="36" t="str">
        <x:v>world_bank_exact</x:v>
      </x:c>
    </x:row>
    <x:row r="149">
      <x:c r="A149" s="24" t="str">
        <x:v>NET</x:v>
      </x:c>
      <x:c r="B149" s="24" t="str">
        <x:v>Netherlands</x:v>
      </x:c>
      <x:c r="C149" s="24" t="n">
        <x:v>2022</x:v>
      </x:c>
      <x:c r="D149" s="24" t="str">
        <x:v>BES</x:v>
      </x:c>
      <x:c r="E149" s="24" t="str">
        <x:v>nominal_gdp</x:v>
      </x:c>
      <x:c r="F149" s="38" t="n">
        <x:v>217725577</x:v>
      </x:c>
      <x:c r="G149" s="24" t="str">
        <x:v>USD after scenario scaling</x:v>
      </x:c>
      <x:c r="H149" s="36" t="str">
        <x:v>nominal GDP/c inferred from global available-country peers median level (211 peers)</x:v>
      </x:c>
      <x:c r="I149" s="36" t="str">
        <x:v>https://api.imf.org/external/sdmx/3.0/data/dataflow/IMF.RES/WEO/9.0.0/ | https://datahelpdesk.worldbank.org/knowledgebase/articles/898581-api-basic-call-structures</x:v>
      </x:c>
      <x:c r="J149" s="36" t="str">
        <x:v>peer_level_inference</x:v>
      </x:c>
    </x:row>
    <x:row r="150">
      <x:c r="A150" s="24" t="str">
        <x:v>NET</x:v>
      </x:c>
      <x:c r="B150" s="24" t="str">
        <x:v>Netherlands</x:v>
      </x:c>
      <x:c r="C150" s="24" t="n">
        <x:v>2022</x:v>
      </x:c>
      <x:c r="D150" s="24" t="str">
        <x:v>ABW</x:v>
      </x:c>
      <x:c r="E150" s="24" t="str">
        <x:v>ppp_gdp</x:v>
      </x:c>
      <x:c r="F150" s="38" t="n">
        <x:v>4492347933</x:v>
      </x:c>
      <x:c r="G150" s="24" t="str">
        <x:v>international dollars after scenario scaling</x:v>
      </x:c>
      <x:c r="H150" s="36" t="str">
        <x:v>World Bank exact 2022</x:v>
      </x:c>
      <x:c r="I150" s="36" t="str">
        <x:v>https://api.worldbank.org/v2/country/ABW/indicator/NY.GDP.MKTP.PP.CD?source=2&amp;date=2022&amp;format=json</x:v>
      </x:c>
      <x:c r="J150" s="36" t="str">
        <x:v>world_bank_exact</x:v>
      </x:c>
    </x:row>
    <x:row r="151">
      <x:c r="A151" s="24" t="str">
        <x:v>NET</x:v>
      </x:c>
      <x:c r="B151" s="24" t="str">
        <x:v>Netherlands</x:v>
      </x:c>
      <x:c r="C151" s="24" t="n">
        <x:v>2022</x:v>
      </x:c>
      <x:c r="D151" s="24" t="str">
        <x:v>CUW</x:v>
      </x:c>
      <x:c r="E151" s="24" t="str">
        <x:v>ppp_gdp</x:v>
      </x:c>
      <x:c r="F151" s="38" t="n">
        <x:v>4390522905</x:v>
      </x:c>
      <x:c r="G151" s="24" t="str">
        <x:v>international dollars after scenario scaling</x:v>
      </x:c>
      <x:c r="H151" s="36" t="str">
        <x:v>World Bank exact 2022</x:v>
      </x:c>
      <x:c r="I151" s="36" t="str">
        <x:v>https://api.worldbank.org/v2/country/CUW/indicator/NY.GDP.MKTP.PP.CD?source=2&amp;date=2022&amp;format=json</x:v>
      </x:c>
      <x:c r="J151" s="36" t="str">
        <x:v>world_bank_exact</x:v>
      </x:c>
    </x:row>
    <x:row r="152">
      <x:c r="A152" s="24" t="str">
        <x:v>NET</x:v>
      </x:c>
      <x:c r="B152" s="24" t="str">
        <x:v>Netherlands</x:v>
      </x:c>
      <x:c r="C152" s="24" t="n">
        <x:v>2022</x:v>
      </x:c>
      <x:c r="D152" s="24" t="str">
        <x:v>SXM</x:v>
      </x:c>
      <x:c r="E152" s="24" t="str">
        <x:v>ppp_gdp</x:v>
      </x:c>
      <x:c r="F152" s="38" t="n">
        <x:v>2054400770</x:v>
      </x:c>
      <x:c r="G152" s="24" t="str">
        <x:v>international dollars after scenario scaling</x:v>
      </x:c>
      <x:c r="H152" s="36" t="str">
        <x:v>World Bank exact 2022</x:v>
      </x:c>
      <x:c r="I152" s="36" t="str">
        <x:v>https://api.worldbank.org/v2/country/SXM/indicator/NY.GDP.MKTP.PP.CD?source=2&amp;date=2022&amp;format=json</x:v>
      </x:c>
      <x:c r="J152" s="36" t="str">
        <x:v>world_bank_exact</x:v>
      </x:c>
    </x:row>
    <x:row r="153">
      <x:c r="A153" s="24" t="str">
        <x:v>NET</x:v>
      </x:c>
      <x:c r="B153" s="24" t="str">
        <x:v>Netherlands</x:v>
      </x:c>
      <x:c r="C153" s="24" t="n">
        <x:v>2022</x:v>
      </x:c>
      <x:c r="D153" s="24" t="str">
        <x:v>BES</x:v>
      </x:c>
      <x:c r="E153" s="24" t="str">
        <x:v>ppp_gdp</x:v>
      </x:c>
      <x:c r="F153" s="38" t="n">
        <x:v>497170578</x:v>
      </x:c>
      <x:c r="G153" s="24" t="str">
        <x:v>international dollars after scenario scaling</x:v>
      </x:c>
      <x:c r="H153" s="36" t="str">
        <x:v>PPP inferred from filled nominal GDP using global available-country peers median PPP/nominal ratio 2.283 (203 peers)</x:v>
      </x:c>
      <x:c r="I153" s="36" t="str">
        <x:v>https://api.imf.org/external/sdmx/3.0/data/dataflow/IMF.RES/WEO/9.0.0/ | https://datahelpdesk.worldbank.org/knowledgebase/articles/898581-api-basic-call-structures</x:v>
      </x:c>
      <x:c r="J153" s="36" t="str">
        <x:v>peer_ratio_inference</x:v>
      </x:c>
    </x:row>
    <x:row r="154">
      <x:c r="A154" s="24" t="str">
        <x:v>NET</x:v>
      </x:c>
      <x:c r="B154" s="24" t="str">
        <x:v>Netherlands</x:v>
      </x:c>
      <x:c r="C154" s="24" t="n">
        <x:v>2026</x:v>
      </x:c>
      <x:c r="D154" s="24" t="str">
        <x:v>ABW</x:v>
      </x:c>
      <x:c r="E154" s="24" t="str">
        <x:v>nominal_gdp</x:v>
      </x:c>
      <x:c r="F154" s="38" t="n">
        <x:v>4178421943</x:v>
      </x:c>
      <x:c r="G154" s="24" t="str">
        <x:v>USD after scenario scaling</x:v>
      </x:c>
      <x:c r="H154" s="36" t="str">
        <x:v>peer-growth inference from World Bank 2024; Latin America &amp; Caribbean ; High income median 4.29%/yr (9 peers, capped at ±8%)</x:v>
      </x:c>
      <x:c r="I154" s="36" t="str">
        <x:v>https://api.worldbank.org/v2/country/ABW/indicator/NY.GDP.MKTP.CD?source=2&amp;date=2024&amp;format=json | https://api.imf.org/external/sdmx/3.0/data/dataflow/IMF.RES/WEO/9.0.0/ | https://datahelpdesk.worldbank.org/knowledgebase/articles/898581-api-basic-call-structures</x:v>
      </x:c>
      <x:c r="J154" s="36" t="str">
        <x:v>peer_growth_inference</x:v>
      </x:c>
    </x:row>
    <x:row r="155">
      <x:c r="A155" s="24" t="str">
        <x:v>NET</x:v>
      </x:c>
      <x:c r="B155" s="24" t="str">
        <x:v>Netherlands</x:v>
      </x:c>
      <x:c r="C155" s="24" t="n">
        <x:v>2026</x:v>
      </x:c>
      <x:c r="D155" s="24" t="str">
        <x:v>CUW</x:v>
      </x:c>
      <x:c r="E155" s="24" t="str">
        <x:v>nominal_gdp</x:v>
      </x:c>
      <x:c r="F155" s="38" t="n">
        <x:v>4238506215</x:v>
      </x:c>
      <x:c r="G155" s="24" t="str">
        <x:v>USD after scenario scaling</x:v>
      </x:c>
      <x:c r="H155" s="36" t="str">
        <x:v>peer-growth inference from World Bank 2024; Latin America &amp; Caribbean ; High income median 4.29%/yr (9 peers, capped at ±8%)</x:v>
      </x:c>
      <x:c r="I155" s="36" t="str">
        <x:v>https://api.worldbank.org/v2/country/CUW/indicator/NY.GDP.MKTP.CD?source=2&amp;date=2024&amp;format=json | https://api.imf.org/external/sdmx/3.0/data/dataflow/IMF.RES/WEO/9.0.0/ | https://datahelpdesk.worldbank.org/knowledgebase/articles/898581-api-basic-call-structures</x:v>
      </x:c>
      <x:c r="J155" s="36" t="str">
        <x:v>peer_growth_inference</x:v>
      </x:c>
    </x:row>
    <x:row r="156">
      <x:c r="A156" s="24" t="str">
        <x:v>NET</x:v>
      </x:c>
      <x:c r="B156" s="24" t="str">
        <x:v>Netherlands</x:v>
      </x:c>
      <x:c r="C156" s="24" t="n">
        <x:v>2026</x:v>
      </x:c>
      <x:c r="D156" s="24" t="str">
        <x:v>SXM</x:v>
      </x:c>
      <x:c r="E156" s="24" t="str">
        <x:v>nominal_gdp</x:v>
      </x:c>
      <x:c r="F156" s="38" t="n">
        <x:v>1813569077</x:v>
      </x:c>
      <x:c r="G156" s="24" t="str">
        <x:v>USD after scenario scaling</x:v>
      </x:c>
      <x:c r="H156" s="36" t="str">
        <x:v>peer-growth inference from World Bank 2025; Latin America &amp; Caribbean ; High income median 6.09%/yr (9 peers, capped at ±8%)</x:v>
      </x:c>
      <x:c r="I156" s="36" t="str">
        <x:v>https://api.worldbank.org/v2/country/SXM/indicator/NY.GDP.MKTP.CD?source=2&amp;date=2025&amp;format=json | https://api.imf.org/external/sdmx/3.0/data/dataflow/IMF.RES/WEO/9.0.0/ | https://datahelpdesk.worldbank.org/knowledgebase/articles/898581-api-basic-call-structures</x:v>
      </x:c>
      <x:c r="J156" s="36" t="str">
        <x:v>peer_growth_inference</x:v>
      </x:c>
    </x:row>
    <x:row r="157">
      <x:c r="A157" s="24" t="str">
        <x:v>NET</x:v>
      </x:c>
      <x:c r="B157" s="24" t="str">
        <x:v>Netherlands</x:v>
      </x:c>
      <x:c r="C157" s="24" t="n">
        <x:v>2026</x:v>
      </x:c>
      <x:c r="D157" s="24" t="str">
        <x:v>BES</x:v>
      </x:c>
      <x:c r="E157" s="24" t="str">
        <x:v>nominal_gdp</x:v>
      </x:c>
      <x:c r="F157" s="38" t="n">
        <x:v>225031615</x:v>
      </x:c>
      <x:c r="G157" s="24" t="str">
        <x:v>USD after scenario scaling</x:v>
      </x:c>
      <x:c r="H157" s="36" t="str">
        <x:v>nominal GDP/c inferred from global available-country peers median level (177 peers)</x:v>
      </x:c>
      <x:c r="I157" s="36" t="str">
        <x:v>https://api.imf.org/external/sdmx/3.0/data/dataflow/IMF.RES/WEO/9.0.0/ | https://datahelpdesk.worldbank.org/knowledgebase/articles/898581-api-basic-call-structures</x:v>
      </x:c>
      <x:c r="J157" s="36" t="str">
        <x:v>peer_level_inference</x:v>
      </x:c>
    </x:row>
    <x:row r="158">
      <x:c r="A158" s="24" t="str">
        <x:v>NET</x:v>
      </x:c>
      <x:c r="B158" s="24" t="str">
        <x:v>Netherlands</x:v>
      </x:c>
      <x:c r="C158" s="24" t="n">
        <x:v>2026</x:v>
      </x:c>
      <x:c r="D158" s="24" t="str">
        <x:v>ABW</x:v>
      </x:c>
      <x:c r="E158" s="24" t="str">
        <x:v>ppp_gdp</x:v>
      </x:c>
      <x:c r="F158" s="38" t="n">
        <x:v>5449912650</x:v>
      </x:c>
      <x:c r="G158" s="24" t="str">
        <x:v>international dollars after scenario scaling</x:v>
      </x:c>
      <x:c r="H158" s="36" t="str">
        <x:v>peer-growth inference from World Bank 2024; Latin America &amp; Caribbean ; High income median 2.89%/yr (9 peers, capped at ±8%)</x:v>
      </x:c>
      <x:c r="I158" s="36" t="str">
        <x:v>https://api.worldbank.org/v2/country/ABW/indicator/NY.GDP.MKTP.PP.CD?source=2&amp;date=2024&amp;format=json | https://api.imf.org/external/sdmx/3.0/data/dataflow/IMF.RES/WEO/9.0.0/ | https://datahelpdesk.worldbank.org/knowledgebase/articles/898581-api-basic-call-structures</x:v>
      </x:c>
      <x:c r="J158" s="36" t="str">
        <x:v>peer_growth_inference</x:v>
      </x:c>
    </x:row>
    <x:row r="159">
      <x:c r="A159" s="24" t="str">
        <x:v>NET</x:v>
      </x:c>
      <x:c r="B159" s="24" t="str">
        <x:v>Netherlands</x:v>
      </x:c>
      <x:c r="C159" s="24" t="n">
        <x:v>2026</x:v>
      </x:c>
      <x:c r="D159" s="24" t="str">
        <x:v>CUW</x:v>
      </x:c>
      <x:c r="E159" s="24" t="str">
        <x:v>ppp_gdp</x:v>
      </x:c>
      <x:c r="F159" s="38" t="n">
        <x:v>5915705392</x:v>
      </x:c>
      <x:c r="G159" s="24" t="str">
        <x:v>international dollars after scenario scaling</x:v>
      </x:c>
      <x:c r="H159" s="36" t="str">
        <x:v>peer-growth inference from World Bank 2024; Latin America &amp; Caribbean ; High income median 2.89%/yr (9 peers, capped at ±8%)</x:v>
      </x:c>
      <x:c r="I159" s="36" t="str">
        <x:v>https://api.worldbank.org/v2/country/CUW/indicator/NY.GDP.MKTP.PP.CD?source=2&amp;date=2024&amp;format=json | https://api.imf.org/external/sdmx/3.0/data/dataflow/IMF.RES/WEO/9.0.0/ | https://datahelpdesk.worldbank.org/knowledgebase/articles/898581-api-basic-call-structures</x:v>
      </x:c>
      <x:c r="J159" s="36" t="str">
        <x:v>peer_growth_inference</x:v>
      </x:c>
    </x:row>
    <x:row r="160">
      <x:c r="A160" s="24" t="str">
        <x:v>NET</x:v>
      </x:c>
      <x:c r="B160" s="24" t="str">
        <x:v>Netherlands</x:v>
      </x:c>
      <x:c r="C160" s="24" t="n">
        <x:v>2026</x:v>
      </x:c>
      <x:c r="D160" s="24" t="str">
        <x:v>SXM</x:v>
      </x:c>
      <x:c r="E160" s="24" t="str">
        <x:v>ppp_gdp</x:v>
      </x:c>
      <x:c r="F160" s="38" t="n">
        <x:v>2339602658</x:v>
      </x:c>
      <x:c r="G160" s="24" t="str">
        <x:v>international dollars after scenario scaling</x:v>
      </x:c>
      <x:c r="H160" s="36" t="str">
        <x:v>peer-growth inference from World Bank 2025; Latin America &amp; Caribbean ; High income median 4.12%/yr (9 peers, capped at ±8%)</x:v>
      </x:c>
      <x:c r="I160" s="36" t="str">
        <x:v>https://api.worldbank.org/v2/country/SXM/indicator/NY.GDP.MKTP.PP.CD?source=2&amp;date=2025&amp;format=json | https://api.imf.org/external/sdmx/3.0/data/dataflow/IMF.RES/WEO/9.0.0/ | https://datahelpdesk.worldbank.org/knowledgebase/articles/898581-api-basic-call-structures</x:v>
      </x:c>
      <x:c r="J160" s="36" t="str">
        <x:v>peer_growth_inference</x:v>
      </x:c>
    </x:row>
    <x:row r="161">
      <x:c r="A161" s="24" t="str">
        <x:v>NET</x:v>
      </x:c>
      <x:c r="B161" s="24" t="str">
        <x:v>Netherlands</x:v>
      </x:c>
      <x:c r="C161" s="24" t="n">
        <x:v>2026</x:v>
      </x:c>
      <x:c r="D161" s="24" t="str">
        <x:v>BES</x:v>
      </x:c>
      <x:c r="E161" s="24" t="str">
        <x:v>ppp_gdp</x:v>
      </x:c>
      <x:c r="F161" s="38" t="n">
        <x:v>514285640</x:v>
      </x:c>
      <x:c r="G161" s="24" t="str">
        <x:v>international dollars after scenario scaling</x:v>
      </x:c>
      <x:c r="H161" s="36" t="str">
        <x:v>PPP inferred from filled nominal GDP using global available-country peers median PPP/nominal ratio 2.285 (177 peers)</x:v>
      </x:c>
      <x:c r="I161" s="36" t="str">
        <x:v>https://api.imf.org/external/sdmx/3.0/data/dataflow/IMF.RES/WEO/9.0.0/ | https://datahelpdesk.worldbank.org/knowledgebase/articles/898581-api-basic-call-structures</x:v>
      </x:c>
      <x:c r="J161" s="36" t="str">
        <x:v>peer_ratio_inference</x:v>
      </x:c>
    </x:row>
    <x:row r="162">
      <x:c r="A162" s="24" t="str">
        <x:v>PRK</x:v>
      </x:c>
      <x:c r="B162" s="24" t="str">
        <x:v>North Korea</x:v>
      </x:c>
      <x:c r="C162" s="24" t="n">
        <x:v>2003</x:v>
      </x:c>
      <x:c r="D162" s="24" t="str">
        <x:v>PRK</x:v>
      </x:c>
      <x:c r="E162" s="24" t="str">
        <x:v>nominal_gdp</x:v>
      </x:c>
      <x:c r="F162" s="38" t="n">
        <x:v>92136163207</x:v>
      </x:c>
      <x:c r="G162" s="24" t="str">
        <x:v>USD after scenario scaling</x:v>
      </x:c>
      <x:c r="H162" s="36" t="str">
        <x:v>nominal GDP/c inferred from East Asia &amp; Pacific median level (36 peers)</x:v>
      </x:c>
      <x:c r="I162" s="36" t="str">
        <x:v>https://api.imf.org/external/sdmx/3.0/data/dataflow/IMF.RES/WEO/9.0.0/ | https://datahelpdesk.worldbank.org/knowledgebase/articles/898581-api-basic-call-structures</x:v>
      </x:c>
      <x:c r="J162" s="36" t="str">
        <x:v>peer_level_inference</x:v>
      </x:c>
    </x:row>
    <x:row r="163">
      <x:c r="A163" s="24" t="str">
        <x:v>PRK</x:v>
      </x:c>
      <x:c r="B163" s="24" t="str">
        <x:v>North Korea</x:v>
      </x:c>
      <x:c r="C163" s="24" t="n">
        <x:v>2003</x:v>
      </x:c>
      <x:c r="D163" s="24" t="str">
        <x:v>PRK</x:v>
      </x:c>
      <x:c r="E163" s="24" t="str">
        <x:v>ppp_gdp</x:v>
      </x:c>
      <x:c r="F163" s="38" t="n">
        <x:v>196770329007</x:v>
      </x:c>
      <x:c r="G163" s="24" t="str">
        <x:v>international dollars after scenario scaling</x:v>
      </x:c>
      <x:c r="H163" s="36" t="str">
        <x:v>PPP inferred from filled nominal GDP using East Asia &amp; Pacific median PPP/nominal ratio 2.136 (31 peers)</x:v>
      </x:c>
      <x:c r="I163" s="36" t="str">
        <x:v>https://api.imf.org/external/sdmx/3.0/data/dataflow/IMF.RES/WEO/9.0.0/ | https://datahelpdesk.worldbank.org/knowledgebase/articles/898581-api-basic-call-structures</x:v>
      </x:c>
      <x:c r="J163" s="36" t="str">
        <x:v>peer_ratio_inference</x:v>
      </x:c>
    </x:row>
    <x:row r="164">
      <x:c r="A164" s="24" t="str">
        <x:v>PRK</x:v>
      </x:c>
      <x:c r="B164" s="24" t="str">
        <x:v>North Korea</x:v>
      </x:c>
      <x:c r="C164" s="24" t="n">
        <x:v>2022</x:v>
      </x:c>
      <x:c r="D164" s="24" t="str">
        <x:v>PRK</x:v>
      </x:c>
      <x:c r="E164" s="24" t="str">
        <x:v>nominal_gdp</x:v>
      </x:c>
      <x:c r="F164" s="38" t="n">
        <x:v>175951330296</x:v>
      </x:c>
      <x:c r="G164" s="24" t="str">
        <x:v>USD after scenario scaling</x:v>
      </x:c>
      <x:c r="H164" s="36" t="str">
        <x:v>nominal GDP/c inferred from East Asia &amp; Pacific median level (36 peers)</x:v>
      </x:c>
      <x:c r="I164" s="36" t="str">
        <x:v>https://api.imf.org/external/sdmx/3.0/data/dataflow/IMF.RES/WEO/9.0.0/ | https://datahelpdesk.worldbank.org/knowledgebase/articles/898581-api-basic-call-structures</x:v>
      </x:c>
      <x:c r="J164" s="36" t="str">
        <x:v>peer_level_inference</x:v>
      </x:c>
    </x:row>
    <x:row r="165">
      <x:c r="A165" s="24" t="str">
        <x:v>PRK</x:v>
      </x:c>
      <x:c r="B165" s="24" t="str">
        <x:v>North Korea</x:v>
      </x:c>
      <x:c r="C165" s="24" t="n">
        <x:v>2022</x:v>
      </x:c>
      <x:c r="D165" s="24" t="str">
        <x:v>PRK</x:v>
      </x:c>
      <x:c r="E165" s="24" t="str">
        <x:v>ppp_gdp</x:v>
      </x:c>
      <x:c r="F165" s="38" t="n">
        <x:v>278538762418</x:v>
      </x:c>
      <x:c r="G165" s="24" t="str">
        <x:v>international dollars after scenario scaling</x:v>
      </x:c>
      <x:c r="H165" s="36" t="str">
        <x:v>PPP inferred from filled nominal GDP using East Asia &amp; Pacific median PPP/nominal ratio 1.583 (31 peers)</x:v>
      </x:c>
      <x:c r="I165" s="36" t="str">
        <x:v>https://api.imf.org/external/sdmx/3.0/data/dataflow/IMF.RES/WEO/9.0.0/ | https://datahelpdesk.worldbank.org/knowledgebase/articles/898581-api-basic-call-structures</x:v>
      </x:c>
      <x:c r="J165" s="36" t="str">
        <x:v>peer_ratio_inference</x:v>
      </x:c>
    </x:row>
    <x:row r="166">
      <x:c r="A166" s="24" t="str">
        <x:v>PRK</x:v>
      </x:c>
      <x:c r="B166" s="24" t="str">
        <x:v>North Korea</x:v>
      </x:c>
      <x:c r="C166" s="24" t="n">
        <x:v>2026</x:v>
      </x:c>
      <x:c r="D166" s="24" t="str">
        <x:v>PRK</x:v>
      </x:c>
      <x:c r="E166" s="24" t="str">
        <x:v>nominal_gdp</x:v>
      </x:c>
      <x:c r="F166" s="38" t="n">
        <x:v>144622634151</x:v>
      </x:c>
      <x:c r="G166" s="24" t="str">
        <x:v>USD after scenario scaling</x:v>
      </x:c>
      <x:c r="H166" s="36" t="str">
        <x:v>nominal GDP/c inferred from East Asia &amp; Pacific median level (25 peers)</x:v>
      </x:c>
      <x:c r="I166" s="36" t="str">
        <x:v>https://api.imf.org/external/sdmx/3.0/data/dataflow/IMF.RES/WEO/9.0.0/ | https://datahelpdesk.worldbank.org/knowledgebase/articles/898581-api-basic-call-structures</x:v>
      </x:c>
      <x:c r="J166" s="36" t="str">
        <x:v>peer_level_inference</x:v>
      </x:c>
    </x:row>
    <x:row r="167">
      <x:c r="A167" s="24" t="str">
        <x:v>PRK</x:v>
      </x:c>
      <x:c r="B167" s="24" t="str">
        <x:v>North Korea</x:v>
      </x:c>
      <x:c r="C167" s="24" t="n">
        <x:v>2026</x:v>
      </x:c>
      <x:c r="D167" s="24" t="str">
        <x:v>PRK</x:v>
      </x:c>
      <x:c r="E167" s="24" t="str">
        <x:v>ppp_gdp</x:v>
      </x:c>
      <x:c r="F167" s="38" t="n">
        <x:v>307224738254</x:v>
      </x:c>
      <x:c r="G167" s="24" t="str">
        <x:v>international dollars after scenario scaling</x:v>
      </x:c>
      <x:c r="H167" s="36" t="str">
        <x:v>PPP inferred from filled nominal GDP using East Asia &amp; Pacific median PPP/nominal ratio 2.124 (25 peers)</x:v>
      </x:c>
      <x:c r="I167" s="36" t="str">
        <x:v>https://api.imf.org/external/sdmx/3.0/data/dataflow/IMF.RES/WEO/9.0.0/ | https://datahelpdesk.worldbank.org/knowledgebase/articles/898581-api-basic-call-structures</x:v>
      </x:c>
      <x:c r="J167" s="36" t="str">
        <x:v>peer_ratio_inference</x:v>
      </x:c>
    </x:row>
    <x:row r="168">
      <x:c r="A168" s="24" t="str">
        <x:v>PAK</x:v>
      </x:c>
      <x:c r="B168" s="24" t="str">
        <x:v>Pakistan</x:v>
      </x:c>
      <x:c r="C168" s="24" t="n">
        <x:v>2026</x:v>
      </x:c>
      <x:c r="D168" s="24" t="str">
        <x:v>PAK</x:v>
      </x:c>
      <x:c r="E168" s="24" t="str">
        <x:v>nominal_gdp</x:v>
      </x:c>
      <x:c r="F168" s="38" t="n">
        <x:v>400701129764</x:v>
      </x:c>
      <x:c r="G168" s="24" t="str">
        <x:v>USD after scenario scaling</x:v>
      </x:c>
      <x:c r="H168" s="36" t="str">
        <x:v>peer-growth inference from IMF 2025; Middle East, North Africa, Afghanistan &amp; Pakistan median 1.83%/yr (18 peers, capped at ±8%)</x:v>
      </x:c>
      <x:c r="I168" s="36" t="str">
        <x:v>https://api.imf.org/external/sdmx/3.0/data/dataflow/IMF.RES/WEO/9.0.0/ | https://datahelpdesk.worldbank.org/knowledgebase/articles/898581-api-basic-call-structures</x:v>
      </x:c>
      <x:c r="J168" s="36" t="str">
        <x:v>peer_growth_inference</x:v>
      </x:c>
    </x:row>
    <x:row r="169">
      <x:c r="A169" s="24" t="str">
        <x:v>PAL</x:v>
      </x:c>
      <x:c r="B169" s="24" t="str">
        <x:v>Palestine</x:v>
      </x:c>
      <x:c r="C169" s="24" t="n">
        <x:v>2026</x:v>
      </x:c>
      <x:c r="D169" s="24" t="str">
        <x:v>WBG</x:v>
      </x:c>
      <x:c r="E169" s="24" t="str">
        <x:v>nominal_gdp</x:v>
      </x:c>
      <x:c r="F169" s="38" t="n">
        <x:v>15524096898</x:v>
      </x:c>
      <x:c r="G169" s="24" t="str">
        <x:v>USD after scenario scaling</x:v>
      </x:c>
      <x:c r="H169" s="36" t="str">
        <x:v>peer-growth inference from World Bank 2025; Middle East, North Africa, Afghanistan &amp; Pakistan median 1.83%/yr (18 peers, capped at ±8%)</x:v>
      </x:c>
      <x:c r="I169" s="36" t="str">
        <x:v>https://api.worldbank.org/v2/country/PSE/indicator/NY.GDP.MKTP.CD?source=2&amp;date=2025&amp;format=json | https://api.imf.org/external/sdmx/3.0/data/dataflow/IMF.RES/WEO/9.0.0/ | https://datahelpdesk.worldbank.org/knowledgebase/articles/898581-api-basic-call-structures</x:v>
      </x:c>
      <x:c r="J169" s="36" t="str">
        <x:v>peer_growth_inference</x:v>
      </x:c>
    </x:row>
    <x:row r="170">
      <x:c r="A170" s="24" t="str">
        <x:v>PAL</x:v>
      </x:c>
      <x:c r="B170" s="24" t="str">
        <x:v>Palestine</x:v>
      </x:c>
      <x:c r="C170" s="24" t="n">
        <x:v>2026</x:v>
      </x:c>
      <x:c r="D170" s="24" t="str">
        <x:v>WBG</x:v>
      </x:c>
      <x:c r="E170" s="24" t="str">
        <x:v>ppp_gdp</x:v>
      </x:c>
      <x:c r="F170" s="38" t="n">
        <x:v>23094625450</x:v>
      </x:c>
      <x:c r="G170" s="24" t="str">
        <x:v>international dollars after scenario scaling</x:v>
      </x:c>
      <x:c r="H170" s="36" t="str">
        <x:v>peer-growth inference from World Bank 2025; Middle East, North Africa, Afghanistan &amp; Pakistan; Lower middle income median -3.91%/yr (5 peers, capped at ±8%)</x:v>
      </x:c>
      <x:c r="I170" s="36" t="str">
        <x:v>https://api.worldbank.org/v2/country/PSE/indicator/NY.GDP.MKTP.PP.CD?source=2&amp;date=2025&amp;format=json | https://api.imf.org/external/sdmx/3.0/data/dataflow/IMF.RES/WEO/9.0.0/ | https://datahelpdesk.worldbank.org/knowledgebase/articles/898581-api-basic-call-structures</x:v>
      </x:c>
      <x:c r="J170" s="36" t="str">
        <x:v>peer_growth_inference</x:v>
      </x:c>
    </x:row>
    <x:row r="171">
      <x:c r="A171" s="24" t="str">
        <x:v>PLS</x:v>
      </x:c>
      <x:c r="B171" s="24" t="str">
        <x:v>Polynesian States</x:v>
      </x:c>
      <x:c r="C171" s="24" t="n">
        <x:v>2003</x:v>
      </x:c>
      <x:c r="D171" s="24" t="str">
        <x:v>TUV</x:v>
      </x:c>
      <x:c r="E171" s="24" t="str">
        <x:v>nominal_gdp</x:v>
      </x:c>
      <x:c r="F171" s="38" t="n">
        <x:v>31139959</x:v>
      </x:c>
      <x:c r="G171" s="24" t="str">
        <x:v>USD after scenario scaling</x:v>
      </x:c>
      <x:c r="H171" s="36" t="str">
        <x:v>World Bank exact 2003</x:v>
      </x:c>
      <x:c r="I171" s="36" t="str">
        <x:v>https://api.worldbank.org/v2/country/TUV/indicator/NY.GDP.MKTP.CD?source=2&amp;date=2003&amp;format=json</x:v>
      </x:c>
      <x:c r="J171" s="36" t="str">
        <x:v>world_bank_exact</x:v>
      </x:c>
    </x:row>
    <x:row r="172">
      <x:c r="A172" s="24" t="str">
        <x:v>PLS</x:v>
      </x:c>
      <x:c r="B172" s="24" t="str">
        <x:v>Polynesian States</x:v>
      </x:c>
      <x:c r="C172" s="24" t="n">
        <x:v>2003</x:v>
      </x:c>
      <x:c r="D172" s="24" t="str">
        <x:v>COK</x:v>
      </x:c>
      <x:c r="E172" s="24" t="str">
        <x:v>nominal_gdp</x:v>
      </x:c>
      <x:c r="F172" s="38" t="n">
        <x:v>63624536</x:v>
      </x:c>
      <x:c r="G172" s="24" t="str">
        <x:v>USD after scenario scaling</x:v>
      </x:c>
      <x:c r="H172" s="36" t="str">
        <x:v>nominal GDP/c inferred from global available-country peers median level (210 peers)</x:v>
      </x:c>
      <x:c r="I172" s="36" t="str">
        <x:v>https://api.imf.org/external/sdmx/3.0/data/dataflow/IMF.RES/WEO/9.0.0/ | https://datahelpdesk.worldbank.org/knowledgebase/articles/898581-api-basic-call-structures</x:v>
      </x:c>
      <x:c r="J172" s="36" t="str">
        <x:v>peer_level_inference</x:v>
      </x:c>
    </x:row>
    <x:row r="173">
      <x:c r="A173" s="24" t="str">
        <x:v>PLS</x:v>
      </x:c>
      <x:c r="B173" s="24" t="str">
        <x:v>Polynesian States</x:v>
      </x:c>
      <x:c r="C173" s="24" t="n">
        <x:v>2003</x:v>
      </x:c>
      <x:c r="D173" s="24" t="str">
        <x:v>TUV</x:v>
      </x:c>
      <x:c r="E173" s="24" t="str">
        <x:v>ppp_gdp</x:v>
      </x:c>
      <x:c r="F173" s="38" t="n">
        <x:v>43075987</x:v>
      </x:c>
      <x:c r="G173" s="24" t="str">
        <x:v>international dollars after scenario scaling</x:v>
      </x:c>
      <x:c r="H173" s="36" t="str">
        <x:v>World Bank exact 2003</x:v>
      </x:c>
      <x:c r="I173" s="36" t="str">
        <x:v>https://api.worldbank.org/v2/country/TUV/indicator/NY.GDP.MKTP.PP.CD?source=2&amp;date=2003&amp;format=json</x:v>
      </x:c>
      <x:c r="J173" s="36" t="str">
        <x:v>world_bank_exact</x:v>
      </x:c>
    </x:row>
    <x:row r="174">
      <x:c r="A174" s="24" t="str">
        <x:v>PLS</x:v>
      </x:c>
      <x:c r="B174" s="24" t="str">
        <x:v>Polynesian States</x:v>
      </x:c>
      <x:c r="C174" s="24" t="n">
        <x:v>2003</x:v>
      </x:c>
      <x:c r="D174" s="24" t="str">
        <x:v>COK</x:v>
      </x:c>
      <x:c r="E174" s="24" t="str">
        <x:v>ppp_gdp</x:v>
      </x:c>
      <x:c r="F174" s="38" t="n">
        <x:v>163947805</x:v>
      </x:c>
      <x:c r="G174" s="24" t="str">
        <x:v>international dollars after scenario scaling</x:v>
      </x:c>
      <x:c r="H174" s="36" t="str">
        <x:v>PPP inferred from filled nominal GDP using global available-country peers median PPP/nominal ratio 2.577 (199 peers)</x:v>
      </x:c>
      <x:c r="I174" s="36" t="str">
        <x:v>https://api.imf.org/external/sdmx/3.0/data/dataflow/IMF.RES/WEO/9.0.0/ | https://datahelpdesk.worldbank.org/knowledgebase/articles/898581-api-basic-call-structures</x:v>
      </x:c>
      <x:c r="J174" s="36" t="str">
        <x:v>peer_ratio_inference</x:v>
      </x:c>
    </x:row>
    <x:row r="175">
      <x:c r="A175" s="24" t="str">
        <x:v>PLS</x:v>
      </x:c>
      <x:c r="B175" s="24" t="str">
        <x:v>Polynesian States</x:v>
      </x:c>
      <x:c r="C175" s="24" t="n">
        <x:v>2022</x:v>
      </x:c>
      <x:c r="D175" s="24" t="str">
        <x:v>TUV</x:v>
      </x:c>
      <x:c r="E175" s="24" t="str">
        <x:v>nominal_gdp</x:v>
      </x:c>
      <x:c r="F175" s="38" t="n">
        <x:v>54104146</x:v>
      </x:c>
      <x:c r="G175" s="24" t="str">
        <x:v>USD after scenario scaling</x:v>
      </x:c>
      <x:c r="H175" s="36" t="str">
        <x:v>World Bank exact 2022</x:v>
      </x:c>
      <x:c r="I175" s="36" t="str">
        <x:v>https://api.worldbank.org/v2/country/TUV/indicator/NY.GDP.MKTP.CD?source=2&amp;date=2022&amp;format=json</x:v>
      </x:c>
      <x:c r="J175" s="36" t="str">
        <x:v>world_bank_exact</x:v>
      </x:c>
    </x:row>
    <x:row r="176">
      <x:c r="A176" s="24" t="str">
        <x:v>PLS</x:v>
      </x:c>
      <x:c r="B176" s="24" t="str">
        <x:v>Polynesian States</x:v>
      </x:c>
      <x:c r="C176" s="24" t="n">
        <x:v>2022</x:v>
      </x:c>
      <x:c r="D176" s="24" t="str">
        <x:v>COK</x:v>
      </x:c>
      <x:c r="E176" s="24" t="str">
        <x:v>nominal_gdp</x:v>
      </x:c>
      <x:c r="F176" s="38" t="n">
        <x:v>111977283</x:v>
      </x:c>
      <x:c r="G176" s="24" t="str">
        <x:v>USD after scenario scaling</x:v>
      </x:c>
      <x:c r="H176" s="36" t="str">
        <x:v>nominal GDP/c inferred from global available-country peers median level (211 peers)</x:v>
      </x:c>
      <x:c r="I176" s="36" t="str">
        <x:v>https://api.imf.org/external/sdmx/3.0/data/dataflow/IMF.RES/WEO/9.0.0/ | https://datahelpdesk.worldbank.org/knowledgebase/articles/898581-api-basic-call-structures</x:v>
      </x:c>
      <x:c r="J176" s="36" t="str">
        <x:v>peer_level_inference</x:v>
      </x:c>
    </x:row>
    <x:row r="177">
      <x:c r="A177" s="24" t="str">
        <x:v>PLS</x:v>
      </x:c>
      <x:c r="B177" s="24" t="str">
        <x:v>Polynesian States</x:v>
      </x:c>
      <x:c r="C177" s="24" t="n">
        <x:v>2022</x:v>
      </x:c>
      <x:c r="D177" s="24" t="str">
        <x:v>TUV</x:v>
      </x:c>
      <x:c r="E177" s="24" t="str">
        <x:v>ppp_gdp</x:v>
      </x:c>
      <x:c r="F177" s="38" t="n">
        <x:v>53990102</x:v>
      </x:c>
      <x:c r="G177" s="24" t="str">
        <x:v>international dollars after scenario scaling</x:v>
      </x:c>
      <x:c r="H177" s="36" t="str">
        <x:v>World Bank exact 2022</x:v>
      </x:c>
      <x:c r="I177" s="36" t="str">
        <x:v>https://api.worldbank.org/v2/country/TUV/indicator/NY.GDP.MKTP.PP.CD?source=2&amp;date=2022&amp;format=json</x:v>
      </x:c>
      <x:c r="J177" s="36" t="str">
        <x:v>world_bank_exact</x:v>
      </x:c>
    </x:row>
    <x:row r="178">
      <x:c r="A178" s="24" t="str">
        <x:v>PLS</x:v>
      </x:c>
      <x:c r="B178" s="24" t="str">
        <x:v>Polynesian States</x:v>
      </x:c>
      <x:c r="C178" s="24" t="n">
        <x:v>2022</x:v>
      </x:c>
      <x:c r="D178" s="24" t="str">
        <x:v>COK</x:v>
      </x:c>
      <x:c r="E178" s="24" t="str">
        <x:v>ppp_gdp</x:v>
      </x:c>
      <x:c r="F178" s="38" t="n">
        <x:v>255697154</x:v>
      </x:c>
      <x:c r="G178" s="24" t="str">
        <x:v>international dollars after scenario scaling</x:v>
      </x:c>
      <x:c r="H178" s="36" t="str">
        <x:v>PPP inferred from filled nominal GDP using global available-country peers median PPP/nominal ratio 2.283 (203 peers)</x:v>
      </x:c>
      <x:c r="I178" s="36" t="str">
        <x:v>https://api.imf.org/external/sdmx/3.0/data/dataflow/IMF.RES/WEO/9.0.0/ | https://datahelpdesk.worldbank.org/knowledgebase/articles/898581-api-basic-call-structures</x:v>
      </x:c>
      <x:c r="J178" s="36" t="str">
        <x:v>peer_ratio_inference</x:v>
      </x:c>
    </x:row>
    <x:row r="179">
      <x:c r="A179" s="24" t="str">
        <x:v>PLS</x:v>
      </x:c>
      <x:c r="B179" s="24" t="str">
        <x:v>Polynesian States</x:v>
      </x:c>
      <x:c r="C179" s="24" t="n">
        <x:v>2026</x:v>
      </x:c>
      <x:c r="D179" s="24" t="str">
        <x:v>TUV</x:v>
      </x:c>
      <x:c r="E179" s="24" t="str">
        <x:v>nominal_gdp</x:v>
      </x:c>
      <x:c r="F179" s="38" t="n">
        <x:v>50551899</x:v>
      </x:c>
      <x:c r="G179" s="24" t="str">
        <x:v>USD after scenario scaling</x:v>
      </x:c>
      <x:c r="H179" s="36" t="str">
        <x:v>peer-growth inference from World Bank 2025; East Asia &amp; Pacific; Upper middle income median -0.13%/yr (11 peers, capped at ±8%)</x:v>
      </x:c>
      <x:c r="I179" s="36" t="str">
        <x:v>https://api.worldbank.org/v2/country/TUV/indicator/NY.GDP.MKTP.CD?source=2&amp;date=2025&amp;format=json | https://api.imf.org/external/sdmx/3.0/data/dataflow/IMF.RES/WEO/9.0.0/ | https://datahelpdesk.worldbank.org/knowledgebase/articles/898581-api-basic-call-structures</x:v>
      </x:c>
      <x:c r="J179" s="36" t="str">
        <x:v>peer_growth_inference</x:v>
      </x:c>
    </x:row>
    <x:row r="180">
      <x:c r="A180" s="24" t="str">
        <x:v>PLS</x:v>
      </x:c>
      <x:c r="B180" s="24" t="str">
        <x:v>Polynesian States</x:v>
      </x:c>
      <x:c r="C180" s="24" t="n">
        <x:v>2026</x:v>
      </x:c>
      <x:c r="D180" s="24" t="str">
        <x:v>COK</x:v>
      </x:c>
      <x:c r="E180" s="24" t="str">
        <x:v>nominal_gdp</x:v>
      </x:c>
      <x:c r="F180" s="38" t="n">
        <x:v>90441372</x:v>
      </x:c>
      <x:c r="G180" s="24" t="str">
        <x:v>USD after scenario scaling</x:v>
      </x:c>
      <x:c r="H180" s="36" t="str">
        <x:v>nominal GDP/c inferred from global available-country peers median level (177 peers)</x:v>
      </x:c>
      <x:c r="I180" s="36" t="str">
        <x:v>https://api.imf.org/external/sdmx/3.0/data/dataflow/IMF.RES/WEO/9.0.0/ | https://datahelpdesk.worldbank.org/knowledgebase/articles/898581-api-basic-call-structures</x:v>
      </x:c>
      <x:c r="J180" s="36" t="str">
        <x:v>peer_level_inference</x:v>
      </x:c>
    </x:row>
    <x:row r="181">
      <x:c r="A181" s="24" t="str">
        <x:v>PLS</x:v>
      </x:c>
      <x:c r="B181" s="24" t="str">
        <x:v>Polynesian States</x:v>
      </x:c>
      <x:c r="C181" s="24" t="n">
        <x:v>2026</x:v>
      </x:c>
      <x:c r="D181" s="24" t="str">
        <x:v>TUV</x:v>
      </x:c>
      <x:c r="E181" s="24" t="str">
        <x:v>ppp_gdp</x:v>
      </x:c>
      <x:c r="F181" s="38" t="n">
        <x:v>57449003</x:v>
      </x:c>
      <x:c r="G181" s="24" t="str">
        <x:v>international dollars after scenario scaling</x:v>
      </x:c>
      <x:c r="H181" s="36" t="str">
        <x:v>peer-growth inference from World Bank 2025; East Asia &amp; Pacific; Upper middle income median 1.44%/yr (11 peers, capped at ±8%)</x:v>
      </x:c>
      <x:c r="I181" s="36" t="str">
        <x:v>https://api.worldbank.org/v2/country/TUV/indicator/NY.GDP.MKTP.PP.CD?source=2&amp;date=2025&amp;format=json | https://api.imf.org/external/sdmx/3.0/data/dataflow/IMF.RES/WEO/9.0.0/ | https://datahelpdesk.worldbank.org/knowledgebase/articles/898581-api-basic-call-structures</x:v>
      </x:c>
      <x:c r="J181" s="36" t="str">
        <x:v>peer_growth_inference</x:v>
      </x:c>
    </x:row>
    <x:row r="182">
      <x:c r="A182" s="24" t="str">
        <x:v>PLS</x:v>
      </x:c>
      <x:c r="B182" s="24" t="str">
        <x:v>Polynesian States</x:v>
      </x:c>
      <x:c r="C182" s="24" t="n">
        <x:v>2026</x:v>
      </x:c>
      <x:c r="D182" s="24" t="str">
        <x:v>COK</x:v>
      </x:c>
      <x:c r="E182" s="24" t="str">
        <x:v>ppp_gdp</x:v>
      </x:c>
      <x:c r="F182" s="38" t="n">
        <x:v>206694063</x:v>
      </x:c>
      <x:c r="G182" s="24" t="str">
        <x:v>international dollars after scenario scaling</x:v>
      </x:c>
      <x:c r="H182" s="36" t="str">
        <x:v>PPP inferred from filled nominal GDP using global available-country peers median PPP/nominal ratio 2.285 (177 peers)</x:v>
      </x:c>
      <x:c r="I182" s="36" t="str">
        <x:v>https://api.imf.org/external/sdmx/3.0/data/dataflow/IMF.RES/WEO/9.0.0/ | https://datahelpdesk.worldbank.org/knowledgebase/articles/898581-api-basic-call-structures</x:v>
      </x:c>
      <x:c r="J182" s="36" t="str">
        <x:v>peer_ratio_inference</x:v>
      </x:c>
    </x:row>
    <x:row r="183">
      <x:c r="A183" s="24" t="str">
        <x:v>SOM</x:v>
      </x:c>
      <x:c r="B183" s="24" t="str">
        <x:v>Somalia</x:v>
      </x:c>
      <x:c r="C183" s="24" t="n">
        <x:v>2003</x:v>
      </x:c>
      <x:c r="D183" s="24" t="str">
        <x:v>SOM</x:v>
      </x:c>
      <x:c r="E183" s="24" t="str">
        <x:v>nominal_gdp</x:v>
      </x:c>
      <x:c r="F183" s="38" t="n">
        <x:v>3355731526</x:v>
      </x:c>
      <x:c r="G183" s="24" t="str">
        <x:v>USD after scenario scaling</x:v>
      </x:c>
      <x:c r="H183" s="36" t="str">
        <x:v>World Bank exact 2003; partitioned to Somalia using 74.40% population share</x:v>
      </x:c>
      <x:c r="I183" s="36" t="str">
        <x:v>https://api.worldbank.org/v2/country/SOM/indicator/NY.GDP.MKTP.CD?source=2&amp;date=2003&amp;format=json</x:v>
      </x:c>
      <x:c r="J183" s="36" t="str">
        <x:v>world_bank_exact_partition</x:v>
      </x:c>
    </x:row>
    <x:row r="184">
      <x:c r="A184" s="24" t="str">
        <x:v>SOM</x:v>
      </x:c>
      <x:c r="B184" s="24" t="str">
        <x:v>Somalia</x:v>
      </x:c>
      <x:c r="C184" s="24" t="n">
        <x:v>2003</x:v>
      </x:c>
      <x:c r="D184" s="24" t="str">
        <x:v>SOM</x:v>
      </x:c>
      <x:c r="E184" s="24" t="str">
        <x:v>ppp_gdp</x:v>
      </x:c>
      <x:c r="F184" s="38" t="n">
        <x:v>6416394652</x:v>
      </x:c>
      <x:c r="G184" s="24" t="str">
        <x:v>international dollars after scenario scaling</x:v>
      </x:c>
      <x:c r="H184" s="36" t="str">
        <x:v>World Bank exact 2003; partitioned to Somalia using 74.40% population share</x:v>
      </x:c>
      <x:c r="I184" s="36" t="str">
        <x:v>https://api.worldbank.org/v2/country/SOM/indicator/NY.GDP.MKTP.PP.CD?source=2&amp;date=2003&amp;format=json</x:v>
      </x:c>
      <x:c r="J184" s="36" t="str">
        <x:v>world_bank_exact_partition</x:v>
      </x:c>
    </x:row>
    <x:row r="185">
      <x:c r="A185" s="24" t="str">
        <x:v>SOM</x:v>
      </x:c>
      <x:c r="B185" s="24" t="str">
        <x:v>Somalia</x:v>
      </x:c>
      <x:c r="C185" s="24" t="n">
        <x:v>2022</x:v>
      </x:c>
      <x:c r="D185" s="24" t="str">
        <x:v>SOM</x:v>
      </x:c>
      <x:c r="E185" s="24" t="str">
        <x:v>nominal_gdp</x:v>
      </x:c>
      <x:c r="F185" s="38" t="n">
        <x:v>7587175801</x:v>
      </x:c>
      <x:c r="G185" s="24" t="str">
        <x:v>USD after scenario scaling</x:v>
      </x:c>
      <x:c r="H185" s="36" t="str">
        <x:v>IMF exact 2022; partitioned to Somalia using 74.36% population share</x:v>
      </x:c>
      <x:c r="I185" s="36" t="str">
        <x:v>https://api.imf.org/external/sdmx/3.0/data/dataflow/IMF.RES/WEO/9.0.0/</x:v>
      </x:c>
      <x:c r="J185" s="36" t="str">
        <x:v>imf_exact_partition</x:v>
      </x:c>
    </x:row>
    <x:row r="186">
      <x:c r="A186" s="24" t="str">
        <x:v>SOM</x:v>
      </x:c>
      <x:c r="B186" s="24" t="str">
        <x:v>Somalia</x:v>
      </x:c>
      <x:c r="C186" s="24" t="n">
        <x:v>2022</x:v>
      </x:c>
      <x:c r="D186" s="24" t="str">
        <x:v>SOM</x:v>
      </x:c>
      <x:c r="E186" s="24" t="str">
        <x:v>ppp_gdp</x:v>
      </x:c>
      <x:c r="F186" s="38" t="n">
        <x:v>19678393781</x:v>
      </x:c>
      <x:c r="G186" s="24" t="str">
        <x:v>international dollars after scenario scaling</x:v>
      </x:c>
      <x:c r="H186" s="36" t="str">
        <x:v>IMF exact 2022; partitioned to Somalia using 74.36% population share</x:v>
      </x:c>
      <x:c r="I186" s="36" t="str">
        <x:v>https://api.imf.org/external/sdmx/3.0/data/dataflow/IMF.RES/WEO/9.0.0/</x:v>
      </x:c>
      <x:c r="J186" s="36" t="str">
        <x:v>imf_exact_partition</x:v>
      </x:c>
    </x:row>
    <x:row r="187">
      <x:c r="A187" s="24" t="str">
        <x:v>SOM</x:v>
      </x:c>
      <x:c r="B187" s="24" t="str">
        <x:v>Somalia</x:v>
      </x:c>
      <x:c r="C187" s="24" t="n">
        <x:v>2026</x:v>
      </x:c>
      <x:c r="D187" s="24" t="str">
        <x:v>SOM</x:v>
      </x:c>
      <x:c r="E187" s="24" t="str">
        <x:v>nominal_gdp</x:v>
      </x:c>
      <x:c r="F187" s="38" t="n">
        <x:v>8508882818</x:v>
      </x:c>
      <x:c r="G187" s="24" t="str">
        <x:v>USD after scenario scaling</x:v>
      </x:c>
      <x:c r="H187" s="36" t="str">
        <x:v>IMF exact 2026; partitioned to Somalia using 69.00% population share</x:v>
      </x:c>
      <x:c r="I187" s="36" t="str">
        <x:v>https://api.imf.org/external/sdmx/3.0/data/dataflow/IMF.RES/WEO/9.0.0/</x:v>
      </x:c>
      <x:c r="J187" s="36" t="str">
        <x:v>imf_exact_partition</x:v>
      </x:c>
    </x:row>
    <x:row r="188">
      <x:c r="A188" s="24" t="str">
        <x:v>SOM</x:v>
      </x:c>
      <x:c r="B188" s="24" t="str">
        <x:v>Somalia</x:v>
      </x:c>
      <x:c r="C188" s="24" t="n">
        <x:v>2026</x:v>
      </x:c>
      <x:c r="D188" s="24" t="str">
        <x:v>SOM</x:v>
      </x:c>
      <x:c r="E188" s="24" t="str">
        <x:v>ppp_gdp</x:v>
      </x:c>
      <x:c r="F188" s="38" t="n">
        <x:v>20474875370</x:v>
      </x:c>
      <x:c r="G188" s="24" t="str">
        <x:v>international dollars after scenario scaling</x:v>
      </x:c>
      <x:c r="H188" s="36" t="str">
        <x:v>IMF exact 2026; partitioned to Somalia using 69.00% population share</x:v>
      </x:c>
      <x:c r="I188" s="36" t="str">
        <x:v>https://api.imf.org/external/sdmx/3.0/data/dataflow/IMF.RES/WEO/9.0.0/</x:v>
      </x:c>
      <x:c r="J188" s="36" t="str">
        <x:v>imf_exact_partition</x:v>
      </x:c>
    </x:row>
    <x:row r="189">
      <x:c r="A189" s="24" t="str">
        <x:v>SOL</x:v>
      </x:c>
      <x:c r="B189" s="24" t="str">
        <x:v>Somaliland</x:v>
      </x:c>
      <x:c r="C189" s="24" t="n">
        <x:v>2022</x:v>
      </x:c>
      <x:c r="D189" s="24" t="str">
        <x:v>SOM</x:v>
      </x:c>
      <x:c r="E189" s="24" t="str">
        <x:v>nominal_gdp</x:v>
      </x:c>
      <x:c r="F189" s="38" t="n">
        <x:v>2615824199</x:v>
      </x:c>
      <x:c r="G189" s="24" t="str">
        <x:v>USD after scenario scaling</x:v>
      </x:c>
      <x:c r="H189" s="36" t="str">
        <x:v>IMF exact 2022; partitioned to Somaliland using 25.64% population share</x:v>
      </x:c>
      <x:c r="I189" s="36" t="str">
        <x:v>https://api.imf.org/external/sdmx/3.0/data/dataflow/IMF.RES/WEO/9.0.0/</x:v>
      </x:c>
      <x:c r="J189" s="36" t="str">
        <x:v>imf_exact_partition</x:v>
      </x:c>
    </x:row>
    <x:row r="190">
      <x:c r="A190" s="24" t="str">
        <x:v>SOL</x:v>
      </x:c>
      <x:c r="B190" s="24" t="str">
        <x:v>Somaliland</x:v>
      </x:c>
      <x:c r="C190" s="24" t="n">
        <x:v>2022</x:v>
      </x:c>
      <x:c r="D190" s="24" t="str">
        <x:v>SOM</x:v>
      </x:c>
      <x:c r="E190" s="24" t="str">
        <x:v>ppp_gdp</x:v>
      </x:c>
      <x:c r="F190" s="38" t="n">
        <x:v>6784503219</x:v>
      </x:c>
      <x:c r="G190" s="24" t="str">
        <x:v>international dollars after scenario scaling</x:v>
      </x:c>
      <x:c r="H190" s="36" t="str">
        <x:v>IMF exact 2022; partitioned to Somaliland using 25.64% population share</x:v>
      </x:c>
      <x:c r="I190" s="36" t="str">
        <x:v>https://api.imf.org/external/sdmx/3.0/data/dataflow/IMF.RES/WEO/9.0.0/</x:v>
      </x:c>
      <x:c r="J190" s="36" t="str">
        <x:v>imf_exact_partition</x:v>
      </x:c>
    </x:row>
    <x:row r="191">
      <x:c r="A191" s="24" t="str">
        <x:v>SOL</x:v>
      </x:c>
      <x:c r="B191" s="24" t="str">
        <x:v>Somaliland</x:v>
      </x:c>
      <x:c r="C191" s="24" t="n">
        <x:v>2026</x:v>
      </x:c>
      <x:c r="D191" s="24" t="str">
        <x:v>SOM</x:v>
      </x:c>
      <x:c r="E191" s="24" t="str">
        <x:v>nominal_gdp</x:v>
      </x:c>
      <x:c r="F191" s="38" t="n">
        <x:v>3822831262</x:v>
      </x:c>
      <x:c r="G191" s="24" t="str">
        <x:v>USD after scenario scaling</x:v>
      </x:c>
      <x:c r="H191" s="36" t="str">
        <x:v>IMF exact 2026; partitioned to Somaliland using 31.00% population share</x:v>
      </x:c>
      <x:c r="I191" s="36" t="str">
        <x:v>https://api.imf.org/external/sdmx/3.0/data/dataflow/IMF.RES/WEO/9.0.0/</x:v>
      </x:c>
      <x:c r="J191" s="36" t="str">
        <x:v>imf_exact_partition</x:v>
      </x:c>
    </x:row>
    <x:row r="192">
      <x:c r="A192" s="24" t="str">
        <x:v>SOL</x:v>
      </x:c>
      <x:c r="B192" s="24" t="str">
        <x:v>Somaliland</x:v>
      </x:c>
      <x:c r="C192" s="24" t="n">
        <x:v>2026</x:v>
      </x:c>
      <x:c r="D192" s="24" t="str">
        <x:v>SOM</x:v>
      </x:c>
      <x:c r="E192" s="24" t="str">
        <x:v>ppp_gdp</x:v>
      </x:c>
      <x:c r="F192" s="38" t="n">
        <x:v>9198856690</x:v>
      </x:c>
      <x:c r="G192" s="24" t="str">
        <x:v>international dollars after scenario scaling</x:v>
      </x:c>
      <x:c r="H192" s="36" t="str">
        <x:v>IMF exact 2026; partitioned to Somaliland using 31.00% population share</x:v>
      </x:c>
      <x:c r="I192" s="36" t="str">
        <x:v>https://api.imf.org/external/sdmx/3.0/data/dataflow/IMF.RES/WEO/9.0.0/</x:v>
      </x:c>
      <x:c r="J192" s="36" t="str">
        <x:v>imf_exact_partition</x:v>
      </x:c>
    </x:row>
    <x:row r="193">
      <x:c r="A193" s="24" t="str">
        <x:v>SSD</x:v>
      </x:c>
      <x:c r="B193" s="24" t="str">
        <x:v>South Sudan</x:v>
      </x:c>
      <x:c r="C193" s="24" t="n">
        <x:v>2003</x:v>
      </x:c>
      <x:c r="D193" s="24" t="str">
        <x:v>SSD</x:v>
      </x:c>
      <x:c r="E193" s="24" t="str">
        <x:v>nominal_gdp</x:v>
      </x:c>
      <x:c r="F193" s="38" t="n">
        <x:v>10811729193</x:v>
      </x:c>
      <x:c r="G193" s="24" t="str">
        <x:v>USD after scenario scaling</x:v>
      </x:c>
      <x:c r="H193" s="36" t="str">
        <x:v>peer-growth inference from World Bank 2008; Sub-Saharan Africa ; Low income median 8.00%/yr (20 peers, capped at ±8%)</x:v>
      </x:c>
      <x:c r="I193" s="36" t="str">
        <x:v>https://api.worldbank.org/v2/country/SSD/indicator/NY.GDP.MKTP.CD?source=2&amp;date=2008&amp;format=json | https://api.imf.org/external/sdmx/3.0/data/dataflow/IMF.RES/WEO/9.0.0/ | https://datahelpdesk.worldbank.org/knowledgebase/articles/898581-api-basic-call-structures</x:v>
      </x:c>
      <x:c r="J193" s="36" t="str">
        <x:v>peer_growth_inference</x:v>
      </x:c>
    </x:row>
    <x:row r="194">
      <x:c r="A194" s="24" t="str">
        <x:v>SSD</x:v>
      </x:c>
      <x:c r="B194" s="24" t="str">
        <x:v>South Sudan</x:v>
      </x:c>
      <x:c r="C194" s="24" t="n">
        <x:v>2003</x:v>
      </x:c>
      <x:c r="D194" s="24" t="str">
        <x:v>SSD</x:v>
      </x:c>
      <x:c r="E194" s="24" t="str">
        <x:v>ppp_gdp</x:v>
      </x:c>
      <x:c r="F194" s="38" t="n">
        <x:v>24345659627</x:v>
      </x:c>
      <x:c r="G194" s="24" t="str">
        <x:v>international dollars after scenario scaling</x:v>
      </x:c>
      <x:c r="H194" s="36" t="str">
        <x:v>peer-growth inference from World Bank 2008; Sub-Saharan Africa ; Low income median 2.64%/yr (20 peers, capped at ±8%)</x:v>
      </x:c>
      <x:c r="I194" s="36" t="str">
        <x:v>https://api.worldbank.org/v2/country/SSD/indicator/NY.GDP.MKTP.PP.CD?source=2&amp;date=2008&amp;format=json | https://api.imf.org/external/sdmx/3.0/data/dataflow/IMF.RES/WEO/9.0.0/ | https://datahelpdesk.worldbank.org/knowledgebase/articles/898581-api-basic-call-structures</x:v>
      </x:c>
      <x:c r="J194" s="36" t="str">
        <x:v>peer_growth_inference</x:v>
      </x:c>
    </x:row>
    <x:row r="195">
      <x:c r="A195" s="24" t="str">
        <x:v>LKA</x:v>
      </x:c>
      <x:c r="B195" s="24" t="str">
        <x:v>Sri Lanka</x:v>
      </x:c>
      <x:c r="C195" s="24" t="n">
        <x:v>2026</x:v>
      </x:c>
      <x:c r="D195" s="24" t="str">
        <x:v>LKA</x:v>
      </x:c>
      <x:c r="E195" s="24" t="str">
        <x:v>nominal_gdp</x:v>
      </x:c>
      <x:c r="F195" s="38" t="n">
        <x:v>106822028667</x:v>
      </x:c>
      <x:c r="G195" s="24" t="str">
        <x:v>USD after scenario scaling</x:v>
      </x:c>
      <x:c r="H195" s="36" t="str">
        <x:v>peer-growth inference from World Bank 2025; South Asia median 2.20%/yr (5 peers, capped at ±8%)</x:v>
      </x:c>
      <x:c r="I195" s="36" t="str">
        <x:v>https://api.worldbank.org/v2/country/LKA/indicator/NY.GDP.MKTP.CD?source=2&amp;date=2025&amp;format=json | https://api.imf.org/external/sdmx/3.0/data/dataflow/IMF.RES/WEO/9.0.0/ | https://datahelpdesk.worldbank.org/knowledgebase/articles/898581-api-basic-call-structures</x:v>
      </x:c>
      <x:c r="J195" s="36" t="str">
        <x:v>peer_growth_inference</x:v>
      </x:c>
    </x:row>
    <x:row r="196">
      <x:c r="A196" s="24" t="str">
        <x:v>LKA</x:v>
      </x:c>
      <x:c r="B196" s="24" t="str">
        <x:v>Sri Lanka</x:v>
      </x:c>
      <x:c r="C196" s="24" t="n">
        <x:v>2026</x:v>
      </x:c>
      <x:c r="D196" s="24" t="str">
        <x:v>LKA</x:v>
      </x:c>
      <x:c r="E196" s="24" t="str">
        <x:v>ppp_gdp</x:v>
      </x:c>
      <x:c r="F196" s="38" t="n">
        <x:v>367309594677</x:v>
      </x:c>
      <x:c r="G196" s="24" t="str">
        <x:v>international dollars after scenario scaling</x:v>
      </x:c>
      <x:c r="H196" s="36" t="str">
        <x:v>peer-growth inference from World Bank 2025; South Asia median 3.01%/yr (5 peers, capped at ±8%)</x:v>
      </x:c>
      <x:c r="I196" s="36" t="str">
        <x:v>https://api.worldbank.org/v2/country/LKA/indicator/NY.GDP.MKTP.PP.CD?source=2&amp;date=2025&amp;format=json | https://api.imf.org/external/sdmx/3.0/data/dataflow/IMF.RES/WEO/9.0.0/ | https://datahelpdesk.worldbank.org/knowledgebase/articles/898581-api-basic-call-structures</x:v>
      </x:c>
      <x:c r="J196" s="36" t="str">
        <x:v>peer_growth_inference</x:v>
      </x:c>
    </x:row>
    <x:row r="197">
      <x:c r="A197" s="24" t="str">
        <x:v>SYR</x:v>
      </x:c>
      <x:c r="B197" s="24" t="str">
        <x:v>Syria</x:v>
      </x:c>
      <x:c r="C197" s="24" t="n">
        <x:v>2022</x:v>
      </x:c>
      <x:c r="D197" s="24" t="str">
        <x:v>SYR</x:v>
      </x:c>
      <x:c r="E197" s="24" t="str">
        <x:v>nominal_gdp</x:v>
      </x:c>
      <x:c r="F197" s="38" t="n">
        <x:v>23737634644</x:v>
      </x:c>
      <x:c r="G197" s="24" t="str">
        <x:v>USD after scenario scaling</x:v>
      </x:c>
      <x:c r="H197" s="36" t="str">
        <x:v>World Bank exact 2022</x:v>
      </x:c>
      <x:c r="I197" s="36" t="str">
        <x:v>https://api.worldbank.org/v2/country/SYR/indicator/NY.GDP.MKTP.CD?source=2&amp;date=2022&amp;format=json</x:v>
      </x:c>
      <x:c r="J197" s="36" t="str">
        <x:v>world_bank_exact</x:v>
      </x:c>
    </x:row>
    <x:row r="198">
      <x:c r="A198" s="24" t="str">
        <x:v>SYR</x:v>
      </x:c>
      <x:c r="B198" s="24" t="str">
        <x:v>Syria</x:v>
      </x:c>
      <x:c r="C198" s="24" t="n">
        <x:v>2022</x:v>
      </x:c>
      <x:c r="D198" s="24" t="str">
        <x:v>SYR</x:v>
      </x:c>
      <x:c r="E198" s="24" t="str">
        <x:v>ppp_gdp</x:v>
      </x:c>
      <x:c r="F198" s="38" t="n">
        <x:v>110180384541</x:v>
      </x:c>
      <x:c r="G198" s="24" t="str">
        <x:v>international dollars after scenario scaling</x:v>
      </x:c>
      <x:c r="H198" s="36" t="str">
        <x:v>World Bank exact 2022</x:v>
      </x:c>
      <x:c r="I198" s="36" t="str">
        <x:v>https://api.worldbank.org/v2/country/SYR/indicator/NY.GDP.MKTP.PP.CD?source=2&amp;date=2022&amp;format=json</x:v>
      </x:c>
      <x:c r="J198" s="36" t="str">
        <x:v>world_bank_exact</x:v>
      </x:c>
    </x:row>
    <x:row r="199">
      <x:c r="A199" s="24" t="str">
        <x:v>SYR</x:v>
      </x:c>
      <x:c r="B199" s="24" t="str">
        <x:v>Syria</x:v>
      </x:c>
      <x:c r="C199" s="24" t="n">
        <x:v>2026</x:v>
      </x:c>
      <x:c r="D199" s="24" t="str">
        <x:v>SYR</x:v>
      </x:c>
      <x:c r="E199" s="24" t="str">
        <x:v>nominal_gdp</x:v>
      </x:c>
      <x:c r="F199" s="38" t="n">
        <x:v>25561024844</x:v>
      </x:c>
      <x:c r="G199" s="24" t="str">
        <x:v>USD after scenario scaling</x:v>
      </x:c>
      <x:c r="H199" s="36" t="str">
        <x:v>peer-growth inference from World Bank 2022; Middle East, North Africa, Afghanistan &amp; Pakistan median -1.69%/yr (18 peers, capped at ±8%)</x:v>
      </x:c>
      <x:c r="I199" s="36" t="str">
        <x:v>https://api.worldbank.org/v2/country/SYR/indicator/NY.GDP.MKTP.CD?source=2&amp;date=2022&amp;format=json | https://api.imf.org/external/sdmx/3.0/data/dataflow/IMF.RES/WEO/9.0.0/ | https://datahelpdesk.worldbank.org/knowledgebase/articles/898581-api-basic-call-structures</x:v>
      </x:c>
      <x:c r="J199" s="36" t="str">
        <x:v>peer_growth_inference</x:v>
      </x:c>
    </x:row>
    <x:row r="200">
      <x:c r="A200" s="24" t="str">
        <x:v>SYR</x:v>
      </x:c>
      <x:c r="B200" s="24" t="str">
        <x:v>Syria</x:v>
      </x:c>
      <x:c r="C200" s="24" t="n">
        <x:v>2026</x:v>
      </x:c>
      <x:c r="D200" s="24" t="str">
        <x:v>SYR</x:v>
      </x:c>
      <x:c r="E200" s="24" t="str">
        <x:v>ppp_gdp</x:v>
      </x:c>
      <x:c r="F200" s="38" t="n">
        <x:v>131577238721</x:v>
      </x:c>
      <x:c r="G200" s="24" t="str">
        <x:v>international dollars after scenario scaling</x:v>
      </x:c>
      <x:c r="H200" s="36" t="str">
        <x:v>peer-growth inference from World Bank 2022; Middle East, North Africa, Afghanistan &amp; Pakistan median 0.89%/yr (19 peers, capped at ±8%)</x:v>
      </x:c>
      <x:c r="I200" s="36" t="str">
        <x:v>https://api.worldbank.org/v2/country/SYR/indicator/NY.GDP.MKTP.PP.CD?source=2&amp;date=2022&amp;format=json | https://api.imf.org/external/sdmx/3.0/data/dataflow/IMF.RES/WEO/9.0.0/ | https://datahelpdesk.worldbank.org/knowledgebase/articles/898581-api-basic-call-structures</x:v>
      </x:c>
      <x:c r="J200" s="36" t="str">
        <x:v>peer_growth_inference</x:v>
      </x:c>
    </x:row>
    <x:row r="201">
      <x:c r="A201" s="24" t="str">
        <x:v>GBR</x:v>
      </x:c>
      <x:c r="B201" s="24" t="str">
        <x:v>United Kingdom</x:v>
      </x:c>
      <x:c r="C201" s="24" t="n">
        <x:v>2003</x:v>
      </x:c>
      <x:c r="D201" s="24" t="str">
        <x:v>JEY</x:v>
      </x:c>
      <x:c r="E201" s="24" t="str">
        <x:v>nominal_gdp</x:v>
      </x:c>
      <x:c r="F201" s="38" t="n">
        <x:v>11658269388</x:v>
      </x:c>
      <x:c r="G201" s="24" t="str">
        <x:v>USD after scenario scaling</x:v>
      </x:c>
      <x:c r="H201" s="36" t="str">
        <x:v>World Bank exact 2003 (Channel Islands proxy for Jersey)</x:v>
      </x:c>
      <x:c r="I201" s="36" t="str">
        <x:v>https://api.worldbank.org/v2/country/CHI/indicator/NY.GDP.MKTP.CD?source=2&amp;date=2003&amp;format=json</x:v>
      </x:c>
      <x:c r="J201" s="36" t="str">
        <x:v>world_bank_proxy</x:v>
      </x:c>
    </x:row>
    <x:row r="202">
      <x:c r="A202" s="24" t="str">
        <x:v>GBR</x:v>
      </x:c>
      <x:c r="B202" s="24" t="str">
        <x:v>United Kingdom</x:v>
      </x:c>
      <x:c r="C202" s="24" t="n">
        <x:v>2003</x:v>
      </x:c>
      <x:c r="D202" s="24" t="str">
        <x:v>IMN</x:v>
      </x:c>
      <x:c r="E202" s="24" t="str">
        <x:v>nominal_gdp</x:v>
      </x:c>
      <x:c r="F202" s="38" t="n">
        <x:v>3581666449</x:v>
      </x:c>
      <x:c r="G202" s="24" t="str">
        <x:v>USD after scenario scaling</x:v>
      </x:c>
      <x:c r="H202" s="36" t="str">
        <x:v>World Bank exact 2003</x:v>
      </x:c>
      <x:c r="I202" s="36" t="str">
        <x:v>https://api.worldbank.org/v2/country/IMN/indicator/NY.GDP.MKTP.CD?source=2&amp;date=2003&amp;format=json</x:v>
      </x:c>
      <x:c r="J202" s="36" t="str">
        <x:v>world_bank_exact</x:v>
      </x:c>
    </x:row>
    <x:row r="203">
      <x:c r="A203" s="24" t="str">
        <x:v>GBR</x:v>
      </x:c>
      <x:c r="B203" s="24" t="str">
        <x:v>United Kingdom</x:v>
      </x:c>
      <x:c r="C203" s="24" t="n">
        <x:v>2003</x:v>
      </x:c>
      <x:c r="D203" s="24" t="str">
        <x:v>AIA</x:v>
      </x:c>
      <x:c r="E203" s="24" t="str">
        <x:v>nominal_gdp</x:v>
      </x:c>
      <x:c r="F203" s="38" t="n">
        <x:v>50274689</x:v>
      </x:c>
      <x:c r="G203" s="24" t="str">
        <x:v>USD after scenario scaling</x:v>
      </x:c>
      <x:c r="H203" s="36" t="str">
        <x:v>nominal GDP/c inferred from global available-country peers median level (210 peers)</x:v>
      </x:c>
      <x:c r="I203" s="36" t="str">
        <x:v>https://api.imf.org/external/sdmx/3.0/data/dataflow/IMF.RES/WEO/9.0.0/ | https://datahelpdesk.worldbank.org/knowledgebase/articles/898581-api-basic-call-structures</x:v>
      </x:c>
      <x:c r="J203" s="36" t="str">
        <x:v>peer_level_inference</x:v>
      </x:c>
    </x:row>
    <x:row r="204">
      <x:c r="A204" s="24" t="str">
        <x:v>GBR</x:v>
      </x:c>
      <x:c r="B204" s="24" t="str">
        <x:v>United Kingdom</x:v>
      </x:c>
      <x:c r="C204" s="24" t="n">
        <x:v>2003</x:v>
      </x:c>
      <x:c r="D204" s="24" t="str">
        <x:v>BMU</x:v>
      </x:c>
      <x:c r="E204" s="24" t="str">
        <x:v>nominal_gdp</x:v>
      </x:c>
      <x:c r="F204" s="38" t="n">
        <x:v>6656574750</x:v>
      </x:c>
      <x:c r="G204" s="24" t="str">
        <x:v>USD after scenario scaling</x:v>
      </x:c>
      <x:c r="H204" s="36" t="str">
        <x:v>World Bank exact 2003</x:v>
      </x:c>
      <x:c r="I204" s="36" t="str">
        <x:v>https://api.worldbank.org/v2/country/BMU/indicator/NY.GDP.MKTP.CD?source=2&amp;date=2003&amp;format=json</x:v>
      </x:c>
      <x:c r="J204" s="36" t="str">
        <x:v>world_bank_exact</x:v>
      </x:c>
    </x:row>
    <x:row r="205">
      <x:c r="A205" s="24" t="str">
        <x:v>GBR</x:v>
      </x:c>
      <x:c r="B205" s="24" t="str">
        <x:v>United Kingdom</x:v>
      </x:c>
      <x:c r="C205" s="24" t="n">
        <x:v>2003</x:v>
      </x:c>
      <x:c r="D205" s="24" t="str">
        <x:v>CYM</x:v>
      </x:c>
      <x:c r="E205" s="24" t="str">
        <x:v>nominal_gdp</x:v>
      </x:c>
      <x:c r="F205" s="38" t="n">
        <x:v>4679628191</x:v>
      </x:c>
      <x:c r="G205" s="24" t="str">
        <x:v>USD after scenario scaling</x:v>
      </x:c>
      <x:c r="H205" s="36" t="str">
        <x:v>peer-growth inference from World Bank 2006; Latin America &amp; Caribbean ; High income median 5.99%/yr (15 peers, capped at ±8%)</x:v>
      </x:c>
      <x:c r="I205" s="36" t="str">
        <x:v>https://api.worldbank.org/v2/country/CYM/indicator/NY.GDP.MKTP.CD?source=2&amp;date=2006&amp;format=json | https://api.imf.org/external/sdmx/3.0/data/dataflow/IMF.RES/WEO/9.0.0/ | https://datahelpdesk.worldbank.org/knowledgebase/articles/898581-api-basic-call-structures</x:v>
      </x:c>
      <x:c r="J205" s="36" t="str">
        <x:v>peer_growth_inference</x:v>
      </x:c>
    </x:row>
    <x:row r="206">
      <x:c r="A206" s="24" t="str">
        <x:v>GBR</x:v>
      </x:c>
      <x:c r="B206" s="24" t="str">
        <x:v>United Kingdom</x:v>
      </x:c>
      <x:c r="C206" s="24" t="n">
        <x:v>2003</x:v>
      </x:c>
      <x:c r="D206" s="24" t="str">
        <x:v>MSR</x:v>
      </x:c>
      <x:c r="E206" s="24" t="str">
        <x:v>nominal_gdp</x:v>
      </x:c>
      <x:c r="F206" s="38" t="n">
        <x:v>19010725</x:v>
      </x:c>
      <x:c r="G206" s="24" t="str">
        <x:v>USD after scenario scaling</x:v>
      </x:c>
      <x:c r="H206" s="36" t="str">
        <x:v>nominal GDP/c inferred from global available-country peers median level (210 peers)</x:v>
      </x:c>
      <x:c r="I206" s="36" t="str">
        <x:v>https://api.imf.org/external/sdmx/3.0/data/dataflow/IMF.RES/WEO/9.0.0/ | https://datahelpdesk.worldbank.org/knowledgebase/articles/898581-api-basic-call-structures</x:v>
      </x:c>
      <x:c r="J206" s="36" t="str">
        <x:v>peer_level_inference</x:v>
      </x:c>
    </x:row>
    <x:row r="207">
      <x:c r="A207" s="24" t="str">
        <x:v>GBR</x:v>
      </x:c>
      <x:c r="B207" s="24" t="str">
        <x:v>United Kingdom</x:v>
      </x:c>
      <x:c r="C207" s="24" t="n">
        <x:v>2003</x:v>
      </x:c>
      <x:c r="D207" s="24" t="str">
        <x:v>TCA</x:v>
      </x:c>
      <x:c r="E207" s="24" t="str">
        <x:v>nominal_gdp</x:v>
      </x:c>
      <x:c r="F207" s="38" t="n">
        <x:v>651508224</x:v>
      </x:c>
      <x:c r="G207" s="24" t="str">
        <x:v>USD after scenario scaling</x:v>
      </x:c>
      <x:c r="H207" s="36" t="str">
        <x:v>World Bank exact 2003</x:v>
      </x:c>
      <x:c r="I207" s="36" t="str">
        <x:v>https://api.worldbank.org/v2/country/TCA/indicator/NY.GDP.MKTP.CD?source=2&amp;date=2003&amp;format=json</x:v>
      </x:c>
      <x:c r="J207" s="36" t="str">
        <x:v>world_bank_exact</x:v>
      </x:c>
    </x:row>
    <x:row r="208">
      <x:c r="A208" s="24" t="str">
        <x:v>GBR</x:v>
      </x:c>
      <x:c r="B208" s="24" t="str">
        <x:v>United Kingdom</x:v>
      </x:c>
      <x:c r="C208" s="24" t="n">
        <x:v>2003</x:v>
      </x:c>
      <x:c r="D208" s="24" t="str">
        <x:v>VGB</x:v>
      </x:c>
      <x:c r="E208" s="24" t="str">
        <x:v>nominal_gdp</x:v>
      </x:c>
      <x:c r="F208" s="38" t="n">
        <x:v>428413284</x:v>
      </x:c>
      <x:c r="G208" s="24" t="str">
        <x:v>USD after scenario scaling</x:v>
      </x:c>
      <x:c r="H208" s="36" t="str">
        <x:v>nominal GDP/c inferred from Latin America &amp; Caribbean ; High income median level (15 peers)</x:v>
      </x:c>
      <x:c r="I208" s="36" t="str">
        <x:v>https://api.imf.org/external/sdmx/3.0/data/dataflow/IMF.RES/WEO/9.0.0/ | https://datahelpdesk.worldbank.org/knowledgebase/articles/898581-api-basic-call-structures</x:v>
      </x:c>
      <x:c r="J208" s="36" t="str">
        <x:v>peer_level_inference</x:v>
      </x:c>
    </x:row>
    <x:row r="209">
      <x:c r="A209" s="24" t="str">
        <x:v>GBR</x:v>
      </x:c>
      <x:c r="B209" s="24" t="str">
        <x:v>United Kingdom</x:v>
      </x:c>
      <x:c r="C209" s="24" t="n">
        <x:v>2003</x:v>
      </x:c>
      <x:c r="D209" s="24" t="str">
        <x:v>JEY</x:v>
      </x:c>
      <x:c r="E209" s="24" t="str">
        <x:v>ppp_gdp</x:v>
      </x:c>
      <x:c r="F209" s="38" t="n">
        <x:v>14319299376</x:v>
      </x:c>
      <x:c r="G209" s="24" t="str">
        <x:v>international dollars after scenario scaling</x:v>
      </x:c>
      <x:c r="H209" s="36" t="str">
        <x:v>PPP inferred from filled nominal GDP using Europe &amp; Central Asia; High income median PPP/nominal ratio 1.228 (35 peers)</x:v>
      </x:c>
      <x:c r="I209" s="36" t="str">
        <x:v>https://api.imf.org/external/sdmx/3.0/data/dataflow/IMF.RES/WEO/9.0.0/ | https://datahelpdesk.worldbank.org/knowledgebase/articles/898581-api-basic-call-structures</x:v>
      </x:c>
      <x:c r="J209" s="36" t="str">
        <x:v>peer_ratio_inference</x:v>
      </x:c>
    </x:row>
    <x:row r="210">
      <x:c r="A210" s="24" t="str">
        <x:v>GBR</x:v>
      </x:c>
      <x:c r="B210" s="24" t="str">
        <x:v>United Kingdom</x:v>
      </x:c>
      <x:c r="C210" s="24" t="n">
        <x:v>2003</x:v>
      </x:c>
      <x:c r="D210" s="24" t="str">
        <x:v>IMN</x:v>
      </x:c>
      <x:c r="E210" s="24" t="str">
        <x:v>ppp_gdp</x:v>
      </x:c>
      <x:c r="F210" s="38" t="n">
        <x:v>4399191033</x:v>
      </x:c>
      <x:c r="G210" s="24" t="str">
        <x:v>international dollars after scenario scaling</x:v>
      </x:c>
      <x:c r="H210" s="36" t="str">
        <x:v>PPP inferred from filled nominal GDP using Europe &amp; Central Asia; High income median PPP/nominal ratio 1.228 (35 peers)</x:v>
      </x:c>
      <x:c r="I210" s="36" t="str">
        <x:v>https://api.imf.org/external/sdmx/3.0/data/dataflow/IMF.RES/WEO/9.0.0/ | https://datahelpdesk.worldbank.org/knowledgebase/articles/898581-api-basic-call-structures</x:v>
      </x:c>
      <x:c r="J210" s="36" t="str">
        <x:v>peer_ratio_inference</x:v>
      </x:c>
    </x:row>
    <x:row r="211">
      <x:c r="A211" s="24" t="str">
        <x:v>GBR</x:v>
      </x:c>
      <x:c r="B211" s="24" t="str">
        <x:v>United Kingdom</x:v>
      </x:c>
      <x:c r="C211" s="24" t="n">
        <x:v>2003</x:v>
      </x:c>
      <x:c r="D211" s="24" t="str">
        <x:v>AIA</x:v>
      </x:c>
      <x:c r="E211" s="24" t="str">
        <x:v>ppp_gdp</x:v>
      </x:c>
      <x:c r="F211" s="38" t="n">
        <x:v>129547896</x:v>
      </x:c>
      <x:c r="G211" s="24" t="str">
        <x:v>international dollars after scenario scaling</x:v>
      </x:c>
      <x:c r="H211" s="36" t="str">
        <x:v>PPP inferred from filled nominal GDP using global available-country peers median PPP/nominal ratio 2.577 (199 peers)</x:v>
      </x:c>
      <x:c r="I211" s="36" t="str">
        <x:v>https://api.imf.org/external/sdmx/3.0/data/dataflow/IMF.RES/WEO/9.0.0/ | https://datahelpdesk.worldbank.org/knowledgebase/articles/898581-api-basic-call-structures</x:v>
      </x:c>
      <x:c r="J211" s="36" t="str">
        <x:v>peer_ratio_inference</x:v>
      </x:c>
    </x:row>
    <x:row r="212">
      <x:c r="A212" s="24" t="str">
        <x:v>GBR</x:v>
      </x:c>
      <x:c r="B212" s="24" t="str">
        <x:v>United Kingdom</x:v>
      </x:c>
      <x:c r="C212" s="24" t="n">
        <x:v>2003</x:v>
      </x:c>
      <x:c r="D212" s="24" t="str">
        <x:v>BMU</x:v>
      </x:c>
      <x:c r="E212" s="24" t="str">
        <x:v>ppp_gdp</x:v>
      </x:c>
      <x:c r="F212" s="38" t="n">
        <x:v>6133081890</x:v>
      </x:c>
      <x:c r="G212" s="24" t="str">
        <x:v>international dollars after scenario scaling</x:v>
      </x:c>
      <x:c r="H212" s="36" t="str">
        <x:v>World Bank exact 2003</x:v>
      </x:c>
      <x:c r="I212" s="36" t="str">
        <x:v>https://api.worldbank.org/v2/country/BMU/indicator/NY.GDP.MKTP.PP.CD?source=2&amp;date=2003&amp;format=json</x:v>
      </x:c>
      <x:c r="J212" s="36" t="str">
        <x:v>world_bank_exact</x:v>
      </x:c>
    </x:row>
    <x:row r="213">
      <x:c r="A213" s="24" t="str">
        <x:v>GBR</x:v>
      </x:c>
      <x:c r="B213" s="24" t="str">
        <x:v>United Kingdom</x:v>
      </x:c>
      <x:c r="C213" s="24" t="n">
        <x:v>2003</x:v>
      </x:c>
      <x:c r="D213" s="24" t="str">
        <x:v>CYM</x:v>
      </x:c>
      <x:c r="E213" s="24" t="str">
        <x:v>ppp_gdp</x:v>
      </x:c>
      <x:c r="F213" s="38" t="n">
        <x:v>4312047259</x:v>
      </x:c>
      <x:c r="G213" s="24" t="str">
        <x:v>international dollars after scenario scaling</x:v>
      </x:c>
      <x:c r="H213" s="36" t="str">
        <x:v>peer-growth inference from World Bank 2006; Latin America &amp; Caribbean ; High income median 3.72%/yr (14 peers, capped at ±8%)</x:v>
      </x:c>
      <x:c r="I213" s="36" t="str">
        <x:v>https://api.worldbank.org/v2/country/CYM/indicator/NY.GDP.MKTP.PP.CD?source=2&amp;date=2006&amp;format=json | https://api.imf.org/external/sdmx/3.0/data/dataflow/IMF.RES/WEO/9.0.0/ | https://datahelpdesk.worldbank.org/knowledgebase/articles/898581-api-basic-call-structures</x:v>
      </x:c>
      <x:c r="J213" s="36" t="str">
        <x:v>peer_growth_inference</x:v>
      </x:c>
    </x:row>
    <x:row r="214">
      <x:c r="A214" s="24" t="str">
        <x:v>GBR</x:v>
      </x:c>
      <x:c r="B214" s="24" t="str">
        <x:v>United Kingdom</x:v>
      </x:c>
      <x:c r="C214" s="24" t="n">
        <x:v>2003</x:v>
      </x:c>
      <x:c r="D214" s="24" t="str">
        <x:v>MSR</x:v>
      </x:c>
      <x:c r="E214" s="24" t="str">
        <x:v>ppp_gdp</x:v>
      </x:c>
      <x:c r="F214" s="38" t="n">
        <x:v>48986867</x:v>
      </x:c>
      <x:c r="G214" s="24" t="str">
        <x:v>international dollars after scenario scaling</x:v>
      </x:c>
      <x:c r="H214" s="36" t="str">
        <x:v>PPP inferred from filled nominal GDP using global available-country peers median PPP/nominal ratio 2.577 (199 peers)</x:v>
      </x:c>
      <x:c r="I214" s="36" t="str">
        <x:v>https://api.imf.org/external/sdmx/3.0/data/dataflow/IMF.RES/WEO/9.0.0/ | https://datahelpdesk.worldbank.org/knowledgebase/articles/898581-api-basic-call-structures</x:v>
      </x:c>
      <x:c r="J214" s="36" t="str">
        <x:v>peer_ratio_inference</x:v>
      </x:c>
    </x:row>
    <x:row r="215">
      <x:c r="A215" s="24" t="str">
        <x:v>GBR</x:v>
      </x:c>
      <x:c r="B215" s="24" t="str">
        <x:v>United Kingdom</x:v>
      </x:c>
      <x:c r="C215" s="24" t="n">
        <x:v>2003</x:v>
      </x:c>
      <x:c r="D215" s="24" t="str">
        <x:v>TCA</x:v>
      </x:c>
      <x:c r="E215" s="24" t="str">
        <x:v>ppp_gdp</x:v>
      </x:c>
      <x:c r="F215" s="38" t="n">
        <x:v>850090192</x:v>
      </x:c>
      <x:c r="G215" s="24" t="str">
        <x:v>international dollars after scenario scaling</x:v>
      </x:c>
      <x:c r="H215" s="36" t="str">
        <x:v>peer-growth inference from World Bank 2007; Latin America &amp; Caribbean ; High income median 3.78%/yr (14 peers, capped at ±8%)</x:v>
      </x:c>
      <x:c r="I215" s="36" t="str">
        <x:v>https://api.worldbank.org/v2/country/TCA/indicator/NY.GDP.MKTP.PP.CD?source=2&amp;date=2007&amp;format=json | https://api.imf.org/external/sdmx/3.0/data/dataflow/IMF.RES/WEO/9.0.0/ | https://datahelpdesk.worldbank.org/knowledgebase/articles/898581-api-basic-call-structures</x:v>
      </x:c>
      <x:c r="J215" s="36" t="str">
        <x:v>peer_growth_inference</x:v>
      </x:c>
    </x:row>
    <x:row r="216">
      <x:c r="A216" s="24" t="str">
        <x:v>GBR</x:v>
      </x:c>
      <x:c r="B216" s="24" t="str">
        <x:v>United Kingdom</x:v>
      </x:c>
      <x:c r="C216" s="24" t="n">
        <x:v>2003</x:v>
      </x:c>
      <x:c r="D216" s="24" t="str">
        <x:v>VGB</x:v>
      </x:c>
      <x:c r="E216" s="24" t="str">
        <x:v>ppp_gdp</x:v>
      </x:c>
      <x:c r="F216" s="38" t="n">
        <x:v>695737258</x:v>
      </x:c>
      <x:c r="G216" s="24" t="str">
        <x:v>international dollars after scenario scaling</x:v>
      </x:c>
      <x:c r="H216" s="36" t="str">
        <x:v>PPP inferred from filled nominal GDP using Latin America &amp; Caribbean ; High income median PPP/nominal ratio 1.624 (14 peers)</x:v>
      </x:c>
      <x:c r="I216" s="36" t="str">
        <x:v>https://api.imf.org/external/sdmx/3.0/data/dataflow/IMF.RES/WEO/9.0.0/ | https://datahelpdesk.worldbank.org/knowledgebase/articles/898581-api-basic-call-structures</x:v>
      </x:c>
      <x:c r="J216" s="36" t="str">
        <x:v>peer_ratio_inference</x:v>
      </x:c>
    </x:row>
    <x:row r="217">
      <x:c r="A217" s="24" t="str">
        <x:v>GBR</x:v>
      </x:c>
      <x:c r="B217" s="24" t="str">
        <x:v>United Kingdom</x:v>
      </x:c>
      <x:c r="C217" s="24" t="n">
        <x:v>2022</x:v>
      </x:c>
      <x:c r="D217" s="24" t="str">
        <x:v>JEY</x:v>
      </x:c>
      <x:c r="E217" s="24" t="str">
        <x:v>nominal_gdp</x:v>
      </x:c>
      <x:c r="F217" s="38" t="n">
        <x:v>11308272505</x:v>
      </x:c>
      <x:c r="G217" s="24" t="str">
        <x:v>USD after scenario scaling</x:v>
      </x:c>
      <x:c r="H217" s="36" t="str">
        <x:v>World Bank exact 2022 (Channel Islands proxy for Jersey)</x:v>
      </x:c>
      <x:c r="I217" s="36" t="str">
        <x:v>https://api.worldbank.org/v2/country/CHI/indicator/NY.GDP.MKTP.CD?source=2&amp;date=2022&amp;format=json</x:v>
      </x:c>
      <x:c r="J217" s="36" t="str">
        <x:v>world_bank_proxy</x:v>
      </x:c>
    </x:row>
    <x:row r="218">
      <x:c r="A218" s="24" t="str">
        <x:v>GBR</x:v>
      </x:c>
      <x:c r="B218" s="24" t="str">
        <x:v>United Kingdom</x:v>
      </x:c>
      <x:c r="C218" s="24" t="n">
        <x:v>2022</x:v>
      </x:c>
      <x:c r="D218" s="24" t="str">
        <x:v>IMN</x:v>
      </x:c>
      <x:c r="E218" s="24" t="str">
        <x:v>nominal_gdp</x:v>
      </x:c>
      <x:c r="F218" s="38" t="n">
        <x:v>7431257411</x:v>
      </x:c>
      <x:c r="G218" s="24" t="str">
        <x:v>USD after scenario scaling</x:v>
      </x:c>
      <x:c r="H218" s="36" t="str">
        <x:v>World Bank exact 2022</x:v>
      </x:c>
      <x:c r="I218" s="36" t="str">
        <x:v>https://api.worldbank.org/v2/country/IMN/indicator/NY.GDP.MKTP.CD?source=2&amp;date=2022&amp;format=json</x:v>
      </x:c>
      <x:c r="J218" s="36" t="str">
        <x:v>world_bank_exact</x:v>
      </x:c>
    </x:row>
    <x:row r="219">
      <x:c r="A219" s="24" t="str">
        <x:v>GBR</x:v>
      </x:c>
      <x:c r="B219" s="24" t="str">
        <x:v>United Kingdom</x:v>
      </x:c>
      <x:c r="C219" s="24" t="n">
        <x:v>2022</x:v>
      </x:c>
      <x:c r="D219" s="24" t="str">
        <x:v>AIA</x:v>
      </x:c>
      <x:c r="E219" s="24" t="str">
        <x:v>nominal_gdp</x:v>
      </x:c>
      <x:c r="F219" s="38" t="n">
        <x:v>107847441</x:v>
      </x:c>
      <x:c r="G219" s="24" t="str">
        <x:v>USD after scenario scaling</x:v>
      </x:c>
      <x:c r="H219" s="36" t="str">
        <x:v>nominal GDP/c inferred from global available-country peers median level (211 peers)</x:v>
      </x:c>
      <x:c r="I219" s="36" t="str">
        <x:v>https://api.imf.org/external/sdmx/3.0/data/dataflow/IMF.RES/WEO/9.0.0/ | https://datahelpdesk.worldbank.org/knowledgebase/articles/898581-api-basic-call-structures</x:v>
      </x:c>
      <x:c r="J219" s="36" t="str">
        <x:v>peer_level_inference</x:v>
      </x:c>
    </x:row>
    <x:row r="220">
      <x:c r="A220" s="24" t="str">
        <x:v>GBR</x:v>
      </x:c>
      <x:c r="B220" s="24" t="str">
        <x:v>United Kingdom</x:v>
      </x:c>
      <x:c r="C220" s="24" t="n">
        <x:v>2022</x:v>
      </x:c>
      <x:c r="D220" s="24" t="str">
        <x:v>BMU</x:v>
      </x:c>
      <x:c r="E220" s="24" t="str">
        <x:v>nominal_gdp</x:v>
      </x:c>
      <x:c r="F220" s="38" t="n">
        <x:v>7767884000</x:v>
      </x:c>
      <x:c r="G220" s="24" t="str">
        <x:v>USD after scenario scaling</x:v>
      </x:c>
      <x:c r="H220" s="36" t="str">
        <x:v>World Bank exact 2022</x:v>
      </x:c>
      <x:c r="I220" s="36" t="str">
        <x:v>https://api.worldbank.org/v2/country/BMU/indicator/NY.GDP.MKTP.CD?source=2&amp;date=2022&amp;format=json</x:v>
      </x:c>
      <x:c r="J220" s="36" t="str">
        <x:v>world_bank_exact</x:v>
      </x:c>
    </x:row>
    <x:row r="221">
      <x:c r="A221" s="24" t="str">
        <x:v>GBR</x:v>
      </x:c>
      <x:c r="B221" s="24" t="str">
        <x:v>United Kingdom</x:v>
      </x:c>
      <x:c r="C221" s="24" t="n">
        <x:v>2022</x:v>
      </x:c>
      <x:c r="D221" s="24" t="str">
        <x:v>CYM</x:v>
      </x:c>
      <x:c r="E221" s="24" t="str">
        <x:v>nominal_gdp</x:v>
      </x:c>
      <x:c r="F221" s="38" t="n">
        <x:v>6653516041</x:v>
      </x:c>
      <x:c r="G221" s="24" t="str">
        <x:v>USD after scenario scaling</x:v>
      </x:c>
      <x:c r="H221" s="36" t="str">
        <x:v>World Bank exact 2022</x:v>
      </x:c>
      <x:c r="I221" s="36" t="str">
        <x:v>https://api.worldbank.org/v2/country/CYM/indicator/NY.GDP.MKTP.CD?source=2&amp;date=2022&amp;format=json</x:v>
      </x:c>
      <x:c r="J221" s="36" t="str">
        <x:v>world_bank_exact</x:v>
      </x:c>
    </x:row>
    <x:row r="222">
      <x:c r="A222" s="24" t="str">
        <x:v>GBR</x:v>
      </x:c>
      <x:c r="B222" s="24" t="str">
        <x:v>United Kingdom</x:v>
      </x:c>
      <x:c r="C222" s="24" t="n">
        <x:v>2022</x:v>
      </x:c>
      <x:c r="D222" s="24" t="str">
        <x:v>MSR</x:v>
      </x:c>
      <x:c r="E222" s="24" t="str">
        <x:v>nominal_gdp</x:v>
      </x:c>
      <x:c r="F222" s="38" t="n">
        <x:v>33867747</x:v>
      </x:c>
      <x:c r="G222" s="24" t="str">
        <x:v>USD after scenario scaling</x:v>
      </x:c>
      <x:c r="H222" s="36" t="str">
        <x:v>nominal GDP/c inferred from global available-country peers median level (211 peers)</x:v>
      </x:c>
      <x:c r="I222" s="36" t="str">
        <x:v>https://api.imf.org/external/sdmx/3.0/data/dataflow/IMF.RES/WEO/9.0.0/ | https://datahelpdesk.worldbank.org/knowledgebase/articles/898581-api-basic-call-structures</x:v>
      </x:c>
      <x:c r="J222" s="36" t="str">
        <x:v>peer_level_inference</x:v>
      </x:c>
    </x:row>
    <x:row r="223">
      <x:c r="A223" s="24" t="str">
        <x:v>GBR</x:v>
      </x:c>
      <x:c r="B223" s="24" t="str">
        <x:v>United Kingdom</x:v>
      </x:c>
      <x:c r="C223" s="24" t="n">
        <x:v>2022</x:v>
      </x:c>
      <x:c r="D223" s="24" t="str">
        <x:v>TCA</x:v>
      </x:c>
      <x:c r="E223" s="24" t="str">
        <x:v>nominal_gdp</x:v>
      </x:c>
      <x:c r="F223" s="38" t="n">
        <x:v>1434119000</x:v>
      </x:c>
      <x:c r="G223" s="24" t="str">
        <x:v>USD after scenario scaling</x:v>
      </x:c>
      <x:c r="H223" s="36" t="str">
        <x:v>World Bank exact 2022</x:v>
      </x:c>
      <x:c r="I223" s="36" t="str">
        <x:v>https://api.worldbank.org/v2/country/TCA/indicator/NY.GDP.MKTP.CD?source=2&amp;date=2022&amp;format=json</x:v>
      </x:c>
      <x:c r="J223" s="36" t="str">
        <x:v>world_bank_exact</x:v>
      </x:c>
    </x:row>
    <x:row r="224">
      <x:c r="A224" s="24" t="str">
        <x:v>GBR</x:v>
      </x:c>
      <x:c r="B224" s="24" t="str">
        <x:v>United Kingdom</x:v>
      </x:c>
      <x:c r="C224" s="24" t="n">
        <x:v>2022</x:v>
      </x:c>
      <x:c r="D224" s="24" t="str">
        <x:v>VGB</x:v>
      </x:c>
      <x:c r="E224" s="24" t="str">
        <x:v>nominal_gdp</x:v>
      </x:c>
      <x:c r="F224" s="38" t="n">
        <x:v>805142520</x:v>
      </x:c>
      <x:c r="G224" s="24" t="str">
        <x:v>USD after scenario scaling</x:v>
      </x:c>
      <x:c r="H224" s="36" t="str">
        <x:v>nominal GDP/c inferred from Latin America &amp; Caribbean ; High income median level (17 peers)</x:v>
      </x:c>
      <x:c r="I224" s="36" t="str">
        <x:v>https://api.imf.org/external/sdmx/3.0/data/dataflow/IMF.RES/WEO/9.0.0/ | https://datahelpdesk.worldbank.org/knowledgebase/articles/898581-api-basic-call-structures</x:v>
      </x:c>
      <x:c r="J224" s="36" t="str">
        <x:v>peer_level_inference</x:v>
      </x:c>
    </x:row>
    <x:row r="225">
      <x:c r="A225" s="24" t="str">
        <x:v>GBR</x:v>
      </x:c>
      <x:c r="B225" s="24" t="str">
        <x:v>United Kingdom</x:v>
      </x:c>
      <x:c r="C225" s="24" t="n">
        <x:v>2022</x:v>
      </x:c>
      <x:c r="D225" s="24" t="str">
        <x:v>JEY</x:v>
      </x:c>
      <x:c r="E225" s="24" t="str">
        <x:v>ppp_gdp</x:v>
      </x:c>
      <x:c r="F225" s="38" t="n">
        <x:v>17136052759</x:v>
      </x:c>
      <x:c r="G225" s="24" t="str">
        <x:v>international dollars after scenario scaling</x:v>
      </x:c>
      <x:c r="H225" s="36" t="str">
        <x:v>PPP inferred from filled nominal GDP using Europe &amp; Central Asia; High income median PPP/nominal ratio 1.515 (36 peers)</x:v>
      </x:c>
      <x:c r="I225" s="36" t="str">
        <x:v>https://api.imf.org/external/sdmx/3.0/data/dataflow/IMF.RES/WEO/9.0.0/ | https://datahelpdesk.worldbank.org/knowledgebase/articles/898581-api-basic-call-structures</x:v>
      </x:c>
      <x:c r="J225" s="36" t="str">
        <x:v>peer_ratio_inference</x:v>
      </x:c>
    </x:row>
    <x:row r="226">
      <x:c r="A226" s="24" t="str">
        <x:v>GBR</x:v>
      </x:c>
      <x:c r="B226" s="24" t="str">
        <x:v>United Kingdom</x:v>
      </x:c>
      <x:c r="C226" s="24" t="n">
        <x:v>2022</x:v>
      </x:c>
      <x:c r="D226" s="24" t="str">
        <x:v>IMN</x:v>
      </x:c>
      <x:c r="E226" s="24" t="str">
        <x:v>ppp_gdp</x:v>
      </x:c>
      <x:c r="F226" s="38" t="n">
        <x:v>11260996673</x:v>
      </x:c>
      <x:c r="G226" s="24" t="str">
        <x:v>international dollars after scenario scaling</x:v>
      </x:c>
      <x:c r="H226" s="36" t="str">
        <x:v>PPP inferred from filled nominal GDP using Europe &amp; Central Asia; High income median PPP/nominal ratio 1.515 (36 peers)</x:v>
      </x:c>
      <x:c r="I226" s="36" t="str">
        <x:v>https://api.imf.org/external/sdmx/3.0/data/dataflow/IMF.RES/WEO/9.0.0/ | https://datahelpdesk.worldbank.org/knowledgebase/articles/898581-api-basic-call-structures</x:v>
      </x:c>
      <x:c r="J226" s="36" t="str">
        <x:v>peer_ratio_inference</x:v>
      </x:c>
    </x:row>
    <x:row r="227">
      <x:c r="A227" s="24" t="str">
        <x:v>GBR</x:v>
      </x:c>
      <x:c r="B227" s="24" t="str">
        <x:v>United Kingdom</x:v>
      </x:c>
      <x:c r="C227" s="24" t="n">
        <x:v>2022</x:v>
      </x:c>
      <x:c r="D227" s="24" t="str">
        <x:v>AIA</x:v>
      </x:c>
      <x:c r="E227" s="24" t="str">
        <x:v>ppp_gdp</x:v>
      </x:c>
      <x:c r="F227" s="38" t="n">
        <x:v>246266769</x:v>
      </x:c>
      <x:c r="G227" s="24" t="str">
        <x:v>international dollars after scenario scaling</x:v>
      </x:c>
      <x:c r="H227" s="36" t="str">
        <x:v>PPP inferred from filled nominal GDP using global available-country peers median PPP/nominal ratio 2.283 (203 peers)</x:v>
      </x:c>
      <x:c r="I227" s="36" t="str">
        <x:v>https://api.imf.org/external/sdmx/3.0/data/dataflow/IMF.RES/WEO/9.0.0/ | https://datahelpdesk.worldbank.org/knowledgebase/articles/898581-api-basic-call-structures</x:v>
      </x:c>
      <x:c r="J227" s="36" t="str">
        <x:v>peer_ratio_inference</x:v>
      </x:c>
    </x:row>
    <x:row r="228">
      <x:c r="A228" s="24" t="str">
        <x:v>GBR</x:v>
      </x:c>
      <x:c r="B228" s="24" t="str">
        <x:v>United Kingdom</x:v>
      </x:c>
      <x:c r="C228" s="24" t="n">
        <x:v>2022</x:v>
      </x:c>
      <x:c r="D228" s="24" t="str">
        <x:v>BMU</x:v>
      </x:c>
      <x:c r="E228" s="24" t="str">
        <x:v>ppp_gdp</x:v>
      </x:c>
      <x:c r="F228" s="38" t="n">
        <x:v>6792769517</x:v>
      </x:c>
      <x:c r="G228" s="24" t="str">
        <x:v>international dollars after scenario scaling</x:v>
      </x:c>
      <x:c r="H228" s="36" t="str">
        <x:v>World Bank exact 2022</x:v>
      </x:c>
      <x:c r="I228" s="36" t="str">
        <x:v>https://api.worldbank.org/v2/country/BMU/indicator/NY.GDP.MKTP.PP.CD?source=2&amp;date=2022&amp;format=json</x:v>
      </x:c>
      <x:c r="J228" s="36" t="str">
        <x:v>world_bank_exact</x:v>
      </x:c>
    </x:row>
    <x:row r="229">
      <x:c r="A229" s="24" t="str">
        <x:v>GBR</x:v>
      </x:c>
      <x:c r="B229" s="24" t="str">
        <x:v>United Kingdom</x:v>
      </x:c>
      <x:c r="C229" s="24" t="n">
        <x:v>2022</x:v>
      </x:c>
      <x:c r="D229" s="24" t="str">
        <x:v>CYM</x:v>
      </x:c>
      <x:c r="E229" s="24" t="str">
        <x:v>ppp_gdp</x:v>
      </x:c>
      <x:c r="F229" s="38" t="n">
        <x:v>5884291963</x:v>
      </x:c>
      <x:c r="G229" s="24" t="str">
        <x:v>international dollars after scenario scaling</x:v>
      </x:c>
      <x:c r="H229" s="36" t="str">
        <x:v>World Bank exact 2022</x:v>
      </x:c>
      <x:c r="I229" s="36" t="str">
        <x:v>https://api.worldbank.org/v2/country/CYM/indicator/NY.GDP.MKTP.PP.CD?source=2&amp;date=2022&amp;format=json</x:v>
      </x:c>
      <x:c r="J229" s="36" t="str">
        <x:v>world_bank_exact</x:v>
      </x:c>
    </x:row>
    <x:row r="230">
      <x:c r="A230" s="24" t="str">
        <x:v>GBR</x:v>
      </x:c>
      <x:c r="B230" s="24" t="str">
        <x:v>United Kingdom</x:v>
      </x:c>
      <x:c r="C230" s="24" t="n">
        <x:v>2022</x:v>
      </x:c>
      <x:c r="D230" s="24" t="str">
        <x:v>MSR</x:v>
      </x:c>
      <x:c r="E230" s="24" t="str">
        <x:v>ppp_gdp</x:v>
      </x:c>
      <x:c r="F230" s="38" t="n">
        <x:v>77336102</x:v>
      </x:c>
      <x:c r="G230" s="24" t="str">
        <x:v>international dollars after scenario scaling</x:v>
      </x:c>
      <x:c r="H230" s="36" t="str">
        <x:v>PPP inferred from filled nominal GDP using global available-country peers median PPP/nominal ratio 2.283 (203 peers)</x:v>
      </x:c>
      <x:c r="I230" s="36" t="str">
        <x:v>https://api.imf.org/external/sdmx/3.0/data/dataflow/IMF.RES/WEO/9.0.0/ | https://datahelpdesk.worldbank.org/knowledgebase/articles/898581-api-basic-call-structures</x:v>
      </x:c>
      <x:c r="J230" s="36" t="str">
        <x:v>peer_ratio_inference</x:v>
      </x:c>
    </x:row>
    <x:row r="231">
      <x:c r="A231" s="24" t="str">
        <x:v>GBR</x:v>
      </x:c>
      <x:c r="B231" s="24" t="str">
        <x:v>United Kingdom</x:v>
      </x:c>
      <x:c r="C231" s="24" t="n">
        <x:v>2022</x:v>
      </x:c>
      <x:c r="D231" s="24" t="str">
        <x:v>TCA</x:v>
      </x:c>
      <x:c r="E231" s="24" t="str">
        <x:v>ppp_gdp</x:v>
      </x:c>
      <x:c r="F231" s="38" t="n">
        <x:v>1385314539</x:v>
      </x:c>
      <x:c r="G231" s="24" t="str">
        <x:v>international dollars after scenario scaling</x:v>
      </x:c>
      <x:c r="H231" s="36" t="str">
        <x:v>World Bank exact 2022</x:v>
      </x:c>
      <x:c r="I231" s="36" t="str">
        <x:v>https://api.worldbank.org/v2/country/TCA/indicator/NY.GDP.MKTP.PP.CD?source=2&amp;date=2022&amp;format=json</x:v>
      </x:c>
      <x:c r="J231" s="36" t="str">
        <x:v>world_bank_exact</x:v>
      </x:c>
    </x:row>
    <x:row r="232">
      <x:c r="A232" s="24" t="str">
        <x:v>GBR</x:v>
      </x:c>
      <x:c r="B232" s="24" t="str">
        <x:v>United Kingdom</x:v>
      </x:c>
      <x:c r="C232" s="24" t="n">
        <x:v>2022</x:v>
      </x:c>
      <x:c r="D232" s="24" t="str">
        <x:v>VGB</x:v>
      </x:c>
      <x:c r="E232" s="24" t="str">
        <x:v>ppp_gdp</x:v>
      </x:c>
      <x:c r="F232" s="38" t="n">
        <x:v>1149524813</x:v>
      </x:c>
      <x:c r="G232" s="24" t="str">
        <x:v>international dollars after scenario scaling</x:v>
      </x:c>
      <x:c r="H232" s="36" t="str">
        <x:v>PPP inferred from filled nominal GDP using Latin America &amp; Caribbean ; High income median PPP/nominal ratio 1.428 (17 peers)</x:v>
      </x:c>
      <x:c r="I232" s="36" t="str">
        <x:v>https://api.imf.org/external/sdmx/3.0/data/dataflow/IMF.RES/WEO/9.0.0/ | https://datahelpdesk.worldbank.org/knowledgebase/articles/898581-api-basic-call-structures</x:v>
      </x:c>
      <x:c r="J232" s="36" t="str">
        <x:v>peer_ratio_inference</x:v>
      </x:c>
    </x:row>
    <x:row r="233">
      <x:c r="A233" s="24" t="str">
        <x:v>GBR</x:v>
      </x:c>
      <x:c r="B233" s="24" t="str">
        <x:v>United Kingdom</x:v>
      </x:c>
      <x:c r="C233" s="24" t="n">
        <x:v>2026</x:v>
      </x:c>
      <x:c r="D233" s="24" t="str">
        <x:v>JEY</x:v>
      </x:c>
      <x:c r="E233" s="24" t="str">
        <x:v>nominal_gdp</x:v>
      </x:c>
      <x:c r="F233" s="38" t="n">
        <x:v>8551144282</x:v>
      </x:c>
      <x:c r="G233" s="24" t="str">
        <x:v>USD after scenario scaling</x:v>
      </x:c>
      <x:c r="H233" s="36" t="str">
        <x:v>peer-growth inference from World Bank 2023; Europe &amp; Central Asia; High income median 5.30%/yr (34 peers, capped at ±8%)</x:v>
      </x:c>
      <x:c r="I233" s="36" t="str">
        <x:v>https://api.worldbank.org/v2/country/CHI/indicator/NY.GDP.MKTP.CD?source=2&amp;date=2023&amp;format=json | https://api.imf.org/external/sdmx/3.0/data/dataflow/IMF.RES/WEO/9.0.0/ | https://datahelpdesk.worldbank.org/knowledgebase/articles/898581-api-basic-call-structures</x:v>
      </x:c>
      <x:c r="J233" s="36" t="str">
        <x:v>peer_growth_inference</x:v>
      </x:c>
    </x:row>
    <x:row r="234">
      <x:c r="A234" s="24" t="str">
        <x:v>GBR</x:v>
      </x:c>
      <x:c r="B234" s="24" t="str">
        <x:v>United Kingdom</x:v>
      </x:c>
      <x:c r="C234" s="24" t="n">
        <x:v>2026</x:v>
      </x:c>
      <x:c r="D234" s="24" t="str">
        <x:v>IMN</x:v>
      </x:c>
      <x:c r="E234" s="24" t="str">
        <x:v>nominal_gdp</x:v>
      </x:c>
      <x:c r="F234" s="38" t="n">
        <x:v>8332462681</x:v>
      </x:c>
      <x:c r="G234" s="24" t="str">
        <x:v>USD after scenario scaling</x:v>
      </x:c>
      <x:c r="H234" s="36" t="str">
        <x:v>peer-growth inference from World Bank 2023; Europe &amp; Central Asia; High income median 5.30%/yr (34 peers, capped at ±8%)</x:v>
      </x:c>
      <x:c r="I234" s="36" t="str">
        <x:v>https://api.worldbank.org/v2/country/IMN/indicator/NY.GDP.MKTP.CD?source=2&amp;date=2023&amp;format=json | https://api.imf.org/external/sdmx/3.0/data/dataflow/IMF.RES/WEO/9.0.0/ | https://datahelpdesk.worldbank.org/knowledgebase/articles/898581-api-basic-call-structures</x:v>
      </x:c>
      <x:c r="J234" s="36" t="str">
        <x:v>peer_growth_inference</x:v>
      </x:c>
    </x:row>
    <x:row r="235">
      <x:c r="A235" s="24" t="str">
        <x:v>GBR</x:v>
      </x:c>
      <x:c r="B235" s="24" t="str">
        <x:v>United Kingdom</x:v>
      </x:c>
      <x:c r="C235" s="24" t="n">
        <x:v>2026</x:v>
      </x:c>
      <x:c r="D235" s="24" t="str">
        <x:v>AIA</x:v>
      </x:c>
      <x:c r="E235" s="24" t="str">
        <x:v>nominal_gdp</x:v>
      </x:c>
      <x:c r="F235" s="38" t="n">
        <x:v>104480727</x:v>
      </x:c>
      <x:c r="G235" s="24" t="str">
        <x:v>USD after scenario scaling</x:v>
      </x:c>
      <x:c r="H235" s="36" t="str">
        <x:v>nominal GDP/c inferred from global available-country peers median level (177 peers)</x:v>
      </x:c>
      <x:c r="I235" s="36" t="str">
        <x:v>https://api.imf.org/external/sdmx/3.0/data/dataflow/IMF.RES/WEO/9.0.0/ | https://datahelpdesk.worldbank.org/knowledgebase/articles/898581-api-basic-call-structures</x:v>
      </x:c>
      <x:c r="J235" s="36" t="str">
        <x:v>peer_level_inference</x:v>
      </x:c>
    </x:row>
    <x:row r="236">
      <x:c r="A236" s="24" t="str">
        <x:v>GBR</x:v>
      </x:c>
      <x:c r="B236" s="24" t="str">
        <x:v>United Kingdom</x:v>
      </x:c>
      <x:c r="C236" s="24" t="n">
        <x:v>2026</x:v>
      </x:c>
      <x:c r="D236" s="24" t="str">
        <x:v>BMU</x:v>
      </x:c>
      <x:c r="E236" s="24" t="str">
        <x:v>nominal_gdp</x:v>
      </x:c>
      <x:c r="F236" s="38" t="n">
        <x:v>9363938067</x:v>
      </x:c>
      <x:c r="G236" s="24" t="str">
        <x:v>USD after scenario scaling</x:v>
      </x:c>
      <x:c r="H236" s="36" t="str">
        <x:v>peer-growth inference from World Bank 2024; High income median 5.34%/yr (60 peers, capped at ±8%)</x:v>
      </x:c>
      <x:c r="I236" s="36" t="str">
        <x:v>https://api.worldbank.org/v2/country/BMU/indicator/NY.GDP.MKTP.CD?source=2&amp;date=2024&amp;format=json | https://api.imf.org/external/sdmx/3.0/data/dataflow/IMF.RES/WEO/9.0.0/ | https://datahelpdesk.worldbank.org/knowledgebase/articles/898581-api-basic-call-structures</x:v>
      </x:c>
      <x:c r="J236" s="36" t="str">
        <x:v>peer_growth_inference</x:v>
      </x:c>
    </x:row>
    <x:row r="237">
      <x:c r="A237" s="24" t="str">
        <x:v>GBR</x:v>
      </x:c>
      <x:c r="B237" s="24" t="str">
        <x:v>United Kingdom</x:v>
      </x:c>
      <x:c r="C237" s="24" t="n">
        <x:v>2026</x:v>
      </x:c>
      <x:c r="D237" s="24" t="str">
        <x:v>CYM</x:v>
      </x:c>
      <x:c r="E237" s="24" t="str">
        <x:v>nominal_gdp</x:v>
      </x:c>
      <x:c r="F237" s="38" t="n">
        <x:v>8059311847</x:v>
      </x:c>
      <x:c r="G237" s="24" t="str">
        <x:v>USD after scenario scaling</x:v>
      </x:c>
      <x:c r="H237" s="36" t="str">
        <x:v>peer-growth inference from World Bank 2024; Latin America &amp; Caribbean ; High income median 4.29%/yr (9 peers, capped at ±8%)</x:v>
      </x:c>
      <x:c r="I237" s="36" t="str">
        <x:v>https://api.worldbank.org/v2/country/CYM/indicator/NY.GDP.MKTP.CD?source=2&amp;date=2024&amp;format=json | https://api.imf.org/external/sdmx/3.0/data/dataflow/IMF.RES/WEO/9.0.0/ | https://datahelpdesk.worldbank.org/knowledgebase/articles/898581-api-basic-call-structures</x:v>
      </x:c>
      <x:c r="J237" s="36" t="str">
        <x:v>peer_growth_inference</x:v>
      </x:c>
    </x:row>
    <x:row r="238">
      <x:c r="A238" s="24" t="str">
        <x:v>GBR</x:v>
      </x:c>
      <x:c r="B238" s="24" t="str">
        <x:v>United Kingdom</x:v>
      </x:c>
      <x:c r="C238" s="24" t="n">
        <x:v>2026</x:v>
      </x:c>
      <x:c r="D238" s="24" t="str">
        <x:v>MSR</x:v>
      </x:c>
      <x:c r="E238" s="24" t="str">
        <x:v>nominal_gdp</x:v>
      </x:c>
      <x:c r="F238" s="38" t="n">
        <x:v>30518498</x:v>
      </x:c>
      <x:c r="G238" s="24" t="str">
        <x:v>USD after scenario scaling</x:v>
      </x:c>
      <x:c r="H238" s="36" t="str">
        <x:v>nominal GDP/c inferred from global available-country peers median level (177 peers)</x:v>
      </x:c>
      <x:c r="I238" s="36" t="str">
        <x:v>https://api.imf.org/external/sdmx/3.0/data/dataflow/IMF.RES/WEO/9.0.0/ | https://datahelpdesk.worldbank.org/knowledgebase/articles/898581-api-basic-call-structures</x:v>
      </x:c>
      <x:c r="J238" s="36" t="str">
        <x:v>peer_level_inference</x:v>
      </x:c>
    </x:row>
    <x:row r="239">
      <x:c r="A239" s="24" t="str">
        <x:v>GBR</x:v>
      </x:c>
      <x:c r="B239" s="24" t="str">
        <x:v>United Kingdom</x:v>
      </x:c>
      <x:c r="C239" s="24" t="n">
        <x:v>2026</x:v>
      </x:c>
      <x:c r="D239" s="24" t="str">
        <x:v>TCA</x:v>
      </x:c>
      <x:c r="E239" s="24" t="str">
        <x:v>nominal_gdp</x:v>
      </x:c>
      <x:c r="F239" s="38" t="n">
        <x:v>1770196472</x:v>
      </x:c>
      <x:c r="G239" s="24" t="str">
        <x:v>USD after scenario scaling</x:v>
      </x:c>
      <x:c r="H239" s="36" t="str">
        <x:v>peer-growth inference from World Bank 2024; Latin America &amp; Caribbean ; High income median 4.29%/yr (9 peers, capped at ±8%)</x:v>
      </x:c>
      <x:c r="I239" s="36" t="str">
        <x:v>https://api.worldbank.org/v2/country/TCA/indicator/NY.GDP.MKTP.CD?source=2&amp;date=2024&amp;format=json | https://api.imf.org/external/sdmx/3.0/data/dataflow/IMF.RES/WEO/9.0.0/ | https://datahelpdesk.worldbank.org/knowledgebase/articles/898581-api-basic-call-structures</x:v>
      </x:c>
      <x:c r="J239" s="36" t="str">
        <x:v>peer_growth_inference</x:v>
      </x:c>
    </x:row>
    <x:row r="240">
      <x:c r="A240" s="24" t="str">
        <x:v>GBR</x:v>
      </x:c>
      <x:c r="B240" s="24" t="str">
        <x:v>United Kingdom</x:v>
      </x:c>
      <x:c r="C240" s="24" t="n">
        <x:v>2026</x:v>
      </x:c>
      <x:c r="D240" s="24" t="str">
        <x:v>VGB</x:v>
      </x:c>
      <x:c r="E240" s="24" t="str">
        <x:v>nominal_gdp</x:v>
      </x:c>
      <x:c r="F240" s="38" t="n">
        <x:v>987030591</x:v>
      </x:c>
      <x:c r="G240" s="24" t="str">
        <x:v>USD after scenario scaling</x:v>
      </x:c>
      <x:c r="H240" s="36" t="str">
        <x:v>nominal GDP/c inferred from Latin America &amp; Caribbean ; High income median level (9 peers)</x:v>
      </x:c>
      <x:c r="I240" s="36" t="str">
        <x:v>https://api.imf.org/external/sdmx/3.0/data/dataflow/IMF.RES/WEO/9.0.0/ | https://datahelpdesk.worldbank.org/knowledgebase/articles/898581-api-basic-call-structures</x:v>
      </x:c>
      <x:c r="J240" s="36" t="str">
        <x:v>peer_level_inference</x:v>
      </x:c>
    </x:row>
    <x:row r="241">
      <x:c r="A241" s="24" t="str">
        <x:v>GBR</x:v>
      </x:c>
      <x:c r="B241" s="24" t="str">
        <x:v>United Kingdom</x:v>
      </x:c>
      <x:c r="C241" s="24" t="n">
        <x:v>2026</x:v>
      </x:c>
      <x:c r="D241" s="24" t="str">
        <x:v>JEY</x:v>
      </x:c>
      <x:c r="E241" s="24" t="str">
        <x:v>ppp_gdp</x:v>
      </x:c>
      <x:c r="F241" s="38" t="n">
        <x:v>11901053995</x:v>
      </x:c>
      <x:c r="G241" s="24" t="str">
        <x:v>international dollars after scenario scaling</x:v>
      </x:c>
      <x:c r="H241" s="36" t="str">
        <x:v>PPP inferred from filled nominal GDP using Europe &amp; Central Asia; High income median PPP/nominal ratio 1.392 (34 peers)</x:v>
      </x:c>
      <x:c r="I241" s="36" t="str">
        <x:v>https://api.imf.org/external/sdmx/3.0/data/dataflow/IMF.RES/WEO/9.0.0/ | https://datahelpdesk.worldbank.org/knowledgebase/articles/898581-api-basic-call-structures</x:v>
      </x:c>
      <x:c r="J241" s="36" t="str">
        <x:v>peer_ratio_inference</x:v>
      </x:c>
    </x:row>
    <x:row r="242">
      <x:c r="A242" s="24" t="str">
        <x:v>GBR</x:v>
      </x:c>
      <x:c r="B242" s="24" t="str">
        <x:v>United Kingdom</x:v>
      </x:c>
      <x:c r="C242" s="24" t="n">
        <x:v>2026</x:v>
      </x:c>
      <x:c r="D242" s="24" t="str">
        <x:v>IMN</x:v>
      </x:c>
      <x:c r="E242" s="24" t="str">
        <x:v>ppp_gdp</x:v>
      </x:c>
      <x:c r="F242" s="38" t="n">
        <x:v>11596703903</x:v>
      </x:c>
      <x:c r="G242" s="24" t="str">
        <x:v>international dollars after scenario scaling</x:v>
      </x:c>
      <x:c r="H242" s="36" t="str">
        <x:v>PPP inferred from filled nominal GDP using Europe &amp; Central Asia; High income median PPP/nominal ratio 1.392 (34 peers)</x:v>
      </x:c>
      <x:c r="I242" s="36" t="str">
        <x:v>https://api.imf.org/external/sdmx/3.0/data/dataflow/IMF.RES/WEO/9.0.0/ | https://datahelpdesk.worldbank.org/knowledgebase/articles/898581-api-basic-call-structures</x:v>
      </x:c>
      <x:c r="J242" s="36" t="str">
        <x:v>peer_ratio_inference</x:v>
      </x:c>
    </x:row>
    <x:row r="243">
      <x:c r="A243" s="24" t="str">
        <x:v>GBR</x:v>
      </x:c>
      <x:c r="B243" s="24" t="str">
        <x:v>United Kingdom</x:v>
      </x:c>
      <x:c r="C243" s="24" t="n">
        <x:v>2026</x:v>
      </x:c>
      <x:c r="D243" s="24" t="str">
        <x:v>AIA</x:v>
      </x:c>
      <x:c r="E243" s="24" t="str">
        <x:v>ppp_gdp</x:v>
      </x:c>
      <x:c r="F243" s="38" t="n">
        <x:v>238779505</x:v>
      </x:c>
      <x:c r="G243" s="24" t="str">
        <x:v>international dollars after scenario scaling</x:v>
      </x:c>
      <x:c r="H243" s="36" t="str">
        <x:v>PPP inferred from filled nominal GDP using global available-country peers median PPP/nominal ratio 2.285 (177 peers)</x:v>
      </x:c>
      <x:c r="I243" s="36" t="str">
        <x:v>https://api.imf.org/external/sdmx/3.0/data/dataflow/IMF.RES/WEO/9.0.0/ | https://datahelpdesk.worldbank.org/knowledgebase/articles/898581-api-basic-call-structures</x:v>
      </x:c>
      <x:c r="J243" s="36" t="str">
        <x:v>peer_ratio_inference</x:v>
      </x:c>
    </x:row>
    <x:row r="244">
      <x:c r="A244" s="24" t="str">
        <x:v>GBR</x:v>
      </x:c>
      <x:c r="B244" s="24" t="str">
        <x:v>United Kingdom</x:v>
      </x:c>
      <x:c r="C244" s="24" t="n">
        <x:v>2026</x:v>
      </x:c>
      <x:c r="D244" s="24" t="str">
        <x:v>BMU</x:v>
      </x:c>
      <x:c r="E244" s="24" t="str">
        <x:v>ppp_gdp</x:v>
      </x:c>
      <x:c r="F244" s="38" t="n">
        <x:v>7266022706</x:v>
      </x:c>
      <x:c r="G244" s="24" t="str">
        <x:v>international dollars after scenario scaling</x:v>
      </x:c>
      <x:c r="H244" s="36" t="str">
        <x:v>peer-growth inference from World Bank 2024; High income median 1.57%/yr (60 peers, capped at ±8%)</x:v>
      </x:c>
      <x:c r="I244" s="36" t="str">
        <x:v>https://api.worldbank.org/v2/country/BMU/indicator/NY.GDP.MKTP.PP.CD?source=2&amp;date=2024&amp;format=json | https://api.imf.org/external/sdmx/3.0/data/dataflow/IMF.RES/WEO/9.0.0/ | https://datahelpdesk.worldbank.org/knowledgebase/articles/898581-api-basic-call-structures</x:v>
      </x:c>
      <x:c r="J244" s="36" t="str">
        <x:v>peer_growth_inference</x:v>
      </x:c>
    </x:row>
    <x:row r="245">
      <x:c r="A245" s="24" t="str">
        <x:v>GBR</x:v>
      </x:c>
      <x:c r="B245" s="24" t="str">
        <x:v>United Kingdom</x:v>
      </x:c>
      <x:c r="C245" s="24" t="n">
        <x:v>2026</x:v>
      </x:c>
      <x:c r="D245" s="24" t="str">
        <x:v>CYM</x:v>
      </x:c>
      <x:c r="E245" s="24" t="str">
        <x:v>ppp_gdp</x:v>
      </x:c>
      <x:c r="F245" s="38" t="n">
        <x:v>6934976868</x:v>
      </x:c>
      <x:c r="G245" s="24" t="str">
        <x:v>international dollars after scenario scaling</x:v>
      </x:c>
      <x:c r="H245" s="36" t="str">
        <x:v>peer-growth inference from World Bank 2024; Latin America &amp; Caribbean ; High income median 2.89%/yr (9 peers, capped at ±8%)</x:v>
      </x:c>
      <x:c r="I245" s="36" t="str">
        <x:v>https://api.worldbank.org/v2/country/CYM/indicator/NY.GDP.MKTP.PP.CD?source=2&amp;date=2024&amp;format=json | https://api.imf.org/external/sdmx/3.0/data/dataflow/IMF.RES/WEO/9.0.0/ | https://datahelpdesk.worldbank.org/knowledgebase/articles/898581-api-basic-call-structures</x:v>
      </x:c>
      <x:c r="J245" s="36" t="str">
        <x:v>peer_growth_inference</x:v>
      </x:c>
    </x:row>
    <x:row r="246">
      <x:c r="A246" s="24" t="str">
        <x:v>GBR</x:v>
      </x:c>
      <x:c r="B246" s="24" t="str">
        <x:v>United Kingdom</x:v>
      </x:c>
      <x:c r="C246" s="24" t="n">
        <x:v>2026</x:v>
      </x:c>
      <x:c r="D246" s="24" t="str">
        <x:v>MSR</x:v>
      </x:c>
      <x:c r="E246" s="24" t="str">
        <x:v>ppp_gdp</x:v>
      </x:c>
      <x:c r="F246" s="38" t="n">
        <x:v>69746757</x:v>
      </x:c>
      <x:c r="G246" s="24" t="str">
        <x:v>international dollars after scenario scaling</x:v>
      </x:c>
      <x:c r="H246" s="36" t="str">
        <x:v>PPP inferred from filled nominal GDP using global available-country peers median PPP/nominal ratio 2.285 (177 peers)</x:v>
      </x:c>
      <x:c r="I246" s="36" t="str">
        <x:v>https://api.imf.org/external/sdmx/3.0/data/dataflow/IMF.RES/WEO/9.0.0/ | https://datahelpdesk.worldbank.org/knowledgebase/articles/898581-api-basic-call-structures</x:v>
      </x:c>
      <x:c r="J246" s="36" t="str">
        <x:v>peer_ratio_inference</x:v>
      </x:c>
    </x:row>
    <x:row r="247">
      <x:c r="A247" s="24" t="str">
        <x:v>GBR</x:v>
      </x:c>
      <x:c r="B247" s="24" t="str">
        <x:v>United Kingdom</x:v>
      </x:c>
      <x:c r="C247" s="24" t="n">
        <x:v>2026</x:v>
      </x:c>
      <x:c r="D247" s="24" t="str">
        <x:v>TCA</x:v>
      </x:c>
      <x:c r="E247" s="24" t="str">
        <x:v>ppp_gdp</x:v>
      </x:c>
      <x:c r="F247" s="38" t="n">
        <x:v>1746102377</x:v>
      </x:c>
      <x:c r="G247" s="24" t="str">
        <x:v>international dollars after scenario scaling</x:v>
      </x:c>
      <x:c r="H247" s="36" t="str">
        <x:v>peer-growth inference from World Bank 2024; Latin America &amp; Caribbean ; High income median 2.89%/yr (9 peers, capped at ±8%)</x:v>
      </x:c>
      <x:c r="I247" s="36" t="str">
        <x:v>https://api.worldbank.org/v2/country/TCA/indicator/NY.GDP.MKTP.PP.CD?source=2&amp;date=2024&amp;format=json | https://api.imf.org/external/sdmx/3.0/data/dataflow/IMF.RES/WEO/9.0.0/ | https://datahelpdesk.worldbank.org/knowledgebase/articles/898581-api-basic-call-structures</x:v>
      </x:c>
      <x:c r="J247" s="36" t="str">
        <x:v>peer_growth_inference</x:v>
      </x:c>
    </x:row>
    <x:row r="248">
      <x:c r="A248" s="24" t="str">
        <x:v>GBR</x:v>
      </x:c>
      <x:c r="B248" s="24" t="str">
        <x:v>United Kingdom</x:v>
      </x:c>
      <x:c r="C248" s="24" t="n">
        <x:v>2026</x:v>
      </x:c>
      <x:c r="D248" s="24" t="str">
        <x:v>VGB</x:v>
      </x:c>
      <x:c r="E248" s="24" t="str">
        <x:v>ppp_gdp</x:v>
      </x:c>
      <x:c r="F248" s="38" t="n">
        <x:v>1660843032</x:v>
      </x:c>
      <x:c r="G248" s="24" t="str">
        <x:v>international dollars after scenario scaling</x:v>
      </x:c>
      <x:c r="H248" s="36" t="str">
        <x:v>PPP inferred from filled nominal GDP using Latin America &amp; Caribbean ; High income median PPP/nominal ratio 1.683 (9 peers)</x:v>
      </x:c>
      <x:c r="I248" s="36" t="str">
        <x:v>https://api.imf.org/external/sdmx/3.0/data/dataflow/IMF.RES/WEO/9.0.0/ | https://datahelpdesk.worldbank.org/knowledgebase/articles/898581-api-basic-call-structures</x:v>
      </x:c>
      <x:c r="J248" s="36" t="str">
        <x:v>peer_ratio_inference</x:v>
      </x:c>
    </x:row>
    <x:row r="249">
      <x:c r="A249" s="24" t="str">
        <x:v>USA</x:v>
      </x:c>
      <x:c r="B249" s="24" t="str">
        <x:v>United States of America</x:v>
      </x:c>
      <x:c r="C249" s="24" t="n">
        <x:v>2003</x:v>
      </x:c>
      <x:c r="D249" s="24" t="str">
        <x:v>VIR</x:v>
      </x:c>
      <x:c r="E249" s="24" t="str">
        <x:v>nominal_gdp</x:v>
      </x:c>
      <x:c r="F249" s="38" t="n">
        <x:v>5474370000</x:v>
      </x:c>
      <x:c r="G249" s="24" t="str">
        <x:v>USD after scenario scaling</x:v>
      </x:c>
      <x:c r="H249" s="36" t="str">
        <x:v>World Bank exact 2003</x:v>
      </x:c>
      <x:c r="I249" s="36" t="str">
        <x:v>https://api.worldbank.org/v2/country/VIR/indicator/NY.GDP.MKTP.CD?source=2&amp;date=2003&amp;format=json</x:v>
      </x:c>
      <x:c r="J249" s="36" t="str">
        <x:v>world_bank_exact</x:v>
      </x:c>
    </x:row>
    <x:row r="250">
      <x:c r="A250" s="24" t="str">
        <x:v>USA</x:v>
      </x:c>
      <x:c r="B250" s="24" t="str">
        <x:v>United States of America</x:v>
      </x:c>
      <x:c r="C250" s="24" t="n">
        <x:v>2003</x:v>
      </x:c>
      <x:c r="D250" s="24" t="str">
        <x:v>GUM</x:v>
      </x:c>
      <x:c r="E250" s="24" t="str">
        <x:v>nominal_gdp</x:v>
      </x:c>
      <x:c r="F250" s="38" t="n">
        <x:v>5674710000</x:v>
      </x:c>
      <x:c r="G250" s="24" t="str">
        <x:v>USD after scenario scaling</x:v>
      </x:c>
      <x:c r="H250" s="36" t="str">
        <x:v>World Bank exact 2003</x:v>
      </x:c>
      <x:c r="I250" s="36" t="str">
        <x:v>https://api.worldbank.org/v2/country/GUM/indicator/NY.GDP.MKTP.CD?source=2&amp;date=2003&amp;format=json</x:v>
      </x:c>
      <x:c r="J250" s="36" t="str">
        <x:v>world_bank_exact</x:v>
      </x:c>
    </x:row>
    <x:row r="251">
      <x:c r="A251" s="24" t="str">
        <x:v>USA</x:v>
      </x:c>
      <x:c r="B251" s="24" t="str">
        <x:v>United States of America</x:v>
      </x:c>
      <x:c r="C251" s="24" t="n">
        <x:v>2003</x:v>
      </x:c>
      <x:c r="D251" s="24" t="str">
        <x:v>ASM</x:v>
      </x:c>
      <x:c r="E251" s="24" t="str">
        <x:v>nominal_gdp</x:v>
      </x:c>
      <x:c r="F251" s="38" t="n">
        <x:v>833160000</x:v>
      </x:c>
      <x:c r="G251" s="24" t="str">
        <x:v>USD after scenario scaling</x:v>
      </x:c>
      <x:c r="H251" s="36" t="str">
        <x:v>World Bank exact 2003</x:v>
      </x:c>
      <x:c r="I251" s="36" t="str">
        <x:v>https://api.worldbank.org/v2/country/ASM/indicator/NY.GDP.MKTP.CD?source=2&amp;date=2003&amp;format=json</x:v>
      </x:c>
      <x:c r="J251" s="36" t="str">
        <x:v>world_bank_exact</x:v>
      </x:c>
    </x:row>
    <x:row r="252">
      <x:c r="A252" s="24" t="str">
        <x:v>USA</x:v>
      </x:c>
      <x:c r="B252" s="24" t="str">
        <x:v>United States of America</x:v>
      </x:c>
      <x:c r="C252" s="24" t="n">
        <x:v>2003</x:v>
      </x:c>
      <x:c r="D252" s="24" t="str">
        <x:v>MNP</x:v>
      </x:c>
      <x:c r="E252" s="24" t="str">
        <x:v>nominal_gdp</x:v>
      </x:c>
      <x:c r="F252" s="38" t="n">
        <x:v>1970010000</x:v>
      </x:c>
      <x:c r="G252" s="24" t="str">
        <x:v>USD after scenario scaling</x:v>
      </x:c>
      <x:c r="H252" s="36" t="str">
        <x:v>World Bank exact 2003</x:v>
      </x:c>
      <x:c r="I252" s="36" t="str">
        <x:v>https://api.worldbank.org/v2/country/MNP/indicator/NY.GDP.MKTP.CD?source=2&amp;date=2003&amp;format=json</x:v>
      </x:c>
      <x:c r="J252" s="36" t="str">
        <x:v>world_bank_exact</x:v>
      </x:c>
    </x:row>
    <x:row r="253">
      <x:c r="A253" s="24" t="str">
        <x:v>USA</x:v>
      </x:c>
      <x:c r="B253" s="24" t="str">
        <x:v>United States of America</x:v>
      </x:c>
      <x:c r="C253" s="24" t="n">
        <x:v>2003</x:v>
      </x:c>
      <x:c r="D253" s="24" t="str">
        <x:v>VIR</x:v>
      </x:c>
      <x:c r="E253" s="24" t="str">
        <x:v>ppp_gdp</x:v>
      </x:c>
      <x:c r="F253" s="38" t="n">
        <x:v>5627518579</x:v>
      </x:c>
      <x:c r="G253" s="24" t="str">
        <x:v>international dollars after scenario scaling</x:v>
      </x:c>
      <x:c r="H253" s="36" t="str">
        <x:v>World Bank exact 2003</x:v>
      </x:c>
      <x:c r="I253" s="36" t="str">
        <x:v>https://api.worldbank.org/v2/country/VIR/indicator/NY.GDP.MKTP.PP.CD?source=2&amp;date=2003&amp;format=json</x:v>
      </x:c>
      <x:c r="J253" s="36" t="str">
        <x:v>world_bank_exact</x:v>
      </x:c>
    </x:row>
    <x:row r="254">
      <x:c r="A254" s="24" t="str">
        <x:v>USA</x:v>
      </x:c>
      <x:c r="B254" s="24" t="str">
        <x:v>United States of America</x:v>
      </x:c>
      <x:c r="C254" s="24" t="n">
        <x:v>2003</x:v>
      </x:c>
      <x:c r="D254" s="24" t="str">
        <x:v>GUM</x:v>
      </x:c>
      <x:c r="E254" s="24" t="str">
        <x:v>ppp_gdp</x:v>
      </x:c>
      <x:c r="F254" s="38" t="n">
        <x:v>8101878221</x:v>
      </x:c>
      <x:c r="G254" s="24" t="str">
        <x:v>international dollars after scenario scaling</x:v>
      </x:c>
      <x:c r="H254" s="36" t="str">
        <x:v>PPP inferred from filled nominal GDP using East Asia &amp; Pacific; High income median PPP/nominal ratio 1.428 (10 peers)</x:v>
      </x:c>
      <x:c r="I254" s="36" t="str">
        <x:v>https://api.imf.org/external/sdmx/3.0/data/dataflow/IMF.RES/WEO/9.0.0/ | https://datahelpdesk.worldbank.org/knowledgebase/articles/898581-api-basic-call-structures</x:v>
      </x:c>
      <x:c r="J254" s="36" t="str">
        <x:v>peer_ratio_inference</x:v>
      </x:c>
    </x:row>
    <x:row r="255">
      <x:c r="A255" s="24" t="str">
        <x:v>USA</x:v>
      </x:c>
      <x:c r="B255" s="24" t="str">
        <x:v>United States of America</x:v>
      </x:c>
      <x:c r="C255" s="24" t="n">
        <x:v>2003</x:v>
      </x:c>
      <x:c r="D255" s="24" t="str">
        <x:v>ASM</x:v>
      </x:c>
      <x:c r="E255" s="24" t="str">
        <x:v>ppp_gdp</x:v>
      </x:c>
      <x:c r="F255" s="38" t="n">
        <x:v>1189516444</x:v>
      </x:c>
      <x:c r="G255" s="24" t="str">
        <x:v>international dollars after scenario scaling</x:v>
      </x:c>
      <x:c r="H255" s="36" t="str">
        <x:v>PPP inferred from filled nominal GDP using East Asia &amp; Pacific; High income median PPP/nominal ratio 1.428 (10 peers)</x:v>
      </x:c>
      <x:c r="I255" s="36" t="str">
        <x:v>https://api.imf.org/external/sdmx/3.0/data/dataflow/IMF.RES/WEO/9.0.0/ | https://datahelpdesk.worldbank.org/knowledgebase/articles/898581-api-basic-call-structures</x:v>
      </x:c>
      <x:c r="J255" s="36" t="str">
        <x:v>peer_ratio_inference</x:v>
      </x:c>
    </x:row>
    <x:row r="256">
      <x:c r="A256" s="24" t="str">
        <x:v>USA</x:v>
      </x:c>
      <x:c r="B256" s="24" t="str">
        <x:v>United States of America</x:v>
      </x:c>
      <x:c r="C256" s="24" t="n">
        <x:v>2003</x:v>
      </x:c>
      <x:c r="D256" s="24" t="str">
        <x:v>MNP</x:v>
      </x:c>
      <x:c r="E256" s="24" t="str">
        <x:v>ppp_gdp</x:v>
      </x:c>
      <x:c r="F256" s="38" t="n">
        <x:v>2812616171</x:v>
      </x:c>
      <x:c r="G256" s="24" t="str">
        <x:v>international dollars after scenario scaling</x:v>
      </x:c>
      <x:c r="H256" s="36" t="str">
        <x:v>PPP inferred from filled nominal GDP using East Asia &amp; Pacific; High income median PPP/nominal ratio 1.428 (10 peers)</x:v>
      </x:c>
      <x:c r="I256" s="36" t="str">
        <x:v>https://api.imf.org/external/sdmx/3.0/data/dataflow/IMF.RES/WEO/9.0.0/ | https://datahelpdesk.worldbank.org/knowledgebase/articles/898581-api-basic-call-structures</x:v>
      </x:c>
      <x:c r="J256" s="36" t="str">
        <x:v>peer_ratio_inference</x:v>
      </x:c>
    </x:row>
    <x:row r="257">
      <x:c r="A257" s="24" t="str">
        <x:v>USA</x:v>
      </x:c>
      <x:c r="B257" s="24" t="str">
        <x:v>United States of America</x:v>
      </x:c>
      <x:c r="C257" s="24" t="n">
        <x:v>2022</x:v>
      </x:c>
      <x:c r="D257" s="24" t="str">
        <x:v>VIR</x:v>
      </x:c>
      <x:c r="E257" s="24" t="str">
        <x:v>nominal_gdp</x:v>
      </x:c>
      <x:c r="F257" s="38" t="n">
        <x:v>4672000000</x:v>
      </x:c>
      <x:c r="G257" s="24" t="str">
        <x:v>USD after scenario scaling</x:v>
      </x:c>
      <x:c r="H257" s="36" t="str">
        <x:v>World Bank exact 2022</x:v>
      </x:c>
      <x:c r="I257" s="36" t="str">
        <x:v>https://api.worldbank.org/v2/country/VIR/indicator/NY.GDP.MKTP.CD?source=2&amp;date=2022&amp;format=json</x:v>
      </x:c>
      <x:c r="J257" s="36" t="str">
        <x:v>world_bank_exact</x:v>
      </x:c>
    </x:row>
    <x:row r="258">
      <x:c r="A258" s="24" t="str">
        <x:v>USA</x:v>
      </x:c>
      <x:c r="B258" s="24" t="str">
        <x:v>United States of America</x:v>
      </x:c>
      <x:c r="C258" s="24" t="n">
        <x:v>2022</x:v>
      </x:c>
      <x:c r="D258" s="24" t="str">
        <x:v>GUM</x:v>
      </x:c>
      <x:c r="E258" s="24" t="str">
        <x:v>nominal_gdp</x:v>
      </x:c>
      <x:c r="F258" s="38" t="n">
        <x:v>6910000000</x:v>
      </x:c>
      <x:c r="G258" s="24" t="str">
        <x:v>USD after scenario scaling</x:v>
      </x:c>
      <x:c r="H258" s="36" t="str">
        <x:v>World Bank exact 2022</x:v>
      </x:c>
      <x:c r="I258" s="36" t="str">
        <x:v>https://api.worldbank.org/v2/country/GUM/indicator/NY.GDP.MKTP.CD?source=2&amp;date=2022&amp;format=json</x:v>
      </x:c>
      <x:c r="J258" s="36" t="str">
        <x:v>world_bank_exact</x:v>
      </x:c>
    </x:row>
    <x:row r="259">
      <x:c r="A259" s="24" t="str">
        <x:v>USA</x:v>
      </x:c>
      <x:c r="B259" s="24" t="str">
        <x:v>United States of America</x:v>
      </x:c>
      <x:c r="C259" s="24" t="n">
        <x:v>2022</x:v>
      </x:c>
      <x:c r="D259" s="24" t="str">
        <x:v>ASM</x:v>
      </x:c>
      <x:c r="E259" s="24" t="str">
        <x:v>nominal_gdp</x:v>
      </x:c>
      <x:c r="F259" s="38" t="n">
        <x:v>871000000</x:v>
      </x:c>
      <x:c r="G259" s="24" t="str">
        <x:v>USD after scenario scaling</x:v>
      </x:c>
      <x:c r="H259" s="36" t="str">
        <x:v>World Bank exact 2022</x:v>
      </x:c>
      <x:c r="I259" s="36" t="str">
        <x:v>https://api.worldbank.org/v2/country/ASM/indicator/NY.GDP.MKTP.CD?source=2&amp;date=2022&amp;format=json</x:v>
      </x:c>
      <x:c r="J259" s="36" t="str">
        <x:v>world_bank_exact</x:v>
      </x:c>
    </x:row>
    <x:row r="260">
      <x:c r="A260" s="24" t="str">
        <x:v>USA</x:v>
      </x:c>
      <x:c r="B260" s="24" t="str">
        <x:v>United States of America</x:v>
      </x:c>
      <x:c r="C260" s="24" t="n">
        <x:v>2022</x:v>
      </x:c>
      <x:c r="D260" s="24" t="str">
        <x:v>MNP</x:v>
      </x:c>
      <x:c r="E260" s="24" t="str">
        <x:v>nominal_gdp</x:v>
      </x:c>
      <x:c r="F260" s="38" t="n">
        <x:v>1096000000</x:v>
      </x:c>
      <x:c r="G260" s="24" t="str">
        <x:v>USD after scenario scaling</x:v>
      </x:c>
      <x:c r="H260" s="36" t="str">
        <x:v>World Bank exact 2022</x:v>
      </x:c>
      <x:c r="I260" s="36" t="str">
        <x:v>https://api.worldbank.org/v2/country/MNP/indicator/NY.GDP.MKTP.CD?source=2&amp;date=2022&amp;format=json</x:v>
      </x:c>
      <x:c r="J260" s="36" t="str">
        <x:v>world_bank_exact</x:v>
      </x:c>
    </x:row>
    <x:row r="261">
      <x:c r="A261" s="24" t="str">
        <x:v>USA</x:v>
      </x:c>
      <x:c r="B261" s="24" t="str">
        <x:v>United States of America</x:v>
      </x:c>
      <x:c r="C261" s="24" t="n">
        <x:v>2022</x:v>
      </x:c>
      <x:c r="D261" s="24" t="str">
        <x:v>VIR</x:v>
      </x:c>
      <x:c r="E261" s="24" t="str">
        <x:v>ppp_gdp</x:v>
      </x:c>
      <x:c r="F261" s="38" t="n">
        <x:v>5248001092</x:v>
      </x:c>
      <x:c r="G261" s="24" t="str">
        <x:v>international dollars after scenario scaling</x:v>
      </x:c>
      <x:c r="H261" s="36" t="str">
        <x:v>World Bank exact 2022</x:v>
      </x:c>
      <x:c r="I261" s="36" t="str">
        <x:v>https://api.worldbank.org/v2/country/VIR/indicator/NY.GDP.MKTP.PP.CD?source=2&amp;date=2022&amp;format=json</x:v>
      </x:c>
      <x:c r="J261" s="36" t="str">
        <x:v>world_bank_exact</x:v>
      </x:c>
    </x:row>
    <x:row r="262">
      <x:c r="A262" s="24" t="str">
        <x:v>USA</x:v>
      </x:c>
      <x:c r="B262" s="24" t="str">
        <x:v>United States of America</x:v>
      </x:c>
      <x:c r="C262" s="24" t="n">
        <x:v>2022</x:v>
      </x:c>
      <x:c r="D262" s="24" t="str">
        <x:v>GUM</x:v>
      </x:c>
      <x:c r="E262" s="24" t="str">
        <x:v>ppp_gdp</x:v>
      </x:c>
      <x:c r="F262" s="38" t="n">
        <x:v>9753464984</x:v>
      </x:c>
      <x:c r="G262" s="24" t="str">
        <x:v>international dollars after scenario scaling</x:v>
      </x:c>
      <x:c r="H262" s="36" t="str">
        <x:v>PPP inferred from filled nominal GDP using East Asia &amp; Pacific; High income median PPP/nominal ratio 1.411 (10 peers)</x:v>
      </x:c>
      <x:c r="I262" s="36" t="str">
        <x:v>https://api.imf.org/external/sdmx/3.0/data/dataflow/IMF.RES/WEO/9.0.0/ | https://datahelpdesk.worldbank.org/knowledgebase/articles/898581-api-basic-call-structures</x:v>
      </x:c>
      <x:c r="J262" s="36" t="str">
        <x:v>peer_ratio_inference</x:v>
      </x:c>
    </x:row>
    <x:row r="263">
      <x:c r="A263" s="24" t="str">
        <x:v>USA</x:v>
      </x:c>
      <x:c r="B263" s="24" t="str">
        <x:v>United States of America</x:v>
      </x:c>
      <x:c r="C263" s="24" t="n">
        <x:v>2022</x:v>
      </x:c>
      <x:c r="D263" s="24" t="str">
        <x:v>ASM</x:v>
      </x:c>
      <x:c r="E263" s="24" t="str">
        <x:v>ppp_gdp</x:v>
      </x:c>
      <x:c r="F263" s="38" t="n">
        <x:v>1229416498</x:v>
      </x:c>
      <x:c r="G263" s="24" t="str">
        <x:v>international dollars after scenario scaling</x:v>
      </x:c>
      <x:c r="H263" s="36" t="str">
        <x:v>PPP inferred from filled nominal GDP using East Asia &amp; Pacific; High income median PPP/nominal ratio 1.411 (10 peers)</x:v>
      </x:c>
      <x:c r="I263" s="36" t="str">
        <x:v>https://api.imf.org/external/sdmx/3.0/data/dataflow/IMF.RES/WEO/9.0.0/ | https://datahelpdesk.worldbank.org/knowledgebase/articles/898581-api-basic-call-structures</x:v>
      </x:c>
      <x:c r="J263" s="36" t="str">
        <x:v>peer_ratio_inference</x:v>
      </x:c>
    </x:row>
    <x:row r="264">
      <x:c r="A264" s="24" t="str">
        <x:v>USA</x:v>
      </x:c>
      <x:c r="B264" s="24" t="str">
        <x:v>United States of America</x:v>
      </x:c>
      <x:c r="C264" s="24" t="n">
        <x:v>2022</x:v>
      </x:c>
      <x:c r="D264" s="24" t="str">
        <x:v>MNP</x:v>
      </x:c>
      <x:c r="E264" s="24" t="str">
        <x:v>ppp_gdp</x:v>
      </x:c>
      <x:c r="F264" s="38" t="n">
        <x:v>1547003997</x:v>
      </x:c>
      <x:c r="G264" s="24" t="str">
        <x:v>international dollars after scenario scaling</x:v>
      </x:c>
      <x:c r="H264" s="36" t="str">
        <x:v>PPP inferred from filled nominal GDP using East Asia &amp; Pacific; High income median PPP/nominal ratio 1.411 (10 peers)</x:v>
      </x:c>
      <x:c r="I264" s="36" t="str">
        <x:v>https://api.imf.org/external/sdmx/3.0/data/dataflow/IMF.RES/WEO/9.0.0/ | https://datahelpdesk.worldbank.org/knowledgebase/articles/898581-api-basic-call-structures</x:v>
      </x:c>
      <x:c r="J264" s="36" t="str">
        <x:v>peer_ratio_inference</x:v>
      </x:c>
    </x:row>
    <x:row r="265">
      <x:c r="A265" s="24" t="str">
        <x:v>USA</x:v>
      </x:c>
      <x:c r="B265" s="24" t="str">
        <x:v>United States of America</x:v>
      </x:c>
      <x:c r="C265" s="24" t="n">
        <x:v>2026</x:v>
      </x:c>
      <x:c r="D265" s="24" t="str">
        <x:v>VIR</x:v>
      </x:c>
      <x:c r="E265" s="24" t="str">
        <x:v>nominal_gdp</x:v>
      </x:c>
      <x:c r="F265" s="38" t="n">
        <x:v>4819908353</x:v>
      </x:c>
      <x:c r="G265" s="24" t="str">
        <x:v>USD after scenario scaling</x:v>
      </x:c>
      <x:c r="H265" s="36" t="str">
        <x:v>peer-growth inference from World Bank 2022; Latin America &amp; Caribbean ; High income median 2.27%/yr (9 peers, capped at ±8%)</x:v>
      </x:c>
      <x:c r="I265" s="36" t="str">
        <x:v>https://api.worldbank.org/v2/country/VIR/indicator/NY.GDP.MKTP.CD?source=2&amp;date=2022&amp;format=json | https://api.imf.org/external/sdmx/3.0/data/dataflow/IMF.RES/WEO/9.0.0/ | https://datahelpdesk.worldbank.org/knowledgebase/articles/898581-api-basic-call-structures</x:v>
      </x:c>
      <x:c r="J265" s="36" t="str">
        <x:v>peer_growth_inference</x:v>
      </x:c>
    </x:row>
    <x:row r="266">
      <x:c r="A266" s="24" t="str">
        <x:v>USA</x:v>
      </x:c>
      <x:c r="B266" s="24" t="str">
        <x:v>United States of America</x:v>
      </x:c>
      <x:c r="C266" s="24" t="n">
        <x:v>2026</x:v>
      </x:c>
      <x:c r="D266" s="24" t="str">
        <x:v>GUM</x:v>
      </x:c>
      <x:c r="E266" s="24" t="str">
        <x:v>nominal_gdp</x:v>
      </x:c>
      <x:c r="F266" s="38" t="n">
        <x:v>6750934884</x:v>
      </x:c>
      <x:c r="G266" s="24" t="str">
        <x:v>USD after scenario scaling</x:v>
      </x:c>
      <x:c r="H266" s="36" t="str">
        <x:v>peer-growth inference from World Bank 2022; East Asia &amp; Pacific; High income median -0.77%/yr (6 peers, capped at ±8%)</x:v>
      </x:c>
      <x:c r="I266" s="36" t="str">
        <x:v>https://api.worldbank.org/v2/country/GUM/indicator/NY.GDP.MKTP.CD?source=2&amp;date=2022&amp;format=json | https://api.imf.org/external/sdmx/3.0/data/dataflow/IMF.RES/WEO/9.0.0/ | https://datahelpdesk.worldbank.org/knowledgebase/articles/898581-api-basic-call-structures</x:v>
      </x:c>
      <x:c r="J266" s="36" t="str">
        <x:v>peer_growth_inference</x:v>
      </x:c>
    </x:row>
    <x:row r="267">
      <x:c r="A267" s="24" t="str">
        <x:v>USA</x:v>
      </x:c>
      <x:c r="B267" s="24" t="str">
        <x:v>United States of America</x:v>
      </x:c>
      <x:c r="C267" s="24" t="n">
        <x:v>2026</x:v>
      </x:c>
      <x:c r="D267" s="24" t="str">
        <x:v>ASM</x:v>
      </x:c>
      <x:c r="E267" s="24" t="str">
        <x:v>nominal_gdp</x:v>
      </x:c>
      <x:c r="F267" s="38" t="n">
        <x:v>774276207</x:v>
      </x:c>
      <x:c r="G267" s="24" t="str">
        <x:v>USD after scenario scaling</x:v>
      </x:c>
      <x:c r="H267" s="36" t="str">
        <x:v>peer-growth inference from World Bank 2022; East Asia &amp; Pacific; High income median -0.77%/yr (6 peers, capped at ±8%)</x:v>
      </x:c>
      <x:c r="I267" s="36" t="str">
        <x:v>https://api.worldbank.org/v2/country/ASM/indicator/NY.GDP.MKTP.CD?source=2&amp;date=2022&amp;format=json | https://api.imf.org/external/sdmx/3.0/data/dataflow/IMF.RES/WEO/9.0.0/ | https://datahelpdesk.worldbank.org/knowledgebase/articles/898581-api-basic-call-structures</x:v>
      </x:c>
      <x:c r="J267" s="36" t="str">
        <x:v>peer_growth_inference</x:v>
      </x:c>
    </x:row>
    <x:row r="268">
      <x:c r="A268" s="24" t="str">
        <x:v>USA</x:v>
      </x:c>
      <x:c r="B268" s="24" t="str">
        <x:v>United States of America</x:v>
      </x:c>
      <x:c r="C268" s="24" t="n">
        <x:v>2026</x:v>
      </x:c>
      <x:c r="D268" s="24" t="str">
        <x:v>MNP</x:v>
      </x:c>
      <x:c r="E268" s="24" t="str">
        <x:v>nominal_gdp</x:v>
      </x:c>
      <x:c r="F268" s="38" t="n">
        <x:v>967916705</x:v>
      </x:c>
      <x:c r="G268" s="24" t="str">
        <x:v>USD after scenario scaling</x:v>
      </x:c>
      <x:c r="H268" s="36" t="str">
        <x:v>peer-growth inference from World Bank 2022; East Asia &amp; Pacific; High income median -0.77%/yr (6 peers, capped at ±8%)</x:v>
      </x:c>
      <x:c r="I268" s="36" t="str">
        <x:v>https://api.worldbank.org/v2/country/MNP/indicator/NY.GDP.MKTP.CD?source=2&amp;date=2022&amp;format=json | https://api.imf.org/external/sdmx/3.0/data/dataflow/IMF.RES/WEO/9.0.0/ | https://datahelpdesk.worldbank.org/knowledgebase/articles/898581-api-basic-call-structures</x:v>
      </x:c>
      <x:c r="J268" s="36" t="str">
        <x:v>peer_growth_inference</x:v>
      </x:c>
    </x:row>
    <x:row r="269">
      <x:c r="A269" s="24" t="str">
        <x:v>USA</x:v>
      </x:c>
      <x:c r="B269" s="24" t="str">
        <x:v>United States of America</x:v>
      </x:c>
      <x:c r="C269" s="24" t="n">
        <x:v>2026</x:v>
      </x:c>
      <x:c r="D269" s="24" t="str">
        <x:v>VIR</x:v>
      </x:c>
      <x:c r="E269" s="24" t="str">
        <x:v>ppp_gdp</x:v>
      </x:c>
      <x:c r="F269" s="38" t="n">
        <x:v>5436094941</x:v>
      </x:c>
      <x:c r="G269" s="24" t="str">
        <x:v>international dollars after scenario scaling</x:v>
      </x:c>
      <x:c r="H269" s="36" t="str">
        <x:v>peer-growth inference from World Bank 2022; Latin America &amp; Caribbean ; High income median 2.38%/yr (9 peers, capped at ±8%)</x:v>
      </x:c>
      <x:c r="I269" s="36" t="str">
        <x:v>https://api.worldbank.org/v2/country/VIR/indicator/NY.GDP.MKTP.PP.CD?source=2&amp;date=2022&amp;format=json | https://api.imf.org/external/sdmx/3.0/data/dataflow/IMF.RES/WEO/9.0.0/ | https://datahelpdesk.worldbank.org/knowledgebase/articles/898581-api-basic-call-structures</x:v>
      </x:c>
      <x:c r="J269" s="36" t="str">
        <x:v>peer_growth_inference</x:v>
      </x:c>
    </x:row>
    <x:row r="270">
      <x:c r="A270" s="24" t="str">
        <x:v>USA</x:v>
      </x:c>
      <x:c r="B270" s="24" t="str">
        <x:v>United States of America</x:v>
      </x:c>
      <x:c r="C270" s="24" t="n">
        <x:v>2026</x:v>
      </x:c>
      <x:c r="D270" s="24" t="str">
        <x:v>GUM</x:v>
      </x:c>
      <x:c r="E270" s="24" t="str">
        <x:v>ppp_gdp</x:v>
      </x:c>
      <x:c r="F270" s="38" t="n">
        <x:v>11038886355</x:v>
      </x:c>
      <x:c r="G270" s="24" t="str">
        <x:v>international dollars after scenario scaling</x:v>
      </x:c>
      <x:c r="H270" s="36" t="str">
        <x:v>PPP inferred from filled nominal GDP using East Asia &amp; Pacific; High income median PPP/nominal ratio 1.635 (6 peers)</x:v>
      </x:c>
      <x:c r="I270" s="36" t="str">
        <x:v>https://api.imf.org/external/sdmx/3.0/data/dataflow/IMF.RES/WEO/9.0.0/ | https://datahelpdesk.worldbank.org/knowledgebase/articles/898581-api-basic-call-structures</x:v>
      </x:c>
      <x:c r="J270" s="36" t="str">
        <x:v>peer_ratio_inference</x:v>
      </x:c>
    </x:row>
    <x:row r="271">
      <x:c r="A271" s="24" t="str">
        <x:v>USA</x:v>
      </x:c>
      <x:c r="B271" s="24" t="str">
        <x:v>United States of America</x:v>
      </x:c>
      <x:c r="C271" s="24" t="n">
        <x:v>2026</x:v>
      </x:c>
      <x:c r="D271" s="24" t="str">
        <x:v>ASM</x:v>
      </x:c>
      <x:c r="E271" s="24" t="str">
        <x:v>ppp_gdp</x:v>
      </x:c>
      <x:c r="F271" s="38" t="n">
        <x:v>1266068656</x:v>
      </x:c>
      <x:c r="G271" s="24" t="str">
        <x:v>international dollars after scenario scaling</x:v>
      </x:c>
      <x:c r="H271" s="36" t="str">
        <x:v>PPP inferred from filled nominal GDP using East Asia &amp; Pacific; High income median PPP/nominal ratio 1.635 (6 peers)</x:v>
      </x:c>
      <x:c r="I271" s="36" t="str">
        <x:v>https://api.imf.org/external/sdmx/3.0/data/dataflow/IMF.RES/WEO/9.0.0/ | https://datahelpdesk.worldbank.org/knowledgebase/articles/898581-api-basic-call-structures</x:v>
      </x:c>
      <x:c r="J271" s="36" t="str">
        <x:v>peer_ratio_inference</x:v>
      </x:c>
    </x:row>
    <x:row r="272">
      <x:c r="A272" s="24" t="str">
        <x:v>USA</x:v>
      </x:c>
      <x:c r="B272" s="24" t="str">
        <x:v>United States of America</x:v>
      </x:c>
      <x:c r="C272" s="24" t="n">
        <x:v>2026</x:v>
      </x:c>
      <x:c r="D272" s="24" t="str">
        <x:v>MNP</x:v>
      </x:c>
      <x:c r="E272" s="24" t="str">
        <x:v>ppp_gdp</x:v>
      </x:c>
      <x:c r="F272" s="38" t="n">
        <x:v>1582702646</x:v>
      </x:c>
      <x:c r="G272" s="24" t="str">
        <x:v>international dollars after scenario scaling</x:v>
      </x:c>
      <x:c r="H272" s="36" t="str">
        <x:v>PPP inferred from filled nominal GDP using East Asia &amp; Pacific; High income median PPP/nominal ratio 1.635 (6 peers)</x:v>
      </x:c>
      <x:c r="I272" s="36" t="str">
        <x:v>https://api.imf.org/external/sdmx/3.0/data/dataflow/IMF.RES/WEO/9.0.0/ | https://datahelpdesk.worldbank.org/knowledgebase/articles/898581-api-basic-call-structures</x:v>
      </x:c>
      <x:c r="J272" s="36" t="str">
        <x:v>peer_ratio_inference</x:v>
      </x:c>
    </x:row>
    <x:row r="273">
      <x:c r="A273" s="24" t="str">
        <x:v>YEM</x:v>
      </x:c>
      <x:c r="B273" s="24" t="str">
        <x:v>Yemen</x:v>
      </x:c>
      <x:c r="C273" s="24" t="n">
        <x:v>2003</x:v>
      </x:c>
      <x:c r="D273" s="24" t="str">
        <x:v>YEM</x:v>
      </x:c>
      <x:c r="E273" s="24" t="str">
        <x:v>nominal_gdp</x:v>
      </x:c>
      <x:c r="F273" s="38" t="n">
        <x:v>18726276933</x:v>
      </x:c>
      <x:c r="G273" s="24" t="str">
        <x:v>USD after scenario scaling</x:v>
      </x:c>
      <x:c r="H273" s="36" t="str">
        <x:v>World Bank exact 2003</x:v>
      </x:c>
      <x:c r="I273" s="36" t="str">
        <x:v>https://api.worldbank.org/v2/country/YEM/indicator/NY.GDP.MKTP.CD?source=2&amp;date=2003&amp;format=json</x:v>
      </x:c>
      <x:c r="J273" s="36" t="str">
        <x:v>world_bank_exact</x:v>
      </x:c>
    </x:row>
    <x:row r="274">
      <x:c r="A274" s="24" t="str">
        <x:v>YEM</x:v>
      </x:c>
      <x:c r="B274" s="24" t="str">
        <x:v>Yemen</x:v>
      </x:c>
      <x:c r="C274" s="24" t="n">
        <x:v>2003</x:v>
      </x:c>
      <x:c r="D274" s="24" t="str">
        <x:v>YEM</x:v>
      </x:c>
      <x:c r="E274" s="24" t="str">
        <x:v>ppp_gdp</x:v>
      </x:c>
      <x:c r="F274" s="38" t="n">
        <x:v>97029314942</x:v>
      </x:c>
      <x:c r="G274" s="24" t="str">
        <x:v>international dollars after scenario scaling</x:v>
      </x:c>
      <x:c r="H274" s="36" t="str">
        <x:v>World Bank exact 2003</x:v>
      </x:c>
      <x:c r="I274" s="36" t="str">
        <x:v>https://api.worldbank.org/v2/country/YEM/indicator/NY.GDP.MKTP.PP.CD?source=2&amp;date=2003&amp;format=json</x:v>
      </x:c>
      <x:c r="J274" s="36" t="str">
        <x:v>world_bank_exact</x:v>
      </x:c>
    </x:row>
  </x:sheetData>
  <x:mergeCells>
    <x:mergeCell ref="A1:J1"/>
    <x:mergeCell ref="A2:J2"/>
  </x:mergeCells>
  <x:pageMargins left="0.7" right="0.7" top="0.75" bottom="0.75" header="0.3" footer="0.3"/>
  <x:tableParts count="1">
    <x:tablePart xmlns:r="http://schemas.openxmlformats.org/officeDocument/2006/relationships" r:id="R26a733145a6344d8"/>
  </x:tableParts>
</x:worksheet>
</file>