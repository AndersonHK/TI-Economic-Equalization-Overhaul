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3ab4b3aa24d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ile comparison" sheetId="1" r:id="R2a8910a9212f44b1"/>
    <x:sheet xmlns:r="http://schemas.openxmlformats.org/officeDocument/2006/relationships" name="Alien tuning" sheetId="2" r:id="R6bd2db031d204121"/>
    <x:sheet xmlns:r="http://schemas.openxmlformats.org/officeDocument/2006/relationships" name="Source data" sheetId="3" r:id="R1b92b41b6d1544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"/>
    <x:numFmt numFmtId="201" formatCode="#,##0"/>
    <x:numFmt numFmtId="202" formatCode="0%"/>
    <x:numFmt numFmtId="203" formatCode="0.00"/>
    <x:numFmt numFmtId="204" formatCode="0"/>
    <x:numFmt numFmtId="205" formatCode="0.0%"/>
  </x:numFmts>
  <x:fonts count="7">
    <x:font>
      <x:sz val="11"/>
      <x:name val="Carlito"/>
    </x:font>
    <x:font>
      <x:sz val="10"/>
      <x:color rgb="FF202A35"/>
      <x:name val="Arial"/>
    </x:font>
    <x:font>
      <x:b/>
      <x:sz val="10"/>
      <x:color rgb="FFFFFFFF"/>
      <x:name val="Arial"/>
    </x:font>
    <x:font>
      <x:b/>
      <x:sz val="15"/>
      <x:color rgb="FF203C51"/>
      <x:name val="Arial"/>
    </x:font>
    <x:font>
      <x:sz val="10"/>
      <x:color rgb="FF53616E"/>
      <x:name val="Arial"/>
    </x:font>
    <x:font>
      <x:b/>
      <x:sz val="11"/>
      <x:name val="Carlito"/>
    </x:font>
    <x:font>
      <x:b/>
      <x:sz val="10"/>
      <x:color rgb="FF53616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4B63"/>
      </x:patternFill>
    </x:fill>
    <x:fill>
      <x:patternFill patternType="solid">
        <x:fgColor rgb="FFF0F4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  <x:dxfs count="2"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2ee1f6885640ef" /><Relationship Type="http://schemas.openxmlformats.org/officeDocument/2006/relationships/theme" Target="/xl/theme/theme1.xml" Id="R307edb3247b24c42" /><Relationship Type="http://schemas.microsoft.com/office/2022/11/relationships/FeaturePropertyBag" Target="/xl/featurePropertyBag/featurePropertyBag.xml" Id="R7cb22528a61549b1" /><Relationship Type="http://schemas.openxmlformats.org/officeDocument/2006/relationships/sharedStrings" Target="/xl/sharedStrings.xml" Id="Rda8e967f34a947b0" /><Relationship Type="http://schemas.openxmlformats.org/officeDocument/2006/relationships/worksheet" Target="/xl/worksheets/sheet1.xml" Id="R2a8910a9212f44b1" /><Relationship Type="http://schemas.openxmlformats.org/officeDocument/2006/relationships/worksheet" Target="/xl/worksheets/sheet2.xml" Id="R6bd2db031d204121" /><Relationship Type="http://schemas.openxmlformats.org/officeDocument/2006/relationships/worksheet" Target="/xl/worksheets/sheet3.xml" Id="R1b92b41b6d1544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issileComparison" displayName="MissileComparison" ref="A5:AC62" headerRowCount="1" totalsRowCount="0" totalsRowShown="0">
  <x:tableColumns count="29">
    <x:tableColumn id="1" name="Weapon"/>
    <x:tableColumn id="2" name="Faction"/>
    <x:tableColumn id="3" name="Mount"/>
    <x:tableColumn id="4" name="Warhead"/>
    <x:tableColumn id="5" name="Magazine"/>
    <x:tableColumn id="6" name="Salvo shots"/>
    <x:tableColumn id="7" name="Intra-salvo (s)"/>
    <x:tableColumn id="8" name="Reload (s)"/>
    <x:tableColumn id="9" name="Cycle (s)"/>
    <x:tableColumn id="10" name="Shots / min"/>
    <x:tableColumn id="11" name="First to last launch (s)"/>
    <x:tableColumn id="12" name="Empty launcher (t)"/>
    <x:tableColumn id="13" name="Loaded launcher (t)"/>
    <x:tableColumn id="14" name="Acceleration (g)"/>
    <x:tableColumn id="15" name="Delta-v (km/s)"/>
    <x:tableColumn id="16" name="Turn (deg/s)"/>
    <x:tableColumn id="17" name="Targeting range (km)"/>
    <x:tableColumn id="18" name="Warhead (kg)"/>
    <x:tableColumn id="19" name="Flat damage (MJ)"/>
    <x:tableColumn id="20" name="Chipping share"/>
    <x:tableColumn id="21" name="Nominal damage at ½ Δv (MJ)"/>
    <x:tableColumn id="22" name="Direct share at ½ Δv (MJ)"/>
    <x:tableColumn id="23" name="Damage / min before PD (MJ)"/>
    <x:tableColumn id="24" name="Ammo (kg)"/>
    <x:tableColumn id="25" name="Thrust ramp (s)"/>
    <x:tableColumn id="26" name="Turn ramp (s)"/>
    <x:tableColumn id="27" name="Maneuver angle (deg)"/>
    <x:tableColumn id="28" name="Defense mode"/>
    <x:tableColumn id="29" name="Template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AlienTuning" displayName="AlienTuning" ref="A5:Q11" headerRowCount="1" totalsRowCount="0" totalsRowShown="0">
  <x:tableColumns count="17">
    <x:tableColumn id="1" name="Alien weapon"/>
    <x:tableColumn id="2" name="Current magazine"/>
    <x:tableColumn id="3" name="Trial magazine"/>
    <x:tableColumn id="4" name="Salvo shots"/>
    <x:tableColumn id="5" name="Current gap (s)"/>
    <x:tableColumn id="6" name="Trial gap (s)"/>
    <x:tableColumn id="7" name="Current reload (s)"/>
    <x:tableColumn id="8" name="Trial reload (s)"/>
    <x:tableColumn id="9" name="Current cycle (s)"/>
    <x:tableColumn id="10" name="Trial cycle (s)"/>
    <x:tableColumn id="11" name="Current shots/min"/>
    <x:tableColumn id="12" name="Trial shots/min"/>
    <x:tableColumn id="13" name="Current empty time (s)"/>
    <x:tableColumn id="14" name="Trial empty time (s)"/>
    <x:tableColumn id="15" name="Current loaded (t)"/>
    <x:tableColumn id="16" name="Trial loaded (t)"/>
    <x:tableColumn id="17" name="Throughput chan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AlienMissileRoster" displayName="AlienMissileRoster" ref="A24:D33" headerRowCount="1" totalsRowCount="0" totalsRowShown="0">
  <x:tableColumns count="4">
    <x:tableColumn id="1" name="Predefined ship"/>
    <x:tableColumn id="2" name="Hull"/>
    <x:tableColumn id="3" name="Missile template"/>
    <x:tableColumn id="4" name="Mount 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MissileSource" displayName="MissileSource" ref="A5:AW62" headerRowCount="1" totalsRowCount="0" totalsRowShown="0">
  <x:tableColumns count="49">
    <x:tableColumn id="1" name="dataName"/>
    <x:tableColumn id="2" name="friendlyName"/>
    <x:tableColumn id="3" name="mount"/>
    <x:tableColumn id="4" name="crew"/>
    <x:tableColumn id="5" name="requiredProjectName"/>
    <x:tableColumn id="6" name="attackMode"/>
    <x:tableColumn id="7" name="defenseMode"/>
    <x:tableColumn id="8" name="warheadClass"/>
    <x:tableColumn id="9" name="Rocket Thrust"/>
    <x:tableColumn id="10" name="EV_kps"/>
    <x:tableColumn id="11" name="acceleration_g"/>
    <x:tableColumn id="12" name="deltaV_kps"/>
    <x:tableColumn id="13" name="baseWeaponMass_tons"/>
    <x:tableColumn id="14" name="cooldown_s"/>
    <x:tableColumn id="15" name="salvo_shots"/>
    <x:tableColumn id="16" name="intraSalvoCooldown_s"/>
    <x:tableColumn id="17" name="efficiency"/>
    <x:tableColumn id="18" name="flatChipping"/>
    <x:tableColumn id="19" name="magazine"/>
    <x:tableColumn id="20" name="ammoMass_kg"/>
    <x:tableColumn id="21" name="fuelMass_kg"/>
    <x:tableColumn id="22" name="systemMass_kg"/>
    <x:tableColumn id="23" name="warheadMass_kg"/>
    <x:tableColumn id="24" name="flatDamage_MJ"/>
    <x:tableColumn id="25" name="thrustRamp_s"/>
    <x:tableColumn id="26" name="rotation_degps"/>
    <x:tableColumn id="27" name="turnRamp_s"/>
    <x:tableColumn id="28" name="maneuver_angle"/>
    <x:tableColumn id="29" name="bombardmentValue"/>
    <x:tableColumn id="30" name="targetingRange_km"/>
    <x:tableColumn id="31" name="pivotRange_deg"/>
    <x:tableColumn id="32" name="isPointDefenseTargetable"/>
    <x:tableColumn id="33" name="weightedBuildMaterials/volatiles"/>
    <x:tableColumn id="34" name="weightedBuildMaterials/metals"/>
    <x:tableColumn id="35" name="ammoMaterials/volatiles"/>
    <x:tableColumn id="36" name="ammoMaterials/metals"/>
    <x:tableColumn id="37" name="ammoMaterials/nobleMetals"/>
    <x:tableColumn id="38" name="iconResource"/>
    <x:tableColumn id="39" name="modelResource"/>
    <x:tableColumn id="40" name="shotModelResource"/>
    <x:tableColumn id="41" name="impactVisualFXResource"/>
    <x:tableColumn id="42" name="fireSoundFXResource"/>
    <x:tableColumn id="43" name="impactSoundFXResource"/>
    <x:tableColumn id="44" name="notes"/>
    <x:tableColumn id="45" name="weightedBuildMaterials/nobleMetals"/>
    <x:tableColumn id="46" name="ammoMaterials/fissiles"/>
    <x:tableColumn id="47" name="shapedChargeAngle"/>
    <x:tableColumn id="48" name="ammoMaterials/exotics"/>
    <x:tableColumn id="49" name="ammoMaterials/antimat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81960e5fa14f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beff7867be49de" /><Relationship Type="http://schemas.openxmlformats.org/officeDocument/2006/relationships/table" Target="/xl/tables/table3.xml" Id="R22f26c199f4e4f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672862e7dbc24588" /></Relationships>
</file>

<file path=xl/worksheets/sheet1.xml><?xml version="1.0" encoding="utf-8"?>
<x:worksheet xmlns:x="http://schemas.openxmlformats.org/spreadsheetml/2006/main">
  <x:sheetPr>
    <x:tabColor rgb="FF284B6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9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22" hidden="0" customWidth="1"/>
    <x:col min="22" max="22" width="22" hidden="0" customWidth="1"/>
    <x:col min="23" max="23" width="22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37" hidden="0" customWidth="1"/>
  </x:cols>
  <x:sheetData>
    <x:row r="2">
      <x:c r="A2" s="8" t="str">
        <x:v>Missiles and launchers | installed values</x:v>
      </x:c>
    </x:row>
    <x:row r="3">
      <x:c r="A3" s="9" t="str">
        <x:v>2026-09-25 • Alien entries first • Ideal continuous fire; no PD, ECM, armor or ship modifiers</x:v>
      </x:c>
    </x:row>
    <x:row r="4">
      <x:c r="A4" t="str">
        <x:v>Damage assumes impact speed = half template delta-v; MJ/min is a rate while ammunition lasts. Nuclear blast geometry is excluded.</x:v>
      </x:c>
    </x:row>
    <x:row r="5" ht="46" customHeight="1">
      <x:c r="A5" s="6" t="str">
        <x:v>Weapon</x:v>
      </x:c>
      <x:c r="B5" s="6" t="str">
        <x:v>Faction</x:v>
      </x:c>
      <x:c r="C5" s="6" t="str">
        <x:v>Mount</x:v>
      </x:c>
      <x:c r="D5" s="6" t="str">
        <x:v>Warhead</x:v>
      </x:c>
      <x:c r="E5" s="6" t="str">
        <x:v>Magazine</x:v>
      </x:c>
      <x:c r="F5" s="6" t="str">
        <x:v>Salvo shots</x:v>
      </x:c>
      <x:c r="G5" s="6" t="str">
        <x:v>Intra-salvo (s)</x:v>
      </x:c>
      <x:c r="H5" s="6" t="str">
        <x:v>Reload (s)</x:v>
      </x:c>
      <x:c r="I5" s="6" t="str">
        <x:v>Cycle (s)</x:v>
      </x:c>
      <x:c r="J5" s="6" t="str">
        <x:v>Shots / min</x:v>
      </x:c>
      <x:c r="K5" s="6" t="str">
        <x:v>First to last launch (s)</x:v>
      </x:c>
      <x:c r="L5" s="6" t="str">
        <x:v>Empty launcher (t)</x:v>
      </x:c>
      <x:c r="M5" s="6" t="str">
        <x:v>Loaded launcher (t)</x:v>
      </x:c>
      <x:c r="N5" s="6" t="str">
        <x:v>Acceleration (g)</x:v>
      </x:c>
      <x:c r="O5" s="6" t="str">
        <x:v>Delta-v (km/s)</x:v>
      </x:c>
      <x:c r="P5" s="6" t="str">
        <x:v>Turn (deg/s)</x:v>
      </x:c>
      <x:c r="Q5" s="6" t="str">
        <x:v>Targeting range (km)</x:v>
      </x:c>
      <x:c r="R5" s="6" t="str">
        <x:v>Warhead (kg)</x:v>
      </x:c>
      <x:c r="S5" s="6" t="str">
        <x:v>Flat damage (MJ)</x:v>
      </x:c>
      <x:c r="T5" s="6" t="str">
        <x:v>Chipping share</x:v>
      </x:c>
      <x:c r="U5" s="6" t="str">
        <x:v>Nominal damage at ½ Δv (MJ)</x:v>
      </x:c>
      <x:c r="V5" s="6" t="str">
        <x:v>Direct share at ½ Δv (MJ)</x:v>
      </x:c>
      <x:c r="W5" s="6" t="str">
        <x:v>Damage / min before PD (MJ)</x:v>
      </x:c>
      <x:c r="X5" s="6" t="str">
        <x:v>Ammo (kg)</x:v>
      </x:c>
      <x:c r="Y5" s="6" t="str">
        <x:v>Thrust ramp (s)</x:v>
      </x:c>
      <x:c r="Z5" s="6" t="str">
        <x:v>Turn ramp (s)</x:v>
      </x:c>
      <x:c r="AA5" s="6" t="str">
        <x:v>Maneuver angle (deg)</x:v>
      </x:c>
      <x:c r="AB5" s="6" t="str">
        <x:v>Defense mode</x:v>
      </x:c>
      <x:c r="AC5" s="6" t="str">
        <x:v>Template ID</x:v>
      </x:c>
    </x:row>
    <x:row r="6" ht="23" customHeight="1">
      <x:c r="A6" s="2" t="str">
        <x:v>Glittering Jewel Missile Bay</x:v>
      </x:c>
      <x:c r="B6" s="2" t="str">
        <x:v>Alien</x:v>
      </x:c>
      <x:c r="C6" s="2" t="str">
        <x:v>OneHull</x:v>
      </x:c>
      <x:c r="D6" s="2" t="str">
        <x:v>Penetrator</x:v>
      </x:c>
      <x:c r="E6" s="16" t="n">
        <x:f>'Source data'!S57</x:f>
        <x:v>16</x:v>
      </x:c>
      <x:c r="F6" s="16" t="n">
        <x:f>IF('Source data'!O57="",1,'Source data'!O57)</x:f>
        <x:v>4</x:v>
      </x:c>
      <x:c r="G6" s="14" t="n">
        <x:f>IF('Source data'!P57="",0,'Source data'!P57)</x:f>
        <x:v>1</x:v>
      </x:c>
      <x:c r="H6" s="14" t="n">
        <x:f>'Source data'!N57</x:f>
        <x:v>4</x:v>
      </x:c>
      <x:c r="I6" s="14" t="n">
        <x:f>H6+(F6-1)*G6</x:f>
        <x:v>7</x:v>
      </x:c>
      <x:c r="J6" s="14" t="n">
        <x:f>60*F6/I6</x:f>
        <x:v>34.285714285714285</x:v>
      </x:c>
      <x:c r="K6" s="14" t="n">
        <x:f>INT((E6-1)/F6)*I6+MOD(E6-1,F6)*G6</x:f>
        <x:v>24</x:v>
      </x:c>
      <x:c r="L6" s="14" t="n">
        <x:f>'Source data'!M57</x:f>
        <x:v>3</x:v>
      </x:c>
      <x:c r="M6" s="14" t="n">
        <x:f>L6+E6*X6/1000</x:f>
        <x:v>23.48</x:v>
      </x:c>
      <x:c r="N6" s="14" t="n">
        <x:f>'Source data'!K57</x:f>
        <x:v>23.89</x:v>
      </x:c>
      <x:c r="O6" s="14" t="n">
        <x:f>'Source data'!L57</x:f>
        <x:v>7.16</x:v>
      </x:c>
      <x:c r="P6" s="14" t="n">
        <x:f>'Source data'!Z57</x:f>
        <x:v>36</x:v>
      </x:c>
      <x:c r="Q6" s="16" t="n">
        <x:f>'Source data'!AD57</x:f>
        <x:v>1000</x:v>
      </x:c>
      <x:c r="R6" s="16" t="n">
        <x:f>'Source data'!W57</x:f>
        <x:v>128</x:v>
      </x:c>
      <x:c r="S6" s="14" t="n">
        <x:f>IF('Source data'!X57="",0,'Source data'!X57)</x:f>
        <x:v>0</x:v>
      </x:c>
      <x:c r="T6" s="18" t="n">
        <x:f>'Source data'!R57</x:f>
        <x:v>0.6</x:v>
      </x:c>
      <x:c r="U6" s="14" t="n">
        <x:f>S6+IF(OR(D6="Nuclear",D6="ShapedNuclear",D6="Antimatter"),0,IF(D6="Explosive",0.1,1)*0.5*R6*(O6/2)^2)</x:f>
        <x:v>820.2496</x:v>
      </x:c>
      <x:c r="V6" s="14" t="n">
        <x:f>U6*(1-T6)</x:f>
        <x:v>328.09984000000003</x:v>
      </x:c>
      <x:c r="W6" s="14" t="n">
        <x:f>U6*J6</x:f>
        <x:v>28122.84342857143</x:v>
      </x:c>
      <x:c r="X6" s="16" t="n">
        <x:f>'Source data'!T57</x:f>
        <x:v>1280</x:v>
      </x:c>
      <x:c r="Y6" s="14" t="n">
        <x:f>'Source data'!Y57</x:f>
        <x:v>5</x:v>
      </x:c>
      <x:c r="Z6" s="14" t="n">
        <x:f>'Source data'!AA57</x:f>
        <x:v>0.5</x:v>
      </x:c>
      <x:c r="AA6" s="14" t="n">
        <x:f>'Source data'!AB57</x:f>
        <x:v>45</x:v>
      </x:c>
      <x:c r="AB6" s="2" t="b">
        <x:f>'Source data'!G57</x:f>
        <x:v>0</x:v>
      </x:c>
      <x:c r="AC6" s="2" t="str">
        <x:v>GlitteringJewelMissileBay</x:v>
      </x:c>
    </x:row>
    <x:row r="7" ht="23" customHeight="1">
      <x:c r="A7" s="7" t="str">
        <x:v>Glittering Jewel Missile Pod</x:v>
      </x:c>
      <x:c r="B7" s="7" t="str">
        <x:v>Alien</x:v>
      </x:c>
      <x:c r="C7" s="7" t="str">
        <x:v>HalfHull</x:v>
      </x:c>
      <x:c r="D7" s="7" t="str">
        <x:v>Penetrator</x:v>
      </x:c>
      <x:c r="E7" s="17" t="n">
        <x:f>'Source data'!S58</x:f>
        <x:v>4</x:v>
      </x:c>
      <x:c r="F7" s="17" t="n">
        <x:f>IF('Source data'!O58="",1,'Source data'!O58)</x:f>
        <x:v>1</x:v>
      </x:c>
      <x:c r="G7" s="15" t="n">
        <x:f>IF('Source data'!P58="",0,'Source data'!P58)</x:f>
        <x:v>0</x:v>
      </x:c>
      <x:c r="H7" s="15" t="n">
        <x:f>'Source data'!N58</x:f>
        <x:v>6</x:v>
      </x:c>
      <x:c r="I7" s="15" t="n">
        <x:f>H7+(F7-1)*G7</x:f>
        <x:v>6</x:v>
      </x:c>
      <x:c r="J7" s="15" t="n">
        <x:f>60*F7/I7</x:f>
        <x:v>10</x:v>
      </x:c>
      <x:c r="K7" s="15" t="n">
        <x:f>INT((E7-1)/F7)*I7+MOD(E7-1,F7)*G7</x:f>
        <x:v>18</x:v>
      </x:c>
      <x:c r="L7" s="15" t="n">
        <x:f>'Source data'!M58</x:f>
        <x:v>3</x:v>
      </x:c>
      <x:c r="M7" s="15" t="n">
        <x:f>L7+E7*X7/1000</x:f>
        <x:v>8.120000000000001</x:v>
      </x:c>
      <x:c r="N7" s="15" t="n">
        <x:f>'Source data'!K58</x:f>
        <x:v>23.89</x:v>
      </x:c>
      <x:c r="O7" s="15" t="n">
        <x:f>'Source data'!L58</x:f>
        <x:v>7.16</x:v>
      </x:c>
      <x:c r="P7" s="15" t="n">
        <x:f>'Source data'!Z58</x:f>
        <x:v>36</x:v>
      </x:c>
      <x:c r="Q7" s="17" t="n">
        <x:f>'Source data'!AD58</x:f>
        <x:v>1000</x:v>
      </x:c>
      <x:c r="R7" s="17" t="n">
        <x:f>'Source data'!W58</x:f>
        <x:v>128</x:v>
      </x:c>
      <x:c r="S7" s="15" t="n">
        <x:f>IF('Source data'!X58="",0,'Source data'!X58)</x:f>
        <x:v>0</x:v>
      </x:c>
      <x:c r="T7" s="19" t="n">
        <x:f>'Source data'!R58</x:f>
        <x:v>0.6</x:v>
      </x:c>
      <x:c r="U7" s="15" t="n">
        <x:f>S7+IF(OR(D7="Nuclear",D7="ShapedNuclear",D7="Antimatter"),0,IF(D7="Explosive",0.1,1)*0.5*R7*(O7/2)^2)</x:f>
        <x:v>820.2496</x:v>
      </x:c>
      <x:c r="V7" s="15" t="n">
        <x:f>U7*(1-T7)</x:f>
        <x:v>328.09984000000003</x:v>
      </x:c>
      <x:c r="W7" s="15" t="n">
        <x:f>U7*J7</x:f>
        <x:v>8202.496</x:v>
      </x:c>
      <x:c r="X7" s="17" t="n">
        <x:f>'Source data'!T58</x:f>
        <x:v>1280</x:v>
      </x:c>
      <x:c r="Y7" s="15" t="n">
        <x:f>'Source data'!Y58</x:f>
        <x:v>5</x:v>
      </x:c>
      <x:c r="Z7" s="15" t="n">
        <x:f>'Source data'!AA58</x:f>
        <x:v>0.5</x:v>
      </x:c>
      <x:c r="AA7" s="15" t="n">
        <x:f>'Source data'!AB58</x:f>
        <x:v>45</x:v>
      </x:c>
      <x:c r="AB7" s="7" t="b">
        <x:f>'Source data'!G58</x:f>
        <x:v>0</x:v>
      </x:c>
      <x:c r="AC7" s="7" t="str">
        <x:v>GlitteringJewelMissilePod</x:v>
      </x:c>
    </x:row>
    <x:row r="8" ht="23" customHeight="1">
      <x:c r="A8" s="2" t="str">
        <x:v>Iridescent Star Torpedo Bay</x:v>
      </x:c>
      <x:c r="B8" s="2" t="str">
        <x:v>Alien</x:v>
      </x:c>
      <x:c r="C8" s="2" t="str">
        <x:v>OneHull</x:v>
      </x:c>
      <x:c r="D8" s="2" t="str">
        <x:v>Penetrator</x:v>
      </x:c>
      <x:c r="E8" s="16" t="n">
        <x:f>'Source data'!S59</x:f>
        <x:v>8</x:v>
      </x:c>
      <x:c r="F8" s="16" t="n">
        <x:f>IF('Source data'!O59="",1,'Source data'!O59)</x:f>
        <x:v>1</x:v>
      </x:c>
      <x:c r="G8" s="14" t="n">
        <x:f>IF('Source data'!P59="",0,'Source data'!P59)</x:f>
        <x:v>0</x:v>
      </x:c>
      <x:c r="H8" s="14" t="n">
        <x:f>'Source data'!N59</x:f>
        <x:v>8</x:v>
      </x:c>
      <x:c r="I8" s="14" t="n">
        <x:f>H8+(F8-1)*G8</x:f>
        <x:v>8</x:v>
      </x:c>
      <x:c r="J8" s="14" t="n">
        <x:f>60*F8/I8</x:f>
        <x:v>7.5</x:v>
      </x:c>
      <x:c r="K8" s="14" t="n">
        <x:f>INT((E8-1)/F8)*I8+MOD(E8-1,F8)*G8</x:f>
        <x:v>56</x:v>
      </x:c>
      <x:c r="L8" s="14" t="n">
        <x:f>'Source data'!M59</x:f>
        <x:v>10</x:v>
      </x:c>
      <x:c r="M8" s="14" t="n">
        <x:f>L8+E8*X8/1000</x:f>
        <x:v>30.48</x:v>
      </x:c>
      <x:c r="N8" s="14" t="n">
        <x:f>'Source data'!K59</x:f>
        <x:v>11.55</x:v>
      </x:c>
      <x:c r="O8" s="14" t="n">
        <x:f>'Source data'!L59</x:f>
        <x:v>14.21</x:v>
      </x:c>
      <x:c r="P8" s="14" t="n">
        <x:f>'Source data'!Z59</x:f>
        <x:v>32</x:v>
      </x:c>
      <x:c r="Q8" s="16" t="n">
        <x:f>'Source data'!AD59</x:f>
        <x:v>1000</x:v>
      </x:c>
      <x:c r="R8" s="16" t="n">
        <x:f>'Source data'!W59</x:f>
        <x:v>256</x:v>
      </x:c>
      <x:c r="S8" s="14" t="n">
        <x:f>IF('Source data'!X59="",0,'Source data'!X59)</x:f>
        <x:v>0</x:v>
      </x:c>
      <x:c r="T8" s="18" t="n">
        <x:f>'Source data'!R59</x:f>
        <x:v>0.8</x:v>
      </x:c>
      <x:c r="U8" s="14" t="n">
        <x:f>S8+IF(OR(D8="Nuclear",D8="ShapedNuclear",D8="Antimatter"),0,IF(D8="Explosive",0.1,1)*0.5*R8*(O8/2)^2)</x:f>
        <x:v>6461.571200000001</x:v>
      </x:c>
      <x:c r="V8" s="14" t="n">
        <x:f>U8*(1-T8)</x:f>
        <x:v>1292.31424</x:v>
      </x:c>
      <x:c r="W8" s="14" t="n">
        <x:f>U8*J8</x:f>
        <x:v>48461.78400000001</x:v>
      </x:c>
      <x:c r="X8" s="16" t="n">
        <x:f>'Source data'!T59</x:f>
        <x:v>2560</x:v>
      </x:c>
      <x:c r="Y8" s="14" t="n">
        <x:f>'Source data'!Y59</x:f>
        <x:v>5</x:v>
      </x:c>
      <x:c r="Z8" s="14" t="n">
        <x:f>'Source data'!AA59</x:f>
        <x:v>1</x:v>
      </x:c>
      <x:c r="AA8" s="14" t="n">
        <x:f>'Source data'!AB59</x:f>
        <x:v>35</x:v>
      </x:c>
      <x:c r="AB8" s="2" t="b">
        <x:f>'Source data'!G59</x:f>
        <x:v>0</x:v>
      </x:c>
      <x:c r="AC8" s="2" t="str">
        <x:v>IridescentStarTorpedoBay</x:v>
      </x:c>
    </x:row>
    <x:row r="9" ht="23" customHeight="1">
      <x:c r="A9" s="7" t="str">
        <x:v>Luminous Swarm Missile Bay</x:v>
      </x:c>
      <x:c r="B9" s="7" t="str">
        <x:v>Alien</x:v>
      </x:c>
      <x:c r="C9" s="7" t="str">
        <x:v>OneHull</x:v>
      </x:c>
      <x:c r="D9" s="7" t="str">
        <x:v>Penetrator</x:v>
      </x:c>
      <x:c r="E9" s="17" t="n">
        <x:f>'Source data'!S60</x:f>
        <x:v>36</x:v>
      </x:c>
      <x:c r="F9" s="17" t="n">
        <x:f>IF('Source data'!O60="",1,'Source data'!O60)</x:f>
        <x:v>8</x:v>
      </x:c>
      <x:c r="G9" s="15" t="n">
        <x:f>IF('Source data'!P60="",0,'Source data'!P60)</x:f>
        <x:v>1</x:v>
      </x:c>
      <x:c r="H9" s="15" t="n">
        <x:f>'Source data'!N60</x:f>
        <x:v>3</x:v>
      </x:c>
      <x:c r="I9" s="15" t="n">
        <x:f>H9+(F9-1)*G9</x:f>
        <x:v>10</x:v>
      </x:c>
      <x:c r="J9" s="15" t="n">
        <x:f>60*F9/I9</x:f>
        <x:v>48</x:v>
      </x:c>
      <x:c r="K9" s="15" t="n">
        <x:f>INT((E9-1)/F9)*I9+MOD(E9-1,F9)*G9</x:f>
        <x:v>43</x:v>
      </x:c>
      <x:c r="L9" s="15" t="n">
        <x:f>'Source data'!M60</x:f>
        <x:v>10</x:v>
      </x:c>
      <x:c r="M9" s="15" t="n">
        <x:f>L9+E9*X9/1000</x:f>
        <x:v>22.672</x:v>
      </x:c>
      <x:c r="N9" s="15" t="n">
        <x:f>'Source data'!K60</x:f>
        <x:v>41.99</x:v>
      </x:c>
      <x:c r="O9" s="15" t="n">
        <x:f>'Source data'!L60</x:f>
        <x:v>5.78</x:v>
      </x:c>
      <x:c r="P9" s="15" t="n">
        <x:f>'Source data'!Z60</x:f>
        <x:v>48</x:v>
      </x:c>
      <x:c r="Q9" s="17" t="n">
        <x:f>'Source data'!AD60</x:f>
        <x:v>600</x:v>
      </x:c>
      <x:c r="R9" s="17" t="n">
        <x:f>'Source data'!W60</x:f>
        <x:v>32</x:v>
      </x:c>
      <x:c r="S9" s="15" t="n">
        <x:f>IF('Source data'!X60="",0,'Source data'!X60)</x:f>
        <x:v>0</x:v>
      </x:c>
      <x:c r="T9" s="19" t="n">
        <x:f>'Source data'!R60</x:f>
        <x:v>0.6</x:v>
      </x:c>
      <x:c r="U9" s="15" t="n">
        <x:f>S9+IF(OR(D9="Nuclear",D9="ShapedNuclear",D9="Antimatter"),0,IF(D9="Explosive",0.1,1)*0.5*R9*(O9/2)^2)</x:f>
        <x:v>133.6336</x:v>
      </x:c>
      <x:c r="V9" s="15" t="n">
        <x:f>U9*(1-T9)</x:f>
        <x:v>53.45344</x:v>
      </x:c>
      <x:c r="W9" s="15" t="n">
        <x:f>U9*J9</x:f>
        <x:v>6414.4128</x:v>
      </x:c>
      <x:c r="X9" s="17" t="n">
        <x:f>'Source data'!T60</x:f>
        <x:v>352</x:v>
      </x:c>
      <x:c r="Y9" s="15" t="n">
        <x:f>'Source data'!Y60</x:f>
        <x:v>1</x:v>
      </x:c>
      <x:c r="Z9" s="15" t="n">
        <x:f>'Source data'!AA60</x:f>
        <x:v>0.25</x:v>
      </x:c>
      <x:c r="AA9" s="15" t="n">
        <x:f>'Source data'!AB60</x:f>
        <x:v>35</x:v>
      </x:c>
      <x:c r="AB9" s="7" t="b">
        <x:f>'Source data'!G60</x:f>
        <x:v>1</x:v>
      </x:c>
      <x:c r="AC9" s="7" t="str">
        <x:v>LuminousSwarmMissileBay</x:v>
      </x:c>
    </x:row>
    <x:row r="10" ht="23" customHeight="1">
      <x:c r="A10" s="2" t="str">
        <x:v>Brilliant Sky Missile Bay</x:v>
      </x:c>
      <x:c r="B10" s="2" t="str">
        <x:v>Alien</x:v>
      </x:c>
      <x:c r="C10" s="2" t="str">
        <x:v>OneHull</x:v>
      </x:c>
      <x:c r="D10" s="2" t="str">
        <x:v>Penetrator</x:v>
      </x:c>
      <x:c r="E10" s="16" t="n">
        <x:f>'Source data'!S61</x:f>
        <x:v>16</x:v>
      </x:c>
      <x:c r="F10" s="16" t="n">
        <x:f>IF('Source data'!O61="",1,'Source data'!O61)</x:f>
        <x:v>8</x:v>
      </x:c>
      <x:c r="G10" s="14" t="n">
        <x:f>IF('Source data'!P61="",0,'Source data'!P61)</x:f>
        <x:v>1</x:v>
      </x:c>
      <x:c r="H10" s="14" t="n">
        <x:f>'Source data'!N61</x:f>
        <x:v>4</x:v>
      </x:c>
      <x:c r="I10" s="14" t="n">
        <x:f>H10+(F10-1)*G10</x:f>
        <x:v>11</x:v>
      </x:c>
      <x:c r="J10" s="14" t="n">
        <x:f>60*F10/I10</x:f>
        <x:v>43.63636363636363</x:v>
      </x:c>
      <x:c r="K10" s="14" t="n">
        <x:f>INT((E10-1)/F10)*I10+MOD(E10-1,F10)*G10</x:f>
        <x:v>18</x:v>
      </x:c>
      <x:c r="L10" s="14" t="n">
        <x:f>'Source data'!M61</x:f>
        <x:v>10</x:v>
      </x:c>
      <x:c r="M10" s="14" t="n">
        <x:f>L10+E10*X10/1000</x:f>
        <x:v>21.776</x:v>
      </x:c>
      <x:c r="N10" s="14" t="n">
        <x:f>'Source data'!K61</x:f>
        <x:v>58.17</x:v>
      </x:c>
      <x:c r="O10" s="14" t="n">
        <x:f>'Source data'!L61</x:f>
        <x:v>19.03</x:v>
      </x:c>
      <x:c r="P10" s="14" t="n">
        <x:f>'Source data'!Z61</x:f>
        <x:v>36</x:v>
      </x:c>
      <x:c r="Q10" s="16" t="n">
        <x:f>'Source data'!AD61</x:f>
        <x:v>1200</x:v>
      </x:c>
      <x:c r="R10" s="16" t="n">
        <x:f>'Source data'!W61</x:f>
        <x:v>96</x:v>
      </x:c>
      <x:c r="S10" s="14" t="n">
        <x:f>IF('Source data'!X61="",0,'Source data'!X61)</x:f>
        <x:v>0</x:v>
      </x:c>
      <x:c r="T10" s="18" t="n">
        <x:f>'Source data'!R61</x:f>
        <x:v>0.6</x:v>
      </x:c>
      <x:c r="U10" s="14" t="n">
        <x:f>S10+IF(OR(D10="Nuclear",D10="ShapedNuclear",D10="Antimatter"),0,IF(D10="Explosive",0.1,1)*0.5*R10*(O10/2)^2)</x:f>
        <x:v>4345.6908</x:v>
      </x:c>
      <x:c r="V10" s="14" t="n">
        <x:f>U10*(1-T10)</x:f>
        <x:v>1738.2763200000002</x:v>
      </x:c>
      <x:c r="W10" s="14" t="n">
        <x:f>U10*J10</x:f>
        <x:v>189630.144</x:v>
      </x:c>
      <x:c r="X10" s="16" t="n">
        <x:f>'Source data'!T61</x:f>
        <x:v>736</x:v>
      </x:c>
      <x:c r="Y10" s="14" t="n">
        <x:f>'Source data'!Y61</x:f>
        <x:v>3</x:v>
      </x:c>
      <x:c r="Z10" s="14" t="n">
        <x:f>'Source data'!AA61</x:f>
        <x:v>0.5</x:v>
      </x:c>
      <x:c r="AA10" s="14" t="n">
        <x:f>'Source data'!AB61</x:f>
        <x:v>55</x:v>
      </x:c>
      <x:c r="AB10" s="2" t="b">
        <x:f>'Source data'!G61</x:f>
        <x:v>0</x:v>
      </x:c>
      <x:c r="AC10" s="2" t="str">
        <x:v>BrilliantSkyMissileBay</x:v>
      </x:c>
    </x:row>
    <x:row r="11" ht="23" customHeight="1">
      <x:c r="A11" s="7" t="str">
        <x:v>Predatory Star Torpedo Bay</x:v>
      </x:c>
      <x:c r="B11" s="7" t="str">
        <x:v>Alien</x:v>
      </x:c>
      <x:c r="C11" s="7" t="str">
        <x:v>OneHull</x:v>
      </x:c>
      <x:c r="D11" s="7" t="str">
        <x:v>Penetrator</x:v>
      </x:c>
      <x:c r="E11" s="17" t="n">
        <x:f>'Source data'!S62</x:f>
        <x:v>8</x:v>
      </x:c>
      <x:c r="F11" s="17" t="n">
        <x:f>IF('Source data'!O62="",1,'Source data'!O62)</x:f>
        <x:v>1</x:v>
      </x:c>
      <x:c r="G11" s="15" t="n">
        <x:f>IF('Source data'!P62="",0,'Source data'!P62)</x:f>
        <x:v>0</x:v>
      </x:c>
      <x:c r="H11" s="15" t="n">
        <x:f>'Source data'!N62</x:f>
        <x:v>6</x:v>
      </x:c>
      <x:c r="I11" s="15" t="n">
        <x:f>H11+(F11-1)*G11</x:f>
        <x:v>6</x:v>
      </x:c>
      <x:c r="J11" s="15" t="n">
        <x:f>60*F11/I11</x:f>
        <x:v>10</x:v>
      </x:c>
      <x:c r="K11" s="15" t="n">
        <x:f>INT((E11-1)/F11)*I11+MOD(E11-1,F11)*G11</x:f>
        <x:v>42</x:v>
      </x:c>
      <x:c r="L11" s="15" t="n">
        <x:f>'Source data'!M62</x:f>
        <x:v>20</x:v>
      </x:c>
      <x:c r="M11" s="15" t="n">
        <x:f>L11+E11*X11/1000</x:f>
        <x:v>33.728</x:v>
      </x:c>
      <x:c r="N11" s="15" t="n">
        <x:f>'Source data'!K62</x:f>
        <x:v>24.95</x:v>
      </x:c>
      <x:c r="O11" s="15" t="n">
        <x:f>'Source data'!L62</x:f>
        <x:v>19.35</x:v>
      </x:c>
      <x:c r="P11" s="15" t="n">
        <x:f>'Source data'!Z62</x:f>
        <x:v>32</x:v>
      </x:c>
      <x:c r="Q11" s="17" t="n">
        <x:f>'Source data'!AD62</x:f>
        <x:v>1200</x:v>
      </x:c>
      <x:c r="R11" s="17" t="n">
        <x:f>'Source data'!W62</x:f>
        <x:v>256</x:v>
      </x:c>
      <x:c r="S11" s="15" t="n">
        <x:f>IF('Source data'!X62="",0,'Source data'!X62)</x:f>
        <x:v>0</x:v>
      </x:c>
      <x:c r="T11" s="19" t="n">
        <x:f>'Source data'!R62</x:f>
        <x:v>0.8</x:v>
      </x:c>
      <x:c r="U11" s="15" t="n">
        <x:f>S11+IF(OR(D11="Nuclear",D11="ShapedNuclear",D11="Antimatter"),0,IF(D11="Explosive",0.1,1)*0.5*R11*(O11/2)^2)</x:f>
        <x:v>11981.520000000002</x:v>
      </x:c>
      <x:c r="V11" s="15" t="n">
        <x:f>U11*(1-T11)</x:f>
        <x:v>2396.304</x:v>
      </x:c>
      <x:c r="W11" s="15" t="n">
        <x:f>U11*J11</x:f>
        <x:v>119815.20000000003</x:v>
      </x:c>
      <x:c r="X11" s="17" t="n">
        <x:f>'Source data'!T62</x:f>
        <x:v>1716</x:v>
      </x:c>
      <x:c r="Y11" s="15" t="n">
        <x:f>'Source data'!Y62</x:f>
        <x:v>4</x:v>
      </x:c>
      <x:c r="Z11" s="15" t="n">
        <x:f>'Source data'!AA62</x:f>
        <x:v>1</x:v>
      </x:c>
      <x:c r="AA11" s="15" t="n">
        <x:f>'Source data'!AB62</x:f>
        <x:v>30</x:v>
      </x:c>
      <x:c r="AB11" s="7" t="b">
        <x:f>'Source data'!G62</x:f>
        <x:v>0</x:v>
      </x:c>
      <x:c r="AC11" s="7" t="str">
        <x:v>PredatoryStarTorpedoBay</x:v>
      </x:c>
    </x:row>
    <x:row r="12" ht="23" customHeight="1">
      <x:c r="A12" s="2" t="str">
        <x:v>Krait Missile Bay</x:v>
      </x:c>
      <x:c r="B12" s="2" t="str">
        <x:v>Human</x:v>
      </x:c>
      <x:c r="C12" s="2" t="str">
        <x:v>OneHull</x:v>
      </x:c>
      <x:c r="D12" s="2" t="str">
        <x:v>Explosive</x:v>
      </x:c>
      <x:c r="E12" s="16" t="n">
        <x:f>'Source data'!S6</x:f>
        <x:v>12</x:v>
      </x:c>
      <x:c r="F12" s="16" t="n">
        <x:f>IF('Source data'!O6="",1,'Source data'!O6)</x:f>
        <x:v>6</x:v>
      </x:c>
      <x:c r="G12" s="14" t="n">
        <x:f>IF('Source data'!P6="",0,'Source data'!P6)</x:f>
        <x:v>1</x:v>
      </x:c>
      <x:c r="H12" s="14" t="n">
        <x:f>'Source data'!N6</x:f>
        <x:v>5</x:v>
      </x:c>
      <x:c r="I12" s="14" t="n">
        <x:f>H12+(F12-1)*G12</x:f>
        <x:v>10</x:v>
      </x:c>
      <x:c r="J12" s="14" t="n">
        <x:f>60*F12/I12</x:f>
        <x:v>36</x:v>
      </x:c>
      <x:c r="K12" s="14" t="n">
        <x:f>INT((E12-1)/F12)*I12+MOD(E12-1,F12)*G12</x:f>
        <x:v>15</x:v>
      </x:c>
      <x:c r="L12" s="14" t="n">
        <x:f>'Source data'!M6</x:f>
        <x:v>15</x:v>
      </x:c>
      <x:c r="M12" s="14" t="n">
        <x:f>L12+E12*X12/1000</x:f>
        <x:v>34.2</x:v>
      </x:c>
      <x:c r="N12" s="14" t="n">
        <x:f>'Source data'!K6</x:f>
        <x:v>4.46</x:v>
      </x:c>
      <x:c r="O12" s="14" t="n">
        <x:f>'Source data'!L6</x:f>
        <x:v>3.33</x:v>
      </x:c>
      <x:c r="P12" s="14" t="n">
        <x:f>'Source data'!Z6</x:f>
        <x:v>25</x:v>
      </x:c>
      <x:c r="Q12" s="16" t="n">
        <x:f>'Source data'!AD6</x:f>
        <x:v>800</x:v>
      </x:c>
      <x:c r="R12" s="16" t="n">
        <x:f>'Source data'!W6</x:f>
        <x:v>200</x:v>
      </x:c>
      <x:c r="S12" s="14" t="n">
        <x:f>IF('Source data'!X6="",0,'Source data'!X6)</x:f>
        <x:v>240</x:v>
      </x:c>
      <x:c r="T12" s="18" t="n">
        <x:f>'Source data'!R6</x:f>
        <x:v>0.8</x:v>
      </x:c>
      <x:c r="U12" s="14" t="n">
        <x:f>S12+IF(OR(D12="Nuclear",D12="ShapedNuclear",D12="Antimatter"),0,IF(D12="Explosive",0.1,1)*0.5*R12*(O12/2)^2)</x:f>
        <x:v>267.72225000000003</x:v>
      </x:c>
      <x:c r="V12" s="14" t="n">
        <x:f>U12*(1-T12)</x:f>
        <x:v>53.54445</x:v>
      </x:c>
      <x:c r="W12" s="14" t="n">
        <x:f>U12*J12</x:f>
        <x:v>9638.001</x:v>
      </x:c>
      <x:c r="X12" s="16" t="n">
        <x:f>'Source data'!T6</x:f>
        <x:v>1600</x:v>
      </x:c>
      <x:c r="Y12" s="14" t="n">
        <x:f>'Source data'!Y6</x:f>
        <x:v>4</x:v>
      </x:c>
      <x:c r="Z12" s="14" t="n">
        <x:f>'Source data'!AA6</x:f>
        <x:v>1</x:v>
      </x:c>
      <x:c r="AA12" s="14" t="n">
        <x:f>'Source data'!AB6</x:f>
        <x:v>60</x:v>
      </x:c>
      <x:c r="AB12" s="2" t="b">
        <x:f>'Source data'!G6</x:f>
        <x:v>0</x:v>
      </x:c>
      <x:c r="AC12" s="2" t="str">
        <x:v>KraitMissileBay</x:v>
      </x:c>
    </x:row>
    <x:row r="13" ht="23" customHeight="1">
      <x:c r="A13" s="7" t="str">
        <x:v>Anaconda Missile Bay</x:v>
      </x:c>
      <x:c r="B13" s="7" t="str">
        <x:v>Human</x:v>
      </x:c>
      <x:c r="C13" s="7" t="str">
        <x:v>OneHull</x:v>
      </x:c>
      <x:c r="D13" s="7" t="str">
        <x:v>Explosive</x:v>
      </x:c>
      <x:c r="E13" s="17" t="n">
        <x:f>'Source data'!S7</x:f>
        <x:v>16</x:v>
      </x:c>
      <x:c r="F13" s="17" t="n">
        <x:f>IF('Source data'!O7="",1,'Source data'!O7)</x:f>
        <x:v>8</x:v>
      </x:c>
      <x:c r="G13" s="15" t="n">
        <x:f>IF('Source data'!P7="",0,'Source data'!P7)</x:f>
        <x:v>1</x:v>
      </x:c>
      <x:c r="H13" s="15" t="n">
        <x:f>'Source data'!N7</x:f>
        <x:v>5</x:v>
      </x:c>
      <x:c r="I13" s="15" t="n">
        <x:f>H13+(F13-1)*G13</x:f>
        <x:v>12</x:v>
      </x:c>
      <x:c r="J13" s="15" t="n">
        <x:f>60*F13/I13</x:f>
        <x:v>40</x:v>
      </x:c>
      <x:c r="K13" s="15" t="n">
        <x:f>INT((E13-1)/F13)*I13+MOD(E13-1,F13)*G13</x:f>
        <x:v>19</x:v>
      </x:c>
      <x:c r="L13" s="15" t="n">
        <x:f>'Source data'!M7</x:f>
        <x:v>10</x:v>
      </x:c>
      <x:c r="M13" s="15" t="n">
        <x:f>L13+E13*X13/1000</x:f>
        <x:v>35.6</x:v>
      </x:c>
      <x:c r="N13" s="15" t="n">
        <x:f>'Source data'!K7</x:f>
        <x:v>14.94</x:v>
      </x:c>
      <x:c r="O13" s="15" t="n">
        <x:f>'Source data'!L7</x:f>
        <x:v>3.76</x:v>
      </x:c>
      <x:c r="P13" s="15" t="n">
        <x:f>'Source data'!Z7</x:f>
        <x:v>30</x:v>
      </x:c>
      <x:c r="Q13" s="17" t="n">
        <x:f>'Source data'!AD7</x:f>
        <x:v>800</x:v>
      </x:c>
      <x:c r="R13" s="17" t="n">
        <x:f>'Source data'!W7</x:f>
        <x:v>200</x:v>
      </x:c>
      <x:c r="S13" s="15" t="n">
        <x:f>IF('Source data'!X7="",0,'Source data'!X7)</x:f>
        <x:v>360</x:v>
      </x:c>
      <x:c r="T13" s="19" t="n">
        <x:f>'Source data'!R7</x:f>
        <x:v>0.8</x:v>
      </x:c>
      <x:c r="U13" s="15" t="n">
        <x:f>S13+IF(OR(D13="Nuclear",D13="ShapedNuclear",D13="Antimatter"),0,IF(D13="Explosive",0.1,1)*0.5*R13*(O13/2)^2)</x:f>
        <x:v>395.344</x:v>
      </x:c>
      <x:c r="V13" s="15" t="n">
        <x:f>U13*(1-T13)</x:f>
        <x:v>79.06879999999998</x:v>
      </x:c>
      <x:c r="W13" s="15" t="n">
        <x:f>U13*J13</x:f>
        <x:v>15813.76</x:v>
      </x:c>
      <x:c r="X13" s="17" t="n">
        <x:f>'Source data'!T7</x:f>
        <x:v>1600</x:v>
      </x:c>
      <x:c r="Y13" s="15" t="n">
        <x:f>'Source data'!Y7</x:f>
        <x:v>6</x:v>
      </x:c>
      <x:c r="Z13" s="15" t="n">
        <x:f>'Source data'!AA7</x:f>
        <x:v>1</x:v>
      </x:c>
      <x:c r="AA13" s="15" t="n">
        <x:f>'Source data'!AB7</x:f>
        <x:v>50</x:v>
      </x:c>
      <x:c r="AB13" s="7" t="b">
        <x:f>'Source data'!G7</x:f>
        <x:v>0</x:v>
      </x:c>
      <x:c r="AC13" s="7" t="str">
        <x:v>AnacondaMissileBay</x:v>
      </x:c>
    </x:row>
    <x:row r="14" ht="23" customHeight="1">
      <x:c r="A14" s="2" t="str">
        <x:v>Cobra Missile Bay</x:v>
      </x:c>
      <x:c r="B14" s="2" t="str">
        <x:v>Human</x:v>
      </x:c>
      <x:c r="C14" s="2" t="str">
        <x:v>OneHull</x:v>
      </x:c>
      <x:c r="D14" s="2" t="str">
        <x:v>Explosive</x:v>
      </x:c>
      <x:c r="E14" s="16" t="n">
        <x:f>'Source data'!S8</x:f>
        <x:v>16</x:v>
      </x:c>
      <x:c r="F14" s="16" t="n">
        <x:f>IF('Source data'!O8="",1,'Source data'!O8)</x:f>
        <x:v>8</x:v>
      </x:c>
      <x:c r="G14" s="14" t="n">
        <x:f>IF('Source data'!P8="",0,'Source data'!P8)</x:f>
        <x:v>1</x:v>
      </x:c>
      <x:c r="H14" s="14" t="n">
        <x:f>'Source data'!N8</x:f>
        <x:v>5</x:v>
      </x:c>
      <x:c r="I14" s="14" t="n">
        <x:f>H14+(F14-1)*G14</x:f>
        <x:v>12</x:v>
      </x:c>
      <x:c r="J14" s="14" t="n">
        <x:f>60*F14/I14</x:f>
        <x:v>40</x:v>
      </x:c>
      <x:c r="K14" s="14" t="n">
        <x:f>INT((E14-1)/F14)*I14+MOD(E14-1,F14)*G14</x:f>
        <x:v>19</x:v>
      </x:c>
      <x:c r="L14" s="14" t="n">
        <x:f>'Source data'!M8</x:f>
        <x:v>10</x:v>
      </x:c>
      <x:c r="M14" s="14" t="n">
        <x:f>L14+E14*X14/1000</x:f>
        <x:v>35.6</x:v>
      </x:c>
      <x:c r="N14" s="14" t="n">
        <x:f>'Source data'!K8</x:f>
        <x:v>14.94</x:v>
      </x:c>
      <x:c r="O14" s="14" t="n">
        <x:f>'Source data'!L8</x:f>
        <x:v>3.17</x:v>
      </x:c>
      <x:c r="P14" s="14" t="n">
        <x:f>'Source data'!Z8</x:f>
        <x:v>30</x:v>
      </x:c>
      <x:c r="Q14" s="16" t="n">
        <x:f>'Source data'!AD8</x:f>
        <x:v>800</x:v>
      </x:c>
      <x:c r="R14" s="16" t="n">
        <x:f>'Source data'!W8</x:f>
        <x:v>300</x:v>
      </x:c>
      <x:c r="S14" s="14" t="n">
        <x:f>IF('Source data'!X8="",0,'Source data'!X8)</x:f>
        <x:v>540</x:v>
      </x:c>
      <x:c r="T14" s="18" t="n">
        <x:f>'Source data'!R8</x:f>
        <x:v>0.8</x:v>
      </x:c>
      <x:c r="U14" s="14" t="n">
        <x:f>S14+IF(OR(D14="Nuclear",D14="ShapedNuclear",D14="Antimatter"),0,IF(D14="Explosive",0.1,1)*0.5*R14*(O14/2)^2)</x:f>
        <x:v>577.683375</x:v>
      </x:c>
      <x:c r="V14" s="14" t="n">
        <x:f>U14*(1-T14)</x:f>
        <x:v>115.53667499999996</x:v>
      </x:c>
      <x:c r="W14" s="14" t="n">
        <x:f>U14*J14</x:f>
        <x:v>23107.335</x:v>
      </x:c>
      <x:c r="X14" s="16" t="n">
        <x:f>'Source data'!T8</x:f>
        <x:v>1600</x:v>
      </x:c>
      <x:c r="Y14" s="14" t="n">
        <x:f>'Source data'!Y8</x:f>
        <x:v>6</x:v>
      </x:c>
      <x:c r="Z14" s="14" t="n">
        <x:f>'Source data'!AA8</x:f>
        <x:v>1</x:v>
      </x:c>
      <x:c r="AA14" s="14" t="n">
        <x:f>'Source data'!AB8</x:f>
        <x:v>50</x:v>
      </x:c>
      <x:c r="AB14" s="2" t="b">
        <x:f>'Source data'!G8</x:f>
        <x:v>0</x:v>
      </x:c>
      <x:c r="AC14" s="2" t="str">
        <x:v>CobraMissileBay</x:v>
      </x:c>
    </x:row>
    <x:row r="15" ht="23" customHeight="1">
      <x:c r="A15" s="7" t="str">
        <x:v>Racer Missile Bay</x:v>
      </x:c>
      <x:c r="B15" s="7" t="str">
        <x:v>Human</x:v>
      </x:c>
      <x:c r="C15" s="7" t="str">
        <x:v>OneHull</x:v>
      </x:c>
      <x:c r="D15" s="7" t="str">
        <x:v>Fragmentation</x:v>
      </x:c>
      <x:c r="E15" s="17" t="n">
        <x:f>'Source data'!S9</x:f>
        <x:v>36</x:v>
      </x:c>
      <x:c r="F15" s="17" t="n">
        <x:f>IF('Source data'!O9="",1,'Source data'!O9)</x:f>
        <x:v>6</x:v>
      </x:c>
      <x:c r="G15" s="15" t="n">
        <x:f>IF('Source data'!P9="",0,'Source data'!P9)</x:f>
        <x:v>1</x:v>
      </x:c>
      <x:c r="H15" s="15" t="n">
        <x:f>'Source data'!N9</x:f>
        <x:v>3</x:v>
      </x:c>
      <x:c r="I15" s="15" t="n">
        <x:f>H15+(F15-1)*G15</x:f>
        <x:v>8</x:v>
      </x:c>
      <x:c r="J15" s="15" t="n">
        <x:f>60*F15/I15</x:f>
        <x:v>45</x:v>
      </x:c>
      <x:c r="K15" s="15" t="n">
        <x:f>INT((E15-1)/F15)*I15+MOD(E15-1,F15)*G15</x:f>
        <x:v>45</x:v>
      </x:c>
      <x:c r="L15" s="15" t="n">
        <x:f>'Source data'!M9</x:f>
        <x:v>10</x:v>
      </x:c>
      <x:c r="M15" s="15" t="n">
        <x:f>L15+E15*X15/1000</x:f>
        <x:v>24.4</x:v>
      </x:c>
      <x:c r="N15" s="15" t="n">
        <x:f>'Source data'!K9</x:f>
        <x:v>29.89</x:v>
      </x:c>
      <x:c r="O15" s="15" t="n">
        <x:f>'Source data'!L9</x:f>
        <x:v>2.67</x:v>
      </x:c>
      <x:c r="P15" s="15" t="n">
        <x:f>'Source data'!Z9</x:f>
        <x:v>40</x:v>
      </x:c>
      <x:c r="Q15" s="17" t="n">
        <x:f>'Source data'!AD9</x:f>
        <x:v>500</x:v>
      </x:c>
      <x:c r="R15" s="17" t="n">
        <x:f>'Source data'!W9</x:f>
        <x:v>25</x:v>
      </x:c>
      <x:c r="S15" s="15" t="n">
        <x:f>IF('Source data'!X9="",0,'Source data'!X9)</x:f>
        <x:v>0</x:v>
      </x:c>
      <x:c r="T15" s="19" t="n">
        <x:f>'Source data'!R9</x:f>
        <x:v>0.5</x:v>
      </x:c>
      <x:c r="U15" s="15" t="n">
        <x:f>S15+IF(OR(D15="Nuclear",D15="ShapedNuclear",D15="Antimatter"),0,IF(D15="Explosive",0.1,1)*0.5*R15*(O15/2)^2)</x:f>
        <x:v>22.2778125</x:v>
      </x:c>
      <x:c r="V15" s="15" t="n">
        <x:f>U15*(1-T15)</x:f>
        <x:v>11.13890625</x:v>
      </x:c>
      <x:c r="W15" s="15" t="n">
        <x:f>U15*J15</x:f>
        <x:v>1002.5015625</x:v>
      </x:c>
      <x:c r="X15" s="17" t="n">
        <x:f>'Source data'!T9</x:f>
        <x:v>400</x:v>
      </x:c>
      <x:c r="Y15" s="15" t="n">
        <x:f>'Source data'!Y9</x:f>
        <x:v>2</x:v>
      </x:c>
      <x:c r="Z15" s="15" t="n">
        <x:f>'Source data'!AA9</x:f>
        <x:v>0.5</x:v>
      </x:c>
      <x:c r="AA15" s="15" t="n">
        <x:f>'Source data'!AB9</x:f>
        <x:v>35</x:v>
      </x:c>
      <x:c r="AB15" s="7" t="b">
        <x:f>'Source data'!G9</x:f>
        <x:v>1</x:v>
      </x:c>
      <x:c r="AC15" s="7" t="str">
        <x:v>RacerMissileBay</x:v>
      </x:c>
    </x:row>
    <x:row r="16" ht="23" customHeight="1">
      <x:c r="A16" s="2" t="str">
        <x:v>Rattler Missile Bay</x:v>
      </x:c>
      <x:c r="B16" s="2" t="str">
        <x:v>Human</x:v>
      </x:c>
      <x:c r="C16" s="2" t="str">
        <x:v>OneHull</x:v>
      </x:c>
      <x:c r="D16" s="2" t="str">
        <x:v>Fragmentation</x:v>
      </x:c>
      <x:c r="E16" s="16" t="n">
        <x:f>'Source data'!S10</x:f>
        <x:v>16</x:v>
      </x:c>
      <x:c r="F16" s="16" t="n">
        <x:f>IF('Source data'!O10="",1,'Source data'!O10)</x:f>
        <x:v>8</x:v>
      </x:c>
      <x:c r="G16" s="14" t="n">
        <x:f>IF('Source data'!P10="",0,'Source data'!P10)</x:f>
        <x:v>1</x:v>
      </x:c>
      <x:c r="H16" s="14" t="n">
        <x:f>'Source data'!N10</x:f>
        <x:v>5</x:v>
      </x:c>
      <x:c r="I16" s="14" t="n">
        <x:f>H16+(F16-1)*G16</x:f>
        <x:v>12</x:v>
      </x:c>
      <x:c r="J16" s="14" t="n">
        <x:f>60*F16/I16</x:f>
        <x:v>40</x:v>
      </x:c>
      <x:c r="K16" s="14" t="n">
        <x:f>INT((E16-1)/F16)*I16+MOD(E16-1,F16)*G16</x:f>
        <x:v>19</x:v>
      </x:c>
      <x:c r="L16" s="14" t="n">
        <x:f>'Source data'!M10</x:f>
        <x:v>5</x:v>
      </x:c>
      <x:c r="M16" s="14" t="n">
        <x:f>L16+E16*X16/1000</x:f>
        <x:v>30.6</x:v>
      </x:c>
      <x:c r="N16" s="14" t="n">
        <x:f>'Source data'!K10</x:f>
        <x:v>14.94</x:v>
      </x:c>
      <x:c r="O16" s="14" t="n">
        <x:f>'Source data'!L10</x:f>
        <x:v>4.48</x:v>
      </x:c>
      <x:c r="P16" s="14" t="n">
        <x:f>'Source data'!Z10</x:f>
        <x:v>30</x:v>
      </x:c>
      <x:c r="Q16" s="16" t="n">
        <x:f>'Source data'!AD10</x:f>
        <x:v>800</x:v>
      </x:c>
      <x:c r="R16" s="16" t="n">
        <x:f>'Source data'!W10</x:f>
        <x:v>50</x:v>
      </x:c>
      <x:c r="S16" s="14" t="n">
        <x:f>IF('Source data'!X10="",0,'Source data'!X10)</x:f>
        <x:v>0</x:v>
      </x:c>
      <x:c r="T16" s="18" t="n">
        <x:f>'Source data'!R10</x:f>
        <x:v>0.5</x:v>
      </x:c>
      <x:c r="U16" s="14" t="n">
        <x:f>S16+IF(OR(D16="Nuclear",D16="ShapedNuclear",D16="Antimatter"),0,IF(D16="Explosive",0.1,1)*0.5*R16*(O16/2)^2)</x:f>
        <x:v>125.44000000000001</x:v>
      </x:c>
      <x:c r="V16" s="14" t="n">
        <x:f>U16*(1-T16)</x:f>
        <x:v>62.720000000000006</x:v>
      </x:c>
      <x:c r="W16" s="14" t="n">
        <x:f>U16*J16</x:f>
        <x:v>5017.6</x:v>
      </x:c>
      <x:c r="X16" s="16" t="n">
        <x:f>'Source data'!T10</x:f>
        <x:v>1600</x:v>
      </x:c>
      <x:c r="Y16" s="14" t="n">
        <x:f>'Source data'!Y10</x:f>
        <x:v>3</x:v>
      </x:c>
      <x:c r="Z16" s="14" t="n">
        <x:f>'Source data'!AA10</x:f>
        <x:v>0.75</x:v>
      </x:c>
      <x:c r="AA16" s="14" t="n">
        <x:f>'Source data'!AB10</x:f>
        <x:v>55</x:v>
      </x:c>
      <x:c r="AB16" s="2" t="b">
        <x:f>'Source data'!G10</x:f>
        <x:v>1</x:v>
      </x:c>
      <x:c r="AC16" s="2" t="str">
        <x:v>RattlerMissileBay</x:v>
      </x:c>
    </x:row>
    <x:row r="17" ht="23" customHeight="1">
      <x:c r="A17" s="7" t="str">
        <x:v>Riverjack Missile Bay</x:v>
      </x:c>
      <x:c r="B17" s="7" t="str">
        <x:v>Human</x:v>
      </x:c>
      <x:c r="C17" s="7" t="str">
        <x:v>OneHull</x:v>
      </x:c>
      <x:c r="D17" s="7" t="str">
        <x:v>Fragmentation</x:v>
      </x:c>
      <x:c r="E17" s="17" t="n">
        <x:f>'Source data'!S11</x:f>
        <x:v>16</x:v>
      </x:c>
      <x:c r="F17" s="17" t="n">
        <x:f>IF('Source data'!O11="",1,'Source data'!O11)</x:f>
        <x:v>8</x:v>
      </x:c>
      <x:c r="G17" s="15" t="n">
        <x:f>IF('Source data'!P11="",0,'Source data'!P11)</x:f>
        <x:v>1</x:v>
      </x:c>
      <x:c r="H17" s="15" t="n">
        <x:f>'Source data'!N11</x:f>
        <x:v>5</x:v>
      </x:c>
      <x:c r="I17" s="15" t="n">
        <x:f>H17+(F17-1)*G17</x:f>
        <x:v>12</x:v>
      </x:c>
      <x:c r="J17" s="15" t="n">
        <x:f>60*F17/I17</x:f>
        <x:v>40</x:v>
      </x:c>
      <x:c r="K17" s="15" t="n">
        <x:f>INT((E17-1)/F17)*I17+MOD(E17-1,F17)*G17</x:f>
        <x:v>19</x:v>
      </x:c>
      <x:c r="L17" s="15" t="n">
        <x:f>'Source data'!M11</x:f>
        <x:v>5</x:v>
      </x:c>
      <x:c r="M17" s="15" t="n">
        <x:f>L17+E17*X17/1000</x:f>
        <x:v>30.6</x:v>
      </x:c>
      <x:c r="N17" s="15" t="n">
        <x:f>'Source data'!K11</x:f>
        <x:v>14.94</x:v>
      </x:c>
      <x:c r="O17" s="15" t="n">
        <x:f>'Source data'!L11</x:f>
        <x:v>3.76</x:v>
      </x:c>
      <x:c r="P17" s="15" t="n">
        <x:f>'Source data'!Z11</x:f>
        <x:v>30</x:v>
      </x:c>
      <x:c r="Q17" s="17" t="n">
        <x:f>'Source data'!AD11</x:f>
        <x:v>800</x:v>
      </x:c>
      <x:c r="R17" s="17" t="n">
        <x:f>'Source data'!W11</x:f>
        <x:v>150</x:v>
      </x:c>
      <x:c r="S17" s="15" t="n">
        <x:f>IF('Source data'!X11="",0,'Source data'!X11)</x:f>
        <x:v>0</x:v>
      </x:c>
      <x:c r="T17" s="19" t="n">
        <x:f>'Source data'!R11</x:f>
        <x:v>0.5</x:v>
      </x:c>
      <x:c r="U17" s="15" t="n">
        <x:f>S17+IF(OR(D17="Nuclear",D17="ShapedNuclear",D17="Antimatter"),0,IF(D17="Explosive",0.1,1)*0.5*R17*(O17/2)^2)</x:f>
        <x:v>265.08</x:v>
      </x:c>
      <x:c r="V17" s="15" t="n">
        <x:f>U17*(1-T17)</x:f>
        <x:v>132.54</x:v>
      </x:c>
      <x:c r="W17" s="15" t="n">
        <x:f>U17*J17</x:f>
        <x:v>10603.199999999999</x:v>
      </x:c>
      <x:c r="X17" s="17" t="n">
        <x:f>'Source data'!T11</x:f>
        <x:v>1600</x:v>
      </x:c>
      <x:c r="Y17" s="15" t="n">
        <x:f>'Source data'!Y11</x:f>
        <x:v>3</x:v>
      </x:c>
      <x:c r="Z17" s="15" t="n">
        <x:f>'Source data'!AA11</x:f>
        <x:v>0.75</x:v>
      </x:c>
      <x:c r="AA17" s="15" t="n">
        <x:f>'Source data'!AB11</x:f>
        <x:v>55</x:v>
      </x:c>
      <x:c r="AB17" s="7" t="b">
        <x:f>'Source data'!G11</x:f>
        <x:v>1</x:v>
      </x:c>
      <x:c r="AC17" s="7" t="str">
        <x:v>RiverjackMissileBay</x:v>
      </x:c>
    </x:row>
    <x:row r="18" ht="23" customHeight="1">
      <x:c r="A18" s="2" t="str">
        <x:v>Harlequin Missile Bay</x:v>
      </x:c>
      <x:c r="B18" s="2" t="str">
        <x:v>Human</x:v>
      </x:c>
      <x:c r="C18" s="2" t="str">
        <x:v>OneHull</x:v>
      </x:c>
      <x:c r="D18" s="2" t="str">
        <x:v>Penetrator</x:v>
      </x:c>
      <x:c r="E18" s="16" t="n">
        <x:f>'Source data'!S12</x:f>
        <x:v>16</x:v>
      </x:c>
      <x:c r="F18" s="16" t="n">
        <x:f>IF('Source data'!O12="",1,'Source data'!O12)</x:f>
        <x:v>8</x:v>
      </x:c>
      <x:c r="G18" s="14" t="n">
        <x:f>IF('Source data'!P12="",0,'Source data'!P12)</x:f>
        <x:v>1</x:v>
      </x:c>
      <x:c r="H18" s="14" t="n">
        <x:f>'Source data'!N12</x:f>
        <x:v>5</x:v>
      </x:c>
      <x:c r="I18" s="14" t="n">
        <x:f>H18+(F18-1)*G18</x:f>
        <x:v>12</x:v>
      </x:c>
      <x:c r="J18" s="14" t="n">
        <x:f>60*F18/I18</x:f>
        <x:v>40</x:v>
      </x:c>
      <x:c r="K18" s="14" t="n">
        <x:f>INT((E18-1)/F18)*I18+MOD(E18-1,F18)*G18</x:f>
        <x:v>19</x:v>
      </x:c>
      <x:c r="L18" s="14" t="n">
        <x:f>'Source data'!M12</x:f>
        <x:v>5</x:v>
      </x:c>
      <x:c r="M18" s="14" t="n">
        <x:f>L18+E18*X18/1000</x:f>
        <x:v>30.6</x:v>
      </x:c>
      <x:c r="N18" s="14" t="n">
        <x:f>'Source data'!K12</x:f>
        <x:v>14.94</x:v>
      </x:c>
      <x:c r="O18" s="14" t="n">
        <x:f>'Source data'!L12</x:f>
        <x:v>4.48</x:v>
      </x:c>
      <x:c r="P18" s="14" t="n">
        <x:f>'Source data'!Z12</x:f>
        <x:v>25</x:v>
      </x:c>
      <x:c r="Q18" s="16" t="n">
        <x:f>'Source data'!AD12</x:f>
        <x:v>800</x:v>
      </x:c>
      <x:c r="R18" s="16" t="n">
        <x:f>'Source data'!W12</x:f>
        <x:v>50</x:v>
      </x:c>
      <x:c r="S18" s="14" t="n">
        <x:f>IF('Source data'!X12="",0,'Source data'!X12)</x:f>
        <x:v>0</x:v>
      </x:c>
      <x:c r="T18" s="18" t="n">
        <x:f>'Source data'!R12</x:f>
        <x:v>0.6</x:v>
      </x:c>
      <x:c r="U18" s="14" t="n">
        <x:f>S18+IF(OR(D18="Nuclear",D18="ShapedNuclear",D18="Antimatter"),0,IF(D18="Explosive",0.1,1)*0.5*R18*(O18/2)^2)</x:f>
        <x:v>125.44000000000001</x:v>
      </x:c>
      <x:c r="V18" s="14" t="n">
        <x:f>U18*(1-T18)</x:f>
        <x:v>50.17600000000001</x:v>
      </x:c>
      <x:c r="W18" s="14" t="n">
        <x:f>U18*J18</x:f>
        <x:v>5017.6</x:v>
      </x:c>
      <x:c r="X18" s="16" t="n">
        <x:f>'Source data'!T12</x:f>
        <x:v>1600</x:v>
      </x:c>
      <x:c r="Y18" s="14" t="n">
        <x:f>'Source data'!Y12</x:f>
        <x:v>6</x:v>
      </x:c>
      <x:c r="Z18" s="14" t="n">
        <x:f>'Source data'!AA12</x:f>
        <x:v>1</x:v>
      </x:c>
      <x:c r="AA18" s="14" t="n">
        <x:f>'Source data'!AB12</x:f>
        <x:v>45</x:v>
      </x:c>
      <x:c r="AB18" s="2" t="b">
        <x:f>'Source data'!G12</x:f>
        <x:v>0</x:v>
      </x:c>
      <x:c r="AC18" s="2" t="str">
        <x:v>HarlequinMissileBay</x:v>
      </x:c>
    </x:row>
    <x:row r="19" ht="23" customHeight="1">
      <x:c r="A19" s="7" t="str">
        <x:v>Keelback Missile Bay</x:v>
      </x:c>
      <x:c r="B19" s="7" t="str">
        <x:v>Human</x:v>
      </x:c>
      <x:c r="C19" s="7" t="str">
        <x:v>OneHull</x:v>
      </x:c>
      <x:c r="D19" s="7" t="str">
        <x:v>Penetrator</x:v>
      </x:c>
      <x:c r="E19" s="17" t="n">
        <x:f>'Source data'!S13</x:f>
        <x:v>16</x:v>
      </x:c>
      <x:c r="F19" s="17" t="n">
        <x:f>IF('Source data'!O13="",1,'Source data'!O13)</x:f>
        <x:v>8</x:v>
      </x:c>
      <x:c r="G19" s="15" t="n">
        <x:f>IF('Source data'!P13="",0,'Source data'!P13)</x:f>
        <x:v>1</x:v>
      </x:c>
      <x:c r="H19" s="15" t="n">
        <x:f>'Source data'!N13</x:f>
        <x:v>5</x:v>
      </x:c>
      <x:c r="I19" s="15" t="n">
        <x:f>H19+(F19-1)*G19</x:f>
        <x:v>12</x:v>
      </x:c>
      <x:c r="J19" s="15" t="n">
        <x:f>60*F19/I19</x:f>
        <x:v>40</x:v>
      </x:c>
      <x:c r="K19" s="15" t="n">
        <x:f>INT((E19-1)/F19)*I19+MOD(E19-1,F19)*G19</x:f>
        <x:v>19</x:v>
      </x:c>
      <x:c r="L19" s="15" t="n">
        <x:f>'Source data'!M13</x:f>
        <x:v>5</x:v>
      </x:c>
      <x:c r="M19" s="15" t="n">
        <x:f>L19+E19*X19/1000</x:f>
        <x:v>30.6</x:v>
      </x:c>
      <x:c r="N19" s="15" t="n">
        <x:f>'Source data'!K13</x:f>
        <x:v>14.94</x:v>
      </x:c>
      <x:c r="O19" s="15" t="n">
        <x:f>'Source data'!L13</x:f>
        <x:v>3.76</x:v>
      </x:c>
      <x:c r="P19" s="15" t="n">
        <x:f>'Source data'!Z13</x:f>
        <x:v>25</x:v>
      </x:c>
      <x:c r="Q19" s="17" t="n">
        <x:f>'Source data'!AD13</x:f>
        <x:v>800</x:v>
      </x:c>
      <x:c r="R19" s="17" t="n">
        <x:f>'Source data'!W13</x:f>
        <x:v>150</x:v>
      </x:c>
      <x:c r="S19" s="15" t="n">
        <x:f>IF('Source data'!X13="",0,'Source data'!X13)</x:f>
        <x:v>0</x:v>
      </x:c>
      <x:c r="T19" s="19" t="n">
        <x:f>'Source data'!R13</x:f>
        <x:v>0.6</x:v>
      </x:c>
      <x:c r="U19" s="15" t="n">
        <x:f>S19+IF(OR(D19="Nuclear",D19="ShapedNuclear",D19="Antimatter"),0,IF(D19="Explosive",0.1,1)*0.5*R19*(O19/2)^2)</x:f>
        <x:v>265.08</x:v>
      </x:c>
      <x:c r="V19" s="15" t="n">
        <x:f>U19*(1-T19)</x:f>
        <x:v>106.032</x:v>
      </x:c>
      <x:c r="W19" s="15" t="n">
        <x:f>U19*J19</x:f>
        <x:v>10603.199999999999</x:v>
      </x:c>
      <x:c r="X19" s="17" t="n">
        <x:f>'Source data'!T13</x:f>
        <x:v>1600</x:v>
      </x:c>
      <x:c r="Y19" s="15" t="n">
        <x:f>'Source data'!Y13</x:f>
        <x:v>6</x:v>
      </x:c>
      <x:c r="Z19" s="15" t="n">
        <x:f>'Source data'!AA13</x:f>
        <x:v>1</x:v>
      </x:c>
      <x:c r="AA19" s="15" t="n">
        <x:f>'Source data'!AB13</x:f>
        <x:v>45</x:v>
      </x:c>
      <x:c r="AB19" s="7" t="b">
        <x:f>'Source data'!G13</x:f>
        <x:v>0</x:v>
      </x:c>
      <x:c r="AC19" s="7" t="str">
        <x:v>KeelbackMissileBay</x:v>
      </x:c>
    </x:row>
    <x:row r="20" ht="23" customHeight="1">
      <x:c r="A20" s="2" t="str">
        <x:v>Copperhead Missile Bay</x:v>
      </x:c>
      <x:c r="B20" s="2" t="str">
        <x:v>Human</x:v>
      </x:c>
      <x:c r="C20" s="2" t="str">
        <x:v>OneHull</x:v>
      </x:c>
      <x:c r="D20" s="2" t="str">
        <x:v>Explosive</x:v>
      </x:c>
      <x:c r="E20" s="16" t="n">
        <x:f>'Source data'!S14</x:f>
        <x:v>16</x:v>
      </x:c>
      <x:c r="F20" s="16" t="n">
        <x:f>IF('Source data'!O14="",1,'Source data'!O14)</x:f>
        <x:v>8</x:v>
      </x:c>
      <x:c r="G20" s="14" t="n">
        <x:f>IF('Source data'!P14="",0,'Source data'!P14)</x:f>
        <x:v>1</x:v>
      </x:c>
      <x:c r="H20" s="14" t="n">
        <x:f>'Source data'!N14</x:f>
        <x:v>5</x:v>
      </x:c>
      <x:c r="I20" s="14" t="n">
        <x:f>H20+(F20-1)*G20</x:f>
        <x:v>12</x:v>
      </x:c>
      <x:c r="J20" s="14" t="n">
        <x:f>60*F20/I20</x:f>
        <x:v>40</x:v>
      </x:c>
      <x:c r="K20" s="14" t="n">
        <x:f>INT((E20-1)/F20)*I20+MOD(E20-1,F20)*G20</x:f>
        <x:v>19</x:v>
      </x:c>
      <x:c r="L20" s="14" t="n">
        <x:f>'Source data'!M14</x:f>
        <x:v>15</x:v>
      </x:c>
      <x:c r="M20" s="14" t="n">
        <x:f>L20+E20*X20/1000</x:f>
        <x:v>40.6</x:v>
      </x:c>
      <x:c r="N20" s="14" t="n">
        <x:f>'Source data'!K14</x:f>
        <x:v>18.27</x:v>
      </x:c>
      <x:c r="O20" s="14" t="n">
        <x:f>'Source data'!L14</x:f>
        <x:v>3.68</x:v>
      </x:c>
      <x:c r="P20" s="14" t="n">
        <x:f>'Source data'!Z14</x:f>
        <x:v>25</x:v>
      </x:c>
      <x:c r="Q20" s="16" t="n">
        <x:f>'Source data'!AD14</x:f>
        <x:v>800</x:v>
      </x:c>
      <x:c r="R20" s="16" t="n">
        <x:f>'Source data'!W14</x:f>
        <x:v>300</x:v>
      </x:c>
      <x:c r="S20" s="14" t="n">
        <x:f>IF('Source data'!X14="",0,'Source data'!X14)</x:f>
        <x:v>720</x:v>
      </x:c>
      <x:c r="T20" s="18" t="n">
        <x:f>'Source data'!R14</x:f>
        <x:v>0.8</x:v>
      </x:c>
      <x:c r="U20" s="14" t="n">
        <x:f>S20+IF(OR(D20="Nuclear",D20="ShapedNuclear",D20="Antimatter"),0,IF(D20="Explosive",0.1,1)*0.5*R20*(O20/2)^2)</x:f>
        <x:v>770.784</x:v>
      </x:c>
      <x:c r="V20" s="14" t="n">
        <x:f>U20*(1-T20)</x:f>
        <x:v>154.15679999999998</x:v>
      </x:c>
      <x:c r="W20" s="14" t="n">
        <x:f>U20*J20</x:f>
        <x:v>30831.36</x:v>
      </x:c>
      <x:c r="X20" s="16" t="n">
        <x:f>'Source data'!T14</x:f>
        <x:v>1600</x:v>
      </x:c>
      <x:c r="Y20" s="14" t="n">
        <x:f>'Source data'!Y14</x:f>
        <x:v>6</x:v>
      </x:c>
      <x:c r="Z20" s="14" t="n">
        <x:f>'Source data'!AA14</x:f>
        <x:v>1</x:v>
      </x:c>
      <x:c r="AA20" s="14" t="n">
        <x:f>'Source data'!AB14</x:f>
        <x:v>50</x:v>
      </x:c>
      <x:c r="AB20" s="2" t="b">
        <x:f>'Source data'!G14</x:f>
        <x:v>0</x:v>
      </x:c>
      <x:c r="AC20" s="2" t="str">
        <x:v>CopperheadMissileBay</x:v>
      </x:c>
    </x:row>
    <x:row r="21" ht="23" customHeight="1">
      <x:c r="A21" s="7" t="str">
        <x:v>Viper Missile Bay</x:v>
      </x:c>
      <x:c r="B21" s="7" t="str">
        <x:v>Human</x:v>
      </x:c>
      <x:c r="C21" s="7" t="str">
        <x:v>OneHull</x:v>
      </x:c>
      <x:c r="D21" s="7" t="str">
        <x:v>Fragmentation</x:v>
      </x:c>
      <x:c r="E21" s="17" t="n">
        <x:f>'Source data'!S15</x:f>
        <x:v>16</x:v>
      </x:c>
      <x:c r="F21" s="17" t="n">
        <x:f>IF('Source data'!O15="",1,'Source data'!O15)</x:f>
        <x:v>8</x:v>
      </x:c>
      <x:c r="G21" s="15" t="n">
        <x:f>IF('Source data'!P15="",0,'Source data'!P15)</x:f>
        <x:v>1</x:v>
      </x:c>
      <x:c r="H21" s="15" t="n">
        <x:f>'Source data'!N15</x:f>
        <x:v>5</x:v>
      </x:c>
      <x:c r="I21" s="15" t="n">
        <x:f>H21+(F21-1)*G21</x:f>
        <x:v>12</x:v>
      </x:c>
      <x:c r="J21" s="15" t="n">
        <x:f>60*F21/I21</x:f>
        <x:v>40</x:v>
      </x:c>
      <x:c r="K21" s="15" t="n">
        <x:f>INT((E21-1)/F21)*I21+MOD(E21-1,F21)*G21</x:f>
        <x:v>19</x:v>
      </x:c>
      <x:c r="L21" s="15" t="n">
        <x:f>'Source data'!M15</x:f>
        <x:v>10</x:v>
      </x:c>
      <x:c r="M21" s="15" t="n">
        <x:f>L21+E21*X21/1000</x:f>
        <x:v>35.6</x:v>
      </x:c>
      <x:c r="N21" s="15" t="n">
        <x:f>'Source data'!K15</x:f>
        <x:v>18.27</x:v>
      </x:c>
      <x:c r="O21" s="15" t="n">
        <x:f>'Source data'!L15</x:f>
        <x:v>5.64</x:v>
      </x:c>
      <x:c r="P21" s="15" t="n">
        <x:f>'Source data'!Z15</x:f>
        <x:v>35</x:v>
      </x:c>
      <x:c r="Q21" s="17" t="n">
        <x:f>'Source data'!AD15</x:f>
        <x:v>800</x:v>
      </x:c>
      <x:c r="R21" s="17" t="n">
        <x:f>'Source data'!W15</x:f>
        <x:v>50</x:v>
      </x:c>
      <x:c r="S21" s="15" t="n">
        <x:f>IF('Source data'!X15="",0,'Source data'!X15)</x:f>
        <x:v>0</x:v>
      </x:c>
      <x:c r="T21" s="19" t="n">
        <x:f>'Source data'!R15</x:f>
        <x:v>0.5</x:v>
      </x:c>
      <x:c r="U21" s="15" t="n">
        <x:f>S21+IF(OR(D21="Nuclear",D21="ShapedNuclear",D21="Antimatter"),0,IF(D21="Explosive",0.1,1)*0.5*R21*(O21/2)^2)</x:f>
        <x:v>198.80999999999997</x:v>
      </x:c>
      <x:c r="V21" s="15" t="n">
        <x:f>U21*(1-T21)</x:f>
        <x:v>99.40499999999999</x:v>
      </x:c>
      <x:c r="W21" s="15" t="n">
        <x:f>U21*J21</x:f>
        <x:v>7952.399999999999</x:v>
      </x:c>
      <x:c r="X21" s="17" t="n">
        <x:f>'Source data'!T15</x:f>
        <x:v>1600</x:v>
      </x:c>
      <x:c r="Y21" s="15" t="n">
        <x:f>'Source data'!Y15</x:f>
        <x:v>3</x:v>
      </x:c>
      <x:c r="Z21" s="15" t="n">
        <x:f>'Source data'!AA15</x:f>
        <x:v>1</x:v>
      </x:c>
      <x:c r="AA21" s="15" t="n">
        <x:f>'Source data'!AB15</x:f>
        <x:v>55</x:v>
      </x:c>
      <x:c r="AB21" s="7" t="b">
        <x:f>'Source data'!G15</x:f>
        <x:v>1</x:v>
      </x:c>
      <x:c r="AC21" s="7" t="str">
        <x:v>ViperMissileBay</x:v>
      </x:c>
    </x:row>
    <x:row r="22" ht="23" customHeight="1">
      <x:c r="A22" s="2" t="str">
        <x:v>Lancehead Missile Bay</x:v>
      </x:c>
      <x:c r="B22" s="2" t="str">
        <x:v>Human</x:v>
      </x:c>
      <x:c r="C22" s="2" t="str">
        <x:v>OneHull</x:v>
      </x:c>
      <x:c r="D22" s="2" t="str">
        <x:v>Penetrator</x:v>
      </x:c>
      <x:c r="E22" s="16" t="n">
        <x:f>'Source data'!S16</x:f>
        <x:v>16</x:v>
      </x:c>
      <x:c r="F22" s="16" t="n">
        <x:f>IF('Source data'!O16="",1,'Source data'!O16)</x:f>
        <x:v>8</x:v>
      </x:c>
      <x:c r="G22" s="14" t="n">
        <x:f>IF('Source data'!P16="",0,'Source data'!P16)</x:f>
        <x:v>1</x:v>
      </x:c>
      <x:c r="H22" s="14" t="n">
        <x:f>'Source data'!N16</x:f>
        <x:v>5</x:v>
      </x:c>
      <x:c r="I22" s="14" t="n">
        <x:f>H22+(F22-1)*G22</x:f>
        <x:v>12</x:v>
      </x:c>
      <x:c r="J22" s="14" t="n">
        <x:f>60*F22/I22</x:f>
        <x:v>40</x:v>
      </x:c>
      <x:c r="K22" s="14" t="n">
        <x:f>INT((E22-1)/F22)*I22+MOD(E22-1,F22)*G22</x:f>
        <x:v>19</x:v>
      </x:c>
      <x:c r="L22" s="14" t="n">
        <x:f>'Source data'!M16</x:f>
        <x:v>10</x:v>
      </x:c>
      <x:c r="M22" s="14" t="n">
        <x:f>L22+E22*X22/1000</x:f>
        <x:v>35.6</x:v>
      </x:c>
      <x:c r="N22" s="14" t="n">
        <x:f>'Source data'!K16</x:f>
        <x:v>18.27</x:v>
      </x:c>
      <x:c r="O22" s="14" t="n">
        <x:f>'Source data'!L16</x:f>
        <x:v>4.36</x:v>
      </x:c>
      <x:c r="P22" s="14" t="n">
        <x:f>'Source data'!Z16</x:f>
        <x:v>25</x:v>
      </x:c>
      <x:c r="Q22" s="16" t="n">
        <x:f>'Source data'!AD16</x:f>
        <x:v>800</x:v>
      </x:c>
      <x:c r="R22" s="16" t="n">
        <x:f>'Source data'!W16</x:f>
        <x:v>200</x:v>
      </x:c>
      <x:c r="S22" s="14" t="n">
        <x:f>IF('Source data'!X16="",0,'Source data'!X16)</x:f>
        <x:v>0</x:v>
      </x:c>
      <x:c r="T22" s="18" t="n">
        <x:f>'Source data'!R16</x:f>
        <x:v>0.6</x:v>
      </x:c>
      <x:c r="U22" s="14" t="n">
        <x:f>S22+IF(OR(D22="Nuclear",D22="ShapedNuclear",D22="Antimatter"),0,IF(D22="Explosive",0.1,1)*0.5*R22*(O22/2)^2)</x:f>
        <x:v>475.24000000000007</x:v>
      </x:c>
      <x:c r="V22" s="14" t="n">
        <x:f>U22*(1-T22)</x:f>
        <x:v>190.09600000000003</x:v>
      </x:c>
      <x:c r="W22" s="14" t="n">
        <x:f>U22*J22</x:f>
        <x:v>19009.600000000002</x:v>
      </x:c>
      <x:c r="X22" s="16" t="n">
        <x:f>'Source data'!T16</x:f>
        <x:v>1600</x:v>
      </x:c>
      <x:c r="Y22" s="14" t="n">
        <x:f>'Source data'!Y16</x:f>
        <x:v>6</x:v>
      </x:c>
      <x:c r="Z22" s="14" t="n">
        <x:f>'Source data'!AA16</x:f>
        <x:v>1</x:v>
      </x:c>
      <x:c r="AA22" s="14" t="n">
        <x:f>'Source data'!AB16</x:f>
        <x:v>45</x:v>
      </x:c>
      <x:c r="AB22" s="2" t="b">
        <x:f>'Source data'!G16</x:f>
        <x:v>0</x:v>
      </x:c>
      <x:c r="AC22" s="2" t="str">
        <x:v>LanceheadMissileBay</x:v>
      </x:c>
    </x:row>
    <x:row r="23" ht="23" customHeight="1">
      <x:c r="A23" s="7" t="str">
        <x:v>Python Nuclear Missile Bay</x:v>
      </x:c>
      <x:c r="B23" s="7" t="str">
        <x:v>Human</x:v>
      </x:c>
      <x:c r="C23" s="7" t="str">
        <x:v>OneHull</x:v>
      </x:c>
      <x:c r="D23" s="7" t="str">
        <x:v>Nuclear</x:v>
      </x:c>
      <x:c r="E23" s="17" t="n">
        <x:f>'Source data'!S17</x:f>
        <x:v>8</x:v>
      </x:c>
      <x:c r="F23" s="17" t="n">
        <x:f>IF('Source data'!O17="",1,'Source data'!O17)</x:f>
        <x:v>4</x:v>
      </x:c>
      <x:c r="G23" s="15" t="n">
        <x:f>IF('Source data'!P17="",0,'Source data'!P17)</x:f>
        <x:v>1</x:v>
      </x:c>
      <x:c r="H23" s="15" t="n">
        <x:f>'Source data'!N17</x:f>
        <x:v>5</x:v>
      </x:c>
      <x:c r="I23" s="15" t="n">
        <x:f>H23+(F23-1)*G23</x:f>
        <x:v>8</x:v>
      </x:c>
      <x:c r="J23" s="15" t="n">
        <x:f>60*F23/I23</x:f>
        <x:v>30</x:v>
      </x:c>
      <x:c r="K23" s="15" t="n">
        <x:f>INT((E23-1)/F23)*I23+MOD(E23-1,F23)*G23</x:f>
        <x:v>11</x:v>
      </x:c>
      <x:c r="L23" s="15" t="n">
        <x:f>'Source data'!M17</x:f>
        <x:v>15</x:v>
      </x:c>
      <x:c r="M23" s="15" t="n">
        <x:f>L23+E23*X23/1000</x:f>
        <x:v>27.8</x:v>
      </x:c>
      <x:c r="N23" s="15" t="n">
        <x:f>'Source data'!K17</x:f>
        <x:v>18.27</x:v>
      </x:c>
      <x:c r="O23" s="15" t="n">
        <x:f>'Source data'!L17</x:f>
        <x:v>4.01</x:v>
      </x:c>
      <x:c r="P23" s="15" t="n">
        <x:f>'Source data'!Z17</x:f>
        <x:v>30</x:v>
      </x:c>
      <x:c r="Q23" s="17" t="n">
        <x:f>'Source data'!AD17</x:f>
        <x:v>800</x:v>
      </x:c>
      <x:c r="R23" s="17" t="n">
        <x:f>'Source data'!W17</x:f>
        <x:v>250</x:v>
      </x:c>
      <x:c r="S23" s="15" t="n">
        <x:f>IF('Source data'!X17="",0,'Source data'!X17)</x:f>
        <x:v>188325000</x:v>
      </x:c>
      <x:c r="T23" s="19" t="n">
        <x:f>'Source data'!R17</x:f>
        <x:v>1</x:v>
      </x:c>
      <x:c r="U23" s="15" t="n">
        <x:f>S23+IF(OR(D23="Nuclear",D23="ShapedNuclear",D23="Antimatter"),0,IF(D23="Explosive",0.1,1)*0.5*R23*(O23/2)^2)</x:f>
        <x:v>188325000</x:v>
      </x:c>
      <x:c r="V23" s="15" t="n">
        <x:f>U23*(1-T23)</x:f>
        <x:v>0</x:v>
      </x:c>
      <x:c r="W23" s="15" t="n">
        <x:f>U23*J23</x:f>
        <x:v>5649750000</x:v>
      </x:c>
      <x:c r="X23" s="17" t="n">
        <x:f>'Source data'!T17</x:f>
        <x:v>1600</x:v>
      </x:c>
      <x:c r="Y23" s="15" t="n">
        <x:f>'Source data'!Y17</x:f>
        <x:v>3</x:v>
      </x:c>
      <x:c r="Z23" s="15" t="n">
        <x:f>'Source data'!AA17</x:f>
        <x:v>1</x:v>
      </x:c>
      <x:c r="AA23" s="15" t="n">
        <x:f>'Source data'!AB17</x:f>
        <x:v>55</x:v>
      </x:c>
      <x:c r="AB23" s="7" t="b">
        <x:f>'Source data'!G17</x:f>
        <x:v>1</x:v>
      </x:c>
      <x:c r="AC23" s="7" t="str">
        <x:v>PythonNuclearMissileBay</x:v>
      </x:c>
    </x:row>
    <x:row r="24" ht="23" customHeight="1">
      <x:c r="A24" s="2" t="str">
        <x:v>Sidewinder Nuclear Missile Bay</x:v>
      </x:c>
      <x:c r="B24" s="2" t="str">
        <x:v>Human</x:v>
      </x:c>
      <x:c r="C24" s="2" t="str">
        <x:v>OneHull</x:v>
      </x:c>
      <x:c r="D24" s="2" t="str">
        <x:v>ShapedNuclear</x:v>
      </x:c>
      <x:c r="E24" s="16" t="n">
        <x:f>'Source data'!S18</x:f>
        <x:v>8</x:v>
      </x:c>
      <x:c r="F24" s="16" t="n">
        <x:f>IF('Source data'!O18="",1,'Source data'!O18)</x:f>
        <x:v>4</x:v>
      </x:c>
      <x:c r="G24" s="14" t="n">
        <x:f>IF('Source data'!P18="",0,'Source data'!P18)</x:f>
        <x:v>1</x:v>
      </x:c>
      <x:c r="H24" s="14" t="n">
        <x:f>'Source data'!N18</x:f>
        <x:v>5</x:v>
      </x:c>
      <x:c r="I24" s="14" t="n">
        <x:f>H24+(F24-1)*G24</x:f>
        <x:v>8</x:v>
      </x:c>
      <x:c r="J24" s="14" t="n">
        <x:f>60*F24/I24</x:f>
        <x:v>30</x:v>
      </x:c>
      <x:c r="K24" s="14" t="n">
        <x:f>INT((E24-1)/F24)*I24+MOD(E24-1,F24)*G24</x:f>
        <x:v>11</x:v>
      </x:c>
      <x:c r="L24" s="14" t="n">
        <x:f>'Source data'!M18</x:f>
        <x:v>15</x:v>
      </x:c>
      <x:c r="M24" s="14" t="n">
        <x:f>L24+E24*X24/1000</x:f>
        <x:v>27.8</x:v>
      </x:c>
      <x:c r="N24" s="14" t="n">
        <x:f>'Source data'!K18</x:f>
        <x:v>18.27</x:v>
      </x:c>
      <x:c r="O24" s="14" t="n">
        <x:f>'Source data'!L18</x:f>
        <x:v>3.37</x:v>
      </x:c>
      <x:c r="P24" s="14" t="n">
        <x:f>'Source data'!Z18</x:f>
        <x:v>30</x:v>
      </x:c>
      <x:c r="Q24" s="16" t="n">
        <x:f>'Source data'!AD18</x:f>
        <x:v>800</x:v>
      </x:c>
      <x:c r="R24" s="16" t="n">
        <x:f>'Source data'!W18</x:f>
        <x:v>300</x:v>
      </x:c>
      <x:c r="S24" s="14" t="n">
        <x:f>IF('Source data'!X18="",0,'Source data'!X18)</x:f>
        <x:v>418500000</x:v>
      </x:c>
      <x:c r="T24" s="18" t="n">
        <x:f>'Source data'!R18</x:f>
        <x:v>1</x:v>
      </x:c>
      <x:c r="U24" s="14" t="n">
        <x:f>S24+IF(OR(D24="Nuclear",D24="ShapedNuclear",D24="Antimatter"),0,IF(D24="Explosive",0.1,1)*0.5*R24*(O24/2)^2)</x:f>
        <x:v>418500000</x:v>
      </x:c>
      <x:c r="V24" s="14" t="n">
        <x:f>U24*(1-T24)</x:f>
        <x:v>0</x:v>
      </x:c>
      <x:c r="W24" s="14" t="n">
        <x:f>U24*J24</x:f>
        <x:v>12555000000</x:v>
      </x:c>
      <x:c r="X24" s="16" t="n">
        <x:f>'Source data'!T18</x:f>
        <x:v>1600</x:v>
      </x:c>
      <x:c r="Y24" s="14" t="n">
        <x:f>'Source data'!Y18</x:f>
        <x:v>3</x:v>
      </x:c>
      <x:c r="Z24" s="14" t="n">
        <x:f>'Source data'!AA18</x:f>
        <x:v>1</x:v>
      </x:c>
      <x:c r="AA24" s="14" t="n">
        <x:f>'Source data'!AB18</x:f>
        <x:v>55</x:v>
      </x:c>
      <x:c r="AB24" s="2" t="b">
        <x:f>'Source data'!G18</x:f>
        <x:v>1</x:v>
      </x:c>
      <x:c r="AC24" s="2" t="str">
        <x:v>SidewinderNuclearMissileBay</x:v>
      </x:c>
    </x:row>
    <x:row r="25" ht="23" customHeight="1">
      <x:c r="A25" s="7" t="str">
        <x:v>Hera Torpedo Bay</x:v>
      </x:c>
      <x:c r="B25" s="7" t="str">
        <x:v>Human</x:v>
      </x:c>
      <x:c r="C25" s="7" t="str">
        <x:v>OneHull</x:v>
      </x:c>
      <x:c r="D25" s="7" t="str">
        <x:v>Explosive</x:v>
      </x:c>
      <x:c r="E25" s="17" t="n">
        <x:f>'Source data'!S19</x:f>
        <x:v>6</x:v>
      </x:c>
      <x:c r="F25" s="17" t="n">
        <x:f>IF('Source data'!O19="",1,'Source data'!O19)</x:f>
        <x:v>1</x:v>
      </x:c>
      <x:c r="G25" s="15" t="n">
        <x:f>IF('Source data'!P19="",0,'Source data'!P19)</x:f>
        <x:v>0</x:v>
      </x:c>
      <x:c r="H25" s="15" t="n">
        <x:f>'Source data'!N19</x:f>
        <x:v>7</x:v>
      </x:c>
      <x:c r="I25" s="15" t="n">
        <x:f>H25+(F25-1)*G25</x:f>
        <x:v>7</x:v>
      </x:c>
      <x:c r="J25" s="15" t="n">
        <x:f>60*F25/I25</x:f>
        <x:v>8.571428571428571</x:v>
      </x:c>
      <x:c r="K25" s="15" t="n">
        <x:f>INT((E25-1)/F25)*I25+MOD(E25-1,F25)*G25</x:f>
        <x:v>35</x:v>
      </x:c>
      <x:c r="L25" s="15" t="n">
        <x:f>'Source data'!M19</x:f>
        <x:v>10</x:v>
      </x:c>
      <x:c r="M25" s="15" t="n">
        <x:f>L25+E25*X25/1000</x:f>
        <x:v>38.8</x:v>
      </x:c>
      <x:c r="N25" s="15" t="n">
        <x:f>'Source data'!K19</x:f>
        <x:v>7.47</x:v>
      </x:c>
      <x:c r="O25" s="15" t="n">
        <x:f>'Source data'!L19</x:f>
        <x:v>6.22</x:v>
      </x:c>
      <x:c r="P25" s="15" t="n">
        <x:f>'Source data'!Z19</x:f>
        <x:v>20</x:v>
      </x:c>
      <x:c r="Q25" s="17" t="n">
        <x:f>'Source data'!AD19</x:f>
        <x:v>1000</x:v>
      </x:c>
      <x:c r="R25" s="17" t="n">
        <x:f>'Source data'!W19</x:f>
        <x:v>300</x:v>
      </x:c>
      <x:c r="S25" s="15" t="n">
        <x:f>IF('Source data'!X19="",0,'Source data'!X19)</x:f>
        <x:v>540</x:v>
      </x:c>
      <x:c r="T25" s="19" t="n">
        <x:f>'Source data'!R19</x:f>
        <x:v>0.8</x:v>
      </x:c>
      <x:c r="U25" s="15" t="n">
        <x:f>S25+IF(OR(D25="Nuclear",D25="ShapedNuclear",D25="Antimatter"),0,IF(D25="Explosive",0.1,1)*0.5*R25*(O25/2)^2)</x:f>
        <x:v>685.0815</x:v>
      </x:c>
      <x:c r="V25" s="15" t="n">
        <x:f>U25*(1-T25)</x:f>
        <x:v>137.01629999999997</x:v>
      </x:c>
      <x:c r="W25" s="15" t="n">
        <x:f>U25*J25</x:f>
        <x:v>5872.127142857143</x:v>
      </x:c>
      <x:c r="X25" s="17" t="n">
        <x:f>'Source data'!T19</x:f>
        <x:v>4800</x:v>
      </x:c>
      <x:c r="Y25" s="15" t="n">
        <x:f>'Source data'!Y19</x:f>
        <x:v>7</x:v>
      </x:c>
      <x:c r="Z25" s="15" t="n">
        <x:f>'Source data'!AA19</x:f>
        <x:v>1</x:v>
      </x:c>
      <x:c r="AA25" s="15" t="n">
        <x:f>'Source data'!AB19</x:f>
        <x:v>40</x:v>
      </x:c>
      <x:c r="AB25" s="7" t="b">
        <x:f>'Source data'!G19</x:f>
        <x:v>0</x:v>
      </x:c>
      <x:c r="AC25" s="7" t="str">
        <x:v>HeraTorpedoBay</x:v>
      </x:c>
    </x:row>
    <x:row r="26" ht="23" customHeight="1">
      <x:c r="A26" s="2" t="str">
        <x:v>Hermes Torpedo Bay</x:v>
      </x:c>
      <x:c r="B26" s="2" t="str">
        <x:v>Human</x:v>
      </x:c>
      <x:c r="C26" s="2" t="str">
        <x:v>OneHull</x:v>
      </x:c>
      <x:c r="D26" s="2" t="str">
        <x:v>Penetrator</x:v>
      </x:c>
      <x:c r="E26" s="16" t="n">
        <x:f>'Source data'!S20</x:f>
        <x:v>6</x:v>
      </x:c>
      <x:c r="F26" s="16" t="n">
        <x:f>IF('Source data'!O20="",1,'Source data'!O20)</x:f>
        <x:v>1</x:v>
      </x:c>
      <x:c r="G26" s="14" t="n">
        <x:f>IF('Source data'!P20="",0,'Source data'!P20)</x:f>
        <x:v>0</x:v>
      </x:c>
      <x:c r="H26" s="14" t="n">
        <x:f>'Source data'!N20</x:f>
        <x:v>7</x:v>
      </x:c>
      <x:c r="I26" s="14" t="n">
        <x:f>H26+(F26-1)*G26</x:f>
        <x:v>7</x:v>
      </x:c>
      <x:c r="J26" s="14" t="n">
        <x:f>60*F26/I26</x:f>
        <x:v>8.571428571428571</x:v>
      </x:c>
      <x:c r="K26" s="14" t="n">
        <x:f>INT((E26-1)/F26)*I26+MOD(E26-1,F26)*G26</x:f>
        <x:v>35</x:v>
      </x:c>
      <x:c r="L26" s="14" t="n">
        <x:f>'Source data'!M20</x:f>
        <x:v>10</x:v>
      </x:c>
      <x:c r="M26" s="14" t="n">
        <x:f>L26+E26*X26/1000</x:f>
        <x:v>38.8</x:v>
      </x:c>
      <x:c r="N26" s="14" t="n">
        <x:f>'Source data'!K20</x:f>
        <x:v>7.47</x:v>
      </x:c>
      <x:c r="O26" s="14" t="n">
        <x:f>'Source data'!L20</x:f>
        <x:v>4.62</x:v>
      </x:c>
      <x:c r="P26" s="14" t="n">
        <x:f>'Source data'!Z20</x:f>
        <x:v>20</x:v>
      </x:c>
      <x:c r="Q26" s="16" t="n">
        <x:f>'Source data'!AD20</x:f>
        <x:v>1000</x:v>
      </x:c>
      <x:c r="R26" s="16" t="n">
        <x:f>'Source data'!W20</x:f>
        <x:v>750</x:v>
      </x:c>
      <x:c r="S26" s="14" t="n">
        <x:f>IF('Source data'!X20="",0,'Source data'!X20)</x:f>
        <x:v>0</x:v>
      </x:c>
      <x:c r="T26" s="18" t="n">
        <x:f>'Source data'!R20</x:f>
        <x:v>0.6</x:v>
      </x:c>
      <x:c r="U26" s="14" t="n">
        <x:f>S26+IF(OR(D26="Nuclear",D26="ShapedNuclear",D26="Antimatter"),0,IF(D26="Explosive",0.1,1)*0.5*R26*(O26/2)^2)</x:f>
        <x:v>2001.0375000000001</x:v>
      </x:c>
      <x:c r="V26" s="14" t="n">
        <x:f>U26*(1-T26)</x:f>
        <x:v>800.4150000000001</x:v>
      </x:c>
      <x:c r="W26" s="14" t="n">
        <x:f>U26*J26</x:f>
        <x:v>17151.75</x:v>
      </x:c>
      <x:c r="X26" s="16" t="n">
        <x:f>'Source data'!T20</x:f>
        <x:v>4800</x:v>
      </x:c>
      <x:c r="Y26" s="14" t="n">
        <x:f>'Source data'!Y20</x:f>
        <x:v>7</x:v>
      </x:c>
      <x:c r="Z26" s="14" t="n">
        <x:f>'Source data'!AA20</x:f>
        <x:v>1</x:v>
      </x:c>
      <x:c r="AA26" s="14" t="n">
        <x:f>'Source data'!AB20</x:f>
        <x:v>30</x:v>
      </x:c>
      <x:c r="AB26" s="2" t="b">
        <x:f>'Source data'!G20</x:f>
        <x:v>0</x:v>
      </x:c>
      <x:c r="AC26" s="2" t="str">
        <x:v>HermesTorpedoBay</x:v>
      </x:c>
    </x:row>
    <x:row r="27" ht="23" customHeight="1">
      <x:c r="A27" s="7" t="str">
        <x:v>Hercules Torpedo Bay</x:v>
      </x:c>
      <x:c r="B27" s="7" t="str">
        <x:v>Human</x:v>
      </x:c>
      <x:c r="C27" s="7" t="str">
        <x:v>OneHull</x:v>
      </x:c>
      <x:c r="D27" s="7" t="str">
        <x:v>Fragmentation</x:v>
      </x:c>
      <x:c r="E27" s="17" t="n">
        <x:f>'Source data'!S21</x:f>
        <x:v>6</x:v>
      </x:c>
      <x:c r="F27" s="17" t="n">
        <x:f>IF('Source data'!O21="",1,'Source data'!O21)</x:f>
        <x:v>1</x:v>
      </x:c>
      <x:c r="G27" s="15" t="n">
        <x:f>IF('Source data'!P21="",0,'Source data'!P21)</x:f>
        <x:v>0</x:v>
      </x:c>
      <x:c r="H27" s="15" t="n">
        <x:f>'Source data'!N21</x:f>
        <x:v>7</x:v>
      </x:c>
      <x:c r="I27" s="15" t="n">
        <x:f>H27+(F27-1)*G27</x:f>
        <x:v>7</x:v>
      </x:c>
      <x:c r="J27" s="15" t="n">
        <x:f>60*F27/I27</x:f>
        <x:v>8.571428571428571</x:v>
      </x:c>
      <x:c r="K27" s="15" t="n">
        <x:f>INT((E27-1)/F27)*I27+MOD(E27-1,F27)*G27</x:f>
        <x:v>35</x:v>
      </x:c>
      <x:c r="L27" s="15" t="n">
        <x:f>'Source data'!M21</x:f>
        <x:v>10</x:v>
      </x:c>
      <x:c r="M27" s="15" t="n">
        <x:f>L27+E27*X27/1000</x:f>
        <x:v>38.8</x:v>
      </x:c>
      <x:c r="N27" s="15" t="n">
        <x:f>'Source data'!K21</x:f>
        <x:v>7.47</x:v>
      </x:c>
      <x:c r="O27" s="15" t="n">
        <x:f>'Source data'!L21</x:f>
        <x:v>5.41</x:v>
      </x:c>
      <x:c r="P27" s="15" t="n">
        <x:f>'Source data'!Z21</x:f>
        <x:v>20</x:v>
      </x:c>
      <x:c r="Q27" s="17" t="n">
        <x:f>'Source data'!AD21</x:f>
        <x:v>1000</x:v>
      </x:c>
      <x:c r="R27" s="17" t="n">
        <x:f>'Source data'!W21</x:f>
        <x:v>500</x:v>
      </x:c>
      <x:c r="S27" s="15" t="n">
        <x:f>IF('Source data'!X21="",0,'Source data'!X21)</x:f>
        <x:v>0</x:v>
      </x:c>
      <x:c r="T27" s="19" t="n">
        <x:f>'Source data'!R21</x:f>
        <x:v>0.5</x:v>
      </x:c>
      <x:c r="U27" s="15" t="n">
        <x:f>S27+IF(OR(D27="Nuclear",D27="ShapedNuclear",D27="Antimatter"),0,IF(D27="Explosive",0.1,1)*0.5*R27*(O27/2)^2)</x:f>
        <x:v>1829.2562500000001</x:v>
      </x:c>
      <x:c r="V27" s="15" t="n">
        <x:f>U27*(1-T27)</x:f>
        <x:v>914.6281250000001</x:v>
      </x:c>
      <x:c r="W27" s="15" t="n">
        <x:f>U27*J27</x:f>
        <x:v>15679.339285714286</x:v>
      </x:c>
      <x:c r="X27" s="17" t="n">
        <x:f>'Source data'!T21</x:f>
        <x:v>4800</x:v>
      </x:c>
      <x:c r="Y27" s="15" t="n">
        <x:f>'Source data'!Y21</x:f>
        <x:v>7</x:v>
      </x:c>
      <x:c r="Z27" s="15" t="n">
        <x:f>'Source data'!AA21</x:f>
        <x:v>1</x:v>
      </x:c>
      <x:c r="AA27" s="15" t="n">
        <x:f>'Source data'!AB21</x:f>
        <x:v>35</x:v>
      </x:c>
      <x:c r="AB27" s="7" t="b">
        <x:f>'Source data'!G21</x:f>
        <x:v>0</x:v>
      </x:c>
      <x:c r="AC27" s="7" t="str">
        <x:v>HerculesTorpedoBay</x:v>
      </x:c>
    </x:row>
    <x:row r="28" ht="23" customHeight="1">
      <x:c r="A28" s="2" t="str">
        <x:v>Artemis Torpedo Bay</x:v>
      </x:c>
      <x:c r="B28" s="2" t="str">
        <x:v>Human</x:v>
      </x:c>
      <x:c r="C28" s="2" t="str">
        <x:v>OneHull</x:v>
      </x:c>
      <x:c r="D28" s="2" t="str">
        <x:v>Explosive</x:v>
      </x:c>
      <x:c r="E28" s="16" t="n">
        <x:f>'Source data'!S22</x:f>
        <x:v>6</x:v>
      </x:c>
      <x:c r="F28" s="16" t="n">
        <x:f>IF('Source data'!O22="",1,'Source data'!O22)</x:f>
        <x:v>1</x:v>
      </x:c>
      <x:c r="G28" s="14" t="n">
        <x:f>IF('Source data'!P22="",0,'Source data'!P22)</x:f>
        <x:v>0</x:v>
      </x:c>
      <x:c r="H28" s="14" t="n">
        <x:f>'Source data'!N22</x:f>
        <x:v>7</x:v>
      </x:c>
      <x:c r="I28" s="14" t="n">
        <x:f>H28+(F28-1)*G28</x:f>
        <x:v>7</x:v>
      </x:c>
      <x:c r="J28" s="14" t="n">
        <x:f>60*F28/I28</x:f>
        <x:v>8.571428571428571</x:v>
      </x:c>
      <x:c r="K28" s="14" t="n">
        <x:f>INT((E28-1)/F28)*I28+MOD(E28-1,F28)*G28</x:f>
        <x:v>35</x:v>
      </x:c>
      <x:c r="L28" s="14" t="n">
        <x:f>'Source data'!M22</x:f>
        <x:v>15</x:v>
      </x:c>
      <x:c r="M28" s="14" t="n">
        <x:f>L28+E28*X28/1000</x:f>
        <x:v>43.8</x:v>
      </x:c>
      <x:c r="N28" s="14" t="n">
        <x:f>'Source data'!K22</x:f>
        <x:v>9.14</x:v>
      </x:c>
      <x:c r="O28" s="14" t="n">
        <x:f>'Source data'!L22</x:f>
        <x:v>7.97</x:v>
      </x:c>
      <x:c r="P28" s="14" t="n">
        <x:f>'Source data'!Z22</x:f>
        <x:v>20</x:v>
      </x:c>
      <x:c r="Q28" s="16" t="n">
        <x:f>'Source data'!AD22</x:f>
        <x:v>1000</x:v>
      </x:c>
      <x:c r="R28" s="16" t="n">
        <x:f>'Source data'!W22</x:f>
        <x:v>400</x:v>
      </x:c>
      <x:c r="S28" s="14" t="n">
        <x:f>IF('Source data'!X22="",0,'Source data'!X22)</x:f>
        <x:v>960</x:v>
      </x:c>
      <x:c r="T28" s="18" t="n">
        <x:f>'Source data'!R22</x:f>
        <x:v>0.8</x:v>
      </x:c>
      <x:c r="U28" s="14" t="n">
        <x:f>S28+IF(OR(D28="Nuclear",D28="ShapedNuclear",D28="Antimatter"),0,IF(D28="Explosive",0.1,1)*0.5*R28*(O28/2)^2)</x:f>
        <x:v>1277.6045</x:v>
      </x:c>
      <x:c r="V28" s="14" t="n">
        <x:f>U28*(1-T28)</x:f>
        <x:v>255.52089999999993</x:v>
      </x:c>
      <x:c r="W28" s="14" t="n">
        <x:f>U28*J28</x:f>
        <x:v>10950.895714285713</x:v>
      </x:c>
      <x:c r="X28" s="16" t="n">
        <x:f>'Source data'!T22</x:f>
        <x:v>4800</x:v>
      </x:c>
      <x:c r="Y28" s="14" t="n">
        <x:f>'Source data'!Y22</x:f>
        <x:v>7</x:v>
      </x:c>
      <x:c r="Z28" s="14" t="n">
        <x:f>'Source data'!AA22</x:f>
        <x:v>1</x:v>
      </x:c>
      <x:c r="AA28" s="14" t="n">
        <x:f>'Source data'!AB22</x:f>
        <x:v>40</x:v>
      </x:c>
      <x:c r="AB28" s="2" t="b">
        <x:f>'Source data'!G22</x:f>
        <x:v>0</x:v>
      </x:c>
      <x:c r="AC28" s="2" t="str">
        <x:v>ArtemisTorpedoBay</x:v>
      </x:c>
    </x:row>
    <x:row r="29" ht="23" customHeight="1">
      <x:c r="A29" s="7" t="str">
        <x:v>Vulcan Torpedo Bay</x:v>
      </x:c>
      <x:c r="B29" s="7" t="str">
        <x:v>Human</x:v>
      </x:c>
      <x:c r="C29" s="7" t="str">
        <x:v>OneHull</x:v>
      </x:c>
      <x:c r="D29" s="7" t="str">
        <x:v>Penetrator</x:v>
      </x:c>
      <x:c r="E29" s="17" t="n">
        <x:f>'Source data'!S23</x:f>
        <x:v>6</x:v>
      </x:c>
      <x:c r="F29" s="17" t="n">
        <x:f>IF('Source data'!O23="",1,'Source data'!O23)</x:f>
        <x:v>1</x:v>
      </x:c>
      <x:c r="G29" s="15" t="n">
        <x:f>IF('Source data'!P23="",0,'Source data'!P23)</x:f>
        <x:v>0</x:v>
      </x:c>
      <x:c r="H29" s="15" t="n">
        <x:f>'Source data'!N23</x:f>
        <x:v>7</x:v>
      </x:c>
      <x:c r="I29" s="15" t="n">
        <x:f>H29+(F29-1)*G29</x:f>
        <x:v>7</x:v>
      </x:c>
      <x:c r="J29" s="15" t="n">
        <x:f>60*F29/I29</x:f>
        <x:v>8.571428571428571</x:v>
      </x:c>
      <x:c r="K29" s="15" t="n">
        <x:f>INT((E29-1)/F29)*I29+MOD(E29-1,F29)*G29</x:f>
        <x:v>35</x:v>
      </x:c>
      <x:c r="L29" s="15" t="n">
        <x:f>'Source data'!M23</x:f>
        <x:v>10</x:v>
      </x:c>
      <x:c r="M29" s="15" t="n">
        <x:f>L29+E29*X29/1000</x:f>
        <x:v>38.8</x:v>
      </x:c>
      <x:c r="N29" s="15" t="n">
        <x:f>'Source data'!K23</x:f>
        <x:v>9.14</x:v>
      </x:c>
      <x:c r="O29" s="15" t="n">
        <x:f>'Source data'!L23</x:f>
        <x:v>5.99</x:v>
      </x:c>
      <x:c r="P29" s="15" t="n">
        <x:f>'Source data'!Z23</x:f>
        <x:v>20</x:v>
      </x:c>
      <x:c r="Q29" s="17" t="n">
        <x:f>'Source data'!AD23</x:f>
        <x:v>1000</x:v>
      </x:c>
      <x:c r="R29" s="17" t="n">
        <x:f>'Source data'!W23</x:f>
        <x:v>850</x:v>
      </x:c>
      <x:c r="S29" s="15" t="n">
        <x:f>IF('Source data'!X23="",0,'Source data'!X23)</x:f>
        <x:v>0</x:v>
      </x:c>
      <x:c r="T29" s="19" t="n">
        <x:f>'Source data'!R23</x:f>
        <x:v>0.6</x:v>
      </x:c>
      <x:c r="U29" s="15" t="n">
        <x:f>S29+IF(OR(D29="Nuclear",D29="ShapedNuclear",D29="Antimatter"),0,IF(D29="Explosive",0.1,1)*0.5*R29*(O29/2)^2)</x:f>
        <x:v>3812.260625000001</x:v>
      </x:c>
      <x:c r="V29" s="15" t="n">
        <x:f>U29*(1-T29)</x:f>
        <x:v>1524.9042500000005</x:v>
      </x:c>
      <x:c r="W29" s="15" t="n">
        <x:f>U29*J29</x:f>
        <x:v>32676.519642857147</x:v>
      </x:c>
      <x:c r="X29" s="17" t="n">
        <x:f>'Source data'!T23</x:f>
        <x:v>4800</x:v>
      </x:c>
      <x:c r="Y29" s="15" t="n">
        <x:f>'Source data'!Y23</x:f>
        <x:v>7</x:v>
      </x:c>
      <x:c r="Z29" s="15" t="n">
        <x:f>'Source data'!AA23</x:f>
        <x:v>1</x:v>
      </x:c>
      <x:c r="AA29" s="15" t="n">
        <x:f>'Source data'!AB23</x:f>
        <x:v>30</x:v>
      </x:c>
      <x:c r="AB29" s="7" t="b">
        <x:f>'Source data'!G23</x:f>
        <x:v>0</x:v>
      </x:c>
      <x:c r="AC29" s="7" t="str">
        <x:v>VulcanTorpedoBay</x:v>
      </x:c>
    </x:row>
    <x:row r="30" ht="23" customHeight="1">
      <x:c r="A30" s="2" t="str">
        <x:v>Apollo Torpedo Bay</x:v>
      </x:c>
      <x:c r="B30" s="2" t="str">
        <x:v>Human</x:v>
      </x:c>
      <x:c r="C30" s="2" t="str">
        <x:v>OneHull</x:v>
      </x:c>
      <x:c r="D30" s="2" t="str">
        <x:v>Fragmentation</x:v>
      </x:c>
      <x:c r="E30" s="16" t="n">
        <x:f>'Source data'!S24</x:f>
        <x:v>6</x:v>
      </x:c>
      <x:c r="F30" s="16" t="n">
        <x:f>IF('Source data'!O24="",1,'Source data'!O24)</x:f>
        <x:v>1</x:v>
      </x:c>
      <x:c r="G30" s="14" t="n">
        <x:f>IF('Source data'!P24="",0,'Source data'!P24)</x:f>
        <x:v>0</x:v>
      </x:c>
      <x:c r="H30" s="14" t="n">
        <x:f>'Source data'!N24</x:f>
        <x:v>7</x:v>
      </x:c>
      <x:c r="I30" s="14" t="n">
        <x:f>H30+(F30-1)*G30</x:f>
        <x:v>7</x:v>
      </x:c>
      <x:c r="J30" s="14" t="n">
        <x:f>60*F30/I30</x:f>
        <x:v>8.571428571428571</x:v>
      </x:c>
      <x:c r="K30" s="14" t="n">
        <x:f>INT((E30-1)/F30)*I30+MOD(E30-1,F30)*G30</x:f>
        <x:v>35</x:v>
      </x:c>
      <x:c r="L30" s="14" t="n">
        <x:f>'Source data'!M24</x:f>
        <x:v>10</x:v>
      </x:c>
      <x:c r="M30" s="14" t="n">
        <x:f>L30+E30*X30/1000</x:f>
        <x:v>38.8</x:v>
      </x:c>
      <x:c r="N30" s="14" t="n">
        <x:f>'Source data'!K24</x:f>
        <x:v>9.14</x:v>
      </x:c>
      <x:c r="O30" s="14" t="n">
        <x:f>'Source data'!L24</x:f>
        <x:v>7.45</x:v>
      </x:c>
      <x:c r="P30" s="14" t="n">
        <x:f>'Source data'!Z24</x:f>
        <x:v>20</x:v>
      </x:c>
      <x:c r="Q30" s="16" t="n">
        <x:f>'Source data'!AD24</x:f>
        <x:v>1000</x:v>
      </x:c>
      <x:c r="R30" s="16" t="n">
        <x:f>'Source data'!W24</x:f>
        <x:v>500</x:v>
      </x:c>
      <x:c r="S30" s="14" t="n">
        <x:f>IF('Source data'!X24="",0,'Source data'!X24)</x:f>
        <x:v>0</x:v>
      </x:c>
      <x:c r="T30" s="18" t="n">
        <x:f>'Source data'!R24</x:f>
        <x:v>0.5</x:v>
      </x:c>
      <x:c r="U30" s="14" t="n">
        <x:f>S30+IF(OR(D30="Nuclear",D30="ShapedNuclear",D30="Antimatter"),0,IF(D30="Explosive",0.1,1)*0.5*R30*(O30/2)^2)</x:f>
        <x:v>3468.9062500000005</x:v>
      </x:c>
      <x:c r="V30" s="14" t="n">
        <x:f>U30*(1-T30)</x:f>
        <x:v>1734.4531250000002</x:v>
      </x:c>
      <x:c r="W30" s="14" t="n">
        <x:f>U30*J30</x:f>
        <x:v>29733.482142857145</x:v>
      </x:c>
      <x:c r="X30" s="16" t="n">
        <x:f>'Source data'!T24</x:f>
        <x:v>4800</x:v>
      </x:c>
      <x:c r="Y30" s="14" t="n">
        <x:f>'Source data'!Y24</x:f>
        <x:v>7</x:v>
      </x:c>
      <x:c r="Z30" s="14" t="n">
        <x:f>'Source data'!AA24</x:f>
        <x:v>1</x:v>
      </x:c>
      <x:c r="AA30" s="14" t="n">
        <x:f>'Source data'!AB24</x:f>
        <x:v>35</x:v>
      </x:c>
      <x:c r="AB30" s="2" t="b">
        <x:f>'Source data'!G24</x:f>
        <x:v>0</x:v>
      </x:c>
      <x:c r="AC30" s="2" t="str">
        <x:v>ApolloTorpedoBay</x:v>
      </x:c>
    </x:row>
    <x:row r="31" ht="23" customHeight="1">
      <x:c r="A31" s="7" t="str">
        <x:v>Athena Torpedo Bay</x:v>
      </x:c>
      <x:c r="B31" s="7" t="str">
        <x:v>Human</x:v>
      </x:c>
      <x:c r="C31" s="7" t="str">
        <x:v>OneHull</x:v>
      </x:c>
      <x:c r="D31" s="7" t="str">
        <x:v>Explosive</x:v>
      </x:c>
      <x:c r="E31" s="17" t="n">
        <x:f>'Source data'!S25</x:f>
        <x:v>6</x:v>
      </x:c>
      <x:c r="F31" s="17" t="n">
        <x:f>IF('Source data'!O25="",1,'Source data'!O25)</x:f>
        <x:v>1</x:v>
      </x:c>
      <x:c r="G31" s="15" t="n">
        <x:f>IF('Source data'!P25="",0,'Source data'!P25)</x:f>
        <x:v>0</x:v>
      </x:c>
      <x:c r="H31" s="15" t="n">
        <x:f>'Source data'!N25</x:f>
        <x:v>7</x:v>
      </x:c>
      <x:c r="I31" s="15" t="n">
        <x:f>H31+(F31-1)*G31</x:f>
        <x:v>7</x:v>
      </x:c>
      <x:c r="J31" s="15" t="n">
        <x:f>60*F31/I31</x:f>
        <x:v>8.571428571428571</x:v>
      </x:c>
      <x:c r="K31" s="15" t="n">
        <x:f>INT((E31-1)/F31)*I31+MOD(E31-1,F31)*G31</x:f>
        <x:v>35</x:v>
      </x:c>
      <x:c r="L31" s="15" t="n">
        <x:f>'Source data'!M25</x:f>
        <x:v>15</x:v>
      </x:c>
      <x:c r="M31" s="15" t="n">
        <x:f>L31+E31*X31/1000</x:f>
        <x:v>43.8</x:v>
      </x:c>
      <x:c r="N31" s="15" t="n">
        <x:f>'Source data'!K25</x:f>
        <x:v>4.89</x:v>
      </x:c>
      <x:c r="O31" s="15" t="n">
        <x:f>'Source data'!L25</x:f>
        <x:v>12.83</x:v>
      </x:c>
      <x:c r="P31" s="15" t="n">
        <x:f>'Source data'!Z25</x:f>
        <x:v>20</x:v>
      </x:c>
      <x:c r="Q31" s="17" t="n">
        <x:f>'Source data'!AD25</x:f>
        <x:v>1000</x:v>
      </x:c>
      <x:c r="R31" s="17" t="n">
        <x:f>'Source data'!W25</x:f>
        <x:v>600</x:v>
      </x:c>
      <x:c r="S31" s="15" t="n">
        <x:f>IF('Source data'!X25="",0,'Source data'!X25)</x:f>
        <x:v>1800</x:v>
      </x:c>
      <x:c r="T31" s="19" t="n">
        <x:f>'Source data'!R25</x:f>
        <x:v>0.8</x:v>
      </x:c>
      <x:c r="U31" s="15" t="n">
        <x:f>S31+IF(OR(D31="Nuclear",D31="ShapedNuclear",D31="Antimatter"),0,IF(D31="Explosive",0.1,1)*0.5*R31*(O31/2)^2)</x:f>
        <x:v>3034.56675</x:v>
      </x:c>
      <x:c r="V31" s="15" t="n">
        <x:f>U31*(1-T31)</x:f>
        <x:v>606.9133499999998</x:v>
      </x:c>
      <x:c r="W31" s="15" t="n">
        <x:f>U31*J31</x:f>
        <x:v>26010.57214285714</x:v>
      </x:c>
      <x:c r="X31" s="17" t="n">
        <x:f>'Source data'!T25</x:f>
        <x:v>4800</x:v>
      </x:c>
      <x:c r="Y31" s="15" t="n">
        <x:f>'Source data'!Y25</x:f>
        <x:v>5</x:v>
      </x:c>
      <x:c r="Z31" s="15" t="n">
        <x:f>'Source data'!AA25</x:f>
        <x:v>1</x:v>
      </x:c>
      <x:c r="AA31" s="15" t="n">
        <x:f>'Source data'!AB25</x:f>
        <x:v>40</x:v>
      </x:c>
      <x:c r="AB31" s="7" t="b">
        <x:f>'Source data'!G25</x:f>
        <x:v>0</x:v>
      </x:c>
      <x:c r="AC31" s="7" t="str">
        <x:v>AthenaTorpedoBay</x:v>
      </x:c>
    </x:row>
    <x:row r="32" ht="23" customHeight="1">
      <x:c r="A32" s="2" t="str">
        <x:v>Ares Torpedo Bay</x:v>
      </x:c>
      <x:c r="B32" s="2" t="str">
        <x:v>Human</x:v>
      </x:c>
      <x:c r="C32" s="2" t="str">
        <x:v>OneHull</x:v>
      </x:c>
      <x:c r="D32" s="2" t="str">
        <x:v>Penetrator</x:v>
      </x:c>
      <x:c r="E32" s="16" t="n">
        <x:f>'Source data'!S26</x:f>
        <x:v>6</x:v>
      </x:c>
      <x:c r="F32" s="16" t="n">
        <x:f>IF('Source data'!O26="",1,'Source data'!O26)</x:f>
        <x:v>1</x:v>
      </x:c>
      <x:c r="G32" s="14" t="n">
        <x:f>IF('Source data'!P26="",0,'Source data'!P26)</x:f>
        <x:v>0</x:v>
      </x:c>
      <x:c r="H32" s="14" t="n">
        <x:f>'Source data'!N26</x:f>
        <x:v>7</x:v>
      </x:c>
      <x:c r="I32" s="14" t="n">
        <x:f>H32+(F32-1)*G32</x:f>
        <x:v>7</x:v>
      </x:c>
      <x:c r="J32" s="14" t="n">
        <x:f>60*F32/I32</x:f>
        <x:v>8.571428571428571</x:v>
      </x:c>
      <x:c r="K32" s="14" t="n">
        <x:f>INT((E32-1)/F32)*I32+MOD(E32-1,F32)*G32</x:f>
        <x:v>35</x:v>
      </x:c>
      <x:c r="L32" s="14" t="n">
        <x:f>'Source data'!M26</x:f>
        <x:v>10</x:v>
      </x:c>
      <x:c r="M32" s="14" t="n">
        <x:f>L32+E32*X32/1000</x:f>
        <x:v>38.8</x:v>
      </x:c>
      <x:c r="N32" s="14" t="n">
        <x:f>'Source data'!K26</x:f>
        <x:v>4.89</x:v>
      </x:c>
      <x:c r="O32" s="14" t="n">
        <x:f>'Source data'!L26</x:f>
        <x:v>8.99</x:v>
      </x:c>
      <x:c r="P32" s="14" t="n">
        <x:f>'Source data'!Z26</x:f>
        <x:v>20</x:v>
      </x:c>
      <x:c r="Q32" s="16" t="n">
        <x:f>'Source data'!AD26</x:f>
        <x:v>1000</x:v>
      </x:c>
      <x:c r="R32" s="16" t="n">
        <x:f>'Source data'!W26</x:f>
        <x:v>1200</x:v>
      </x:c>
      <x:c r="S32" s="14" t="n">
        <x:f>IF('Source data'!X26="",0,'Source data'!X26)</x:f>
        <x:v>0</x:v>
      </x:c>
      <x:c r="T32" s="18" t="n">
        <x:f>'Source data'!R26</x:f>
        <x:v>0.6</x:v>
      </x:c>
      <x:c r="U32" s="14" t="n">
        <x:f>S32+IF(OR(D32="Nuclear",D32="ShapedNuclear",D32="Antimatter"),0,IF(D32="Explosive",0.1,1)*0.5*R32*(O32/2)^2)</x:f>
        <x:v>12123.015000000001</x:v>
      </x:c>
      <x:c r="V32" s="14" t="n">
        <x:f>U32*(1-T32)</x:f>
        <x:v>4849.206000000001</x:v>
      </x:c>
      <x:c r="W32" s="14" t="n">
        <x:f>U32*J32</x:f>
        <x:v>103911.55714285716</x:v>
      </x:c>
      <x:c r="X32" s="16" t="n">
        <x:f>'Source data'!T26</x:f>
        <x:v>4800</x:v>
      </x:c>
      <x:c r="Y32" s="14" t="n">
        <x:f>'Source data'!Y26</x:f>
        <x:v>5</x:v>
      </x:c>
      <x:c r="Z32" s="14" t="n">
        <x:f>'Source data'!AA26</x:f>
        <x:v>1</x:v>
      </x:c>
      <x:c r="AA32" s="14" t="n">
        <x:f>'Source data'!AB26</x:f>
        <x:v>30</x:v>
      </x:c>
      <x:c r="AB32" s="2" t="b">
        <x:f>'Source data'!G26</x:f>
        <x:v>0</x:v>
      </x:c>
      <x:c r="AC32" s="2" t="str">
        <x:v>AresTorpedoBay</x:v>
      </x:c>
    </x:row>
    <x:row r="33" ht="23" customHeight="1">
      <x:c r="A33" s="7" t="str">
        <x:v>Hestia Torpedo Bay</x:v>
      </x:c>
      <x:c r="B33" s="7" t="str">
        <x:v>Human</x:v>
      </x:c>
      <x:c r="C33" s="7" t="str">
        <x:v>OneHull</x:v>
      </x:c>
      <x:c r="D33" s="7" t="str">
        <x:v>Penetrator</x:v>
      </x:c>
      <x:c r="E33" s="17" t="n">
        <x:f>'Source data'!S27</x:f>
        <x:v>6</x:v>
      </x:c>
      <x:c r="F33" s="17" t="n">
        <x:f>IF('Source data'!O27="",1,'Source data'!O27)</x:f>
        <x:v>1</x:v>
      </x:c>
      <x:c r="G33" s="15" t="n">
        <x:f>IF('Source data'!P27="",0,'Source data'!P27)</x:f>
        <x:v>0</x:v>
      </x:c>
      <x:c r="H33" s="15" t="n">
        <x:f>'Source data'!N27</x:f>
        <x:v>7</x:v>
      </x:c>
      <x:c r="I33" s="15" t="n">
        <x:f>H33+(F33-1)*G33</x:f>
        <x:v>7</x:v>
      </x:c>
      <x:c r="J33" s="15" t="n">
        <x:f>60*F33/I33</x:f>
        <x:v>8.571428571428571</x:v>
      </x:c>
      <x:c r="K33" s="15" t="n">
        <x:f>INT((E33-1)/F33)*I33+MOD(E33-1,F33)*G33</x:f>
        <x:v>35</x:v>
      </x:c>
      <x:c r="L33" s="15" t="n">
        <x:f>'Source data'!M27</x:f>
        <x:v>10</x:v>
      </x:c>
      <x:c r="M33" s="15" t="n">
        <x:f>L33+E33*X33/1000</x:f>
        <x:v>38.8</x:v>
      </x:c>
      <x:c r="N33" s="15" t="n">
        <x:f>'Source data'!K27</x:f>
        <x:v>4.89</x:v>
      </x:c>
      <x:c r="O33" s="15" t="n">
        <x:f>'Source data'!L27</x:f>
        <x:v>18.5</x:v>
      </x:c>
      <x:c r="P33" s="15" t="n">
        <x:f>'Source data'!Z27</x:f>
        <x:v>20</x:v>
      </x:c>
      <x:c r="Q33" s="17" t="n">
        <x:f>'Source data'!AD27</x:f>
        <x:v>1000</x:v>
      </x:c>
      <x:c r="R33" s="17" t="n">
        <x:f>'Source data'!W27</x:f>
        <x:v>100</x:v>
      </x:c>
      <x:c r="S33" s="15" t="n">
        <x:f>IF('Source data'!X27="",0,'Source data'!X27)</x:f>
        <x:v>0</x:v>
      </x:c>
      <x:c r="T33" s="19" t="n">
        <x:f>'Source data'!R27</x:f>
        <x:v>0.6</x:v>
      </x:c>
      <x:c r="U33" s="15" t="n">
        <x:f>S33+IF(OR(D33="Nuclear",D33="ShapedNuclear",D33="Antimatter"),0,IF(D33="Explosive",0.1,1)*0.5*R33*(O33/2)^2)</x:f>
        <x:v>4278.125</x:v>
      </x:c>
      <x:c r="V33" s="15" t="n">
        <x:f>U33*(1-T33)</x:f>
        <x:v>1711.25</x:v>
      </x:c>
      <x:c r="W33" s="15" t="n">
        <x:f>U33*J33</x:f>
        <x:v>36669.642857142855</x:v>
      </x:c>
      <x:c r="X33" s="17" t="n">
        <x:f>'Source data'!T27</x:f>
        <x:v>4800</x:v>
      </x:c>
      <x:c r="Y33" s="15" t="n">
        <x:f>'Source data'!Y27</x:f>
        <x:v>5</x:v>
      </x:c>
      <x:c r="Z33" s="15" t="n">
        <x:f>'Source data'!AA27</x:f>
        <x:v>1</x:v>
      </x:c>
      <x:c r="AA33" s="15" t="n">
        <x:f>'Source data'!AB27</x:f>
        <x:v>30</x:v>
      </x:c>
      <x:c r="AB33" s="7" t="b">
        <x:f>'Source data'!G27</x:f>
        <x:v>0</x:v>
      </x:c>
      <x:c r="AC33" s="7" t="str">
        <x:v>PoseidonTorpedoBay</x:v>
      </x:c>
    </x:row>
    <x:row r="34" ht="23" customHeight="1">
      <x:c r="A34" s="2" t="str">
        <x:v>Zeus Torpedo Bay</x:v>
      </x:c>
      <x:c r="B34" s="2" t="str">
        <x:v>Human</x:v>
      </x:c>
      <x:c r="C34" s="2" t="str">
        <x:v>OneHull</x:v>
      </x:c>
      <x:c r="D34" s="2" t="str">
        <x:v>Fragmentation</x:v>
      </x:c>
      <x:c r="E34" s="16" t="n">
        <x:f>'Source data'!S28</x:f>
        <x:v>6</x:v>
      </x:c>
      <x:c r="F34" s="16" t="n">
        <x:f>IF('Source data'!O28="",1,'Source data'!O28)</x:f>
        <x:v>1</x:v>
      </x:c>
      <x:c r="G34" s="14" t="n">
        <x:f>IF('Source data'!P28="",0,'Source data'!P28)</x:f>
        <x:v>0</x:v>
      </x:c>
      <x:c r="H34" s="14" t="n">
        <x:f>'Source data'!N28</x:f>
        <x:v>7</x:v>
      </x:c>
      <x:c r="I34" s="14" t="n">
        <x:f>H34+(F34-1)*G34</x:f>
        <x:v>7</x:v>
      </x:c>
      <x:c r="J34" s="14" t="n">
        <x:f>60*F34/I34</x:f>
        <x:v>8.571428571428571</x:v>
      </x:c>
      <x:c r="K34" s="14" t="n">
        <x:f>INT((E34-1)/F34)*I34+MOD(E34-1,F34)*G34</x:f>
        <x:v>35</x:v>
      </x:c>
      <x:c r="L34" s="14" t="n">
        <x:f>'Source data'!M28</x:f>
        <x:v>10</x:v>
      </x:c>
      <x:c r="M34" s="14" t="n">
        <x:f>L34+E34*X34/1000</x:f>
        <x:v>38.8</x:v>
      </x:c>
      <x:c r="N34" s="14" t="n">
        <x:f>'Source data'!K28</x:f>
        <x:v>4.89</x:v>
      </x:c>
      <x:c r="O34" s="14" t="n">
        <x:f>'Source data'!L28</x:f>
        <x:v>13.69</x:v>
      </x:c>
      <x:c r="P34" s="14" t="n">
        <x:f>'Source data'!Z28</x:f>
        <x:v>20</x:v>
      </x:c>
      <x:c r="Q34" s="16" t="n">
        <x:f>'Source data'!AD28</x:f>
        <x:v>1000</x:v>
      </x:c>
      <x:c r="R34" s="16" t="n">
        <x:f>'Source data'!W28</x:f>
        <x:v>500</x:v>
      </x:c>
      <x:c r="S34" s="14" t="n">
        <x:f>IF('Source data'!X28="",0,'Source data'!X28)</x:f>
        <x:v>0</x:v>
      </x:c>
      <x:c r="T34" s="18" t="n">
        <x:f>'Source data'!R28</x:f>
        <x:v>0.5</x:v>
      </x:c>
      <x:c r="U34" s="14" t="n">
        <x:f>S34+IF(OR(D34="Nuclear",D34="ShapedNuclear",D34="Antimatter"),0,IF(D34="Explosive",0.1,1)*0.5*R34*(O34/2)^2)</x:f>
        <x:v>11713.50625</x:v>
      </x:c>
      <x:c r="V34" s="14" t="n">
        <x:f>U34*(1-T34)</x:f>
        <x:v>5856.753125</x:v>
      </x:c>
      <x:c r="W34" s="14" t="n">
        <x:f>U34*J34</x:f>
        <x:v>100401.48214285714</x:v>
      </x:c>
      <x:c r="X34" s="16" t="n">
        <x:f>'Source data'!T28</x:f>
        <x:v>4800</x:v>
      </x:c>
      <x:c r="Y34" s="14" t="n">
        <x:f>'Source data'!Y28</x:f>
        <x:v>5</x:v>
      </x:c>
      <x:c r="Z34" s="14" t="n">
        <x:f>'Source data'!AA28</x:f>
        <x:v>1</x:v>
      </x:c>
      <x:c r="AA34" s="14" t="n">
        <x:f>'Source data'!AB28</x:f>
        <x:v>35</x:v>
      </x:c>
      <x:c r="AB34" s="2" t="b">
        <x:f>'Source data'!G28</x:f>
        <x:v>0</x:v>
      </x:c>
      <x:c r="AC34" s="2" t="str">
        <x:v>ZeusTorpedoBay</x:v>
      </x:c>
    </x:row>
    <x:row r="35" ht="23" customHeight="1">
      <x:c r="A35" s="7" t="str">
        <x:v>Cerebrus Nuclear Torpedo Bay</x:v>
      </x:c>
      <x:c r="B35" s="7" t="str">
        <x:v>Human</x:v>
      </x:c>
      <x:c r="C35" s="7" t="str">
        <x:v>OneHull</x:v>
      </x:c>
      <x:c r="D35" s="7" t="str">
        <x:v>Nuclear</x:v>
      </x:c>
      <x:c r="E35" s="17" t="n">
        <x:f>'Source data'!S29</x:f>
        <x:v>4</x:v>
      </x:c>
      <x:c r="F35" s="17" t="n">
        <x:f>IF('Source data'!O29="",1,'Source data'!O29)</x:f>
        <x:v>1</x:v>
      </x:c>
      <x:c r="G35" s="15" t="n">
        <x:f>IF('Source data'!P29="",0,'Source data'!P29)</x:f>
        <x:v>0</x:v>
      </x:c>
      <x:c r="H35" s="15" t="n">
        <x:f>'Source data'!N29</x:f>
        <x:v>7</x:v>
      </x:c>
      <x:c r="I35" s="15" t="n">
        <x:f>H35+(F35-1)*G35</x:f>
        <x:v>7</x:v>
      </x:c>
      <x:c r="J35" s="15" t="n">
        <x:f>60*F35/I35</x:f>
        <x:v>8.571428571428571</x:v>
      </x:c>
      <x:c r="K35" s="15" t="n">
        <x:f>INT((E35-1)/F35)*I35+MOD(E35-1,F35)*G35</x:f>
        <x:v>21</x:v>
      </x:c>
      <x:c r="L35" s="15" t="n">
        <x:f>'Source data'!M29</x:f>
        <x:v>25</x:v>
      </x:c>
      <x:c r="M35" s="15" t="n">
        <x:f>L35+E35*X35/1000</x:f>
        <x:v>44.2</x:v>
      </x:c>
      <x:c r="N35" s="15" t="n">
        <x:f>'Source data'!K29</x:f>
        <x:v>7.47</x:v>
      </x:c>
      <x:c r="O35" s="15" t="n">
        <x:f>'Source data'!L29</x:f>
        <x:v>6.41</x:v>
      </x:c>
      <x:c r="P35" s="15" t="n">
        <x:f>'Source data'!Z29</x:f>
        <x:v>20</x:v>
      </x:c>
      <x:c r="Q35" s="17" t="n">
        <x:f>'Source data'!AD29</x:f>
        <x:v>1000</x:v>
      </x:c>
      <x:c r="R35" s="17" t="n">
        <x:f>'Source data'!W29</x:f>
        <x:v>260</x:v>
      </x:c>
      <x:c r="S35" s="15" t="n">
        <x:f>IF('Source data'!X29="",0,'Source data'!X29)</x:f>
        <x:v>1129950000</x:v>
      </x:c>
      <x:c r="T35" s="19" t="n">
        <x:f>'Source data'!R29</x:f>
        <x:v>1</x:v>
      </x:c>
      <x:c r="U35" s="15" t="n">
        <x:f>S35+IF(OR(D35="Nuclear",D35="ShapedNuclear",D35="Antimatter"),0,IF(D35="Explosive",0.1,1)*0.5*R35*(O35/2)^2)</x:f>
        <x:v>1129950000</x:v>
      </x:c>
      <x:c r="V35" s="15" t="n">
        <x:f>U35*(1-T35)</x:f>
        <x:v>0</x:v>
      </x:c>
      <x:c r="W35" s="15" t="n">
        <x:f>U35*J35</x:f>
        <x:v>9685285714.285713</x:v>
      </x:c>
      <x:c r="X35" s="17" t="n">
        <x:f>'Source data'!T29</x:f>
        <x:v>4800</x:v>
      </x:c>
      <x:c r="Y35" s="15" t="n">
        <x:f>'Source data'!Y29</x:f>
        <x:v>8</x:v>
      </x:c>
      <x:c r="Z35" s="15" t="n">
        <x:f>'Source data'!AA29</x:f>
        <x:v>1</x:v>
      </x:c>
      <x:c r="AA35" s="15" t="n">
        <x:f>'Source data'!AB29</x:f>
        <x:v>40</x:v>
      </x:c>
      <x:c r="AB35" s="7" t="b">
        <x:f>'Source data'!G29</x:f>
        <x:v>0</x:v>
      </x:c>
      <x:c r="AC35" s="7" t="str">
        <x:v>CerebrusNuclearTorpedoBay</x:v>
      </x:c>
    </x:row>
    <x:row r="36" ht="23" customHeight="1">
      <x:c r="A36" s="2" t="str">
        <x:v>Hades Nuclear Torpedo Bay</x:v>
      </x:c>
      <x:c r="B36" s="2" t="str">
        <x:v>Human</x:v>
      </x:c>
      <x:c r="C36" s="2" t="str">
        <x:v>OneHull</x:v>
      </x:c>
      <x:c r="D36" s="2" t="str">
        <x:v>Nuclear</x:v>
      </x:c>
      <x:c r="E36" s="16" t="n">
        <x:f>'Source data'!S30</x:f>
        <x:v>4</x:v>
      </x:c>
      <x:c r="F36" s="16" t="n">
        <x:f>IF('Source data'!O30="",1,'Source data'!O30)</x:f>
        <x:v>1</x:v>
      </x:c>
      <x:c r="G36" s="14" t="n">
        <x:f>IF('Source data'!P30="",0,'Source data'!P30)</x:f>
        <x:v>0</x:v>
      </x:c>
      <x:c r="H36" s="14" t="n">
        <x:f>'Source data'!N30</x:f>
        <x:v>7</x:v>
      </x:c>
      <x:c r="I36" s="14" t="n">
        <x:f>H36+(F36-1)*G36</x:f>
        <x:v>7</x:v>
      </x:c>
      <x:c r="J36" s="14" t="n">
        <x:f>60*F36/I36</x:f>
        <x:v>8.571428571428571</x:v>
      </x:c>
      <x:c r="K36" s="14" t="n">
        <x:f>INT((E36-1)/F36)*I36+MOD(E36-1,F36)*G36</x:f>
        <x:v>21</x:v>
      </x:c>
      <x:c r="L36" s="14" t="n">
        <x:f>'Source data'!M30</x:f>
        <x:v>20</x:v>
      </x:c>
      <x:c r="M36" s="14" t="n">
        <x:f>L36+E36*X36/1000</x:f>
        <x:v>39.2</x:v>
      </x:c>
      <x:c r="N36" s="14" t="n">
        <x:f>'Source data'!K30</x:f>
        <x:v>9.14</x:v>
      </x:c>
      <x:c r="O36" s="14" t="n">
        <x:f>'Source data'!L30</x:f>
        <x:v>7.7</x:v>
      </x:c>
      <x:c r="P36" s="14" t="n">
        <x:f>'Source data'!Z30</x:f>
        <x:v>20</x:v>
      </x:c>
      <x:c r="Q36" s="16" t="n">
        <x:f>'Source data'!AD30</x:f>
        <x:v>1000</x:v>
      </x:c>
      <x:c r="R36" s="16" t="n">
        <x:f>'Source data'!W30</x:f>
        <x:v>450</x:v>
      </x:c>
      <x:c r="S36" s="14" t="n">
        <x:f>IF('Source data'!X30="",0,'Source data'!X30)</x:f>
        <x:v>2448225000</x:v>
      </x:c>
      <x:c r="T36" s="18" t="n">
        <x:f>'Source data'!R30</x:f>
        <x:v>1</x:v>
      </x:c>
      <x:c r="U36" s="14" t="n">
        <x:f>S36+IF(OR(D36="Nuclear",D36="ShapedNuclear",D36="Antimatter"),0,IF(D36="Explosive",0.1,1)*0.5*R36*(O36/2)^2)</x:f>
        <x:v>2448225000</x:v>
      </x:c>
      <x:c r="V36" s="14" t="n">
        <x:f>U36*(1-T36)</x:f>
        <x:v>0</x:v>
      </x:c>
      <x:c r="W36" s="14" t="n">
        <x:f>U36*J36</x:f>
        <x:v>20984785714.285713</x:v>
      </x:c>
      <x:c r="X36" s="16" t="n">
        <x:f>'Source data'!T30</x:f>
        <x:v>4800</x:v>
      </x:c>
      <x:c r="Y36" s="14" t="n">
        <x:f>'Source data'!Y30</x:f>
        <x:v>8</x:v>
      </x:c>
      <x:c r="Z36" s="14" t="n">
        <x:f>'Source data'!AA30</x:f>
        <x:v>1</x:v>
      </x:c>
      <x:c r="AA36" s="14" t="n">
        <x:f>'Source data'!AB30</x:f>
        <x:v>40</x:v>
      </x:c>
      <x:c r="AB36" s="2" t="b">
        <x:f>'Source data'!G30</x:f>
        <x:v>0</x:v>
      </x:c>
      <x:c r="AC36" s="2" t="str">
        <x:v>HadesNuclearTorpedoBay</x:v>
      </x:c>
    </x:row>
    <x:row r="37" ht="23" customHeight="1">
      <x:c r="A37" s="7" t="str">
        <x:v>Nemesis Nuclear Torpedo Bay</x:v>
      </x:c>
      <x:c r="B37" s="7" t="str">
        <x:v>Human</x:v>
      </x:c>
      <x:c r="C37" s="7" t="str">
        <x:v>OneHull</x:v>
      </x:c>
      <x:c r="D37" s="7" t="str">
        <x:v>Nuclear</x:v>
      </x:c>
      <x:c r="E37" s="17" t="n">
        <x:f>'Source data'!S31</x:f>
        <x:v>4</x:v>
      </x:c>
      <x:c r="F37" s="17" t="n">
        <x:f>IF('Source data'!O31="",1,'Source data'!O31)</x:f>
        <x:v>1</x:v>
      </x:c>
      <x:c r="G37" s="15" t="n">
        <x:f>IF('Source data'!P31="",0,'Source data'!P31)</x:f>
        <x:v>0</x:v>
      </x:c>
      <x:c r="H37" s="15" t="n">
        <x:f>'Source data'!N31</x:f>
        <x:v>7</x:v>
      </x:c>
      <x:c r="I37" s="15" t="n">
        <x:f>H37+(F37-1)*G37</x:f>
        <x:v>7</x:v>
      </x:c>
      <x:c r="J37" s="15" t="n">
        <x:f>60*F37/I37</x:f>
        <x:v>8.571428571428571</x:v>
      </x:c>
      <x:c r="K37" s="15" t="n">
        <x:f>INT((E37-1)/F37)*I37+MOD(E37-1,F37)*G37</x:f>
        <x:v>21</x:v>
      </x:c>
      <x:c r="L37" s="15" t="n">
        <x:f>'Source data'!M31</x:f>
        <x:v>20</x:v>
      </x:c>
      <x:c r="M37" s="15" t="n">
        <x:f>L37+E37*X37/1000</x:f>
        <x:v>39.2</x:v>
      </x:c>
      <x:c r="N37" s="15" t="n">
        <x:f>'Source data'!K31</x:f>
        <x:v>4.89</x:v>
      </x:c>
      <x:c r="O37" s="15" t="n">
        <x:f>'Source data'!L31</x:f>
        <x:v>10.69</x:v>
      </x:c>
      <x:c r="P37" s="15" t="n">
        <x:f>'Source data'!Z31</x:f>
        <x:v>20</x:v>
      </x:c>
      <x:c r="Q37" s="17" t="n">
        <x:f>'Source data'!AD31</x:f>
        <x:v>1000</x:v>
      </x:c>
      <x:c r="R37" s="17" t="n">
        <x:f>'Source data'!W31</x:f>
        <x:v>900</x:v>
      </x:c>
      <x:c r="S37" s="15" t="n">
        <x:f>IF('Source data'!X31="",0,'Source data'!X31)</x:f>
        <x:v>4519800000</x:v>
      </x:c>
      <x:c r="T37" s="19" t="n">
        <x:f>'Source data'!R31</x:f>
        <x:v>1</x:v>
      </x:c>
      <x:c r="U37" s="15" t="n">
        <x:f>S37+IF(OR(D37="Nuclear",D37="ShapedNuclear",D37="Antimatter"),0,IF(D37="Explosive",0.1,1)*0.5*R37*(O37/2)^2)</x:f>
        <x:v>4519800000</x:v>
      </x:c>
      <x:c r="V37" s="15" t="n">
        <x:f>U37*(1-T37)</x:f>
        <x:v>0</x:v>
      </x:c>
      <x:c r="W37" s="15" t="n">
        <x:f>U37*J37</x:f>
        <x:v>38741142857.14285</x:v>
      </x:c>
      <x:c r="X37" s="17" t="n">
        <x:f>'Source data'!T31</x:f>
        <x:v>4800</x:v>
      </x:c>
      <x:c r="Y37" s="15" t="n">
        <x:f>'Source data'!Y31</x:f>
        <x:v>5</x:v>
      </x:c>
      <x:c r="Z37" s="15" t="n">
        <x:f>'Source data'!AA31</x:f>
        <x:v>1</x:v>
      </x:c>
      <x:c r="AA37" s="15" t="n">
        <x:f>'Source data'!AB31</x:f>
        <x:v>40</x:v>
      </x:c>
      <x:c r="AB37" s="7" t="b">
        <x:f>'Source data'!G31</x:f>
        <x:v>0</x:v>
      </x:c>
      <x:c r="AC37" s="7" t="str">
        <x:v>NemesisNuclearTorpedoBay</x:v>
      </x:c>
    </x:row>
    <x:row r="38" ht="23" customHeight="1">
      <x:c r="A38" s="2" t="str">
        <x:v>Olympus Nuclear Torpedo Bay</x:v>
      </x:c>
      <x:c r="B38" s="2" t="str">
        <x:v>Human</x:v>
      </x:c>
      <x:c r="C38" s="2" t="str">
        <x:v>OneHull</x:v>
      </x:c>
      <x:c r="D38" s="2" t="str">
        <x:v>ShapedNuclear</x:v>
      </x:c>
      <x:c r="E38" s="16" t="n">
        <x:f>'Source data'!S32</x:f>
        <x:v>4</x:v>
      </x:c>
      <x:c r="F38" s="16" t="n">
        <x:f>IF('Source data'!O32="",1,'Source data'!O32)</x:f>
        <x:v>1</x:v>
      </x:c>
      <x:c r="G38" s="14" t="n">
        <x:f>IF('Source data'!P32="",0,'Source data'!P32)</x:f>
        <x:v>0</x:v>
      </x:c>
      <x:c r="H38" s="14" t="n">
        <x:f>'Source data'!N32</x:f>
        <x:v>7</x:v>
      </x:c>
      <x:c r="I38" s="14" t="n">
        <x:f>H38+(F38-1)*G38</x:f>
        <x:v>7</x:v>
      </x:c>
      <x:c r="J38" s="14" t="n">
        <x:f>60*F38/I38</x:f>
        <x:v>8.571428571428571</x:v>
      </x:c>
      <x:c r="K38" s="14" t="n">
        <x:f>INT((E38-1)/F38)*I38+MOD(E38-1,F38)*G38</x:f>
        <x:v>21</x:v>
      </x:c>
      <x:c r="L38" s="14" t="n">
        <x:f>'Source data'!M32</x:f>
        <x:v>20</x:v>
      </x:c>
      <x:c r="M38" s="14" t="n">
        <x:f>L38+E38*X38/1000</x:f>
        <x:v>39.2</x:v>
      </x:c>
      <x:c r="N38" s="14" t="n">
        <x:f>'Source data'!K32</x:f>
        <x:v>4.89</x:v>
      </x:c>
      <x:c r="O38" s="14" t="n">
        <x:f>'Source data'!L32</x:f>
        <x:v>10.69</x:v>
      </x:c>
      <x:c r="P38" s="14" t="n">
        <x:f>'Source data'!Z32</x:f>
        <x:v>20</x:v>
      </x:c>
      <x:c r="Q38" s="16" t="n">
        <x:f>'Source data'!AD32</x:f>
        <x:v>1000</x:v>
      </x:c>
      <x:c r="R38" s="16" t="n">
        <x:f>'Source data'!W32</x:f>
        <x:v>800</x:v>
      </x:c>
      <x:c r="S38" s="14" t="n">
        <x:f>IF('Source data'!X32="",0,'Source data'!X32)</x:f>
        <x:v>4185000000</x:v>
      </x:c>
      <x:c r="T38" s="18" t="n">
        <x:f>'Source data'!R32</x:f>
        <x:v>1</x:v>
      </x:c>
      <x:c r="U38" s="14" t="n">
        <x:f>S38+IF(OR(D38="Nuclear",D38="ShapedNuclear",D38="Antimatter"),0,IF(D38="Explosive",0.1,1)*0.5*R38*(O38/2)^2)</x:f>
        <x:v>4185000000</x:v>
      </x:c>
      <x:c r="V38" s="14" t="n">
        <x:f>U38*(1-T38)</x:f>
        <x:v>0</x:v>
      </x:c>
      <x:c r="W38" s="14" t="n">
        <x:f>U38*J38</x:f>
        <x:v>35871428571.42857</x:v>
      </x:c>
      <x:c r="X38" s="16" t="n">
        <x:f>'Source data'!T32</x:f>
        <x:v>4800</x:v>
      </x:c>
      <x:c r="Y38" s="14" t="n">
        <x:f>'Source data'!Y32</x:f>
        <x:v>5</x:v>
      </x:c>
      <x:c r="Z38" s="14" t="n">
        <x:f>'Source data'!AA32</x:f>
        <x:v>1</x:v>
      </x:c>
      <x:c r="AA38" s="14" t="n">
        <x:f>'Source data'!AB32</x:f>
        <x:v>40</x:v>
      </x:c>
      <x:c r="AB38" s="2" t="b">
        <x:f>'Source data'!G32</x:f>
        <x:v>0</x:v>
      </x:c>
      <x:c r="AC38" s="2" t="str">
        <x:v>OlympusNuclearTorpedoBay</x:v>
      </x:c>
    </x:row>
    <x:row r="39" ht="23" customHeight="1">
      <x:c r="A39" s="7" t="str">
        <x:v>Acheron Nuclear Torpedo Bay</x:v>
      </x:c>
      <x:c r="B39" s="7" t="str">
        <x:v>Human</x:v>
      </x:c>
      <x:c r="C39" s="7" t="str">
        <x:v>OneHull</x:v>
      </x:c>
      <x:c r="D39" s="7" t="str">
        <x:v>ShapedNuclear</x:v>
      </x:c>
      <x:c r="E39" s="17" t="n">
        <x:f>'Source data'!S33</x:f>
        <x:v>4</x:v>
      </x:c>
      <x:c r="F39" s="17" t="n">
        <x:f>IF('Source data'!O33="",1,'Source data'!O33)</x:f>
        <x:v>1</x:v>
      </x:c>
      <x:c r="G39" s="15" t="n">
        <x:f>IF('Source data'!P33="",0,'Source data'!P33)</x:f>
        <x:v>0</x:v>
      </x:c>
      <x:c r="H39" s="15" t="n">
        <x:f>'Source data'!N33</x:f>
        <x:v>7</x:v>
      </x:c>
      <x:c r="I39" s="15" t="n">
        <x:f>H39+(F39-1)*G39</x:f>
        <x:v>7</x:v>
      </x:c>
      <x:c r="J39" s="15" t="n">
        <x:f>60*F39/I39</x:f>
        <x:v>8.571428571428571</x:v>
      </x:c>
      <x:c r="K39" s="15" t="n">
        <x:f>INT((E39-1)/F39)*I39+MOD(E39-1,F39)*G39</x:f>
        <x:v>21</x:v>
      </x:c>
      <x:c r="L39" s="15" t="n">
        <x:f>'Source data'!M33</x:f>
        <x:v>20</x:v>
      </x:c>
      <x:c r="M39" s="15" t="n">
        <x:f>L39+E39*X39/1000</x:f>
        <x:v>39.2</x:v>
      </x:c>
      <x:c r="N39" s="15" t="n">
        <x:f>'Source data'!K33</x:f>
        <x:v>4.89</x:v>
      </x:c>
      <x:c r="O39" s="15" t="n">
        <x:f>'Source data'!L33</x:f>
        <x:v>10.08</x:v>
      </x:c>
      <x:c r="P39" s="15" t="n">
        <x:f>'Source data'!Z33</x:f>
        <x:v>20</x:v>
      </x:c>
      <x:c r="Q39" s="17" t="n">
        <x:f>'Source data'!AD33</x:f>
        <x:v>1000</x:v>
      </x:c>
      <x:c r="R39" s="17" t="n">
        <x:f>'Source data'!W33</x:f>
        <x:v>800</x:v>
      </x:c>
      <x:c r="S39" s="15" t="n">
        <x:f>IF('Source data'!X33="",0,'Source data'!X33)</x:f>
        <x:v>4185000000</x:v>
      </x:c>
      <x:c r="T39" s="19" t="n">
        <x:f>'Source data'!R33</x:f>
        <x:v>1</x:v>
      </x:c>
      <x:c r="U39" s="15" t="n">
        <x:f>S39+IF(OR(D39="Nuclear",D39="ShapedNuclear",D39="Antimatter"),0,IF(D39="Explosive",0.1,1)*0.5*R39*(O39/2)^2)</x:f>
        <x:v>4185000000</x:v>
      </x:c>
      <x:c r="V39" s="15" t="n">
        <x:f>U39*(1-T39)</x:f>
        <x:v>0</x:v>
      </x:c>
      <x:c r="W39" s="15" t="n">
        <x:f>U39*J39</x:f>
        <x:v>35871428571.42857</x:v>
      </x:c>
      <x:c r="X39" s="17" t="n">
        <x:f>'Source data'!T33</x:f>
        <x:v>4800</x:v>
      </x:c>
      <x:c r="Y39" s="15" t="n">
        <x:f>'Source data'!Y33</x:f>
        <x:v>5</x:v>
      </x:c>
      <x:c r="Z39" s="15" t="n">
        <x:f>'Source data'!AA33</x:f>
        <x:v>1</x:v>
      </x:c>
      <x:c r="AA39" s="15" t="n">
        <x:f>'Source data'!AB33</x:f>
        <x:v>40</x:v>
      </x:c>
      <x:c r="AB39" s="7" t="b">
        <x:f>'Source data'!G33</x:f>
        <x:v>0</x:v>
      </x:c>
      <x:c r="AC39" s="7" t="str">
        <x:v>AcheronNuclearTorpedoBay</x:v>
      </x:c>
    </x:row>
    <x:row r="40" ht="23" customHeight="1">
      <x:c r="A40" s="2" t="str">
        <x:v>Tartarus Nuclear Torpedo Bay</x:v>
      </x:c>
      <x:c r="B40" s="2" t="str">
        <x:v>Human</x:v>
      </x:c>
      <x:c r="C40" s="2" t="str">
        <x:v>OneHull</x:v>
      </x:c>
      <x:c r="D40" s="2" t="str">
        <x:v>ShapedNuclear</x:v>
      </x:c>
      <x:c r="E40" s="16" t="n">
        <x:f>'Source data'!S34</x:f>
        <x:v>4</x:v>
      </x:c>
      <x:c r="F40" s="16" t="n">
        <x:f>IF('Source data'!O34="",1,'Source data'!O34)</x:f>
        <x:v>1</x:v>
      </x:c>
      <x:c r="G40" s="14" t="n">
        <x:f>IF('Source data'!P34="",0,'Source data'!P34)</x:f>
        <x:v>0</x:v>
      </x:c>
      <x:c r="H40" s="14" t="n">
        <x:f>'Source data'!N34</x:f>
        <x:v>7</x:v>
      </x:c>
      <x:c r="I40" s="14" t="n">
        <x:f>H40+(F40-1)*G40</x:f>
        <x:v>7</x:v>
      </x:c>
      <x:c r="J40" s="14" t="n">
        <x:f>60*F40/I40</x:f>
        <x:v>8.571428571428571</x:v>
      </x:c>
      <x:c r="K40" s="14" t="n">
        <x:f>INT((E40-1)/F40)*I40+MOD(E40-1,F40)*G40</x:f>
        <x:v>21</x:v>
      </x:c>
      <x:c r="L40" s="14" t="n">
        <x:f>'Source data'!M34</x:f>
        <x:v>20</x:v>
      </x:c>
      <x:c r="M40" s="14" t="n">
        <x:f>L40+E40*X40/1000</x:f>
        <x:v>39.2</x:v>
      </x:c>
      <x:c r="N40" s="14" t="n">
        <x:f>'Source data'!K34</x:f>
        <x:v>4.89</x:v>
      </x:c>
      <x:c r="O40" s="14" t="n">
        <x:f>'Source data'!L34</x:f>
        <x:v>9.51</x:v>
      </x:c>
      <x:c r="P40" s="14" t="n">
        <x:f>'Source data'!Z34</x:f>
        <x:v>20</x:v>
      </x:c>
      <x:c r="Q40" s="16" t="n">
        <x:f>'Source data'!AD34</x:f>
        <x:v>1000</x:v>
      </x:c>
      <x:c r="R40" s="16" t="n">
        <x:f>'Source data'!W34</x:f>
        <x:v>800</x:v>
      </x:c>
      <x:c r="S40" s="14" t="n">
        <x:f>IF('Source data'!X34="",0,'Source data'!X34)</x:f>
        <x:v>4185000000</x:v>
      </x:c>
      <x:c r="T40" s="18" t="n">
        <x:f>'Source data'!R34</x:f>
        <x:v>1</x:v>
      </x:c>
      <x:c r="U40" s="14" t="n">
        <x:f>S40+IF(OR(D40="Nuclear",D40="ShapedNuclear",D40="Antimatter"),0,IF(D40="Explosive",0.1,1)*0.5*R40*(O40/2)^2)</x:f>
        <x:v>4185000000</x:v>
      </x:c>
      <x:c r="V40" s="14" t="n">
        <x:f>U40*(1-T40)</x:f>
        <x:v>0</x:v>
      </x:c>
      <x:c r="W40" s="14" t="n">
        <x:f>U40*J40</x:f>
        <x:v>35871428571.42857</x:v>
      </x:c>
      <x:c r="X40" s="16" t="n">
        <x:f>'Source data'!T34</x:f>
        <x:v>4800</x:v>
      </x:c>
      <x:c r="Y40" s="14" t="n">
        <x:f>'Source data'!Y34</x:f>
        <x:v>5</x:v>
      </x:c>
      <x:c r="Z40" s="14" t="n">
        <x:f>'Source data'!AA34</x:f>
        <x:v>1</x:v>
      </x:c>
      <x:c r="AA40" s="14" t="n">
        <x:f>'Source data'!AB34</x:f>
        <x:v>40</x:v>
      </x:c>
      <x:c r="AB40" s="2" t="b">
        <x:f>'Source data'!G34</x:f>
        <x:v>0</x:v>
      </x:c>
      <x:c r="AC40" s="2" t="str">
        <x:v>TartarusNuclearTorpedoBay</x:v>
      </x:c>
    </x:row>
    <x:row r="41" ht="23" customHeight="1">
      <x:c r="A41" s="7" t="str">
        <x:v>Styx Nuclear Torpedo Bay</x:v>
      </x:c>
      <x:c r="B41" s="7" t="str">
        <x:v>Human</x:v>
      </x:c>
      <x:c r="C41" s="7" t="str">
        <x:v>OneHull</x:v>
      </x:c>
      <x:c r="D41" s="7" t="str">
        <x:v>ShapedNuclear</x:v>
      </x:c>
      <x:c r="E41" s="17" t="n">
        <x:f>'Source data'!S35</x:f>
        <x:v>4</x:v>
      </x:c>
      <x:c r="F41" s="17" t="n">
        <x:f>IF('Source data'!O35="",1,'Source data'!O35)</x:f>
        <x:v>1</x:v>
      </x:c>
      <x:c r="G41" s="15" t="n">
        <x:f>IF('Source data'!P35="",0,'Source data'!P35)</x:f>
        <x:v>0</x:v>
      </x:c>
      <x:c r="H41" s="15" t="n">
        <x:f>'Source data'!N35</x:f>
        <x:v>7</x:v>
      </x:c>
      <x:c r="I41" s="15" t="n">
        <x:f>H41+(F41-1)*G41</x:f>
        <x:v>7</x:v>
      </x:c>
      <x:c r="J41" s="15" t="n">
        <x:f>60*F41/I41</x:f>
        <x:v>8.571428571428571</x:v>
      </x:c>
      <x:c r="K41" s="15" t="n">
        <x:f>INT((E41-1)/F41)*I41+MOD(E41-1,F41)*G41</x:f>
        <x:v>21</x:v>
      </x:c>
      <x:c r="L41" s="15" t="n">
        <x:f>'Source data'!M35</x:f>
        <x:v>20</x:v>
      </x:c>
      <x:c r="M41" s="15" t="n">
        <x:f>L41+E41*X41/1000</x:f>
        <x:v>39.2</x:v>
      </x:c>
      <x:c r="N41" s="15" t="n">
        <x:f>'Source data'!K35</x:f>
        <x:v>4.89</x:v>
      </x:c>
      <x:c r="O41" s="15" t="n">
        <x:f>'Source data'!L35</x:f>
        <x:v>8.99</x:v>
      </x:c>
      <x:c r="P41" s="15" t="n">
        <x:f>'Source data'!Z35</x:f>
        <x:v>20</x:v>
      </x:c>
      <x:c r="Q41" s="17" t="n">
        <x:f>'Source data'!AD35</x:f>
        <x:v>1000</x:v>
      </x:c>
      <x:c r="R41" s="17" t="n">
        <x:f>'Source data'!W35</x:f>
        <x:v>800</x:v>
      </x:c>
      <x:c r="S41" s="15" t="n">
        <x:f>IF('Source data'!X35="",0,'Source data'!X35)</x:f>
        <x:v>4185000000</x:v>
      </x:c>
      <x:c r="T41" s="19" t="n">
        <x:f>'Source data'!R35</x:f>
        <x:v>1</x:v>
      </x:c>
      <x:c r="U41" s="15" t="n">
        <x:f>S41+IF(OR(D41="Nuclear",D41="ShapedNuclear",D41="Antimatter"),0,IF(D41="Explosive",0.1,1)*0.5*R41*(O41/2)^2)</x:f>
        <x:v>4185000000</x:v>
      </x:c>
      <x:c r="V41" s="15" t="n">
        <x:f>U41*(1-T41)</x:f>
        <x:v>0</x:v>
      </x:c>
      <x:c r="W41" s="15" t="n">
        <x:f>U41*J41</x:f>
        <x:v>35871428571.42857</x:v>
      </x:c>
      <x:c r="X41" s="17" t="n">
        <x:f>'Source data'!T35</x:f>
        <x:v>4800</x:v>
      </x:c>
      <x:c r="Y41" s="15" t="n">
        <x:f>'Source data'!Y35</x:f>
        <x:v>5</x:v>
      </x:c>
      <x:c r="Z41" s="15" t="n">
        <x:f>'Source data'!AA35</x:f>
        <x:v>1</x:v>
      </x:c>
      <x:c r="AA41" s="15" t="n">
        <x:f>'Source data'!AB35</x:f>
        <x:v>40</x:v>
      </x:c>
      <x:c r="AB41" s="7" t="b">
        <x:f>'Source data'!G35</x:f>
        <x:v>0</x:v>
      </x:c>
      <x:c r="AC41" s="7" t="str">
        <x:v>StyxNuclearTorpedoBay</x:v>
      </x:c>
    </x:row>
    <x:row r="42" ht="23" customHeight="1">
      <x:c r="A42" s="2" t="str">
        <x:v>Antimatter Torpedo Launcher</x:v>
      </x:c>
      <x:c r="B42" s="2" t="str">
        <x:v>Human</x:v>
      </x:c>
      <x:c r="C42" s="2" t="str">
        <x:v>OneHull</x:v>
      </x:c>
      <x:c r="D42" s="2" t="str">
        <x:v>Antimatter</x:v>
      </x:c>
      <x:c r="E42" s="16" t="n">
        <x:f>'Source data'!S36</x:f>
        <x:v>4</x:v>
      </x:c>
      <x:c r="F42" s="16" t="n">
        <x:f>IF('Source data'!O36="",1,'Source data'!O36)</x:f>
        <x:v>1</x:v>
      </x:c>
      <x:c r="G42" s="14" t="n">
        <x:f>IF('Source data'!P36="",0,'Source data'!P36)</x:f>
        <x:v>0</x:v>
      </x:c>
      <x:c r="H42" s="14" t="n">
        <x:f>'Source data'!N36</x:f>
        <x:v>7</x:v>
      </x:c>
      <x:c r="I42" s="14" t="n">
        <x:f>H42+(F42-1)*G42</x:f>
        <x:v>7</x:v>
      </x:c>
      <x:c r="J42" s="14" t="n">
        <x:f>60*F42/I42</x:f>
        <x:v>8.571428571428571</x:v>
      </x:c>
      <x:c r="K42" s="14" t="n">
        <x:f>INT((E42-1)/F42)*I42+MOD(E42-1,F42)*G42</x:f>
        <x:v>21</x:v>
      </x:c>
      <x:c r="L42" s="14" t="n">
        <x:f>'Source data'!M36</x:f>
        <x:v>50</x:v>
      </x:c>
      <x:c r="M42" s="14" t="n">
        <x:f>L42+E42*X42/1000</x:f>
        <x:v>69.2</x:v>
      </x:c>
      <x:c r="N42" s="14" t="n">
        <x:f>'Source data'!K36</x:f>
        <x:v>4.89</x:v>
      </x:c>
      <x:c r="O42" s="14" t="n">
        <x:f>'Source data'!L36</x:f>
        <x:v>14.64</x:v>
      </x:c>
      <x:c r="P42" s="14" t="n">
        <x:f>'Source data'!Z36</x:f>
        <x:v>20</x:v>
      </x:c>
      <x:c r="Q42" s="16" t="n">
        <x:f>'Source data'!AD36</x:f>
        <x:v>1000</x:v>
      </x:c>
      <x:c r="R42" s="16" t="n">
        <x:f>'Source data'!W36</x:f>
        <x:v>2</x:v>
      </x:c>
      <x:c r="S42" s="14" t="n">
        <x:f>IF('Source data'!X36="",0,'Source data'!X36)</x:f>
        <x:v>22470010000</x:v>
      </x:c>
      <x:c r="T42" s="18" t="n">
        <x:f>'Source data'!R36</x:f>
        <x:v>0.25</x:v>
      </x:c>
      <x:c r="U42" s="14" t="n">
        <x:f>S42+IF(OR(D42="Nuclear",D42="ShapedNuclear",D42="Antimatter"),0,IF(D42="Explosive",0.1,1)*0.5*R42*(O42/2)^2)</x:f>
        <x:v>22470010000</x:v>
      </x:c>
      <x:c r="V42" s="14" t="n">
        <x:f>U42*(1-T42)</x:f>
        <x:v>16852507500</x:v>
      </x:c>
      <x:c r="W42" s="14" t="n">
        <x:f>U42*J42</x:f>
        <x:v>192600085714.2857</x:v>
      </x:c>
      <x:c r="X42" s="16" t="n">
        <x:f>'Source data'!T36</x:f>
        <x:v>4800</x:v>
      </x:c>
      <x:c r="Y42" s="14" t="n">
        <x:f>'Source data'!Y36</x:f>
        <x:v>5</x:v>
      </x:c>
      <x:c r="Z42" s="14" t="n">
        <x:f>'Source data'!AA36</x:f>
        <x:v>1</x:v>
      </x:c>
      <x:c r="AA42" s="14" t="n">
        <x:f>'Source data'!AB36</x:f>
        <x:v>40</x:v>
      </x:c>
      <x:c r="AB42" s="2" t="b">
        <x:f>'Source data'!G36</x:f>
        <x:v>0</x:v>
      </x:c>
      <x:c r="AC42" s="2" t="str">
        <x:v>AntimatterTorpedoLauncher</x:v>
      </x:c>
    </x:row>
    <x:row r="43" ht="23" customHeight="1">
      <x:c r="A43" s="7" t="str">
        <x:v>Krait Missile Pod</x:v>
      </x:c>
      <x:c r="B43" s="7" t="str">
        <x:v>Human</x:v>
      </x:c>
      <x:c r="C43" s="7" t="str">
        <x:v>HalfHull</x:v>
      </x:c>
      <x:c r="D43" s="7" t="str">
        <x:v>Explosive</x:v>
      </x:c>
      <x:c r="E43" s="17" t="n">
        <x:f>'Source data'!S37</x:f>
        <x:v>4</x:v>
      </x:c>
      <x:c r="F43" s="17" t="n">
        <x:f>IF('Source data'!O37="",1,'Source data'!O37)</x:f>
        <x:v>1</x:v>
      </x:c>
      <x:c r="G43" s="15" t="n">
        <x:f>IF('Source data'!P37="",0,'Source data'!P37)</x:f>
        <x:v>0</x:v>
      </x:c>
      <x:c r="H43" s="15" t="n">
        <x:f>'Source data'!N37</x:f>
        <x:v>1</x:v>
      </x:c>
      <x:c r="I43" s="15" t="n">
        <x:f>H43+(F43-1)*G43</x:f>
        <x:v>1</x:v>
      </x:c>
      <x:c r="J43" s="15" t="n">
        <x:f>60*F43/I43</x:f>
        <x:v>60</x:v>
      </x:c>
      <x:c r="K43" s="15" t="n">
        <x:f>INT((E43-1)/F43)*I43+MOD(E43-1,F43)*G43</x:f>
        <x:v>3</x:v>
      </x:c>
      <x:c r="L43" s="15" t="n">
        <x:f>'Source data'!M37</x:f>
        <x:v>7</x:v>
      </x:c>
      <x:c r="M43" s="15" t="n">
        <x:f>L43+E43*X43/1000</x:f>
        <x:v>13.4</x:v>
      </x:c>
      <x:c r="N43" s="15" t="n">
        <x:f>'Source data'!K37</x:f>
        <x:v>4.46</x:v>
      </x:c>
      <x:c r="O43" s="15" t="n">
        <x:f>'Source data'!L37</x:f>
        <x:v>3.33</x:v>
      </x:c>
      <x:c r="P43" s="15" t="n">
        <x:f>'Source data'!Z37</x:f>
        <x:v>25</x:v>
      </x:c>
      <x:c r="Q43" s="17" t="n">
        <x:f>'Source data'!AD37</x:f>
        <x:v>800</x:v>
      </x:c>
      <x:c r="R43" s="17" t="n">
        <x:f>'Source data'!W37</x:f>
        <x:v>200</x:v>
      </x:c>
      <x:c r="S43" s="15" t="n">
        <x:f>IF('Source data'!X37="",0,'Source data'!X37)</x:f>
        <x:v>240</x:v>
      </x:c>
      <x:c r="T43" s="19" t="n">
        <x:f>'Source data'!R37</x:f>
        <x:v>0.8</x:v>
      </x:c>
      <x:c r="U43" s="15" t="n">
        <x:f>S43+IF(OR(D43="Nuclear",D43="ShapedNuclear",D43="Antimatter"),0,IF(D43="Explosive",0.1,1)*0.5*R43*(O43/2)^2)</x:f>
        <x:v>267.72225000000003</x:v>
      </x:c>
      <x:c r="V43" s="15" t="n">
        <x:f>U43*(1-T43)</x:f>
        <x:v>53.54445</x:v>
      </x:c>
      <x:c r="W43" s="15" t="n">
        <x:f>U43*J43</x:f>
        <x:v>16063.335000000003</x:v>
      </x:c>
      <x:c r="X43" s="17" t="n">
        <x:f>'Source data'!T37</x:f>
        <x:v>1600</x:v>
      </x:c>
      <x:c r="Y43" s="15" t="n">
        <x:f>'Source data'!Y37</x:f>
        <x:v>4</x:v>
      </x:c>
      <x:c r="Z43" s="15" t="n">
        <x:f>'Source data'!AA37</x:f>
        <x:v>1</x:v>
      </x:c>
      <x:c r="AA43" s="15" t="n">
        <x:f>'Source data'!AB37</x:f>
        <x:v>60</x:v>
      </x:c>
      <x:c r="AB43" s="7" t="b">
        <x:f>'Source data'!G37</x:f>
        <x:v>0</x:v>
      </x:c>
      <x:c r="AC43" s="7" t="str">
        <x:v>KraitMissilePod</x:v>
      </x:c>
    </x:row>
    <x:row r="44" ht="23" customHeight="1">
      <x:c r="A44" s="2" t="str">
        <x:v>Anaconda Missile Pod</x:v>
      </x:c>
      <x:c r="B44" s="2" t="str">
        <x:v>Human</x:v>
      </x:c>
      <x:c r="C44" s="2" t="str">
        <x:v>HalfHull</x:v>
      </x:c>
      <x:c r="D44" s="2" t="str">
        <x:v>Explosive</x:v>
      </x:c>
      <x:c r="E44" s="16" t="n">
        <x:f>'Source data'!S38</x:f>
        <x:v>4</x:v>
      </x:c>
      <x:c r="F44" s="16" t="n">
        <x:f>IF('Source data'!O38="",1,'Source data'!O38)</x:f>
        <x:v>1</x:v>
      </x:c>
      <x:c r="G44" s="14" t="n">
        <x:f>IF('Source data'!P38="",0,'Source data'!P38)</x:f>
        <x:v>0</x:v>
      </x:c>
      <x:c r="H44" s="14" t="n">
        <x:f>'Source data'!N38</x:f>
        <x:v>1</x:v>
      </x:c>
      <x:c r="I44" s="14" t="n">
        <x:f>H44+(F44-1)*G44</x:f>
        <x:v>1</x:v>
      </x:c>
      <x:c r="J44" s="14" t="n">
        <x:f>60*F44/I44</x:f>
        <x:v>60</x:v>
      </x:c>
      <x:c r="K44" s="14" t="n">
        <x:f>INT((E44-1)/F44)*I44+MOD(E44-1,F44)*G44</x:f>
        <x:v>3</x:v>
      </x:c>
      <x:c r="L44" s="14" t="n">
        <x:f>'Source data'!M38</x:f>
        <x:v>5</x:v>
      </x:c>
      <x:c r="M44" s="14" t="n">
        <x:f>L44+E44*X44/1000</x:f>
        <x:v>11.4</x:v>
      </x:c>
      <x:c r="N44" s="14" t="n">
        <x:f>'Source data'!K38</x:f>
        <x:v>14.94</x:v>
      </x:c>
      <x:c r="O44" s="14" t="n">
        <x:f>'Source data'!L38</x:f>
        <x:v>3.76</x:v>
      </x:c>
      <x:c r="P44" s="14" t="n">
        <x:f>'Source data'!Z38</x:f>
        <x:v>30</x:v>
      </x:c>
      <x:c r="Q44" s="16" t="n">
        <x:f>'Source data'!AD38</x:f>
        <x:v>800</x:v>
      </x:c>
      <x:c r="R44" s="16" t="n">
        <x:f>'Source data'!W38</x:f>
        <x:v>200</x:v>
      </x:c>
      <x:c r="S44" s="14" t="n">
        <x:f>IF('Source data'!X38="",0,'Source data'!X38)</x:f>
        <x:v>360</x:v>
      </x:c>
      <x:c r="T44" s="18" t="n">
        <x:f>'Source data'!R38</x:f>
        <x:v>0.8</x:v>
      </x:c>
      <x:c r="U44" s="14" t="n">
        <x:f>S44+IF(OR(D44="Nuclear",D44="ShapedNuclear",D44="Antimatter"),0,IF(D44="Explosive",0.1,1)*0.5*R44*(O44/2)^2)</x:f>
        <x:v>395.344</x:v>
      </x:c>
      <x:c r="V44" s="14" t="n">
        <x:f>U44*(1-T44)</x:f>
        <x:v>79.06879999999998</x:v>
      </x:c>
      <x:c r="W44" s="14" t="n">
        <x:f>U44*J44</x:f>
        <x:v>23720.64</x:v>
      </x:c>
      <x:c r="X44" s="16" t="n">
        <x:f>'Source data'!T38</x:f>
        <x:v>1600</x:v>
      </x:c>
      <x:c r="Y44" s="14" t="n">
        <x:f>'Source data'!Y38</x:f>
        <x:v>6</x:v>
      </x:c>
      <x:c r="Z44" s="14" t="n">
        <x:f>'Source data'!AA38</x:f>
        <x:v>1</x:v>
      </x:c>
      <x:c r="AA44" s="14" t="n">
        <x:f>'Source data'!AB38</x:f>
        <x:v>50</x:v>
      </x:c>
      <x:c r="AB44" s="2" t="b">
        <x:f>'Source data'!G38</x:f>
        <x:v>0</x:v>
      </x:c>
      <x:c r="AC44" s="2" t="str">
        <x:v>AnacondaMissilePod</x:v>
      </x:c>
    </x:row>
    <x:row r="45" ht="23" customHeight="1">
      <x:c r="A45" s="7" t="str">
        <x:v>Cobra Missile Pod</x:v>
      </x:c>
      <x:c r="B45" s="7" t="str">
        <x:v>Human</x:v>
      </x:c>
      <x:c r="C45" s="7" t="str">
        <x:v>HalfHull</x:v>
      </x:c>
      <x:c r="D45" s="7" t="str">
        <x:v>Explosive</x:v>
      </x:c>
      <x:c r="E45" s="17" t="n">
        <x:f>'Source data'!S39</x:f>
        <x:v>4</x:v>
      </x:c>
      <x:c r="F45" s="17" t="n">
        <x:f>IF('Source data'!O39="",1,'Source data'!O39)</x:f>
        <x:v>1</x:v>
      </x:c>
      <x:c r="G45" s="15" t="n">
        <x:f>IF('Source data'!P39="",0,'Source data'!P39)</x:f>
        <x:v>0</x:v>
      </x:c>
      <x:c r="H45" s="15" t="n">
        <x:f>'Source data'!N39</x:f>
        <x:v>1</x:v>
      </x:c>
      <x:c r="I45" s="15" t="n">
        <x:f>H45+(F45-1)*G45</x:f>
        <x:v>1</x:v>
      </x:c>
      <x:c r="J45" s="15" t="n">
        <x:f>60*F45/I45</x:f>
        <x:v>60</x:v>
      </x:c>
      <x:c r="K45" s="15" t="n">
        <x:f>INT((E45-1)/F45)*I45+MOD(E45-1,F45)*G45</x:f>
        <x:v>3</x:v>
      </x:c>
      <x:c r="L45" s="15" t="n">
        <x:f>'Source data'!M39</x:f>
        <x:v>5</x:v>
      </x:c>
      <x:c r="M45" s="15" t="n">
        <x:f>L45+E45*X45/1000</x:f>
        <x:v>11.4</x:v>
      </x:c>
      <x:c r="N45" s="15" t="n">
        <x:f>'Source data'!K39</x:f>
        <x:v>14.94</x:v>
      </x:c>
      <x:c r="O45" s="15" t="n">
        <x:f>'Source data'!L39</x:f>
        <x:v>3.17</x:v>
      </x:c>
      <x:c r="P45" s="15" t="n">
        <x:f>'Source data'!Z39</x:f>
        <x:v>30</x:v>
      </x:c>
      <x:c r="Q45" s="17" t="n">
        <x:f>'Source data'!AD39</x:f>
        <x:v>800</x:v>
      </x:c>
      <x:c r="R45" s="17" t="n">
        <x:f>'Source data'!W39</x:f>
        <x:v>300</x:v>
      </x:c>
      <x:c r="S45" s="15" t="n">
        <x:f>IF('Source data'!X39="",0,'Source data'!X39)</x:f>
        <x:v>540</x:v>
      </x:c>
      <x:c r="T45" s="19" t="n">
        <x:f>'Source data'!R39</x:f>
        <x:v>0.8</x:v>
      </x:c>
      <x:c r="U45" s="15" t="n">
        <x:f>S45+IF(OR(D45="Nuclear",D45="ShapedNuclear",D45="Antimatter"),0,IF(D45="Explosive",0.1,1)*0.5*R45*(O45/2)^2)</x:f>
        <x:v>577.683375</x:v>
      </x:c>
      <x:c r="V45" s="15" t="n">
        <x:f>U45*(1-T45)</x:f>
        <x:v>115.53667499999996</x:v>
      </x:c>
      <x:c r="W45" s="15" t="n">
        <x:f>U45*J45</x:f>
        <x:v>34661.002499999995</x:v>
      </x:c>
      <x:c r="X45" s="17" t="n">
        <x:f>'Source data'!T39</x:f>
        <x:v>1600</x:v>
      </x:c>
      <x:c r="Y45" s="15" t="n">
        <x:f>'Source data'!Y39</x:f>
        <x:v>6</x:v>
      </x:c>
      <x:c r="Z45" s="15" t="n">
        <x:f>'Source data'!AA39</x:f>
        <x:v>1</x:v>
      </x:c>
      <x:c r="AA45" s="15" t="n">
        <x:f>'Source data'!AB39</x:f>
        <x:v>50</x:v>
      </x:c>
      <x:c r="AB45" s="7" t="b">
        <x:f>'Source data'!G39</x:f>
        <x:v>0</x:v>
      </x:c>
      <x:c r="AC45" s="7" t="str">
        <x:v>CobraMissilePod</x:v>
      </x:c>
    </x:row>
    <x:row r="46" ht="23" customHeight="1">
      <x:c r="A46" s="2" t="str">
        <x:v>Racer Missile Pod</x:v>
      </x:c>
      <x:c r="B46" s="2" t="str">
        <x:v>Human</x:v>
      </x:c>
      <x:c r="C46" s="2" t="str">
        <x:v>HalfHull</x:v>
      </x:c>
      <x:c r="D46" s="2" t="str">
        <x:v>Fragmentation</x:v>
      </x:c>
      <x:c r="E46" s="16" t="n">
        <x:f>'Source data'!S40</x:f>
        <x:v>12</x:v>
      </x:c>
      <x:c r="F46" s="16" t="n">
        <x:f>IF('Source data'!O40="",1,'Source data'!O40)</x:f>
        <x:v>6</x:v>
      </x:c>
      <x:c r="G46" s="14" t="n">
        <x:f>IF('Source data'!P40="",0,'Source data'!P40)</x:f>
        <x:v>1</x:v>
      </x:c>
      <x:c r="H46" s="14" t="n">
        <x:f>'Source data'!N40</x:f>
        <x:v>3</x:v>
      </x:c>
      <x:c r="I46" s="14" t="n">
        <x:f>H46+(F46-1)*G46</x:f>
        <x:v>8</x:v>
      </x:c>
      <x:c r="J46" s="14" t="n">
        <x:f>60*F46/I46</x:f>
        <x:v>45</x:v>
      </x:c>
      <x:c r="K46" s="14" t="n">
        <x:f>INT((E46-1)/F46)*I46+MOD(E46-1,F46)*G46</x:f>
        <x:v>13</x:v>
      </x:c>
      <x:c r="L46" s="14" t="n">
        <x:f>'Source data'!M40</x:f>
        <x:v>5</x:v>
      </x:c>
      <x:c r="M46" s="14" t="n">
        <x:f>L46+E46*X46/1000</x:f>
        <x:v>9.8</x:v>
      </x:c>
      <x:c r="N46" s="14" t="n">
        <x:f>'Source data'!K40</x:f>
        <x:v>29.89</x:v>
      </x:c>
      <x:c r="O46" s="14" t="n">
        <x:f>'Source data'!L40</x:f>
        <x:v>2.67</x:v>
      </x:c>
      <x:c r="P46" s="14" t="n">
        <x:f>'Source data'!Z40</x:f>
        <x:v>40</x:v>
      </x:c>
      <x:c r="Q46" s="16" t="n">
        <x:f>'Source data'!AD40</x:f>
        <x:v>500</x:v>
      </x:c>
      <x:c r="R46" s="16" t="n">
        <x:f>'Source data'!W40</x:f>
        <x:v>25</x:v>
      </x:c>
      <x:c r="S46" s="14" t="n">
        <x:f>IF('Source data'!X40="",0,'Source data'!X40)</x:f>
        <x:v>0</x:v>
      </x:c>
      <x:c r="T46" s="18" t="n">
        <x:f>'Source data'!R40</x:f>
        <x:v>0.5</x:v>
      </x:c>
      <x:c r="U46" s="14" t="n">
        <x:f>S46+IF(OR(D46="Nuclear",D46="ShapedNuclear",D46="Antimatter"),0,IF(D46="Explosive",0.1,1)*0.5*R46*(O46/2)^2)</x:f>
        <x:v>22.2778125</x:v>
      </x:c>
      <x:c r="V46" s="14" t="n">
        <x:f>U46*(1-T46)</x:f>
        <x:v>11.13890625</x:v>
      </x:c>
      <x:c r="W46" s="14" t="n">
        <x:f>U46*J46</x:f>
        <x:v>1002.5015625</x:v>
      </x:c>
      <x:c r="X46" s="16" t="n">
        <x:f>'Source data'!T40</x:f>
        <x:v>400</x:v>
      </x:c>
      <x:c r="Y46" s="14" t="n">
        <x:f>'Source data'!Y40</x:f>
        <x:v>2</x:v>
      </x:c>
      <x:c r="Z46" s="14" t="n">
        <x:f>'Source data'!AA40</x:f>
        <x:v>0.5</x:v>
      </x:c>
      <x:c r="AA46" s="14" t="n">
        <x:f>'Source data'!AB40</x:f>
        <x:v>35</x:v>
      </x:c>
      <x:c r="AB46" s="2" t="b">
        <x:f>'Source data'!G40</x:f>
        <x:v>1</x:v>
      </x:c>
      <x:c r="AC46" s="2" t="str">
        <x:v>RacerMissilePod</x:v>
      </x:c>
    </x:row>
    <x:row r="47" ht="23" customHeight="1">
      <x:c r="A47" s="7" t="str">
        <x:v>Rattler Missile Pod</x:v>
      </x:c>
      <x:c r="B47" s="7" t="str">
        <x:v>Human</x:v>
      </x:c>
      <x:c r="C47" s="7" t="str">
        <x:v>HalfHull</x:v>
      </x:c>
      <x:c r="D47" s="7" t="str">
        <x:v>Fragmentation</x:v>
      </x:c>
      <x:c r="E47" s="17" t="n">
        <x:f>'Source data'!S41</x:f>
        <x:v>4</x:v>
      </x:c>
      <x:c r="F47" s="17" t="n">
        <x:f>IF('Source data'!O41="",1,'Source data'!O41)</x:f>
        <x:v>1</x:v>
      </x:c>
      <x:c r="G47" s="15" t="n">
        <x:f>IF('Source data'!P41="",0,'Source data'!P41)</x:f>
        <x:v>0</x:v>
      </x:c>
      <x:c r="H47" s="15" t="n">
        <x:f>'Source data'!N41</x:f>
        <x:v>1</x:v>
      </x:c>
      <x:c r="I47" s="15" t="n">
        <x:f>H47+(F47-1)*G47</x:f>
        <x:v>1</x:v>
      </x:c>
      <x:c r="J47" s="15" t="n">
        <x:f>60*F47/I47</x:f>
        <x:v>60</x:v>
      </x:c>
      <x:c r="K47" s="15" t="n">
        <x:f>INT((E47-1)/F47)*I47+MOD(E47-1,F47)*G47</x:f>
        <x:v>3</x:v>
      </x:c>
      <x:c r="L47" s="15" t="n">
        <x:f>'Source data'!M41</x:f>
        <x:v>2</x:v>
      </x:c>
      <x:c r="M47" s="15" t="n">
        <x:f>L47+E47*X47/1000</x:f>
        <x:v>8.4</x:v>
      </x:c>
      <x:c r="N47" s="15" t="n">
        <x:f>'Source data'!K41</x:f>
        <x:v>14.94</x:v>
      </x:c>
      <x:c r="O47" s="15" t="n">
        <x:f>'Source data'!L41</x:f>
        <x:v>4.48</x:v>
      </x:c>
      <x:c r="P47" s="15" t="n">
        <x:f>'Source data'!Z41</x:f>
        <x:v>30</x:v>
      </x:c>
      <x:c r="Q47" s="17" t="n">
        <x:f>'Source data'!AD41</x:f>
        <x:v>800</x:v>
      </x:c>
      <x:c r="R47" s="17" t="n">
        <x:f>'Source data'!W41</x:f>
        <x:v>50</x:v>
      </x:c>
      <x:c r="S47" s="15" t="n">
        <x:f>IF('Source data'!X41="",0,'Source data'!X41)</x:f>
        <x:v>0</x:v>
      </x:c>
      <x:c r="T47" s="19" t="n">
        <x:f>'Source data'!R41</x:f>
        <x:v>0.5</x:v>
      </x:c>
      <x:c r="U47" s="15" t="n">
        <x:f>S47+IF(OR(D47="Nuclear",D47="ShapedNuclear",D47="Antimatter"),0,IF(D47="Explosive",0.1,1)*0.5*R47*(O47/2)^2)</x:f>
        <x:v>125.44000000000001</x:v>
      </x:c>
      <x:c r="V47" s="15" t="n">
        <x:f>U47*(1-T47)</x:f>
        <x:v>62.720000000000006</x:v>
      </x:c>
      <x:c r="W47" s="15" t="n">
        <x:f>U47*J47</x:f>
        <x:v>7526.400000000001</x:v>
      </x:c>
      <x:c r="X47" s="17" t="n">
        <x:f>'Source data'!T41</x:f>
        <x:v>1600</x:v>
      </x:c>
      <x:c r="Y47" s="15" t="n">
        <x:f>'Source data'!Y41</x:f>
        <x:v>3</x:v>
      </x:c>
      <x:c r="Z47" s="15" t="n">
        <x:f>'Source data'!AA41</x:f>
        <x:v>0.75</x:v>
      </x:c>
      <x:c r="AA47" s="15" t="n">
        <x:f>'Source data'!AB41</x:f>
        <x:v>55</x:v>
      </x:c>
      <x:c r="AB47" s="7" t="b">
        <x:f>'Source data'!G41</x:f>
        <x:v>1</x:v>
      </x:c>
      <x:c r="AC47" s="7" t="str">
        <x:v>RattlerMissilePod</x:v>
      </x:c>
    </x:row>
    <x:row r="48" ht="23" customHeight="1">
      <x:c r="A48" s="2" t="str">
        <x:v>Riverjack Missile Pod</x:v>
      </x:c>
      <x:c r="B48" s="2" t="str">
        <x:v>Human</x:v>
      </x:c>
      <x:c r="C48" s="2" t="str">
        <x:v>HalfHull</x:v>
      </x:c>
      <x:c r="D48" s="2" t="str">
        <x:v>Fragmentation</x:v>
      </x:c>
      <x:c r="E48" s="16" t="n">
        <x:f>'Source data'!S42</x:f>
        <x:v>4</x:v>
      </x:c>
      <x:c r="F48" s="16" t="n">
        <x:f>IF('Source data'!O42="",1,'Source data'!O42)</x:f>
        <x:v>1</x:v>
      </x:c>
      <x:c r="G48" s="14" t="n">
        <x:f>IF('Source data'!P42="",0,'Source data'!P42)</x:f>
        <x:v>0</x:v>
      </x:c>
      <x:c r="H48" s="14" t="n">
        <x:f>'Source data'!N42</x:f>
        <x:v>1</x:v>
      </x:c>
      <x:c r="I48" s="14" t="n">
        <x:f>H48+(F48-1)*G48</x:f>
        <x:v>1</x:v>
      </x:c>
      <x:c r="J48" s="14" t="n">
        <x:f>60*F48/I48</x:f>
        <x:v>60</x:v>
      </x:c>
      <x:c r="K48" s="14" t="n">
        <x:f>INT((E48-1)/F48)*I48+MOD(E48-1,F48)*G48</x:f>
        <x:v>3</x:v>
      </x:c>
      <x:c r="L48" s="14" t="n">
        <x:f>'Source data'!M42</x:f>
        <x:v>2</x:v>
      </x:c>
      <x:c r="M48" s="14" t="n">
        <x:f>L48+E48*X48/1000</x:f>
        <x:v>8.4</x:v>
      </x:c>
      <x:c r="N48" s="14" t="n">
        <x:f>'Source data'!K42</x:f>
        <x:v>14.94</x:v>
      </x:c>
      <x:c r="O48" s="14" t="n">
        <x:f>'Source data'!L42</x:f>
        <x:v>3.76</x:v>
      </x:c>
      <x:c r="P48" s="14" t="n">
        <x:f>'Source data'!Z42</x:f>
        <x:v>30</x:v>
      </x:c>
      <x:c r="Q48" s="16" t="n">
        <x:f>'Source data'!AD42</x:f>
        <x:v>800</x:v>
      </x:c>
      <x:c r="R48" s="16" t="n">
        <x:f>'Source data'!W42</x:f>
        <x:v>150</x:v>
      </x:c>
      <x:c r="S48" s="14" t="n">
        <x:f>IF('Source data'!X42="",0,'Source data'!X42)</x:f>
        <x:v>0</x:v>
      </x:c>
      <x:c r="T48" s="18" t="n">
        <x:f>'Source data'!R42</x:f>
        <x:v>0.5</x:v>
      </x:c>
      <x:c r="U48" s="14" t="n">
        <x:f>S48+IF(OR(D48="Nuclear",D48="ShapedNuclear",D48="Antimatter"),0,IF(D48="Explosive",0.1,1)*0.5*R48*(O48/2)^2)</x:f>
        <x:v>265.08</x:v>
      </x:c>
      <x:c r="V48" s="14" t="n">
        <x:f>U48*(1-T48)</x:f>
        <x:v>132.54</x:v>
      </x:c>
      <x:c r="W48" s="14" t="n">
        <x:f>U48*J48</x:f>
        <x:v>15904.8</x:v>
      </x:c>
      <x:c r="X48" s="16" t="n">
        <x:f>'Source data'!T42</x:f>
        <x:v>1600</x:v>
      </x:c>
      <x:c r="Y48" s="14" t="n">
        <x:f>'Source data'!Y42</x:f>
        <x:v>3</x:v>
      </x:c>
      <x:c r="Z48" s="14" t="n">
        <x:f>'Source data'!AA42</x:f>
        <x:v>0.75</x:v>
      </x:c>
      <x:c r="AA48" s="14" t="n">
        <x:f>'Source data'!AB42</x:f>
        <x:v>55</x:v>
      </x:c>
      <x:c r="AB48" s="2" t="b">
        <x:f>'Source data'!G42</x:f>
        <x:v>1</x:v>
      </x:c>
      <x:c r="AC48" s="2" t="str">
        <x:v>RiverjackMissilePod</x:v>
      </x:c>
    </x:row>
    <x:row r="49" ht="23" customHeight="1">
      <x:c r="A49" s="7" t="str">
        <x:v>Harlequin Missile Pod</x:v>
      </x:c>
      <x:c r="B49" s="7" t="str">
        <x:v>Human</x:v>
      </x:c>
      <x:c r="C49" s="7" t="str">
        <x:v>HalfHull</x:v>
      </x:c>
      <x:c r="D49" s="7" t="str">
        <x:v>Penetrator</x:v>
      </x:c>
      <x:c r="E49" s="17" t="n">
        <x:f>'Source data'!S43</x:f>
        <x:v>4</x:v>
      </x:c>
      <x:c r="F49" s="17" t="n">
        <x:f>IF('Source data'!O43="",1,'Source data'!O43)</x:f>
        <x:v>1</x:v>
      </x:c>
      <x:c r="G49" s="15" t="n">
        <x:f>IF('Source data'!P43="",0,'Source data'!P43)</x:f>
        <x:v>0</x:v>
      </x:c>
      <x:c r="H49" s="15" t="n">
        <x:f>'Source data'!N43</x:f>
        <x:v>1</x:v>
      </x:c>
      <x:c r="I49" s="15" t="n">
        <x:f>H49+(F49-1)*G49</x:f>
        <x:v>1</x:v>
      </x:c>
      <x:c r="J49" s="15" t="n">
        <x:f>60*F49/I49</x:f>
        <x:v>60</x:v>
      </x:c>
      <x:c r="K49" s="15" t="n">
        <x:f>INT((E49-1)/F49)*I49+MOD(E49-1,F49)*G49</x:f>
        <x:v>3</x:v>
      </x:c>
      <x:c r="L49" s="15" t="n">
        <x:f>'Source data'!M43</x:f>
        <x:v>2</x:v>
      </x:c>
      <x:c r="M49" s="15" t="n">
        <x:f>L49+E49*X49/1000</x:f>
        <x:v>8.4</x:v>
      </x:c>
      <x:c r="N49" s="15" t="n">
        <x:f>'Source data'!K43</x:f>
        <x:v>14.94</x:v>
      </x:c>
      <x:c r="O49" s="15" t="n">
        <x:f>'Source data'!L43</x:f>
        <x:v>4.48</x:v>
      </x:c>
      <x:c r="P49" s="15" t="n">
        <x:f>'Source data'!Z43</x:f>
        <x:v>25</x:v>
      </x:c>
      <x:c r="Q49" s="17" t="n">
        <x:f>'Source data'!AD43</x:f>
        <x:v>800</x:v>
      </x:c>
      <x:c r="R49" s="17" t="n">
        <x:f>'Source data'!W43</x:f>
        <x:v>50</x:v>
      </x:c>
      <x:c r="S49" s="15" t="n">
        <x:f>IF('Source data'!X43="",0,'Source data'!X43)</x:f>
        <x:v>0</x:v>
      </x:c>
      <x:c r="T49" s="19" t="n">
        <x:f>'Source data'!R43</x:f>
        <x:v>0.6</x:v>
      </x:c>
      <x:c r="U49" s="15" t="n">
        <x:f>S49+IF(OR(D49="Nuclear",D49="ShapedNuclear",D49="Antimatter"),0,IF(D49="Explosive",0.1,1)*0.5*R49*(O49/2)^2)</x:f>
        <x:v>125.44000000000001</x:v>
      </x:c>
      <x:c r="V49" s="15" t="n">
        <x:f>U49*(1-T49)</x:f>
        <x:v>50.17600000000001</x:v>
      </x:c>
      <x:c r="W49" s="15" t="n">
        <x:f>U49*J49</x:f>
        <x:v>7526.400000000001</x:v>
      </x:c>
      <x:c r="X49" s="17" t="n">
        <x:f>'Source data'!T43</x:f>
        <x:v>1600</x:v>
      </x:c>
      <x:c r="Y49" s="15" t="n">
        <x:f>'Source data'!Y43</x:f>
        <x:v>6</x:v>
      </x:c>
      <x:c r="Z49" s="15" t="n">
        <x:f>'Source data'!AA43</x:f>
        <x:v>1</x:v>
      </x:c>
      <x:c r="AA49" s="15" t="n">
        <x:f>'Source data'!AB43</x:f>
        <x:v>45</x:v>
      </x:c>
      <x:c r="AB49" s="7" t="b">
        <x:f>'Source data'!G43</x:f>
        <x:v>0</x:v>
      </x:c>
      <x:c r="AC49" s="7" t="str">
        <x:v>HarlequinMissilePod</x:v>
      </x:c>
    </x:row>
    <x:row r="50" ht="23" customHeight="1">
      <x:c r="A50" s="2" t="str">
        <x:v>Keelback Missile Pod</x:v>
      </x:c>
      <x:c r="B50" s="2" t="str">
        <x:v>Human</x:v>
      </x:c>
      <x:c r="C50" s="2" t="str">
        <x:v>HalfHull</x:v>
      </x:c>
      <x:c r="D50" s="2" t="str">
        <x:v>Penetrator</x:v>
      </x:c>
      <x:c r="E50" s="16" t="n">
        <x:f>'Source data'!S44</x:f>
        <x:v>4</x:v>
      </x:c>
      <x:c r="F50" s="16" t="n">
        <x:f>IF('Source data'!O44="",1,'Source data'!O44)</x:f>
        <x:v>1</x:v>
      </x:c>
      <x:c r="G50" s="14" t="n">
        <x:f>IF('Source data'!P44="",0,'Source data'!P44)</x:f>
        <x:v>0</x:v>
      </x:c>
      <x:c r="H50" s="14" t="n">
        <x:f>'Source data'!N44</x:f>
        <x:v>1</x:v>
      </x:c>
      <x:c r="I50" s="14" t="n">
        <x:f>H50+(F50-1)*G50</x:f>
        <x:v>1</x:v>
      </x:c>
      <x:c r="J50" s="14" t="n">
        <x:f>60*F50/I50</x:f>
        <x:v>60</x:v>
      </x:c>
      <x:c r="K50" s="14" t="n">
        <x:f>INT((E50-1)/F50)*I50+MOD(E50-1,F50)*G50</x:f>
        <x:v>3</x:v>
      </x:c>
      <x:c r="L50" s="14" t="n">
        <x:f>'Source data'!M44</x:f>
        <x:v>2</x:v>
      </x:c>
      <x:c r="M50" s="14" t="n">
        <x:f>L50+E50*X50/1000</x:f>
        <x:v>8.4</x:v>
      </x:c>
      <x:c r="N50" s="14" t="n">
        <x:f>'Source data'!K44</x:f>
        <x:v>14.94</x:v>
      </x:c>
      <x:c r="O50" s="14" t="n">
        <x:f>'Source data'!L44</x:f>
        <x:v>3.76</x:v>
      </x:c>
      <x:c r="P50" s="14" t="n">
        <x:f>'Source data'!Z44</x:f>
        <x:v>25</x:v>
      </x:c>
      <x:c r="Q50" s="16" t="n">
        <x:f>'Source data'!AD44</x:f>
        <x:v>800</x:v>
      </x:c>
      <x:c r="R50" s="16" t="n">
        <x:f>'Source data'!W44</x:f>
        <x:v>150</x:v>
      </x:c>
      <x:c r="S50" s="14" t="n">
        <x:f>IF('Source data'!X44="",0,'Source data'!X44)</x:f>
        <x:v>0</x:v>
      </x:c>
      <x:c r="T50" s="18" t="n">
        <x:f>'Source data'!R44</x:f>
        <x:v>0.6</x:v>
      </x:c>
      <x:c r="U50" s="14" t="n">
        <x:f>S50+IF(OR(D50="Nuclear",D50="ShapedNuclear",D50="Antimatter"),0,IF(D50="Explosive",0.1,1)*0.5*R50*(O50/2)^2)</x:f>
        <x:v>265.08</x:v>
      </x:c>
      <x:c r="V50" s="14" t="n">
        <x:f>U50*(1-T50)</x:f>
        <x:v>106.032</x:v>
      </x:c>
      <x:c r="W50" s="14" t="n">
        <x:f>U50*J50</x:f>
        <x:v>15904.8</x:v>
      </x:c>
      <x:c r="X50" s="16" t="n">
        <x:f>'Source data'!T44</x:f>
        <x:v>1600</x:v>
      </x:c>
      <x:c r="Y50" s="14" t="n">
        <x:f>'Source data'!Y44</x:f>
        <x:v>6</x:v>
      </x:c>
      <x:c r="Z50" s="14" t="n">
        <x:f>'Source data'!AA44</x:f>
        <x:v>1</x:v>
      </x:c>
      <x:c r="AA50" s="14" t="n">
        <x:f>'Source data'!AB44</x:f>
        <x:v>45</x:v>
      </x:c>
      <x:c r="AB50" s="2" t="b">
        <x:f>'Source data'!G44</x:f>
        <x:v>0</x:v>
      </x:c>
      <x:c r="AC50" s="2" t="str">
        <x:v>KeelbackMissilePod</x:v>
      </x:c>
    </x:row>
    <x:row r="51" ht="23" customHeight="1">
      <x:c r="A51" s="7" t="str">
        <x:v>Copperhead Missile Pod</x:v>
      </x:c>
      <x:c r="B51" s="7" t="str">
        <x:v>Human</x:v>
      </x:c>
      <x:c r="C51" s="7" t="str">
        <x:v>HalfHull</x:v>
      </x:c>
      <x:c r="D51" s="7" t="str">
        <x:v>Explosive</x:v>
      </x:c>
      <x:c r="E51" s="17" t="n">
        <x:f>'Source data'!S45</x:f>
        <x:v>4</x:v>
      </x:c>
      <x:c r="F51" s="17" t="n">
        <x:f>IF('Source data'!O45="",1,'Source data'!O45)</x:f>
        <x:v>1</x:v>
      </x:c>
      <x:c r="G51" s="15" t="n">
        <x:f>IF('Source data'!P45="",0,'Source data'!P45)</x:f>
        <x:v>0</x:v>
      </x:c>
      <x:c r="H51" s="15" t="n">
        <x:f>'Source data'!N45</x:f>
        <x:v>1</x:v>
      </x:c>
      <x:c r="I51" s="15" t="n">
        <x:f>H51+(F51-1)*G51</x:f>
        <x:v>1</x:v>
      </x:c>
      <x:c r="J51" s="15" t="n">
        <x:f>60*F51/I51</x:f>
        <x:v>60</x:v>
      </x:c>
      <x:c r="K51" s="15" t="n">
        <x:f>INT((E51-1)/F51)*I51+MOD(E51-1,F51)*G51</x:f>
        <x:v>3</x:v>
      </x:c>
      <x:c r="L51" s="15" t="n">
        <x:f>'Source data'!M45</x:f>
        <x:v>7</x:v>
      </x:c>
      <x:c r="M51" s="15" t="n">
        <x:f>L51+E51*X51/1000</x:f>
        <x:v>13.4</x:v>
      </x:c>
      <x:c r="N51" s="15" t="n">
        <x:f>'Source data'!K45</x:f>
        <x:v>18.27</x:v>
      </x:c>
      <x:c r="O51" s="15" t="n">
        <x:f>'Source data'!L45</x:f>
        <x:v>3.68</x:v>
      </x:c>
      <x:c r="P51" s="15" t="n">
        <x:f>'Source data'!Z45</x:f>
        <x:v>25</x:v>
      </x:c>
      <x:c r="Q51" s="17" t="n">
        <x:f>'Source data'!AD45</x:f>
        <x:v>800</x:v>
      </x:c>
      <x:c r="R51" s="17" t="n">
        <x:f>'Source data'!W45</x:f>
        <x:v>300</x:v>
      </x:c>
      <x:c r="S51" s="15" t="n">
        <x:f>IF('Source data'!X45="",0,'Source data'!X45)</x:f>
        <x:v>720</x:v>
      </x:c>
      <x:c r="T51" s="19" t="n">
        <x:f>'Source data'!R45</x:f>
        <x:v>0.8</x:v>
      </x:c>
      <x:c r="U51" s="15" t="n">
        <x:f>S51+IF(OR(D51="Nuclear",D51="ShapedNuclear",D51="Antimatter"),0,IF(D51="Explosive",0.1,1)*0.5*R51*(O51/2)^2)</x:f>
        <x:v>770.784</x:v>
      </x:c>
      <x:c r="V51" s="15" t="n">
        <x:f>U51*(1-T51)</x:f>
        <x:v>154.15679999999998</x:v>
      </x:c>
      <x:c r="W51" s="15" t="n">
        <x:f>U51*J51</x:f>
        <x:v>46247.04</x:v>
      </x:c>
      <x:c r="X51" s="17" t="n">
        <x:f>'Source data'!T45</x:f>
        <x:v>1600</x:v>
      </x:c>
      <x:c r="Y51" s="15" t="n">
        <x:f>'Source data'!Y45</x:f>
        <x:v>6</x:v>
      </x:c>
      <x:c r="Z51" s="15" t="n">
        <x:f>'Source data'!AA45</x:f>
        <x:v>1</x:v>
      </x:c>
      <x:c r="AA51" s="15" t="n">
        <x:f>'Source data'!AB45</x:f>
        <x:v>50</x:v>
      </x:c>
      <x:c r="AB51" s="7" t="b">
        <x:f>'Source data'!G45</x:f>
        <x:v>0</x:v>
      </x:c>
      <x:c r="AC51" s="7" t="str">
        <x:v>CopperheadMissilePod</x:v>
      </x:c>
    </x:row>
    <x:row r="52" ht="23" customHeight="1">
      <x:c r="A52" s="2" t="str">
        <x:v>Viper Missile Pod</x:v>
      </x:c>
      <x:c r="B52" s="2" t="str">
        <x:v>Human</x:v>
      </x:c>
      <x:c r="C52" s="2" t="str">
        <x:v>HalfHull</x:v>
      </x:c>
      <x:c r="D52" s="2" t="str">
        <x:v>Fragmentation</x:v>
      </x:c>
      <x:c r="E52" s="16" t="n">
        <x:f>'Source data'!S46</x:f>
        <x:v>4</x:v>
      </x:c>
      <x:c r="F52" s="16" t="n">
        <x:f>IF('Source data'!O46="",1,'Source data'!O46)</x:f>
        <x:v>1</x:v>
      </x:c>
      <x:c r="G52" s="14" t="n">
        <x:f>IF('Source data'!P46="",0,'Source data'!P46)</x:f>
        <x:v>0</x:v>
      </x:c>
      <x:c r="H52" s="14" t="n">
        <x:f>'Source data'!N46</x:f>
        <x:v>1</x:v>
      </x:c>
      <x:c r="I52" s="14" t="n">
        <x:f>H52+(F52-1)*G52</x:f>
        <x:v>1</x:v>
      </x:c>
      <x:c r="J52" s="14" t="n">
        <x:f>60*F52/I52</x:f>
        <x:v>60</x:v>
      </x:c>
      <x:c r="K52" s="14" t="n">
        <x:f>INT((E52-1)/F52)*I52+MOD(E52-1,F52)*G52</x:f>
        <x:v>3</x:v>
      </x:c>
      <x:c r="L52" s="14" t="n">
        <x:f>'Source data'!M46</x:f>
        <x:v>5</x:v>
      </x:c>
      <x:c r="M52" s="14" t="n">
        <x:f>L52+E52*X52/1000</x:f>
        <x:v>11.4</x:v>
      </x:c>
      <x:c r="N52" s="14" t="n">
        <x:f>'Source data'!K46</x:f>
        <x:v>18.27</x:v>
      </x:c>
      <x:c r="O52" s="14" t="n">
        <x:f>'Source data'!L46</x:f>
        <x:v>5.64</x:v>
      </x:c>
      <x:c r="P52" s="14" t="n">
        <x:f>'Source data'!Z46</x:f>
        <x:v>35</x:v>
      </x:c>
      <x:c r="Q52" s="16" t="n">
        <x:f>'Source data'!AD46</x:f>
        <x:v>800</x:v>
      </x:c>
      <x:c r="R52" s="16" t="n">
        <x:f>'Source data'!W46</x:f>
        <x:v>50</x:v>
      </x:c>
      <x:c r="S52" s="14" t="n">
        <x:f>IF('Source data'!X46="",0,'Source data'!X46)</x:f>
        <x:v>0</x:v>
      </x:c>
      <x:c r="T52" s="18" t="n">
        <x:f>'Source data'!R46</x:f>
        <x:v>0.5</x:v>
      </x:c>
      <x:c r="U52" s="14" t="n">
        <x:f>S52+IF(OR(D52="Nuclear",D52="ShapedNuclear",D52="Antimatter"),0,IF(D52="Explosive",0.1,1)*0.5*R52*(O52/2)^2)</x:f>
        <x:v>198.80999999999997</x:v>
      </x:c>
      <x:c r="V52" s="14" t="n">
        <x:f>U52*(1-T52)</x:f>
        <x:v>99.40499999999999</x:v>
      </x:c>
      <x:c r="W52" s="14" t="n">
        <x:f>U52*J52</x:f>
        <x:v>11928.599999999999</x:v>
      </x:c>
      <x:c r="X52" s="16" t="n">
        <x:f>'Source data'!T46</x:f>
        <x:v>1600</x:v>
      </x:c>
      <x:c r="Y52" s="14" t="n">
        <x:f>'Source data'!Y46</x:f>
        <x:v>3</x:v>
      </x:c>
      <x:c r="Z52" s="14" t="n">
        <x:f>'Source data'!AA46</x:f>
        <x:v>1</x:v>
      </x:c>
      <x:c r="AA52" s="14" t="n">
        <x:f>'Source data'!AB46</x:f>
        <x:v>55</x:v>
      </x:c>
      <x:c r="AB52" s="2" t="b">
        <x:f>'Source data'!G46</x:f>
        <x:v>1</x:v>
      </x:c>
      <x:c r="AC52" s="2" t="str">
        <x:v>ViperMissilePod</x:v>
      </x:c>
    </x:row>
    <x:row r="53" ht="23" customHeight="1">
      <x:c r="A53" s="7" t="str">
        <x:v>Lancehead Missile Pod</x:v>
      </x:c>
      <x:c r="B53" s="7" t="str">
        <x:v>Human</x:v>
      </x:c>
      <x:c r="C53" s="7" t="str">
        <x:v>HalfHull</x:v>
      </x:c>
      <x:c r="D53" s="7" t="str">
        <x:v>Penetrator</x:v>
      </x:c>
      <x:c r="E53" s="17" t="n">
        <x:f>'Source data'!S47</x:f>
        <x:v>4</x:v>
      </x:c>
      <x:c r="F53" s="17" t="n">
        <x:f>IF('Source data'!O47="",1,'Source data'!O47)</x:f>
        <x:v>1</x:v>
      </x:c>
      <x:c r="G53" s="15" t="n">
        <x:f>IF('Source data'!P47="",0,'Source data'!P47)</x:f>
        <x:v>0</x:v>
      </x:c>
      <x:c r="H53" s="15" t="n">
        <x:f>'Source data'!N47</x:f>
        <x:v>1</x:v>
      </x:c>
      <x:c r="I53" s="15" t="n">
        <x:f>H53+(F53-1)*G53</x:f>
        <x:v>1</x:v>
      </x:c>
      <x:c r="J53" s="15" t="n">
        <x:f>60*F53/I53</x:f>
        <x:v>60</x:v>
      </x:c>
      <x:c r="K53" s="15" t="n">
        <x:f>INT((E53-1)/F53)*I53+MOD(E53-1,F53)*G53</x:f>
        <x:v>3</x:v>
      </x:c>
      <x:c r="L53" s="15" t="n">
        <x:f>'Source data'!M47</x:f>
        <x:v>5</x:v>
      </x:c>
      <x:c r="M53" s="15" t="n">
        <x:f>L53+E53*X53/1000</x:f>
        <x:v>11.4</x:v>
      </x:c>
      <x:c r="N53" s="15" t="n">
        <x:f>'Source data'!K47</x:f>
        <x:v>18.27</x:v>
      </x:c>
      <x:c r="O53" s="15" t="n">
        <x:f>'Source data'!L47</x:f>
        <x:v>4.36</x:v>
      </x:c>
      <x:c r="P53" s="15" t="n">
        <x:f>'Source data'!Z47</x:f>
        <x:v>25</x:v>
      </x:c>
      <x:c r="Q53" s="17" t="n">
        <x:f>'Source data'!AD47</x:f>
        <x:v>800</x:v>
      </x:c>
      <x:c r="R53" s="17" t="n">
        <x:f>'Source data'!W47</x:f>
        <x:v>200</x:v>
      </x:c>
      <x:c r="S53" s="15" t="n">
        <x:f>IF('Source data'!X47="",0,'Source data'!X47)</x:f>
        <x:v>0</x:v>
      </x:c>
      <x:c r="T53" s="19" t="n">
        <x:f>'Source data'!R47</x:f>
        <x:v>0.6</x:v>
      </x:c>
      <x:c r="U53" s="15" t="n">
        <x:f>S53+IF(OR(D53="Nuclear",D53="ShapedNuclear",D53="Antimatter"),0,IF(D53="Explosive",0.1,1)*0.5*R53*(O53/2)^2)</x:f>
        <x:v>475.24000000000007</x:v>
      </x:c>
      <x:c r="V53" s="15" t="n">
        <x:f>U53*(1-T53)</x:f>
        <x:v>190.09600000000003</x:v>
      </x:c>
      <x:c r="W53" s="15" t="n">
        <x:f>U53*J53</x:f>
        <x:v>28514.400000000005</x:v>
      </x:c>
      <x:c r="X53" s="17" t="n">
        <x:f>'Source data'!T47</x:f>
        <x:v>1600</x:v>
      </x:c>
      <x:c r="Y53" s="15" t="n">
        <x:f>'Source data'!Y47</x:f>
        <x:v>6</x:v>
      </x:c>
      <x:c r="Z53" s="15" t="n">
        <x:f>'Source data'!AA47</x:f>
        <x:v>1</x:v>
      </x:c>
      <x:c r="AA53" s="15" t="n">
        <x:f>'Source data'!AB47</x:f>
        <x:v>45</x:v>
      </x:c>
      <x:c r="AB53" s="7" t="b">
        <x:f>'Source data'!G47</x:f>
        <x:v>0</x:v>
      </x:c>
      <x:c r="AC53" s="7" t="str">
        <x:v>LanceheadMissilePod</x:v>
      </x:c>
    </x:row>
    <x:row r="54" ht="23" customHeight="1">
      <x:c r="A54" s="2" t="str">
        <x:v>Python Nuclear Missile Pod</x:v>
      </x:c>
      <x:c r="B54" s="2" t="str">
        <x:v>Human</x:v>
      </x:c>
      <x:c r="C54" s="2" t="str">
        <x:v>HalfHull</x:v>
      </x:c>
      <x:c r="D54" s="2" t="str">
        <x:v>Nuclear</x:v>
      </x:c>
      <x:c r="E54" s="16" t="n">
        <x:f>'Source data'!S48</x:f>
        <x:v>4</x:v>
      </x:c>
      <x:c r="F54" s="16" t="n">
        <x:f>IF('Source data'!O48="",1,'Source data'!O48)</x:f>
        <x:v>1</x:v>
      </x:c>
      <x:c r="G54" s="14" t="n">
        <x:f>IF('Source data'!P48="",0,'Source data'!P48)</x:f>
        <x:v>0</x:v>
      </x:c>
      <x:c r="H54" s="14" t="n">
        <x:f>'Source data'!N48</x:f>
        <x:v>1</x:v>
      </x:c>
      <x:c r="I54" s="14" t="n">
        <x:f>H54+(F54-1)*G54</x:f>
        <x:v>1</x:v>
      </x:c>
      <x:c r="J54" s="14" t="n">
        <x:f>60*F54/I54</x:f>
        <x:v>60</x:v>
      </x:c>
      <x:c r="K54" s="14" t="n">
        <x:f>INT((E54-1)/F54)*I54+MOD(E54-1,F54)*G54</x:f>
        <x:v>3</x:v>
      </x:c>
      <x:c r="L54" s="14" t="n">
        <x:f>'Source data'!M48</x:f>
        <x:v>7</x:v>
      </x:c>
      <x:c r="M54" s="14" t="n">
        <x:f>L54+E54*X54/1000</x:f>
        <x:v>13.4</x:v>
      </x:c>
      <x:c r="N54" s="14" t="n">
        <x:f>'Source data'!K48</x:f>
        <x:v>18.27</x:v>
      </x:c>
      <x:c r="O54" s="14" t="n">
        <x:f>'Source data'!L48</x:f>
        <x:v>4.01</x:v>
      </x:c>
      <x:c r="P54" s="14" t="n">
        <x:f>'Source data'!Z48</x:f>
        <x:v>30</x:v>
      </x:c>
      <x:c r="Q54" s="16" t="n">
        <x:f>'Source data'!AD48</x:f>
        <x:v>800</x:v>
      </x:c>
      <x:c r="R54" s="16" t="n">
        <x:f>'Source data'!W48</x:f>
        <x:v>250</x:v>
      </x:c>
      <x:c r="S54" s="14" t="n">
        <x:f>IF('Source data'!X48="",0,'Source data'!X48)</x:f>
        <x:v>188325000</x:v>
      </x:c>
      <x:c r="T54" s="18" t="n">
        <x:f>'Source data'!R48</x:f>
        <x:v>1</x:v>
      </x:c>
      <x:c r="U54" s="14" t="n">
        <x:f>S54+IF(OR(D54="Nuclear",D54="ShapedNuclear",D54="Antimatter"),0,IF(D54="Explosive",0.1,1)*0.5*R54*(O54/2)^2)</x:f>
        <x:v>188325000</x:v>
      </x:c>
      <x:c r="V54" s="14" t="n">
        <x:f>U54*(1-T54)</x:f>
        <x:v>0</x:v>
      </x:c>
      <x:c r="W54" s="14" t="n">
        <x:f>U54*J54</x:f>
        <x:v>11299500000</x:v>
      </x:c>
      <x:c r="X54" s="16" t="n">
        <x:f>'Source data'!T48</x:f>
        <x:v>1600</x:v>
      </x:c>
      <x:c r="Y54" s="14" t="n">
        <x:f>'Source data'!Y48</x:f>
        <x:v>3</x:v>
      </x:c>
      <x:c r="Z54" s="14" t="n">
        <x:f>'Source data'!AA48</x:f>
        <x:v>1</x:v>
      </x:c>
      <x:c r="AA54" s="14" t="n">
        <x:f>'Source data'!AB48</x:f>
        <x:v>55</x:v>
      </x:c>
      <x:c r="AB54" s="2" t="b">
        <x:f>'Source data'!G48</x:f>
        <x:v>1</x:v>
      </x:c>
      <x:c r="AC54" s="2" t="str">
        <x:v>PythonNuclearMissilePod</x:v>
      </x:c>
    </x:row>
    <x:row r="55" ht="23" customHeight="1">
      <x:c r="A55" s="7" t="str">
        <x:v>Hera Torpedo Pod</x:v>
      </x:c>
      <x:c r="B55" s="7" t="str">
        <x:v>Human</x:v>
      </x:c>
      <x:c r="C55" s="7" t="str">
        <x:v>HalfHull</x:v>
      </x:c>
      <x:c r="D55" s="7" t="str">
        <x:v>Explosive</x:v>
      </x:c>
      <x:c r="E55" s="17" t="n">
        <x:f>'Source data'!S49</x:f>
        <x:v>2</x:v>
      </x:c>
      <x:c r="F55" s="17" t="n">
        <x:f>IF('Source data'!O49="",1,'Source data'!O49)</x:f>
        <x:v>1</x:v>
      </x:c>
      <x:c r="G55" s="15" t="n">
        <x:f>IF('Source data'!P49="",0,'Source data'!P49)</x:f>
        <x:v>0</x:v>
      </x:c>
      <x:c r="H55" s="15" t="n">
        <x:f>'Source data'!N49</x:f>
        <x:v>7</x:v>
      </x:c>
      <x:c r="I55" s="15" t="n">
        <x:f>H55+(F55-1)*G55</x:f>
        <x:v>7</x:v>
      </x:c>
      <x:c r="J55" s="15" t="n">
        <x:f>60*F55/I55</x:f>
        <x:v>8.571428571428571</x:v>
      </x:c>
      <x:c r="K55" s="15" t="n">
        <x:f>INT((E55-1)/F55)*I55+MOD(E55-1,F55)*G55</x:f>
        <x:v>7</x:v>
      </x:c>
      <x:c r="L55" s="15" t="n">
        <x:f>'Source data'!M49</x:f>
        <x:v>5</x:v>
      </x:c>
      <x:c r="M55" s="15" t="n">
        <x:f>L55+E55*X55/1000</x:f>
        <x:v>14.6</x:v>
      </x:c>
      <x:c r="N55" s="15" t="n">
        <x:f>'Source data'!K49</x:f>
        <x:v>7.47</x:v>
      </x:c>
      <x:c r="O55" s="15" t="n">
        <x:f>'Source data'!L49</x:f>
        <x:v>6.22</x:v>
      </x:c>
      <x:c r="P55" s="15" t="n">
        <x:f>'Source data'!Z49</x:f>
        <x:v>20</x:v>
      </x:c>
      <x:c r="Q55" s="17" t="n">
        <x:f>'Source data'!AD49</x:f>
        <x:v>800</x:v>
      </x:c>
      <x:c r="R55" s="17" t="n">
        <x:f>'Source data'!W49</x:f>
        <x:v>300</x:v>
      </x:c>
      <x:c r="S55" s="15" t="n">
        <x:f>IF('Source data'!X49="",0,'Source data'!X49)</x:f>
        <x:v>540</x:v>
      </x:c>
      <x:c r="T55" s="19" t="n">
        <x:f>'Source data'!R49</x:f>
        <x:v>0.8</x:v>
      </x:c>
      <x:c r="U55" s="15" t="n">
        <x:f>S55+IF(OR(D55="Nuclear",D55="ShapedNuclear",D55="Antimatter"),0,IF(D55="Explosive",0.1,1)*0.5*R55*(O55/2)^2)</x:f>
        <x:v>685.0815</x:v>
      </x:c>
      <x:c r="V55" s="15" t="n">
        <x:f>U55*(1-T55)</x:f>
        <x:v>137.01629999999997</x:v>
      </x:c>
      <x:c r="W55" s="15" t="n">
        <x:f>U55*J55</x:f>
        <x:v>5872.127142857143</x:v>
      </x:c>
      <x:c r="X55" s="17" t="n">
        <x:f>'Source data'!T49</x:f>
        <x:v>4800</x:v>
      </x:c>
      <x:c r="Y55" s="15" t="n">
        <x:f>'Source data'!Y49</x:f>
        <x:v>7</x:v>
      </x:c>
      <x:c r="Z55" s="15" t="n">
        <x:f>'Source data'!AA49</x:f>
        <x:v>1</x:v>
      </x:c>
      <x:c r="AA55" s="15" t="n">
        <x:f>'Source data'!AB49</x:f>
        <x:v>40</x:v>
      </x:c>
      <x:c r="AB55" s="7" t="b">
        <x:f>'Source data'!G49</x:f>
        <x:v>0</x:v>
      </x:c>
      <x:c r="AC55" s="7" t="str">
        <x:v>HeraTorpedoPod</x:v>
      </x:c>
    </x:row>
    <x:row r="56" ht="23" customHeight="1">
      <x:c r="A56" s="2" t="str">
        <x:v>Hermes Torpedo Pod</x:v>
      </x:c>
      <x:c r="B56" s="2" t="str">
        <x:v>Human</x:v>
      </x:c>
      <x:c r="C56" s="2" t="str">
        <x:v>HalfHull</x:v>
      </x:c>
      <x:c r="D56" s="2" t="str">
        <x:v>Penetrator</x:v>
      </x:c>
      <x:c r="E56" s="16" t="n">
        <x:f>'Source data'!S50</x:f>
        <x:v>2</x:v>
      </x:c>
      <x:c r="F56" s="16" t="n">
        <x:f>IF('Source data'!O50="",1,'Source data'!O50)</x:f>
        <x:v>1</x:v>
      </x:c>
      <x:c r="G56" s="14" t="n">
        <x:f>IF('Source data'!P50="",0,'Source data'!P50)</x:f>
        <x:v>0</x:v>
      </x:c>
      <x:c r="H56" s="14" t="n">
        <x:f>'Source data'!N50</x:f>
        <x:v>7</x:v>
      </x:c>
      <x:c r="I56" s="14" t="n">
        <x:f>H56+(F56-1)*G56</x:f>
        <x:v>7</x:v>
      </x:c>
      <x:c r="J56" s="14" t="n">
        <x:f>60*F56/I56</x:f>
        <x:v>8.571428571428571</x:v>
      </x:c>
      <x:c r="K56" s="14" t="n">
        <x:f>INT((E56-1)/F56)*I56+MOD(E56-1,F56)*G56</x:f>
        <x:v>7</x:v>
      </x:c>
      <x:c r="L56" s="14" t="n">
        <x:f>'Source data'!M50</x:f>
        <x:v>2</x:v>
      </x:c>
      <x:c r="M56" s="14" t="n">
        <x:f>L56+E56*X56/1000</x:f>
        <x:v>11.6</x:v>
      </x:c>
      <x:c r="N56" s="14" t="n">
        <x:f>'Source data'!K50</x:f>
        <x:v>7.47</x:v>
      </x:c>
      <x:c r="O56" s="14" t="n">
        <x:f>'Source data'!L50</x:f>
        <x:v>4.62</x:v>
      </x:c>
      <x:c r="P56" s="14" t="n">
        <x:f>'Source data'!Z50</x:f>
        <x:v>20</x:v>
      </x:c>
      <x:c r="Q56" s="16" t="n">
        <x:f>'Source data'!AD50</x:f>
        <x:v>800</x:v>
      </x:c>
      <x:c r="R56" s="16" t="n">
        <x:f>'Source data'!W50</x:f>
        <x:v>750</x:v>
      </x:c>
      <x:c r="S56" s="14" t="n">
        <x:f>IF('Source data'!X50="",0,'Source data'!X50)</x:f>
        <x:v>0</x:v>
      </x:c>
      <x:c r="T56" s="18" t="n">
        <x:f>'Source data'!R50</x:f>
        <x:v>0.6</x:v>
      </x:c>
      <x:c r="U56" s="14" t="n">
        <x:f>S56+IF(OR(D56="Nuclear",D56="ShapedNuclear",D56="Antimatter"),0,IF(D56="Explosive",0.1,1)*0.5*R56*(O56/2)^2)</x:f>
        <x:v>2001.0375000000001</x:v>
      </x:c>
      <x:c r="V56" s="14" t="n">
        <x:f>U56*(1-T56)</x:f>
        <x:v>800.4150000000001</x:v>
      </x:c>
      <x:c r="W56" s="14" t="n">
        <x:f>U56*J56</x:f>
        <x:v>17151.75</x:v>
      </x:c>
      <x:c r="X56" s="16" t="n">
        <x:f>'Source data'!T50</x:f>
        <x:v>4800</x:v>
      </x:c>
      <x:c r="Y56" s="14" t="n">
        <x:f>'Source data'!Y50</x:f>
        <x:v>7</x:v>
      </x:c>
      <x:c r="Z56" s="14" t="n">
        <x:f>'Source data'!AA50</x:f>
        <x:v>1</x:v>
      </x:c>
      <x:c r="AA56" s="14" t="n">
        <x:f>'Source data'!AB50</x:f>
        <x:v>30</x:v>
      </x:c>
      <x:c r="AB56" s="2" t="b">
        <x:f>'Source data'!G50</x:f>
        <x:v>0</x:v>
      </x:c>
      <x:c r="AC56" s="2" t="str">
        <x:v>HermesTorpedoPod</x:v>
      </x:c>
    </x:row>
    <x:row r="57" ht="23" customHeight="1">
      <x:c r="A57" s="7" t="str">
        <x:v>Hercules Torpedo Pod</x:v>
      </x:c>
      <x:c r="B57" s="7" t="str">
        <x:v>Human</x:v>
      </x:c>
      <x:c r="C57" s="7" t="str">
        <x:v>HalfHull</x:v>
      </x:c>
      <x:c r="D57" s="7" t="str">
        <x:v>Fragmentation</x:v>
      </x:c>
      <x:c r="E57" s="17" t="n">
        <x:f>'Source data'!S51</x:f>
        <x:v>2</x:v>
      </x:c>
      <x:c r="F57" s="17" t="n">
        <x:f>IF('Source data'!O51="",1,'Source data'!O51)</x:f>
        <x:v>1</x:v>
      </x:c>
      <x:c r="G57" s="15" t="n">
        <x:f>IF('Source data'!P51="",0,'Source data'!P51)</x:f>
        <x:v>0</x:v>
      </x:c>
      <x:c r="H57" s="15" t="n">
        <x:f>'Source data'!N51</x:f>
        <x:v>7</x:v>
      </x:c>
      <x:c r="I57" s="15" t="n">
        <x:f>H57+(F57-1)*G57</x:f>
        <x:v>7</x:v>
      </x:c>
      <x:c r="J57" s="15" t="n">
        <x:f>60*F57/I57</x:f>
        <x:v>8.571428571428571</x:v>
      </x:c>
      <x:c r="K57" s="15" t="n">
        <x:f>INT((E57-1)/F57)*I57+MOD(E57-1,F57)*G57</x:f>
        <x:v>7</x:v>
      </x:c>
      <x:c r="L57" s="15" t="n">
        <x:f>'Source data'!M51</x:f>
        <x:v>10</x:v>
      </x:c>
      <x:c r="M57" s="15" t="n">
        <x:f>L57+E57*X57/1000</x:f>
        <x:v>19.6</x:v>
      </x:c>
      <x:c r="N57" s="15" t="n">
        <x:f>'Source data'!K51</x:f>
        <x:v>7.47</x:v>
      </x:c>
      <x:c r="O57" s="15" t="n">
        <x:f>'Source data'!L51</x:f>
        <x:v>5.41</x:v>
      </x:c>
      <x:c r="P57" s="15" t="n">
        <x:f>'Source data'!Z51</x:f>
        <x:v>20</x:v>
      </x:c>
      <x:c r="Q57" s="17" t="n">
        <x:f>'Source data'!AD51</x:f>
        <x:v>1000</x:v>
      </x:c>
      <x:c r="R57" s="17" t="n">
        <x:f>'Source data'!W51</x:f>
        <x:v>500</x:v>
      </x:c>
      <x:c r="S57" s="15" t="n">
        <x:f>IF('Source data'!X51="",0,'Source data'!X51)</x:f>
        <x:v>0</x:v>
      </x:c>
      <x:c r="T57" s="19" t="n">
        <x:f>'Source data'!R51</x:f>
        <x:v>0.5</x:v>
      </x:c>
      <x:c r="U57" s="15" t="n">
        <x:f>S57+IF(OR(D57="Nuclear",D57="ShapedNuclear",D57="Antimatter"),0,IF(D57="Explosive",0.1,1)*0.5*R57*(O57/2)^2)</x:f>
        <x:v>1829.2562500000001</x:v>
      </x:c>
      <x:c r="V57" s="15" t="n">
        <x:f>U57*(1-T57)</x:f>
        <x:v>914.6281250000001</x:v>
      </x:c>
      <x:c r="W57" s="15" t="n">
        <x:f>U57*J57</x:f>
        <x:v>15679.339285714286</x:v>
      </x:c>
      <x:c r="X57" s="17" t="n">
        <x:f>'Source data'!T51</x:f>
        <x:v>4800</x:v>
      </x:c>
      <x:c r="Y57" s="15" t="n">
        <x:f>'Source data'!Y51</x:f>
        <x:v>7</x:v>
      </x:c>
      <x:c r="Z57" s="15" t="n">
        <x:f>'Source data'!AA51</x:f>
        <x:v>1</x:v>
      </x:c>
      <x:c r="AA57" s="15" t="n">
        <x:f>'Source data'!AB51</x:f>
        <x:v>35</x:v>
      </x:c>
      <x:c r="AB57" s="7" t="b">
        <x:f>'Source data'!G51</x:f>
        <x:v>0</x:v>
      </x:c>
      <x:c r="AC57" s="7" t="str">
        <x:v>HerculesTorpedoPod</x:v>
      </x:c>
    </x:row>
    <x:row r="58" ht="23" customHeight="1">
      <x:c r="A58" s="2" t="str">
        <x:v>Artemis Torpedo Pod</x:v>
      </x:c>
      <x:c r="B58" s="2" t="str">
        <x:v>Human</x:v>
      </x:c>
      <x:c r="C58" s="2" t="str">
        <x:v>HalfHull</x:v>
      </x:c>
      <x:c r="D58" s="2" t="str">
        <x:v>Explosive</x:v>
      </x:c>
      <x:c r="E58" s="16" t="n">
        <x:f>'Source data'!S52</x:f>
        <x:v>2</x:v>
      </x:c>
      <x:c r="F58" s="16" t="n">
        <x:f>IF('Source data'!O52="",1,'Source data'!O52)</x:f>
        <x:v>1</x:v>
      </x:c>
      <x:c r="G58" s="14" t="n">
        <x:f>IF('Source data'!P52="",0,'Source data'!P52)</x:f>
        <x:v>0</x:v>
      </x:c>
      <x:c r="H58" s="14" t="n">
        <x:f>'Source data'!N52</x:f>
        <x:v>7</x:v>
      </x:c>
      <x:c r="I58" s="14" t="n">
        <x:f>H58+(F58-1)*G58</x:f>
        <x:v>7</x:v>
      </x:c>
      <x:c r="J58" s="14" t="n">
        <x:f>60*F58/I58</x:f>
        <x:v>8.571428571428571</x:v>
      </x:c>
      <x:c r="K58" s="14" t="n">
        <x:f>INT((E58-1)/F58)*I58+MOD(E58-1,F58)*G58</x:f>
        <x:v>7</x:v>
      </x:c>
      <x:c r="L58" s="14" t="n">
        <x:f>'Source data'!M52</x:f>
        <x:v>7</x:v>
      </x:c>
      <x:c r="M58" s="14" t="n">
        <x:f>L58+E58*X58/1000</x:f>
        <x:v>16.6</x:v>
      </x:c>
      <x:c r="N58" s="14" t="n">
        <x:f>'Source data'!K52</x:f>
        <x:v>9.14</x:v>
      </x:c>
      <x:c r="O58" s="14" t="n">
        <x:f>'Source data'!L52</x:f>
        <x:v>7.97</x:v>
      </x:c>
      <x:c r="P58" s="14" t="n">
        <x:f>'Source data'!Z52</x:f>
        <x:v>20</x:v>
      </x:c>
      <x:c r="Q58" s="16" t="n">
        <x:f>'Source data'!AD52</x:f>
        <x:v>800</x:v>
      </x:c>
      <x:c r="R58" s="16" t="n">
        <x:f>'Source data'!W52</x:f>
        <x:v>400</x:v>
      </x:c>
      <x:c r="S58" s="14" t="n">
        <x:f>IF('Source data'!X52="",0,'Source data'!X52)</x:f>
        <x:v>960</x:v>
      </x:c>
      <x:c r="T58" s="18" t="n">
        <x:f>'Source data'!R52</x:f>
        <x:v>0.8</x:v>
      </x:c>
      <x:c r="U58" s="14" t="n">
        <x:f>S58+IF(OR(D58="Nuclear",D58="ShapedNuclear",D58="Antimatter"),0,IF(D58="Explosive",0.1,1)*0.5*R58*(O58/2)^2)</x:f>
        <x:v>1277.6045</x:v>
      </x:c>
      <x:c r="V58" s="14" t="n">
        <x:f>U58*(1-T58)</x:f>
        <x:v>255.52089999999993</x:v>
      </x:c>
      <x:c r="W58" s="14" t="n">
        <x:f>U58*J58</x:f>
        <x:v>10950.895714285713</x:v>
      </x:c>
      <x:c r="X58" s="16" t="n">
        <x:f>'Source data'!T52</x:f>
        <x:v>4800</x:v>
      </x:c>
      <x:c r="Y58" s="14" t="n">
        <x:f>'Source data'!Y52</x:f>
        <x:v>7</x:v>
      </x:c>
      <x:c r="Z58" s="14" t="n">
        <x:f>'Source data'!AA52</x:f>
        <x:v>1</x:v>
      </x:c>
      <x:c r="AA58" s="14" t="n">
        <x:f>'Source data'!AB52</x:f>
        <x:v>40</x:v>
      </x:c>
      <x:c r="AB58" s="2" t="b">
        <x:f>'Source data'!G52</x:f>
        <x:v>0</x:v>
      </x:c>
      <x:c r="AC58" s="2" t="str">
        <x:v>ArtemisTorpedoPod</x:v>
      </x:c>
    </x:row>
    <x:row r="59" ht="23" customHeight="1">
      <x:c r="A59" s="7" t="str">
        <x:v>Vulcan Torpedo Pod</x:v>
      </x:c>
      <x:c r="B59" s="7" t="str">
        <x:v>Human</x:v>
      </x:c>
      <x:c r="C59" s="7" t="str">
        <x:v>HalfHull</x:v>
      </x:c>
      <x:c r="D59" s="7" t="str">
        <x:v>Penetrator</x:v>
      </x:c>
      <x:c r="E59" s="17" t="n">
        <x:f>'Source data'!S53</x:f>
        <x:v>2</x:v>
      </x:c>
      <x:c r="F59" s="17" t="n">
        <x:f>IF('Source data'!O53="",1,'Source data'!O53)</x:f>
        <x:v>1</x:v>
      </x:c>
      <x:c r="G59" s="15" t="n">
        <x:f>IF('Source data'!P53="",0,'Source data'!P53)</x:f>
        <x:v>0</x:v>
      </x:c>
      <x:c r="H59" s="15" t="n">
        <x:f>'Source data'!N53</x:f>
        <x:v>7</x:v>
      </x:c>
      <x:c r="I59" s="15" t="n">
        <x:f>H59+(F59-1)*G59</x:f>
        <x:v>7</x:v>
      </x:c>
      <x:c r="J59" s="15" t="n">
        <x:f>60*F59/I59</x:f>
        <x:v>8.571428571428571</x:v>
      </x:c>
      <x:c r="K59" s="15" t="n">
        <x:f>INT((E59-1)/F59)*I59+MOD(E59-1,F59)*G59</x:f>
        <x:v>7</x:v>
      </x:c>
      <x:c r="L59" s="15" t="n">
        <x:f>'Source data'!M53</x:f>
        <x:v>5</x:v>
      </x:c>
      <x:c r="M59" s="15" t="n">
        <x:f>L59+E59*X59/1000</x:f>
        <x:v>14.6</x:v>
      </x:c>
      <x:c r="N59" s="15" t="n">
        <x:f>'Source data'!K53</x:f>
        <x:v>9.14</x:v>
      </x:c>
      <x:c r="O59" s="15" t="n">
        <x:f>'Source data'!L53</x:f>
        <x:v>5.99</x:v>
      </x:c>
      <x:c r="P59" s="15" t="n">
        <x:f>'Source data'!Z53</x:f>
        <x:v>20</x:v>
      </x:c>
      <x:c r="Q59" s="17" t="n">
        <x:f>'Source data'!AD53</x:f>
        <x:v>800</x:v>
      </x:c>
      <x:c r="R59" s="17" t="n">
        <x:f>'Source data'!W53</x:f>
        <x:v>850</x:v>
      </x:c>
      <x:c r="S59" s="15" t="n">
        <x:f>IF('Source data'!X53="",0,'Source data'!X53)</x:f>
        <x:v>0</x:v>
      </x:c>
      <x:c r="T59" s="19" t="n">
        <x:f>'Source data'!R53</x:f>
        <x:v>0.6</x:v>
      </x:c>
      <x:c r="U59" s="15" t="n">
        <x:f>S59+IF(OR(D59="Nuclear",D59="ShapedNuclear",D59="Antimatter"),0,IF(D59="Explosive",0.1,1)*0.5*R59*(O59/2)^2)</x:f>
        <x:v>3812.260625000001</x:v>
      </x:c>
      <x:c r="V59" s="15" t="n">
        <x:f>U59*(1-T59)</x:f>
        <x:v>1524.9042500000005</x:v>
      </x:c>
      <x:c r="W59" s="15" t="n">
        <x:f>U59*J59</x:f>
        <x:v>32676.519642857147</x:v>
      </x:c>
      <x:c r="X59" s="17" t="n">
        <x:f>'Source data'!T53</x:f>
        <x:v>4800</x:v>
      </x:c>
      <x:c r="Y59" s="15" t="n">
        <x:f>'Source data'!Y53</x:f>
        <x:v>7</x:v>
      </x:c>
      <x:c r="Z59" s="15" t="n">
        <x:f>'Source data'!AA53</x:f>
        <x:v>1</x:v>
      </x:c>
      <x:c r="AA59" s="15" t="n">
        <x:f>'Source data'!AB53</x:f>
        <x:v>30</x:v>
      </x:c>
      <x:c r="AB59" s="7" t="b">
        <x:f>'Source data'!G53</x:f>
        <x:v>0</x:v>
      </x:c>
      <x:c r="AC59" s="7" t="str">
        <x:v>VulcanTorpedoPod</x:v>
      </x:c>
    </x:row>
    <x:row r="60" ht="23" customHeight="1">
      <x:c r="A60" s="2" t="str">
        <x:v>Apollo Torpedo Pod</x:v>
      </x:c>
      <x:c r="B60" s="2" t="str">
        <x:v>Human</x:v>
      </x:c>
      <x:c r="C60" s="2" t="str">
        <x:v>HalfHull</x:v>
      </x:c>
      <x:c r="D60" s="2" t="str">
        <x:v>Fragmentation</x:v>
      </x:c>
      <x:c r="E60" s="16" t="n">
        <x:f>'Source data'!S54</x:f>
        <x:v>2</x:v>
      </x:c>
      <x:c r="F60" s="16" t="n">
        <x:f>IF('Source data'!O54="",1,'Source data'!O54)</x:f>
        <x:v>1</x:v>
      </x:c>
      <x:c r="G60" s="14" t="n">
        <x:f>IF('Source data'!P54="",0,'Source data'!P54)</x:f>
        <x:v>0</x:v>
      </x:c>
      <x:c r="H60" s="14" t="n">
        <x:f>'Source data'!N54</x:f>
        <x:v>7</x:v>
      </x:c>
      <x:c r="I60" s="14" t="n">
        <x:f>H60+(F60-1)*G60</x:f>
        <x:v>7</x:v>
      </x:c>
      <x:c r="J60" s="14" t="n">
        <x:f>60*F60/I60</x:f>
        <x:v>8.571428571428571</x:v>
      </x:c>
      <x:c r="K60" s="14" t="n">
        <x:f>INT((E60-1)/F60)*I60+MOD(E60-1,F60)*G60</x:f>
        <x:v>7</x:v>
      </x:c>
      <x:c r="L60" s="14" t="n">
        <x:f>'Source data'!M54</x:f>
        <x:v>10</x:v>
      </x:c>
      <x:c r="M60" s="14" t="n">
        <x:f>L60+E60*X60/1000</x:f>
        <x:v>19.6</x:v>
      </x:c>
      <x:c r="N60" s="14" t="n">
        <x:f>'Source data'!K54</x:f>
        <x:v>9.14</x:v>
      </x:c>
      <x:c r="O60" s="14" t="n">
        <x:f>'Source data'!L54</x:f>
        <x:v>7.45</x:v>
      </x:c>
      <x:c r="P60" s="14" t="n">
        <x:f>'Source data'!Z54</x:f>
        <x:v>20</x:v>
      </x:c>
      <x:c r="Q60" s="16" t="n">
        <x:f>'Source data'!AD54</x:f>
        <x:v>1000</x:v>
      </x:c>
      <x:c r="R60" s="16" t="n">
        <x:f>'Source data'!W54</x:f>
        <x:v>500</x:v>
      </x:c>
      <x:c r="S60" s="14" t="n">
        <x:f>IF('Source data'!X54="",0,'Source data'!X54)</x:f>
        <x:v>0</x:v>
      </x:c>
      <x:c r="T60" s="18" t="n">
        <x:f>'Source data'!R54</x:f>
        <x:v>0.5</x:v>
      </x:c>
      <x:c r="U60" s="14" t="n">
        <x:f>S60+IF(OR(D60="Nuclear",D60="ShapedNuclear",D60="Antimatter"),0,IF(D60="Explosive",0.1,1)*0.5*R60*(O60/2)^2)</x:f>
        <x:v>3468.9062500000005</x:v>
      </x:c>
      <x:c r="V60" s="14" t="n">
        <x:f>U60*(1-T60)</x:f>
        <x:v>1734.4531250000002</x:v>
      </x:c>
      <x:c r="W60" s="14" t="n">
        <x:f>U60*J60</x:f>
        <x:v>29733.482142857145</x:v>
      </x:c>
      <x:c r="X60" s="16" t="n">
        <x:f>'Source data'!T54</x:f>
        <x:v>4800</x:v>
      </x:c>
      <x:c r="Y60" s="14" t="n">
        <x:f>'Source data'!Y54</x:f>
        <x:v>7</x:v>
      </x:c>
      <x:c r="Z60" s="14" t="n">
        <x:f>'Source data'!AA54</x:f>
        <x:v>1</x:v>
      </x:c>
      <x:c r="AA60" s="14" t="n">
        <x:f>'Source data'!AB54</x:f>
        <x:v>35</x:v>
      </x:c>
      <x:c r="AB60" s="2" t="b">
        <x:f>'Source data'!G54</x:f>
        <x:v>0</x:v>
      </x:c>
      <x:c r="AC60" s="2" t="str">
        <x:v>ApolloTorpedoPod</x:v>
      </x:c>
    </x:row>
    <x:row r="61" ht="23" customHeight="1">
      <x:c r="A61" s="7" t="str">
        <x:v>Cerebrus Nuclear Torpedo Pod</x:v>
      </x:c>
      <x:c r="B61" s="7" t="str">
        <x:v>Human</x:v>
      </x:c>
      <x:c r="C61" s="7" t="str">
        <x:v>HalfHull</x:v>
      </x:c>
      <x:c r="D61" s="7" t="str">
        <x:v>Nuclear</x:v>
      </x:c>
      <x:c r="E61" s="17" t="n">
        <x:f>'Source data'!S55</x:f>
        <x:v>2</x:v>
      </x:c>
      <x:c r="F61" s="17" t="n">
        <x:f>IF('Source data'!O55="",1,'Source data'!O55)</x:f>
        <x:v>1</x:v>
      </x:c>
      <x:c r="G61" s="15" t="n">
        <x:f>IF('Source data'!P55="",0,'Source data'!P55)</x:f>
        <x:v>0</x:v>
      </x:c>
      <x:c r="H61" s="15" t="n">
        <x:f>'Source data'!N55</x:f>
        <x:v>7</x:v>
      </x:c>
      <x:c r="I61" s="15" t="n">
        <x:f>H61+(F61-1)*G61</x:f>
        <x:v>7</x:v>
      </x:c>
      <x:c r="J61" s="15" t="n">
        <x:f>60*F61/I61</x:f>
        <x:v>8.571428571428571</x:v>
      </x:c>
      <x:c r="K61" s="15" t="n">
        <x:f>INT((E61-1)/F61)*I61+MOD(E61-1,F61)*G61</x:f>
        <x:v>7</x:v>
      </x:c>
      <x:c r="L61" s="15" t="n">
        <x:f>'Source data'!M55</x:f>
        <x:v>12</x:v>
      </x:c>
      <x:c r="M61" s="15" t="n">
        <x:f>L61+E61*X61/1000</x:f>
        <x:v>21.6</x:v>
      </x:c>
      <x:c r="N61" s="15" t="n">
        <x:f>'Source data'!K55</x:f>
        <x:v>7.47</x:v>
      </x:c>
      <x:c r="O61" s="15" t="n">
        <x:f>'Source data'!L55</x:f>
        <x:v>6.41</x:v>
      </x:c>
      <x:c r="P61" s="15" t="n">
        <x:f>'Source data'!Z55</x:f>
        <x:v>20</x:v>
      </x:c>
      <x:c r="Q61" s="17" t="n">
        <x:f>'Source data'!AD55</x:f>
        <x:v>800</x:v>
      </x:c>
      <x:c r="R61" s="17" t="n">
        <x:f>'Source data'!W55</x:f>
        <x:v>260</x:v>
      </x:c>
      <x:c r="S61" s="15" t="n">
        <x:f>IF('Source data'!X55="",0,'Source data'!X55)</x:f>
        <x:v>1129950000</x:v>
      </x:c>
      <x:c r="T61" s="19" t="n">
        <x:f>'Source data'!R55</x:f>
        <x:v>1</x:v>
      </x:c>
      <x:c r="U61" s="15" t="n">
        <x:f>S61+IF(OR(D61="Nuclear",D61="ShapedNuclear",D61="Antimatter"),0,IF(D61="Explosive",0.1,1)*0.5*R61*(O61/2)^2)</x:f>
        <x:v>1129950000</x:v>
      </x:c>
      <x:c r="V61" s="15" t="n">
        <x:f>U61*(1-T61)</x:f>
        <x:v>0</x:v>
      </x:c>
      <x:c r="W61" s="15" t="n">
        <x:f>U61*J61</x:f>
        <x:v>9685285714.285713</x:v>
      </x:c>
      <x:c r="X61" s="17" t="n">
        <x:f>'Source data'!T55</x:f>
        <x:v>4800</x:v>
      </x:c>
      <x:c r="Y61" s="15" t="n">
        <x:f>'Source data'!Y55</x:f>
        <x:v>8</x:v>
      </x:c>
      <x:c r="Z61" s="15" t="n">
        <x:f>'Source data'!AA55</x:f>
        <x:v>1</x:v>
      </x:c>
      <x:c r="AA61" s="15" t="n">
        <x:f>'Source data'!AB55</x:f>
        <x:v>40</x:v>
      </x:c>
      <x:c r="AB61" s="7" t="b">
        <x:f>'Source data'!G55</x:f>
        <x:v>0</x:v>
      </x:c>
      <x:c r="AC61" s="7" t="str">
        <x:v>CerebrusNuclearTorpedoPod</x:v>
      </x:c>
    </x:row>
    <x:row r="62" ht="23" customHeight="1">
      <x:c r="A62" s="2" t="str">
        <x:v>Hades Nuclear Torpedo Pod</x:v>
      </x:c>
      <x:c r="B62" s="2" t="str">
        <x:v>Human</x:v>
      </x:c>
      <x:c r="C62" s="2" t="str">
        <x:v>HalfHull</x:v>
      </x:c>
      <x:c r="D62" s="2" t="str">
        <x:v>Nuclear</x:v>
      </x:c>
      <x:c r="E62" s="16" t="n">
        <x:f>'Source data'!S56</x:f>
        <x:v>2</x:v>
      </x:c>
      <x:c r="F62" s="16" t="n">
        <x:f>IF('Source data'!O56="",1,'Source data'!O56)</x:f>
        <x:v>1</x:v>
      </x:c>
      <x:c r="G62" s="14" t="n">
        <x:f>IF('Source data'!P56="",0,'Source data'!P56)</x:f>
        <x:v>0</x:v>
      </x:c>
      <x:c r="H62" s="14" t="n">
        <x:f>'Source data'!N56</x:f>
        <x:v>7</x:v>
      </x:c>
      <x:c r="I62" s="14" t="n">
        <x:f>H62+(F62-1)*G62</x:f>
        <x:v>7</x:v>
      </x:c>
      <x:c r="J62" s="14" t="n">
        <x:f>60*F62/I62</x:f>
        <x:v>8.571428571428571</x:v>
      </x:c>
      <x:c r="K62" s="14" t="n">
        <x:f>INT((E62-1)/F62)*I62+MOD(E62-1,F62)*G62</x:f>
        <x:v>7</x:v>
      </x:c>
      <x:c r="L62" s="14" t="n">
        <x:f>'Source data'!M56</x:f>
        <x:v>10</x:v>
      </x:c>
      <x:c r="M62" s="14" t="n">
        <x:f>L62+E62*X62/1000</x:f>
        <x:v>19.6</x:v>
      </x:c>
      <x:c r="N62" s="14" t="n">
        <x:f>'Source data'!K56</x:f>
        <x:v>9.14</x:v>
      </x:c>
      <x:c r="O62" s="14" t="n">
        <x:f>'Source data'!L56</x:f>
        <x:v>7.7</x:v>
      </x:c>
      <x:c r="P62" s="14" t="n">
        <x:f>'Source data'!Z56</x:f>
        <x:v>20</x:v>
      </x:c>
      <x:c r="Q62" s="16" t="n">
        <x:f>'Source data'!AD56</x:f>
        <x:v>800</x:v>
      </x:c>
      <x:c r="R62" s="16" t="n">
        <x:f>'Source data'!W56</x:f>
        <x:v>450</x:v>
      </x:c>
      <x:c r="S62" s="14" t="n">
        <x:f>IF('Source data'!X56="",0,'Source data'!X56)</x:f>
        <x:v>2448225000</x:v>
      </x:c>
      <x:c r="T62" s="18" t="n">
        <x:f>'Source data'!R56</x:f>
        <x:v>1</x:v>
      </x:c>
      <x:c r="U62" s="14" t="n">
        <x:f>S62+IF(OR(D62="Nuclear",D62="ShapedNuclear",D62="Antimatter"),0,IF(D62="Explosive",0.1,1)*0.5*R62*(O62/2)^2)</x:f>
        <x:v>2448225000</x:v>
      </x:c>
      <x:c r="V62" s="14" t="n">
        <x:f>U62*(1-T62)</x:f>
        <x:v>0</x:v>
      </x:c>
      <x:c r="W62" s="14" t="n">
        <x:f>U62*J62</x:f>
        <x:v>20984785714.285713</x:v>
      </x:c>
      <x:c r="X62" s="16" t="n">
        <x:f>'Source data'!T56</x:f>
        <x:v>4800</x:v>
      </x:c>
      <x:c r="Y62" s="14" t="n">
        <x:f>'Source data'!Y56</x:f>
        <x:v>8</x:v>
      </x:c>
      <x:c r="Z62" s="14" t="n">
        <x:f>'Source data'!AA56</x:f>
        <x:v>1</x:v>
      </x:c>
      <x:c r="AA62" s="14" t="n">
        <x:f>'Source data'!AB56</x:f>
        <x:v>40</x:v>
      </x:c>
      <x:c r="AB62" s="2" t="b">
        <x:f>'Source data'!G56</x:f>
        <x:v>0</x:v>
      </x:c>
      <x:c r="AC62" s="2" t="str">
        <x:v>HadesNuclearTorpedoPod</x:v>
      </x:c>
    </x:row>
  </x:sheetData>
  <x:pageMargins left="0.7" right="0.7" top="0.75" bottom="0.75" header="0.3" footer="0.3"/>
  <x:tableParts count="1">
    <x:tablePart xmlns:r="http://schemas.openxmlformats.org/officeDocument/2006/relationships" r:id="R8d81960e5fa14f0c"/>
  </x:tableParts>
</x:worksheet>
</file>

<file path=xl/worksheets/sheet2.xml><?xml version="1.0" encoding="utf-8"?>
<x:worksheet xmlns:x="http://schemas.openxmlformats.org/spreadsheetml/2006/main">
  <x:sheetPr>
    <x:tabColor rgb="FF63849A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6" hidden="0" customWidth="1"/>
    <x:col min="2" max="2" width="19" hidden="0" customWidth="1"/>
    <x:col min="3" max="3" width="37" hidden="0" customWidth="1"/>
    <x:col min="4" max="4" width="1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2">
      <x:c r="A2" s="8" t="str">
        <x:v>Alien launcher tuning | editable trials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</x:row>
    <x:row r="3">
      <x:c r="A3" s="9" t="str">
        <x:v>Amber cells are trial inputs, initialized to current values. No proposed values are applied to the game.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5" ht="46" customHeight="1">
      <x:c r="A5" s="6" t="str">
        <x:v>Alien weapon</x:v>
      </x:c>
      <x:c r="B5" s="6" t="str">
        <x:v>Current magazine</x:v>
      </x:c>
      <x:c r="C5" s="6" t="str">
        <x:v>Trial magazine</x:v>
      </x:c>
      <x:c r="D5" s="6" t="str">
        <x:v>Salvo shots</x:v>
      </x:c>
      <x:c r="E5" s="6" t="str">
        <x:v>Current gap (s)</x:v>
      </x:c>
      <x:c r="F5" s="6" t="str">
        <x:v>Trial gap (s)</x:v>
      </x:c>
      <x:c r="G5" s="6" t="str">
        <x:v>Current reload (s)</x:v>
      </x:c>
      <x:c r="H5" s="6" t="str">
        <x:v>Trial reload (s)</x:v>
      </x:c>
      <x:c r="I5" s="6" t="str">
        <x:v>Current cycle (s)</x:v>
      </x:c>
      <x:c r="J5" s="6" t="str">
        <x:v>Trial cycle (s)</x:v>
      </x:c>
      <x:c r="K5" s="6" t="str">
        <x:v>Current shots/min</x:v>
      </x:c>
      <x:c r="L5" s="6" t="str">
        <x:v>Trial shots/min</x:v>
      </x:c>
      <x:c r="M5" s="6" t="str">
        <x:v>Current empty time (s)</x:v>
      </x:c>
      <x:c r="N5" s="6" t="str">
        <x:v>Trial empty time (s)</x:v>
      </x:c>
      <x:c r="O5" s="6" t="str">
        <x:v>Current loaded (t)</x:v>
      </x:c>
      <x:c r="P5" s="6" t="str">
        <x:v>Trial loaded (t)</x:v>
      </x:c>
      <x:c r="Q5" s="6" t="str">
        <x:v>Throughput change</x:v>
      </x:c>
    </x:row>
    <x:row r="6" ht="23" customHeight="1">
      <x:c r="A6" s="2" t="str">
        <x:v>Glittering Jewel Missile Bay</x:v>
      </x:c>
      <x:c r="B6" s="22" t="n">
        <x:f>'Missile comparison'!E6</x:f>
        <x:v>16</x:v>
      </x:c>
      <x:c r="C6" s="26" t="n">
        <x:v>16</x:v>
      </x:c>
      <x:c r="D6" s="22" t="n">
        <x:f>'Missile comparison'!F6</x:f>
        <x:v>4</x:v>
      </x:c>
      <x:c r="E6" s="20" t="n">
        <x:f>'Missile comparison'!G6</x:f>
        <x:v>1</x:v>
      </x:c>
      <x:c r="F6" s="27" t="n">
        <x:v>1</x:v>
      </x:c>
      <x:c r="G6" s="20" t="n">
        <x:f>'Missile comparison'!H6</x:f>
        <x:v>4</x:v>
      </x:c>
      <x:c r="H6" s="27" t="n">
        <x:v>4</x:v>
      </x:c>
      <x:c r="I6" s="20" t="n">
        <x:f>'Missile comparison'!I6</x:f>
        <x:v>7</x:v>
      </x:c>
      <x:c r="J6" s="20" t="n">
        <x:f>H6+(D6-1)*F6</x:f>
        <x:v>7</x:v>
      </x:c>
      <x:c r="K6" s="20" t="n">
        <x:f>'Missile comparison'!J6</x:f>
        <x:v>34.285714285714285</x:v>
      </x:c>
      <x:c r="L6" s="20" t="n">
        <x:f>60*D6/J6</x:f>
        <x:v>34.285714285714285</x:v>
      </x:c>
      <x:c r="M6" s="20" t="n">
        <x:f>'Missile comparison'!K6</x:f>
        <x:v>24</x:v>
      </x:c>
      <x:c r="N6" s="20" t="n">
        <x:f>INT((C6-1)/D6)*J6+MOD(C6-1,D6)*F6</x:f>
        <x:v>24</x:v>
      </x:c>
      <x:c r="O6" s="20" t="n">
        <x:f>'Missile comparison'!M6</x:f>
        <x:v>23.48</x:v>
      </x:c>
      <x:c r="P6" s="20" t="n">
        <x:f>'Missile comparison'!L6+C6*'Missile comparison'!X6/1000</x:f>
        <x:v>23.48</x:v>
      </x:c>
      <x:c r="Q6" s="24" t="n">
        <x:f>L6/K6-1</x:f>
        <x:v>0</x:v>
      </x:c>
    </x:row>
    <x:row r="7" ht="23" customHeight="1">
      <x:c r="A7" s="7" t="str">
        <x:v>Glittering Jewel Missile Pod</x:v>
      </x:c>
      <x:c r="B7" s="23" t="n">
        <x:f>'Missile comparison'!E7</x:f>
        <x:v>4</x:v>
      </x:c>
      <x:c r="C7" s="26" t="n">
        <x:v>4</x:v>
      </x:c>
      <x:c r="D7" s="23" t="n">
        <x:f>'Missile comparison'!F7</x:f>
        <x:v>1</x:v>
      </x:c>
      <x:c r="E7" s="21" t="n">
        <x:f>'Missile comparison'!G7</x:f>
        <x:v>0</x:v>
      </x:c>
      <x:c r="F7" s="27" t="n">
        <x:v>0</x:v>
      </x:c>
      <x:c r="G7" s="21" t="n">
        <x:f>'Missile comparison'!H7</x:f>
        <x:v>6</x:v>
      </x:c>
      <x:c r="H7" s="27" t="n">
        <x:v>6</x:v>
      </x:c>
      <x:c r="I7" s="21" t="n">
        <x:f>'Missile comparison'!I7</x:f>
        <x:v>6</x:v>
      </x:c>
      <x:c r="J7" s="21" t="n">
        <x:f>H7+(D7-1)*F7</x:f>
        <x:v>6</x:v>
      </x:c>
      <x:c r="K7" s="21" t="n">
        <x:f>'Missile comparison'!J7</x:f>
        <x:v>10</x:v>
      </x:c>
      <x:c r="L7" s="21" t="n">
        <x:f>60*D7/J7</x:f>
        <x:v>10</x:v>
      </x:c>
      <x:c r="M7" s="21" t="n">
        <x:f>'Missile comparison'!K7</x:f>
        <x:v>18</x:v>
      </x:c>
      <x:c r="N7" s="21" t="n">
        <x:f>INT((C7-1)/D7)*J7+MOD(C7-1,D7)*F7</x:f>
        <x:v>18</x:v>
      </x:c>
      <x:c r="O7" s="21" t="n">
        <x:f>'Missile comparison'!M7</x:f>
        <x:v>8.120000000000001</x:v>
      </x:c>
      <x:c r="P7" s="21" t="n">
        <x:f>'Missile comparison'!L7+C7*'Missile comparison'!X7/1000</x:f>
        <x:v>8.120000000000001</x:v>
      </x:c>
      <x:c r="Q7" s="25" t="n">
        <x:f>L7/K7-1</x:f>
        <x:v>0</x:v>
      </x:c>
    </x:row>
    <x:row r="8" ht="23" customHeight="1">
      <x:c r="A8" s="2" t="str">
        <x:v>Iridescent Star Torpedo Bay</x:v>
      </x:c>
      <x:c r="B8" s="22" t="n">
        <x:f>'Missile comparison'!E8</x:f>
        <x:v>8</x:v>
      </x:c>
      <x:c r="C8" s="26" t="n">
        <x:v>8</x:v>
      </x:c>
      <x:c r="D8" s="22" t="n">
        <x:f>'Missile comparison'!F8</x:f>
        <x:v>1</x:v>
      </x:c>
      <x:c r="E8" s="20" t="n">
        <x:f>'Missile comparison'!G8</x:f>
        <x:v>0</x:v>
      </x:c>
      <x:c r="F8" s="27" t="n">
        <x:v>0</x:v>
      </x:c>
      <x:c r="G8" s="20" t="n">
        <x:f>'Missile comparison'!H8</x:f>
        <x:v>8</x:v>
      </x:c>
      <x:c r="H8" s="27" t="n">
        <x:v>8</x:v>
      </x:c>
      <x:c r="I8" s="20" t="n">
        <x:f>'Missile comparison'!I8</x:f>
        <x:v>8</x:v>
      </x:c>
      <x:c r="J8" s="20" t="n">
        <x:f>H8+(D8-1)*F8</x:f>
        <x:v>8</x:v>
      </x:c>
      <x:c r="K8" s="20" t="n">
        <x:f>'Missile comparison'!J8</x:f>
        <x:v>7.5</x:v>
      </x:c>
      <x:c r="L8" s="20" t="n">
        <x:f>60*D8/J8</x:f>
        <x:v>7.5</x:v>
      </x:c>
      <x:c r="M8" s="20" t="n">
        <x:f>'Missile comparison'!K8</x:f>
        <x:v>56</x:v>
      </x:c>
      <x:c r="N8" s="20" t="n">
        <x:f>INT((C8-1)/D8)*J8+MOD(C8-1,D8)*F8</x:f>
        <x:v>56</x:v>
      </x:c>
      <x:c r="O8" s="20" t="n">
        <x:f>'Missile comparison'!M8</x:f>
        <x:v>30.48</x:v>
      </x:c>
      <x:c r="P8" s="20" t="n">
        <x:f>'Missile comparison'!L8+C8*'Missile comparison'!X8/1000</x:f>
        <x:v>30.48</x:v>
      </x:c>
      <x:c r="Q8" s="24" t="n">
        <x:f>L8/K8-1</x:f>
        <x:v>0</x:v>
      </x:c>
    </x:row>
    <x:row r="9" ht="23" customHeight="1">
      <x:c r="A9" s="7" t="str">
        <x:v>Luminous Swarm Missile Bay</x:v>
      </x:c>
      <x:c r="B9" s="23" t="n">
        <x:f>'Missile comparison'!E9</x:f>
        <x:v>36</x:v>
      </x:c>
      <x:c r="C9" s="26" t="n">
        <x:v>36</x:v>
      </x:c>
      <x:c r="D9" s="23" t="n">
        <x:f>'Missile comparison'!F9</x:f>
        <x:v>8</x:v>
      </x:c>
      <x:c r="E9" s="21" t="n">
        <x:f>'Missile comparison'!G9</x:f>
        <x:v>1</x:v>
      </x:c>
      <x:c r="F9" s="27" t="n">
        <x:v>1</x:v>
      </x:c>
      <x:c r="G9" s="21" t="n">
        <x:f>'Missile comparison'!H9</x:f>
        <x:v>3</x:v>
      </x:c>
      <x:c r="H9" s="27" t="n">
        <x:v>3</x:v>
      </x:c>
      <x:c r="I9" s="21" t="n">
        <x:f>'Missile comparison'!I9</x:f>
        <x:v>10</x:v>
      </x:c>
      <x:c r="J9" s="21" t="n">
        <x:f>H9+(D9-1)*F9</x:f>
        <x:v>10</x:v>
      </x:c>
      <x:c r="K9" s="21" t="n">
        <x:f>'Missile comparison'!J9</x:f>
        <x:v>48</x:v>
      </x:c>
      <x:c r="L9" s="21" t="n">
        <x:f>60*D9/J9</x:f>
        <x:v>48</x:v>
      </x:c>
      <x:c r="M9" s="21" t="n">
        <x:f>'Missile comparison'!K9</x:f>
        <x:v>43</x:v>
      </x:c>
      <x:c r="N9" s="21" t="n">
        <x:f>INT((C9-1)/D9)*J9+MOD(C9-1,D9)*F9</x:f>
        <x:v>43</x:v>
      </x:c>
      <x:c r="O9" s="21" t="n">
        <x:f>'Missile comparison'!M9</x:f>
        <x:v>22.672</x:v>
      </x:c>
      <x:c r="P9" s="21" t="n">
        <x:f>'Missile comparison'!L9+C9*'Missile comparison'!X9/1000</x:f>
        <x:v>22.672</x:v>
      </x:c>
      <x:c r="Q9" s="25" t="n">
        <x:f>L9/K9-1</x:f>
        <x:v>0</x:v>
      </x:c>
    </x:row>
    <x:row r="10" ht="23" customHeight="1">
      <x:c r="A10" s="2" t="str">
        <x:v>Brilliant Sky Missile Bay</x:v>
      </x:c>
      <x:c r="B10" s="22" t="n">
        <x:f>'Missile comparison'!E10</x:f>
        <x:v>16</x:v>
      </x:c>
      <x:c r="C10" s="26" t="n">
        <x:v>16</x:v>
      </x:c>
      <x:c r="D10" s="22" t="n">
        <x:f>'Missile comparison'!F10</x:f>
        <x:v>8</x:v>
      </x:c>
      <x:c r="E10" s="20" t="n">
        <x:f>'Missile comparison'!G10</x:f>
        <x:v>1</x:v>
      </x:c>
      <x:c r="F10" s="27" t="n">
        <x:v>1</x:v>
      </x:c>
      <x:c r="G10" s="20" t="n">
        <x:f>'Missile comparison'!H10</x:f>
        <x:v>4</x:v>
      </x:c>
      <x:c r="H10" s="27" t="n">
        <x:v>4</x:v>
      </x:c>
      <x:c r="I10" s="20" t="n">
        <x:f>'Missile comparison'!I10</x:f>
        <x:v>11</x:v>
      </x:c>
      <x:c r="J10" s="20" t="n">
        <x:f>H10+(D10-1)*F10</x:f>
        <x:v>11</x:v>
      </x:c>
      <x:c r="K10" s="20" t="n">
        <x:f>'Missile comparison'!J10</x:f>
        <x:v>43.63636363636363</x:v>
      </x:c>
      <x:c r="L10" s="20" t="n">
        <x:f>60*D10/J10</x:f>
        <x:v>43.63636363636363</x:v>
      </x:c>
      <x:c r="M10" s="20" t="n">
        <x:f>'Missile comparison'!K10</x:f>
        <x:v>18</x:v>
      </x:c>
      <x:c r="N10" s="20" t="n">
        <x:f>INT((C10-1)/D10)*J10+MOD(C10-1,D10)*F10</x:f>
        <x:v>18</x:v>
      </x:c>
      <x:c r="O10" s="20" t="n">
        <x:f>'Missile comparison'!M10</x:f>
        <x:v>21.776</x:v>
      </x:c>
      <x:c r="P10" s="20" t="n">
        <x:f>'Missile comparison'!L10+C10*'Missile comparison'!X10/1000</x:f>
        <x:v>21.776</x:v>
      </x:c>
      <x:c r="Q10" s="24" t="n">
        <x:f>L10/K10-1</x:f>
        <x:v>0</x:v>
      </x:c>
    </x:row>
    <x:row r="11" ht="23" customHeight="1">
      <x:c r="A11" s="7" t="str">
        <x:v>Predatory Star Torpedo Bay</x:v>
      </x:c>
      <x:c r="B11" s="23" t="n">
        <x:f>'Missile comparison'!E11</x:f>
        <x:v>8</x:v>
      </x:c>
      <x:c r="C11" s="26" t="n">
        <x:v>8</x:v>
      </x:c>
      <x:c r="D11" s="23" t="n">
        <x:f>'Missile comparison'!F11</x:f>
        <x:v>1</x:v>
      </x:c>
      <x:c r="E11" s="21" t="n">
        <x:f>'Missile comparison'!G11</x:f>
        <x:v>0</x:v>
      </x:c>
      <x:c r="F11" s="27" t="n">
        <x:v>0</x:v>
      </x:c>
      <x:c r="G11" s="21" t="n">
        <x:f>'Missile comparison'!H11</x:f>
        <x:v>6</x:v>
      </x:c>
      <x:c r="H11" s="27" t="n">
        <x:v>6</x:v>
      </x:c>
      <x:c r="I11" s="21" t="n">
        <x:f>'Missile comparison'!I11</x:f>
        <x:v>6</x:v>
      </x:c>
      <x:c r="J11" s="21" t="n">
        <x:f>H11+(D11-1)*F11</x:f>
        <x:v>6</x:v>
      </x:c>
      <x:c r="K11" s="21" t="n">
        <x:f>'Missile comparison'!J11</x:f>
        <x:v>10</x:v>
      </x:c>
      <x:c r="L11" s="21" t="n">
        <x:f>60*D11/J11</x:f>
        <x:v>10</x:v>
      </x:c>
      <x:c r="M11" s="21" t="n">
        <x:f>'Missile comparison'!K11</x:f>
        <x:v>42</x:v>
      </x:c>
      <x:c r="N11" s="21" t="n">
        <x:f>INT((C11-1)/D11)*J11+MOD(C11-1,D11)*F11</x:f>
        <x:v>42</x:v>
      </x:c>
      <x:c r="O11" s="21" t="n">
        <x:f>'Missile comparison'!M11</x:f>
        <x:v>33.728</x:v>
      </x:c>
      <x:c r="P11" s="21" t="n">
        <x:f>'Missile comparison'!L11+C11*'Missile comparison'!X11/1000</x:f>
        <x:v>33.728</x:v>
      </x:c>
      <x:c r="Q11" s="25" t="n">
        <x:f>L11/K11-1</x:f>
        <x:v>0</x:v>
      </x:c>
    </x:row>
    <x:row r="14">
      <x:c r="A14" s="28" t="str">
        <x:v>Independent experiments to discuss</x:v>
      </x:c>
    </x:row>
    <x:row r="15">
      <x:c r="A15" t="str">
        <x:v>Endurance: change only Trial magazine to 1.5–2× current; the first salvo and firing rate stay unchanged.</x:v>
      </x:c>
    </x:row>
    <x:row r="16">
      <x:c r="A16" t="str">
        <x:v>Pulse: reset magazine; halve Trial gap, then set Trial reload = Current cycle − (Salvo shots − 1) × Trial gap.</x:v>
      </x:c>
    </x:row>
    <x:row r="17">
      <x:c r="A17" t="str">
        <x:v>Glittering Jewel pulse example: gap 0.5 s, reload 5.5 s; cycle stays 7 s. No change to salvo size or average throughput.</x:v>
      </x:c>
    </x:row>
    <x:row r="18">
      <x:c r="A18" t="str">
        <x:v>Test one change at a time. Larger magazines raise loaded mass and ammunition costs; they cannot defeat unlimited adequate PD.</x:v>
      </x:c>
    </x:row>
    <x:row r="19">
      <x:c r="A19" t="str">
        <x:v>Missile HP is not a template mass field. Runtime missile durability would require code changes and separate targeting checks.</x:v>
      </x:c>
    </x:row>
    <x:row r="20">
      <x:c r="A20" t="str">
        <x:v>Luminous Swarm can also intercept missiles; test its defensive behavior if its cadence changes.</x:v>
      </x:c>
    </x:row>
    <x:row r="22">
      <x:c r="A22" t="str">
        <x:v>Predefined alien missile mounts (template roster; not campaign spawn frequency)</x:v>
      </x:c>
    </x:row>
    <x:row r="24" ht="46" customHeight="1">
      <x:c r="A24" s="6" t="str">
        <x:v>Predefined ship</x:v>
      </x:c>
      <x:c r="B24" s="6" t="str">
        <x:v>Hull</x:v>
      </x:c>
      <x:c r="C24" s="6" t="str">
        <x:v>Missile template</x:v>
      </x:c>
      <x:c r="D24" s="6" t="str">
        <x:v>Mount count</x:v>
      </x:c>
    </x:row>
    <x:row r="25" ht="23" customHeight="1">
      <x:c r="A25" s="2" t="str">
        <x:v>Comet-class Escort</x:v>
      </x:c>
      <x:c r="B25" s="2" t="str">
        <x:v>AlienEscort</x:v>
      </x:c>
      <x:c r="C25" s="2" t="str">
        <x:v>GlitteringJewelMissileBay</x:v>
      </x:c>
      <x:c r="D25" s="2" t="n">
        <x:v>1</x:v>
      </x:c>
    </x:row>
    <x:row r="26" ht="23" customHeight="1">
      <x:c r="A26" s="7" t="str">
        <x:v>Alien Escort</x:v>
      </x:c>
      <x:c r="B26" s="7" t="str">
        <x:v>AlienEscort</x:v>
      </x:c>
      <x:c r="C26" s="7" t="str">
        <x:v>GlitteringJewelMissileBay</x:v>
      </x:c>
      <x:c r="D26" s="7" t="n">
        <x:v>1</x:v>
      </x:c>
    </x:row>
    <x:row r="27" ht="23" customHeight="1">
      <x:c r="A27" s="2" t="str">
        <x:v>Nova-class Frigate</x:v>
      </x:c>
      <x:c r="B27" s="2" t="str">
        <x:v>AlienFrigate</x:v>
      </x:c>
      <x:c r="C27" s="2" t="str">
        <x:v>GlitteringJewelMissileBay</x:v>
      </x:c>
      <x:c r="D27" s="2" t="n">
        <x:v>2</x:v>
      </x:c>
    </x:row>
    <x:row r="28" ht="23" customHeight="1">
      <x:c r="A28" s="7" t="str">
        <x:v>Magnetar-class Battleship</x:v>
      </x:c>
      <x:c r="B28" s="7" t="str">
        <x:v>AlienBattleship</x:v>
      </x:c>
      <x:c r="C28" s="7" t="str">
        <x:v>GlitteringJewelMissileBay</x:v>
      </x:c>
      <x:c r="D28" s="7" t="n">
        <x:v>1</x:v>
      </x:c>
    </x:row>
    <x:row r="29" ht="23" customHeight="1">
      <x:c r="A29" s="2" t="str">
        <x:v>Electron-class Lancer</x:v>
      </x:c>
      <x:c r="B29" s="2" t="str">
        <x:v>AlienLancer</x:v>
      </x:c>
      <x:c r="C29" s="2" t="str">
        <x:v>GlitteringJewelMissileBay</x:v>
      </x:c>
      <x:c r="D29" s="2" t="n">
        <x:v>1</x:v>
      </x:c>
    </x:row>
    <x:row r="30" ht="23" customHeight="1">
      <x:c r="A30" s="7" t="str">
        <x:v>Blazar-class Mothership</x:v>
      </x:c>
      <x:c r="B30" s="7" t="str">
        <x:v>AlienMothership</x:v>
      </x:c>
      <x:c r="C30" s="7" t="str">
        <x:v>GlitteringJewelMissileBay</x:v>
      </x:c>
      <x:c r="D30" s="7" t="n">
        <x:v>1</x:v>
      </x:c>
    </x:row>
    <x:row r="31" ht="23" customHeight="1">
      <x:c r="A31" s="2" t="str">
        <x:v>Blazar-class Mothership</x:v>
      </x:c>
      <x:c r="B31" s="2" t="str">
        <x:v>AlienMothership</x:v>
      </x:c>
      <x:c r="C31" s="2" t="str">
        <x:v>BrilliantSkyMissileBay</x:v>
      </x:c>
      <x:c r="D31" s="2" t="n">
        <x:v>1</x:v>
      </x:c>
    </x:row>
    <x:row r="32" ht="23" customHeight="1">
      <x:c r="A32" s="7" t="str">
        <x:v>Alien Orbital Fighter</x:v>
      </x:c>
      <x:c r="B32" s="7" t="str">
        <x:v>SalamanderGunship</x:v>
      </x:c>
      <x:c r="C32" s="7" t="str">
        <x:v>GlitteringJewelMissilePod</x:v>
      </x:c>
      <x:c r="D32" s="7" t="n">
        <x:v>1</x:v>
      </x:c>
    </x:row>
    <x:row r="33" ht="23" customHeight="1">
      <x:c r="A33" s="2" t="str">
        <x:v>Shiny-class Frigate</x:v>
      </x:c>
      <x:c r="B33" s="2" t="str">
        <x:v>AlienFrigate</x:v>
      </x:c>
      <x:c r="C33" s="2" t="str">
        <x:v>GlitteringJewelMissileBay</x:v>
      </x:c>
      <x:c r="D33" s="2" t="n">
        <x:v>2</x:v>
      </x:c>
    </x:row>
  </x:sheetData>
  <x:conditionalFormatting sqref="F6:F11">
    <x:cfRule type="cellIs" dxfId="0" priority="1" operator="lessThan">
      <x:formula>0</x:formula>
    </x:cfRule>
  </x:conditionalFormatting>
  <x:conditionalFormatting sqref="H6:H11">
    <x:cfRule type="cellIs" dxfId="1" priority="2" operator="lessThan">
      <x:formula>0</x:formula>
    </x:cfRule>
  </x:conditionalFormatting>
  <x:dataValidations count="1">
    <x:dataValidation type="whole" operator="between" sqref="C6:C11">
      <x:formula1>1</x:formula1>
      <x:formula2>10000</x:formula2>
    </x:dataValidation>
  </x:dataValidations>
  <x:pageMargins left="0.7" right="0.7" top="0.75" bottom="0.75" header="0.3" footer="0.3"/>
  <x:tableParts count="2">
    <x:tablePart xmlns:r="http://schemas.openxmlformats.org/officeDocument/2006/relationships" r:id="R48beff7867be49de"/>
    <x:tablePart xmlns:r="http://schemas.openxmlformats.org/officeDocument/2006/relationships" r:id="R22f26c199f4e4fe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33" hidden="0" customWidth="1"/>
    <x:col min="3" max="3" width="14" hidden="0" customWidth="1"/>
    <x:col min="4" max="4" width="14" hidden="0" customWidth="1"/>
    <x:col min="5" max="5" width="37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4" hidden="0" customWidth="1"/>
    <x:col min="11" max="11" width="17" hidden="0" customWidth="1"/>
    <x:col min="12" max="12" width="14" hidden="0" customWidth="1"/>
    <x:col min="13" max="13" width="22" hidden="0" customWidth="1"/>
    <x:col min="14" max="14" width="14" hidden="0" customWidth="1"/>
    <x:col min="15" max="15" width="14" hidden="0" customWidth="1"/>
    <x:col min="16" max="16" width="23" hidden="0" customWidth="1"/>
    <x:col min="17" max="17" width="14" hidden="0" customWidth="1"/>
    <x:col min="18" max="18" width="15" hidden="0" customWidth="1"/>
    <x:col min="19" max="19" width="14" hidden="0" customWidth="1"/>
    <x:col min="20" max="20" width="14" hidden="0" customWidth="1"/>
    <x:col min="21" max="21" width="14" hidden="0" customWidth="1"/>
    <x:col min="22" max="22" width="16" hidden="0" customWidth="1"/>
    <x:col min="23" max="23" width="17" hidden="0" customWidth="1"/>
    <x:col min="24" max="24" width="16" hidden="0" customWidth="1"/>
    <x:col min="25" max="25" width="15" hidden="0" customWidth="1"/>
    <x:col min="26" max="26" width="17" hidden="0" customWidth="1"/>
    <x:col min="27" max="27" width="14" hidden="0" customWidth="1"/>
    <x:col min="28" max="28" width="17" hidden="0" customWidth="1"/>
    <x:col min="29" max="29" width="19" hidden="0" customWidth="1"/>
    <x:col min="30" max="30" width="20" hidden="0" customWidth="1"/>
    <x:col min="31" max="31" width="17" hidden="0" customWidth="1"/>
    <x:col min="32" max="32" width="27" hidden="0" customWidth="1"/>
    <x:col min="33" max="33" width="35" hidden="0" customWidth="1"/>
    <x:col min="34" max="34" width="32" hidden="0" customWidth="1"/>
    <x:col min="35" max="35" width="26" hidden="0" customWidth="1"/>
    <x:col min="36" max="36" width="23" hidden="0" customWidth="1"/>
    <x:col min="37" max="37" width="28" hidden="0" customWidth="1"/>
    <x:col min="38" max="38" width="51" hidden="0" customWidth="1"/>
    <x:col min="39" max="39" width="37" hidden="0" customWidth="1"/>
    <x:col min="40" max="40" width="37" hidden="0" customWidth="1"/>
    <x:col min="41" max="41" width="29" hidden="0" customWidth="1"/>
    <x:col min="42" max="42" width="57" hidden="0" customWidth="1"/>
    <x:col min="43" max="43" width="73" hidden="0" customWidth="1"/>
    <x:col min="44" max="44" width="28" hidden="0" customWidth="1"/>
    <x:col min="45" max="45" width="37" hidden="0" customWidth="1"/>
    <x:col min="46" max="46" width="25" hidden="0" customWidth="1"/>
    <x:col min="47" max="47" width="20" hidden="0" customWidth="1"/>
    <x:col min="48" max="48" width="24" hidden="0" customWidth="1"/>
    <x:col min="49" max="49" width="27" hidden="0" customWidth="1"/>
  </x:cols>
  <x:sheetData>
    <x:row r="2">
      <x:c r="A2" s="8" t="str">
        <x:v>Installed missile template snapshot</x:v>
      </x:c>
    </x:row>
    <x:row r="3">
      <x:c r="A3" s="9" t="str">
        <x:v>Source: D:/Games/SteamLibrary/steamapps/common/Terra Invicta/TerraInvicta_Data/StreamingAssets/Templates/TIMissileTemplate.json | SHA-256 recorded in the companion audit JSON</x:v>
      </x:c>
    </x:row>
    <x:row r="4">
      <x:c r="A4" t="str">
        <x:v>Blanks preserve absent JSON fields. Comparison defaults: salvo=1, intra-salvo=0, flat damage=0; other fields are required.</x:v>
      </x:c>
    </x:row>
    <x:row r="5" ht="62" customHeight="1">
      <x:c r="A5" s="6" t="str">
        <x:v>dataName</x:v>
      </x:c>
      <x:c r="B5" s="6" t="str">
        <x:v>friendlyName</x:v>
      </x:c>
      <x:c r="C5" s="6" t="str">
        <x:v>mount</x:v>
      </x:c>
      <x:c r="D5" s="6" t="str">
        <x:v>crew</x:v>
      </x:c>
      <x:c r="E5" s="6" t="str">
        <x:v>requiredProjectName</x:v>
      </x:c>
      <x:c r="F5" s="6" t="str">
        <x:v>attackMode</x:v>
      </x:c>
      <x:c r="G5" s="6" t="str">
        <x:v>defenseMode</x:v>
      </x:c>
      <x:c r="H5" s="6" t="str">
        <x:v>warheadClass</x:v>
      </x:c>
      <x:c r="I5" s="6" t="str">
        <x:v>Rocket Thrust</x:v>
      </x:c>
      <x:c r="J5" s="6" t="str">
        <x:v>EV_kps</x:v>
      </x:c>
      <x:c r="K5" s="6" t="str">
        <x:v>acceleration_g</x:v>
      </x:c>
      <x:c r="L5" s="6" t="str">
        <x:v>deltaV_kps</x:v>
      </x:c>
      <x:c r="M5" s="6" t="str">
        <x:v>baseWeaponMass_tons</x:v>
      </x:c>
      <x:c r="N5" s="6" t="str">
        <x:v>cooldown_s</x:v>
      </x:c>
      <x:c r="O5" s="6" t="str">
        <x:v>salvo_shots</x:v>
      </x:c>
      <x:c r="P5" s="6" t="str">
        <x:v>intraSalvoCooldown_s</x:v>
      </x:c>
      <x:c r="Q5" s="6" t="str">
        <x:v>efficiency</x:v>
      </x:c>
      <x:c r="R5" s="6" t="str">
        <x:v>flatChipping</x:v>
      </x:c>
      <x:c r="S5" s="6" t="str">
        <x:v>magazine</x:v>
      </x:c>
      <x:c r="T5" s="6" t="str">
        <x:v>ammoMass_kg</x:v>
      </x:c>
      <x:c r="U5" s="6" t="str">
        <x:v>fuelMass_kg</x:v>
      </x:c>
      <x:c r="V5" s="6" t="str">
        <x:v>systemMass_kg</x:v>
      </x:c>
      <x:c r="W5" s="6" t="str">
        <x:v>warheadMass_kg</x:v>
      </x:c>
      <x:c r="X5" s="6" t="str">
        <x:v>flatDamage_MJ</x:v>
      </x:c>
      <x:c r="Y5" s="6" t="str">
        <x:v>thrustRamp_s</x:v>
      </x:c>
      <x:c r="Z5" s="6" t="str">
        <x:v>rotation_degps</x:v>
      </x:c>
      <x:c r="AA5" s="6" t="str">
        <x:v>turnRamp_s</x:v>
      </x:c>
      <x:c r="AB5" s="6" t="str">
        <x:v>maneuver_angle</x:v>
      </x:c>
      <x:c r="AC5" s="6" t="str">
        <x:v>bombardmentValue</x:v>
      </x:c>
      <x:c r="AD5" s="6" t="str">
        <x:v>targetingRange_km</x:v>
      </x:c>
      <x:c r="AE5" s="6" t="str">
        <x:v>pivotRange_deg</x:v>
      </x:c>
      <x:c r="AF5" s="6" t="str">
        <x:v>isPointDefenseTargetable</x:v>
      </x:c>
      <x:c r="AG5" s="6" t="str">
        <x:v>weightedBuildMaterials/volatiles</x:v>
      </x:c>
      <x:c r="AH5" s="6" t="str">
        <x:v>weightedBuildMaterials/metals</x:v>
      </x:c>
      <x:c r="AI5" s="6" t="str">
        <x:v>ammoMaterials/volatiles</x:v>
      </x:c>
      <x:c r="AJ5" s="6" t="str">
        <x:v>ammoMaterials/metals</x:v>
      </x:c>
      <x:c r="AK5" s="6" t="str">
        <x:v>ammoMaterials/nobleMetals</x:v>
      </x:c>
      <x:c r="AL5" s="6" t="str">
        <x:v>iconResource</x:v>
      </x:c>
      <x:c r="AM5" s="6" t="str">
        <x:v>modelResource</x:v>
      </x:c>
      <x:c r="AN5" s="6" t="str">
        <x:v>shotModelResource</x:v>
      </x:c>
      <x:c r="AO5" s="6" t="str">
        <x:v>impactVisualFXResource</x:v>
      </x:c>
      <x:c r="AP5" s="6" t="str">
        <x:v>fireSoundFXResource</x:v>
      </x:c>
      <x:c r="AQ5" s="6" t="str">
        <x:v>impactSoundFXResource</x:v>
      </x:c>
      <x:c r="AR5" s="6" t="str">
        <x:v>notes</x:v>
      </x:c>
      <x:c r="AS5" s="6" t="str">
        <x:v>weightedBuildMaterials/nobleMetals</x:v>
      </x:c>
      <x:c r="AT5" s="6" t="str">
        <x:v>ammoMaterials/fissiles</x:v>
      </x:c>
      <x:c r="AU5" s="6" t="str">
        <x:v>shapedChargeAngle</x:v>
      </x:c>
      <x:c r="AV5" s="6" t="str">
        <x:v>ammoMaterials/exotics</x:v>
      </x:c>
      <x:c r="AW5" s="6" t="str">
        <x:v>ammoMaterials/antimatter</x:v>
      </x:c>
    </x:row>
    <x:row r="6" ht="23" customHeight="1">
      <x:c r="A6" s="2" t="str">
        <x:v>KraitMissileBay</x:v>
      </x:c>
      <x:c r="B6" s="2" t="str">
        <x:v>Krait Missile Bay</x:v>
      </x:c>
      <x:c r="C6" s="2" t="str">
        <x:v>OneHull</x:v>
      </x:c>
      <x:c r="D6" s="2" t="n">
        <x:v>3</x:v>
      </x:c>
      <x:c r="E6" s="2" t="str">
        <x:v>Project_Warships</x:v>
      </x:c>
      <x:c r="F6" s="12" t="b">
        <x:v>1</x:v>
      </x:c>
      <x:c r="G6" s="12" t="b">
        <x:v>0</x:v>
      </x:c>
      <x:c r="H6" s="2" t="str">
        <x:v>Explosive</x:v>
      </x:c>
      <x:c r="I6" s="2" t="n">
        <x:v>69954</x:v>
      </x:c>
      <x:c r="J6" s="2" t="n">
        <x:v>2.86</x:v>
      </x:c>
      <x:c r="K6" s="2" t="n">
        <x:v>4.46</x:v>
      </x:c>
      <x:c r="L6" s="2" t="n">
        <x:v>3.33</x:v>
      </x:c>
      <x:c r="M6" s="2" t="n">
        <x:v>15</x:v>
      </x:c>
      <x:c r="N6" s="2" t="n">
        <x:v>5</x:v>
      </x:c>
      <x:c r="O6" s="2" t="n">
        <x:v>6</x:v>
      </x:c>
      <x:c r="P6" s="2" t="n">
        <x:v>1</x:v>
      </x:c>
      <x:c r="Q6" s="2" t="n">
        <x:v>1</x:v>
      </x:c>
      <x:c r="R6" s="2" t="n">
        <x:v>0.8</x:v>
      </x:c>
      <x:c r="S6" s="2" t="n">
        <x:v>12</x:v>
      </x:c>
      <x:c r="T6" s="2" t="n">
        <x:v>1600</x:v>
      </x:c>
      <x:c r="U6" s="2" t="n">
        <x:v>1100</x:v>
      </x:c>
      <x:c r="V6" s="2" t="n">
        <x:v>300</x:v>
      </x:c>
      <x:c r="W6" s="2" t="n">
        <x:v>200</x:v>
      </x:c>
      <x:c r="X6" s="2" t="n">
        <x:v>240</x:v>
      </x:c>
      <x:c r="Y6" s="2" t="n">
        <x:v>4</x:v>
      </x:c>
      <x:c r="Z6" s="2" t="n">
        <x:v>25</x:v>
      </x:c>
      <x:c r="AA6" s="2" t="n">
        <x:v>1</x:v>
      </x:c>
      <x:c r="AB6" s="2" t="n">
        <x:v>60</x:v>
      </x:c>
      <x:c r="AC6" s="2" t="n">
        <x:v>0</x:v>
      </x:c>
      <x:c r="AD6" s="2" t="n">
        <x:v>800</x:v>
      </x:c>
      <x:c r="AE6" s="2" t="n">
        <x:v>180</x:v>
      </x:c>
      <x:c r="AF6" s="12" t="b">
        <x:v>1</x:v>
      </x:c>
      <x:c r="AG6" s="2" t="n">
        <x:v>0.5</x:v>
      </x:c>
      <x:c r="AH6" s="2" t="n">
        <x:v>0.5</x:v>
      </x:c>
      <x:c r="AI6" s="2" t="n">
        <x:v>0.69</x:v>
      </x:c>
      <x:c r="AJ6" s="2" t="n">
        <x:v>0.3</x:v>
      </x:c>
      <x:c r="AK6" s="2" t="n">
        <x:v>0.01</x:v>
      </x:c>
      <x:c r="AL6" s="2" t="str">
        <x:v>shipbuildericons/ICO_KraitMissileBay</x:v>
      </x:c>
      <x:c r="AM6" s="2" t="str">
        <x:v>shipweapons/missile_launcher</x:v>
      </x:c>
      <x:c r="AN6" s="2" t="str">
        <x:v>spacecombat/AnacondaMissile</x:v>
      </x:c>
      <x:c r="AO6" s="2" t="str">
        <x:v>spaceCombat/SmallExplosion</x:v>
      </x:c>
      <x:c r="AP6" s="2" t="str">
        <x:v>event:/SFX/Game_SFX/Guns/trig_SFX_Missile_Launch</x:v>
      </x:c>
      <x:c r="AQ6" s="2" t="str">
        <x:v>event:/SFX/Game_SFX/Guns/trig_SFX_Fragmentation_Missile_Detonates_Ship</x:v>
      </x:c>
      <x:c r="AR6" s="2" t="str">
        <x:v>Solid-Fuel</x:v>
      </x:c>
      <x:c r="AS6" s="2"/>
      <x:c r="AT6" s="2"/>
      <x:c r="AU6" s="2"/>
      <x:c r="AV6" s="2"/>
      <x:c r="AW6" s="2"/>
    </x:row>
    <x:row r="7" ht="23" customHeight="1">
      <x:c r="A7" s="7" t="str">
        <x:v>AnacondaMissileBay</x:v>
      </x:c>
      <x:c r="B7" s="7" t="str">
        <x:v>Anaconda Missile Bay</x:v>
      </x:c>
      <x:c r="C7" s="7" t="str">
        <x:v>OneHull</x:v>
      </x:c>
      <x:c r="D7" s="7" t="n">
        <x:v>3</x:v>
      </x:c>
      <x:c r="E7" s="7" t="str">
        <x:v>Project_AnacondaMissileBay</x:v>
      </x:c>
      <x:c r="F7" s="13" t="b">
        <x:v>1</x:v>
      </x:c>
      <x:c r="G7" s="13" t="b">
        <x:v>0</x:v>
      </x:c>
      <x:c r="H7" s="7" t="str">
        <x:v>Explosive</x:v>
      </x:c>
      <x:c r="I7" s="7" t="n">
        <x:v>234560</x:v>
      </x:c>
      <x:c r="J7" s="7" t="n">
        <x:v>3.23</x:v>
      </x:c>
      <x:c r="K7" s="7" t="n">
        <x:v>14.94</x:v>
      </x:c>
      <x:c r="L7" s="7" t="n">
        <x:v>3.76</x:v>
      </x:c>
      <x:c r="M7" s="7" t="n">
        <x:v>10</x:v>
      </x:c>
      <x:c r="N7" s="7" t="n">
        <x:v>5</x:v>
      </x:c>
      <x:c r="O7" s="7" t="n">
        <x:v>8</x:v>
      </x:c>
      <x:c r="P7" s="7" t="n">
        <x:v>1</x:v>
      </x:c>
      <x:c r="Q7" s="7" t="n">
        <x:v>1</x:v>
      </x:c>
      <x:c r="R7" s="7" t="n">
        <x:v>0.8</x:v>
      </x:c>
      <x:c r="S7" s="7" t="n">
        <x:v>16</x:v>
      </x:c>
      <x:c r="T7" s="7" t="n">
        <x:v>1600</x:v>
      </x:c>
      <x:c r="U7" s="7" t="n">
        <x:v>1100</x:v>
      </x:c>
      <x:c r="V7" s="7" t="n">
        <x:v>300</x:v>
      </x:c>
      <x:c r="W7" s="7" t="n">
        <x:v>200</x:v>
      </x:c>
      <x:c r="X7" s="7" t="n">
        <x:v>360</x:v>
      </x:c>
      <x:c r="Y7" s="7" t="n">
        <x:v>6</x:v>
      </x:c>
      <x:c r="Z7" s="7" t="n">
        <x:v>30</x:v>
      </x:c>
      <x:c r="AA7" s="7" t="n">
        <x:v>1</x:v>
      </x:c>
      <x:c r="AB7" s="7" t="n">
        <x:v>50</x:v>
      </x:c>
      <x:c r="AC7" s="7" t="n">
        <x:v>0</x:v>
      </x:c>
      <x:c r="AD7" s="7" t="n">
        <x:v>800</x:v>
      </x:c>
      <x:c r="AE7" s="7" t="n">
        <x:v>180</x:v>
      </x:c>
      <x:c r="AF7" s="13" t="b">
        <x:v>1</x:v>
      </x:c>
      <x:c r="AG7" s="7" t="n">
        <x:v>0.5</x:v>
      </x:c>
      <x:c r="AH7" s="7" t="n">
        <x:v>0.5</x:v>
      </x:c>
      <x:c r="AI7" s="7" t="n">
        <x:v>0.68</x:v>
      </x:c>
      <x:c r="AJ7" s="7" t="n">
        <x:v>0.3</x:v>
      </x:c>
      <x:c r="AK7" s="7" t="n">
        <x:v>0.02</x:v>
      </x:c>
      <x:c r="AL7" s="7" t="str">
        <x:v>shipbuildericons/ICO_AnacondaMissileBay</x:v>
      </x:c>
      <x:c r="AM7" s="7" t="str">
        <x:v>shipweapons/missile_launcher</x:v>
      </x:c>
      <x:c r="AN7" s="7" t="str">
        <x:v>spacecombat/AnacondaMissile</x:v>
      </x:c>
      <x:c r="AO7" s="7" t="str">
        <x:v>spaceCombat/SmallExplosion</x:v>
      </x:c>
      <x:c r="AP7" s="7" t="str">
        <x:v>event:/SFX/Game_SFX/Guns/trig_SFX_Missile_Launch</x:v>
      </x:c>
      <x:c r="AQ7" s="7" t="str">
        <x:v>event:/SFX/Game_SFX/Guns/trig_SFX_Fragmentation_Missile_Detonates_Ship</x:v>
      </x:c>
      <x:c r="AR7" s="7" t="str">
        <x:v>Hypergolic Fuel</x:v>
      </x:c>
      <x:c r="AS7" s="7"/>
      <x:c r="AT7" s="7"/>
      <x:c r="AU7" s="7"/>
      <x:c r="AV7" s="7"/>
      <x:c r="AW7" s="7"/>
    </x:row>
    <x:row r="8" ht="23" customHeight="1">
      <x:c r="A8" s="2" t="str">
        <x:v>CobraMissileBay</x:v>
      </x:c>
      <x:c r="B8" s="2" t="str">
        <x:v>Cobra Missile Bay</x:v>
      </x:c>
      <x:c r="C8" s="2" t="str">
        <x:v>OneHull</x:v>
      </x:c>
      <x:c r="D8" s="2" t="n">
        <x:v>3</x:v>
      </x:c>
      <x:c r="E8" s="2" t="str">
        <x:v>Project_AnacondaMissileBay</x:v>
      </x:c>
      <x:c r="F8" s="12" t="b">
        <x:v>1</x:v>
      </x:c>
      <x:c r="G8" s="12" t="b">
        <x:v>0</x:v>
      </x:c>
      <x:c r="H8" s="2" t="str">
        <x:v>Explosive</x:v>
      </x:c>
      <x:c r="I8" s="2" t="n">
        <x:v>234560</x:v>
      </x:c>
      <x:c r="J8" s="2" t="n">
        <x:v>3.23</x:v>
      </x:c>
      <x:c r="K8" s="2" t="n">
        <x:v>14.94</x:v>
      </x:c>
      <x:c r="L8" s="2" t="n">
        <x:v>3.17</x:v>
      </x:c>
      <x:c r="M8" s="2" t="n">
        <x:v>10</x:v>
      </x:c>
      <x:c r="N8" s="2" t="n">
        <x:v>5</x:v>
      </x:c>
      <x:c r="O8" s="2" t="n">
        <x:v>8</x:v>
      </x:c>
      <x:c r="P8" s="2" t="n">
        <x:v>1</x:v>
      </x:c>
      <x:c r="Q8" s="2" t="n">
        <x:v>1</x:v>
      </x:c>
      <x:c r="R8" s="2" t="n">
        <x:v>0.8</x:v>
      </x:c>
      <x:c r="S8" s="2" t="n">
        <x:v>16</x:v>
      </x:c>
      <x:c r="T8" s="2" t="n">
        <x:v>1600</x:v>
      </x:c>
      <x:c r="U8" s="2" t="n">
        <x:v>1000</x:v>
      </x:c>
      <x:c r="V8" s="2" t="n">
        <x:v>300</x:v>
      </x:c>
      <x:c r="W8" s="2" t="n">
        <x:v>300</x:v>
      </x:c>
      <x:c r="X8" s="2" t="n">
        <x:v>540</x:v>
      </x:c>
      <x:c r="Y8" s="2" t="n">
        <x:v>6</x:v>
      </x:c>
      <x:c r="Z8" s="2" t="n">
        <x:v>30</x:v>
      </x:c>
      <x:c r="AA8" s="2" t="n">
        <x:v>1</x:v>
      </x:c>
      <x:c r="AB8" s="2" t="n">
        <x:v>50</x:v>
      </x:c>
      <x:c r="AC8" s="2" t="n">
        <x:v>0</x:v>
      </x:c>
      <x:c r="AD8" s="2" t="n">
        <x:v>800</x:v>
      </x:c>
      <x:c r="AE8" s="2" t="n">
        <x:v>180</x:v>
      </x:c>
      <x:c r="AF8" s="12" t="b">
        <x:v>1</x:v>
      </x:c>
      <x:c r="AG8" s="2" t="n">
        <x:v>0.5</x:v>
      </x:c>
      <x:c r="AH8" s="2" t="n">
        <x:v>0.5</x:v>
      </x:c>
      <x:c r="AI8" s="2" t="n">
        <x:v>0.68</x:v>
      </x:c>
      <x:c r="AJ8" s="2" t="n">
        <x:v>0.3</x:v>
      </x:c>
      <x:c r="AK8" s="2" t="n">
        <x:v>0.02</x:v>
      </x:c>
      <x:c r="AL8" s="2" t="str">
        <x:v>shipbuildericons/ICO_CobraMissileBay</x:v>
      </x:c>
      <x:c r="AM8" s="2" t="str">
        <x:v>shipweapons/missile_launcher</x:v>
      </x:c>
      <x:c r="AN8" s="2" t="str">
        <x:v>spacecombat/AnacondaMissile</x:v>
      </x:c>
      <x:c r="AO8" s="2" t="str">
        <x:v>spaceCombat/SmallExplosion</x:v>
      </x:c>
      <x:c r="AP8" s="2" t="str">
        <x:v>event:/SFX/Game_SFX/Guns/trig_SFX_Missile_Launch</x:v>
      </x:c>
      <x:c r="AQ8" s="2" t="str">
        <x:v>event:/SFX/Game_SFX/Guns/trig_SFX_Fragmentation_Missile_Detonates_Ship</x:v>
      </x:c>
      <x:c r="AR8" s="2"/>
      <x:c r="AS8" s="2"/>
      <x:c r="AT8" s="2"/>
      <x:c r="AU8" s="2"/>
      <x:c r="AV8" s="2"/>
      <x:c r="AW8" s="2"/>
    </x:row>
    <x:row r="9" ht="23" customHeight="1">
      <x:c r="A9" s="7" t="str">
        <x:v>RacerMissileBay</x:v>
      </x:c>
      <x:c r="B9" s="7" t="str">
        <x:v>Racer Missile Bay</x:v>
      </x:c>
      <x:c r="C9" s="7" t="str">
        <x:v>OneHull</x:v>
      </x:c>
      <x:c r="D9" s="7" t="n">
        <x:v>2</x:v>
      </x:c>
      <x:c r="E9" s="7" t="str">
        <x:v>Project_RattlerMissileBay</x:v>
      </x:c>
      <x:c r="F9" s="13" t="b">
        <x:v>1</x:v>
      </x:c>
      <x:c r="G9" s="13" t="b">
        <x:v>1</x:v>
      </x:c>
      <x:c r="H9" s="7" t="str">
        <x:v>Fragmentation</x:v>
      </x:c>
      <x:c r="I9" s="7" t="n">
        <x:v>117280</x:v>
      </x:c>
      <x:c r="J9" s="7" t="n">
        <x:v>3.23</x:v>
      </x:c>
      <x:c r="K9" s="7" t="n">
        <x:v>29.89</x:v>
      </x:c>
      <x:c r="L9" s="7" t="n">
        <x:v>2.67</x:v>
      </x:c>
      <x:c r="M9" s="7" t="n">
        <x:v>10</x:v>
      </x:c>
      <x:c r="N9" s="7" t="n">
        <x:v>3</x:v>
      </x:c>
      <x:c r="O9" s="7" t="n">
        <x:v>6</x:v>
      </x:c>
      <x:c r="P9" s="7" t="n">
        <x:v>1</x:v>
      </x:c>
      <x:c r="Q9" s="7" t="n">
        <x:v>1</x:v>
      </x:c>
      <x:c r="R9" s="7" t="n">
        <x:v>0.5</x:v>
      </x:c>
      <x:c r="S9" s="7" t="n">
        <x:v>36</x:v>
      </x:c>
      <x:c r="T9" s="7" t="n">
        <x:v>400</x:v>
      </x:c>
      <x:c r="U9" s="7" t="n">
        <x:v>225</x:v>
      </x:c>
      <x:c r="V9" s="7" t="n">
        <x:v>150</x:v>
      </x:c>
      <x:c r="W9" s="7" t="n">
        <x:v>25</x:v>
      </x:c>
      <x:c r="X9" s="7"/>
      <x:c r="Y9" s="7" t="n">
        <x:v>2</x:v>
      </x:c>
      <x:c r="Z9" s="7" t="n">
        <x:v>40</x:v>
      </x:c>
      <x:c r="AA9" s="7" t="n">
        <x:v>0.5</x:v>
      </x:c>
      <x:c r="AB9" s="7" t="n">
        <x:v>35</x:v>
      </x:c>
      <x:c r="AC9" s="7" t="n">
        <x:v>0</x:v>
      </x:c>
      <x:c r="AD9" s="7" t="n">
        <x:v>500</x:v>
      </x:c>
      <x:c r="AE9" s="7" t="n">
        <x:v>180</x:v>
      </x:c>
      <x:c r="AF9" s="13" t="b">
        <x:v>1</x:v>
      </x:c>
      <x:c r="AG9" s="7" t="n">
        <x:v>0.5</x:v>
      </x:c>
      <x:c r="AH9" s="7" t="n">
        <x:v>0.5</x:v>
      </x:c>
      <x:c r="AI9" s="7" t="n">
        <x:v>0.65</x:v>
      </x:c>
      <x:c r="AJ9" s="7" t="n">
        <x:v>0.33</x:v>
      </x:c>
      <x:c r="AK9" s="7" t="n">
        <x:v>0.02</x:v>
      </x:c>
      <x:c r="AL9" s="7" t="str">
        <x:v>shipbuildericons/ICO_RacerMissileBay</x:v>
      </x:c>
      <x:c r="AM9" s="7" t="str">
        <x:v>shipweapons/missile_launcher</x:v>
      </x:c>
      <x:c r="AN9" s="7" t="str">
        <x:v>spacecombat/AnacondaMissile</x:v>
      </x:c>
      <x:c r="AO9" s="7" t="str">
        <x:v>spaceCombat/TinyExplosion</x:v>
      </x:c>
      <x:c r="AP9" s="7" t="str">
        <x:v>event:/SFX/Game_SFX/Guns/trig_SFX_Missile_Launch</x:v>
      </x:c>
      <x:c r="AQ9" s="7" t="str">
        <x:v>event:/SFX/Game_SFX/Guns/trig_SFX_Fragmentation_Missile_Detonates_Ship</x:v>
      </x:c>
      <x:c r="AR9" s="7"/>
      <x:c r="AS9" s="7"/>
      <x:c r="AT9" s="7"/>
      <x:c r="AU9" s="7"/>
      <x:c r="AV9" s="7"/>
      <x:c r="AW9" s="7"/>
    </x:row>
    <x:row r="10" ht="23" customHeight="1">
      <x:c r="A10" s="2" t="str">
        <x:v>RattlerMissileBay</x:v>
      </x:c>
      <x:c r="B10" s="2" t="str">
        <x:v>Rattler Missile Bay</x:v>
      </x:c>
      <x:c r="C10" s="2" t="str">
        <x:v>OneHull</x:v>
      </x:c>
      <x:c r="D10" s="2" t="n">
        <x:v>2</x:v>
      </x:c>
      <x:c r="E10" s="2" t="str">
        <x:v>Project_RattlerMissileBay</x:v>
      </x:c>
      <x:c r="F10" s="12" t="b">
        <x:v>1</x:v>
      </x:c>
      <x:c r="G10" s="12" t="b">
        <x:v>1</x:v>
      </x:c>
      <x:c r="H10" s="2" t="str">
        <x:v>Fragmentation</x:v>
      </x:c>
      <x:c r="I10" s="2" t="n">
        <x:v>234560</x:v>
      </x:c>
      <x:c r="J10" s="2" t="n">
        <x:v>3.23</x:v>
      </x:c>
      <x:c r="K10" s="2" t="n">
        <x:v>14.94</x:v>
      </x:c>
      <x:c r="L10" s="2" t="n">
        <x:v>4.48</x:v>
      </x:c>
      <x:c r="M10" s="2" t="n">
        <x:v>5</x:v>
      </x:c>
      <x:c r="N10" s="2" t="n">
        <x:v>5</x:v>
      </x:c>
      <x:c r="O10" s="2" t="n">
        <x:v>8</x:v>
      </x:c>
      <x:c r="P10" s="2" t="n">
        <x:v>1</x:v>
      </x:c>
      <x:c r="Q10" s="2" t="n">
        <x:v>1</x:v>
      </x:c>
      <x:c r="R10" s="2" t="n">
        <x:v>0.5</x:v>
      </x:c>
      <x:c r="S10" s="2" t="n">
        <x:v>16</x:v>
      </x:c>
      <x:c r="T10" s="2" t="n">
        <x:v>1600</x:v>
      </x:c>
      <x:c r="U10" s="2" t="n">
        <x:v>1200</x:v>
      </x:c>
      <x:c r="V10" s="2" t="n">
        <x:v>350</x:v>
      </x:c>
      <x:c r="W10" s="2" t="n">
        <x:v>50</x:v>
      </x:c>
      <x:c r="X10" s="2"/>
      <x:c r="Y10" s="2" t="n">
        <x:v>3</x:v>
      </x:c>
      <x:c r="Z10" s="2" t="n">
        <x:v>30</x:v>
      </x:c>
      <x:c r="AA10" s="2" t="n">
        <x:v>0.75</x:v>
      </x:c>
      <x:c r="AB10" s="2" t="n">
        <x:v>55</x:v>
      </x:c>
      <x:c r="AC10" s="2" t="n">
        <x:v>0</x:v>
      </x:c>
      <x:c r="AD10" s="2" t="n">
        <x:v>800</x:v>
      </x:c>
      <x:c r="AE10" s="2" t="n">
        <x:v>180</x:v>
      </x:c>
      <x:c r="AF10" s="12" t="b">
        <x:v>1</x:v>
      </x:c>
      <x:c r="AG10" s="2" t="n">
        <x:v>0.5</x:v>
      </x:c>
      <x:c r="AH10" s="2" t="n">
        <x:v>0.5</x:v>
      </x:c>
      <x:c r="AI10" s="2" t="n">
        <x:v>0.65</x:v>
      </x:c>
      <x:c r="AJ10" s="2" t="n">
        <x:v>0.33</x:v>
      </x:c>
      <x:c r="AK10" s="2" t="n">
        <x:v>0.02</x:v>
      </x:c>
      <x:c r="AL10" s="2" t="str">
        <x:v>shipbuildericons/ICO_RattlerMissileBay</x:v>
      </x:c>
      <x:c r="AM10" s="2" t="str">
        <x:v>shipweapons/missile_launcher</x:v>
      </x:c>
      <x:c r="AN10" s="2" t="str">
        <x:v>spacecombat/AnacondaMissile</x:v>
      </x:c>
      <x:c r="AO10" s="2" t="str">
        <x:v>spaceCombat/TinyExplosion</x:v>
      </x:c>
      <x:c r="AP10" s="2" t="str">
        <x:v>event:/SFX/Game_SFX/Guns/trig_SFX_Missile_Launch</x:v>
      </x:c>
      <x:c r="AQ10" s="2" t="str">
        <x:v>event:/SFX/Game_SFX/Guns/trig_SFX_Fragmentation_Missile_Detonates_Ship</x:v>
      </x:c>
      <x:c r="AR10" s="2"/>
      <x:c r="AS10" s="2"/>
      <x:c r="AT10" s="2"/>
      <x:c r="AU10" s="2"/>
      <x:c r="AV10" s="2"/>
      <x:c r="AW10" s="2"/>
    </x:row>
    <x:row r="11" ht="23" customHeight="1">
      <x:c r="A11" s="7" t="str">
        <x:v>RiverjackMissileBay</x:v>
      </x:c>
      <x:c r="B11" s="7" t="str">
        <x:v>Riverjack Missile Bay</x:v>
      </x:c>
      <x:c r="C11" s="7" t="str">
        <x:v>OneHull</x:v>
      </x:c>
      <x:c r="D11" s="7" t="n">
        <x:v>2</x:v>
      </x:c>
      <x:c r="E11" s="7" t="str">
        <x:v>Project_RattlerMissileBay</x:v>
      </x:c>
      <x:c r="F11" s="13" t="b">
        <x:v>1</x:v>
      </x:c>
      <x:c r="G11" s="13" t="b">
        <x:v>1</x:v>
      </x:c>
      <x:c r="H11" s="7" t="str">
        <x:v>Fragmentation</x:v>
      </x:c>
      <x:c r="I11" s="7" t="n">
        <x:v>234560</x:v>
      </x:c>
      <x:c r="J11" s="7" t="n">
        <x:v>3.23</x:v>
      </x:c>
      <x:c r="K11" s="7" t="n">
        <x:v>14.94</x:v>
      </x:c>
      <x:c r="L11" s="7" t="n">
        <x:v>3.76</x:v>
      </x:c>
      <x:c r="M11" s="7" t="n">
        <x:v>5</x:v>
      </x:c>
      <x:c r="N11" s="7" t="n">
        <x:v>5</x:v>
      </x:c>
      <x:c r="O11" s="7" t="n">
        <x:v>8</x:v>
      </x:c>
      <x:c r="P11" s="7" t="n">
        <x:v>1</x:v>
      </x:c>
      <x:c r="Q11" s="7" t="n">
        <x:v>1</x:v>
      </x:c>
      <x:c r="R11" s="7" t="n">
        <x:v>0.5</x:v>
      </x:c>
      <x:c r="S11" s="7" t="n">
        <x:v>16</x:v>
      </x:c>
      <x:c r="T11" s="7" t="n">
        <x:v>1600</x:v>
      </x:c>
      <x:c r="U11" s="7" t="n">
        <x:v>1100</x:v>
      </x:c>
      <x:c r="V11" s="7" t="n">
        <x:v>350</x:v>
      </x:c>
      <x:c r="W11" s="7" t="n">
        <x:v>150</x:v>
      </x:c>
      <x:c r="X11" s="7"/>
      <x:c r="Y11" s="7" t="n">
        <x:v>3</x:v>
      </x:c>
      <x:c r="Z11" s="7" t="n">
        <x:v>30</x:v>
      </x:c>
      <x:c r="AA11" s="7" t="n">
        <x:v>0.75</x:v>
      </x:c>
      <x:c r="AB11" s="7" t="n">
        <x:v>55</x:v>
      </x:c>
      <x:c r="AC11" s="7" t="n">
        <x:v>0</x:v>
      </x:c>
      <x:c r="AD11" s="7" t="n">
        <x:v>800</x:v>
      </x:c>
      <x:c r="AE11" s="7" t="n">
        <x:v>180</x:v>
      </x:c>
      <x:c r="AF11" s="13" t="b">
        <x:v>1</x:v>
      </x:c>
      <x:c r="AG11" s="7" t="n">
        <x:v>0.5</x:v>
      </x:c>
      <x:c r="AH11" s="7" t="n">
        <x:v>0.5</x:v>
      </x:c>
      <x:c r="AI11" s="7" t="n">
        <x:v>0.65</x:v>
      </x:c>
      <x:c r="AJ11" s="7" t="n">
        <x:v>0.33</x:v>
      </x:c>
      <x:c r="AK11" s="7" t="n">
        <x:v>0.02</x:v>
      </x:c>
      <x:c r="AL11" s="7" t="str">
        <x:v>shipbuildericons/ICO_RiverjackMissileBay</x:v>
      </x:c>
      <x:c r="AM11" s="7" t="str">
        <x:v>shipweapons/missile_launcher</x:v>
      </x:c>
      <x:c r="AN11" s="7" t="str">
        <x:v>spacecombat/AnacondaMissile</x:v>
      </x:c>
      <x:c r="AO11" s="7" t="str">
        <x:v>spaceCombat/TinyExplosion</x:v>
      </x:c>
      <x:c r="AP11" s="7" t="str">
        <x:v>event:/SFX/Game_SFX/Guns/trig_SFX_Missile_Launch</x:v>
      </x:c>
      <x:c r="AQ11" s="7" t="str">
        <x:v>event:/SFX/Game_SFX/Guns/trig_SFX_Fragmentation_Missile_Detonates_Ship</x:v>
      </x:c>
      <x:c r="AR11" s="7"/>
      <x:c r="AS11" s="7"/>
      <x:c r="AT11" s="7"/>
      <x:c r="AU11" s="7"/>
      <x:c r="AV11" s="7"/>
      <x:c r="AW11" s="7"/>
    </x:row>
    <x:row r="12" ht="23" customHeight="1">
      <x:c r="A12" s="2" t="str">
        <x:v>HarlequinMissileBay</x:v>
      </x:c>
      <x:c r="B12" s="2" t="str">
        <x:v>Harlequin Missile Bay</x:v>
      </x:c>
      <x:c r="C12" s="2" t="str">
        <x:v>OneHull</x:v>
      </x:c>
      <x:c r="D12" s="2" t="n">
        <x:v>2</x:v>
      </x:c>
      <x:c r="E12" s="2" t="str">
        <x:v>Project_HarlequinMissileBay</x:v>
      </x:c>
      <x:c r="F12" s="12" t="b">
        <x:v>1</x:v>
      </x:c>
      <x:c r="G12" s="12" t="b">
        <x:v>0</x:v>
      </x:c>
      <x:c r="H12" s="2" t="str">
        <x:v>Penetrator</x:v>
      </x:c>
      <x:c r="I12" s="2" t="n">
        <x:v>234560</x:v>
      </x:c>
      <x:c r="J12" s="2" t="n">
        <x:v>3.23</x:v>
      </x:c>
      <x:c r="K12" s="2" t="n">
        <x:v>14.94</x:v>
      </x:c>
      <x:c r="L12" s="2" t="n">
        <x:v>4.48</x:v>
      </x:c>
      <x:c r="M12" s="2" t="n">
        <x:v>5</x:v>
      </x:c>
      <x:c r="N12" s="2" t="n">
        <x:v>5</x:v>
      </x:c>
      <x:c r="O12" s="2" t="n">
        <x:v>8</x:v>
      </x:c>
      <x:c r="P12" s="2" t="n">
        <x:v>1</x:v>
      </x:c>
      <x:c r="Q12" s="2" t="n">
        <x:v>1</x:v>
      </x:c>
      <x:c r="R12" s="2" t="n">
        <x:v>0.6</x:v>
      </x:c>
      <x:c r="S12" s="2" t="n">
        <x:v>16</x:v>
      </x:c>
      <x:c r="T12" s="2" t="n">
        <x:v>1600</x:v>
      </x:c>
      <x:c r="U12" s="2" t="n">
        <x:v>1200</x:v>
      </x:c>
      <x:c r="V12" s="2" t="n">
        <x:v>350</x:v>
      </x:c>
      <x:c r="W12" s="2" t="n">
        <x:v>50</x:v>
      </x:c>
      <x:c r="X12" s="2"/>
      <x:c r="Y12" s="2" t="n">
        <x:v>6</x:v>
      </x:c>
      <x:c r="Z12" s="2" t="n">
        <x:v>25</x:v>
      </x:c>
      <x:c r="AA12" s="2" t="n">
        <x:v>1</x:v>
      </x:c>
      <x:c r="AB12" s="2" t="n">
        <x:v>45</x:v>
      </x:c>
      <x:c r="AC12" s="2" t="n">
        <x:v>0</x:v>
      </x:c>
      <x:c r="AD12" s="2" t="n">
        <x:v>800</x:v>
      </x:c>
      <x:c r="AE12" s="2" t="n">
        <x:v>180</x:v>
      </x:c>
      <x:c r="AF12" s="12" t="b">
        <x:v>1</x:v>
      </x:c>
      <x:c r="AG12" s="2" t="n">
        <x:v>0.5</x:v>
      </x:c>
      <x:c r="AH12" s="2" t="n">
        <x:v>0.5</x:v>
      </x:c>
      <x:c r="AI12" s="2" t="n">
        <x:v>0.65</x:v>
      </x:c>
      <x:c r="AJ12" s="2" t="n">
        <x:v>0.33</x:v>
      </x:c>
      <x:c r="AK12" s="2" t="n">
        <x:v>0.02</x:v>
      </x:c>
      <x:c r="AL12" s="2" t="str">
        <x:v>shipbuildericons/ICO_HarlequinMissileBay</x:v>
      </x:c>
      <x:c r="AM12" s="2" t="str">
        <x:v>shipweapons/missile_launcher</x:v>
      </x:c>
      <x:c r="AN12" s="2" t="str">
        <x:v>spacecombat/AnacondaMissile</x:v>
      </x:c>
      <x:c r="AO12" s="2" t="str">
        <x:v>spaceCombat/ImpactWhite</x:v>
      </x:c>
      <x:c r="AP12" s="2" t="str">
        <x:v>event:/SFX/Game_SFX/Guns/trig_SFX_Missile_Launch</x:v>
      </x:c>
      <x:c r="AQ12" s="2" t="str">
        <x:v>event:/SFX/Game_SFX/Guns/trig_SFX_Fragmentation_Missile_Detonates_Ship</x:v>
      </x:c>
      <x:c r="AR12" s="2"/>
      <x:c r="AS12" s="2"/>
      <x:c r="AT12" s="2"/>
      <x:c r="AU12" s="2"/>
      <x:c r="AV12" s="2"/>
      <x:c r="AW12" s="2"/>
    </x:row>
    <x:row r="13" ht="23" customHeight="1">
      <x:c r="A13" s="7" t="str">
        <x:v>KeelbackMissileBay</x:v>
      </x:c>
      <x:c r="B13" s="7" t="str">
        <x:v>Keelback Missile Bay</x:v>
      </x:c>
      <x:c r="C13" s="7" t="str">
        <x:v>OneHull</x:v>
      </x:c>
      <x:c r="D13" s="7" t="n">
        <x:v>2</x:v>
      </x:c>
      <x:c r="E13" s="7" t="str">
        <x:v>Project_HarlequinMissileBay</x:v>
      </x:c>
      <x:c r="F13" s="13" t="b">
        <x:v>1</x:v>
      </x:c>
      <x:c r="G13" s="13" t="b">
        <x:v>0</x:v>
      </x:c>
      <x:c r="H13" s="7" t="str">
        <x:v>Penetrator</x:v>
      </x:c>
      <x:c r="I13" s="7" t="n">
        <x:v>234560</x:v>
      </x:c>
      <x:c r="J13" s="7" t="n">
        <x:v>3.23</x:v>
      </x:c>
      <x:c r="K13" s="7" t="n">
        <x:v>14.94</x:v>
      </x:c>
      <x:c r="L13" s="7" t="n">
        <x:v>3.76</x:v>
      </x:c>
      <x:c r="M13" s="7" t="n">
        <x:v>5</x:v>
      </x:c>
      <x:c r="N13" s="7" t="n">
        <x:v>5</x:v>
      </x:c>
      <x:c r="O13" s="7" t="n">
        <x:v>8</x:v>
      </x:c>
      <x:c r="P13" s="7" t="n">
        <x:v>1</x:v>
      </x:c>
      <x:c r="Q13" s="7" t="n">
        <x:v>1</x:v>
      </x:c>
      <x:c r="R13" s="7" t="n">
        <x:v>0.6</x:v>
      </x:c>
      <x:c r="S13" s="7" t="n">
        <x:v>16</x:v>
      </x:c>
      <x:c r="T13" s="7" t="n">
        <x:v>1600</x:v>
      </x:c>
      <x:c r="U13" s="7" t="n">
        <x:v>1100</x:v>
      </x:c>
      <x:c r="V13" s="7" t="n">
        <x:v>350</x:v>
      </x:c>
      <x:c r="W13" s="7" t="n">
        <x:v>150</x:v>
      </x:c>
      <x:c r="X13" s="7"/>
      <x:c r="Y13" s="7" t="n">
        <x:v>6</x:v>
      </x:c>
      <x:c r="Z13" s="7" t="n">
        <x:v>25</x:v>
      </x:c>
      <x:c r="AA13" s="7" t="n">
        <x:v>1</x:v>
      </x:c>
      <x:c r="AB13" s="7" t="n">
        <x:v>45</x:v>
      </x:c>
      <x:c r="AC13" s="7" t="n">
        <x:v>0</x:v>
      </x:c>
      <x:c r="AD13" s="7" t="n">
        <x:v>800</x:v>
      </x:c>
      <x:c r="AE13" s="7" t="n">
        <x:v>180</x:v>
      </x:c>
      <x:c r="AF13" s="13" t="b">
        <x:v>1</x:v>
      </x:c>
      <x:c r="AG13" s="7" t="n">
        <x:v>0.5</x:v>
      </x:c>
      <x:c r="AH13" s="7" t="n">
        <x:v>0.5</x:v>
      </x:c>
      <x:c r="AI13" s="7" t="n">
        <x:v>0.65</x:v>
      </x:c>
      <x:c r="AJ13" s="7" t="n">
        <x:v>0.33</x:v>
      </x:c>
      <x:c r="AK13" s="7" t="n">
        <x:v>0.02</x:v>
      </x:c>
      <x:c r="AL13" s="7" t="str">
        <x:v>shipbuildericons/ICO_KeelbackMissileBay</x:v>
      </x:c>
      <x:c r="AM13" s="7" t="str">
        <x:v>shipweapons/missile_launcher</x:v>
      </x:c>
      <x:c r="AN13" s="7" t="str">
        <x:v>spacecombat/AnacondaMissile</x:v>
      </x:c>
      <x:c r="AO13" s="7" t="str">
        <x:v>spaceCombat/ImpactWhite</x:v>
      </x:c>
      <x:c r="AP13" s="7" t="str">
        <x:v>event:/SFX/Game_SFX/Guns/trig_SFX_Missile_Launch</x:v>
      </x:c>
      <x:c r="AQ13" s="7" t="str">
        <x:v>event:/SFX/Game_SFX/Guns/trig_SFX_Fragmentation_Missile_Detonates_Ship</x:v>
      </x:c>
      <x:c r="AR13" s="7"/>
      <x:c r="AS13" s="7"/>
      <x:c r="AT13" s="7"/>
      <x:c r="AU13" s="7"/>
      <x:c r="AV13" s="7"/>
      <x:c r="AW13" s="7"/>
    </x:row>
    <x:row r="14" ht="23" customHeight="1">
      <x:c r="A14" s="2" t="str">
        <x:v>CopperheadMissileBay</x:v>
      </x:c>
      <x:c r="B14" s="2" t="str">
        <x:v>Copperhead Missile Bay</x:v>
      </x:c>
      <x:c r="C14" s="2" t="str">
        <x:v>OneHull</x:v>
      </x:c>
      <x:c r="D14" s="2" t="n">
        <x:v>3</x:v>
      </x:c>
      <x:c r="E14" s="2" t="str">
        <x:v>Project_CopperheadMissileBay</x:v>
      </x:c>
      <x:c r="F14" s="12" t="b">
        <x:v>1</x:v>
      </x:c>
      <x:c r="G14" s="12" t="b">
        <x:v>0</x:v>
      </x:c>
      <x:c r="H14" s="2" t="str">
        <x:v>Explosive</x:v>
      </x:c>
      <x:c r="I14" s="2" t="n">
        <x:v>286810</x:v>
      </x:c>
      <x:c r="J14" s="2" t="n">
        <x:v>4.45</x:v>
      </x:c>
      <x:c r="K14" s="2" t="n">
        <x:v>18.27</x:v>
      </x:c>
      <x:c r="L14" s="2" t="n">
        <x:v>3.68</x:v>
      </x:c>
      <x:c r="M14" s="2" t="n">
        <x:v>15</x:v>
      </x:c>
      <x:c r="N14" s="2" t="n">
        <x:v>5</x:v>
      </x:c>
      <x:c r="O14" s="2" t="n">
        <x:v>8</x:v>
      </x:c>
      <x:c r="P14" s="2" t="n">
        <x:v>1</x:v>
      </x:c>
      <x:c r="Q14" s="2" t="n">
        <x:v>1</x:v>
      </x:c>
      <x:c r="R14" s="2" t="n">
        <x:v>0.8</x:v>
      </x:c>
      <x:c r="S14" s="2" t="n">
        <x:v>16</x:v>
      </x:c>
      <x:c r="T14" s="2" t="n">
        <x:v>1600</x:v>
      </x:c>
      <x:c r="U14" s="2" t="n">
        <x:v>900</x:v>
      </x:c>
      <x:c r="V14" s="2" t="n">
        <x:v>400</x:v>
      </x:c>
      <x:c r="W14" s="2" t="n">
        <x:v>300</x:v>
      </x:c>
      <x:c r="X14" s="2" t="n">
        <x:v>720</x:v>
      </x:c>
      <x:c r="Y14" s="2" t="n">
        <x:v>6</x:v>
      </x:c>
      <x:c r="Z14" s="2" t="n">
        <x:v>25</x:v>
      </x:c>
      <x:c r="AA14" s="2" t="n">
        <x:v>1</x:v>
      </x:c>
      <x:c r="AB14" s="2" t="n">
        <x:v>50</x:v>
      </x:c>
      <x:c r="AC14" s="2" t="n">
        <x:v>0</x:v>
      </x:c>
      <x:c r="AD14" s="2" t="n">
        <x:v>800</x:v>
      </x:c>
      <x:c r="AE14" s="2" t="n">
        <x:v>180</x:v>
      </x:c>
      <x:c r="AF14" s="12" t="b">
        <x:v>1</x:v>
      </x:c>
      <x:c r="AG14" s="2" t="n">
        <x:v>0.5</x:v>
      </x:c>
      <x:c r="AH14" s="2" t="n">
        <x:v>0.5</x:v>
      </x:c>
      <x:c r="AI14" s="2" t="n">
        <x:v>0.65</x:v>
      </x:c>
      <x:c r="AJ14" s="2" t="n">
        <x:v>0.32</x:v>
      </x:c>
      <x:c r="AK14" s="2" t="n">
        <x:v>0.03</x:v>
      </x:c>
      <x:c r="AL14" s="2" t="str">
        <x:v>shipbuildericons/ICO_CopperheadMissileBay</x:v>
      </x:c>
      <x:c r="AM14" s="2" t="str">
        <x:v>shipweapons/missile_launcher</x:v>
      </x:c>
      <x:c r="AN14" s="2" t="str">
        <x:v>spacecombat/AnacondaMissile</x:v>
      </x:c>
      <x:c r="AO14" s="2" t="str">
        <x:v>spaceCombat/SmallExplosion</x:v>
      </x:c>
      <x:c r="AP14" s="2" t="str">
        <x:v>event:/SFX/Game_SFX/Guns/trig_SFX_Missile_Launch</x:v>
      </x:c>
      <x:c r="AQ14" s="2" t="str">
        <x:v>event:/SFX/Game_SFX/Guns/trig_SFX_Fragmentation_Missile_Detonates_Ship</x:v>
      </x:c>
      <x:c r="AR14" s="2" t="str">
        <x:v>Hydrolox Fuel</x:v>
      </x:c>
      <x:c r="AS14" s="2"/>
      <x:c r="AT14" s="2"/>
      <x:c r="AU14" s="2"/>
      <x:c r="AV14" s="2"/>
      <x:c r="AW14" s="2"/>
    </x:row>
    <x:row r="15" ht="23" customHeight="1">
      <x:c r="A15" s="7" t="str">
        <x:v>ViperMissileBay</x:v>
      </x:c>
      <x:c r="B15" s="7" t="str">
        <x:v>Viper Missile Bay</x:v>
      </x:c>
      <x:c r="C15" s="7" t="str">
        <x:v>OneHull</x:v>
      </x:c>
      <x:c r="D15" s="7" t="n">
        <x:v>2</x:v>
      </x:c>
      <x:c r="E15" s="7" t="str">
        <x:v>Project_ViperMissileBay</x:v>
      </x:c>
      <x:c r="F15" s="13" t="b">
        <x:v>1</x:v>
      </x:c>
      <x:c r="G15" s="13" t="b">
        <x:v>1</x:v>
      </x:c>
      <x:c r="H15" s="7" t="str">
        <x:v>Fragmentation</x:v>
      </x:c>
      <x:c r="I15" s="7" t="n">
        <x:v>286810</x:v>
      </x:c>
      <x:c r="J15" s="7" t="n">
        <x:v>4.45</x:v>
      </x:c>
      <x:c r="K15" s="7" t="n">
        <x:v>18.27</x:v>
      </x:c>
      <x:c r="L15" s="7" t="n">
        <x:v>5.64</x:v>
      </x:c>
      <x:c r="M15" s="7" t="n">
        <x:v>10</x:v>
      </x:c>
      <x:c r="N15" s="7" t="n">
        <x:v>5</x:v>
      </x:c>
      <x:c r="O15" s="7" t="n">
        <x:v>8</x:v>
      </x:c>
      <x:c r="P15" s="7" t="n">
        <x:v>1</x:v>
      </x:c>
      <x:c r="Q15" s="7" t="n">
        <x:v>1</x:v>
      </x:c>
      <x:c r="R15" s="7" t="n">
        <x:v>0.5</x:v>
      </x:c>
      <x:c r="S15" s="7" t="n">
        <x:v>16</x:v>
      </x:c>
      <x:c r="T15" s="7" t="n">
        <x:v>1600</x:v>
      </x:c>
      <x:c r="U15" s="7" t="n">
        <x:v>1150</x:v>
      </x:c>
      <x:c r="V15" s="7" t="n">
        <x:v>400</x:v>
      </x:c>
      <x:c r="W15" s="7" t="n">
        <x:v>50</x:v>
      </x:c>
      <x:c r="X15" s="7"/>
      <x:c r="Y15" s="7" t="n">
        <x:v>3</x:v>
      </x:c>
      <x:c r="Z15" s="7" t="n">
        <x:v>35</x:v>
      </x:c>
      <x:c r="AA15" s="7" t="n">
        <x:v>1</x:v>
      </x:c>
      <x:c r="AB15" s="7" t="n">
        <x:v>55</x:v>
      </x:c>
      <x:c r="AC15" s="7" t="n">
        <x:v>0</x:v>
      </x:c>
      <x:c r="AD15" s="7" t="n">
        <x:v>800</x:v>
      </x:c>
      <x:c r="AE15" s="7" t="n">
        <x:v>180</x:v>
      </x:c>
      <x:c r="AF15" s="13" t="b">
        <x:v>1</x:v>
      </x:c>
      <x:c r="AG15" s="7" t="n">
        <x:v>0.5</x:v>
      </x:c>
      <x:c r="AH15" s="7" t="n">
        <x:v>0.5</x:v>
      </x:c>
      <x:c r="AI15" s="7" t="n">
        <x:v>0.65</x:v>
      </x:c>
      <x:c r="AJ15" s="7" t="n">
        <x:v>0.32</x:v>
      </x:c>
      <x:c r="AK15" s="7" t="n">
        <x:v>0.03</x:v>
      </x:c>
      <x:c r="AL15" s="7" t="str">
        <x:v>shipbuildericons/ICO_ViperMissileBay</x:v>
      </x:c>
      <x:c r="AM15" s="7" t="str">
        <x:v>shipweapons/missile_launcher</x:v>
      </x:c>
      <x:c r="AN15" s="7" t="str">
        <x:v>spacecombat/AnacondaMissile</x:v>
      </x:c>
      <x:c r="AO15" s="7" t="str">
        <x:v>spaceCombat/TinyExplosion</x:v>
      </x:c>
      <x:c r="AP15" s="7" t="str">
        <x:v>event:/SFX/Game_SFX/Guns/trig_SFX_Missile_Launch</x:v>
      </x:c>
      <x:c r="AQ15" s="7" t="str">
        <x:v>event:/SFX/Game_SFX/Guns/trig_SFX_Fragmentation_Missile_Detonates_Ship</x:v>
      </x:c>
      <x:c r="AR15" s="7"/>
      <x:c r="AS15" s="7"/>
      <x:c r="AT15" s="7"/>
      <x:c r="AU15" s="7"/>
      <x:c r="AV15" s="7"/>
      <x:c r="AW15" s="7"/>
    </x:row>
    <x:row r="16" ht="23" customHeight="1">
      <x:c r="A16" s="2" t="str">
        <x:v>LanceheadMissileBay</x:v>
      </x:c>
      <x:c r="B16" s="2" t="str">
        <x:v>Lancehead Missile Bay</x:v>
      </x:c>
      <x:c r="C16" s="2" t="str">
        <x:v>OneHull</x:v>
      </x:c>
      <x:c r="D16" s="2" t="n">
        <x:v>2</x:v>
      </x:c>
      <x:c r="E16" s="2" t="str">
        <x:v>Project_LanceheadMissileBay</x:v>
      </x:c>
      <x:c r="F16" s="12" t="b">
        <x:v>1</x:v>
      </x:c>
      <x:c r="G16" s="12" t="b">
        <x:v>0</x:v>
      </x:c>
      <x:c r="H16" s="2" t="str">
        <x:v>Penetrator</x:v>
      </x:c>
      <x:c r="I16" s="2" t="n">
        <x:v>286810</x:v>
      </x:c>
      <x:c r="J16" s="2" t="n">
        <x:v>4.45</x:v>
      </x:c>
      <x:c r="K16" s="2" t="n">
        <x:v>18.27</x:v>
      </x:c>
      <x:c r="L16" s="2" t="n">
        <x:v>4.36</x:v>
      </x:c>
      <x:c r="M16" s="2" t="n">
        <x:v>10</x:v>
      </x:c>
      <x:c r="N16" s="2" t="n">
        <x:v>5</x:v>
      </x:c>
      <x:c r="O16" s="2" t="n">
        <x:v>8</x:v>
      </x:c>
      <x:c r="P16" s="2" t="n">
        <x:v>1</x:v>
      </x:c>
      <x:c r="Q16" s="2" t="n">
        <x:v>1</x:v>
      </x:c>
      <x:c r="R16" s="2" t="n">
        <x:v>0.6</x:v>
      </x:c>
      <x:c r="S16" s="2" t="n">
        <x:v>16</x:v>
      </x:c>
      <x:c r="T16" s="2" t="n">
        <x:v>1600</x:v>
      </x:c>
      <x:c r="U16" s="2" t="n">
        <x:v>1000</x:v>
      </x:c>
      <x:c r="V16" s="2" t="n">
        <x:v>400</x:v>
      </x:c>
      <x:c r="W16" s="2" t="n">
        <x:v>200</x:v>
      </x:c>
      <x:c r="X16" s="2"/>
      <x:c r="Y16" s="2" t="n">
        <x:v>6</x:v>
      </x:c>
      <x:c r="Z16" s="2" t="n">
        <x:v>25</x:v>
      </x:c>
      <x:c r="AA16" s="2" t="n">
        <x:v>1</x:v>
      </x:c>
      <x:c r="AB16" s="2" t="n">
        <x:v>45</x:v>
      </x:c>
      <x:c r="AC16" s="2" t="n">
        <x:v>0</x:v>
      </x:c>
      <x:c r="AD16" s="2" t="n">
        <x:v>800</x:v>
      </x:c>
      <x:c r="AE16" s="2" t="n">
        <x:v>180</x:v>
      </x:c>
      <x:c r="AF16" s="12" t="b">
        <x:v>1</x:v>
      </x:c>
      <x:c r="AG16" s="2" t="n">
        <x:v>0.5</x:v>
      </x:c>
      <x:c r="AH16" s="2" t="n">
        <x:v>0.5</x:v>
      </x:c>
      <x:c r="AI16" s="2" t="n">
        <x:v>0.65</x:v>
      </x:c>
      <x:c r="AJ16" s="2" t="n">
        <x:v>0.32</x:v>
      </x:c>
      <x:c r="AK16" s="2" t="n">
        <x:v>0.03</x:v>
      </x:c>
      <x:c r="AL16" s="2" t="str">
        <x:v>shipbuildericons/ICO_LanceheadMissileBay</x:v>
      </x:c>
      <x:c r="AM16" s="2" t="str">
        <x:v>shipweapons/missile_launcher</x:v>
      </x:c>
      <x:c r="AN16" s="2" t="str">
        <x:v>spacecombat/AnacondaMissile</x:v>
      </x:c>
      <x:c r="AO16" s="2" t="str">
        <x:v>spaceCombat/ImpactWhite</x:v>
      </x:c>
      <x:c r="AP16" s="2" t="str">
        <x:v>event:/SFX/Game_SFX/Guns/trig_SFX_Missile_Launch</x:v>
      </x:c>
      <x:c r="AQ16" s="2" t="str">
        <x:v>event:/SFX/Game_SFX/Guns/trig_SFX_Fragmentation_Missile_Detonates_Ship</x:v>
      </x:c>
      <x:c r="AR16" s="2"/>
      <x:c r="AS16" s="2"/>
      <x:c r="AT16" s="2"/>
      <x:c r="AU16" s="2"/>
      <x:c r="AV16" s="2"/>
      <x:c r="AW16" s="2"/>
    </x:row>
    <x:row r="17" ht="23" customHeight="1">
      <x:c r="A17" s="7" t="str">
        <x:v>PythonNuclearMissileBay</x:v>
      </x:c>
      <x:c r="B17" s="7" t="str">
        <x:v>Python Nuclear Missile Bay</x:v>
      </x:c>
      <x:c r="C17" s="7" t="str">
        <x:v>OneHull</x:v>
      </x:c>
      <x:c r="D17" s="7" t="n">
        <x:v>6</x:v>
      </x:c>
      <x:c r="E17" s="7" t="str">
        <x:v>Project_HadesNuclearTorpedoBay</x:v>
      </x:c>
      <x:c r="F17" s="13" t="b">
        <x:v>1</x:v>
      </x:c>
      <x:c r="G17" s="13" t="b">
        <x:v>1</x:v>
      </x:c>
      <x:c r="H17" s="7" t="str">
        <x:v>Nuclear</x:v>
      </x:c>
      <x:c r="I17" s="7" t="n">
        <x:v>286810</x:v>
      </x:c>
      <x:c r="J17" s="7" t="n">
        <x:v>4.45</x:v>
      </x:c>
      <x:c r="K17" s="7" t="n">
        <x:v>18.27</x:v>
      </x:c>
      <x:c r="L17" s="7" t="n">
        <x:v>4.01</x:v>
      </x:c>
      <x:c r="M17" s="7" t="n">
        <x:v>15</x:v>
      </x:c>
      <x:c r="N17" s="7" t="n">
        <x:v>5</x:v>
      </x:c>
      <x:c r="O17" s="7" t="n">
        <x:v>4</x:v>
      </x:c>
      <x:c r="P17" s="7" t="n">
        <x:v>1</x:v>
      </x:c>
      <x:c r="Q17" s="7" t="n">
        <x:v>1</x:v>
      </x:c>
      <x:c r="R17" s="7" t="n">
        <x:v>1</x:v>
      </x:c>
      <x:c r="S17" s="7" t="n">
        <x:v>8</x:v>
      </x:c>
      <x:c r="T17" s="7" t="n">
        <x:v>1600</x:v>
      </x:c>
      <x:c r="U17" s="7" t="n">
        <x:v>950</x:v>
      </x:c>
      <x:c r="V17" s="7" t="n">
        <x:v>400</x:v>
      </x:c>
      <x:c r="W17" s="7" t="n">
        <x:v>250</x:v>
      </x:c>
      <x:c r="X17" s="7" t="n">
        <x:v>188325000</x:v>
      </x:c>
      <x:c r="Y17" s="7" t="n">
        <x:v>3</x:v>
      </x:c>
      <x:c r="Z17" s="7" t="n">
        <x:v>30</x:v>
      </x:c>
      <x:c r="AA17" s="7" t="n">
        <x:v>1</x:v>
      </x:c>
      <x:c r="AB17" s="7" t="n">
        <x:v>55</x:v>
      </x:c>
      <x:c r="AC17" s="7" t="n">
        <x:v>50</x:v>
      </x:c>
      <x:c r="AD17" s="7" t="n">
        <x:v>800</x:v>
      </x:c>
      <x:c r="AE17" s="7" t="n">
        <x:v>180</x:v>
      </x:c>
      <x:c r="AF17" s="13" t="b">
        <x:v>1</x:v>
      </x:c>
      <x:c r="AG17" s="7" t="n">
        <x:v>0.4</x:v>
      </x:c>
      <x:c r="AH17" s="7" t="n">
        <x:v>0.4</x:v>
      </x:c>
      <x:c r="AI17" s="7" t="n">
        <x:v>0.65</x:v>
      </x:c>
      <x:c r="AJ17" s="7" t="n">
        <x:v>0.27</x:v>
      </x:c>
      <x:c r="AK17" s="7" t="n">
        <x:v>0.07</x:v>
      </x:c>
      <x:c r="AL17" s="7" t="str">
        <x:v>shipbuildericons/ICO_PythonNuclearMissileBay</x:v>
      </x:c>
      <x:c r="AM17" s="7" t="str">
        <x:v>shipweapons/missile_launcher</x:v>
      </x:c>
      <x:c r="AN17" s="7" t="str">
        <x:v>spacecombat/AnacondaMissile</x:v>
      </x:c>
      <x:c r="AO17" s="7" t="str">
        <x:v>spaceCombat/SpaceNuke</x:v>
      </x:c>
      <x:c r="AP17" s="7" t="str">
        <x:v>event:/SFX/Game_SFX/Guns/trig_SFX_Missile_Launch</x:v>
      </x:c>
      <x:c r="AQ17" s="7" t="str">
        <x:v>event:/SFX/Game_SFX/Guns/trig_SFX_Fragmentation_Missile_Detonates_Ship</x:v>
      </x:c>
      <x:c r="AR17" s="7" t="str">
        <x:v>50 kt</x:v>
      </x:c>
      <x:c r="AS17" s="7" t="n">
        <x:v>0.2</x:v>
      </x:c>
      <x:c r="AT17" s="7" t="n">
        <x:v>0.01</x:v>
      </x:c>
      <x:c r="AU17" s="7"/>
      <x:c r="AV17" s="7"/>
      <x:c r="AW17" s="7"/>
    </x:row>
    <x:row r="18" ht="23" customHeight="1">
      <x:c r="A18" s="2" t="str">
        <x:v>SidewinderNuclearMissileBay</x:v>
      </x:c>
      <x:c r="B18" s="2" t="str">
        <x:v>Sidewinder Nuclear Missile Bay</x:v>
      </x:c>
      <x:c r="C18" s="2" t="str">
        <x:v>OneHull</x:v>
      </x:c>
      <x:c r="D18" s="2" t="n">
        <x:v>6</x:v>
      </x:c>
      <x:c r="E18" s="2" t="str">
        <x:v>Project_AcheronNuclearTorpedoBay</x:v>
      </x:c>
      <x:c r="F18" s="12" t="b">
        <x:v>1</x:v>
      </x:c>
      <x:c r="G18" s="12" t="b">
        <x:v>1</x:v>
      </x:c>
      <x:c r="H18" s="2" t="str">
        <x:v>ShapedNuclear</x:v>
      </x:c>
      <x:c r="I18" s="2" t="n">
        <x:v>286810</x:v>
      </x:c>
      <x:c r="J18" s="2" t="n">
        <x:v>4.45</x:v>
      </x:c>
      <x:c r="K18" s="2" t="n">
        <x:v>18.27</x:v>
      </x:c>
      <x:c r="L18" s="2" t="n">
        <x:v>3.37</x:v>
      </x:c>
      <x:c r="M18" s="2" t="n">
        <x:v>15</x:v>
      </x:c>
      <x:c r="N18" s="2" t="n">
        <x:v>5</x:v>
      </x:c>
      <x:c r="O18" s="2" t="n">
        <x:v>4</x:v>
      </x:c>
      <x:c r="P18" s="2" t="n">
        <x:v>1</x:v>
      </x:c>
      <x:c r="Q18" s="2" t="n">
        <x:v>1</x:v>
      </x:c>
      <x:c r="R18" s="2" t="n">
        <x:v>1</x:v>
      </x:c>
      <x:c r="S18" s="2" t="n">
        <x:v>8</x:v>
      </x:c>
      <x:c r="T18" s="2" t="n">
        <x:v>1600</x:v>
      </x:c>
      <x:c r="U18" s="2" t="n">
        <x:v>850</x:v>
      </x:c>
      <x:c r="V18" s="2" t="n">
        <x:v>450</x:v>
      </x:c>
      <x:c r="W18" s="2" t="n">
        <x:v>300</x:v>
      </x:c>
      <x:c r="X18" s="2" t="n">
        <x:v>418500000</x:v>
      </x:c>
      <x:c r="Y18" s="2" t="n">
        <x:v>3</x:v>
      </x:c>
      <x:c r="Z18" s="2" t="n">
        <x:v>30</x:v>
      </x:c>
      <x:c r="AA18" s="2" t="n">
        <x:v>1</x:v>
      </x:c>
      <x:c r="AB18" s="2" t="n">
        <x:v>55</x:v>
      </x:c>
      <x:c r="AC18" s="2" t="n">
        <x:v>50</x:v>
      </x:c>
      <x:c r="AD18" s="2" t="n">
        <x:v>800</x:v>
      </x:c>
      <x:c r="AE18" s="2" t="n">
        <x:v>180</x:v>
      </x:c>
      <x:c r="AF18" s="12" t="b">
        <x:v>1</x:v>
      </x:c>
      <x:c r="AG18" s="2" t="n">
        <x:v>0.4</x:v>
      </x:c>
      <x:c r="AH18" s="2" t="n">
        <x:v>0.4</x:v>
      </x:c>
      <x:c r="AI18" s="2" t="n">
        <x:v>0.62</x:v>
      </x:c>
      <x:c r="AJ18" s="2" t="n">
        <x:v>0.29</x:v>
      </x:c>
      <x:c r="AK18" s="2" t="n">
        <x:v>0.08</x:v>
      </x:c>
      <x:c r="AL18" s="2" t="str">
        <x:v>shipbuildericons/ICO_SidewinderNuclearMissileBay</x:v>
      </x:c>
      <x:c r="AM18" s="2" t="str">
        <x:v>shipweapons/missile_launcher</x:v>
      </x:c>
      <x:c r="AN18" s="2" t="str">
        <x:v>spacecombat/AnacondaMissile</x:v>
      </x:c>
      <x:c r="AO18" s="2" t="str">
        <x:v>spaceCombat/CasabaHowitzer</x:v>
      </x:c>
      <x:c r="AP18" s="2" t="str">
        <x:v>event:/SFX/Game_SFX/Guns/trig_SFX_Missile_Launch</x:v>
      </x:c>
      <x:c r="AQ18" s="2" t="str">
        <x:v>event:/SFX/Game_SFX/Guns/trig_SFX_Fragmentation_Missile_Detonates_Ship</x:v>
      </x:c>
      <x:c r="AR18" s="2" t="str">
        <x:v>100 KT</x:v>
      </x:c>
      <x:c r="AS18" s="2" t="n">
        <x:v>0.2</x:v>
      </x:c>
      <x:c r="AT18" s="2" t="n">
        <x:v>0.01</x:v>
      </x:c>
      <x:c r="AU18" s="2" t="n">
        <x:v>0.15</x:v>
      </x:c>
      <x:c r="AV18" s="2"/>
      <x:c r="AW18" s="2"/>
    </x:row>
    <x:row r="19" ht="23" customHeight="1">
      <x:c r="A19" s="7" t="str">
        <x:v>HeraTorpedoBay</x:v>
      </x:c>
      <x:c r="B19" s="7" t="str">
        <x:v>Hera Torpedo Bay</x:v>
      </x:c>
      <x:c r="C19" s="7" t="str">
        <x:v>OneHull</x:v>
      </x:c>
      <x:c r="D19" s="7" t="n">
        <x:v>3</x:v>
      </x:c>
      <x:c r="E19" s="7" t="str">
        <x:v>Project_AnacondaMissileBay</x:v>
      </x:c>
      <x:c r="F19" s="13" t="b">
        <x:v>1</x:v>
      </x:c>
      <x:c r="G19" s="13" t="b">
        <x:v>0</x:v>
      </x:c>
      <x:c r="H19" s="7" t="str">
        <x:v>Explosive</x:v>
      </x:c>
      <x:c r="I19" s="7" t="n">
        <x:v>351840</x:v>
      </x:c>
      <x:c r="J19" s="7" t="n">
        <x:v>3.23</x:v>
      </x:c>
      <x:c r="K19" s="7" t="n">
        <x:v>7.47</x:v>
      </x:c>
      <x:c r="L19" s="7" t="n">
        <x:v>6.22</x:v>
      </x:c>
      <x:c r="M19" s="7" t="n">
        <x:v>10</x:v>
      </x:c>
      <x:c r="N19" s="7" t="n">
        <x:v>7</x:v>
      </x:c>
      <x:c r="O19" s="7"/>
      <x:c r="P19" s="7"/>
      <x:c r="Q19" s="7" t="n">
        <x:v>1</x:v>
      </x:c>
      <x:c r="R19" s="7" t="n">
        <x:v>0.8</x:v>
      </x:c>
      <x:c r="S19" s="7" t="n">
        <x:v>6</x:v>
      </x:c>
      <x:c r="T19" s="7" t="n">
        <x:v>4800</x:v>
      </x:c>
      <x:c r="U19" s="7" t="n">
        <x:v>4100</x:v>
      </x:c>
      <x:c r="V19" s="7" t="n">
        <x:v>400</x:v>
      </x:c>
      <x:c r="W19" s="7" t="n">
        <x:v>300</x:v>
      </x:c>
      <x:c r="X19" s="7" t="n">
        <x:v>540</x:v>
      </x:c>
      <x:c r="Y19" s="7" t="n">
        <x:v>7</x:v>
      </x:c>
      <x:c r="Z19" s="7" t="n">
        <x:v>20</x:v>
      </x:c>
      <x:c r="AA19" s="7" t="n">
        <x:v>1</x:v>
      </x:c>
      <x:c r="AB19" s="7" t="n">
        <x:v>40</x:v>
      </x:c>
      <x:c r="AC19" s="7" t="n">
        <x:v>0</x:v>
      </x:c>
      <x:c r="AD19" s="7" t="n">
        <x:v>1000</x:v>
      </x:c>
      <x:c r="AE19" s="7" t="n">
        <x:v>180</x:v>
      </x:c>
      <x:c r="AF19" s="13" t="b">
        <x:v>1</x:v>
      </x:c>
      <x:c r="AG19" s="7" t="n">
        <x:v>0.5</x:v>
      </x:c>
      <x:c r="AH19" s="7" t="n">
        <x:v>0.5</x:v>
      </x:c>
      <x:c r="AI19" s="7" t="n">
        <x:v>0.68</x:v>
      </x:c>
      <x:c r="AJ19" s="7" t="n">
        <x:v>0.3</x:v>
      </x:c>
      <x:c r="AK19" s="7" t="n">
        <x:v>0.02</x:v>
      </x:c>
      <x:c r="AL19" s="7" t="str">
        <x:v>shipbuildericons/ICO_HeraTorpedoBay</x:v>
      </x:c>
      <x:c r="AM19" s="7" t="str">
        <x:v>shipweapons/torpedo_launcher</x:v>
      </x:c>
      <x:c r="AN19" s="7" t="str">
        <x:v>spacecombat/HeraTorpedo</x:v>
      </x:c>
      <x:c r="AO19" s="7" t="str">
        <x:v>spaceCombat/BigExplosion</x:v>
      </x:c>
      <x:c r="AP19" s="7" t="str">
        <x:v>event:/SFX/Game_SFX/Guns/trig_SFX_Torpedo_Launch</x:v>
      </x:c>
      <x:c r="AQ19" s="7" t="str">
        <x:v>event:/SFX/Game_SFX/Guns/trig_SFX_Fragmentation_Missile_Detonates_Ship</x:v>
      </x:c>
      <x:c r="AR19" s="7" t="str">
        <x:v>Hypergolic</x:v>
      </x:c>
      <x:c r="AS19" s="7"/>
      <x:c r="AT19" s="7"/>
      <x:c r="AU19" s="7"/>
      <x:c r="AV19" s="7"/>
      <x:c r="AW19" s="7"/>
    </x:row>
    <x:row r="20" ht="23" customHeight="1">
      <x:c r="A20" s="2" t="str">
        <x:v>HermesTorpedoBay</x:v>
      </x:c>
      <x:c r="B20" s="2" t="str">
        <x:v>Hermes Torpedo Bay</x:v>
      </x:c>
      <x:c r="C20" s="2" t="str">
        <x:v>OneHull</x:v>
      </x:c>
      <x:c r="D20" s="2" t="n">
        <x:v>2</x:v>
      </x:c>
      <x:c r="E20" s="2" t="str">
        <x:v>Project_HarlequinMissileBay</x:v>
      </x:c>
      <x:c r="F20" s="12" t="b">
        <x:v>1</x:v>
      </x:c>
      <x:c r="G20" s="12" t="b">
        <x:v>0</x:v>
      </x:c>
      <x:c r="H20" s="2" t="str">
        <x:v>Penetrator</x:v>
      </x:c>
      <x:c r="I20" s="2" t="n">
        <x:v>351840</x:v>
      </x:c>
      <x:c r="J20" s="2" t="n">
        <x:v>3.23</x:v>
      </x:c>
      <x:c r="K20" s="2" t="n">
        <x:v>7.47</x:v>
      </x:c>
      <x:c r="L20" s="2" t="n">
        <x:v>4.62</x:v>
      </x:c>
      <x:c r="M20" s="2" t="n">
        <x:v>10</x:v>
      </x:c>
      <x:c r="N20" s="2" t="n">
        <x:v>7</x:v>
      </x:c>
      <x:c r="O20" s="2"/>
      <x:c r="P20" s="2"/>
      <x:c r="Q20" s="2" t="n">
        <x:v>1</x:v>
      </x:c>
      <x:c r="R20" s="2" t="n">
        <x:v>0.6</x:v>
      </x:c>
      <x:c r="S20" s="2" t="n">
        <x:v>6</x:v>
      </x:c>
      <x:c r="T20" s="2" t="n">
        <x:v>4800</x:v>
      </x:c>
      <x:c r="U20" s="2" t="n">
        <x:v>3650</x:v>
      </x:c>
      <x:c r="V20" s="2" t="n">
        <x:v>400</x:v>
      </x:c>
      <x:c r="W20" s="2" t="n">
        <x:v>750</x:v>
      </x:c>
      <x:c r="X20" s="2"/>
      <x:c r="Y20" s="2" t="n">
        <x:v>7</x:v>
      </x:c>
      <x:c r="Z20" s="2" t="n">
        <x:v>20</x:v>
      </x:c>
      <x:c r="AA20" s="2" t="n">
        <x:v>1</x:v>
      </x:c>
      <x:c r="AB20" s="2" t="n">
        <x:v>30</x:v>
      </x:c>
      <x:c r="AC20" s="2" t="n">
        <x:v>0</x:v>
      </x:c>
      <x:c r="AD20" s="2" t="n">
        <x:v>1000</x:v>
      </x:c>
      <x:c r="AE20" s="2" t="n">
        <x:v>180</x:v>
      </x:c>
      <x:c r="AF20" s="12" t="b">
        <x:v>1</x:v>
      </x:c>
      <x:c r="AG20" s="2" t="n">
        <x:v>0.5</x:v>
      </x:c>
      <x:c r="AH20" s="2" t="n">
        <x:v>0.5</x:v>
      </x:c>
      <x:c r="AI20" s="2" t="n">
        <x:v>0.68</x:v>
      </x:c>
      <x:c r="AJ20" s="2" t="n">
        <x:v>0.3</x:v>
      </x:c>
      <x:c r="AK20" s="2" t="n">
        <x:v>0.02</x:v>
      </x:c>
      <x:c r="AL20" s="2" t="str">
        <x:v>shipbuildericons/ICO_HermesTorpedoBay</x:v>
      </x:c>
      <x:c r="AM20" s="2" t="str">
        <x:v>shipweapons/torpedo_launcher</x:v>
      </x:c>
      <x:c r="AN20" s="2" t="str">
        <x:v>spacecombat/HeraTorpedo</x:v>
      </x:c>
      <x:c r="AO20" s="2" t="str">
        <x:v>spaceCombat/ImpactWhite</x:v>
      </x:c>
      <x:c r="AP20" s="2" t="str">
        <x:v>event:/SFX/Game_SFX/Guns/trig_SFX_Torpedo_Launch</x:v>
      </x:c>
      <x:c r="AQ20" s="2" t="str">
        <x:v>event:/SFX/Game_SFX/Guns/trig_SFX_Fragmentation_Missile_Detonates_Ship</x:v>
      </x:c>
      <x:c r="AR20" s="2"/>
      <x:c r="AS20" s="2"/>
      <x:c r="AT20" s="2"/>
      <x:c r="AU20" s="2"/>
      <x:c r="AV20" s="2"/>
      <x:c r="AW20" s="2"/>
    </x:row>
    <x:row r="21" ht="23" customHeight="1">
      <x:c r="A21" s="7" t="str">
        <x:v>HerculesTorpedoBay</x:v>
      </x:c>
      <x:c r="B21" s="7" t="str">
        <x:v>Hercules Torpedo Bay</x:v>
      </x:c>
      <x:c r="C21" s="7" t="str">
        <x:v>OneHull</x:v>
      </x:c>
      <x:c r="D21" s="7" t="n">
        <x:v>2</x:v>
      </x:c>
      <x:c r="E21" s="7" t="str">
        <x:v>Project_RattlerMissileBay</x:v>
      </x:c>
      <x:c r="F21" s="13" t="b">
        <x:v>1</x:v>
      </x:c>
      <x:c r="G21" s="13" t="b">
        <x:v>0</x:v>
      </x:c>
      <x:c r="H21" s="7" t="str">
        <x:v>Fragmentation</x:v>
      </x:c>
      <x:c r="I21" s="7" t="n">
        <x:v>351840</x:v>
      </x:c>
      <x:c r="J21" s="7" t="n">
        <x:v>3.23</x:v>
      </x:c>
      <x:c r="K21" s="7" t="n">
        <x:v>7.47</x:v>
      </x:c>
      <x:c r="L21" s="7" t="n">
        <x:v>5.41</x:v>
      </x:c>
      <x:c r="M21" s="7" t="n">
        <x:v>10</x:v>
      </x:c>
      <x:c r="N21" s="7" t="n">
        <x:v>7</x:v>
      </x:c>
      <x:c r="O21" s="7"/>
      <x:c r="P21" s="7"/>
      <x:c r="Q21" s="7" t="n">
        <x:v>1</x:v>
      </x:c>
      <x:c r="R21" s="7" t="n">
        <x:v>0.5</x:v>
      </x:c>
      <x:c r="S21" s="7" t="n">
        <x:v>6</x:v>
      </x:c>
      <x:c r="T21" s="7" t="n">
        <x:v>4800</x:v>
      </x:c>
      <x:c r="U21" s="7" t="n">
        <x:v>3900</x:v>
      </x:c>
      <x:c r="V21" s="7" t="n">
        <x:v>400</x:v>
      </x:c>
      <x:c r="W21" s="7" t="n">
        <x:v>500</x:v>
      </x:c>
      <x:c r="X21" s="7"/>
      <x:c r="Y21" s="7" t="n">
        <x:v>7</x:v>
      </x:c>
      <x:c r="Z21" s="7" t="n">
        <x:v>20</x:v>
      </x:c>
      <x:c r="AA21" s="7" t="n">
        <x:v>1</x:v>
      </x:c>
      <x:c r="AB21" s="7" t="n">
        <x:v>35</x:v>
      </x:c>
      <x:c r="AC21" s="7" t="n">
        <x:v>0</x:v>
      </x:c>
      <x:c r="AD21" s="7" t="n">
        <x:v>1000</x:v>
      </x:c>
      <x:c r="AE21" s="7" t="n">
        <x:v>180</x:v>
      </x:c>
      <x:c r="AF21" s="13" t="b">
        <x:v>1</x:v>
      </x:c>
      <x:c r="AG21" s="7" t="n">
        <x:v>0.5</x:v>
      </x:c>
      <x:c r="AH21" s="7" t="n">
        <x:v>0.5</x:v>
      </x:c>
      <x:c r="AI21" s="7" t="n">
        <x:v>0.68</x:v>
      </x:c>
      <x:c r="AJ21" s="7" t="n">
        <x:v>0.3</x:v>
      </x:c>
      <x:c r="AK21" s="7" t="n">
        <x:v>0.02</x:v>
      </x:c>
      <x:c r="AL21" s="7" t="str">
        <x:v>shipbuildericons/ICO_HerculesTorpedoBay</x:v>
      </x:c>
      <x:c r="AM21" s="7" t="str">
        <x:v>shipweapons/torpedo_launcher</x:v>
      </x:c>
      <x:c r="AN21" s="7" t="str">
        <x:v>spacecombat/HeraTorpedo</x:v>
      </x:c>
      <x:c r="AO21" s="7" t="str">
        <x:v>spaceCombat/TinyExplosion</x:v>
      </x:c>
      <x:c r="AP21" s="7" t="str">
        <x:v>event:/SFX/Game_SFX/Guns/trig_SFX_Torpedo_Launch</x:v>
      </x:c>
      <x:c r="AQ21" s="7" t="str">
        <x:v>event:/SFX/Game_SFX/Guns/trig_SFX_Fragmentation_Missile_Detonates_Ship</x:v>
      </x:c>
      <x:c r="AR21" s="7"/>
      <x:c r="AS21" s="7"/>
      <x:c r="AT21" s="7"/>
      <x:c r="AU21" s="7"/>
      <x:c r="AV21" s="7"/>
      <x:c r="AW21" s="7"/>
    </x:row>
    <x:row r="22" ht="23" customHeight="1">
      <x:c r="A22" s="2" t="str">
        <x:v>ArtemisTorpedoBay</x:v>
      </x:c>
      <x:c r="B22" s="2" t="str">
        <x:v>Artemis Torpedo Bay</x:v>
      </x:c>
      <x:c r="C22" s="2" t="str">
        <x:v>OneHull</x:v>
      </x:c>
      <x:c r="D22" s="2" t="n">
        <x:v>3</x:v>
      </x:c>
      <x:c r="E22" s="2" t="str">
        <x:v>Project_CopperheadMissileBay</x:v>
      </x:c>
      <x:c r="F22" s="12" t="b">
        <x:v>1</x:v>
      </x:c>
      <x:c r="G22" s="12" t="b">
        <x:v>0</x:v>
      </x:c>
      <x:c r="H22" s="2" t="str">
        <x:v>Explosive</x:v>
      </x:c>
      <x:c r="I22" s="2" t="n">
        <x:v>430215</x:v>
      </x:c>
      <x:c r="J22" s="2" t="n">
        <x:v>4.45</x:v>
      </x:c>
      <x:c r="K22" s="2" t="n">
        <x:v>9.14</x:v>
      </x:c>
      <x:c r="L22" s="2" t="n">
        <x:v>7.97</x:v>
      </x:c>
      <x:c r="M22" s="2" t="n">
        <x:v>15</x:v>
      </x:c>
      <x:c r="N22" s="2" t="n">
        <x:v>7</x:v>
      </x:c>
      <x:c r="O22" s="2"/>
      <x:c r="P22" s="2"/>
      <x:c r="Q22" s="2" t="n">
        <x:v>1</x:v>
      </x:c>
      <x:c r="R22" s="2" t="n">
        <x:v>0.8</x:v>
      </x:c>
      <x:c r="S22" s="2" t="n">
        <x:v>6</x:v>
      </x:c>
      <x:c r="T22" s="2" t="n">
        <x:v>4800</x:v>
      </x:c>
      <x:c r="U22" s="2" t="n">
        <x:v>4000</x:v>
      </x:c>
      <x:c r="V22" s="2" t="n">
        <x:v>400</x:v>
      </x:c>
      <x:c r="W22" s="2" t="n">
        <x:v>400</x:v>
      </x:c>
      <x:c r="X22" s="2" t="n">
        <x:v>960</x:v>
      </x:c>
      <x:c r="Y22" s="2" t="n">
        <x:v>7</x:v>
      </x:c>
      <x:c r="Z22" s="2" t="n">
        <x:v>20</x:v>
      </x:c>
      <x:c r="AA22" s="2" t="n">
        <x:v>1</x:v>
      </x:c>
      <x:c r="AB22" s="2" t="n">
        <x:v>40</x:v>
      </x:c>
      <x:c r="AC22" s="2" t="n">
        <x:v>0</x:v>
      </x:c>
      <x:c r="AD22" s="2" t="n">
        <x:v>1000</x:v>
      </x:c>
      <x:c r="AE22" s="2" t="n">
        <x:v>180</x:v>
      </x:c>
      <x:c r="AF22" s="12" t="b">
        <x:v>1</x:v>
      </x:c>
      <x:c r="AG22" s="2" t="n">
        <x:v>0.5</x:v>
      </x:c>
      <x:c r="AH22" s="2" t="n">
        <x:v>0.5</x:v>
      </x:c>
      <x:c r="AI22" s="2" t="n">
        <x:v>0.65</x:v>
      </x:c>
      <x:c r="AJ22" s="2" t="n">
        <x:v>0.32</x:v>
      </x:c>
      <x:c r="AK22" s="2" t="n">
        <x:v>0.03</x:v>
      </x:c>
      <x:c r="AL22" s="2" t="str">
        <x:v>shipbuildericons/ICO_ArtemisTorpedoBay</x:v>
      </x:c>
      <x:c r="AM22" s="2" t="str">
        <x:v>shipweapons/torpedo_launcher</x:v>
      </x:c>
      <x:c r="AN22" s="2" t="str">
        <x:v>spacecombat/HeraTorpedo</x:v>
      </x:c>
      <x:c r="AO22" s="2" t="str">
        <x:v>spaceCombat/BigExplosion</x:v>
      </x:c>
      <x:c r="AP22" s="2" t="str">
        <x:v>event:/SFX/Game_SFX/Guns/trig_SFX_Torpedo_Launch</x:v>
      </x:c>
      <x:c r="AQ22" s="2" t="str">
        <x:v>event:/SFX/Game_SFX/Guns/trig_SFX_Fragmentation_Missile_Detonates_Ship</x:v>
      </x:c>
      <x:c r="AR22" s="2" t="str">
        <x:v>Hydrolox</x:v>
      </x:c>
      <x:c r="AS22" s="2"/>
      <x:c r="AT22" s="2"/>
      <x:c r="AU22" s="2"/>
      <x:c r="AV22" s="2"/>
      <x:c r="AW22" s="2"/>
    </x:row>
    <x:row r="23" ht="23" customHeight="1">
      <x:c r="A23" s="7" t="str">
        <x:v>VulcanTorpedoBay</x:v>
      </x:c>
      <x:c r="B23" s="7" t="str">
        <x:v>Vulcan Torpedo Bay</x:v>
      </x:c>
      <x:c r="C23" s="7" t="str">
        <x:v>OneHull</x:v>
      </x:c>
      <x:c r="D23" s="7" t="n">
        <x:v>2</x:v>
      </x:c>
      <x:c r="E23" s="7" t="str">
        <x:v>Project_LanceheadMissileBay</x:v>
      </x:c>
      <x:c r="F23" s="13" t="b">
        <x:v>1</x:v>
      </x:c>
      <x:c r="G23" s="13" t="b">
        <x:v>0</x:v>
      </x:c>
      <x:c r="H23" s="7" t="str">
        <x:v>Penetrator</x:v>
      </x:c>
      <x:c r="I23" s="7" t="n">
        <x:v>430215</x:v>
      </x:c>
      <x:c r="J23" s="7" t="n">
        <x:v>4.45</x:v>
      </x:c>
      <x:c r="K23" s="7" t="n">
        <x:v>9.14</x:v>
      </x:c>
      <x:c r="L23" s="7" t="n">
        <x:v>5.99</x:v>
      </x:c>
      <x:c r="M23" s="7" t="n">
        <x:v>10</x:v>
      </x:c>
      <x:c r="N23" s="7" t="n">
        <x:v>7</x:v>
      </x:c>
      <x:c r="O23" s="7"/>
      <x:c r="P23" s="7"/>
      <x:c r="Q23" s="7" t="n">
        <x:v>1</x:v>
      </x:c>
      <x:c r="R23" s="7" t="n">
        <x:v>0.6</x:v>
      </x:c>
      <x:c r="S23" s="7" t="n">
        <x:v>6</x:v>
      </x:c>
      <x:c r="T23" s="7" t="n">
        <x:v>4800</x:v>
      </x:c>
      <x:c r="U23" s="7" t="n">
        <x:v>3550</x:v>
      </x:c>
      <x:c r="V23" s="7" t="n">
        <x:v>400</x:v>
      </x:c>
      <x:c r="W23" s="7" t="n">
        <x:v>850</x:v>
      </x:c>
      <x:c r="X23" s="7"/>
      <x:c r="Y23" s="7" t="n">
        <x:v>7</x:v>
      </x:c>
      <x:c r="Z23" s="7" t="n">
        <x:v>20</x:v>
      </x:c>
      <x:c r="AA23" s="7" t="n">
        <x:v>1</x:v>
      </x:c>
      <x:c r="AB23" s="7" t="n">
        <x:v>30</x:v>
      </x:c>
      <x:c r="AC23" s="7" t="n">
        <x:v>0</x:v>
      </x:c>
      <x:c r="AD23" s="7" t="n">
        <x:v>1000</x:v>
      </x:c>
      <x:c r="AE23" s="7" t="n">
        <x:v>180</x:v>
      </x:c>
      <x:c r="AF23" s="13" t="b">
        <x:v>1</x:v>
      </x:c>
      <x:c r="AG23" s="7" t="n">
        <x:v>0.5</x:v>
      </x:c>
      <x:c r="AH23" s="7" t="n">
        <x:v>0.5</x:v>
      </x:c>
      <x:c r="AI23" s="7" t="n">
        <x:v>0.65</x:v>
      </x:c>
      <x:c r="AJ23" s="7" t="n">
        <x:v>0.32</x:v>
      </x:c>
      <x:c r="AK23" s="7" t="n">
        <x:v>0.03</x:v>
      </x:c>
      <x:c r="AL23" s="7" t="str">
        <x:v>shipbuildericons/ICO_VulcanTorpedoBay</x:v>
      </x:c>
      <x:c r="AM23" s="7" t="str">
        <x:v>shipweapons/torpedo_launcher</x:v>
      </x:c>
      <x:c r="AN23" s="7" t="str">
        <x:v>spacecombat/HeraTorpedo</x:v>
      </x:c>
      <x:c r="AO23" s="7" t="str">
        <x:v>spaceCombat/ImpactWhite</x:v>
      </x:c>
      <x:c r="AP23" s="7" t="str">
        <x:v>event:/SFX/Game_SFX/Guns/trig_SFX_Torpedo_Launch</x:v>
      </x:c>
      <x:c r="AQ23" s="7" t="str">
        <x:v>event:/SFX/Game_SFX/Guns/trig_SFX_Fragmentation_Missile_Detonates_Ship</x:v>
      </x:c>
      <x:c r="AR23" s="7"/>
      <x:c r="AS23" s="7"/>
      <x:c r="AT23" s="7"/>
      <x:c r="AU23" s="7"/>
      <x:c r="AV23" s="7"/>
      <x:c r="AW23" s="7"/>
    </x:row>
    <x:row r="24" ht="23" customHeight="1">
      <x:c r="A24" s="2" t="str">
        <x:v>ApolloTorpedoBay</x:v>
      </x:c>
      <x:c r="B24" s="2" t="str">
        <x:v>Apollo Torpedo Bay</x:v>
      </x:c>
      <x:c r="C24" s="2" t="str">
        <x:v>OneHull</x:v>
      </x:c>
      <x:c r="D24" s="2" t="n">
        <x:v>2</x:v>
      </x:c>
      <x:c r="E24" s="2" t="str">
        <x:v>Project_ViperMissileBay</x:v>
      </x:c>
      <x:c r="F24" s="12" t="b">
        <x:v>1</x:v>
      </x:c>
      <x:c r="G24" s="12" t="b">
        <x:v>0</x:v>
      </x:c>
      <x:c r="H24" s="2" t="str">
        <x:v>Fragmentation</x:v>
      </x:c>
      <x:c r="I24" s="2" t="n">
        <x:v>430215</x:v>
      </x:c>
      <x:c r="J24" s="2" t="n">
        <x:v>4.45</x:v>
      </x:c>
      <x:c r="K24" s="2" t="n">
        <x:v>9.14</x:v>
      </x:c>
      <x:c r="L24" s="2" t="n">
        <x:v>7.45</x:v>
      </x:c>
      <x:c r="M24" s="2" t="n">
        <x:v>10</x:v>
      </x:c>
      <x:c r="N24" s="2" t="n">
        <x:v>7</x:v>
      </x:c>
      <x:c r="O24" s="2"/>
      <x:c r="P24" s="2"/>
      <x:c r="Q24" s="2" t="n">
        <x:v>1</x:v>
      </x:c>
      <x:c r="R24" s="2" t="n">
        <x:v>0.5</x:v>
      </x:c>
      <x:c r="S24" s="2" t="n">
        <x:v>6</x:v>
      </x:c>
      <x:c r="T24" s="2" t="n">
        <x:v>4800</x:v>
      </x:c>
      <x:c r="U24" s="2" t="n">
        <x:v>3900</x:v>
      </x:c>
      <x:c r="V24" s="2" t="n">
        <x:v>400</x:v>
      </x:c>
      <x:c r="W24" s="2" t="n">
        <x:v>500</x:v>
      </x:c>
      <x:c r="X24" s="2"/>
      <x:c r="Y24" s="2" t="n">
        <x:v>7</x:v>
      </x:c>
      <x:c r="Z24" s="2" t="n">
        <x:v>20</x:v>
      </x:c>
      <x:c r="AA24" s="2" t="n">
        <x:v>1</x:v>
      </x:c>
      <x:c r="AB24" s="2" t="n">
        <x:v>35</x:v>
      </x:c>
      <x:c r="AC24" s="2" t="n">
        <x:v>0</x:v>
      </x:c>
      <x:c r="AD24" s="2" t="n">
        <x:v>1000</x:v>
      </x:c>
      <x:c r="AE24" s="2" t="n">
        <x:v>180</x:v>
      </x:c>
      <x:c r="AF24" s="12" t="b">
        <x:v>1</x:v>
      </x:c>
      <x:c r="AG24" s="2" t="n">
        <x:v>0.5</x:v>
      </x:c>
      <x:c r="AH24" s="2" t="n">
        <x:v>0.5</x:v>
      </x:c>
      <x:c r="AI24" s="2" t="n">
        <x:v>0.65</x:v>
      </x:c>
      <x:c r="AJ24" s="2" t="n">
        <x:v>0.32</x:v>
      </x:c>
      <x:c r="AK24" s="2" t="n">
        <x:v>0.03</x:v>
      </x:c>
      <x:c r="AL24" s="2" t="str">
        <x:v>shipbuildericons/ICO_ApolloTorpedoBay</x:v>
      </x:c>
      <x:c r="AM24" s="2" t="str">
        <x:v>shipweapons/torpedo_launcher</x:v>
      </x:c>
      <x:c r="AN24" s="2" t="str">
        <x:v>spacecombat/HeraTorpedo</x:v>
      </x:c>
      <x:c r="AO24" s="2" t="str">
        <x:v>spaceCombat/TinyExplosion</x:v>
      </x:c>
      <x:c r="AP24" s="2" t="str">
        <x:v>event:/SFX/Game_SFX/Guns/trig_SFX_Torpedo_Launch</x:v>
      </x:c>
      <x:c r="AQ24" s="2" t="str">
        <x:v>event:/SFX/Game_SFX/Guns/trig_SFX_Fragmentation_Missile_Detonates_Ship</x:v>
      </x:c>
      <x:c r="AR24" s="2"/>
      <x:c r="AS24" s="2"/>
      <x:c r="AT24" s="2"/>
      <x:c r="AU24" s="2"/>
      <x:c r="AV24" s="2"/>
      <x:c r="AW24" s="2"/>
    </x:row>
    <x:row r="25" ht="23" customHeight="1">
      <x:c r="A25" s="7" t="str">
        <x:v>AthenaTorpedoBay</x:v>
      </x:c>
      <x:c r="B25" s="7" t="str">
        <x:v>Athena Torpedo Bay</x:v>
      </x:c>
      <x:c r="C25" s="7" t="str">
        <x:v>OneHull</x:v>
      </x:c>
      <x:c r="D25" s="7" t="n">
        <x:v>3</x:v>
      </x:c>
      <x:c r="E25" s="7" t="str">
        <x:v>Project_AthenaTorpedoBay</x:v>
      </x:c>
      <x:c r="F25" s="13" t="b">
        <x:v>1</x:v>
      </x:c>
      <x:c r="G25" s="13" t="b">
        <x:v>0</x:v>
      </x:c>
      <x:c r="H25" s="7" t="str">
        <x:v>Explosive</x:v>
      </x:c>
      <x:c r="I25" s="7" t="n">
        <x:v>230300</x:v>
      </x:c>
      <x:c r="J25" s="7" t="n">
        <x:v>8.18</x:v>
      </x:c>
      <x:c r="K25" s="7" t="n">
        <x:v>4.89</x:v>
      </x:c>
      <x:c r="L25" s="7" t="n">
        <x:v>12.83</x:v>
      </x:c>
      <x:c r="M25" s="7" t="n">
        <x:v>15</x:v>
      </x:c>
      <x:c r="N25" s="7" t="n">
        <x:v>7</x:v>
      </x:c>
      <x:c r="O25" s="7"/>
      <x:c r="P25" s="7"/>
      <x:c r="Q25" s="7" t="n">
        <x:v>1</x:v>
      </x:c>
      <x:c r="R25" s="7" t="n">
        <x:v>0.8</x:v>
      </x:c>
      <x:c r="S25" s="7" t="n">
        <x:v>6</x:v>
      </x:c>
      <x:c r="T25" s="7" t="n">
        <x:v>4800</x:v>
      </x:c>
      <x:c r="U25" s="7" t="n">
        <x:v>3800</x:v>
      </x:c>
      <x:c r="V25" s="7" t="n">
        <x:v>400</x:v>
      </x:c>
      <x:c r="W25" s="7" t="n">
        <x:v>600</x:v>
      </x:c>
      <x:c r="X25" s="7" t="n">
        <x:v>1800</x:v>
      </x:c>
      <x:c r="Y25" s="7" t="n">
        <x:v>5</x:v>
      </x:c>
      <x:c r="Z25" s="7" t="n">
        <x:v>20</x:v>
      </x:c>
      <x:c r="AA25" s="7" t="n">
        <x:v>1</x:v>
      </x:c>
      <x:c r="AB25" s="7" t="n">
        <x:v>40</x:v>
      </x:c>
      <x:c r="AC25" s="7" t="n">
        <x:v>0</x:v>
      </x:c>
      <x:c r="AD25" s="7" t="n">
        <x:v>1000</x:v>
      </x:c>
      <x:c r="AE25" s="7" t="n">
        <x:v>180</x:v>
      </x:c>
      <x:c r="AF25" s="13" t="b">
        <x:v>1</x:v>
      </x:c>
      <x:c r="AG25" s="7" t="n">
        <x:v>0.5</x:v>
      </x:c>
      <x:c r="AH25" s="7" t="n">
        <x:v>0.5</x:v>
      </x:c>
      <x:c r="AI25" s="7" t="n">
        <x:v>0.6</x:v>
      </x:c>
      <x:c r="AJ25" s="7" t="n">
        <x:v>0.29</x:v>
      </x:c>
      <x:c r="AK25" s="7" t="n">
        <x:v>0.1</x:v>
      </x:c>
      <x:c r="AL25" s="7" t="str">
        <x:v>shipbuildericons/ICO_AthenaTorpedoBay</x:v>
      </x:c>
      <x:c r="AM25" s="7" t="str">
        <x:v>shipweapons/torpedo_launcher</x:v>
      </x:c>
      <x:c r="AN25" s="7" t="str">
        <x:v>spacecombat/HeraTorpedo</x:v>
      </x:c>
      <x:c r="AO25" s="7" t="str">
        <x:v>spaceCombat/BigExplosion</x:v>
      </x:c>
      <x:c r="AP25" s="7" t="str">
        <x:v>event:/SFX/Game_SFX/Guns/trig_SFX_Torpedo_Launch</x:v>
      </x:c>
      <x:c r="AQ25" s="7" t="str">
        <x:v>event:/SFX/Game_SFX/Guns/trig_SFX_Fragmentation_Missile_Detonates_Ship</x:v>
      </x:c>
      <x:c r="AR25" s="7" t="str">
        <x:v>Nuclear Thermal Rocket</x:v>
      </x:c>
      <x:c r="AS25" s="7"/>
      <x:c r="AT25" s="7" t="n">
        <x:v>0.01</x:v>
      </x:c>
      <x:c r="AU25" s="7"/>
      <x:c r="AV25" s="7"/>
      <x:c r="AW25" s="7"/>
    </x:row>
    <x:row r="26" ht="23" customHeight="1">
      <x:c r="A26" s="2" t="str">
        <x:v>AresTorpedoBay</x:v>
      </x:c>
      <x:c r="B26" s="2" t="str">
        <x:v>Ares Torpedo Bay</x:v>
      </x:c>
      <x:c r="C26" s="2" t="str">
        <x:v>OneHull</x:v>
      </x:c>
      <x:c r="D26" s="2" t="n">
        <x:v>2</x:v>
      </x:c>
      <x:c r="E26" s="2" t="str">
        <x:v>Project_AresTorpedoBay</x:v>
      </x:c>
      <x:c r="F26" s="12" t="b">
        <x:v>1</x:v>
      </x:c>
      <x:c r="G26" s="12" t="b">
        <x:v>0</x:v>
      </x:c>
      <x:c r="H26" s="2" t="str">
        <x:v>Penetrator</x:v>
      </x:c>
      <x:c r="I26" s="2" t="n">
        <x:v>230300</x:v>
      </x:c>
      <x:c r="J26" s="2" t="n">
        <x:v>8.18</x:v>
      </x:c>
      <x:c r="K26" s="2" t="n">
        <x:v>4.89</x:v>
      </x:c>
      <x:c r="L26" s="2" t="n">
        <x:v>8.99</x:v>
      </x:c>
      <x:c r="M26" s="2" t="n">
        <x:v>10</x:v>
      </x:c>
      <x:c r="N26" s="2" t="n">
        <x:v>7</x:v>
      </x:c>
      <x:c r="O26" s="2"/>
      <x:c r="P26" s="2"/>
      <x:c r="Q26" s="2" t="n">
        <x:v>1</x:v>
      </x:c>
      <x:c r="R26" s="2" t="n">
        <x:v>0.6</x:v>
      </x:c>
      <x:c r="S26" s="2" t="n">
        <x:v>6</x:v>
      </x:c>
      <x:c r="T26" s="2" t="n">
        <x:v>4800</x:v>
      </x:c>
      <x:c r="U26" s="2" t="n">
        <x:v>3200</x:v>
      </x:c>
      <x:c r="V26" s="2" t="n">
        <x:v>400</x:v>
      </x:c>
      <x:c r="W26" s="2" t="n">
        <x:v>1200</x:v>
      </x:c>
      <x:c r="X26" s="2"/>
      <x:c r="Y26" s="2" t="n">
        <x:v>5</x:v>
      </x:c>
      <x:c r="Z26" s="2" t="n">
        <x:v>20</x:v>
      </x:c>
      <x:c r="AA26" s="2" t="n">
        <x:v>1</x:v>
      </x:c>
      <x:c r="AB26" s="2" t="n">
        <x:v>30</x:v>
      </x:c>
      <x:c r="AC26" s="2" t="n">
        <x:v>0</x:v>
      </x:c>
      <x:c r="AD26" s="2" t="n">
        <x:v>1000</x:v>
      </x:c>
      <x:c r="AE26" s="2" t="n">
        <x:v>180</x:v>
      </x:c>
      <x:c r="AF26" s="12" t="b">
        <x:v>1</x:v>
      </x:c>
      <x:c r="AG26" s="2" t="n">
        <x:v>0.5</x:v>
      </x:c>
      <x:c r="AH26" s="2" t="n">
        <x:v>0.5</x:v>
      </x:c>
      <x:c r="AI26" s="2" t="n">
        <x:v>0.6</x:v>
      </x:c>
      <x:c r="AJ26" s="2" t="n">
        <x:v>0.29</x:v>
      </x:c>
      <x:c r="AK26" s="2" t="n">
        <x:v>0.1</x:v>
      </x:c>
      <x:c r="AL26" s="2" t="str">
        <x:v>shipbuildericons/ICO_AresTorpedoBay</x:v>
      </x:c>
      <x:c r="AM26" s="2" t="str">
        <x:v>shipweapons/torpedo_launcher</x:v>
      </x:c>
      <x:c r="AN26" s="2" t="str">
        <x:v>spacecombat/HeraTorpedo</x:v>
      </x:c>
      <x:c r="AO26" s="2" t="str">
        <x:v>spaceCombat/ImpactWhite</x:v>
      </x:c>
      <x:c r="AP26" s="2" t="str">
        <x:v>event:/SFX/Game_SFX/Guns/trig_SFX_Torpedo_Launch</x:v>
      </x:c>
      <x:c r="AQ26" s="2" t="str">
        <x:v>event:/SFX/Game_SFX/Guns/trig_SFX_Fragmentation_Missile_Detonates_Ship</x:v>
      </x:c>
      <x:c r="AR26" s="2"/>
      <x:c r="AS26" s="2"/>
      <x:c r="AT26" s="2" t="n">
        <x:v>0.01</x:v>
      </x:c>
      <x:c r="AU26" s="2"/>
      <x:c r="AV26" s="2"/>
      <x:c r="AW26" s="2"/>
    </x:row>
    <x:row r="27" ht="23" customHeight="1">
      <x:c r="A27" s="7" t="str">
        <x:v>PoseidonTorpedoBay</x:v>
      </x:c>
      <x:c r="B27" s="7" t="str">
        <x:v>Hestia Torpedo Bay</x:v>
      </x:c>
      <x:c r="C27" s="7" t="str">
        <x:v>OneHull</x:v>
      </x:c>
      <x:c r="D27" s="7" t="n">
        <x:v>2</x:v>
      </x:c>
      <x:c r="E27" s="7" t="str">
        <x:v>Project_AresTorpedoBay</x:v>
      </x:c>
      <x:c r="F27" s="13" t="b">
        <x:v>1</x:v>
      </x:c>
      <x:c r="G27" s="13" t="b">
        <x:v>0</x:v>
      </x:c>
      <x:c r="H27" s="7" t="str">
        <x:v>Penetrator</x:v>
      </x:c>
      <x:c r="I27" s="7" t="n">
        <x:v>230300</x:v>
      </x:c>
      <x:c r="J27" s="7" t="n">
        <x:v>8.18</x:v>
      </x:c>
      <x:c r="K27" s="7" t="n">
        <x:v>4.89</x:v>
      </x:c>
      <x:c r="L27" s="7" t="n">
        <x:v>18.5</x:v>
      </x:c>
      <x:c r="M27" s="7" t="n">
        <x:v>10</x:v>
      </x:c>
      <x:c r="N27" s="7" t="n">
        <x:v>7</x:v>
      </x:c>
      <x:c r="O27" s="7"/>
      <x:c r="P27" s="7"/>
      <x:c r="Q27" s="7" t="n">
        <x:v>1</x:v>
      </x:c>
      <x:c r="R27" s="7" t="n">
        <x:v>0.6</x:v>
      </x:c>
      <x:c r="S27" s="7" t="n">
        <x:v>6</x:v>
      </x:c>
      <x:c r="T27" s="7" t="n">
        <x:v>4800</x:v>
      </x:c>
      <x:c r="U27" s="7" t="n">
        <x:v>4300</x:v>
      </x:c>
      <x:c r="V27" s="7" t="n">
        <x:v>400</x:v>
      </x:c>
      <x:c r="W27" s="7" t="n">
        <x:v>100</x:v>
      </x:c>
      <x:c r="X27" s="7"/>
      <x:c r="Y27" s="7" t="n">
        <x:v>5</x:v>
      </x:c>
      <x:c r="Z27" s="7" t="n">
        <x:v>20</x:v>
      </x:c>
      <x:c r="AA27" s="7" t="n">
        <x:v>1</x:v>
      </x:c>
      <x:c r="AB27" s="7" t="n">
        <x:v>30</x:v>
      </x:c>
      <x:c r="AC27" s="7" t="n">
        <x:v>0</x:v>
      </x:c>
      <x:c r="AD27" s="7" t="n">
        <x:v>1000</x:v>
      </x:c>
      <x:c r="AE27" s="7" t="n">
        <x:v>180</x:v>
      </x:c>
      <x:c r="AF27" s="13" t="b">
        <x:v>1</x:v>
      </x:c>
      <x:c r="AG27" s="7" t="n">
        <x:v>0.5</x:v>
      </x:c>
      <x:c r="AH27" s="7" t="n">
        <x:v>0.5</x:v>
      </x:c>
      <x:c r="AI27" s="7" t="n">
        <x:v>0.6</x:v>
      </x:c>
      <x:c r="AJ27" s="7" t="n">
        <x:v>0.29</x:v>
      </x:c>
      <x:c r="AK27" s="7" t="n">
        <x:v>0.1</x:v>
      </x:c>
      <x:c r="AL27" s="7" t="str">
        <x:v>shipbuildericons/ICO_PoseidonTorpedoBay</x:v>
      </x:c>
      <x:c r="AM27" s="7" t="str">
        <x:v>shipweapons/torpedo_launcher</x:v>
      </x:c>
      <x:c r="AN27" s="7" t="str">
        <x:v>spacecombat/HeraTorpedo</x:v>
      </x:c>
      <x:c r="AO27" s="7" t="str">
        <x:v>spaceCombat/ImpactWhite</x:v>
      </x:c>
      <x:c r="AP27" s="7" t="str">
        <x:v>event:/SFX/Game_SFX/Guns/trig_SFX_Torpedo_Launch</x:v>
      </x:c>
      <x:c r="AQ27" s="7" t="str">
        <x:v>event:/SFX/Game_SFX/Guns/trig_SFX_Fragmentation_Missile_Detonates_Ship</x:v>
      </x:c>
      <x:c r="AR27" s="7"/>
      <x:c r="AS27" s="7"/>
      <x:c r="AT27" s="7" t="n">
        <x:v>0.01</x:v>
      </x:c>
      <x:c r="AU27" s="7"/>
      <x:c r="AV27" s="7"/>
      <x:c r="AW27" s="7"/>
    </x:row>
    <x:row r="28" ht="23" customHeight="1">
      <x:c r="A28" s="2" t="str">
        <x:v>ZeusTorpedoBay</x:v>
      </x:c>
      <x:c r="B28" s="2" t="str">
        <x:v>Zeus Torpedo Bay</x:v>
      </x:c>
      <x:c r="C28" s="2" t="str">
        <x:v>OneHull</x:v>
      </x:c>
      <x:c r="D28" s="2" t="n">
        <x:v>2</x:v>
      </x:c>
      <x:c r="E28" s="2" t="str">
        <x:v>Project_ZeusTorpedoBay</x:v>
      </x:c>
      <x:c r="F28" s="12" t="b">
        <x:v>1</x:v>
      </x:c>
      <x:c r="G28" s="12" t="b">
        <x:v>0</x:v>
      </x:c>
      <x:c r="H28" s="2" t="str">
        <x:v>Fragmentation</x:v>
      </x:c>
      <x:c r="I28" s="2" t="n">
        <x:v>230300</x:v>
      </x:c>
      <x:c r="J28" s="2" t="n">
        <x:v>8.18</x:v>
      </x:c>
      <x:c r="K28" s="2" t="n">
        <x:v>4.89</x:v>
      </x:c>
      <x:c r="L28" s="2" t="n">
        <x:v>13.69</x:v>
      </x:c>
      <x:c r="M28" s="2" t="n">
        <x:v>10</x:v>
      </x:c>
      <x:c r="N28" s="2" t="n">
        <x:v>7</x:v>
      </x:c>
      <x:c r="O28" s="2"/>
      <x:c r="P28" s="2"/>
      <x:c r="Q28" s="2" t="n">
        <x:v>1</x:v>
      </x:c>
      <x:c r="R28" s="2" t="n">
        <x:v>0.5</x:v>
      </x:c>
      <x:c r="S28" s="2" t="n">
        <x:v>6</x:v>
      </x:c>
      <x:c r="T28" s="2" t="n">
        <x:v>4800</x:v>
      </x:c>
      <x:c r="U28" s="2" t="n">
        <x:v>3900</x:v>
      </x:c>
      <x:c r="V28" s="2" t="n">
        <x:v>400</x:v>
      </x:c>
      <x:c r="W28" s="2" t="n">
        <x:v>500</x:v>
      </x:c>
      <x:c r="X28" s="2"/>
      <x:c r="Y28" s="2" t="n">
        <x:v>5</x:v>
      </x:c>
      <x:c r="Z28" s="2" t="n">
        <x:v>20</x:v>
      </x:c>
      <x:c r="AA28" s="2" t="n">
        <x:v>1</x:v>
      </x:c>
      <x:c r="AB28" s="2" t="n">
        <x:v>35</x:v>
      </x:c>
      <x:c r="AC28" s="2" t="n">
        <x:v>0</x:v>
      </x:c>
      <x:c r="AD28" s="2" t="n">
        <x:v>1000</x:v>
      </x:c>
      <x:c r="AE28" s="2" t="n">
        <x:v>180</x:v>
      </x:c>
      <x:c r="AF28" s="12" t="b">
        <x:v>1</x:v>
      </x:c>
      <x:c r="AG28" s="2" t="n">
        <x:v>0.5</x:v>
      </x:c>
      <x:c r="AH28" s="2" t="n">
        <x:v>0.5</x:v>
      </x:c>
      <x:c r="AI28" s="2" t="n">
        <x:v>0.6</x:v>
      </x:c>
      <x:c r="AJ28" s="2" t="n">
        <x:v>0.29</x:v>
      </x:c>
      <x:c r="AK28" s="2" t="n">
        <x:v>0.1</x:v>
      </x:c>
      <x:c r="AL28" s="2" t="str">
        <x:v>shipbuildericons/ICO_ZeusTorpedoBay</x:v>
      </x:c>
      <x:c r="AM28" s="2" t="str">
        <x:v>shipweapons/torpedo_launcher</x:v>
      </x:c>
      <x:c r="AN28" s="2" t="str">
        <x:v>spacecombat/HeraTorpedo</x:v>
      </x:c>
      <x:c r="AO28" s="2" t="str">
        <x:v>spaceCombat/TinyExplosion</x:v>
      </x:c>
      <x:c r="AP28" s="2" t="str">
        <x:v>event:/SFX/Game_SFX/Guns/trig_SFX_Torpedo_Launch</x:v>
      </x:c>
      <x:c r="AQ28" s="2" t="str">
        <x:v>event:/SFX/Game_SFX/Guns/trig_SFX_Fragmentation_Missile_Detonates_Ship</x:v>
      </x:c>
      <x:c r="AR28" s="2"/>
      <x:c r="AS28" s="2"/>
      <x:c r="AT28" s="2" t="n">
        <x:v>0.01</x:v>
      </x:c>
      <x:c r="AU28" s="2"/>
      <x:c r="AV28" s="2"/>
      <x:c r="AW28" s="2"/>
    </x:row>
    <x:row r="29" ht="23" customHeight="1">
      <x:c r="A29" s="7" t="str">
        <x:v>CerebrusNuclearTorpedoBay</x:v>
      </x:c>
      <x:c r="B29" s="7" t="str">
        <x:v>Cerebrus Nuclear Torpedo Bay</x:v>
      </x:c>
      <x:c r="C29" s="7" t="str">
        <x:v>OneHull</x:v>
      </x:c>
      <x:c r="D29" s="7" t="n">
        <x:v>6</x:v>
      </x:c>
      <x:c r="E29" s="7" t="str">
        <x:v>Project_CerebrusNuclearTorpedoBay</x:v>
      </x:c>
      <x:c r="F29" s="13" t="b">
        <x:v>1</x:v>
      </x:c>
      <x:c r="G29" s="13" t="b">
        <x:v>0</x:v>
      </x:c>
      <x:c r="H29" s="7" t="str">
        <x:v>Nuclear</x:v>
      </x:c>
      <x:c r="I29" s="7" t="n">
        <x:v>351840</x:v>
      </x:c>
      <x:c r="J29" s="7" t="n">
        <x:v>3.23</x:v>
      </x:c>
      <x:c r="K29" s="7" t="n">
        <x:v>7.47</x:v>
      </x:c>
      <x:c r="L29" s="7" t="n">
        <x:v>6.41</x:v>
      </x:c>
      <x:c r="M29" s="7" t="n">
        <x:v>25</x:v>
      </x:c>
      <x:c r="N29" s="7" t="n">
        <x:v>7</x:v>
      </x:c>
      <x:c r="O29" s="7"/>
      <x:c r="P29" s="7"/>
      <x:c r="Q29" s="7" t="n">
        <x:v>1</x:v>
      </x:c>
      <x:c r="R29" s="7" t="n">
        <x:v>1</x:v>
      </x:c>
      <x:c r="S29" s="7" t="n">
        <x:v>4</x:v>
      </x:c>
      <x:c r="T29" s="7" t="n">
        <x:v>4800</x:v>
      </x:c>
      <x:c r="U29" s="7" t="n">
        <x:v>4140</x:v>
      </x:c>
      <x:c r="V29" s="7" t="n">
        <x:v>400</x:v>
      </x:c>
      <x:c r="W29" s="7" t="n">
        <x:v>260</x:v>
      </x:c>
      <x:c r="X29" s="7" t="n">
        <x:v>1129950000</x:v>
      </x:c>
      <x:c r="Y29" s="7" t="n">
        <x:v>8</x:v>
      </x:c>
      <x:c r="Z29" s="7" t="n">
        <x:v>20</x:v>
      </x:c>
      <x:c r="AA29" s="7" t="n">
        <x:v>1</x:v>
      </x:c>
      <x:c r="AB29" s="7" t="n">
        <x:v>40</x:v>
      </x:c>
      <x:c r="AC29" s="7" t="n">
        <x:v>50</x:v>
      </x:c>
      <x:c r="AD29" s="7" t="n">
        <x:v>1000</x:v>
      </x:c>
      <x:c r="AE29" s="7" t="n">
        <x:v>180</x:v>
      </x:c>
      <x:c r="AF29" s="13" t="b">
        <x:v>1</x:v>
      </x:c>
      <x:c r="AG29" s="7" t="n">
        <x:v>0.4</x:v>
      </x:c>
      <x:c r="AH29" s="7" t="n">
        <x:v>0.4</x:v>
      </x:c>
      <x:c r="AI29" s="7" t="n">
        <x:v>0.65</x:v>
      </x:c>
      <x:c r="AJ29" s="7" t="n">
        <x:v>0.27</x:v>
      </x:c>
      <x:c r="AK29" s="7" t="n">
        <x:v>0.07</x:v>
      </x:c>
      <x:c r="AL29" s="7" t="str">
        <x:v>shipbuildericons/ICO_CerebrusNuclearTorpedoBay</x:v>
      </x:c>
      <x:c r="AM29" s="7" t="str">
        <x:v>shipweapons/torpedo_launcher</x:v>
      </x:c>
      <x:c r="AN29" s="7" t="str">
        <x:v>spacecombat/HeraTorpedo</x:v>
      </x:c>
      <x:c r="AO29" s="7" t="str">
        <x:v>spaceCombat/SpaceNuke</x:v>
      </x:c>
      <x:c r="AP29" s="7" t="str">
        <x:v>event:/SFX/Game_SFX/Guns/trig_SFX_Torpedo_Launch</x:v>
      </x:c>
      <x:c r="AQ29" s="7" t="str">
        <x:v>event:/SFX/Game_SFX/Guns/trig_SFX_Nuclear_Warhead_Detonates</x:v>
      </x:c>
      <x:c r="AR29" s="7" t="str">
        <x:v>300 KT (B61) * Hypergolic</x:v>
      </x:c>
      <x:c r="AS29" s="7" t="n">
        <x:v>0.2</x:v>
      </x:c>
      <x:c r="AT29" s="7" t="n">
        <x:v>0.01</x:v>
      </x:c>
      <x:c r="AU29" s="7"/>
      <x:c r="AV29" s="7"/>
      <x:c r="AW29" s="7"/>
    </x:row>
    <x:row r="30" ht="23" customHeight="1">
      <x:c r="A30" s="2" t="str">
        <x:v>HadesNuclearTorpedoBay</x:v>
      </x:c>
      <x:c r="B30" s="2" t="str">
        <x:v>Hades Nuclear Torpedo Bay</x:v>
      </x:c>
      <x:c r="C30" s="2" t="str">
        <x:v>OneHull</x:v>
      </x:c>
      <x:c r="D30" s="2" t="n">
        <x:v>6</x:v>
      </x:c>
      <x:c r="E30" s="2" t="str">
        <x:v>Project_HadesNuclearTorpedoBay</x:v>
      </x:c>
      <x:c r="F30" s="12" t="b">
        <x:v>1</x:v>
      </x:c>
      <x:c r="G30" s="12" t="b">
        <x:v>0</x:v>
      </x:c>
      <x:c r="H30" s="2" t="str">
        <x:v>Nuclear</x:v>
      </x:c>
      <x:c r="I30" s="2" t="n">
        <x:v>430215</x:v>
      </x:c>
      <x:c r="J30" s="2" t="n">
        <x:v>4.45</x:v>
      </x:c>
      <x:c r="K30" s="2" t="n">
        <x:v>9.14</x:v>
      </x:c>
      <x:c r="L30" s="2" t="n">
        <x:v>7.7</x:v>
      </x:c>
      <x:c r="M30" s="2" t="n">
        <x:v>20</x:v>
      </x:c>
      <x:c r="N30" s="2" t="n">
        <x:v>7</x:v>
      </x:c>
      <x:c r="O30" s="2"/>
      <x:c r="P30" s="2"/>
      <x:c r="Q30" s="2" t="n">
        <x:v>1</x:v>
      </x:c>
      <x:c r="R30" s="2" t="n">
        <x:v>1</x:v>
      </x:c>
      <x:c r="S30" s="2" t="n">
        <x:v>4</x:v>
      </x:c>
      <x:c r="T30" s="2" t="n">
        <x:v>4800</x:v>
      </x:c>
      <x:c r="U30" s="2" t="n">
        <x:v>3950</x:v>
      </x:c>
      <x:c r="V30" s="2" t="n">
        <x:v>400</x:v>
      </x:c>
      <x:c r="W30" s="2" t="n">
        <x:v>450</x:v>
      </x:c>
      <x:c r="X30" s="2" t="n">
        <x:v>2448225000</x:v>
      </x:c>
      <x:c r="Y30" s="2" t="n">
        <x:v>8</x:v>
      </x:c>
      <x:c r="Z30" s="2" t="n">
        <x:v>20</x:v>
      </x:c>
      <x:c r="AA30" s="2" t="n">
        <x:v>1</x:v>
      </x:c>
      <x:c r="AB30" s="2" t="n">
        <x:v>40</x:v>
      </x:c>
      <x:c r="AC30" s="2" t="n">
        <x:v>100</x:v>
      </x:c>
      <x:c r="AD30" s="2" t="n">
        <x:v>1000</x:v>
      </x:c>
      <x:c r="AE30" s="2" t="n">
        <x:v>180</x:v>
      </x:c>
      <x:c r="AF30" s="12" t="b">
        <x:v>1</x:v>
      </x:c>
      <x:c r="AG30" s="2" t="n">
        <x:v>0.4</x:v>
      </x:c>
      <x:c r="AH30" s="2" t="n">
        <x:v>0.4</x:v>
      </x:c>
      <x:c r="AI30" s="2" t="n">
        <x:v>0.62</x:v>
      </x:c>
      <x:c r="AJ30" s="2" t="n">
        <x:v>0.29</x:v>
      </x:c>
      <x:c r="AK30" s="2" t="n">
        <x:v>0.08</x:v>
      </x:c>
      <x:c r="AL30" s="2" t="str">
        <x:v>shipbuildericons/ICO_HadesNuclearTorpedoBay</x:v>
      </x:c>
      <x:c r="AM30" s="2" t="str">
        <x:v>shipweapons/torpedo_launcher</x:v>
      </x:c>
      <x:c r="AN30" s="2" t="str">
        <x:v>spacecombat/HeraTorpedo</x:v>
      </x:c>
      <x:c r="AO30" s="2" t="str">
        <x:v>spaceCombat/SpaceNuke</x:v>
      </x:c>
      <x:c r="AP30" s="2" t="str">
        <x:v>event:/SFX/Game_SFX/Guns/trig_SFX_Torpedo_Launch</x:v>
      </x:c>
      <x:c r="AQ30" s="2" t="str">
        <x:v>event:/SFX/Game_SFX/Guns/trig_SFX_Nuclear_Warhead_Detonates</x:v>
      </x:c>
      <x:c r="AR30" s="2" t="str">
        <x:v>600 KT * Hydrolox</x:v>
      </x:c>
      <x:c r="AS30" s="2" t="n">
        <x:v>0.2</x:v>
      </x:c>
      <x:c r="AT30" s="2" t="n">
        <x:v>0.01</x:v>
      </x:c>
      <x:c r="AU30" s="2"/>
      <x:c r="AV30" s="2"/>
      <x:c r="AW30" s="2"/>
    </x:row>
    <x:row r="31" ht="23" customHeight="1">
      <x:c r="A31" s="7" t="str">
        <x:v>NemesisNuclearTorpedoBay</x:v>
      </x:c>
      <x:c r="B31" s="7" t="str">
        <x:v>Nemesis Nuclear Torpedo Bay</x:v>
      </x:c>
      <x:c r="C31" s="7" t="str">
        <x:v>OneHull</x:v>
      </x:c>
      <x:c r="D31" s="7" t="n">
        <x:v>6</x:v>
      </x:c>
      <x:c r="E31" s="7" t="str">
        <x:v>Project_NemesisNuclearTorpedoBay</x:v>
      </x:c>
      <x:c r="F31" s="13" t="b">
        <x:v>1</x:v>
      </x:c>
      <x:c r="G31" s="13" t="b">
        <x:v>0</x:v>
      </x:c>
      <x:c r="H31" s="7" t="str">
        <x:v>Nuclear</x:v>
      </x:c>
      <x:c r="I31" s="7" t="n">
        <x:v>230300</x:v>
      </x:c>
      <x:c r="J31" s="7" t="n">
        <x:v>8.18</x:v>
      </x:c>
      <x:c r="K31" s="7" t="n">
        <x:v>4.89</x:v>
      </x:c>
      <x:c r="L31" s="7" t="n">
        <x:v>10.69</x:v>
      </x:c>
      <x:c r="M31" s="7" t="n">
        <x:v>20</x:v>
      </x:c>
      <x:c r="N31" s="7" t="n">
        <x:v>7</x:v>
      </x:c>
      <x:c r="O31" s="7"/>
      <x:c r="P31" s="7"/>
      <x:c r="Q31" s="7" t="n">
        <x:v>1</x:v>
      </x:c>
      <x:c r="R31" s="7" t="n">
        <x:v>1</x:v>
      </x:c>
      <x:c r="S31" s="7" t="n">
        <x:v>4</x:v>
      </x:c>
      <x:c r="T31" s="7" t="n">
        <x:v>4800</x:v>
      </x:c>
      <x:c r="U31" s="7" t="n">
        <x:v>3500</x:v>
      </x:c>
      <x:c r="V31" s="7" t="n">
        <x:v>400</x:v>
      </x:c>
      <x:c r="W31" s="7" t="n">
        <x:v>900</x:v>
      </x:c>
      <x:c r="X31" s="7" t="n">
        <x:v>4519800000</x:v>
      </x:c>
      <x:c r="Y31" s="7" t="n">
        <x:v>5</x:v>
      </x:c>
      <x:c r="Z31" s="7" t="n">
        <x:v>20</x:v>
      </x:c>
      <x:c r="AA31" s="7" t="n">
        <x:v>1</x:v>
      </x:c>
      <x:c r="AB31" s="7" t="n">
        <x:v>40</x:v>
      </x:c>
      <x:c r="AC31" s="7" t="n">
        <x:v>500</x:v>
      </x:c>
      <x:c r="AD31" s="7" t="n">
        <x:v>1000</x:v>
      </x:c>
      <x:c r="AE31" s="7" t="n">
        <x:v>180</x:v>
      </x:c>
      <x:c r="AF31" s="13" t="b">
        <x:v>1</x:v>
      </x:c>
      <x:c r="AG31" s="7" t="n">
        <x:v>0.4</x:v>
      </x:c>
      <x:c r="AH31" s="7" t="n">
        <x:v>0.4</x:v>
      </x:c>
      <x:c r="AI31" s="7" t="n">
        <x:v>0.52</x:v>
      </x:c>
      <x:c r="AJ31" s="7" t="n">
        <x:v>0.29</x:v>
      </x:c>
      <x:c r="AK31" s="7" t="n">
        <x:v>0.18</x:v>
      </x:c>
      <x:c r="AL31" s="7" t="str">
        <x:v>shipbuildericons/ICO_NemesisNuclearTorpedoBay</x:v>
      </x:c>
      <x:c r="AM31" s="7" t="str">
        <x:v>shipweapons/torpedo_launcher</x:v>
      </x:c>
      <x:c r="AN31" s="7" t="str">
        <x:v>spacecombat/HeraTorpedo</x:v>
      </x:c>
      <x:c r="AO31" s="7" t="str">
        <x:v>spaceCombat/SpaceNuke</x:v>
      </x:c>
      <x:c r="AP31" s="7" t="str">
        <x:v>event:/SFX/Game_SFX/Guns/trig_SFX_Torpedo_Launch</x:v>
      </x:c>
      <x:c r="AQ31" s="7" t="str">
        <x:v>event:/SFX/Game_SFX/Guns/trig_SFX_Nuclear_Warhead_Detonates</x:v>
      </x:c>
      <x:c r="AR31" s="7" t="str">
        <x:v>1.2 MT * NTR</x:v>
      </x:c>
      <x:c r="AS31" s="7" t="n">
        <x:v>0.2</x:v>
      </x:c>
      <x:c r="AT31" s="7" t="n">
        <x:v>0.01</x:v>
      </x:c>
      <x:c r="AU31" s="7"/>
      <x:c r="AV31" s="7"/>
      <x:c r="AW31" s="7"/>
    </x:row>
    <x:row r="32" ht="23" customHeight="1">
      <x:c r="A32" s="2" t="str">
        <x:v>OlympusNuclearTorpedoBay</x:v>
      </x:c>
      <x:c r="B32" s="2" t="str">
        <x:v>Olympus Nuclear Torpedo Bay</x:v>
      </x:c>
      <x:c r="C32" s="2" t="str">
        <x:v>OneHull</x:v>
      </x:c>
      <x:c r="D32" s="2" t="n">
        <x:v>6</x:v>
      </x:c>
      <x:c r="E32" s="2" t="str">
        <x:v>Project_OlympusNuclearTorpedoBay</x:v>
      </x:c>
      <x:c r="F32" s="12" t="b">
        <x:v>1</x:v>
      </x:c>
      <x:c r="G32" s="12" t="b">
        <x:v>0</x:v>
      </x:c>
      <x:c r="H32" s="2" t="str">
        <x:v>ShapedNuclear</x:v>
      </x:c>
      <x:c r="I32" s="2" t="n">
        <x:v>230300</x:v>
      </x:c>
      <x:c r="J32" s="2" t="n">
        <x:v>8.18</x:v>
      </x:c>
      <x:c r="K32" s="2" t="n">
        <x:v>4.89</x:v>
      </x:c>
      <x:c r="L32" s="2" t="n">
        <x:v>10.69</x:v>
      </x:c>
      <x:c r="M32" s="2" t="n">
        <x:v>20</x:v>
      </x:c>
      <x:c r="N32" s="2" t="n">
        <x:v>7</x:v>
      </x:c>
      <x:c r="O32" s="2"/>
      <x:c r="P32" s="2"/>
      <x:c r="Q32" s="2" t="n">
        <x:v>1</x:v>
      </x:c>
      <x:c r="R32" s="2" t="n">
        <x:v>1</x:v>
      </x:c>
      <x:c r="S32" s="2" t="n">
        <x:v>4</x:v>
      </x:c>
      <x:c r="T32" s="2" t="n">
        <x:v>4800</x:v>
      </x:c>
      <x:c r="U32" s="2" t="n">
        <x:v>3500</x:v>
      </x:c>
      <x:c r="V32" s="2" t="n">
        <x:v>500</x:v>
      </x:c>
      <x:c r="W32" s="2" t="n">
        <x:v>800</x:v>
      </x:c>
      <x:c r="X32" s="2" t="n">
        <x:v>4185000000</x:v>
      </x:c>
      <x:c r="Y32" s="2" t="n">
        <x:v>5</x:v>
      </x:c>
      <x:c r="Z32" s="2" t="n">
        <x:v>20</x:v>
      </x:c>
      <x:c r="AA32" s="2" t="n">
        <x:v>1</x:v>
      </x:c>
      <x:c r="AB32" s="2" t="n">
        <x:v>40</x:v>
      </x:c>
      <x:c r="AC32" s="2" t="n">
        <x:v>500</x:v>
      </x:c>
      <x:c r="AD32" s="2" t="n">
        <x:v>1000</x:v>
      </x:c>
      <x:c r="AE32" s="2" t="n">
        <x:v>180</x:v>
      </x:c>
      <x:c r="AF32" s="12" t="b">
        <x:v>1</x:v>
      </x:c>
      <x:c r="AG32" s="2" t="n">
        <x:v>0.4</x:v>
      </x:c>
      <x:c r="AH32" s="2" t="n">
        <x:v>0.4</x:v>
      </x:c>
      <x:c r="AI32" s="2" t="n">
        <x:v>0.5</x:v>
      </x:c>
      <x:c r="AJ32" s="2" t="n">
        <x:v>0.22</x:v>
      </x:c>
      <x:c r="AK32" s="2" t="n">
        <x:v>0.26</x:v>
      </x:c>
      <x:c r="AL32" s="2" t="str">
        <x:v>shipbuildericons/ICO_OlympusNuclearTorpedoBay</x:v>
      </x:c>
      <x:c r="AM32" s="2" t="str">
        <x:v>shipweapons/torpedo_launcher</x:v>
      </x:c>
      <x:c r="AN32" s="2" t="str">
        <x:v>spacecombat/HeraTorpedo</x:v>
      </x:c>
      <x:c r="AO32" s="2" t="str">
        <x:v>spaceCombat/CasabaHowitzer</x:v>
      </x:c>
      <x:c r="AP32" s="2" t="str">
        <x:v>event:/SFX/Game_SFX/Guns/trig_SFX_Torpedo_Launch</x:v>
      </x:c>
      <x:c r="AQ32" s="2" t="str">
        <x:v>event:/SFX/Game_SFX/Guns/trig_SFX_Nuclear_Warhead_Detonates</x:v>
      </x:c>
      <x:c r="AR32" s="2" t="str">
        <x:v>1 MT shaped</x:v>
      </x:c>
      <x:c r="AS32" s="2" t="n">
        <x:v>0.2</x:v>
      </x:c>
      <x:c r="AT32" s="2" t="n">
        <x:v>0.02</x:v>
      </x:c>
      <x:c r="AU32" s="2" t="n">
        <x:v>0.2</x:v>
      </x:c>
      <x:c r="AV32" s="2"/>
      <x:c r="AW32" s="2"/>
    </x:row>
    <x:row r="33" ht="23" customHeight="1">
      <x:c r="A33" s="7" t="str">
        <x:v>AcheronNuclearTorpedoBay</x:v>
      </x:c>
      <x:c r="B33" s="7" t="str">
        <x:v>Acheron Nuclear Torpedo Bay</x:v>
      </x:c>
      <x:c r="C33" s="7" t="str">
        <x:v>OneHull</x:v>
      </x:c>
      <x:c r="D33" s="7" t="n">
        <x:v>6</x:v>
      </x:c>
      <x:c r="E33" s="7" t="str">
        <x:v>Project_AcheronNuclearTorpedoBay</x:v>
      </x:c>
      <x:c r="F33" s="13" t="b">
        <x:v>1</x:v>
      </x:c>
      <x:c r="G33" s="13" t="b">
        <x:v>0</x:v>
      </x:c>
      <x:c r="H33" s="7" t="str">
        <x:v>ShapedNuclear</x:v>
      </x:c>
      <x:c r="I33" s="7" t="n">
        <x:v>230300</x:v>
      </x:c>
      <x:c r="J33" s="7" t="n">
        <x:v>8.18</x:v>
      </x:c>
      <x:c r="K33" s="7" t="n">
        <x:v>4.89</x:v>
      </x:c>
      <x:c r="L33" s="7" t="n">
        <x:v>10.08</x:v>
      </x:c>
      <x:c r="M33" s="7" t="n">
        <x:v>20</x:v>
      </x:c>
      <x:c r="N33" s="7" t="n">
        <x:v>7</x:v>
      </x:c>
      <x:c r="O33" s="7"/>
      <x:c r="P33" s="7"/>
      <x:c r="Q33" s="7" t="n">
        <x:v>1</x:v>
      </x:c>
      <x:c r="R33" s="7" t="n">
        <x:v>1</x:v>
      </x:c>
      <x:c r="S33" s="7" t="n">
        <x:v>4</x:v>
      </x:c>
      <x:c r="T33" s="7" t="n">
        <x:v>4800</x:v>
      </x:c>
      <x:c r="U33" s="7" t="n">
        <x:v>3400</x:v>
      </x:c>
      <x:c r="V33" s="7" t="n">
        <x:v>600</x:v>
      </x:c>
      <x:c r="W33" s="7" t="n">
        <x:v>800</x:v>
      </x:c>
      <x:c r="X33" s="7" t="n">
        <x:v>4185000000</x:v>
      </x:c>
      <x:c r="Y33" s="7" t="n">
        <x:v>5</x:v>
      </x:c>
      <x:c r="Z33" s="7" t="n">
        <x:v>20</x:v>
      </x:c>
      <x:c r="AA33" s="7" t="n">
        <x:v>1</x:v>
      </x:c>
      <x:c r="AB33" s="7" t="n">
        <x:v>40</x:v>
      </x:c>
      <x:c r="AC33" s="7" t="n">
        <x:v>500</x:v>
      </x:c>
      <x:c r="AD33" s="7" t="n">
        <x:v>1000</x:v>
      </x:c>
      <x:c r="AE33" s="7" t="n">
        <x:v>180</x:v>
      </x:c>
      <x:c r="AF33" s="13" t="b">
        <x:v>1</x:v>
      </x:c>
      <x:c r="AG33" s="7" t="n">
        <x:v>0.4</x:v>
      </x:c>
      <x:c r="AH33" s="7" t="n">
        <x:v>0.4</x:v>
      </x:c>
      <x:c r="AI33" s="7" t="n">
        <x:v>0.5</x:v>
      </x:c>
      <x:c r="AJ33" s="7" t="n">
        <x:v>0.2</x:v>
      </x:c>
      <x:c r="AK33" s="7" t="n">
        <x:v>0.28</x:v>
      </x:c>
      <x:c r="AL33" s="7" t="str">
        <x:v>shipbuildericons/ICO_AcheronNuclearTorpedoBay</x:v>
      </x:c>
      <x:c r="AM33" s="7" t="str">
        <x:v>shipweapons/torpedo_launcher</x:v>
      </x:c>
      <x:c r="AN33" s="7" t="str">
        <x:v>spacecombat/HeraTorpedo</x:v>
      </x:c>
      <x:c r="AO33" s="7" t="str">
        <x:v>spaceCombat/CasabaHowitzer</x:v>
      </x:c>
      <x:c r="AP33" s="7" t="str">
        <x:v>event:/SFX/Game_SFX/Guns/trig_SFX_Torpedo_Launch</x:v>
      </x:c>
      <x:c r="AQ33" s="7" t="str">
        <x:v>event:/SFX/Game_SFX/Guns/trig_SFX_Nuclear_Warhead_Detonates</x:v>
      </x:c>
      <x:c r="AR33" s="7" t="str">
        <x:v>1 MT shaped</x:v>
      </x:c>
      <x:c r="AS33" s="7" t="n">
        <x:v>0.2</x:v>
      </x:c>
      <x:c r="AT33" s="7" t="n">
        <x:v>0.02</x:v>
      </x:c>
      <x:c r="AU33" s="7" t="n">
        <x:v>0.15</x:v>
      </x:c>
      <x:c r="AV33" s="7"/>
      <x:c r="AW33" s="7"/>
    </x:row>
    <x:row r="34" ht="23" customHeight="1">
      <x:c r="A34" s="2" t="str">
        <x:v>TartarusNuclearTorpedoBay</x:v>
      </x:c>
      <x:c r="B34" s="2" t="str">
        <x:v>Tartarus Nuclear Torpedo Bay</x:v>
      </x:c>
      <x:c r="C34" s="2" t="str">
        <x:v>OneHull</x:v>
      </x:c>
      <x:c r="D34" s="2" t="n">
        <x:v>6</x:v>
      </x:c>
      <x:c r="E34" s="2" t="str">
        <x:v>Project_TartarusNuclearTorpedoBay</x:v>
      </x:c>
      <x:c r="F34" s="12" t="b">
        <x:v>1</x:v>
      </x:c>
      <x:c r="G34" s="12" t="b">
        <x:v>0</x:v>
      </x:c>
      <x:c r="H34" s="2" t="str">
        <x:v>ShapedNuclear</x:v>
      </x:c>
      <x:c r="I34" s="2" t="n">
        <x:v>230300</x:v>
      </x:c>
      <x:c r="J34" s="2" t="n">
        <x:v>8.18</x:v>
      </x:c>
      <x:c r="K34" s="2" t="n">
        <x:v>4.89</x:v>
      </x:c>
      <x:c r="L34" s="2" t="n">
        <x:v>9.51</x:v>
      </x:c>
      <x:c r="M34" s="2" t="n">
        <x:v>20</x:v>
      </x:c>
      <x:c r="N34" s="2" t="n">
        <x:v>7</x:v>
      </x:c>
      <x:c r="O34" s="2"/>
      <x:c r="P34" s="2"/>
      <x:c r="Q34" s="2" t="n">
        <x:v>1</x:v>
      </x:c>
      <x:c r="R34" s="2" t="n">
        <x:v>1</x:v>
      </x:c>
      <x:c r="S34" s="2" t="n">
        <x:v>4</x:v>
      </x:c>
      <x:c r="T34" s="2" t="n">
        <x:v>4800</x:v>
      </x:c>
      <x:c r="U34" s="2" t="n">
        <x:v>3300</x:v>
      </x:c>
      <x:c r="V34" s="2" t="n">
        <x:v>700</x:v>
      </x:c>
      <x:c r="W34" s="2" t="n">
        <x:v>800</x:v>
      </x:c>
      <x:c r="X34" s="2" t="n">
        <x:v>4185000000</x:v>
      </x:c>
      <x:c r="Y34" s="2" t="n">
        <x:v>5</x:v>
      </x:c>
      <x:c r="Z34" s="2" t="n">
        <x:v>20</x:v>
      </x:c>
      <x:c r="AA34" s="2" t="n">
        <x:v>1</x:v>
      </x:c>
      <x:c r="AB34" s="2" t="n">
        <x:v>40</x:v>
      </x:c>
      <x:c r="AC34" s="2" t="n">
        <x:v>500</x:v>
      </x:c>
      <x:c r="AD34" s="2" t="n">
        <x:v>1000</x:v>
      </x:c>
      <x:c r="AE34" s="2" t="n">
        <x:v>180</x:v>
      </x:c>
      <x:c r="AF34" s="12" t="b">
        <x:v>1</x:v>
      </x:c>
      <x:c r="AG34" s="2" t="n">
        <x:v>0.4</x:v>
      </x:c>
      <x:c r="AH34" s="2" t="n">
        <x:v>0.4</x:v>
      </x:c>
      <x:c r="AI34" s="2" t="n">
        <x:v>0.5</x:v>
      </x:c>
      <x:c r="AJ34" s="2" t="n">
        <x:v>0.169</x:v>
      </x:c>
      <x:c r="AK34" s="2" t="n">
        <x:v>0.31</x:v>
      </x:c>
      <x:c r="AL34" s="2" t="str">
        <x:v>shipbuildericons/ICO_TartarusNuclearTorpedoBay</x:v>
      </x:c>
      <x:c r="AM34" s="2" t="str">
        <x:v>shipweapons/torpedo_launcher</x:v>
      </x:c>
      <x:c r="AN34" s="2" t="str">
        <x:v>spacecombat/HeraTorpedo</x:v>
      </x:c>
      <x:c r="AO34" s="2" t="str">
        <x:v>spaceCombat/CasabaHowitzer</x:v>
      </x:c>
      <x:c r="AP34" s="2" t="str">
        <x:v>event:/SFX/Game_SFX/Guns/trig_SFX_Torpedo_Launch</x:v>
      </x:c>
      <x:c r="AQ34" s="2" t="str">
        <x:v>event:/SFX/Game_SFX/Guns/trig_SFX_Nuclear_Warhead_Detonates</x:v>
      </x:c>
      <x:c r="AR34" s="2" t="str">
        <x:v>1 MT shaped</x:v>
      </x:c>
      <x:c r="AS34" s="2" t="n">
        <x:v>0.2</x:v>
      </x:c>
      <x:c r="AT34" s="2" t="n">
        <x:v>0.02</x:v>
      </x:c>
      <x:c r="AU34" s="2" t="n">
        <x:v>0.125</x:v>
      </x:c>
      <x:c r="AV34" s="2" t="n">
        <x:v>0.001</x:v>
      </x:c>
      <x:c r="AW34" s="2"/>
    </x:row>
    <x:row r="35" ht="23" customHeight="1">
      <x:c r="A35" s="7" t="str">
        <x:v>StyxNuclearTorpedoBay</x:v>
      </x:c>
      <x:c r="B35" s="7" t="str">
        <x:v>Styx Nuclear Torpedo Bay</x:v>
      </x:c>
      <x:c r="C35" s="7" t="str">
        <x:v>OneHull</x:v>
      </x:c>
      <x:c r="D35" s="7" t="n">
        <x:v>6</x:v>
      </x:c>
      <x:c r="E35" s="7" t="str">
        <x:v>Project_StyxNuclearTorpedoBay</x:v>
      </x:c>
      <x:c r="F35" s="13" t="b">
        <x:v>1</x:v>
      </x:c>
      <x:c r="G35" s="13" t="b">
        <x:v>0</x:v>
      </x:c>
      <x:c r="H35" s="7" t="str">
        <x:v>ShapedNuclear</x:v>
      </x:c>
      <x:c r="I35" s="7" t="n">
        <x:v>230300</x:v>
      </x:c>
      <x:c r="J35" s="7" t="n">
        <x:v>8.18</x:v>
      </x:c>
      <x:c r="K35" s="7" t="n">
        <x:v>4.89</x:v>
      </x:c>
      <x:c r="L35" s="7" t="n">
        <x:v>8.99</x:v>
      </x:c>
      <x:c r="M35" s="7" t="n">
        <x:v>20</x:v>
      </x:c>
      <x:c r="N35" s="7" t="n">
        <x:v>7</x:v>
      </x:c>
      <x:c r="O35" s="7"/>
      <x:c r="P35" s="7"/>
      <x:c r="Q35" s="7" t="n">
        <x:v>1</x:v>
      </x:c>
      <x:c r="R35" s="7" t="n">
        <x:v>1</x:v>
      </x:c>
      <x:c r="S35" s="7" t="n">
        <x:v>4</x:v>
      </x:c>
      <x:c r="T35" s="7" t="n">
        <x:v>4800</x:v>
      </x:c>
      <x:c r="U35" s="7" t="n">
        <x:v>3200</x:v>
      </x:c>
      <x:c r="V35" s="7" t="n">
        <x:v>800</x:v>
      </x:c>
      <x:c r="W35" s="7" t="n">
        <x:v>800</x:v>
      </x:c>
      <x:c r="X35" s="7" t="n">
        <x:v>4185000000</x:v>
      </x:c>
      <x:c r="Y35" s="7" t="n">
        <x:v>5</x:v>
      </x:c>
      <x:c r="Z35" s="7" t="n">
        <x:v>20</x:v>
      </x:c>
      <x:c r="AA35" s="7" t="n">
        <x:v>1</x:v>
      </x:c>
      <x:c r="AB35" s="7" t="n">
        <x:v>40</x:v>
      </x:c>
      <x:c r="AC35" s="7" t="n">
        <x:v>500</x:v>
      </x:c>
      <x:c r="AD35" s="7" t="n">
        <x:v>1000</x:v>
      </x:c>
      <x:c r="AE35" s="7" t="n">
        <x:v>180</x:v>
      </x:c>
      <x:c r="AF35" s="13" t="b">
        <x:v>1</x:v>
      </x:c>
      <x:c r="AG35" s="7" t="n">
        <x:v>0.4</x:v>
      </x:c>
      <x:c r="AH35" s="7" t="n">
        <x:v>0.4</x:v>
      </x:c>
      <x:c r="AI35" s="7" t="n">
        <x:v>0.5</x:v>
      </x:c>
      <x:c r="AJ35" s="7" t="n">
        <x:v>0.168</x:v>
      </x:c>
      <x:c r="AK35" s="7" t="n">
        <x:v>0.31</x:v>
      </x:c>
      <x:c r="AL35" s="7" t="str">
        <x:v>shipbuildericons/ICO_StyxNuclearTorpedoBay</x:v>
      </x:c>
      <x:c r="AM35" s="7" t="str">
        <x:v>shipweapons/torpedo_launcher</x:v>
      </x:c>
      <x:c r="AN35" s="7" t="str">
        <x:v>spacecombat/HeraTorpedo</x:v>
      </x:c>
      <x:c r="AO35" s="7" t="str">
        <x:v>spaceCombat/CasabaHowitzer</x:v>
      </x:c>
      <x:c r="AP35" s="7" t="str">
        <x:v>event:/SFX/Game_SFX/Guns/trig_SFX_Torpedo_Launch</x:v>
      </x:c>
      <x:c r="AQ35" s="7" t="str">
        <x:v>event:/SFX/Game_SFX/Guns/trig_SFX_Nuclear_Warhead_Detonates</x:v>
      </x:c>
      <x:c r="AR35" s="7" t="str">
        <x:v>1 MT shaped</x:v>
      </x:c>
      <x:c r="AS35" s="7" t="n">
        <x:v>0.2</x:v>
      </x:c>
      <x:c r="AT35" s="7" t="n">
        <x:v>0.02</x:v>
      </x:c>
      <x:c r="AU35" s="7" t="n">
        <x:v>0.085</x:v>
      </x:c>
      <x:c r="AV35" s="7" t="n">
        <x:v>0.002</x:v>
      </x:c>
      <x:c r="AW35" s="7"/>
    </x:row>
    <x:row r="36" ht="23" customHeight="1">
      <x:c r="A36" s="2" t="str">
        <x:v>AntimatterTorpedoLauncher</x:v>
      </x:c>
      <x:c r="B36" s="2" t="str">
        <x:v>Antimatter Torpedo Launcher</x:v>
      </x:c>
      <x:c r="C36" s="2" t="str">
        <x:v>OneHull</x:v>
      </x:c>
      <x:c r="D36" s="2" t="n">
        <x:v>6</x:v>
      </x:c>
      <x:c r="E36" s="2" t="str">
        <x:v>Project_AntimatterTorpedoLauncher</x:v>
      </x:c>
      <x:c r="F36" s="12" t="b">
        <x:v>1</x:v>
      </x:c>
      <x:c r="G36" s="12" t="b">
        <x:v>0</x:v>
      </x:c>
      <x:c r="H36" s="2" t="str">
        <x:v>Antimatter</x:v>
      </x:c>
      <x:c r="I36" s="2" t="n">
        <x:v>230300</x:v>
      </x:c>
      <x:c r="J36" s="2" t="n">
        <x:v>8.18</x:v>
      </x:c>
      <x:c r="K36" s="2" t="n">
        <x:v>4.89</x:v>
      </x:c>
      <x:c r="L36" s="2" t="n">
        <x:v>14.64</x:v>
      </x:c>
      <x:c r="M36" s="2" t="n">
        <x:v>50</x:v>
      </x:c>
      <x:c r="N36" s="2" t="n">
        <x:v>7</x:v>
      </x:c>
      <x:c r="O36" s="2"/>
      <x:c r="P36" s="2"/>
      <x:c r="Q36" s="2" t="n">
        <x:v>1</x:v>
      </x:c>
      <x:c r="R36" s="2" t="n">
        <x:v>0.25</x:v>
      </x:c>
      <x:c r="S36" s="2" t="n">
        <x:v>4</x:v>
      </x:c>
      <x:c r="T36" s="2" t="n">
        <x:v>4800</x:v>
      </x:c>
      <x:c r="U36" s="2" t="n">
        <x:v>3998</x:v>
      </x:c>
      <x:c r="V36" s="2" t="n">
        <x:v>800</x:v>
      </x:c>
      <x:c r="W36" s="2" t="n">
        <x:v>2</x:v>
      </x:c>
      <x:c r="X36" s="2" t="n">
        <x:v>22470010000</x:v>
      </x:c>
      <x:c r="Y36" s="2" t="n">
        <x:v>5</x:v>
      </x:c>
      <x:c r="Z36" s="2" t="n">
        <x:v>20</x:v>
      </x:c>
      <x:c r="AA36" s="2" t="n">
        <x:v>1</x:v>
      </x:c>
      <x:c r="AB36" s="2" t="n">
        <x:v>40</x:v>
      </x:c>
      <x:c r="AC36" s="2" t="n">
        <x:v>1000</x:v>
      </x:c>
      <x:c r="AD36" s="2" t="n">
        <x:v>1000</x:v>
      </x:c>
      <x:c r="AE36" s="2" t="n">
        <x:v>180</x:v>
      </x:c>
      <x:c r="AF36" s="12" t="b">
        <x:v>1</x:v>
      </x:c>
      <x:c r="AG36" s="2" t="n">
        <x:v>0.4</x:v>
      </x:c>
      <x:c r="AH36" s="2" t="n">
        <x:v>0.4</x:v>
      </x:c>
      <x:c r="AI36" s="2" t="n">
        <x:v>0.5</x:v>
      </x:c>
      <x:c r="AJ36" s="2" t="n">
        <x:v>0.309975</x:v>
      </x:c>
      <x:c r="AK36" s="2" t="n">
        <x:v>0.18</x:v>
      </x:c>
      <x:c r="AL36" s="2" t="str">
        <x:v>shipbuildericons/ICO_AntimatterTorpedoLauncher</x:v>
      </x:c>
      <x:c r="AM36" s="2" t="str">
        <x:v>shipweapons/torpedo_launcher</x:v>
      </x:c>
      <x:c r="AN36" s="2" t="str">
        <x:v>spacecombat/HeraTorpedo</x:v>
      </x:c>
      <x:c r="AO36" s="2" t="str">
        <x:v>spaceCombat/SpaceNuke</x:v>
      </x:c>
      <x:c r="AP36" s="2" t="str">
        <x:v>event:/SFX/Game_SFX/Guns/trig_SFX_Torpedo_Launch</x:v>
      </x:c>
      <x:c r="AQ36" s="2" t="str">
        <x:v>event:/SFX/Game_SFX/Guns/trig_SFX_Antimatter_Warhead_Detonates</x:v>
      </x:c>
      <x:c r="AR36" s="2" t="str">
        <x:v>250 grams of antimatter</x:v>
      </x:c>
      <x:c r="AS36" s="2" t="n">
        <x:v>0.2</x:v>
      </x:c>
      <x:c r="AT36" s="2" t="n">
        <x:v>0.01</x:v>
      </x:c>
      <x:c r="AU36" s="2"/>
      <x:c r="AV36" s="2"/>
      <x:c r="AW36" s="2" t="n">
        <x:v>0.000025</x:v>
      </x:c>
    </x:row>
    <x:row r="37" ht="23" customHeight="1">
      <x:c r="A37" s="7" t="str">
        <x:v>KraitMissilePod</x:v>
      </x:c>
      <x:c r="B37" s="7" t="str">
        <x:v>Krait Missile Pod</x:v>
      </x:c>
      <x:c r="C37" s="7" t="str">
        <x:v>HalfHull</x:v>
      </x:c>
      <x:c r="D37" s="7" t="n">
        <x:v>0</x:v>
      </x:c>
      <x:c r="E37" s="7"/>
      <x:c r="F37" s="13" t="b">
        <x:v>1</x:v>
      </x:c>
      <x:c r="G37" s="13" t="b">
        <x:v>0</x:v>
      </x:c>
      <x:c r="H37" s="7" t="str">
        <x:v>Explosive</x:v>
      </x:c>
      <x:c r="I37" s="7" t="n">
        <x:v>69954</x:v>
      </x:c>
      <x:c r="J37" s="7" t="n">
        <x:v>2.86</x:v>
      </x:c>
      <x:c r="K37" s="7" t="n">
        <x:v>4.46</x:v>
      </x:c>
      <x:c r="L37" s="7" t="n">
        <x:v>3.33</x:v>
      </x:c>
      <x:c r="M37" s="7" t="n">
        <x:v>7</x:v>
      </x:c>
      <x:c r="N37" s="7" t="n">
        <x:v>1</x:v>
      </x:c>
      <x:c r="O37" s="7"/>
      <x:c r="P37" s="7"/>
      <x:c r="Q37" s="7" t="n">
        <x:v>1</x:v>
      </x:c>
      <x:c r="R37" s="7" t="n">
        <x:v>0.8</x:v>
      </x:c>
      <x:c r="S37" s="7" t="n">
        <x:v>4</x:v>
      </x:c>
      <x:c r="T37" s="7" t="n">
        <x:v>1600</x:v>
      </x:c>
      <x:c r="U37" s="7" t="n">
        <x:v>1100</x:v>
      </x:c>
      <x:c r="V37" s="7" t="n">
        <x:v>300</x:v>
      </x:c>
      <x:c r="W37" s="7" t="n">
        <x:v>200</x:v>
      </x:c>
      <x:c r="X37" s="7" t="n">
        <x:v>240</x:v>
      </x:c>
      <x:c r="Y37" s="7" t="n">
        <x:v>4</x:v>
      </x:c>
      <x:c r="Z37" s="7" t="n">
        <x:v>25</x:v>
      </x:c>
      <x:c r="AA37" s="7" t="n">
        <x:v>1</x:v>
      </x:c>
      <x:c r="AB37" s="7" t="n">
        <x:v>60</x:v>
      </x:c>
      <x:c r="AC37" s="7" t="n">
        <x:v>0</x:v>
      </x:c>
      <x:c r="AD37" s="7" t="n">
        <x:v>800</x:v>
      </x:c>
      <x:c r="AE37" s="7" t="n">
        <x:v>45</x:v>
      </x:c>
      <x:c r="AF37" s="13" t="b">
        <x:v>1</x:v>
      </x:c>
      <x:c r="AG37" s="7" t="n">
        <x:v>0.5</x:v>
      </x:c>
      <x:c r="AH37" s="7" t="n">
        <x:v>0.5</x:v>
      </x:c>
      <x:c r="AI37" s="7" t="n">
        <x:v>0.69</x:v>
      </x:c>
      <x:c r="AJ37" s="7" t="n">
        <x:v>0.3</x:v>
      </x:c>
      <x:c r="AK37" s="7" t="n">
        <x:v>0.01</x:v>
      </x:c>
      <x:c r="AL37" s="7" t="str">
        <x:v>shipbuildericons/ICO_KraitMissileBay</x:v>
      </x:c>
      <x:c r="AM37" s="7" t="str">
        <x:v>shipweapons/missile_launcher</x:v>
      </x:c>
      <x:c r="AN37" s="7" t="str">
        <x:v>spacecombat/AnacondaMissile</x:v>
      </x:c>
      <x:c r="AO37" s="7" t="str">
        <x:v>spaceCombat/SmallExplosion</x:v>
      </x:c>
      <x:c r="AP37" s="7" t="str">
        <x:v>event:/SFX/Game_SFX/Guns/trig_SFX_Missile_Launch</x:v>
      </x:c>
      <x:c r="AQ37" s="7" t="str">
        <x:v>event:/SFX/Game_SFX/Guns/trig_SFX_Fragmentation_Missile_Detonates_Ship</x:v>
      </x:c>
      <x:c r="AR37" s="7" t="str">
        <x:v>Solid-Fuel</x:v>
      </x:c>
      <x:c r="AS37" s="7"/>
      <x:c r="AT37" s="7"/>
      <x:c r="AU37" s="7"/>
      <x:c r="AV37" s="7"/>
      <x:c r="AW37" s="7"/>
    </x:row>
    <x:row r="38" ht="23" customHeight="1">
      <x:c r="A38" s="2" t="str">
        <x:v>AnacondaMissilePod</x:v>
      </x:c>
      <x:c r="B38" s="2" t="str">
        <x:v>Anaconda Missile Pod</x:v>
      </x:c>
      <x:c r="C38" s="2" t="str">
        <x:v>HalfHull</x:v>
      </x:c>
      <x:c r="D38" s="2" t="n">
        <x:v>0</x:v>
      </x:c>
      <x:c r="E38" s="2" t="str">
        <x:v>Project_AnacondaMissileBay</x:v>
      </x:c>
      <x:c r="F38" s="12" t="b">
        <x:v>1</x:v>
      </x:c>
      <x:c r="G38" s="12" t="b">
        <x:v>0</x:v>
      </x:c>
      <x:c r="H38" s="2" t="str">
        <x:v>Explosive</x:v>
      </x:c>
      <x:c r="I38" s="2" t="n">
        <x:v>234560</x:v>
      </x:c>
      <x:c r="J38" s="2" t="n">
        <x:v>3.23</x:v>
      </x:c>
      <x:c r="K38" s="2" t="n">
        <x:v>14.94</x:v>
      </x:c>
      <x:c r="L38" s="2" t="n">
        <x:v>3.76</x:v>
      </x:c>
      <x:c r="M38" s="2" t="n">
        <x:v>5</x:v>
      </x:c>
      <x:c r="N38" s="2" t="n">
        <x:v>1</x:v>
      </x:c>
      <x:c r="O38" s="2"/>
      <x:c r="P38" s="2"/>
      <x:c r="Q38" s="2" t="n">
        <x:v>1</x:v>
      </x:c>
      <x:c r="R38" s="2" t="n">
        <x:v>0.8</x:v>
      </x:c>
      <x:c r="S38" s="2" t="n">
        <x:v>4</x:v>
      </x:c>
      <x:c r="T38" s="2" t="n">
        <x:v>1600</x:v>
      </x:c>
      <x:c r="U38" s="2" t="n">
        <x:v>1100</x:v>
      </x:c>
      <x:c r="V38" s="2" t="n">
        <x:v>300</x:v>
      </x:c>
      <x:c r="W38" s="2" t="n">
        <x:v>200</x:v>
      </x:c>
      <x:c r="X38" s="2" t="n">
        <x:v>360</x:v>
      </x:c>
      <x:c r="Y38" s="2" t="n">
        <x:v>6</x:v>
      </x:c>
      <x:c r="Z38" s="2" t="n">
        <x:v>30</x:v>
      </x:c>
      <x:c r="AA38" s="2" t="n">
        <x:v>1</x:v>
      </x:c>
      <x:c r="AB38" s="2" t="n">
        <x:v>50</x:v>
      </x:c>
      <x:c r="AC38" s="2" t="n">
        <x:v>0</x:v>
      </x:c>
      <x:c r="AD38" s="2" t="n">
        <x:v>800</x:v>
      </x:c>
      <x:c r="AE38" s="2" t="n">
        <x:v>45</x:v>
      </x:c>
      <x:c r="AF38" s="12" t="b">
        <x:v>1</x:v>
      </x:c>
      <x:c r="AG38" s="2" t="n">
        <x:v>0.5</x:v>
      </x:c>
      <x:c r="AH38" s="2" t="n">
        <x:v>0.5</x:v>
      </x:c>
      <x:c r="AI38" s="2" t="n">
        <x:v>0.68</x:v>
      </x:c>
      <x:c r="AJ38" s="2" t="n">
        <x:v>0.3</x:v>
      </x:c>
      <x:c r="AK38" s="2" t="n">
        <x:v>0.02</x:v>
      </x:c>
      <x:c r="AL38" s="2" t="str">
        <x:v>shipbuildericons/ICO_AnacondaMissileBay</x:v>
      </x:c>
      <x:c r="AM38" s="2" t="str">
        <x:v>shipweapons/missile_launcher</x:v>
      </x:c>
      <x:c r="AN38" s="2" t="str">
        <x:v>spacecombat/AnacondaMissile</x:v>
      </x:c>
      <x:c r="AO38" s="2" t="str">
        <x:v>spaceCombat/SmallExplosion</x:v>
      </x:c>
      <x:c r="AP38" s="2" t="str">
        <x:v>event:/SFX/Game_SFX/Guns/trig_SFX_Missile_Launch</x:v>
      </x:c>
      <x:c r="AQ38" s="2" t="str">
        <x:v>event:/SFX/Game_SFX/Guns/trig_SFX_Fragmentation_Missile_Detonates_Ship</x:v>
      </x:c>
      <x:c r="AR38" s="2" t="str">
        <x:v>Hypergolic Fuel</x:v>
      </x:c>
      <x:c r="AS38" s="2"/>
      <x:c r="AT38" s="2"/>
      <x:c r="AU38" s="2"/>
      <x:c r="AV38" s="2"/>
      <x:c r="AW38" s="2"/>
    </x:row>
    <x:row r="39" ht="23" customHeight="1">
      <x:c r="A39" s="7" t="str">
        <x:v>CobraMissilePod</x:v>
      </x:c>
      <x:c r="B39" s="7" t="str">
        <x:v>Cobra Missile Pod</x:v>
      </x:c>
      <x:c r="C39" s="7" t="str">
        <x:v>HalfHull</x:v>
      </x:c>
      <x:c r="D39" s="7" t="n">
        <x:v>0</x:v>
      </x:c>
      <x:c r="E39" s="7" t="str">
        <x:v>Project_AnacondaMissileBay</x:v>
      </x:c>
      <x:c r="F39" s="13" t="b">
        <x:v>1</x:v>
      </x:c>
      <x:c r="G39" s="13" t="b">
        <x:v>0</x:v>
      </x:c>
      <x:c r="H39" s="7" t="str">
        <x:v>Explosive</x:v>
      </x:c>
      <x:c r="I39" s="7" t="n">
        <x:v>234560</x:v>
      </x:c>
      <x:c r="J39" s="7" t="n">
        <x:v>3.23</x:v>
      </x:c>
      <x:c r="K39" s="7" t="n">
        <x:v>14.94</x:v>
      </x:c>
      <x:c r="L39" s="7" t="n">
        <x:v>3.17</x:v>
      </x:c>
      <x:c r="M39" s="7" t="n">
        <x:v>5</x:v>
      </x:c>
      <x:c r="N39" s="7" t="n">
        <x:v>1</x:v>
      </x:c>
      <x:c r="O39" s="7"/>
      <x:c r="P39" s="7"/>
      <x:c r="Q39" s="7" t="n">
        <x:v>1</x:v>
      </x:c>
      <x:c r="R39" s="7" t="n">
        <x:v>0.8</x:v>
      </x:c>
      <x:c r="S39" s="7" t="n">
        <x:v>4</x:v>
      </x:c>
      <x:c r="T39" s="7" t="n">
        <x:v>1600</x:v>
      </x:c>
      <x:c r="U39" s="7" t="n">
        <x:v>1000</x:v>
      </x:c>
      <x:c r="V39" s="7" t="n">
        <x:v>300</x:v>
      </x:c>
      <x:c r="W39" s="7" t="n">
        <x:v>300</x:v>
      </x:c>
      <x:c r="X39" s="7" t="n">
        <x:v>540</x:v>
      </x:c>
      <x:c r="Y39" s="7" t="n">
        <x:v>6</x:v>
      </x:c>
      <x:c r="Z39" s="7" t="n">
        <x:v>30</x:v>
      </x:c>
      <x:c r="AA39" s="7" t="n">
        <x:v>1</x:v>
      </x:c>
      <x:c r="AB39" s="7" t="n">
        <x:v>50</x:v>
      </x:c>
      <x:c r="AC39" s="7" t="n">
        <x:v>0</x:v>
      </x:c>
      <x:c r="AD39" s="7" t="n">
        <x:v>800</x:v>
      </x:c>
      <x:c r="AE39" s="7" t="n">
        <x:v>45</x:v>
      </x:c>
      <x:c r="AF39" s="13" t="b">
        <x:v>1</x:v>
      </x:c>
      <x:c r="AG39" s="7" t="n">
        <x:v>0.5</x:v>
      </x:c>
      <x:c r="AH39" s="7" t="n">
        <x:v>0.5</x:v>
      </x:c>
      <x:c r="AI39" s="7" t="n">
        <x:v>0.68</x:v>
      </x:c>
      <x:c r="AJ39" s="7" t="n">
        <x:v>0.3</x:v>
      </x:c>
      <x:c r="AK39" s="7" t="n">
        <x:v>0.02</x:v>
      </x:c>
      <x:c r="AL39" s="7" t="str">
        <x:v>shipbuildericons/ICO_CobraMissileBay</x:v>
      </x:c>
      <x:c r="AM39" s="7" t="str">
        <x:v>shipweapons/missile_launcher</x:v>
      </x:c>
      <x:c r="AN39" s="7" t="str">
        <x:v>spacecombat/AnacondaMissile</x:v>
      </x:c>
      <x:c r="AO39" s="7" t="str">
        <x:v>spaceCombat/SmallExplosion</x:v>
      </x:c>
      <x:c r="AP39" s="7" t="str">
        <x:v>event:/SFX/Game_SFX/Guns/trig_SFX_Missile_Launch</x:v>
      </x:c>
      <x:c r="AQ39" s="7" t="str">
        <x:v>event:/SFX/Game_SFX/Guns/trig_SFX_Fragmentation_Missile_Detonates_Ship</x:v>
      </x:c>
      <x:c r="AR39" s="7"/>
      <x:c r="AS39" s="7"/>
      <x:c r="AT39" s="7"/>
      <x:c r="AU39" s="7"/>
      <x:c r="AV39" s="7"/>
      <x:c r="AW39" s="7"/>
    </x:row>
    <x:row r="40" ht="23" customHeight="1">
      <x:c r="A40" s="2" t="str">
        <x:v>RacerMissilePod</x:v>
      </x:c>
      <x:c r="B40" s="2" t="str">
        <x:v>Racer Missile Pod</x:v>
      </x:c>
      <x:c r="C40" s="2" t="str">
        <x:v>HalfHull</x:v>
      </x:c>
      <x:c r="D40" s="2" t="n">
        <x:v>0</x:v>
      </x:c>
      <x:c r="E40" s="2" t="str">
        <x:v>Project_RattlerMissileBay</x:v>
      </x:c>
      <x:c r="F40" s="12" t="b">
        <x:v>1</x:v>
      </x:c>
      <x:c r="G40" s="12" t="b">
        <x:v>1</x:v>
      </x:c>
      <x:c r="H40" s="2" t="str">
        <x:v>Fragmentation</x:v>
      </x:c>
      <x:c r="I40" s="2" t="n">
        <x:v>117280</x:v>
      </x:c>
      <x:c r="J40" s="2" t="n">
        <x:v>3.23</x:v>
      </x:c>
      <x:c r="K40" s="2" t="n">
        <x:v>29.89</x:v>
      </x:c>
      <x:c r="L40" s="2" t="n">
        <x:v>2.67</x:v>
      </x:c>
      <x:c r="M40" s="2" t="n">
        <x:v>5</x:v>
      </x:c>
      <x:c r="N40" s="2" t="n">
        <x:v>3</x:v>
      </x:c>
      <x:c r="O40" s="2" t="n">
        <x:v>6</x:v>
      </x:c>
      <x:c r="P40" s="2" t="n">
        <x:v>1</x:v>
      </x:c>
      <x:c r="Q40" s="2" t="n">
        <x:v>1</x:v>
      </x:c>
      <x:c r="R40" s="2" t="n">
        <x:v>0.5</x:v>
      </x:c>
      <x:c r="S40" s="2" t="n">
        <x:v>12</x:v>
      </x:c>
      <x:c r="T40" s="2" t="n">
        <x:v>400</x:v>
      </x:c>
      <x:c r="U40" s="2" t="n">
        <x:v>225</x:v>
      </x:c>
      <x:c r="V40" s="2" t="n">
        <x:v>150</x:v>
      </x:c>
      <x:c r="W40" s="2" t="n">
        <x:v>25</x:v>
      </x:c>
      <x:c r="X40" s="2"/>
      <x:c r="Y40" s="2" t="n">
        <x:v>2</x:v>
      </x:c>
      <x:c r="Z40" s="2" t="n">
        <x:v>40</x:v>
      </x:c>
      <x:c r="AA40" s="2" t="n">
        <x:v>0.5</x:v>
      </x:c>
      <x:c r="AB40" s="2" t="n">
        <x:v>35</x:v>
      </x:c>
      <x:c r="AC40" s="2" t="n">
        <x:v>0</x:v>
      </x:c>
      <x:c r="AD40" s="2" t="n">
        <x:v>500</x:v>
      </x:c>
      <x:c r="AE40" s="2" t="n">
        <x:v>45</x:v>
      </x:c>
      <x:c r="AF40" s="12" t="b">
        <x:v>1</x:v>
      </x:c>
      <x:c r="AG40" s="2" t="n">
        <x:v>0.5</x:v>
      </x:c>
      <x:c r="AH40" s="2" t="n">
        <x:v>0.5</x:v>
      </x:c>
      <x:c r="AI40" s="2" t="n">
        <x:v>0.65</x:v>
      </x:c>
      <x:c r="AJ40" s="2" t="n">
        <x:v>0.33</x:v>
      </x:c>
      <x:c r="AK40" s="2" t="n">
        <x:v>0.02</x:v>
      </x:c>
      <x:c r="AL40" s="2" t="str">
        <x:v>shipbuildericons/ICO_RacerMissileBay</x:v>
      </x:c>
      <x:c r="AM40" s="2" t="str">
        <x:v>shipweapons/missile_launcher</x:v>
      </x:c>
      <x:c r="AN40" s="2" t="str">
        <x:v>spacecombat/AnacondaMissile</x:v>
      </x:c>
      <x:c r="AO40" s="2" t="str">
        <x:v>spaceCombat/TinyExplosion</x:v>
      </x:c>
      <x:c r="AP40" s="2" t="str">
        <x:v>event:/SFX/Game_SFX/Guns/trig_SFX_Missile_Launch</x:v>
      </x:c>
      <x:c r="AQ40" s="2" t="str">
        <x:v>event:/SFX/Game_SFX/Guns/trig_SFX_Fragmentation_Missile_Detonates_Ship</x:v>
      </x:c>
      <x:c r="AR40" s="2"/>
      <x:c r="AS40" s="2"/>
      <x:c r="AT40" s="2"/>
      <x:c r="AU40" s="2"/>
      <x:c r="AV40" s="2"/>
      <x:c r="AW40" s="2"/>
    </x:row>
    <x:row r="41" ht="23" customHeight="1">
      <x:c r="A41" s="7" t="str">
        <x:v>RattlerMissilePod</x:v>
      </x:c>
      <x:c r="B41" s="7" t="str">
        <x:v>Rattler Missile Pod</x:v>
      </x:c>
      <x:c r="C41" s="7" t="str">
        <x:v>HalfHull</x:v>
      </x:c>
      <x:c r="D41" s="7" t="n">
        <x:v>0</x:v>
      </x:c>
      <x:c r="E41" s="7" t="str">
        <x:v>Project_RattlerMissileBay</x:v>
      </x:c>
      <x:c r="F41" s="13" t="b">
        <x:v>1</x:v>
      </x:c>
      <x:c r="G41" s="13" t="b">
        <x:v>1</x:v>
      </x:c>
      <x:c r="H41" s="7" t="str">
        <x:v>Fragmentation</x:v>
      </x:c>
      <x:c r="I41" s="7" t="n">
        <x:v>234560</x:v>
      </x:c>
      <x:c r="J41" s="7" t="n">
        <x:v>3.23</x:v>
      </x:c>
      <x:c r="K41" s="7" t="n">
        <x:v>14.94</x:v>
      </x:c>
      <x:c r="L41" s="7" t="n">
        <x:v>4.48</x:v>
      </x:c>
      <x:c r="M41" s="7" t="n">
        <x:v>2</x:v>
      </x:c>
      <x:c r="N41" s="7" t="n">
        <x:v>1</x:v>
      </x:c>
      <x:c r="O41" s="7"/>
      <x:c r="P41" s="7"/>
      <x:c r="Q41" s="7" t="n">
        <x:v>1</x:v>
      </x:c>
      <x:c r="R41" s="7" t="n">
        <x:v>0.5</x:v>
      </x:c>
      <x:c r="S41" s="7" t="n">
        <x:v>4</x:v>
      </x:c>
      <x:c r="T41" s="7" t="n">
        <x:v>1600</x:v>
      </x:c>
      <x:c r="U41" s="7" t="n">
        <x:v>1200</x:v>
      </x:c>
      <x:c r="V41" s="7" t="n">
        <x:v>350</x:v>
      </x:c>
      <x:c r="W41" s="7" t="n">
        <x:v>50</x:v>
      </x:c>
      <x:c r="X41" s="7"/>
      <x:c r="Y41" s="7" t="n">
        <x:v>3</x:v>
      </x:c>
      <x:c r="Z41" s="7" t="n">
        <x:v>30</x:v>
      </x:c>
      <x:c r="AA41" s="7" t="n">
        <x:v>0.75</x:v>
      </x:c>
      <x:c r="AB41" s="7" t="n">
        <x:v>55</x:v>
      </x:c>
      <x:c r="AC41" s="7" t="n">
        <x:v>0</x:v>
      </x:c>
      <x:c r="AD41" s="7" t="n">
        <x:v>800</x:v>
      </x:c>
      <x:c r="AE41" s="7" t="n">
        <x:v>45</x:v>
      </x:c>
      <x:c r="AF41" s="13" t="b">
        <x:v>1</x:v>
      </x:c>
      <x:c r="AG41" s="7" t="n">
        <x:v>0.5</x:v>
      </x:c>
      <x:c r="AH41" s="7" t="n">
        <x:v>0.5</x:v>
      </x:c>
      <x:c r="AI41" s="7" t="n">
        <x:v>0.65</x:v>
      </x:c>
      <x:c r="AJ41" s="7" t="n">
        <x:v>0.33</x:v>
      </x:c>
      <x:c r="AK41" s="7" t="n">
        <x:v>0.02</x:v>
      </x:c>
      <x:c r="AL41" s="7" t="str">
        <x:v>shipbuildericons/ICO_RattlerMissileBay</x:v>
      </x:c>
      <x:c r="AM41" s="7" t="str">
        <x:v>shipweapons/missile_launcher</x:v>
      </x:c>
      <x:c r="AN41" s="7" t="str">
        <x:v>spacecombat/AnacondaMissile</x:v>
      </x:c>
      <x:c r="AO41" s="7" t="str">
        <x:v>spaceCombat/TinyExplosion</x:v>
      </x:c>
      <x:c r="AP41" s="7" t="str">
        <x:v>event:/SFX/Game_SFX/Guns/trig_SFX_Missile_Launch</x:v>
      </x:c>
      <x:c r="AQ41" s="7" t="str">
        <x:v>event:/SFX/Game_SFX/Guns/trig_SFX_Fragmentation_Missile_Detonates_Ship</x:v>
      </x:c>
      <x:c r="AR41" s="7"/>
      <x:c r="AS41" s="7"/>
      <x:c r="AT41" s="7"/>
      <x:c r="AU41" s="7"/>
      <x:c r="AV41" s="7"/>
      <x:c r="AW41" s="7"/>
    </x:row>
    <x:row r="42" ht="23" customHeight="1">
      <x:c r="A42" s="2" t="str">
        <x:v>RiverjackMissilePod</x:v>
      </x:c>
      <x:c r="B42" s="2" t="str">
        <x:v>Riverjack Missile Pod</x:v>
      </x:c>
      <x:c r="C42" s="2" t="str">
        <x:v>HalfHull</x:v>
      </x:c>
      <x:c r="D42" s="2" t="n">
        <x:v>0</x:v>
      </x:c>
      <x:c r="E42" s="2" t="str">
        <x:v>Project_RattlerMissileBay</x:v>
      </x:c>
      <x:c r="F42" s="12" t="b">
        <x:v>1</x:v>
      </x:c>
      <x:c r="G42" s="12" t="b">
        <x:v>1</x:v>
      </x:c>
      <x:c r="H42" s="2" t="str">
        <x:v>Fragmentation</x:v>
      </x:c>
      <x:c r="I42" s="2" t="n">
        <x:v>234560</x:v>
      </x:c>
      <x:c r="J42" s="2" t="n">
        <x:v>3.23</x:v>
      </x:c>
      <x:c r="K42" s="2" t="n">
        <x:v>14.94</x:v>
      </x:c>
      <x:c r="L42" s="2" t="n">
        <x:v>3.76</x:v>
      </x:c>
      <x:c r="M42" s="2" t="n">
        <x:v>2</x:v>
      </x:c>
      <x:c r="N42" s="2" t="n">
        <x:v>1</x:v>
      </x:c>
      <x:c r="O42" s="2"/>
      <x:c r="P42" s="2"/>
      <x:c r="Q42" s="2" t="n">
        <x:v>1</x:v>
      </x:c>
      <x:c r="R42" s="2" t="n">
        <x:v>0.5</x:v>
      </x:c>
      <x:c r="S42" s="2" t="n">
        <x:v>4</x:v>
      </x:c>
      <x:c r="T42" s="2" t="n">
        <x:v>1600</x:v>
      </x:c>
      <x:c r="U42" s="2" t="n">
        <x:v>1100</x:v>
      </x:c>
      <x:c r="V42" s="2" t="n">
        <x:v>350</x:v>
      </x:c>
      <x:c r="W42" s="2" t="n">
        <x:v>150</x:v>
      </x:c>
      <x:c r="X42" s="2"/>
      <x:c r="Y42" s="2" t="n">
        <x:v>3</x:v>
      </x:c>
      <x:c r="Z42" s="2" t="n">
        <x:v>30</x:v>
      </x:c>
      <x:c r="AA42" s="2" t="n">
        <x:v>0.75</x:v>
      </x:c>
      <x:c r="AB42" s="2" t="n">
        <x:v>55</x:v>
      </x:c>
      <x:c r="AC42" s="2" t="n">
        <x:v>0</x:v>
      </x:c>
      <x:c r="AD42" s="2" t="n">
        <x:v>800</x:v>
      </x:c>
      <x:c r="AE42" s="2" t="n">
        <x:v>45</x:v>
      </x:c>
      <x:c r="AF42" s="12" t="b">
        <x:v>1</x:v>
      </x:c>
      <x:c r="AG42" s="2" t="n">
        <x:v>0.5</x:v>
      </x:c>
      <x:c r="AH42" s="2" t="n">
        <x:v>0.5</x:v>
      </x:c>
      <x:c r="AI42" s="2" t="n">
        <x:v>0.65</x:v>
      </x:c>
      <x:c r="AJ42" s="2" t="n">
        <x:v>0.33</x:v>
      </x:c>
      <x:c r="AK42" s="2" t="n">
        <x:v>0.02</x:v>
      </x:c>
      <x:c r="AL42" s="2" t="str">
        <x:v>shipbuildericons/ICO_RiverjackMissileBay</x:v>
      </x:c>
      <x:c r="AM42" s="2" t="str">
        <x:v>shipweapons/missile_launcher</x:v>
      </x:c>
      <x:c r="AN42" s="2" t="str">
        <x:v>spacecombat/AnacondaMissile</x:v>
      </x:c>
      <x:c r="AO42" s="2" t="str">
        <x:v>spaceCombat/TinyExplosion</x:v>
      </x:c>
      <x:c r="AP42" s="2" t="str">
        <x:v>event:/SFX/Game_SFX/Guns/trig_SFX_Missile_Launch</x:v>
      </x:c>
      <x:c r="AQ42" s="2" t="str">
        <x:v>event:/SFX/Game_SFX/Guns/trig_SFX_Fragmentation_Missile_Detonates_Ship</x:v>
      </x:c>
      <x:c r="AR42" s="2"/>
      <x:c r="AS42" s="2"/>
      <x:c r="AT42" s="2"/>
      <x:c r="AU42" s="2"/>
      <x:c r="AV42" s="2"/>
      <x:c r="AW42" s="2"/>
    </x:row>
    <x:row r="43" ht="23" customHeight="1">
      <x:c r="A43" s="7" t="str">
        <x:v>HarlequinMissilePod</x:v>
      </x:c>
      <x:c r="B43" s="7" t="str">
        <x:v>Harlequin Missile Pod</x:v>
      </x:c>
      <x:c r="C43" s="7" t="str">
        <x:v>HalfHull</x:v>
      </x:c>
      <x:c r="D43" s="7" t="n">
        <x:v>0</x:v>
      </x:c>
      <x:c r="E43" s="7" t="str">
        <x:v>Project_HarlequinMissileBay</x:v>
      </x:c>
      <x:c r="F43" s="13" t="b">
        <x:v>1</x:v>
      </x:c>
      <x:c r="G43" s="13" t="b">
        <x:v>0</x:v>
      </x:c>
      <x:c r="H43" s="7" t="str">
        <x:v>Penetrator</x:v>
      </x:c>
      <x:c r="I43" s="7" t="n">
        <x:v>234560</x:v>
      </x:c>
      <x:c r="J43" s="7" t="n">
        <x:v>3.23</x:v>
      </x:c>
      <x:c r="K43" s="7" t="n">
        <x:v>14.94</x:v>
      </x:c>
      <x:c r="L43" s="7" t="n">
        <x:v>4.48</x:v>
      </x:c>
      <x:c r="M43" s="7" t="n">
        <x:v>2</x:v>
      </x:c>
      <x:c r="N43" s="7" t="n">
        <x:v>1</x:v>
      </x:c>
      <x:c r="O43" s="7"/>
      <x:c r="P43" s="7"/>
      <x:c r="Q43" s="7" t="n">
        <x:v>1</x:v>
      </x:c>
      <x:c r="R43" s="7" t="n">
        <x:v>0.6</x:v>
      </x:c>
      <x:c r="S43" s="7" t="n">
        <x:v>4</x:v>
      </x:c>
      <x:c r="T43" s="7" t="n">
        <x:v>1600</x:v>
      </x:c>
      <x:c r="U43" s="7" t="n">
        <x:v>1200</x:v>
      </x:c>
      <x:c r="V43" s="7" t="n">
        <x:v>350</x:v>
      </x:c>
      <x:c r="W43" s="7" t="n">
        <x:v>50</x:v>
      </x:c>
      <x:c r="X43" s="7"/>
      <x:c r="Y43" s="7" t="n">
        <x:v>6</x:v>
      </x:c>
      <x:c r="Z43" s="7" t="n">
        <x:v>25</x:v>
      </x:c>
      <x:c r="AA43" s="7" t="n">
        <x:v>1</x:v>
      </x:c>
      <x:c r="AB43" s="7" t="n">
        <x:v>45</x:v>
      </x:c>
      <x:c r="AC43" s="7" t="n">
        <x:v>0</x:v>
      </x:c>
      <x:c r="AD43" s="7" t="n">
        <x:v>800</x:v>
      </x:c>
      <x:c r="AE43" s="7" t="n">
        <x:v>45</x:v>
      </x:c>
      <x:c r="AF43" s="13" t="b">
        <x:v>1</x:v>
      </x:c>
      <x:c r="AG43" s="7" t="n">
        <x:v>0.5</x:v>
      </x:c>
      <x:c r="AH43" s="7" t="n">
        <x:v>0.5</x:v>
      </x:c>
      <x:c r="AI43" s="7" t="n">
        <x:v>0.65</x:v>
      </x:c>
      <x:c r="AJ43" s="7" t="n">
        <x:v>0.33</x:v>
      </x:c>
      <x:c r="AK43" s="7" t="n">
        <x:v>0.02</x:v>
      </x:c>
      <x:c r="AL43" s="7" t="str">
        <x:v>shipbuildericons/ICO_HarlequinMissileBay</x:v>
      </x:c>
      <x:c r="AM43" s="7" t="str">
        <x:v>shipweapons/missile_launcher</x:v>
      </x:c>
      <x:c r="AN43" s="7" t="str">
        <x:v>spacecombat/AnacondaMissile</x:v>
      </x:c>
      <x:c r="AO43" s="7" t="str">
        <x:v>spaceCombat/ImpactWhite</x:v>
      </x:c>
      <x:c r="AP43" s="7" t="str">
        <x:v>event:/SFX/Game_SFX/Guns/trig_SFX_Missile_Launch</x:v>
      </x:c>
      <x:c r="AQ43" s="7" t="str">
        <x:v>event:/SFX/Game_SFX/Guns/trig_SFX_Fragmentation_Missile_Detonates_Ship</x:v>
      </x:c>
      <x:c r="AR43" s="7"/>
      <x:c r="AS43" s="7"/>
      <x:c r="AT43" s="7"/>
      <x:c r="AU43" s="7"/>
      <x:c r="AV43" s="7"/>
      <x:c r="AW43" s="7"/>
    </x:row>
    <x:row r="44" ht="23" customHeight="1">
      <x:c r="A44" s="2" t="str">
        <x:v>KeelbackMissilePod</x:v>
      </x:c>
      <x:c r="B44" s="2" t="str">
        <x:v>Keelback Missile Pod</x:v>
      </x:c>
      <x:c r="C44" s="2" t="str">
        <x:v>HalfHull</x:v>
      </x:c>
      <x:c r="D44" s="2" t="n">
        <x:v>0</x:v>
      </x:c>
      <x:c r="E44" s="2" t="str">
        <x:v>Project_HarlequinMissileBay</x:v>
      </x:c>
      <x:c r="F44" s="12" t="b">
        <x:v>1</x:v>
      </x:c>
      <x:c r="G44" s="12" t="b">
        <x:v>0</x:v>
      </x:c>
      <x:c r="H44" s="2" t="str">
        <x:v>Penetrator</x:v>
      </x:c>
      <x:c r="I44" s="2" t="n">
        <x:v>234560</x:v>
      </x:c>
      <x:c r="J44" s="2" t="n">
        <x:v>3.23</x:v>
      </x:c>
      <x:c r="K44" s="2" t="n">
        <x:v>14.94</x:v>
      </x:c>
      <x:c r="L44" s="2" t="n">
        <x:v>3.76</x:v>
      </x:c>
      <x:c r="M44" s="2" t="n">
        <x:v>2</x:v>
      </x:c>
      <x:c r="N44" s="2" t="n">
        <x:v>1</x:v>
      </x:c>
      <x:c r="O44" s="2"/>
      <x:c r="P44" s="2"/>
      <x:c r="Q44" s="2" t="n">
        <x:v>1</x:v>
      </x:c>
      <x:c r="R44" s="2" t="n">
        <x:v>0.6</x:v>
      </x:c>
      <x:c r="S44" s="2" t="n">
        <x:v>4</x:v>
      </x:c>
      <x:c r="T44" s="2" t="n">
        <x:v>1600</x:v>
      </x:c>
      <x:c r="U44" s="2" t="n">
        <x:v>1100</x:v>
      </x:c>
      <x:c r="V44" s="2" t="n">
        <x:v>350</x:v>
      </x:c>
      <x:c r="W44" s="2" t="n">
        <x:v>150</x:v>
      </x:c>
      <x:c r="X44" s="2"/>
      <x:c r="Y44" s="2" t="n">
        <x:v>6</x:v>
      </x:c>
      <x:c r="Z44" s="2" t="n">
        <x:v>25</x:v>
      </x:c>
      <x:c r="AA44" s="2" t="n">
        <x:v>1</x:v>
      </x:c>
      <x:c r="AB44" s="2" t="n">
        <x:v>45</x:v>
      </x:c>
      <x:c r="AC44" s="2" t="n">
        <x:v>0</x:v>
      </x:c>
      <x:c r="AD44" s="2" t="n">
        <x:v>800</x:v>
      </x:c>
      <x:c r="AE44" s="2" t="n">
        <x:v>45</x:v>
      </x:c>
      <x:c r="AF44" s="12" t="b">
        <x:v>1</x:v>
      </x:c>
      <x:c r="AG44" s="2" t="n">
        <x:v>0.5</x:v>
      </x:c>
      <x:c r="AH44" s="2" t="n">
        <x:v>0.5</x:v>
      </x:c>
      <x:c r="AI44" s="2" t="n">
        <x:v>0.65</x:v>
      </x:c>
      <x:c r="AJ44" s="2" t="n">
        <x:v>0.33</x:v>
      </x:c>
      <x:c r="AK44" s="2" t="n">
        <x:v>0.02</x:v>
      </x:c>
      <x:c r="AL44" s="2" t="str">
        <x:v>shipbuildericons/ICO_KeelbackMissileBay</x:v>
      </x:c>
      <x:c r="AM44" s="2" t="str">
        <x:v>shipweapons/missile_launcher</x:v>
      </x:c>
      <x:c r="AN44" s="2" t="str">
        <x:v>spacecombat/AnacondaMissile</x:v>
      </x:c>
      <x:c r="AO44" s="2" t="str">
        <x:v>spaceCombat/ImpactWhite</x:v>
      </x:c>
      <x:c r="AP44" s="2" t="str">
        <x:v>event:/SFX/Game_SFX/Guns/trig_SFX_Missile_Launch</x:v>
      </x:c>
      <x:c r="AQ44" s="2" t="str">
        <x:v>event:/SFX/Game_SFX/Guns/trig_SFX_Fragmentation_Missile_Detonates_Ship</x:v>
      </x:c>
      <x:c r="AR44" s="2"/>
      <x:c r="AS44" s="2"/>
      <x:c r="AT44" s="2"/>
      <x:c r="AU44" s="2"/>
      <x:c r="AV44" s="2"/>
      <x:c r="AW44" s="2"/>
    </x:row>
    <x:row r="45" ht="23" customHeight="1">
      <x:c r="A45" s="7" t="str">
        <x:v>CopperheadMissilePod</x:v>
      </x:c>
      <x:c r="B45" s="7" t="str">
        <x:v>Copperhead Missile Pod</x:v>
      </x:c>
      <x:c r="C45" s="7" t="str">
        <x:v>HalfHull</x:v>
      </x:c>
      <x:c r="D45" s="7" t="n">
        <x:v>0</x:v>
      </x:c>
      <x:c r="E45" s="7" t="str">
        <x:v>Project_CopperheadMissileBay</x:v>
      </x:c>
      <x:c r="F45" s="13" t="b">
        <x:v>1</x:v>
      </x:c>
      <x:c r="G45" s="13" t="b">
        <x:v>0</x:v>
      </x:c>
      <x:c r="H45" s="7" t="str">
        <x:v>Explosive</x:v>
      </x:c>
      <x:c r="I45" s="7" t="n">
        <x:v>286810</x:v>
      </x:c>
      <x:c r="J45" s="7" t="n">
        <x:v>4.45</x:v>
      </x:c>
      <x:c r="K45" s="7" t="n">
        <x:v>18.27</x:v>
      </x:c>
      <x:c r="L45" s="7" t="n">
        <x:v>3.68</x:v>
      </x:c>
      <x:c r="M45" s="7" t="n">
        <x:v>7</x:v>
      </x:c>
      <x:c r="N45" s="7" t="n">
        <x:v>1</x:v>
      </x:c>
      <x:c r="O45" s="7"/>
      <x:c r="P45" s="7"/>
      <x:c r="Q45" s="7" t="n">
        <x:v>1</x:v>
      </x:c>
      <x:c r="R45" s="7" t="n">
        <x:v>0.8</x:v>
      </x:c>
      <x:c r="S45" s="7" t="n">
        <x:v>4</x:v>
      </x:c>
      <x:c r="T45" s="7" t="n">
        <x:v>1600</x:v>
      </x:c>
      <x:c r="U45" s="7" t="n">
        <x:v>900</x:v>
      </x:c>
      <x:c r="V45" s="7" t="n">
        <x:v>400</x:v>
      </x:c>
      <x:c r="W45" s="7" t="n">
        <x:v>300</x:v>
      </x:c>
      <x:c r="X45" s="7" t="n">
        <x:v>720</x:v>
      </x:c>
      <x:c r="Y45" s="7" t="n">
        <x:v>6</x:v>
      </x:c>
      <x:c r="Z45" s="7" t="n">
        <x:v>25</x:v>
      </x:c>
      <x:c r="AA45" s="7" t="n">
        <x:v>1</x:v>
      </x:c>
      <x:c r="AB45" s="7" t="n">
        <x:v>50</x:v>
      </x:c>
      <x:c r="AC45" s="7" t="n">
        <x:v>0</x:v>
      </x:c>
      <x:c r="AD45" s="7" t="n">
        <x:v>800</x:v>
      </x:c>
      <x:c r="AE45" s="7" t="n">
        <x:v>45</x:v>
      </x:c>
      <x:c r="AF45" s="13" t="b">
        <x:v>1</x:v>
      </x:c>
      <x:c r="AG45" s="7" t="n">
        <x:v>0.5</x:v>
      </x:c>
      <x:c r="AH45" s="7" t="n">
        <x:v>0.5</x:v>
      </x:c>
      <x:c r="AI45" s="7" t="n">
        <x:v>0.65</x:v>
      </x:c>
      <x:c r="AJ45" s="7" t="n">
        <x:v>0.32</x:v>
      </x:c>
      <x:c r="AK45" s="7" t="n">
        <x:v>0.03</x:v>
      </x:c>
      <x:c r="AL45" s="7" t="str">
        <x:v>shipbuildericons/ICO_CopperheadMissileBay</x:v>
      </x:c>
      <x:c r="AM45" s="7" t="str">
        <x:v>shipweapons/missile_launcher</x:v>
      </x:c>
      <x:c r="AN45" s="7" t="str">
        <x:v>spacecombat/AnacondaMissile</x:v>
      </x:c>
      <x:c r="AO45" s="7" t="str">
        <x:v>spaceCombat/SmallExplosion</x:v>
      </x:c>
      <x:c r="AP45" s="7" t="str">
        <x:v>event:/SFX/Game_SFX/Guns/trig_SFX_Missile_Launch</x:v>
      </x:c>
      <x:c r="AQ45" s="7" t="str">
        <x:v>event:/SFX/Game_SFX/Guns/trig_SFX_Fragmentation_Missile_Detonates_Ship</x:v>
      </x:c>
      <x:c r="AR45" s="7" t="str">
        <x:v>Hydrolox Fuel</x:v>
      </x:c>
      <x:c r="AS45" s="7"/>
      <x:c r="AT45" s="7"/>
      <x:c r="AU45" s="7"/>
      <x:c r="AV45" s="7"/>
      <x:c r="AW45" s="7"/>
    </x:row>
    <x:row r="46" ht="23" customHeight="1">
      <x:c r="A46" s="2" t="str">
        <x:v>ViperMissilePod</x:v>
      </x:c>
      <x:c r="B46" s="2" t="str">
        <x:v>Viper Missile Pod</x:v>
      </x:c>
      <x:c r="C46" s="2" t="str">
        <x:v>HalfHull</x:v>
      </x:c>
      <x:c r="D46" s="2" t="n">
        <x:v>0</x:v>
      </x:c>
      <x:c r="E46" s="2" t="str">
        <x:v>Project_ViperMissileBay</x:v>
      </x:c>
      <x:c r="F46" s="12" t="b">
        <x:v>1</x:v>
      </x:c>
      <x:c r="G46" s="12" t="b">
        <x:v>1</x:v>
      </x:c>
      <x:c r="H46" s="2" t="str">
        <x:v>Fragmentation</x:v>
      </x:c>
      <x:c r="I46" s="2" t="n">
        <x:v>286810</x:v>
      </x:c>
      <x:c r="J46" s="2" t="n">
        <x:v>4.45</x:v>
      </x:c>
      <x:c r="K46" s="2" t="n">
        <x:v>18.27</x:v>
      </x:c>
      <x:c r="L46" s="2" t="n">
        <x:v>5.64</x:v>
      </x:c>
      <x:c r="M46" s="2" t="n">
        <x:v>5</x:v>
      </x:c>
      <x:c r="N46" s="2" t="n">
        <x:v>1</x:v>
      </x:c>
      <x:c r="O46" s="2"/>
      <x:c r="P46" s="2"/>
      <x:c r="Q46" s="2" t="n">
        <x:v>1</x:v>
      </x:c>
      <x:c r="R46" s="2" t="n">
        <x:v>0.5</x:v>
      </x:c>
      <x:c r="S46" s="2" t="n">
        <x:v>4</x:v>
      </x:c>
      <x:c r="T46" s="2" t="n">
        <x:v>1600</x:v>
      </x:c>
      <x:c r="U46" s="2" t="n">
        <x:v>1150</x:v>
      </x:c>
      <x:c r="V46" s="2" t="n">
        <x:v>400</x:v>
      </x:c>
      <x:c r="W46" s="2" t="n">
        <x:v>50</x:v>
      </x:c>
      <x:c r="X46" s="2"/>
      <x:c r="Y46" s="2" t="n">
        <x:v>3</x:v>
      </x:c>
      <x:c r="Z46" s="2" t="n">
        <x:v>35</x:v>
      </x:c>
      <x:c r="AA46" s="2" t="n">
        <x:v>1</x:v>
      </x:c>
      <x:c r="AB46" s="2" t="n">
        <x:v>55</x:v>
      </x:c>
      <x:c r="AC46" s="2" t="n">
        <x:v>0</x:v>
      </x:c>
      <x:c r="AD46" s="2" t="n">
        <x:v>800</x:v>
      </x:c>
      <x:c r="AE46" s="2" t="n">
        <x:v>45</x:v>
      </x:c>
      <x:c r="AF46" s="12" t="b">
        <x:v>1</x:v>
      </x:c>
      <x:c r="AG46" s="2" t="n">
        <x:v>0.5</x:v>
      </x:c>
      <x:c r="AH46" s="2" t="n">
        <x:v>0.5</x:v>
      </x:c>
      <x:c r="AI46" s="2" t="n">
        <x:v>0.65</x:v>
      </x:c>
      <x:c r="AJ46" s="2" t="n">
        <x:v>0.32</x:v>
      </x:c>
      <x:c r="AK46" s="2" t="n">
        <x:v>0.03</x:v>
      </x:c>
      <x:c r="AL46" s="2" t="str">
        <x:v>shipbuildericons/ICO_ViperMissileBay</x:v>
      </x:c>
      <x:c r="AM46" s="2" t="str">
        <x:v>shipweapons/missile_launcher</x:v>
      </x:c>
      <x:c r="AN46" s="2" t="str">
        <x:v>spacecombat/AnacondaMissile</x:v>
      </x:c>
      <x:c r="AO46" s="2" t="str">
        <x:v>spaceCombat/TinyExplosion</x:v>
      </x:c>
      <x:c r="AP46" s="2" t="str">
        <x:v>event:/SFX/Game_SFX/Guns/trig_SFX_Missile_Launch</x:v>
      </x:c>
      <x:c r="AQ46" s="2" t="str">
        <x:v>event:/SFX/Game_SFX/Guns/trig_SFX_Fragmentation_Missile_Detonates_Ship</x:v>
      </x:c>
      <x:c r="AR46" s="2"/>
      <x:c r="AS46" s="2"/>
      <x:c r="AT46" s="2"/>
      <x:c r="AU46" s="2"/>
      <x:c r="AV46" s="2"/>
      <x:c r="AW46" s="2"/>
    </x:row>
    <x:row r="47" ht="23" customHeight="1">
      <x:c r="A47" s="7" t="str">
        <x:v>LanceheadMissilePod</x:v>
      </x:c>
      <x:c r="B47" s="7" t="str">
        <x:v>Lancehead Missile Pod</x:v>
      </x:c>
      <x:c r="C47" s="7" t="str">
        <x:v>HalfHull</x:v>
      </x:c>
      <x:c r="D47" s="7" t="n">
        <x:v>0</x:v>
      </x:c>
      <x:c r="E47" s="7" t="str">
        <x:v>Project_LanceheadMissileBay</x:v>
      </x:c>
      <x:c r="F47" s="13" t="b">
        <x:v>1</x:v>
      </x:c>
      <x:c r="G47" s="13" t="b">
        <x:v>0</x:v>
      </x:c>
      <x:c r="H47" s="7" t="str">
        <x:v>Penetrator</x:v>
      </x:c>
      <x:c r="I47" s="7" t="n">
        <x:v>286810</x:v>
      </x:c>
      <x:c r="J47" s="7" t="n">
        <x:v>4.45</x:v>
      </x:c>
      <x:c r="K47" s="7" t="n">
        <x:v>18.27</x:v>
      </x:c>
      <x:c r="L47" s="7" t="n">
        <x:v>4.36</x:v>
      </x:c>
      <x:c r="M47" s="7" t="n">
        <x:v>5</x:v>
      </x:c>
      <x:c r="N47" s="7" t="n">
        <x:v>1</x:v>
      </x:c>
      <x:c r="O47" s="7"/>
      <x:c r="P47" s="7"/>
      <x:c r="Q47" s="7" t="n">
        <x:v>1</x:v>
      </x:c>
      <x:c r="R47" s="7" t="n">
        <x:v>0.6</x:v>
      </x:c>
      <x:c r="S47" s="7" t="n">
        <x:v>4</x:v>
      </x:c>
      <x:c r="T47" s="7" t="n">
        <x:v>1600</x:v>
      </x:c>
      <x:c r="U47" s="7" t="n">
        <x:v>1000</x:v>
      </x:c>
      <x:c r="V47" s="7" t="n">
        <x:v>400</x:v>
      </x:c>
      <x:c r="W47" s="7" t="n">
        <x:v>200</x:v>
      </x:c>
      <x:c r="X47" s="7"/>
      <x:c r="Y47" s="7" t="n">
        <x:v>6</x:v>
      </x:c>
      <x:c r="Z47" s="7" t="n">
        <x:v>25</x:v>
      </x:c>
      <x:c r="AA47" s="7" t="n">
        <x:v>1</x:v>
      </x:c>
      <x:c r="AB47" s="7" t="n">
        <x:v>45</x:v>
      </x:c>
      <x:c r="AC47" s="7" t="n">
        <x:v>0</x:v>
      </x:c>
      <x:c r="AD47" s="7" t="n">
        <x:v>800</x:v>
      </x:c>
      <x:c r="AE47" s="7" t="n">
        <x:v>45</x:v>
      </x:c>
      <x:c r="AF47" s="13" t="b">
        <x:v>1</x:v>
      </x:c>
      <x:c r="AG47" s="7" t="n">
        <x:v>0.5</x:v>
      </x:c>
      <x:c r="AH47" s="7" t="n">
        <x:v>0.5</x:v>
      </x:c>
      <x:c r="AI47" s="7" t="n">
        <x:v>0.65</x:v>
      </x:c>
      <x:c r="AJ47" s="7" t="n">
        <x:v>0.32</x:v>
      </x:c>
      <x:c r="AK47" s="7" t="n">
        <x:v>0.03</x:v>
      </x:c>
      <x:c r="AL47" s="7" t="str">
        <x:v>shipbuildericons/ICO_LanceheadMissileBay</x:v>
      </x:c>
      <x:c r="AM47" s="7" t="str">
        <x:v>shipweapons/missile_launcher</x:v>
      </x:c>
      <x:c r="AN47" s="7" t="str">
        <x:v>spacecombat/AnacondaMissile</x:v>
      </x:c>
      <x:c r="AO47" s="7" t="str">
        <x:v>spaceCombat/ImpactWhite</x:v>
      </x:c>
      <x:c r="AP47" s="7" t="str">
        <x:v>event:/SFX/Game_SFX/Guns/trig_SFX_Missile_Launch</x:v>
      </x:c>
      <x:c r="AQ47" s="7" t="str">
        <x:v>event:/SFX/Game_SFX/Guns/trig_SFX_Fragmentation_Missile_Detonates_Ship</x:v>
      </x:c>
      <x:c r="AR47" s="7"/>
      <x:c r="AS47" s="7"/>
      <x:c r="AT47" s="7"/>
      <x:c r="AU47" s="7"/>
      <x:c r="AV47" s="7"/>
      <x:c r="AW47" s="7"/>
    </x:row>
    <x:row r="48" ht="23" customHeight="1">
      <x:c r="A48" s="2" t="str">
        <x:v>PythonNuclearMissilePod</x:v>
      </x:c>
      <x:c r="B48" s="2" t="str">
        <x:v>Python Nuclear Missile Pod</x:v>
      </x:c>
      <x:c r="C48" s="2" t="str">
        <x:v>HalfHull</x:v>
      </x:c>
      <x:c r="D48" s="2" t="n">
        <x:v>0</x:v>
      </x:c>
      <x:c r="E48" s="2" t="str">
        <x:v>Project_HadesNuclearTorpedoBay</x:v>
      </x:c>
      <x:c r="F48" s="12" t="b">
        <x:v>1</x:v>
      </x:c>
      <x:c r="G48" s="12" t="b">
        <x:v>1</x:v>
      </x:c>
      <x:c r="H48" s="2" t="str">
        <x:v>Nuclear</x:v>
      </x:c>
      <x:c r="I48" s="2" t="n">
        <x:v>286810</x:v>
      </x:c>
      <x:c r="J48" s="2" t="n">
        <x:v>4.45</x:v>
      </x:c>
      <x:c r="K48" s="2" t="n">
        <x:v>18.27</x:v>
      </x:c>
      <x:c r="L48" s="2" t="n">
        <x:v>4.01</x:v>
      </x:c>
      <x:c r="M48" s="2" t="n">
        <x:v>7</x:v>
      </x:c>
      <x:c r="N48" s="2" t="n">
        <x:v>1</x:v>
      </x:c>
      <x:c r="O48" s="2"/>
      <x:c r="P48" s="2"/>
      <x:c r="Q48" s="2" t="n">
        <x:v>1</x:v>
      </x:c>
      <x:c r="R48" s="2" t="n">
        <x:v>1</x:v>
      </x:c>
      <x:c r="S48" s="2" t="n">
        <x:v>4</x:v>
      </x:c>
      <x:c r="T48" s="2" t="n">
        <x:v>1600</x:v>
      </x:c>
      <x:c r="U48" s="2" t="n">
        <x:v>950</x:v>
      </x:c>
      <x:c r="V48" s="2" t="n">
        <x:v>400</x:v>
      </x:c>
      <x:c r="W48" s="2" t="n">
        <x:v>250</x:v>
      </x:c>
      <x:c r="X48" s="2" t="n">
        <x:v>188325000</x:v>
      </x:c>
      <x:c r="Y48" s="2" t="n">
        <x:v>3</x:v>
      </x:c>
      <x:c r="Z48" s="2" t="n">
        <x:v>30</x:v>
      </x:c>
      <x:c r="AA48" s="2" t="n">
        <x:v>1</x:v>
      </x:c>
      <x:c r="AB48" s="2" t="n">
        <x:v>55</x:v>
      </x:c>
      <x:c r="AC48" s="2" t="n">
        <x:v>0</x:v>
      </x:c>
      <x:c r="AD48" s="2" t="n">
        <x:v>800</x:v>
      </x:c>
      <x:c r="AE48" s="2" t="n">
        <x:v>45</x:v>
      </x:c>
      <x:c r="AF48" s="12" t="b">
        <x:v>1</x:v>
      </x:c>
      <x:c r="AG48" s="2" t="n">
        <x:v>0.4</x:v>
      </x:c>
      <x:c r="AH48" s="2" t="n">
        <x:v>0.4</x:v>
      </x:c>
      <x:c r="AI48" s="2" t="n">
        <x:v>0.65</x:v>
      </x:c>
      <x:c r="AJ48" s="2" t="n">
        <x:v>0.27</x:v>
      </x:c>
      <x:c r="AK48" s="2" t="n">
        <x:v>0.07</x:v>
      </x:c>
      <x:c r="AL48" s="2" t="str">
        <x:v>shipbuildericons/ICO_PythonNuclearMissileBay</x:v>
      </x:c>
      <x:c r="AM48" s="2" t="str">
        <x:v>shipweapons/missile_launcher</x:v>
      </x:c>
      <x:c r="AN48" s="2" t="str">
        <x:v>spacecombat/AnacondaMissile</x:v>
      </x:c>
      <x:c r="AO48" s="2" t="str">
        <x:v>spaceCombat/SpaceNuke</x:v>
      </x:c>
      <x:c r="AP48" s="2" t="str">
        <x:v>event:/SFX/Game_SFX/Guns/trig_SFX_Missile_Launch</x:v>
      </x:c>
      <x:c r="AQ48" s="2" t="str">
        <x:v>event:/SFX/Game_SFX/Guns/trig_SFX_Nuclear_Warhead_Detonates</x:v>
      </x:c>
      <x:c r="AR48" s="2" t="str">
        <x:v>50 kt</x:v>
      </x:c>
      <x:c r="AS48" s="2" t="n">
        <x:v>0.2</x:v>
      </x:c>
      <x:c r="AT48" s="2" t="n">
        <x:v>0.01</x:v>
      </x:c>
      <x:c r="AU48" s="2"/>
      <x:c r="AV48" s="2"/>
      <x:c r="AW48" s="2"/>
    </x:row>
    <x:row r="49" ht="23" customHeight="1">
      <x:c r="A49" s="7" t="str">
        <x:v>HeraTorpedoPod</x:v>
      </x:c>
      <x:c r="B49" s="7" t="str">
        <x:v>Hera Torpedo Pod</x:v>
      </x:c>
      <x:c r="C49" s="7" t="str">
        <x:v>HalfHull</x:v>
      </x:c>
      <x:c r="D49" s="7" t="n">
        <x:v>0</x:v>
      </x:c>
      <x:c r="E49" s="7" t="str">
        <x:v>Project_AnacondaMissileBay</x:v>
      </x:c>
      <x:c r="F49" s="13" t="b">
        <x:v>1</x:v>
      </x:c>
      <x:c r="G49" s="13" t="b">
        <x:v>0</x:v>
      </x:c>
      <x:c r="H49" s="7" t="str">
        <x:v>Explosive</x:v>
      </x:c>
      <x:c r="I49" s="7" t="n">
        <x:v>351840</x:v>
      </x:c>
      <x:c r="J49" s="7" t="n">
        <x:v>3.23</x:v>
      </x:c>
      <x:c r="K49" s="7" t="n">
        <x:v>7.47</x:v>
      </x:c>
      <x:c r="L49" s="7" t="n">
        <x:v>6.22</x:v>
      </x:c>
      <x:c r="M49" s="7" t="n">
        <x:v>5</x:v>
      </x:c>
      <x:c r="N49" s="7" t="n">
        <x:v>7</x:v>
      </x:c>
      <x:c r="O49" s="7"/>
      <x:c r="P49" s="7"/>
      <x:c r="Q49" s="7" t="n">
        <x:v>1</x:v>
      </x:c>
      <x:c r="R49" s="7" t="n">
        <x:v>0.8</x:v>
      </x:c>
      <x:c r="S49" s="7" t="n">
        <x:v>2</x:v>
      </x:c>
      <x:c r="T49" s="7" t="n">
        <x:v>4800</x:v>
      </x:c>
      <x:c r="U49" s="7" t="n">
        <x:v>4100</x:v>
      </x:c>
      <x:c r="V49" s="7" t="n">
        <x:v>400</x:v>
      </x:c>
      <x:c r="W49" s="7" t="n">
        <x:v>300</x:v>
      </x:c>
      <x:c r="X49" s="7" t="n">
        <x:v>540</x:v>
      </x:c>
      <x:c r="Y49" s="7" t="n">
        <x:v>7</x:v>
      </x:c>
      <x:c r="Z49" s="7" t="n">
        <x:v>20</x:v>
      </x:c>
      <x:c r="AA49" s="7" t="n">
        <x:v>1</x:v>
      </x:c>
      <x:c r="AB49" s="7" t="n">
        <x:v>40</x:v>
      </x:c>
      <x:c r="AC49" s="7" t="n">
        <x:v>0</x:v>
      </x:c>
      <x:c r="AD49" s="7" t="n">
        <x:v>800</x:v>
      </x:c>
      <x:c r="AE49" s="7" t="n">
        <x:v>45</x:v>
      </x:c>
      <x:c r="AF49" s="13" t="b">
        <x:v>1</x:v>
      </x:c>
      <x:c r="AG49" s="7" t="n">
        <x:v>0.5</x:v>
      </x:c>
      <x:c r="AH49" s="7" t="n">
        <x:v>0.5</x:v>
      </x:c>
      <x:c r="AI49" s="7" t="n">
        <x:v>0.68</x:v>
      </x:c>
      <x:c r="AJ49" s="7" t="n">
        <x:v>0.3</x:v>
      </x:c>
      <x:c r="AK49" s="7" t="n">
        <x:v>0.02</x:v>
      </x:c>
      <x:c r="AL49" s="7" t="str">
        <x:v>shipbuildericons/ICO_HeraTorpedoBay</x:v>
      </x:c>
      <x:c r="AM49" s="7" t="str">
        <x:v>shipweapons/torpedo_launcher</x:v>
      </x:c>
      <x:c r="AN49" s="7" t="str">
        <x:v>spacecombat/HeraTorpedo</x:v>
      </x:c>
      <x:c r="AO49" s="7" t="str">
        <x:v>spaceCombat/BigExplosion</x:v>
      </x:c>
      <x:c r="AP49" s="7" t="str">
        <x:v>event:/SFX/Game_SFX/Guns/trig_SFX_Torpedo_Launch</x:v>
      </x:c>
      <x:c r="AQ49" s="7" t="str">
        <x:v>event:/SFX/Game_SFX/Guns/trig_SFX_Fragmentation_Missile_Detonates_Ship</x:v>
      </x:c>
      <x:c r="AR49" s="7" t="str">
        <x:v>Hypergolic</x:v>
      </x:c>
      <x:c r="AS49" s="7"/>
      <x:c r="AT49" s="7"/>
      <x:c r="AU49" s="7"/>
      <x:c r="AV49" s="7"/>
      <x:c r="AW49" s="7"/>
    </x:row>
    <x:row r="50" ht="23" customHeight="1">
      <x:c r="A50" s="2" t="str">
        <x:v>HermesTorpedoPod</x:v>
      </x:c>
      <x:c r="B50" s="2" t="str">
        <x:v>Hermes Torpedo Pod</x:v>
      </x:c>
      <x:c r="C50" s="2" t="str">
        <x:v>HalfHull</x:v>
      </x:c>
      <x:c r="D50" s="2" t="n">
        <x:v>0</x:v>
      </x:c>
      <x:c r="E50" s="2" t="str">
        <x:v>Project_HarlequinMissileBay</x:v>
      </x:c>
      <x:c r="F50" s="12" t="b">
        <x:v>1</x:v>
      </x:c>
      <x:c r="G50" s="12" t="b">
        <x:v>0</x:v>
      </x:c>
      <x:c r="H50" s="2" t="str">
        <x:v>Penetrator</x:v>
      </x:c>
      <x:c r="I50" s="2" t="n">
        <x:v>351840</x:v>
      </x:c>
      <x:c r="J50" s="2" t="n">
        <x:v>3.23</x:v>
      </x:c>
      <x:c r="K50" s="2" t="n">
        <x:v>7.47</x:v>
      </x:c>
      <x:c r="L50" s="2" t="n">
        <x:v>4.62</x:v>
      </x:c>
      <x:c r="M50" s="2" t="n">
        <x:v>2</x:v>
      </x:c>
      <x:c r="N50" s="2" t="n">
        <x:v>7</x:v>
      </x:c>
      <x:c r="O50" s="2"/>
      <x:c r="P50" s="2"/>
      <x:c r="Q50" s="2" t="n">
        <x:v>1</x:v>
      </x:c>
      <x:c r="R50" s="2" t="n">
        <x:v>0.6</x:v>
      </x:c>
      <x:c r="S50" s="2" t="n">
        <x:v>2</x:v>
      </x:c>
      <x:c r="T50" s="2" t="n">
        <x:v>4800</x:v>
      </x:c>
      <x:c r="U50" s="2" t="n">
        <x:v>3650</x:v>
      </x:c>
      <x:c r="V50" s="2" t="n">
        <x:v>400</x:v>
      </x:c>
      <x:c r="W50" s="2" t="n">
        <x:v>750</x:v>
      </x:c>
      <x:c r="X50" s="2"/>
      <x:c r="Y50" s="2" t="n">
        <x:v>7</x:v>
      </x:c>
      <x:c r="Z50" s="2" t="n">
        <x:v>20</x:v>
      </x:c>
      <x:c r="AA50" s="2" t="n">
        <x:v>1</x:v>
      </x:c>
      <x:c r="AB50" s="2" t="n">
        <x:v>30</x:v>
      </x:c>
      <x:c r="AC50" s="2" t="n">
        <x:v>0</x:v>
      </x:c>
      <x:c r="AD50" s="2" t="n">
        <x:v>800</x:v>
      </x:c>
      <x:c r="AE50" s="2" t="n">
        <x:v>45</x:v>
      </x:c>
      <x:c r="AF50" s="12" t="b">
        <x:v>1</x:v>
      </x:c>
      <x:c r="AG50" s="2" t="n">
        <x:v>0.5</x:v>
      </x:c>
      <x:c r="AH50" s="2" t="n">
        <x:v>0.5</x:v>
      </x:c>
      <x:c r="AI50" s="2" t="n">
        <x:v>0.68</x:v>
      </x:c>
      <x:c r="AJ50" s="2" t="n">
        <x:v>0.3</x:v>
      </x:c>
      <x:c r="AK50" s="2" t="n">
        <x:v>0.02</x:v>
      </x:c>
      <x:c r="AL50" s="2" t="str">
        <x:v>shipbuildericons/ICO_HermesTorpedoBay</x:v>
      </x:c>
      <x:c r="AM50" s="2" t="str">
        <x:v>shipweapons/torpedo_launcher</x:v>
      </x:c>
      <x:c r="AN50" s="2" t="str">
        <x:v>spacecombat/HeraTorpedo</x:v>
      </x:c>
      <x:c r="AO50" s="2" t="str">
        <x:v>spaceCombat/ImpactWhite</x:v>
      </x:c>
      <x:c r="AP50" s="2" t="str">
        <x:v>event:/SFX/Game_SFX/Guns/trig_SFX_Torpedo_Launch</x:v>
      </x:c>
      <x:c r="AQ50" s="2" t="str">
        <x:v>event:/SFX/Game_SFX/Guns/trig_SFX_Fragmentation_Missile_Detonates_Ship</x:v>
      </x:c>
      <x:c r="AR50" s="2"/>
      <x:c r="AS50" s="2"/>
      <x:c r="AT50" s="2"/>
      <x:c r="AU50" s="2"/>
      <x:c r="AV50" s="2"/>
      <x:c r="AW50" s="2"/>
    </x:row>
    <x:row r="51" ht="23" customHeight="1">
      <x:c r="A51" s="7" t="str">
        <x:v>HerculesTorpedoPod</x:v>
      </x:c>
      <x:c r="B51" s="7" t="str">
        <x:v>Hercules Torpedo Pod</x:v>
      </x:c>
      <x:c r="C51" s="7" t="str">
        <x:v>HalfHull</x:v>
      </x:c>
      <x:c r="D51" s="7" t="n">
        <x:v>0</x:v>
      </x:c>
      <x:c r="E51" s="7" t="str">
        <x:v>Project_RattlerMissileBay</x:v>
      </x:c>
      <x:c r="F51" s="13" t="b">
        <x:v>1</x:v>
      </x:c>
      <x:c r="G51" s="13" t="b">
        <x:v>0</x:v>
      </x:c>
      <x:c r="H51" s="7" t="str">
        <x:v>Fragmentation</x:v>
      </x:c>
      <x:c r="I51" s="7" t="n">
        <x:v>351840</x:v>
      </x:c>
      <x:c r="J51" s="7" t="n">
        <x:v>3.23</x:v>
      </x:c>
      <x:c r="K51" s="7" t="n">
        <x:v>7.47</x:v>
      </x:c>
      <x:c r="L51" s="7" t="n">
        <x:v>5.41</x:v>
      </x:c>
      <x:c r="M51" s="7" t="n">
        <x:v>10</x:v>
      </x:c>
      <x:c r="N51" s="7" t="n">
        <x:v>7</x:v>
      </x:c>
      <x:c r="O51" s="7"/>
      <x:c r="P51" s="7"/>
      <x:c r="Q51" s="7" t="n">
        <x:v>1</x:v>
      </x:c>
      <x:c r="R51" s="7" t="n">
        <x:v>0.5</x:v>
      </x:c>
      <x:c r="S51" s="7" t="n">
        <x:v>2</x:v>
      </x:c>
      <x:c r="T51" s="7" t="n">
        <x:v>4800</x:v>
      </x:c>
      <x:c r="U51" s="7" t="n">
        <x:v>3900</x:v>
      </x:c>
      <x:c r="V51" s="7" t="n">
        <x:v>400</x:v>
      </x:c>
      <x:c r="W51" s="7" t="n">
        <x:v>500</x:v>
      </x:c>
      <x:c r="X51" s="7"/>
      <x:c r="Y51" s="7" t="n">
        <x:v>7</x:v>
      </x:c>
      <x:c r="Z51" s="7" t="n">
        <x:v>20</x:v>
      </x:c>
      <x:c r="AA51" s="7" t="n">
        <x:v>1</x:v>
      </x:c>
      <x:c r="AB51" s="7" t="n">
        <x:v>35</x:v>
      </x:c>
      <x:c r="AC51" s="7" t="n">
        <x:v>0</x:v>
      </x:c>
      <x:c r="AD51" s="7" t="n">
        <x:v>1000</x:v>
      </x:c>
      <x:c r="AE51" s="7" t="n">
        <x:v>180</x:v>
      </x:c>
      <x:c r="AF51" s="13" t="b">
        <x:v>1</x:v>
      </x:c>
      <x:c r="AG51" s="7" t="n">
        <x:v>0.5</x:v>
      </x:c>
      <x:c r="AH51" s="7" t="n">
        <x:v>0.5</x:v>
      </x:c>
      <x:c r="AI51" s="7" t="n">
        <x:v>0.68</x:v>
      </x:c>
      <x:c r="AJ51" s="7" t="n">
        <x:v>0.3</x:v>
      </x:c>
      <x:c r="AK51" s="7" t="n">
        <x:v>0.02</x:v>
      </x:c>
      <x:c r="AL51" s="7" t="str">
        <x:v>shipbuildericons/ICO_HerculesTorpedoBay</x:v>
      </x:c>
      <x:c r="AM51" s="7" t="str">
        <x:v>shipweapons/torpedo_launcher</x:v>
      </x:c>
      <x:c r="AN51" s="7" t="str">
        <x:v>spacecombat/HeraTorpedo</x:v>
      </x:c>
      <x:c r="AO51" s="7" t="str">
        <x:v>spaceCombat/TinyExplosion</x:v>
      </x:c>
      <x:c r="AP51" s="7" t="str">
        <x:v>event:/SFX/Game_SFX/Guns/trig_SFX_Torpedo_Launch</x:v>
      </x:c>
      <x:c r="AQ51" s="7" t="str">
        <x:v>event:/SFX/Game_SFX/Guns/trig_SFX_Fragmentation_Missile_Detonates_Ship</x:v>
      </x:c>
      <x:c r="AR51" s="7"/>
      <x:c r="AS51" s="7"/>
      <x:c r="AT51" s="7"/>
      <x:c r="AU51" s="7"/>
      <x:c r="AV51" s="7"/>
      <x:c r="AW51" s="7"/>
    </x:row>
    <x:row r="52" ht="23" customHeight="1">
      <x:c r="A52" s="2" t="str">
        <x:v>ArtemisTorpedoPod</x:v>
      </x:c>
      <x:c r="B52" s="2" t="str">
        <x:v>Artemis Torpedo Pod</x:v>
      </x:c>
      <x:c r="C52" s="2" t="str">
        <x:v>HalfHull</x:v>
      </x:c>
      <x:c r="D52" s="2" t="n">
        <x:v>0</x:v>
      </x:c>
      <x:c r="E52" s="2" t="str">
        <x:v>Project_CopperheadMissileBay</x:v>
      </x:c>
      <x:c r="F52" s="12" t="b">
        <x:v>1</x:v>
      </x:c>
      <x:c r="G52" s="12" t="b">
        <x:v>0</x:v>
      </x:c>
      <x:c r="H52" s="2" t="str">
        <x:v>Explosive</x:v>
      </x:c>
      <x:c r="I52" s="2" t="n">
        <x:v>430215</x:v>
      </x:c>
      <x:c r="J52" s="2" t="n">
        <x:v>4.45</x:v>
      </x:c>
      <x:c r="K52" s="2" t="n">
        <x:v>9.14</x:v>
      </x:c>
      <x:c r="L52" s="2" t="n">
        <x:v>7.97</x:v>
      </x:c>
      <x:c r="M52" s="2" t="n">
        <x:v>7</x:v>
      </x:c>
      <x:c r="N52" s="2" t="n">
        <x:v>7</x:v>
      </x:c>
      <x:c r="O52" s="2"/>
      <x:c r="P52" s="2"/>
      <x:c r="Q52" s="2" t="n">
        <x:v>1</x:v>
      </x:c>
      <x:c r="R52" s="2" t="n">
        <x:v>0.8</x:v>
      </x:c>
      <x:c r="S52" s="2" t="n">
        <x:v>2</x:v>
      </x:c>
      <x:c r="T52" s="2" t="n">
        <x:v>4800</x:v>
      </x:c>
      <x:c r="U52" s="2" t="n">
        <x:v>4000</x:v>
      </x:c>
      <x:c r="V52" s="2" t="n">
        <x:v>400</x:v>
      </x:c>
      <x:c r="W52" s="2" t="n">
        <x:v>400</x:v>
      </x:c>
      <x:c r="X52" s="2" t="n">
        <x:v>960</x:v>
      </x:c>
      <x:c r="Y52" s="2" t="n">
        <x:v>7</x:v>
      </x:c>
      <x:c r="Z52" s="2" t="n">
        <x:v>20</x:v>
      </x:c>
      <x:c r="AA52" s="2" t="n">
        <x:v>1</x:v>
      </x:c>
      <x:c r="AB52" s="2" t="n">
        <x:v>40</x:v>
      </x:c>
      <x:c r="AC52" s="2" t="n">
        <x:v>0</x:v>
      </x:c>
      <x:c r="AD52" s="2" t="n">
        <x:v>800</x:v>
      </x:c>
      <x:c r="AE52" s="2" t="n">
        <x:v>45</x:v>
      </x:c>
      <x:c r="AF52" s="12" t="b">
        <x:v>1</x:v>
      </x:c>
      <x:c r="AG52" s="2" t="n">
        <x:v>0.5</x:v>
      </x:c>
      <x:c r="AH52" s="2" t="n">
        <x:v>0.5</x:v>
      </x:c>
      <x:c r="AI52" s="2" t="n">
        <x:v>0.65</x:v>
      </x:c>
      <x:c r="AJ52" s="2" t="n">
        <x:v>0.32</x:v>
      </x:c>
      <x:c r="AK52" s="2" t="n">
        <x:v>0.03</x:v>
      </x:c>
      <x:c r="AL52" s="2" t="str">
        <x:v>shipbuildericons/ICO_ArtemisTorpedoBay</x:v>
      </x:c>
      <x:c r="AM52" s="2" t="str">
        <x:v>shipweapons/torpedo_launcher</x:v>
      </x:c>
      <x:c r="AN52" s="2" t="str">
        <x:v>spacecombat/HeraTorpedo</x:v>
      </x:c>
      <x:c r="AO52" s="2" t="str">
        <x:v>spaceCombat/BigExplosion</x:v>
      </x:c>
      <x:c r="AP52" s="2" t="str">
        <x:v>event:/SFX/Game_SFX/Guns/trig_SFX_Torpedo_Launch</x:v>
      </x:c>
      <x:c r="AQ52" s="2" t="str">
        <x:v>event:/SFX/Game_SFX/Guns/trig_SFX_Fragmentation_Missile_Detonates_Ship</x:v>
      </x:c>
      <x:c r="AR52" s="2" t="str">
        <x:v>Hydrolox</x:v>
      </x:c>
      <x:c r="AS52" s="2"/>
      <x:c r="AT52" s="2"/>
      <x:c r="AU52" s="2"/>
      <x:c r="AV52" s="2"/>
      <x:c r="AW52" s="2"/>
    </x:row>
    <x:row r="53" ht="23" customHeight="1">
      <x:c r="A53" s="7" t="str">
        <x:v>VulcanTorpedoPod</x:v>
      </x:c>
      <x:c r="B53" s="7" t="str">
        <x:v>Vulcan Torpedo Pod</x:v>
      </x:c>
      <x:c r="C53" s="7" t="str">
        <x:v>HalfHull</x:v>
      </x:c>
      <x:c r="D53" s="7" t="n">
        <x:v>0</x:v>
      </x:c>
      <x:c r="E53" s="7" t="str">
        <x:v>Project_LanceheadMissileBay</x:v>
      </x:c>
      <x:c r="F53" s="13" t="b">
        <x:v>1</x:v>
      </x:c>
      <x:c r="G53" s="13" t="b">
        <x:v>0</x:v>
      </x:c>
      <x:c r="H53" s="7" t="str">
        <x:v>Penetrator</x:v>
      </x:c>
      <x:c r="I53" s="7" t="n">
        <x:v>430215</x:v>
      </x:c>
      <x:c r="J53" s="7" t="n">
        <x:v>4.45</x:v>
      </x:c>
      <x:c r="K53" s="7" t="n">
        <x:v>9.14</x:v>
      </x:c>
      <x:c r="L53" s="7" t="n">
        <x:v>5.99</x:v>
      </x:c>
      <x:c r="M53" s="7" t="n">
        <x:v>5</x:v>
      </x:c>
      <x:c r="N53" s="7" t="n">
        <x:v>7</x:v>
      </x:c>
      <x:c r="O53" s="7"/>
      <x:c r="P53" s="7"/>
      <x:c r="Q53" s="7" t="n">
        <x:v>1</x:v>
      </x:c>
      <x:c r="R53" s="7" t="n">
        <x:v>0.6</x:v>
      </x:c>
      <x:c r="S53" s="7" t="n">
        <x:v>2</x:v>
      </x:c>
      <x:c r="T53" s="7" t="n">
        <x:v>4800</x:v>
      </x:c>
      <x:c r="U53" s="7" t="n">
        <x:v>3550</x:v>
      </x:c>
      <x:c r="V53" s="7" t="n">
        <x:v>400</x:v>
      </x:c>
      <x:c r="W53" s="7" t="n">
        <x:v>850</x:v>
      </x:c>
      <x:c r="X53" s="7"/>
      <x:c r="Y53" s="7" t="n">
        <x:v>7</x:v>
      </x:c>
      <x:c r="Z53" s="7" t="n">
        <x:v>20</x:v>
      </x:c>
      <x:c r="AA53" s="7" t="n">
        <x:v>1</x:v>
      </x:c>
      <x:c r="AB53" s="7" t="n">
        <x:v>30</x:v>
      </x:c>
      <x:c r="AC53" s="7" t="n">
        <x:v>0</x:v>
      </x:c>
      <x:c r="AD53" s="7" t="n">
        <x:v>800</x:v>
      </x:c>
      <x:c r="AE53" s="7" t="n">
        <x:v>45</x:v>
      </x:c>
      <x:c r="AF53" s="13" t="b">
        <x:v>1</x:v>
      </x:c>
      <x:c r="AG53" s="7" t="n">
        <x:v>0.5</x:v>
      </x:c>
      <x:c r="AH53" s="7" t="n">
        <x:v>0.5</x:v>
      </x:c>
      <x:c r="AI53" s="7" t="n">
        <x:v>0.65</x:v>
      </x:c>
      <x:c r="AJ53" s="7" t="n">
        <x:v>0.32</x:v>
      </x:c>
      <x:c r="AK53" s="7" t="n">
        <x:v>0.03</x:v>
      </x:c>
      <x:c r="AL53" s="7" t="str">
        <x:v>shipbuildericons/ICO_VulcanTorpedoBay</x:v>
      </x:c>
      <x:c r="AM53" s="7" t="str">
        <x:v>shipweapons/torpedo_launcher</x:v>
      </x:c>
      <x:c r="AN53" s="7" t="str">
        <x:v>spacecombat/HeraTorpedo</x:v>
      </x:c>
      <x:c r="AO53" s="7" t="str">
        <x:v>spaceCombat/ImpactWhite</x:v>
      </x:c>
      <x:c r="AP53" s="7" t="str">
        <x:v>event:/SFX/Game_SFX/Guns/trig_SFX_Torpedo_Launch</x:v>
      </x:c>
      <x:c r="AQ53" s="7" t="str">
        <x:v>event:/SFX/Game_SFX/Guns/trig_SFX_Fragmentation_Missile_Detonates_Ship</x:v>
      </x:c>
      <x:c r="AR53" s="7"/>
      <x:c r="AS53" s="7"/>
      <x:c r="AT53" s="7"/>
      <x:c r="AU53" s="7"/>
      <x:c r="AV53" s="7"/>
      <x:c r="AW53" s="7"/>
    </x:row>
    <x:row r="54" ht="23" customHeight="1">
      <x:c r="A54" s="2" t="str">
        <x:v>ApolloTorpedoPod</x:v>
      </x:c>
      <x:c r="B54" s="2" t="str">
        <x:v>Apollo Torpedo Pod</x:v>
      </x:c>
      <x:c r="C54" s="2" t="str">
        <x:v>HalfHull</x:v>
      </x:c>
      <x:c r="D54" s="2" t="n">
        <x:v>0</x:v>
      </x:c>
      <x:c r="E54" s="2" t="str">
        <x:v>Project_ViperMissileBay</x:v>
      </x:c>
      <x:c r="F54" s="12" t="b">
        <x:v>1</x:v>
      </x:c>
      <x:c r="G54" s="12" t="b">
        <x:v>0</x:v>
      </x:c>
      <x:c r="H54" s="2" t="str">
        <x:v>Fragmentation</x:v>
      </x:c>
      <x:c r="I54" s="2" t="n">
        <x:v>430215</x:v>
      </x:c>
      <x:c r="J54" s="2" t="n">
        <x:v>4.45</x:v>
      </x:c>
      <x:c r="K54" s="2" t="n">
        <x:v>9.14</x:v>
      </x:c>
      <x:c r="L54" s="2" t="n">
        <x:v>7.45</x:v>
      </x:c>
      <x:c r="M54" s="2" t="n">
        <x:v>10</x:v>
      </x:c>
      <x:c r="N54" s="2" t="n">
        <x:v>7</x:v>
      </x:c>
      <x:c r="O54" s="2"/>
      <x:c r="P54" s="2"/>
      <x:c r="Q54" s="2" t="n">
        <x:v>1</x:v>
      </x:c>
      <x:c r="R54" s="2" t="n">
        <x:v>0.5</x:v>
      </x:c>
      <x:c r="S54" s="2" t="n">
        <x:v>2</x:v>
      </x:c>
      <x:c r="T54" s="2" t="n">
        <x:v>4800</x:v>
      </x:c>
      <x:c r="U54" s="2" t="n">
        <x:v>3900</x:v>
      </x:c>
      <x:c r="V54" s="2" t="n">
        <x:v>400</x:v>
      </x:c>
      <x:c r="W54" s="2" t="n">
        <x:v>500</x:v>
      </x:c>
      <x:c r="X54" s="2"/>
      <x:c r="Y54" s="2" t="n">
        <x:v>7</x:v>
      </x:c>
      <x:c r="Z54" s="2" t="n">
        <x:v>20</x:v>
      </x:c>
      <x:c r="AA54" s="2" t="n">
        <x:v>1</x:v>
      </x:c>
      <x:c r="AB54" s="2" t="n">
        <x:v>35</x:v>
      </x:c>
      <x:c r="AC54" s="2" t="n">
        <x:v>0</x:v>
      </x:c>
      <x:c r="AD54" s="2" t="n">
        <x:v>1000</x:v>
      </x:c>
      <x:c r="AE54" s="2" t="n">
        <x:v>180</x:v>
      </x:c>
      <x:c r="AF54" s="12" t="b">
        <x:v>1</x:v>
      </x:c>
      <x:c r="AG54" s="2" t="n">
        <x:v>0.5</x:v>
      </x:c>
      <x:c r="AH54" s="2" t="n">
        <x:v>0.5</x:v>
      </x:c>
      <x:c r="AI54" s="2" t="n">
        <x:v>0.65</x:v>
      </x:c>
      <x:c r="AJ54" s="2" t="n">
        <x:v>0.32</x:v>
      </x:c>
      <x:c r="AK54" s="2" t="n">
        <x:v>0.03</x:v>
      </x:c>
      <x:c r="AL54" s="2" t="str">
        <x:v>shipbuildericons/ICO_ApolloTorpedoBay</x:v>
      </x:c>
      <x:c r="AM54" s="2" t="str">
        <x:v>shipweapons/torpedo_launcher</x:v>
      </x:c>
      <x:c r="AN54" s="2" t="str">
        <x:v>spacecombat/HeraTorpedo</x:v>
      </x:c>
      <x:c r="AO54" s="2" t="str">
        <x:v>spaceCombat/TinyExplosion</x:v>
      </x:c>
      <x:c r="AP54" s="2" t="str">
        <x:v>event:/SFX/Game_SFX/Guns/trig_SFX_Torpedo_Launch</x:v>
      </x:c>
      <x:c r="AQ54" s="2" t="str">
        <x:v>event:/SFX/Game_SFX/Guns/trig_SFX_Fragmentation_Missile_Detonates_Ship</x:v>
      </x:c>
      <x:c r="AR54" s="2"/>
      <x:c r="AS54" s="2"/>
      <x:c r="AT54" s="2"/>
      <x:c r="AU54" s="2"/>
      <x:c r="AV54" s="2"/>
      <x:c r="AW54" s="2"/>
    </x:row>
    <x:row r="55" ht="23" customHeight="1">
      <x:c r="A55" s="7" t="str">
        <x:v>CerebrusNuclearTorpedoPod</x:v>
      </x:c>
      <x:c r="B55" s="7" t="str">
        <x:v>Cerebrus Nuclear Torpedo Pod</x:v>
      </x:c>
      <x:c r="C55" s="7" t="str">
        <x:v>HalfHull</x:v>
      </x:c>
      <x:c r="D55" s="7" t="n">
        <x:v>0</x:v>
      </x:c>
      <x:c r="E55" s="7" t="str">
        <x:v>Project_CerebrusNuclearTorpedoBay</x:v>
      </x:c>
      <x:c r="F55" s="13" t="b">
        <x:v>1</x:v>
      </x:c>
      <x:c r="G55" s="13" t="b">
        <x:v>0</x:v>
      </x:c>
      <x:c r="H55" s="7" t="str">
        <x:v>Nuclear</x:v>
      </x:c>
      <x:c r="I55" s="7" t="n">
        <x:v>351840</x:v>
      </x:c>
      <x:c r="J55" s="7" t="n">
        <x:v>3.23</x:v>
      </x:c>
      <x:c r="K55" s="7" t="n">
        <x:v>7.47</x:v>
      </x:c>
      <x:c r="L55" s="7" t="n">
        <x:v>6.41</x:v>
      </x:c>
      <x:c r="M55" s="7" t="n">
        <x:v>12</x:v>
      </x:c>
      <x:c r="N55" s="7" t="n">
        <x:v>7</x:v>
      </x:c>
      <x:c r="O55" s="7"/>
      <x:c r="P55" s="7"/>
      <x:c r="Q55" s="7" t="n">
        <x:v>1</x:v>
      </x:c>
      <x:c r="R55" s="7" t="n">
        <x:v>1</x:v>
      </x:c>
      <x:c r="S55" s="7" t="n">
        <x:v>2</x:v>
      </x:c>
      <x:c r="T55" s="7" t="n">
        <x:v>4800</x:v>
      </x:c>
      <x:c r="U55" s="7" t="n">
        <x:v>4140</x:v>
      </x:c>
      <x:c r="V55" s="7" t="n">
        <x:v>400</x:v>
      </x:c>
      <x:c r="W55" s="7" t="n">
        <x:v>260</x:v>
      </x:c>
      <x:c r="X55" s="7" t="n">
        <x:v>1129950000</x:v>
      </x:c>
      <x:c r="Y55" s="7" t="n">
        <x:v>8</x:v>
      </x:c>
      <x:c r="Z55" s="7" t="n">
        <x:v>20</x:v>
      </x:c>
      <x:c r="AA55" s="7" t="n">
        <x:v>1</x:v>
      </x:c>
      <x:c r="AB55" s="7" t="n">
        <x:v>40</x:v>
      </x:c>
      <x:c r="AC55" s="7" t="n">
        <x:v>0</x:v>
      </x:c>
      <x:c r="AD55" s="7" t="n">
        <x:v>800</x:v>
      </x:c>
      <x:c r="AE55" s="7" t="n">
        <x:v>45</x:v>
      </x:c>
      <x:c r="AF55" s="13" t="b">
        <x:v>1</x:v>
      </x:c>
      <x:c r="AG55" s="7" t="n">
        <x:v>0.4</x:v>
      </x:c>
      <x:c r="AH55" s="7" t="n">
        <x:v>0.4</x:v>
      </x:c>
      <x:c r="AI55" s="7" t="n">
        <x:v>0.65</x:v>
      </x:c>
      <x:c r="AJ55" s="7" t="n">
        <x:v>0.27</x:v>
      </x:c>
      <x:c r="AK55" s="7" t="n">
        <x:v>0.07</x:v>
      </x:c>
      <x:c r="AL55" s="7" t="str">
        <x:v>shipbuildericons/ICO_CerebrusNuclearTorpedoBay</x:v>
      </x:c>
      <x:c r="AM55" s="7" t="str">
        <x:v>shipweapons/torpedo_launcher</x:v>
      </x:c>
      <x:c r="AN55" s="7" t="str">
        <x:v>spacecombat/HeraTorpedo</x:v>
      </x:c>
      <x:c r="AO55" s="7" t="str">
        <x:v>spaceCombat/SpaceNuke</x:v>
      </x:c>
      <x:c r="AP55" s="7" t="str">
        <x:v>event:/SFX/Game_SFX/Guns/trig_SFX_Torpedo_Launch</x:v>
      </x:c>
      <x:c r="AQ55" s="7" t="str">
        <x:v>event:/SFX/Game_SFX/Guns/trig_SFX_Nuclear_Warhead_Detonates</x:v>
      </x:c>
      <x:c r="AR55" s="7" t="str">
        <x:v>300 KT (B61) * Hypergolic</x:v>
      </x:c>
      <x:c r="AS55" s="7" t="n">
        <x:v>0.2</x:v>
      </x:c>
      <x:c r="AT55" s="7" t="n">
        <x:v>0.01</x:v>
      </x:c>
      <x:c r="AU55" s="7"/>
      <x:c r="AV55" s="7"/>
      <x:c r="AW55" s="7"/>
    </x:row>
    <x:row r="56" ht="23" customHeight="1">
      <x:c r="A56" s="2" t="str">
        <x:v>HadesNuclearTorpedoPod</x:v>
      </x:c>
      <x:c r="B56" s="2" t="str">
        <x:v>Hades Nuclear Torpedo Pod</x:v>
      </x:c>
      <x:c r="C56" s="2" t="str">
        <x:v>HalfHull</x:v>
      </x:c>
      <x:c r="D56" s="2" t="n">
        <x:v>0</x:v>
      </x:c>
      <x:c r="E56" s="2" t="str">
        <x:v>Project_HadesNuclearTorpedoBay</x:v>
      </x:c>
      <x:c r="F56" s="12" t="b">
        <x:v>1</x:v>
      </x:c>
      <x:c r="G56" s="12" t="b">
        <x:v>0</x:v>
      </x:c>
      <x:c r="H56" s="2" t="str">
        <x:v>Nuclear</x:v>
      </x:c>
      <x:c r="I56" s="2" t="n">
        <x:v>430215</x:v>
      </x:c>
      <x:c r="J56" s="2" t="n">
        <x:v>4.45</x:v>
      </x:c>
      <x:c r="K56" s="2" t="n">
        <x:v>9.14</x:v>
      </x:c>
      <x:c r="L56" s="2" t="n">
        <x:v>7.7</x:v>
      </x:c>
      <x:c r="M56" s="2" t="n">
        <x:v>10</x:v>
      </x:c>
      <x:c r="N56" s="2" t="n">
        <x:v>7</x:v>
      </x:c>
      <x:c r="O56" s="2"/>
      <x:c r="P56" s="2"/>
      <x:c r="Q56" s="2" t="n">
        <x:v>1</x:v>
      </x:c>
      <x:c r="R56" s="2" t="n">
        <x:v>1</x:v>
      </x:c>
      <x:c r="S56" s="2" t="n">
        <x:v>2</x:v>
      </x:c>
      <x:c r="T56" s="2" t="n">
        <x:v>4800</x:v>
      </x:c>
      <x:c r="U56" s="2" t="n">
        <x:v>3950</x:v>
      </x:c>
      <x:c r="V56" s="2" t="n">
        <x:v>400</x:v>
      </x:c>
      <x:c r="W56" s="2" t="n">
        <x:v>450</x:v>
      </x:c>
      <x:c r="X56" s="2" t="n">
        <x:v>2448225000</x:v>
      </x:c>
      <x:c r="Y56" s="2" t="n">
        <x:v>8</x:v>
      </x:c>
      <x:c r="Z56" s="2" t="n">
        <x:v>20</x:v>
      </x:c>
      <x:c r="AA56" s="2" t="n">
        <x:v>1</x:v>
      </x:c>
      <x:c r="AB56" s="2" t="n">
        <x:v>40</x:v>
      </x:c>
      <x:c r="AC56" s="2" t="n">
        <x:v>0</x:v>
      </x:c>
      <x:c r="AD56" s="2" t="n">
        <x:v>800</x:v>
      </x:c>
      <x:c r="AE56" s="2" t="n">
        <x:v>45</x:v>
      </x:c>
      <x:c r="AF56" s="12" t="b">
        <x:v>1</x:v>
      </x:c>
      <x:c r="AG56" s="2" t="n">
        <x:v>0.4</x:v>
      </x:c>
      <x:c r="AH56" s="2" t="n">
        <x:v>0.4</x:v>
      </x:c>
      <x:c r="AI56" s="2" t="n">
        <x:v>0.62</x:v>
      </x:c>
      <x:c r="AJ56" s="2" t="n">
        <x:v>0.29</x:v>
      </x:c>
      <x:c r="AK56" s="2" t="n">
        <x:v>0.08</x:v>
      </x:c>
      <x:c r="AL56" s="2" t="str">
        <x:v>shipbuildericons/ICO_HadesNuclearTorpedoBay</x:v>
      </x:c>
      <x:c r="AM56" s="2" t="str">
        <x:v>shipweapons/torpedo_launcher</x:v>
      </x:c>
      <x:c r="AN56" s="2" t="str">
        <x:v>spacecombat/HeraTorpedo</x:v>
      </x:c>
      <x:c r="AO56" s="2" t="str">
        <x:v>spaceCombat/SpaceNuke</x:v>
      </x:c>
      <x:c r="AP56" s="2" t="str">
        <x:v>event:/SFX/Game_SFX/Guns/trig_SFX_Torpedo_Launch</x:v>
      </x:c>
      <x:c r="AQ56" s="2" t="str">
        <x:v>event:/SFX/Game_SFX/Guns/trig_SFX_Nuclear_Warhead_Detonates</x:v>
      </x:c>
      <x:c r="AR56" s="2" t="str">
        <x:v>600 KT * Hydrolox</x:v>
      </x:c>
      <x:c r="AS56" s="2" t="n">
        <x:v>0.2</x:v>
      </x:c>
      <x:c r="AT56" s="2" t="n">
        <x:v>0.01</x:v>
      </x:c>
      <x:c r="AU56" s="2"/>
      <x:c r="AV56" s="2"/>
      <x:c r="AW56" s="2"/>
    </x:row>
    <x:row r="57" ht="23" customHeight="1">
      <x:c r="A57" s="7" t="str">
        <x:v>GlitteringJewelMissileBay</x:v>
      </x:c>
      <x:c r="B57" s="7" t="str">
        <x:v>Glittering Jewel Missile Bay</x:v>
      </x:c>
      <x:c r="C57" s="7" t="str">
        <x:v>OneHull</x:v>
      </x:c>
      <x:c r="D57" s="7" t="n">
        <x:v>1</x:v>
      </x:c>
      <x:c r="E57" s="7" t="str">
        <x:v>Project_AlienMasterProject</x:v>
      </x:c>
      <x:c r="F57" s="13" t="b">
        <x:v>1</x:v>
      </x:c>
      <x:c r="G57" s="13" t="b">
        <x:v>0</x:v>
      </x:c>
      <x:c r="H57" s="7" t="str">
        <x:v>Penetrator</x:v>
      </x:c>
      <x:c r="I57" s="7" t="n">
        <x:v>300000</x:v>
      </x:c>
      <x:c r="J57" s="7" t="n">
        <x:v>4.45</x:v>
      </x:c>
      <x:c r="K57" s="7" t="n">
        <x:v>23.89</x:v>
      </x:c>
      <x:c r="L57" s="7" t="n">
        <x:v>7.16</x:v>
      </x:c>
      <x:c r="M57" s="7" t="n">
        <x:v>3</x:v>
      </x:c>
      <x:c r="N57" s="7" t="n">
        <x:v>4</x:v>
      </x:c>
      <x:c r="O57" s="7" t="n">
        <x:v>4</x:v>
      </x:c>
      <x:c r="P57" s="7" t="n">
        <x:v>1</x:v>
      </x:c>
      <x:c r="Q57" s="7" t="n">
        <x:v>1</x:v>
      </x:c>
      <x:c r="R57" s="7" t="n">
        <x:v>0.6</x:v>
      </x:c>
      <x:c r="S57" s="7" t="n">
        <x:v>16</x:v>
      </x:c>
      <x:c r="T57" s="7" t="n">
        <x:v>1280</x:v>
      </x:c>
      <x:c r="U57" s="7" t="n">
        <x:v>1024</x:v>
      </x:c>
      <x:c r="V57" s="7" t="n">
        <x:v>128</x:v>
      </x:c>
      <x:c r="W57" s="7" t="n">
        <x:v>128</x:v>
      </x:c>
      <x:c r="X57" s="7"/>
      <x:c r="Y57" s="7" t="n">
        <x:v>5</x:v>
      </x:c>
      <x:c r="Z57" s="7" t="n">
        <x:v>36</x:v>
      </x:c>
      <x:c r="AA57" s="7" t="n">
        <x:v>0.5</x:v>
      </x:c>
      <x:c r="AB57" s="7" t="n">
        <x:v>45</x:v>
      </x:c>
      <x:c r="AC57" s="7" t="n">
        <x:v>0</x:v>
      </x:c>
      <x:c r="AD57" s="7" t="n">
        <x:v>1000</x:v>
      </x:c>
      <x:c r="AE57" s="7" t="n">
        <x:v>180</x:v>
      </x:c>
      <x:c r="AF57" s="13" t="b">
        <x:v>1</x:v>
      </x:c>
      <x:c r="AG57" s="7" t="n">
        <x:v>0.5</x:v>
      </x:c>
      <x:c r="AH57" s="7" t="n">
        <x:v>0.5</x:v>
      </x:c>
      <x:c r="AI57" s="7" t="n">
        <x:v>0.7</x:v>
      </x:c>
      <x:c r="AJ57" s="7" t="n">
        <x:v>0.2</x:v>
      </x:c>
      <x:c r="AK57" s="7" t="n">
        <x:v>0.1</x:v>
      </x:c>
      <x:c r="AL57" s="7" t="str">
        <x:v>shipbuildericons/ICO_GlitteringJewelMissileBay</x:v>
      </x:c>
      <x:c r="AM57" s="7" t="str">
        <x:v>shipweapons/alien_missile_launcher</x:v>
      </x:c>
      <x:c r="AN57" s="7" t="str">
        <x:v>spacecombat/GlitteringJewelMissile</x:v>
      </x:c>
      <x:c r="AO57" s="7" t="str">
        <x:v>spaceCombat/SmallExplosion</x:v>
      </x:c>
      <x:c r="AP57" s="7" t="str">
        <x:v>event:/SFX/Game_SFX/Guns/trig_SFX_Alien_Missile_Launch</x:v>
      </x:c>
      <x:c r="AQ57" s="7" t="str">
        <x:v>event:/SFX/Game_SFX/Guns/trig_SFX_Fragmentation_Missile_Detonates_Ship</x:v>
      </x:c>
      <x:c r="AR57" s="7"/>
      <x:c r="AS57" s="7"/>
      <x:c r="AT57" s="7"/>
      <x:c r="AU57" s="7"/>
      <x:c r="AV57" s="7"/>
      <x:c r="AW57" s="7"/>
    </x:row>
    <x:row r="58" ht="23" customHeight="1">
      <x:c r="A58" s="2" t="str">
        <x:v>GlitteringJewelMissilePod</x:v>
      </x:c>
      <x:c r="B58" s="2" t="str">
        <x:v>Glittering Jewel Missile Pod</x:v>
      </x:c>
      <x:c r="C58" s="2" t="str">
        <x:v>HalfHull</x:v>
      </x:c>
      <x:c r="D58" s="2" t="n">
        <x:v>0</x:v>
      </x:c>
      <x:c r="E58" s="2" t="str">
        <x:v>Project_AlienMasterProject</x:v>
      </x:c>
      <x:c r="F58" s="12" t="b">
        <x:v>1</x:v>
      </x:c>
      <x:c r="G58" s="12" t="b">
        <x:v>0</x:v>
      </x:c>
      <x:c r="H58" s="2" t="str">
        <x:v>Penetrator</x:v>
      </x:c>
      <x:c r="I58" s="2" t="n">
        <x:v>300000</x:v>
      </x:c>
      <x:c r="J58" s="2" t="n">
        <x:v>4.45</x:v>
      </x:c>
      <x:c r="K58" s="2" t="n">
        <x:v>23.89</x:v>
      </x:c>
      <x:c r="L58" s="2" t="n">
        <x:v>7.16</x:v>
      </x:c>
      <x:c r="M58" s="2" t="n">
        <x:v>3</x:v>
      </x:c>
      <x:c r="N58" s="2" t="n">
        <x:v>6</x:v>
      </x:c>
      <x:c r="O58" s="2"/>
      <x:c r="P58" s="2"/>
      <x:c r="Q58" s="2" t="n">
        <x:v>1</x:v>
      </x:c>
      <x:c r="R58" s="2" t="n">
        <x:v>0.6</x:v>
      </x:c>
      <x:c r="S58" s="2" t="n">
        <x:v>4</x:v>
      </x:c>
      <x:c r="T58" s="2" t="n">
        <x:v>1280</x:v>
      </x:c>
      <x:c r="U58" s="2" t="n">
        <x:v>1024</x:v>
      </x:c>
      <x:c r="V58" s="2" t="n">
        <x:v>128</x:v>
      </x:c>
      <x:c r="W58" s="2" t="n">
        <x:v>128</x:v>
      </x:c>
      <x:c r="X58" s="2"/>
      <x:c r="Y58" s="2" t="n">
        <x:v>5</x:v>
      </x:c>
      <x:c r="Z58" s="2" t="n">
        <x:v>36</x:v>
      </x:c>
      <x:c r="AA58" s="2" t="n">
        <x:v>0.5</x:v>
      </x:c>
      <x:c r="AB58" s="2" t="n">
        <x:v>45</x:v>
      </x:c>
      <x:c r="AC58" s="2" t="n">
        <x:v>0</x:v>
      </x:c>
      <x:c r="AD58" s="2" t="n">
        <x:v>1000</x:v>
      </x:c>
      <x:c r="AE58" s="2" t="n">
        <x:v>180</x:v>
      </x:c>
      <x:c r="AF58" s="12" t="b">
        <x:v>1</x:v>
      </x:c>
      <x:c r="AG58" s="2" t="n">
        <x:v>0.5</x:v>
      </x:c>
      <x:c r="AH58" s="2" t="n">
        <x:v>0.5</x:v>
      </x:c>
      <x:c r="AI58" s="2" t="n">
        <x:v>0.7</x:v>
      </x:c>
      <x:c r="AJ58" s="2" t="n">
        <x:v>0.2</x:v>
      </x:c>
      <x:c r="AK58" s="2" t="n">
        <x:v>0.1</x:v>
      </x:c>
      <x:c r="AL58" s="2" t="str">
        <x:v>shipbuildericons/ICO_GlitteringJewelMissileBay</x:v>
      </x:c>
      <x:c r="AM58" s="2" t="str">
        <x:v>shipweapons/alien_missile_launcher</x:v>
      </x:c>
      <x:c r="AN58" s="2" t="str">
        <x:v>spacecombat/GlitteringJewelMissile</x:v>
      </x:c>
      <x:c r="AO58" s="2" t="str">
        <x:v>spaceCombat/SmallExplosion</x:v>
      </x:c>
      <x:c r="AP58" s="2" t="str">
        <x:v>event:/SFX/Game_SFX/Guns/trig_SFX_Alien_Missile_Launch</x:v>
      </x:c>
      <x:c r="AQ58" s="2" t="str">
        <x:v>event:/SFX/Game_SFX/Guns/trig_SFX_Fragmentation_Missile_Detonates_Ship</x:v>
      </x:c>
      <x:c r="AR58" s="2"/>
      <x:c r="AS58" s="2"/>
      <x:c r="AT58" s="2"/>
      <x:c r="AU58" s="2"/>
      <x:c r="AV58" s="2"/>
      <x:c r="AW58" s="2"/>
    </x:row>
    <x:row r="59" ht="23" customHeight="1">
      <x:c r="A59" s="7" t="str">
        <x:v>IridescentStarTorpedoBay</x:v>
      </x:c>
      <x:c r="B59" s="7" t="str">
        <x:v>Iridescent Star Torpedo Bay</x:v>
      </x:c>
      <x:c r="C59" s="7" t="str">
        <x:v>OneHull</x:v>
      </x:c>
      <x:c r="D59" s="7" t="n">
        <x:v>1</x:v>
      </x:c>
      <x:c r="E59" s="7" t="str">
        <x:v>Project_AlienMasterProject</x:v>
      </x:c>
      <x:c r="F59" s="13" t="b">
        <x:v>1</x:v>
      </x:c>
      <x:c r="G59" s="13" t="b">
        <x:v>0</x:v>
      </x:c>
      <x:c r="H59" s="7" t="str">
        <x:v>Penetrator</x:v>
      </x:c>
      <x:c r="I59" s="7" t="n">
        <x:v>290000</x:v>
      </x:c>
      <x:c r="J59" s="7" t="n">
        <x:v>8.83</x:v>
      </x:c>
      <x:c r="K59" s="7" t="n">
        <x:v>11.55</x:v>
      </x:c>
      <x:c r="L59" s="7" t="n">
        <x:v>14.21</x:v>
      </x:c>
      <x:c r="M59" s="7" t="n">
        <x:v>10</x:v>
      </x:c>
      <x:c r="N59" s="7" t="n">
        <x:v>8</x:v>
      </x:c>
      <x:c r="O59" s="7"/>
      <x:c r="P59" s="7"/>
      <x:c r="Q59" s="7" t="n">
        <x:v>1</x:v>
      </x:c>
      <x:c r="R59" s="7" t="n">
        <x:v>0.8</x:v>
      </x:c>
      <x:c r="S59" s="7" t="n">
        <x:v>8</x:v>
      </x:c>
      <x:c r="T59" s="7" t="n">
        <x:v>2560</x:v>
      </x:c>
      <x:c r="U59" s="7" t="n">
        <x:v>2048</x:v>
      </x:c>
      <x:c r="V59" s="7" t="n">
        <x:v>256</x:v>
      </x:c>
      <x:c r="W59" s="7" t="n">
        <x:v>256</x:v>
      </x:c>
      <x:c r="X59" s="7"/>
      <x:c r="Y59" s="7" t="n">
        <x:v>5</x:v>
      </x:c>
      <x:c r="Z59" s="7" t="n">
        <x:v>32</x:v>
      </x:c>
      <x:c r="AA59" s="7" t="n">
        <x:v>1</x:v>
      </x:c>
      <x:c r="AB59" s="7" t="n">
        <x:v>35</x:v>
      </x:c>
      <x:c r="AC59" s="7" t="n">
        <x:v>0</x:v>
      </x:c>
      <x:c r="AD59" s="7" t="n">
        <x:v>1000</x:v>
      </x:c>
      <x:c r="AE59" s="7" t="n">
        <x:v>180</x:v>
      </x:c>
      <x:c r="AF59" s="13" t="b">
        <x:v>1</x:v>
      </x:c>
      <x:c r="AG59" s="7" t="n">
        <x:v>0.5</x:v>
      </x:c>
      <x:c r="AH59" s="7" t="n">
        <x:v>0.5</x:v>
      </x:c>
      <x:c r="AI59" s="7" t="n">
        <x:v>0.85</x:v>
      </x:c>
      <x:c r="AJ59" s="7" t="n">
        <x:v>0.1</x:v>
      </x:c>
      <x:c r="AK59" s="7" t="n">
        <x:v>0.05</x:v>
      </x:c>
      <x:c r="AL59" s="7" t="str">
        <x:v>shipbuildericons/ICO_IridescentStarTorpedoBay</x:v>
      </x:c>
      <x:c r="AM59" s="7" t="str">
        <x:v>shipweapons/alien_torpedo_launcher</x:v>
      </x:c>
      <x:c r="AN59" s="7" t="str">
        <x:v>spaceCombat/IridescentStarTorpedo</x:v>
      </x:c>
      <x:c r="AO59" s="7" t="str">
        <x:v>spaceCombat/BigExplosion</x:v>
      </x:c>
      <x:c r="AP59" s="7" t="str">
        <x:v>event:/SFX/Game_SFX/Guns/trig_SFX_Alien_Torpedo_Launch</x:v>
      </x:c>
      <x:c r="AQ59" s="7" t="str">
        <x:v>event:/SFX/Game_SFX/Guns/trig_SFX_Fragmentation_Missile_Detonates_Ship</x:v>
      </x:c>
      <x:c r="AR59" s="7"/>
      <x:c r="AS59" s="7"/>
      <x:c r="AT59" s="7"/>
      <x:c r="AU59" s="7"/>
      <x:c r="AV59" s="7"/>
      <x:c r="AW59" s="7"/>
    </x:row>
    <x:row r="60" ht="23" customHeight="1">
      <x:c r="A60" s="2" t="str">
        <x:v>LuminousSwarmMissileBay</x:v>
      </x:c>
      <x:c r="B60" s="2" t="str">
        <x:v>Luminous Swarm Missile Bay</x:v>
      </x:c>
      <x:c r="C60" s="2" t="str">
        <x:v>OneHull</x:v>
      </x:c>
      <x:c r="D60" s="2" t="n">
        <x:v>1</x:v>
      </x:c>
      <x:c r="E60" s="2" t="str">
        <x:v>Project_AlienMasterProject</x:v>
      </x:c>
      <x:c r="F60" s="12" t="b">
        <x:v>1</x:v>
      </x:c>
      <x:c r="G60" s="12" t="b">
        <x:v>1</x:v>
      </x:c>
      <x:c r="H60" s="2" t="str">
        <x:v>Penetrator</x:v>
      </x:c>
      <x:c r="I60" s="2" t="n">
        <x:v>145000</x:v>
      </x:c>
      <x:c r="J60" s="2" t="n">
        <x:v>4.45</x:v>
      </x:c>
      <x:c r="K60" s="2" t="n">
        <x:v>41.99</x:v>
      </x:c>
      <x:c r="L60" s="2" t="n">
        <x:v>5.78</x:v>
      </x:c>
      <x:c r="M60" s="2" t="n">
        <x:v>10</x:v>
      </x:c>
      <x:c r="N60" s="2" t="n">
        <x:v>3</x:v>
      </x:c>
      <x:c r="O60" s="2" t="n">
        <x:v>8</x:v>
      </x:c>
      <x:c r="P60" s="2" t="n">
        <x:v>1</x:v>
      </x:c>
      <x:c r="Q60" s="2" t="n">
        <x:v>1</x:v>
      </x:c>
      <x:c r="R60" s="2" t="n">
        <x:v>0.6</x:v>
      </x:c>
      <x:c r="S60" s="2" t="n">
        <x:v>36</x:v>
      </x:c>
      <x:c r="T60" s="2" t="n">
        <x:v>352</x:v>
      </x:c>
      <x:c r="U60" s="2" t="n">
        <x:v>256</x:v>
      </x:c>
      <x:c r="V60" s="2" t="n">
        <x:v>64</x:v>
      </x:c>
      <x:c r="W60" s="2" t="n">
        <x:v>32</x:v>
      </x:c>
      <x:c r="X60" s="2"/>
      <x:c r="Y60" s="2" t="n">
        <x:v>1</x:v>
      </x:c>
      <x:c r="Z60" s="2" t="n">
        <x:v>48</x:v>
      </x:c>
      <x:c r="AA60" s="2" t="n">
        <x:v>0.25</x:v>
      </x:c>
      <x:c r="AB60" s="2" t="n">
        <x:v>35</x:v>
      </x:c>
      <x:c r="AC60" s="2" t="n">
        <x:v>0</x:v>
      </x:c>
      <x:c r="AD60" s="2" t="n">
        <x:v>600</x:v>
      </x:c>
      <x:c r="AE60" s="2" t="n">
        <x:v>180</x:v>
      </x:c>
      <x:c r="AF60" s="12" t="b">
        <x:v>1</x:v>
      </x:c>
      <x:c r="AG60" s="2" t="n">
        <x:v>0.5</x:v>
      </x:c>
      <x:c r="AH60" s="2" t="n">
        <x:v>0.5</x:v>
      </x:c>
      <x:c r="AI60" s="2" t="n">
        <x:v>0.7</x:v>
      </x:c>
      <x:c r="AJ60" s="2" t="n">
        <x:v>0.25</x:v>
      </x:c>
      <x:c r="AK60" s="2" t="n">
        <x:v>0.05</x:v>
      </x:c>
      <x:c r="AL60" s="2" t="str">
        <x:v>shipbuildericons/ICO_LuminousSwarmMissileBay</x:v>
      </x:c>
      <x:c r="AM60" s="2" t="str">
        <x:v>shipweapons/alien_missile_launcher</x:v>
      </x:c>
      <x:c r="AN60" s="2" t="str">
        <x:v>spacecombat/GlitteringJewelMissile</x:v>
      </x:c>
      <x:c r="AO60" s="2" t="str">
        <x:v>spaceCombat/SmallExplosion</x:v>
      </x:c>
      <x:c r="AP60" s="2" t="str">
        <x:v>event:/SFX/Game_SFX/Guns/trig_SFX_Alien_Missile_Launch</x:v>
      </x:c>
      <x:c r="AQ60" s="2" t="str">
        <x:v>event:/SFX/Game_SFX/Guns/trig_SFX_Fragmentation_Missile_Detonates_Ship</x:v>
      </x:c>
      <x:c r="AR60" s="2"/>
      <x:c r="AS60" s="2"/>
      <x:c r="AT60" s="2"/>
      <x:c r="AU60" s="2"/>
      <x:c r="AV60" s="2"/>
      <x:c r="AW60" s="2"/>
    </x:row>
    <x:row r="61" ht="23" customHeight="1">
      <x:c r="A61" s="7" t="str">
        <x:v>BrilliantSkyMissileBay</x:v>
      </x:c>
      <x:c r="B61" s="7" t="str">
        <x:v>Brilliant Sky Missile Bay</x:v>
      </x:c>
      <x:c r="C61" s="7" t="str">
        <x:v>OneHull</x:v>
      </x:c>
      <x:c r="D61" s="7" t="n">
        <x:v>1</x:v>
      </x:c>
      <x:c r="E61" s="7" t="str">
        <x:v>Project_AlienAdvancedMasterProject</x:v>
      </x:c>
      <x:c r="F61" s="13" t="b">
        <x:v>1</x:v>
      </x:c>
      <x:c r="G61" s="13" t="b">
        <x:v>0</x:v>
      </x:c>
      <x:c r="H61" s="7" t="str">
        <x:v>Penetrator</x:v>
      </x:c>
      <x:c r="I61" s="7" t="n">
        <x:v>420000</x:v>
      </x:c>
      <x:c r="J61" s="7" t="n">
        <x:v>16</x:v>
      </x:c>
      <x:c r="K61" s="7" t="n">
        <x:v>58.17</x:v>
      </x:c>
      <x:c r="L61" s="7" t="n">
        <x:v>19.03</x:v>
      </x:c>
      <x:c r="M61" s="7" t="n">
        <x:v>10</x:v>
      </x:c>
      <x:c r="N61" s="7" t="n">
        <x:v>4</x:v>
      </x:c>
      <x:c r="O61" s="7" t="n">
        <x:v>8</x:v>
      </x:c>
      <x:c r="P61" s="7" t="n">
        <x:v>1</x:v>
      </x:c>
      <x:c r="Q61" s="7" t="n">
        <x:v>1</x:v>
      </x:c>
      <x:c r="R61" s="7" t="n">
        <x:v>0.6</x:v>
      </x:c>
      <x:c r="S61" s="7" t="n">
        <x:v>16</x:v>
      </x:c>
      <x:c r="T61" s="7" t="n">
        <x:v>736</x:v>
      </x:c>
      <x:c r="U61" s="7" t="n">
        <x:v>512</x:v>
      </x:c>
      <x:c r="V61" s="7" t="n">
        <x:v>128</x:v>
      </x:c>
      <x:c r="W61" s="7" t="n">
        <x:v>96</x:v>
      </x:c>
      <x:c r="X61" s="7"/>
      <x:c r="Y61" s="7" t="n">
        <x:v>3</x:v>
      </x:c>
      <x:c r="Z61" s="7" t="n">
        <x:v>36</x:v>
      </x:c>
      <x:c r="AA61" s="7" t="n">
        <x:v>0.5</x:v>
      </x:c>
      <x:c r="AB61" s="7" t="n">
        <x:v>55</x:v>
      </x:c>
      <x:c r="AC61" s="7" t="n">
        <x:v>0</x:v>
      </x:c>
      <x:c r="AD61" s="7" t="n">
        <x:v>1200</x:v>
      </x:c>
      <x:c r="AE61" s="7" t="n">
        <x:v>180</x:v>
      </x:c>
      <x:c r="AF61" s="13" t="b">
        <x:v>1</x:v>
      </x:c>
      <x:c r="AG61" s="7" t="n">
        <x:v>0.5</x:v>
      </x:c>
      <x:c r="AH61" s="7" t="n">
        <x:v>0.5</x:v>
      </x:c>
      <x:c r="AI61" s="7" t="n">
        <x:v>0.7</x:v>
      </x:c>
      <x:c r="AJ61" s="7" t="n">
        <x:v>0.15</x:v>
      </x:c>
      <x:c r="AK61" s="7" t="n">
        <x:v>0.15</x:v>
      </x:c>
      <x:c r="AL61" s="7" t="str">
        <x:v>shipbuildericons/ICO_BrilliantSkyMissileBay</x:v>
      </x:c>
      <x:c r="AM61" s="7" t="str">
        <x:v>shipweapons/alien_missile_launcher</x:v>
      </x:c>
      <x:c r="AN61" s="7" t="str">
        <x:v>spacecombat/GlitteringJewelMissile</x:v>
      </x:c>
      <x:c r="AO61" s="7" t="str">
        <x:v>spaceCombat/SmallExplosion</x:v>
      </x:c>
      <x:c r="AP61" s="7" t="str">
        <x:v>event:/SFX/Game_SFX/Guns/trig_SFX_Alien_Missile_Launch</x:v>
      </x:c>
      <x:c r="AQ61" s="7" t="str">
        <x:v>event:/SFX/Game_SFX/Guns/trig_SFX_Fragmentation_Missile_Detonates_Ship</x:v>
      </x:c>
      <x:c r="AR61" s="7"/>
      <x:c r="AS61" s="7"/>
      <x:c r="AT61" s="7"/>
      <x:c r="AU61" s="7"/>
      <x:c r="AV61" s="7"/>
      <x:c r="AW61" s="7"/>
    </x:row>
    <x:row r="62" ht="23" customHeight="1">
      <x:c r="A62" s="2" t="str">
        <x:v>PredatoryStarTorpedoBay</x:v>
      </x:c>
      <x:c r="B62" s="2" t="str">
        <x:v>Predatory Star Torpedo Bay</x:v>
      </x:c>
      <x:c r="C62" s="2" t="str">
        <x:v>OneHull</x:v>
      </x:c>
      <x:c r="D62" s="2" t="n">
        <x:v>1</x:v>
      </x:c>
      <x:c r="E62" s="2" t="str">
        <x:v>Project_AlienAdvancedMasterProject</x:v>
      </x:c>
      <x:c r="F62" s="12" t="b">
        <x:v>1</x:v>
      </x:c>
      <x:c r="G62" s="12" t="b">
        <x:v>0</x:v>
      </x:c>
      <x:c r="H62" s="2" t="str">
        <x:v>Penetrator</x:v>
      </x:c>
      <x:c r="I62" s="2" t="n">
        <x:v>420000</x:v>
      </x:c>
      <x:c r="J62" s="2" t="n">
        <x:v>16</x:v>
      </x:c>
      <x:c r="K62" s="2" t="n">
        <x:v>24.95</x:v>
      </x:c>
      <x:c r="L62" s="2" t="n">
        <x:v>19.35</x:v>
      </x:c>
      <x:c r="M62" s="2" t="n">
        <x:v>20</x:v>
      </x:c>
      <x:c r="N62" s="2" t="n">
        <x:v>6</x:v>
      </x:c>
      <x:c r="O62" s="2"/>
      <x:c r="P62" s="2"/>
      <x:c r="Q62" s="2" t="n">
        <x:v>1</x:v>
      </x:c>
      <x:c r="R62" s="2" t="n">
        <x:v>0.8</x:v>
      </x:c>
      <x:c r="S62" s="2" t="n">
        <x:v>8</x:v>
      </x:c>
      <x:c r="T62" s="2" t="n">
        <x:v>1716</x:v>
      </x:c>
      <x:c r="U62" s="2" t="n">
        <x:v>1204</x:v>
      </x:c>
      <x:c r="V62" s="2" t="n">
        <x:v>256</x:v>
      </x:c>
      <x:c r="W62" s="2" t="n">
        <x:v>256</x:v>
      </x:c>
      <x:c r="X62" s="2"/>
      <x:c r="Y62" s="2" t="n">
        <x:v>4</x:v>
      </x:c>
      <x:c r="Z62" s="2" t="n">
        <x:v>32</x:v>
      </x:c>
      <x:c r="AA62" s="2" t="n">
        <x:v>1</x:v>
      </x:c>
      <x:c r="AB62" s="2" t="n">
        <x:v>30</x:v>
      </x:c>
      <x:c r="AC62" s="2" t="n">
        <x:v>0</x:v>
      </x:c>
      <x:c r="AD62" s="2" t="n">
        <x:v>1200</x:v>
      </x:c>
      <x:c r="AE62" s="2" t="n">
        <x:v>180</x:v>
      </x:c>
      <x:c r="AF62" s="12" t="b">
        <x:v>1</x:v>
      </x:c>
      <x:c r="AG62" s="2" t="n">
        <x:v>0.5</x:v>
      </x:c>
      <x:c r="AH62" s="2" t="n">
        <x:v>0.5</x:v>
      </x:c>
      <x:c r="AI62" s="2" t="n">
        <x:v>0.85</x:v>
      </x:c>
      <x:c r="AJ62" s="2" t="n">
        <x:v>0.1</x:v>
      </x:c>
      <x:c r="AK62" s="2" t="n">
        <x:v>0.05</x:v>
      </x:c>
      <x:c r="AL62" s="2" t="str">
        <x:v>shipbuildericons/ICO_PredatoryStarTorpedoBay</x:v>
      </x:c>
      <x:c r="AM62" s="2" t="str">
        <x:v>shipweapons/alien_torpedo_launcher</x:v>
      </x:c>
      <x:c r="AN62" s="2" t="str">
        <x:v>spaceCombat/IridescentStarTorpedo</x:v>
      </x:c>
      <x:c r="AO62" s="2" t="str">
        <x:v>spaceCombat/BigExplosion</x:v>
      </x:c>
      <x:c r="AP62" s="2" t="str">
        <x:v>event:/SFX/Game_SFX/Guns/trig_SFX_Alien_Torpedo_Launch</x:v>
      </x:c>
      <x:c r="AQ62" s="2" t="str">
        <x:v>event:/SFX/Game_SFX/Guns/trig_SFX_Fragmentation_Missile_Detonates_Ship</x:v>
      </x:c>
      <x:c r="AR62" s="2"/>
      <x:c r="AS62" s="2"/>
      <x:c r="AT62" s="2"/>
      <x:c r="AU62" s="2"/>
      <x:c r="AV62" s="2"/>
      <x:c r="AW62" s="2"/>
    </x:row>
  </x:sheetData>
  <x:pageMargins left="0.7" right="0.7" top="0.75" bottom="0.75" header="0.3" footer="0.3"/>
  <x:tableParts count="1">
    <x:tablePart xmlns:r="http://schemas.openxmlformats.org/officeDocument/2006/relationships" r:id="R672862e7dbc24588"/>
  </x:tableParts>
</x:worksheet>
</file>